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uyau\Documents\ActuarialAddinData\"/>
    </mc:Choice>
  </mc:AlternateContent>
  <xr:revisionPtr revIDLastSave="0" documentId="13_ncr:1_{373A9A24-B54E-4D6C-93D4-66DBA42B50DB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RPPLimits" sheetId="8" r:id="rId1"/>
    <sheet name="ProxyStat" sheetId="41" r:id="rId2"/>
    <sheet name="QPPStat" sheetId="7" r:id="rId3"/>
    <sheet name="CPPStat" sheetId="4" r:id="rId4"/>
    <sheet name="OASStat" sheetId="6" r:id="rId5"/>
    <sheet name="AWEStat" sheetId="46" r:id="rId6"/>
    <sheet name="AWETNStat" sheetId="34" r:id="rId7"/>
    <sheet name="AWEIPEStat" sheetId="33" r:id="rId8"/>
    <sheet name="AWENEStat" sheetId="32" r:id="rId9"/>
    <sheet name="AWENBStat" sheetId="31" r:id="rId10"/>
    <sheet name="AWEQCStat" sheetId="24" r:id="rId11"/>
    <sheet name="AWEONStat" sheetId="25" r:id="rId12"/>
    <sheet name="AWEMAStat" sheetId="29" r:id="rId13"/>
    <sheet name="AWESAStat" sheetId="28" r:id="rId14"/>
    <sheet name="AWEALStat" sheetId="27" r:id="rId15"/>
    <sheet name="AWECBStat" sheetId="26" r:id="rId16"/>
    <sheet name="CIAStat" sheetId="5" r:id="rId17"/>
    <sheet name="CPIStat" sheetId="3" r:id="rId18"/>
    <sheet name="CPITNStat" sheetId="23" r:id="rId19"/>
    <sheet name="CPIIPEStat" sheetId="22" r:id="rId20"/>
    <sheet name="CPINEStat" sheetId="21" r:id="rId21"/>
    <sheet name="CPINBStat" sheetId="20" r:id="rId22"/>
    <sheet name="CPIQCStat" sheetId="9" r:id="rId23"/>
    <sheet name="CPIONStat" sheetId="15" r:id="rId24"/>
    <sheet name="CPIMAStat" sheetId="18" r:id="rId25"/>
    <sheet name="CPISAStat" sheetId="19" r:id="rId26"/>
    <sheet name="CPIALStat" sheetId="17" r:id="rId27"/>
    <sheet name="CPICBStat" sheetId="16" r:id="rId28"/>
  </sheets>
  <definedNames>
    <definedName name="_datesCIAStat">CIAStat!$A:$A</definedName>
    <definedName name="_xlnm._FilterDatabase" localSheetId="1" hidden="1">ProxyStat!$A$4:$V$4952</definedName>
    <definedName name="_xlnm._FilterDatabase" localSheetId="2" hidden="1">QPPStat!$A$3:$O$63</definedName>
    <definedName name="_lastDateAWEStat">AWEStat!$Q$3</definedName>
    <definedName name="_lastDateCIAStat">CIAStat!$K$1</definedName>
    <definedName name="_lastDateCPI">CPIStat!$P$3</definedName>
    <definedName name="_lastMonth">AWEStat!$Q$2</definedName>
    <definedName name="_lastMonthCPI">CPIStat!$P$2</definedName>
    <definedName name="_lastRow">AWEStat!$Q$1</definedName>
    <definedName name="_lastRowCPI">CPIStat!$P$1</definedName>
    <definedName name="_Offset">CIAStat!$B$2</definedName>
    <definedName name="_offsetProxyStat">ProxyStat!$B$1</definedName>
    <definedName name="_proxyDates">ProxyStat!$A:$A</definedName>
    <definedName name="_proxyTab">ProxyStat!$B:$T</definedName>
    <definedName name="AweAlStat">AWEALStat!$A$5:$N$35</definedName>
    <definedName name="AweCBStat">AWECBStat!$A$5:$N$35</definedName>
    <definedName name="AweIPEStat">AWEIPEStat!$A$5:$N$35</definedName>
    <definedName name="AweMaStat">AWEMAStat!$A$5:$N$35</definedName>
    <definedName name="AweNbStat">AWENBStat!$A$5:$N$35</definedName>
    <definedName name="AweNeStat">AWENEStat!$A$5:$N$35</definedName>
    <definedName name="AweOnStat">AWEONStat!$A$5:$N$35</definedName>
    <definedName name="AweQcStat">AWEQCStat!$A$5:$N$35</definedName>
    <definedName name="AweSaStat">AWESAStat!$A$5:$N$35</definedName>
    <definedName name="AweStat">AWEStat!$A$5:$O$43</definedName>
    <definedName name="AweTnStat">AWETNStat!$A$5:$N$35</definedName>
    <definedName name="CIAStat">CIAStat!$B$29:$BU$437</definedName>
    <definedName name="CPIALStat">CPIALStat!$A$4:$N$47</definedName>
    <definedName name="CPICBStat">CPICBStat!$A$4:$N$47</definedName>
    <definedName name="CPIIPEStat">CPIIPEStat!$A$4:$N$47</definedName>
    <definedName name="CPIMAStat">CPIMAStat!$A$4:$N$47</definedName>
    <definedName name="CPINBStat">CPINBStat!$A$4:$N$47</definedName>
    <definedName name="CPINEStat">CPINEStat!$A$4:$N$47</definedName>
    <definedName name="CPIONStat">CPIONStat!$A$4:$N$47</definedName>
    <definedName name="CPIQCStat">CPIQCStat!$A$4:$N$47</definedName>
    <definedName name="CPISAStat">CPISAStat!$A$4:$N$47</definedName>
    <definedName name="CPIStat">CPIStat!$A$4:$N$111</definedName>
    <definedName name="CPITNStat">CPITNStat!$A$4:$N$47</definedName>
    <definedName name="CPPStat">CPPStat!$A$4:$J$60</definedName>
    <definedName name="OASStat">OASStat!$A$4:$F$74</definedName>
    <definedName name="_xlnm.Print_Titles" localSheetId="16">CIAStat!$1:$5</definedName>
    <definedName name="ProxyStat">ProxyStat!$B:$T</definedName>
    <definedName name="QPPStat">QPPStat!$A$4:$J$60</definedName>
    <definedName name="RPPLimits">RPPLimits!$D$5:$N$37</definedName>
    <definedName name="TabProxy">ProxyStat!$B:$T</definedName>
    <definedName name="TransferMax">RPPLimits!$A$5:$B$52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080" i="41" l="1"/>
  <c r="Q5081" i="41"/>
  <c r="Q5082" i="41"/>
  <c r="Q5083" i="41"/>
  <c r="Q5084" i="41"/>
  <c r="Q5085" i="41"/>
  <c r="Q5086" i="41"/>
  <c r="Q5087" i="41"/>
  <c r="Q5088" i="41"/>
  <c r="Q5089" i="41"/>
  <c r="Q5090" i="41"/>
  <c r="Q5091" i="41"/>
  <c r="Q5092" i="41"/>
  <c r="Q5093" i="41"/>
  <c r="Q5094" i="41"/>
  <c r="Q5095" i="41"/>
  <c r="B5090" i="41"/>
  <c r="B5091" i="41"/>
  <c r="B5083" i="41"/>
  <c r="B5084" i="41"/>
  <c r="B5080" i="41"/>
  <c r="B5081" i="41"/>
  <c r="B5082" i="41"/>
  <c r="B5085" i="41"/>
  <c r="B5086" i="41"/>
  <c r="B5087" i="41"/>
  <c r="B5088" i="41"/>
  <c r="B5089" i="41"/>
  <c r="B5092" i="41"/>
  <c r="B5093" i="41"/>
  <c r="B5094" i="41"/>
  <c r="B5095" i="41"/>
  <c r="G436" i="5"/>
  <c r="BK436" i="5" l="1"/>
  <c r="BH436" i="5"/>
  <c r="BG436" i="5"/>
  <c r="BM439" i="5"/>
  <c r="BM438" i="5"/>
  <c r="Q5075" i="41" l="1"/>
  <c r="Q5076" i="41"/>
  <c r="Q5077" i="41"/>
  <c r="Q5078" i="41"/>
  <c r="Q5079" i="41"/>
  <c r="B5075" i="41"/>
  <c r="B5076" i="41"/>
  <c r="B5077" i="41"/>
  <c r="B5078" i="41"/>
  <c r="B5079" i="41"/>
  <c r="M113" i="3" l="1"/>
  <c r="M114" i="3"/>
  <c r="M115" i="3"/>
  <c r="C115" i="3"/>
  <c r="D115" i="3"/>
  <c r="E115" i="3"/>
  <c r="F115" i="3"/>
  <c r="G115" i="3"/>
  <c r="H115" i="3"/>
  <c r="I115" i="3"/>
  <c r="J115" i="3"/>
  <c r="K115" i="3"/>
  <c r="L115" i="3"/>
  <c r="B115" i="3"/>
  <c r="C114" i="3"/>
  <c r="D114" i="3"/>
  <c r="E114" i="3"/>
  <c r="F114" i="3"/>
  <c r="G114" i="3"/>
  <c r="H114" i="3"/>
  <c r="I114" i="3"/>
  <c r="J114" i="3"/>
  <c r="K114" i="3"/>
  <c r="L114" i="3"/>
  <c r="B114" i="3"/>
  <c r="C113" i="3"/>
  <c r="D113" i="3"/>
  <c r="E113" i="3"/>
  <c r="F113" i="3"/>
  <c r="G113" i="3"/>
  <c r="H113" i="3"/>
  <c r="I113" i="3"/>
  <c r="J113" i="3"/>
  <c r="K113" i="3"/>
  <c r="L113" i="3"/>
  <c r="B113" i="3"/>
  <c r="G74" i="6"/>
  <c r="H74" i="6"/>
  <c r="Q5054" i="41"/>
  <c r="Q5055" i="41"/>
  <c r="Q5056" i="41"/>
  <c r="Q5057" i="41"/>
  <c r="Q5058" i="41"/>
  <c r="Q5059" i="41"/>
  <c r="Q5060" i="41"/>
  <c r="Q5061" i="41"/>
  <c r="Q5062" i="41"/>
  <c r="Q5063" i="41"/>
  <c r="Q5064" i="41"/>
  <c r="Q5065" i="41"/>
  <c r="Q5066" i="41"/>
  <c r="Q5067" i="41"/>
  <c r="Q5068" i="41"/>
  <c r="Q5069" i="41"/>
  <c r="Q5070" i="41"/>
  <c r="Q5071" i="41"/>
  <c r="Q5072" i="41"/>
  <c r="Q5073" i="41"/>
  <c r="Q5074" i="41"/>
  <c r="B5055" i="41"/>
  <c r="B5056" i="41"/>
  <c r="B5069" i="41"/>
  <c r="B5070" i="41"/>
  <c r="B5062" i="41"/>
  <c r="B5063" i="41"/>
  <c r="B5054" i="41"/>
  <c r="B5057" i="41"/>
  <c r="B5058" i="41"/>
  <c r="B5059" i="41"/>
  <c r="B5060" i="41"/>
  <c r="B5061" i="41"/>
  <c r="B5064" i="41"/>
  <c r="B5065" i="41"/>
  <c r="B5066" i="41"/>
  <c r="B5067" i="41"/>
  <c r="B5068" i="41"/>
  <c r="B5071" i="41"/>
  <c r="B5072" i="41"/>
  <c r="B5073" i="41"/>
  <c r="B5074" i="41"/>
  <c r="BS436" i="5"/>
  <c r="BT436" i="5"/>
  <c r="BU436" i="5"/>
  <c r="BM436" i="5"/>
  <c r="BL437" i="5" s="1"/>
  <c r="AG437" i="5" s="1"/>
  <c r="BN436" i="5"/>
  <c r="BO436" i="5"/>
  <c r="BP436" i="5"/>
  <c r="BQ436" i="5"/>
  <c r="BG437" i="5"/>
  <c r="BI437" i="5" s="1"/>
  <c r="V437" i="5" s="1"/>
  <c r="BH437" i="5"/>
  <c r="BJ437" i="5"/>
  <c r="W437" i="5" s="1"/>
  <c r="AZ436" i="5"/>
  <c r="BD436" i="5" s="1"/>
  <c r="BA436" i="5"/>
  <c r="BB436" i="5"/>
  <c r="BE436" i="5" s="1"/>
  <c r="BC436" i="5"/>
  <c r="AB437" i="5"/>
  <c r="AI436" i="5"/>
  <c r="AJ436" i="5"/>
  <c r="AK436" i="5"/>
  <c r="N437" i="5"/>
  <c r="O437" i="5"/>
  <c r="Q437" i="5"/>
  <c r="R437" i="5"/>
  <c r="S437" i="5"/>
  <c r="T437" i="5"/>
  <c r="G434" i="5"/>
  <c r="G435" i="5"/>
  <c r="BK437" i="5" l="1"/>
  <c r="AF437" i="5" s="1"/>
  <c r="AD437" i="5"/>
  <c r="AA437" i="5"/>
  <c r="AC437" i="5" s="1"/>
  <c r="Q5012" i="41" l="1"/>
  <c r="Q5013" i="41"/>
  <c r="Q5014" i="41"/>
  <c r="Q5015" i="41"/>
  <c r="Q5016" i="41"/>
  <c r="Q5017" i="41"/>
  <c r="Q5018" i="41"/>
  <c r="Q5019" i="41"/>
  <c r="Q5020" i="41"/>
  <c r="Q5021" i="41"/>
  <c r="Q5022" i="41"/>
  <c r="Q5023" i="41"/>
  <c r="Q5024" i="41"/>
  <c r="Q5025" i="41"/>
  <c r="Q5026" i="41"/>
  <c r="Q5027" i="41"/>
  <c r="Q5028" i="41"/>
  <c r="Q5029" i="41"/>
  <c r="Q5030" i="41"/>
  <c r="Q5031" i="41"/>
  <c r="Q5032" i="41"/>
  <c r="Q5033" i="41"/>
  <c r="Q5034" i="41"/>
  <c r="Q5035" i="41"/>
  <c r="Q5036" i="41"/>
  <c r="Q5037" i="41"/>
  <c r="Q5038" i="41"/>
  <c r="Q5039" i="41"/>
  <c r="Q5040" i="41"/>
  <c r="Q5041" i="41"/>
  <c r="Q5042" i="41"/>
  <c r="Q5043" i="41"/>
  <c r="Q5044" i="41"/>
  <c r="Q5045" i="41"/>
  <c r="Q5046" i="41"/>
  <c r="Q5047" i="41"/>
  <c r="Q5048" i="41"/>
  <c r="Q5049" i="41"/>
  <c r="Q5050" i="41"/>
  <c r="Q5051" i="41"/>
  <c r="Q5052" i="41"/>
  <c r="Q5053" i="41"/>
  <c r="B5048" i="41"/>
  <c r="B5049" i="41"/>
  <c r="B5041" i="41"/>
  <c r="B5042" i="41"/>
  <c r="B5034" i="41"/>
  <c r="B5035" i="41"/>
  <c r="B5027" i="41"/>
  <c r="B5028" i="41"/>
  <c r="B5020" i="41"/>
  <c r="B5021" i="41"/>
  <c r="B5013" i="41"/>
  <c r="B5014" i="41"/>
  <c r="B5012" i="41"/>
  <c r="B5015" i="41"/>
  <c r="B5016" i="41"/>
  <c r="B5017" i="41"/>
  <c r="B5018" i="41"/>
  <c r="B5019" i="41"/>
  <c r="B5022" i="41"/>
  <c r="B5023" i="41"/>
  <c r="B5024" i="41"/>
  <c r="B5025" i="41"/>
  <c r="B5026" i="41"/>
  <c r="B5029" i="41"/>
  <c r="B5030" i="41"/>
  <c r="B5031" i="41"/>
  <c r="B5032" i="41"/>
  <c r="B5033" i="41"/>
  <c r="B5036" i="41"/>
  <c r="B5037" i="41"/>
  <c r="B5038" i="41"/>
  <c r="B5039" i="41"/>
  <c r="B5040" i="41"/>
  <c r="B5043" i="41"/>
  <c r="B5044" i="41"/>
  <c r="B5045" i="41"/>
  <c r="B5046" i="41"/>
  <c r="B5047" i="41"/>
  <c r="B5050" i="41"/>
  <c r="B5051" i="41"/>
  <c r="B5052" i="41"/>
  <c r="B5053" i="41"/>
  <c r="G60" i="7"/>
  <c r="G60" i="4"/>
  <c r="BI436" i="5" l="1"/>
  <c r="BJ436" i="5"/>
  <c r="BM435" i="5"/>
  <c r="BN435" i="5"/>
  <c r="BO435" i="5"/>
  <c r="BP435" i="5"/>
  <c r="BQ435" i="5"/>
  <c r="BS435" i="5"/>
  <c r="BT435" i="5"/>
  <c r="BU435" i="5"/>
  <c r="AZ435" i="5"/>
  <c r="BD435" i="5" s="1"/>
  <c r="BA435" i="5"/>
  <c r="BB435" i="5"/>
  <c r="BE435" i="5" s="1"/>
  <c r="BC435" i="5"/>
  <c r="B448" i="5"/>
  <c r="BL436" i="5" l="1"/>
  <c r="Q5008" i="41" l="1"/>
  <c r="Q5009" i="41"/>
  <c r="Q5010" i="41"/>
  <c r="Q5011" i="41"/>
  <c r="B5008" i="41"/>
  <c r="B5009" i="41"/>
  <c r="B5010" i="41"/>
  <c r="B5011" i="41"/>
  <c r="BM434" i="5"/>
  <c r="BN434" i="5"/>
  <c r="BO434" i="5"/>
  <c r="BP434" i="5"/>
  <c r="BQ434" i="5"/>
  <c r="BS434" i="5"/>
  <c r="BT434" i="5"/>
  <c r="BU434" i="5"/>
  <c r="BG435" i="5"/>
  <c r="BH435" i="5"/>
  <c r="BI435" i="5"/>
  <c r="BJ435" i="5"/>
  <c r="BK435" i="5"/>
  <c r="BL435" i="5"/>
  <c r="AZ434" i="5"/>
  <c r="BA434" i="5"/>
  <c r="BB434" i="5"/>
  <c r="BC434" i="5"/>
  <c r="BD434" i="5"/>
  <c r="BE434" i="5"/>
  <c r="Q4983" i="41" l="1"/>
  <c r="Q4984" i="41"/>
  <c r="Q4985" i="41"/>
  <c r="Q4986" i="41"/>
  <c r="Q4987" i="41"/>
  <c r="Q4988" i="41"/>
  <c r="Q4989" i="41"/>
  <c r="Q4990" i="41"/>
  <c r="Q4991" i="41"/>
  <c r="Q4992" i="41"/>
  <c r="Q4993" i="41"/>
  <c r="Q4994" i="41"/>
  <c r="Q4995" i="41"/>
  <c r="Q4996" i="41"/>
  <c r="Q4997" i="41"/>
  <c r="Q4998" i="41"/>
  <c r="Q4999" i="41"/>
  <c r="Q5000" i="41"/>
  <c r="Q5001" i="41"/>
  <c r="Q5002" i="41"/>
  <c r="Q5003" i="41"/>
  <c r="Q5004" i="41"/>
  <c r="Q5005" i="41"/>
  <c r="Q5006" i="41"/>
  <c r="Q5007" i="41"/>
  <c r="B4999" i="41"/>
  <c r="B5000" i="41"/>
  <c r="B4992" i="41"/>
  <c r="B4993" i="41"/>
  <c r="B4985" i="41"/>
  <c r="B4986" i="41"/>
  <c r="B5006" i="41"/>
  <c r="B5007" i="41"/>
  <c r="B4983" i="41"/>
  <c r="B4984" i="41"/>
  <c r="B4987" i="41"/>
  <c r="B4988" i="41"/>
  <c r="B4989" i="41"/>
  <c r="B4990" i="41"/>
  <c r="B4991" i="41"/>
  <c r="B4994" i="41"/>
  <c r="B4995" i="41"/>
  <c r="B4996" i="41"/>
  <c r="B4997" i="41"/>
  <c r="B4998" i="41"/>
  <c r="B5001" i="41"/>
  <c r="B5002" i="41"/>
  <c r="B5003" i="41"/>
  <c r="B5004" i="41"/>
  <c r="B5005" i="41"/>
  <c r="Q4982" i="41"/>
  <c r="B4982" i="41"/>
  <c r="BM433" i="5"/>
  <c r="BK434" i="5" s="1"/>
  <c r="BN433" i="5"/>
  <c r="BO433" i="5"/>
  <c r="BP433" i="5"/>
  <c r="BG434" i="5"/>
  <c r="BI434" i="5" s="1"/>
  <c r="BH434" i="5"/>
  <c r="BU433" i="5"/>
  <c r="BT433" i="5"/>
  <c r="BS433" i="5"/>
  <c r="BQ433" i="5"/>
  <c r="Q4953" i="41"/>
  <c r="Q4954" i="41"/>
  <c r="Q4955" i="41"/>
  <c r="Q4956" i="41"/>
  <c r="Q4957" i="41"/>
  <c r="Q4958" i="41"/>
  <c r="Q4959" i="41"/>
  <c r="Q4960" i="41"/>
  <c r="Q4961" i="41"/>
  <c r="Q4962" i="41"/>
  <c r="Q4963" i="41"/>
  <c r="Q4964" i="41"/>
  <c r="Q4965" i="41"/>
  <c r="Q4966" i="41"/>
  <c r="Q4967" i="41"/>
  <c r="Q4968" i="41"/>
  <c r="Q4969" i="41"/>
  <c r="Q4970" i="41"/>
  <c r="Q4971" i="41"/>
  <c r="Q4972" i="41"/>
  <c r="Q4973" i="41"/>
  <c r="Q4974" i="41"/>
  <c r="Q4975" i="41"/>
  <c r="Q4976" i="41"/>
  <c r="Q4977" i="41"/>
  <c r="Q4978" i="41"/>
  <c r="Q4979" i="41"/>
  <c r="Q4980" i="41"/>
  <c r="Q4981" i="41"/>
  <c r="B4978" i="41"/>
  <c r="B4979" i="41"/>
  <c r="B4971" i="41"/>
  <c r="B4972" i="41"/>
  <c r="B4964" i="41"/>
  <c r="B4965" i="41"/>
  <c r="B4957" i="41"/>
  <c r="B4958" i="41"/>
  <c r="B4953" i="41"/>
  <c r="B4954" i="41"/>
  <c r="B4955" i="41"/>
  <c r="B4956" i="41"/>
  <c r="B4959" i="41"/>
  <c r="B4960" i="41"/>
  <c r="B4961" i="41"/>
  <c r="B4962" i="41"/>
  <c r="B4963" i="41"/>
  <c r="B4966" i="41"/>
  <c r="B4967" i="41"/>
  <c r="B4968" i="41"/>
  <c r="B4969" i="41"/>
  <c r="B4970" i="41"/>
  <c r="B4973" i="41"/>
  <c r="B4974" i="41"/>
  <c r="B4975" i="41"/>
  <c r="B4976" i="41"/>
  <c r="B4977" i="41"/>
  <c r="B4980" i="41"/>
  <c r="B4981" i="41"/>
  <c r="BC433" i="5"/>
  <c r="BE433" i="5" s="1"/>
  <c r="BA433" i="5"/>
  <c r="BD433" i="5"/>
  <c r="BB433" i="5"/>
  <c r="AZ433" i="5"/>
  <c r="BL434" i="5" l="1"/>
  <c r="BJ434" i="5"/>
  <c r="BG424" i="5"/>
  <c r="BG425" i="5"/>
  <c r="BG426" i="5"/>
  <c r="BI426" i="5" s="1"/>
  <c r="BG427" i="5"/>
  <c r="BI427" i="5" s="1"/>
  <c r="BG428" i="5"/>
  <c r="BI428" i="5" s="1"/>
  <c r="BG429" i="5"/>
  <c r="BG430" i="5"/>
  <c r="BG431" i="5"/>
  <c r="BG432" i="5"/>
  <c r="BG433" i="5"/>
  <c r="BI433" i="5" s="1"/>
  <c r="BH424" i="5"/>
  <c r="BJ424" i="5" s="1"/>
  <c r="BI424" i="5"/>
  <c r="BK424" i="5"/>
  <c r="BL424" i="5"/>
  <c r="BH425" i="5"/>
  <c r="BI425" i="5"/>
  <c r="BJ425" i="5"/>
  <c r="BK425" i="5"/>
  <c r="BL425" i="5"/>
  <c r="BH426" i="5"/>
  <c r="BJ426" i="5" s="1"/>
  <c r="BK426" i="5"/>
  <c r="BL426" i="5"/>
  <c r="BH427" i="5"/>
  <c r="BJ427" i="5" s="1"/>
  <c r="BK427" i="5"/>
  <c r="BL427" i="5"/>
  <c r="BH428" i="5"/>
  <c r="BJ428" i="5"/>
  <c r="BK428" i="5"/>
  <c r="BL428" i="5"/>
  <c r="BI429" i="5"/>
  <c r="BH429" i="5"/>
  <c r="BJ429" i="5"/>
  <c r="BK429" i="5"/>
  <c r="BL429" i="5"/>
  <c r="BH430" i="5"/>
  <c r="BI430" i="5"/>
  <c r="BJ430" i="5"/>
  <c r="BK430" i="5"/>
  <c r="BL430" i="5"/>
  <c r="BI431" i="5"/>
  <c r="BH431" i="5"/>
  <c r="BJ431" i="5" s="1"/>
  <c r="BK431" i="5"/>
  <c r="BL431" i="5"/>
  <c r="BH432" i="5"/>
  <c r="BJ432" i="5" s="1"/>
  <c r="BI432" i="5"/>
  <c r="BK432" i="5"/>
  <c r="BL432" i="5"/>
  <c r="BH433" i="5"/>
  <c r="BJ433" i="5"/>
  <c r="B1" i="41" l="1"/>
  <c r="D1" i="41" s="1"/>
  <c r="R1" i="41" l="1"/>
  <c r="O1" i="41"/>
  <c r="L1" i="41"/>
  <c r="S1" i="41"/>
  <c r="P1" i="41"/>
  <c r="M1" i="41"/>
  <c r="K1" i="41"/>
  <c r="C1" i="41"/>
  <c r="Q1" i="41"/>
  <c r="N1" i="41"/>
  <c r="J1" i="41"/>
  <c r="I1" i="41"/>
  <c r="H1" i="41"/>
  <c r="G1" i="41"/>
  <c r="F1" i="41"/>
  <c r="E1" i="41"/>
  <c r="T1" i="41"/>
  <c r="Q1196" i="41"/>
  <c r="Q1198" i="41"/>
  <c r="Q1199" i="41"/>
  <c r="Q1200" i="41"/>
  <c r="Q1201" i="41"/>
  <c r="Q1202" i="41"/>
  <c r="Q1203" i="41"/>
  <c r="Q1204" i="41"/>
  <c r="Q1205" i="41"/>
  <c r="Q1206" i="41"/>
  <c r="Q1207" i="41"/>
  <c r="Q1208" i="41"/>
  <c r="Q1209" i="41"/>
  <c r="Q1210" i="41"/>
  <c r="Q1211" i="41"/>
  <c r="Q1212" i="41"/>
  <c r="Q1213" i="41"/>
  <c r="Q1214" i="41"/>
  <c r="Q1215" i="41"/>
  <c r="Q1216" i="41"/>
  <c r="Q1217" i="41"/>
  <c r="Q1218" i="41"/>
  <c r="Q1219" i="41"/>
  <c r="Q1220" i="41"/>
  <c r="Q1221" i="41"/>
  <c r="Q1222" i="41"/>
  <c r="Q1223" i="41"/>
  <c r="Q1224" i="41"/>
  <c r="Q1225" i="41"/>
  <c r="Q1226" i="41"/>
  <c r="Q1227" i="41"/>
  <c r="Q1228" i="41"/>
  <c r="Q1229" i="41"/>
  <c r="Q1230" i="41"/>
  <c r="Q1231" i="41"/>
  <c r="Q1232" i="41"/>
  <c r="Q1233" i="41"/>
  <c r="Q1234" i="41"/>
  <c r="Q1235" i="41"/>
  <c r="Q1236" i="41"/>
  <c r="Q1237" i="41"/>
  <c r="Q1238" i="41"/>
  <c r="Q1239" i="41"/>
  <c r="Q1240" i="41"/>
  <c r="Q1241" i="41"/>
  <c r="Q1242" i="41"/>
  <c r="Q1243" i="41"/>
  <c r="Q1244" i="41"/>
  <c r="Q1245" i="41"/>
  <c r="Q1246" i="41"/>
  <c r="Q1247" i="41"/>
  <c r="Q1248" i="41"/>
  <c r="Q1249" i="41"/>
  <c r="Q1250" i="41"/>
  <c r="Q1251" i="41"/>
  <c r="Q1252" i="41"/>
  <c r="Q1253" i="41"/>
  <c r="Q1254" i="41"/>
  <c r="Q1255" i="41"/>
  <c r="Q1256" i="41"/>
  <c r="Q1257" i="41"/>
  <c r="Q1258" i="41"/>
  <c r="Q1259" i="41"/>
  <c r="Q1260" i="41"/>
  <c r="Q1261" i="41"/>
  <c r="Q1262" i="41"/>
  <c r="Q1263" i="41"/>
  <c r="Q1264" i="41"/>
  <c r="Q1265" i="41"/>
  <c r="Q1266" i="41"/>
  <c r="Q1267" i="41"/>
  <c r="Q1268" i="41"/>
  <c r="Q1269" i="41"/>
  <c r="Q1270" i="41"/>
  <c r="Q1271" i="41"/>
  <c r="Q1272" i="41"/>
  <c r="Q1273" i="41"/>
  <c r="Q1274" i="41"/>
  <c r="Q1275" i="41"/>
  <c r="Q1276" i="41"/>
  <c r="Q1277" i="41"/>
  <c r="Q1278" i="41"/>
  <c r="Q1279" i="41"/>
  <c r="Q1280" i="41"/>
  <c r="Q1281" i="41"/>
  <c r="Q1282" i="41"/>
  <c r="Q1283" i="41"/>
  <c r="Q1284" i="41"/>
  <c r="Q1285" i="41"/>
  <c r="Q1286" i="41"/>
  <c r="Q1287" i="41"/>
  <c r="Q1288" i="41"/>
  <c r="Q1289" i="41"/>
  <c r="Q1290" i="41"/>
  <c r="Q1291" i="41"/>
  <c r="Q1292" i="41"/>
  <c r="Q1293" i="41"/>
  <c r="Q1294" i="41"/>
  <c r="Q1295" i="41"/>
  <c r="Q1296" i="41"/>
  <c r="Q1297" i="41"/>
  <c r="Q1298" i="41"/>
  <c r="Q1299" i="41"/>
  <c r="Q1300" i="41"/>
  <c r="Q1301" i="41"/>
  <c r="Q1302" i="41"/>
  <c r="Q1303" i="41"/>
  <c r="Q1304" i="41"/>
  <c r="Q1305" i="41"/>
  <c r="Q1306" i="41"/>
  <c r="Q1307" i="41"/>
  <c r="Q1308" i="41"/>
  <c r="Q1309" i="41"/>
  <c r="Q1310" i="41"/>
  <c r="Q1311" i="41"/>
  <c r="Q1312" i="41"/>
  <c r="Q1313" i="41"/>
  <c r="Q1314" i="41"/>
  <c r="Q1315" i="41"/>
  <c r="Q1316" i="41"/>
  <c r="Q1317" i="41"/>
  <c r="Q1318" i="41"/>
  <c r="Q1319" i="41"/>
  <c r="Q1320" i="41"/>
  <c r="Q1321" i="41"/>
  <c r="Q1322" i="41"/>
  <c r="Q1323" i="41"/>
  <c r="Q1324" i="41"/>
  <c r="Q1325" i="41"/>
  <c r="Q1326" i="41"/>
  <c r="Q1327" i="41"/>
  <c r="Q1328" i="41"/>
  <c r="Q1329" i="41"/>
  <c r="Q1330" i="41"/>
  <c r="Q1331" i="41"/>
  <c r="Q1332" i="41"/>
  <c r="Q1333" i="41"/>
  <c r="Q1334" i="41"/>
  <c r="Q1335" i="41"/>
  <c r="Q1336" i="41"/>
  <c r="Q1337" i="41"/>
  <c r="Q1338" i="41"/>
  <c r="Q1339" i="41"/>
  <c r="Q1340" i="41"/>
  <c r="Q1341" i="41"/>
  <c r="Q1342" i="41"/>
  <c r="Q1343" i="41"/>
  <c r="Q1344" i="41"/>
  <c r="Q1345" i="41"/>
  <c r="Q1346" i="41"/>
  <c r="Q1347" i="41"/>
  <c r="Q1348" i="41"/>
  <c r="Q1349" i="41"/>
  <c r="Q1350" i="41"/>
  <c r="Q1351" i="41"/>
  <c r="Q1352" i="41"/>
  <c r="Q1353" i="41"/>
  <c r="Q1354" i="41"/>
  <c r="Q1355" i="41"/>
  <c r="Q1356" i="41"/>
  <c r="Q1357" i="41"/>
  <c r="Q1358" i="41"/>
  <c r="Q1359" i="41"/>
  <c r="Q1360" i="41"/>
  <c r="Q1361" i="41"/>
  <c r="Q1362" i="41"/>
  <c r="Q1363" i="41"/>
  <c r="Q1364" i="41"/>
  <c r="Q1365" i="41"/>
  <c r="Q1366" i="41"/>
  <c r="Q1367" i="41"/>
  <c r="Q1368" i="41"/>
  <c r="Q1369" i="41"/>
  <c r="Q1370" i="41"/>
  <c r="Q1371" i="41"/>
  <c r="Q1372" i="41"/>
  <c r="Q1373" i="41"/>
  <c r="Q1374" i="41"/>
  <c r="Q1375" i="41"/>
  <c r="Q1376" i="41"/>
  <c r="Q1377" i="41"/>
  <c r="Q1378" i="41"/>
  <c r="Q1379" i="41"/>
  <c r="Q1380" i="41"/>
  <c r="Q1381" i="41"/>
  <c r="Q1382" i="41"/>
  <c r="Q1383" i="41"/>
  <c r="Q1384" i="41"/>
  <c r="Q1385" i="41"/>
  <c r="Q1386" i="41"/>
  <c r="Q1387" i="41"/>
  <c r="Q1388" i="41"/>
  <c r="Q1389" i="41"/>
  <c r="Q1390" i="41"/>
  <c r="Q1391" i="41"/>
  <c r="Q1392" i="41"/>
  <c r="Q1393" i="41"/>
  <c r="Q1394" i="41"/>
  <c r="Q1395" i="41"/>
  <c r="Q1396" i="41"/>
  <c r="Q1397" i="41"/>
  <c r="Q1398" i="41"/>
  <c r="Q1399" i="41"/>
  <c r="Q1400" i="41"/>
  <c r="Q1401" i="41"/>
  <c r="Q1402" i="41"/>
  <c r="Q1403" i="41"/>
  <c r="Q1404" i="41"/>
  <c r="Q1405" i="41"/>
  <c r="Q1406" i="41"/>
  <c r="Q1407" i="41"/>
  <c r="Q1408" i="41"/>
  <c r="Q1409" i="41"/>
  <c r="Q1410" i="41"/>
  <c r="Q1411" i="41"/>
  <c r="Q1412" i="41"/>
  <c r="Q1413" i="41"/>
  <c r="Q1414" i="41"/>
  <c r="Q1415" i="41"/>
  <c r="Q1416" i="41"/>
  <c r="Q1417" i="41"/>
  <c r="Q1418" i="41"/>
  <c r="Q1419" i="41"/>
  <c r="Q1420" i="41"/>
  <c r="Q1421" i="41"/>
  <c r="Q1422" i="41"/>
  <c r="Q1423" i="41"/>
  <c r="Q1424" i="41"/>
  <c r="Q1425" i="41"/>
  <c r="Q1426" i="41"/>
  <c r="Q1427" i="41"/>
  <c r="Q1428" i="41"/>
  <c r="Q1429" i="41"/>
  <c r="Q1430" i="41"/>
  <c r="Q1431" i="41"/>
  <c r="Q1432" i="41"/>
  <c r="Q1433" i="41"/>
  <c r="Q1434" i="41"/>
  <c r="Q1435" i="41"/>
  <c r="Q1436" i="41"/>
  <c r="Q1437" i="41"/>
  <c r="Q1438" i="41"/>
  <c r="Q1439" i="41"/>
  <c r="Q1440" i="41"/>
  <c r="Q1441" i="41"/>
  <c r="Q1442" i="41"/>
  <c r="Q1443" i="41"/>
  <c r="Q1444" i="41"/>
  <c r="Q1445" i="41"/>
  <c r="Q1446" i="41"/>
  <c r="Q1447" i="41"/>
  <c r="Q1448" i="41"/>
  <c r="Q1449" i="41"/>
  <c r="Q1450" i="41"/>
  <c r="Q1451" i="41"/>
  <c r="Q1452" i="41"/>
  <c r="Q1453" i="41"/>
  <c r="Q1454" i="41"/>
  <c r="Q1455" i="41"/>
  <c r="Q1456" i="41"/>
  <c r="Q1457" i="41"/>
  <c r="Q1458" i="41"/>
  <c r="Q1459" i="41"/>
  <c r="Q1460" i="41"/>
  <c r="Q1461" i="41"/>
  <c r="Q1462" i="41"/>
  <c r="Q1463" i="41"/>
  <c r="Q1464" i="41"/>
  <c r="Q1465" i="41"/>
  <c r="Q1466" i="41"/>
  <c r="Q1467" i="41"/>
  <c r="Q1468" i="41"/>
  <c r="Q1469" i="41"/>
  <c r="Q1470" i="41"/>
  <c r="Q1471" i="41"/>
  <c r="Q1472" i="41"/>
  <c r="Q1473" i="41"/>
  <c r="Q1474" i="41"/>
  <c r="Q1475" i="41"/>
  <c r="Q1476" i="41"/>
  <c r="Q1477" i="41"/>
  <c r="Q1478" i="41"/>
  <c r="Q1479" i="41"/>
  <c r="Q1480" i="41"/>
  <c r="Q1481" i="41"/>
  <c r="Q1482" i="41"/>
  <c r="Q1483" i="41"/>
  <c r="Q1484" i="41"/>
  <c r="Q1485" i="41"/>
  <c r="Q1486" i="41"/>
  <c r="Q1487" i="41"/>
  <c r="Q1488" i="41"/>
  <c r="Q1489" i="41"/>
  <c r="Q1490" i="41"/>
  <c r="Q1491" i="41"/>
  <c r="Q1492" i="41"/>
  <c r="Q1493" i="41"/>
  <c r="Q1494" i="41"/>
  <c r="Q1495" i="41"/>
  <c r="Q1496" i="41"/>
  <c r="Q1497" i="41"/>
  <c r="Q1498" i="41"/>
  <c r="Q1499" i="41"/>
  <c r="Q1500" i="41"/>
  <c r="Q1501" i="41"/>
  <c r="Q1502" i="41"/>
  <c r="Q1503" i="41"/>
  <c r="Q1504" i="41"/>
  <c r="Q1505" i="41"/>
  <c r="Q1506" i="41"/>
  <c r="Q1507" i="41"/>
  <c r="Q1508" i="41"/>
  <c r="Q1509" i="41"/>
  <c r="Q1510" i="41"/>
  <c r="Q1511" i="41"/>
  <c r="Q1512" i="41"/>
  <c r="Q1513" i="41"/>
  <c r="Q1514" i="41"/>
  <c r="Q1515" i="41"/>
  <c r="Q1516" i="41"/>
  <c r="Q1517" i="41"/>
  <c r="Q1518" i="41"/>
  <c r="Q1519" i="41"/>
  <c r="Q1520" i="41"/>
  <c r="Q1521" i="41"/>
  <c r="Q1522" i="41"/>
  <c r="Q1523" i="41"/>
  <c r="Q1524" i="41"/>
  <c r="Q1525" i="41"/>
  <c r="Q1526" i="41"/>
  <c r="Q1527" i="41"/>
  <c r="Q1528" i="41"/>
  <c r="Q1529" i="41"/>
  <c r="Q1530" i="41"/>
  <c r="Q1531" i="41"/>
  <c r="Q1532" i="41"/>
  <c r="Q1533" i="41"/>
  <c r="Q1534" i="41"/>
  <c r="Q1535" i="41"/>
  <c r="Q1536" i="41"/>
  <c r="Q1537" i="41"/>
  <c r="Q1538" i="41"/>
  <c r="Q1539" i="41"/>
  <c r="Q1540" i="41"/>
  <c r="Q1541" i="41"/>
  <c r="Q1542" i="41"/>
  <c r="Q1543" i="41"/>
  <c r="Q1544" i="41"/>
  <c r="Q1545" i="41"/>
  <c r="Q1546" i="41"/>
  <c r="Q1547" i="41"/>
  <c r="Q1548" i="41"/>
  <c r="Q1549" i="41"/>
  <c r="Q1550" i="41"/>
  <c r="Q1551" i="41"/>
  <c r="Q1552" i="41"/>
  <c r="Q1553" i="41"/>
  <c r="Q1554" i="41"/>
  <c r="Q1555" i="41"/>
  <c r="Q1556" i="41"/>
  <c r="Q1557" i="41"/>
  <c r="Q1558" i="41"/>
  <c r="Q1559" i="41"/>
  <c r="Q1560" i="41"/>
  <c r="Q1561" i="41"/>
  <c r="Q1562" i="41"/>
  <c r="Q1563" i="41"/>
  <c r="Q1564" i="41"/>
  <c r="Q1565" i="41"/>
  <c r="Q1566" i="41"/>
  <c r="Q1567" i="41"/>
  <c r="Q1568" i="41"/>
  <c r="Q1569" i="41"/>
  <c r="Q1570" i="41"/>
  <c r="Q1571" i="41"/>
  <c r="Q1572" i="41"/>
  <c r="Q1573" i="41"/>
  <c r="Q1574" i="41"/>
  <c r="Q1575" i="41"/>
  <c r="Q1576" i="41"/>
  <c r="Q1577" i="41"/>
  <c r="Q1578" i="41"/>
  <c r="Q1579" i="41"/>
  <c r="Q1580" i="41"/>
  <c r="Q1581" i="41"/>
  <c r="Q1582" i="41"/>
  <c r="Q1583" i="41"/>
  <c r="Q1584" i="41"/>
  <c r="Q1585" i="41"/>
  <c r="Q1586" i="41"/>
  <c r="Q1587" i="41"/>
  <c r="Q1588" i="41"/>
  <c r="Q1589" i="41"/>
  <c r="Q1590" i="41"/>
  <c r="Q1591" i="41"/>
  <c r="Q1592" i="41"/>
  <c r="Q1593" i="41"/>
  <c r="Q1594" i="41"/>
  <c r="Q1595" i="41"/>
  <c r="Q1596" i="41"/>
  <c r="Q1597" i="41"/>
  <c r="Q1598" i="41"/>
  <c r="Q1599" i="41"/>
  <c r="Q1600" i="41"/>
  <c r="Q1601" i="41"/>
  <c r="Q1602" i="41"/>
  <c r="Q1603" i="41"/>
  <c r="Q1604" i="41"/>
  <c r="Q1605" i="41"/>
  <c r="Q1606" i="41"/>
  <c r="Q1607" i="41"/>
  <c r="Q1608" i="41"/>
  <c r="Q1609" i="41"/>
  <c r="Q1610" i="41"/>
  <c r="Q1611" i="41"/>
  <c r="Q1612" i="41"/>
  <c r="Q1613" i="41"/>
  <c r="Q1614" i="41"/>
  <c r="Q1615" i="41"/>
  <c r="Q1616" i="41"/>
  <c r="Q1617" i="41"/>
  <c r="Q1618" i="41"/>
  <c r="Q1619" i="41"/>
  <c r="Q1620" i="41"/>
  <c r="Q1621" i="41"/>
  <c r="Q1622" i="41"/>
  <c r="Q1623" i="41"/>
  <c r="Q1624" i="41"/>
  <c r="Q1625" i="41"/>
  <c r="Q1626" i="41"/>
  <c r="Q1627" i="41"/>
  <c r="Q1628" i="41"/>
  <c r="Q1629" i="41"/>
  <c r="Q1630" i="41"/>
  <c r="Q1631" i="41"/>
  <c r="Q1632" i="41"/>
  <c r="Q1633" i="41"/>
  <c r="Q1634" i="41"/>
  <c r="Q1635" i="41"/>
  <c r="Q1636" i="41"/>
  <c r="Q1637" i="41"/>
  <c r="Q1638" i="41"/>
  <c r="Q1639" i="41"/>
  <c r="Q1640" i="41"/>
  <c r="Q1641" i="41"/>
  <c r="Q1642" i="41"/>
  <c r="Q1643" i="41"/>
  <c r="Q1644" i="41"/>
  <c r="Q1645" i="41"/>
  <c r="Q1646" i="41"/>
  <c r="Q1647" i="41"/>
  <c r="Q1648" i="41"/>
  <c r="Q1649" i="41"/>
  <c r="Q1650" i="41"/>
  <c r="Q1651" i="41"/>
  <c r="Q1652" i="41"/>
  <c r="Q1653" i="41"/>
  <c r="Q1654" i="41"/>
  <c r="Q1655" i="41"/>
  <c r="Q1656" i="41"/>
  <c r="Q1657" i="41"/>
  <c r="Q1658" i="41"/>
  <c r="Q1659" i="41"/>
  <c r="Q1660" i="41"/>
  <c r="Q1661" i="41"/>
  <c r="Q1662" i="41"/>
  <c r="Q1663" i="41"/>
  <c r="Q1664" i="41"/>
  <c r="Q1665" i="41"/>
  <c r="Q1666" i="41"/>
  <c r="Q1667" i="41"/>
  <c r="Q1668" i="41"/>
  <c r="Q1669" i="41"/>
  <c r="Q1670" i="41"/>
  <c r="Q1671" i="41"/>
  <c r="Q1672" i="41"/>
  <c r="Q1673" i="41"/>
  <c r="Q1674" i="41"/>
  <c r="Q1675" i="41"/>
  <c r="Q1676" i="41"/>
  <c r="Q1677" i="41"/>
  <c r="Q1678" i="41"/>
  <c r="Q1679" i="41"/>
  <c r="Q1680" i="41"/>
  <c r="Q1681" i="41"/>
  <c r="Q1682" i="41"/>
  <c r="Q1683" i="41"/>
  <c r="Q1684" i="41"/>
  <c r="Q1685" i="41"/>
  <c r="Q1686" i="41"/>
  <c r="Q1687" i="41"/>
  <c r="Q1688" i="41"/>
  <c r="Q1689" i="41"/>
  <c r="Q1690" i="41"/>
  <c r="Q1691" i="41"/>
  <c r="Q1692" i="41"/>
  <c r="Q1693" i="41"/>
  <c r="Q1694" i="41"/>
  <c r="Q1695" i="41"/>
  <c r="Q1696" i="41"/>
  <c r="Q1697" i="41"/>
  <c r="Q1698" i="41"/>
  <c r="Q1699" i="41"/>
  <c r="Q1700" i="41"/>
  <c r="Q1701" i="41"/>
  <c r="Q1702" i="41"/>
  <c r="Q1703" i="41"/>
  <c r="Q1704" i="41"/>
  <c r="Q1705" i="41"/>
  <c r="Q1706" i="41"/>
  <c r="Q1707" i="41"/>
  <c r="Q1708" i="41"/>
  <c r="Q1709" i="41"/>
  <c r="Q1710" i="41"/>
  <c r="Q1711" i="41"/>
  <c r="Q1712" i="41"/>
  <c r="Q1713" i="41"/>
  <c r="Q1714" i="41"/>
  <c r="Q1715" i="41"/>
  <c r="Q1716" i="41"/>
  <c r="Q1717" i="41"/>
  <c r="Q1718" i="41"/>
  <c r="Q1719" i="41"/>
  <c r="Q1720" i="41"/>
  <c r="Q1721" i="41"/>
  <c r="Q1722" i="41"/>
  <c r="Q1723" i="41"/>
  <c r="Q1724" i="41"/>
  <c r="Q1725" i="41"/>
  <c r="Q1726" i="41"/>
  <c r="Q1727" i="41"/>
  <c r="Q1728" i="41"/>
  <c r="Q1729" i="41"/>
  <c r="Q1730" i="41"/>
  <c r="Q1731" i="41"/>
  <c r="Q1732" i="41"/>
  <c r="Q1733" i="41"/>
  <c r="Q1734" i="41"/>
  <c r="Q1735" i="41"/>
  <c r="Q1736" i="41"/>
  <c r="Q1737" i="41"/>
  <c r="Q1738" i="41"/>
  <c r="Q1739" i="41"/>
  <c r="Q1740" i="41"/>
  <c r="Q1741" i="41"/>
  <c r="Q1742" i="41"/>
  <c r="Q1743" i="41"/>
  <c r="Q1744" i="41"/>
  <c r="Q1745" i="41"/>
  <c r="Q1746" i="41"/>
  <c r="Q1747" i="41"/>
  <c r="Q1748" i="41"/>
  <c r="Q1749" i="41"/>
  <c r="Q1750" i="41"/>
  <c r="Q1751" i="41"/>
  <c r="Q1752" i="41"/>
  <c r="Q1753" i="41"/>
  <c r="Q1754" i="41"/>
  <c r="Q1755" i="41"/>
  <c r="Q1756" i="41"/>
  <c r="Q1757" i="41"/>
  <c r="Q1758" i="41"/>
  <c r="Q1759" i="41"/>
  <c r="Q1760" i="41"/>
  <c r="Q1761" i="41"/>
  <c r="Q1762" i="41"/>
  <c r="Q1763" i="41"/>
  <c r="Q1764" i="41"/>
  <c r="Q1765" i="41"/>
  <c r="Q1766" i="41"/>
  <c r="Q1767" i="41"/>
  <c r="Q1768" i="41"/>
  <c r="Q1769" i="41"/>
  <c r="Q1770" i="41"/>
  <c r="Q1771" i="41"/>
  <c r="Q1772" i="41"/>
  <c r="Q1773" i="41"/>
  <c r="Q1774" i="41"/>
  <c r="Q1775" i="41"/>
  <c r="Q1776" i="41"/>
  <c r="Q1777" i="41"/>
  <c r="Q1778" i="41"/>
  <c r="Q1779" i="41"/>
  <c r="Q1780" i="41"/>
  <c r="Q1781" i="41"/>
  <c r="Q1782" i="41"/>
  <c r="Q1783" i="41"/>
  <c r="Q1784" i="41"/>
  <c r="Q1785" i="41"/>
  <c r="Q1786" i="41"/>
  <c r="Q1787" i="41"/>
  <c r="Q1788" i="41"/>
  <c r="Q1789" i="41"/>
  <c r="Q1790" i="41"/>
  <c r="Q1791" i="41"/>
  <c r="Q1792" i="41"/>
  <c r="Q1793" i="41"/>
  <c r="Q1794" i="41"/>
  <c r="Q1795" i="41"/>
  <c r="Q1796" i="41"/>
  <c r="Q1797" i="41"/>
  <c r="Q1798" i="41"/>
  <c r="Q1799" i="41"/>
  <c r="Q1800" i="41"/>
  <c r="Q1801" i="41"/>
  <c r="Q1802" i="41"/>
  <c r="Q1803" i="41"/>
  <c r="Q1804" i="41"/>
  <c r="Q1805" i="41"/>
  <c r="Q1806" i="41"/>
  <c r="Q1807" i="41"/>
  <c r="Q1808" i="41"/>
  <c r="Q1809" i="41"/>
  <c r="Q1810" i="41"/>
  <c r="Q1811" i="41"/>
  <c r="Q1812" i="41"/>
  <c r="Q1813" i="41"/>
  <c r="Q1814" i="41"/>
  <c r="Q1815" i="41"/>
  <c r="Q1816" i="41"/>
  <c r="Q1817" i="41"/>
  <c r="Q1818" i="41"/>
  <c r="Q1819" i="41"/>
  <c r="Q1820" i="41"/>
  <c r="Q1821" i="41"/>
  <c r="Q1822" i="41"/>
  <c r="Q1823" i="41"/>
  <c r="Q1824" i="41"/>
  <c r="Q1825" i="41"/>
  <c r="Q1826" i="41"/>
  <c r="Q1827" i="41"/>
  <c r="Q1828" i="41"/>
  <c r="Q1829" i="41"/>
  <c r="Q1830" i="41"/>
  <c r="Q1831" i="41"/>
  <c r="Q1832" i="41"/>
  <c r="Q1833" i="41"/>
  <c r="Q1834" i="41"/>
  <c r="Q1835" i="41"/>
  <c r="Q1836" i="41"/>
  <c r="Q1837" i="41"/>
  <c r="Q1838" i="41"/>
  <c r="Q1839" i="41"/>
  <c r="Q1840" i="41"/>
  <c r="Q1841" i="41"/>
  <c r="Q1842" i="41"/>
  <c r="Q1843" i="41"/>
  <c r="Q1844" i="41"/>
  <c r="Q1845" i="41"/>
  <c r="Q1846" i="41"/>
  <c r="Q1847" i="41"/>
  <c r="Q1848" i="41"/>
  <c r="Q1849" i="41"/>
  <c r="Q1850" i="41"/>
  <c r="Q1851" i="41"/>
  <c r="Q1852" i="41"/>
  <c r="Q1853" i="41"/>
  <c r="Q1854" i="41"/>
  <c r="Q1855" i="41"/>
  <c r="Q1856" i="41"/>
  <c r="Q1857" i="41"/>
  <c r="Q1858" i="41"/>
  <c r="Q1859" i="41"/>
  <c r="Q1860" i="41"/>
  <c r="Q1861" i="41"/>
  <c r="Q1862" i="41"/>
  <c r="Q1863" i="41"/>
  <c r="Q1864" i="41"/>
  <c r="Q1865" i="41"/>
  <c r="Q1866" i="41"/>
  <c r="Q1867" i="41"/>
  <c r="Q1868" i="41"/>
  <c r="Q1869" i="41"/>
  <c r="Q1870" i="41"/>
  <c r="Q1871" i="41"/>
  <c r="Q1872" i="41"/>
  <c r="Q1873" i="41"/>
  <c r="Q1874" i="41"/>
  <c r="Q1875" i="41"/>
  <c r="Q1876" i="41"/>
  <c r="Q1877" i="41"/>
  <c r="Q1878" i="41"/>
  <c r="Q1879" i="41"/>
  <c r="Q1880" i="41"/>
  <c r="Q1881" i="41"/>
  <c r="Q1882" i="41"/>
  <c r="Q1883" i="41"/>
  <c r="Q1884" i="41"/>
  <c r="Q1885" i="41"/>
  <c r="Q1886" i="41"/>
  <c r="Q1887" i="41"/>
  <c r="Q1888" i="41"/>
  <c r="Q1889" i="41"/>
  <c r="Q1890" i="41"/>
  <c r="Q1891" i="41"/>
  <c r="Q1892" i="41"/>
  <c r="Q1893" i="41"/>
  <c r="Q1894" i="41"/>
  <c r="Q1895" i="41"/>
  <c r="Q1896" i="41"/>
  <c r="Q1897" i="41"/>
  <c r="Q1898" i="41"/>
  <c r="Q1899" i="41"/>
  <c r="Q1900" i="41"/>
  <c r="Q1901" i="41"/>
  <c r="Q1902" i="41"/>
  <c r="Q1903" i="41"/>
  <c r="Q1904" i="41"/>
  <c r="Q1905" i="41"/>
  <c r="Q1906" i="41"/>
  <c r="Q1907" i="41"/>
  <c r="Q1908" i="41"/>
  <c r="Q1909" i="41"/>
  <c r="Q1910" i="41"/>
  <c r="Q1911" i="41"/>
  <c r="Q1912" i="41"/>
  <c r="Q1913" i="41"/>
  <c r="Q1914" i="41"/>
  <c r="Q1915" i="41"/>
  <c r="Q1916" i="41"/>
  <c r="Q1917" i="41"/>
  <c r="Q1918" i="41"/>
  <c r="Q1919" i="41"/>
  <c r="Q1920" i="41"/>
  <c r="Q1921" i="41"/>
  <c r="Q1922" i="41"/>
  <c r="Q1923" i="41"/>
  <c r="Q1924" i="41"/>
  <c r="Q1925" i="41"/>
  <c r="Q1926" i="41"/>
  <c r="Q1927" i="41"/>
  <c r="Q1928" i="41"/>
  <c r="Q1929" i="41"/>
  <c r="Q1930" i="41"/>
  <c r="Q1931" i="41"/>
  <c r="Q1932" i="41"/>
  <c r="Q1933" i="41"/>
  <c r="Q1934" i="41"/>
  <c r="Q1935" i="41"/>
  <c r="Q1936" i="41"/>
  <c r="Q1937" i="41"/>
  <c r="Q1938" i="41"/>
  <c r="Q1939" i="41"/>
  <c r="Q1940" i="41"/>
  <c r="Q1941" i="41"/>
  <c r="Q1942" i="41"/>
  <c r="Q1943" i="41"/>
  <c r="Q1944" i="41"/>
  <c r="Q1945" i="41"/>
  <c r="Q1946" i="41"/>
  <c r="Q1947" i="41"/>
  <c r="Q1948" i="41"/>
  <c r="Q1949" i="41"/>
  <c r="Q1950" i="41"/>
  <c r="Q1951" i="41"/>
  <c r="Q1952" i="41"/>
  <c r="Q1953" i="41"/>
  <c r="Q1954" i="41"/>
  <c r="Q1955" i="41"/>
  <c r="Q1956" i="41"/>
  <c r="Q1957" i="41"/>
  <c r="Q1958" i="41"/>
  <c r="Q1959" i="41"/>
  <c r="Q1960" i="41"/>
  <c r="Q1961" i="41"/>
  <c r="Q1962" i="41"/>
  <c r="Q1963" i="41"/>
  <c r="Q1964" i="41"/>
  <c r="Q1965" i="41"/>
  <c r="Q1966" i="41"/>
  <c r="Q1967" i="41"/>
  <c r="Q1968" i="41"/>
  <c r="Q1969" i="41"/>
  <c r="Q1970" i="41"/>
  <c r="Q1971" i="41"/>
  <c r="Q1972" i="41"/>
  <c r="Q1973" i="41"/>
  <c r="Q1974" i="41"/>
  <c r="Q1975" i="41"/>
  <c r="Q1976" i="41"/>
  <c r="Q1977" i="41"/>
  <c r="Q1978" i="41"/>
  <c r="Q1979" i="41"/>
  <c r="Q1980" i="41"/>
  <c r="Q1981" i="41"/>
  <c r="Q1982" i="41"/>
  <c r="Q1983" i="41"/>
  <c r="Q1984" i="41"/>
  <c r="Q1985" i="41"/>
  <c r="Q1986" i="41"/>
  <c r="Q1987" i="41"/>
  <c r="Q1988" i="41"/>
  <c r="Q1989" i="41"/>
  <c r="Q1990" i="41"/>
  <c r="Q1991" i="41"/>
  <c r="Q1992" i="41"/>
  <c r="Q1993" i="41"/>
  <c r="Q1994" i="41"/>
  <c r="Q1995" i="41"/>
  <c r="Q1996" i="41"/>
  <c r="Q1997" i="41"/>
  <c r="Q1998" i="41"/>
  <c r="Q1999" i="41"/>
  <c r="Q2000" i="41"/>
  <c r="Q2001" i="41"/>
  <c r="Q2002" i="41"/>
  <c r="Q2003" i="41"/>
  <c r="Q2004" i="41"/>
  <c r="Q2005" i="41"/>
  <c r="Q2006" i="41"/>
  <c r="Q2007" i="41"/>
  <c r="Q2008" i="41"/>
  <c r="Q2009" i="41"/>
  <c r="Q2010" i="41"/>
  <c r="Q2011" i="41"/>
  <c r="Q2012" i="41"/>
  <c r="Q2013" i="41"/>
  <c r="Q2014" i="41"/>
  <c r="Q2015" i="41"/>
  <c r="Q2016" i="41"/>
  <c r="Q2017" i="41"/>
  <c r="Q2018" i="41"/>
  <c r="Q2019" i="41"/>
  <c r="Q2020" i="41"/>
  <c r="Q2021" i="41"/>
  <c r="Q2022" i="41"/>
  <c r="Q2023" i="41"/>
  <c r="Q2024" i="41"/>
  <c r="Q2025" i="41"/>
  <c r="Q2026" i="41"/>
  <c r="Q2027" i="41"/>
  <c r="Q2028" i="41"/>
  <c r="Q2029" i="41"/>
  <c r="Q2030" i="41"/>
  <c r="Q2031" i="41"/>
  <c r="Q2032" i="41"/>
  <c r="Q2033" i="41"/>
  <c r="Q2034" i="41"/>
  <c r="Q2035" i="41"/>
  <c r="Q2036" i="41"/>
  <c r="Q2037" i="41"/>
  <c r="Q2038" i="41"/>
  <c r="Q2039" i="41"/>
  <c r="Q2040" i="41"/>
  <c r="Q2041" i="41"/>
  <c r="Q2042" i="41"/>
  <c r="Q2043" i="41"/>
  <c r="Q2044" i="41"/>
  <c r="Q2045" i="41"/>
  <c r="Q2046" i="41"/>
  <c r="Q2047" i="41"/>
  <c r="Q2048" i="41"/>
  <c r="Q2049" i="41"/>
  <c r="Q2050" i="41"/>
  <c r="Q2051" i="41"/>
  <c r="Q2052" i="41"/>
  <c r="Q2053" i="41"/>
  <c r="Q2054" i="41"/>
  <c r="Q2055" i="41"/>
  <c r="Q2056" i="41"/>
  <c r="Q2057" i="41"/>
  <c r="Q2058" i="41"/>
  <c r="Q2059" i="41"/>
  <c r="Q2060" i="41"/>
  <c r="Q2061" i="41"/>
  <c r="Q2062" i="41"/>
  <c r="Q2063" i="41"/>
  <c r="Q2064" i="41"/>
  <c r="Q2065" i="41"/>
  <c r="Q2066" i="41"/>
  <c r="Q2067" i="41"/>
  <c r="Q2068" i="41"/>
  <c r="Q2069" i="41"/>
  <c r="Q2070" i="41"/>
  <c r="Q2071" i="41"/>
  <c r="Q2072" i="41"/>
  <c r="Q2073" i="41"/>
  <c r="Q2074" i="41"/>
  <c r="Q2075" i="41"/>
  <c r="Q2076" i="41"/>
  <c r="Q2077" i="41"/>
  <c r="Q2078" i="41"/>
  <c r="Q2079" i="41"/>
  <c r="Q2080" i="41"/>
  <c r="Q2081" i="41"/>
  <c r="Q2082" i="41"/>
  <c r="Q2083" i="41"/>
  <c r="Q2084" i="41"/>
  <c r="Q2085" i="41"/>
  <c r="Q2086" i="41"/>
  <c r="Q2087" i="41"/>
  <c r="Q2088" i="41"/>
  <c r="Q2089" i="41"/>
  <c r="Q2090" i="41"/>
  <c r="Q2091" i="41"/>
  <c r="Q2092" i="41"/>
  <c r="Q2093" i="41"/>
  <c r="Q2094" i="41"/>
  <c r="Q2095" i="41"/>
  <c r="Q2096" i="41"/>
  <c r="Q2097" i="41"/>
  <c r="Q2098" i="41"/>
  <c r="Q2099" i="41"/>
  <c r="Q2100" i="41"/>
  <c r="Q2101" i="41"/>
  <c r="Q2102" i="41"/>
  <c r="Q2103" i="41"/>
  <c r="Q2104" i="41"/>
  <c r="Q2105" i="41"/>
  <c r="Q2106" i="41"/>
  <c r="Q2107" i="41"/>
  <c r="Q2108" i="41"/>
  <c r="Q2109" i="41"/>
  <c r="Q2110" i="41"/>
  <c r="Q2111" i="41"/>
  <c r="Q2112" i="41"/>
  <c r="Q2113" i="41"/>
  <c r="Q2114" i="41"/>
  <c r="Q2115" i="41"/>
  <c r="Q2116" i="41"/>
  <c r="Q2117" i="41"/>
  <c r="Q2118" i="41"/>
  <c r="Q2119" i="41"/>
  <c r="Q2120" i="41"/>
  <c r="Q2121" i="41"/>
  <c r="Q2122" i="41"/>
  <c r="Q2123" i="41"/>
  <c r="Q2124" i="41"/>
  <c r="Q2125" i="41"/>
  <c r="Q2126" i="41"/>
  <c r="Q2127" i="41"/>
  <c r="Q2128" i="41"/>
  <c r="Q2129" i="41"/>
  <c r="Q2130" i="41"/>
  <c r="Q2131" i="41"/>
  <c r="Q2132" i="41"/>
  <c r="Q2133" i="41"/>
  <c r="Q2134" i="41"/>
  <c r="Q2135" i="41"/>
  <c r="Q2136" i="41"/>
  <c r="Q2137" i="41"/>
  <c r="Q2138" i="41"/>
  <c r="Q2139" i="41"/>
  <c r="Q2140" i="41"/>
  <c r="Q2141" i="41"/>
  <c r="Q2142" i="41"/>
  <c r="Q2143" i="41"/>
  <c r="Q2144" i="41"/>
  <c r="Q2145" i="41"/>
  <c r="Q2146" i="41"/>
  <c r="Q2147" i="41"/>
  <c r="Q2148" i="41"/>
  <c r="Q2149" i="41"/>
  <c r="Q2150" i="41"/>
  <c r="Q2151" i="41"/>
  <c r="Q2152" i="41"/>
  <c r="Q2153" i="41"/>
  <c r="Q2154" i="41"/>
  <c r="Q2155" i="41"/>
  <c r="Q2156" i="41"/>
  <c r="Q2157" i="41"/>
  <c r="Q2158" i="41"/>
  <c r="Q2159" i="41"/>
  <c r="Q2160" i="41"/>
  <c r="Q2161" i="41"/>
  <c r="Q2162" i="41"/>
  <c r="Q2163" i="41"/>
  <c r="Q2164" i="41"/>
  <c r="Q2165" i="41"/>
  <c r="Q2166" i="41"/>
  <c r="Q2167" i="41"/>
  <c r="Q2168" i="41"/>
  <c r="Q2169" i="41"/>
  <c r="Q2170" i="41"/>
  <c r="Q2171" i="41"/>
  <c r="Q2172" i="41"/>
  <c r="Q2173" i="41"/>
  <c r="Q2174" i="41"/>
  <c r="Q2175" i="41"/>
  <c r="Q2176" i="41"/>
  <c r="Q2177" i="41"/>
  <c r="Q2178" i="41"/>
  <c r="Q2179" i="41"/>
  <c r="Q2180" i="41"/>
  <c r="Q2181" i="41"/>
  <c r="Q2182" i="41"/>
  <c r="Q2183" i="41"/>
  <c r="Q2184" i="41"/>
  <c r="Q2185" i="41"/>
  <c r="Q2186" i="41"/>
  <c r="Q2187" i="41"/>
  <c r="Q2188" i="41"/>
  <c r="Q2189" i="41"/>
  <c r="Q2190" i="41"/>
  <c r="Q2191" i="41"/>
  <c r="Q2192" i="41"/>
  <c r="Q2193" i="41"/>
  <c r="Q2194" i="41"/>
  <c r="Q2195" i="41"/>
  <c r="Q2196" i="41"/>
  <c r="Q2197" i="41"/>
  <c r="Q2198" i="41"/>
  <c r="Q2199" i="41"/>
  <c r="Q2200" i="41"/>
  <c r="Q2201" i="41"/>
  <c r="Q2202" i="41"/>
  <c r="Q2203" i="41"/>
  <c r="Q2204" i="41"/>
  <c r="Q2205" i="41"/>
  <c r="Q2206" i="41"/>
  <c r="Q2207" i="41"/>
  <c r="Q2208" i="41"/>
  <c r="Q2209" i="41"/>
  <c r="Q2210" i="41"/>
  <c r="Q2211" i="41"/>
  <c r="Q2212" i="41"/>
  <c r="Q2213" i="41"/>
  <c r="Q2214" i="41"/>
  <c r="Q2215" i="41"/>
  <c r="Q2216" i="41"/>
  <c r="Q2217" i="41"/>
  <c r="Q2218" i="41"/>
  <c r="Q2219" i="41"/>
  <c r="Q2220" i="41"/>
  <c r="Q2221" i="41"/>
  <c r="Q2222" i="41"/>
  <c r="Q2223" i="41"/>
  <c r="Q2224" i="41"/>
  <c r="Q2225" i="41"/>
  <c r="Q2226" i="41"/>
  <c r="Q2227" i="41"/>
  <c r="Q2228" i="41"/>
  <c r="Q2229" i="41"/>
  <c r="Q2230" i="41"/>
  <c r="Q2231" i="41"/>
  <c r="Q2232" i="41"/>
  <c r="Q2233" i="41"/>
  <c r="Q2234" i="41"/>
  <c r="Q2235" i="41"/>
  <c r="Q2236" i="41"/>
  <c r="Q2237" i="41"/>
  <c r="Q2238" i="41"/>
  <c r="Q2239" i="41"/>
  <c r="Q2240" i="41"/>
  <c r="Q2241" i="41"/>
  <c r="Q2242" i="41"/>
  <c r="Q2243" i="41"/>
  <c r="Q2244" i="41"/>
  <c r="Q2245" i="41"/>
  <c r="Q2246" i="41"/>
  <c r="Q2247" i="41"/>
  <c r="Q2248" i="41"/>
  <c r="Q2249" i="41"/>
  <c r="Q2250" i="41"/>
  <c r="Q2251" i="41"/>
  <c r="Q2252" i="41"/>
  <c r="Q2253" i="41"/>
  <c r="Q2254" i="41"/>
  <c r="Q2255" i="41"/>
  <c r="Q2256" i="41"/>
  <c r="Q2257" i="41"/>
  <c r="Q2258" i="41"/>
  <c r="Q2259" i="41"/>
  <c r="Q2260" i="41"/>
  <c r="Q2261" i="41"/>
  <c r="Q2262" i="41"/>
  <c r="Q2263" i="41"/>
  <c r="Q2264" i="41"/>
  <c r="Q2265" i="41"/>
  <c r="Q2266" i="41"/>
  <c r="Q2267" i="41"/>
  <c r="Q2268" i="41"/>
  <c r="Q2269" i="41"/>
  <c r="Q2270" i="41"/>
  <c r="Q2271" i="41"/>
  <c r="Q2272" i="41"/>
  <c r="Q2273" i="41"/>
  <c r="Q2274" i="41"/>
  <c r="Q2275" i="41"/>
  <c r="Q2276" i="41"/>
  <c r="Q2277" i="41"/>
  <c r="Q2278" i="41"/>
  <c r="Q2279" i="41"/>
  <c r="Q2280" i="41"/>
  <c r="Q2281" i="41"/>
  <c r="Q2282" i="41"/>
  <c r="Q2283" i="41"/>
  <c r="Q2284" i="41"/>
  <c r="Q2285" i="41"/>
  <c r="Q2286" i="41"/>
  <c r="Q2287" i="41"/>
  <c r="Q2288" i="41"/>
  <c r="Q2289" i="41"/>
  <c r="Q2290" i="41"/>
  <c r="Q2291" i="41"/>
  <c r="Q2292" i="41"/>
  <c r="Q2293" i="41"/>
  <c r="Q2294" i="41"/>
  <c r="Q2295" i="41"/>
  <c r="Q2296" i="41"/>
  <c r="Q2297" i="41"/>
  <c r="Q2298" i="41"/>
  <c r="Q2299" i="41"/>
  <c r="Q2300" i="41"/>
  <c r="Q2301" i="41"/>
  <c r="Q2302" i="41"/>
  <c r="Q2303" i="41"/>
  <c r="Q2304" i="41"/>
  <c r="Q2305" i="41"/>
  <c r="Q2306" i="41"/>
  <c r="Q2307" i="41"/>
  <c r="Q2308" i="41"/>
  <c r="Q2309" i="41"/>
  <c r="Q2310" i="41"/>
  <c r="Q2311" i="41"/>
  <c r="Q2312" i="41"/>
  <c r="Q2313" i="41"/>
  <c r="Q2314" i="41"/>
  <c r="Q2315" i="41"/>
  <c r="Q2316" i="41"/>
  <c r="Q2317" i="41"/>
  <c r="Q2318" i="41"/>
  <c r="Q2319" i="41"/>
  <c r="Q2320" i="41"/>
  <c r="Q2321" i="41"/>
  <c r="Q2322" i="41"/>
  <c r="Q2323" i="41"/>
  <c r="Q2324" i="41"/>
  <c r="Q2325" i="41"/>
  <c r="Q2326" i="41"/>
  <c r="Q2327" i="41"/>
  <c r="Q2328" i="41"/>
  <c r="Q2329" i="41"/>
  <c r="Q2330" i="41"/>
  <c r="Q2331" i="41"/>
  <c r="Q2332" i="41"/>
  <c r="Q2333" i="41"/>
  <c r="Q2334" i="41"/>
  <c r="Q2335" i="41"/>
  <c r="Q2336" i="41"/>
  <c r="Q2337" i="41"/>
  <c r="Q2338" i="41"/>
  <c r="Q2339" i="41"/>
  <c r="Q2340" i="41"/>
  <c r="Q2341" i="41"/>
  <c r="Q2342" i="41"/>
  <c r="Q2343" i="41"/>
  <c r="Q2344" i="41"/>
  <c r="Q2345" i="41"/>
  <c r="Q2346" i="41"/>
  <c r="Q2347" i="41"/>
  <c r="Q2348" i="41"/>
  <c r="Q2349" i="41"/>
  <c r="Q2350" i="41"/>
  <c r="Q2351" i="41"/>
  <c r="Q2352" i="41"/>
  <c r="Q2353" i="41"/>
  <c r="Q2354" i="41"/>
  <c r="Q2355" i="41"/>
  <c r="Q2356" i="41"/>
  <c r="Q2357" i="41"/>
  <c r="Q2358" i="41"/>
  <c r="Q2359" i="41"/>
  <c r="Q2360" i="41"/>
  <c r="Q2361" i="41"/>
  <c r="Q2362" i="41"/>
  <c r="Q2363" i="41"/>
  <c r="Q2364" i="41"/>
  <c r="Q2365" i="41"/>
  <c r="Q2366" i="41"/>
  <c r="Q2367" i="41"/>
  <c r="Q2368" i="41"/>
  <c r="Q2369" i="41"/>
  <c r="Q2370" i="41"/>
  <c r="Q2371" i="41"/>
  <c r="Q2372" i="41"/>
  <c r="Q2373" i="41"/>
  <c r="Q2374" i="41"/>
  <c r="Q2375" i="41"/>
  <c r="Q2376" i="41"/>
  <c r="Q2377" i="41"/>
  <c r="Q2378" i="41"/>
  <c r="Q2379" i="41"/>
  <c r="Q2380" i="41"/>
  <c r="Q2381" i="41"/>
  <c r="Q2382" i="41"/>
  <c r="Q2383" i="41"/>
  <c r="Q2384" i="41"/>
  <c r="Q2385" i="41"/>
  <c r="Q2386" i="41"/>
  <c r="Q2387" i="41"/>
  <c r="Q2388" i="41"/>
  <c r="Q2389" i="41"/>
  <c r="Q2390" i="41"/>
  <c r="Q2391" i="41"/>
  <c r="Q2392" i="41"/>
  <c r="Q2393" i="41"/>
  <c r="Q2394" i="41"/>
  <c r="Q2395" i="41"/>
  <c r="Q2396" i="41"/>
  <c r="Q2397" i="41"/>
  <c r="Q2398" i="41"/>
  <c r="Q2399" i="41"/>
  <c r="Q2400" i="41"/>
  <c r="Q2401" i="41"/>
  <c r="Q2402" i="41"/>
  <c r="Q2403" i="41"/>
  <c r="Q2404" i="41"/>
  <c r="Q2405" i="41"/>
  <c r="Q2406" i="41"/>
  <c r="Q2407" i="41"/>
  <c r="Q2408" i="41"/>
  <c r="Q2409" i="41"/>
  <c r="Q2410" i="41"/>
  <c r="Q2411" i="41"/>
  <c r="Q2412" i="41"/>
  <c r="Q2413" i="41"/>
  <c r="Q2414" i="41"/>
  <c r="Q2415" i="41"/>
  <c r="Q2416" i="41"/>
  <c r="Q2417" i="41"/>
  <c r="Q2418" i="41"/>
  <c r="Q2419" i="41"/>
  <c r="Q2420" i="41"/>
  <c r="Q2421" i="41"/>
  <c r="Q2422" i="41"/>
  <c r="Q2423" i="41"/>
  <c r="Q2424" i="41"/>
  <c r="Q2425" i="41"/>
  <c r="Q2426" i="41"/>
  <c r="Q2427" i="41"/>
  <c r="Q2428" i="41"/>
  <c r="Q2429" i="41"/>
  <c r="Q2430" i="41"/>
  <c r="Q2431" i="41"/>
  <c r="Q2432" i="41"/>
  <c r="Q2433" i="41"/>
  <c r="Q2434" i="41"/>
  <c r="Q2435" i="41"/>
  <c r="Q2436" i="41"/>
  <c r="Q2437" i="41"/>
  <c r="Q2438" i="41"/>
  <c r="Q2439" i="41"/>
  <c r="Q2440" i="41"/>
  <c r="Q2441" i="41"/>
  <c r="Q2442" i="41"/>
  <c r="Q2443" i="41"/>
  <c r="Q2444" i="41"/>
  <c r="Q2445" i="41"/>
  <c r="Q2446" i="41"/>
  <c r="Q2447" i="41"/>
  <c r="Q2448" i="41"/>
  <c r="Q2449" i="41"/>
  <c r="Q2450" i="41"/>
  <c r="Q2451" i="41"/>
  <c r="Q2452" i="41"/>
  <c r="Q2453" i="41"/>
  <c r="Q2454" i="41"/>
  <c r="Q2455" i="41"/>
  <c r="Q2456" i="41"/>
  <c r="Q2457" i="41"/>
  <c r="Q2458" i="41"/>
  <c r="Q2459" i="41"/>
  <c r="Q2460" i="41"/>
  <c r="Q2461" i="41"/>
  <c r="Q2462" i="41"/>
  <c r="Q2463" i="41"/>
  <c r="Q2464" i="41"/>
  <c r="Q2465" i="41"/>
  <c r="Q2466" i="41"/>
  <c r="Q2467" i="41"/>
  <c r="Q2468" i="41"/>
  <c r="Q2469" i="41"/>
  <c r="Q2470" i="41"/>
  <c r="Q2471" i="41"/>
  <c r="Q2472" i="41"/>
  <c r="Q2473" i="41"/>
  <c r="Q2474" i="41"/>
  <c r="Q2475" i="41"/>
  <c r="Q2476" i="41"/>
  <c r="Q2477" i="41"/>
  <c r="Q2478" i="41"/>
  <c r="Q2479" i="41"/>
  <c r="Q2480" i="41"/>
  <c r="Q2481" i="41"/>
  <c r="Q2482" i="41"/>
  <c r="Q2483" i="41"/>
  <c r="Q2484" i="41"/>
  <c r="Q2485" i="41"/>
  <c r="Q2486" i="41"/>
  <c r="Q2487" i="41"/>
  <c r="Q2488" i="41"/>
  <c r="Q2489" i="41"/>
  <c r="Q2490" i="41"/>
  <c r="Q2491" i="41"/>
  <c r="Q2492" i="41"/>
  <c r="Q2493" i="41"/>
  <c r="Q2494" i="41"/>
  <c r="Q2495" i="41"/>
  <c r="Q2496" i="41"/>
  <c r="Q2497" i="41"/>
  <c r="Q2498" i="41"/>
  <c r="Q2499" i="41"/>
  <c r="Q2500" i="41"/>
  <c r="Q2501" i="41"/>
  <c r="Q2502" i="41"/>
  <c r="Q2503" i="41"/>
  <c r="Q2504" i="41"/>
  <c r="Q2505" i="41"/>
  <c r="Q2506" i="41"/>
  <c r="Q2507" i="41"/>
  <c r="Q2508" i="41"/>
  <c r="Q2509" i="41"/>
  <c r="Q2510" i="41"/>
  <c r="Q2511" i="41"/>
  <c r="Q2512" i="41"/>
  <c r="Q2513" i="41"/>
  <c r="Q2514" i="41"/>
  <c r="Q2515" i="41"/>
  <c r="Q2516" i="41"/>
  <c r="Q2517" i="41"/>
  <c r="Q2518" i="41"/>
  <c r="Q2519" i="41"/>
  <c r="Q2520" i="41"/>
  <c r="Q2521" i="41"/>
  <c r="Q2522" i="41"/>
  <c r="Q2523" i="41"/>
  <c r="Q2524" i="41"/>
  <c r="Q2525" i="41"/>
  <c r="Q2526" i="41"/>
  <c r="Q2527" i="41"/>
  <c r="Q2528" i="41"/>
  <c r="Q2529" i="41"/>
  <c r="Q2530" i="41"/>
  <c r="Q2531" i="41"/>
  <c r="Q2532" i="41"/>
  <c r="Q2533" i="41"/>
  <c r="Q2534" i="41"/>
  <c r="Q2535" i="41"/>
  <c r="Q2536" i="41"/>
  <c r="Q2537" i="41"/>
  <c r="Q2538" i="41"/>
  <c r="Q2539" i="41"/>
  <c r="Q2540" i="41"/>
  <c r="Q2541" i="41"/>
  <c r="Q2542" i="41"/>
  <c r="Q2543" i="41"/>
  <c r="Q2544" i="41"/>
  <c r="Q2545" i="41"/>
  <c r="Q2546" i="41"/>
  <c r="Q2547" i="41"/>
  <c r="Q2548" i="41"/>
  <c r="Q2549" i="41"/>
  <c r="Q2550" i="41"/>
  <c r="Q2551" i="41"/>
  <c r="Q2552" i="41"/>
  <c r="Q2553" i="41"/>
  <c r="Q2554" i="41"/>
  <c r="Q2555" i="41"/>
  <c r="Q2556" i="41"/>
  <c r="Q2557" i="41"/>
  <c r="Q2558" i="41"/>
  <c r="Q2559" i="41"/>
  <c r="Q2560" i="41"/>
  <c r="Q2561" i="41"/>
  <c r="Q2562" i="41"/>
  <c r="Q2563" i="41"/>
  <c r="Q2564" i="41"/>
  <c r="Q2565" i="41"/>
  <c r="Q2566" i="41"/>
  <c r="Q2567" i="41"/>
  <c r="Q2568" i="41"/>
  <c r="Q2569" i="41"/>
  <c r="Q2570" i="41"/>
  <c r="Q2571" i="41"/>
  <c r="Q2572" i="41"/>
  <c r="Q2573" i="41"/>
  <c r="Q2574" i="41"/>
  <c r="Q2575" i="41"/>
  <c r="Q2576" i="41"/>
  <c r="Q2577" i="41"/>
  <c r="Q2578" i="41"/>
  <c r="Q2579" i="41"/>
  <c r="Q2580" i="41"/>
  <c r="Q2581" i="41"/>
  <c r="Q2582" i="41"/>
  <c r="Q2583" i="41"/>
  <c r="Q2584" i="41"/>
  <c r="Q2585" i="41"/>
  <c r="Q2586" i="41"/>
  <c r="Q2587" i="41"/>
  <c r="Q2588" i="41"/>
  <c r="Q2589" i="41"/>
  <c r="Q2590" i="41"/>
  <c r="Q2591" i="41"/>
  <c r="Q2592" i="41"/>
  <c r="Q2593" i="41"/>
  <c r="Q2594" i="41"/>
  <c r="Q2595" i="41"/>
  <c r="Q2596" i="41"/>
  <c r="Q2597" i="41"/>
  <c r="Q2598" i="41"/>
  <c r="Q2599" i="41"/>
  <c r="Q2600" i="41"/>
  <c r="Q2601" i="41"/>
  <c r="Q2602" i="41"/>
  <c r="Q2603" i="41"/>
  <c r="Q2604" i="41"/>
  <c r="Q2605" i="41"/>
  <c r="Q2606" i="41"/>
  <c r="Q2607" i="41"/>
  <c r="Q2608" i="41"/>
  <c r="Q2609" i="41"/>
  <c r="Q2610" i="41"/>
  <c r="Q2611" i="41"/>
  <c r="Q2612" i="41"/>
  <c r="Q2613" i="41"/>
  <c r="Q2614" i="41"/>
  <c r="Q2615" i="41"/>
  <c r="Q2616" i="41"/>
  <c r="Q2617" i="41"/>
  <c r="Q2618" i="41"/>
  <c r="Q2619" i="41"/>
  <c r="Q2620" i="41"/>
  <c r="Q2621" i="41"/>
  <c r="Q2622" i="41"/>
  <c r="Q2623" i="41"/>
  <c r="Q2624" i="41"/>
  <c r="Q2625" i="41"/>
  <c r="Q2626" i="41"/>
  <c r="Q2627" i="41"/>
  <c r="Q2628" i="41"/>
  <c r="Q2629" i="41"/>
  <c r="Q2630" i="41"/>
  <c r="Q2631" i="41"/>
  <c r="Q2632" i="41"/>
  <c r="Q2633" i="41"/>
  <c r="Q2634" i="41"/>
  <c r="Q2635" i="41"/>
  <c r="Q2636" i="41"/>
  <c r="Q2637" i="41"/>
  <c r="Q2638" i="41"/>
  <c r="Q2639" i="41"/>
  <c r="Q2640" i="41"/>
  <c r="Q2641" i="41"/>
  <c r="Q2642" i="41"/>
  <c r="Q2643" i="41"/>
  <c r="Q2644" i="41"/>
  <c r="Q2645" i="41"/>
  <c r="Q2646" i="41"/>
  <c r="Q2647" i="41"/>
  <c r="Q2648" i="41"/>
  <c r="Q2649" i="41"/>
  <c r="Q2650" i="41"/>
  <c r="Q2651" i="41"/>
  <c r="Q2652" i="41"/>
  <c r="Q2653" i="41"/>
  <c r="Q2654" i="41"/>
  <c r="Q2655" i="41"/>
  <c r="Q2656" i="41"/>
  <c r="Q2657" i="41"/>
  <c r="Q2658" i="41"/>
  <c r="Q2659" i="41"/>
  <c r="Q2660" i="41"/>
  <c r="Q2661" i="41"/>
  <c r="Q2662" i="41"/>
  <c r="Q2663" i="41"/>
  <c r="Q2664" i="41"/>
  <c r="Q2665" i="41"/>
  <c r="Q2666" i="41"/>
  <c r="Q2667" i="41"/>
  <c r="Q2668" i="41"/>
  <c r="Q2669" i="41"/>
  <c r="Q2670" i="41"/>
  <c r="Q2671" i="41"/>
  <c r="Q2672" i="41"/>
  <c r="Q2673" i="41"/>
  <c r="Q2674" i="41"/>
  <c r="Q2675" i="41"/>
  <c r="Q2676" i="41"/>
  <c r="Q2677" i="41"/>
  <c r="Q2678" i="41"/>
  <c r="Q2679" i="41"/>
  <c r="Q2680" i="41"/>
  <c r="Q2681" i="41"/>
  <c r="Q2682" i="41"/>
  <c r="Q2683" i="41"/>
  <c r="Q2684" i="41"/>
  <c r="Q2685" i="41"/>
  <c r="Q2686" i="41"/>
  <c r="Q2687" i="41"/>
  <c r="Q2688" i="41"/>
  <c r="Q2689" i="41"/>
  <c r="Q2690" i="41"/>
  <c r="Q2691" i="41"/>
  <c r="Q2692" i="41"/>
  <c r="Q2693" i="41"/>
  <c r="Q2694" i="41"/>
  <c r="Q2695" i="41"/>
  <c r="Q2696" i="41"/>
  <c r="Q2697" i="41"/>
  <c r="Q2698" i="41"/>
  <c r="Q2699" i="41"/>
  <c r="Q2700" i="41"/>
  <c r="Q2701" i="41"/>
  <c r="Q2702" i="41"/>
  <c r="Q2703" i="41"/>
  <c r="Q2704" i="41"/>
  <c r="Q2705" i="41"/>
  <c r="Q2706" i="41"/>
  <c r="Q2707" i="41"/>
  <c r="Q2708" i="41"/>
  <c r="Q2709" i="41"/>
  <c r="Q2710" i="41"/>
  <c r="Q2711" i="41"/>
  <c r="Q2712" i="41"/>
  <c r="Q2713" i="41"/>
  <c r="Q2714" i="41"/>
  <c r="Q2715" i="41"/>
  <c r="Q2716" i="41"/>
  <c r="Q2717" i="41"/>
  <c r="Q2718" i="41"/>
  <c r="Q2719" i="41"/>
  <c r="Q2720" i="41"/>
  <c r="Q2721" i="41"/>
  <c r="Q2722" i="41"/>
  <c r="Q2723" i="41"/>
  <c r="Q2724" i="41"/>
  <c r="Q2725" i="41"/>
  <c r="Q2726" i="41"/>
  <c r="Q2727" i="41"/>
  <c r="Q2728" i="41"/>
  <c r="Q2729" i="41"/>
  <c r="Q2730" i="41"/>
  <c r="Q2731" i="41"/>
  <c r="Q2732" i="41"/>
  <c r="Q2733" i="41"/>
  <c r="Q2734" i="41"/>
  <c r="Q2735" i="41"/>
  <c r="Q2736" i="41"/>
  <c r="Q2737" i="41"/>
  <c r="Q2738" i="41"/>
  <c r="Q2739" i="41"/>
  <c r="Q2740" i="41"/>
  <c r="Q2741" i="41"/>
  <c r="Q2742" i="41"/>
  <c r="Q2743" i="41"/>
  <c r="Q2744" i="41"/>
  <c r="Q2745" i="41"/>
  <c r="Q2746" i="41"/>
  <c r="Q2747" i="41"/>
  <c r="Q2748" i="41"/>
  <c r="Q2749" i="41"/>
  <c r="Q2750" i="41"/>
  <c r="Q2751" i="41"/>
  <c r="Q2752" i="41"/>
  <c r="Q2753" i="41"/>
  <c r="Q2754" i="41"/>
  <c r="Q2755" i="41"/>
  <c r="Q2756" i="41"/>
  <c r="Q2757" i="41"/>
  <c r="Q2758" i="41"/>
  <c r="Q2759" i="41"/>
  <c r="Q2760" i="41"/>
  <c r="Q2761" i="41"/>
  <c r="Q2762" i="41"/>
  <c r="Q2763" i="41"/>
  <c r="Q2764" i="41"/>
  <c r="Q2765" i="41"/>
  <c r="Q2766" i="41"/>
  <c r="Q2767" i="41"/>
  <c r="Q2768" i="41"/>
  <c r="Q2769" i="41"/>
  <c r="Q2770" i="41"/>
  <c r="Q2771" i="41"/>
  <c r="Q2772" i="41"/>
  <c r="Q2773" i="41"/>
  <c r="Q2774" i="41"/>
  <c r="Q2775" i="41"/>
  <c r="Q2776" i="41"/>
  <c r="Q2777" i="41"/>
  <c r="Q2778" i="41"/>
  <c r="Q2779" i="41"/>
  <c r="Q2780" i="41"/>
  <c r="Q2781" i="41"/>
  <c r="Q2782" i="41"/>
  <c r="Q2783" i="41"/>
  <c r="Q2784" i="41"/>
  <c r="Q2785" i="41"/>
  <c r="Q2786" i="41"/>
  <c r="Q2787" i="41"/>
  <c r="Q2788" i="41"/>
  <c r="Q2789" i="41"/>
  <c r="Q2790" i="41"/>
  <c r="Q2791" i="41"/>
  <c r="Q2792" i="41"/>
  <c r="Q2793" i="41"/>
  <c r="Q2794" i="41"/>
  <c r="Q2795" i="41"/>
  <c r="Q2796" i="41"/>
  <c r="Q2797" i="41"/>
  <c r="Q2798" i="41"/>
  <c r="Q2799" i="41"/>
  <c r="Q2800" i="41"/>
  <c r="Q2801" i="41"/>
  <c r="Q2802" i="41"/>
  <c r="Q2803" i="41"/>
  <c r="Q2804" i="41"/>
  <c r="Q2805" i="41"/>
  <c r="Q2806" i="41"/>
  <c r="Q2807" i="41"/>
  <c r="Q2808" i="41"/>
  <c r="Q2809" i="41"/>
  <c r="Q2810" i="41"/>
  <c r="Q2811" i="41"/>
  <c r="Q2812" i="41"/>
  <c r="Q2813" i="41"/>
  <c r="Q2814" i="41"/>
  <c r="Q2815" i="41"/>
  <c r="Q2816" i="41"/>
  <c r="Q2817" i="41"/>
  <c r="Q2818" i="41"/>
  <c r="Q2819" i="41"/>
  <c r="Q2820" i="41"/>
  <c r="Q2821" i="41"/>
  <c r="Q2822" i="41"/>
  <c r="Q2823" i="41"/>
  <c r="Q2824" i="41"/>
  <c r="Q2825" i="41"/>
  <c r="Q2826" i="41"/>
  <c r="Q2827" i="41"/>
  <c r="Q2828" i="41"/>
  <c r="Q2829" i="41"/>
  <c r="Q2830" i="41"/>
  <c r="Q2831" i="41"/>
  <c r="Q2832" i="41"/>
  <c r="Q2833" i="41"/>
  <c r="Q2834" i="41"/>
  <c r="Q2835" i="41"/>
  <c r="Q2836" i="41"/>
  <c r="Q2837" i="41"/>
  <c r="Q2838" i="41"/>
  <c r="Q2839" i="41"/>
  <c r="Q2840" i="41"/>
  <c r="Q2841" i="41"/>
  <c r="Q2842" i="41"/>
  <c r="Q2843" i="41"/>
  <c r="Q2844" i="41"/>
  <c r="Q2845" i="41"/>
  <c r="Q2846" i="41"/>
  <c r="Q2847" i="41"/>
  <c r="Q2848" i="41"/>
  <c r="Q2849" i="41"/>
  <c r="Q2850" i="41"/>
  <c r="Q2851" i="41"/>
  <c r="Q2852" i="41"/>
  <c r="Q2853" i="41"/>
  <c r="Q2854" i="41"/>
  <c r="Q2855" i="41"/>
  <c r="Q2856" i="41"/>
  <c r="Q2857" i="41"/>
  <c r="Q2858" i="41"/>
  <c r="Q2859" i="41"/>
  <c r="Q2860" i="41"/>
  <c r="Q2861" i="41"/>
  <c r="Q2862" i="41"/>
  <c r="Q2863" i="41"/>
  <c r="Q2864" i="41"/>
  <c r="Q2865" i="41"/>
  <c r="Q2866" i="41"/>
  <c r="Q2867" i="41"/>
  <c r="Q2868" i="41"/>
  <c r="Q2869" i="41"/>
  <c r="Q2870" i="41"/>
  <c r="Q2871" i="41"/>
  <c r="Q2872" i="41"/>
  <c r="Q2873" i="41"/>
  <c r="Q2874" i="41"/>
  <c r="Q2875" i="41"/>
  <c r="Q2876" i="41"/>
  <c r="Q2877" i="41"/>
  <c r="Q2878" i="41"/>
  <c r="Q2879" i="41"/>
  <c r="Q2880" i="41"/>
  <c r="Q2881" i="41"/>
  <c r="Q2882" i="41"/>
  <c r="Q2883" i="41"/>
  <c r="Q2884" i="41"/>
  <c r="Q2885" i="41"/>
  <c r="Q2886" i="41"/>
  <c r="Q2887" i="41"/>
  <c r="Q2888" i="41"/>
  <c r="Q2889" i="41"/>
  <c r="Q2890" i="41"/>
  <c r="Q2891" i="41"/>
  <c r="Q2892" i="41"/>
  <c r="Q2893" i="41"/>
  <c r="Q2894" i="41"/>
  <c r="Q2895" i="41"/>
  <c r="Q2896" i="41"/>
  <c r="Q2897" i="41"/>
  <c r="Q2898" i="41"/>
  <c r="Q2899" i="41"/>
  <c r="Q2900" i="41"/>
  <c r="Q2901" i="41"/>
  <c r="Q2902" i="41"/>
  <c r="Q2903" i="41"/>
  <c r="Q2904" i="41"/>
  <c r="Q2905" i="41"/>
  <c r="Q2906" i="41"/>
  <c r="Q2907" i="41"/>
  <c r="Q2908" i="41"/>
  <c r="Q2909" i="41"/>
  <c r="Q2910" i="41"/>
  <c r="Q2911" i="41"/>
  <c r="Q2912" i="41"/>
  <c r="Q2913" i="41"/>
  <c r="Q2914" i="41"/>
  <c r="Q2915" i="41"/>
  <c r="Q2916" i="41"/>
  <c r="Q2917" i="41"/>
  <c r="Q2918" i="41"/>
  <c r="Q2919" i="41"/>
  <c r="Q2920" i="41"/>
  <c r="Q2921" i="41"/>
  <c r="Q2922" i="41"/>
  <c r="Q2923" i="41"/>
  <c r="Q2924" i="41"/>
  <c r="Q2925" i="41"/>
  <c r="Q2926" i="41"/>
  <c r="Q2927" i="41"/>
  <c r="Q2928" i="41"/>
  <c r="Q2929" i="41"/>
  <c r="Q2930" i="41"/>
  <c r="Q2931" i="41"/>
  <c r="Q2932" i="41"/>
  <c r="Q2933" i="41"/>
  <c r="Q2934" i="41"/>
  <c r="Q2935" i="41"/>
  <c r="Q2936" i="41"/>
  <c r="Q2937" i="41"/>
  <c r="Q2938" i="41"/>
  <c r="Q2939" i="41"/>
  <c r="Q2940" i="41"/>
  <c r="Q2941" i="41"/>
  <c r="Q2942" i="41"/>
  <c r="Q2943" i="41"/>
  <c r="Q2944" i="41"/>
  <c r="Q2945" i="41"/>
  <c r="Q2946" i="41"/>
  <c r="Q2947" i="41"/>
  <c r="Q2948" i="41"/>
  <c r="Q2949" i="41"/>
  <c r="Q2950" i="41"/>
  <c r="Q2951" i="41"/>
  <c r="Q2952" i="41"/>
  <c r="Q2953" i="41"/>
  <c r="Q2954" i="41"/>
  <c r="Q2955" i="41"/>
  <c r="Q2956" i="41"/>
  <c r="Q2957" i="41"/>
  <c r="Q2958" i="41"/>
  <c r="Q2959" i="41"/>
  <c r="Q2960" i="41"/>
  <c r="Q2961" i="41"/>
  <c r="Q2962" i="41"/>
  <c r="Q2963" i="41"/>
  <c r="Q2964" i="41"/>
  <c r="Q2965" i="41"/>
  <c r="Q2966" i="41"/>
  <c r="Q2967" i="41"/>
  <c r="Q2968" i="41"/>
  <c r="Q2969" i="41"/>
  <c r="Q2970" i="41"/>
  <c r="Q2971" i="41"/>
  <c r="Q2972" i="41"/>
  <c r="Q2973" i="41"/>
  <c r="Q2974" i="41"/>
  <c r="Q2975" i="41"/>
  <c r="Q2976" i="41"/>
  <c r="Q2977" i="41"/>
  <c r="Q2978" i="41"/>
  <c r="Q2979" i="41"/>
  <c r="Q2980" i="41"/>
  <c r="Q2981" i="41"/>
  <c r="Q2982" i="41"/>
  <c r="Q2983" i="41"/>
  <c r="Q2984" i="41"/>
  <c r="Q2985" i="41"/>
  <c r="Q2986" i="41"/>
  <c r="Q2987" i="41"/>
  <c r="Q2988" i="41"/>
  <c r="Q2989" i="41"/>
  <c r="Q2990" i="41"/>
  <c r="Q2991" i="41"/>
  <c r="Q2992" i="41"/>
  <c r="Q2993" i="41"/>
  <c r="Q2994" i="41"/>
  <c r="Q2995" i="41"/>
  <c r="Q2996" i="41"/>
  <c r="Q2997" i="41"/>
  <c r="Q2998" i="41"/>
  <c r="Q2999" i="41"/>
  <c r="Q3000" i="41"/>
  <c r="Q3001" i="41"/>
  <c r="Q3002" i="41"/>
  <c r="Q3003" i="41"/>
  <c r="Q3004" i="41"/>
  <c r="Q3005" i="41"/>
  <c r="Q3006" i="41"/>
  <c r="Q3007" i="41"/>
  <c r="Q3008" i="41"/>
  <c r="Q3009" i="41"/>
  <c r="Q3010" i="41"/>
  <c r="Q3011" i="41"/>
  <c r="Q3012" i="41"/>
  <c r="Q3013" i="41"/>
  <c r="Q3014" i="41"/>
  <c r="Q3015" i="41"/>
  <c r="Q3016" i="41"/>
  <c r="Q3017" i="41"/>
  <c r="Q3018" i="41"/>
  <c r="Q3019" i="41"/>
  <c r="Q3020" i="41"/>
  <c r="Q3021" i="41"/>
  <c r="Q3022" i="41"/>
  <c r="Q3023" i="41"/>
  <c r="Q3024" i="41"/>
  <c r="Q3025" i="41"/>
  <c r="Q3026" i="41"/>
  <c r="Q3027" i="41"/>
  <c r="Q3028" i="41"/>
  <c r="Q3029" i="41"/>
  <c r="Q3030" i="41"/>
  <c r="Q3031" i="41"/>
  <c r="Q3032" i="41"/>
  <c r="Q3033" i="41"/>
  <c r="Q3034" i="41"/>
  <c r="Q3035" i="41"/>
  <c r="Q3036" i="41"/>
  <c r="Q3037" i="41"/>
  <c r="Q3038" i="41"/>
  <c r="Q3039" i="41"/>
  <c r="Q3040" i="41"/>
  <c r="Q3041" i="41"/>
  <c r="Q3042" i="41"/>
  <c r="Q3043" i="41"/>
  <c r="Q3044" i="41"/>
  <c r="Q3045" i="41"/>
  <c r="Q3046" i="41"/>
  <c r="Q3047" i="41"/>
  <c r="Q3048" i="41"/>
  <c r="Q3049" i="41"/>
  <c r="Q3050" i="41"/>
  <c r="Q3051" i="41"/>
  <c r="Q3052" i="41"/>
  <c r="Q3053" i="41"/>
  <c r="Q3054" i="41"/>
  <c r="Q3055" i="41"/>
  <c r="Q3056" i="41"/>
  <c r="Q3057" i="41"/>
  <c r="Q3058" i="41"/>
  <c r="Q3059" i="41"/>
  <c r="Q3060" i="41"/>
  <c r="Q3061" i="41"/>
  <c r="Q3062" i="41"/>
  <c r="Q3063" i="41"/>
  <c r="Q3064" i="41"/>
  <c r="Q3065" i="41"/>
  <c r="Q3066" i="41"/>
  <c r="Q3067" i="41"/>
  <c r="Q3068" i="41"/>
  <c r="Q3069" i="41"/>
  <c r="Q3070" i="41"/>
  <c r="Q3071" i="41"/>
  <c r="Q3072" i="41"/>
  <c r="Q3073" i="41"/>
  <c r="Q3074" i="41"/>
  <c r="Q3075" i="41"/>
  <c r="Q3076" i="41"/>
  <c r="Q3077" i="41"/>
  <c r="Q3078" i="41"/>
  <c r="Q3079" i="41"/>
  <c r="Q3080" i="41"/>
  <c r="Q3081" i="41"/>
  <c r="Q3082" i="41"/>
  <c r="Q3083" i="41"/>
  <c r="Q3084" i="41"/>
  <c r="Q3085" i="41"/>
  <c r="Q3086" i="41"/>
  <c r="Q3087" i="41"/>
  <c r="Q3088" i="41"/>
  <c r="Q3089" i="41"/>
  <c r="Q3090" i="41"/>
  <c r="Q3091" i="41"/>
  <c r="Q3092" i="41"/>
  <c r="Q3093" i="41"/>
  <c r="Q3094" i="41"/>
  <c r="Q3095" i="41"/>
  <c r="Q3096" i="41"/>
  <c r="Q3097" i="41"/>
  <c r="Q3098" i="41"/>
  <c r="Q3099" i="41"/>
  <c r="Q3100" i="41"/>
  <c r="Q3101" i="41"/>
  <c r="Q3102" i="41"/>
  <c r="Q3103" i="41"/>
  <c r="Q3104" i="41"/>
  <c r="Q3105" i="41"/>
  <c r="Q3106" i="41"/>
  <c r="Q3107" i="41"/>
  <c r="Q3108" i="41"/>
  <c r="Q3109" i="41"/>
  <c r="Q3110" i="41"/>
  <c r="Q3111" i="41"/>
  <c r="Q3112" i="41"/>
  <c r="Q3113" i="41"/>
  <c r="Q3114" i="41"/>
  <c r="Q3115" i="41"/>
  <c r="Q3116" i="41"/>
  <c r="Q3117" i="41"/>
  <c r="Q3118" i="41"/>
  <c r="Q3119" i="41"/>
  <c r="Q3120" i="41"/>
  <c r="Q3121" i="41"/>
  <c r="Q3122" i="41"/>
  <c r="Q3123" i="41"/>
  <c r="Q3124" i="41"/>
  <c r="Q3125" i="41"/>
  <c r="Q3126" i="41"/>
  <c r="Q3127" i="41"/>
  <c r="Q3128" i="41"/>
  <c r="Q3129" i="41"/>
  <c r="Q3130" i="41"/>
  <c r="Q3131" i="41"/>
  <c r="Q3132" i="41"/>
  <c r="Q3133" i="41"/>
  <c r="Q3134" i="41"/>
  <c r="Q3135" i="41"/>
  <c r="Q3136" i="41"/>
  <c r="Q3137" i="41"/>
  <c r="Q3138" i="41"/>
  <c r="Q3139" i="41"/>
  <c r="Q3140" i="41"/>
  <c r="Q3141" i="41"/>
  <c r="Q3142" i="41"/>
  <c r="Q3143" i="41"/>
  <c r="Q3144" i="41"/>
  <c r="Q3145" i="41"/>
  <c r="Q3146" i="41"/>
  <c r="Q3147" i="41"/>
  <c r="Q3148" i="41"/>
  <c r="Q3149" i="41"/>
  <c r="Q3150" i="41"/>
  <c r="Q3151" i="41"/>
  <c r="Q3152" i="41"/>
  <c r="Q3153" i="41"/>
  <c r="Q3154" i="41"/>
  <c r="Q3155" i="41"/>
  <c r="Q3156" i="41"/>
  <c r="Q3157" i="41"/>
  <c r="Q3158" i="41"/>
  <c r="Q3159" i="41"/>
  <c r="Q3160" i="41"/>
  <c r="Q3161" i="41"/>
  <c r="Q3162" i="41"/>
  <c r="Q3163" i="41"/>
  <c r="Q3164" i="41"/>
  <c r="Q3165" i="41"/>
  <c r="Q3166" i="41"/>
  <c r="Q3167" i="41"/>
  <c r="Q3168" i="41"/>
  <c r="Q3169" i="41"/>
  <c r="Q3170" i="41"/>
  <c r="Q3171" i="41"/>
  <c r="Q3172" i="41"/>
  <c r="Q3173" i="41"/>
  <c r="Q3174" i="41"/>
  <c r="Q3175" i="41"/>
  <c r="Q3176" i="41"/>
  <c r="Q3177" i="41"/>
  <c r="Q3178" i="41"/>
  <c r="Q3179" i="41"/>
  <c r="Q3180" i="41"/>
  <c r="Q3181" i="41"/>
  <c r="Q3182" i="41"/>
  <c r="Q3183" i="41"/>
  <c r="Q3184" i="41"/>
  <c r="Q3185" i="41"/>
  <c r="Q3186" i="41"/>
  <c r="Q3187" i="41"/>
  <c r="Q3188" i="41"/>
  <c r="Q3189" i="41"/>
  <c r="Q3190" i="41"/>
  <c r="Q3191" i="41"/>
  <c r="Q3192" i="41"/>
  <c r="Q3193" i="41"/>
  <c r="Q3194" i="41"/>
  <c r="Q3195" i="41"/>
  <c r="Q3196" i="41"/>
  <c r="Q3197" i="41"/>
  <c r="Q3198" i="41"/>
  <c r="Q3199" i="41"/>
  <c r="Q3200" i="41"/>
  <c r="Q3201" i="41"/>
  <c r="Q3202" i="41"/>
  <c r="Q3203" i="41"/>
  <c r="Q3204" i="41"/>
  <c r="Q3205" i="41"/>
  <c r="Q3206" i="41"/>
  <c r="Q3207" i="41"/>
  <c r="Q3208" i="41"/>
  <c r="Q3209" i="41"/>
  <c r="Q3210" i="41"/>
  <c r="Q3211" i="41"/>
  <c r="Q3212" i="41"/>
  <c r="Q3213" i="41"/>
  <c r="Q3214" i="41"/>
  <c r="Q3215" i="41"/>
  <c r="Q3216" i="41"/>
  <c r="Q3217" i="41"/>
  <c r="Q3218" i="41"/>
  <c r="Q3219" i="41"/>
  <c r="Q3220" i="41"/>
  <c r="Q3221" i="41"/>
  <c r="Q3222" i="41"/>
  <c r="Q3223" i="41"/>
  <c r="Q3224" i="41"/>
  <c r="Q3225" i="41"/>
  <c r="Q3226" i="41"/>
  <c r="Q3227" i="41"/>
  <c r="Q3228" i="41"/>
  <c r="Q3229" i="41"/>
  <c r="Q3230" i="41"/>
  <c r="Q3231" i="41"/>
  <c r="Q3232" i="41"/>
  <c r="Q3233" i="41"/>
  <c r="Q3234" i="41"/>
  <c r="Q3235" i="41"/>
  <c r="Q3236" i="41"/>
  <c r="Q3237" i="41"/>
  <c r="Q3238" i="41"/>
  <c r="Q3239" i="41"/>
  <c r="Q3240" i="41"/>
  <c r="Q3241" i="41"/>
  <c r="Q3242" i="41"/>
  <c r="Q3243" i="41"/>
  <c r="Q3244" i="41"/>
  <c r="Q3245" i="41"/>
  <c r="Q3246" i="41"/>
  <c r="Q3247" i="41"/>
  <c r="Q3248" i="41"/>
  <c r="Q3249" i="41"/>
  <c r="Q3250" i="41"/>
  <c r="Q3251" i="41"/>
  <c r="Q3252" i="41"/>
  <c r="Q3253" i="41"/>
  <c r="Q3254" i="41"/>
  <c r="Q3255" i="41"/>
  <c r="Q3256" i="41"/>
  <c r="Q3257" i="41"/>
  <c r="Q3258" i="41"/>
  <c r="Q3259" i="41"/>
  <c r="Q3260" i="41"/>
  <c r="Q3261" i="41"/>
  <c r="Q3262" i="41"/>
  <c r="Q3263" i="41"/>
  <c r="Q3264" i="41"/>
  <c r="Q3265" i="41"/>
  <c r="Q3266" i="41"/>
  <c r="Q3267" i="41"/>
  <c r="Q3268" i="41"/>
  <c r="Q3269" i="41"/>
  <c r="Q3270" i="41"/>
  <c r="Q3271" i="41"/>
  <c r="Q3272" i="41"/>
  <c r="Q3273" i="41"/>
  <c r="Q3274" i="41"/>
  <c r="Q3275" i="41"/>
  <c r="Q3276" i="41"/>
  <c r="Q3277" i="41"/>
  <c r="Q3278" i="41"/>
  <c r="Q3279" i="41"/>
  <c r="Q3280" i="41"/>
  <c r="Q3281" i="41"/>
  <c r="Q3282" i="41"/>
  <c r="Q3283" i="41"/>
  <c r="Q3284" i="41"/>
  <c r="Q3285" i="41"/>
  <c r="Q3286" i="41"/>
  <c r="Q3287" i="41"/>
  <c r="Q3288" i="41"/>
  <c r="Q3289" i="41"/>
  <c r="Q3290" i="41"/>
  <c r="Q3291" i="41"/>
  <c r="Q3292" i="41"/>
  <c r="Q3293" i="41"/>
  <c r="Q3294" i="41"/>
  <c r="Q3295" i="41"/>
  <c r="Q3296" i="41"/>
  <c r="Q3297" i="41"/>
  <c r="Q3298" i="41"/>
  <c r="Q3299" i="41"/>
  <c r="Q3300" i="41"/>
  <c r="Q3301" i="41"/>
  <c r="Q3302" i="41"/>
  <c r="Q3303" i="41"/>
  <c r="Q3304" i="41"/>
  <c r="Q3305" i="41"/>
  <c r="Q3306" i="41"/>
  <c r="Q3307" i="41"/>
  <c r="Q3308" i="41"/>
  <c r="Q3309" i="41"/>
  <c r="Q3310" i="41"/>
  <c r="Q3311" i="41"/>
  <c r="Q3312" i="41"/>
  <c r="Q3313" i="41"/>
  <c r="Q3314" i="41"/>
  <c r="Q3315" i="41"/>
  <c r="Q3316" i="41"/>
  <c r="Q3317" i="41"/>
  <c r="Q3318" i="41"/>
  <c r="Q3319" i="41"/>
  <c r="Q3320" i="41"/>
  <c r="Q3321" i="41"/>
  <c r="Q3322" i="41"/>
  <c r="Q3323" i="41"/>
  <c r="Q3324" i="41"/>
  <c r="Q3325" i="41"/>
  <c r="Q3326" i="41"/>
  <c r="Q3327" i="41"/>
  <c r="Q3328" i="41"/>
  <c r="Q3329" i="41"/>
  <c r="Q3330" i="41"/>
  <c r="Q3331" i="41"/>
  <c r="Q3332" i="41"/>
  <c r="Q3333" i="41"/>
  <c r="Q3334" i="41"/>
  <c r="Q3335" i="41"/>
  <c r="Q3336" i="41"/>
  <c r="Q3337" i="41"/>
  <c r="Q3338" i="41"/>
  <c r="Q3339" i="41"/>
  <c r="Q3340" i="41"/>
  <c r="Q3341" i="41"/>
  <c r="Q3342" i="41"/>
  <c r="Q3343" i="41"/>
  <c r="Q3344" i="41"/>
  <c r="Q3345" i="41"/>
  <c r="Q3346" i="41"/>
  <c r="Q3347" i="41"/>
  <c r="Q3348" i="41"/>
  <c r="Q3349" i="41"/>
  <c r="Q3350" i="41"/>
  <c r="Q3351" i="41"/>
  <c r="Q3352" i="41"/>
  <c r="Q3353" i="41"/>
  <c r="Q3354" i="41"/>
  <c r="Q3355" i="41"/>
  <c r="Q3356" i="41"/>
  <c r="Q3357" i="41"/>
  <c r="Q3358" i="41"/>
  <c r="Q3359" i="41"/>
  <c r="Q3360" i="41"/>
  <c r="Q3361" i="41"/>
  <c r="Q3362" i="41"/>
  <c r="Q3363" i="41"/>
  <c r="Q3364" i="41"/>
  <c r="Q3365" i="41"/>
  <c r="Q3366" i="41"/>
  <c r="Q3367" i="41"/>
  <c r="Q3368" i="41"/>
  <c r="Q3369" i="41"/>
  <c r="Q3370" i="41"/>
  <c r="Q3371" i="41"/>
  <c r="Q3372" i="41"/>
  <c r="Q3373" i="41"/>
  <c r="Q3374" i="41"/>
  <c r="Q3375" i="41"/>
  <c r="Q3376" i="41"/>
  <c r="Q3377" i="41"/>
  <c r="Q3378" i="41"/>
  <c r="Q3379" i="41"/>
  <c r="Q3380" i="41"/>
  <c r="Q3381" i="41"/>
  <c r="Q3382" i="41"/>
  <c r="Q3383" i="41"/>
  <c r="Q3384" i="41"/>
  <c r="Q3385" i="41"/>
  <c r="Q3386" i="41"/>
  <c r="Q3387" i="41"/>
  <c r="Q3388" i="41"/>
  <c r="Q3389" i="41"/>
  <c r="Q3390" i="41"/>
  <c r="Q3391" i="41"/>
  <c r="Q3392" i="41"/>
  <c r="Q3393" i="41"/>
  <c r="Q3394" i="41"/>
  <c r="Q3395" i="41"/>
  <c r="Q3396" i="41"/>
  <c r="Q3397" i="41"/>
  <c r="Q3398" i="41"/>
  <c r="Q3399" i="41"/>
  <c r="Q3400" i="41"/>
  <c r="Q3401" i="41"/>
  <c r="Q3402" i="41"/>
  <c r="Q3403" i="41"/>
  <c r="Q3404" i="41"/>
  <c r="Q3405" i="41"/>
  <c r="Q3406" i="41"/>
  <c r="Q3407" i="41"/>
  <c r="Q3408" i="41"/>
  <c r="Q3409" i="41"/>
  <c r="Q3410" i="41"/>
  <c r="Q3411" i="41"/>
  <c r="Q3412" i="41"/>
  <c r="Q3413" i="41"/>
  <c r="Q3414" i="41"/>
  <c r="Q3415" i="41"/>
  <c r="Q3416" i="41"/>
  <c r="Q3417" i="41"/>
  <c r="Q3418" i="41"/>
  <c r="Q3419" i="41"/>
  <c r="Q3420" i="41"/>
  <c r="Q3421" i="41"/>
  <c r="Q3422" i="41"/>
  <c r="Q3423" i="41"/>
  <c r="Q3424" i="41"/>
  <c r="Q3425" i="41"/>
  <c r="Q3426" i="41"/>
  <c r="Q3427" i="41"/>
  <c r="Q3428" i="41"/>
  <c r="Q3429" i="41"/>
  <c r="Q3430" i="41"/>
  <c r="Q3431" i="41"/>
  <c r="Q3432" i="41"/>
  <c r="Q3433" i="41"/>
  <c r="Q3434" i="41"/>
  <c r="Q3435" i="41"/>
  <c r="Q3436" i="41"/>
  <c r="Q3437" i="41"/>
  <c r="Q3438" i="41"/>
  <c r="Q3439" i="41"/>
  <c r="Q3440" i="41"/>
  <c r="Q3441" i="41"/>
  <c r="Q3442" i="41"/>
  <c r="Q3443" i="41"/>
  <c r="Q3444" i="41"/>
  <c r="Q3445" i="41"/>
  <c r="Q3446" i="41"/>
  <c r="Q3447" i="41"/>
  <c r="Q3448" i="41"/>
  <c r="Q3449" i="41"/>
  <c r="Q3450" i="41"/>
  <c r="Q3451" i="41"/>
  <c r="Q3452" i="41"/>
  <c r="Q3453" i="41"/>
  <c r="Q3454" i="41"/>
  <c r="Q3455" i="41"/>
  <c r="Q3456" i="41"/>
  <c r="Q3457" i="41"/>
  <c r="Q3458" i="41"/>
  <c r="Q3459" i="41"/>
  <c r="Q3460" i="41"/>
  <c r="Q3461" i="41"/>
  <c r="Q3462" i="41"/>
  <c r="Q3463" i="41"/>
  <c r="Q3464" i="41"/>
  <c r="Q3465" i="41"/>
  <c r="Q3466" i="41"/>
  <c r="Q3467" i="41"/>
  <c r="Q3468" i="41"/>
  <c r="Q3469" i="41"/>
  <c r="Q3470" i="41"/>
  <c r="Q3471" i="41"/>
  <c r="Q3472" i="41"/>
  <c r="Q3473" i="41"/>
  <c r="Q3474" i="41"/>
  <c r="Q3475" i="41"/>
  <c r="Q3476" i="41"/>
  <c r="Q3477" i="41"/>
  <c r="Q3478" i="41"/>
  <c r="Q3479" i="41"/>
  <c r="Q3480" i="41"/>
  <c r="Q3481" i="41"/>
  <c r="Q3482" i="41"/>
  <c r="Q3483" i="41"/>
  <c r="Q3484" i="41"/>
  <c r="Q3485" i="41"/>
  <c r="Q3486" i="41"/>
  <c r="Q3487" i="41"/>
  <c r="Q3488" i="41"/>
  <c r="Q3489" i="41"/>
  <c r="Q3490" i="41"/>
  <c r="Q3491" i="41"/>
  <c r="Q3492" i="41"/>
  <c r="Q3493" i="41"/>
  <c r="Q3494" i="41"/>
  <c r="Q3495" i="41"/>
  <c r="Q3496" i="41"/>
  <c r="Q3497" i="41"/>
  <c r="Q3498" i="41"/>
  <c r="Q3499" i="41"/>
  <c r="Q3500" i="41"/>
  <c r="Q3501" i="41"/>
  <c r="Q3502" i="41"/>
  <c r="Q3503" i="41"/>
  <c r="Q3504" i="41"/>
  <c r="Q3505" i="41"/>
  <c r="Q3506" i="41"/>
  <c r="Q3507" i="41"/>
  <c r="Q3508" i="41"/>
  <c r="Q3509" i="41"/>
  <c r="Q3510" i="41"/>
  <c r="Q3511" i="41"/>
  <c r="Q3512" i="41"/>
  <c r="Q3513" i="41"/>
  <c r="Q3514" i="41"/>
  <c r="Q3515" i="41"/>
  <c r="Q3516" i="41"/>
  <c r="Q3517" i="41"/>
  <c r="Q3518" i="41"/>
  <c r="Q3519" i="41"/>
  <c r="Q3520" i="41"/>
  <c r="Q3521" i="41"/>
  <c r="Q3522" i="41"/>
  <c r="Q3523" i="41"/>
  <c r="Q3524" i="41"/>
  <c r="Q3525" i="41"/>
  <c r="Q3526" i="41"/>
  <c r="Q3527" i="41"/>
  <c r="Q3528" i="41"/>
  <c r="Q3529" i="41"/>
  <c r="Q3530" i="41"/>
  <c r="Q3531" i="41"/>
  <c r="Q3532" i="41"/>
  <c r="Q3533" i="41"/>
  <c r="Q3534" i="41"/>
  <c r="Q3535" i="41"/>
  <c r="Q3536" i="41"/>
  <c r="Q3537" i="41"/>
  <c r="Q3538" i="41"/>
  <c r="Q3539" i="41"/>
  <c r="Q3540" i="41"/>
  <c r="Q3541" i="41"/>
  <c r="Q3542" i="41"/>
  <c r="Q3543" i="41"/>
  <c r="Q3544" i="41"/>
  <c r="Q3545" i="41"/>
  <c r="Q3546" i="41"/>
  <c r="Q3547" i="41"/>
  <c r="Q3548" i="41"/>
  <c r="Q3549" i="41"/>
  <c r="Q3550" i="41"/>
  <c r="Q3551" i="41"/>
  <c r="Q3552" i="41"/>
  <c r="Q3553" i="41"/>
  <c r="Q3554" i="41"/>
  <c r="Q3555" i="41"/>
  <c r="Q3556" i="41"/>
  <c r="Q3557" i="41"/>
  <c r="Q3558" i="41"/>
  <c r="Q3559" i="41"/>
  <c r="Q3560" i="41"/>
  <c r="Q3561" i="41"/>
  <c r="Q3562" i="41"/>
  <c r="Q3563" i="41"/>
  <c r="Q3564" i="41"/>
  <c r="Q3565" i="41"/>
  <c r="Q3566" i="41"/>
  <c r="Q3567" i="41"/>
  <c r="Q3568" i="41"/>
  <c r="Q3569" i="41"/>
  <c r="Q3570" i="41"/>
  <c r="Q3571" i="41"/>
  <c r="Q3572" i="41"/>
  <c r="Q3573" i="41"/>
  <c r="Q3574" i="41"/>
  <c r="Q3575" i="41"/>
  <c r="Q3576" i="41"/>
  <c r="Q3577" i="41"/>
  <c r="Q3578" i="41"/>
  <c r="Q3579" i="41"/>
  <c r="Q3580" i="41"/>
  <c r="Q3581" i="41"/>
  <c r="Q3582" i="41"/>
  <c r="Q3583" i="41"/>
  <c r="Q3584" i="41"/>
  <c r="Q3585" i="41"/>
  <c r="Q3586" i="41"/>
  <c r="Q3587" i="41"/>
  <c r="Q3588" i="41"/>
  <c r="Q3589" i="41"/>
  <c r="Q3590" i="41"/>
  <c r="Q3591" i="41"/>
  <c r="Q3592" i="41"/>
  <c r="Q3593" i="41"/>
  <c r="Q3594" i="41"/>
  <c r="Q3595" i="41"/>
  <c r="Q3596" i="41"/>
  <c r="Q3597" i="41"/>
  <c r="Q3598" i="41"/>
  <c r="Q3599" i="41"/>
  <c r="Q3600" i="41"/>
  <c r="Q3601" i="41"/>
  <c r="Q3602" i="41"/>
  <c r="Q3603" i="41"/>
  <c r="Q3604" i="41"/>
  <c r="Q3605" i="41"/>
  <c r="Q3606" i="41"/>
  <c r="Q3607" i="41"/>
  <c r="Q3608" i="41"/>
  <c r="Q3609" i="41"/>
  <c r="Q3610" i="41"/>
  <c r="Q3611" i="41"/>
  <c r="Q3612" i="41"/>
  <c r="Q3613" i="41"/>
  <c r="Q3614" i="41"/>
  <c r="Q3615" i="41"/>
  <c r="Q3616" i="41"/>
  <c r="Q3617" i="41"/>
  <c r="Q3618" i="41"/>
  <c r="Q3619" i="41"/>
  <c r="Q3620" i="41"/>
  <c r="Q3621" i="41"/>
  <c r="Q3622" i="41"/>
  <c r="Q3623" i="41"/>
  <c r="Q3624" i="41"/>
  <c r="Q3625" i="41"/>
  <c r="Q3626" i="41"/>
  <c r="Q3627" i="41"/>
  <c r="Q3628" i="41"/>
  <c r="Q3629" i="41"/>
  <c r="Q3630" i="41"/>
  <c r="Q3631" i="41"/>
  <c r="Q3632" i="41"/>
  <c r="Q3633" i="41"/>
  <c r="Q3634" i="41"/>
  <c r="Q3635" i="41"/>
  <c r="Q3636" i="41"/>
  <c r="Q3637" i="41"/>
  <c r="Q3638" i="41"/>
  <c r="Q3639" i="41"/>
  <c r="Q3640" i="41"/>
  <c r="Q3641" i="41"/>
  <c r="Q3642" i="41"/>
  <c r="Q3643" i="41"/>
  <c r="Q3644" i="41"/>
  <c r="Q3645" i="41"/>
  <c r="Q3646" i="41"/>
  <c r="Q3647" i="41"/>
  <c r="Q3648" i="41"/>
  <c r="Q3649" i="41"/>
  <c r="Q3650" i="41"/>
  <c r="Q3651" i="41"/>
  <c r="Q3652" i="41"/>
  <c r="Q3653" i="41"/>
  <c r="Q3654" i="41"/>
  <c r="Q3655" i="41"/>
  <c r="Q3656" i="41"/>
  <c r="Q3657" i="41"/>
  <c r="Q3658" i="41"/>
  <c r="Q3659" i="41"/>
  <c r="Q3660" i="41"/>
  <c r="Q3661" i="41"/>
  <c r="Q3662" i="41"/>
  <c r="Q3663" i="41"/>
  <c r="Q3664" i="41"/>
  <c r="Q3665" i="41"/>
  <c r="Q3666" i="41"/>
  <c r="Q3667" i="41"/>
  <c r="Q3668" i="41"/>
  <c r="Q3669" i="41"/>
  <c r="Q3670" i="41"/>
  <c r="Q3671" i="41"/>
  <c r="Q3672" i="41"/>
  <c r="Q3673" i="41"/>
  <c r="Q3674" i="41"/>
  <c r="Q3675" i="41"/>
  <c r="Q3676" i="41"/>
  <c r="Q3677" i="41"/>
  <c r="Q3678" i="41"/>
  <c r="Q3679" i="41"/>
  <c r="Q3680" i="41"/>
  <c r="Q3681" i="41"/>
  <c r="Q3682" i="41"/>
  <c r="Q3683" i="41"/>
  <c r="Q3684" i="41"/>
  <c r="Q3685" i="41"/>
  <c r="Q3686" i="41"/>
  <c r="Q3687" i="41"/>
  <c r="Q3688" i="41"/>
  <c r="Q3689" i="41"/>
  <c r="Q3690" i="41"/>
  <c r="Q3691" i="41"/>
  <c r="Q3692" i="41"/>
  <c r="Q3693" i="41"/>
  <c r="Q3694" i="41"/>
  <c r="Q3695" i="41"/>
  <c r="Q3696" i="41"/>
  <c r="Q3697" i="41"/>
  <c r="Q3698" i="41"/>
  <c r="Q3699" i="41"/>
  <c r="Q3700" i="41"/>
  <c r="Q3701" i="41"/>
  <c r="Q3702" i="41"/>
  <c r="Q3703" i="41"/>
  <c r="Q3704" i="41"/>
  <c r="Q3705" i="41"/>
  <c r="Q3706" i="41"/>
  <c r="Q3707" i="41"/>
  <c r="Q3708" i="41"/>
  <c r="Q3709" i="41"/>
  <c r="Q3710" i="41"/>
  <c r="Q3711" i="41"/>
  <c r="Q3712" i="41"/>
  <c r="Q3713" i="41"/>
  <c r="Q3714" i="41"/>
  <c r="Q3715" i="41"/>
  <c r="Q3716" i="41"/>
  <c r="Q3717" i="41"/>
  <c r="Q3718" i="41"/>
  <c r="Q3719" i="41"/>
  <c r="Q3720" i="41"/>
  <c r="Q3721" i="41"/>
  <c r="Q3722" i="41"/>
  <c r="Q3723" i="41"/>
  <c r="Q3724" i="41"/>
  <c r="Q3725" i="41"/>
  <c r="Q3726" i="41"/>
  <c r="Q3727" i="41"/>
  <c r="Q3728" i="41"/>
  <c r="Q3729" i="41"/>
  <c r="Q3730" i="41"/>
  <c r="Q3731" i="41"/>
  <c r="Q3732" i="41"/>
  <c r="Q3733" i="41"/>
  <c r="Q3734" i="41"/>
  <c r="Q3735" i="41"/>
  <c r="Q3736" i="41"/>
  <c r="Q3737" i="41"/>
  <c r="Q3738" i="41"/>
  <c r="Q3739" i="41"/>
  <c r="Q3740" i="41"/>
  <c r="Q3741" i="41"/>
  <c r="Q3742" i="41"/>
  <c r="Q3743" i="41"/>
  <c r="Q3744" i="41"/>
  <c r="Q3745" i="41"/>
  <c r="Q3746" i="41"/>
  <c r="Q3747" i="41"/>
  <c r="Q3748" i="41"/>
  <c r="Q3749" i="41"/>
  <c r="Q3750" i="41"/>
  <c r="Q3751" i="41"/>
  <c r="Q3752" i="41"/>
  <c r="Q3753" i="41"/>
  <c r="Q3754" i="41"/>
  <c r="Q3755" i="41"/>
  <c r="Q3756" i="41"/>
  <c r="Q3757" i="41"/>
  <c r="Q3758" i="41"/>
  <c r="Q3759" i="41"/>
  <c r="Q3760" i="41"/>
  <c r="Q3761" i="41"/>
  <c r="Q3762" i="41"/>
  <c r="Q3763" i="41"/>
  <c r="Q3764" i="41"/>
  <c r="Q3765" i="41"/>
  <c r="Q3766" i="41"/>
  <c r="Q3767" i="41"/>
  <c r="Q3768" i="41"/>
  <c r="Q3769" i="41"/>
  <c r="Q3770" i="41"/>
  <c r="Q3771" i="41"/>
  <c r="Q3772" i="41"/>
  <c r="Q3773" i="41"/>
  <c r="Q3774" i="41"/>
  <c r="Q3775" i="41"/>
  <c r="Q3776" i="41"/>
  <c r="Q3777" i="41"/>
  <c r="Q3778" i="41"/>
  <c r="Q3779" i="41"/>
  <c r="Q3780" i="41"/>
  <c r="Q3781" i="41"/>
  <c r="Q3782" i="41"/>
  <c r="Q3783" i="41"/>
  <c r="Q3784" i="41"/>
  <c r="Q3785" i="41"/>
  <c r="Q3786" i="41"/>
  <c r="Q3787" i="41"/>
  <c r="Q3788" i="41"/>
  <c r="Q3789" i="41"/>
  <c r="Q3790" i="41"/>
  <c r="Q3791" i="41"/>
  <c r="Q3792" i="41"/>
  <c r="Q3793" i="41"/>
  <c r="Q3794" i="41"/>
  <c r="Q3795" i="41"/>
  <c r="Q3796" i="41"/>
  <c r="Q3797" i="41"/>
  <c r="Q3798" i="41"/>
  <c r="Q3799" i="41"/>
  <c r="Q3800" i="41"/>
  <c r="Q3801" i="41"/>
  <c r="Q3802" i="41"/>
  <c r="Q3803" i="41"/>
  <c r="Q3804" i="41"/>
  <c r="Q3805" i="41"/>
  <c r="Q3806" i="41"/>
  <c r="Q3807" i="41"/>
  <c r="Q3808" i="41"/>
  <c r="Q3809" i="41"/>
  <c r="Q3810" i="41"/>
  <c r="Q3811" i="41"/>
  <c r="Q3812" i="41"/>
  <c r="Q3813" i="41"/>
  <c r="Q3814" i="41"/>
  <c r="Q3815" i="41"/>
  <c r="Q3816" i="41"/>
  <c r="Q3817" i="41"/>
  <c r="Q3818" i="41"/>
  <c r="Q3819" i="41"/>
  <c r="Q3820" i="41"/>
  <c r="Q3821" i="41"/>
  <c r="Q3822" i="41"/>
  <c r="Q3823" i="41"/>
  <c r="Q3824" i="41"/>
  <c r="Q3825" i="41"/>
  <c r="Q3826" i="41"/>
  <c r="Q3827" i="41"/>
  <c r="Q3828" i="41"/>
  <c r="Q3829" i="41"/>
  <c r="Q3830" i="41"/>
  <c r="Q3831" i="41"/>
  <c r="Q3832" i="41"/>
  <c r="Q3833" i="41"/>
  <c r="Q3834" i="41"/>
  <c r="Q3835" i="41"/>
  <c r="Q3836" i="41"/>
  <c r="Q3837" i="41"/>
  <c r="Q3838" i="41"/>
  <c r="Q3839" i="41"/>
  <c r="Q3840" i="41"/>
  <c r="Q3841" i="41"/>
  <c r="Q3842" i="41"/>
  <c r="Q3843" i="41"/>
  <c r="Q3844" i="41"/>
  <c r="Q3845" i="41"/>
  <c r="Q3846" i="41"/>
  <c r="Q3847" i="41"/>
  <c r="Q3848" i="41"/>
  <c r="Q3849" i="41"/>
  <c r="Q3850" i="41"/>
  <c r="Q3851" i="41"/>
  <c r="Q3852" i="41"/>
  <c r="Q3853" i="41"/>
  <c r="Q3854" i="41"/>
  <c r="Q3855" i="41"/>
  <c r="Q3856" i="41"/>
  <c r="Q3857" i="41"/>
  <c r="Q3858" i="41"/>
  <c r="Q3859" i="41"/>
  <c r="Q3860" i="41"/>
  <c r="Q3861" i="41"/>
  <c r="Q3862" i="41"/>
  <c r="Q3863" i="41"/>
  <c r="Q3864" i="41"/>
  <c r="Q3865" i="41"/>
  <c r="Q3866" i="41"/>
  <c r="Q3867" i="41"/>
  <c r="Q3868" i="41"/>
  <c r="Q3869" i="41"/>
  <c r="Q3870" i="41"/>
  <c r="Q3871" i="41"/>
  <c r="Q3872" i="41"/>
  <c r="Q3873" i="41"/>
  <c r="Q3874" i="41"/>
  <c r="Q3875" i="41"/>
  <c r="Q3876" i="41"/>
  <c r="Q3877" i="41"/>
  <c r="Q3878" i="41"/>
  <c r="Q3879" i="41"/>
  <c r="Q3880" i="41"/>
  <c r="Q3881" i="41"/>
  <c r="Q3882" i="41"/>
  <c r="Q3883" i="41"/>
  <c r="Q3884" i="41"/>
  <c r="Q3885" i="41"/>
  <c r="Q3886" i="41"/>
  <c r="Q3887" i="41"/>
  <c r="Q3888" i="41"/>
  <c r="Q3889" i="41"/>
  <c r="Q3890" i="41"/>
  <c r="Q3891" i="41"/>
  <c r="Q3892" i="41"/>
  <c r="Q3893" i="41"/>
  <c r="Q3894" i="41"/>
  <c r="Q3895" i="41"/>
  <c r="Q3896" i="41"/>
  <c r="Q3897" i="41"/>
  <c r="Q3898" i="41"/>
  <c r="Q3899" i="41"/>
  <c r="Q3900" i="41"/>
  <c r="Q3901" i="41"/>
  <c r="Q3902" i="41"/>
  <c r="Q3903" i="41"/>
  <c r="Q3904" i="41"/>
  <c r="Q3905" i="41"/>
  <c r="Q3906" i="41"/>
  <c r="Q3907" i="41"/>
  <c r="Q3908" i="41"/>
  <c r="Q3909" i="41"/>
  <c r="Q3910" i="41"/>
  <c r="Q3911" i="41"/>
  <c r="Q3912" i="41"/>
  <c r="Q3913" i="41"/>
  <c r="Q3914" i="41"/>
  <c r="Q3915" i="41"/>
  <c r="Q3916" i="41"/>
  <c r="Q3917" i="41"/>
  <c r="Q3918" i="41"/>
  <c r="Q3919" i="41"/>
  <c r="Q3920" i="41"/>
  <c r="Q3921" i="41"/>
  <c r="Q3922" i="41"/>
  <c r="Q3923" i="41"/>
  <c r="Q3924" i="41"/>
  <c r="Q3925" i="41"/>
  <c r="Q3926" i="41"/>
  <c r="Q3927" i="41"/>
  <c r="Q3928" i="41"/>
  <c r="Q3929" i="41"/>
  <c r="Q3930" i="41"/>
  <c r="Q3931" i="41"/>
  <c r="Q3932" i="41"/>
  <c r="Q3933" i="41"/>
  <c r="Q3934" i="41"/>
  <c r="Q3935" i="41"/>
  <c r="Q3936" i="41"/>
  <c r="Q3937" i="41"/>
  <c r="Q3938" i="41"/>
  <c r="Q3939" i="41"/>
  <c r="Q3940" i="41"/>
  <c r="Q3941" i="41"/>
  <c r="Q3942" i="41"/>
  <c r="Q3943" i="41"/>
  <c r="Q3944" i="41"/>
  <c r="Q3945" i="41"/>
  <c r="Q3946" i="41"/>
  <c r="Q3947" i="41"/>
  <c r="Q3948" i="41"/>
  <c r="Q3949" i="41"/>
  <c r="Q3950" i="41"/>
  <c r="Q3951" i="41"/>
  <c r="Q3952" i="41"/>
  <c r="Q3953" i="41"/>
  <c r="Q3954" i="41"/>
  <c r="Q3955" i="41"/>
  <c r="Q3956" i="41"/>
  <c r="Q3957" i="41"/>
  <c r="Q3958" i="41"/>
  <c r="Q3959" i="41"/>
  <c r="Q3960" i="41"/>
  <c r="Q3961" i="41"/>
  <c r="Q3962" i="41"/>
  <c r="Q3963" i="41"/>
  <c r="Q3964" i="41"/>
  <c r="Q3965" i="41"/>
  <c r="Q3966" i="41"/>
  <c r="Q3967" i="41"/>
  <c r="Q3968" i="41"/>
  <c r="Q3969" i="41"/>
  <c r="Q3970" i="41"/>
  <c r="Q3971" i="41"/>
  <c r="Q3972" i="41"/>
  <c r="Q3973" i="41"/>
  <c r="Q3974" i="41"/>
  <c r="Q3975" i="41"/>
  <c r="Q3976" i="41"/>
  <c r="Q3977" i="41"/>
  <c r="Q3978" i="41"/>
  <c r="Q3979" i="41"/>
  <c r="Q3980" i="41"/>
  <c r="Q3981" i="41"/>
  <c r="Q3982" i="41"/>
  <c r="Q3983" i="41"/>
  <c r="Q3984" i="41"/>
  <c r="Q3985" i="41"/>
  <c r="Q3986" i="41"/>
  <c r="Q3987" i="41"/>
  <c r="Q3988" i="41"/>
  <c r="Q3989" i="41"/>
  <c r="Q3990" i="41"/>
  <c r="Q3991" i="41"/>
  <c r="Q3992" i="41"/>
  <c r="Q3993" i="41"/>
  <c r="Q3994" i="41"/>
  <c r="Q3995" i="41"/>
  <c r="Q3996" i="41"/>
  <c r="Q3997" i="41"/>
  <c r="Q3998" i="41"/>
  <c r="Q3999" i="41"/>
  <c r="Q4000" i="41"/>
  <c r="Q4001" i="41"/>
  <c r="Q4002" i="41"/>
  <c r="Q4003" i="41"/>
  <c r="Q4004" i="41"/>
  <c r="Q4005" i="41"/>
  <c r="Q4006" i="41"/>
  <c r="Q4007" i="41"/>
  <c r="Q4008" i="41"/>
  <c r="Q4009" i="41"/>
  <c r="Q4010" i="41"/>
  <c r="Q4011" i="41"/>
  <c r="Q4012" i="41"/>
  <c r="Q4013" i="41"/>
  <c r="Q4014" i="41"/>
  <c r="Q4015" i="41"/>
  <c r="Q4016" i="41"/>
  <c r="Q4017" i="41"/>
  <c r="Q4018" i="41"/>
  <c r="Q4019" i="41"/>
  <c r="Q4020" i="41"/>
  <c r="Q4021" i="41"/>
  <c r="Q4022" i="41"/>
  <c r="Q4023" i="41"/>
  <c r="Q4024" i="41"/>
  <c r="Q4025" i="41"/>
  <c r="Q4026" i="41"/>
  <c r="Q4027" i="41"/>
  <c r="Q4028" i="41"/>
  <c r="Q4029" i="41"/>
  <c r="Q4030" i="41"/>
  <c r="Q4031" i="41"/>
  <c r="Q4032" i="41"/>
  <c r="Q4033" i="41"/>
  <c r="Q4034" i="41"/>
  <c r="Q4035" i="41"/>
  <c r="Q4036" i="41"/>
  <c r="Q4037" i="41"/>
  <c r="Q4038" i="41"/>
  <c r="Q4039" i="41"/>
  <c r="Q4040" i="41"/>
  <c r="Q4041" i="41"/>
  <c r="Q4042" i="41"/>
  <c r="Q4043" i="41"/>
  <c r="Q4044" i="41"/>
  <c r="Q4045" i="41"/>
  <c r="Q4046" i="41"/>
  <c r="Q4047" i="41"/>
  <c r="Q4048" i="41"/>
  <c r="Q4049" i="41"/>
  <c r="Q4050" i="41"/>
  <c r="Q4051" i="41"/>
  <c r="Q4052" i="41"/>
  <c r="Q4053" i="41"/>
  <c r="Q4054" i="41"/>
  <c r="Q4055" i="41"/>
  <c r="Q4056" i="41"/>
  <c r="Q4057" i="41"/>
  <c r="Q4058" i="41"/>
  <c r="Q4059" i="41"/>
  <c r="Q4060" i="41"/>
  <c r="Q4061" i="41"/>
  <c r="Q4062" i="41"/>
  <c r="Q4063" i="41"/>
  <c r="Q4064" i="41"/>
  <c r="Q4065" i="41"/>
  <c r="Q4066" i="41"/>
  <c r="Q4067" i="41"/>
  <c r="Q4068" i="41"/>
  <c r="Q4069" i="41"/>
  <c r="Q4070" i="41"/>
  <c r="Q4071" i="41"/>
  <c r="Q4072" i="41"/>
  <c r="Q4073" i="41"/>
  <c r="Q4074" i="41"/>
  <c r="Q4075" i="41"/>
  <c r="Q4076" i="41"/>
  <c r="Q4077" i="41"/>
  <c r="Q4078" i="41"/>
  <c r="Q4079" i="41"/>
  <c r="Q4080" i="41"/>
  <c r="Q4081" i="41"/>
  <c r="Q4082" i="41"/>
  <c r="Q4083" i="41"/>
  <c r="Q4084" i="41"/>
  <c r="Q4085" i="41"/>
  <c r="Q4086" i="41"/>
  <c r="Q4087" i="41"/>
  <c r="Q4088" i="41"/>
  <c r="Q4089" i="41"/>
  <c r="Q4090" i="41"/>
  <c r="Q4091" i="41"/>
  <c r="Q4092" i="41"/>
  <c r="Q4093" i="41"/>
  <c r="Q4094" i="41"/>
  <c r="Q4095" i="41"/>
  <c r="Q4096" i="41"/>
  <c r="Q4097" i="41"/>
  <c r="Q4098" i="41"/>
  <c r="Q4099" i="41"/>
  <c r="Q4100" i="41"/>
  <c r="Q4101" i="41"/>
  <c r="Q4102" i="41"/>
  <c r="Q4103" i="41"/>
  <c r="Q4104" i="41"/>
  <c r="Q4105" i="41"/>
  <c r="Q4106" i="41"/>
  <c r="Q4107" i="41"/>
  <c r="Q4108" i="41"/>
  <c r="Q4109" i="41"/>
  <c r="Q4110" i="41"/>
  <c r="Q4111" i="41"/>
  <c r="Q4112" i="41"/>
  <c r="Q4113" i="41"/>
  <c r="Q4114" i="41"/>
  <c r="Q4115" i="41"/>
  <c r="Q4116" i="41"/>
  <c r="Q4117" i="41"/>
  <c r="Q4118" i="41"/>
  <c r="Q4119" i="41"/>
  <c r="Q4120" i="41"/>
  <c r="Q4121" i="41"/>
  <c r="Q4122" i="41"/>
  <c r="Q4123" i="41"/>
  <c r="Q4124" i="41"/>
  <c r="Q4125" i="41"/>
  <c r="Q4126" i="41"/>
  <c r="Q4127" i="41"/>
  <c r="Q4128" i="41"/>
  <c r="Q4129" i="41"/>
  <c r="Q4130" i="41"/>
  <c r="Q4131" i="41"/>
  <c r="Q4132" i="41"/>
  <c r="Q4133" i="41"/>
  <c r="Q4134" i="41"/>
  <c r="Q4135" i="41"/>
  <c r="Q4136" i="41"/>
  <c r="Q4137" i="41"/>
  <c r="Q4138" i="41"/>
  <c r="Q4139" i="41"/>
  <c r="Q4140" i="41"/>
  <c r="Q4141" i="41"/>
  <c r="Q4142" i="41"/>
  <c r="Q4143" i="41"/>
  <c r="Q4144" i="41"/>
  <c r="Q4145" i="41"/>
  <c r="Q4146" i="41"/>
  <c r="Q4147" i="41"/>
  <c r="Q4148" i="41"/>
  <c r="Q4149" i="41"/>
  <c r="Q4150" i="41"/>
  <c r="Q4151" i="41"/>
  <c r="Q4152" i="41"/>
  <c r="Q4153" i="41"/>
  <c r="Q4154" i="41"/>
  <c r="Q4155" i="41"/>
  <c r="Q4156" i="41"/>
  <c r="Q4157" i="41"/>
  <c r="Q4158" i="41"/>
  <c r="Q4159" i="41"/>
  <c r="Q4160" i="41"/>
  <c r="Q4161" i="41"/>
  <c r="Q4162" i="41"/>
  <c r="Q4163" i="41"/>
  <c r="Q4164" i="41"/>
  <c r="Q4165" i="41"/>
  <c r="Q4166" i="41"/>
  <c r="Q4167" i="41"/>
  <c r="Q4168" i="41"/>
  <c r="Q4169" i="41"/>
  <c r="Q4170" i="41"/>
  <c r="Q4171" i="41"/>
  <c r="Q4172" i="41"/>
  <c r="Q4173" i="41"/>
  <c r="Q4174" i="41"/>
  <c r="Q4175" i="41"/>
  <c r="Q4176" i="41"/>
  <c r="Q4177" i="41"/>
  <c r="Q4178" i="41"/>
  <c r="Q4179" i="41"/>
  <c r="Q4180" i="41"/>
  <c r="Q4181" i="41"/>
  <c r="Q4182" i="41"/>
  <c r="Q4183" i="41"/>
  <c r="Q4184" i="41"/>
  <c r="Q4185" i="41"/>
  <c r="Q4186" i="41"/>
  <c r="Q4187" i="41"/>
  <c r="Q4188" i="41"/>
  <c r="Q4189" i="41"/>
  <c r="Q4190" i="41"/>
  <c r="Q4191" i="41"/>
  <c r="Q4192" i="41"/>
  <c r="Q4193" i="41"/>
  <c r="Q4194" i="41"/>
  <c r="Q4195" i="41"/>
  <c r="Q4196" i="41"/>
  <c r="Q4197" i="41"/>
  <c r="Q4198" i="41"/>
  <c r="Q4199" i="41"/>
  <c r="Q4200" i="41"/>
  <c r="Q4201" i="41"/>
  <c r="Q4202" i="41"/>
  <c r="Q4203" i="41"/>
  <c r="Q4204" i="41"/>
  <c r="Q4205" i="41"/>
  <c r="Q4206" i="41"/>
  <c r="Q4207" i="41"/>
  <c r="Q4208" i="41"/>
  <c r="Q4209" i="41"/>
  <c r="Q4210" i="41"/>
  <c r="Q4211" i="41"/>
  <c r="Q4212" i="41"/>
  <c r="Q4213" i="41"/>
  <c r="Q4214" i="41"/>
  <c r="Q4215" i="41"/>
  <c r="Q4216" i="41"/>
  <c r="Q4217" i="41"/>
  <c r="Q4218" i="41"/>
  <c r="Q4219" i="41"/>
  <c r="Q4220" i="41"/>
  <c r="Q4221" i="41"/>
  <c r="Q4222" i="41"/>
  <c r="Q4223" i="41"/>
  <c r="Q4224" i="41"/>
  <c r="Q4225" i="41"/>
  <c r="Q4226" i="41"/>
  <c r="Q4227" i="41"/>
  <c r="Q4228" i="41"/>
  <c r="Q4229" i="41"/>
  <c r="Q4230" i="41"/>
  <c r="Q4231" i="41"/>
  <c r="Q4232" i="41"/>
  <c r="Q4233" i="41"/>
  <c r="Q4234" i="41"/>
  <c r="Q4235" i="41"/>
  <c r="Q4236" i="41"/>
  <c r="Q4237" i="41"/>
  <c r="Q4238" i="41"/>
  <c r="Q4239" i="41"/>
  <c r="Q4240" i="41"/>
  <c r="Q4241" i="41"/>
  <c r="Q4242" i="41"/>
  <c r="Q4243" i="41"/>
  <c r="Q4244" i="41"/>
  <c r="Q4245" i="41"/>
  <c r="Q4246" i="41"/>
  <c r="Q4247" i="41"/>
  <c r="Q4248" i="41"/>
  <c r="Q4249" i="41"/>
  <c r="Q4250" i="41"/>
  <c r="Q4251" i="41"/>
  <c r="Q4252" i="41"/>
  <c r="Q4253" i="41"/>
  <c r="Q4254" i="41"/>
  <c r="Q4255" i="41"/>
  <c r="Q4256" i="41"/>
  <c r="Q4257" i="41"/>
  <c r="Q4258" i="41"/>
  <c r="Q4259" i="41"/>
  <c r="Q4260" i="41"/>
  <c r="Q4261" i="41"/>
  <c r="Q4262" i="41"/>
  <c r="Q4263" i="41"/>
  <c r="Q4264" i="41"/>
  <c r="Q4265" i="41"/>
  <c r="Q4266" i="41"/>
  <c r="Q4267" i="41"/>
  <c r="Q4268" i="41"/>
  <c r="Q4269" i="41"/>
  <c r="Q4270" i="41"/>
  <c r="Q4271" i="41"/>
  <c r="Q4272" i="41"/>
  <c r="Q4273" i="41"/>
  <c r="Q4274" i="41"/>
  <c r="Q4275" i="41"/>
  <c r="Q4276" i="41"/>
  <c r="Q4277" i="41"/>
  <c r="Q4278" i="41"/>
  <c r="Q4279" i="41"/>
  <c r="Q4280" i="41"/>
  <c r="Q4281" i="41"/>
  <c r="Q4282" i="41"/>
  <c r="Q4283" i="41"/>
  <c r="Q4284" i="41"/>
  <c r="Q4285" i="41"/>
  <c r="Q4286" i="41"/>
  <c r="Q4287" i="41"/>
  <c r="Q4288" i="41"/>
  <c r="Q4289" i="41"/>
  <c r="Q4290" i="41"/>
  <c r="Q4291" i="41"/>
  <c r="Q4292" i="41"/>
  <c r="Q4293" i="41"/>
  <c r="Q4294" i="41"/>
  <c r="Q4295" i="41"/>
  <c r="Q4296" i="41"/>
  <c r="Q4297" i="41"/>
  <c r="Q4298" i="41"/>
  <c r="Q4299" i="41"/>
  <c r="Q4300" i="41"/>
  <c r="Q4301" i="41"/>
  <c r="Q4302" i="41"/>
  <c r="Q4303" i="41"/>
  <c r="Q4304" i="41"/>
  <c r="Q4305" i="41"/>
  <c r="Q4306" i="41"/>
  <c r="Q4307" i="41"/>
  <c r="Q4308" i="41"/>
  <c r="Q4309" i="41"/>
  <c r="Q4310" i="41"/>
  <c r="Q4311" i="41"/>
  <c r="Q4312" i="41"/>
  <c r="Q4313" i="41"/>
  <c r="Q4314" i="41"/>
  <c r="Q4315" i="41"/>
  <c r="Q4316" i="41"/>
  <c r="Q4317" i="41"/>
  <c r="Q4318" i="41"/>
  <c r="Q4319" i="41"/>
  <c r="Q4320" i="41"/>
  <c r="Q4321" i="41"/>
  <c r="Q4322" i="41"/>
  <c r="Q4323" i="41"/>
  <c r="Q4324" i="41"/>
  <c r="Q4325" i="41"/>
  <c r="Q4326" i="41"/>
  <c r="Q4327" i="41"/>
  <c r="Q4328" i="41"/>
  <c r="Q4329" i="41"/>
  <c r="Q4330" i="41"/>
  <c r="Q4331" i="41"/>
  <c r="Q4332" i="41"/>
  <c r="Q4333" i="41"/>
  <c r="Q4334" i="41"/>
  <c r="Q4335" i="41"/>
  <c r="Q4336" i="41"/>
  <c r="Q4337" i="41"/>
  <c r="Q4338" i="41"/>
  <c r="Q4339" i="41"/>
  <c r="Q4340" i="41"/>
  <c r="Q4341" i="41"/>
  <c r="Q4342" i="41"/>
  <c r="Q4343" i="41"/>
  <c r="Q4344" i="41"/>
  <c r="Q4345" i="41"/>
  <c r="Q4346" i="41"/>
  <c r="Q4347" i="41"/>
  <c r="Q4348" i="41"/>
  <c r="Q4349" i="41"/>
  <c r="Q4350" i="41"/>
  <c r="Q4351" i="41"/>
  <c r="Q4352" i="41"/>
  <c r="Q4353" i="41"/>
  <c r="Q4354" i="41"/>
  <c r="Q4355" i="41"/>
  <c r="Q4356" i="41"/>
  <c r="Q4357" i="41"/>
  <c r="Q4358" i="41"/>
  <c r="Q4359" i="41"/>
  <c r="Q4360" i="41"/>
  <c r="Q4361" i="41"/>
  <c r="Q4362" i="41"/>
  <c r="Q4363" i="41"/>
  <c r="Q4364" i="41"/>
  <c r="Q4365" i="41"/>
  <c r="Q4366" i="41"/>
  <c r="Q4367" i="41"/>
  <c r="Q4368" i="41"/>
  <c r="Q4369" i="41"/>
  <c r="Q4370" i="41"/>
  <c r="Q4371" i="41"/>
  <c r="Q4372" i="41"/>
  <c r="Q4373" i="41"/>
  <c r="Q4374" i="41"/>
  <c r="Q4375" i="41"/>
  <c r="Q4376" i="41"/>
  <c r="Q4377" i="41"/>
  <c r="Q4378" i="41"/>
  <c r="Q4379" i="41"/>
  <c r="Q4380" i="41"/>
  <c r="Q4381" i="41"/>
  <c r="Q4382" i="41"/>
  <c r="Q4383" i="41"/>
  <c r="Q4384" i="41"/>
  <c r="Q4385" i="41"/>
  <c r="Q4386" i="41"/>
  <c r="Q4387" i="41"/>
  <c r="Q4388" i="41"/>
  <c r="Q4389" i="41"/>
  <c r="Q4390" i="41"/>
  <c r="Q4391" i="41"/>
  <c r="Q4392" i="41"/>
  <c r="Q4393" i="41"/>
  <c r="Q4394" i="41"/>
  <c r="Q4395" i="41"/>
  <c r="Q4396" i="41"/>
  <c r="Q4397" i="41"/>
  <c r="Q4398" i="41"/>
  <c r="Q4399" i="41"/>
  <c r="Q4400" i="41"/>
  <c r="Q4401" i="41"/>
  <c r="Q4402" i="41"/>
  <c r="Q4403" i="41"/>
  <c r="Q4404" i="41"/>
  <c r="Q4405" i="41"/>
  <c r="Q4406" i="41"/>
  <c r="Q4407" i="41"/>
  <c r="Q4408" i="41"/>
  <c r="Q4409" i="41"/>
  <c r="Q4410" i="41"/>
  <c r="Q4411" i="41"/>
  <c r="Q4412" i="41"/>
  <c r="Q4413" i="41"/>
  <c r="Q4414" i="41"/>
  <c r="Q4415" i="41"/>
  <c r="Q4416" i="41"/>
  <c r="Q4417" i="41"/>
  <c r="Q4418" i="41"/>
  <c r="Q4419" i="41"/>
  <c r="Q4420" i="41"/>
  <c r="Q4421" i="41"/>
  <c r="Q4422" i="41"/>
  <c r="Q4423" i="41"/>
  <c r="Q4424" i="41"/>
  <c r="Q4425" i="41"/>
  <c r="Q4426" i="41"/>
  <c r="Q4427" i="41"/>
  <c r="Q4428" i="41"/>
  <c r="Q4429" i="41"/>
  <c r="Q4430" i="41"/>
  <c r="Q4431" i="41"/>
  <c r="Q4432" i="41"/>
  <c r="Q4433" i="41"/>
  <c r="Q4434" i="41"/>
  <c r="Q4435" i="41"/>
  <c r="Q4436" i="41"/>
  <c r="Q4437" i="41"/>
  <c r="Q4438" i="41"/>
  <c r="Q4439" i="41"/>
  <c r="Q4440" i="41"/>
  <c r="Q4441" i="41"/>
  <c r="Q4442" i="41"/>
  <c r="Q4443" i="41"/>
  <c r="Q4444" i="41"/>
  <c r="Q4445" i="41"/>
  <c r="Q4446" i="41"/>
  <c r="Q4447" i="41"/>
  <c r="Q4448" i="41"/>
  <c r="Q4449" i="41"/>
  <c r="Q4450" i="41"/>
  <c r="Q4451" i="41"/>
  <c r="Q4452" i="41"/>
  <c r="Q4453" i="41"/>
  <c r="Q4454" i="41"/>
  <c r="Q4455" i="41"/>
  <c r="Q4456" i="41"/>
  <c r="Q4457" i="41"/>
  <c r="Q4458" i="41"/>
  <c r="Q4459" i="41"/>
  <c r="Q4460" i="41"/>
  <c r="Q4461" i="41"/>
  <c r="Q4462" i="41"/>
  <c r="Q4463" i="41"/>
  <c r="Q4464" i="41"/>
  <c r="Q4465" i="41"/>
  <c r="Q4466" i="41"/>
  <c r="Q4467" i="41"/>
  <c r="Q4468" i="41"/>
  <c r="Q4469" i="41"/>
  <c r="Q4470" i="41"/>
  <c r="Q4471" i="41"/>
  <c r="Q4472" i="41"/>
  <c r="Q4473" i="41"/>
  <c r="Q4474" i="41"/>
  <c r="Q4475" i="41"/>
  <c r="Q4476" i="41"/>
  <c r="Q4477" i="41"/>
  <c r="Q4478" i="41"/>
  <c r="Q4479" i="41"/>
  <c r="Q4480" i="41"/>
  <c r="Q4481" i="41"/>
  <c r="Q4482" i="41"/>
  <c r="Q4483" i="41"/>
  <c r="Q4484" i="41"/>
  <c r="Q4485" i="41"/>
  <c r="Q4486" i="41"/>
  <c r="Q4487" i="41"/>
  <c r="Q4488" i="41"/>
  <c r="Q4489" i="41"/>
  <c r="Q4490" i="41"/>
  <c r="Q4491" i="41"/>
  <c r="Q4492" i="41"/>
  <c r="Q4493" i="41"/>
  <c r="Q4494" i="41"/>
  <c r="Q4495" i="41"/>
  <c r="Q4496" i="41"/>
  <c r="Q4497" i="41"/>
  <c r="Q4498" i="41"/>
  <c r="Q4499" i="41"/>
  <c r="Q4500" i="41"/>
  <c r="Q4501" i="41"/>
  <c r="Q4502" i="41"/>
  <c r="Q4503" i="41"/>
  <c r="Q4504" i="41"/>
  <c r="Q4505" i="41"/>
  <c r="Q4506" i="41"/>
  <c r="Q4507" i="41"/>
  <c r="Q4508" i="41"/>
  <c r="Q4509" i="41"/>
  <c r="Q4510" i="41"/>
  <c r="Q4511" i="41"/>
  <c r="Q4512" i="41"/>
  <c r="Q4513" i="41"/>
  <c r="Q4514" i="41"/>
  <c r="Q4515" i="41"/>
  <c r="Q4516" i="41"/>
  <c r="Q4517" i="41"/>
  <c r="Q4518" i="41"/>
  <c r="Q4519" i="41"/>
  <c r="Q4520" i="41"/>
  <c r="Q4521" i="41"/>
  <c r="Q4522" i="41"/>
  <c r="Q4523" i="41"/>
  <c r="Q4524" i="41"/>
  <c r="Q4525" i="41"/>
  <c r="Q4526" i="41"/>
  <c r="Q4527" i="41"/>
  <c r="Q4528" i="41"/>
  <c r="Q4529" i="41"/>
  <c r="Q4530" i="41"/>
  <c r="Q4531" i="41"/>
  <c r="Q4532" i="41"/>
  <c r="Q4533" i="41"/>
  <c r="Q4534" i="41"/>
  <c r="Q4535" i="41"/>
  <c r="Q4536" i="41"/>
  <c r="Q4537" i="41"/>
  <c r="Q4538" i="41"/>
  <c r="Q4539" i="41"/>
  <c r="Q4540" i="41"/>
  <c r="Q4541" i="41"/>
  <c r="Q4542" i="41"/>
  <c r="Q4543" i="41"/>
  <c r="Q4544" i="41"/>
  <c r="Q4545" i="41"/>
  <c r="Q4546" i="41"/>
  <c r="Q4547" i="41"/>
  <c r="Q4548" i="41"/>
  <c r="Q4549" i="41"/>
  <c r="Q4550" i="41"/>
  <c r="Q4551" i="41"/>
  <c r="Q4552" i="41"/>
  <c r="Q4553" i="41"/>
  <c r="Q4554" i="41"/>
  <c r="Q4555" i="41"/>
  <c r="Q4556" i="41"/>
  <c r="Q4557" i="41"/>
  <c r="Q4558" i="41"/>
  <c r="Q4559" i="41"/>
  <c r="Q4560" i="41"/>
  <c r="Q4561" i="41"/>
  <c r="Q4562" i="41"/>
  <c r="Q4563" i="41"/>
  <c r="Q4564" i="41"/>
  <c r="Q4565" i="41"/>
  <c r="Q4566" i="41"/>
  <c r="Q4567" i="41"/>
  <c r="Q4568" i="41"/>
  <c r="Q4569" i="41"/>
  <c r="Q4570" i="41"/>
  <c r="Q4571" i="41"/>
  <c r="Q4572" i="41"/>
  <c r="Q4573" i="41"/>
  <c r="Q4574" i="41"/>
  <c r="Q4575" i="41"/>
  <c r="Q4576" i="41"/>
  <c r="Q4577" i="41"/>
  <c r="Q4578" i="41"/>
  <c r="Q4579" i="41"/>
  <c r="Q4580" i="41"/>
  <c r="Q4581" i="41"/>
  <c r="Q4582" i="41"/>
  <c r="Q4583" i="41"/>
  <c r="Q4584" i="41"/>
  <c r="Q4585" i="41"/>
  <c r="Q4586" i="41"/>
  <c r="Q4587" i="41"/>
  <c r="Q4588" i="41"/>
  <c r="Q4589" i="41"/>
  <c r="Q4590" i="41"/>
  <c r="Q4591" i="41"/>
  <c r="Q4592" i="41"/>
  <c r="Q4593" i="41"/>
  <c r="Q4594" i="41"/>
  <c r="Q4595" i="41"/>
  <c r="Q4596" i="41"/>
  <c r="Q4597" i="41"/>
  <c r="Q4598" i="41"/>
  <c r="Q4599" i="41"/>
  <c r="Q4600" i="41"/>
  <c r="Q4601" i="41"/>
  <c r="Q4602" i="41"/>
  <c r="Q4603" i="41"/>
  <c r="Q4604" i="41"/>
  <c r="Q4605" i="41"/>
  <c r="Q4606" i="41"/>
  <c r="Q4607" i="41"/>
  <c r="Q4608" i="41"/>
  <c r="Q4609" i="41"/>
  <c r="Q4610" i="41"/>
  <c r="Q4611" i="41"/>
  <c r="Q4612" i="41"/>
  <c r="Q4613" i="41"/>
  <c r="Q4614" i="41"/>
  <c r="Q4615" i="41"/>
  <c r="Q4616" i="41"/>
  <c r="Q4617" i="41"/>
  <c r="Q4618" i="41"/>
  <c r="Q4619" i="41"/>
  <c r="Q4620" i="41"/>
  <c r="Q4621" i="41"/>
  <c r="Q4622" i="41"/>
  <c r="Q4623" i="41"/>
  <c r="Q4624" i="41"/>
  <c r="Q4625" i="41"/>
  <c r="Q4626" i="41"/>
  <c r="Q4627" i="41"/>
  <c r="Q4628" i="41"/>
  <c r="Q4629" i="41"/>
  <c r="Q4630" i="41"/>
  <c r="Q4631" i="41"/>
  <c r="Q4632" i="41"/>
  <c r="Q4633" i="41"/>
  <c r="Q4634" i="41"/>
  <c r="Q4635" i="41"/>
  <c r="Q4636" i="41"/>
  <c r="Q4637" i="41"/>
  <c r="Q4638" i="41"/>
  <c r="Q4639" i="41"/>
  <c r="Q4640" i="41"/>
  <c r="Q4641" i="41"/>
  <c r="Q4642" i="41"/>
  <c r="Q4643" i="41"/>
  <c r="Q4644" i="41"/>
  <c r="Q4645" i="41"/>
  <c r="Q4646" i="41"/>
  <c r="Q4647" i="41"/>
  <c r="Q4648" i="41"/>
  <c r="Q4649" i="41"/>
  <c r="Q4650" i="41"/>
  <c r="Q4651" i="41"/>
  <c r="Q4652" i="41"/>
  <c r="Q4653" i="41"/>
  <c r="Q4654" i="41"/>
  <c r="Q4655" i="41"/>
  <c r="Q4656" i="41"/>
  <c r="Q4657" i="41"/>
  <c r="Q4658" i="41"/>
  <c r="Q4659" i="41"/>
  <c r="Q4660" i="41"/>
  <c r="Q4661" i="41"/>
  <c r="Q4662" i="41"/>
  <c r="Q4663" i="41"/>
  <c r="Q4664" i="41"/>
  <c r="Q4665" i="41"/>
  <c r="Q4666" i="41"/>
  <c r="Q4667" i="41"/>
  <c r="Q4668" i="41"/>
  <c r="Q4669" i="41"/>
  <c r="Q4670" i="41"/>
  <c r="Q4671" i="41"/>
  <c r="Q4672" i="41"/>
  <c r="Q4673" i="41"/>
  <c r="Q4674" i="41"/>
  <c r="Q4675" i="41"/>
  <c r="Q4676" i="41"/>
  <c r="Q4677" i="41"/>
  <c r="Q4678" i="41"/>
  <c r="Q4679" i="41"/>
  <c r="Q4680" i="41"/>
  <c r="Q4681" i="41"/>
  <c r="Q4682" i="41"/>
  <c r="Q4683" i="41"/>
  <c r="Q4684" i="41"/>
  <c r="Q4685" i="41"/>
  <c r="Q4686" i="41"/>
  <c r="Q4687" i="41"/>
  <c r="Q4688" i="41"/>
  <c r="Q4689" i="41"/>
  <c r="Q4690" i="41"/>
  <c r="Q4691" i="41"/>
  <c r="Q4692" i="41"/>
  <c r="Q4693" i="41"/>
  <c r="Q4694" i="41"/>
  <c r="Q4695" i="41"/>
  <c r="Q4696" i="41"/>
  <c r="Q4697" i="41"/>
  <c r="Q4698" i="41"/>
  <c r="Q4699" i="41"/>
  <c r="Q4700" i="41"/>
  <c r="Q4701" i="41"/>
  <c r="Q4702" i="41"/>
  <c r="Q4703" i="41"/>
  <c r="Q4704" i="41"/>
  <c r="Q4705" i="41"/>
  <c r="Q4706" i="41"/>
  <c r="Q4707" i="41"/>
  <c r="Q4708" i="41"/>
  <c r="Q4709" i="41"/>
  <c r="Q4710" i="41"/>
  <c r="Q4711" i="41"/>
  <c r="Q4712" i="41"/>
  <c r="Q4713" i="41"/>
  <c r="Q4714" i="41"/>
  <c r="Q4715" i="41"/>
  <c r="Q4716" i="41"/>
  <c r="Q4717" i="41"/>
  <c r="Q4718" i="41"/>
  <c r="Q4719" i="41"/>
  <c r="Q4720" i="41"/>
  <c r="Q4721" i="41"/>
  <c r="Q4722" i="41"/>
  <c r="Q4723" i="41"/>
  <c r="Q4724" i="41"/>
  <c r="Q4725" i="41"/>
  <c r="Q4726" i="41"/>
  <c r="Q4727" i="41"/>
  <c r="Q4728" i="41"/>
  <c r="Q4729" i="41"/>
  <c r="Q4730" i="41"/>
  <c r="Q4731" i="41"/>
  <c r="Q4732" i="41"/>
  <c r="Q4733" i="41"/>
  <c r="Q4734" i="41"/>
  <c r="Q4735" i="41"/>
  <c r="Q4736" i="41"/>
  <c r="Q4737" i="41"/>
  <c r="Q4738" i="41"/>
  <c r="Q4739" i="41"/>
  <c r="Q4740" i="41"/>
  <c r="Q4741" i="41"/>
  <c r="Q4742" i="41"/>
  <c r="Q4743" i="41"/>
  <c r="Q4744" i="41"/>
  <c r="Q4745" i="41"/>
  <c r="Q4746" i="41"/>
  <c r="Q4747" i="41"/>
  <c r="Q4748" i="41"/>
  <c r="Q4749" i="41"/>
  <c r="Q4750" i="41"/>
  <c r="Q4751" i="41"/>
  <c r="Q4752" i="41"/>
  <c r="Q4753" i="41"/>
  <c r="Q4754" i="41"/>
  <c r="Q4755" i="41"/>
  <c r="Q4756" i="41"/>
  <c r="Q4757" i="41"/>
  <c r="Q4758" i="41"/>
  <c r="Q4759" i="41"/>
  <c r="Q4760" i="41"/>
  <c r="Q4761" i="41"/>
  <c r="Q4762" i="41"/>
  <c r="Q4763" i="41"/>
  <c r="Q4764" i="41"/>
  <c r="Q4765" i="41"/>
  <c r="Q4766" i="41"/>
  <c r="Q4767" i="41"/>
  <c r="Q4768" i="41"/>
  <c r="Q4769" i="41"/>
  <c r="Q4770" i="41"/>
  <c r="Q4771" i="41"/>
  <c r="Q4772" i="41"/>
  <c r="Q4773" i="41"/>
  <c r="Q4774" i="41"/>
  <c r="Q4775" i="41"/>
  <c r="Q4776" i="41"/>
  <c r="Q4777" i="41"/>
  <c r="Q4778" i="41"/>
  <c r="Q4779" i="41"/>
  <c r="Q4780" i="41"/>
  <c r="Q4781" i="41"/>
  <c r="Q4782" i="41"/>
  <c r="Q4783" i="41"/>
  <c r="Q4784" i="41"/>
  <c r="Q4785" i="41"/>
  <c r="Q4786" i="41"/>
  <c r="Q4787" i="41"/>
  <c r="Q4788" i="41"/>
  <c r="Q4789" i="41"/>
  <c r="Q4790" i="41"/>
  <c r="Q4791" i="41"/>
  <c r="Q4792" i="41"/>
  <c r="Q4793" i="41"/>
  <c r="Q4794" i="41"/>
  <c r="Q4795" i="41"/>
  <c r="Q4796" i="41"/>
  <c r="Q4797" i="41"/>
  <c r="Q4798" i="41"/>
  <c r="Q4799" i="41"/>
  <c r="Q4800" i="41"/>
  <c r="Q4801" i="41"/>
  <c r="Q4802" i="41"/>
  <c r="Q4803" i="41"/>
  <c r="Q4804" i="41"/>
  <c r="Q4805" i="41"/>
  <c r="Q4806" i="41"/>
  <c r="Q4807" i="41"/>
  <c r="Q4808" i="41"/>
  <c r="Q4809" i="41"/>
  <c r="Q4810" i="41"/>
  <c r="Q4811" i="41"/>
  <c r="Q4812" i="41"/>
  <c r="Q4813" i="41"/>
  <c r="Q4814" i="41"/>
  <c r="Q4815" i="41"/>
  <c r="Q4816" i="41"/>
  <c r="Q4817" i="41"/>
  <c r="Q4818" i="41"/>
  <c r="Q4819" i="41"/>
  <c r="Q4820" i="41"/>
  <c r="Q4821" i="41"/>
  <c r="Q4822" i="41"/>
  <c r="Q4823" i="41"/>
  <c r="Q4824" i="41"/>
  <c r="Q4825" i="41"/>
  <c r="Q4826" i="41"/>
  <c r="Q4827" i="41"/>
  <c r="Q4828" i="41"/>
  <c r="Q4829" i="41"/>
  <c r="Q4830" i="41"/>
  <c r="Q4831" i="41"/>
  <c r="Q4832" i="41"/>
  <c r="Q4833" i="41"/>
  <c r="Q4834" i="41"/>
  <c r="Q4835" i="41"/>
  <c r="Q4836" i="41"/>
  <c r="Q4837" i="41"/>
  <c r="Q4838" i="41"/>
  <c r="Q4839" i="41"/>
  <c r="Q4840" i="41"/>
  <c r="Q4841" i="41"/>
  <c r="Q4842" i="41"/>
  <c r="Q4843" i="41"/>
  <c r="Q4844" i="41"/>
  <c r="Q4845" i="41"/>
  <c r="Q4846" i="41"/>
  <c r="Q4847" i="41"/>
  <c r="Q4848" i="41"/>
  <c r="Q4849" i="41"/>
  <c r="Q4850" i="41"/>
  <c r="Q4851" i="41"/>
  <c r="Q4852" i="41"/>
  <c r="Q4853" i="41"/>
  <c r="Q4854" i="41"/>
  <c r="Q4855" i="41"/>
  <c r="Q4856" i="41"/>
  <c r="Q4857" i="41"/>
  <c r="Q4858" i="41"/>
  <c r="Q4859" i="41"/>
  <c r="Q4860" i="41"/>
  <c r="Q4861" i="41"/>
  <c r="Q4862" i="41"/>
  <c r="Q4863" i="41"/>
  <c r="Q4864" i="41"/>
  <c r="Q4865" i="41"/>
  <c r="Q4866" i="41"/>
  <c r="Q4867" i="41"/>
  <c r="Q4868" i="41"/>
  <c r="Q4869" i="41"/>
  <c r="Q4870" i="41"/>
  <c r="Q4871" i="41"/>
  <c r="Q4872" i="41"/>
  <c r="Q4873" i="41"/>
  <c r="Q4874" i="41"/>
  <c r="Q4875" i="41"/>
  <c r="Q4876" i="41"/>
  <c r="Q4877" i="41"/>
  <c r="Q4878" i="41"/>
  <c r="Q4879" i="41"/>
  <c r="Q4880" i="41"/>
  <c r="Q4881" i="41"/>
  <c r="Q4882" i="41"/>
  <c r="Q4883" i="41"/>
  <c r="Q4884" i="41"/>
  <c r="Q4885" i="41"/>
  <c r="Q4886" i="41"/>
  <c r="Q4887" i="41"/>
  <c r="Q4888" i="41"/>
  <c r="Q4889" i="41"/>
  <c r="Q4890" i="41"/>
  <c r="Q4891" i="41"/>
  <c r="Q4892" i="41"/>
  <c r="Q4893" i="41"/>
  <c r="Q4894" i="41"/>
  <c r="Q4895" i="41"/>
  <c r="Q4896" i="41"/>
  <c r="Q4897" i="41"/>
  <c r="Q4898" i="41"/>
  <c r="Q4899" i="41"/>
  <c r="Q4900" i="41"/>
  <c r="Q4901" i="41"/>
  <c r="Q4902" i="41"/>
  <c r="Q4903" i="41"/>
  <c r="Q4904" i="41"/>
  <c r="Q4905" i="41"/>
  <c r="Q4906" i="41"/>
  <c r="Q4907" i="41"/>
  <c r="Q4908" i="41"/>
  <c r="Q4909" i="41"/>
  <c r="Q4910" i="41"/>
  <c r="Q4911" i="41"/>
  <c r="Q4912" i="41"/>
  <c r="Q4913" i="41"/>
  <c r="Q4914" i="41"/>
  <c r="Q4915" i="41"/>
  <c r="Q4916" i="41"/>
  <c r="Q4917" i="41"/>
  <c r="Q4918" i="41"/>
  <c r="Q4919" i="41"/>
  <c r="Q4920" i="41"/>
  <c r="Q4921" i="41"/>
  <c r="Q4922" i="41"/>
  <c r="Q4923" i="41"/>
  <c r="Q4924" i="41"/>
  <c r="Q4925" i="41"/>
  <c r="Q4926" i="41"/>
  <c r="Q4927" i="41"/>
  <c r="Q4928" i="41"/>
  <c r="Q4929" i="41"/>
  <c r="Q4930" i="41"/>
  <c r="Q4931" i="41"/>
  <c r="Q4932" i="41"/>
  <c r="Q4933" i="41"/>
  <c r="Q4934" i="41"/>
  <c r="Q4935" i="41"/>
  <c r="Q4936" i="41"/>
  <c r="Q4937" i="41"/>
  <c r="Q4938" i="41"/>
  <c r="Q4939" i="41"/>
  <c r="Q4940" i="41"/>
  <c r="Q4941" i="41"/>
  <c r="Q4942" i="41"/>
  <c r="Q4943" i="41"/>
  <c r="Q4944" i="41"/>
  <c r="Q4945" i="41"/>
  <c r="Q4946" i="41"/>
  <c r="Q4947" i="41"/>
  <c r="Q4948" i="41"/>
  <c r="Q4949" i="41"/>
  <c r="Q4950" i="41"/>
  <c r="Q4951" i="41"/>
  <c r="Q4952" i="41"/>
  <c r="Q1197" i="41"/>
  <c r="BM432" i="5" l="1"/>
  <c r="B4950" i="41"/>
  <c r="B4951" i="41"/>
  <c r="B4943" i="41"/>
  <c r="B4944" i="41"/>
  <c r="B4936" i="41"/>
  <c r="B4937" i="41"/>
  <c r="B4929" i="41"/>
  <c r="B4930" i="41"/>
  <c r="B4922" i="41"/>
  <c r="B4923" i="41"/>
  <c r="B4924" i="41"/>
  <c r="B4925" i="41"/>
  <c r="B4926" i="41"/>
  <c r="B4927" i="41"/>
  <c r="B4928" i="41"/>
  <c r="B4931" i="41"/>
  <c r="B4932" i="41"/>
  <c r="B4933" i="41"/>
  <c r="B4934" i="41"/>
  <c r="B4935" i="41"/>
  <c r="B4938" i="41"/>
  <c r="B4939" i="41"/>
  <c r="B4940" i="41"/>
  <c r="B4941" i="41"/>
  <c r="B4942" i="41"/>
  <c r="B4945" i="41"/>
  <c r="B4946" i="41"/>
  <c r="B4947" i="41"/>
  <c r="B4948" i="41"/>
  <c r="B4949" i="41"/>
  <c r="B4952" i="41"/>
  <c r="BU432" i="5"/>
  <c r="BT432" i="5"/>
  <c r="BS432" i="5"/>
  <c r="BQ432" i="5"/>
  <c r="BC432" i="5"/>
  <c r="BA432" i="5"/>
  <c r="BB432" i="5"/>
  <c r="BE432" i="5" s="1"/>
  <c r="AZ432" i="5"/>
  <c r="BK433" i="5" l="1"/>
  <c r="BL433" i="5"/>
  <c r="BD432" i="5"/>
  <c r="BN2" i="5"/>
  <c r="BO2" i="5"/>
  <c r="BP2" i="5"/>
  <c r="BQ2" i="5"/>
  <c r="BR2" i="5"/>
  <c r="BS2" i="5"/>
  <c r="BT2" i="5"/>
  <c r="BU2" i="5"/>
  <c r="BN63" i="5"/>
  <c r="BO63" i="5"/>
  <c r="BN64" i="5"/>
  <c r="BO64" i="5"/>
  <c r="BN65" i="5"/>
  <c r="BO65" i="5"/>
  <c r="BN66" i="5"/>
  <c r="BO66" i="5"/>
  <c r="BN67" i="5"/>
  <c r="BO67" i="5"/>
  <c r="BN68" i="5"/>
  <c r="BO68" i="5"/>
  <c r="BN69" i="5"/>
  <c r="BO69" i="5"/>
  <c r="BN70" i="5"/>
  <c r="BO70" i="5"/>
  <c r="BN71" i="5"/>
  <c r="BO71" i="5"/>
  <c r="BN72" i="5"/>
  <c r="BO72" i="5"/>
  <c r="BN73" i="5"/>
  <c r="BO73" i="5"/>
  <c r="BN74" i="5"/>
  <c r="BO74" i="5"/>
  <c r="BN75" i="5"/>
  <c r="BO75" i="5"/>
  <c r="BP75" i="5"/>
  <c r="BN76" i="5"/>
  <c r="BO76" i="5"/>
  <c r="BP76" i="5"/>
  <c r="BN77" i="5"/>
  <c r="BO77" i="5"/>
  <c r="BP77" i="5"/>
  <c r="BN78" i="5"/>
  <c r="BO78" i="5"/>
  <c r="BP78" i="5"/>
  <c r="BN79" i="5"/>
  <c r="BO79" i="5"/>
  <c r="BP79" i="5"/>
  <c r="BN80" i="5"/>
  <c r="BO80" i="5"/>
  <c r="BP80" i="5"/>
  <c r="BN81" i="5"/>
  <c r="BO81" i="5"/>
  <c r="BP81" i="5"/>
  <c r="BN82" i="5"/>
  <c r="BO82" i="5"/>
  <c r="BP82" i="5"/>
  <c r="BN83" i="5"/>
  <c r="BO83" i="5"/>
  <c r="BP83" i="5"/>
  <c r="BN84" i="5"/>
  <c r="BO84" i="5"/>
  <c r="BP84" i="5"/>
  <c r="BN85" i="5"/>
  <c r="BO85" i="5"/>
  <c r="BP85" i="5"/>
  <c r="BN86" i="5"/>
  <c r="BO86" i="5"/>
  <c r="BP86" i="5"/>
  <c r="BN87" i="5"/>
  <c r="BO87" i="5"/>
  <c r="BP87" i="5"/>
  <c r="BN88" i="5"/>
  <c r="BO88" i="5"/>
  <c r="BP88" i="5"/>
  <c r="BN89" i="5"/>
  <c r="BO89" i="5"/>
  <c r="BP89" i="5"/>
  <c r="BN90" i="5"/>
  <c r="BO90" i="5"/>
  <c r="BP90" i="5"/>
  <c r="BN91" i="5"/>
  <c r="BO91" i="5"/>
  <c r="BP91" i="5"/>
  <c r="BN92" i="5"/>
  <c r="BO92" i="5"/>
  <c r="BP92" i="5"/>
  <c r="BN93" i="5"/>
  <c r="BO93" i="5"/>
  <c r="BP93" i="5"/>
  <c r="BN94" i="5"/>
  <c r="BO94" i="5"/>
  <c r="BP94" i="5"/>
  <c r="BN95" i="5"/>
  <c r="BO95" i="5"/>
  <c r="BP95" i="5"/>
  <c r="BN96" i="5"/>
  <c r="BO96" i="5"/>
  <c r="BP96" i="5"/>
  <c r="BN97" i="5"/>
  <c r="BO97" i="5"/>
  <c r="BP97" i="5"/>
  <c r="BN98" i="5"/>
  <c r="BO98" i="5"/>
  <c r="BP98" i="5"/>
  <c r="BN99" i="5"/>
  <c r="BO99" i="5"/>
  <c r="BP99" i="5"/>
  <c r="BN100" i="5"/>
  <c r="BO100" i="5"/>
  <c r="BP100" i="5"/>
  <c r="BN101" i="5"/>
  <c r="BO101" i="5"/>
  <c r="BP101" i="5"/>
  <c r="BN102" i="5"/>
  <c r="BO102" i="5"/>
  <c r="BP102" i="5"/>
  <c r="BN103" i="5"/>
  <c r="BO103" i="5"/>
  <c r="BP103" i="5"/>
  <c r="BN104" i="5"/>
  <c r="BO104" i="5"/>
  <c r="BP104" i="5"/>
  <c r="BN105" i="5"/>
  <c r="BO105" i="5"/>
  <c r="BP105" i="5"/>
  <c r="BN106" i="5"/>
  <c r="BO106" i="5"/>
  <c r="BP106" i="5"/>
  <c r="BN107" i="5"/>
  <c r="BO107" i="5"/>
  <c r="BP107" i="5"/>
  <c r="BN108" i="5"/>
  <c r="BO108" i="5"/>
  <c r="BP108" i="5"/>
  <c r="BN109" i="5"/>
  <c r="BO109" i="5"/>
  <c r="BP109" i="5"/>
  <c r="BN110" i="5"/>
  <c r="BO110" i="5"/>
  <c r="BP110" i="5"/>
  <c r="BN111" i="5"/>
  <c r="BO111" i="5"/>
  <c r="BP111" i="5"/>
  <c r="BN112" i="5"/>
  <c r="BO112" i="5"/>
  <c r="BP112" i="5"/>
  <c r="BN113" i="5"/>
  <c r="BO113" i="5"/>
  <c r="BP113" i="5"/>
  <c r="BN114" i="5"/>
  <c r="BO114" i="5"/>
  <c r="BP114" i="5"/>
  <c r="BN115" i="5"/>
  <c r="BO115" i="5"/>
  <c r="BP115" i="5"/>
  <c r="BN116" i="5"/>
  <c r="BO116" i="5"/>
  <c r="BP116" i="5"/>
  <c r="BN117" i="5"/>
  <c r="BO117" i="5"/>
  <c r="BP117" i="5"/>
  <c r="BN118" i="5"/>
  <c r="BO118" i="5"/>
  <c r="BP118" i="5"/>
  <c r="BN119" i="5"/>
  <c r="BO119" i="5"/>
  <c r="BP119" i="5"/>
  <c r="BN120" i="5"/>
  <c r="BO120" i="5"/>
  <c r="BP120" i="5"/>
  <c r="BN121" i="5"/>
  <c r="BO121" i="5"/>
  <c r="BP121" i="5"/>
  <c r="BN122" i="5"/>
  <c r="BO122" i="5"/>
  <c r="BP122" i="5"/>
  <c r="BN123" i="5"/>
  <c r="BO123" i="5"/>
  <c r="BP123" i="5"/>
  <c r="BN124" i="5"/>
  <c r="BO124" i="5"/>
  <c r="BP124" i="5"/>
  <c r="BN125" i="5"/>
  <c r="BO125" i="5"/>
  <c r="BP125" i="5"/>
  <c r="BN126" i="5"/>
  <c r="BO126" i="5"/>
  <c r="BP126" i="5"/>
  <c r="BN127" i="5"/>
  <c r="BO127" i="5"/>
  <c r="BP127" i="5"/>
  <c r="BN128" i="5"/>
  <c r="BO128" i="5"/>
  <c r="BP128" i="5"/>
  <c r="BN129" i="5"/>
  <c r="BO129" i="5"/>
  <c r="BP129" i="5"/>
  <c r="BN130" i="5"/>
  <c r="BO130" i="5"/>
  <c r="BP130" i="5"/>
  <c r="BN131" i="5"/>
  <c r="BO131" i="5"/>
  <c r="BP131" i="5"/>
  <c r="BN132" i="5"/>
  <c r="BO132" i="5"/>
  <c r="BP132" i="5"/>
  <c r="BN133" i="5"/>
  <c r="BO133" i="5"/>
  <c r="BP133" i="5"/>
  <c r="BN134" i="5"/>
  <c r="BO134" i="5"/>
  <c r="BP134" i="5"/>
  <c r="BN135" i="5"/>
  <c r="BO135" i="5"/>
  <c r="BP135" i="5"/>
  <c r="BN136" i="5"/>
  <c r="BO136" i="5"/>
  <c r="BP136" i="5"/>
  <c r="BN137" i="5"/>
  <c r="BO137" i="5"/>
  <c r="BP137" i="5"/>
  <c r="BN138" i="5"/>
  <c r="BO138" i="5"/>
  <c r="BP138" i="5"/>
  <c r="BN139" i="5"/>
  <c r="BO139" i="5"/>
  <c r="BP139" i="5"/>
  <c r="BN140" i="5"/>
  <c r="BO140" i="5"/>
  <c r="BP140" i="5"/>
  <c r="BN141" i="5"/>
  <c r="BO141" i="5"/>
  <c r="BP141" i="5"/>
  <c r="BN142" i="5"/>
  <c r="BO142" i="5"/>
  <c r="BP142" i="5"/>
  <c r="BN143" i="5"/>
  <c r="BO143" i="5"/>
  <c r="BP143" i="5"/>
  <c r="BN144" i="5"/>
  <c r="BO144" i="5"/>
  <c r="BP144" i="5"/>
  <c r="BN145" i="5"/>
  <c r="BO145" i="5"/>
  <c r="BP145" i="5"/>
  <c r="BN146" i="5"/>
  <c r="BO146" i="5"/>
  <c r="BP146" i="5"/>
  <c r="BN147" i="5"/>
  <c r="BO147" i="5"/>
  <c r="BP147" i="5"/>
  <c r="BN148" i="5"/>
  <c r="BO148" i="5"/>
  <c r="BP148" i="5"/>
  <c r="BN149" i="5"/>
  <c r="BO149" i="5"/>
  <c r="BP149" i="5"/>
  <c r="BN150" i="5"/>
  <c r="BO150" i="5"/>
  <c r="BP150" i="5"/>
  <c r="BN151" i="5"/>
  <c r="BO151" i="5"/>
  <c r="BP151" i="5"/>
  <c r="BN152" i="5"/>
  <c r="BO152" i="5"/>
  <c r="BP152" i="5"/>
  <c r="BN153" i="5"/>
  <c r="BO153" i="5"/>
  <c r="BP153" i="5"/>
  <c r="BN154" i="5"/>
  <c r="BO154" i="5"/>
  <c r="BP154" i="5"/>
  <c r="BN155" i="5"/>
  <c r="BO155" i="5"/>
  <c r="BP155" i="5"/>
  <c r="BN156" i="5"/>
  <c r="BO156" i="5"/>
  <c r="BP156" i="5"/>
  <c r="BN157" i="5"/>
  <c r="BO157" i="5"/>
  <c r="BP157" i="5"/>
  <c r="BN158" i="5"/>
  <c r="BO158" i="5"/>
  <c r="BP158" i="5"/>
  <c r="BN159" i="5"/>
  <c r="BO159" i="5"/>
  <c r="BP159" i="5"/>
  <c r="BN160" i="5"/>
  <c r="BO160" i="5"/>
  <c r="BP160" i="5"/>
  <c r="BN161" i="5"/>
  <c r="BO161" i="5"/>
  <c r="BP161" i="5"/>
  <c r="BN162" i="5"/>
  <c r="BO162" i="5"/>
  <c r="BP162" i="5"/>
  <c r="BN163" i="5"/>
  <c r="BO163" i="5"/>
  <c r="BP163" i="5"/>
  <c r="BN164" i="5"/>
  <c r="BO164" i="5"/>
  <c r="BP164" i="5"/>
  <c r="BN165" i="5"/>
  <c r="BO165" i="5"/>
  <c r="BP165" i="5"/>
  <c r="BN166" i="5"/>
  <c r="BO166" i="5"/>
  <c r="BP166" i="5"/>
  <c r="BN167" i="5"/>
  <c r="BO167" i="5"/>
  <c r="BP167" i="5"/>
  <c r="BN168" i="5"/>
  <c r="BO168" i="5"/>
  <c r="BP168" i="5"/>
  <c r="BN169" i="5"/>
  <c r="BO169" i="5"/>
  <c r="BP169" i="5"/>
  <c r="BN170" i="5"/>
  <c r="BO170" i="5"/>
  <c r="BP170" i="5"/>
  <c r="BN171" i="5"/>
  <c r="BO171" i="5"/>
  <c r="BP171" i="5"/>
  <c r="BN172" i="5"/>
  <c r="BO172" i="5"/>
  <c r="BP172" i="5"/>
  <c r="BN173" i="5"/>
  <c r="BO173" i="5"/>
  <c r="BP173" i="5"/>
  <c r="BN174" i="5"/>
  <c r="BO174" i="5"/>
  <c r="BP174" i="5"/>
  <c r="BN175" i="5"/>
  <c r="BO175" i="5"/>
  <c r="BP175" i="5"/>
  <c r="BN176" i="5"/>
  <c r="BO176" i="5"/>
  <c r="BP176" i="5"/>
  <c r="BN177" i="5"/>
  <c r="BO177" i="5"/>
  <c r="BP177" i="5"/>
  <c r="BN178" i="5"/>
  <c r="BO178" i="5"/>
  <c r="BP178" i="5"/>
  <c r="BN179" i="5"/>
  <c r="BO179" i="5"/>
  <c r="BP179" i="5"/>
  <c r="BN180" i="5"/>
  <c r="BO180" i="5"/>
  <c r="BP180" i="5"/>
  <c r="BN181" i="5"/>
  <c r="BO181" i="5"/>
  <c r="BP181" i="5"/>
  <c r="BN182" i="5"/>
  <c r="BO182" i="5"/>
  <c r="BP182" i="5"/>
  <c r="BN183" i="5"/>
  <c r="BO183" i="5"/>
  <c r="BP183" i="5"/>
  <c r="BN184" i="5"/>
  <c r="BO184" i="5"/>
  <c r="BP184" i="5"/>
  <c r="BN185" i="5"/>
  <c r="BO185" i="5"/>
  <c r="BP185" i="5"/>
  <c r="BN186" i="5"/>
  <c r="BO186" i="5"/>
  <c r="BP186" i="5"/>
  <c r="BN187" i="5"/>
  <c r="BO187" i="5"/>
  <c r="BP187" i="5"/>
  <c r="BN188" i="5"/>
  <c r="BO188" i="5"/>
  <c r="BP188" i="5"/>
  <c r="BN189" i="5"/>
  <c r="BO189" i="5"/>
  <c r="BP189" i="5"/>
  <c r="BN190" i="5"/>
  <c r="BO190" i="5"/>
  <c r="BP190" i="5"/>
  <c r="BN191" i="5"/>
  <c r="BO191" i="5"/>
  <c r="BP191" i="5"/>
  <c r="BN192" i="5"/>
  <c r="BO192" i="5"/>
  <c r="BP192" i="5"/>
  <c r="BN193" i="5"/>
  <c r="BO193" i="5"/>
  <c r="BP193" i="5"/>
  <c r="BN194" i="5"/>
  <c r="BO194" i="5"/>
  <c r="BP194" i="5"/>
  <c r="BN195" i="5"/>
  <c r="BO195" i="5"/>
  <c r="BP195" i="5"/>
  <c r="BN196" i="5"/>
  <c r="BO196" i="5"/>
  <c r="BP196" i="5"/>
  <c r="BN197" i="5"/>
  <c r="BO197" i="5"/>
  <c r="BP197" i="5"/>
  <c r="BN198" i="5"/>
  <c r="BO198" i="5"/>
  <c r="BP198" i="5"/>
  <c r="BN199" i="5"/>
  <c r="BO199" i="5"/>
  <c r="BP199" i="5"/>
  <c r="BN200" i="5"/>
  <c r="BO200" i="5"/>
  <c r="BP200" i="5"/>
  <c r="BN201" i="5"/>
  <c r="BO201" i="5"/>
  <c r="BP201" i="5"/>
  <c r="BN202" i="5"/>
  <c r="BO202" i="5"/>
  <c r="BP202" i="5"/>
  <c r="BN203" i="5"/>
  <c r="BO203" i="5"/>
  <c r="BP203" i="5"/>
  <c r="BN204" i="5"/>
  <c r="BO204" i="5"/>
  <c r="BP204" i="5"/>
  <c r="BN205" i="5"/>
  <c r="BO205" i="5"/>
  <c r="BP205" i="5"/>
  <c r="BN206" i="5"/>
  <c r="BO206" i="5"/>
  <c r="BP206" i="5"/>
  <c r="BN207" i="5"/>
  <c r="BO207" i="5"/>
  <c r="BP207" i="5"/>
  <c r="BN208" i="5"/>
  <c r="BO208" i="5"/>
  <c r="BP208" i="5"/>
  <c r="BN209" i="5"/>
  <c r="BO209" i="5"/>
  <c r="BP209" i="5"/>
  <c r="BN210" i="5"/>
  <c r="BO210" i="5"/>
  <c r="BP210" i="5"/>
  <c r="BN211" i="5"/>
  <c r="BO211" i="5"/>
  <c r="BP211" i="5"/>
  <c r="BN212" i="5"/>
  <c r="BO212" i="5"/>
  <c r="BP212" i="5"/>
  <c r="BN213" i="5"/>
  <c r="BO213" i="5"/>
  <c r="BP213" i="5"/>
  <c r="BN214" i="5"/>
  <c r="BO214" i="5"/>
  <c r="BP214" i="5"/>
  <c r="BN215" i="5"/>
  <c r="BO215" i="5"/>
  <c r="BP215" i="5"/>
  <c r="BN216" i="5"/>
  <c r="BO216" i="5"/>
  <c r="BP216" i="5"/>
  <c r="BN217" i="5"/>
  <c r="BO217" i="5"/>
  <c r="BP217" i="5"/>
  <c r="BN218" i="5"/>
  <c r="BO218" i="5"/>
  <c r="BP218" i="5"/>
  <c r="BN219" i="5"/>
  <c r="BO219" i="5"/>
  <c r="BP219" i="5"/>
  <c r="BN220" i="5"/>
  <c r="BO220" i="5"/>
  <c r="BP220" i="5"/>
  <c r="BN221" i="5"/>
  <c r="BO221" i="5"/>
  <c r="BP221" i="5"/>
  <c r="BN222" i="5"/>
  <c r="BO222" i="5"/>
  <c r="BP222" i="5"/>
  <c r="BN223" i="5"/>
  <c r="BO223" i="5"/>
  <c r="BP223" i="5"/>
  <c r="BN224" i="5"/>
  <c r="BO224" i="5"/>
  <c r="BP224" i="5"/>
  <c r="BN225" i="5"/>
  <c r="BO225" i="5"/>
  <c r="BP225" i="5"/>
  <c r="BN226" i="5"/>
  <c r="BO226" i="5"/>
  <c r="BP226" i="5"/>
  <c r="BN227" i="5"/>
  <c r="BO227" i="5"/>
  <c r="BP227" i="5"/>
  <c r="BN228" i="5"/>
  <c r="BO228" i="5"/>
  <c r="BP228" i="5"/>
  <c r="BN229" i="5"/>
  <c r="BO229" i="5"/>
  <c r="BP229" i="5"/>
  <c r="BN230" i="5"/>
  <c r="BO230" i="5"/>
  <c r="BP230" i="5"/>
  <c r="BN231" i="5"/>
  <c r="BO231" i="5"/>
  <c r="BP231" i="5"/>
  <c r="BN232" i="5"/>
  <c r="BO232" i="5"/>
  <c r="BP232" i="5"/>
  <c r="BN233" i="5"/>
  <c r="BO233" i="5"/>
  <c r="BP233" i="5"/>
  <c r="BN234" i="5"/>
  <c r="BO234" i="5"/>
  <c r="BP234" i="5"/>
  <c r="BN235" i="5"/>
  <c r="BO235" i="5"/>
  <c r="BP235" i="5"/>
  <c r="BN236" i="5"/>
  <c r="BO236" i="5"/>
  <c r="BP236" i="5"/>
  <c r="BN237" i="5"/>
  <c r="BO237" i="5"/>
  <c r="BP237" i="5"/>
  <c r="BN238" i="5"/>
  <c r="BO238" i="5"/>
  <c r="BP238" i="5"/>
  <c r="BN239" i="5"/>
  <c r="BO239" i="5"/>
  <c r="BP239" i="5"/>
  <c r="BN240" i="5"/>
  <c r="BO240" i="5"/>
  <c r="BP240" i="5"/>
  <c r="BN241" i="5"/>
  <c r="BO241" i="5"/>
  <c r="BP241" i="5"/>
  <c r="BN242" i="5"/>
  <c r="BO242" i="5"/>
  <c r="BP242" i="5"/>
  <c r="BN243" i="5"/>
  <c r="BO243" i="5"/>
  <c r="BP243" i="5"/>
  <c r="BN244" i="5"/>
  <c r="BO244" i="5"/>
  <c r="BP244" i="5"/>
  <c r="BN245" i="5"/>
  <c r="BO245" i="5"/>
  <c r="BP245" i="5"/>
  <c r="BN246" i="5"/>
  <c r="BO246" i="5"/>
  <c r="BP246" i="5"/>
  <c r="BN247" i="5"/>
  <c r="BO247" i="5"/>
  <c r="BP247" i="5"/>
  <c r="BN248" i="5"/>
  <c r="BO248" i="5"/>
  <c r="BP248" i="5"/>
  <c r="BN249" i="5"/>
  <c r="BO249" i="5"/>
  <c r="BP249" i="5"/>
  <c r="BN250" i="5"/>
  <c r="BO250" i="5"/>
  <c r="BP250" i="5"/>
  <c r="BN251" i="5"/>
  <c r="BO251" i="5"/>
  <c r="BP251" i="5"/>
  <c r="BN252" i="5"/>
  <c r="BO252" i="5"/>
  <c r="BP252" i="5"/>
  <c r="BN253" i="5"/>
  <c r="BO253" i="5"/>
  <c r="BP253" i="5"/>
  <c r="BN254" i="5"/>
  <c r="BO254" i="5"/>
  <c r="BP254" i="5"/>
  <c r="BN255" i="5"/>
  <c r="BO255" i="5"/>
  <c r="BP255" i="5"/>
  <c r="BN256" i="5"/>
  <c r="BO256" i="5"/>
  <c r="BP256" i="5"/>
  <c r="BN257" i="5"/>
  <c r="BO257" i="5"/>
  <c r="BP257" i="5"/>
  <c r="BN258" i="5"/>
  <c r="BO258" i="5"/>
  <c r="BP258" i="5"/>
  <c r="BN259" i="5"/>
  <c r="BO259" i="5"/>
  <c r="BP259" i="5"/>
  <c r="BN260" i="5"/>
  <c r="BO260" i="5"/>
  <c r="BP260" i="5"/>
  <c r="BN261" i="5"/>
  <c r="BO261" i="5"/>
  <c r="BP261" i="5"/>
  <c r="BN262" i="5"/>
  <c r="BO262" i="5"/>
  <c r="BP262" i="5"/>
  <c r="BN263" i="5"/>
  <c r="BO263" i="5"/>
  <c r="BP263" i="5"/>
  <c r="BN264" i="5"/>
  <c r="BO264" i="5"/>
  <c r="BP264" i="5"/>
  <c r="BN265" i="5"/>
  <c r="BO265" i="5"/>
  <c r="BP265" i="5"/>
  <c r="BN266" i="5"/>
  <c r="BO266" i="5"/>
  <c r="BP266" i="5"/>
  <c r="BN267" i="5"/>
  <c r="BO267" i="5"/>
  <c r="BP267" i="5"/>
  <c r="BN268" i="5"/>
  <c r="BO268" i="5"/>
  <c r="BP268" i="5"/>
  <c r="BN269" i="5"/>
  <c r="BO269" i="5"/>
  <c r="BP269" i="5"/>
  <c r="BN270" i="5"/>
  <c r="BO270" i="5"/>
  <c r="BP270" i="5"/>
  <c r="BN271" i="5"/>
  <c r="BO271" i="5"/>
  <c r="BP271" i="5"/>
  <c r="BN272" i="5"/>
  <c r="BO272" i="5"/>
  <c r="BP272" i="5"/>
  <c r="BN273" i="5"/>
  <c r="BO273" i="5"/>
  <c r="BP273" i="5"/>
  <c r="BN274" i="5"/>
  <c r="BO274" i="5"/>
  <c r="BP274" i="5"/>
  <c r="BN275" i="5"/>
  <c r="BO275" i="5"/>
  <c r="BP275" i="5"/>
  <c r="BN276" i="5"/>
  <c r="BO276" i="5"/>
  <c r="BP276" i="5"/>
  <c r="BN277" i="5"/>
  <c r="BO277" i="5"/>
  <c r="BP277" i="5"/>
  <c r="BN278" i="5"/>
  <c r="BO278" i="5"/>
  <c r="BP278" i="5"/>
  <c r="BN279" i="5"/>
  <c r="BO279" i="5"/>
  <c r="BP279" i="5"/>
  <c r="BN280" i="5"/>
  <c r="BO280" i="5"/>
  <c r="BP280" i="5"/>
  <c r="BN281" i="5"/>
  <c r="BO281" i="5"/>
  <c r="BP281" i="5"/>
  <c r="BN282" i="5"/>
  <c r="BO282" i="5"/>
  <c r="BP282" i="5"/>
  <c r="BN283" i="5"/>
  <c r="BO283" i="5"/>
  <c r="BP283" i="5"/>
  <c r="BN284" i="5"/>
  <c r="BO284" i="5"/>
  <c r="BP284" i="5"/>
  <c r="BN285" i="5"/>
  <c r="BO285" i="5"/>
  <c r="BP285" i="5"/>
  <c r="BN286" i="5"/>
  <c r="BO286" i="5"/>
  <c r="BP286" i="5"/>
  <c r="BN287" i="5"/>
  <c r="BO287" i="5"/>
  <c r="BP287" i="5"/>
  <c r="BN288" i="5"/>
  <c r="BO288" i="5"/>
  <c r="BP288" i="5"/>
  <c r="BN289" i="5"/>
  <c r="BO289" i="5"/>
  <c r="BP289" i="5"/>
  <c r="BN290" i="5"/>
  <c r="BO290" i="5"/>
  <c r="BP290" i="5"/>
  <c r="BN291" i="5"/>
  <c r="BO291" i="5"/>
  <c r="BP291" i="5"/>
  <c r="BN292" i="5"/>
  <c r="BO292" i="5"/>
  <c r="BP292" i="5"/>
  <c r="BN293" i="5"/>
  <c r="BO293" i="5"/>
  <c r="BP293" i="5"/>
  <c r="BN294" i="5"/>
  <c r="BO294" i="5"/>
  <c r="BP294" i="5"/>
  <c r="BN295" i="5"/>
  <c r="BO295" i="5"/>
  <c r="BP295" i="5"/>
  <c r="BN296" i="5"/>
  <c r="BO296" i="5"/>
  <c r="BP296" i="5"/>
  <c r="BN297" i="5"/>
  <c r="BO297" i="5"/>
  <c r="BP297" i="5"/>
  <c r="BN298" i="5"/>
  <c r="BO298" i="5"/>
  <c r="BP298" i="5"/>
  <c r="BN299" i="5"/>
  <c r="BO299" i="5"/>
  <c r="BP299" i="5"/>
  <c r="BN300" i="5"/>
  <c r="BO300" i="5"/>
  <c r="BP300" i="5"/>
  <c r="BN301" i="5"/>
  <c r="BO301" i="5"/>
  <c r="BP301" i="5"/>
  <c r="BN302" i="5"/>
  <c r="BO302" i="5"/>
  <c r="BP302" i="5"/>
  <c r="BN303" i="5"/>
  <c r="BO303" i="5"/>
  <c r="BP303" i="5"/>
  <c r="BN304" i="5"/>
  <c r="BO304" i="5"/>
  <c r="BP304" i="5"/>
  <c r="BN305" i="5"/>
  <c r="BO305" i="5"/>
  <c r="BP305" i="5"/>
  <c r="BN306" i="5"/>
  <c r="BO306" i="5"/>
  <c r="BP306" i="5"/>
  <c r="BN307" i="5"/>
  <c r="BO307" i="5"/>
  <c r="BP307" i="5"/>
  <c r="BN308" i="5"/>
  <c r="BO308" i="5"/>
  <c r="BP308" i="5"/>
  <c r="BN309" i="5"/>
  <c r="BO309" i="5"/>
  <c r="BP309" i="5"/>
  <c r="BN310" i="5"/>
  <c r="BO310" i="5"/>
  <c r="BP310" i="5"/>
  <c r="BN311" i="5"/>
  <c r="BO311" i="5"/>
  <c r="BP311" i="5"/>
  <c r="BN312" i="5"/>
  <c r="BO312" i="5"/>
  <c r="BP312" i="5"/>
  <c r="BN313" i="5"/>
  <c r="BO313" i="5"/>
  <c r="BP313" i="5"/>
  <c r="BN314" i="5"/>
  <c r="BO314" i="5"/>
  <c r="BP314" i="5"/>
  <c r="BN315" i="5"/>
  <c r="BO315" i="5"/>
  <c r="BP315" i="5"/>
  <c r="BN316" i="5"/>
  <c r="BO316" i="5"/>
  <c r="BP316" i="5"/>
  <c r="BN317" i="5"/>
  <c r="BO317" i="5"/>
  <c r="BP317" i="5"/>
  <c r="BN318" i="5"/>
  <c r="BO318" i="5"/>
  <c r="BP318" i="5"/>
  <c r="BN319" i="5"/>
  <c r="BO319" i="5"/>
  <c r="BP319" i="5"/>
  <c r="BN320" i="5"/>
  <c r="BO320" i="5"/>
  <c r="BP320" i="5"/>
  <c r="BN321" i="5"/>
  <c r="BO321" i="5"/>
  <c r="BP321" i="5"/>
  <c r="BN322" i="5"/>
  <c r="BO322" i="5"/>
  <c r="BP322" i="5"/>
  <c r="BN323" i="5"/>
  <c r="BO323" i="5"/>
  <c r="BP323" i="5"/>
  <c r="BN324" i="5"/>
  <c r="BO324" i="5"/>
  <c r="BP324" i="5"/>
  <c r="BN325" i="5"/>
  <c r="BO325" i="5"/>
  <c r="BP325" i="5"/>
  <c r="BN326" i="5"/>
  <c r="BO326" i="5"/>
  <c r="BP326" i="5"/>
  <c r="BN327" i="5"/>
  <c r="BO327" i="5"/>
  <c r="BP327" i="5"/>
  <c r="BN328" i="5"/>
  <c r="BO328" i="5"/>
  <c r="BP328" i="5"/>
  <c r="BN329" i="5"/>
  <c r="BO329" i="5"/>
  <c r="BP329" i="5"/>
  <c r="BN330" i="5"/>
  <c r="BO330" i="5"/>
  <c r="BP330" i="5"/>
  <c r="BN331" i="5"/>
  <c r="BO331" i="5"/>
  <c r="BP331" i="5"/>
  <c r="BN332" i="5"/>
  <c r="BO332" i="5"/>
  <c r="BP332" i="5"/>
  <c r="BN333" i="5"/>
  <c r="BO333" i="5"/>
  <c r="BP333" i="5"/>
  <c r="BN334" i="5"/>
  <c r="BO334" i="5"/>
  <c r="BP334" i="5"/>
  <c r="BN335" i="5"/>
  <c r="BO335" i="5"/>
  <c r="BP335" i="5"/>
  <c r="BN336" i="5"/>
  <c r="BO336" i="5"/>
  <c r="BP336" i="5"/>
  <c r="BN337" i="5"/>
  <c r="BO337" i="5"/>
  <c r="BP337" i="5"/>
  <c r="BN338" i="5"/>
  <c r="BO338" i="5"/>
  <c r="BP338" i="5"/>
  <c r="BN339" i="5"/>
  <c r="BO339" i="5"/>
  <c r="BP339" i="5"/>
  <c r="BN340" i="5"/>
  <c r="BO340" i="5"/>
  <c r="BP340" i="5"/>
  <c r="BN341" i="5"/>
  <c r="BO341" i="5"/>
  <c r="BP341" i="5"/>
  <c r="BN342" i="5"/>
  <c r="BO342" i="5"/>
  <c r="BP342" i="5"/>
  <c r="BN343" i="5"/>
  <c r="BO343" i="5"/>
  <c r="BP343" i="5"/>
  <c r="BN344" i="5"/>
  <c r="BO344" i="5"/>
  <c r="BP344" i="5"/>
  <c r="BN345" i="5"/>
  <c r="BO345" i="5"/>
  <c r="BP345" i="5"/>
  <c r="BN346" i="5"/>
  <c r="BO346" i="5"/>
  <c r="BP346" i="5"/>
  <c r="BN347" i="5"/>
  <c r="BO347" i="5"/>
  <c r="BP347" i="5"/>
  <c r="BN348" i="5"/>
  <c r="BO348" i="5"/>
  <c r="BP348" i="5"/>
  <c r="BN349" i="5"/>
  <c r="BO349" i="5"/>
  <c r="BP349" i="5"/>
  <c r="BN350" i="5"/>
  <c r="BO350" i="5"/>
  <c r="BP350" i="5"/>
  <c r="BN351" i="5"/>
  <c r="BO351" i="5"/>
  <c r="BP351" i="5"/>
  <c r="BN352" i="5"/>
  <c r="BO352" i="5"/>
  <c r="BP352" i="5"/>
  <c r="BN353" i="5"/>
  <c r="BO353" i="5"/>
  <c r="BP353" i="5"/>
  <c r="BN354" i="5"/>
  <c r="BO354" i="5"/>
  <c r="BP354" i="5"/>
  <c r="BN355" i="5"/>
  <c r="BO355" i="5"/>
  <c r="BP355" i="5"/>
  <c r="BN356" i="5"/>
  <c r="BO356" i="5"/>
  <c r="BP356" i="5"/>
  <c r="BN357" i="5"/>
  <c r="BO357" i="5"/>
  <c r="BP357" i="5"/>
  <c r="BN358" i="5"/>
  <c r="BO358" i="5"/>
  <c r="BP358" i="5"/>
  <c r="BN359" i="5"/>
  <c r="BO359" i="5"/>
  <c r="BP359" i="5"/>
  <c r="BN360" i="5"/>
  <c r="BO360" i="5"/>
  <c r="BP360" i="5"/>
  <c r="BN361" i="5"/>
  <c r="BO361" i="5"/>
  <c r="BP361" i="5"/>
  <c r="BN362" i="5"/>
  <c r="BO362" i="5"/>
  <c r="BP362" i="5"/>
  <c r="BN363" i="5"/>
  <c r="BO363" i="5"/>
  <c r="BP363" i="5"/>
  <c r="BN364" i="5"/>
  <c r="BO364" i="5"/>
  <c r="BP364" i="5"/>
  <c r="BN365" i="5"/>
  <c r="BO365" i="5"/>
  <c r="BP365" i="5"/>
  <c r="BN366" i="5"/>
  <c r="BO366" i="5"/>
  <c r="BP366" i="5"/>
  <c r="BN367" i="5"/>
  <c r="BO367" i="5"/>
  <c r="BP367" i="5"/>
  <c r="BN368" i="5"/>
  <c r="BO368" i="5"/>
  <c r="BP368" i="5"/>
  <c r="BN369" i="5"/>
  <c r="BO369" i="5"/>
  <c r="BP369" i="5"/>
  <c r="BN370" i="5"/>
  <c r="BO370" i="5"/>
  <c r="BP370" i="5"/>
  <c r="BN371" i="5"/>
  <c r="BO371" i="5"/>
  <c r="BP371" i="5"/>
  <c r="BN372" i="5"/>
  <c r="BO372" i="5"/>
  <c r="BP372" i="5"/>
  <c r="BN373" i="5"/>
  <c r="BO373" i="5"/>
  <c r="BP373" i="5"/>
  <c r="BN374" i="5"/>
  <c r="BO374" i="5"/>
  <c r="BP374" i="5"/>
  <c r="BN375" i="5"/>
  <c r="BO375" i="5"/>
  <c r="BP375" i="5"/>
  <c r="BN376" i="5"/>
  <c r="BO376" i="5"/>
  <c r="BP376" i="5"/>
  <c r="BN377" i="5"/>
  <c r="BO377" i="5"/>
  <c r="BP377" i="5"/>
  <c r="BN378" i="5"/>
  <c r="BO378" i="5"/>
  <c r="BP378" i="5"/>
  <c r="BN379" i="5"/>
  <c r="BO379" i="5"/>
  <c r="BP379" i="5"/>
  <c r="BN380" i="5"/>
  <c r="BO380" i="5"/>
  <c r="BP380" i="5"/>
  <c r="BN381" i="5"/>
  <c r="BO381" i="5"/>
  <c r="BP381" i="5"/>
  <c r="BN382" i="5"/>
  <c r="BO382" i="5"/>
  <c r="BP382" i="5"/>
  <c r="BN383" i="5"/>
  <c r="BO383" i="5"/>
  <c r="BP383" i="5"/>
  <c r="BN384" i="5"/>
  <c r="BO384" i="5"/>
  <c r="BP384" i="5"/>
  <c r="BN385" i="5"/>
  <c r="BO385" i="5"/>
  <c r="BP385" i="5"/>
  <c r="BN386" i="5"/>
  <c r="BO386" i="5"/>
  <c r="BP386" i="5"/>
  <c r="BN387" i="5"/>
  <c r="BO387" i="5"/>
  <c r="BP387" i="5"/>
  <c r="BN388" i="5"/>
  <c r="BO388" i="5"/>
  <c r="BP388" i="5"/>
  <c r="BN389" i="5"/>
  <c r="BO389" i="5"/>
  <c r="BP389" i="5"/>
  <c r="BN390" i="5"/>
  <c r="BO390" i="5"/>
  <c r="BP390" i="5"/>
  <c r="BN391" i="5"/>
  <c r="BO391" i="5"/>
  <c r="BP391" i="5"/>
  <c r="BN392" i="5"/>
  <c r="BO392" i="5"/>
  <c r="BP392" i="5"/>
  <c r="BN393" i="5"/>
  <c r="BO393" i="5"/>
  <c r="BP393" i="5"/>
  <c r="BN394" i="5"/>
  <c r="BO394" i="5"/>
  <c r="BP394" i="5"/>
  <c r="BN395" i="5"/>
  <c r="BO395" i="5"/>
  <c r="BP395" i="5"/>
  <c r="BN396" i="5"/>
  <c r="BO396" i="5"/>
  <c r="BP396" i="5"/>
  <c r="BN397" i="5"/>
  <c r="BO397" i="5"/>
  <c r="BP397" i="5"/>
  <c r="BN398" i="5"/>
  <c r="BO398" i="5"/>
  <c r="BP398" i="5"/>
  <c r="BN399" i="5"/>
  <c r="BO399" i="5"/>
  <c r="BP399" i="5"/>
  <c r="BN400" i="5"/>
  <c r="BO400" i="5"/>
  <c r="BP400" i="5"/>
  <c r="BN401" i="5"/>
  <c r="BO401" i="5"/>
  <c r="BP401" i="5"/>
  <c r="BN402" i="5"/>
  <c r="BO402" i="5"/>
  <c r="BP402" i="5"/>
  <c r="BN403" i="5"/>
  <c r="BO403" i="5"/>
  <c r="BP403" i="5"/>
  <c r="BN404" i="5"/>
  <c r="BO404" i="5"/>
  <c r="BP404" i="5"/>
  <c r="BN405" i="5"/>
  <c r="BO405" i="5"/>
  <c r="BP405" i="5"/>
  <c r="BN406" i="5"/>
  <c r="BO406" i="5"/>
  <c r="BP406" i="5"/>
  <c r="BN407" i="5"/>
  <c r="BO407" i="5"/>
  <c r="BP407" i="5"/>
  <c r="BN408" i="5"/>
  <c r="BO408" i="5"/>
  <c r="BP408" i="5"/>
  <c r="BN409" i="5"/>
  <c r="BO409" i="5"/>
  <c r="BP409" i="5"/>
  <c r="BN410" i="5"/>
  <c r="BO410" i="5"/>
  <c r="BP410" i="5"/>
  <c r="BN411" i="5"/>
  <c r="BO411" i="5"/>
  <c r="BP411" i="5"/>
  <c r="BN412" i="5"/>
  <c r="BO412" i="5"/>
  <c r="BP412" i="5"/>
  <c r="BN413" i="5"/>
  <c r="BO413" i="5"/>
  <c r="BP413" i="5"/>
  <c r="BN414" i="5"/>
  <c r="BO414" i="5"/>
  <c r="BP414" i="5"/>
  <c r="BN415" i="5"/>
  <c r="BO415" i="5"/>
  <c r="BP415" i="5"/>
  <c r="BN416" i="5"/>
  <c r="BO416" i="5"/>
  <c r="BP416" i="5"/>
  <c r="BN417" i="5"/>
  <c r="BO417" i="5"/>
  <c r="BP417" i="5"/>
  <c r="BN418" i="5"/>
  <c r="BO418" i="5"/>
  <c r="BP418" i="5"/>
  <c r="BN419" i="5"/>
  <c r="BO419" i="5"/>
  <c r="BP419" i="5"/>
  <c r="BN420" i="5"/>
  <c r="BO420" i="5"/>
  <c r="BP420" i="5"/>
  <c r="BN421" i="5"/>
  <c r="BO421" i="5"/>
  <c r="BP421" i="5"/>
  <c r="BN422" i="5"/>
  <c r="BO422" i="5"/>
  <c r="BP422" i="5"/>
  <c r="BN423" i="5"/>
  <c r="BO423" i="5"/>
  <c r="BP423" i="5"/>
  <c r="BN424" i="5"/>
  <c r="BO424" i="5"/>
  <c r="BP424" i="5"/>
  <c r="BN425" i="5"/>
  <c r="BO425" i="5"/>
  <c r="BP425" i="5"/>
  <c r="BN426" i="5"/>
  <c r="BO426" i="5"/>
  <c r="BP426" i="5"/>
  <c r="BN427" i="5"/>
  <c r="BO427" i="5"/>
  <c r="BP427" i="5"/>
  <c r="BN428" i="5"/>
  <c r="BO428" i="5"/>
  <c r="BP428" i="5"/>
  <c r="BN429" i="5"/>
  <c r="BO429" i="5"/>
  <c r="BP429" i="5"/>
  <c r="BN430" i="5"/>
  <c r="BO430" i="5"/>
  <c r="BP430" i="5"/>
  <c r="BN431" i="5"/>
  <c r="BO431" i="5"/>
  <c r="BP431" i="5"/>
  <c r="BQ7" i="5"/>
  <c r="BR7" i="5"/>
  <c r="BQ8" i="5"/>
  <c r="BR8" i="5"/>
  <c r="BQ9" i="5"/>
  <c r="BR9" i="5"/>
  <c r="BQ10" i="5"/>
  <c r="BR10" i="5"/>
  <c r="BQ11" i="5"/>
  <c r="BR11" i="5"/>
  <c r="BQ12" i="5"/>
  <c r="BR12" i="5"/>
  <c r="BQ13" i="5"/>
  <c r="BR13" i="5"/>
  <c r="BQ14" i="5"/>
  <c r="BR14" i="5"/>
  <c r="BQ15" i="5"/>
  <c r="BR15" i="5"/>
  <c r="BQ16" i="5"/>
  <c r="BR16" i="5"/>
  <c r="BQ17" i="5"/>
  <c r="BR17" i="5"/>
  <c r="BQ18" i="5"/>
  <c r="BR18" i="5"/>
  <c r="BQ19" i="5"/>
  <c r="BR19" i="5"/>
  <c r="BQ20" i="5"/>
  <c r="BR20" i="5"/>
  <c r="BQ21" i="5"/>
  <c r="BR21" i="5"/>
  <c r="BQ22" i="5"/>
  <c r="BR22" i="5"/>
  <c r="BQ23" i="5"/>
  <c r="BR23" i="5"/>
  <c r="BQ24" i="5"/>
  <c r="BR24" i="5"/>
  <c r="BQ25" i="5"/>
  <c r="BR25" i="5"/>
  <c r="BQ26" i="5"/>
  <c r="BR26" i="5"/>
  <c r="BQ27" i="5"/>
  <c r="BR27" i="5"/>
  <c r="BQ28" i="5"/>
  <c r="BR28" i="5"/>
  <c r="BQ29" i="5"/>
  <c r="BR29" i="5"/>
  <c r="BQ30" i="5"/>
  <c r="BR30" i="5"/>
  <c r="BQ31" i="5"/>
  <c r="BR31" i="5"/>
  <c r="BQ32" i="5"/>
  <c r="BR32" i="5"/>
  <c r="BQ33" i="5"/>
  <c r="BR33" i="5"/>
  <c r="BQ34" i="5"/>
  <c r="BR34" i="5"/>
  <c r="BQ35" i="5"/>
  <c r="BR35" i="5"/>
  <c r="BQ36" i="5"/>
  <c r="BR36" i="5"/>
  <c r="BQ37" i="5"/>
  <c r="BR37" i="5"/>
  <c r="BQ38" i="5"/>
  <c r="BR38" i="5"/>
  <c r="BQ39" i="5"/>
  <c r="BR39" i="5"/>
  <c r="BQ40" i="5"/>
  <c r="BR40" i="5"/>
  <c r="BQ41" i="5"/>
  <c r="BR41" i="5"/>
  <c r="BQ42" i="5"/>
  <c r="BR42" i="5"/>
  <c r="BQ43" i="5"/>
  <c r="BR43" i="5"/>
  <c r="BQ44" i="5"/>
  <c r="BR44" i="5"/>
  <c r="BQ45" i="5"/>
  <c r="BR45" i="5"/>
  <c r="BQ46" i="5"/>
  <c r="BR46" i="5"/>
  <c r="BQ47" i="5"/>
  <c r="BR47" i="5"/>
  <c r="BQ48" i="5"/>
  <c r="BR48" i="5"/>
  <c r="BQ49" i="5"/>
  <c r="BR49" i="5"/>
  <c r="BQ50" i="5"/>
  <c r="BR50" i="5"/>
  <c r="BQ51" i="5"/>
  <c r="BR51" i="5"/>
  <c r="BQ52" i="5"/>
  <c r="BR52" i="5"/>
  <c r="BQ53" i="5"/>
  <c r="BR53" i="5"/>
  <c r="BQ54" i="5"/>
  <c r="BR54" i="5"/>
  <c r="BQ55" i="5"/>
  <c r="BR55" i="5"/>
  <c r="BQ56" i="5"/>
  <c r="BR56" i="5"/>
  <c r="BQ57" i="5"/>
  <c r="BR57" i="5"/>
  <c r="BQ58" i="5"/>
  <c r="BR58" i="5"/>
  <c r="BQ59" i="5"/>
  <c r="BR59" i="5"/>
  <c r="BQ60" i="5"/>
  <c r="BR60" i="5"/>
  <c r="BQ61" i="5"/>
  <c r="BR61" i="5"/>
  <c r="BQ62" i="5"/>
  <c r="BR62" i="5"/>
  <c r="BQ63" i="5"/>
  <c r="BR63" i="5"/>
  <c r="BS63" i="5"/>
  <c r="BT63" i="5"/>
  <c r="BQ64" i="5"/>
  <c r="BR64" i="5"/>
  <c r="BS64" i="5"/>
  <c r="BT64" i="5"/>
  <c r="BQ65" i="5"/>
  <c r="BR65" i="5"/>
  <c r="BS65" i="5"/>
  <c r="BT65" i="5"/>
  <c r="BQ66" i="5"/>
  <c r="BR66" i="5"/>
  <c r="BS66" i="5"/>
  <c r="BT66" i="5"/>
  <c r="BQ67" i="5"/>
  <c r="BR67" i="5"/>
  <c r="BS67" i="5"/>
  <c r="BT67" i="5"/>
  <c r="BQ68" i="5"/>
  <c r="BR68" i="5"/>
  <c r="BS68" i="5"/>
  <c r="BT68" i="5"/>
  <c r="BQ69" i="5"/>
  <c r="BR69" i="5"/>
  <c r="BS69" i="5"/>
  <c r="BT69" i="5"/>
  <c r="BQ70" i="5"/>
  <c r="BR70" i="5"/>
  <c r="BS70" i="5"/>
  <c r="BT70" i="5"/>
  <c r="BQ71" i="5"/>
  <c r="BR71" i="5"/>
  <c r="BS71" i="5"/>
  <c r="BT71" i="5"/>
  <c r="BQ72" i="5"/>
  <c r="BR72" i="5"/>
  <c r="BS72" i="5"/>
  <c r="BT72" i="5"/>
  <c r="BQ73" i="5"/>
  <c r="BR73" i="5"/>
  <c r="BS73" i="5"/>
  <c r="BT73" i="5"/>
  <c r="BQ74" i="5"/>
  <c r="BR74" i="5"/>
  <c r="BS74" i="5"/>
  <c r="BT74" i="5"/>
  <c r="BQ75" i="5"/>
  <c r="BR75" i="5"/>
  <c r="BU75" i="5"/>
  <c r="BS75" i="5"/>
  <c r="BT75" i="5"/>
  <c r="BQ76" i="5"/>
  <c r="BR76" i="5"/>
  <c r="BU76" i="5"/>
  <c r="BS76" i="5"/>
  <c r="BT76" i="5"/>
  <c r="BQ77" i="5"/>
  <c r="BR77" i="5"/>
  <c r="BU77" i="5"/>
  <c r="BS77" i="5"/>
  <c r="BT77" i="5"/>
  <c r="BQ78" i="5"/>
  <c r="BR78" i="5"/>
  <c r="BU78" i="5"/>
  <c r="BS78" i="5"/>
  <c r="BT78" i="5"/>
  <c r="BQ79" i="5"/>
  <c r="BR79" i="5"/>
  <c r="BU79" i="5"/>
  <c r="BS79" i="5"/>
  <c r="BT79" i="5"/>
  <c r="BQ80" i="5"/>
  <c r="BR80" i="5"/>
  <c r="BU80" i="5"/>
  <c r="BS80" i="5"/>
  <c r="BT80" i="5"/>
  <c r="BQ81" i="5"/>
  <c r="BR81" i="5"/>
  <c r="BU81" i="5"/>
  <c r="BS81" i="5"/>
  <c r="BT81" i="5"/>
  <c r="BQ82" i="5"/>
  <c r="BR82" i="5"/>
  <c r="BU82" i="5"/>
  <c r="BS82" i="5"/>
  <c r="BT82" i="5"/>
  <c r="BQ83" i="5"/>
  <c r="BR83" i="5"/>
  <c r="BU83" i="5"/>
  <c r="BS83" i="5"/>
  <c r="BT83" i="5"/>
  <c r="BQ84" i="5"/>
  <c r="BR84" i="5"/>
  <c r="BU84" i="5"/>
  <c r="BS84" i="5"/>
  <c r="BT84" i="5"/>
  <c r="BQ85" i="5"/>
  <c r="BR85" i="5"/>
  <c r="BU85" i="5"/>
  <c r="BS85" i="5"/>
  <c r="BT85" i="5"/>
  <c r="BQ86" i="5"/>
  <c r="BR86" i="5"/>
  <c r="BU86" i="5"/>
  <c r="BS86" i="5"/>
  <c r="BT86" i="5"/>
  <c r="BQ87" i="5"/>
  <c r="BR87" i="5"/>
  <c r="BU87" i="5"/>
  <c r="BS87" i="5"/>
  <c r="BT87" i="5"/>
  <c r="BQ88" i="5"/>
  <c r="BR88" i="5"/>
  <c r="BU88" i="5"/>
  <c r="BS88" i="5"/>
  <c r="BT88" i="5"/>
  <c r="BQ89" i="5"/>
  <c r="BR89" i="5"/>
  <c r="BU89" i="5"/>
  <c r="BS89" i="5"/>
  <c r="BT89" i="5"/>
  <c r="BQ90" i="5"/>
  <c r="BR90" i="5"/>
  <c r="BU90" i="5"/>
  <c r="BS90" i="5"/>
  <c r="BT90" i="5"/>
  <c r="BQ91" i="5"/>
  <c r="BR91" i="5"/>
  <c r="BU91" i="5"/>
  <c r="BS91" i="5"/>
  <c r="BT91" i="5"/>
  <c r="BQ92" i="5"/>
  <c r="BR92" i="5"/>
  <c r="BU92" i="5"/>
  <c r="BS92" i="5"/>
  <c r="BT92" i="5"/>
  <c r="BQ93" i="5"/>
  <c r="BR93" i="5"/>
  <c r="BU93" i="5"/>
  <c r="BS93" i="5"/>
  <c r="BT93" i="5"/>
  <c r="BQ94" i="5"/>
  <c r="BR94" i="5"/>
  <c r="BU94" i="5"/>
  <c r="BS94" i="5"/>
  <c r="BT94" i="5"/>
  <c r="BQ95" i="5"/>
  <c r="BR95" i="5"/>
  <c r="BU95" i="5"/>
  <c r="BS95" i="5"/>
  <c r="BT95" i="5"/>
  <c r="BQ96" i="5"/>
  <c r="BR96" i="5"/>
  <c r="BU96" i="5"/>
  <c r="BS96" i="5"/>
  <c r="BT96" i="5"/>
  <c r="BQ97" i="5"/>
  <c r="BR97" i="5"/>
  <c r="BU97" i="5"/>
  <c r="BS97" i="5"/>
  <c r="BT97" i="5"/>
  <c r="BQ98" i="5"/>
  <c r="BR98" i="5"/>
  <c r="BU98" i="5"/>
  <c r="BS98" i="5"/>
  <c r="BT98" i="5"/>
  <c r="BQ99" i="5"/>
  <c r="BR99" i="5"/>
  <c r="BU99" i="5"/>
  <c r="BS99" i="5"/>
  <c r="BT99" i="5"/>
  <c r="BQ100" i="5"/>
  <c r="BR100" i="5"/>
  <c r="BU100" i="5"/>
  <c r="BS100" i="5"/>
  <c r="BT100" i="5"/>
  <c r="BQ101" i="5"/>
  <c r="BR101" i="5"/>
  <c r="BU101" i="5"/>
  <c r="BS101" i="5"/>
  <c r="BT101" i="5"/>
  <c r="BQ102" i="5"/>
  <c r="BR102" i="5"/>
  <c r="BU102" i="5"/>
  <c r="BS102" i="5"/>
  <c r="BT102" i="5"/>
  <c r="BQ103" i="5"/>
  <c r="BR103" i="5"/>
  <c r="BU103" i="5"/>
  <c r="BS103" i="5"/>
  <c r="BT103" i="5"/>
  <c r="BQ104" i="5"/>
  <c r="BR104" i="5"/>
  <c r="BU104" i="5"/>
  <c r="BS104" i="5"/>
  <c r="BT104" i="5"/>
  <c r="BQ105" i="5"/>
  <c r="BR105" i="5"/>
  <c r="BU105" i="5"/>
  <c r="BS105" i="5"/>
  <c r="BT105" i="5"/>
  <c r="BQ106" i="5"/>
  <c r="BR106" i="5"/>
  <c r="BU106" i="5"/>
  <c r="BS106" i="5"/>
  <c r="BT106" i="5"/>
  <c r="BQ107" i="5"/>
  <c r="BR107" i="5"/>
  <c r="BU107" i="5"/>
  <c r="BS107" i="5"/>
  <c r="BT107" i="5"/>
  <c r="BQ108" i="5"/>
  <c r="BR108" i="5"/>
  <c r="BU108" i="5"/>
  <c r="BS108" i="5"/>
  <c r="BT108" i="5"/>
  <c r="BQ109" i="5"/>
  <c r="BR109" i="5"/>
  <c r="BU109" i="5"/>
  <c r="BS109" i="5"/>
  <c r="BT109" i="5"/>
  <c r="BQ110" i="5"/>
  <c r="BR110" i="5"/>
  <c r="BU110" i="5"/>
  <c r="BS110" i="5"/>
  <c r="BT110" i="5"/>
  <c r="BQ111" i="5"/>
  <c r="BR111" i="5"/>
  <c r="BU111" i="5"/>
  <c r="BS111" i="5"/>
  <c r="BT111" i="5"/>
  <c r="BQ112" i="5"/>
  <c r="BR112" i="5"/>
  <c r="BU112" i="5"/>
  <c r="BS112" i="5"/>
  <c r="BT112" i="5"/>
  <c r="BQ113" i="5"/>
  <c r="BR113" i="5"/>
  <c r="BU113" i="5"/>
  <c r="BS113" i="5"/>
  <c r="BT113" i="5"/>
  <c r="BQ114" i="5"/>
  <c r="BR114" i="5"/>
  <c r="BU114" i="5"/>
  <c r="BS114" i="5"/>
  <c r="BT114" i="5"/>
  <c r="BQ115" i="5"/>
  <c r="BR115" i="5"/>
  <c r="BU115" i="5"/>
  <c r="BS115" i="5"/>
  <c r="BT115" i="5"/>
  <c r="BQ116" i="5"/>
  <c r="BR116" i="5"/>
  <c r="BU116" i="5"/>
  <c r="BS116" i="5"/>
  <c r="BT116" i="5"/>
  <c r="BQ117" i="5"/>
  <c r="BR117" i="5"/>
  <c r="BU117" i="5"/>
  <c r="BS117" i="5"/>
  <c r="BT117" i="5"/>
  <c r="BQ118" i="5"/>
  <c r="BR118" i="5"/>
  <c r="BU118" i="5"/>
  <c r="BS118" i="5"/>
  <c r="BT118" i="5"/>
  <c r="BQ119" i="5"/>
  <c r="BR119" i="5"/>
  <c r="BU119" i="5"/>
  <c r="BS119" i="5"/>
  <c r="BT119" i="5"/>
  <c r="BQ120" i="5"/>
  <c r="BR120" i="5"/>
  <c r="BU120" i="5"/>
  <c r="BS120" i="5"/>
  <c r="BT120" i="5"/>
  <c r="BQ121" i="5"/>
  <c r="BR121" i="5"/>
  <c r="BU121" i="5"/>
  <c r="BS121" i="5"/>
  <c r="BT121" i="5"/>
  <c r="BQ122" i="5"/>
  <c r="BR122" i="5"/>
  <c r="BU122" i="5"/>
  <c r="BS122" i="5"/>
  <c r="BT122" i="5"/>
  <c r="BQ123" i="5"/>
  <c r="BR123" i="5"/>
  <c r="BU123" i="5"/>
  <c r="BS123" i="5"/>
  <c r="BT123" i="5"/>
  <c r="BQ124" i="5"/>
  <c r="BR124" i="5"/>
  <c r="BU124" i="5"/>
  <c r="BS124" i="5"/>
  <c r="BT124" i="5"/>
  <c r="BQ125" i="5"/>
  <c r="BR125" i="5"/>
  <c r="BU125" i="5"/>
  <c r="BS125" i="5"/>
  <c r="BT125" i="5"/>
  <c r="BQ126" i="5"/>
  <c r="BR126" i="5"/>
  <c r="BU126" i="5"/>
  <c r="BS126" i="5"/>
  <c r="BT126" i="5"/>
  <c r="BQ127" i="5"/>
  <c r="BR127" i="5"/>
  <c r="BU127" i="5"/>
  <c r="BS127" i="5"/>
  <c r="BT127" i="5"/>
  <c r="BQ128" i="5"/>
  <c r="BR128" i="5"/>
  <c r="BU128" i="5"/>
  <c r="BS128" i="5"/>
  <c r="BT128" i="5"/>
  <c r="BQ129" i="5"/>
  <c r="BR129" i="5"/>
  <c r="BU129" i="5"/>
  <c r="BS129" i="5"/>
  <c r="BT129" i="5"/>
  <c r="BQ130" i="5"/>
  <c r="BR130" i="5"/>
  <c r="BU130" i="5"/>
  <c r="BS130" i="5"/>
  <c r="BT130" i="5"/>
  <c r="BQ131" i="5"/>
  <c r="BR131" i="5"/>
  <c r="BU131" i="5"/>
  <c r="BS131" i="5"/>
  <c r="BT131" i="5"/>
  <c r="BQ132" i="5"/>
  <c r="BR132" i="5"/>
  <c r="BU132" i="5"/>
  <c r="BS132" i="5"/>
  <c r="BT132" i="5"/>
  <c r="BQ133" i="5"/>
  <c r="BR133" i="5"/>
  <c r="BU133" i="5"/>
  <c r="BS133" i="5"/>
  <c r="BT133" i="5"/>
  <c r="BQ134" i="5"/>
  <c r="BR134" i="5"/>
  <c r="BU134" i="5"/>
  <c r="BS134" i="5"/>
  <c r="BT134" i="5"/>
  <c r="BQ135" i="5"/>
  <c r="BR135" i="5"/>
  <c r="BU135" i="5"/>
  <c r="BS135" i="5"/>
  <c r="BT135" i="5"/>
  <c r="BQ136" i="5"/>
  <c r="BR136" i="5"/>
  <c r="BU136" i="5"/>
  <c r="BS136" i="5"/>
  <c r="BT136" i="5"/>
  <c r="BQ137" i="5"/>
  <c r="BR137" i="5"/>
  <c r="BU137" i="5"/>
  <c r="BS137" i="5"/>
  <c r="BT137" i="5"/>
  <c r="BQ138" i="5"/>
  <c r="BR138" i="5"/>
  <c r="BU138" i="5"/>
  <c r="BS138" i="5"/>
  <c r="BT138" i="5"/>
  <c r="BQ139" i="5"/>
  <c r="BR139" i="5"/>
  <c r="BU139" i="5"/>
  <c r="BS139" i="5"/>
  <c r="BT139" i="5"/>
  <c r="BQ140" i="5"/>
  <c r="BR140" i="5"/>
  <c r="BU140" i="5"/>
  <c r="BS140" i="5"/>
  <c r="BT140" i="5"/>
  <c r="BQ141" i="5"/>
  <c r="BR141" i="5"/>
  <c r="BU141" i="5"/>
  <c r="BS141" i="5"/>
  <c r="BT141" i="5"/>
  <c r="BQ142" i="5"/>
  <c r="BR142" i="5"/>
  <c r="BU142" i="5"/>
  <c r="BS142" i="5"/>
  <c r="BT142" i="5"/>
  <c r="BQ143" i="5"/>
  <c r="BR143" i="5"/>
  <c r="BU143" i="5"/>
  <c r="BS143" i="5"/>
  <c r="BT143" i="5"/>
  <c r="BQ144" i="5"/>
  <c r="BR144" i="5"/>
  <c r="BU144" i="5"/>
  <c r="BS144" i="5"/>
  <c r="BT144" i="5"/>
  <c r="BQ145" i="5"/>
  <c r="BR145" i="5"/>
  <c r="BU145" i="5"/>
  <c r="BS145" i="5"/>
  <c r="BT145" i="5"/>
  <c r="BQ146" i="5"/>
  <c r="BR146" i="5"/>
  <c r="BU146" i="5"/>
  <c r="BS146" i="5"/>
  <c r="BT146" i="5"/>
  <c r="BQ147" i="5"/>
  <c r="BR147" i="5"/>
  <c r="BU147" i="5"/>
  <c r="BS147" i="5"/>
  <c r="BT147" i="5"/>
  <c r="BQ148" i="5"/>
  <c r="BR148" i="5"/>
  <c r="BU148" i="5"/>
  <c r="BS148" i="5"/>
  <c r="BT148" i="5"/>
  <c r="BQ149" i="5"/>
  <c r="BR149" i="5"/>
  <c r="BU149" i="5"/>
  <c r="BS149" i="5"/>
  <c r="BT149" i="5"/>
  <c r="BQ150" i="5"/>
  <c r="BR150" i="5"/>
  <c r="BU150" i="5"/>
  <c r="BS150" i="5"/>
  <c r="BT150" i="5"/>
  <c r="BQ151" i="5"/>
  <c r="BR151" i="5"/>
  <c r="BU151" i="5"/>
  <c r="BS151" i="5"/>
  <c r="BT151" i="5"/>
  <c r="BQ152" i="5"/>
  <c r="BR152" i="5"/>
  <c r="BU152" i="5"/>
  <c r="BS152" i="5"/>
  <c r="BT152" i="5"/>
  <c r="BQ153" i="5"/>
  <c r="BR153" i="5"/>
  <c r="BU153" i="5"/>
  <c r="BS153" i="5"/>
  <c r="BT153" i="5"/>
  <c r="BQ154" i="5"/>
  <c r="BR154" i="5"/>
  <c r="BU154" i="5"/>
  <c r="BS154" i="5"/>
  <c r="BT154" i="5"/>
  <c r="BQ155" i="5"/>
  <c r="BR155" i="5"/>
  <c r="BU155" i="5"/>
  <c r="BS155" i="5"/>
  <c r="BT155" i="5"/>
  <c r="BQ156" i="5"/>
  <c r="BR156" i="5"/>
  <c r="BU156" i="5"/>
  <c r="BS156" i="5"/>
  <c r="BT156" i="5"/>
  <c r="BQ157" i="5"/>
  <c r="BR157" i="5"/>
  <c r="BU157" i="5"/>
  <c r="BS157" i="5"/>
  <c r="BT157" i="5"/>
  <c r="BQ158" i="5"/>
  <c r="BR158" i="5"/>
  <c r="BU158" i="5"/>
  <c r="BS158" i="5"/>
  <c r="BT158" i="5"/>
  <c r="BQ159" i="5"/>
  <c r="BR159" i="5"/>
  <c r="BU159" i="5"/>
  <c r="BS159" i="5"/>
  <c r="BT159" i="5"/>
  <c r="BQ160" i="5"/>
  <c r="BR160" i="5"/>
  <c r="BU160" i="5"/>
  <c r="BS160" i="5"/>
  <c r="BT160" i="5"/>
  <c r="BQ161" i="5"/>
  <c r="BR161" i="5"/>
  <c r="BU161" i="5"/>
  <c r="BS161" i="5"/>
  <c r="BT161" i="5"/>
  <c r="BQ162" i="5"/>
  <c r="BR162" i="5"/>
  <c r="BU162" i="5"/>
  <c r="BS162" i="5"/>
  <c r="BT162" i="5"/>
  <c r="BQ163" i="5"/>
  <c r="BR163" i="5"/>
  <c r="BU163" i="5"/>
  <c r="BS163" i="5"/>
  <c r="BT163" i="5"/>
  <c r="BQ164" i="5"/>
  <c r="BR164" i="5"/>
  <c r="BU164" i="5"/>
  <c r="BS164" i="5"/>
  <c r="BT164" i="5"/>
  <c r="BQ165" i="5"/>
  <c r="BR165" i="5"/>
  <c r="BU165" i="5"/>
  <c r="BS165" i="5"/>
  <c r="BT165" i="5"/>
  <c r="BQ166" i="5"/>
  <c r="BR166" i="5"/>
  <c r="BU166" i="5"/>
  <c r="BS166" i="5"/>
  <c r="BT166" i="5"/>
  <c r="BQ167" i="5"/>
  <c r="BR167" i="5"/>
  <c r="BU167" i="5"/>
  <c r="BS167" i="5"/>
  <c r="BT167" i="5"/>
  <c r="BQ168" i="5"/>
  <c r="BR168" i="5"/>
  <c r="BU168" i="5"/>
  <c r="BS168" i="5"/>
  <c r="BT168" i="5"/>
  <c r="BQ169" i="5"/>
  <c r="BR169" i="5"/>
  <c r="BU169" i="5"/>
  <c r="BS169" i="5"/>
  <c r="BT169" i="5"/>
  <c r="BQ170" i="5"/>
  <c r="BR170" i="5"/>
  <c r="BU170" i="5"/>
  <c r="BS170" i="5"/>
  <c r="BT170" i="5"/>
  <c r="BQ171" i="5"/>
  <c r="BR171" i="5"/>
  <c r="BU171" i="5"/>
  <c r="BS171" i="5"/>
  <c r="BT171" i="5"/>
  <c r="BQ172" i="5"/>
  <c r="BR172" i="5"/>
  <c r="BU172" i="5"/>
  <c r="BS172" i="5"/>
  <c r="BT172" i="5"/>
  <c r="BQ173" i="5"/>
  <c r="BR173" i="5"/>
  <c r="BU173" i="5"/>
  <c r="BS173" i="5"/>
  <c r="BT173" i="5"/>
  <c r="BQ174" i="5"/>
  <c r="BR174" i="5"/>
  <c r="BU174" i="5"/>
  <c r="BS174" i="5"/>
  <c r="BT174" i="5"/>
  <c r="BQ175" i="5"/>
  <c r="BR175" i="5"/>
  <c r="BU175" i="5"/>
  <c r="BS175" i="5"/>
  <c r="BT175" i="5"/>
  <c r="BQ176" i="5"/>
  <c r="BR176" i="5"/>
  <c r="BU176" i="5"/>
  <c r="BS176" i="5"/>
  <c r="BT176" i="5"/>
  <c r="BQ177" i="5"/>
  <c r="BR177" i="5"/>
  <c r="BU177" i="5"/>
  <c r="BS177" i="5"/>
  <c r="BT177" i="5"/>
  <c r="BQ178" i="5"/>
  <c r="BR178" i="5"/>
  <c r="BU178" i="5"/>
  <c r="BS178" i="5"/>
  <c r="BT178" i="5"/>
  <c r="BQ179" i="5"/>
  <c r="BR179" i="5"/>
  <c r="BU179" i="5"/>
  <c r="BS179" i="5"/>
  <c r="BT179" i="5"/>
  <c r="BQ180" i="5"/>
  <c r="BR180" i="5"/>
  <c r="BU180" i="5"/>
  <c r="BS180" i="5"/>
  <c r="BT180" i="5"/>
  <c r="BQ181" i="5"/>
  <c r="BR181" i="5"/>
  <c r="BU181" i="5"/>
  <c r="BS181" i="5"/>
  <c r="BT181" i="5"/>
  <c r="BQ182" i="5"/>
  <c r="BR182" i="5"/>
  <c r="BU182" i="5"/>
  <c r="BS182" i="5"/>
  <c r="BT182" i="5"/>
  <c r="BQ183" i="5"/>
  <c r="BR183" i="5"/>
  <c r="BU183" i="5"/>
  <c r="BS183" i="5"/>
  <c r="BT183" i="5"/>
  <c r="BQ184" i="5"/>
  <c r="BR184" i="5"/>
  <c r="BU184" i="5"/>
  <c r="BS184" i="5"/>
  <c r="BT184" i="5"/>
  <c r="BQ185" i="5"/>
  <c r="BR185" i="5"/>
  <c r="BU185" i="5"/>
  <c r="BS185" i="5"/>
  <c r="BT185" i="5"/>
  <c r="BQ186" i="5"/>
  <c r="BR186" i="5"/>
  <c r="BU186" i="5"/>
  <c r="BS186" i="5"/>
  <c r="BT186" i="5"/>
  <c r="BQ187" i="5"/>
  <c r="BR187" i="5"/>
  <c r="BU187" i="5"/>
  <c r="BS187" i="5"/>
  <c r="BT187" i="5"/>
  <c r="BQ188" i="5"/>
  <c r="BR188" i="5"/>
  <c r="BU188" i="5"/>
  <c r="BS188" i="5"/>
  <c r="BT188" i="5"/>
  <c r="BQ189" i="5"/>
  <c r="BR189" i="5"/>
  <c r="BU189" i="5"/>
  <c r="BS189" i="5"/>
  <c r="BT189" i="5"/>
  <c r="BQ190" i="5"/>
  <c r="BR190" i="5"/>
  <c r="BU190" i="5"/>
  <c r="BS190" i="5"/>
  <c r="BT190" i="5"/>
  <c r="BQ191" i="5"/>
  <c r="BR191" i="5"/>
  <c r="BU191" i="5"/>
  <c r="BS191" i="5"/>
  <c r="BT191" i="5"/>
  <c r="BQ192" i="5"/>
  <c r="BR192" i="5"/>
  <c r="BU192" i="5"/>
  <c r="BS192" i="5"/>
  <c r="BT192" i="5"/>
  <c r="BQ193" i="5"/>
  <c r="BR193" i="5"/>
  <c r="BU193" i="5"/>
  <c r="BS193" i="5"/>
  <c r="BT193" i="5"/>
  <c r="BQ194" i="5"/>
  <c r="BR194" i="5"/>
  <c r="BU194" i="5"/>
  <c r="BS194" i="5"/>
  <c r="BT194" i="5"/>
  <c r="BQ195" i="5"/>
  <c r="BR195" i="5"/>
  <c r="BU195" i="5"/>
  <c r="BS195" i="5"/>
  <c r="BT195" i="5"/>
  <c r="BQ196" i="5"/>
  <c r="BR196" i="5"/>
  <c r="BU196" i="5"/>
  <c r="BS196" i="5"/>
  <c r="BT196" i="5"/>
  <c r="BQ197" i="5"/>
  <c r="BR197" i="5"/>
  <c r="BU197" i="5"/>
  <c r="BS197" i="5"/>
  <c r="BT197" i="5"/>
  <c r="BQ198" i="5"/>
  <c r="BR198" i="5"/>
  <c r="BU198" i="5"/>
  <c r="BS198" i="5"/>
  <c r="BT198" i="5"/>
  <c r="BQ199" i="5"/>
  <c r="BR199" i="5"/>
  <c r="BU199" i="5"/>
  <c r="BS199" i="5"/>
  <c r="BT199" i="5"/>
  <c r="BQ200" i="5"/>
  <c r="BR200" i="5"/>
  <c r="BU200" i="5"/>
  <c r="BS200" i="5"/>
  <c r="BT200" i="5"/>
  <c r="BQ201" i="5"/>
  <c r="BR201" i="5"/>
  <c r="BU201" i="5"/>
  <c r="BS201" i="5"/>
  <c r="BT201" i="5"/>
  <c r="BQ202" i="5"/>
  <c r="BR202" i="5"/>
  <c r="BU202" i="5"/>
  <c r="BS202" i="5"/>
  <c r="BT202" i="5"/>
  <c r="BQ203" i="5"/>
  <c r="BR203" i="5"/>
  <c r="BU203" i="5"/>
  <c r="BS203" i="5"/>
  <c r="BT203" i="5"/>
  <c r="BQ204" i="5"/>
  <c r="BR204" i="5"/>
  <c r="BU204" i="5"/>
  <c r="BS204" i="5"/>
  <c r="BT204" i="5"/>
  <c r="BQ205" i="5"/>
  <c r="BR205" i="5"/>
  <c r="BU205" i="5"/>
  <c r="BS205" i="5"/>
  <c r="BT205" i="5"/>
  <c r="BQ206" i="5"/>
  <c r="BR206" i="5"/>
  <c r="BU206" i="5"/>
  <c r="BS206" i="5"/>
  <c r="BT206" i="5"/>
  <c r="BQ207" i="5"/>
  <c r="BR207" i="5"/>
  <c r="BU207" i="5"/>
  <c r="BS207" i="5"/>
  <c r="BT207" i="5"/>
  <c r="BQ208" i="5"/>
  <c r="BR208" i="5"/>
  <c r="BU208" i="5"/>
  <c r="BS208" i="5"/>
  <c r="BT208" i="5"/>
  <c r="BQ209" i="5"/>
  <c r="BR209" i="5"/>
  <c r="BU209" i="5"/>
  <c r="BS209" i="5"/>
  <c r="BT209" i="5"/>
  <c r="BQ210" i="5"/>
  <c r="BR210" i="5"/>
  <c r="BU210" i="5"/>
  <c r="BS210" i="5"/>
  <c r="BT210" i="5"/>
  <c r="BQ211" i="5"/>
  <c r="BR211" i="5"/>
  <c r="BU211" i="5"/>
  <c r="BS211" i="5"/>
  <c r="BT211" i="5"/>
  <c r="BQ212" i="5"/>
  <c r="BR212" i="5"/>
  <c r="BU212" i="5"/>
  <c r="BS212" i="5"/>
  <c r="BT212" i="5"/>
  <c r="BQ213" i="5"/>
  <c r="BR213" i="5"/>
  <c r="BU213" i="5"/>
  <c r="BS213" i="5"/>
  <c r="BT213" i="5"/>
  <c r="BQ214" i="5"/>
  <c r="BR214" i="5"/>
  <c r="BU214" i="5"/>
  <c r="BS214" i="5"/>
  <c r="BT214" i="5"/>
  <c r="BQ215" i="5"/>
  <c r="BR215" i="5"/>
  <c r="BU215" i="5"/>
  <c r="BS215" i="5"/>
  <c r="BT215" i="5"/>
  <c r="BQ216" i="5"/>
  <c r="BR216" i="5"/>
  <c r="BU216" i="5"/>
  <c r="BS216" i="5"/>
  <c r="BT216" i="5"/>
  <c r="BQ217" i="5"/>
  <c r="BR217" i="5"/>
  <c r="BU217" i="5"/>
  <c r="BS217" i="5"/>
  <c r="BT217" i="5"/>
  <c r="BQ218" i="5"/>
  <c r="BR218" i="5"/>
  <c r="BU218" i="5"/>
  <c r="BS218" i="5"/>
  <c r="BT218" i="5"/>
  <c r="BQ219" i="5"/>
  <c r="BR219" i="5"/>
  <c r="BU219" i="5"/>
  <c r="BS219" i="5"/>
  <c r="BT219" i="5"/>
  <c r="BQ220" i="5"/>
  <c r="BR220" i="5"/>
  <c r="BU220" i="5"/>
  <c r="BS220" i="5"/>
  <c r="BT220" i="5"/>
  <c r="BQ221" i="5"/>
  <c r="BR221" i="5"/>
  <c r="BU221" i="5"/>
  <c r="BS221" i="5"/>
  <c r="BT221" i="5"/>
  <c r="BQ222" i="5"/>
  <c r="BR222" i="5"/>
  <c r="BU222" i="5"/>
  <c r="BS222" i="5"/>
  <c r="BT222" i="5"/>
  <c r="BQ223" i="5"/>
  <c r="BR223" i="5"/>
  <c r="BU223" i="5"/>
  <c r="BS223" i="5"/>
  <c r="BT223" i="5"/>
  <c r="BQ224" i="5"/>
  <c r="BR224" i="5"/>
  <c r="BU224" i="5"/>
  <c r="BS224" i="5"/>
  <c r="BT224" i="5"/>
  <c r="BQ225" i="5"/>
  <c r="BR225" i="5"/>
  <c r="BU225" i="5"/>
  <c r="BS225" i="5"/>
  <c r="BT225" i="5"/>
  <c r="BQ226" i="5"/>
  <c r="BR226" i="5"/>
  <c r="BU226" i="5"/>
  <c r="BS226" i="5"/>
  <c r="BT226" i="5"/>
  <c r="BQ227" i="5"/>
  <c r="BR227" i="5"/>
  <c r="BU227" i="5"/>
  <c r="BS227" i="5"/>
  <c r="BT227" i="5"/>
  <c r="BQ228" i="5"/>
  <c r="BR228" i="5"/>
  <c r="BU228" i="5"/>
  <c r="BS228" i="5"/>
  <c r="BT228" i="5"/>
  <c r="BQ229" i="5"/>
  <c r="BR229" i="5"/>
  <c r="BU229" i="5"/>
  <c r="BS229" i="5"/>
  <c r="BT229" i="5"/>
  <c r="BQ230" i="5"/>
  <c r="BR230" i="5"/>
  <c r="BU230" i="5"/>
  <c r="BS230" i="5"/>
  <c r="BT230" i="5"/>
  <c r="BQ231" i="5"/>
  <c r="BR231" i="5"/>
  <c r="BU231" i="5"/>
  <c r="BS231" i="5"/>
  <c r="BT231" i="5"/>
  <c r="BQ232" i="5"/>
  <c r="BR232" i="5"/>
  <c r="BU232" i="5"/>
  <c r="BS232" i="5"/>
  <c r="BT232" i="5"/>
  <c r="BQ233" i="5"/>
  <c r="BR233" i="5"/>
  <c r="BU233" i="5"/>
  <c r="BS233" i="5"/>
  <c r="BT233" i="5"/>
  <c r="BQ234" i="5"/>
  <c r="BR234" i="5"/>
  <c r="BU234" i="5"/>
  <c r="BS234" i="5"/>
  <c r="BT234" i="5"/>
  <c r="BQ235" i="5"/>
  <c r="BR235" i="5"/>
  <c r="BU235" i="5"/>
  <c r="BS235" i="5"/>
  <c r="BT235" i="5"/>
  <c r="BQ236" i="5"/>
  <c r="BR236" i="5"/>
  <c r="BU236" i="5"/>
  <c r="BS236" i="5"/>
  <c r="BT236" i="5"/>
  <c r="BQ237" i="5"/>
  <c r="BR237" i="5"/>
  <c r="BU237" i="5"/>
  <c r="BS237" i="5"/>
  <c r="BT237" i="5"/>
  <c r="BQ238" i="5"/>
  <c r="BR238" i="5"/>
  <c r="BU238" i="5"/>
  <c r="BS238" i="5"/>
  <c r="BT238" i="5"/>
  <c r="BQ239" i="5"/>
  <c r="BR239" i="5"/>
  <c r="BU239" i="5"/>
  <c r="BS239" i="5"/>
  <c r="BT239" i="5"/>
  <c r="BQ240" i="5"/>
  <c r="BR240" i="5"/>
  <c r="BU240" i="5"/>
  <c r="BS240" i="5"/>
  <c r="BT240" i="5"/>
  <c r="BQ241" i="5"/>
  <c r="BR241" i="5"/>
  <c r="BU241" i="5"/>
  <c r="BS241" i="5"/>
  <c r="BT241" i="5"/>
  <c r="BQ242" i="5"/>
  <c r="BR242" i="5"/>
  <c r="BU242" i="5"/>
  <c r="BS242" i="5"/>
  <c r="BT242" i="5"/>
  <c r="BQ243" i="5"/>
  <c r="BR243" i="5"/>
  <c r="BU243" i="5"/>
  <c r="BS243" i="5"/>
  <c r="BT243" i="5"/>
  <c r="BQ244" i="5"/>
  <c r="BR244" i="5"/>
  <c r="BU244" i="5"/>
  <c r="BS244" i="5"/>
  <c r="BT244" i="5"/>
  <c r="BQ245" i="5"/>
  <c r="BR245" i="5"/>
  <c r="BU245" i="5"/>
  <c r="BS245" i="5"/>
  <c r="BT245" i="5"/>
  <c r="BQ246" i="5"/>
  <c r="BR246" i="5"/>
  <c r="BU246" i="5"/>
  <c r="BS246" i="5"/>
  <c r="BT246" i="5"/>
  <c r="BQ247" i="5"/>
  <c r="BR247" i="5"/>
  <c r="BU247" i="5"/>
  <c r="BS247" i="5"/>
  <c r="BT247" i="5"/>
  <c r="BQ248" i="5"/>
  <c r="BR248" i="5"/>
  <c r="BU248" i="5"/>
  <c r="BS248" i="5"/>
  <c r="BT248" i="5"/>
  <c r="BQ249" i="5"/>
  <c r="BR249" i="5"/>
  <c r="BU249" i="5"/>
  <c r="BS249" i="5"/>
  <c r="BT249" i="5"/>
  <c r="BQ250" i="5"/>
  <c r="BR250" i="5"/>
  <c r="BU250" i="5"/>
  <c r="BS250" i="5"/>
  <c r="BT250" i="5"/>
  <c r="BQ251" i="5"/>
  <c r="BR251" i="5"/>
  <c r="BU251" i="5"/>
  <c r="BS251" i="5"/>
  <c r="BT251" i="5"/>
  <c r="BQ252" i="5"/>
  <c r="BR252" i="5"/>
  <c r="BU252" i="5"/>
  <c r="BS252" i="5"/>
  <c r="BT252" i="5"/>
  <c r="BQ253" i="5"/>
  <c r="BR253" i="5"/>
  <c r="BU253" i="5"/>
  <c r="BS253" i="5"/>
  <c r="BT253" i="5"/>
  <c r="BQ254" i="5"/>
  <c r="BR254" i="5"/>
  <c r="BU254" i="5"/>
  <c r="BS254" i="5"/>
  <c r="BT254" i="5"/>
  <c r="BQ255" i="5"/>
  <c r="BR255" i="5"/>
  <c r="BU255" i="5"/>
  <c r="BS255" i="5"/>
  <c r="BT255" i="5"/>
  <c r="BQ256" i="5"/>
  <c r="BR256" i="5"/>
  <c r="BU256" i="5"/>
  <c r="BS256" i="5"/>
  <c r="BT256" i="5"/>
  <c r="BQ257" i="5"/>
  <c r="BR257" i="5"/>
  <c r="BU257" i="5"/>
  <c r="BS257" i="5"/>
  <c r="BT257" i="5"/>
  <c r="BQ258" i="5"/>
  <c r="BR258" i="5"/>
  <c r="BU258" i="5"/>
  <c r="BS258" i="5"/>
  <c r="BT258" i="5"/>
  <c r="BQ259" i="5"/>
  <c r="BR259" i="5"/>
  <c r="BU259" i="5"/>
  <c r="BS259" i="5"/>
  <c r="BT259" i="5"/>
  <c r="BQ260" i="5"/>
  <c r="BR260" i="5"/>
  <c r="BU260" i="5"/>
  <c r="BS260" i="5"/>
  <c r="BT260" i="5"/>
  <c r="BQ261" i="5"/>
  <c r="BR261" i="5"/>
  <c r="BU261" i="5"/>
  <c r="BS261" i="5"/>
  <c r="BT261" i="5"/>
  <c r="BQ262" i="5"/>
  <c r="BR262" i="5"/>
  <c r="BU262" i="5"/>
  <c r="BS262" i="5"/>
  <c r="BT262" i="5"/>
  <c r="BQ263" i="5"/>
  <c r="BR263" i="5"/>
  <c r="BU263" i="5"/>
  <c r="BS263" i="5"/>
  <c r="BT263" i="5"/>
  <c r="BQ264" i="5"/>
  <c r="BR264" i="5"/>
  <c r="BU264" i="5"/>
  <c r="BS264" i="5"/>
  <c r="BT264" i="5"/>
  <c r="BQ265" i="5"/>
  <c r="BR265" i="5"/>
  <c r="BU265" i="5"/>
  <c r="BS265" i="5"/>
  <c r="BT265" i="5"/>
  <c r="BQ266" i="5"/>
  <c r="BR266" i="5"/>
  <c r="BU266" i="5"/>
  <c r="BS266" i="5"/>
  <c r="BT266" i="5"/>
  <c r="BQ267" i="5"/>
  <c r="BR267" i="5"/>
  <c r="BU267" i="5"/>
  <c r="BS267" i="5"/>
  <c r="BT267" i="5"/>
  <c r="BQ268" i="5"/>
  <c r="BR268" i="5"/>
  <c r="BU268" i="5"/>
  <c r="BS268" i="5"/>
  <c r="BT268" i="5"/>
  <c r="BQ269" i="5"/>
  <c r="BR269" i="5"/>
  <c r="BU269" i="5"/>
  <c r="BS269" i="5"/>
  <c r="BT269" i="5"/>
  <c r="BQ270" i="5"/>
  <c r="BR270" i="5"/>
  <c r="BU270" i="5"/>
  <c r="BS270" i="5"/>
  <c r="BT270" i="5"/>
  <c r="BQ271" i="5"/>
  <c r="BR271" i="5"/>
  <c r="BU271" i="5"/>
  <c r="BS271" i="5"/>
  <c r="BT271" i="5"/>
  <c r="BQ272" i="5"/>
  <c r="BR272" i="5"/>
  <c r="BU272" i="5"/>
  <c r="BS272" i="5"/>
  <c r="BT272" i="5"/>
  <c r="BQ273" i="5"/>
  <c r="BR273" i="5"/>
  <c r="BU273" i="5"/>
  <c r="BS273" i="5"/>
  <c r="BT273" i="5"/>
  <c r="BQ274" i="5"/>
  <c r="BR274" i="5"/>
  <c r="BU274" i="5"/>
  <c r="BS274" i="5"/>
  <c r="BT274" i="5"/>
  <c r="BQ275" i="5"/>
  <c r="BR275" i="5"/>
  <c r="BU275" i="5"/>
  <c r="BS275" i="5"/>
  <c r="BT275" i="5"/>
  <c r="BQ276" i="5"/>
  <c r="BR276" i="5"/>
  <c r="BU276" i="5"/>
  <c r="BS276" i="5"/>
  <c r="BT276" i="5"/>
  <c r="BQ277" i="5"/>
  <c r="BR277" i="5"/>
  <c r="BU277" i="5"/>
  <c r="BS277" i="5"/>
  <c r="BT277" i="5"/>
  <c r="BQ278" i="5"/>
  <c r="BR278" i="5"/>
  <c r="BU278" i="5"/>
  <c r="BS278" i="5"/>
  <c r="BT278" i="5"/>
  <c r="BQ279" i="5"/>
  <c r="BR279" i="5"/>
  <c r="BU279" i="5"/>
  <c r="BS279" i="5"/>
  <c r="BT279" i="5"/>
  <c r="BQ280" i="5"/>
  <c r="BR280" i="5"/>
  <c r="BU280" i="5"/>
  <c r="BS280" i="5"/>
  <c r="BT280" i="5"/>
  <c r="BQ281" i="5"/>
  <c r="BR281" i="5"/>
  <c r="BU281" i="5"/>
  <c r="BS281" i="5"/>
  <c r="BT281" i="5"/>
  <c r="BQ282" i="5"/>
  <c r="BR282" i="5"/>
  <c r="BU282" i="5"/>
  <c r="BS282" i="5"/>
  <c r="BT282" i="5"/>
  <c r="BQ283" i="5"/>
  <c r="BR283" i="5"/>
  <c r="BU283" i="5"/>
  <c r="BS283" i="5"/>
  <c r="BT283" i="5"/>
  <c r="BQ284" i="5"/>
  <c r="BR284" i="5"/>
  <c r="BU284" i="5"/>
  <c r="BS284" i="5"/>
  <c r="BT284" i="5"/>
  <c r="BQ285" i="5"/>
  <c r="BR285" i="5"/>
  <c r="BU285" i="5"/>
  <c r="BS285" i="5"/>
  <c r="BT285" i="5"/>
  <c r="BQ286" i="5"/>
  <c r="BR286" i="5"/>
  <c r="BU286" i="5"/>
  <c r="BS286" i="5"/>
  <c r="BT286" i="5"/>
  <c r="BQ287" i="5"/>
  <c r="BR287" i="5"/>
  <c r="BU287" i="5"/>
  <c r="BS287" i="5"/>
  <c r="BT287" i="5"/>
  <c r="BQ288" i="5"/>
  <c r="BR288" i="5"/>
  <c r="BU288" i="5"/>
  <c r="BS288" i="5"/>
  <c r="BT288" i="5"/>
  <c r="BQ289" i="5"/>
  <c r="BR289" i="5"/>
  <c r="BU289" i="5"/>
  <c r="BS289" i="5"/>
  <c r="BT289" i="5"/>
  <c r="BQ290" i="5"/>
  <c r="BR290" i="5"/>
  <c r="BU290" i="5"/>
  <c r="BS290" i="5"/>
  <c r="BT290" i="5"/>
  <c r="BQ291" i="5"/>
  <c r="BR291" i="5"/>
  <c r="BU291" i="5"/>
  <c r="BS291" i="5"/>
  <c r="BT291" i="5"/>
  <c r="BQ292" i="5"/>
  <c r="BR292" i="5"/>
  <c r="BU292" i="5"/>
  <c r="BS292" i="5"/>
  <c r="BT292" i="5"/>
  <c r="BQ293" i="5"/>
  <c r="BR293" i="5"/>
  <c r="BU293" i="5"/>
  <c r="BS293" i="5"/>
  <c r="BT293" i="5"/>
  <c r="BQ294" i="5"/>
  <c r="BR294" i="5"/>
  <c r="BU294" i="5"/>
  <c r="BS294" i="5"/>
  <c r="BT294" i="5"/>
  <c r="BQ295" i="5"/>
  <c r="BR295" i="5"/>
  <c r="BU295" i="5"/>
  <c r="BS295" i="5"/>
  <c r="BT295" i="5"/>
  <c r="BQ296" i="5"/>
  <c r="BR296" i="5"/>
  <c r="BU296" i="5"/>
  <c r="BS296" i="5"/>
  <c r="BT296" i="5"/>
  <c r="BQ297" i="5"/>
  <c r="BR297" i="5"/>
  <c r="BU297" i="5"/>
  <c r="BS297" i="5"/>
  <c r="BT297" i="5"/>
  <c r="BQ298" i="5"/>
  <c r="BR298" i="5"/>
  <c r="BU298" i="5"/>
  <c r="BS298" i="5"/>
  <c r="BT298" i="5"/>
  <c r="BQ299" i="5"/>
  <c r="BR299" i="5"/>
  <c r="BU299" i="5"/>
  <c r="BS299" i="5"/>
  <c r="BT299" i="5"/>
  <c r="BQ300" i="5"/>
  <c r="BR300" i="5"/>
  <c r="BU300" i="5"/>
  <c r="BS300" i="5"/>
  <c r="BT300" i="5"/>
  <c r="BQ301" i="5"/>
  <c r="BR301" i="5"/>
  <c r="BU301" i="5"/>
  <c r="BS301" i="5"/>
  <c r="BT301" i="5"/>
  <c r="BQ302" i="5"/>
  <c r="BR302" i="5"/>
  <c r="BU302" i="5"/>
  <c r="BS302" i="5"/>
  <c r="BT302" i="5"/>
  <c r="BQ303" i="5"/>
  <c r="BR303" i="5"/>
  <c r="BU303" i="5"/>
  <c r="BS303" i="5"/>
  <c r="BT303" i="5"/>
  <c r="BQ304" i="5"/>
  <c r="BR304" i="5"/>
  <c r="BU304" i="5"/>
  <c r="BS304" i="5"/>
  <c r="BT304" i="5"/>
  <c r="BQ305" i="5"/>
  <c r="BR305" i="5"/>
  <c r="BU305" i="5"/>
  <c r="BS305" i="5"/>
  <c r="BT305" i="5"/>
  <c r="BQ306" i="5"/>
  <c r="BR306" i="5"/>
  <c r="BU306" i="5"/>
  <c r="BS306" i="5"/>
  <c r="BT306" i="5"/>
  <c r="BQ307" i="5"/>
  <c r="BR307" i="5"/>
  <c r="BU307" i="5"/>
  <c r="BS307" i="5"/>
  <c r="BT307" i="5"/>
  <c r="BQ308" i="5"/>
  <c r="BR308" i="5"/>
  <c r="BU308" i="5"/>
  <c r="BS308" i="5"/>
  <c r="BT308" i="5"/>
  <c r="BQ309" i="5"/>
  <c r="BR309" i="5"/>
  <c r="BU309" i="5"/>
  <c r="BS309" i="5"/>
  <c r="BT309" i="5"/>
  <c r="BQ310" i="5"/>
  <c r="BR310" i="5"/>
  <c r="BU310" i="5"/>
  <c r="BS310" i="5"/>
  <c r="BT310" i="5"/>
  <c r="BQ311" i="5"/>
  <c r="BR311" i="5"/>
  <c r="BU311" i="5"/>
  <c r="BS311" i="5"/>
  <c r="BT311" i="5"/>
  <c r="BQ312" i="5"/>
  <c r="BR312" i="5"/>
  <c r="BU312" i="5"/>
  <c r="BS312" i="5"/>
  <c r="BT312" i="5"/>
  <c r="BQ313" i="5"/>
  <c r="BR313" i="5"/>
  <c r="BU313" i="5"/>
  <c r="BS313" i="5"/>
  <c r="BT313" i="5"/>
  <c r="BQ314" i="5"/>
  <c r="BR314" i="5"/>
  <c r="BU314" i="5"/>
  <c r="BS314" i="5"/>
  <c r="BT314" i="5"/>
  <c r="BQ315" i="5"/>
  <c r="BR315" i="5"/>
  <c r="BU315" i="5"/>
  <c r="BS315" i="5"/>
  <c r="BT315" i="5"/>
  <c r="BQ316" i="5"/>
  <c r="BR316" i="5"/>
  <c r="BU316" i="5"/>
  <c r="BS316" i="5"/>
  <c r="BT316" i="5"/>
  <c r="BQ317" i="5"/>
  <c r="BR317" i="5"/>
  <c r="BU317" i="5"/>
  <c r="BS317" i="5"/>
  <c r="BT317" i="5"/>
  <c r="BQ318" i="5"/>
  <c r="BR318" i="5"/>
  <c r="BU318" i="5"/>
  <c r="BS318" i="5"/>
  <c r="BT318" i="5"/>
  <c r="BQ319" i="5"/>
  <c r="BR319" i="5"/>
  <c r="BU319" i="5"/>
  <c r="BS319" i="5"/>
  <c r="BT319" i="5"/>
  <c r="BQ320" i="5"/>
  <c r="BR320" i="5"/>
  <c r="BU320" i="5"/>
  <c r="BS320" i="5"/>
  <c r="BT320" i="5"/>
  <c r="BQ321" i="5"/>
  <c r="BR321" i="5"/>
  <c r="BU321" i="5"/>
  <c r="BS321" i="5"/>
  <c r="BT321" i="5"/>
  <c r="BQ322" i="5"/>
  <c r="BR322" i="5"/>
  <c r="BU322" i="5"/>
  <c r="BS322" i="5"/>
  <c r="BT322" i="5"/>
  <c r="BQ323" i="5"/>
  <c r="BR323" i="5"/>
  <c r="BU323" i="5"/>
  <c r="BS323" i="5"/>
  <c r="BT323" i="5"/>
  <c r="BQ324" i="5"/>
  <c r="BR324" i="5"/>
  <c r="BU324" i="5"/>
  <c r="BS324" i="5"/>
  <c r="BT324" i="5"/>
  <c r="BQ325" i="5"/>
  <c r="BR325" i="5"/>
  <c r="BU325" i="5"/>
  <c r="BS325" i="5"/>
  <c r="BT325" i="5"/>
  <c r="BQ326" i="5"/>
  <c r="BR326" i="5"/>
  <c r="BU326" i="5"/>
  <c r="BS326" i="5"/>
  <c r="BT326" i="5"/>
  <c r="BQ327" i="5"/>
  <c r="BR327" i="5"/>
  <c r="BU327" i="5"/>
  <c r="BS327" i="5"/>
  <c r="BT327" i="5"/>
  <c r="BQ328" i="5"/>
  <c r="BR328" i="5"/>
  <c r="BU328" i="5"/>
  <c r="BS328" i="5"/>
  <c r="BT328" i="5"/>
  <c r="BQ329" i="5"/>
  <c r="BR329" i="5"/>
  <c r="BU329" i="5"/>
  <c r="BS329" i="5"/>
  <c r="BT329" i="5"/>
  <c r="BQ330" i="5"/>
  <c r="BR330" i="5"/>
  <c r="BU330" i="5"/>
  <c r="BS330" i="5"/>
  <c r="BT330" i="5"/>
  <c r="BQ331" i="5"/>
  <c r="BR331" i="5"/>
  <c r="BU331" i="5"/>
  <c r="BS331" i="5"/>
  <c r="BT331" i="5"/>
  <c r="BQ332" i="5"/>
  <c r="BR332" i="5"/>
  <c r="BU332" i="5"/>
  <c r="BS332" i="5"/>
  <c r="BT332" i="5"/>
  <c r="BQ333" i="5"/>
  <c r="BR333" i="5"/>
  <c r="BU333" i="5"/>
  <c r="BS333" i="5"/>
  <c r="BT333" i="5"/>
  <c r="BQ334" i="5"/>
  <c r="BR334" i="5"/>
  <c r="BU334" i="5"/>
  <c r="BS334" i="5"/>
  <c r="BT334" i="5"/>
  <c r="BQ335" i="5"/>
  <c r="BR335" i="5"/>
  <c r="BU335" i="5"/>
  <c r="BS335" i="5"/>
  <c r="BT335" i="5"/>
  <c r="BQ336" i="5"/>
  <c r="BR336" i="5"/>
  <c r="BU336" i="5"/>
  <c r="BS336" i="5"/>
  <c r="BT336" i="5"/>
  <c r="BQ337" i="5"/>
  <c r="BR337" i="5"/>
  <c r="BU337" i="5"/>
  <c r="BS337" i="5"/>
  <c r="BT337" i="5"/>
  <c r="BQ338" i="5"/>
  <c r="BR338" i="5"/>
  <c r="BU338" i="5"/>
  <c r="BS338" i="5"/>
  <c r="BT338" i="5"/>
  <c r="BQ339" i="5"/>
  <c r="BR339" i="5"/>
  <c r="BU339" i="5"/>
  <c r="BS339" i="5"/>
  <c r="BT339" i="5"/>
  <c r="BQ340" i="5"/>
  <c r="BR340" i="5"/>
  <c r="BU340" i="5"/>
  <c r="BS340" i="5"/>
  <c r="BT340" i="5"/>
  <c r="BQ341" i="5"/>
  <c r="BR341" i="5"/>
  <c r="BU341" i="5"/>
  <c r="BS341" i="5"/>
  <c r="BT341" i="5"/>
  <c r="BQ342" i="5"/>
  <c r="BR342" i="5"/>
  <c r="BU342" i="5"/>
  <c r="BS342" i="5"/>
  <c r="BT342" i="5"/>
  <c r="BQ343" i="5"/>
  <c r="BR343" i="5"/>
  <c r="BU343" i="5"/>
  <c r="BS343" i="5"/>
  <c r="BT343" i="5"/>
  <c r="BQ344" i="5"/>
  <c r="BR344" i="5"/>
  <c r="BU344" i="5"/>
  <c r="BS344" i="5"/>
  <c r="BT344" i="5"/>
  <c r="BQ345" i="5"/>
  <c r="BR345" i="5"/>
  <c r="BU345" i="5"/>
  <c r="BS345" i="5"/>
  <c r="BT345" i="5"/>
  <c r="BQ346" i="5"/>
  <c r="BR346" i="5"/>
  <c r="BU346" i="5"/>
  <c r="BS346" i="5"/>
  <c r="BT346" i="5"/>
  <c r="BQ347" i="5"/>
  <c r="BR347" i="5"/>
  <c r="BU347" i="5"/>
  <c r="BS347" i="5"/>
  <c r="BT347" i="5"/>
  <c r="BQ348" i="5"/>
  <c r="BR348" i="5"/>
  <c r="BU348" i="5"/>
  <c r="BS348" i="5"/>
  <c r="BT348" i="5"/>
  <c r="BQ349" i="5"/>
  <c r="BR349" i="5"/>
  <c r="BU349" i="5"/>
  <c r="BS349" i="5"/>
  <c r="BT349" i="5"/>
  <c r="BQ350" i="5"/>
  <c r="BR350" i="5"/>
  <c r="BU350" i="5"/>
  <c r="BS350" i="5"/>
  <c r="BT350" i="5"/>
  <c r="BQ351" i="5"/>
  <c r="BR351" i="5"/>
  <c r="BU351" i="5"/>
  <c r="BS351" i="5"/>
  <c r="BT351" i="5"/>
  <c r="BQ352" i="5"/>
  <c r="BR352" i="5"/>
  <c r="BU352" i="5"/>
  <c r="BS352" i="5"/>
  <c r="BT352" i="5"/>
  <c r="BQ353" i="5"/>
  <c r="BR353" i="5"/>
  <c r="BU353" i="5"/>
  <c r="BS353" i="5"/>
  <c r="BT353" i="5"/>
  <c r="BQ354" i="5"/>
  <c r="BR354" i="5"/>
  <c r="BU354" i="5"/>
  <c r="BS354" i="5"/>
  <c r="BT354" i="5"/>
  <c r="BQ355" i="5"/>
  <c r="BR355" i="5"/>
  <c r="BU355" i="5"/>
  <c r="BS355" i="5"/>
  <c r="BT355" i="5"/>
  <c r="BQ356" i="5"/>
  <c r="BR356" i="5"/>
  <c r="BU356" i="5"/>
  <c r="BS356" i="5"/>
  <c r="BT356" i="5"/>
  <c r="BQ357" i="5"/>
  <c r="BR357" i="5"/>
  <c r="BU357" i="5"/>
  <c r="BS357" i="5"/>
  <c r="BT357" i="5"/>
  <c r="BQ358" i="5"/>
  <c r="BR358" i="5"/>
  <c r="BU358" i="5"/>
  <c r="BS358" i="5"/>
  <c r="BT358" i="5"/>
  <c r="BQ359" i="5"/>
  <c r="BR359" i="5"/>
  <c r="BU359" i="5"/>
  <c r="BS359" i="5"/>
  <c r="BT359" i="5"/>
  <c r="BQ360" i="5"/>
  <c r="BR360" i="5"/>
  <c r="BU360" i="5"/>
  <c r="BS360" i="5"/>
  <c r="BT360" i="5"/>
  <c r="BQ361" i="5"/>
  <c r="BR361" i="5"/>
  <c r="BU361" i="5"/>
  <c r="BS361" i="5"/>
  <c r="BT361" i="5"/>
  <c r="BQ362" i="5"/>
  <c r="BR362" i="5"/>
  <c r="BU362" i="5"/>
  <c r="BS362" i="5"/>
  <c r="BT362" i="5"/>
  <c r="BQ363" i="5"/>
  <c r="BR363" i="5"/>
  <c r="BU363" i="5"/>
  <c r="BS363" i="5"/>
  <c r="BT363" i="5"/>
  <c r="BQ364" i="5"/>
  <c r="BR364" i="5"/>
  <c r="BU364" i="5"/>
  <c r="BS364" i="5"/>
  <c r="BT364" i="5"/>
  <c r="BQ365" i="5"/>
  <c r="BR365" i="5"/>
  <c r="BU365" i="5"/>
  <c r="BS365" i="5"/>
  <c r="BT365" i="5"/>
  <c r="BQ366" i="5"/>
  <c r="BR366" i="5"/>
  <c r="BU366" i="5"/>
  <c r="BS366" i="5"/>
  <c r="BT366" i="5"/>
  <c r="BQ367" i="5"/>
  <c r="BR367" i="5"/>
  <c r="BU367" i="5"/>
  <c r="BS367" i="5"/>
  <c r="BT367" i="5"/>
  <c r="BQ368" i="5"/>
  <c r="BR368" i="5"/>
  <c r="BU368" i="5"/>
  <c r="BS368" i="5"/>
  <c r="BT368" i="5"/>
  <c r="BQ369" i="5"/>
  <c r="BR369" i="5"/>
  <c r="BU369" i="5"/>
  <c r="BS369" i="5"/>
  <c r="BT369" i="5"/>
  <c r="BQ370" i="5"/>
  <c r="BR370" i="5"/>
  <c r="BU370" i="5"/>
  <c r="BS370" i="5"/>
  <c r="BT370" i="5"/>
  <c r="BQ371" i="5"/>
  <c r="BR371" i="5"/>
  <c r="BU371" i="5"/>
  <c r="BS371" i="5"/>
  <c r="BT371" i="5"/>
  <c r="BQ372" i="5"/>
  <c r="BR372" i="5"/>
  <c r="BU372" i="5"/>
  <c r="BS372" i="5"/>
  <c r="BT372" i="5"/>
  <c r="BQ373" i="5"/>
  <c r="BR373" i="5"/>
  <c r="BU373" i="5"/>
  <c r="BS373" i="5"/>
  <c r="BT373" i="5"/>
  <c r="BQ374" i="5"/>
  <c r="BR374" i="5"/>
  <c r="BU374" i="5"/>
  <c r="BS374" i="5"/>
  <c r="BT374" i="5"/>
  <c r="BQ375" i="5"/>
  <c r="BR375" i="5"/>
  <c r="BU375" i="5"/>
  <c r="BS375" i="5"/>
  <c r="BT375" i="5"/>
  <c r="BQ376" i="5"/>
  <c r="BR376" i="5"/>
  <c r="BU376" i="5"/>
  <c r="BS376" i="5"/>
  <c r="BT376" i="5"/>
  <c r="BQ377" i="5"/>
  <c r="BR377" i="5"/>
  <c r="BU377" i="5"/>
  <c r="BS377" i="5"/>
  <c r="BT377" i="5"/>
  <c r="BQ378" i="5"/>
  <c r="BR378" i="5"/>
  <c r="BU378" i="5"/>
  <c r="BS378" i="5"/>
  <c r="BT378" i="5"/>
  <c r="BQ379" i="5"/>
  <c r="BR379" i="5"/>
  <c r="BU379" i="5"/>
  <c r="BS379" i="5"/>
  <c r="BT379" i="5"/>
  <c r="BQ380" i="5"/>
  <c r="BR380" i="5"/>
  <c r="BU380" i="5"/>
  <c r="BS380" i="5"/>
  <c r="BT380" i="5"/>
  <c r="BQ381" i="5"/>
  <c r="BR381" i="5"/>
  <c r="BU381" i="5"/>
  <c r="BS381" i="5"/>
  <c r="BT381" i="5"/>
  <c r="BQ382" i="5"/>
  <c r="BR382" i="5"/>
  <c r="BU382" i="5"/>
  <c r="BS382" i="5"/>
  <c r="BT382" i="5"/>
  <c r="BQ383" i="5"/>
  <c r="BR383" i="5"/>
  <c r="BU383" i="5"/>
  <c r="BS383" i="5"/>
  <c r="BT383" i="5"/>
  <c r="BQ384" i="5"/>
  <c r="BR384" i="5"/>
  <c r="BU384" i="5"/>
  <c r="BS384" i="5"/>
  <c r="BT384" i="5"/>
  <c r="BQ385" i="5"/>
  <c r="BR385" i="5"/>
  <c r="BU385" i="5"/>
  <c r="BS385" i="5"/>
  <c r="BT385" i="5"/>
  <c r="BQ386" i="5"/>
  <c r="BR386" i="5"/>
  <c r="BU386" i="5"/>
  <c r="BS386" i="5"/>
  <c r="BT386" i="5"/>
  <c r="BQ387" i="5"/>
  <c r="BR387" i="5"/>
  <c r="BU387" i="5"/>
  <c r="BS387" i="5"/>
  <c r="BT387" i="5"/>
  <c r="BQ388" i="5"/>
  <c r="BR388" i="5"/>
  <c r="BU388" i="5"/>
  <c r="BS388" i="5"/>
  <c r="BT388" i="5"/>
  <c r="BQ389" i="5"/>
  <c r="BR389" i="5"/>
  <c r="BU389" i="5"/>
  <c r="BS389" i="5"/>
  <c r="BT389" i="5"/>
  <c r="BQ390" i="5"/>
  <c r="BR390" i="5"/>
  <c r="BU390" i="5"/>
  <c r="BS390" i="5"/>
  <c r="BT390" i="5"/>
  <c r="BQ391" i="5"/>
  <c r="BR391" i="5"/>
  <c r="BU391" i="5"/>
  <c r="BS391" i="5"/>
  <c r="BT391" i="5"/>
  <c r="BQ392" i="5"/>
  <c r="BR392" i="5"/>
  <c r="BU392" i="5"/>
  <c r="BS392" i="5"/>
  <c r="BT392" i="5"/>
  <c r="BQ393" i="5"/>
  <c r="BR393" i="5"/>
  <c r="BU393" i="5"/>
  <c r="BS393" i="5"/>
  <c r="BT393" i="5"/>
  <c r="BQ394" i="5"/>
  <c r="BR394" i="5"/>
  <c r="BU394" i="5"/>
  <c r="BS394" i="5"/>
  <c r="BT394" i="5"/>
  <c r="BQ395" i="5"/>
  <c r="BR395" i="5"/>
  <c r="BU395" i="5"/>
  <c r="BS395" i="5"/>
  <c r="BT395" i="5"/>
  <c r="BQ396" i="5"/>
  <c r="BR396" i="5"/>
  <c r="BU396" i="5"/>
  <c r="BS396" i="5"/>
  <c r="BT396" i="5"/>
  <c r="BQ397" i="5"/>
  <c r="BR397" i="5"/>
  <c r="BU397" i="5"/>
  <c r="BS397" i="5"/>
  <c r="BT397" i="5"/>
  <c r="BQ398" i="5"/>
  <c r="BR398" i="5"/>
  <c r="BU398" i="5"/>
  <c r="BS398" i="5"/>
  <c r="BT398" i="5"/>
  <c r="BQ399" i="5"/>
  <c r="BR399" i="5"/>
  <c r="BU399" i="5"/>
  <c r="BS399" i="5"/>
  <c r="BT399" i="5"/>
  <c r="BQ400" i="5"/>
  <c r="BR400" i="5"/>
  <c r="BU400" i="5"/>
  <c r="BS400" i="5"/>
  <c r="BT400" i="5"/>
  <c r="BQ401" i="5"/>
  <c r="BR401" i="5"/>
  <c r="BU401" i="5"/>
  <c r="BS401" i="5"/>
  <c r="BT401" i="5"/>
  <c r="BQ402" i="5"/>
  <c r="BR402" i="5"/>
  <c r="BU402" i="5"/>
  <c r="BS402" i="5"/>
  <c r="BT402" i="5"/>
  <c r="BQ403" i="5"/>
  <c r="BR403" i="5"/>
  <c r="BU403" i="5"/>
  <c r="BS403" i="5"/>
  <c r="BT403" i="5"/>
  <c r="BQ404" i="5"/>
  <c r="BR404" i="5"/>
  <c r="BU404" i="5"/>
  <c r="BS404" i="5"/>
  <c r="BT404" i="5"/>
  <c r="BQ405" i="5"/>
  <c r="BR405" i="5"/>
  <c r="BU405" i="5"/>
  <c r="BS405" i="5"/>
  <c r="BT405" i="5"/>
  <c r="BQ406" i="5"/>
  <c r="BR406" i="5"/>
  <c r="BU406" i="5"/>
  <c r="BS406" i="5"/>
  <c r="BT406" i="5"/>
  <c r="BQ407" i="5"/>
  <c r="BR407" i="5"/>
  <c r="BU407" i="5"/>
  <c r="BS407" i="5"/>
  <c r="BT407" i="5"/>
  <c r="BQ408" i="5"/>
  <c r="BR408" i="5"/>
  <c r="BU408" i="5"/>
  <c r="BS408" i="5"/>
  <c r="BT408" i="5"/>
  <c r="BQ409" i="5"/>
  <c r="BR409" i="5"/>
  <c r="BU409" i="5"/>
  <c r="BS409" i="5"/>
  <c r="BT409" i="5"/>
  <c r="BQ410" i="5"/>
  <c r="BU410" i="5"/>
  <c r="BS410" i="5"/>
  <c r="BT410" i="5"/>
  <c r="BQ411" i="5"/>
  <c r="BU411" i="5"/>
  <c r="BS411" i="5"/>
  <c r="BT411" i="5"/>
  <c r="BQ412" i="5"/>
  <c r="BU412" i="5"/>
  <c r="BS412" i="5"/>
  <c r="BT412" i="5"/>
  <c r="BQ413" i="5"/>
  <c r="BU413" i="5"/>
  <c r="BS413" i="5"/>
  <c r="BT413" i="5"/>
  <c r="BQ414" i="5"/>
  <c r="BU414" i="5"/>
  <c r="BS414" i="5"/>
  <c r="BT414" i="5"/>
  <c r="BQ415" i="5"/>
  <c r="BU415" i="5"/>
  <c r="BS415" i="5"/>
  <c r="BT415" i="5"/>
  <c r="BQ416" i="5"/>
  <c r="BU416" i="5"/>
  <c r="BS416" i="5"/>
  <c r="BT416" i="5"/>
  <c r="BQ417" i="5"/>
  <c r="BU417" i="5"/>
  <c r="BS417" i="5"/>
  <c r="BT417" i="5"/>
  <c r="BQ418" i="5"/>
  <c r="BU418" i="5"/>
  <c r="BS418" i="5"/>
  <c r="BT418" i="5"/>
  <c r="BQ419" i="5"/>
  <c r="BU419" i="5"/>
  <c r="BS419" i="5"/>
  <c r="BT419" i="5"/>
  <c r="BQ420" i="5"/>
  <c r="BU420" i="5"/>
  <c r="BS420" i="5"/>
  <c r="BT420" i="5"/>
  <c r="BQ421" i="5"/>
  <c r="BU421" i="5"/>
  <c r="BS421" i="5"/>
  <c r="BT421" i="5"/>
  <c r="BQ422" i="5"/>
  <c r="BU422" i="5"/>
  <c r="BS422" i="5"/>
  <c r="BT422" i="5"/>
  <c r="BQ423" i="5"/>
  <c r="BU423" i="5"/>
  <c r="BS423" i="5"/>
  <c r="BT423" i="5"/>
  <c r="BQ424" i="5"/>
  <c r="BU424" i="5"/>
  <c r="BS424" i="5"/>
  <c r="BT424" i="5"/>
  <c r="BQ425" i="5"/>
  <c r="BU425" i="5"/>
  <c r="BS425" i="5"/>
  <c r="BT425" i="5"/>
  <c r="BQ426" i="5"/>
  <c r="BU426" i="5"/>
  <c r="BS426" i="5"/>
  <c r="BT426" i="5"/>
  <c r="BQ427" i="5"/>
  <c r="BU427" i="5"/>
  <c r="BS427" i="5"/>
  <c r="BT427" i="5"/>
  <c r="BQ428" i="5"/>
  <c r="BU428" i="5"/>
  <c r="BS428" i="5"/>
  <c r="BT428" i="5"/>
  <c r="BQ429" i="5"/>
  <c r="BU429" i="5"/>
  <c r="BS429" i="5"/>
  <c r="BT429" i="5"/>
  <c r="BQ430" i="5"/>
  <c r="BU430" i="5"/>
  <c r="BS430" i="5"/>
  <c r="BT430" i="5"/>
  <c r="BQ431" i="5"/>
  <c r="BU431" i="5"/>
  <c r="BS431" i="5"/>
  <c r="BT431" i="5"/>
  <c r="BR6" i="5"/>
  <c r="BT5" i="5"/>
  <c r="BR5" i="5"/>
  <c r="BU5" i="5"/>
  <c r="BS5" i="5"/>
  <c r="BQ5" i="5"/>
  <c r="BQ6" i="5"/>
  <c r="B4915" i="41" l="1"/>
  <c r="B4916" i="41"/>
  <c r="B4908" i="41"/>
  <c r="B4909" i="41"/>
  <c r="B4901" i="41"/>
  <c r="B4902" i="41"/>
  <c r="B4894" i="41"/>
  <c r="B4895" i="41"/>
  <c r="B4887" i="41"/>
  <c r="B4888" i="41"/>
  <c r="B4880" i="41"/>
  <c r="B4881" i="41"/>
  <c r="B4873" i="41"/>
  <c r="B4874" i="41"/>
  <c r="B4866" i="41"/>
  <c r="B4867" i="41"/>
  <c r="B4861" i="41"/>
  <c r="B4862" i="41"/>
  <c r="B4863" i="41"/>
  <c r="B4864" i="41"/>
  <c r="B4865" i="41"/>
  <c r="B4868" i="41"/>
  <c r="B4869" i="41"/>
  <c r="B4870" i="41"/>
  <c r="B4871" i="41"/>
  <c r="B4872" i="41"/>
  <c r="B4875" i="41"/>
  <c r="B4876" i="41"/>
  <c r="B4877" i="41"/>
  <c r="B4878" i="41"/>
  <c r="B4879" i="41"/>
  <c r="B4882" i="41"/>
  <c r="B4883" i="41"/>
  <c r="B4884" i="41"/>
  <c r="B4885" i="41"/>
  <c r="B4886" i="41"/>
  <c r="B4889" i="41"/>
  <c r="B4890" i="41"/>
  <c r="B4891" i="41"/>
  <c r="B4892" i="41"/>
  <c r="B4893" i="41"/>
  <c r="B4896" i="41"/>
  <c r="B4897" i="41"/>
  <c r="B4898" i="41"/>
  <c r="B4899" i="41"/>
  <c r="B4900" i="41"/>
  <c r="B4903" i="41"/>
  <c r="B4904" i="41"/>
  <c r="B4905" i="41"/>
  <c r="B4906" i="41"/>
  <c r="B4907" i="41"/>
  <c r="B4910" i="41"/>
  <c r="B4911" i="41"/>
  <c r="B4912" i="41"/>
  <c r="B4913" i="41"/>
  <c r="B4914" i="41"/>
  <c r="B4917" i="41"/>
  <c r="B4918" i="41"/>
  <c r="B4919" i="41"/>
  <c r="B4920" i="41"/>
  <c r="B4921" i="41"/>
  <c r="BM431" i="5"/>
  <c r="BN432" i="5"/>
  <c r="BO432" i="5"/>
  <c r="BP432" i="5"/>
  <c r="AN432" i="5"/>
  <c r="BC431" i="5"/>
  <c r="BA431" i="5"/>
  <c r="BB431" i="5"/>
  <c r="BE431" i="5" s="1"/>
  <c r="AZ431" i="5"/>
  <c r="BD431" i="5" l="1"/>
  <c r="BM430" i="5"/>
  <c r="BC430" i="5" l="1"/>
  <c r="BA430" i="5"/>
  <c r="BB430" i="5"/>
  <c r="AZ430" i="5"/>
  <c r="BD430" i="5" l="1"/>
  <c r="BE430" i="5"/>
  <c r="B4833" i="41"/>
  <c r="B4834" i="41"/>
  <c r="B4835" i="41"/>
  <c r="B4836" i="41"/>
  <c r="B4837" i="41"/>
  <c r="B4838" i="41"/>
  <c r="B4839" i="41"/>
  <c r="B4840" i="41"/>
  <c r="B4841" i="41"/>
  <c r="B4842" i="41"/>
  <c r="B4843" i="41"/>
  <c r="B4844" i="41"/>
  <c r="B4845" i="41"/>
  <c r="B4846" i="41"/>
  <c r="B4847" i="41"/>
  <c r="B4848" i="41"/>
  <c r="B4849" i="41"/>
  <c r="B4850" i="41"/>
  <c r="B4851" i="41"/>
  <c r="B4852" i="41"/>
  <c r="B4853" i="41"/>
  <c r="B4854" i="41"/>
  <c r="B4855" i="41"/>
  <c r="B4856" i="41"/>
  <c r="B4857" i="41"/>
  <c r="B4858" i="41"/>
  <c r="B4859" i="41"/>
  <c r="B4860" i="41"/>
  <c r="B4830" i="41"/>
  <c r="B4831" i="41"/>
  <c r="B4832" i="41"/>
  <c r="BM429" i="5" l="1"/>
  <c r="BC429" i="5"/>
  <c r="BA429" i="5"/>
  <c r="BB429" i="5"/>
  <c r="AZ429" i="5"/>
  <c r="BD429" i="5" l="1"/>
  <c r="BE429" i="5"/>
  <c r="B4824" i="41" l="1"/>
  <c r="B4825" i="41"/>
  <c r="B4817" i="41"/>
  <c r="B4818" i="41"/>
  <c r="B4810" i="41"/>
  <c r="B4811" i="41"/>
  <c r="B4806" i="41"/>
  <c r="B4807" i="41"/>
  <c r="B4808" i="41"/>
  <c r="B4809" i="41"/>
  <c r="B4812" i="41"/>
  <c r="B4813" i="41"/>
  <c r="B4814" i="41"/>
  <c r="B4815" i="41"/>
  <c r="B4816" i="41"/>
  <c r="B4819" i="41"/>
  <c r="B4820" i="41"/>
  <c r="B4821" i="41"/>
  <c r="B4822" i="41"/>
  <c r="B4823" i="41"/>
  <c r="B4826" i="41"/>
  <c r="B4827" i="41"/>
  <c r="B4828" i="41"/>
  <c r="B4829" i="41"/>
  <c r="AZ428" i="5"/>
  <c r="BA428" i="5"/>
  <c r="BB428" i="5"/>
  <c r="BC428" i="5"/>
  <c r="BE428" i="5" s="1"/>
  <c r="BD428" i="5" l="1"/>
  <c r="N35" i="33"/>
  <c r="N35" i="32"/>
  <c r="N35" i="31"/>
  <c r="N35" i="24"/>
  <c r="N35" i="25"/>
  <c r="N35" i="29"/>
  <c r="N35" i="28"/>
  <c r="N35" i="26"/>
  <c r="N35" i="34"/>
  <c r="N43" i="46"/>
  <c r="B4803" i="41"/>
  <c r="B4804" i="41"/>
  <c r="B4796" i="41"/>
  <c r="B4797" i="41"/>
  <c r="B4789" i="41"/>
  <c r="B4790" i="41"/>
  <c r="B4782" i="41"/>
  <c r="B4783" i="41"/>
  <c r="B4775" i="41"/>
  <c r="B4776" i="41"/>
  <c r="B4768" i="41"/>
  <c r="B4769" i="41"/>
  <c r="B4767" i="41"/>
  <c r="B4770" i="41"/>
  <c r="B4771" i="41"/>
  <c r="B4772" i="41"/>
  <c r="B4773" i="41"/>
  <c r="B4774" i="41"/>
  <c r="B4777" i="41"/>
  <c r="B4778" i="41"/>
  <c r="B4779" i="41"/>
  <c r="B4780" i="41"/>
  <c r="B4781" i="41"/>
  <c r="B4784" i="41"/>
  <c r="B4785" i="41"/>
  <c r="B4786" i="41"/>
  <c r="B4787" i="41"/>
  <c r="B4788" i="41"/>
  <c r="B4791" i="41"/>
  <c r="B4792" i="41"/>
  <c r="B4793" i="41"/>
  <c r="B4794" i="41"/>
  <c r="B4795" i="41"/>
  <c r="B4798" i="41"/>
  <c r="B4799" i="41"/>
  <c r="B4800" i="41"/>
  <c r="B4801" i="41"/>
  <c r="B4802" i="41"/>
  <c r="B4805" i="41"/>
  <c r="N35" i="27" l="1"/>
  <c r="AN428" i="5"/>
  <c r="N428" i="5"/>
  <c r="O428" i="5"/>
  <c r="Q428" i="5"/>
  <c r="R428" i="5"/>
  <c r="S428" i="5"/>
  <c r="T428" i="5"/>
  <c r="AI428" i="5"/>
  <c r="AJ428" i="5"/>
  <c r="AK428" i="5"/>
  <c r="BC427" i="5"/>
  <c r="BA427" i="5"/>
  <c r="BB427" i="5"/>
  <c r="AZ427" i="5"/>
  <c r="BM426" i="5"/>
  <c r="BC426" i="5"/>
  <c r="BA426" i="5"/>
  <c r="BB426" i="5"/>
  <c r="AZ426" i="5"/>
  <c r="B4761" i="41"/>
  <c r="B4762" i="41"/>
  <c r="B4754" i="41"/>
  <c r="B4755" i="41"/>
  <c r="B4747" i="41"/>
  <c r="B4748" i="41"/>
  <c r="B4740" i="41"/>
  <c r="B4741" i="41"/>
  <c r="B4733" i="41"/>
  <c r="B4734" i="41"/>
  <c r="B4732" i="41"/>
  <c r="B4735" i="41"/>
  <c r="B4736" i="41"/>
  <c r="B4737" i="41"/>
  <c r="B4738" i="41"/>
  <c r="B4739" i="41"/>
  <c r="B4742" i="41"/>
  <c r="B4743" i="41"/>
  <c r="B4744" i="41"/>
  <c r="B4745" i="41"/>
  <c r="B4746" i="41"/>
  <c r="B4749" i="41"/>
  <c r="B4750" i="41"/>
  <c r="B4751" i="41"/>
  <c r="B4752" i="41"/>
  <c r="B4753" i="41"/>
  <c r="B4756" i="41"/>
  <c r="B4757" i="41"/>
  <c r="B4758" i="41"/>
  <c r="B4759" i="41"/>
  <c r="B4760" i="41"/>
  <c r="B4763" i="41"/>
  <c r="B4764" i="41"/>
  <c r="B4765" i="41"/>
  <c r="B4766" i="41"/>
  <c r="N47" i="22"/>
  <c r="N47" i="21"/>
  <c r="N47" i="20"/>
  <c r="N47" i="9"/>
  <c r="N47" i="15"/>
  <c r="N47" i="18"/>
  <c r="N47" i="19"/>
  <c r="N47" i="17"/>
  <c r="N47" i="16"/>
  <c r="N47" i="23"/>
  <c r="N111" i="3"/>
  <c r="AN426" i="5"/>
  <c r="BM425" i="5"/>
  <c r="BC425" i="5"/>
  <c r="BA425" i="5"/>
  <c r="BB425" i="5"/>
  <c r="AZ425" i="5"/>
  <c r="B4726" i="41"/>
  <c r="B4727" i="41"/>
  <c r="B4719" i="41"/>
  <c r="B4720" i="41"/>
  <c r="B4712" i="41"/>
  <c r="B4713" i="41"/>
  <c r="B4705" i="41"/>
  <c r="B4706" i="41"/>
  <c r="B4698" i="41"/>
  <c r="B4699" i="41"/>
  <c r="B4691" i="41"/>
  <c r="B4692" i="41"/>
  <c r="B4684" i="41"/>
  <c r="B4685" i="41"/>
  <c r="B4677" i="41"/>
  <c r="B4678" i="41"/>
  <c r="B4670" i="41"/>
  <c r="B4671" i="41"/>
  <c r="B4663" i="41"/>
  <c r="B4664" i="41"/>
  <c r="B4665" i="41"/>
  <c r="B4656" i="41"/>
  <c r="B4657" i="41"/>
  <c r="B4649" i="41"/>
  <c r="B4650" i="41"/>
  <c r="B4642" i="41"/>
  <c r="B4643" i="41"/>
  <c r="B4635" i="41"/>
  <c r="B4636" i="41"/>
  <c r="B4628" i="41"/>
  <c r="B4629" i="41"/>
  <c r="B4621" i="41"/>
  <c r="B4622" i="41"/>
  <c r="B4614" i="41"/>
  <c r="B4615" i="41"/>
  <c r="B4607" i="41"/>
  <c r="B4608" i="41"/>
  <c r="B4600" i="41"/>
  <c r="B4601" i="41"/>
  <c r="B4593" i="41"/>
  <c r="B4594" i="41"/>
  <c r="B4586" i="41"/>
  <c r="B4587" i="41"/>
  <c r="B4588" i="41"/>
  <c r="B4589" i="41"/>
  <c r="B4590" i="41"/>
  <c r="B4591" i="41"/>
  <c r="B4592" i="41"/>
  <c r="B4595" i="41"/>
  <c r="B4596" i="41"/>
  <c r="B4597" i="41"/>
  <c r="B4598" i="41"/>
  <c r="B4599" i="41"/>
  <c r="B4602" i="41"/>
  <c r="B4603" i="41"/>
  <c r="B4604" i="41"/>
  <c r="B4605" i="41"/>
  <c r="B4606" i="41"/>
  <c r="B4609" i="41"/>
  <c r="B4610" i="41"/>
  <c r="B4611" i="41"/>
  <c r="B4612" i="41"/>
  <c r="B4613" i="41"/>
  <c r="B4616" i="41"/>
  <c r="B4617" i="41"/>
  <c r="B4618" i="41"/>
  <c r="B4619" i="41"/>
  <c r="B4620" i="41"/>
  <c r="B4623" i="41"/>
  <c r="B4624" i="41"/>
  <c r="B4625" i="41"/>
  <c r="B4626" i="41"/>
  <c r="B4627" i="41"/>
  <c r="B4630" i="41"/>
  <c r="B4631" i="41"/>
  <c r="B4632" i="41"/>
  <c r="B4633" i="41"/>
  <c r="B4634" i="41"/>
  <c r="B4637" i="41"/>
  <c r="B4638" i="41"/>
  <c r="B4639" i="41"/>
  <c r="B4640" i="41"/>
  <c r="B4641" i="41"/>
  <c r="B4644" i="41"/>
  <c r="B4645" i="41"/>
  <c r="B4646" i="41"/>
  <c r="B4647" i="41"/>
  <c r="B4648" i="41"/>
  <c r="B4651" i="41"/>
  <c r="B4652" i="41"/>
  <c r="B4653" i="41"/>
  <c r="B4654" i="41"/>
  <c r="B4655" i="41"/>
  <c r="B4658" i="41"/>
  <c r="B4659" i="41"/>
  <c r="B4660" i="41"/>
  <c r="B4661" i="41"/>
  <c r="B4662" i="41"/>
  <c r="B4666" i="41"/>
  <c r="B4667" i="41"/>
  <c r="B4668" i="41"/>
  <c r="B4669" i="41"/>
  <c r="B4672" i="41"/>
  <c r="B4673" i="41"/>
  <c r="B4674" i="41"/>
  <c r="B4675" i="41"/>
  <c r="B4676" i="41"/>
  <c r="B4679" i="41"/>
  <c r="B4680" i="41"/>
  <c r="B4681" i="41"/>
  <c r="B4682" i="41"/>
  <c r="B4683" i="41"/>
  <c r="B4686" i="41"/>
  <c r="B4687" i="41"/>
  <c r="B4688" i="41"/>
  <c r="B4689" i="41"/>
  <c r="B4690" i="41"/>
  <c r="B4693" i="41"/>
  <c r="B4694" i="41"/>
  <c r="B4695" i="41"/>
  <c r="B4696" i="41"/>
  <c r="B4697" i="41"/>
  <c r="B4700" i="41"/>
  <c r="B4701" i="41"/>
  <c r="B4702" i="41"/>
  <c r="B4703" i="41"/>
  <c r="B4704" i="41"/>
  <c r="B4707" i="41"/>
  <c r="B4708" i="41"/>
  <c r="B4709" i="41"/>
  <c r="B4710" i="41"/>
  <c r="B4711" i="41"/>
  <c r="B4714" i="41"/>
  <c r="B4715" i="41"/>
  <c r="B4716" i="41"/>
  <c r="B4717" i="41"/>
  <c r="B4718" i="41"/>
  <c r="B4721" i="41"/>
  <c r="B4722" i="41"/>
  <c r="B4723" i="41"/>
  <c r="B4724" i="41"/>
  <c r="B4725" i="41"/>
  <c r="B4728" i="41"/>
  <c r="B4729" i="41"/>
  <c r="B4730" i="41"/>
  <c r="B4731" i="41"/>
  <c r="N113" i="3" l="1"/>
  <c r="N114" i="3"/>
  <c r="N115" i="3"/>
  <c r="BD425" i="5"/>
  <c r="BD426" i="5"/>
  <c r="BE427" i="5"/>
  <c r="BM428" i="5"/>
  <c r="BE426" i="5"/>
  <c r="BM427" i="5"/>
  <c r="BE425" i="5"/>
  <c r="BD427" i="5"/>
  <c r="AN425" i="5"/>
  <c r="BC424" i="5"/>
  <c r="BA424" i="5"/>
  <c r="BB424" i="5"/>
  <c r="AZ424" i="5"/>
  <c r="AN6" i="5"/>
  <c r="AN7" i="5"/>
  <c r="AN8" i="5"/>
  <c r="AN9" i="5"/>
  <c r="AN10" i="5"/>
  <c r="AN11" i="5"/>
  <c r="AN12" i="5"/>
  <c r="AN13" i="5"/>
  <c r="AN14" i="5"/>
  <c r="AN15" i="5"/>
  <c r="AN16" i="5"/>
  <c r="AN17" i="5"/>
  <c r="AN18" i="5"/>
  <c r="AN19" i="5"/>
  <c r="AN20" i="5"/>
  <c r="AN21" i="5"/>
  <c r="AN22" i="5"/>
  <c r="AN23" i="5"/>
  <c r="AN24" i="5"/>
  <c r="AN25" i="5"/>
  <c r="AN26" i="5"/>
  <c r="AN27" i="5"/>
  <c r="AN28" i="5"/>
  <c r="AN29" i="5"/>
  <c r="AN30" i="5"/>
  <c r="AN31" i="5"/>
  <c r="AN32" i="5"/>
  <c r="AN33" i="5"/>
  <c r="AN34" i="5"/>
  <c r="AN35" i="5"/>
  <c r="AN36" i="5"/>
  <c r="AN37" i="5"/>
  <c r="AN38" i="5"/>
  <c r="AN39" i="5"/>
  <c r="AN40" i="5"/>
  <c r="AN41" i="5"/>
  <c r="AN42" i="5"/>
  <c r="AN43" i="5"/>
  <c r="AN44" i="5"/>
  <c r="AN45" i="5"/>
  <c r="AN46" i="5"/>
  <c r="AN47" i="5"/>
  <c r="AN48" i="5"/>
  <c r="AN49" i="5"/>
  <c r="AN50" i="5"/>
  <c r="AN51" i="5"/>
  <c r="AN52" i="5"/>
  <c r="AN53" i="5"/>
  <c r="AN54" i="5"/>
  <c r="AN55" i="5"/>
  <c r="AN56" i="5"/>
  <c r="AN57" i="5"/>
  <c r="AN58" i="5"/>
  <c r="AN59" i="5"/>
  <c r="AN60" i="5"/>
  <c r="AN61" i="5"/>
  <c r="AN62" i="5"/>
  <c r="AN63" i="5"/>
  <c r="AN64" i="5"/>
  <c r="AN65" i="5"/>
  <c r="AN66" i="5"/>
  <c r="AN67" i="5"/>
  <c r="AN68" i="5"/>
  <c r="AN69" i="5"/>
  <c r="AN70" i="5"/>
  <c r="AN71" i="5"/>
  <c r="AN72" i="5"/>
  <c r="AN73" i="5"/>
  <c r="AN74" i="5"/>
  <c r="AN75" i="5"/>
  <c r="AN76" i="5"/>
  <c r="AN77" i="5"/>
  <c r="AN78" i="5"/>
  <c r="AN79" i="5"/>
  <c r="AN80" i="5"/>
  <c r="AN81" i="5"/>
  <c r="AN82" i="5"/>
  <c r="AN83" i="5"/>
  <c r="AN84" i="5"/>
  <c r="AN85" i="5"/>
  <c r="AN86" i="5"/>
  <c r="AN87" i="5"/>
  <c r="AN88" i="5"/>
  <c r="AN89" i="5"/>
  <c r="AN90" i="5"/>
  <c r="AN91" i="5"/>
  <c r="AN92" i="5"/>
  <c r="AN93" i="5"/>
  <c r="AN94" i="5"/>
  <c r="AN95" i="5"/>
  <c r="AN96" i="5"/>
  <c r="AN97" i="5"/>
  <c r="AN98" i="5"/>
  <c r="AN99" i="5"/>
  <c r="AN100" i="5"/>
  <c r="AN101" i="5"/>
  <c r="AN102" i="5"/>
  <c r="AN103" i="5"/>
  <c r="AN104" i="5"/>
  <c r="AN105" i="5"/>
  <c r="AN106" i="5"/>
  <c r="AN107" i="5"/>
  <c r="AN108" i="5"/>
  <c r="AN109" i="5"/>
  <c r="AN110" i="5"/>
  <c r="AN111" i="5"/>
  <c r="AN112" i="5"/>
  <c r="AN113" i="5"/>
  <c r="AN114" i="5"/>
  <c r="AN115" i="5"/>
  <c r="AN116" i="5"/>
  <c r="AN117" i="5"/>
  <c r="AN118" i="5"/>
  <c r="AN119" i="5"/>
  <c r="AN120" i="5"/>
  <c r="AN121" i="5"/>
  <c r="AN122" i="5"/>
  <c r="AN123" i="5"/>
  <c r="AN124" i="5"/>
  <c r="AN125" i="5"/>
  <c r="AN126" i="5"/>
  <c r="AN127" i="5"/>
  <c r="AN128" i="5"/>
  <c r="AN129" i="5"/>
  <c r="AN130" i="5"/>
  <c r="AN131" i="5"/>
  <c r="AN132" i="5"/>
  <c r="AN133" i="5"/>
  <c r="AN134" i="5"/>
  <c r="AN135" i="5"/>
  <c r="AN136" i="5"/>
  <c r="AN137" i="5"/>
  <c r="AN138" i="5"/>
  <c r="AN139" i="5"/>
  <c r="AN140" i="5"/>
  <c r="AN141" i="5"/>
  <c r="AN142" i="5"/>
  <c r="AN143" i="5"/>
  <c r="AN144" i="5"/>
  <c r="AN145" i="5"/>
  <c r="AN146" i="5"/>
  <c r="AN147" i="5"/>
  <c r="AN148" i="5"/>
  <c r="AN149" i="5"/>
  <c r="AN150" i="5"/>
  <c r="AN151" i="5"/>
  <c r="AN152" i="5"/>
  <c r="AN153" i="5"/>
  <c r="AN154" i="5"/>
  <c r="AN155" i="5"/>
  <c r="AN156" i="5"/>
  <c r="AN157" i="5"/>
  <c r="AN158" i="5"/>
  <c r="AN159" i="5"/>
  <c r="AN160" i="5"/>
  <c r="AN161" i="5"/>
  <c r="AN162" i="5"/>
  <c r="AN163" i="5"/>
  <c r="AN164" i="5"/>
  <c r="AN165" i="5"/>
  <c r="AN166" i="5"/>
  <c r="AN167" i="5"/>
  <c r="AN168" i="5"/>
  <c r="AN169" i="5"/>
  <c r="AN170" i="5"/>
  <c r="AN171" i="5"/>
  <c r="AN172" i="5"/>
  <c r="AN173" i="5"/>
  <c r="AN174" i="5"/>
  <c r="AN175" i="5"/>
  <c r="AN176" i="5"/>
  <c r="AN177" i="5"/>
  <c r="AN178" i="5"/>
  <c r="AN179" i="5"/>
  <c r="AN180" i="5"/>
  <c r="AN181" i="5"/>
  <c r="AN182" i="5"/>
  <c r="AN183" i="5"/>
  <c r="AN184" i="5"/>
  <c r="AN185" i="5"/>
  <c r="AN186" i="5"/>
  <c r="AN187" i="5"/>
  <c r="AN188" i="5"/>
  <c r="AN189" i="5"/>
  <c r="AN190" i="5"/>
  <c r="AN191" i="5"/>
  <c r="AN192" i="5"/>
  <c r="AN193" i="5"/>
  <c r="AN194" i="5"/>
  <c r="AN195" i="5"/>
  <c r="AN196" i="5"/>
  <c r="AN197" i="5"/>
  <c r="AN198" i="5"/>
  <c r="AN199" i="5"/>
  <c r="AN200" i="5"/>
  <c r="AN201" i="5"/>
  <c r="AN202" i="5"/>
  <c r="AN203" i="5"/>
  <c r="AN204" i="5"/>
  <c r="AN205" i="5"/>
  <c r="AN206" i="5"/>
  <c r="AN207" i="5"/>
  <c r="AN208" i="5"/>
  <c r="AN209" i="5"/>
  <c r="AN210" i="5"/>
  <c r="AN211" i="5"/>
  <c r="AN212" i="5"/>
  <c r="AN213" i="5"/>
  <c r="AN214" i="5"/>
  <c r="AN215" i="5"/>
  <c r="AN216" i="5"/>
  <c r="AN217" i="5"/>
  <c r="AN218" i="5"/>
  <c r="AN219" i="5"/>
  <c r="AN220" i="5"/>
  <c r="AN221" i="5"/>
  <c r="AN222" i="5"/>
  <c r="AN223" i="5"/>
  <c r="AN224" i="5"/>
  <c r="AN225" i="5"/>
  <c r="AN226" i="5"/>
  <c r="AN227" i="5"/>
  <c r="AN228" i="5"/>
  <c r="AN229" i="5"/>
  <c r="AN230" i="5"/>
  <c r="AN231" i="5"/>
  <c r="AN232" i="5"/>
  <c r="AN233" i="5"/>
  <c r="AN234" i="5"/>
  <c r="AN235" i="5"/>
  <c r="AN236" i="5"/>
  <c r="AN237" i="5"/>
  <c r="AN238" i="5"/>
  <c r="AN239" i="5"/>
  <c r="AN240" i="5"/>
  <c r="AN241" i="5"/>
  <c r="AN242" i="5"/>
  <c r="AN243" i="5"/>
  <c r="AN244" i="5"/>
  <c r="AN245" i="5"/>
  <c r="AN246" i="5"/>
  <c r="AN247" i="5"/>
  <c r="AN248" i="5"/>
  <c r="AN249" i="5"/>
  <c r="AN250" i="5"/>
  <c r="AN251" i="5"/>
  <c r="AN252" i="5"/>
  <c r="AN253" i="5"/>
  <c r="AN254" i="5"/>
  <c r="AN255" i="5"/>
  <c r="AN256" i="5"/>
  <c r="AN257" i="5"/>
  <c r="AN258" i="5"/>
  <c r="AN259" i="5"/>
  <c r="AN260" i="5"/>
  <c r="AN261" i="5"/>
  <c r="AN262" i="5"/>
  <c r="AN263" i="5"/>
  <c r="AN264" i="5"/>
  <c r="AN265" i="5"/>
  <c r="AN266" i="5"/>
  <c r="AN267" i="5"/>
  <c r="AN268" i="5"/>
  <c r="AN269" i="5"/>
  <c r="AN270" i="5"/>
  <c r="AN271" i="5"/>
  <c r="AN272" i="5"/>
  <c r="AN273" i="5"/>
  <c r="AN274" i="5"/>
  <c r="AN275" i="5"/>
  <c r="AN276" i="5"/>
  <c r="AN277" i="5"/>
  <c r="AN278" i="5"/>
  <c r="AN279" i="5"/>
  <c r="AN280" i="5"/>
  <c r="AN281" i="5"/>
  <c r="AN282" i="5"/>
  <c r="AN283" i="5"/>
  <c r="AN284" i="5"/>
  <c r="AN285" i="5"/>
  <c r="AN286" i="5"/>
  <c r="AN287" i="5"/>
  <c r="AN288" i="5"/>
  <c r="AN289" i="5"/>
  <c r="AN290" i="5"/>
  <c r="AN291" i="5"/>
  <c r="AN292" i="5"/>
  <c r="AN293" i="5"/>
  <c r="AN294" i="5"/>
  <c r="AN295" i="5"/>
  <c r="AN296" i="5"/>
  <c r="AN297" i="5"/>
  <c r="AN298" i="5"/>
  <c r="AN299" i="5"/>
  <c r="AN300" i="5"/>
  <c r="AN301" i="5"/>
  <c r="AN302" i="5"/>
  <c r="AN303" i="5"/>
  <c r="AN304" i="5"/>
  <c r="AN305" i="5"/>
  <c r="AN307" i="5"/>
  <c r="AN308" i="5"/>
  <c r="AN309" i="5"/>
  <c r="AN310" i="5"/>
  <c r="AN311" i="5"/>
  <c r="AN312" i="5"/>
  <c r="AN313" i="5"/>
  <c r="AN314" i="5"/>
  <c r="AN315" i="5"/>
  <c r="AN316" i="5"/>
  <c r="AN317" i="5"/>
  <c r="AN318" i="5"/>
  <c r="AN319" i="5"/>
  <c r="AN320" i="5"/>
  <c r="AN321" i="5"/>
  <c r="AN322" i="5"/>
  <c r="AN323" i="5"/>
  <c r="AN324" i="5"/>
  <c r="AN325" i="5"/>
  <c r="AN326" i="5"/>
  <c r="AN327" i="5"/>
  <c r="AN328" i="5"/>
  <c r="AN329" i="5"/>
  <c r="AN330" i="5"/>
  <c r="AN331" i="5"/>
  <c r="AN332" i="5"/>
  <c r="AN333" i="5"/>
  <c r="AN334" i="5"/>
  <c r="AN335" i="5"/>
  <c r="AN336" i="5"/>
  <c r="AN337" i="5"/>
  <c r="AN338" i="5"/>
  <c r="AN339" i="5"/>
  <c r="AN340" i="5"/>
  <c r="AN341" i="5"/>
  <c r="AN342" i="5"/>
  <c r="AN343" i="5"/>
  <c r="AN344" i="5"/>
  <c r="AN345" i="5"/>
  <c r="AN346" i="5"/>
  <c r="AN347" i="5"/>
  <c r="AN348" i="5"/>
  <c r="AN349" i="5"/>
  <c r="AN350" i="5"/>
  <c r="AN351" i="5"/>
  <c r="AN352" i="5"/>
  <c r="AN353" i="5"/>
  <c r="AN354" i="5"/>
  <c r="AN355" i="5"/>
  <c r="AN356" i="5"/>
  <c r="AN357" i="5"/>
  <c r="AN358" i="5"/>
  <c r="AN359" i="5"/>
  <c r="AN360" i="5"/>
  <c r="AN361" i="5"/>
  <c r="AN362" i="5"/>
  <c r="AN363" i="5"/>
  <c r="AN364" i="5"/>
  <c r="AN365" i="5"/>
  <c r="AN366" i="5"/>
  <c r="AN367" i="5"/>
  <c r="AN368" i="5"/>
  <c r="AN369" i="5"/>
  <c r="AN370" i="5"/>
  <c r="AN371" i="5"/>
  <c r="AN372" i="5"/>
  <c r="AN373" i="5"/>
  <c r="AN374" i="5"/>
  <c r="AN375" i="5"/>
  <c r="AN376" i="5"/>
  <c r="AN377" i="5"/>
  <c r="AN378" i="5"/>
  <c r="AN379" i="5"/>
  <c r="AN380" i="5"/>
  <c r="AN381" i="5"/>
  <c r="AN382" i="5"/>
  <c r="AN383" i="5"/>
  <c r="AN384" i="5"/>
  <c r="AN385" i="5"/>
  <c r="AN386" i="5"/>
  <c r="AN387" i="5"/>
  <c r="AN388" i="5"/>
  <c r="AN389" i="5"/>
  <c r="AN390" i="5"/>
  <c r="AN391" i="5"/>
  <c r="AN392" i="5"/>
  <c r="AN393" i="5"/>
  <c r="AN394" i="5"/>
  <c r="AN395" i="5"/>
  <c r="AN396" i="5"/>
  <c r="AN397" i="5"/>
  <c r="AN398" i="5"/>
  <c r="AN399" i="5"/>
  <c r="AN400" i="5"/>
  <c r="AN401" i="5"/>
  <c r="AN402" i="5"/>
  <c r="AN403" i="5"/>
  <c r="AN404" i="5"/>
  <c r="AN405" i="5"/>
  <c r="AN406" i="5"/>
  <c r="AN407" i="5"/>
  <c r="AN408" i="5"/>
  <c r="AN409" i="5"/>
  <c r="AN410" i="5"/>
  <c r="AN411" i="5"/>
  <c r="AN412" i="5"/>
  <c r="AN413" i="5"/>
  <c r="AN414" i="5"/>
  <c r="AN415" i="5"/>
  <c r="AN416" i="5"/>
  <c r="AN417" i="5"/>
  <c r="AN418" i="5"/>
  <c r="AN419" i="5"/>
  <c r="AN420" i="5"/>
  <c r="AN421" i="5"/>
  <c r="AN422" i="5"/>
  <c r="AN423" i="5"/>
  <c r="AN424" i="5"/>
  <c r="AN306" i="5"/>
  <c r="G59" i="4"/>
  <c r="G59" i="7"/>
  <c r="BM423" i="5"/>
  <c r="BC423" i="5"/>
  <c r="BA423" i="5"/>
  <c r="BB423" i="5"/>
  <c r="AZ423" i="5"/>
  <c r="BD423" i="5" s="1"/>
  <c r="BM424" i="5"/>
  <c r="O42" i="46"/>
  <c r="AZ422" i="5"/>
  <c r="BA422" i="5"/>
  <c r="BB422" i="5"/>
  <c r="BC422" i="5"/>
  <c r="BM422" i="5"/>
  <c r="BM412" i="5"/>
  <c r="BM413" i="5"/>
  <c r="BM414" i="5"/>
  <c r="BM415" i="5"/>
  <c r="BM416" i="5"/>
  <c r="BM417" i="5"/>
  <c r="BM418" i="5"/>
  <c r="BM419" i="5"/>
  <c r="BM420" i="5"/>
  <c r="BM421" i="5"/>
  <c r="BC413" i="5"/>
  <c r="BC414" i="5"/>
  <c r="BC415" i="5"/>
  <c r="BC416" i="5"/>
  <c r="BC417" i="5"/>
  <c r="BC418" i="5"/>
  <c r="BC419" i="5"/>
  <c r="BC420" i="5"/>
  <c r="BC421" i="5"/>
  <c r="BC412" i="5"/>
  <c r="BB413" i="5"/>
  <c r="BB414" i="5"/>
  <c r="BB415" i="5"/>
  <c r="BB416" i="5"/>
  <c r="BB417" i="5"/>
  <c r="BB418" i="5"/>
  <c r="BB419" i="5"/>
  <c r="BB420" i="5"/>
  <c r="BB421" i="5"/>
  <c r="BB412" i="5"/>
  <c r="BA413" i="5"/>
  <c r="BA414" i="5"/>
  <c r="BA415" i="5"/>
  <c r="BA416" i="5"/>
  <c r="BA417" i="5"/>
  <c r="BA418" i="5"/>
  <c r="BA419" i="5"/>
  <c r="BA420" i="5"/>
  <c r="BA421" i="5"/>
  <c r="BA412" i="5"/>
  <c r="AZ413" i="5"/>
  <c r="AZ414" i="5"/>
  <c r="AZ415" i="5"/>
  <c r="AZ416" i="5"/>
  <c r="AZ417" i="5"/>
  <c r="AZ418" i="5"/>
  <c r="AZ419" i="5"/>
  <c r="BD419" i="5" s="1"/>
  <c r="AZ420" i="5"/>
  <c r="AZ421" i="5"/>
  <c r="AZ412" i="5"/>
  <c r="B4521" i="41"/>
  <c r="B4522" i="41"/>
  <c r="B4520" i="41"/>
  <c r="B4523" i="41"/>
  <c r="B4524" i="41"/>
  <c r="B4525" i="41"/>
  <c r="B4526" i="41"/>
  <c r="B4527" i="41"/>
  <c r="B4528" i="41"/>
  <c r="B4529" i="41"/>
  <c r="B4530" i="41"/>
  <c r="B4531" i="41"/>
  <c r="B4532" i="41"/>
  <c r="B4533" i="41"/>
  <c r="B4534" i="41"/>
  <c r="B4535" i="41"/>
  <c r="B4536" i="41"/>
  <c r="B4537" i="41"/>
  <c r="B4538" i="41"/>
  <c r="B4539" i="41"/>
  <c r="B4540" i="41"/>
  <c r="B4541" i="41"/>
  <c r="B4542" i="41"/>
  <c r="B4543" i="41"/>
  <c r="B4544" i="41"/>
  <c r="B4545" i="41"/>
  <c r="B4546" i="41"/>
  <c r="B4547" i="41"/>
  <c r="B4548" i="41"/>
  <c r="B4549" i="41"/>
  <c r="B4550" i="41"/>
  <c r="B4551" i="41"/>
  <c r="B4552" i="41"/>
  <c r="B4553" i="41"/>
  <c r="B4554" i="41"/>
  <c r="B4555" i="41"/>
  <c r="B4556" i="41"/>
  <c r="B4557" i="41"/>
  <c r="B4558" i="41"/>
  <c r="B4559" i="41"/>
  <c r="B4560" i="41"/>
  <c r="B4561" i="41"/>
  <c r="B4562" i="41"/>
  <c r="B4563" i="41"/>
  <c r="B4564" i="41"/>
  <c r="B4565" i="41"/>
  <c r="B4566" i="41"/>
  <c r="B4567" i="41"/>
  <c r="B4568" i="41"/>
  <c r="B4569" i="41"/>
  <c r="B4570" i="41"/>
  <c r="B4571" i="41"/>
  <c r="B4572" i="41"/>
  <c r="B4573" i="41"/>
  <c r="B4574" i="41"/>
  <c r="B4575" i="41"/>
  <c r="B4576" i="41"/>
  <c r="B4577" i="41"/>
  <c r="B4578" i="41"/>
  <c r="B4579" i="41"/>
  <c r="B4580" i="41"/>
  <c r="B4581" i="41"/>
  <c r="B4582" i="41"/>
  <c r="B4583" i="41"/>
  <c r="B4584" i="41"/>
  <c r="B4585" i="41"/>
  <c r="B4514" i="41"/>
  <c r="B4515" i="41"/>
  <c r="B4507" i="41"/>
  <c r="B4508" i="41"/>
  <c r="B4500" i="41"/>
  <c r="B4501" i="41"/>
  <c r="B4497" i="41"/>
  <c r="B4498" i="41"/>
  <c r="B4499" i="41"/>
  <c r="B4502" i="41"/>
  <c r="B4503" i="41"/>
  <c r="B4504" i="41"/>
  <c r="B4505" i="41"/>
  <c r="B4506" i="41"/>
  <c r="B4509" i="41"/>
  <c r="B4510" i="41"/>
  <c r="B4511" i="41"/>
  <c r="B4512" i="41"/>
  <c r="B4513" i="41"/>
  <c r="B4516" i="41"/>
  <c r="B4517" i="41"/>
  <c r="B4518" i="41"/>
  <c r="B4519" i="41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4" i="7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4" i="4"/>
  <c r="B4493" i="41"/>
  <c r="B4494" i="41"/>
  <c r="B4491" i="41"/>
  <c r="B4492" i="41"/>
  <c r="B4495" i="41"/>
  <c r="B4496" i="41"/>
  <c r="B4465" i="41"/>
  <c r="B4466" i="41"/>
  <c r="B4472" i="41"/>
  <c r="B4473" i="41"/>
  <c r="B4486" i="41"/>
  <c r="B4487" i="41"/>
  <c r="B4479" i="41"/>
  <c r="B4480" i="41"/>
  <c r="B4464" i="41"/>
  <c r="B4467" i="41"/>
  <c r="B4468" i="41"/>
  <c r="B4469" i="41"/>
  <c r="B4470" i="41"/>
  <c r="B4471" i="41"/>
  <c r="B4474" i="41"/>
  <c r="B4475" i="41"/>
  <c r="B4476" i="41"/>
  <c r="B4477" i="41"/>
  <c r="B4478" i="41"/>
  <c r="B4481" i="41"/>
  <c r="B4482" i="41"/>
  <c r="B4483" i="41"/>
  <c r="B4484" i="41"/>
  <c r="B4485" i="41"/>
  <c r="B4488" i="41"/>
  <c r="B4489" i="41"/>
  <c r="B4490" i="41"/>
  <c r="N16" i="33"/>
  <c r="N17" i="33"/>
  <c r="N18" i="33"/>
  <c r="N19" i="33"/>
  <c r="N21" i="33"/>
  <c r="N22" i="33"/>
  <c r="N23" i="33"/>
  <c r="N24" i="33"/>
  <c r="N25" i="33"/>
  <c r="N26" i="33"/>
  <c r="N27" i="33"/>
  <c r="N29" i="33"/>
  <c r="N30" i="33"/>
  <c r="N31" i="33"/>
  <c r="N32" i="33"/>
  <c r="N33" i="33"/>
  <c r="N16" i="32"/>
  <c r="N18" i="32"/>
  <c r="N19" i="32"/>
  <c r="N20" i="32"/>
  <c r="N21" i="32"/>
  <c r="N22" i="32"/>
  <c r="N23" i="32"/>
  <c r="N24" i="32"/>
  <c r="N26" i="32"/>
  <c r="N27" i="32"/>
  <c r="N28" i="32"/>
  <c r="N29" i="32"/>
  <c r="N30" i="32"/>
  <c r="N31" i="32"/>
  <c r="N32" i="32"/>
  <c r="N16" i="31"/>
  <c r="N17" i="31"/>
  <c r="N18" i="31"/>
  <c r="N19" i="31"/>
  <c r="N20" i="31"/>
  <c r="N21" i="31"/>
  <c r="N23" i="31"/>
  <c r="N24" i="31"/>
  <c r="N25" i="31"/>
  <c r="N26" i="31"/>
  <c r="N27" i="31"/>
  <c r="N28" i="31"/>
  <c r="N29" i="31"/>
  <c r="N31" i="31"/>
  <c r="N32" i="31"/>
  <c r="N33" i="31"/>
  <c r="N16" i="24"/>
  <c r="N17" i="24"/>
  <c r="N18" i="24"/>
  <c r="N20" i="24"/>
  <c r="N21" i="24"/>
  <c r="N22" i="24"/>
  <c r="N23" i="24"/>
  <c r="N24" i="24"/>
  <c r="N25" i="24"/>
  <c r="N26" i="24"/>
  <c r="N28" i="24"/>
  <c r="N29" i="24"/>
  <c r="N30" i="24"/>
  <c r="N31" i="24"/>
  <c r="N32" i="24"/>
  <c r="N33" i="24"/>
  <c r="N17" i="25"/>
  <c r="N18" i="25"/>
  <c r="N19" i="25"/>
  <c r="N20" i="25"/>
  <c r="N21" i="25"/>
  <c r="N22" i="25"/>
  <c r="N23" i="25"/>
  <c r="N25" i="25"/>
  <c r="N26" i="25"/>
  <c r="N27" i="25"/>
  <c r="N28" i="25"/>
  <c r="N29" i="25"/>
  <c r="N30" i="25"/>
  <c r="N31" i="25"/>
  <c r="N33" i="25"/>
  <c r="N16" i="29"/>
  <c r="N17" i="29"/>
  <c r="N18" i="29"/>
  <c r="N19" i="29"/>
  <c r="N20" i="29"/>
  <c r="N22" i="29"/>
  <c r="N23" i="29"/>
  <c r="N24" i="29"/>
  <c r="N25" i="29"/>
  <c r="N26" i="29"/>
  <c r="N27" i="29"/>
  <c r="N28" i="29"/>
  <c r="N30" i="29"/>
  <c r="N31" i="29"/>
  <c r="N32" i="29"/>
  <c r="N33" i="29"/>
  <c r="N16" i="28"/>
  <c r="N17" i="28"/>
  <c r="N19" i="28"/>
  <c r="N20" i="28"/>
  <c r="N21" i="28"/>
  <c r="N22" i="28"/>
  <c r="N23" i="28"/>
  <c r="N24" i="28"/>
  <c r="N25" i="28"/>
  <c r="N27" i="28"/>
  <c r="N28" i="28"/>
  <c r="N29" i="28"/>
  <c r="N30" i="28"/>
  <c r="N31" i="28"/>
  <c r="N32" i="28"/>
  <c r="N33" i="28"/>
  <c r="N16" i="27"/>
  <c r="N17" i="27"/>
  <c r="N18" i="27"/>
  <c r="N19" i="27"/>
  <c r="N20" i="27"/>
  <c r="N21" i="27"/>
  <c r="N22" i="27"/>
  <c r="N24" i="27"/>
  <c r="N25" i="27"/>
  <c r="N26" i="27"/>
  <c r="N27" i="27"/>
  <c r="N28" i="27"/>
  <c r="N29" i="27"/>
  <c r="N30" i="27"/>
  <c r="N32" i="27"/>
  <c r="N33" i="27"/>
  <c r="N16" i="26"/>
  <c r="N17" i="26"/>
  <c r="N18" i="26"/>
  <c r="N19" i="26"/>
  <c r="N21" i="26"/>
  <c r="N22" i="26"/>
  <c r="N23" i="26"/>
  <c r="N24" i="26"/>
  <c r="N25" i="26"/>
  <c r="N26" i="26"/>
  <c r="N27" i="26"/>
  <c r="N29" i="26"/>
  <c r="N30" i="26"/>
  <c r="N31" i="26"/>
  <c r="N32" i="26"/>
  <c r="N33" i="26"/>
  <c r="N16" i="34"/>
  <c r="N17" i="34"/>
  <c r="N18" i="34"/>
  <c r="N19" i="34"/>
  <c r="N20" i="34"/>
  <c r="N21" i="34"/>
  <c r="N22" i="34"/>
  <c r="N24" i="34"/>
  <c r="N25" i="34"/>
  <c r="N26" i="34"/>
  <c r="N27" i="34"/>
  <c r="N28" i="34"/>
  <c r="N29" i="34"/>
  <c r="N30" i="34"/>
  <c r="N32" i="34"/>
  <c r="N33" i="34"/>
  <c r="N15" i="33"/>
  <c r="N15" i="31"/>
  <c r="N15" i="25"/>
  <c r="N15" i="29"/>
  <c r="N15" i="28"/>
  <c r="N15" i="26"/>
  <c r="N23" i="34"/>
  <c r="N31" i="34"/>
  <c r="N34" i="34"/>
  <c r="N20" i="33"/>
  <c r="N28" i="33"/>
  <c r="N34" i="33"/>
  <c r="N17" i="32"/>
  <c r="N25" i="32"/>
  <c r="N33" i="32"/>
  <c r="N34" i="32"/>
  <c r="N22" i="31"/>
  <c r="N30" i="31"/>
  <c r="N34" i="31"/>
  <c r="N19" i="24"/>
  <c r="N27" i="24"/>
  <c r="N34" i="24"/>
  <c r="N16" i="25"/>
  <c r="N24" i="25"/>
  <c r="N32" i="25"/>
  <c r="N34" i="25"/>
  <c r="N21" i="29"/>
  <c r="N29" i="29"/>
  <c r="N34" i="29"/>
  <c r="N18" i="28"/>
  <c r="N26" i="28"/>
  <c r="N34" i="28"/>
  <c r="N23" i="27"/>
  <c r="N31" i="27"/>
  <c r="N34" i="27"/>
  <c r="N20" i="26"/>
  <c r="N28" i="26"/>
  <c r="N34" i="26"/>
  <c r="N15" i="32"/>
  <c r="N24" i="46"/>
  <c r="N25" i="46"/>
  <c r="N26" i="46"/>
  <c r="N27" i="46"/>
  <c r="O28" i="46"/>
  <c r="N29" i="46"/>
  <c r="N30" i="46"/>
  <c r="N31" i="46"/>
  <c r="O32" i="46"/>
  <c r="N33" i="46"/>
  <c r="N34" i="46"/>
  <c r="N35" i="46"/>
  <c r="O36" i="46"/>
  <c r="N37" i="46"/>
  <c r="N38" i="46"/>
  <c r="O39" i="46"/>
  <c r="O40" i="46"/>
  <c r="N41" i="46"/>
  <c r="O24" i="46"/>
  <c r="N28" i="46"/>
  <c r="N32" i="46"/>
  <c r="N36" i="46"/>
  <c r="N40" i="46"/>
  <c r="O22" i="46"/>
  <c r="N22" i="46"/>
  <c r="N15" i="27"/>
  <c r="N15" i="34"/>
  <c r="N15" i="24"/>
  <c r="O27" i="46"/>
  <c r="O38" i="46"/>
  <c r="O34" i="46"/>
  <c r="O30" i="46"/>
  <c r="O26" i="46"/>
  <c r="O31" i="46"/>
  <c r="N39" i="46"/>
  <c r="O35" i="46"/>
  <c r="O41" i="46"/>
  <c r="O37" i="46"/>
  <c r="O33" i="46"/>
  <c r="O29" i="46"/>
  <c r="O25" i="46"/>
  <c r="N23" i="46"/>
  <c r="O23" i="46"/>
  <c r="B4458" i="41"/>
  <c r="B4459" i="41"/>
  <c r="B4451" i="41"/>
  <c r="B4452" i="41"/>
  <c r="B4444" i="41"/>
  <c r="B4445" i="41"/>
  <c r="B4437" i="41"/>
  <c r="B4438" i="41"/>
  <c r="B4430" i="41"/>
  <c r="B4431" i="41"/>
  <c r="B4423" i="41"/>
  <c r="B4424" i="41"/>
  <c r="B4416" i="41"/>
  <c r="B4417" i="41"/>
  <c r="B4409" i="41"/>
  <c r="B4410" i="41"/>
  <c r="B4403" i="41"/>
  <c r="B4401" i="41"/>
  <c r="B4402" i="41"/>
  <c r="B4404" i="41"/>
  <c r="B4405" i="41"/>
  <c r="B4406" i="41"/>
  <c r="B4407" i="41"/>
  <c r="B4408" i="41"/>
  <c r="B4411" i="41"/>
  <c r="B4412" i="41"/>
  <c r="B4413" i="41"/>
  <c r="B4414" i="41"/>
  <c r="B4415" i="41"/>
  <c r="B4418" i="41"/>
  <c r="B4419" i="41"/>
  <c r="B4420" i="41"/>
  <c r="B4421" i="41"/>
  <c r="B4422" i="41"/>
  <c r="B4425" i="41"/>
  <c r="B4426" i="41"/>
  <c r="B4427" i="41"/>
  <c r="B4428" i="41"/>
  <c r="B4429" i="41"/>
  <c r="B4432" i="41"/>
  <c r="B4433" i="41"/>
  <c r="B4434" i="41"/>
  <c r="B4435" i="41"/>
  <c r="B4436" i="41"/>
  <c r="B4439" i="41"/>
  <c r="B4440" i="41"/>
  <c r="B4441" i="41"/>
  <c r="B4442" i="41"/>
  <c r="B4443" i="41"/>
  <c r="B4446" i="41"/>
  <c r="B4447" i="41"/>
  <c r="B4448" i="41"/>
  <c r="B4449" i="41"/>
  <c r="B4450" i="41"/>
  <c r="B4453" i="41"/>
  <c r="B4454" i="41"/>
  <c r="B4455" i="41"/>
  <c r="B4456" i="41"/>
  <c r="B4457" i="41"/>
  <c r="B4460" i="41"/>
  <c r="B4461" i="41"/>
  <c r="B4462" i="41"/>
  <c r="B4463" i="41"/>
  <c r="N42" i="46"/>
  <c r="N46" i="22"/>
  <c r="N46" i="21"/>
  <c r="N46" i="20"/>
  <c r="N46" i="9"/>
  <c r="N46" i="15"/>
  <c r="N46" i="18"/>
  <c r="N46" i="19"/>
  <c r="N46" i="17"/>
  <c r="N46" i="16"/>
  <c r="N46" i="23"/>
  <c r="N110" i="3"/>
  <c r="B4367" i="41"/>
  <c r="B4368" i="41"/>
  <c r="B4395" i="41"/>
  <c r="B4396" i="41"/>
  <c r="B4388" i="41"/>
  <c r="B4389" i="41"/>
  <c r="B4381" i="41"/>
  <c r="B4382" i="41"/>
  <c r="B4374" i="41"/>
  <c r="B4375" i="41"/>
  <c r="B4360" i="41"/>
  <c r="B4361" i="41"/>
  <c r="B4353" i="41"/>
  <c r="B4354" i="41"/>
  <c r="B4346" i="41"/>
  <c r="B4347" i="41"/>
  <c r="B4348" i="41"/>
  <c r="B4339" i="41"/>
  <c r="B4340" i="41"/>
  <c r="B4338" i="41"/>
  <c r="B4341" i="41"/>
  <c r="B4342" i="41"/>
  <c r="B4343" i="41"/>
  <c r="B4344" i="41"/>
  <c r="B4345" i="41"/>
  <c r="B4349" i="41"/>
  <c r="B4350" i="41"/>
  <c r="B4351" i="41"/>
  <c r="B4352" i="41"/>
  <c r="B4355" i="41"/>
  <c r="B4356" i="41"/>
  <c r="B4357" i="41"/>
  <c r="B4358" i="41"/>
  <c r="B4359" i="41"/>
  <c r="B4362" i="41"/>
  <c r="B4363" i="41"/>
  <c r="B4364" i="41"/>
  <c r="B4365" i="41"/>
  <c r="B4366" i="41"/>
  <c r="B4369" i="41"/>
  <c r="B4370" i="41"/>
  <c r="B4371" i="41"/>
  <c r="B4372" i="41"/>
  <c r="B4373" i="41"/>
  <c r="B4376" i="41"/>
  <c r="B4377" i="41"/>
  <c r="B4378" i="41"/>
  <c r="B4379" i="41"/>
  <c r="B4380" i="41"/>
  <c r="B4383" i="41"/>
  <c r="B4384" i="41"/>
  <c r="B4385" i="41"/>
  <c r="B4386" i="41"/>
  <c r="B4387" i="41"/>
  <c r="B4390" i="41"/>
  <c r="B4391" i="41"/>
  <c r="B4392" i="41"/>
  <c r="B4393" i="41"/>
  <c r="B4394" i="41"/>
  <c r="B4397" i="41"/>
  <c r="B4398" i="41"/>
  <c r="B4399" i="41"/>
  <c r="B4400" i="41"/>
  <c r="B4332" i="41"/>
  <c r="B4333" i="41"/>
  <c r="B4325" i="41"/>
  <c r="B4326" i="41"/>
  <c r="B4318" i="41"/>
  <c r="B4319" i="41"/>
  <c r="B4311" i="41"/>
  <c r="B4312" i="41"/>
  <c r="B4310" i="41"/>
  <c r="B4313" i="41"/>
  <c r="B4314" i="41"/>
  <c r="B4315" i="41"/>
  <c r="B4316" i="41"/>
  <c r="B4317" i="41"/>
  <c r="B4320" i="41"/>
  <c r="B4321" i="41"/>
  <c r="B4322" i="41"/>
  <c r="B4323" i="41"/>
  <c r="B4324" i="41"/>
  <c r="B4327" i="41"/>
  <c r="B4328" i="41"/>
  <c r="B4329" i="41"/>
  <c r="B4330" i="41"/>
  <c r="B4331" i="41"/>
  <c r="B4334" i="41"/>
  <c r="B4335" i="41"/>
  <c r="B4336" i="41"/>
  <c r="B4337" i="41"/>
  <c r="B4304" i="41"/>
  <c r="B4305" i="41"/>
  <c r="B4297" i="41"/>
  <c r="B4298" i="41"/>
  <c r="B4294" i="41"/>
  <c r="B4295" i="41"/>
  <c r="B4296" i="41"/>
  <c r="B4299" i="41"/>
  <c r="B4300" i="41"/>
  <c r="B4301" i="41"/>
  <c r="B4302" i="41"/>
  <c r="B4303" i="41"/>
  <c r="B4306" i="41"/>
  <c r="B4307" i="41"/>
  <c r="B4308" i="41"/>
  <c r="B4309" i="41"/>
  <c r="K411" i="5"/>
  <c r="L411" i="5"/>
  <c r="B4290" i="41"/>
  <c r="B4291" i="41"/>
  <c r="B4283" i="41"/>
  <c r="B4284" i="41"/>
  <c r="B4285" i="41"/>
  <c r="B4276" i="41"/>
  <c r="B4277" i="41"/>
  <c r="B4278" i="41"/>
  <c r="B4279" i="41"/>
  <c r="B4280" i="41"/>
  <c r="B4281" i="41"/>
  <c r="B4282" i="41"/>
  <c r="B4286" i="41"/>
  <c r="B4287" i="41"/>
  <c r="B4288" i="41"/>
  <c r="B4289" i="41"/>
  <c r="B4292" i="41"/>
  <c r="B4293" i="41"/>
  <c r="B4269" i="41"/>
  <c r="B4270" i="41"/>
  <c r="B4262" i="41"/>
  <c r="B4263" i="41"/>
  <c r="B4255" i="41"/>
  <c r="B4256" i="41"/>
  <c r="B4248" i="41"/>
  <c r="B4249" i="41"/>
  <c r="B4241" i="41"/>
  <c r="B4242" i="41"/>
  <c r="B4234" i="41"/>
  <c r="B4235" i="41"/>
  <c r="B4227" i="41"/>
  <c r="B4228" i="41"/>
  <c r="B4226" i="41"/>
  <c r="B4229" i="41"/>
  <c r="B4230" i="41"/>
  <c r="B4231" i="41"/>
  <c r="B4232" i="41"/>
  <c r="B4233" i="41"/>
  <c r="B4236" i="41"/>
  <c r="B4237" i="41"/>
  <c r="B4238" i="41"/>
  <c r="B4239" i="41"/>
  <c r="B4240" i="41"/>
  <c r="B4243" i="41"/>
  <c r="B4244" i="41"/>
  <c r="B4245" i="41"/>
  <c r="B4246" i="41"/>
  <c r="B4247" i="41"/>
  <c r="B4250" i="41"/>
  <c r="B4251" i="41"/>
  <c r="B4252" i="41"/>
  <c r="B4253" i="41"/>
  <c r="B4254" i="41"/>
  <c r="B4257" i="41"/>
  <c r="B4258" i="41"/>
  <c r="B4259" i="41"/>
  <c r="B4260" i="41"/>
  <c r="B4261" i="41"/>
  <c r="B4264" i="41"/>
  <c r="B4265" i="41"/>
  <c r="B4266" i="41"/>
  <c r="B4267" i="41"/>
  <c r="B4268" i="41"/>
  <c r="B4271" i="41"/>
  <c r="B4272" i="41"/>
  <c r="B4273" i="41"/>
  <c r="B4274" i="41"/>
  <c r="B4275" i="41"/>
  <c r="B4220" i="41"/>
  <c r="B4221" i="41"/>
  <c r="B4222" i="41"/>
  <c r="B4223" i="41"/>
  <c r="B4224" i="41"/>
  <c r="B4225" i="41"/>
  <c r="B4218" i="41"/>
  <c r="B4219" i="41"/>
  <c r="B4213" i="41"/>
  <c r="B4214" i="41"/>
  <c r="B4215" i="41"/>
  <c r="B4216" i="41"/>
  <c r="B4217" i="41"/>
  <c r="B4212" i="41"/>
  <c r="B4206" i="41"/>
  <c r="B4207" i="41"/>
  <c r="B4203" i="41"/>
  <c r="B4204" i="41"/>
  <c r="B4205" i="41"/>
  <c r="B4208" i="41"/>
  <c r="B4209" i="41"/>
  <c r="B4210" i="41"/>
  <c r="B4211" i="41"/>
  <c r="B4199" i="41"/>
  <c r="B4200" i="41"/>
  <c r="B4192" i="41"/>
  <c r="B4193" i="41"/>
  <c r="B4185" i="41"/>
  <c r="B4186" i="41"/>
  <c r="B4184" i="41"/>
  <c r="B4187" i="41"/>
  <c r="B4188" i="41"/>
  <c r="B4189" i="41"/>
  <c r="B4190" i="41"/>
  <c r="B4191" i="41"/>
  <c r="B4194" i="41"/>
  <c r="B4195" i="41"/>
  <c r="B4196" i="41"/>
  <c r="B4197" i="41"/>
  <c r="B4198" i="41"/>
  <c r="B4201" i="41"/>
  <c r="B4202" i="41"/>
  <c r="B4178" i="41"/>
  <c r="B4179" i="41"/>
  <c r="B4171" i="41"/>
  <c r="B4172" i="41"/>
  <c r="B4165" i="41"/>
  <c r="B4164" i="41"/>
  <c r="B4157" i="41"/>
  <c r="B4158" i="41"/>
  <c r="B4156" i="41"/>
  <c r="B4159" i="41"/>
  <c r="B4160" i="41"/>
  <c r="B4161" i="41"/>
  <c r="B4162" i="41"/>
  <c r="B4163" i="41"/>
  <c r="B4166" i="41"/>
  <c r="B4167" i="41"/>
  <c r="B4168" i="41"/>
  <c r="B4169" i="41"/>
  <c r="B4170" i="41"/>
  <c r="B4173" i="41"/>
  <c r="B4174" i="41"/>
  <c r="B4175" i="41"/>
  <c r="B4176" i="41"/>
  <c r="B4177" i="41"/>
  <c r="B4180" i="41"/>
  <c r="B4181" i="41"/>
  <c r="B4182" i="41"/>
  <c r="B4183" i="41"/>
  <c r="B4150" i="41"/>
  <c r="B4151" i="41"/>
  <c r="B4143" i="41"/>
  <c r="B4144" i="41"/>
  <c r="B4136" i="41"/>
  <c r="B4137" i="41"/>
  <c r="B4129" i="41"/>
  <c r="B4130" i="41"/>
  <c r="B4125" i="41"/>
  <c r="B4126" i="41"/>
  <c r="B4127" i="41"/>
  <c r="B4128" i="41"/>
  <c r="B4131" i="41"/>
  <c r="B4132" i="41"/>
  <c r="B4133" i="41"/>
  <c r="B4134" i="41"/>
  <c r="B4135" i="41"/>
  <c r="B4138" i="41"/>
  <c r="B4139" i="41"/>
  <c r="B4140" i="41"/>
  <c r="B4141" i="41"/>
  <c r="B4142" i="41"/>
  <c r="B4145" i="41"/>
  <c r="B4146" i="41"/>
  <c r="B4147" i="41"/>
  <c r="B4148" i="41"/>
  <c r="B4149" i="41"/>
  <c r="B4152" i="41"/>
  <c r="B4153" i="41"/>
  <c r="B4154" i="41"/>
  <c r="B4155" i="41"/>
  <c r="Q1" i="46"/>
  <c r="B4117" i="41"/>
  <c r="B4118" i="41"/>
  <c r="B4110" i="41"/>
  <c r="B4111" i="41"/>
  <c r="B4112" i="41"/>
  <c r="B4103" i="41"/>
  <c r="B4104" i="41"/>
  <c r="B4102" i="41"/>
  <c r="B4105" i="41"/>
  <c r="B4106" i="41"/>
  <c r="B4107" i="41"/>
  <c r="B4108" i="41"/>
  <c r="B4109" i="41"/>
  <c r="B4113" i="41"/>
  <c r="B4114" i="41"/>
  <c r="B4115" i="41"/>
  <c r="B4116" i="41"/>
  <c r="B4119" i="41"/>
  <c r="B4120" i="41"/>
  <c r="B4121" i="41"/>
  <c r="B4122" i="41"/>
  <c r="B4123" i="41"/>
  <c r="B4124" i="41"/>
  <c r="B4096" i="41"/>
  <c r="B4097" i="41"/>
  <c r="B4089" i="41"/>
  <c r="B4090" i="41"/>
  <c r="B4087" i="41"/>
  <c r="B4088" i="41"/>
  <c r="B4091" i="41"/>
  <c r="B4092" i="41"/>
  <c r="B4093" i="41"/>
  <c r="B4094" i="41"/>
  <c r="B4095" i="41"/>
  <c r="B4098" i="41"/>
  <c r="B4099" i="41"/>
  <c r="B4100" i="41"/>
  <c r="B4101" i="41"/>
  <c r="B4082" i="41"/>
  <c r="B4083" i="41"/>
  <c r="B4075" i="41"/>
  <c r="B4076" i="41"/>
  <c r="B4068" i="41"/>
  <c r="B4069" i="41"/>
  <c r="B4067" i="41"/>
  <c r="B4070" i="41"/>
  <c r="B4071" i="41"/>
  <c r="B4072" i="41"/>
  <c r="B4073" i="41"/>
  <c r="B4074" i="41"/>
  <c r="B4077" i="41"/>
  <c r="B4078" i="41"/>
  <c r="B4079" i="41"/>
  <c r="B4080" i="41"/>
  <c r="B4081" i="41"/>
  <c r="B4084" i="41"/>
  <c r="B4085" i="41"/>
  <c r="B4086" i="41"/>
  <c r="B4063" i="41"/>
  <c r="B4064" i="41"/>
  <c r="B4065" i="41"/>
  <c r="B4066" i="41"/>
  <c r="N45" i="22"/>
  <c r="N45" i="21"/>
  <c r="N45" i="20"/>
  <c r="N45" i="9"/>
  <c r="N45" i="15"/>
  <c r="N45" i="18"/>
  <c r="N45" i="19"/>
  <c r="N45" i="17"/>
  <c r="N45" i="16"/>
  <c r="N45" i="23"/>
  <c r="N109" i="3"/>
  <c r="B4053" i="41"/>
  <c r="B4054" i="41"/>
  <c r="B4055" i="41"/>
  <c r="B4056" i="41"/>
  <c r="B4057" i="41"/>
  <c r="B4058" i="41"/>
  <c r="B4059" i="41"/>
  <c r="B4060" i="41"/>
  <c r="B4061" i="41"/>
  <c r="B4062" i="41"/>
  <c r="B4047" i="41"/>
  <c r="B4048" i="41"/>
  <c r="B4040" i="41"/>
  <c r="B4041" i="41"/>
  <c r="B4038" i="41"/>
  <c r="B4039" i="41"/>
  <c r="B4042" i="41"/>
  <c r="B4043" i="41"/>
  <c r="B4044" i="41"/>
  <c r="B4045" i="41"/>
  <c r="B4046" i="41"/>
  <c r="B4049" i="41"/>
  <c r="B4050" i="41"/>
  <c r="B4051" i="41"/>
  <c r="B4052" i="41"/>
  <c r="B4012" i="41"/>
  <c r="B4013" i="41"/>
  <c r="B4033" i="41"/>
  <c r="B4034" i="41"/>
  <c r="B4026" i="41"/>
  <c r="B4027" i="41"/>
  <c r="B4019" i="41"/>
  <c r="B4020" i="41"/>
  <c r="B4011" i="41"/>
  <c r="B4014" i="41"/>
  <c r="B4015" i="41"/>
  <c r="B4016" i="41"/>
  <c r="B4017" i="41"/>
  <c r="B4018" i="41"/>
  <c r="B4021" i="41"/>
  <c r="B4022" i="41"/>
  <c r="B4023" i="41"/>
  <c r="B4024" i="41"/>
  <c r="B4025" i="41"/>
  <c r="B4028" i="41"/>
  <c r="B4029" i="41"/>
  <c r="B4030" i="41"/>
  <c r="B4031" i="41"/>
  <c r="B4032" i="41"/>
  <c r="B4035" i="41"/>
  <c r="B4036" i="41"/>
  <c r="B4037" i="41"/>
  <c r="B4005" i="41"/>
  <c r="B4006" i="41"/>
  <c r="B4007" i="41"/>
  <c r="B4008" i="41"/>
  <c r="B4009" i="41"/>
  <c r="B4010" i="41"/>
  <c r="B4003" i="41"/>
  <c r="B4004" i="41"/>
  <c r="B3995" i="41"/>
  <c r="B3996" i="41"/>
  <c r="B3997" i="41"/>
  <c r="B3998" i="41"/>
  <c r="B3999" i="41"/>
  <c r="B4000" i="41"/>
  <c r="B4001" i="41"/>
  <c r="B4002" i="41"/>
  <c r="B3982" i="41"/>
  <c r="B3983" i="41"/>
  <c r="B3984" i="41"/>
  <c r="B3985" i="41"/>
  <c r="B3986" i="41"/>
  <c r="B3987" i="41"/>
  <c r="B3988" i="41"/>
  <c r="B3989" i="41"/>
  <c r="B3990" i="41"/>
  <c r="B3991" i="41"/>
  <c r="B3992" i="41"/>
  <c r="B3993" i="41"/>
  <c r="B3994" i="41"/>
  <c r="B3981" i="41"/>
  <c r="B3976" i="41"/>
  <c r="B3977" i="41"/>
  <c r="B3978" i="41"/>
  <c r="B3979" i="41"/>
  <c r="B3980" i="41"/>
  <c r="B3955" i="41"/>
  <c r="B3956" i="41"/>
  <c r="B3957" i="41"/>
  <c r="B3958" i="41"/>
  <c r="B3959" i="41"/>
  <c r="B3960" i="41"/>
  <c r="B3961" i="41"/>
  <c r="B3962" i="41"/>
  <c r="B3963" i="41"/>
  <c r="B3964" i="41"/>
  <c r="B3965" i="41"/>
  <c r="B3966" i="41"/>
  <c r="B3967" i="41"/>
  <c r="B3968" i="41"/>
  <c r="B3969" i="41"/>
  <c r="B3970" i="41"/>
  <c r="B3971" i="41"/>
  <c r="B3972" i="41"/>
  <c r="B3973" i="41"/>
  <c r="B3974" i="41"/>
  <c r="B3975" i="41"/>
  <c r="B3947" i="41"/>
  <c r="B3948" i="41"/>
  <c r="B3949" i="41"/>
  <c r="B3950" i="41"/>
  <c r="B3951" i="41"/>
  <c r="B3952" i="41"/>
  <c r="B3953" i="41"/>
  <c r="B3954" i="41"/>
  <c r="P1" i="3"/>
  <c r="B3940" i="41"/>
  <c r="B3941" i="41"/>
  <c r="B3942" i="41"/>
  <c r="B3943" i="41"/>
  <c r="B3944" i="41"/>
  <c r="B3945" i="41"/>
  <c r="B3946" i="41"/>
  <c r="T2" i="41"/>
  <c r="B3932" i="41"/>
  <c r="B3933" i="41"/>
  <c r="B3934" i="41"/>
  <c r="B3935" i="41"/>
  <c r="B3936" i="41"/>
  <c r="B3937" i="41"/>
  <c r="B3938" i="41"/>
  <c r="B3939" i="41"/>
  <c r="B3931" i="41"/>
  <c r="B3927" i="41"/>
  <c r="B3928" i="41"/>
  <c r="B3929" i="41"/>
  <c r="B3930" i="41"/>
  <c r="B3916" i="41"/>
  <c r="B3917" i="41"/>
  <c r="B3918" i="41"/>
  <c r="B3919" i="41"/>
  <c r="B3920" i="41"/>
  <c r="B3921" i="41"/>
  <c r="B3922" i="41"/>
  <c r="B3923" i="41"/>
  <c r="B3924" i="41"/>
  <c r="B3925" i="41"/>
  <c r="B3926" i="41"/>
  <c r="B3915" i="41"/>
  <c r="B3913" i="41"/>
  <c r="B3914" i="41"/>
  <c r="B3885" i="41"/>
  <c r="B3886" i="41"/>
  <c r="B3887" i="41"/>
  <c r="B3888" i="41"/>
  <c r="B3889" i="41"/>
  <c r="B3890" i="41"/>
  <c r="B3891" i="41"/>
  <c r="B3892" i="41"/>
  <c r="B3893" i="41"/>
  <c r="B3894" i="41"/>
  <c r="B3895" i="41"/>
  <c r="B3896" i="41"/>
  <c r="B3897" i="41"/>
  <c r="B3898" i="41"/>
  <c r="B3899" i="41"/>
  <c r="B3900" i="41"/>
  <c r="B3901" i="41"/>
  <c r="B3902" i="41"/>
  <c r="B3903" i="41"/>
  <c r="B3904" i="41"/>
  <c r="B3905" i="41"/>
  <c r="B3906" i="41"/>
  <c r="B3907" i="41"/>
  <c r="B3908" i="41"/>
  <c r="B3909" i="41"/>
  <c r="B3910" i="41"/>
  <c r="B3911" i="41"/>
  <c r="B3912" i="41"/>
  <c r="B3876" i="41"/>
  <c r="B3877" i="41"/>
  <c r="B3878" i="41"/>
  <c r="B3879" i="41"/>
  <c r="B3880" i="41"/>
  <c r="B3881" i="41"/>
  <c r="B3882" i="41"/>
  <c r="B3883" i="41"/>
  <c r="B3884" i="41"/>
  <c r="B3852" i="41"/>
  <c r="B3853" i="41"/>
  <c r="B3854" i="41"/>
  <c r="B3855" i="41"/>
  <c r="B3856" i="41"/>
  <c r="B3857" i="41"/>
  <c r="B3858" i="41"/>
  <c r="B3859" i="41"/>
  <c r="B3860" i="41"/>
  <c r="B3861" i="41"/>
  <c r="B3862" i="41"/>
  <c r="B3863" i="41"/>
  <c r="B3864" i="41"/>
  <c r="B3865" i="41"/>
  <c r="B3866" i="41"/>
  <c r="B3867" i="41"/>
  <c r="B3868" i="41"/>
  <c r="B3869" i="41"/>
  <c r="B3870" i="41"/>
  <c r="B3871" i="41"/>
  <c r="B3872" i="41"/>
  <c r="B3873" i="41"/>
  <c r="B3874" i="41"/>
  <c r="B3875" i="41"/>
  <c r="B3847" i="41"/>
  <c r="B3848" i="41"/>
  <c r="B3849" i="41"/>
  <c r="B3850" i="41"/>
  <c r="B3851" i="41"/>
  <c r="B3822" i="41"/>
  <c r="B3823" i="41"/>
  <c r="B3824" i="41"/>
  <c r="B3825" i="41"/>
  <c r="B3826" i="41"/>
  <c r="B3827" i="41"/>
  <c r="B3828" i="41"/>
  <c r="B3829" i="41"/>
  <c r="B3830" i="41"/>
  <c r="B3831" i="41"/>
  <c r="B3832" i="41"/>
  <c r="B3833" i="41"/>
  <c r="B3834" i="41"/>
  <c r="B3835" i="41"/>
  <c r="B3836" i="41"/>
  <c r="B3837" i="41"/>
  <c r="B3838" i="41"/>
  <c r="B3839" i="41"/>
  <c r="B3840" i="41"/>
  <c r="B3841" i="41"/>
  <c r="B3842" i="41"/>
  <c r="B3843" i="41"/>
  <c r="B3844" i="41"/>
  <c r="B3845" i="41"/>
  <c r="B3846" i="41"/>
  <c r="B3816" i="41"/>
  <c r="B3817" i="41"/>
  <c r="B3809" i="41"/>
  <c r="B3810" i="41"/>
  <c r="B3802" i="41"/>
  <c r="B3803" i="41"/>
  <c r="B3795" i="41"/>
  <c r="B3796" i="41"/>
  <c r="B3788" i="41"/>
  <c r="B3789" i="41"/>
  <c r="B3781" i="41"/>
  <c r="B3782" i="41"/>
  <c r="B3774" i="41"/>
  <c r="B3775" i="41"/>
  <c r="B3767" i="41"/>
  <c r="B3768" i="41"/>
  <c r="B3762" i="41"/>
  <c r="B3763" i="41"/>
  <c r="B3764" i="41"/>
  <c r="B3765" i="41"/>
  <c r="B3766" i="41"/>
  <c r="B3769" i="41"/>
  <c r="B3770" i="41"/>
  <c r="B3771" i="41"/>
  <c r="B3772" i="41"/>
  <c r="B3773" i="41"/>
  <c r="B3776" i="41"/>
  <c r="B3777" i="41"/>
  <c r="B3778" i="41"/>
  <c r="B3779" i="41"/>
  <c r="B3780" i="41"/>
  <c r="B3783" i="41"/>
  <c r="B3784" i="41"/>
  <c r="B3785" i="41"/>
  <c r="B3786" i="41"/>
  <c r="B3787" i="41"/>
  <c r="B3790" i="41"/>
  <c r="B3791" i="41"/>
  <c r="B3792" i="41"/>
  <c r="B3793" i="41"/>
  <c r="B3794" i="41"/>
  <c r="B3797" i="41"/>
  <c r="B3798" i="41"/>
  <c r="B3799" i="41"/>
  <c r="B3800" i="41"/>
  <c r="B3801" i="41"/>
  <c r="B3804" i="41"/>
  <c r="B3805" i="41"/>
  <c r="B3806" i="41"/>
  <c r="B3807" i="41"/>
  <c r="B3808" i="41"/>
  <c r="B3811" i="41"/>
  <c r="B3812" i="41"/>
  <c r="B3813" i="41"/>
  <c r="B3814" i="41"/>
  <c r="B3815" i="41"/>
  <c r="B3818" i="41"/>
  <c r="B3819" i="41"/>
  <c r="B3820" i="41"/>
  <c r="B3821" i="41"/>
  <c r="N396" i="5"/>
  <c r="O396" i="5"/>
  <c r="B3760" i="41"/>
  <c r="B3761" i="41"/>
  <c r="B3757" i="41"/>
  <c r="B3758" i="41"/>
  <c r="B3759" i="41"/>
  <c r="B3753" i="41"/>
  <c r="B3754" i="41"/>
  <c r="B3746" i="41"/>
  <c r="B3747" i="41"/>
  <c r="B3739" i="41"/>
  <c r="B3740" i="41"/>
  <c r="B3732" i="41"/>
  <c r="B3733" i="41"/>
  <c r="B3730" i="41"/>
  <c r="B3731" i="41"/>
  <c r="B3734" i="41"/>
  <c r="B3735" i="41"/>
  <c r="B3736" i="41"/>
  <c r="B3737" i="41"/>
  <c r="B3738" i="41"/>
  <c r="B3741" i="41"/>
  <c r="B3742" i="41"/>
  <c r="B3743" i="41"/>
  <c r="B3744" i="41"/>
  <c r="B3745" i="41"/>
  <c r="B3748" i="41"/>
  <c r="B3749" i="41"/>
  <c r="B3750" i="41"/>
  <c r="B3751" i="41"/>
  <c r="B3752" i="41"/>
  <c r="B3755" i="41"/>
  <c r="B3756" i="41"/>
  <c r="B3725" i="41"/>
  <c r="B3726" i="41"/>
  <c r="B3724" i="41"/>
  <c r="B3727" i="41"/>
  <c r="B3728" i="41"/>
  <c r="B3729" i="41"/>
  <c r="B3718" i="41"/>
  <c r="B3719" i="41"/>
  <c r="B3711" i="41"/>
  <c r="B3712" i="41"/>
  <c r="B3704" i="41"/>
  <c r="B3705" i="41"/>
  <c r="B3701" i="41"/>
  <c r="B3702" i="41"/>
  <c r="B3703" i="41"/>
  <c r="B3706" i="41"/>
  <c r="B3707" i="41"/>
  <c r="B3708" i="41"/>
  <c r="B3709" i="41"/>
  <c r="B3710" i="41"/>
  <c r="B3713" i="41"/>
  <c r="B3714" i="41"/>
  <c r="B3715" i="41"/>
  <c r="B3716" i="41"/>
  <c r="B3717" i="41"/>
  <c r="B3720" i="41"/>
  <c r="B3721" i="41"/>
  <c r="B3722" i="41"/>
  <c r="B3723" i="41"/>
  <c r="B3697" i="41"/>
  <c r="B3698" i="41"/>
  <c r="B3690" i="41"/>
  <c r="B3691" i="41"/>
  <c r="B3683" i="41"/>
  <c r="B3684" i="41"/>
  <c r="B3676" i="41"/>
  <c r="B3677" i="41"/>
  <c r="B3673" i="41"/>
  <c r="B3674" i="41"/>
  <c r="B3675" i="41"/>
  <c r="B3678" i="41"/>
  <c r="B3679" i="41"/>
  <c r="B3680" i="41"/>
  <c r="B3681" i="41"/>
  <c r="B3682" i="41"/>
  <c r="B3685" i="41"/>
  <c r="B3686" i="41"/>
  <c r="B3687" i="41"/>
  <c r="B3688" i="41"/>
  <c r="B3689" i="41"/>
  <c r="B3692" i="41"/>
  <c r="B3693" i="41"/>
  <c r="B3694" i="41"/>
  <c r="B3695" i="41"/>
  <c r="B3696" i="41"/>
  <c r="B3699" i="41"/>
  <c r="B3700" i="41"/>
  <c r="N44" i="22"/>
  <c r="N44" i="21"/>
  <c r="N44" i="20"/>
  <c r="N44" i="9"/>
  <c r="N44" i="15"/>
  <c r="N44" i="18"/>
  <c r="N44" i="19"/>
  <c r="N44" i="17"/>
  <c r="N44" i="16"/>
  <c r="N44" i="23"/>
  <c r="N108" i="3"/>
  <c r="B3669" i="41"/>
  <c r="B3670" i="41"/>
  <c r="B3662" i="41"/>
  <c r="B3663" i="41"/>
  <c r="B3655" i="41"/>
  <c r="B3656" i="41"/>
  <c r="B3648" i="41"/>
  <c r="B3649" i="41"/>
  <c r="B3650" i="41"/>
  <c r="B3651" i="41"/>
  <c r="B3652" i="41"/>
  <c r="B3653" i="41"/>
  <c r="B3654" i="41"/>
  <c r="B3657" i="41"/>
  <c r="B3658" i="41"/>
  <c r="B3659" i="41"/>
  <c r="B3660" i="41"/>
  <c r="B3661" i="41"/>
  <c r="B3664" i="41"/>
  <c r="B3665" i="41"/>
  <c r="B3666" i="41"/>
  <c r="B3667" i="41"/>
  <c r="B3668" i="41"/>
  <c r="B3671" i="41"/>
  <c r="B3672" i="41"/>
  <c r="B3641" i="41"/>
  <c r="B3642" i="41"/>
  <c r="B3643" i="41"/>
  <c r="B3634" i="41"/>
  <c r="B3635" i="41"/>
  <c r="B3627" i="41"/>
  <c r="B3628" i="41"/>
  <c r="B3620" i="41"/>
  <c r="B3621" i="41"/>
  <c r="B3613" i="41"/>
  <c r="B3614" i="41"/>
  <c r="B3611" i="41"/>
  <c r="B3612" i="41"/>
  <c r="B3615" i="41"/>
  <c r="B3616" i="41"/>
  <c r="B3617" i="41"/>
  <c r="B3618" i="41"/>
  <c r="B3619" i="41"/>
  <c r="B3622" i="41"/>
  <c r="B3623" i="41"/>
  <c r="B3624" i="41"/>
  <c r="B3625" i="41"/>
  <c r="B3626" i="41"/>
  <c r="B3629" i="41"/>
  <c r="B3630" i="41"/>
  <c r="B3631" i="41"/>
  <c r="B3632" i="41"/>
  <c r="B3633" i="41"/>
  <c r="B3636" i="41"/>
  <c r="B3637" i="41"/>
  <c r="B3638" i="41"/>
  <c r="B3639" i="41"/>
  <c r="B3640" i="41"/>
  <c r="B3644" i="41"/>
  <c r="B3645" i="41"/>
  <c r="B3646" i="41"/>
  <c r="B3647" i="41"/>
  <c r="B3585" i="41"/>
  <c r="B3586" i="41"/>
  <c r="B3606" i="41"/>
  <c r="B3607" i="41"/>
  <c r="B3599" i="41"/>
  <c r="B3600" i="41"/>
  <c r="B3592" i="41"/>
  <c r="B3593" i="41"/>
  <c r="B3581" i="41"/>
  <c r="B3582" i="41"/>
  <c r="B3583" i="41"/>
  <c r="B3584" i="41"/>
  <c r="B3587" i="41"/>
  <c r="B3588" i="41"/>
  <c r="B3589" i="41"/>
  <c r="B3590" i="41"/>
  <c r="B3591" i="41"/>
  <c r="B3594" i="41"/>
  <c r="B3595" i="41"/>
  <c r="B3596" i="41"/>
  <c r="B3597" i="41"/>
  <c r="B3598" i="41"/>
  <c r="B3601" i="41"/>
  <c r="B3602" i="41"/>
  <c r="B3603" i="41"/>
  <c r="B3604" i="41"/>
  <c r="B3605" i="41"/>
  <c r="B3608" i="41"/>
  <c r="B3609" i="41"/>
  <c r="B3610" i="41"/>
  <c r="B3573" i="41"/>
  <c r="B3574" i="41"/>
  <c r="B3566" i="41"/>
  <c r="B3567" i="41"/>
  <c r="B3562" i="41"/>
  <c r="B3563" i="41"/>
  <c r="B3564" i="41"/>
  <c r="B3565" i="41"/>
  <c r="B3568" i="41"/>
  <c r="B3569" i="41"/>
  <c r="B3570" i="41"/>
  <c r="B3571" i="41"/>
  <c r="B3572" i="41"/>
  <c r="B3575" i="41"/>
  <c r="B3576" i="41"/>
  <c r="B3577" i="41"/>
  <c r="B3578" i="41"/>
  <c r="B3579" i="41"/>
  <c r="B3580" i="41"/>
  <c r="B3559" i="41"/>
  <c r="B3560" i="41"/>
  <c r="B3561" i="41"/>
  <c r="B3554" i="41"/>
  <c r="B3555" i="41"/>
  <c r="B3556" i="41"/>
  <c r="B3557" i="41"/>
  <c r="B3558" i="41"/>
  <c r="B3553" i="41"/>
  <c r="B3551" i="41"/>
  <c r="B3552" i="41"/>
  <c r="B3544" i="41"/>
  <c r="B3545" i="41"/>
  <c r="B3546" i="41"/>
  <c r="B3547" i="41"/>
  <c r="B3548" i="41"/>
  <c r="B3549" i="41"/>
  <c r="B3550" i="41"/>
  <c r="B3538" i="41"/>
  <c r="B3539" i="41"/>
  <c r="B3531" i="41"/>
  <c r="B3532" i="41"/>
  <c r="B3524" i="41"/>
  <c r="B3525" i="41"/>
  <c r="B3522" i="41"/>
  <c r="B3523" i="41"/>
  <c r="B3526" i="41"/>
  <c r="B3527" i="41"/>
  <c r="B3528" i="41"/>
  <c r="B3529" i="41"/>
  <c r="B3530" i="41"/>
  <c r="B3533" i="41"/>
  <c r="B3534" i="41"/>
  <c r="B3535" i="41"/>
  <c r="B3536" i="41"/>
  <c r="B3537" i="41"/>
  <c r="B3540" i="41"/>
  <c r="B3541" i="41"/>
  <c r="B3542" i="41"/>
  <c r="B3543" i="41"/>
  <c r="B3517" i="41"/>
  <c r="B3518" i="41"/>
  <c r="B3510" i="41"/>
  <c r="B3511" i="41"/>
  <c r="B3503" i="41"/>
  <c r="B3504" i="41"/>
  <c r="B3496" i="41"/>
  <c r="B3497" i="41"/>
  <c r="B3491" i="41"/>
  <c r="B3492" i="41"/>
  <c r="B3493" i="41"/>
  <c r="B3494" i="41"/>
  <c r="B3495" i="41"/>
  <c r="B3498" i="41"/>
  <c r="B3499" i="41"/>
  <c r="B3500" i="41"/>
  <c r="B3501" i="41"/>
  <c r="B3502" i="41"/>
  <c r="B3505" i="41"/>
  <c r="B3506" i="41"/>
  <c r="B3507" i="41"/>
  <c r="B3508" i="41"/>
  <c r="B3509" i="41"/>
  <c r="B3512" i="41"/>
  <c r="B3513" i="41"/>
  <c r="B3514" i="41"/>
  <c r="B3515" i="41"/>
  <c r="B3516" i="41"/>
  <c r="B3519" i="41"/>
  <c r="B3520" i="41"/>
  <c r="B3521" i="41"/>
  <c r="B3489" i="41"/>
  <c r="B3490" i="41"/>
  <c r="B3482" i="41"/>
  <c r="B3483" i="41"/>
  <c r="B3475" i="41"/>
  <c r="B3476" i="41"/>
  <c r="B3468" i="41"/>
  <c r="B3469" i="41"/>
  <c r="B3470" i="41"/>
  <c r="B3471" i="41"/>
  <c r="B3472" i="41"/>
  <c r="B3473" i="41"/>
  <c r="B3474" i="41"/>
  <c r="B3477" i="41"/>
  <c r="B3478" i="41"/>
  <c r="B3479" i="41"/>
  <c r="B3480" i="41"/>
  <c r="B3481" i="41"/>
  <c r="B3484" i="41"/>
  <c r="B3485" i="41"/>
  <c r="B3486" i="41"/>
  <c r="B3487" i="41"/>
  <c r="B3488" i="41"/>
  <c r="B3461" i="41"/>
  <c r="B3462" i="41"/>
  <c r="B3460" i="41"/>
  <c r="B3463" i="41"/>
  <c r="B3464" i="41"/>
  <c r="B3465" i="41"/>
  <c r="B3466" i="41"/>
  <c r="B3467" i="41"/>
  <c r="B3454" i="41"/>
  <c r="B3455" i="41"/>
  <c r="B3447" i="41"/>
  <c r="B3448" i="41"/>
  <c r="B3440" i="41"/>
  <c r="B3441" i="41"/>
  <c r="B3433" i="41"/>
  <c r="B3434" i="41"/>
  <c r="B3432" i="41"/>
  <c r="B3435" i="41"/>
  <c r="B3436" i="41"/>
  <c r="B3437" i="41"/>
  <c r="B3438" i="41"/>
  <c r="B3439" i="41"/>
  <c r="B3442" i="41"/>
  <c r="B3443" i="41"/>
  <c r="B3444" i="41"/>
  <c r="B3445" i="41"/>
  <c r="B3446" i="41"/>
  <c r="B3449" i="41"/>
  <c r="B3450" i="41"/>
  <c r="B3451" i="41"/>
  <c r="B3452" i="41"/>
  <c r="B3453" i="41"/>
  <c r="B3456" i="41"/>
  <c r="B3457" i="41"/>
  <c r="B3458" i="41"/>
  <c r="B3459" i="41"/>
  <c r="B3431" i="41"/>
  <c r="B3430" i="41"/>
  <c r="B3426" i="41"/>
  <c r="B3427" i="41"/>
  <c r="B3419" i="41"/>
  <c r="B3420" i="41"/>
  <c r="B3412" i="41"/>
  <c r="B3413" i="41"/>
  <c r="B3405" i="41"/>
  <c r="B3406" i="41"/>
  <c r="B3398" i="41"/>
  <c r="B3399" i="41"/>
  <c r="B3400" i="41"/>
  <c r="B3401" i="41"/>
  <c r="B3402" i="41"/>
  <c r="B3403" i="41"/>
  <c r="B3404" i="41"/>
  <c r="B3407" i="41"/>
  <c r="B3408" i="41"/>
  <c r="B3409" i="41"/>
  <c r="B3410" i="41"/>
  <c r="B3411" i="41"/>
  <c r="B3414" i="41"/>
  <c r="B3415" i="41"/>
  <c r="B3416" i="41"/>
  <c r="B3417" i="41"/>
  <c r="B3418" i="41"/>
  <c r="B3421" i="41"/>
  <c r="B3422" i="41"/>
  <c r="B3423" i="41"/>
  <c r="B3424" i="41"/>
  <c r="B3425" i="41"/>
  <c r="B3428" i="41"/>
  <c r="B3429" i="41"/>
  <c r="B3397" i="41"/>
  <c r="B3391" i="41"/>
  <c r="B3392" i="41"/>
  <c r="B3384" i="41"/>
  <c r="B3385" i="41"/>
  <c r="B3382" i="41"/>
  <c r="B3383" i="41"/>
  <c r="B3386" i="41"/>
  <c r="B3387" i="41"/>
  <c r="B3388" i="41"/>
  <c r="B3389" i="41"/>
  <c r="B3390" i="41"/>
  <c r="B3393" i="41"/>
  <c r="B3394" i="41"/>
  <c r="B3395" i="41"/>
  <c r="B3396" i="41"/>
  <c r="B3370" i="41"/>
  <c r="B3371" i="41"/>
  <c r="B3372" i="41"/>
  <c r="B3373" i="41"/>
  <c r="B3374" i="41"/>
  <c r="B3375" i="41"/>
  <c r="B3376" i="41"/>
  <c r="B3377" i="41"/>
  <c r="B3378" i="41"/>
  <c r="B3379" i="41"/>
  <c r="B3380" i="41"/>
  <c r="B3381" i="41"/>
  <c r="B3369" i="41"/>
  <c r="B3363" i="41"/>
  <c r="B3364" i="41"/>
  <c r="B3356" i="41"/>
  <c r="B3357" i="41"/>
  <c r="B3349" i="41"/>
  <c r="B3350" i="41"/>
  <c r="B3342" i="41"/>
  <c r="B3343" i="41"/>
  <c r="B3338" i="41"/>
  <c r="B3339" i="41"/>
  <c r="B3340" i="41"/>
  <c r="B3341" i="41"/>
  <c r="B3344" i="41"/>
  <c r="B3345" i="41"/>
  <c r="B3346" i="41"/>
  <c r="B3347" i="41"/>
  <c r="B3348" i="41"/>
  <c r="B3351" i="41"/>
  <c r="B3352" i="41"/>
  <c r="B3353" i="41"/>
  <c r="B3354" i="41"/>
  <c r="B3355" i="41"/>
  <c r="B3358" i="41"/>
  <c r="B3359" i="41"/>
  <c r="B3360" i="41"/>
  <c r="B3361" i="41"/>
  <c r="B3362" i="41"/>
  <c r="B3365" i="41"/>
  <c r="B3366" i="41"/>
  <c r="B3367" i="41"/>
  <c r="B3368" i="41"/>
  <c r="F1" i="24"/>
  <c r="B3335" i="41"/>
  <c r="B3336" i="41"/>
  <c r="B3328" i="41"/>
  <c r="B3329" i="41"/>
  <c r="B3321" i="41"/>
  <c r="B3322" i="41"/>
  <c r="B3314" i="41"/>
  <c r="B3315" i="41"/>
  <c r="B3311" i="41"/>
  <c r="B3312" i="41"/>
  <c r="B3313" i="41"/>
  <c r="B3316" i="41"/>
  <c r="B3317" i="41"/>
  <c r="B3318" i="41"/>
  <c r="B3319" i="41"/>
  <c r="B3320" i="41"/>
  <c r="B3323" i="41"/>
  <c r="B3324" i="41"/>
  <c r="B3325" i="41"/>
  <c r="B3326" i="41"/>
  <c r="B3327" i="41"/>
  <c r="B3330" i="41"/>
  <c r="B3331" i="41"/>
  <c r="B3332" i="41"/>
  <c r="B3333" i="41"/>
  <c r="B3334" i="41"/>
  <c r="B3337" i="41"/>
  <c r="N107" i="3"/>
  <c r="N43" i="23"/>
  <c r="N43" i="22"/>
  <c r="N43" i="21"/>
  <c r="N43" i="20"/>
  <c r="N43" i="9"/>
  <c r="N43" i="15"/>
  <c r="N43" i="18"/>
  <c r="N43" i="19"/>
  <c r="N43" i="17"/>
  <c r="N43" i="16"/>
  <c r="B3309" i="41"/>
  <c r="B3310" i="41"/>
  <c r="B3307" i="41"/>
  <c r="B3308" i="41"/>
  <c r="B3300" i="41"/>
  <c r="B3301" i="41"/>
  <c r="B3293" i="41"/>
  <c r="B3294" i="41"/>
  <c r="B3288" i="41"/>
  <c r="B3289" i="41"/>
  <c r="B3290" i="41"/>
  <c r="B3291" i="41"/>
  <c r="B3292" i="41"/>
  <c r="B3295" i="41"/>
  <c r="B3296" i="41"/>
  <c r="B3297" i="41"/>
  <c r="B3298" i="41"/>
  <c r="B3299" i="41"/>
  <c r="B3302" i="41"/>
  <c r="B3303" i="41"/>
  <c r="B3304" i="41"/>
  <c r="B3305" i="41"/>
  <c r="B3306" i="41"/>
  <c r="B3286" i="41"/>
  <c r="B3287" i="41"/>
  <c r="B3279" i="41"/>
  <c r="B3280" i="41"/>
  <c r="B3272" i="41"/>
  <c r="B3273" i="41"/>
  <c r="B3265" i="41"/>
  <c r="B3266" i="41"/>
  <c r="B3258" i="41"/>
  <c r="B3259" i="41"/>
  <c r="B3251" i="41"/>
  <c r="B3252" i="41"/>
  <c r="B3249" i="41"/>
  <c r="B3250" i="41"/>
  <c r="B3253" i="41"/>
  <c r="B3254" i="41"/>
  <c r="B3255" i="41"/>
  <c r="B3256" i="41"/>
  <c r="B3257" i="41"/>
  <c r="B3260" i="41"/>
  <c r="B3261" i="41"/>
  <c r="B3262" i="41"/>
  <c r="B3263" i="41"/>
  <c r="B3264" i="41"/>
  <c r="B3267" i="41"/>
  <c r="B3268" i="41"/>
  <c r="B3269" i="41"/>
  <c r="B3270" i="41"/>
  <c r="B3271" i="41"/>
  <c r="B3274" i="41"/>
  <c r="B3275" i="41"/>
  <c r="B3276" i="41"/>
  <c r="B3277" i="41"/>
  <c r="B3278" i="41"/>
  <c r="B3281" i="41"/>
  <c r="B3282" i="41"/>
  <c r="B3283" i="41"/>
  <c r="B3284" i="41"/>
  <c r="B3285" i="41"/>
  <c r="B3244" i="41"/>
  <c r="B3245" i="41"/>
  <c r="B3237" i="41"/>
  <c r="B3238" i="41"/>
  <c r="B3230" i="41"/>
  <c r="B3231" i="41"/>
  <c r="B3223" i="41"/>
  <c r="B3224" i="41"/>
  <c r="B3219" i="41"/>
  <c r="B3220" i="41"/>
  <c r="B3221" i="41"/>
  <c r="B3222" i="41"/>
  <c r="B3225" i="41"/>
  <c r="B3226" i="41"/>
  <c r="B3227" i="41"/>
  <c r="B3228" i="41"/>
  <c r="B3229" i="41"/>
  <c r="B3232" i="41"/>
  <c r="B3233" i="41"/>
  <c r="B3234" i="41"/>
  <c r="B3235" i="41"/>
  <c r="B3236" i="41"/>
  <c r="B3239" i="41"/>
  <c r="B3240" i="41"/>
  <c r="B3241" i="41"/>
  <c r="B3242" i="41"/>
  <c r="B3243" i="41"/>
  <c r="B3246" i="41"/>
  <c r="B3247" i="41"/>
  <c r="B3248" i="41"/>
  <c r="B3216" i="41"/>
  <c r="B3217" i="41"/>
  <c r="B3214" i="41"/>
  <c r="B3215" i="41"/>
  <c r="B3218" i="41"/>
  <c r="B3209" i="41"/>
  <c r="B3210" i="41"/>
  <c r="B3208" i="41"/>
  <c r="B3211" i="41"/>
  <c r="B3212" i="41"/>
  <c r="B3213" i="41"/>
  <c r="B3202" i="41"/>
  <c r="B3203" i="41"/>
  <c r="B3195" i="41"/>
  <c r="B3196" i="41"/>
  <c r="B3188" i="41"/>
  <c r="B3189" i="41"/>
  <c r="B3190" i="41"/>
  <c r="B3191" i="41"/>
  <c r="B3192" i="41"/>
  <c r="B3193" i="41"/>
  <c r="B3194" i="41"/>
  <c r="B3197" i="41"/>
  <c r="B3198" i="41"/>
  <c r="B3199" i="41"/>
  <c r="B3200" i="41"/>
  <c r="B3201" i="41"/>
  <c r="B3204" i="41"/>
  <c r="B3205" i="41"/>
  <c r="B3206" i="41"/>
  <c r="B3207" i="41"/>
  <c r="B3181" i="41"/>
  <c r="B3182" i="41"/>
  <c r="B3174" i="41"/>
  <c r="B3175" i="41"/>
  <c r="B3167" i="41"/>
  <c r="B3168" i="41"/>
  <c r="B3160" i="41"/>
  <c r="B3161" i="41"/>
  <c r="B3158" i="41"/>
  <c r="B3159" i="41"/>
  <c r="B3162" i="41"/>
  <c r="B3163" i="41"/>
  <c r="B3164" i="41"/>
  <c r="B3165" i="41"/>
  <c r="B3166" i="41"/>
  <c r="B3169" i="41"/>
  <c r="B3170" i="41"/>
  <c r="B3171" i="41"/>
  <c r="B3172" i="41"/>
  <c r="B3173" i="41"/>
  <c r="B3176" i="41"/>
  <c r="B3177" i="41"/>
  <c r="B3178" i="41"/>
  <c r="B3179" i="41"/>
  <c r="B3180" i="41"/>
  <c r="B3183" i="41"/>
  <c r="B3184" i="41"/>
  <c r="B3185" i="41"/>
  <c r="B3186" i="41"/>
  <c r="B3187" i="41"/>
  <c r="B3143" i="41"/>
  <c r="B3144" i="41"/>
  <c r="B3145" i="41"/>
  <c r="B3146" i="41"/>
  <c r="B3147" i="41"/>
  <c r="B3148" i="41"/>
  <c r="B3149" i="41"/>
  <c r="B3150" i="41"/>
  <c r="B3151" i="41"/>
  <c r="B3152" i="41"/>
  <c r="B3153" i="41"/>
  <c r="B3154" i="41"/>
  <c r="B3155" i="41"/>
  <c r="B3156" i="41"/>
  <c r="B3157" i="41"/>
  <c r="B3139" i="41"/>
  <c r="B3140" i="41"/>
  <c r="B3132" i="41"/>
  <c r="B3133" i="41"/>
  <c r="B3125" i="41"/>
  <c r="B3126" i="41"/>
  <c r="B3118" i="41"/>
  <c r="B3119" i="41"/>
  <c r="B3111" i="41"/>
  <c r="B3112" i="41"/>
  <c r="B3104" i="41"/>
  <c r="B3105" i="41"/>
  <c r="B3097" i="41"/>
  <c r="B3098" i="41"/>
  <c r="B3096" i="41"/>
  <c r="B3099" i="41"/>
  <c r="B3100" i="41"/>
  <c r="B3101" i="41"/>
  <c r="B3102" i="41"/>
  <c r="B3103" i="41"/>
  <c r="B3106" i="41"/>
  <c r="B3107" i="41"/>
  <c r="B3108" i="41"/>
  <c r="B3109" i="41"/>
  <c r="B3110" i="41"/>
  <c r="B3113" i="41"/>
  <c r="B3114" i="41"/>
  <c r="B3115" i="41"/>
  <c r="B3116" i="41"/>
  <c r="B3117" i="41"/>
  <c r="B3120" i="41"/>
  <c r="B3121" i="41"/>
  <c r="B3122" i="41"/>
  <c r="B3123" i="41"/>
  <c r="B3124" i="41"/>
  <c r="B3127" i="41"/>
  <c r="B3128" i="41"/>
  <c r="B3129" i="41"/>
  <c r="B3130" i="41"/>
  <c r="B3131" i="41"/>
  <c r="B3134" i="41"/>
  <c r="B3135" i="41"/>
  <c r="B3136" i="41"/>
  <c r="B3137" i="41"/>
  <c r="B3138" i="41"/>
  <c r="B3141" i="41"/>
  <c r="B3142" i="41"/>
  <c r="B3095" i="41"/>
  <c r="B3074" i="41"/>
  <c r="B3075" i="41"/>
  <c r="B3076" i="41"/>
  <c r="B3077" i="41"/>
  <c r="B3078" i="41"/>
  <c r="B3079" i="41"/>
  <c r="B3080" i="41"/>
  <c r="B3081" i="41"/>
  <c r="B3082" i="41"/>
  <c r="B3083" i="41"/>
  <c r="B3084" i="41"/>
  <c r="B3085" i="41"/>
  <c r="B3086" i="41"/>
  <c r="B3087" i="41"/>
  <c r="B3088" i="41"/>
  <c r="B3089" i="41"/>
  <c r="B3090" i="41"/>
  <c r="B3091" i="41"/>
  <c r="B3092" i="41"/>
  <c r="B3093" i="41"/>
  <c r="B3094" i="41"/>
  <c r="B3073" i="41"/>
  <c r="B3070" i="41"/>
  <c r="B3071" i="41"/>
  <c r="B3063" i="41"/>
  <c r="B3064" i="41"/>
  <c r="B3065" i="41"/>
  <c r="B3056" i="41"/>
  <c r="B3057" i="41"/>
  <c r="B3049" i="41"/>
  <c r="B3050" i="41"/>
  <c r="B3044" i="41"/>
  <c r="B3045" i="41"/>
  <c r="B3046" i="41"/>
  <c r="B3047" i="41"/>
  <c r="B3048" i="41"/>
  <c r="B3051" i="41"/>
  <c r="B3052" i="41"/>
  <c r="B3053" i="41"/>
  <c r="B3054" i="41"/>
  <c r="B3055" i="41"/>
  <c r="B3058" i="41"/>
  <c r="B3059" i="41"/>
  <c r="B3060" i="41"/>
  <c r="B3061" i="41"/>
  <c r="B3062" i="41"/>
  <c r="B3066" i="41"/>
  <c r="B3067" i="41"/>
  <c r="B3068" i="41"/>
  <c r="B3069" i="41"/>
  <c r="B3072" i="41"/>
  <c r="B3043" i="41"/>
  <c r="B3041" i="41"/>
  <c r="B3042" i="41"/>
  <c r="B3035" i="41"/>
  <c r="B3036" i="41"/>
  <c r="B3037" i="41"/>
  <c r="B3028" i="41"/>
  <c r="B3029" i="41"/>
  <c r="B3021" i="41"/>
  <c r="B3022" i="41"/>
  <c r="B3014" i="41"/>
  <c r="B3015" i="41"/>
  <c r="B3013" i="41"/>
  <c r="B3016" i="41"/>
  <c r="B3017" i="41"/>
  <c r="B3018" i="41"/>
  <c r="B3019" i="41"/>
  <c r="B3020" i="41"/>
  <c r="B3023" i="41"/>
  <c r="B3024" i="41"/>
  <c r="B3025" i="41"/>
  <c r="B3026" i="41"/>
  <c r="B3027" i="41"/>
  <c r="B3030" i="41"/>
  <c r="B3031" i="41"/>
  <c r="B3032" i="41"/>
  <c r="B3033" i="41"/>
  <c r="B3034" i="41"/>
  <c r="B3038" i="41"/>
  <c r="B3039" i="41"/>
  <c r="B3040" i="41"/>
  <c r="B3012" i="41"/>
  <c r="N42" i="22"/>
  <c r="N42" i="21"/>
  <c r="N42" i="20"/>
  <c r="N42" i="9"/>
  <c r="N42" i="15"/>
  <c r="N42" i="18"/>
  <c r="N42" i="19"/>
  <c r="N42" i="17"/>
  <c r="N42" i="16"/>
  <c r="N42" i="23"/>
  <c r="N106" i="3"/>
  <c r="N41" i="16"/>
  <c r="N41" i="17"/>
  <c r="N41" i="19"/>
  <c r="N41" i="18"/>
  <c r="N41" i="15"/>
  <c r="N41" i="9"/>
  <c r="N41" i="20"/>
  <c r="N41" i="21"/>
  <c r="N41" i="22"/>
  <c r="N41" i="23"/>
  <c r="N105" i="3"/>
  <c r="AQ307" i="5"/>
  <c r="AQ308" i="5"/>
  <c r="AQ309" i="5"/>
  <c r="AQ310" i="5"/>
  <c r="AQ311" i="5"/>
  <c r="AQ312" i="5"/>
  <c r="AQ313" i="5"/>
  <c r="AQ314" i="5"/>
  <c r="AQ315" i="5"/>
  <c r="AQ316" i="5"/>
  <c r="AQ306" i="5"/>
  <c r="N40" i="20"/>
  <c r="B2853" i="41"/>
  <c r="B2854" i="41"/>
  <c r="B2846" i="41"/>
  <c r="B2847" i="41"/>
  <c r="B2839" i="41"/>
  <c r="B2840" i="41"/>
  <c r="B2832" i="41"/>
  <c r="B2833" i="41"/>
  <c r="B2858" i="41"/>
  <c r="B2830" i="41"/>
  <c r="B2831" i="41"/>
  <c r="B2834" i="41"/>
  <c r="B2835" i="41"/>
  <c r="B2836" i="41"/>
  <c r="B2837" i="41"/>
  <c r="B2838" i="41"/>
  <c r="B2841" i="41"/>
  <c r="B2842" i="41"/>
  <c r="B2843" i="41"/>
  <c r="B2844" i="41"/>
  <c r="B2845" i="41"/>
  <c r="B2848" i="41"/>
  <c r="B2849" i="41"/>
  <c r="B2850" i="41"/>
  <c r="B2851" i="41"/>
  <c r="B2852" i="41"/>
  <c r="B2855" i="41"/>
  <c r="B2856" i="41"/>
  <c r="B2857" i="41"/>
  <c r="B2" i="5"/>
  <c r="B2828" i="41"/>
  <c r="B2829" i="41"/>
  <c r="B2825" i="41"/>
  <c r="B2826" i="41"/>
  <c r="B2818" i="41"/>
  <c r="B2819" i="41"/>
  <c r="B2811" i="41"/>
  <c r="B2812" i="41"/>
  <c r="B2804" i="41"/>
  <c r="B2805" i="41"/>
  <c r="B2800" i="41"/>
  <c r="B2801" i="41"/>
  <c r="B2802" i="41"/>
  <c r="B2803" i="41"/>
  <c r="B2806" i="41"/>
  <c r="B2807" i="41"/>
  <c r="B2808" i="41"/>
  <c r="B2809" i="41"/>
  <c r="B2810" i="41"/>
  <c r="B2813" i="41"/>
  <c r="B2814" i="41"/>
  <c r="B2815" i="41"/>
  <c r="B2816" i="41"/>
  <c r="B2817" i="41"/>
  <c r="B2820" i="41"/>
  <c r="B2821" i="41"/>
  <c r="B2822" i="41"/>
  <c r="B2823" i="41"/>
  <c r="B2824" i="41"/>
  <c r="B2827" i="41"/>
  <c r="B2799" i="41"/>
  <c r="B2797" i="41"/>
  <c r="B2798" i="41"/>
  <c r="B2793" i="41"/>
  <c r="B2794" i="41"/>
  <c r="B2795" i="41"/>
  <c r="B2796" i="41"/>
  <c r="B2790" i="41"/>
  <c r="B2791" i="41"/>
  <c r="B2783" i="41"/>
  <c r="B2784" i="41"/>
  <c r="B2776" i="41"/>
  <c r="B2777" i="41"/>
  <c r="B2769" i="41"/>
  <c r="B2770" i="41"/>
  <c r="B2771" i="41"/>
  <c r="B2772" i="41"/>
  <c r="B2773" i="41"/>
  <c r="B2774" i="41"/>
  <c r="B2775" i="41"/>
  <c r="B2778" i="41"/>
  <c r="B2779" i="41"/>
  <c r="B2780" i="41"/>
  <c r="B2781" i="41"/>
  <c r="B2782" i="41"/>
  <c r="B2785" i="41"/>
  <c r="B2786" i="41"/>
  <c r="B2787" i="41"/>
  <c r="B2788" i="41"/>
  <c r="B2789" i="41"/>
  <c r="B2792" i="41"/>
  <c r="B2741" i="41"/>
  <c r="B2742" i="41"/>
  <c r="B2768" i="41"/>
  <c r="B2762" i="41"/>
  <c r="B2763" i="41"/>
  <c r="B2755" i="41"/>
  <c r="B2756" i="41"/>
  <c r="B2748" i="41"/>
  <c r="B2749" i="41"/>
  <c r="B2738" i="41"/>
  <c r="B2739" i="41"/>
  <c r="B2740" i="41"/>
  <c r="B2743" i="41"/>
  <c r="B2744" i="41"/>
  <c r="B2745" i="41"/>
  <c r="B2746" i="41"/>
  <c r="B2747" i="41"/>
  <c r="B2750" i="41"/>
  <c r="B2751" i="41"/>
  <c r="B2752" i="41"/>
  <c r="B2753" i="41"/>
  <c r="B2754" i="41"/>
  <c r="B2757" i="41"/>
  <c r="B2758" i="41"/>
  <c r="B2759" i="41"/>
  <c r="B2760" i="41"/>
  <c r="B2761" i="41"/>
  <c r="B2764" i="41"/>
  <c r="B2765" i="41"/>
  <c r="B2766" i="41"/>
  <c r="B2767" i="41"/>
  <c r="B2734" i="41"/>
  <c r="B2735" i="41"/>
  <c r="B2736" i="41"/>
  <c r="B2737" i="41"/>
  <c r="B2727" i="41"/>
  <c r="B2728" i="41"/>
  <c r="B2720" i="41"/>
  <c r="B2721" i="41"/>
  <c r="B2713" i="41"/>
  <c r="B2714" i="41"/>
  <c r="B2708" i="41"/>
  <c r="B2709" i="41"/>
  <c r="B2710" i="41"/>
  <c r="B2711" i="41"/>
  <c r="B2712" i="41"/>
  <c r="B2715" i="41"/>
  <c r="B2716" i="41"/>
  <c r="B2717" i="41"/>
  <c r="B2718" i="41"/>
  <c r="B2719" i="41"/>
  <c r="B2722" i="41"/>
  <c r="B2723" i="41"/>
  <c r="B2724" i="41"/>
  <c r="B2725" i="41"/>
  <c r="B2726" i="41"/>
  <c r="B2729" i="41"/>
  <c r="B2730" i="41"/>
  <c r="B2731" i="41"/>
  <c r="B2732" i="41"/>
  <c r="B2733" i="41"/>
  <c r="B2699" i="41"/>
  <c r="B2700" i="41"/>
  <c r="B2705" i="41"/>
  <c r="B2706" i="41"/>
  <c r="B2707" i="41"/>
  <c r="B2695" i="41"/>
  <c r="B2696" i="41"/>
  <c r="B2697" i="41"/>
  <c r="B2698" i="41"/>
  <c r="B2701" i="41"/>
  <c r="B2702" i="41"/>
  <c r="B2703" i="41"/>
  <c r="B2704" i="41"/>
  <c r="B2692" i="41"/>
  <c r="B2693" i="41"/>
  <c r="B2694" i="41"/>
  <c r="B2685" i="41"/>
  <c r="B2686" i="41"/>
  <c r="B2678" i="41"/>
  <c r="B2679" i="41"/>
  <c r="B2671" i="41"/>
  <c r="B2672" i="41"/>
  <c r="B2664" i="41"/>
  <c r="B2665" i="41"/>
  <c r="B2657" i="41"/>
  <c r="B2658" i="41"/>
  <c r="B2650" i="41"/>
  <c r="B2651" i="41"/>
  <c r="B2648" i="41"/>
  <c r="B2649" i="41"/>
  <c r="B2652" i="41"/>
  <c r="B2653" i="41"/>
  <c r="B2654" i="41"/>
  <c r="B2655" i="41"/>
  <c r="B2656" i="41"/>
  <c r="B2659" i="41"/>
  <c r="B2660" i="41"/>
  <c r="B2661" i="41"/>
  <c r="B2662" i="41"/>
  <c r="B2663" i="41"/>
  <c r="B2666" i="41"/>
  <c r="B2667" i="41"/>
  <c r="B2668" i="41"/>
  <c r="B2669" i="41"/>
  <c r="B2670" i="41"/>
  <c r="B2673" i="41"/>
  <c r="B2674" i="41"/>
  <c r="B2675" i="41"/>
  <c r="B2676" i="41"/>
  <c r="B2677" i="41"/>
  <c r="B2680" i="41"/>
  <c r="B2681" i="41"/>
  <c r="B2682" i="41"/>
  <c r="B2683" i="41"/>
  <c r="B2684" i="41"/>
  <c r="B2687" i="41"/>
  <c r="B2688" i="41"/>
  <c r="B2689" i="41"/>
  <c r="B2690" i="41"/>
  <c r="B2691" i="41"/>
  <c r="B2647" i="41"/>
  <c r="B2643" i="41"/>
  <c r="B2644" i="41"/>
  <c r="B2645" i="41"/>
  <c r="B2646" i="41"/>
  <c r="B2636" i="41"/>
  <c r="B2637" i="41"/>
  <c r="B2629" i="41"/>
  <c r="B2630" i="41"/>
  <c r="B2622" i="41"/>
  <c r="B2623" i="41"/>
  <c r="B2616" i="41"/>
  <c r="B2617" i="41"/>
  <c r="B2618" i="41"/>
  <c r="B2619" i="41"/>
  <c r="B2620" i="41"/>
  <c r="B2621" i="41"/>
  <c r="B2624" i="41"/>
  <c r="B2625" i="41"/>
  <c r="B2626" i="41"/>
  <c r="B2627" i="41"/>
  <c r="B2628" i="41"/>
  <c r="B2631" i="41"/>
  <c r="B2632" i="41"/>
  <c r="B2633" i="41"/>
  <c r="B2634" i="41"/>
  <c r="B2635" i="41"/>
  <c r="B2638" i="41"/>
  <c r="B2639" i="41"/>
  <c r="B2640" i="41"/>
  <c r="B2641" i="41"/>
  <c r="B2642" i="41"/>
  <c r="B2614" i="41"/>
  <c r="B2615" i="41"/>
  <c r="B2608" i="41"/>
  <c r="B2609" i="41"/>
  <c r="B2601" i="41"/>
  <c r="B2602" i="41"/>
  <c r="B2594" i="41"/>
  <c r="B2595" i="41"/>
  <c r="B2588" i="41"/>
  <c r="B2589" i="41"/>
  <c r="B2590" i="41"/>
  <c r="B2591" i="41"/>
  <c r="B2592" i="41"/>
  <c r="B2593" i="41"/>
  <c r="B2596" i="41"/>
  <c r="B2597" i="41"/>
  <c r="B2598" i="41"/>
  <c r="B2599" i="41"/>
  <c r="B2600" i="41"/>
  <c r="B2603" i="41"/>
  <c r="B2604" i="41"/>
  <c r="B2605" i="41"/>
  <c r="B2606" i="41"/>
  <c r="B2607" i="41"/>
  <c r="B2610" i="41"/>
  <c r="B2611" i="41"/>
  <c r="B2612" i="41"/>
  <c r="B2613" i="41"/>
  <c r="B2580" i="41"/>
  <c r="B2581" i="41"/>
  <c r="B2573" i="41"/>
  <c r="B2574" i="41"/>
  <c r="B2566" i="41"/>
  <c r="B2567" i="41"/>
  <c r="B2559" i="41"/>
  <c r="B2560" i="41"/>
  <c r="B2586" i="41"/>
  <c r="B2587" i="41"/>
  <c r="B2556" i="41"/>
  <c r="B2557" i="41"/>
  <c r="B2558" i="41"/>
  <c r="B2561" i="41"/>
  <c r="B2562" i="41"/>
  <c r="B2563" i="41"/>
  <c r="B2564" i="41"/>
  <c r="B2565" i="41"/>
  <c r="B2568" i="41"/>
  <c r="B2569" i="41"/>
  <c r="B2570" i="41"/>
  <c r="B2571" i="41"/>
  <c r="B2572" i="41"/>
  <c r="B2575" i="41"/>
  <c r="B2576" i="41"/>
  <c r="B2577" i="41"/>
  <c r="B2578" i="41"/>
  <c r="B2579" i="41"/>
  <c r="B2582" i="41"/>
  <c r="B2583" i="41"/>
  <c r="B2584" i="41"/>
  <c r="B2585" i="41"/>
  <c r="N40" i="16"/>
  <c r="N40" i="17"/>
  <c r="N40" i="19"/>
  <c r="N40" i="18"/>
  <c r="N40" i="15"/>
  <c r="N40" i="9"/>
  <c r="N40" i="21"/>
  <c r="N40" i="22"/>
  <c r="N40" i="23"/>
  <c r="N104" i="3"/>
  <c r="B2552" i="41"/>
  <c r="B2553" i="41"/>
  <c r="B2545" i="41"/>
  <c r="B2546" i="41"/>
  <c r="B2544" i="41"/>
  <c r="B2547" i="41"/>
  <c r="B2548" i="41"/>
  <c r="B2549" i="41"/>
  <c r="B2550" i="41"/>
  <c r="B2551" i="41"/>
  <c r="B2554" i="41"/>
  <c r="B2555" i="41"/>
  <c r="B2531" i="41"/>
  <c r="B2532" i="41"/>
  <c r="B2538" i="41"/>
  <c r="B2539" i="41"/>
  <c r="B2526" i="41"/>
  <c r="B2527" i="41"/>
  <c r="B2528" i="41"/>
  <c r="B2529" i="41"/>
  <c r="B2530" i="41"/>
  <c r="B2533" i="41"/>
  <c r="B2534" i="41"/>
  <c r="B2535" i="41"/>
  <c r="B2536" i="41"/>
  <c r="B2537" i="41"/>
  <c r="B2540" i="41"/>
  <c r="B2541" i="41"/>
  <c r="B2542" i="41"/>
  <c r="B2543" i="41"/>
  <c r="B2523" i="41"/>
  <c r="B2524" i="41"/>
  <c r="B2525" i="41"/>
  <c r="B2517" i="41"/>
  <c r="B2518" i="41"/>
  <c r="B2510" i="41"/>
  <c r="B2511" i="41"/>
  <c r="B2508" i="41"/>
  <c r="B2509" i="41"/>
  <c r="B2512" i="41"/>
  <c r="B2513" i="41"/>
  <c r="B2514" i="41"/>
  <c r="B2515" i="41"/>
  <c r="B2516" i="41"/>
  <c r="B2519" i="41"/>
  <c r="B2520" i="41"/>
  <c r="B2521" i="41"/>
  <c r="B2522" i="41"/>
  <c r="B2503" i="41"/>
  <c r="B2504" i="41"/>
  <c r="B2496" i="41"/>
  <c r="B2497" i="41"/>
  <c r="B2498" i="41"/>
  <c r="B2499" i="41"/>
  <c r="B2500" i="41"/>
  <c r="B2501" i="41"/>
  <c r="B2502" i="41"/>
  <c r="B2505" i="41"/>
  <c r="B2506" i="41"/>
  <c r="B2507" i="41"/>
  <c r="I30" i="8"/>
  <c r="H30" i="8"/>
  <c r="B2495" i="41"/>
  <c r="B2489" i="41"/>
  <c r="B2490" i="41"/>
  <c r="B2482" i="41"/>
  <c r="B2483" i="41"/>
  <c r="B2475" i="41"/>
  <c r="B2476" i="41"/>
  <c r="B2468" i="41"/>
  <c r="B2469" i="41"/>
  <c r="B2465" i="41"/>
  <c r="B2466" i="41"/>
  <c r="B2467" i="41"/>
  <c r="B2470" i="41"/>
  <c r="B2471" i="41"/>
  <c r="B2472" i="41"/>
  <c r="B2473" i="41"/>
  <c r="B2474" i="41"/>
  <c r="B2477" i="41"/>
  <c r="B2478" i="41"/>
  <c r="B2479" i="41"/>
  <c r="B2480" i="41"/>
  <c r="B2481" i="41"/>
  <c r="B2484" i="41"/>
  <c r="B2485" i="41"/>
  <c r="B2486" i="41"/>
  <c r="B2487" i="41"/>
  <c r="B2488" i="41"/>
  <c r="B2491" i="41"/>
  <c r="B2492" i="41"/>
  <c r="B2493" i="41"/>
  <c r="B2494" i="41"/>
  <c r="B2461" i="41"/>
  <c r="B2462" i="41"/>
  <c r="B2454" i="41"/>
  <c r="B2455" i="41"/>
  <c r="B2447" i="41"/>
  <c r="B2448" i="41"/>
  <c r="B2440" i="41"/>
  <c r="B2441" i="41"/>
  <c r="B2435" i="41"/>
  <c r="B2436" i="41"/>
  <c r="B2437" i="41"/>
  <c r="B2438" i="41"/>
  <c r="B2439" i="41"/>
  <c r="B2442" i="41"/>
  <c r="B2443" i="41"/>
  <c r="B2444" i="41"/>
  <c r="B2445" i="41"/>
  <c r="B2446" i="41"/>
  <c r="B2449" i="41"/>
  <c r="B2450" i="41"/>
  <c r="B2451" i="41"/>
  <c r="B2452" i="41"/>
  <c r="B2453" i="41"/>
  <c r="B2456" i="41"/>
  <c r="B2457" i="41"/>
  <c r="B2458" i="41"/>
  <c r="B2459" i="41"/>
  <c r="B2460" i="41"/>
  <c r="B2463" i="41"/>
  <c r="B2464" i="41"/>
  <c r="B2432" i="41"/>
  <c r="B2433" i="41"/>
  <c r="B2434" i="41"/>
  <c r="B2426" i="41"/>
  <c r="B2427" i="41"/>
  <c r="B2419" i="41"/>
  <c r="B2420" i="41"/>
  <c r="B2412" i="41"/>
  <c r="B2413" i="41"/>
  <c r="B2407" i="41"/>
  <c r="B2408" i="41"/>
  <c r="B2409" i="41"/>
  <c r="B2410" i="41"/>
  <c r="B2411" i="41"/>
  <c r="B2414" i="41"/>
  <c r="B2415" i="41"/>
  <c r="B2416" i="41"/>
  <c r="B2417" i="41"/>
  <c r="B2418" i="41"/>
  <c r="B2421" i="41"/>
  <c r="B2422" i="41"/>
  <c r="B2423" i="41"/>
  <c r="B2424" i="41"/>
  <c r="B2425" i="41"/>
  <c r="B2428" i="41"/>
  <c r="B2429" i="41"/>
  <c r="B2430" i="41"/>
  <c r="B2431" i="41"/>
  <c r="B2405" i="41"/>
  <c r="B2406" i="41"/>
  <c r="B2404" i="41"/>
  <c r="B2384" i="41"/>
  <c r="B2385" i="41"/>
  <c r="B2377" i="41"/>
  <c r="B2378" i="41"/>
  <c r="B2398" i="41"/>
  <c r="B2399" i="41"/>
  <c r="B2391" i="41"/>
  <c r="B2392" i="41"/>
  <c r="B2375" i="41"/>
  <c r="B2376" i="41"/>
  <c r="B2379" i="41"/>
  <c r="B2380" i="41"/>
  <c r="B2381" i="41"/>
  <c r="B2382" i="41"/>
  <c r="B2383" i="41"/>
  <c r="B2386" i="41"/>
  <c r="B2387" i="41"/>
  <c r="B2388" i="41"/>
  <c r="B2389" i="41"/>
  <c r="B2390" i="41"/>
  <c r="B2393" i="41"/>
  <c r="B2394" i="41"/>
  <c r="B2395" i="41"/>
  <c r="B2396" i="41"/>
  <c r="B2397" i="41"/>
  <c r="B2400" i="41"/>
  <c r="B2401" i="41"/>
  <c r="B2402" i="41"/>
  <c r="B2403" i="41"/>
  <c r="B2373" i="41"/>
  <c r="B2374" i="41"/>
  <c r="B2363" i="41"/>
  <c r="B2364" i="41"/>
  <c r="B2370" i="41"/>
  <c r="B2371" i="41"/>
  <c r="B2372" i="41"/>
  <c r="B2361" i="41"/>
  <c r="B2362" i="41"/>
  <c r="B2365" i="41"/>
  <c r="B2366" i="41"/>
  <c r="B2367" i="41"/>
  <c r="B2368" i="41"/>
  <c r="B2369" i="41"/>
  <c r="B790" i="41"/>
  <c r="B791" i="41"/>
  <c r="B811" i="41"/>
  <c r="B812" i="41"/>
  <c r="B2356" i="41"/>
  <c r="B2357" i="41"/>
  <c r="B2349" i="41"/>
  <c r="B2350" i="41"/>
  <c r="B2344" i="41"/>
  <c r="B2345" i="41"/>
  <c r="B2346" i="41"/>
  <c r="B2347" i="41"/>
  <c r="B2348" i="41"/>
  <c r="B2351" i="41"/>
  <c r="B2352" i="41"/>
  <c r="B2353" i="41"/>
  <c r="B2354" i="41"/>
  <c r="B2355" i="41"/>
  <c r="B2358" i="41"/>
  <c r="B2359" i="41"/>
  <c r="B2360" i="41"/>
  <c r="B2343" i="41"/>
  <c r="B2341" i="41"/>
  <c r="B2342" i="41"/>
  <c r="B2335" i="41"/>
  <c r="B2336" i="41"/>
  <c r="B2328" i="41"/>
  <c r="B2329" i="41"/>
  <c r="B2324" i="41"/>
  <c r="B2325" i="41"/>
  <c r="B2326" i="41"/>
  <c r="B2327" i="41"/>
  <c r="B2330" i="41"/>
  <c r="B2331" i="41"/>
  <c r="B2332" i="41"/>
  <c r="B2333" i="41"/>
  <c r="B2334" i="41"/>
  <c r="B2337" i="41"/>
  <c r="B2338" i="41"/>
  <c r="B2339" i="41"/>
  <c r="B2340" i="41"/>
  <c r="B2321" i="41"/>
  <c r="B2322" i="41"/>
  <c r="B2314" i="41"/>
  <c r="B2315" i="41"/>
  <c r="B2312" i="41"/>
  <c r="B2313" i="41"/>
  <c r="B2316" i="41"/>
  <c r="B2317" i="41"/>
  <c r="B2318" i="41"/>
  <c r="B2319" i="41"/>
  <c r="B2320" i="41"/>
  <c r="B2323" i="41"/>
  <c r="B2309" i="41"/>
  <c r="B2310" i="41"/>
  <c r="B2311" i="41"/>
  <c r="B2307" i="41"/>
  <c r="B2308" i="41"/>
  <c r="B2303" i="41"/>
  <c r="B2304" i="41"/>
  <c r="B2305" i="41"/>
  <c r="B2306" i="41"/>
  <c r="B2300" i="41"/>
  <c r="B2301" i="41"/>
  <c r="B2296" i="41"/>
  <c r="B2297" i="41"/>
  <c r="B2298" i="41"/>
  <c r="B2299" i="41"/>
  <c r="B2302" i="41"/>
  <c r="B2293" i="41"/>
  <c r="B2294" i="41"/>
  <c r="B2286" i="41"/>
  <c r="B2287" i="41"/>
  <c r="B2282" i="41"/>
  <c r="B2283" i="41"/>
  <c r="B2284" i="41"/>
  <c r="B2285" i="41"/>
  <c r="B2288" i="41"/>
  <c r="B2289" i="41"/>
  <c r="B2290" i="41"/>
  <c r="B2291" i="41"/>
  <c r="B2292" i="41"/>
  <c r="B2295" i="41"/>
  <c r="B2277" i="41"/>
  <c r="B2278" i="41"/>
  <c r="B2279" i="41"/>
  <c r="B2280" i="41"/>
  <c r="B2281" i="41"/>
  <c r="B2272" i="41"/>
  <c r="B2273" i="41"/>
  <c r="B2265" i="41"/>
  <c r="B2266" i="41"/>
  <c r="B2262" i="41"/>
  <c r="B2263" i="41"/>
  <c r="B2264" i="41"/>
  <c r="B2267" i="41"/>
  <c r="B2268" i="41"/>
  <c r="B2269" i="41"/>
  <c r="B2270" i="41"/>
  <c r="B2271" i="41"/>
  <c r="B2274" i="41"/>
  <c r="B2275" i="41"/>
  <c r="B2276" i="41"/>
  <c r="B2258" i="41"/>
  <c r="B2259" i="41"/>
  <c r="B2251" i="41"/>
  <c r="B2252" i="41"/>
  <c r="B2250" i="41"/>
  <c r="B2253" i="41"/>
  <c r="B2254" i="41"/>
  <c r="B2255" i="41"/>
  <c r="B2256" i="41"/>
  <c r="B2257" i="41"/>
  <c r="B2260" i="41"/>
  <c r="B2261" i="41"/>
  <c r="B2243" i="41"/>
  <c r="B2244" i="41"/>
  <c r="B2245" i="41"/>
  <c r="B2246" i="41"/>
  <c r="B2247" i="41"/>
  <c r="B2248" i="41"/>
  <c r="B2249" i="41"/>
  <c r="B2236" i="41"/>
  <c r="B2237" i="41"/>
  <c r="B2238" i="41"/>
  <c r="B2239" i="41"/>
  <c r="B2240" i="41"/>
  <c r="B2241" i="41"/>
  <c r="B2242" i="41"/>
  <c r="B2233" i="41"/>
  <c r="B2234" i="41"/>
  <c r="B2235" i="41"/>
  <c r="B2231" i="41"/>
  <c r="B2232" i="41"/>
  <c r="B2227" i="41"/>
  <c r="B2228" i="41"/>
  <c r="B2229" i="41"/>
  <c r="B2230" i="41"/>
  <c r="B2224" i="41"/>
  <c r="B2225" i="41"/>
  <c r="B2226" i="41"/>
  <c r="B2223" i="41"/>
  <c r="B2217" i="41"/>
  <c r="B2218" i="41"/>
  <c r="B2216" i="41"/>
  <c r="B2219" i="41"/>
  <c r="B2220" i="41"/>
  <c r="B2221" i="41"/>
  <c r="B2222" i="41"/>
  <c r="B2210" i="41"/>
  <c r="B2211" i="41"/>
  <c r="B2203" i="41"/>
  <c r="B2204" i="41"/>
  <c r="B2196" i="41"/>
  <c r="B2197" i="41"/>
  <c r="B2194" i="41"/>
  <c r="B2195" i="41"/>
  <c r="B2198" i="41"/>
  <c r="B2199" i="41"/>
  <c r="B2200" i="41"/>
  <c r="B2201" i="41"/>
  <c r="B2202" i="41"/>
  <c r="B2205" i="41"/>
  <c r="B2206" i="41"/>
  <c r="B2207" i="41"/>
  <c r="B2208" i="41"/>
  <c r="B2209" i="41"/>
  <c r="B2212" i="41"/>
  <c r="B2213" i="41"/>
  <c r="B2214" i="41"/>
  <c r="B2215" i="41"/>
  <c r="B2193" i="41"/>
  <c r="N39" i="16"/>
  <c r="N39" i="17"/>
  <c r="N39" i="19"/>
  <c r="N39" i="18"/>
  <c r="N39" i="15"/>
  <c r="N39" i="9"/>
  <c r="N39" i="20"/>
  <c r="N39" i="21"/>
  <c r="N39" i="22"/>
  <c r="N39" i="23"/>
  <c r="B2192" i="41"/>
  <c r="B2189" i="41"/>
  <c r="B2190" i="41"/>
  <c r="B2182" i="41"/>
  <c r="B2183" i="41"/>
  <c r="B2175" i="41"/>
  <c r="B2176" i="41"/>
  <c r="B2177" i="41"/>
  <c r="B2178" i="41"/>
  <c r="B2179" i="41"/>
  <c r="B2180" i="41"/>
  <c r="B2181" i="41"/>
  <c r="B2184" i="41"/>
  <c r="B2185" i="41"/>
  <c r="B2186" i="41"/>
  <c r="B2187" i="41"/>
  <c r="B2188" i="41"/>
  <c r="B2191" i="41"/>
  <c r="B2163" i="41"/>
  <c r="B2164" i="41"/>
  <c r="B2165" i="41"/>
  <c r="B2166" i="41"/>
  <c r="B2167" i="41"/>
  <c r="B2168" i="41"/>
  <c r="B2169" i="41"/>
  <c r="B2170" i="41"/>
  <c r="B2171" i="41"/>
  <c r="B2172" i="41"/>
  <c r="B2173" i="41"/>
  <c r="B2174" i="41"/>
  <c r="I29" i="8"/>
  <c r="H29" i="8"/>
  <c r="B2161" i="41"/>
  <c r="B2162" i="41"/>
  <c r="B2154" i="41"/>
  <c r="B2155" i="41"/>
  <c r="B2147" i="41"/>
  <c r="B2148" i="41"/>
  <c r="B2145" i="41"/>
  <c r="B2146" i="41"/>
  <c r="B2149" i="41"/>
  <c r="B2150" i="41"/>
  <c r="B2151" i="41"/>
  <c r="B2152" i="41"/>
  <c r="B2153" i="41"/>
  <c r="B2156" i="41"/>
  <c r="B2157" i="41"/>
  <c r="B2158" i="41"/>
  <c r="B2159" i="41"/>
  <c r="B2160" i="41"/>
  <c r="B2140" i="41"/>
  <c r="B2141" i="41"/>
  <c r="B2133" i="41"/>
  <c r="B2134" i="41"/>
  <c r="B2132" i="41"/>
  <c r="B2135" i="41"/>
  <c r="B2136" i="41"/>
  <c r="B2137" i="41"/>
  <c r="B2138" i="41"/>
  <c r="B2139" i="41"/>
  <c r="B2142" i="41"/>
  <c r="B2143" i="41"/>
  <c r="B2144" i="41"/>
  <c r="B2126" i="41"/>
  <c r="B2127" i="41"/>
  <c r="B2128" i="41"/>
  <c r="B2129" i="41"/>
  <c r="B2130" i="41"/>
  <c r="B2131" i="41"/>
  <c r="B2119" i="41"/>
  <c r="B2120" i="41"/>
  <c r="B2112" i="41"/>
  <c r="B2113" i="41"/>
  <c r="B2114" i="41"/>
  <c r="B2115" i="41"/>
  <c r="B2116" i="41"/>
  <c r="B2117" i="41"/>
  <c r="B2118" i="41"/>
  <c r="B2121" i="41"/>
  <c r="B2122" i="41"/>
  <c r="B2123" i="41"/>
  <c r="B2124" i="41"/>
  <c r="B2125" i="41"/>
  <c r="B2105" i="41"/>
  <c r="B2106" i="41"/>
  <c r="B2103" i="41"/>
  <c r="B2104" i="41"/>
  <c r="B2107" i="41"/>
  <c r="B2108" i="41"/>
  <c r="B2109" i="41"/>
  <c r="B2110" i="41"/>
  <c r="B2111" i="41"/>
  <c r="B2098" i="41"/>
  <c r="B2099" i="41"/>
  <c r="B2095" i="41"/>
  <c r="B2096" i="41"/>
  <c r="B2097" i="41"/>
  <c r="B2100" i="41"/>
  <c r="B2101" i="41"/>
  <c r="B2102" i="41"/>
  <c r="B2091" i="41"/>
  <c r="B2092" i="41"/>
  <c r="B2089" i="41"/>
  <c r="B2090" i="41"/>
  <c r="B2093" i="41"/>
  <c r="B2094" i="41"/>
  <c r="B2084" i="41"/>
  <c r="B2085" i="41"/>
  <c r="B2077" i="41"/>
  <c r="B2078" i="41"/>
  <c r="B2070" i="41"/>
  <c r="B2071" i="41"/>
  <c r="B2072" i="41"/>
  <c r="B2073" i="41"/>
  <c r="B2074" i="41"/>
  <c r="B2075" i="41"/>
  <c r="B2076" i="41"/>
  <c r="B2079" i="41"/>
  <c r="B2080" i="41"/>
  <c r="B2081" i="41"/>
  <c r="B2082" i="41"/>
  <c r="B2083" i="41"/>
  <c r="B2086" i="41"/>
  <c r="B2087" i="41"/>
  <c r="B2088" i="41"/>
  <c r="B2069" i="41"/>
  <c r="B2068" i="41"/>
  <c r="B2053" i="41"/>
  <c r="B2054" i="41"/>
  <c r="B2055" i="41"/>
  <c r="B2056" i="41"/>
  <c r="B2057" i="41"/>
  <c r="B2058" i="41"/>
  <c r="B2059" i="41"/>
  <c r="B2060" i="41"/>
  <c r="B2061" i="41"/>
  <c r="B2062" i="41"/>
  <c r="B2063" i="41"/>
  <c r="B2064" i="41"/>
  <c r="B2065" i="41"/>
  <c r="B2066" i="41"/>
  <c r="B2067" i="41"/>
  <c r="B2047" i="41"/>
  <c r="B2048" i="41"/>
  <c r="B2049" i="41"/>
  <c r="B2050" i="41"/>
  <c r="B2051" i="41"/>
  <c r="B2052" i="41"/>
  <c r="B2046" i="41"/>
  <c r="B2045" i="41"/>
  <c r="B2041" i="41"/>
  <c r="B2042" i="41"/>
  <c r="B2034" i="41"/>
  <c r="B2035" i="41"/>
  <c r="B2027" i="41"/>
  <c r="B2028" i="41"/>
  <c r="B2020" i="41"/>
  <c r="B2021" i="41"/>
  <c r="B2015" i="41"/>
  <c r="B2016" i="41"/>
  <c r="B2017" i="41"/>
  <c r="B2018" i="41"/>
  <c r="B2019" i="41"/>
  <c r="B2022" i="41"/>
  <c r="B2023" i="41"/>
  <c r="B2024" i="41"/>
  <c r="B2025" i="41"/>
  <c r="B2026" i="41"/>
  <c r="B2029" i="41"/>
  <c r="B2030" i="41"/>
  <c r="B2031" i="41"/>
  <c r="B2032" i="41"/>
  <c r="B2033" i="41"/>
  <c r="B2036" i="41"/>
  <c r="B2037" i="41"/>
  <c r="B2038" i="41"/>
  <c r="B2039" i="41"/>
  <c r="B2040" i="41"/>
  <c r="B2043" i="41"/>
  <c r="B2044" i="41"/>
  <c r="B2012" i="41"/>
  <c r="B2013" i="41"/>
  <c r="B2014" i="41"/>
  <c r="B2006" i="41"/>
  <c r="B2007" i="41"/>
  <c r="B2003" i="41"/>
  <c r="B2004" i="41"/>
  <c r="B2005" i="41"/>
  <c r="B2008" i="41"/>
  <c r="B2009" i="41"/>
  <c r="B2010" i="41"/>
  <c r="B2011" i="41"/>
  <c r="B1999" i="41"/>
  <c r="B2000" i="41"/>
  <c r="B1995" i="41"/>
  <c r="B1996" i="41"/>
  <c r="B1997" i="41"/>
  <c r="B1998" i="41"/>
  <c r="B2001" i="41"/>
  <c r="B2002" i="41"/>
  <c r="B1992" i="41"/>
  <c r="B1993" i="41"/>
  <c r="B1985" i="41"/>
  <c r="B1986" i="41"/>
  <c r="B1987" i="41"/>
  <c r="B1988" i="41"/>
  <c r="B1989" i="41"/>
  <c r="B1990" i="41"/>
  <c r="B1991" i="41"/>
  <c r="B1994" i="41"/>
  <c r="B1984" i="41"/>
  <c r="B1978" i="41"/>
  <c r="B1979" i="41"/>
  <c r="B1971" i="41"/>
  <c r="B1972" i="41"/>
  <c r="B1964" i="41"/>
  <c r="B1965" i="41"/>
  <c r="B1957" i="41"/>
  <c r="B1958" i="41"/>
  <c r="B1954" i="41"/>
  <c r="B1955" i="41"/>
  <c r="B1956" i="41"/>
  <c r="B1959" i="41"/>
  <c r="B1960" i="41"/>
  <c r="B1961" i="41"/>
  <c r="B1962" i="41"/>
  <c r="B1963" i="41"/>
  <c r="B1966" i="41"/>
  <c r="B1967" i="41"/>
  <c r="B1968" i="41"/>
  <c r="B1969" i="41"/>
  <c r="B1970" i="41"/>
  <c r="B1973" i="41"/>
  <c r="B1974" i="41"/>
  <c r="B1975" i="41"/>
  <c r="B1976" i="41"/>
  <c r="B1977" i="41"/>
  <c r="B1980" i="41"/>
  <c r="B1981" i="41"/>
  <c r="B1982" i="41"/>
  <c r="B1983" i="41"/>
  <c r="B1950" i="41"/>
  <c r="B1951" i="41"/>
  <c r="B1952" i="41"/>
  <c r="B1953" i="41"/>
  <c r="B1943" i="41"/>
  <c r="B1944" i="41"/>
  <c r="B1936" i="41"/>
  <c r="B1937" i="41"/>
  <c r="B1929" i="41"/>
  <c r="B1930" i="41"/>
  <c r="B1924" i="41"/>
  <c r="B1925" i="41"/>
  <c r="B1926" i="41"/>
  <c r="B1927" i="41"/>
  <c r="B1928" i="41"/>
  <c r="B1931" i="41"/>
  <c r="B1932" i="41"/>
  <c r="B1933" i="41"/>
  <c r="B1934" i="41"/>
  <c r="B1935" i="41"/>
  <c r="B1938" i="41"/>
  <c r="B1939" i="41"/>
  <c r="B1940" i="41"/>
  <c r="B1941" i="41"/>
  <c r="B1942" i="41"/>
  <c r="B1945" i="41"/>
  <c r="B1946" i="41"/>
  <c r="B1947" i="41"/>
  <c r="B1948" i="41"/>
  <c r="B1949" i="41"/>
  <c r="B1919" i="41"/>
  <c r="B1920" i="41"/>
  <c r="B1921" i="41"/>
  <c r="B1922" i="41"/>
  <c r="B1923" i="41"/>
  <c r="B1915" i="41"/>
  <c r="B1916" i="41"/>
  <c r="B1908" i="41"/>
  <c r="B1909" i="41"/>
  <c r="B1901" i="41"/>
  <c r="B1902" i="41"/>
  <c r="B1894" i="41"/>
  <c r="B1895" i="41"/>
  <c r="B1893" i="41"/>
  <c r="B1896" i="41"/>
  <c r="B1897" i="41"/>
  <c r="B1898" i="41"/>
  <c r="B1899" i="41"/>
  <c r="B1900" i="41"/>
  <c r="B1903" i="41"/>
  <c r="B1904" i="41"/>
  <c r="B1905" i="41"/>
  <c r="B1906" i="41"/>
  <c r="B1907" i="41"/>
  <c r="B1910" i="41"/>
  <c r="B1911" i="41"/>
  <c r="B1912" i="41"/>
  <c r="B1913" i="41"/>
  <c r="B1914" i="41"/>
  <c r="B1917" i="41"/>
  <c r="B1918" i="41"/>
  <c r="B1887" i="41"/>
  <c r="B1888" i="41"/>
  <c r="B1880" i="41"/>
  <c r="B1881" i="41"/>
  <c r="B1873" i="41"/>
  <c r="B1874" i="41"/>
  <c r="B1866" i="41"/>
  <c r="B1867" i="41"/>
  <c r="B1865" i="41"/>
  <c r="B1868" i="41"/>
  <c r="B1869" i="41"/>
  <c r="B1870" i="41"/>
  <c r="B1871" i="41"/>
  <c r="B1872" i="41"/>
  <c r="B1875" i="41"/>
  <c r="B1876" i="41"/>
  <c r="B1877" i="41"/>
  <c r="B1878" i="41"/>
  <c r="B1879" i="41"/>
  <c r="B1882" i="41"/>
  <c r="B1883" i="41"/>
  <c r="B1884" i="41"/>
  <c r="B1885" i="41"/>
  <c r="B1886" i="41"/>
  <c r="B1889" i="41"/>
  <c r="B1890" i="41"/>
  <c r="B1891" i="41"/>
  <c r="B1892" i="41"/>
  <c r="N103" i="3"/>
  <c r="E52" i="7"/>
  <c r="B1864" i="41"/>
  <c r="B1859" i="41"/>
  <c r="B1860" i="41"/>
  <c r="B1852" i="41"/>
  <c r="B1853" i="41"/>
  <c r="B1845" i="41"/>
  <c r="B1846" i="41"/>
  <c r="B1838" i="41"/>
  <c r="B1839" i="41"/>
  <c r="B1834" i="41"/>
  <c r="B1835" i="41"/>
  <c r="B1836" i="41"/>
  <c r="B1837" i="41"/>
  <c r="B1840" i="41"/>
  <c r="B1841" i="41"/>
  <c r="B1842" i="41"/>
  <c r="B1843" i="41"/>
  <c r="B1844" i="41"/>
  <c r="B1847" i="41"/>
  <c r="B1848" i="41"/>
  <c r="B1849" i="41"/>
  <c r="B1850" i="41"/>
  <c r="B1851" i="41"/>
  <c r="B1854" i="41"/>
  <c r="B1855" i="41"/>
  <c r="B1856" i="41"/>
  <c r="B1857" i="41"/>
  <c r="B1858" i="41"/>
  <c r="B1861" i="41"/>
  <c r="B1862" i="41"/>
  <c r="B1863" i="41"/>
  <c r="B1824" i="41"/>
  <c r="B1825" i="41"/>
  <c r="B1817" i="41"/>
  <c r="B1818" i="41"/>
  <c r="B1810" i="41"/>
  <c r="B1811" i="41"/>
  <c r="B1803" i="41"/>
  <c r="B1804" i="41"/>
  <c r="B1831" i="41"/>
  <c r="B1832" i="41"/>
  <c r="B1833" i="41"/>
  <c r="B1805" i="41"/>
  <c r="B1806" i="41"/>
  <c r="B1807" i="41"/>
  <c r="B1808" i="41"/>
  <c r="B1809" i="41"/>
  <c r="B1812" i="41"/>
  <c r="B1813" i="41"/>
  <c r="B1814" i="41"/>
  <c r="B1815" i="41"/>
  <c r="B1816" i="41"/>
  <c r="B1819" i="41"/>
  <c r="B1820" i="41"/>
  <c r="B1821" i="41"/>
  <c r="B1822" i="41"/>
  <c r="B1823" i="41"/>
  <c r="B1826" i="41"/>
  <c r="B1827" i="41"/>
  <c r="B1828" i="41"/>
  <c r="B1829" i="41"/>
  <c r="B1830" i="41"/>
  <c r="B1796" i="41"/>
  <c r="B1797" i="41"/>
  <c r="B1798" i="41"/>
  <c r="B1799" i="41"/>
  <c r="B1800" i="41"/>
  <c r="B1801" i="41"/>
  <c r="B1802" i="41"/>
  <c r="B1789" i="41"/>
  <c r="B1790" i="41"/>
  <c r="B1782" i="41"/>
  <c r="B1783" i="41"/>
  <c r="B1775" i="41"/>
  <c r="B1776" i="41"/>
  <c r="B1773" i="41"/>
  <c r="B1774" i="41"/>
  <c r="B1777" i="41"/>
  <c r="B1778" i="41"/>
  <c r="B1779" i="41"/>
  <c r="B1780" i="41"/>
  <c r="B1781" i="41"/>
  <c r="B1784" i="41"/>
  <c r="B1785" i="41"/>
  <c r="B1786" i="41"/>
  <c r="B1787" i="41"/>
  <c r="B1788" i="41"/>
  <c r="B1791" i="41"/>
  <c r="B1792" i="41"/>
  <c r="B1793" i="41"/>
  <c r="B1794" i="41"/>
  <c r="B1795" i="41"/>
  <c r="I28" i="8"/>
  <c r="H28" i="8"/>
  <c r="B1768" i="41"/>
  <c r="B1769" i="41"/>
  <c r="B1761" i="41"/>
  <c r="B1762" i="41"/>
  <c r="B1754" i="41"/>
  <c r="B1755" i="41"/>
  <c r="B1747" i="41"/>
  <c r="B1748" i="41"/>
  <c r="B1742" i="41"/>
  <c r="B1743" i="41"/>
  <c r="B1744" i="41"/>
  <c r="B1745" i="41"/>
  <c r="B1746" i="41"/>
  <c r="B1749" i="41"/>
  <c r="B1750" i="41"/>
  <c r="B1751" i="41"/>
  <c r="B1752" i="41"/>
  <c r="B1753" i="41"/>
  <c r="B1756" i="41"/>
  <c r="B1757" i="41"/>
  <c r="B1758" i="41"/>
  <c r="B1759" i="41"/>
  <c r="B1760" i="41"/>
  <c r="B1763" i="41"/>
  <c r="B1764" i="41"/>
  <c r="B1765" i="41"/>
  <c r="B1766" i="41"/>
  <c r="B1767" i="41"/>
  <c r="B1770" i="41"/>
  <c r="B1771" i="41"/>
  <c r="B1772" i="41"/>
  <c r="B1739" i="41"/>
  <c r="B1740" i="41"/>
  <c r="B1741" i="41"/>
  <c r="B1733" i="41"/>
  <c r="B1734" i="41"/>
  <c r="B1735" i="41"/>
  <c r="B1736" i="41"/>
  <c r="B1737" i="41"/>
  <c r="B1738" i="41"/>
  <c r="B1730" i="41"/>
  <c r="B1731" i="41"/>
  <c r="B1732" i="41"/>
  <c r="B1726" i="41"/>
  <c r="B1727" i="41"/>
  <c r="B1719" i="41"/>
  <c r="B1720" i="41"/>
  <c r="B1718" i="41"/>
  <c r="B1721" i="41"/>
  <c r="B1722" i="41"/>
  <c r="B1723" i="41"/>
  <c r="B1724" i="41"/>
  <c r="B1725" i="41"/>
  <c r="B1728" i="41"/>
  <c r="B1729" i="41"/>
  <c r="B1712" i="41"/>
  <c r="B1713" i="41"/>
  <c r="B1705" i="41"/>
  <c r="B1706" i="41"/>
  <c r="B1698" i="41"/>
  <c r="B1699" i="41"/>
  <c r="B1691" i="41"/>
  <c r="B1692" i="41"/>
  <c r="B1684" i="41"/>
  <c r="B1685" i="41"/>
  <c r="B1681" i="41"/>
  <c r="B1682" i="41"/>
  <c r="B1683" i="41"/>
  <c r="B1686" i="41"/>
  <c r="B1687" i="41"/>
  <c r="B1688" i="41"/>
  <c r="B1689" i="41"/>
  <c r="B1690" i="41"/>
  <c r="B1693" i="41"/>
  <c r="B1694" i="41"/>
  <c r="B1695" i="41"/>
  <c r="B1696" i="41"/>
  <c r="B1697" i="41"/>
  <c r="B1700" i="41"/>
  <c r="B1701" i="41"/>
  <c r="B1702" i="41"/>
  <c r="B1703" i="41"/>
  <c r="B1704" i="41"/>
  <c r="B1707" i="41"/>
  <c r="B1708" i="41"/>
  <c r="B1709" i="41"/>
  <c r="B1710" i="41"/>
  <c r="B1711" i="41"/>
  <c r="B1714" i="41"/>
  <c r="B1715" i="41"/>
  <c r="B1716" i="41"/>
  <c r="B1717" i="41"/>
  <c r="B1677" i="41"/>
  <c r="B1678" i="41"/>
  <c r="B1670" i="41"/>
  <c r="B1671" i="41"/>
  <c r="B1663" i="41"/>
  <c r="B1664" i="41"/>
  <c r="B1656" i="41"/>
  <c r="B1657" i="41"/>
  <c r="B1650" i="41"/>
  <c r="B1651" i="41"/>
  <c r="B1652" i="41"/>
  <c r="B1653" i="41"/>
  <c r="B1654" i="41"/>
  <c r="B1655" i="41"/>
  <c r="B1658" i="41"/>
  <c r="B1659" i="41"/>
  <c r="B1660" i="41"/>
  <c r="B1661" i="41"/>
  <c r="B1662" i="41"/>
  <c r="B1665" i="41"/>
  <c r="B1666" i="41"/>
  <c r="B1667" i="41"/>
  <c r="B1668" i="41"/>
  <c r="B1669" i="41"/>
  <c r="B1672" i="41"/>
  <c r="B1673" i="41"/>
  <c r="B1674" i="41"/>
  <c r="B1675" i="41"/>
  <c r="B1676" i="41"/>
  <c r="B1679" i="41"/>
  <c r="B1680" i="41"/>
  <c r="B1648" i="41"/>
  <c r="B1649" i="41"/>
  <c r="B1642" i="41"/>
  <c r="B1643" i="41"/>
  <c r="B1635" i="41"/>
  <c r="B1636" i="41"/>
  <c r="B1628" i="41"/>
  <c r="B1629" i="41"/>
  <c r="B1621" i="41"/>
  <c r="B1622" i="41"/>
  <c r="B1620" i="41"/>
  <c r="B1623" i="41"/>
  <c r="B1624" i="41"/>
  <c r="B1625" i="41"/>
  <c r="B1626" i="41"/>
  <c r="B1627" i="41"/>
  <c r="B1630" i="41"/>
  <c r="B1631" i="41"/>
  <c r="B1632" i="41"/>
  <c r="B1633" i="41"/>
  <c r="B1634" i="41"/>
  <c r="B1637" i="41"/>
  <c r="B1638" i="41"/>
  <c r="B1639" i="41"/>
  <c r="B1640" i="41"/>
  <c r="B1641" i="41"/>
  <c r="B1644" i="41"/>
  <c r="B1645" i="41"/>
  <c r="B1646" i="41"/>
  <c r="B1647" i="41"/>
  <c r="B1617" i="41"/>
  <c r="B1618" i="41"/>
  <c r="B1619" i="41"/>
  <c r="B1614" i="41"/>
  <c r="B1615" i="41"/>
  <c r="B1611" i="41"/>
  <c r="B1612" i="41"/>
  <c r="B1613" i="41"/>
  <c r="B1616" i="41"/>
  <c r="B1607" i="41"/>
  <c r="B1608" i="41"/>
  <c r="B1600" i="41"/>
  <c r="B1601" i="41"/>
  <c r="B1595" i="41"/>
  <c r="B1596" i="41"/>
  <c r="B1597" i="41"/>
  <c r="B1598" i="41"/>
  <c r="B1599" i="41"/>
  <c r="B1602" i="41"/>
  <c r="B1603" i="41"/>
  <c r="B1604" i="41"/>
  <c r="B1605" i="41"/>
  <c r="B1606" i="41"/>
  <c r="B1609" i="41"/>
  <c r="B1610" i="41"/>
  <c r="B1593" i="41"/>
  <c r="B1594" i="41"/>
  <c r="B1586" i="41"/>
  <c r="B1587" i="41"/>
  <c r="B1588" i="41"/>
  <c r="B1589" i="41"/>
  <c r="B1590" i="41"/>
  <c r="B1591" i="41"/>
  <c r="B1592" i="41"/>
  <c r="B1579" i="41"/>
  <c r="B1580" i="41"/>
  <c r="B1572" i="41"/>
  <c r="B1573" i="41"/>
  <c r="B1569" i="41"/>
  <c r="B1570" i="41"/>
  <c r="B1571" i="41"/>
  <c r="B1574" i="41"/>
  <c r="B1575" i="41"/>
  <c r="B1576" i="41"/>
  <c r="B1577" i="41"/>
  <c r="B1578" i="41"/>
  <c r="B1581" i="41"/>
  <c r="B1582" i="41"/>
  <c r="B1583" i="41"/>
  <c r="B1584" i="41"/>
  <c r="B1585" i="41"/>
  <c r="B1565" i="41"/>
  <c r="B1566" i="41"/>
  <c r="B1563" i="41"/>
  <c r="B1564" i="41"/>
  <c r="B1567" i="41"/>
  <c r="B1568" i="41"/>
  <c r="B1559" i="41"/>
  <c r="B1560" i="41"/>
  <c r="B1561" i="41"/>
  <c r="B1562" i="41"/>
  <c r="B1558" i="41"/>
  <c r="B1551" i="41"/>
  <c r="B1552" i="41"/>
  <c r="B1544" i="41"/>
  <c r="B1545" i="41"/>
  <c r="B1537" i="41"/>
  <c r="B1538" i="41"/>
  <c r="B1530" i="41"/>
  <c r="B1531" i="41"/>
  <c r="B1528" i="41"/>
  <c r="B1529" i="41"/>
  <c r="B1532" i="41"/>
  <c r="B1533" i="41"/>
  <c r="B1534" i="41"/>
  <c r="B1535" i="41"/>
  <c r="B1536" i="41"/>
  <c r="B1539" i="41"/>
  <c r="B1540" i="41"/>
  <c r="B1541" i="41"/>
  <c r="B1542" i="41"/>
  <c r="B1543" i="41"/>
  <c r="B1546" i="41"/>
  <c r="B1547" i="41"/>
  <c r="B1548" i="41"/>
  <c r="B1549" i="41"/>
  <c r="B1550" i="41"/>
  <c r="B1553" i="41"/>
  <c r="B1554" i="41"/>
  <c r="B1555" i="41"/>
  <c r="B1556" i="41"/>
  <c r="B1557" i="41"/>
  <c r="B1527" i="41"/>
  <c r="B1523" i="41"/>
  <c r="B1524" i="41"/>
  <c r="B1516" i="41"/>
  <c r="B1517" i="41"/>
  <c r="B1509" i="41"/>
  <c r="B1510" i="41"/>
  <c r="B1502" i="41"/>
  <c r="B1503" i="41"/>
  <c r="B1499" i="41"/>
  <c r="B1500" i="41"/>
  <c r="B1501" i="41"/>
  <c r="B1504" i="41"/>
  <c r="B1505" i="41"/>
  <c r="B1506" i="41"/>
  <c r="B1507" i="41"/>
  <c r="B1508" i="41"/>
  <c r="B1511" i="41"/>
  <c r="B1512" i="41"/>
  <c r="B1513" i="41"/>
  <c r="B1514" i="41"/>
  <c r="B1515" i="41"/>
  <c r="B1518" i="41"/>
  <c r="B1519" i="41"/>
  <c r="B1520" i="41"/>
  <c r="B1521" i="41"/>
  <c r="B1522" i="41"/>
  <c r="B1525" i="41"/>
  <c r="B1526" i="41"/>
  <c r="B5" i="41"/>
  <c r="B6" i="41"/>
  <c r="B7" i="41"/>
  <c r="B8" i="41"/>
  <c r="N38" i="22"/>
  <c r="N38" i="21"/>
  <c r="N38" i="20"/>
  <c r="N38" i="9"/>
  <c r="N38" i="15"/>
  <c r="N38" i="18"/>
  <c r="N38" i="19"/>
  <c r="N38" i="17"/>
  <c r="N38" i="16"/>
  <c r="N38" i="23"/>
  <c r="N102" i="3"/>
  <c r="B1470" i="41"/>
  <c r="B1471" i="41"/>
  <c r="B1472" i="41"/>
  <c r="B1473" i="41"/>
  <c r="B1474" i="41"/>
  <c r="B1475" i="41"/>
  <c r="B1476" i="41"/>
  <c r="B1477" i="41"/>
  <c r="B1478" i="41"/>
  <c r="B1479" i="41"/>
  <c r="B1480" i="41"/>
  <c r="B1481" i="41"/>
  <c r="B1482" i="41"/>
  <c r="B1483" i="41"/>
  <c r="B1484" i="41"/>
  <c r="B1485" i="41"/>
  <c r="B1486" i="41"/>
  <c r="B1487" i="41"/>
  <c r="B1488" i="41"/>
  <c r="B1489" i="41"/>
  <c r="B1490" i="41"/>
  <c r="B1491" i="41"/>
  <c r="B1492" i="41"/>
  <c r="B1493" i="41"/>
  <c r="B1494" i="41"/>
  <c r="B1495" i="41"/>
  <c r="B1496" i="41"/>
  <c r="B1497" i="41"/>
  <c r="B1498" i="41"/>
  <c r="B1468" i="41"/>
  <c r="B1469" i="41"/>
  <c r="N37" i="16"/>
  <c r="N37" i="17"/>
  <c r="N37" i="19"/>
  <c r="N37" i="18"/>
  <c r="N37" i="15"/>
  <c r="N37" i="9"/>
  <c r="N37" i="20"/>
  <c r="N37" i="21"/>
  <c r="N37" i="22"/>
  <c r="N37" i="23"/>
  <c r="N101" i="3"/>
  <c r="B1467" i="41"/>
  <c r="B1466" i="41"/>
  <c r="B1460" i="41"/>
  <c r="B1461" i="41"/>
  <c r="B1457" i="41"/>
  <c r="B1458" i="41"/>
  <c r="B1459" i="41"/>
  <c r="B1462" i="41"/>
  <c r="B1463" i="41"/>
  <c r="B1464" i="41"/>
  <c r="B1465" i="41"/>
  <c r="B1448" i="41"/>
  <c r="B1449" i="41"/>
  <c r="B1441" i="41"/>
  <c r="B1442" i="41"/>
  <c r="B1439" i="41"/>
  <c r="B1440" i="41"/>
  <c r="B1443" i="41"/>
  <c r="B1444" i="41"/>
  <c r="B1445" i="41"/>
  <c r="B1446" i="41"/>
  <c r="B1447" i="41"/>
  <c r="B1450" i="41"/>
  <c r="B1451" i="41"/>
  <c r="B1452" i="41"/>
  <c r="B1453" i="41"/>
  <c r="B1454" i="41"/>
  <c r="B1455" i="41"/>
  <c r="B1456" i="41"/>
  <c r="AQ321" i="5"/>
  <c r="AQ322" i="5"/>
  <c r="AQ324" i="5"/>
  <c r="AQ325" i="5"/>
  <c r="AQ326" i="5"/>
  <c r="AQ327" i="5"/>
  <c r="B1434" i="41"/>
  <c r="B1435" i="41"/>
  <c r="B1428" i="41"/>
  <c r="B1429" i="41"/>
  <c r="B1430" i="41"/>
  <c r="B1431" i="41"/>
  <c r="B1432" i="41"/>
  <c r="B1433" i="41"/>
  <c r="B1436" i="41"/>
  <c r="B1437" i="41"/>
  <c r="B1438" i="41"/>
  <c r="B1426" i="41"/>
  <c r="B1427" i="41"/>
  <c r="B1420" i="41"/>
  <c r="B1421" i="41"/>
  <c r="B1413" i="41"/>
  <c r="B1414" i="41"/>
  <c r="B1409" i="41"/>
  <c r="B1410" i="41"/>
  <c r="B1411" i="41"/>
  <c r="B1412" i="41"/>
  <c r="B1415" i="41"/>
  <c r="B1416" i="41"/>
  <c r="B1417" i="41"/>
  <c r="B1418" i="41"/>
  <c r="B1419" i="41"/>
  <c r="B1422" i="41"/>
  <c r="B1423" i="41"/>
  <c r="B1424" i="41"/>
  <c r="B1425" i="41"/>
  <c r="I27" i="8"/>
  <c r="H27" i="8"/>
  <c r="B1401" i="41"/>
  <c r="B1402" i="41"/>
  <c r="B1394" i="41"/>
  <c r="B1395" i="41"/>
  <c r="B1387" i="41"/>
  <c r="B1388" i="41"/>
  <c r="B1380" i="41"/>
  <c r="B1381" i="41"/>
  <c r="B1382" i="41"/>
  <c r="B1383" i="41"/>
  <c r="B1384" i="41"/>
  <c r="B1385" i="41"/>
  <c r="B1386" i="41"/>
  <c r="B1389" i="41"/>
  <c r="B1390" i="41"/>
  <c r="B1391" i="41"/>
  <c r="B1392" i="41"/>
  <c r="B1393" i="41"/>
  <c r="B1396" i="41"/>
  <c r="B1397" i="41"/>
  <c r="B1398" i="41"/>
  <c r="B1399" i="41"/>
  <c r="B1400" i="41"/>
  <c r="B1403" i="41"/>
  <c r="B1404" i="41"/>
  <c r="B1405" i="41"/>
  <c r="B1406" i="41"/>
  <c r="B1407" i="41"/>
  <c r="B1408" i="41"/>
  <c r="B1373" i="41"/>
  <c r="B1374" i="41"/>
  <c r="B1366" i="41"/>
  <c r="B1367" i="41"/>
  <c r="B1359" i="41"/>
  <c r="B1360" i="41"/>
  <c r="B1352" i="41"/>
  <c r="B1353" i="41"/>
  <c r="B1351" i="41"/>
  <c r="B1354" i="41"/>
  <c r="B1355" i="41"/>
  <c r="B1356" i="41"/>
  <c r="B1357" i="41"/>
  <c r="B1358" i="41"/>
  <c r="B1361" i="41"/>
  <c r="B1362" i="41"/>
  <c r="B1363" i="41"/>
  <c r="B1364" i="41"/>
  <c r="B1365" i="41"/>
  <c r="B1368" i="41"/>
  <c r="B1369" i="41"/>
  <c r="B1370" i="41"/>
  <c r="B1371" i="41"/>
  <c r="B1372" i="41"/>
  <c r="B1375" i="41"/>
  <c r="B1376" i="41"/>
  <c r="B1377" i="41"/>
  <c r="B1378" i="41"/>
  <c r="B1379" i="41"/>
  <c r="B1345" i="41"/>
  <c r="B1346" i="41"/>
  <c r="B1338" i="41"/>
  <c r="B1339" i="41"/>
  <c r="B1331" i="41"/>
  <c r="B1332" i="41"/>
  <c r="B1324" i="41"/>
  <c r="B1325" i="41"/>
  <c r="B1319" i="41"/>
  <c r="B1320" i="41"/>
  <c r="B1321" i="41"/>
  <c r="B1322" i="41"/>
  <c r="B1323" i="41"/>
  <c r="B1326" i="41"/>
  <c r="B1327" i="41"/>
  <c r="B1328" i="41"/>
  <c r="B1329" i="41"/>
  <c r="B1330" i="41"/>
  <c r="B1333" i="41"/>
  <c r="B1334" i="41"/>
  <c r="B1335" i="41"/>
  <c r="B1336" i="41"/>
  <c r="B1337" i="41"/>
  <c r="B1340" i="41"/>
  <c r="B1341" i="41"/>
  <c r="B1342" i="41"/>
  <c r="B1343" i="41"/>
  <c r="B1344" i="41"/>
  <c r="B1347" i="41"/>
  <c r="B1348" i="41"/>
  <c r="B1349" i="41"/>
  <c r="B1350" i="41"/>
  <c r="B1316" i="41"/>
  <c r="B1317" i="41"/>
  <c r="B1318" i="41"/>
  <c r="B1310" i="41"/>
  <c r="B1311" i="41"/>
  <c r="B1303" i="41"/>
  <c r="B1304" i="41"/>
  <c r="B1296" i="41"/>
  <c r="B1297" i="41"/>
  <c r="B1289" i="41"/>
  <c r="B1290" i="41"/>
  <c r="B1288" i="41"/>
  <c r="B1291" i="41"/>
  <c r="B1292" i="41"/>
  <c r="B1293" i="41"/>
  <c r="B1294" i="41"/>
  <c r="B1295" i="41"/>
  <c r="B1298" i="41"/>
  <c r="B1299" i="41"/>
  <c r="B1300" i="41"/>
  <c r="B1301" i="41"/>
  <c r="B1302" i="41"/>
  <c r="B1305" i="41"/>
  <c r="B1306" i="41"/>
  <c r="B1307" i="41"/>
  <c r="B1308" i="41"/>
  <c r="B1309" i="41"/>
  <c r="B1312" i="41"/>
  <c r="B1313" i="41"/>
  <c r="B1314" i="41"/>
  <c r="B1315" i="41"/>
  <c r="B1287" i="41"/>
  <c r="B1275" i="41"/>
  <c r="B1276" i="41"/>
  <c r="B1282" i="41"/>
  <c r="B1283" i="41"/>
  <c r="B1268" i="41"/>
  <c r="B1269" i="41"/>
  <c r="B1261" i="41"/>
  <c r="B1262" i="41"/>
  <c r="B1263" i="41"/>
  <c r="B1264" i="41"/>
  <c r="B1265" i="41"/>
  <c r="B1266" i="41"/>
  <c r="B1267" i="41"/>
  <c r="B1270" i="41"/>
  <c r="B1271" i="41"/>
  <c r="B1272" i="41"/>
  <c r="B1273" i="41"/>
  <c r="B1274" i="41"/>
  <c r="B1277" i="41"/>
  <c r="B1278" i="41"/>
  <c r="B1279" i="41"/>
  <c r="B1280" i="41"/>
  <c r="B1281" i="41"/>
  <c r="B1284" i="41"/>
  <c r="B1285" i="41"/>
  <c r="B1286" i="41"/>
  <c r="B1254" i="41"/>
  <c r="B1255" i="41"/>
  <c r="B1247" i="41"/>
  <c r="B1248" i="41"/>
  <c r="B1240" i="41"/>
  <c r="B1241" i="41"/>
  <c r="B1233" i="41"/>
  <c r="B1234" i="41"/>
  <c r="B1226" i="41"/>
  <c r="B1227" i="41"/>
  <c r="B1225" i="41"/>
  <c r="B1228" i="41"/>
  <c r="B1229" i="41"/>
  <c r="B1230" i="41"/>
  <c r="B1231" i="41"/>
  <c r="B1232" i="41"/>
  <c r="B1235" i="41"/>
  <c r="B1236" i="41"/>
  <c r="B1237" i="41"/>
  <c r="B1238" i="41"/>
  <c r="B1239" i="41"/>
  <c r="B1242" i="41"/>
  <c r="B1243" i="41"/>
  <c r="B1244" i="41"/>
  <c r="B1245" i="41"/>
  <c r="B1246" i="41"/>
  <c r="B1249" i="41"/>
  <c r="B1250" i="41"/>
  <c r="B1251" i="41"/>
  <c r="B1252" i="41"/>
  <c r="B1253" i="41"/>
  <c r="B1256" i="41"/>
  <c r="B1257" i="41"/>
  <c r="B1258" i="41"/>
  <c r="B1259" i="41"/>
  <c r="B1260" i="41"/>
  <c r="B1219" i="41"/>
  <c r="B1220" i="41"/>
  <c r="B1212" i="41"/>
  <c r="B1213" i="41"/>
  <c r="B1205" i="41"/>
  <c r="B1206" i="41"/>
  <c r="B1198" i="41"/>
  <c r="B1199" i="41"/>
  <c r="B1197" i="41"/>
  <c r="B1200" i="41"/>
  <c r="B1201" i="41"/>
  <c r="B1202" i="41"/>
  <c r="B1203" i="41"/>
  <c r="B1204" i="41"/>
  <c r="B1207" i="41"/>
  <c r="B1208" i="41"/>
  <c r="B1209" i="41"/>
  <c r="B1210" i="41"/>
  <c r="B1211" i="41"/>
  <c r="B1214" i="41"/>
  <c r="B1215" i="41"/>
  <c r="B1216" i="41"/>
  <c r="B1217" i="41"/>
  <c r="B1218" i="41"/>
  <c r="B1221" i="41"/>
  <c r="B1222" i="41"/>
  <c r="B1223" i="41"/>
  <c r="B1224" i="41"/>
  <c r="B1191" i="41"/>
  <c r="B1192" i="41"/>
  <c r="B1184" i="41"/>
  <c r="B1185" i="41"/>
  <c r="B1177" i="41"/>
  <c r="B1178" i="41"/>
  <c r="B1170" i="41"/>
  <c r="B1171" i="41"/>
  <c r="B1166" i="41"/>
  <c r="B1167" i="41"/>
  <c r="B1168" i="41"/>
  <c r="B1169" i="41"/>
  <c r="B1172" i="41"/>
  <c r="B1173" i="41"/>
  <c r="B1174" i="41"/>
  <c r="B1175" i="41"/>
  <c r="B1176" i="41"/>
  <c r="B1179" i="41"/>
  <c r="B1180" i="41"/>
  <c r="B1181" i="41"/>
  <c r="B1182" i="41"/>
  <c r="B1183" i="41"/>
  <c r="B1186" i="41"/>
  <c r="B1187" i="41"/>
  <c r="B1188" i="41"/>
  <c r="B1189" i="41"/>
  <c r="B1190" i="41"/>
  <c r="B1193" i="41"/>
  <c r="B1194" i="41"/>
  <c r="B1195" i="41"/>
  <c r="B1196" i="41"/>
  <c r="B1141" i="41"/>
  <c r="B1142" i="41"/>
  <c r="B1143" i="41"/>
  <c r="B1144" i="41"/>
  <c r="B1145" i="41"/>
  <c r="B1146" i="41"/>
  <c r="B1147" i="41"/>
  <c r="B1148" i="41"/>
  <c r="B1149" i="41"/>
  <c r="B1150" i="41"/>
  <c r="B1151" i="41"/>
  <c r="B1152" i="41"/>
  <c r="B1153" i="41"/>
  <c r="B1154" i="41"/>
  <c r="B1155" i="41"/>
  <c r="B1156" i="41"/>
  <c r="B1157" i="41"/>
  <c r="B1158" i="41"/>
  <c r="B1159" i="41"/>
  <c r="B1160" i="41"/>
  <c r="B1161" i="41"/>
  <c r="B1162" i="41"/>
  <c r="B1163" i="41"/>
  <c r="B1164" i="41"/>
  <c r="B1165" i="41"/>
  <c r="B1138" i="41"/>
  <c r="B1139" i="41"/>
  <c r="B1140" i="41"/>
  <c r="B1135" i="41"/>
  <c r="B1136" i="41"/>
  <c r="B1128" i="41"/>
  <c r="B1129" i="41"/>
  <c r="B1121" i="41"/>
  <c r="B1122" i="41"/>
  <c r="B1118" i="41"/>
  <c r="B1119" i="41"/>
  <c r="B1120" i="41"/>
  <c r="B1123" i="41"/>
  <c r="B1124" i="41"/>
  <c r="B1125" i="41"/>
  <c r="B1126" i="41"/>
  <c r="B1127" i="41"/>
  <c r="B1130" i="41"/>
  <c r="B1131" i="41"/>
  <c r="B1132" i="41"/>
  <c r="B1133" i="41"/>
  <c r="B1134" i="41"/>
  <c r="B1137" i="41"/>
  <c r="N36" i="16"/>
  <c r="N36" i="17"/>
  <c r="N36" i="19"/>
  <c r="N36" i="18"/>
  <c r="N36" i="15"/>
  <c r="N36" i="9"/>
  <c r="N36" i="20"/>
  <c r="N36" i="21"/>
  <c r="N36" i="22"/>
  <c r="N36" i="23"/>
  <c r="N100" i="3"/>
  <c r="B767" i="41"/>
  <c r="B768" i="41"/>
  <c r="B769" i="41"/>
  <c r="B1114" i="41"/>
  <c r="B1115" i="41"/>
  <c r="B1116" i="41"/>
  <c r="B1109" i="41"/>
  <c r="B1110" i="41"/>
  <c r="B1111" i="41"/>
  <c r="B1112" i="41"/>
  <c r="B1113" i="41"/>
  <c r="B1117" i="41"/>
  <c r="B1107" i="41"/>
  <c r="B1108" i="41"/>
  <c r="V305" i="5"/>
  <c r="W305" i="5"/>
  <c r="X305" i="5"/>
  <c r="Y305" i="5"/>
  <c r="AA305" i="5"/>
  <c r="AB305" i="5"/>
  <c r="AC305" i="5"/>
  <c r="AD305" i="5"/>
  <c r="B1100" i="41"/>
  <c r="B1101" i="41"/>
  <c r="B1093" i="41"/>
  <c r="B1094" i="41"/>
  <c r="B1086" i="41"/>
  <c r="B1087" i="41"/>
  <c r="B1106" i="41"/>
  <c r="B1085" i="41"/>
  <c r="B1088" i="41"/>
  <c r="B1089" i="41"/>
  <c r="B1090" i="41"/>
  <c r="B1091" i="41"/>
  <c r="B1092" i="41"/>
  <c r="B1095" i="41"/>
  <c r="B1096" i="41"/>
  <c r="B1097" i="41"/>
  <c r="B1098" i="41"/>
  <c r="B1099" i="41"/>
  <c r="B1102" i="41"/>
  <c r="B1103" i="41"/>
  <c r="B1104" i="41"/>
  <c r="B1105" i="41"/>
  <c r="B1079" i="41"/>
  <c r="B1080" i="41"/>
  <c r="B1076" i="41"/>
  <c r="B1077" i="41"/>
  <c r="B1078" i="41"/>
  <c r="B1081" i="41"/>
  <c r="B1082" i="41"/>
  <c r="B1083" i="41"/>
  <c r="B1084" i="41"/>
  <c r="B1072" i="41"/>
  <c r="B1073" i="41"/>
  <c r="B1065" i="41"/>
  <c r="B1066" i="41"/>
  <c r="B1058" i="41"/>
  <c r="B1059" i="41"/>
  <c r="B1051" i="41"/>
  <c r="B1052" i="41"/>
  <c r="B1046" i="41"/>
  <c r="B1047" i="41"/>
  <c r="B1048" i="41"/>
  <c r="B1049" i="41"/>
  <c r="B1050" i="41"/>
  <c r="B1053" i="41"/>
  <c r="B1054" i="41"/>
  <c r="B1055" i="41"/>
  <c r="B1056" i="41"/>
  <c r="B1057" i="41"/>
  <c r="B1060" i="41"/>
  <c r="B1061" i="41"/>
  <c r="B1062" i="41"/>
  <c r="B1063" i="41"/>
  <c r="B1064" i="41"/>
  <c r="B1067" i="41"/>
  <c r="B1068" i="41"/>
  <c r="B1069" i="41"/>
  <c r="B1070" i="41"/>
  <c r="B1071" i="41"/>
  <c r="B1074" i="41"/>
  <c r="B1075" i="41"/>
  <c r="AQ317" i="5"/>
  <c r="AQ318" i="5"/>
  <c r="I26" i="8"/>
  <c r="H26" i="8"/>
  <c r="B1044" i="41"/>
  <c r="B1045" i="41"/>
  <c r="B1037" i="41"/>
  <c r="B1038" i="41"/>
  <c r="B1030" i="41"/>
  <c r="B1031" i="41"/>
  <c r="B1023" i="41"/>
  <c r="B1024" i="41"/>
  <c r="B1016" i="41"/>
  <c r="B1017" i="41"/>
  <c r="B1015" i="41"/>
  <c r="B1018" i="41"/>
  <c r="B1019" i="41"/>
  <c r="B1020" i="41"/>
  <c r="B1021" i="41"/>
  <c r="B1022" i="41"/>
  <c r="B1025" i="41"/>
  <c r="B1026" i="41"/>
  <c r="B1027" i="41"/>
  <c r="B1028" i="41"/>
  <c r="B1029" i="41"/>
  <c r="B1032" i="41"/>
  <c r="B1033" i="41"/>
  <c r="B1034" i="41"/>
  <c r="B1035" i="41"/>
  <c r="B1036" i="41"/>
  <c r="B1039" i="41"/>
  <c r="B1040" i="41"/>
  <c r="B1041" i="41"/>
  <c r="B1042" i="41"/>
  <c r="B1043" i="41"/>
  <c r="B988" i="41"/>
  <c r="B989" i="41"/>
  <c r="B1009" i="41"/>
  <c r="B1010" i="41"/>
  <c r="B1002" i="41"/>
  <c r="B1003" i="41"/>
  <c r="B995" i="41"/>
  <c r="B996" i="41"/>
  <c r="B986" i="41"/>
  <c r="B987" i="41"/>
  <c r="B990" i="41"/>
  <c r="B991" i="41"/>
  <c r="B992" i="41"/>
  <c r="B993" i="41"/>
  <c r="B994" i="41"/>
  <c r="B997" i="41"/>
  <c r="B998" i="41"/>
  <c r="B999" i="41"/>
  <c r="B1000" i="41"/>
  <c r="B1001" i="41"/>
  <c r="B1004" i="41"/>
  <c r="B1005" i="41"/>
  <c r="B1006" i="41"/>
  <c r="B1007" i="41"/>
  <c r="B1008" i="41"/>
  <c r="B1011" i="41"/>
  <c r="B1012" i="41"/>
  <c r="B1013" i="41"/>
  <c r="B1014" i="41"/>
  <c r="B985" i="41"/>
  <c r="B984" i="41"/>
  <c r="B953" i="41"/>
  <c r="B954" i="41"/>
  <c r="B960" i="41"/>
  <c r="B961" i="41"/>
  <c r="B981" i="41"/>
  <c r="B982" i="41"/>
  <c r="B974" i="41"/>
  <c r="B975" i="41"/>
  <c r="B967" i="41"/>
  <c r="B968" i="41"/>
  <c r="B955" i="41"/>
  <c r="B956" i="41"/>
  <c r="B957" i="41"/>
  <c r="B958" i="41"/>
  <c r="B959" i="41"/>
  <c r="B962" i="41"/>
  <c r="B963" i="41"/>
  <c r="B964" i="41"/>
  <c r="B965" i="41"/>
  <c r="B966" i="41"/>
  <c r="B969" i="41"/>
  <c r="B970" i="41"/>
  <c r="B971" i="41"/>
  <c r="B972" i="41"/>
  <c r="B973" i="41"/>
  <c r="B976" i="41"/>
  <c r="B977" i="41"/>
  <c r="B978" i="41"/>
  <c r="B979" i="41"/>
  <c r="B980" i="41"/>
  <c r="B983" i="41"/>
  <c r="B952" i="41"/>
  <c r="B925" i="41"/>
  <c r="B926" i="41"/>
  <c r="B927" i="41"/>
  <c r="B928" i="41"/>
  <c r="B929" i="41"/>
  <c r="B930" i="41"/>
  <c r="B931" i="41"/>
  <c r="B932" i="41"/>
  <c r="B933" i="41"/>
  <c r="B939" i="41"/>
  <c r="B940" i="41"/>
  <c r="B946" i="41"/>
  <c r="B947" i="41"/>
  <c r="B934" i="41"/>
  <c r="B935" i="41"/>
  <c r="B936" i="41"/>
  <c r="B937" i="41"/>
  <c r="B938" i="41"/>
  <c r="B941" i="41"/>
  <c r="B942" i="41"/>
  <c r="B943" i="41"/>
  <c r="B944" i="41"/>
  <c r="B945" i="41"/>
  <c r="B948" i="41"/>
  <c r="B949" i="41"/>
  <c r="B950" i="41"/>
  <c r="B951" i="41"/>
  <c r="B897" i="41"/>
  <c r="B898" i="41"/>
  <c r="B899" i="41"/>
  <c r="B900" i="41"/>
  <c r="B901" i="41"/>
  <c r="B902" i="41"/>
  <c r="B903" i="41"/>
  <c r="B904" i="41"/>
  <c r="B905" i="41"/>
  <c r="B906" i="41"/>
  <c r="B907" i="41"/>
  <c r="B908" i="41"/>
  <c r="B909" i="41"/>
  <c r="B910" i="41"/>
  <c r="B911" i="41"/>
  <c r="B912" i="41"/>
  <c r="B913" i="41"/>
  <c r="B914" i="41"/>
  <c r="B915" i="41"/>
  <c r="B916" i="41"/>
  <c r="B917" i="41"/>
  <c r="B918" i="41"/>
  <c r="B919" i="41"/>
  <c r="B920" i="41"/>
  <c r="B921" i="41"/>
  <c r="B922" i="41"/>
  <c r="B923" i="41"/>
  <c r="B924" i="41"/>
  <c r="B893" i="41"/>
  <c r="B894" i="41"/>
  <c r="B895" i="41"/>
  <c r="B896" i="41"/>
  <c r="B878" i="41"/>
  <c r="B879" i="41"/>
  <c r="B871" i="41"/>
  <c r="B872" i="41"/>
  <c r="B885" i="41"/>
  <c r="B886" i="41"/>
  <c r="B864" i="41"/>
  <c r="B865" i="41"/>
  <c r="B863" i="41"/>
  <c r="B866" i="41"/>
  <c r="B867" i="41"/>
  <c r="B868" i="41"/>
  <c r="B869" i="41"/>
  <c r="B870" i="41"/>
  <c r="B873" i="41"/>
  <c r="B874" i="41"/>
  <c r="B875" i="41"/>
  <c r="B876" i="41"/>
  <c r="B877" i="41"/>
  <c r="B880" i="41"/>
  <c r="B881" i="41"/>
  <c r="B882" i="41"/>
  <c r="B883" i="41"/>
  <c r="B884" i="41"/>
  <c r="B887" i="41"/>
  <c r="B888" i="41"/>
  <c r="B889" i="41"/>
  <c r="B890" i="41"/>
  <c r="B891" i="41"/>
  <c r="B892" i="41"/>
  <c r="B857" i="41"/>
  <c r="B858" i="41"/>
  <c r="B855" i="41"/>
  <c r="B856" i="41"/>
  <c r="B859" i="41"/>
  <c r="B860" i="41"/>
  <c r="B861" i="41"/>
  <c r="B862" i="41"/>
  <c r="B851" i="41"/>
  <c r="B852" i="41"/>
  <c r="B853" i="41"/>
  <c r="B854" i="41"/>
  <c r="B842" i="41"/>
  <c r="B843" i="41"/>
  <c r="B844" i="41"/>
  <c r="B845" i="41"/>
  <c r="B846" i="41"/>
  <c r="B847" i="41"/>
  <c r="B848" i="41"/>
  <c r="B849" i="41"/>
  <c r="B850" i="41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1" i="41"/>
  <c r="B42" i="41"/>
  <c r="B43" i="41"/>
  <c r="B44" i="41"/>
  <c r="B45" i="41"/>
  <c r="B46" i="41"/>
  <c r="B47" i="41"/>
  <c r="B48" i="41"/>
  <c r="B49" i="41"/>
  <c r="B50" i="41"/>
  <c r="B51" i="41"/>
  <c r="B52" i="41"/>
  <c r="B53" i="41"/>
  <c r="B54" i="41"/>
  <c r="B55" i="41"/>
  <c r="B56" i="41"/>
  <c r="B57" i="41"/>
  <c r="B58" i="41"/>
  <c r="B59" i="41"/>
  <c r="B60" i="41"/>
  <c r="B61" i="41"/>
  <c r="B62" i="41"/>
  <c r="B63" i="41"/>
  <c r="B64" i="41"/>
  <c r="B65" i="41"/>
  <c r="B66" i="41"/>
  <c r="B67" i="41"/>
  <c r="B68" i="41"/>
  <c r="B69" i="41"/>
  <c r="B70" i="41"/>
  <c r="B71" i="41"/>
  <c r="B72" i="41"/>
  <c r="B73" i="41"/>
  <c r="B74" i="41"/>
  <c r="B75" i="41"/>
  <c r="B76" i="41"/>
  <c r="B77" i="41"/>
  <c r="B78" i="41"/>
  <c r="B79" i="41"/>
  <c r="B80" i="41"/>
  <c r="B81" i="41"/>
  <c r="B82" i="41"/>
  <c r="B83" i="41"/>
  <c r="B84" i="41"/>
  <c r="B85" i="41"/>
  <c r="B86" i="41"/>
  <c r="B87" i="41"/>
  <c r="B88" i="41"/>
  <c r="B89" i="41"/>
  <c r="B90" i="41"/>
  <c r="B91" i="41"/>
  <c r="B92" i="41"/>
  <c r="B93" i="41"/>
  <c r="B94" i="41"/>
  <c r="B95" i="41"/>
  <c r="B96" i="41"/>
  <c r="B97" i="41"/>
  <c r="B98" i="41"/>
  <c r="B99" i="41"/>
  <c r="B100" i="41"/>
  <c r="B101" i="41"/>
  <c r="B102" i="41"/>
  <c r="B103" i="41"/>
  <c r="B104" i="41"/>
  <c r="B105" i="41"/>
  <c r="B106" i="41"/>
  <c r="B107" i="41"/>
  <c r="B108" i="41"/>
  <c r="B109" i="41"/>
  <c r="B110" i="41"/>
  <c r="B111" i="41"/>
  <c r="B112" i="41"/>
  <c r="B113" i="41"/>
  <c r="B114" i="41"/>
  <c r="B115" i="41"/>
  <c r="B116" i="41"/>
  <c r="B117" i="41"/>
  <c r="B118" i="41"/>
  <c r="B119" i="41"/>
  <c r="B120" i="41"/>
  <c r="B121" i="41"/>
  <c r="B122" i="41"/>
  <c r="B123" i="41"/>
  <c r="B124" i="41"/>
  <c r="B125" i="41"/>
  <c r="B126" i="41"/>
  <c r="B127" i="41"/>
  <c r="B128" i="41"/>
  <c r="B129" i="41"/>
  <c r="B130" i="41"/>
  <c r="B131" i="41"/>
  <c r="B132" i="41"/>
  <c r="B133" i="41"/>
  <c r="B134" i="41"/>
  <c r="B135" i="41"/>
  <c r="B136" i="41"/>
  <c r="B137" i="41"/>
  <c r="B138" i="41"/>
  <c r="B139" i="41"/>
  <c r="B140" i="41"/>
  <c r="B141" i="41"/>
  <c r="B142" i="41"/>
  <c r="B143" i="41"/>
  <c r="B144" i="41"/>
  <c r="B145" i="41"/>
  <c r="B146" i="41"/>
  <c r="B147" i="41"/>
  <c r="B148" i="41"/>
  <c r="B149" i="41"/>
  <c r="B150" i="41"/>
  <c r="B151" i="41"/>
  <c r="B152" i="41"/>
  <c r="B153" i="41"/>
  <c r="B154" i="41"/>
  <c r="B155" i="41"/>
  <c r="B156" i="41"/>
  <c r="B157" i="41"/>
  <c r="B158" i="41"/>
  <c r="B159" i="41"/>
  <c r="B160" i="41"/>
  <c r="B161" i="41"/>
  <c r="B162" i="41"/>
  <c r="B163" i="41"/>
  <c r="B164" i="41"/>
  <c r="B165" i="41"/>
  <c r="B166" i="41"/>
  <c r="B167" i="41"/>
  <c r="B168" i="41"/>
  <c r="B169" i="41"/>
  <c r="B170" i="41"/>
  <c r="B171" i="41"/>
  <c r="B172" i="41"/>
  <c r="B173" i="41"/>
  <c r="B174" i="41"/>
  <c r="B175" i="41"/>
  <c r="B176" i="41"/>
  <c r="B177" i="41"/>
  <c r="B178" i="41"/>
  <c r="B179" i="41"/>
  <c r="B180" i="41"/>
  <c r="B181" i="41"/>
  <c r="B182" i="41"/>
  <c r="B183" i="41"/>
  <c r="B184" i="41"/>
  <c r="B185" i="41"/>
  <c r="B186" i="41"/>
  <c r="B187" i="41"/>
  <c r="B188" i="41"/>
  <c r="B189" i="41"/>
  <c r="B190" i="41"/>
  <c r="B191" i="41"/>
  <c r="B192" i="41"/>
  <c r="B193" i="41"/>
  <c r="B194" i="41"/>
  <c r="B195" i="41"/>
  <c r="B196" i="41"/>
  <c r="B197" i="41"/>
  <c r="B198" i="41"/>
  <c r="B199" i="41"/>
  <c r="B200" i="41"/>
  <c r="B201" i="41"/>
  <c r="B202" i="41"/>
  <c r="B203" i="41"/>
  <c r="B204" i="41"/>
  <c r="B205" i="41"/>
  <c r="B206" i="41"/>
  <c r="B207" i="41"/>
  <c r="B208" i="41"/>
  <c r="B209" i="41"/>
  <c r="B210" i="41"/>
  <c r="B211" i="41"/>
  <c r="B212" i="41"/>
  <c r="B213" i="41"/>
  <c r="B214" i="41"/>
  <c r="B215" i="41"/>
  <c r="B216" i="41"/>
  <c r="B217" i="41"/>
  <c r="B218" i="41"/>
  <c r="B219" i="41"/>
  <c r="B220" i="41"/>
  <c r="B221" i="41"/>
  <c r="B222" i="41"/>
  <c r="B223" i="41"/>
  <c r="B224" i="41"/>
  <c r="B225" i="41"/>
  <c r="B226" i="41"/>
  <c r="B227" i="41"/>
  <c r="B228" i="41"/>
  <c r="B229" i="41"/>
  <c r="B230" i="41"/>
  <c r="B231" i="41"/>
  <c r="B232" i="41"/>
  <c r="B233" i="41"/>
  <c r="B234" i="41"/>
  <c r="B235" i="41"/>
  <c r="B236" i="41"/>
  <c r="B237" i="41"/>
  <c r="B238" i="41"/>
  <c r="B239" i="41"/>
  <c r="B240" i="41"/>
  <c r="B241" i="41"/>
  <c r="B242" i="41"/>
  <c r="B243" i="41"/>
  <c r="B244" i="41"/>
  <c r="B245" i="41"/>
  <c r="B246" i="41"/>
  <c r="B247" i="41"/>
  <c r="B248" i="41"/>
  <c r="B249" i="41"/>
  <c r="B250" i="41"/>
  <c r="B251" i="41"/>
  <c r="B252" i="41"/>
  <c r="B253" i="41"/>
  <c r="B254" i="41"/>
  <c r="B255" i="41"/>
  <c r="B256" i="41"/>
  <c r="B257" i="41"/>
  <c r="B258" i="41"/>
  <c r="B259" i="41"/>
  <c r="B260" i="41"/>
  <c r="B261" i="41"/>
  <c r="B262" i="41"/>
  <c r="B263" i="41"/>
  <c r="B264" i="41"/>
  <c r="B265" i="41"/>
  <c r="B266" i="41"/>
  <c r="B267" i="41"/>
  <c r="B268" i="41"/>
  <c r="B269" i="41"/>
  <c r="B270" i="41"/>
  <c r="B271" i="41"/>
  <c r="B272" i="41"/>
  <c r="B273" i="41"/>
  <c r="B274" i="41"/>
  <c r="B275" i="41"/>
  <c r="B276" i="41"/>
  <c r="B277" i="41"/>
  <c r="B278" i="41"/>
  <c r="B279" i="41"/>
  <c r="B280" i="41"/>
  <c r="B281" i="41"/>
  <c r="B282" i="41"/>
  <c r="B283" i="41"/>
  <c r="B284" i="41"/>
  <c r="B285" i="41"/>
  <c r="B286" i="41"/>
  <c r="B287" i="41"/>
  <c r="B288" i="41"/>
  <c r="B289" i="41"/>
  <c r="B290" i="41"/>
  <c r="B291" i="41"/>
  <c r="B292" i="41"/>
  <c r="B293" i="41"/>
  <c r="B294" i="41"/>
  <c r="B295" i="41"/>
  <c r="B296" i="41"/>
  <c r="B297" i="41"/>
  <c r="B298" i="41"/>
  <c r="B299" i="41"/>
  <c r="B300" i="41"/>
  <c r="B301" i="41"/>
  <c r="B302" i="41"/>
  <c r="B303" i="41"/>
  <c r="B304" i="41"/>
  <c r="B305" i="41"/>
  <c r="B306" i="41"/>
  <c r="B307" i="41"/>
  <c r="B308" i="41"/>
  <c r="B309" i="41"/>
  <c r="B310" i="41"/>
  <c r="B311" i="41"/>
  <c r="B312" i="41"/>
  <c r="B313" i="41"/>
  <c r="B314" i="41"/>
  <c r="B315" i="41"/>
  <c r="B316" i="41"/>
  <c r="B317" i="41"/>
  <c r="B318" i="41"/>
  <c r="B319" i="41"/>
  <c r="B320" i="41"/>
  <c r="B321" i="41"/>
  <c r="B322" i="41"/>
  <c r="B323" i="41"/>
  <c r="B324" i="41"/>
  <c r="B325" i="41"/>
  <c r="B326" i="41"/>
  <c r="B327" i="41"/>
  <c r="B328" i="41"/>
  <c r="B329" i="41"/>
  <c r="B330" i="41"/>
  <c r="B331" i="41"/>
  <c r="B332" i="41"/>
  <c r="B333" i="41"/>
  <c r="B334" i="41"/>
  <c r="B335" i="41"/>
  <c r="B336" i="41"/>
  <c r="B337" i="41"/>
  <c r="B338" i="41"/>
  <c r="B339" i="41"/>
  <c r="B340" i="41"/>
  <c r="B341" i="41"/>
  <c r="B342" i="41"/>
  <c r="B343" i="41"/>
  <c r="B344" i="41"/>
  <c r="B345" i="41"/>
  <c r="B346" i="41"/>
  <c r="B347" i="41"/>
  <c r="B348" i="41"/>
  <c r="B349" i="41"/>
  <c r="B350" i="41"/>
  <c r="B351" i="41"/>
  <c r="B352" i="41"/>
  <c r="B353" i="41"/>
  <c r="B354" i="41"/>
  <c r="B355" i="41"/>
  <c r="B356" i="41"/>
  <c r="B357" i="41"/>
  <c r="B358" i="41"/>
  <c r="B359" i="41"/>
  <c r="B360" i="41"/>
  <c r="B361" i="41"/>
  <c r="B362" i="41"/>
  <c r="B363" i="41"/>
  <c r="B364" i="41"/>
  <c r="B365" i="41"/>
  <c r="B366" i="41"/>
  <c r="B367" i="41"/>
  <c r="B368" i="41"/>
  <c r="B369" i="41"/>
  <c r="B370" i="41"/>
  <c r="B371" i="41"/>
  <c r="B372" i="41"/>
  <c r="B373" i="41"/>
  <c r="B374" i="41"/>
  <c r="B375" i="41"/>
  <c r="B376" i="41"/>
  <c r="B377" i="41"/>
  <c r="B378" i="41"/>
  <c r="B379" i="41"/>
  <c r="B380" i="41"/>
  <c r="B381" i="41"/>
  <c r="B382" i="41"/>
  <c r="B383" i="41"/>
  <c r="B384" i="41"/>
  <c r="B385" i="41"/>
  <c r="B386" i="41"/>
  <c r="B387" i="41"/>
  <c r="B388" i="41"/>
  <c r="B389" i="41"/>
  <c r="B390" i="41"/>
  <c r="B391" i="41"/>
  <c r="B392" i="41"/>
  <c r="B393" i="41"/>
  <c r="B394" i="41"/>
  <c r="B395" i="41"/>
  <c r="B396" i="41"/>
  <c r="B397" i="41"/>
  <c r="B398" i="41"/>
  <c r="B399" i="41"/>
  <c r="B400" i="41"/>
  <c r="B401" i="41"/>
  <c r="B402" i="41"/>
  <c r="B403" i="41"/>
  <c r="B404" i="41"/>
  <c r="B405" i="41"/>
  <c r="B406" i="41"/>
  <c r="B407" i="41"/>
  <c r="B408" i="41"/>
  <c r="B409" i="41"/>
  <c r="B410" i="41"/>
  <c r="B411" i="41"/>
  <c r="B412" i="41"/>
  <c r="B413" i="41"/>
  <c r="B414" i="41"/>
  <c r="B415" i="41"/>
  <c r="B416" i="41"/>
  <c r="B417" i="41"/>
  <c r="B418" i="41"/>
  <c r="B419" i="41"/>
  <c r="B420" i="41"/>
  <c r="B421" i="41"/>
  <c r="B422" i="41"/>
  <c r="B423" i="41"/>
  <c r="B424" i="41"/>
  <c r="B425" i="41"/>
  <c r="B426" i="41"/>
  <c r="B427" i="41"/>
  <c r="B428" i="41"/>
  <c r="B429" i="41"/>
  <c r="B430" i="41"/>
  <c r="B431" i="41"/>
  <c r="B432" i="41"/>
  <c r="B433" i="41"/>
  <c r="B434" i="41"/>
  <c r="B435" i="41"/>
  <c r="B436" i="41"/>
  <c r="B437" i="41"/>
  <c r="B438" i="41"/>
  <c r="B439" i="41"/>
  <c r="B440" i="41"/>
  <c r="B441" i="41"/>
  <c r="B442" i="41"/>
  <c r="B443" i="41"/>
  <c r="B444" i="41"/>
  <c r="B445" i="41"/>
  <c r="B446" i="41"/>
  <c r="B447" i="41"/>
  <c r="B448" i="41"/>
  <c r="B449" i="41"/>
  <c r="B450" i="41"/>
  <c r="B451" i="41"/>
  <c r="B452" i="41"/>
  <c r="B453" i="41"/>
  <c r="B454" i="41"/>
  <c r="B455" i="41"/>
  <c r="B456" i="41"/>
  <c r="B457" i="41"/>
  <c r="B458" i="41"/>
  <c r="B459" i="41"/>
  <c r="B460" i="41"/>
  <c r="B461" i="41"/>
  <c r="B462" i="41"/>
  <c r="B463" i="41"/>
  <c r="B464" i="41"/>
  <c r="B465" i="41"/>
  <c r="B466" i="41"/>
  <c r="B467" i="41"/>
  <c r="B468" i="41"/>
  <c r="B469" i="41"/>
  <c r="B470" i="41"/>
  <c r="B471" i="41"/>
  <c r="B472" i="41"/>
  <c r="B473" i="41"/>
  <c r="B474" i="41"/>
  <c r="B475" i="41"/>
  <c r="B476" i="41"/>
  <c r="B477" i="41"/>
  <c r="B478" i="41"/>
  <c r="B479" i="41"/>
  <c r="B480" i="41"/>
  <c r="B481" i="41"/>
  <c r="B482" i="41"/>
  <c r="B483" i="41"/>
  <c r="B484" i="41"/>
  <c r="B485" i="41"/>
  <c r="B486" i="41"/>
  <c r="B487" i="41"/>
  <c r="B488" i="41"/>
  <c r="B489" i="41"/>
  <c r="B490" i="41"/>
  <c r="B491" i="41"/>
  <c r="B492" i="41"/>
  <c r="B493" i="41"/>
  <c r="B494" i="41"/>
  <c r="B495" i="41"/>
  <c r="B496" i="41"/>
  <c r="B497" i="41"/>
  <c r="B498" i="41"/>
  <c r="B499" i="41"/>
  <c r="B500" i="41"/>
  <c r="B501" i="41"/>
  <c r="B502" i="41"/>
  <c r="B503" i="41"/>
  <c r="B504" i="41"/>
  <c r="B505" i="41"/>
  <c r="B506" i="41"/>
  <c r="B507" i="41"/>
  <c r="B508" i="41"/>
  <c r="B509" i="41"/>
  <c r="B510" i="41"/>
  <c r="B511" i="41"/>
  <c r="B512" i="41"/>
  <c r="B513" i="41"/>
  <c r="B514" i="41"/>
  <c r="B515" i="41"/>
  <c r="B516" i="41"/>
  <c r="B517" i="41"/>
  <c r="B518" i="41"/>
  <c r="B519" i="41"/>
  <c r="B520" i="41"/>
  <c r="B521" i="41"/>
  <c r="B522" i="41"/>
  <c r="B523" i="41"/>
  <c r="B524" i="41"/>
  <c r="B525" i="41"/>
  <c r="B526" i="41"/>
  <c r="B527" i="41"/>
  <c r="B528" i="41"/>
  <c r="B529" i="41"/>
  <c r="B530" i="41"/>
  <c r="B531" i="41"/>
  <c r="B532" i="41"/>
  <c r="B533" i="41"/>
  <c r="B534" i="41"/>
  <c r="B535" i="41"/>
  <c r="B536" i="41"/>
  <c r="B537" i="41"/>
  <c r="B538" i="41"/>
  <c r="B539" i="41"/>
  <c r="B540" i="41"/>
  <c r="B541" i="41"/>
  <c r="B542" i="41"/>
  <c r="B543" i="41"/>
  <c r="B544" i="41"/>
  <c r="B545" i="41"/>
  <c r="B546" i="41"/>
  <c r="B547" i="41"/>
  <c r="B548" i="41"/>
  <c r="B549" i="41"/>
  <c r="B550" i="41"/>
  <c r="B551" i="41"/>
  <c r="B552" i="41"/>
  <c r="B553" i="41"/>
  <c r="B554" i="41"/>
  <c r="B555" i="41"/>
  <c r="B556" i="41"/>
  <c r="B557" i="41"/>
  <c r="B558" i="41"/>
  <c r="B559" i="41"/>
  <c r="B560" i="41"/>
  <c r="B561" i="41"/>
  <c r="B562" i="41"/>
  <c r="B563" i="41"/>
  <c r="B564" i="41"/>
  <c r="B565" i="41"/>
  <c r="B566" i="41"/>
  <c r="B567" i="41"/>
  <c r="B568" i="41"/>
  <c r="B569" i="41"/>
  <c r="B570" i="41"/>
  <c r="B571" i="41"/>
  <c r="B572" i="41"/>
  <c r="B573" i="41"/>
  <c r="B574" i="41"/>
  <c r="B575" i="41"/>
  <c r="B576" i="41"/>
  <c r="B577" i="41"/>
  <c r="B578" i="41"/>
  <c r="B579" i="41"/>
  <c r="B580" i="41"/>
  <c r="B581" i="41"/>
  <c r="B582" i="41"/>
  <c r="B583" i="41"/>
  <c r="B584" i="41"/>
  <c r="B585" i="41"/>
  <c r="B586" i="41"/>
  <c r="B587" i="41"/>
  <c r="B588" i="41"/>
  <c r="B589" i="41"/>
  <c r="B590" i="41"/>
  <c r="B591" i="41"/>
  <c r="B592" i="41"/>
  <c r="B593" i="41"/>
  <c r="B594" i="41"/>
  <c r="B595" i="41"/>
  <c r="B596" i="41"/>
  <c r="B597" i="41"/>
  <c r="B598" i="41"/>
  <c r="B599" i="41"/>
  <c r="B600" i="41"/>
  <c r="B601" i="41"/>
  <c r="B602" i="41"/>
  <c r="B603" i="41"/>
  <c r="B604" i="41"/>
  <c r="B605" i="41"/>
  <c r="B606" i="41"/>
  <c r="B607" i="41"/>
  <c r="B608" i="41"/>
  <c r="B609" i="41"/>
  <c r="B610" i="41"/>
  <c r="B611" i="41"/>
  <c r="B612" i="41"/>
  <c r="B613" i="41"/>
  <c r="B614" i="41"/>
  <c r="B615" i="41"/>
  <c r="B616" i="41"/>
  <c r="B617" i="41"/>
  <c r="B618" i="41"/>
  <c r="B619" i="41"/>
  <c r="B620" i="41"/>
  <c r="B621" i="41"/>
  <c r="B622" i="41"/>
  <c r="B623" i="41"/>
  <c r="B624" i="41"/>
  <c r="B625" i="41"/>
  <c r="B626" i="41"/>
  <c r="B627" i="41"/>
  <c r="B628" i="41"/>
  <c r="B629" i="41"/>
  <c r="B630" i="41"/>
  <c r="B631" i="41"/>
  <c r="B632" i="41"/>
  <c r="B633" i="41"/>
  <c r="B634" i="41"/>
  <c r="B635" i="41"/>
  <c r="B636" i="41"/>
  <c r="B637" i="41"/>
  <c r="B638" i="41"/>
  <c r="B639" i="41"/>
  <c r="B640" i="41"/>
  <c r="B641" i="41"/>
  <c r="B642" i="41"/>
  <c r="B643" i="41"/>
  <c r="B644" i="41"/>
  <c r="B645" i="41"/>
  <c r="B646" i="41"/>
  <c r="B647" i="41"/>
  <c r="B648" i="41"/>
  <c r="B649" i="41"/>
  <c r="B650" i="41"/>
  <c r="B651" i="41"/>
  <c r="B652" i="41"/>
  <c r="B653" i="41"/>
  <c r="B654" i="41"/>
  <c r="B655" i="41"/>
  <c r="B656" i="41"/>
  <c r="B657" i="41"/>
  <c r="B658" i="41"/>
  <c r="B659" i="41"/>
  <c r="B660" i="41"/>
  <c r="B661" i="41"/>
  <c r="B662" i="41"/>
  <c r="B663" i="41"/>
  <c r="B664" i="41"/>
  <c r="B665" i="41"/>
  <c r="B666" i="41"/>
  <c r="B667" i="41"/>
  <c r="B668" i="41"/>
  <c r="B669" i="41"/>
  <c r="B670" i="41"/>
  <c r="B671" i="41"/>
  <c r="B672" i="41"/>
  <c r="B673" i="41"/>
  <c r="B674" i="41"/>
  <c r="B675" i="41"/>
  <c r="B676" i="41"/>
  <c r="B677" i="41"/>
  <c r="B678" i="41"/>
  <c r="B679" i="41"/>
  <c r="B680" i="41"/>
  <c r="B681" i="41"/>
  <c r="B682" i="41"/>
  <c r="B683" i="41"/>
  <c r="B684" i="41"/>
  <c r="B685" i="41"/>
  <c r="B686" i="41"/>
  <c r="B687" i="41"/>
  <c r="B688" i="41"/>
  <c r="B689" i="41"/>
  <c r="B690" i="41"/>
  <c r="B691" i="41"/>
  <c r="B692" i="41"/>
  <c r="B693" i="41"/>
  <c r="B694" i="41"/>
  <c r="B695" i="41"/>
  <c r="B696" i="41"/>
  <c r="B697" i="41"/>
  <c r="B698" i="41"/>
  <c r="B699" i="41"/>
  <c r="B700" i="41"/>
  <c r="B701" i="41"/>
  <c r="B702" i="41"/>
  <c r="B703" i="41"/>
  <c r="B704" i="41"/>
  <c r="B705" i="41"/>
  <c r="B706" i="41"/>
  <c r="B707" i="41"/>
  <c r="B708" i="41"/>
  <c r="B709" i="41"/>
  <c r="B710" i="41"/>
  <c r="B711" i="41"/>
  <c r="B712" i="41"/>
  <c r="B713" i="41"/>
  <c r="B714" i="41"/>
  <c r="B715" i="41"/>
  <c r="B716" i="41"/>
  <c r="B717" i="41"/>
  <c r="B718" i="41"/>
  <c r="B719" i="41"/>
  <c r="B720" i="41"/>
  <c r="B721" i="41"/>
  <c r="B722" i="41"/>
  <c r="B723" i="41"/>
  <c r="B724" i="41"/>
  <c r="B725" i="41"/>
  <c r="B726" i="41"/>
  <c r="B727" i="41"/>
  <c r="B728" i="41"/>
  <c r="B729" i="41"/>
  <c r="B730" i="41"/>
  <c r="B731" i="41"/>
  <c r="B732" i="41"/>
  <c r="B733" i="41"/>
  <c r="B734" i="41"/>
  <c r="B735" i="41"/>
  <c r="B736" i="41"/>
  <c r="B737" i="41"/>
  <c r="B738" i="41"/>
  <c r="B739" i="41"/>
  <c r="B740" i="41"/>
  <c r="B741" i="41"/>
  <c r="B742" i="41"/>
  <c r="B743" i="41"/>
  <c r="B744" i="41"/>
  <c r="B745" i="41"/>
  <c r="B746" i="41"/>
  <c r="B747" i="41"/>
  <c r="B748" i="41"/>
  <c r="B749" i="41"/>
  <c r="B750" i="41"/>
  <c r="B751" i="41"/>
  <c r="B752" i="41"/>
  <c r="B753" i="41"/>
  <c r="B754" i="41"/>
  <c r="B755" i="41"/>
  <c r="B756" i="41"/>
  <c r="B757" i="41"/>
  <c r="B758" i="41"/>
  <c r="B759" i="41"/>
  <c r="B760" i="41"/>
  <c r="B761" i="41"/>
  <c r="B762" i="41"/>
  <c r="B763" i="41"/>
  <c r="B764" i="41"/>
  <c r="B765" i="41"/>
  <c r="B766" i="41"/>
  <c r="B770" i="41"/>
  <c r="B771" i="41"/>
  <c r="B772" i="41"/>
  <c r="B773" i="41"/>
  <c r="B774" i="41"/>
  <c r="B775" i="41"/>
  <c r="B776" i="41"/>
  <c r="B777" i="41"/>
  <c r="B778" i="41"/>
  <c r="B779" i="41"/>
  <c r="B780" i="41"/>
  <c r="B781" i="41"/>
  <c r="B782" i="41"/>
  <c r="B783" i="41"/>
  <c r="B784" i="41"/>
  <c r="B785" i="41"/>
  <c r="B786" i="41"/>
  <c r="B787" i="41"/>
  <c r="B788" i="41"/>
  <c r="B789" i="41"/>
  <c r="B792" i="41"/>
  <c r="B793" i="41"/>
  <c r="B794" i="41"/>
  <c r="B795" i="41"/>
  <c r="B796" i="41"/>
  <c r="B797" i="41"/>
  <c r="B798" i="41"/>
  <c r="B799" i="41"/>
  <c r="B800" i="41"/>
  <c r="B801" i="41"/>
  <c r="B802" i="41"/>
  <c r="B803" i="41"/>
  <c r="B804" i="41"/>
  <c r="B805" i="41"/>
  <c r="B806" i="41"/>
  <c r="B807" i="41"/>
  <c r="B808" i="41"/>
  <c r="B809" i="41"/>
  <c r="B810" i="41"/>
  <c r="B813" i="41"/>
  <c r="B814" i="41"/>
  <c r="B815" i="41"/>
  <c r="B816" i="41"/>
  <c r="B817" i="41"/>
  <c r="B818" i="41"/>
  <c r="B819" i="41"/>
  <c r="B820" i="41"/>
  <c r="B821" i="41"/>
  <c r="B822" i="41"/>
  <c r="B823" i="41"/>
  <c r="B824" i="41"/>
  <c r="B825" i="41"/>
  <c r="B826" i="41"/>
  <c r="B827" i="41"/>
  <c r="B828" i="41"/>
  <c r="B829" i="41"/>
  <c r="B830" i="41"/>
  <c r="B831" i="41"/>
  <c r="B832" i="41"/>
  <c r="B833" i="41"/>
  <c r="B834" i="41"/>
  <c r="B835" i="41"/>
  <c r="B836" i="41"/>
  <c r="B837" i="41"/>
  <c r="B838" i="41"/>
  <c r="B839" i="41"/>
  <c r="B840" i="41"/>
  <c r="B841" i="41"/>
  <c r="B9" i="41"/>
  <c r="N35" i="16"/>
  <c r="N35" i="17"/>
  <c r="N35" i="19"/>
  <c r="N35" i="18"/>
  <c r="N35" i="15"/>
  <c r="N35" i="9"/>
  <c r="N35" i="20"/>
  <c r="N35" i="21"/>
  <c r="N35" i="22"/>
  <c r="N35" i="23"/>
  <c r="N99" i="3"/>
  <c r="I25" i="8"/>
  <c r="H25" i="8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E24" i="8"/>
  <c r="I24" i="8" s="1"/>
  <c r="E23" i="8"/>
  <c r="I23" i="8" s="1"/>
  <c r="E22" i="8"/>
  <c r="I22" i="8" s="1"/>
  <c r="E21" i="8"/>
  <c r="I21" i="8" s="1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G25" i="8"/>
  <c r="G24" i="8"/>
  <c r="G23" i="8"/>
  <c r="G22" i="8"/>
  <c r="N34" i="9"/>
  <c r="N34" i="15"/>
  <c r="N34" i="16"/>
  <c r="N34" i="17"/>
  <c r="N34" i="18"/>
  <c r="N34" i="19"/>
  <c r="N34" i="20"/>
  <c r="N34" i="21"/>
  <c r="N34" i="22"/>
  <c r="N34" i="23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5" i="18"/>
  <c r="N6" i="18"/>
  <c r="N7" i="18"/>
  <c r="N8" i="18"/>
  <c r="N9" i="18"/>
  <c r="N10" i="18"/>
  <c r="N11" i="18"/>
  <c r="N12" i="18"/>
  <c r="N13" i="18"/>
  <c r="N14" i="18"/>
  <c r="N15" i="18"/>
  <c r="N16" i="18"/>
  <c r="N17" i="18"/>
  <c r="N18" i="18"/>
  <c r="N19" i="18"/>
  <c r="N20" i="18"/>
  <c r="N21" i="18"/>
  <c r="N22" i="18"/>
  <c r="N23" i="18"/>
  <c r="N24" i="18"/>
  <c r="N25" i="18"/>
  <c r="N26" i="18"/>
  <c r="N27" i="18"/>
  <c r="N28" i="18"/>
  <c r="N29" i="18"/>
  <c r="N30" i="18"/>
  <c r="N31" i="18"/>
  <c r="N32" i="18"/>
  <c r="N33" i="18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N32" i="19"/>
  <c r="N33" i="19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5" i="22"/>
  <c r="N6" i="22"/>
  <c r="N7" i="22"/>
  <c r="N8" i="22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4" i="9"/>
  <c r="N4" i="15"/>
  <c r="N4" i="16"/>
  <c r="N4" i="17"/>
  <c r="N4" i="18"/>
  <c r="N4" i="19"/>
  <c r="N4" i="20"/>
  <c r="N4" i="21"/>
  <c r="N4" i="22"/>
  <c r="N5" i="23"/>
  <c r="N6" i="23"/>
  <c r="N7" i="23"/>
  <c r="N8" i="23"/>
  <c r="N9" i="23"/>
  <c r="N10" i="23"/>
  <c r="N11" i="23"/>
  <c r="N12" i="23"/>
  <c r="N13" i="23"/>
  <c r="N14" i="23"/>
  <c r="N15" i="23"/>
  <c r="N16" i="23"/>
  <c r="N17" i="23"/>
  <c r="N18" i="23"/>
  <c r="N19" i="23"/>
  <c r="N20" i="23"/>
  <c r="N21" i="23"/>
  <c r="N22" i="23"/>
  <c r="N23" i="23"/>
  <c r="N24" i="23"/>
  <c r="N25" i="23"/>
  <c r="N26" i="23"/>
  <c r="N27" i="23"/>
  <c r="N28" i="23"/>
  <c r="N29" i="23"/>
  <c r="N30" i="23"/>
  <c r="N31" i="23"/>
  <c r="N32" i="23"/>
  <c r="N33" i="23"/>
  <c r="N4" i="23"/>
  <c r="P2" i="3"/>
  <c r="Q2" i="46"/>
  <c r="E53" i="7" l="1"/>
  <c r="AB2" i="5"/>
  <c r="R2" i="5"/>
  <c r="AJ2" i="5"/>
  <c r="AT2" i="5"/>
  <c r="AO2" i="5"/>
  <c r="Q2" i="5"/>
  <c r="AQ348" i="5"/>
  <c r="AQ320" i="5"/>
  <c r="BD416" i="5"/>
  <c r="BE420" i="5"/>
  <c r="AA2" i="5"/>
  <c r="AF2" i="5"/>
  <c r="Y2" i="5"/>
  <c r="AG2" i="5"/>
  <c r="L2" i="5"/>
  <c r="AK2" i="5"/>
  <c r="X2" i="5"/>
  <c r="BE413" i="5"/>
  <c r="K2" i="5"/>
  <c r="AI2" i="5"/>
  <c r="AQ349" i="5"/>
  <c r="AN2" i="5"/>
  <c r="AP2" i="5"/>
  <c r="AC2" i="5"/>
  <c r="N2" i="5"/>
  <c r="V2" i="5"/>
  <c r="AH2" i="5"/>
  <c r="O2" i="5"/>
  <c r="AQ2" i="5"/>
  <c r="S2" i="5"/>
  <c r="AD2" i="5"/>
  <c r="W2" i="5"/>
  <c r="T2" i="5"/>
  <c r="AM2" i="5"/>
  <c r="BD421" i="5"/>
  <c r="BD420" i="5"/>
  <c r="BE424" i="5"/>
  <c r="BE422" i="5"/>
  <c r="BE421" i="5"/>
  <c r="BE419" i="5"/>
  <c r="BE418" i="5"/>
  <c r="BD412" i="5"/>
  <c r="BE416" i="5"/>
  <c r="AQ329" i="5"/>
  <c r="BD414" i="5"/>
  <c r="BD413" i="5"/>
  <c r="BE417" i="5"/>
  <c r="BE415" i="5"/>
  <c r="AQ345" i="5"/>
  <c r="BE423" i="5"/>
  <c r="AQ338" i="5"/>
  <c r="AQ334" i="5"/>
  <c r="AQ332" i="5"/>
  <c r="AQ335" i="5"/>
  <c r="AQ323" i="5"/>
  <c r="BD424" i="5"/>
  <c r="BD422" i="5"/>
  <c r="BE414" i="5"/>
  <c r="BI2" i="5"/>
  <c r="AQ328" i="5"/>
  <c r="BD417" i="5"/>
  <c r="BD415" i="5"/>
  <c r="V428" i="5"/>
  <c r="BD418" i="5"/>
  <c r="BE412" i="5"/>
  <c r="W428" i="5"/>
  <c r="AQ331" i="5"/>
  <c r="AQ340" i="5"/>
  <c r="AQ350" i="5"/>
  <c r="BH2" i="5"/>
  <c r="BG2" i="5"/>
  <c r="BE2" i="5"/>
  <c r="BD2" i="5"/>
  <c r="BC2" i="5"/>
  <c r="BB2" i="5"/>
  <c r="BA2" i="5"/>
  <c r="AZ2" i="5"/>
  <c r="AQ319" i="5"/>
  <c r="AS2" i="5"/>
  <c r="AX2" i="5"/>
  <c r="BM2" i="5"/>
  <c r="AW2" i="5"/>
  <c r="BL2" i="5"/>
  <c r="AV2" i="5"/>
  <c r="BK2" i="5"/>
  <c r="AU2" i="5"/>
  <c r="BJ2" i="5"/>
  <c r="P3" i="3"/>
  <c r="Q3" i="46"/>
  <c r="L1" i="5" l="1"/>
  <c r="AQ337" i="5"/>
  <c r="AQ360" i="5"/>
  <c r="AQ336" i="5"/>
  <c r="AQ333" i="5"/>
  <c r="AQ341" i="5"/>
  <c r="AQ356" i="5"/>
  <c r="AQ346" i="5"/>
  <c r="AQ344" i="5"/>
  <c r="AQ339" i="5"/>
  <c r="AQ347" i="5"/>
  <c r="AQ368" i="5"/>
  <c r="AQ352" i="5"/>
  <c r="AQ362" i="5"/>
  <c r="AQ343" i="5"/>
  <c r="AQ357" i="5"/>
  <c r="AQ330" i="5"/>
  <c r="AQ361" i="5"/>
  <c r="AQ358" i="5" l="1"/>
  <c r="AQ359" i="5"/>
  <c r="AQ351" i="5"/>
  <c r="AQ372" i="5"/>
  <c r="AQ373" i="5"/>
  <c r="AQ364" i="5"/>
  <c r="AQ355" i="5"/>
  <c r="AQ380" i="5"/>
  <c r="AQ374" i="5"/>
  <c r="AQ342" i="5"/>
  <c r="AQ369" i="5"/>
  <c r="AQ353" i="5" l="1"/>
  <c r="AQ363" i="5"/>
  <c r="AQ371" i="5"/>
  <c r="AQ367" i="5"/>
  <c r="AQ376" i="5"/>
  <c r="AQ392" i="5"/>
  <c r="AQ381" i="5"/>
  <c r="AQ354" i="5"/>
  <c r="AQ386" i="5"/>
  <c r="AQ385" i="5"/>
  <c r="AQ384" i="5"/>
  <c r="AQ370" i="5" l="1"/>
  <c r="AQ365" i="5"/>
  <c r="AQ383" i="5"/>
  <c r="AQ375" i="5"/>
  <c r="AQ404" i="5"/>
  <c r="AQ396" i="5"/>
  <c r="AQ379" i="5"/>
  <c r="AQ398" i="5"/>
  <c r="AQ393" i="5"/>
  <c r="AQ388" i="5"/>
  <c r="AQ397" i="5"/>
  <c r="AQ366" i="5"/>
  <c r="AQ382" i="5" l="1"/>
  <c r="AQ377" i="5"/>
  <c r="AQ387" i="5"/>
  <c r="AQ395" i="5"/>
  <c r="AQ408" i="5"/>
  <c r="AQ405" i="5"/>
  <c r="AQ391" i="5"/>
  <c r="AQ378" i="5"/>
  <c r="AQ428" i="5"/>
  <c r="AQ416" i="5"/>
  <c r="AQ410" i="5"/>
  <c r="AQ409" i="5"/>
  <c r="AQ400" i="5"/>
  <c r="AQ394" i="5" l="1"/>
  <c r="AQ389" i="5"/>
  <c r="AQ407" i="5"/>
  <c r="AQ399" i="5"/>
  <c r="AQ390" i="5"/>
  <c r="AQ403" i="5"/>
  <c r="AQ421" i="5"/>
  <c r="AQ420" i="5"/>
  <c r="AQ432" i="5"/>
  <c r="AQ412" i="5"/>
  <c r="AQ417" i="5"/>
  <c r="AQ422" i="5"/>
  <c r="AQ406" i="5" l="1"/>
  <c r="AQ401" i="5"/>
  <c r="AQ411" i="5"/>
  <c r="AQ419" i="5"/>
  <c r="AQ424" i="5"/>
  <c r="AQ402" i="5"/>
  <c r="AQ415" i="5"/>
  <c r="AQ418" i="5" l="1"/>
  <c r="AQ413" i="5"/>
  <c r="AQ425" i="5"/>
  <c r="AQ423" i="5"/>
  <c r="AQ414" i="5"/>
  <c r="AQ426" i="5"/>
  <c r="K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Guy Aubin:</t>
        </r>
        <r>
          <rPr>
            <sz val="8"/>
            <color indexed="81"/>
            <rFont val="Tahoma"/>
            <family val="2"/>
          </rPr>
          <t xml:space="preserve">
Article 8517 des règlements de l'impôt sur le revenu.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U3279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Guy Aubin (2017.02.01):</t>
        </r>
        <r>
          <rPr>
            <sz val="9"/>
            <color indexed="81"/>
            <rFont val="Tahoma"/>
            <family val="2"/>
          </rPr>
          <t xml:space="preserve">
Préliminaire publié 17 janvier 2017 - 217002.
Final 1 mars 2017 - 217022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 utilisateur satisfait de Microsoft Office</author>
  </authors>
  <commentList>
    <comment ref="C36" authorId="0" shapeId="0" xr:uid="{00000000-0006-0000-0200-000002000000}">
      <text>
        <r>
          <rPr>
            <sz val="8"/>
            <color indexed="81"/>
            <rFont val="Tahoma"/>
            <family val="2"/>
          </rPr>
          <t>Moyenne 4 ans</t>
        </r>
      </text>
    </comment>
    <comment ref="C37" authorId="0" shapeId="0" xr:uid="{00000000-0006-0000-0200-000003000000}">
      <text>
        <r>
          <rPr>
            <sz val="8"/>
            <color indexed="81"/>
            <rFont val="Tahoma"/>
            <family val="2"/>
          </rPr>
          <t>Moyenne 5 ans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 utilisateur satisfait de Microsoft Office</author>
  </authors>
  <commentList>
    <comment ref="C36" authorId="0" shapeId="0" xr:uid="{00000000-0006-0000-0300-000002000000}">
      <text>
        <r>
          <rPr>
            <sz val="8"/>
            <color indexed="81"/>
            <rFont val="Tahoma"/>
            <family val="2"/>
          </rPr>
          <t>Moyenne 4 ans</t>
        </r>
      </text>
    </comment>
    <comment ref="C37" authorId="0" shapeId="0" xr:uid="{00000000-0006-0000-0300-000003000000}">
      <text>
        <r>
          <rPr>
            <sz val="8"/>
            <color indexed="81"/>
            <rFont val="Tahoma"/>
            <family val="2"/>
          </rPr>
          <t>Moyenne 5 ans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</author>
    <author>Guy Aubin</author>
  </authors>
  <commentList>
    <comment ref="F3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Guy:</t>
        </r>
        <r>
          <rPr>
            <sz val="9"/>
            <color indexed="81"/>
            <rFont val="Tahoma"/>
            <family val="2"/>
          </rPr>
          <t xml:space="preserve">
Indexed yearly starting in 2000 according to average 12-month CPI increase in Sept. of previous year rounded to 3rd decimal - ROUND(CPI(Year-1;9;4;TRUE);3)</t>
        </r>
      </text>
    </comment>
    <comment ref="G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Guy:</t>
        </r>
        <r>
          <rPr>
            <sz val="9"/>
            <color indexed="81"/>
            <rFont val="Tahoma"/>
            <family val="2"/>
          </rPr>
          <t xml:space="preserve">
= roundup(3 x SUM(B:E)/15% + F,0)
Final only when Q4 max pension available</t>
        </r>
      </text>
    </comment>
    <comment ref="A4" authorId="1" shapeId="0" xr:uid="{00000000-0006-0000-0400-000003000000}">
      <text>
        <r>
          <rPr>
            <b/>
            <sz val="8"/>
            <color indexed="81"/>
            <rFont val="Tahoma"/>
            <family val="2"/>
          </rPr>
          <t>Guy Aubin:</t>
        </r>
        <r>
          <rPr>
            <sz val="8"/>
            <color indexed="81"/>
            <rFont val="Tahoma"/>
            <family val="2"/>
          </rPr>
          <t xml:space="preserve">
Le principe d'augmentation trimestrielle n'a été instauré qu'en 1973.</t>
        </r>
      </text>
    </comment>
    <comment ref="B35" authorId="1" shapeId="0" xr:uid="{00000000-0006-0000-0400-000004000000}">
      <text>
        <r>
          <rPr>
            <b/>
            <sz val="8"/>
            <color indexed="81"/>
            <rFont val="Tahoma"/>
            <family val="2"/>
          </rPr>
          <t>Guy Aubin:</t>
        </r>
        <r>
          <rPr>
            <sz val="8"/>
            <color indexed="81"/>
            <rFont val="Tahoma"/>
            <family val="2"/>
          </rPr>
          <t xml:space="preserve">
Baisse à 250,62$ au 1er février 1983.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  <author>Un utilisateur satisfait de Microsoft Office</author>
  </authors>
  <commentList>
    <comment ref="K3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Guy Aubin:</t>
        </r>
        <r>
          <rPr>
            <sz val="9"/>
            <color indexed="81"/>
            <rFont val="Tahoma"/>
            <family val="2"/>
          </rPr>
          <t xml:space="preserve">
en vigueur jusqu'à août 1993 (incl.)</t>
        </r>
      </text>
    </comment>
    <comment ref="N3" authorId="0" shapeId="0" xr:uid="{00000000-0006-0000-1000-000002000000}">
      <text>
        <r>
          <rPr>
            <b/>
            <sz val="9"/>
            <color indexed="81"/>
            <rFont val="Tahoma"/>
            <family val="2"/>
          </rPr>
          <t>Guy Aubin:</t>
        </r>
        <r>
          <rPr>
            <sz val="9"/>
            <color indexed="81"/>
            <rFont val="Tahoma"/>
            <family val="2"/>
          </rPr>
          <t xml:space="preserve">
en vigueur de septembre 1993 à janvier 2005 (incl)</t>
        </r>
      </text>
    </comment>
    <comment ref="Q3" authorId="0" shapeId="0" xr:uid="{00000000-0006-0000-1000-000003000000}">
      <text>
        <r>
          <rPr>
            <b/>
            <sz val="9"/>
            <color indexed="81"/>
            <rFont val="Tahoma"/>
            <family val="2"/>
          </rPr>
          <t>Guy Aubin:</t>
        </r>
        <r>
          <rPr>
            <sz val="9"/>
            <color indexed="81"/>
            <rFont val="Tahoma"/>
            <family val="2"/>
          </rPr>
          <t xml:space="preserve">
en vigueur de février 2005 à mars 2009 (incl.)</t>
        </r>
      </text>
    </comment>
    <comment ref="V3" authorId="0" shapeId="0" xr:uid="{00000000-0006-0000-1000-000004000000}">
      <text>
        <r>
          <rPr>
            <b/>
            <sz val="9"/>
            <color indexed="81"/>
            <rFont val="Tahoma"/>
            <family val="2"/>
          </rPr>
          <t>Guy Aubin:</t>
        </r>
        <r>
          <rPr>
            <sz val="9"/>
            <color indexed="81"/>
            <rFont val="Tahoma"/>
            <family val="2"/>
          </rPr>
          <t xml:space="preserve">
en vigueur depuis avril 2009</t>
        </r>
      </text>
    </comment>
    <comment ref="C5" authorId="1" shapeId="0" xr:uid="{00000000-0006-0000-1000-000005000000}">
      <text>
        <r>
          <rPr>
            <sz val="8"/>
            <color indexed="81"/>
            <rFont val="Tahoma"/>
            <family val="2"/>
          </rPr>
          <t>B113867
V122487</t>
        </r>
      </text>
    </comment>
    <comment ref="D5" authorId="1" shapeId="0" xr:uid="{00000000-0006-0000-1000-000006000000}">
      <text>
        <r>
          <rPr>
            <sz val="8"/>
            <color indexed="81"/>
            <rFont val="Tahoma"/>
            <family val="2"/>
          </rPr>
          <t>B113872
V122521</t>
        </r>
      </text>
    </comment>
    <comment ref="E5" authorId="1" shapeId="0" xr:uid="{00000000-0006-0000-1000-000007000000}">
      <text>
        <r>
          <rPr>
            <sz val="8"/>
            <color indexed="81"/>
            <rFont val="Tahoma"/>
            <family val="2"/>
          </rPr>
          <t>B113911
V121808
V122553 (juillet 2005)</t>
        </r>
      </text>
    </comment>
    <comment ref="H5" authorId="0" shapeId="0" xr:uid="{00000000-0006-0000-1000-000008000000}">
      <text>
        <r>
          <rPr>
            <b/>
            <sz val="10"/>
            <color indexed="81"/>
            <rFont val="Tahoma"/>
            <family val="2"/>
          </rPr>
          <t>Guy Aubin:</t>
        </r>
        <r>
          <rPr>
            <sz val="10"/>
            <color indexed="81"/>
            <rFont val="Tahoma"/>
            <family val="2"/>
          </rPr>
          <t xml:space="preserve">
V122542 (juillet 2005)</t>
        </r>
      </text>
    </comment>
    <comment ref="I5" authorId="0" shapeId="0" xr:uid="{00000000-0006-0000-1000-000009000000}">
      <text>
        <r>
          <rPr>
            <b/>
            <sz val="10"/>
            <color indexed="81"/>
            <rFont val="Tahoma"/>
            <family val="2"/>
          </rPr>
          <t>Guy Aubin:</t>
        </r>
        <r>
          <rPr>
            <sz val="10"/>
            <color indexed="81"/>
            <rFont val="Tahoma"/>
            <family val="2"/>
          </rPr>
          <t xml:space="preserve">
V122544 (juillet 2005)</t>
        </r>
      </text>
    </comment>
    <comment ref="AK5" authorId="1" shapeId="0" xr:uid="{00000000-0006-0000-1000-00000A000000}">
      <text>
        <r>
          <rPr>
            <sz val="8"/>
            <color indexed="81"/>
            <rFont val="Tahoma"/>
            <family val="2"/>
          </rPr>
          <t>B113911
V121808</t>
        </r>
      </text>
    </comment>
    <comment ref="E105" authorId="0" shapeId="0" xr:uid="{00000000-0006-0000-1000-00000B000000}">
      <text>
        <r>
          <rPr>
            <b/>
            <sz val="8"/>
            <color indexed="81"/>
            <rFont val="Tahoma"/>
            <family val="2"/>
          </rPr>
          <t>Guy Aubin:</t>
        </r>
        <r>
          <rPr>
            <sz val="8"/>
            <color indexed="81"/>
            <rFont val="Tahoma"/>
            <family val="2"/>
          </rPr>
          <t xml:space="preserve">
4,26 changé pour 4,29 le 2004.01.06.</t>
        </r>
      </text>
    </comment>
    <comment ref="E199" authorId="0" shapeId="0" xr:uid="{00000000-0006-0000-1000-00000C000000}">
      <text>
        <r>
          <rPr>
            <b/>
            <sz val="8"/>
            <color indexed="81"/>
            <rFont val="Tahoma"/>
            <family val="2"/>
          </rPr>
          <t>Guy Aubin:</t>
        </r>
        <r>
          <rPr>
            <sz val="8"/>
            <color indexed="81"/>
            <rFont val="Tahoma"/>
            <family val="2"/>
          </rPr>
          <t xml:space="preserve">
3,73 changé pour 3,68 le 2004.01.06.</t>
        </r>
      </text>
    </comment>
    <comment ref="C220" authorId="0" shapeId="0" xr:uid="{00000000-0006-0000-1000-00000D000000}">
      <text>
        <r>
          <rPr>
            <b/>
            <sz val="8"/>
            <color indexed="81"/>
            <rFont val="Tahoma"/>
            <family val="2"/>
          </rPr>
          <t>Guy Aubin:</t>
        </r>
        <r>
          <rPr>
            <sz val="8"/>
            <color indexed="81"/>
            <rFont val="Tahoma"/>
            <family val="2"/>
          </rPr>
          <t xml:space="preserve">
Était 5,11.  Changé pour 5,14 le 2004.01.06.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Guy Aubin:</t>
        </r>
        <r>
          <rPr>
            <sz val="8"/>
            <color indexed="81"/>
            <rFont val="Tahoma"/>
            <family val="2"/>
          </rPr>
          <t xml:space="preserve">
Statistique Canada, Table 326-0020,
Panier 2005, Base 2002=100,
Non désaisonnalisé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2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3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4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5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6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7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8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9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A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B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sharedStrings.xml><?xml version="1.0" encoding="utf-8"?>
<sst xmlns="http://schemas.openxmlformats.org/spreadsheetml/2006/main" count="11447" uniqueCount="218">
  <si>
    <t>10 ans</t>
  </si>
  <si>
    <t>P700000</t>
  </si>
  <si>
    <t>Q1</t>
  </si>
  <si>
    <t>Q2</t>
  </si>
  <si>
    <t>Q3</t>
  </si>
  <si>
    <t>Q4</t>
  </si>
  <si>
    <t>Age</t>
  </si>
  <si>
    <t>FE</t>
  </si>
  <si>
    <t>Max</t>
  </si>
  <si>
    <t>Annualized rates</t>
  </si>
  <si>
    <t>V122487</t>
  </si>
  <si>
    <t>V122521</t>
  </si>
  <si>
    <t>V122553</t>
  </si>
  <si>
    <t>V122542</t>
  </si>
  <si>
    <t>V122544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</si>
  <si>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</si>
  <si>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</si>
  <si>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</si>
  <si>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</si>
  <si>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</si>
  <si>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</si>
  <si>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</si>
  <si>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</si>
  <si>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</si>
  <si>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</si>
  <si>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</si>
  <si>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</si>
  <si>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Average</t>
  </si>
  <si>
    <t>AWE Historical data</t>
  </si>
  <si>
    <t>12-month average as at June 30th</t>
  </si>
  <si>
    <t>Registered Pension Plans, RRSP and DPSP's limits</t>
  </si>
  <si>
    <t>Maximum transfer</t>
  </si>
  <si>
    <t>factor</t>
  </si>
  <si>
    <t>DB</t>
  </si>
  <si>
    <t>DC</t>
  </si>
  <si>
    <t>RRSP</t>
  </si>
  <si>
    <t>DPSP</t>
  </si>
  <si>
    <t>PA</t>
  </si>
  <si>
    <t>Exclusion</t>
  </si>
  <si>
    <t>Excluded earnings</t>
  </si>
  <si>
    <t>Lower bound</t>
  </si>
  <si>
    <t>Upper bound</t>
  </si>
  <si>
    <t>Maximum Pension Credit</t>
  </si>
  <si>
    <t>Canadian Institute of Actuaries - Prescribed interest rates for commuted value calculations</t>
  </si>
  <si>
    <t>Bank of Canada's statistics</t>
  </si>
  <si>
    <t>5 year mortgage</t>
  </si>
  <si>
    <t>Real return</t>
  </si>
  <si>
    <t>CPI</t>
  </si>
  <si>
    <t>12 months*</t>
  </si>
  <si>
    <t>7 years</t>
  </si>
  <si>
    <t>Long
term</t>
  </si>
  <si>
    <t>Unindexed</t>
  </si>
  <si>
    <t>Indexed</t>
  </si>
  <si>
    <t>1988 norm</t>
  </si>
  <si>
    <t>1993 norm</t>
  </si>
  <si>
    <t>2005 Norm</t>
  </si>
  <si>
    <t>0-10 years</t>
  </si>
  <si>
    <t>after 10 years</t>
  </si>
  <si>
    <t>Régime de rentes du Québec - Statistics</t>
  </si>
  <si>
    <t>Year</t>
  </si>
  <si>
    <t>YMPE</t>
  </si>
  <si>
    <t>Max. retirement pension</t>
  </si>
  <si>
    <t>Basic exemption</t>
  </si>
  <si>
    <t>Maximum contribution</t>
  </si>
  <si>
    <t>Canada Pension Plan - Statistics</t>
  </si>
  <si>
    <t>Old Age Security Statistics</t>
  </si>
  <si>
    <t>Average Weekly Earnings - Quebec</t>
  </si>
  <si>
    <t>Average Weekly Earnings - Ontario</t>
  </si>
  <si>
    <t>Average Weekly Earnings - British Columbia</t>
  </si>
  <si>
    <t>Average Weekly Earnings - Alberta</t>
  </si>
  <si>
    <t>Average Weekly Earnings - Saskatchewan</t>
  </si>
  <si>
    <t>Average Weekly Earnings - Manitoba</t>
  </si>
  <si>
    <t>Average Weekly Earnings - Newfoundland and Labrador</t>
  </si>
  <si>
    <t>Average Weekly Earnings - Prince Edward Island</t>
  </si>
  <si>
    <t>Average Weekly Earnings - Nova Scotia</t>
  </si>
  <si>
    <t>Average Weekly Earnings - New Brunswick</t>
  </si>
  <si>
    <t>Average Weekly Earnings - Canada</t>
  </si>
  <si>
    <t>Consumer Price Index Statistics - TERRE-NEUVE ET LABRADOR (2005 Basket, All items, 2002 = 100)</t>
  </si>
  <si>
    <t>Consumer Price Index Statistics - CANADA (2005 Basket, All items, 2002 = 100)</t>
  </si>
  <si>
    <t>Consumer Price Index Statistics - ÎLE-DU-PRINCE-ÉDOUARD (2005 Basket, All items, 2002 = 100)</t>
  </si>
  <si>
    <t>Consumer Price Index Statistics - NOUVELLE-ÉCOSSE (2005 Basket, All items, 2002 = 100)</t>
  </si>
  <si>
    <t>Consumer Price Index Statistics - NOUVEAU-BRUNSWICK (2005 Basket, All items, 2002 = 100)</t>
  </si>
  <si>
    <t>Consumer Price Index Statistics - QUÉBEC (2005 Basket, All items, 2002 = 100)</t>
  </si>
  <si>
    <t>Consumer Price Index Statistics - ONTARIO (2005 Basket, All items, 2002 = 100)</t>
  </si>
  <si>
    <t>Consumer Price Index Statistics - MANITOBA (2005 Basket, All items, 2002 = 100)</t>
  </si>
  <si>
    <t>Consumer Price Index Statistics - SASKATCHEWAN (2005 Basket, All items, 2002 = 100)</t>
  </si>
  <si>
    <t>Consumer Price Index Statistics - ALBERTA (2005 Basket, All items, 2002 = 100)</t>
  </si>
  <si>
    <t>V39062</t>
  </si>
  <si>
    <t>Ajustement selon ICA</t>
  </si>
  <si>
    <t>Date</t>
  </si>
  <si>
    <t>Min</t>
  </si>
  <si>
    <t>2009 Norm (rounded)</t>
  </si>
  <si>
    <t>2009 Norm (not rounded)</t>
  </si>
  <si>
    <t>Prime Max</t>
  </si>
  <si>
    <t>Facteur d'indexation pour évaluer la prestation additionnelle selon Loi RCR a. 60.1</t>
  </si>
  <si>
    <t>Key</t>
  </si>
  <si>
    <t>Consumer Price Index Statistics - COLOMBIE-BRITANNIQUE (2005 Basket, All items, 2002 = 100)</t>
  </si>
  <si>
    <t>Canada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</si>
  <si>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</si>
  <si>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</si>
  <si>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</si>
  <si>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</si>
  <si>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</si>
  <si>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</si>
  <si>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</si>
  <si>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</si>
  <si>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</si>
  <si>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</si>
  <si>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</si>
  <si>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</si>
  <si>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Terre-Neuve-et-Labrador</t>
  </si>
  <si>
    <t>Île-du-Prince-Édouard</t>
  </si>
  <si>
    <t>Nouvelle-Écosse</t>
  </si>
  <si>
    <t>Nouveau-Brunswick</t>
  </si>
  <si>
    <t>Québec</t>
  </si>
  <si>
    <t>Ontario</t>
  </si>
  <si>
    <t>Manitoba</t>
  </si>
  <si>
    <t>Saskatchewan</t>
  </si>
  <si>
    <t>Alberta</t>
  </si>
  <si>
    <t>Colombie-Britannique</t>
  </si>
  <si>
    <t>Moyen</t>
  </si>
  <si>
    <t>Durée</t>
  </si>
  <si>
    <t>Courte</t>
  </si>
  <si>
    <t>Moyenne</t>
  </si>
  <si>
    <t>Longue</t>
  </si>
  <si>
    <t>PA Max (DB plan)</t>
  </si>
  <si>
    <t>ICA Document</t>
  </si>
  <si>
    <t>No.</t>
  </si>
  <si>
    <t>V39057</t>
  </si>
  <si>
    <t>Ajustement</t>
  </si>
  <si>
    <t>Rente Non Indexée</t>
  </si>
  <si>
    <t>Rente Indexée</t>
  </si>
  <si>
    <t>Minimum Income Recovery Threshold (clawback clause)</t>
  </si>
  <si>
    <t>Maximum Income Recovery Threshold (clawback clause)</t>
  </si>
  <si>
    <t>Mortality table</t>
  </si>
  <si>
    <t>GAM83</t>
  </si>
  <si>
    <t>Table</t>
  </si>
  <si>
    <t>Projection</t>
  </si>
  <si>
    <t>Proj. Scale</t>
  </si>
  <si>
    <t>Proj. Base Year</t>
  </si>
  <si>
    <t>Proj. Vln Year</t>
  </si>
  <si>
    <t>UP94ICA</t>
  </si>
  <si>
    <t>ICA2020</t>
  </si>
  <si>
    <t>UP94</t>
  </si>
  <si>
    <t>ECH_AA</t>
  </si>
  <si>
    <t>ECH_CPM_B</t>
  </si>
  <si>
    <t>CPM2014</t>
  </si>
  <si>
    <t>last updated</t>
  </si>
  <si>
    <t>Last Row</t>
  </si>
  <si>
    <t>Last Date</t>
  </si>
  <si>
    <t>Last Month</t>
  </si>
  <si>
    <t>Last row</t>
  </si>
  <si>
    <t>Last date</t>
  </si>
  <si>
    <t>check CIA</t>
  </si>
  <si>
    <t>Data going back to January 2001 have been revised on March 27, 2019</t>
  </si>
  <si>
    <t>UPDATE RANGE "CIASTAT"</t>
  </si>
  <si>
    <t>discontinued</t>
  </si>
  <si>
    <t>YMPE2</t>
  </si>
  <si>
    <t>Contr2</t>
  </si>
  <si>
    <t>Contr3</t>
  </si>
  <si>
    <t>+7%</t>
  </si>
  <si>
    <t>+14%</t>
  </si>
  <si>
    <t>Federal</t>
  </si>
  <si>
    <t>Provincial</t>
  </si>
  <si>
    <t>Corporate</t>
  </si>
  <si>
    <t>FTSE Russel Canadian Bonds Yield To Maturity
(as of the close of the last Wednesday of the month)</t>
  </si>
  <si>
    <t>Canadian Institute of Actuaries
Standards of Practice, paragraph 3540.06.1</t>
  </si>
  <si>
    <t>Mid</t>
  </si>
  <si>
    <t>Long</t>
  </si>
  <si>
    <t>0-10</t>
  </si>
  <si>
    <t>10+</t>
  </si>
  <si>
    <t>Unindexed
(not rounded)</t>
  </si>
  <si>
    <t>Canadian Institute of Actuaries
Standards effective December 1, 2020</t>
  </si>
  <si>
    <t>Unindexed
(rounded)</t>
  </si>
  <si>
    <t>Implied rates of increase in CPI
(not rounded)</t>
  </si>
  <si>
    <t>Data going back to January 2001 have been revised on April 6, 2021</t>
  </si>
  <si>
    <t>x</t>
  </si>
  <si>
    <t>QxTable</t>
  </si>
  <si>
    <t>1D/2D</t>
  </si>
  <si>
    <t>Mortality</t>
  </si>
  <si>
    <t>Scale</t>
  </si>
  <si>
    <t>Base Year</t>
  </si>
  <si>
    <t>True/False</t>
  </si>
  <si>
    <t>Vln Year</t>
  </si>
  <si>
    <t>Change</t>
  </si>
  <si>
    <t>Pension indexation Jan 1. (TAIR)</t>
  </si>
  <si>
    <t>Contr1</t>
  </si>
  <si>
    <t>1967—10.82%</t>
  </si>
  <si>
    <t>1968—9.15%</t>
  </si>
  <si>
    <t>1969—6.98%</t>
  </si>
  <si>
    <t>1970—4.88%</t>
  </si>
  <si>
    <t>1971—2.36%</t>
  </si>
  <si>
    <t>1972—2.06%</t>
  </si>
  <si>
    <t>TAIR for 1973 depended on the year that the benefit was effective</t>
  </si>
  <si>
    <t>Pension Indexing Rate Jan 1.</t>
  </si>
  <si>
    <r>
      <t>B14070
V122542
(i</t>
    </r>
    <r>
      <rPr>
        <vertAlign val="subscript"/>
        <sz val="12"/>
        <rFont val="Calibri Light"/>
        <family val="2"/>
      </rPr>
      <t>7</t>
    </r>
    <r>
      <rPr>
        <sz val="12"/>
        <rFont val="Calibri Light"/>
        <family val="2"/>
      </rPr>
      <t>)</t>
    </r>
  </si>
  <si>
    <r>
      <t>B14072
V122544
(i</t>
    </r>
    <r>
      <rPr>
        <vertAlign val="subscript"/>
        <sz val="12"/>
        <rFont val="Calibri Light"/>
        <family val="2"/>
      </rPr>
      <t>L</t>
    </r>
    <r>
      <rPr>
        <sz val="12"/>
        <rFont val="Calibri Light"/>
        <family val="2"/>
      </rPr>
      <t>)</t>
    </r>
  </si>
  <si>
    <r>
      <t>B14081
V122553
(r</t>
    </r>
    <r>
      <rPr>
        <vertAlign val="subscript"/>
        <sz val="12"/>
        <rFont val="Calibri Light"/>
        <family val="2"/>
      </rPr>
      <t>L</t>
    </r>
    <r>
      <rPr>
        <sz val="12"/>
        <rFont val="Calibri Light"/>
        <family val="2"/>
      </rPr>
      <t>)</t>
    </r>
  </si>
  <si>
    <r>
      <t>PS</t>
    </r>
    <r>
      <rPr>
        <vertAlign val="subscript"/>
        <sz val="12"/>
        <rFont val="Calibri Light"/>
        <family val="2"/>
      </rPr>
      <t>1-10</t>
    </r>
  </si>
  <si>
    <r>
      <t>CS</t>
    </r>
    <r>
      <rPr>
        <vertAlign val="subscript"/>
        <sz val="12"/>
        <rFont val="Calibri Light"/>
        <family val="2"/>
      </rPr>
      <t>1-10</t>
    </r>
  </si>
  <si>
    <r>
      <t>PS</t>
    </r>
    <r>
      <rPr>
        <vertAlign val="subscript"/>
        <sz val="12"/>
        <rFont val="Calibri Light"/>
        <family val="2"/>
      </rPr>
      <t>10+</t>
    </r>
  </si>
  <si>
    <r>
      <t>CS</t>
    </r>
    <r>
      <rPr>
        <vertAlign val="subscript"/>
        <sz val="12"/>
        <rFont val="Calibri Light"/>
        <family val="2"/>
      </rPr>
      <t>10+</t>
    </r>
  </si>
  <si>
    <r>
      <t>S</t>
    </r>
    <r>
      <rPr>
        <vertAlign val="subscript"/>
        <sz val="12"/>
        <rFont val="Calibri Light"/>
        <family val="2"/>
      </rPr>
      <t>1-10</t>
    </r>
  </si>
  <si>
    <r>
      <t>S</t>
    </r>
    <r>
      <rPr>
        <vertAlign val="subscript"/>
        <sz val="12"/>
        <rFont val="Calibri Light"/>
        <family val="2"/>
      </rPr>
      <t>10+</t>
    </r>
  </si>
  <si>
    <r>
      <t>r</t>
    </r>
    <r>
      <rPr>
        <vertAlign val="subscript"/>
        <sz val="12"/>
        <color indexed="10"/>
        <rFont val="Calibri Light"/>
        <family val="2"/>
      </rPr>
      <t>7</t>
    </r>
  </si>
  <si>
    <r>
      <t>i</t>
    </r>
    <r>
      <rPr>
        <vertAlign val="subscript"/>
        <sz val="12"/>
        <color rgb="FFFF0000"/>
        <rFont val="Calibri Light"/>
        <family val="2"/>
      </rPr>
      <t>7</t>
    </r>
  </si>
  <si>
    <r>
      <t>i</t>
    </r>
    <r>
      <rPr>
        <vertAlign val="subscript"/>
        <sz val="12"/>
        <color rgb="FFFF0000"/>
        <rFont val="Calibri Light"/>
        <family val="2"/>
      </rPr>
      <t>L</t>
    </r>
  </si>
  <si>
    <r>
      <t>r</t>
    </r>
    <r>
      <rPr>
        <vertAlign val="subscript"/>
        <sz val="12"/>
        <color rgb="FFFF0000"/>
        <rFont val="Calibri Light"/>
        <family val="2"/>
      </rPr>
      <t>L</t>
    </r>
  </si>
  <si>
    <t>1 year</t>
  </si>
  <si>
    <t>2 years</t>
  </si>
  <si>
    <t>3 years</t>
  </si>
  <si>
    <t>Quebec</t>
  </si>
  <si>
    <t>0 - $5,000</t>
  </si>
  <si>
    <t>.. - $15,000</t>
  </si>
  <si>
    <t>$15,000 +</t>
  </si>
  <si>
    <t>Canadian (except Qc)</t>
  </si>
  <si>
    <t>Qc</t>
  </si>
  <si>
    <t>Witholding tax rate on lump sum from a registered pension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</si>
</sst>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#,##0.0"/>
    <numFmt numFmtId="165" formatCode="0.0%"/>
    <numFmt numFmtId="166" formatCode="0.000%"/>
    <numFmt numFmtId="167" formatCode="0.0"/>
    <numFmt numFmtId="168" formatCode="yyyy\-mm\-dd;@"/>
    <numFmt numFmtId="169" formatCode="0.000"/>
    <numFmt numFmtId="170" formatCode="yyyy\-mmm\-dd"/>
    <numFmt numFmtId="171" formatCode="dddd"/>
    <numFmt numFmtId="172" formatCode="ddd"/>
    <numFmt numFmtId="173" formatCode="0.0000%"/>
    <numFmt numFmtId="174" formatCode="yyyy/mmm"/>
    <numFmt numFmtId="175" formatCode="0.00000%"/>
  </numFmts>
  <fonts count="32" x14ac:knownFonts="1">
    <font>
      <sz val="12"/>
      <name val="Comic Sans MS"/>
    </font>
    <font>
      <sz val="12"/>
      <name val="Comic Sans MS"/>
      <family val="4"/>
    </font>
    <font>
      <sz val="8"/>
      <name val="Comic Sans MS"/>
      <family val="4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12"/>
      <name val="Comic Sans MS"/>
      <family val="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 Light"/>
      <family val="2"/>
    </font>
    <font>
      <sz val="10"/>
      <name val="Calibri Light"/>
      <family val="2"/>
    </font>
    <font>
      <sz val="12"/>
      <name val="Calibri Light"/>
      <family val="2"/>
    </font>
    <font>
      <b/>
      <sz val="10"/>
      <name val="Calibri Light"/>
      <family val="2"/>
    </font>
    <font>
      <sz val="8"/>
      <color rgb="FF202020"/>
      <name val="Verdana"/>
      <family val="2"/>
    </font>
    <font>
      <sz val="8"/>
      <name val="Calibri Light"/>
      <family val="2"/>
    </font>
    <font>
      <sz val="11"/>
      <color theme="1"/>
      <name val="Calibri Light"/>
      <family val="2"/>
    </font>
    <font>
      <b/>
      <sz val="11"/>
      <color rgb="FFFF0000"/>
      <name val="Calibri Light"/>
      <family val="2"/>
    </font>
    <font>
      <b/>
      <sz val="11"/>
      <color theme="3"/>
      <name val="Calibri Light"/>
      <family val="2"/>
    </font>
    <font>
      <sz val="11"/>
      <name val="Calibri Light"/>
      <family val="2"/>
    </font>
    <font>
      <b/>
      <sz val="11"/>
      <color theme="1"/>
      <name val="Calibri Light"/>
      <family val="2"/>
    </font>
    <font>
      <b/>
      <sz val="11"/>
      <name val="Calibri Light"/>
      <family val="2"/>
    </font>
    <font>
      <sz val="11"/>
      <color rgb="FFFF0000"/>
      <name val="Calibri Light"/>
      <family val="2"/>
    </font>
    <font>
      <sz val="12"/>
      <color rgb="FFFF0000"/>
      <name val="Calibri Light"/>
      <family val="2"/>
    </font>
    <font>
      <b/>
      <sz val="14"/>
      <name val="Calibri Light"/>
      <family val="2"/>
    </font>
    <font>
      <sz val="10"/>
      <color rgb="FFFF0000"/>
      <name val="Calibri Light"/>
      <family val="2"/>
    </font>
    <font>
      <b/>
      <sz val="12"/>
      <color rgb="FFFF0000"/>
      <name val="Calibri Light"/>
      <family val="2"/>
    </font>
    <font>
      <b/>
      <sz val="12"/>
      <color theme="4" tint="-0.249977111117893"/>
      <name val="Calibri Light"/>
      <family val="2"/>
    </font>
    <font>
      <sz val="8"/>
      <color rgb="FFFF0000"/>
      <name val="Calibri Light"/>
      <family val="2"/>
    </font>
    <font>
      <vertAlign val="subscript"/>
      <sz val="12"/>
      <name val="Calibri Light"/>
      <family val="2"/>
    </font>
    <font>
      <vertAlign val="subscript"/>
      <sz val="12"/>
      <color indexed="10"/>
      <name val="Calibri Light"/>
      <family val="2"/>
    </font>
    <font>
      <vertAlign val="subscript"/>
      <sz val="12"/>
      <color rgb="FFFF0000"/>
      <name val="Calibri Light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0" fontId="7" fillId="0" borderId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309">
    <xf numFmtId="0" fontId="0" fillId="0" borderId="0" xfId="0"/>
    <xf numFmtId="0" fontId="10" fillId="0" borderId="0" xfId="0" applyFont="1"/>
    <xf numFmtId="3" fontId="11" fillId="0" borderId="0" xfId="0" applyNumberFormat="1" applyFont="1"/>
    <xf numFmtId="4" fontId="11" fillId="0" borderId="0" xfId="0" applyNumberFormat="1" applyFont="1" applyAlignment="1">
      <alignment horizontal="right"/>
    </xf>
    <xf numFmtId="166" fontId="11" fillId="0" borderId="0" xfId="0" applyNumberFormat="1" applyFont="1"/>
    <xf numFmtId="4" fontId="11" fillId="0" borderId="0" xfId="0" applyNumberFormat="1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horizontal="right" wrapText="1"/>
    </xf>
    <xf numFmtId="3" fontId="13" fillId="0" borderId="0" xfId="0" applyNumberFormat="1" applyFont="1" applyAlignment="1">
      <alignment horizontal="right" wrapText="1"/>
    </xf>
    <xf numFmtId="4" fontId="13" fillId="0" borderId="0" xfId="0" applyNumberFormat="1" applyFont="1" applyAlignment="1">
      <alignment horizontal="right" wrapText="1"/>
    </xf>
    <xf numFmtId="166" fontId="13" fillId="0" borderId="0" xfId="0" applyNumberFormat="1" applyFont="1" applyAlignment="1">
      <alignment horizontal="right" wrapText="1"/>
    </xf>
    <xf numFmtId="0" fontId="13" fillId="0" borderId="0" xfId="0" applyFont="1" applyAlignment="1">
      <alignment horizontal="right"/>
    </xf>
    <xf numFmtId="3" fontId="11" fillId="0" borderId="0" xfId="0" applyNumberFormat="1" applyFont="1" applyAlignment="1">
      <alignment horizontal="right"/>
    </xf>
    <xf numFmtId="165" fontId="11" fillId="0" borderId="0" xfId="0" applyNumberFormat="1" applyFont="1"/>
    <xf numFmtId="165" fontId="11" fillId="0" borderId="0" xfId="2" applyNumberFormat="1" applyFont="1" applyAlignment="1">
      <alignment horizontal="right"/>
    </xf>
    <xf numFmtId="4" fontId="12" fillId="0" borderId="0" xfId="0" applyNumberFormat="1" applyFont="1"/>
    <xf numFmtId="3" fontId="12" fillId="0" borderId="0" xfId="0" applyNumberFormat="1" applyFont="1"/>
    <xf numFmtId="166" fontId="12" fillId="0" borderId="0" xfId="0" applyNumberFormat="1" applyFont="1"/>
    <xf numFmtId="9" fontId="12" fillId="5" borderId="0" xfId="0" quotePrefix="1" applyNumberFormat="1" applyFont="1" applyFill="1" applyAlignment="1">
      <alignment horizontal="right"/>
    </xf>
    <xf numFmtId="10" fontId="11" fillId="0" borderId="0" xfId="0" applyNumberFormat="1" applyFont="1"/>
    <xf numFmtId="10" fontId="13" fillId="0" borderId="0" xfId="0" applyNumberFormat="1" applyFont="1" applyAlignment="1">
      <alignment horizontal="right" wrapText="1"/>
    </xf>
    <xf numFmtId="3" fontId="10" fillId="0" borderId="0" xfId="0" applyNumberFormat="1" applyFont="1"/>
    <xf numFmtId="165" fontId="11" fillId="5" borderId="0" xfId="0" applyNumberFormat="1" applyFont="1" applyFill="1"/>
    <xf numFmtId="0" fontId="12" fillId="0" borderId="0" xfId="0" applyFont="1" applyAlignment="1">
      <alignment horizontal="right"/>
    </xf>
    <xf numFmtId="0" fontId="12" fillId="5" borderId="0" xfId="0" applyFont="1" applyFill="1" applyAlignment="1">
      <alignment horizontal="left"/>
    </xf>
    <xf numFmtId="0" fontId="12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4" fillId="0" borderId="0" xfId="0" applyFont="1" applyAlignment="1">
      <alignment horizontal="left" vertical="center" wrapText="1"/>
    </xf>
    <xf numFmtId="3" fontId="12" fillId="0" borderId="0" xfId="0" applyNumberFormat="1" applyFont="1" applyAlignment="1">
      <alignment horizontal="center"/>
    </xf>
    <xf numFmtId="4" fontId="12" fillId="0" borderId="0" xfId="0" applyNumberFormat="1" applyFont="1" applyAlignment="1">
      <alignment horizontal="right"/>
    </xf>
    <xf numFmtId="3" fontId="12" fillId="0" borderId="0" xfId="0" applyNumberFormat="1" applyFont="1" applyAlignment="1">
      <alignment horizontal="right"/>
    </xf>
    <xf numFmtId="3" fontId="12" fillId="0" borderId="0" xfId="0" applyNumberFormat="1" applyFont="1" applyAlignment="1">
      <alignment horizontal="right" wrapText="1"/>
    </xf>
    <xf numFmtId="167" fontId="12" fillId="0" borderId="0" xfId="0" applyNumberFormat="1" applyFont="1"/>
    <xf numFmtId="4" fontId="15" fillId="0" borderId="0" xfId="0" applyNumberFormat="1" applyFont="1"/>
    <xf numFmtId="0" fontId="12" fillId="0" borderId="1" xfId="0" applyFont="1" applyBorder="1" applyAlignment="1">
      <alignment horizontal="center"/>
    </xf>
    <xf numFmtId="1" fontId="16" fillId="0" borderId="0" xfId="0" applyNumberFormat="1" applyFont="1" applyAlignment="1">
      <alignment horizontal="left"/>
    </xf>
    <xf numFmtId="1" fontId="17" fillId="0" borderId="0" xfId="2" applyNumberFormat="1" applyFont="1" applyAlignment="1">
      <alignment horizontal="center"/>
    </xf>
    <xf numFmtId="1" fontId="18" fillId="0" borderId="0" xfId="2" applyNumberFormat="1" applyFont="1" applyAlignment="1">
      <alignment horizontal="center"/>
    </xf>
    <xf numFmtId="1" fontId="19" fillId="0" borderId="0" xfId="0" applyNumberFormat="1" applyFont="1" applyAlignment="1">
      <alignment horizontal="center"/>
    </xf>
    <xf numFmtId="1" fontId="19" fillId="0" borderId="0" xfId="0" applyNumberFormat="1" applyFont="1"/>
    <xf numFmtId="168" fontId="16" fillId="0" borderId="0" xfId="0" applyNumberFormat="1" applyFont="1" applyAlignment="1">
      <alignment horizontal="left"/>
    </xf>
    <xf numFmtId="0" fontId="19" fillId="0" borderId="0" xfId="0" applyFont="1" applyAlignment="1">
      <alignment horizontal="right"/>
    </xf>
    <xf numFmtId="170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14" fontId="19" fillId="0" borderId="0" xfId="0" applyNumberFormat="1" applyFont="1"/>
    <xf numFmtId="0" fontId="19" fillId="0" borderId="0" xfId="0" applyFont="1"/>
    <xf numFmtId="168" fontId="16" fillId="0" borderId="0" xfId="0" applyNumberFormat="1" applyFont="1" applyAlignment="1">
      <alignment horizontal="left" wrapText="1"/>
    </xf>
    <xf numFmtId="1" fontId="16" fillId="0" borderId="0" xfId="0" applyNumberFormat="1" applyFont="1" applyAlignment="1">
      <alignment horizontal="left" wrapText="1"/>
    </xf>
    <xf numFmtId="10" fontId="16" fillId="7" borderId="0" xfId="2" applyNumberFormat="1" applyFont="1" applyFill="1" applyAlignment="1">
      <alignment wrapText="1"/>
    </xf>
    <xf numFmtId="3" fontId="20" fillId="0" borderId="0" xfId="0" applyNumberFormat="1" applyFont="1" applyAlignment="1">
      <alignment horizontal="center" wrapText="1"/>
    </xf>
    <xf numFmtId="10" fontId="21" fillId="6" borderId="0" xfId="2" applyNumberFormat="1" applyFont="1" applyFill="1" applyAlignment="1">
      <alignment horizontal="right" wrapText="1"/>
    </xf>
    <xf numFmtId="1" fontId="21" fillId="7" borderId="0" xfId="0" applyNumberFormat="1" applyFont="1" applyFill="1" applyAlignment="1">
      <alignment horizontal="center" wrapText="1"/>
    </xf>
    <xf numFmtId="0" fontId="15" fillId="0" borderId="0" xfId="0" quotePrefix="1" applyFont="1" applyAlignment="1">
      <alignment horizontal="center"/>
    </xf>
    <xf numFmtId="0" fontId="21" fillId="0" borderId="0" xfId="0" applyFont="1" applyAlignment="1">
      <alignment horizontal="right" wrapText="1"/>
    </xf>
    <xf numFmtId="168" fontId="20" fillId="0" borderId="0" xfId="0" applyNumberFormat="1" applyFont="1" applyAlignment="1">
      <alignment horizontal="left"/>
    </xf>
    <xf numFmtId="1" fontId="20" fillId="0" borderId="0" xfId="0" applyNumberFormat="1" applyFont="1" applyAlignment="1">
      <alignment horizontal="left"/>
    </xf>
    <xf numFmtId="10" fontId="20" fillId="7" borderId="0" xfId="2" applyNumberFormat="1" applyFont="1" applyFill="1" applyAlignment="1">
      <alignment horizontal="right"/>
    </xf>
    <xf numFmtId="0" fontId="20" fillId="7" borderId="0" xfId="0" applyFont="1" applyFill="1" applyAlignment="1">
      <alignment horizontal="right"/>
    </xf>
    <xf numFmtId="3" fontId="20" fillId="0" borderId="0" xfId="2" applyNumberFormat="1" applyFont="1" applyAlignment="1">
      <alignment horizontal="right"/>
    </xf>
    <xf numFmtId="167" fontId="20" fillId="7" borderId="0" xfId="0" applyNumberFormat="1" applyFont="1" applyFill="1" applyAlignment="1">
      <alignment horizontal="right"/>
    </xf>
    <xf numFmtId="167" fontId="20" fillId="7" borderId="0" xfId="2" applyNumberFormat="1" applyFont="1" applyFill="1" applyAlignment="1">
      <alignment horizontal="right"/>
    </xf>
    <xf numFmtId="10" fontId="21" fillId="6" borderId="0" xfId="2" applyNumberFormat="1" applyFont="1" applyFill="1" applyAlignment="1">
      <alignment horizontal="right"/>
    </xf>
    <xf numFmtId="1" fontId="21" fillId="7" borderId="0" xfId="0" applyNumberFormat="1" applyFont="1" applyFill="1" applyAlignment="1">
      <alignment horizontal="center"/>
    </xf>
    <xf numFmtId="0" fontId="21" fillId="0" borderId="0" xfId="0" applyFont="1" applyAlignment="1">
      <alignment horizontal="right"/>
    </xf>
    <xf numFmtId="170" fontId="21" fillId="0" borderId="0" xfId="0" applyNumberFormat="1" applyFont="1" applyAlignment="1">
      <alignment horizontal="left"/>
    </xf>
    <xf numFmtId="0" fontId="21" fillId="0" borderId="0" xfId="0" applyFont="1" applyAlignment="1">
      <alignment horizontal="center"/>
    </xf>
    <xf numFmtId="168" fontId="19" fillId="0" borderId="0" xfId="0" applyNumberFormat="1" applyFont="1" applyAlignment="1">
      <alignment horizontal="left" vertical="center" wrapText="1"/>
    </xf>
    <xf numFmtId="1" fontId="19" fillId="0" borderId="0" xfId="0" applyNumberFormat="1" applyFont="1" applyAlignment="1">
      <alignment horizontal="left" vertical="center" wrapText="1"/>
    </xf>
    <xf numFmtId="10" fontId="16" fillId="0" borderId="0" xfId="2" applyNumberFormat="1" applyFont="1" applyAlignment="1">
      <alignment vertical="center"/>
    </xf>
    <xf numFmtId="167" fontId="19" fillId="0" borderId="0" xfId="0" applyNumberFormat="1" applyFont="1"/>
    <xf numFmtId="10" fontId="21" fillId="0" borderId="0" xfId="2" applyNumberFormat="1" applyFont="1" applyAlignment="1">
      <alignment horizontal="right"/>
    </xf>
    <xf numFmtId="1" fontId="21" fillId="0" borderId="0" xfId="0" applyNumberFormat="1" applyFont="1" applyAlignment="1">
      <alignment horizontal="center"/>
    </xf>
    <xf numFmtId="170" fontId="19" fillId="0" borderId="0" xfId="0" applyNumberFormat="1" applyFont="1" applyAlignment="1">
      <alignment horizontal="left"/>
    </xf>
    <xf numFmtId="0" fontId="19" fillId="0" borderId="0" xfId="0" applyFont="1" applyAlignment="1">
      <alignment horizontal="center"/>
    </xf>
    <xf numFmtId="168" fontId="17" fillId="0" borderId="0" xfId="0" applyNumberFormat="1" applyFont="1" applyAlignment="1">
      <alignment horizontal="left" vertical="center" wrapText="1"/>
    </xf>
    <xf numFmtId="10" fontId="16" fillId="0" borderId="0" xfId="0" applyNumberFormat="1" applyFont="1" applyAlignment="1">
      <alignment vertical="center"/>
    </xf>
    <xf numFmtId="3" fontId="16" fillId="0" borderId="0" xfId="0" applyNumberFormat="1" applyFont="1" applyAlignment="1">
      <alignment vertical="center"/>
    </xf>
    <xf numFmtId="167" fontId="19" fillId="0" borderId="0" xfId="0" applyNumberFormat="1" applyFont="1" applyAlignment="1">
      <alignment vertical="center"/>
    </xf>
    <xf numFmtId="10" fontId="19" fillId="0" borderId="0" xfId="2" applyNumberFormat="1" applyFont="1"/>
    <xf numFmtId="0" fontId="19" fillId="0" borderId="0" xfId="0" applyFont="1" applyAlignment="1">
      <alignment horizontal="right" vertical="center"/>
    </xf>
    <xf numFmtId="170" fontId="19" fillId="0" borderId="0" xfId="0" applyNumberFormat="1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168" fontId="19" fillId="5" borderId="0" xfId="0" applyNumberFormat="1" applyFont="1" applyFill="1" applyAlignment="1">
      <alignment horizontal="left" vertical="center" wrapText="1"/>
    </xf>
    <xf numFmtId="1" fontId="19" fillId="5" borderId="0" xfId="0" applyNumberFormat="1" applyFont="1" applyFill="1" applyAlignment="1">
      <alignment horizontal="left" vertical="center" wrapText="1"/>
    </xf>
    <xf numFmtId="10" fontId="16" fillId="5" borderId="0" xfId="2" applyNumberFormat="1" applyFont="1" applyFill="1" applyAlignment="1">
      <alignment vertical="center"/>
    </xf>
    <xf numFmtId="10" fontId="16" fillId="5" borderId="0" xfId="0" applyNumberFormat="1" applyFont="1" applyFill="1" applyAlignment="1">
      <alignment vertical="center"/>
    </xf>
    <xf numFmtId="10" fontId="17" fillId="5" borderId="0" xfId="0" applyNumberFormat="1" applyFont="1" applyFill="1" applyAlignment="1">
      <alignment vertical="center"/>
    </xf>
    <xf numFmtId="3" fontId="16" fillId="5" borderId="0" xfId="0" applyNumberFormat="1" applyFont="1" applyFill="1" applyAlignment="1">
      <alignment vertical="center"/>
    </xf>
    <xf numFmtId="167" fontId="19" fillId="5" borderId="0" xfId="0" applyNumberFormat="1" applyFont="1" applyFill="1" applyAlignment="1">
      <alignment vertical="center"/>
    </xf>
    <xf numFmtId="10" fontId="19" fillId="5" borderId="0" xfId="2" applyNumberFormat="1" applyFont="1" applyFill="1"/>
    <xf numFmtId="0" fontId="19" fillId="5" borderId="0" xfId="0" applyFont="1" applyFill="1" applyAlignment="1">
      <alignment horizontal="right" vertical="center"/>
    </xf>
    <xf numFmtId="170" fontId="19" fillId="5" borderId="0" xfId="0" applyNumberFormat="1" applyFont="1" applyFill="1" applyAlignment="1">
      <alignment horizontal="left" vertical="center"/>
    </xf>
    <xf numFmtId="0" fontId="19" fillId="5" borderId="0" xfId="0" applyFont="1" applyFill="1" applyAlignment="1">
      <alignment horizontal="center" vertical="center"/>
    </xf>
    <xf numFmtId="0" fontId="19" fillId="5" borderId="0" xfId="0" applyFont="1" applyFill="1" applyAlignment="1">
      <alignment vertical="center"/>
    </xf>
    <xf numFmtId="3" fontId="17" fillId="5" borderId="0" xfId="0" applyNumberFormat="1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0" borderId="0" xfId="0" applyFont="1" applyFill="1" applyAlignment="1">
      <alignment vertical="center"/>
    </xf>
    <xf numFmtId="0" fontId="19" fillId="0" borderId="0" xfId="0" applyFont="1" applyFill="1" applyAlignment="1">
      <alignment horizontal="right" vertical="center"/>
    </xf>
    <xf numFmtId="170" fontId="19" fillId="0" borderId="0" xfId="0" applyNumberFormat="1" applyFont="1" applyFill="1" applyAlignment="1">
      <alignment horizontal="left" vertical="center"/>
    </xf>
    <xf numFmtId="10" fontId="19" fillId="0" borderId="0" xfId="2" applyNumberFormat="1" applyFont="1" applyAlignment="1">
      <alignment vertical="center"/>
    </xf>
    <xf numFmtId="3" fontId="19" fillId="5" borderId="0" xfId="0" applyNumberFormat="1" applyFont="1" applyFill="1" applyAlignment="1">
      <alignment vertical="center"/>
    </xf>
    <xf numFmtId="0" fontId="17" fillId="5" borderId="0" xfId="0" applyFont="1" applyFill="1" applyAlignment="1">
      <alignment horizontal="center"/>
    </xf>
    <xf numFmtId="1" fontId="19" fillId="5" borderId="0" xfId="0" applyNumberFormat="1" applyFont="1" applyFill="1" applyAlignment="1">
      <alignment horizontal="center" vertical="center"/>
    </xf>
    <xf numFmtId="10" fontId="19" fillId="0" borderId="0" xfId="2" applyNumberFormat="1" applyFont="1" applyAlignment="1">
      <alignment horizontal="right" vertical="center"/>
    </xf>
    <xf numFmtId="1" fontId="19" fillId="0" borderId="0" xfId="0" applyNumberFormat="1" applyFont="1" applyAlignment="1">
      <alignment horizontal="center" vertical="center"/>
    </xf>
    <xf numFmtId="10" fontId="19" fillId="5" borderId="0" xfId="0" applyNumberFormat="1" applyFont="1" applyFill="1" applyAlignment="1">
      <alignment vertical="center"/>
    </xf>
    <xf numFmtId="10" fontId="16" fillId="0" borderId="0" xfId="2" applyNumberFormat="1" applyFont="1"/>
    <xf numFmtId="168" fontId="16" fillId="5" borderId="0" xfId="0" applyNumberFormat="1" applyFont="1" applyFill="1" applyAlignment="1">
      <alignment horizontal="left"/>
    </xf>
    <xf numFmtId="10" fontId="16" fillId="5" borderId="0" xfId="2" applyNumberFormat="1" applyFont="1" applyFill="1"/>
    <xf numFmtId="167" fontId="19" fillId="5" borderId="0" xfId="0" applyNumberFormat="1" applyFont="1" applyFill="1"/>
    <xf numFmtId="10" fontId="19" fillId="5" borderId="0" xfId="2" applyNumberFormat="1" applyFont="1" applyFill="1" applyAlignment="1">
      <alignment horizontal="right" vertical="center"/>
    </xf>
    <xf numFmtId="0" fontId="19" fillId="5" borderId="0" xfId="0" applyFont="1" applyFill="1" applyAlignment="1">
      <alignment horizontal="right"/>
    </xf>
    <xf numFmtId="170" fontId="19" fillId="5" borderId="0" xfId="0" applyNumberFormat="1" applyFont="1" applyFill="1" applyAlignment="1">
      <alignment horizontal="left"/>
    </xf>
    <xf numFmtId="0" fontId="19" fillId="0" borderId="0" xfId="0" applyFont="1" applyFill="1"/>
    <xf numFmtId="0" fontId="19" fillId="0" borderId="0" xfId="0" applyFont="1" applyFill="1" applyAlignment="1">
      <alignment horizontal="right"/>
    </xf>
    <xf numFmtId="170" fontId="19" fillId="0" borderId="0" xfId="0" applyNumberFormat="1" applyFont="1" applyFill="1" applyAlignment="1">
      <alignment horizontal="left"/>
    </xf>
    <xf numFmtId="167" fontId="17" fillId="5" borderId="0" xfId="0" applyNumberFormat="1" applyFont="1" applyFill="1" applyAlignment="1">
      <alignment vertical="center"/>
    </xf>
    <xf numFmtId="10" fontId="17" fillId="5" borderId="0" xfId="2" applyNumberFormat="1" applyFont="1" applyFill="1"/>
    <xf numFmtId="10" fontId="19" fillId="0" borderId="0" xfId="2" applyNumberFormat="1" applyFont="1" applyAlignment="1">
      <alignment horizontal="right"/>
    </xf>
    <xf numFmtId="168" fontId="17" fillId="5" borderId="0" xfId="0" applyNumberFormat="1" applyFont="1" applyFill="1" applyAlignment="1">
      <alignment horizontal="left"/>
    </xf>
    <xf numFmtId="1" fontId="17" fillId="5" borderId="0" xfId="0" applyNumberFormat="1" applyFont="1" applyFill="1" applyAlignment="1">
      <alignment horizontal="left" vertical="center" wrapText="1"/>
    </xf>
    <xf numFmtId="167" fontId="17" fillId="5" borderId="0" xfId="0" applyNumberFormat="1" applyFont="1" applyFill="1"/>
    <xf numFmtId="10" fontId="17" fillId="5" borderId="0" xfId="2" applyNumberFormat="1" applyFont="1" applyFill="1" applyAlignment="1">
      <alignment horizontal="right"/>
    </xf>
    <xf numFmtId="1" fontId="17" fillId="5" borderId="0" xfId="0" applyNumberFormat="1" applyFont="1" applyFill="1" applyAlignment="1">
      <alignment horizontal="center" vertical="center"/>
    </xf>
    <xf numFmtId="0" fontId="17" fillId="5" borderId="0" xfId="0" applyFont="1" applyFill="1" applyAlignment="1">
      <alignment horizontal="right"/>
    </xf>
    <xf numFmtId="170" fontId="17" fillId="5" borderId="0" xfId="0" applyNumberFormat="1" applyFont="1" applyFill="1" applyAlignment="1">
      <alignment horizontal="left"/>
    </xf>
    <xf numFmtId="0" fontId="17" fillId="0" borderId="0" xfId="0" applyFont="1" applyFill="1"/>
    <xf numFmtId="3" fontId="16" fillId="0" borderId="0" xfId="2" applyNumberFormat="1" applyFont="1"/>
    <xf numFmtId="10" fontId="19" fillId="5" borderId="0" xfId="2" applyNumberFormat="1" applyFont="1" applyFill="1" applyAlignment="1">
      <alignment horizontal="right"/>
    </xf>
    <xf numFmtId="1" fontId="16" fillId="5" borderId="0" xfId="0" applyNumberFormat="1" applyFont="1" applyFill="1" applyAlignment="1">
      <alignment horizontal="left"/>
    </xf>
    <xf numFmtId="3" fontId="16" fillId="5" borderId="0" xfId="2" applyNumberFormat="1" applyFont="1" applyFill="1"/>
    <xf numFmtId="0" fontId="22" fillId="5" borderId="0" xfId="0" applyFont="1" applyFill="1" applyAlignment="1">
      <alignment horizontal="center"/>
    </xf>
    <xf numFmtId="10" fontId="22" fillId="5" borderId="0" xfId="2" applyNumberFormat="1" applyFont="1" applyFill="1"/>
    <xf numFmtId="3" fontId="20" fillId="5" borderId="0" xfId="2" applyNumberFormat="1" applyFont="1" applyFill="1"/>
    <xf numFmtId="171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172" fontId="19" fillId="0" borderId="0" xfId="0" applyNumberFormat="1" applyFont="1" applyAlignment="1">
      <alignment horizontal="center"/>
    </xf>
    <xf numFmtId="172" fontId="19" fillId="5" borderId="0" xfId="0" applyNumberFormat="1" applyFont="1" applyFill="1" applyAlignment="1">
      <alignment horizontal="center"/>
    </xf>
    <xf numFmtId="10" fontId="19" fillId="0" borderId="0" xfId="0" applyNumberFormat="1" applyFont="1"/>
    <xf numFmtId="1" fontId="17" fillId="5" borderId="0" xfId="0" applyNumberFormat="1" applyFont="1" applyFill="1" applyAlignment="1">
      <alignment horizontal="left"/>
    </xf>
    <xf numFmtId="0" fontId="10" fillId="0" borderId="0" xfId="0" applyFont="1" applyProtection="1">
      <protection hidden="1"/>
    </xf>
    <xf numFmtId="4" fontId="10" fillId="0" borderId="0" xfId="0" applyNumberFormat="1" applyFont="1" applyProtection="1">
      <protection hidden="1"/>
    </xf>
    <xf numFmtId="3" fontId="10" fillId="0" borderId="0" xfId="0" applyNumberFormat="1" applyFont="1" applyProtection="1">
      <protection hidden="1"/>
    </xf>
    <xf numFmtId="0" fontId="10" fillId="0" borderId="0" xfId="0" applyFont="1" applyAlignment="1" applyProtection="1">
      <alignment horizontal="right"/>
      <protection hidden="1"/>
    </xf>
    <xf numFmtId="4" fontId="10" fillId="0" borderId="0" xfId="0" applyNumberFormat="1" applyFont="1" applyAlignment="1" applyProtection="1">
      <alignment horizontal="right"/>
      <protection hidden="1"/>
    </xf>
    <xf numFmtId="3" fontId="10" fillId="0" borderId="0" xfId="0" applyNumberFormat="1" applyFont="1" applyAlignment="1" applyProtection="1">
      <alignment horizontal="right" wrapText="1"/>
      <protection hidden="1"/>
    </xf>
    <xf numFmtId="0" fontId="12" fillId="0" borderId="0" xfId="0" applyFont="1" applyAlignment="1" applyProtection="1">
      <alignment horizontal="right"/>
      <protection hidden="1"/>
    </xf>
    <xf numFmtId="4" fontId="12" fillId="0" borderId="0" xfId="0" applyNumberFormat="1" applyFont="1" applyAlignment="1" applyProtection="1">
      <alignment horizontal="right"/>
      <protection hidden="1"/>
    </xf>
    <xf numFmtId="3" fontId="12" fillId="0" borderId="0" xfId="0" applyNumberFormat="1" applyFont="1" applyAlignment="1" applyProtection="1">
      <alignment horizontal="right" wrapText="1"/>
      <protection hidden="1"/>
    </xf>
    <xf numFmtId="3" fontId="12" fillId="0" borderId="0" xfId="0" applyNumberFormat="1" applyFont="1" applyAlignment="1" applyProtection="1">
      <alignment horizontal="right"/>
      <protection hidden="1"/>
    </xf>
    <xf numFmtId="0" fontId="12" fillId="0" borderId="0" xfId="0" applyFont="1" applyProtection="1">
      <protection hidden="1"/>
    </xf>
    <xf numFmtId="4" fontId="12" fillId="0" borderId="0" xfId="0" applyNumberFormat="1" applyFont="1" applyProtection="1">
      <protection hidden="1"/>
    </xf>
    <xf numFmtId="3" fontId="12" fillId="0" borderId="0" xfId="0" applyNumberFormat="1" applyFont="1" applyProtection="1">
      <protection hidden="1"/>
    </xf>
    <xf numFmtId="3" fontId="12" fillId="0" borderId="0" xfId="0" applyNumberFormat="1" applyFont="1" applyFill="1" applyProtection="1">
      <protection hidden="1"/>
    </xf>
    <xf numFmtId="10" fontId="12" fillId="0" borderId="0" xfId="2" applyNumberFormat="1" applyFont="1" applyProtection="1">
      <protection hidden="1"/>
    </xf>
    <xf numFmtId="3" fontId="12" fillId="5" borderId="0" xfId="0" applyNumberFormat="1" applyFont="1" applyFill="1" applyProtection="1">
      <protection hidden="1"/>
    </xf>
    <xf numFmtId="3" fontId="23" fillId="0" borderId="0" xfId="0" applyNumberFormat="1" applyFont="1" applyProtection="1">
      <protection hidden="1"/>
    </xf>
    <xf numFmtId="0" fontId="24" fillId="0" borderId="0" xfId="0" applyFont="1"/>
    <xf numFmtId="0" fontId="17" fillId="0" borderId="0" xfId="0" applyFont="1" applyAlignment="1">
      <alignment horizontal="right"/>
    </xf>
    <xf numFmtId="0" fontId="25" fillId="0" borderId="0" xfId="0" applyFont="1"/>
    <xf numFmtId="0" fontId="10" fillId="0" borderId="0" xfId="0" quotePrefix="1" applyFont="1" applyAlignment="1">
      <alignment horizontal="right"/>
    </xf>
    <xf numFmtId="10" fontId="10" fillId="2" borderId="0" xfId="2" applyNumberFormat="1" applyFont="1" applyFill="1" applyAlignment="1">
      <alignment horizontal="right" wrapText="1"/>
    </xf>
    <xf numFmtId="0" fontId="26" fillId="0" borderId="0" xfId="0" applyFont="1"/>
    <xf numFmtId="14" fontId="26" fillId="0" borderId="0" xfId="0" applyNumberFormat="1" applyFont="1"/>
    <xf numFmtId="0" fontId="12" fillId="0" borderId="0" xfId="0" applyFont="1" applyAlignment="1">
      <alignment horizontal="right" wrapText="1"/>
    </xf>
    <xf numFmtId="10" fontId="12" fillId="2" borderId="0" xfId="2" applyNumberFormat="1" applyFont="1" applyFill="1" applyAlignment="1">
      <alignment horizontal="right" wrapText="1"/>
    </xf>
    <xf numFmtId="0" fontId="12" fillId="2" borderId="0" xfId="0" applyFont="1" applyFill="1"/>
    <xf numFmtId="4" fontId="10" fillId="3" borderId="0" xfId="0" applyNumberFormat="1" applyFont="1" applyFill="1"/>
    <xf numFmtId="10" fontId="12" fillId="0" borderId="0" xfId="2" applyNumberFormat="1" applyFont="1"/>
    <xf numFmtId="4" fontId="12" fillId="2" borderId="0" xfId="0" applyNumberFormat="1" applyFont="1" applyFill="1"/>
    <xf numFmtId="2" fontId="12" fillId="0" borderId="0" xfId="2" applyNumberFormat="1" applyFont="1"/>
    <xf numFmtId="4" fontId="23" fillId="2" borderId="0" xfId="0" applyNumberFormat="1" applyFont="1" applyFill="1"/>
    <xf numFmtId="1" fontId="10" fillId="0" borderId="0" xfId="0" applyNumberFormat="1" applyFont="1"/>
    <xf numFmtId="4" fontId="12" fillId="0" borderId="0" xfId="0" applyNumberFormat="1" applyFont="1" applyAlignment="1">
      <alignment horizontal="center"/>
    </xf>
    <xf numFmtId="167" fontId="12" fillId="0" borderId="0" xfId="0" applyNumberFormat="1" applyFont="1" applyAlignment="1">
      <alignment horizontal="center"/>
    </xf>
    <xf numFmtId="164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/>
    </xf>
    <xf numFmtId="14" fontId="26" fillId="0" borderId="0" xfId="0" applyNumberFormat="1" applyFont="1" applyAlignment="1">
      <alignment horizontal="right"/>
    </xf>
    <xf numFmtId="1" fontId="26" fillId="0" borderId="0" xfId="0" applyNumberFormat="1" applyFont="1"/>
    <xf numFmtId="10" fontId="12" fillId="0" borderId="0" xfId="2" applyNumberFormat="1" applyFont="1" applyAlignment="1">
      <alignment horizontal="center"/>
    </xf>
    <xf numFmtId="0" fontId="12" fillId="0" borderId="0" xfId="0" applyFont="1" applyAlignment="1">
      <alignment horizontal="center"/>
    </xf>
    <xf numFmtId="1" fontId="27" fillId="0" borderId="0" xfId="0" applyNumberFormat="1" applyFont="1" applyAlignment="1">
      <alignment horizontal="center"/>
    </xf>
    <xf numFmtId="1" fontId="28" fillId="0" borderId="0" xfId="0" applyNumberFormat="1" applyFont="1" applyAlignment="1">
      <alignment horizontal="center"/>
    </xf>
    <xf numFmtId="1" fontId="28" fillId="0" borderId="0" xfId="2" applyNumberFormat="1" applyFont="1" applyAlignment="1">
      <alignment horizontal="center"/>
    </xf>
    <xf numFmtId="1" fontId="12" fillId="0" borderId="0" xfId="0" applyNumberFormat="1" applyFont="1"/>
    <xf numFmtId="0" fontId="12" fillId="2" borderId="0" xfId="0" applyFont="1" applyFill="1" applyAlignment="1">
      <alignment horizontal="center"/>
    </xf>
    <xf numFmtId="165" fontId="12" fillId="2" borderId="0" xfId="0" applyNumberFormat="1" applyFont="1" applyFill="1" applyAlignment="1">
      <alignment horizontal="center"/>
    </xf>
    <xf numFmtId="166" fontId="12" fillId="0" borderId="0" xfId="0" applyNumberFormat="1" applyFont="1" applyAlignment="1">
      <alignment horizontal="center"/>
    </xf>
    <xf numFmtId="10" fontId="23" fillId="0" borderId="0" xfId="0" applyNumberFormat="1" applyFont="1"/>
    <xf numFmtId="17" fontId="12" fillId="0" borderId="0" xfId="0" applyNumberFormat="1" applyFont="1" applyAlignment="1">
      <alignment horizontal="right"/>
    </xf>
    <xf numFmtId="2" fontId="12" fillId="0" borderId="0" xfId="0" applyNumberFormat="1" applyFont="1" applyAlignment="1">
      <alignment horizontal="center" wrapText="1"/>
    </xf>
    <xf numFmtId="165" fontId="12" fillId="0" borderId="0" xfId="2" applyNumberFormat="1" applyFont="1" applyAlignment="1">
      <alignment horizontal="center"/>
    </xf>
    <xf numFmtId="166" fontId="12" fillId="0" borderId="0" xfId="2" applyNumberFormat="1" applyFont="1" applyAlignment="1">
      <alignment horizontal="center"/>
    </xf>
    <xf numFmtId="10" fontId="12" fillId="0" borderId="0" xfId="0" applyNumberFormat="1" applyFont="1"/>
    <xf numFmtId="1" fontId="12" fillId="0" borderId="0" xfId="0" applyNumberFormat="1" applyFont="1" applyAlignment="1">
      <alignment horizontal="right"/>
    </xf>
    <xf numFmtId="4" fontId="12" fillId="2" borderId="0" xfId="0" applyNumberFormat="1" applyFont="1" applyFill="1" applyAlignment="1">
      <alignment horizontal="center"/>
    </xf>
    <xf numFmtId="4" fontId="12" fillId="3" borderId="0" xfId="0" applyNumberFormat="1" applyFont="1" applyFill="1" applyAlignment="1">
      <alignment horizontal="center"/>
    </xf>
    <xf numFmtId="2" fontId="12" fillId="2" borderId="0" xfId="0" applyNumberFormat="1" applyFont="1" applyFill="1" applyAlignment="1">
      <alignment horizontal="center"/>
    </xf>
    <xf numFmtId="165" fontId="12" fillId="0" borderId="0" xfId="0" applyNumberFormat="1" applyFont="1" applyAlignment="1">
      <alignment horizontal="center"/>
    </xf>
    <xf numFmtId="10" fontId="12" fillId="0" borderId="0" xfId="2" applyNumberFormat="1" applyFont="1" applyAlignment="1">
      <alignment horizontal="center" wrapText="1"/>
    </xf>
    <xf numFmtId="4" fontId="12" fillId="0" borderId="0" xfId="0" applyNumberFormat="1" applyFont="1" applyAlignment="1">
      <alignment horizontal="center" wrapText="1"/>
    </xf>
    <xf numFmtId="169" fontId="12" fillId="0" borderId="0" xfId="0" applyNumberFormat="1" applyFont="1" applyAlignment="1">
      <alignment horizontal="right"/>
    </xf>
    <xf numFmtId="10" fontId="12" fillId="0" borderId="0" xfId="0" applyNumberFormat="1" applyFont="1" applyAlignment="1">
      <alignment horizontal="right"/>
    </xf>
    <xf numFmtId="173" fontId="12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0" fontId="23" fillId="0" borderId="0" xfId="0" applyNumberFormat="1" applyFont="1" applyAlignment="1">
      <alignment horizontal="right"/>
    </xf>
    <xf numFmtId="17" fontId="12" fillId="0" borderId="0" xfId="0" applyNumberFormat="1" applyFont="1"/>
    <xf numFmtId="10" fontId="12" fillId="0" borderId="0" xfId="0" applyNumberFormat="1" applyFont="1" applyAlignment="1">
      <alignment horizontal="center"/>
    </xf>
    <xf numFmtId="1" fontId="12" fillId="9" borderId="0" xfId="0" applyNumberFormat="1" applyFont="1" applyFill="1" applyAlignment="1">
      <alignment shrinkToFit="1"/>
    </xf>
    <xf numFmtId="17" fontId="12" fillId="0" borderId="1" xfId="0" applyNumberFormat="1" applyFont="1" applyBorder="1"/>
    <xf numFmtId="4" fontId="12" fillId="0" borderId="1" xfId="0" applyNumberFormat="1" applyFont="1" applyBorder="1" applyAlignment="1">
      <alignment horizontal="center"/>
    </xf>
    <xf numFmtId="10" fontId="12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/>
    </xf>
    <xf numFmtId="10" fontId="12" fillId="0" borderId="1" xfId="2" applyNumberFormat="1" applyFont="1" applyBorder="1" applyAlignment="1">
      <alignment horizontal="center"/>
    </xf>
    <xf numFmtId="0" fontId="12" fillId="0" borderId="1" xfId="0" applyFont="1" applyBorder="1"/>
    <xf numFmtId="1" fontId="12" fillId="0" borderId="1" xfId="0" applyNumberFormat="1" applyFont="1" applyBorder="1"/>
    <xf numFmtId="0" fontId="12" fillId="0" borderId="0" xfId="0" applyFont="1" applyAlignment="1">
      <alignment horizontal="center" vertical="center" wrapText="1"/>
    </xf>
    <xf numFmtId="17" fontId="12" fillId="0" borderId="2" xfId="0" applyNumberFormat="1" applyFont="1" applyBorder="1"/>
    <xf numFmtId="4" fontId="12" fillId="0" borderId="2" xfId="0" applyNumberFormat="1" applyFont="1" applyBorder="1" applyAlignment="1">
      <alignment horizontal="center"/>
    </xf>
    <xf numFmtId="165" fontId="12" fillId="8" borderId="0" xfId="2" applyNumberFormat="1" applyFont="1" applyFill="1" applyAlignment="1">
      <alignment horizontal="center"/>
    </xf>
    <xf numFmtId="166" fontId="12" fillId="8" borderId="0" xfId="2" applyNumberFormat="1" applyFont="1" applyFill="1" applyAlignment="1">
      <alignment horizontal="center"/>
    </xf>
    <xf numFmtId="10" fontId="12" fillId="0" borderId="0" xfId="0" applyNumberFormat="1" applyFont="1" applyFill="1" applyAlignment="1">
      <alignment horizontal="center"/>
    </xf>
    <xf numFmtId="10" fontId="12" fillId="0" borderId="0" xfId="2" applyNumberFormat="1" applyFont="1" applyFill="1" applyAlignment="1">
      <alignment horizontal="center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165" fontId="12" fillId="0" borderId="0" xfId="2" applyNumberFormat="1" applyFont="1" applyFill="1" applyAlignment="1">
      <alignment horizontal="center"/>
    </xf>
    <xf numFmtId="166" fontId="12" fillId="0" borderId="0" xfId="2" applyNumberFormat="1" applyFont="1" applyFill="1" applyAlignment="1">
      <alignment horizontal="center"/>
    </xf>
    <xf numFmtId="4" fontId="23" fillId="0" borderId="0" xfId="0" applyNumberFormat="1" applyFont="1" applyAlignment="1">
      <alignment horizontal="center"/>
    </xf>
    <xf numFmtId="10" fontId="12" fillId="4" borderId="0" xfId="2" applyNumberFormat="1" applyFont="1" applyFill="1" applyAlignment="1">
      <alignment horizontal="center"/>
    </xf>
    <xf numFmtId="169" fontId="12" fillId="0" borderId="0" xfId="0" applyNumberFormat="1" applyFont="1"/>
    <xf numFmtId="165" fontId="23" fillId="0" borderId="0" xfId="2" applyNumberFormat="1" applyFont="1" applyFill="1" applyAlignment="1">
      <alignment horizontal="center"/>
    </xf>
    <xf numFmtId="1" fontId="12" fillId="9" borderId="0" xfId="0" applyNumberFormat="1" applyFont="1" applyFill="1" applyAlignment="1">
      <alignment horizontal="center" shrinkToFit="1"/>
    </xf>
    <xf numFmtId="166" fontId="23" fillId="0" borderId="0" xfId="2" applyNumberFormat="1" applyFont="1" applyFill="1" applyAlignment="1">
      <alignment horizontal="center"/>
    </xf>
    <xf numFmtId="173" fontId="12" fillId="0" borderId="0" xfId="0" applyNumberFormat="1" applyFont="1"/>
    <xf numFmtId="165" fontId="12" fillId="0" borderId="0" xfId="0" applyNumberFormat="1" applyFont="1"/>
    <xf numFmtId="10" fontId="12" fillId="0" borderId="0" xfId="0" applyNumberFormat="1" applyFont="1" applyFill="1"/>
    <xf numFmtId="10" fontId="23" fillId="0" borderId="0" xfId="0" applyNumberFormat="1" applyFont="1" applyFill="1"/>
    <xf numFmtId="0" fontId="12" fillId="0" borderId="0" xfId="0" applyFont="1" applyFill="1" applyAlignment="1">
      <alignment horizontal="left"/>
    </xf>
    <xf numFmtId="173" fontId="12" fillId="0" borderId="0" xfId="0" applyNumberFormat="1" applyFont="1" applyFill="1"/>
    <xf numFmtId="165" fontId="12" fillId="0" borderId="0" xfId="0" applyNumberFormat="1" applyFont="1" applyFill="1"/>
    <xf numFmtId="10" fontId="23" fillId="5" borderId="0" xfId="0" applyNumberFormat="1" applyFont="1" applyFill="1"/>
    <xf numFmtId="10" fontId="12" fillId="5" borderId="0" xfId="2" applyNumberFormat="1" applyFont="1" applyFill="1"/>
    <xf numFmtId="17" fontId="26" fillId="0" borderId="0" xfId="0" applyNumberFormat="1" applyFont="1"/>
    <xf numFmtId="164" fontId="12" fillId="0" borderId="0" xfId="0" applyNumberFormat="1" applyFont="1"/>
    <xf numFmtId="1" fontId="12" fillId="0" borderId="0" xfId="0" quotePrefix="1" applyNumberFormat="1" applyFont="1"/>
    <xf numFmtId="0" fontId="26" fillId="0" borderId="0" xfId="0" applyFont="1" applyAlignment="1">
      <alignment horizontal="left"/>
    </xf>
    <xf numFmtId="174" fontId="26" fillId="0" borderId="0" xfId="0" applyNumberFormat="1" applyFont="1" applyAlignment="1">
      <alignment horizontal="right"/>
    </xf>
    <xf numFmtId="10" fontId="12" fillId="0" borderId="0" xfId="2" applyNumberFormat="1" applyFont="1" applyFill="1"/>
    <xf numFmtId="168" fontId="22" fillId="5" borderId="0" xfId="0" applyNumberFormat="1" applyFont="1" applyFill="1" applyAlignment="1">
      <alignment horizontal="left"/>
    </xf>
    <xf numFmtId="1" fontId="22" fillId="5" borderId="0" xfId="0" applyNumberFormat="1" applyFont="1" applyFill="1" applyAlignment="1">
      <alignment horizontal="left"/>
    </xf>
    <xf numFmtId="3" fontId="22" fillId="5" borderId="0" xfId="2" applyNumberFormat="1" applyFont="1" applyFill="1"/>
    <xf numFmtId="167" fontId="22" fillId="5" borderId="0" xfId="0" applyNumberFormat="1" applyFont="1" applyFill="1"/>
    <xf numFmtId="10" fontId="22" fillId="5" borderId="0" xfId="2" applyNumberFormat="1" applyFont="1" applyFill="1" applyAlignment="1">
      <alignment horizontal="right"/>
    </xf>
    <xf numFmtId="1" fontId="22" fillId="5" borderId="0" xfId="0" applyNumberFormat="1" applyFont="1" applyFill="1" applyAlignment="1">
      <alignment horizontal="center" vertical="center"/>
    </xf>
    <xf numFmtId="0" fontId="22" fillId="5" borderId="0" xfId="0" applyFont="1" applyFill="1" applyAlignment="1">
      <alignment horizontal="right"/>
    </xf>
    <xf numFmtId="170" fontId="22" fillId="5" borderId="0" xfId="0" applyNumberFormat="1" applyFont="1" applyFill="1" applyAlignment="1">
      <alignment horizontal="left"/>
    </xf>
    <xf numFmtId="0" fontId="22" fillId="5" borderId="0" xfId="0" applyFont="1" applyFill="1"/>
    <xf numFmtId="10" fontId="12" fillId="5" borderId="0" xfId="2" applyNumberFormat="1" applyFont="1" applyFill="1" applyAlignment="1">
      <alignment horizontal="center"/>
    </xf>
    <xf numFmtId="166" fontId="23" fillId="5" borderId="0" xfId="2" applyNumberFormat="1" applyFont="1" applyFill="1" applyAlignment="1">
      <alignment horizontal="center"/>
    </xf>
    <xf numFmtId="166" fontId="12" fillId="5" borderId="0" xfId="2" applyNumberFormat="1" applyFont="1" applyFill="1" applyAlignment="1">
      <alignment horizontal="center"/>
    </xf>
    <xf numFmtId="175" fontId="12" fillId="0" borderId="0" xfId="0" applyNumberFormat="1" applyFont="1" applyAlignment="1">
      <alignment shrinkToFit="1"/>
    </xf>
    <xf numFmtId="175" fontId="23" fillId="0" borderId="0" xfId="0" applyNumberFormat="1" applyFont="1" applyAlignment="1">
      <alignment shrinkToFit="1"/>
    </xf>
    <xf numFmtId="165" fontId="12" fillId="0" borderId="0" xfId="2" applyNumberFormat="1" applyFont="1"/>
    <xf numFmtId="1" fontId="12" fillId="10" borderId="0" xfId="0" applyNumberFormat="1" applyFont="1" applyFill="1" applyAlignment="1">
      <alignment shrinkToFit="1"/>
    </xf>
    <xf numFmtId="10" fontId="12" fillId="10" borderId="0" xfId="0" applyNumberFormat="1" applyFont="1" applyFill="1" applyAlignment="1">
      <alignment horizontal="center"/>
    </xf>
    <xf numFmtId="1" fontId="12" fillId="11" borderId="0" xfId="0" applyNumberFormat="1" applyFont="1" applyFill="1" applyAlignment="1">
      <alignment horizontal="center" shrinkToFit="1"/>
    </xf>
    <xf numFmtId="1" fontId="12" fillId="11" borderId="0" xfId="0" applyNumberFormat="1" applyFont="1" applyFill="1" applyAlignment="1">
      <alignment shrinkToFit="1"/>
    </xf>
    <xf numFmtId="0" fontId="12" fillId="11" borderId="0" xfId="0" applyFont="1" applyFill="1"/>
    <xf numFmtId="10" fontId="12" fillId="10" borderId="0" xfId="2" applyNumberFormat="1" applyFont="1" applyFill="1" applyAlignment="1">
      <alignment horizontal="center"/>
    </xf>
    <xf numFmtId="0" fontId="12" fillId="10" borderId="0" xfId="0" applyFont="1" applyFill="1"/>
    <xf numFmtId="0" fontId="12" fillId="10" borderId="0" xfId="0" applyFont="1" applyFill="1" applyAlignment="1">
      <alignment horizontal="center"/>
    </xf>
    <xf numFmtId="165" fontId="23" fillId="10" borderId="0" xfId="2" applyNumberFormat="1" applyFont="1" applyFill="1" applyAlignment="1">
      <alignment horizontal="center"/>
    </xf>
    <xf numFmtId="0" fontId="12" fillId="11" borderId="0" xfId="0" applyFont="1" applyFill="1" applyAlignment="1">
      <alignment horizontal="left"/>
    </xf>
    <xf numFmtId="173" fontId="12" fillId="10" borderId="0" xfId="0" applyNumberFormat="1" applyFont="1" applyFill="1"/>
    <xf numFmtId="165" fontId="12" fillId="10" borderId="0" xfId="0" applyNumberFormat="1" applyFont="1" applyFill="1"/>
    <xf numFmtId="9" fontId="12" fillId="0" borderId="0" xfId="2" applyFont="1" applyAlignment="1">
      <alignment horizontal="center"/>
    </xf>
    <xf numFmtId="3" fontId="12" fillId="0" borderId="1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0" fillId="7" borderId="1" xfId="0" applyFont="1" applyFill="1" applyBorder="1" applyAlignment="1">
      <alignment horizontal="center" wrapText="1"/>
    </xf>
    <xf numFmtId="167" fontId="20" fillId="7" borderId="1" xfId="0" applyNumberFormat="1" applyFont="1" applyFill="1" applyBorder="1" applyAlignment="1">
      <alignment horizontal="center" wrapText="1"/>
    </xf>
    <xf numFmtId="0" fontId="21" fillId="0" borderId="1" xfId="0" applyFont="1" applyBorder="1" applyAlignment="1">
      <alignment horizontal="center" wrapText="1"/>
    </xf>
    <xf numFmtId="10" fontId="20" fillId="7" borderId="1" xfId="2" applyNumberFormat="1" applyFont="1" applyFill="1" applyBorder="1" applyAlignment="1">
      <alignment horizontal="center"/>
    </xf>
    <xf numFmtId="1" fontId="21" fillId="6" borderId="1" xfId="0" applyNumberFormat="1" applyFont="1" applyFill="1" applyBorder="1" applyAlignment="1">
      <alignment horizontal="center"/>
    </xf>
    <xf numFmtId="1" fontId="21" fillId="7" borderId="1" xfId="0" applyNumberFormat="1" applyFont="1" applyFill="1" applyBorder="1" applyAlignment="1">
      <alignment horizontal="center" wrapText="1"/>
    </xf>
    <xf numFmtId="1" fontId="19" fillId="7" borderId="1" xfId="0" applyNumberFormat="1" applyFont="1" applyFill="1" applyBorder="1" applyAlignment="1">
      <alignment horizontal="center"/>
    </xf>
    <xf numFmtId="17" fontId="12" fillId="0" borderId="1" xfId="0" applyNumberFormat="1" applyFont="1" applyBorder="1" applyAlignment="1">
      <alignment horizontal="center"/>
    </xf>
    <xf numFmtId="10" fontId="12" fillId="0" borderId="1" xfId="2" applyNumberFormat="1" applyFont="1" applyBorder="1" applyAlignment="1">
      <alignment horizontal="center"/>
    </xf>
    <xf numFmtId="0" fontId="12" fillId="2" borderId="1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/>
    </xf>
    <xf numFmtId="10" fontId="12" fillId="2" borderId="1" xfId="2" applyNumberFormat="1" applyFont="1" applyFill="1" applyBorder="1" applyAlignment="1">
      <alignment horizontal="center" wrapText="1"/>
    </xf>
    <xf numFmtId="10" fontId="12" fillId="7" borderId="1" xfId="2" applyNumberFormat="1" applyFont="1" applyFill="1" applyBorder="1" applyAlignment="1">
      <alignment horizontal="center"/>
    </xf>
    <xf numFmtId="165" fontId="12" fillId="2" borderId="1" xfId="0" applyNumberFormat="1" applyFont="1" applyFill="1" applyBorder="1" applyAlignment="1">
      <alignment horizontal="center" wrapText="1"/>
    </xf>
    <xf numFmtId="165" fontId="12" fillId="2" borderId="1" xfId="0" applyNumberFormat="1" applyFont="1" applyFill="1" applyBorder="1" applyAlignment="1">
      <alignment horizontal="center"/>
    </xf>
    <xf numFmtId="165" fontId="12" fillId="0" borderId="1" xfId="2" applyNumberFormat="1" applyFont="1" applyBorder="1" applyAlignment="1">
      <alignment horizontal="center"/>
    </xf>
    <xf numFmtId="165" fontId="12" fillId="0" borderId="0" xfId="0" applyNumberFormat="1" applyFont="1" applyAlignment="1">
      <alignment horizontal="center" wrapText="1"/>
    </xf>
    <xf numFmtId="165" fontId="12" fillId="0" borderId="0" xfId="0" applyNumberFormat="1" applyFont="1" applyAlignment="1">
      <alignment horizontal="center"/>
    </xf>
    <xf numFmtId="166" fontId="12" fillId="2" borderId="0" xfId="0" applyNumberFormat="1" applyFont="1" applyFill="1" applyAlignment="1">
      <alignment horizontal="center" wrapText="1"/>
    </xf>
    <xf numFmtId="166" fontId="12" fillId="2" borderId="1" xfId="0" applyNumberFormat="1" applyFont="1" applyFill="1" applyBorder="1" applyAlignment="1">
      <alignment horizontal="center" wrapText="1"/>
    </xf>
    <xf numFmtId="166" fontId="12" fillId="2" borderId="1" xfId="0" applyNumberFormat="1" applyFont="1" applyFill="1" applyBorder="1" applyAlignment="1">
      <alignment horizontal="center"/>
    </xf>
    <xf numFmtId="166" fontId="12" fillId="0" borderId="1" xfId="2" applyNumberFormat="1" applyFont="1" applyBorder="1" applyAlignment="1">
      <alignment horizontal="center"/>
    </xf>
    <xf numFmtId="173" fontId="12" fillId="0" borderId="0" xfId="0" applyNumberFormat="1" applyFont="1" applyAlignment="1">
      <alignment horizontal="center" wrapText="1"/>
    </xf>
    <xf numFmtId="173" fontId="12" fillId="0" borderId="0" xfId="0" applyNumberFormat="1" applyFont="1" applyAlignment="1">
      <alignment horizontal="center"/>
    </xf>
    <xf numFmtId="169" fontId="12" fillId="7" borderId="0" xfId="0" applyNumberFormat="1" applyFont="1" applyFill="1" applyBorder="1" applyAlignment="1">
      <alignment horizontal="center" wrapText="1"/>
    </xf>
    <xf numFmtId="169" fontId="12" fillId="7" borderId="0" xfId="0" applyNumberFormat="1" applyFont="1" applyFill="1" applyBorder="1" applyAlignment="1">
      <alignment horizontal="center"/>
    </xf>
    <xf numFmtId="169" fontId="12" fillId="0" borderId="1" xfId="0" applyNumberFormat="1" applyFont="1" applyBorder="1" applyAlignment="1">
      <alignment horizontal="center"/>
    </xf>
  </cellXfs>
  <cellStyles count="5">
    <cellStyle name="Normal" xfId="0" builtinId="0"/>
    <cellStyle name="Normal 2" xfId="1" xr:uid="{00000000-0005-0000-0000-000001000000}"/>
    <cellStyle name="Percent" xfId="2" builtinId="5"/>
    <cellStyle name="Percent 2" xfId="3" xr:uid="{00000000-0005-0000-0000-000003000000}"/>
    <cellStyle name="Pourcentage 2" xfId="4" xr:uid="{00000000-0005-0000-0000-000004000000}"/>
  </cellStyles>
  <dxfs count="3"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mailto:UP94@2020" TargetMode="External"/><Relationship Id="rId13" Type="http://schemas.openxmlformats.org/officeDocument/2006/relationships/hyperlink" Target="mailto:UP94@2020" TargetMode="External"/><Relationship Id="rId18" Type="http://schemas.openxmlformats.org/officeDocument/2006/relationships/hyperlink" Target="mailto:UP94@2020" TargetMode="External"/><Relationship Id="rId3" Type="http://schemas.openxmlformats.org/officeDocument/2006/relationships/hyperlink" Target="mailto:UP94@2020" TargetMode="External"/><Relationship Id="rId21" Type="http://schemas.openxmlformats.org/officeDocument/2006/relationships/hyperlink" Target="mailto:UP94@2020" TargetMode="External"/><Relationship Id="rId7" Type="http://schemas.openxmlformats.org/officeDocument/2006/relationships/hyperlink" Target="mailto:UP94@2020" TargetMode="External"/><Relationship Id="rId12" Type="http://schemas.openxmlformats.org/officeDocument/2006/relationships/hyperlink" Target="mailto:UP94@2020" TargetMode="External"/><Relationship Id="rId17" Type="http://schemas.openxmlformats.org/officeDocument/2006/relationships/hyperlink" Target="mailto:UP94@2020" TargetMode="External"/><Relationship Id="rId25" Type="http://schemas.openxmlformats.org/officeDocument/2006/relationships/comments" Target="../comments6.xml"/><Relationship Id="rId2" Type="http://schemas.openxmlformats.org/officeDocument/2006/relationships/hyperlink" Target="mailto:UP94@2020" TargetMode="External"/><Relationship Id="rId16" Type="http://schemas.openxmlformats.org/officeDocument/2006/relationships/hyperlink" Target="mailto:UP94@2020" TargetMode="External"/><Relationship Id="rId20" Type="http://schemas.openxmlformats.org/officeDocument/2006/relationships/hyperlink" Target="mailto:UP94@2020" TargetMode="External"/><Relationship Id="rId1" Type="http://schemas.openxmlformats.org/officeDocument/2006/relationships/hyperlink" Target="mailto:UP94@2020" TargetMode="External"/><Relationship Id="rId6" Type="http://schemas.openxmlformats.org/officeDocument/2006/relationships/hyperlink" Target="mailto:UP94@2020" TargetMode="External"/><Relationship Id="rId11" Type="http://schemas.openxmlformats.org/officeDocument/2006/relationships/hyperlink" Target="mailto:UP94@2020" TargetMode="External"/><Relationship Id="rId24" Type="http://schemas.openxmlformats.org/officeDocument/2006/relationships/vmlDrawing" Target="../drawings/vmlDrawing6.vml"/><Relationship Id="rId5" Type="http://schemas.openxmlformats.org/officeDocument/2006/relationships/hyperlink" Target="mailto:UP94@2020" TargetMode="External"/><Relationship Id="rId15" Type="http://schemas.openxmlformats.org/officeDocument/2006/relationships/hyperlink" Target="mailto:UP94@2020" TargetMode="External"/><Relationship Id="rId23" Type="http://schemas.openxmlformats.org/officeDocument/2006/relationships/printerSettings" Target="../printerSettings/printerSettings17.bin"/><Relationship Id="rId10" Type="http://schemas.openxmlformats.org/officeDocument/2006/relationships/hyperlink" Target="mailto:UP94@2020" TargetMode="External"/><Relationship Id="rId19" Type="http://schemas.openxmlformats.org/officeDocument/2006/relationships/hyperlink" Target="mailto:UP94@2020" TargetMode="External"/><Relationship Id="rId4" Type="http://schemas.openxmlformats.org/officeDocument/2006/relationships/hyperlink" Target="mailto:UP94@2020" TargetMode="External"/><Relationship Id="rId9" Type="http://schemas.openxmlformats.org/officeDocument/2006/relationships/hyperlink" Target="mailto:UP94@2020" TargetMode="External"/><Relationship Id="rId14" Type="http://schemas.openxmlformats.org/officeDocument/2006/relationships/hyperlink" Target="mailto:UP94@2020" TargetMode="External"/><Relationship Id="rId22" Type="http://schemas.openxmlformats.org/officeDocument/2006/relationships/hyperlink" Target="mailto:UP94@2020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O60"/>
  <sheetViews>
    <sheetView topLeftCell="B4" workbookViewId="0">
      <pane ySplit="1" topLeftCell="A47" activePane="bottomLeft" state="frozen"/>
      <selection activeCell="A4" sqref="A4"/>
      <selection pane="bottomLeft" activeCell="H57" sqref="H57"/>
    </sheetView>
  </sheetViews>
  <sheetFormatPr defaultColWidth="11.1640625" defaultRowHeight="15.6" x14ac:dyDescent="0.3"/>
  <cols>
    <col min="1" max="4" width="8.83203125" style="7" customWidth="1"/>
    <col min="5" max="5" width="8.83203125" style="17" customWidth="1"/>
    <col min="6" max="10" width="8.83203125" style="18" customWidth="1"/>
    <col min="11" max="11" width="2.58203125" style="18" customWidth="1"/>
    <col min="12" max="14" width="8.83203125" style="7" customWidth="1"/>
    <col min="15" max="15" width="1.6640625" style="7" customWidth="1"/>
    <col min="16" max="16384" width="11.1640625" style="7"/>
  </cols>
  <sheetData>
    <row r="1" spans="1:15" x14ac:dyDescent="0.3">
      <c r="A1" s="7" t="s">
        <v>30</v>
      </c>
    </row>
    <row r="2" spans="1:15" x14ac:dyDescent="0.3">
      <c r="I2" s="279" t="s">
        <v>7</v>
      </c>
      <c r="J2" s="279"/>
      <c r="K2" s="279"/>
      <c r="L2" s="279"/>
      <c r="M2" s="279"/>
      <c r="N2" s="279"/>
    </row>
    <row r="3" spans="1:15" ht="38.25" customHeight="1" x14ac:dyDescent="0.3">
      <c r="A3" s="280" t="s">
        <v>31</v>
      </c>
      <c r="B3" s="280"/>
      <c r="I3" s="279" t="s">
        <v>37</v>
      </c>
      <c r="J3" s="279"/>
      <c r="K3" s="30"/>
      <c r="L3" s="279" t="s">
        <v>39</v>
      </c>
      <c r="M3" s="279"/>
    </row>
    <row r="4" spans="1:15" ht="46.8" x14ac:dyDescent="0.3">
      <c r="A4" s="25" t="s">
        <v>6</v>
      </c>
      <c r="B4" s="25" t="s">
        <v>32</v>
      </c>
      <c r="E4" s="31" t="s">
        <v>33</v>
      </c>
      <c r="F4" s="32" t="s">
        <v>34</v>
      </c>
      <c r="G4" s="32" t="s">
        <v>35</v>
      </c>
      <c r="H4" s="32" t="s">
        <v>36</v>
      </c>
      <c r="I4" s="33" t="s">
        <v>125</v>
      </c>
      <c r="J4" s="33" t="s">
        <v>38</v>
      </c>
      <c r="K4" s="32"/>
      <c r="L4" s="33" t="s">
        <v>40</v>
      </c>
      <c r="M4" s="33" t="s">
        <v>41</v>
      </c>
      <c r="N4" s="33" t="s">
        <v>42</v>
      </c>
      <c r="O4" s="32"/>
    </row>
    <row r="5" spans="1:15" x14ac:dyDescent="0.3">
      <c r="A5" s="7">
        <v>49</v>
      </c>
      <c r="B5" s="34">
        <v>9</v>
      </c>
      <c r="C5" s="35"/>
      <c r="D5" s="7">
        <v>1990</v>
      </c>
      <c r="E5" s="17">
        <v>1722.22</v>
      </c>
      <c r="F5" s="18">
        <v>11500</v>
      </c>
      <c r="H5" s="18">
        <f>0.5*F5</f>
        <v>5750</v>
      </c>
      <c r="I5" s="18">
        <f>ROUND(9*MIN(N5,E5)-J5,0)</f>
        <v>10500</v>
      </c>
      <c r="J5" s="18">
        <v>1000</v>
      </c>
      <c r="L5" s="18">
        <v>63889</v>
      </c>
      <c r="M5" s="18">
        <v>86111</v>
      </c>
      <c r="N5" s="17">
        <v>1277.78</v>
      </c>
    </row>
    <row r="6" spans="1:15" x14ac:dyDescent="0.3">
      <c r="A6" s="7">
        <v>50</v>
      </c>
      <c r="B6" s="34">
        <v>9.4</v>
      </c>
      <c r="C6" s="35"/>
      <c r="D6" s="7">
        <v>1991</v>
      </c>
      <c r="E6" s="17">
        <v>1722.22</v>
      </c>
      <c r="F6" s="18">
        <v>12500</v>
      </c>
      <c r="G6" s="18">
        <v>11500</v>
      </c>
      <c r="H6" s="18">
        <f t="shared" ref="H6:H30" si="0">0.5*F6</f>
        <v>6250</v>
      </c>
      <c r="I6" s="18">
        <f t="shared" ref="I6:I30" si="1">ROUND(9*MIN(N6,E6)-J6,0)</f>
        <v>11500</v>
      </c>
      <c r="J6" s="18">
        <v>1000</v>
      </c>
      <c r="L6" s="18">
        <v>69444</v>
      </c>
      <c r="M6" s="18">
        <v>86111</v>
      </c>
      <c r="N6" s="17">
        <v>1388.89</v>
      </c>
    </row>
    <row r="7" spans="1:15" x14ac:dyDescent="0.3">
      <c r="A7" s="7">
        <v>51</v>
      </c>
      <c r="B7" s="34">
        <v>9.6</v>
      </c>
      <c r="C7" s="35"/>
      <c r="D7" s="7">
        <v>1992</v>
      </c>
      <c r="E7" s="17">
        <v>1722.22</v>
      </c>
      <c r="F7" s="18">
        <v>12500</v>
      </c>
      <c r="G7" s="18">
        <v>12500</v>
      </c>
      <c r="H7" s="18">
        <f t="shared" si="0"/>
        <v>6250</v>
      </c>
      <c r="I7" s="18">
        <f t="shared" si="1"/>
        <v>11500</v>
      </c>
      <c r="J7" s="18">
        <v>1000</v>
      </c>
      <c r="L7" s="18">
        <v>69444</v>
      </c>
      <c r="M7" s="18">
        <v>86111</v>
      </c>
      <c r="N7" s="17">
        <v>1388.89</v>
      </c>
    </row>
    <row r="8" spans="1:15" x14ac:dyDescent="0.3">
      <c r="A8" s="7">
        <v>52</v>
      </c>
      <c r="B8" s="34">
        <v>9.8000000000000007</v>
      </c>
      <c r="C8" s="35"/>
      <c r="D8" s="7">
        <v>1993</v>
      </c>
      <c r="E8" s="17">
        <v>1722.22</v>
      </c>
      <c r="F8" s="18">
        <v>13500</v>
      </c>
      <c r="G8" s="18">
        <v>12500</v>
      </c>
      <c r="H8" s="18">
        <f t="shared" si="0"/>
        <v>6750</v>
      </c>
      <c r="I8" s="18">
        <f t="shared" si="1"/>
        <v>12500</v>
      </c>
      <c r="J8" s="18">
        <v>1000</v>
      </c>
      <c r="L8" s="18">
        <v>75000</v>
      </c>
      <c r="M8" s="18">
        <v>86111</v>
      </c>
      <c r="N8" s="17">
        <v>1500</v>
      </c>
    </row>
    <row r="9" spans="1:15" x14ac:dyDescent="0.3">
      <c r="A9" s="7">
        <v>53</v>
      </c>
      <c r="B9" s="34">
        <v>10</v>
      </c>
      <c r="C9" s="35"/>
      <c r="D9" s="7">
        <v>1994</v>
      </c>
      <c r="E9" s="17">
        <v>1722.22</v>
      </c>
      <c r="F9" s="18">
        <v>14500</v>
      </c>
      <c r="G9" s="18">
        <v>13500</v>
      </c>
      <c r="H9" s="18">
        <f t="shared" si="0"/>
        <v>7250</v>
      </c>
      <c r="I9" s="18">
        <f t="shared" si="1"/>
        <v>13500</v>
      </c>
      <c r="J9" s="18">
        <v>1000</v>
      </c>
      <c r="L9" s="18">
        <v>80556</v>
      </c>
      <c r="M9" s="18">
        <v>86111</v>
      </c>
      <c r="N9" s="17">
        <v>1611.11</v>
      </c>
    </row>
    <row r="10" spans="1:15" x14ac:dyDescent="0.3">
      <c r="A10" s="7">
        <v>54</v>
      </c>
      <c r="B10" s="34">
        <v>10.199999999999999</v>
      </c>
      <c r="C10" s="35"/>
      <c r="D10" s="7">
        <v>1995</v>
      </c>
      <c r="E10" s="17">
        <v>1722.22</v>
      </c>
      <c r="F10" s="18">
        <v>15500</v>
      </c>
      <c r="G10" s="18">
        <v>14500</v>
      </c>
      <c r="H10" s="18">
        <f t="shared" si="0"/>
        <v>7750</v>
      </c>
      <c r="I10" s="18">
        <f t="shared" si="1"/>
        <v>14500</v>
      </c>
      <c r="J10" s="18">
        <v>1000</v>
      </c>
      <c r="M10" s="18"/>
      <c r="N10" s="17"/>
    </row>
    <row r="11" spans="1:15" x14ac:dyDescent="0.3">
      <c r="A11" s="7">
        <v>55</v>
      </c>
      <c r="B11" s="34">
        <v>10.4</v>
      </c>
      <c r="C11" s="35"/>
      <c r="D11" s="7">
        <v>1996</v>
      </c>
      <c r="E11" s="17">
        <v>1722.22</v>
      </c>
      <c r="F11" s="18">
        <v>13500</v>
      </c>
      <c r="G11" s="18">
        <v>13500</v>
      </c>
      <c r="H11" s="18">
        <f t="shared" si="0"/>
        <v>6750</v>
      </c>
      <c r="I11" s="18">
        <f t="shared" si="1"/>
        <v>14500</v>
      </c>
      <c r="J11" s="18">
        <v>1000</v>
      </c>
    </row>
    <row r="12" spans="1:15" x14ac:dyDescent="0.3">
      <c r="A12" s="7">
        <v>56</v>
      </c>
      <c r="B12" s="34">
        <v>10.6</v>
      </c>
      <c r="C12" s="35"/>
      <c r="D12" s="7">
        <v>1997</v>
      </c>
      <c r="E12" s="17">
        <v>1722.22</v>
      </c>
      <c r="F12" s="18">
        <v>13500</v>
      </c>
      <c r="G12" s="18">
        <v>13500</v>
      </c>
      <c r="H12" s="18">
        <f t="shared" si="0"/>
        <v>6750</v>
      </c>
      <c r="I12" s="18">
        <f t="shared" si="1"/>
        <v>14900</v>
      </c>
      <c r="J12" s="18">
        <v>600</v>
      </c>
    </row>
    <row r="13" spans="1:15" x14ac:dyDescent="0.3">
      <c r="A13" s="7">
        <v>57</v>
      </c>
      <c r="B13" s="34">
        <v>10.8</v>
      </c>
      <c r="C13" s="35"/>
      <c r="D13" s="7">
        <v>1998</v>
      </c>
      <c r="E13" s="17">
        <v>1722.22</v>
      </c>
      <c r="F13" s="18">
        <v>13500</v>
      </c>
      <c r="G13" s="18">
        <v>13500</v>
      </c>
      <c r="H13" s="18">
        <f t="shared" si="0"/>
        <v>6750</v>
      </c>
      <c r="I13" s="18">
        <f t="shared" si="1"/>
        <v>14900</v>
      </c>
      <c r="J13" s="18">
        <v>600</v>
      </c>
    </row>
    <row r="14" spans="1:15" x14ac:dyDescent="0.3">
      <c r="A14" s="7">
        <v>58</v>
      </c>
      <c r="B14" s="34">
        <v>11</v>
      </c>
      <c r="C14" s="35"/>
      <c r="D14" s="7">
        <v>1999</v>
      </c>
      <c r="E14" s="17">
        <v>1722.22</v>
      </c>
      <c r="F14" s="18">
        <v>13500</v>
      </c>
      <c r="G14" s="18">
        <v>13500</v>
      </c>
      <c r="H14" s="18">
        <f t="shared" si="0"/>
        <v>6750</v>
      </c>
      <c r="I14" s="18">
        <f t="shared" si="1"/>
        <v>14900</v>
      </c>
      <c r="J14" s="18">
        <v>600</v>
      </c>
    </row>
    <row r="15" spans="1:15" x14ac:dyDescent="0.3">
      <c r="A15" s="7">
        <v>59</v>
      </c>
      <c r="B15" s="34">
        <v>11.3</v>
      </c>
      <c r="C15" s="35"/>
      <c r="D15" s="7">
        <v>2000</v>
      </c>
      <c r="E15" s="17">
        <v>1722.22</v>
      </c>
      <c r="F15" s="18">
        <v>13500</v>
      </c>
      <c r="G15" s="18">
        <v>13500</v>
      </c>
      <c r="H15" s="18">
        <f t="shared" si="0"/>
        <v>6750</v>
      </c>
      <c r="I15" s="18">
        <f t="shared" si="1"/>
        <v>14900</v>
      </c>
      <c r="J15" s="18">
        <v>600</v>
      </c>
    </row>
    <row r="16" spans="1:15" x14ac:dyDescent="0.3">
      <c r="A16" s="7">
        <v>60</v>
      </c>
      <c r="B16" s="34">
        <v>11.5</v>
      </c>
      <c r="C16" s="35"/>
      <c r="D16" s="7">
        <v>2001</v>
      </c>
      <c r="E16" s="17">
        <v>1722.22</v>
      </c>
      <c r="F16" s="18">
        <v>13500</v>
      </c>
      <c r="G16" s="18">
        <v>13500</v>
      </c>
      <c r="H16" s="18">
        <f t="shared" si="0"/>
        <v>6750</v>
      </c>
      <c r="I16" s="18">
        <f t="shared" si="1"/>
        <v>14900</v>
      </c>
      <c r="J16" s="18">
        <v>600</v>
      </c>
    </row>
    <row r="17" spans="1:10" x14ac:dyDescent="0.3">
      <c r="A17" s="7">
        <v>61</v>
      </c>
      <c r="B17" s="34">
        <v>11.7</v>
      </c>
      <c r="C17" s="35"/>
      <c r="D17" s="7">
        <v>2002</v>
      </c>
      <c r="E17" s="17">
        <v>1722.22</v>
      </c>
      <c r="F17" s="18">
        <v>13500</v>
      </c>
      <c r="G17" s="18">
        <v>13500</v>
      </c>
      <c r="H17" s="18">
        <f t="shared" si="0"/>
        <v>6750</v>
      </c>
      <c r="I17" s="18">
        <f t="shared" si="1"/>
        <v>14900</v>
      </c>
      <c r="J17" s="18">
        <v>600</v>
      </c>
    </row>
    <row r="18" spans="1:10" x14ac:dyDescent="0.3">
      <c r="A18" s="7">
        <v>62</v>
      </c>
      <c r="B18" s="34">
        <v>12</v>
      </c>
      <c r="C18" s="35"/>
      <c r="D18" s="7">
        <v>2003</v>
      </c>
      <c r="E18" s="17">
        <v>1722.22</v>
      </c>
      <c r="F18" s="18">
        <v>15500</v>
      </c>
      <c r="G18" s="18">
        <v>14500</v>
      </c>
      <c r="H18" s="18">
        <f t="shared" si="0"/>
        <v>7750</v>
      </c>
      <c r="I18" s="18">
        <f t="shared" si="1"/>
        <v>14900</v>
      </c>
      <c r="J18" s="18">
        <v>600</v>
      </c>
    </row>
    <row r="19" spans="1:10" x14ac:dyDescent="0.3">
      <c r="A19" s="7">
        <v>63</v>
      </c>
      <c r="B19" s="34">
        <v>12.2</v>
      </c>
      <c r="C19" s="35"/>
      <c r="D19" s="7">
        <v>2004</v>
      </c>
      <c r="E19" s="17">
        <v>1833.33</v>
      </c>
      <c r="F19" s="18">
        <v>16500</v>
      </c>
      <c r="G19" s="18">
        <v>15500</v>
      </c>
      <c r="H19" s="18">
        <f t="shared" si="0"/>
        <v>8250</v>
      </c>
      <c r="I19" s="18">
        <f t="shared" si="1"/>
        <v>15900</v>
      </c>
      <c r="J19" s="18">
        <v>600</v>
      </c>
    </row>
    <row r="20" spans="1:10" x14ac:dyDescent="0.3">
      <c r="A20" s="7">
        <v>64</v>
      </c>
      <c r="B20" s="34">
        <v>12.4</v>
      </c>
      <c r="C20" s="35"/>
      <c r="D20" s="7">
        <v>2005</v>
      </c>
      <c r="E20" s="17">
        <v>2000</v>
      </c>
      <c r="F20" s="18">
        <v>18000</v>
      </c>
      <c r="G20" s="18">
        <v>16500</v>
      </c>
      <c r="H20" s="18">
        <f t="shared" si="0"/>
        <v>9000</v>
      </c>
      <c r="I20" s="18">
        <f t="shared" si="1"/>
        <v>17400</v>
      </c>
      <c r="J20" s="18">
        <v>600</v>
      </c>
    </row>
    <row r="21" spans="1:10" x14ac:dyDescent="0.3">
      <c r="A21" s="7">
        <v>65</v>
      </c>
      <c r="B21" s="34">
        <v>12.4</v>
      </c>
      <c r="C21" s="35"/>
      <c r="D21" s="7">
        <v>2006</v>
      </c>
      <c r="E21" s="17">
        <f>ROUND(F21/9,2)</f>
        <v>2111.11</v>
      </c>
      <c r="F21" s="18">
        <v>19000</v>
      </c>
      <c r="G21" s="18">
        <v>18000</v>
      </c>
      <c r="H21" s="18">
        <f t="shared" si="0"/>
        <v>9500</v>
      </c>
      <c r="I21" s="18">
        <f t="shared" si="1"/>
        <v>18400</v>
      </c>
      <c r="J21" s="18">
        <v>600</v>
      </c>
    </row>
    <row r="22" spans="1:10" x14ac:dyDescent="0.3">
      <c r="A22" s="7">
        <v>66</v>
      </c>
      <c r="B22" s="34">
        <v>12</v>
      </c>
      <c r="C22" s="35"/>
      <c r="D22" s="7">
        <v>2007</v>
      </c>
      <c r="E22" s="17">
        <f>ROUND(F22/9,2)</f>
        <v>2222.2199999999998</v>
      </c>
      <c r="F22" s="18">
        <v>20000</v>
      </c>
      <c r="G22" s="18">
        <f>F21</f>
        <v>19000</v>
      </c>
      <c r="H22" s="18">
        <f t="shared" si="0"/>
        <v>10000</v>
      </c>
      <c r="I22" s="18">
        <f t="shared" si="1"/>
        <v>19400</v>
      </c>
      <c r="J22" s="18">
        <v>600</v>
      </c>
    </row>
    <row r="23" spans="1:10" x14ac:dyDescent="0.3">
      <c r="A23" s="7">
        <v>67</v>
      </c>
      <c r="B23" s="34">
        <v>11.7</v>
      </c>
      <c r="C23" s="35"/>
      <c r="D23" s="7">
        <v>2008</v>
      </c>
      <c r="E23" s="17">
        <f>ROUND(F23/9,2)</f>
        <v>2333.33</v>
      </c>
      <c r="F23" s="18">
        <v>21000</v>
      </c>
      <c r="G23" s="18">
        <f>F22</f>
        <v>20000</v>
      </c>
      <c r="H23" s="18">
        <f t="shared" si="0"/>
        <v>10500</v>
      </c>
      <c r="I23" s="18">
        <f t="shared" si="1"/>
        <v>20400</v>
      </c>
      <c r="J23" s="18">
        <v>600</v>
      </c>
    </row>
    <row r="24" spans="1:10" x14ac:dyDescent="0.3">
      <c r="A24" s="7">
        <v>68</v>
      </c>
      <c r="B24" s="34">
        <v>11.3</v>
      </c>
      <c r="C24" s="35"/>
      <c r="D24" s="7">
        <v>2009</v>
      </c>
      <c r="E24" s="17">
        <f>ROUND(F24/9,2)</f>
        <v>2444.44</v>
      </c>
      <c r="F24" s="18">
        <v>22000</v>
      </c>
      <c r="G24" s="18">
        <f>F23</f>
        <v>21000</v>
      </c>
      <c r="H24" s="18">
        <f t="shared" si="0"/>
        <v>11000</v>
      </c>
      <c r="I24" s="18">
        <f t="shared" si="1"/>
        <v>21400</v>
      </c>
      <c r="J24" s="18">
        <v>600</v>
      </c>
    </row>
    <row r="25" spans="1:10" x14ac:dyDescent="0.3">
      <c r="A25" s="7">
        <v>69</v>
      </c>
      <c r="B25" s="34">
        <v>11</v>
      </c>
      <c r="C25" s="35"/>
      <c r="D25" s="7">
        <v>2010</v>
      </c>
      <c r="E25" s="17">
        <v>2494.44</v>
      </c>
      <c r="F25" s="18">
        <v>22450</v>
      </c>
      <c r="G25" s="18">
        <f>F24</f>
        <v>22000</v>
      </c>
      <c r="H25" s="18">
        <f t="shared" si="0"/>
        <v>11225</v>
      </c>
      <c r="I25" s="18">
        <f t="shared" si="1"/>
        <v>21850</v>
      </c>
      <c r="J25" s="18">
        <v>600</v>
      </c>
    </row>
    <row r="26" spans="1:10" x14ac:dyDescent="0.3">
      <c r="A26" s="7">
        <v>70</v>
      </c>
      <c r="B26" s="34">
        <v>10.6</v>
      </c>
      <c r="C26" s="35"/>
      <c r="D26" s="7">
        <v>2011</v>
      </c>
      <c r="E26" s="17">
        <v>2552.2199999999998</v>
      </c>
      <c r="F26" s="18">
        <v>22970</v>
      </c>
      <c r="G26" s="18">
        <v>22450</v>
      </c>
      <c r="H26" s="18">
        <f t="shared" si="0"/>
        <v>11485</v>
      </c>
      <c r="I26" s="18">
        <f t="shared" si="1"/>
        <v>22370</v>
      </c>
      <c r="J26" s="18">
        <v>600</v>
      </c>
    </row>
    <row r="27" spans="1:10" x14ac:dyDescent="0.3">
      <c r="A27" s="7">
        <v>71</v>
      </c>
      <c r="B27" s="34">
        <v>10.3</v>
      </c>
      <c r="C27" s="35"/>
      <c r="D27" s="7">
        <v>2012</v>
      </c>
      <c r="E27" s="17">
        <v>2646.67</v>
      </c>
      <c r="F27" s="18">
        <v>23820</v>
      </c>
      <c r="G27" s="18">
        <v>22970</v>
      </c>
      <c r="H27" s="18">
        <f t="shared" si="0"/>
        <v>11910</v>
      </c>
      <c r="I27" s="18">
        <f t="shared" si="1"/>
        <v>23220</v>
      </c>
      <c r="J27" s="18">
        <v>600</v>
      </c>
    </row>
    <row r="28" spans="1:10" x14ac:dyDescent="0.3">
      <c r="A28" s="7">
        <v>72</v>
      </c>
      <c r="B28" s="34">
        <v>10.1</v>
      </c>
      <c r="D28" s="7">
        <v>2013</v>
      </c>
      <c r="E28" s="17">
        <v>2696.67</v>
      </c>
      <c r="F28" s="18">
        <v>24270</v>
      </c>
      <c r="G28" s="18">
        <v>23820</v>
      </c>
      <c r="H28" s="18">
        <f t="shared" si="0"/>
        <v>12135</v>
      </c>
      <c r="I28" s="18">
        <f t="shared" si="1"/>
        <v>23670</v>
      </c>
      <c r="J28" s="18">
        <v>600</v>
      </c>
    </row>
    <row r="29" spans="1:10" x14ac:dyDescent="0.3">
      <c r="A29" s="7">
        <v>73</v>
      </c>
      <c r="B29" s="34">
        <v>9.8000000000000007</v>
      </c>
      <c r="D29" s="7">
        <v>2014</v>
      </c>
      <c r="E29" s="17">
        <v>2770</v>
      </c>
      <c r="F29" s="18">
        <v>24930</v>
      </c>
      <c r="G29" s="18">
        <v>24270</v>
      </c>
      <c r="H29" s="18">
        <f t="shared" si="0"/>
        <v>12465</v>
      </c>
      <c r="I29" s="18">
        <f t="shared" si="1"/>
        <v>24330</v>
      </c>
      <c r="J29" s="18">
        <v>600</v>
      </c>
    </row>
    <row r="30" spans="1:10" x14ac:dyDescent="0.3">
      <c r="A30" s="7">
        <v>74</v>
      </c>
      <c r="B30" s="34">
        <v>9.4</v>
      </c>
      <c r="D30" s="7">
        <v>2015</v>
      </c>
      <c r="E30" s="17">
        <v>2818.89</v>
      </c>
      <c r="F30" s="18">
        <v>25370</v>
      </c>
      <c r="G30" s="18">
        <v>24930</v>
      </c>
      <c r="H30" s="18">
        <f t="shared" si="0"/>
        <v>12685</v>
      </c>
      <c r="I30" s="18">
        <f t="shared" si="1"/>
        <v>24770</v>
      </c>
      <c r="J30" s="18">
        <v>600</v>
      </c>
    </row>
    <row r="31" spans="1:10" x14ac:dyDescent="0.3">
      <c r="A31" s="7">
        <v>75</v>
      </c>
      <c r="B31" s="34">
        <v>9.1</v>
      </c>
      <c r="D31" s="7">
        <v>2016</v>
      </c>
      <c r="E31" s="17">
        <v>2890</v>
      </c>
      <c r="F31" s="18">
        <v>26010</v>
      </c>
      <c r="G31" s="18">
        <v>25370</v>
      </c>
      <c r="H31" s="18">
        <v>13005</v>
      </c>
      <c r="I31" s="18">
        <v>25410</v>
      </c>
      <c r="J31" s="18">
        <v>600</v>
      </c>
    </row>
    <row r="32" spans="1:10" x14ac:dyDescent="0.3">
      <c r="A32" s="7">
        <v>76</v>
      </c>
      <c r="B32" s="34">
        <v>8.6999999999999993</v>
      </c>
      <c r="D32" s="7">
        <v>2017</v>
      </c>
      <c r="E32" s="17">
        <v>2914.44</v>
      </c>
      <c r="F32" s="18">
        <v>26230</v>
      </c>
      <c r="G32" s="18">
        <v>26010</v>
      </c>
      <c r="H32" s="18">
        <v>13115</v>
      </c>
      <c r="I32" s="18">
        <v>25630</v>
      </c>
      <c r="J32" s="18">
        <v>600</v>
      </c>
    </row>
    <row r="33" spans="1:10" x14ac:dyDescent="0.3">
      <c r="A33" s="7">
        <v>77</v>
      </c>
      <c r="B33" s="34">
        <v>8.4</v>
      </c>
      <c r="D33" s="7">
        <v>2018</v>
      </c>
      <c r="E33" s="17">
        <v>2944.44</v>
      </c>
      <c r="F33" s="18">
        <v>26500</v>
      </c>
      <c r="G33" s="18">
        <v>26230</v>
      </c>
      <c r="H33" s="18">
        <v>13250</v>
      </c>
      <c r="I33" s="18">
        <v>25900</v>
      </c>
      <c r="J33" s="18">
        <v>600</v>
      </c>
    </row>
    <row r="34" spans="1:10" x14ac:dyDescent="0.3">
      <c r="A34" s="7">
        <v>78</v>
      </c>
      <c r="B34" s="34">
        <v>8</v>
      </c>
      <c r="D34" s="7">
        <v>2019</v>
      </c>
      <c r="E34" s="17">
        <v>3025.56</v>
      </c>
      <c r="F34" s="18">
        <v>27230</v>
      </c>
      <c r="G34" s="18">
        <v>26500</v>
      </c>
      <c r="H34" s="18">
        <v>13615</v>
      </c>
      <c r="I34" s="18">
        <v>26630</v>
      </c>
      <c r="J34" s="18">
        <v>600</v>
      </c>
    </row>
    <row r="35" spans="1:10" x14ac:dyDescent="0.3">
      <c r="A35" s="7">
        <v>79</v>
      </c>
      <c r="B35" s="34">
        <v>7.7</v>
      </c>
      <c r="D35" s="7">
        <v>2020</v>
      </c>
      <c r="E35" s="17">
        <v>3092.22</v>
      </c>
      <c r="F35" s="18">
        <v>27830</v>
      </c>
      <c r="G35" s="18">
        <v>27230</v>
      </c>
      <c r="H35" s="18">
        <v>13915</v>
      </c>
      <c r="I35" s="18">
        <v>27230</v>
      </c>
      <c r="J35" s="18">
        <v>600</v>
      </c>
    </row>
    <row r="36" spans="1:10" x14ac:dyDescent="0.3">
      <c r="A36" s="7">
        <v>80</v>
      </c>
      <c r="B36" s="34">
        <v>7.3</v>
      </c>
      <c r="D36" s="7">
        <v>2021</v>
      </c>
      <c r="E36" s="17">
        <v>3245.56</v>
      </c>
      <c r="F36" s="18">
        <v>29210</v>
      </c>
      <c r="G36" s="18">
        <v>27830</v>
      </c>
      <c r="H36" s="18">
        <v>14605</v>
      </c>
      <c r="I36" s="18">
        <v>28614</v>
      </c>
      <c r="J36" s="18">
        <v>600</v>
      </c>
    </row>
    <row r="37" spans="1:10" x14ac:dyDescent="0.3">
      <c r="A37" s="7">
        <v>81</v>
      </c>
      <c r="B37" s="34">
        <v>7</v>
      </c>
      <c r="D37" s="7">
        <v>2022</v>
      </c>
      <c r="E37" s="17">
        <v>3420</v>
      </c>
      <c r="F37" s="18">
        <v>30780</v>
      </c>
      <c r="G37" s="18">
        <v>29210</v>
      </c>
      <c r="H37" s="18">
        <v>15390</v>
      </c>
      <c r="I37" s="18">
        <v>30180</v>
      </c>
      <c r="J37" s="18">
        <v>600</v>
      </c>
    </row>
    <row r="38" spans="1:10" x14ac:dyDescent="0.3">
      <c r="A38" s="7">
        <v>82</v>
      </c>
      <c r="B38" s="34">
        <v>6.7</v>
      </c>
      <c r="D38" s="7">
        <v>2023</v>
      </c>
      <c r="G38" s="18">
        <v>30780</v>
      </c>
    </row>
    <row r="39" spans="1:10" x14ac:dyDescent="0.3">
      <c r="A39" s="7">
        <v>83</v>
      </c>
      <c r="B39" s="34">
        <v>6.4</v>
      </c>
    </row>
    <row r="40" spans="1:10" x14ac:dyDescent="0.3">
      <c r="A40" s="7">
        <v>84</v>
      </c>
      <c r="B40" s="34">
        <v>6.1</v>
      </c>
    </row>
    <row r="41" spans="1:10" x14ac:dyDescent="0.3">
      <c r="A41" s="7">
        <v>85</v>
      </c>
      <c r="B41" s="34">
        <v>5.8</v>
      </c>
    </row>
    <row r="42" spans="1:10" x14ac:dyDescent="0.3">
      <c r="A42" s="7">
        <v>86</v>
      </c>
      <c r="B42" s="34">
        <v>5.5</v>
      </c>
    </row>
    <row r="43" spans="1:10" x14ac:dyDescent="0.3">
      <c r="A43" s="7">
        <v>87</v>
      </c>
      <c r="B43" s="34">
        <v>5.2</v>
      </c>
    </row>
    <row r="44" spans="1:10" x14ac:dyDescent="0.3">
      <c r="A44" s="7">
        <v>88</v>
      </c>
      <c r="B44" s="34">
        <v>4.9000000000000004</v>
      </c>
    </row>
    <row r="45" spans="1:10" x14ac:dyDescent="0.3">
      <c r="A45" s="7">
        <v>89</v>
      </c>
      <c r="B45" s="34">
        <v>4.7</v>
      </c>
    </row>
    <row r="46" spans="1:10" x14ac:dyDescent="0.3">
      <c r="A46" s="7">
        <v>90</v>
      </c>
      <c r="B46" s="34">
        <v>4.4000000000000004</v>
      </c>
    </row>
    <row r="47" spans="1:10" x14ac:dyDescent="0.3">
      <c r="A47" s="7">
        <v>91</v>
      </c>
      <c r="B47" s="34">
        <v>4.2</v>
      </c>
    </row>
    <row r="48" spans="1:10" x14ac:dyDescent="0.3">
      <c r="A48" s="7">
        <v>92</v>
      </c>
      <c r="B48" s="34">
        <v>3.9</v>
      </c>
    </row>
    <row r="49" spans="1:5" x14ac:dyDescent="0.3">
      <c r="A49" s="7">
        <v>93</v>
      </c>
      <c r="B49" s="34">
        <v>3.7</v>
      </c>
    </row>
    <row r="50" spans="1:5" x14ac:dyDescent="0.3">
      <c r="A50" s="7">
        <v>94</v>
      </c>
      <c r="B50" s="34">
        <v>3.5</v>
      </c>
    </row>
    <row r="51" spans="1:5" x14ac:dyDescent="0.3">
      <c r="A51" s="7">
        <v>95</v>
      </c>
      <c r="B51" s="34">
        <v>3.2</v>
      </c>
    </row>
    <row r="52" spans="1:5" x14ac:dyDescent="0.3">
      <c r="A52" s="7">
        <v>96</v>
      </c>
      <c r="B52" s="34">
        <v>3</v>
      </c>
    </row>
    <row r="55" spans="1:5" x14ac:dyDescent="0.3">
      <c r="B55" s="7" t="s">
        <v>217</v>
      </c>
    </row>
    <row r="56" spans="1:5" x14ac:dyDescent="0.3">
      <c r="C56" s="183" t="s">
        <v>215</v>
      </c>
      <c r="D56" s="281" t="s">
        <v>211</v>
      </c>
      <c r="E56" s="281"/>
    </row>
    <row r="57" spans="1:5" x14ac:dyDescent="0.3">
      <c r="C57" s="183" t="s">
        <v>97</v>
      </c>
      <c r="D57" s="183" t="s">
        <v>97</v>
      </c>
      <c r="E57" s="176" t="s">
        <v>216</v>
      </c>
    </row>
    <row r="58" spans="1:5" x14ac:dyDescent="0.3">
      <c r="B58" s="7" t="s">
        <v>212</v>
      </c>
      <c r="C58" s="278">
        <v>0.1</v>
      </c>
      <c r="D58" s="278">
        <v>0.05</v>
      </c>
      <c r="E58" s="278">
        <v>0.16</v>
      </c>
    </row>
    <row r="59" spans="1:5" x14ac:dyDescent="0.3">
      <c r="B59" s="7" t="s">
        <v>213</v>
      </c>
      <c r="C59" s="278">
        <v>0.2</v>
      </c>
      <c r="D59" s="278">
        <v>0.1</v>
      </c>
      <c r="E59" s="278">
        <v>0.16</v>
      </c>
    </row>
    <row r="60" spans="1:5" x14ac:dyDescent="0.3">
      <c r="B60" s="7" t="s">
        <v>214</v>
      </c>
      <c r="C60" s="278">
        <v>0.3</v>
      </c>
      <c r="D60" s="278">
        <v>0.15</v>
      </c>
      <c r="E60" s="278">
        <v>0.16</v>
      </c>
    </row>
  </sheetData>
  <mergeCells count="5">
    <mergeCell ref="I2:N2"/>
    <mergeCell ref="A3:B3"/>
    <mergeCell ref="L3:M3"/>
    <mergeCell ref="I3:J3"/>
    <mergeCell ref="D56:E56"/>
  </mergeCells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5095"/>
  <sheetViews>
    <sheetView tabSelected="1" zoomScale="85" zoomScaleNormal="85" workbookViewId="0">
      <pane ySplit="4" topLeftCell="A5075" activePane="bottomLeft" state="frozen"/>
      <selection pane="bottomLeft" activeCell="J5100" sqref="J5100"/>
    </sheetView>
  </sheetViews>
  <sheetFormatPr defaultColWidth="11.1640625" defaultRowHeight="14.4" x14ac:dyDescent="0.3"/>
  <cols>
    <col min="1" max="1" width="10.58203125" style="42" bestFit="1" customWidth="1"/>
    <col min="2" max="2" width="10.33203125" style="37" bestFit="1" customWidth="1"/>
    <col min="3" max="3" width="8.83203125" style="109" bestFit="1" customWidth="1"/>
    <col min="4" max="4" width="6" style="109" bestFit="1" customWidth="1"/>
    <col min="5" max="6" width="5.5" style="109" customWidth="1"/>
    <col min="7" max="7" width="8.6640625" style="130" bestFit="1" customWidth="1"/>
    <col min="8" max="8" width="8.9140625" style="71" bestFit="1" customWidth="1"/>
    <col min="9" max="10" width="10.33203125" style="71" bestFit="1" customWidth="1"/>
    <col min="11" max="12" width="10.08203125" style="121" customWidth="1"/>
    <col min="13" max="14" width="10.08203125" style="40" customWidth="1"/>
    <col min="15" max="15" width="10.75" style="40" bestFit="1" customWidth="1"/>
    <col min="16" max="18" width="10.08203125" style="40" customWidth="1"/>
    <col min="19" max="19" width="10.33203125" style="43" bestFit="1" customWidth="1"/>
    <col min="20" max="20" width="10.83203125" style="74" bestFit="1" customWidth="1"/>
    <col min="21" max="21" width="11.1640625" style="75"/>
    <col min="22" max="16384" width="11.1640625" style="47"/>
  </cols>
  <sheetData>
    <row r="1" spans="1:23" s="41" customFormat="1" x14ac:dyDescent="0.3">
      <c r="A1" s="37"/>
      <c r="B1" s="38">
        <f>COLUMN()</f>
        <v>2</v>
      </c>
      <c r="C1" s="39">
        <f t="shared" ref="C1:T1" si="0">COLUMN()-_offsetProxyStat</f>
        <v>1</v>
      </c>
      <c r="D1" s="39">
        <f t="shared" si="0"/>
        <v>2</v>
      </c>
      <c r="E1" s="39">
        <f t="shared" si="0"/>
        <v>3</v>
      </c>
      <c r="F1" s="39">
        <f t="shared" si="0"/>
        <v>4</v>
      </c>
      <c r="G1" s="39">
        <f t="shared" si="0"/>
        <v>5</v>
      </c>
      <c r="H1" s="39">
        <f t="shared" si="0"/>
        <v>6</v>
      </c>
      <c r="I1" s="39">
        <f t="shared" si="0"/>
        <v>7</v>
      </c>
      <c r="J1" s="39">
        <f t="shared" si="0"/>
        <v>8</v>
      </c>
      <c r="K1" s="39">
        <f t="shared" si="0"/>
        <v>9</v>
      </c>
      <c r="L1" s="39">
        <f t="shared" si="0"/>
        <v>10</v>
      </c>
      <c r="M1" s="39">
        <f t="shared" si="0"/>
        <v>11</v>
      </c>
      <c r="N1" s="39">
        <f t="shared" si="0"/>
        <v>12</v>
      </c>
      <c r="O1" s="39">
        <f t="shared" si="0"/>
        <v>13</v>
      </c>
      <c r="P1" s="39">
        <f t="shared" si="0"/>
        <v>14</v>
      </c>
      <c r="Q1" s="39">
        <f t="shared" si="0"/>
        <v>15</v>
      </c>
      <c r="R1" s="39">
        <f t="shared" si="0"/>
        <v>16</v>
      </c>
      <c r="S1" s="39">
        <f t="shared" si="0"/>
        <v>17</v>
      </c>
      <c r="T1" s="39">
        <f t="shared" si="0"/>
        <v>18</v>
      </c>
      <c r="U1" s="40"/>
    </row>
    <row r="2" spans="1:23" x14ac:dyDescent="0.3">
      <c r="C2" s="285" t="s">
        <v>130</v>
      </c>
      <c r="D2" s="285"/>
      <c r="E2" s="285"/>
      <c r="F2" s="285"/>
      <c r="G2" s="285"/>
      <c r="H2" s="285"/>
      <c r="I2" s="285"/>
      <c r="J2" s="285"/>
      <c r="K2" s="286" t="s">
        <v>131</v>
      </c>
      <c r="L2" s="286"/>
      <c r="M2" s="288" t="s">
        <v>179</v>
      </c>
      <c r="N2" s="288"/>
      <c r="O2" s="288"/>
      <c r="P2" s="288"/>
      <c r="Q2" s="288"/>
      <c r="R2" s="288"/>
      <c r="T2" s="44">
        <f>MAX(_proxyDates)</f>
        <v>44581</v>
      </c>
      <c r="U2" s="45" t="s">
        <v>147</v>
      </c>
      <c r="V2" s="46">
        <v>44440</v>
      </c>
      <c r="W2" s="47" t="s">
        <v>153</v>
      </c>
    </row>
    <row r="3" spans="1:23" s="55" customFormat="1" ht="47.25" customHeight="1" x14ac:dyDescent="0.3">
      <c r="A3" s="48"/>
      <c r="B3" s="49"/>
      <c r="C3" s="50"/>
      <c r="D3" s="282" t="s">
        <v>88</v>
      </c>
      <c r="E3" s="282"/>
      <c r="F3" s="282"/>
      <c r="G3" s="51"/>
      <c r="H3" s="283" t="s">
        <v>121</v>
      </c>
      <c r="I3" s="283"/>
      <c r="J3" s="283"/>
      <c r="K3" s="52"/>
      <c r="L3" s="52"/>
      <c r="M3" s="53"/>
      <c r="N3" s="287" t="s">
        <v>137</v>
      </c>
      <c r="O3" s="287"/>
      <c r="P3" s="287"/>
      <c r="Q3" s="287"/>
      <c r="R3" s="287"/>
      <c r="S3" s="284" t="s">
        <v>126</v>
      </c>
      <c r="T3" s="284"/>
      <c r="U3" s="54"/>
    </row>
    <row r="4" spans="1:23" x14ac:dyDescent="0.3">
      <c r="A4" s="56" t="s">
        <v>89</v>
      </c>
      <c r="B4" s="57" t="s">
        <v>95</v>
      </c>
      <c r="C4" s="58" t="s">
        <v>87</v>
      </c>
      <c r="D4" s="59" t="s">
        <v>90</v>
      </c>
      <c r="E4" s="59" t="s">
        <v>120</v>
      </c>
      <c r="F4" s="58" t="s">
        <v>8</v>
      </c>
      <c r="G4" s="60" t="s">
        <v>93</v>
      </c>
      <c r="H4" s="61" t="s">
        <v>122</v>
      </c>
      <c r="I4" s="61" t="s">
        <v>123</v>
      </c>
      <c r="J4" s="62" t="s">
        <v>124</v>
      </c>
      <c r="K4" s="63" t="s">
        <v>128</v>
      </c>
      <c r="L4" s="63" t="s">
        <v>129</v>
      </c>
      <c r="M4" s="64" t="s">
        <v>177</v>
      </c>
      <c r="N4" s="64" t="s">
        <v>182</v>
      </c>
      <c r="O4" s="64" t="s">
        <v>180</v>
      </c>
      <c r="P4" s="64" t="s">
        <v>181</v>
      </c>
      <c r="Q4" s="64" t="s">
        <v>183</v>
      </c>
      <c r="R4" s="64" t="s">
        <v>178</v>
      </c>
      <c r="S4" s="65" t="s">
        <v>127</v>
      </c>
      <c r="T4" s="66" t="s">
        <v>89</v>
      </c>
      <c r="U4" s="67" t="s">
        <v>184</v>
      </c>
    </row>
    <row r="5" spans="1:23" x14ac:dyDescent="0.3">
      <c r="A5" s="68">
        <v>37621</v>
      </c>
      <c r="B5" s="69">
        <f>YEAR(A5)*10000+MONTH(A5)*100+DAY(A5)</f>
        <v>20021231</v>
      </c>
      <c r="C5" s="70">
        <v>5.3100000000000001E-2</v>
      </c>
      <c r="D5" s="59"/>
      <c r="E5" s="59"/>
      <c r="F5" s="58"/>
      <c r="G5" s="60"/>
      <c r="K5" s="72"/>
      <c r="L5" s="72"/>
      <c r="M5" s="73"/>
      <c r="N5" s="73"/>
      <c r="O5" s="73"/>
      <c r="P5" s="73"/>
      <c r="Q5" s="73"/>
      <c r="R5" s="73"/>
    </row>
    <row r="6" spans="1:23" x14ac:dyDescent="0.3">
      <c r="A6" s="68">
        <v>37986</v>
      </c>
      <c r="B6" s="69">
        <f>YEAR(A6)*10000+MONTH(A6)*100+DAY(A6)</f>
        <v>20031231</v>
      </c>
      <c r="C6" s="70">
        <v>5.1400000000000001E-2</v>
      </c>
      <c r="D6" s="59"/>
      <c r="E6" s="59"/>
      <c r="F6" s="58"/>
      <c r="G6" s="60"/>
      <c r="K6" s="72"/>
      <c r="L6" s="72"/>
      <c r="M6" s="73"/>
      <c r="N6" s="73"/>
      <c r="O6" s="73"/>
      <c r="P6" s="73"/>
      <c r="Q6" s="73"/>
      <c r="R6" s="73"/>
    </row>
    <row r="7" spans="1:23" x14ac:dyDescent="0.3">
      <c r="A7" s="68">
        <v>38352</v>
      </c>
      <c r="B7" s="69">
        <f>YEAR(A7)*10000+MONTH(A7)*100+DAY(A7)</f>
        <v>20041231</v>
      </c>
      <c r="C7" s="70">
        <v>4.7699999999999999E-2</v>
      </c>
      <c r="D7" s="59"/>
      <c r="E7" s="59"/>
      <c r="F7" s="58"/>
      <c r="G7" s="60"/>
      <c r="K7" s="72"/>
      <c r="L7" s="72"/>
      <c r="M7" s="73"/>
      <c r="N7" s="73"/>
      <c r="O7" s="73"/>
      <c r="P7" s="73"/>
      <c r="Q7" s="73"/>
      <c r="R7" s="73"/>
    </row>
    <row r="8" spans="1:23" x14ac:dyDescent="0.3">
      <c r="A8" s="68">
        <v>38717</v>
      </c>
      <c r="B8" s="69">
        <f>YEAR(A8)*10000+MONTH(A8)*100+DAY(A8)</f>
        <v>20051231</v>
      </c>
      <c r="C8" s="70">
        <v>4.0599999999999997E-2</v>
      </c>
      <c r="D8" s="59"/>
      <c r="E8" s="59"/>
      <c r="F8" s="58"/>
      <c r="G8" s="60"/>
      <c r="K8" s="72"/>
      <c r="L8" s="72"/>
      <c r="M8" s="73"/>
      <c r="N8" s="73"/>
      <c r="O8" s="73"/>
      <c r="P8" s="73"/>
      <c r="Q8" s="73"/>
      <c r="R8" s="73"/>
    </row>
    <row r="9" spans="1:23" s="84" customFormat="1" x14ac:dyDescent="0.3">
      <c r="A9" s="76">
        <v>39080</v>
      </c>
      <c r="B9" s="69">
        <f>YEAR(A9)*10000+MONTH(A9)*100+DAY(A9)</f>
        <v>20061229</v>
      </c>
      <c r="C9" s="70">
        <v>4.1500000000000002E-2</v>
      </c>
      <c r="D9" s="77">
        <v>0</v>
      </c>
      <c r="E9" s="77"/>
      <c r="F9" s="77">
        <v>4.4999999999999997E-3</v>
      </c>
      <c r="G9" s="78">
        <v>15000000</v>
      </c>
      <c r="H9" s="79"/>
      <c r="I9" s="79"/>
      <c r="J9" s="79"/>
      <c r="K9" s="80">
        <v>1.7500000000000002E-2</v>
      </c>
      <c r="L9" s="80"/>
      <c r="M9" s="75" t="s">
        <v>143</v>
      </c>
      <c r="N9" s="75" t="b">
        <v>1</v>
      </c>
      <c r="O9" s="75" t="s">
        <v>144</v>
      </c>
      <c r="P9" s="75">
        <v>1994</v>
      </c>
      <c r="Q9" s="75">
        <v>2015</v>
      </c>
      <c r="R9" s="75">
        <v>1</v>
      </c>
      <c r="S9" s="81"/>
      <c r="T9" s="82"/>
      <c r="U9" s="83"/>
    </row>
    <row r="10" spans="1:23" s="84" customFormat="1" x14ac:dyDescent="0.3">
      <c r="A10" s="68">
        <v>39081</v>
      </c>
      <c r="B10" s="69">
        <f t="shared" ref="B10:B73" si="1">YEAR(A10)*10000+MONTH(A10)*100+DAY(A10)</f>
        <v>20061230</v>
      </c>
      <c r="C10" s="70">
        <v>4.1500000000000002E-2</v>
      </c>
      <c r="D10" s="77">
        <v>0</v>
      </c>
      <c r="E10" s="77"/>
      <c r="F10" s="77">
        <v>4.4999999999999997E-3</v>
      </c>
      <c r="G10" s="78">
        <v>15000000</v>
      </c>
      <c r="H10" s="79"/>
      <c r="I10" s="79"/>
      <c r="J10" s="79"/>
      <c r="K10" s="80">
        <v>1.7500000000000002E-2</v>
      </c>
      <c r="L10" s="80"/>
      <c r="M10" s="75" t="s">
        <v>143</v>
      </c>
      <c r="N10" s="75" t="b">
        <v>1</v>
      </c>
      <c r="O10" s="75" t="s">
        <v>144</v>
      </c>
      <c r="P10" s="75">
        <v>1994</v>
      </c>
      <c r="Q10" s="75">
        <v>2015</v>
      </c>
      <c r="R10" s="75">
        <v>1</v>
      </c>
      <c r="S10" s="81"/>
      <c r="T10" s="82"/>
      <c r="U10" s="83"/>
    </row>
    <row r="11" spans="1:23" s="84" customFormat="1" x14ac:dyDescent="0.3">
      <c r="A11" s="68">
        <v>39082</v>
      </c>
      <c r="B11" s="69">
        <f t="shared" si="1"/>
        <v>20061231</v>
      </c>
      <c r="C11" s="70">
        <v>4.1500000000000002E-2</v>
      </c>
      <c r="D11" s="77">
        <v>0</v>
      </c>
      <c r="E11" s="77"/>
      <c r="F11" s="77">
        <v>4.4999999999999997E-3</v>
      </c>
      <c r="G11" s="78">
        <v>15000000</v>
      </c>
      <c r="H11" s="79"/>
      <c r="I11" s="79"/>
      <c r="J11" s="79"/>
      <c r="K11" s="80">
        <v>1.7500000000000002E-2</v>
      </c>
      <c r="L11" s="80"/>
      <c r="M11" s="75" t="s">
        <v>143</v>
      </c>
      <c r="N11" s="75" t="b">
        <v>1</v>
      </c>
      <c r="O11" s="75" t="s">
        <v>144</v>
      </c>
      <c r="P11" s="75">
        <v>1994</v>
      </c>
      <c r="Q11" s="75">
        <v>2015</v>
      </c>
      <c r="R11" s="75">
        <v>1</v>
      </c>
      <c r="S11" s="81"/>
      <c r="T11" s="82"/>
      <c r="U11" s="83"/>
    </row>
    <row r="12" spans="1:23" s="84" customFormat="1" x14ac:dyDescent="0.3">
      <c r="A12" s="68">
        <v>39083</v>
      </c>
      <c r="B12" s="69">
        <f t="shared" si="1"/>
        <v>20070101</v>
      </c>
      <c r="C12" s="70">
        <v>4.1500000000000002E-2</v>
      </c>
      <c r="D12" s="77">
        <v>0</v>
      </c>
      <c r="E12" s="77"/>
      <c r="F12" s="77">
        <v>4.4999999999999997E-3</v>
      </c>
      <c r="G12" s="78">
        <v>15000000</v>
      </c>
      <c r="H12" s="79"/>
      <c r="I12" s="79"/>
      <c r="J12" s="79"/>
      <c r="K12" s="80">
        <v>1.7500000000000002E-2</v>
      </c>
      <c r="L12" s="80"/>
      <c r="M12" s="75" t="s">
        <v>143</v>
      </c>
      <c r="N12" s="75" t="b">
        <v>1</v>
      </c>
      <c r="O12" s="75" t="s">
        <v>144</v>
      </c>
      <c r="P12" s="75">
        <v>1994</v>
      </c>
      <c r="Q12" s="75">
        <v>2015</v>
      </c>
      <c r="R12" s="75">
        <v>1</v>
      </c>
      <c r="S12" s="81"/>
      <c r="T12" s="82"/>
      <c r="U12" s="83"/>
    </row>
    <row r="13" spans="1:23" s="84" customFormat="1" x14ac:dyDescent="0.3">
      <c r="A13" s="68">
        <v>39084</v>
      </c>
      <c r="B13" s="69">
        <f t="shared" si="1"/>
        <v>20070102</v>
      </c>
      <c r="C13" s="70">
        <v>4.1500000000000002E-2</v>
      </c>
      <c r="D13" s="77">
        <v>0</v>
      </c>
      <c r="E13" s="77"/>
      <c r="F13" s="77">
        <v>4.4999999999999997E-3</v>
      </c>
      <c r="G13" s="78">
        <v>15000000</v>
      </c>
      <c r="H13" s="79"/>
      <c r="I13" s="79"/>
      <c r="J13" s="79"/>
      <c r="K13" s="80">
        <v>1.7299999999999999E-2</v>
      </c>
      <c r="L13" s="80"/>
      <c r="M13" s="75" t="s">
        <v>143</v>
      </c>
      <c r="N13" s="75" t="b">
        <v>1</v>
      </c>
      <c r="O13" s="75" t="s">
        <v>144</v>
      </c>
      <c r="P13" s="75">
        <v>1994</v>
      </c>
      <c r="Q13" s="75">
        <v>2015</v>
      </c>
      <c r="R13" s="75">
        <v>1</v>
      </c>
      <c r="S13" s="81"/>
      <c r="T13" s="82"/>
      <c r="U13" s="83"/>
    </row>
    <row r="14" spans="1:23" s="84" customFormat="1" x14ac:dyDescent="0.3">
      <c r="A14" s="68">
        <v>39085</v>
      </c>
      <c r="B14" s="69">
        <f t="shared" si="1"/>
        <v>20070103</v>
      </c>
      <c r="C14" s="70">
        <v>4.1100000000000005E-2</v>
      </c>
      <c r="D14" s="77">
        <v>0</v>
      </c>
      <c r="E14" s="77"/>
      <c r="F14" s="77">
        <v>4.4999999999999997E-3</v>
      </c>
      <c r="G14" s="78">
        <v>15000000</v>
      </c>
      <c r="H14" s="79"/>
      <c r="I14" s="79"/>
      <c r="J14" s="79"/>
      <c r="K14" s="80">
        <v>1.72E-2</v>
      </c>
      <c r="L14" s="80"/>
      <c r="M14" s="75" t="s">
        <v>143</v>
      </c>
      <c r="N14" s="75" t="b">
        <v>1</v>
      </c>
      <c r="O14" s="75" t="s">
        <v>144</v>
      </c>
      <c r="P14" s="75">
        <v>1994</v>
      </c>
      <c r="Q14" s="75">
        <v>2015</v>
      </c>
      <c r="R14" s="75">
        <v>1</v>
      </c>
      <c r="S14" s="81"/>
      <c r="T14" s="82"/>
      <c r="U14" s="83"/>
    </row>
    <row r="15" spans="1:23" s="84" customFormat="1" x14ac:dyDescent="0.3">
      <c r="A15" s="68">
        <v>39086</v>
      </c>
      <c r="B15" s="69">
        <f t="shared" si="1"/>
        <v>20070104</v>
      </c>
      <c r="C15" s="70">
        <v>4.07E-2</v>
      </c>
      <c r="D15" s="77">
        <v>0</v>
      </c>
      <c r="E15" s="77"/>
      <c r="F15" s="77">
        <v>4.4999999999999997E-3</v>
      </c>
      <c r="G15" s="78">
        <v>15000000</v>
      </c>
      <c r="H15" s="79"/>
      <c r="I15" s="79"/>
      <c r="J15" s="79"/>
      <c r="K15" s="80">
        <v>1.6899999999999998E-2</v>
      </c>
      <c r="L15" s="80"/>
      <c r="M15" s="75" t="s">
        <v>143</v>
      </c>
      <c r="N15" s="75" t="b">
        <v>1</v>
      </c>
      <c r="O15" s="75" t="s">
        <v>144</v>
      </c>
      <c r="P15" s="75">
        <v>1994</v>
      </c>
      <c r="Q15" s="75">
        <v>2015</v>
      </c>
      <c r="R15" s="75">
        <v>1</v>
      </c>
      <c r="S15" s="81"/>
      <c r="T15" s="82"/>
      <c r="U15" s="83"/>
    </row>
    <row r="16" spans="1:23" s="84" customFormat="1" x14ac:dyDescent="0.3">
      <c r="A16" s="68">
        <v>39087</v>
      </c>
      <c r="B16" s="69">
        <f t="shared" si="1"/>
        <v>20070105</v>
      </c>
      <c r="C16" s="70">
        <v>4.0999999999999995E-2</v>
      </c>
      <c r="D16" s="77">
        <v>0</v>
      </c>
      <c r="E16" s="77"/>
      <c r="F16" s="77">
        <v>4.4999999999999997E-3</v>
      </c>
      <c r="G16" s="78">
        <v>15000000</v>
      </c>
      <c r="H16" s="79"/>
      <c r="I16" s="79"/>
      <c r="J16" s="79"/>
      <c r="K16" s="80">
        <v>1.72E-2</v>
      </c>
      <c r="L16" s="80"/>
      <c r="M16" s="75" t="s">
        <v>143</v>
      </c>
      <c r="N16" s="75" t="b">
        <v>1</v>
      </c>
      <c r="O16" s="75" t="s">
        <v>144</v>
      </c>
      <c r="P16" s="75">
        <v>1994</v>
      </c>
      <c r="Q16" s="75">
        <v>2015</v>
      </c>
      <c r="R16" s="75">
        <v>1</v>
      </c>
      <c r="S16" s="81"/>
      <c r="T16" s="82"/>
      <c r="U16" s="83"/>
    </row>
    <row r="17" spans="1:21" s="84" customFormat="1" x14ac:dyDescent="0.3">
      <c r="A17" s="68">
        <v>39088</v>
      </c>
      <c r="B17" s="69">
        <f t="shared" si="1"/>
        <v>20070106</v>
      </c>
      <c r="C17" s="70">
        <v>4.0999999999999995E-2</v>
      </c>
      <c r="D17" s="77">
        <v>0</v>
      </c>
      <c r="E17" s="77"/>
      <c r="F17" s="77">
        <v>4.4999999999999997E-3</v>
      </c>
      <c r="G17" s="78">
        <v>15000000</v>
      </c>
      <c r="H17" s="79"/>
      <c r="I17" s="79"/>
      <c r="J17" s="79"/>
      <c r="K17" s="80">
        <v>1.72E-2</v>
      </c>
      <c r="L17" s="80"/>
      <c r="M17" s="75" t="s">
        <v>143</v>
      </c>
      <c r="N17" s="75" t="b">
        <v>1</v>
      </c>
      <c r="O17" s="75" t="s">
        <v>144</v>
      </c>
      <c r="P17" s="75">
        <v>1994</v>
      </c>
      <c r="Q17" s="75">
        <v>2015</v>
      </c>
      <c r="R17" s="75">
        <v>1</v>
      </c>
      <c r="S17" s="81"/>
      <c r="T17" s="82"/>
      <c r="U17" s="83"/>
    </row>
    <row r="18" spans="1:21" s="84" customFormat="1" x14ac:dyDescent="0.3">
      <c r="A18" s="68">
        <v>39089</v>
      </c>
      <c r="B18" s="69">
        <f t="shared" si="1"/>
        <v>20070107</v>
      </c>
      <c r="C18" s="70">
        <v>4.0999999999999995E-2</v>
      </c>
      <c r="D18" s="77">
        <v>0</v>
      </c>
      <c r="E18" s="77"/>
      <c r="F18" s="77">
        <v>4.4999999999999997E-3</v>
      </c>
      <c r="G18" s="78">
        <v>15000000</v>
      </c>
      <c r="H18" s="79"/>
      <c r="I18" s="79"/>
      <c r="J18" s="79"/>
      <c r="K18" s="80">
        <v>1.72E-2</v>
      </c>
      <c r="L18" s="80"/>
      <c r="M18" s="75" t="s">
        <v>143</v>
      </c>
      <c r="N18" s="75" t="b">
        <v>1</v>
      </c>
      <c r="O18" s="75" t="s">
        <v>144</v>
      </c>
      <c r="P18" s="75">
        <v>1994</v>
      </c>
      <c r="Q18" s="75">
        <v>2015</v>
      </c>
      <c r="R18" s="75">
        <v>1</v>
      </c>
      <c r="S18" s="81"/>
      <c r="T18" s="82"/>
      <c r="U18" s="83"/>
    </row>
    <row r="19" spans="1:21" s="84" customFormat="1" x14ac:dyDescent="0.3">
      <c r="A19" s="68">
        <v>39090</v>
      </c>
      <c r="B19" s="69">
        <f t="shared" si="1"/>
        <v>20070108</v>
      </c>
      <c r="C19" s="70">
        <v>4.1200000000000001E-2</v>
      </c>
      <c r="D19" s="77">
        <v>0</v>
      </c>
      <c r="E19" s="77"/>
      <c r="F19" s="77">
        <v>4.4999999999999997E-3</v>
      </c>
      <c r="G19" s="78">
        <v>15000000</v>
      </c>
      <c r="H19" s="79"/>
      <c r="I19" s="79"/>
      <c r="J19" s="79"/>
      <c r="K19" s="80">
        <v>1.7500000000000002E-2</v>
      </c>
      <c r="L19" s="80"/>
      <c r="M19" s="75" t="s">
        <v>143</v>
      </c>
      <c r="N19" s="75" t="b">
        <v>1</v>
      </c>
      <c r="O19" s="75" t="s">
        <v>144</v>
      </c>
      <c r="P19" s="75">
        <v>1994</v>
      </c>
      <c r="Q19" s="75">
        <v>2015</v>
      </c>
      <c r="R19" s="75">
        <v>1</v>
      </c>
      <c r="S19" s="81"/>
      <c r="T19" s="82"/>
      <c r="U19" s="83"/>
    </row>
    <row r="20" spans="1:21" s="84" customFormat="1" x14ac:dyDescent="0.3">
      <c r="A20" s="68">
        <v>39091</v>
      </c>
      <c r="B20" s="69">
        <f t="shared" si="1"/>
        <v>20070109</v>
      </c>
      <c r="C20" s="70">
        <v>4.1200000000000001E-2</v>
      </c>
      <c r="D20" s="77">
        <v>0</v>
      </c>
      <c r="E20" s="77"/>
      <c r="F20" s="77">
        <v>4.4999999999999997E-3</v>
      </c>
      <c r="G20" s="78">
        <v>15000000</v>
      </c>
      <c r="H20" s="79"/>
      <c r="I20" s="79"/>
      <c r="J20" s="79"/>
      <c r="K20" s="80">
        <v>1.7600000000000001E-2</v>
      </c>
      <c r="L20" s="80"/>
      <c r="M20" s="75" t="s">
        <v>143</v>
      </c>
      <c r="N20" s="75" t="b">
        <v>1</v>
      </c>
      <c r="O20" s="75" t="s">
        <v>144</v>
      </c>
      <c r="P20" s="75">
        <v>1994</v>
      </c>
      <c r="Q20" s="75">
        <v>2015</v>
      </c>
      <c r="R20" s="75">
        <v>1</v>
      </c>
      <c r="S20" s="81"/>
      <c r="T20" s="82"/>
      <c r="U20" s="83"/>
    </row>
    <row r="21" spans="1:21" s="84" customFormat="1" x14ac:dyDescent="0.3">
      <c r="A21" s="68">
        <v>39092</v>
      </c>
      <c r="B21" s="69">
        <f t="shared" si="1"/>
        <v>20070110</v>
      </c>
      <c r="C21" s="70">
        <v>4.1399999999999999E-2</v>
      </c>
      <c r="D21" s="77">
        <v>0</v>
      </c>
      <c r="E21" s="77"/>
      <c r="F21" s="77">
        <v>4.4999999999999997E-3</v>
      </c>
      <c r="G21" s="78">
        <v>15000000</v>
      </c>
      <c r="H21" s="79"/>
      <c r="I21" s="79"/>
      <c r="J21" s="79"/>
      <c r="K21" s="80">
        <v>1.78E-2</v>
      </c>
      <c r="L21" s="80"/>
      <c r="M21" s="75" t="s">
        <v>143</v>
      </c>
      <c r="N21" s="75" t="b">
        <v>1</v>
      </c>
      <c r="O21" s="75" t="s">
        <v>144</v>
      </c>
      <c r="P21" s="75">
        <v>1994</v>
      </c>
      <c r="Q21" s="75">
        <v>2015</v>
      </c>
      <c r="R21" s="75">
        <v>1</v>
      </c>
      <c r="S21" s="81"/>
      <c r="T21" s="82"/>
      <c r="U21" s="83"/>
    </row>
    <row r="22" spans="1:21" s="84" customFormat="1" x14ac:dyDescent="0.3">
      <c r="A22" s="68">
        <v>39093</v>
      </c>
      <c r="B22" s="69">
        <f t="shared" si="1"/>
        <v>20070111</v>
      </c>
      <c r="C22" s="70">
        <v>4.1700000000000001E-2</v>
      </c>
      <c r="D22" s="77">
        <v>0</v>
      </c>
      <c r="E22" s="77"/>
      <c r="F22" s="77">
        <v>4.4999999999999997E-3</v>
      </c>
      <c r="G22" s="78">
        <v>15000000</v>
      </c>
      <c r="H22" s="79"/>
      <c r="I22" s="79"/>
      <c r="J22" s="79"/>
      <c r="K22" s="80">
        <v>1.8000000000000002E-2</v>
      </c>
      <c r="L22" s="80"/>
      <c r="M22" s="75" t="s">
        <v>143</v>
      </c>
      <c r="N22" s="75" t="b">
        <v>1</v>
      </c>
      <c r="O22" s="75" t="s">
        <v>144</v>
      </c>
      <c r="P22" s="75">
        <v>1994</v>
      </c>
      <c r="Q22" s="75">
        <v>2015</v>
      </c>
      <c r="R22" s="75">
        <v>1</v>
      </c>
      <c r="S22" s="81"/>
      <c r="T22" s="82"/>
      <c r="U22" s="83"/>
    </row>
    <row r="23" spans="1:21" s="84" customFormat="1" x14ac:dyDescent="0.3">
      <c r="A23" s="68">
        <v>39094</v>
      </c>
      <c r="B23" s="69">
        <f t="shared" si="1"/>
        <v>20070112</v>
      </c>
      <c r="C23" s="70">
        <v>4.2000000000000003E-2</v>
      </c>
      <c r="D23" s="77">
        <v>0</v>
      </c>
      <c r="E23" s="77"/>
      <c r="F23" s="77">
        <v>4.4999999999999997E-3</v>
      </c>
      <c r="G23" s="78">
        <v>15000000</v>
      </c>
      <c r="H23" s="79"/>
      <c r="I23" s="79"/>
      <c r="J23" s="79"/>
      <c r="K23" s="80">
        <v>1.8100000000000002E-2</v>
      </c>
      <c r="L23" s="80"/>
      <c r="M23" s="75" t="s">
        <v>143</v>
      </c>
      <c r="N23" s="75" t="b">
        <v>1</v>
      </c>
      <c r="O23" s="75" t="s">
        <v>144</v>
      </c>
      <c r="P23" s="75">
        <v>1994</v>
      </c>
      <c r="Q23" s="75">
        <v>2015</v>
      </c>
      <c r="R23" s="75">
        <v>1</v>
      </c>
      <c r="S23" s="81"/>
      <c r="T23" s="82"/>
      <c r="U23" s="83"/>
    </row>
    <row r="24" spans="1:21" s="84" customFormat="1" x14ac:dyDescent="0.3">
      <c r="A24" s="68">
        <v>39097</v>
      </c>
      <c r="B24" s="69">
        <f t="shared" si="1"/>
        <v>20070115</v>
      </c>
      <c r="C24" s="70">
        <v>4.2000000000000003E-2</v>
      </c>
      <c r="D24" s="77">
        <v>0</v>
      </c>
      <c r="E24" s="77"/>
      <c r="F24" s="77">
        <v>4.4999999999999997E-3</v>
      </c>
      <c r="G24" s="78">
        <v>15000000</v>
      </c>
      <c r="H24" s="79"/>
      <c r="I24" s="79"/>
      <c r="J24" s="79"/>
      <c r="K24" s="80">
        <v>1.8100000000000002E-2</v>
      </c>
      <c r="L24" s="80"/>
      <c r="M24" s="75" t="s">
        <v>143</v>
      </c>
      <c r="N24" s="75" t="b">
        <v>1</v>
      </c>
      <c r="O24" s="75" t="s">
        <v>144</v>
      </c>
      <c r="P24" s="75">
        <v>1994</v>
      </c>
      <c r="Q24" s="75">
        <v>2015</v>
      </c>
      <c r="R24" s="75">
        <v>1</v>
      </c>
      <c r="S24" s="81"/>
      <c r="T24" s="82"/>
      <c r="U24" s="83"/>
    </row>
    <row r="25" spans="1:21" s="84" customFormat="1" x14ac:dyDescent="0.3">
      <c r="A25" s="68">
        <v>39098</v>
      </c>
      <c r="B25" s="69">
        <f t="shared" si="1"/>
        <v>20070116</v>
      </c>
      <c r="C25" s="70">
        <v>4.2000000000000003E-2</v>
      </c>
      <c r="D25" s="77">
        <v>0</v>
      </c>
      <c r="E25" s="77"/>
      <c r="F25" s="77">
        <v>4.4999999999999997E-3</v>
      </c>
      <c r="G25" s="78">
        <v>15000000</v>
      </c>
      <c r="H25" s="79"/>
      <c r="I25" s="79"/>
      <c r="J25" s="79"/>
      <c r="K25" s="80">
        <v>1.8200000000000001E-2</v>
      </c>
      <c r="L25" s="80"/>
      <c r="M25" s="75" t="s">
        <v>143</v>
      </c>
      <c r="N25" s="75" t="b">
        <v>1</v>
      </c>
      <c r="O25" s="75" t="s">
        <v>144</v>
      </c>
      <c r="P25" s="75">
        <v>1994</v>
      </c>
      <c r="Q25" s="75">
        <v>2015</v>
      </c>
      <c r="R25" s="75">
        <v>1</v>
      </c>
      <c r="S25" s="81"/>
      <c r="T25" s="82"/>
      <c r="U25" s="83"/>
    </row>
    <row r="26" spans="1:21" s="84" customFormat="1" x14ac:dyDescent="0.3">
      <c r="A26" s="68">
        <v>39099</v>
      </c>
      <c r="B26" s="69">
        <f t="shared" si="1"/>
        <v>20070117</v>
      </c>
      <c r="C26" s="70">
        <v>4.2199999999999994E-2</v>
      </c>
      <c r="D26" s="77">
        <v>0</v>
      </c>
      <c r="E26" s="77"/>
      <c r="F26" s="77">
        <v>4.4999999999999997E-3</v>
      </c>
      <c r="G26" s="78">
        <v>15000000</v>
      </c>
      <c r="H26" s="79"/>
      <c r="I26" s="79"/>
      <c r="J26" s="79"/>
      <c r="K26" s="80">
        <v>1.8200000000000001E-2</v>
      </c>
      <c r="L26" s="80"/>
      <c r="M26" s="75" t="s">
        <v>143</v>
      </c>
      <c r="N26" s="75" t="b">
        <v>1</v>
      </c>
      <c r="O26" s="75" t="s">
        <v>144</v>
      </c>
      <c r="P26" s="75">
        <v>1994</v>
      </c>
      <c r="Q26" s="75">
        <v>2015</v>
      </c>
      <c r="R26" s="75">
        <v>1</v>
      </c>
      <c r="S26" s="81"/>
      <c r="T26" s="82"/>
      <c r="U26" s="83"/>
    </row>
    <row r="27" spans="1:21" s="84" customFormat="1" x14ac:dyDescent="0.3">
      <c r="A27" s="68">
        <v>39100</v>
      </c>
      <c r="B27" s="69">
        <f t="shared" si="1"/>
        <v>20070118</v>
      </c>
      <c r="C27" s="70">
        <v>4.1900000000000007E-2</v>
      </c>
      <c r="D27" s="77">
        <v>0</v>
      </c>
      <c r="E27" s="77"/>
      <c r="F27" s="77">
        <v>4.4999999999999997E-3</v>
      </c>
      <c r="G27" s="78">
        <v>15000000</v>
      </c>
      <c r="H27" s="79"/>
      <c r="I27" s="79"/>
      <c r="J27" s="79"/>
      <c r="K27" s="80">
        <v>1.7899999999999999E-2</v>
      </c>
      <c r="L27" s="80"/>
      <c r="M27" s="75" t="s">
        <v>143</v>
      </c>
      <c r="N27" s="75" t="b">
        <v>1</v>
      </c>
      <c r="O27" s="75" t="s">
        <v>144</v>
      </c>
      <c r="P27" s="75">
        <v>1994</v>
      </c>
      <c r="Q27" s="75">
        <v>2015</v>
      </c>
      <c r="R27" s="75">
        <v>1</v>
      </c>
      <c r="S27" s="81"/>
      <c r="T27" s="82"/>
      <c r="U27" s="83"/>
    </row>
    <row r="28" spans="1:21" s="84" customFormat="1" x14ac:dyDescent="0.3">
      <c r="A28" s="68">
        <v>39101</v>
      </c>
      <c r="B28" s="69">
        <f t="shared" si="1"/>
        <v>20070119</v>
      </c>
      <c r="C28" s="70">
        <v>4.2000000000000003E-2</v>
      </c>
      <c r="D28" s="77">
        <v>0</v>
      </c>
      <c r="E28" s="77"/>
      <c r="F28" s="77">
        <v>4.4999999999999997E-3</v>
      </c>
      <c r="G28" s="78">
        <v>15000000</v>
      </c>
      <c r="H28" s="79"/>
      <c r="I28" s="79"/>
      <c r="J28" s="79"/>
      <c r="K28" s="80">
        <v>1.7899999999999999E-2</v>
      </c>
      <c r="L28" s="80"/>
      <c r="M28" s="75" t="s">
        <v>143</v>
      </c>
      <c r="N28" s="75" t="b">
        <v>1</v>
      </c>
      <c r="O28" s="75" t="s">
        <v>144</v>
      </c>
      <c r="P28" s="75">
        <v>1994</v>
      </c>
      <c r="Q28" s="75">
        <v>2015</v>
      </c>
      <c r="R28" s="75">
        <v>1</v>
      </c>
      <c r="S28" s="81"/>
      <c r="T28" s="82"/>
      <c r="U28" s="83"/>
    </row>
    <row r="29" spans="1:21" s="84" customFormat="1" x14ac:dyDescent="0.3">
      <c r="A29" s="68">
        <v>39104</v>
      </c>
      <c r="B29" s="69">
        <f t="shared" si="1"/>
        <v>20070122</v>
      </c>
      <c r="C29" s="70">
        <v>4.1900000000000007E-2</v>
      </c>
      <c r="D29" s="77">
        <v>0</v>
      </c>
      <c r="E29" s="77"/>
      <c r="F29" s="77">
        <v>4.4999999999999997E-3</v>
      </c>
      <c r="G29" s="78">
        <v>15000000</v>
      </c>
      <c r="H29" s="79"/>
      <c r="I29" s="79"/>
      <c r="J29" s="79"/>
      <c r="K29" s="80">
        <v>1.77E-2</v>
      </c>
      <c r="L29" s="80"/>
      <c r="M29" s="75" t="s">
        <v>143</v>
      </c>
      <c r="N29" s="75" t="b">
        <v>1</v>
      </c>
      <c r="O29" s="75" t="s">
        <v>144</v>
      </c>
      <c r="P29" s="75">
        <v>1994</v>
      </c>
      <c r="Q29" s="75">
        <v>2015</v>
      </c>
      <c r="R29" s="75">
        <v>1</v>
      </c>
      <c r="S29" s="81"/>
      <c r="T29" s="82"/>
      <c r="U29" s="83"/>
    </row>
    <row r="30" spans="1:21" s="84" customFormat="1" x14ac:dyDescent="0.3">
      <c r="A30" s="68">
        <v>39105</v>
      </c>
      <c r="B30" s="69">
        <f t="shared" si="1"/>
        <v>20070123</v>
      </c>
      <c r="C30" s="70">
        <v>4.2199999999999994E-2</v>
      </c>
      <c r="D30" s="77">
        <v>0</v>
      </c>
      <c r="E30" s="77"/>
      <c r="F30" s="77">
        <v>4.4999999999999997E-3</v>
      </c>
      <c r="G30" s="78">
        <v>15000000</v>
      </c>
      <c r="H30" s="79"/>
      <c r="I30" s="79"/>
      <c r="J30" s="79"/>
      <c r="K30" s="80">
        <v>1.8000000000000002E-2</v>
      </c>
      <c r="L30" s="80"/>
      <c r="M30" s="75" t="s">
        <v>143</v>
      </c>
      <c r="N30" s="75" t="b">
        <v>1</v>
      </c>
      <c r="O30" s="75" t="s">
        <v>144</v>
      </c>
      <c r="P30" s="75">
        <v>1994</v>
      </c>
      <c r="Q30" s="75">
        <v>2015</v>
      </c>
      <c r="R30" s="75">
        <v>1</v>
      </c>
      <c r="S30" s="81"/>
      <c r="T30" s="82"/>
      <c r="U30" s="83"/>
    </row>
    <row r="31" spans="1:21" s="84" customFormat="1" x14ac:dyDescent="0.3">
      <c r="A31" s="68">
        <v>39106</v>
      </c>
      <c r="B31" s="69">
        <f t="shared" si="1"/>
        <v>20070124</v>
      </c>
      <c r="C31" s="70">
        <v>4.2300000000000004E-2</v>
      </c>
      <c r="D31" s="77">
        <v>0</v>
      </c>
      <c r="E31" s="77"/>
      <c r="F31" s="77">
        <v>4.4999999999999997E-3</v>
      </c>
      <c r="G31" s="78">
        <v>15000000</v>
      </c>
      <c r="H31" s="79"/>
      <c r="I31" s="79"/>
      <c r="J31" s="79"/>
      <c r="K31" s="80">
        <v>1.8000000000000002E-2</v>
      </c>
      <c r="L31" s="80"/>
      <c r="M31" s="75" t="s">
        <v>143</v>
      </c>
      <c r="N31" s="75" t="b">
        <v>1</v>
      </c>
      <c r="O31" s="75" t="s">
        <v>144</v>
      </c>
      <c r="P31" s="75">
        <v>1994</v>
      </c>
      <c r="Q31" s="75">
        <v>2015</v>
      </c>
      <c r="R31" s="75">
        <v>1</v>
      </c>
      <c r="S31" s="81"/>
      <c r="T31" s="82"/>
      <c r="U31" s="83"/>
    </row>
    <row r="32" spans="1:21" s="84" customFormat="1" x14ac:dyDescent="0.3">
      <c r="A32" s="68">
        <v>39107</v>
      </c>
      <c r="B32" s="69">
        <f t="shared" si="1"/>
        <v>20070125</v>
      </c>
      <c r="C32" s="70">
        <v>4.2599999999999999E-2</v>
      </c>
      <c r="D32" s="77">
        <v>0</v>
      </c>
      <c r="E32" s="77"/>
      <c r="F32" s="77">
        <v>4.4999999999999997E-3</v>
      </c>
      <c r="G32" s="78">
        <v>15000000</v>
      </c>
      <c r="H32" s="79"/>
      <c r="I32" s="79"/>
      <c r="J32" s="79"/>
      <c r="K32" s="80">
        <v>1.8100000000000002E-2</v>
      </c>
      <c r="L32" s="80"/>
      <c r="M32" s="75" t="s">
        <v>143</v>
      </c>
      <c r="N32" s="75" t="b">
        <v>1</v>
      </c>
      <c r="O32" s="75" t="s">
        <v>144</v>
      </c>
      <c r="P32" s="75">
        <v>1994</v>
      </c>
      <c r="Q32" s="75">
        <v>2015</v>
      </c>
      <c r="R32" s="75">
        <v>1</v>
      </c>
      <c r="S32" s="81"/>
      <c r="T32" s="82"/>
      <c r="U32" s="83"/>
    </row>
    <row r="33" spans="1:21" s="84" customFormat="1" x14ac:dyDescent="0.3">
      <c r="A33" s="68">
        <v>39108</v>
      </c>
      <c r="B33" s="69">
        <f t="shared" si="1"/>
        <v>20070126</v>
      </c>
      <c r="C33" s="70">
        <v>4.2500000000000003E-2</v>
      </c>
      <c r="D33" s="77">
        <v>0</v>
      </c>
      <c r="E33" s="77"/>
      <c r="F33" s="77">
        <v>4.4999999999999997E-3</v>
      </c>
      <c r="G33" s="78">
        <v>15000000</v>
      </c>
      <c r="H33" s="79"/>
      <c r="I33" s="79"/>
      <c r="J33" s="79"/>
      <c r="K33" s="80">
        <v>1.7899999999999999E-2</v>
      </c>
      <c r="L33" s="80"/>
      <c r="M33" s="75" t="s">
        <v>143</v>
      </c>
      <c r="N33" s="75" t="b">
        <v>1</v>
      </c>
      <c r="O33" s="75" t="s">
        <v>144</v>
      </c>
      <c r="P33" s="75">
        <v>1994</v>
      </c>
      <c r="Q33" s="75">
        <v>2015</v>
      </c>
      <c r="R33" s="75">
        <v>1</v>
      </c>
      <c r="S33" s="81"/>
      <c r="T33" s="82"/>
      <c r="U33" s="83"/>
    </row>
    <row r="34" spans="1:21" s="84" customFormat="1" x14ac:dyDescent="0.3">
      <c r="A34" s="68">
        <v>39111</v>
      </c>
      <c r="B34" s="69">
        <f t="shared" si="1"/>
        <v>20070129</v>
      </c>
      <c r="C34" s="70">
        <v>4.2800000000000005E-2</v>
      </c>
      <c r="D34" s="77">
        <v>0</v>
      </c>
      <c r="E34" s="77"/>
      <c r="F34" s="77">
        <v>4.4999999999999997E-3</v>
      </c>
      <c r="G34" s="78">
        <v>15000000</v>
      </c>
      <c r="H34" s="79"/>
      <c r="I34" s="79"/>
      <c r="J34" s="79"/>
      <c r="K34" s="80">
        <v>1.8200000000000001E-2</v>
      </c>
      <c r="L34" s="80"/>
      <c r="M34" s="75" t="s">
        <v>143</v>
      </c>
      <c r="N34" s="75" t="b">
        <v>1</v>
      </c>
      <c r="O34" s="75" t="s">
        <v>144</v>
      </c>
      <c r="P34" s="75">
        <v>1994</v>
      </c>
      <c r="Q34" s="75">
        <v>2015</v>
      </c>
      <c r="R34" s="75">
        <v>1</v>
      </c>
      <c r="S34" s="81"/>
      <c r="T34" s="82"/>
      <c r="U34" s="83"/>
    </row>
    <row r="35" spans="1:21" s="84" customFormat="1" x14ac:dyDescent="0.3">
      <c r="A35" s="68">
        <v>39112</v>
      </c>
      <c r="B35" s="69">
        <f t="shared" si="1"/>
        <v>20070130</v>
      </c>
      <c r="C35" s="70">
        <v>4.2800000000000005E-2</v>
      </c>
      <c r="D35" s="77">
        <v>0</v>
      </c>
      <c r="E35" s="77"/>
      <c r="F35" s="77">
        <v>4.4999999999999997E-3</v>
      </c>
      <c r="G35" s="78">
        <v>15000000</v>
      </c>
      <c r="H35" s="79"/>
      <c r="I35" s="79"/>
      <c r="J35" s="79"/>
      <c r="K35" s="80">
        <v>1.83E-2</v>
      </c>
      <c r="L35" s="80"/>
      <c r="M35" s="75" t="s">
        <v>143</v>
      </c>
      <c r="N35" s="75" t="b">
        <v>1</v>
      </c>
      <c r="O35" s="75" t="s">
        <v>144</v>
      </c>
      <c r="P35" s="75">
        <v>1994</v>
      </c>
      <c r="Q35" s="75">
        <v>2015</v>
      </c>
      <c r="R35" s="75">
        <v>1</v>
      </c>
      <c r="S35" s="81"/>
      <c r="T35" s="82"/>
      <c r="U35" s="83"/>
    </row>
    <row r="36" spans="1:21" s="84" customFormat="1" x14ac:dyDescent="0.3">
      <c r="A36" s="68">
        <v>39113</v>
      </c>
      <c r="B36" s="69">
        <f t="shared" si="1"/>
        <v>20070131</v>
      </c>
      <c r="C36" s="70">
        <v>4.2300000000000004E-2</v>
      </c>
      <c r="D36" s="77">
        <v>0</v>
      </c>
      <c r="E36" s="77"/>
      <c r="F36" s="77">
        <v>4.4999999999999997E-3</v>
      </c>
      <c r="G36" s="78">
        <v>15000000</v>
      </c>
      <c r="H36" s="79"/>
      <c r="I36" s="79"/>
      <c r="J36" s="79"/>
      <c r="K36" s="80">
        <v>1.7899999999999999E-2</v>
      </c>
      <c r="L36" s="80"/>
      <c r="M36" s="75" t="s">
        <v>143</v>
      </c>
      <c r="N36" s="75" t="b">
        <v>1</v>
      </c>
      <c r="O36" s="75" t="s">
        <v>144</v>
      </c>
      <c r="P36" s="75">
        <v>1994</v>
      </c>
      <c r="Q36" s="75">
        <v>2015</v>
      </c>
      <c r="R36" s="75">
        <v>1</v>
      </c>
      <c r="S36" s="81"/>
      <c r="T36" s="82"/>
      <c r="U36" s="83"/>
    </row>
    <row r="37" spans="1:21" s="84" customFormat="1" x14ac:dyDescent="0.3">
      <c r="A37" s="68">
        <v>39114</v>
      </c>
      <c r="B37" s="69">
        <f t="shared" si="1"/>
        <v>20070201</v>
      </c>
      <c r="C37" s="70">
        <v>4.2500000000000003E-2</v>
      </c>
      <c r="D37" s="77">
        <v>0</v>
      </c>
      <c r="E37" s="77"/>
      <c r="F37" s="77">
        <v>4.4999999999999997E-3</v>
      </c>
      <c r="G37" s="78">
        <v>15000000</v>
      </c>
      <c r="H37" s="79"/>
      <c r="I37" s="79"/>
      <c r="J37" s="79"/>
      <c r="K37" s="80">
        <v>1.7899999999999999E-2</v>
      </c>
      <c r="L37" s="80"/>
      <c r="M37" s="75" t="s">
        <v>143</v>
      </c>
      <c r="N37" s="75" t="b">
        <v>1</v>
      </c>
      <c r="O37" s="75" t="s">
        <v>144</v>
      </c>
      <c r="P37" s="75">
        <v>1994</v>
      </c>
      <c r="Q37" s="75">
        <v>2015</v>
      </c>
      <c r="R37" s="75">
        <v>1</v>
      </c>
      <c r="S37" s="81"/>
      <c r="T37" s="82"/>
      <c r="U37" s="83"/>
    </row>
    <row r="38" spans="1:21" s="84" customFormat="1" x14ac:dyDescent="0.3">
      <c r="A38" s="68">
        <v>39115</v>
      </c>
      <c r="B38" s="69">
        <f t="shared" si="1"/>
        <v>20070202</v>
      </c>
      <c r="C38" s="70">
        <v>4.24E-2</v>
      </c>
      <c r="D38" s="77">
        <v>0</v>
      </c>
      <c r="E38" s="77"/>
      <c r="F38" s="77">
        <v>4.4999999999999997E-3</v>
      </c>
      <c r="G38" s="78">
        <v>15000000</v>
      </c>
      <c r="H38" s="79"/>
      <c r="I38" s="79"/>
      <c r="J38" s="79"/>
      <c r="K38" s="80">
        <v>1.7899999999999999E-2</v>
      </c>
      <c r="L38" s="80"/>
      <c r="M38" s="75" t="s">
        <v>143</v>
      </c>
      <c r="N38" s="75" t="b">
        <v>1</v>
      </c>
      <c r="O38" s="75" t="s">
        <v>144</v>
      </c>
      <c r="P38" s="75">
        <v>1994</v>
      </c>
      <c r="Q38" s="75">
        <v>2015</v>
      </c>
      <c r="R38" s="75">
        <v>1</v>
      </c>
      <c r="S38" s="81"/>
      <c r="T38" s="82"/>
      <c r="U38" s="83"/>
    </row>
    <row r="39" spans="1:21" s="84" customFormat="1" x14ac:dyDescent="0.3">
      <c r="A39" s="68">
        <v>39118</v>
      </c>
      <c r="B39" s="69">
        <f t="shared" si="1"/>
        <v>20070205</v>
      </c>
      <c r="C39" s="70">
        <v>4.2199999999999994E-2</v>
      </c>
      <c r="D39" s="77">
        <v>0</v>
      </c>
      <c r="E39" s="77"/>
      <c r="F39" s="77">
        <v>4.4999999999999997E-3</v>
      </c>
      <c r="G39" s="78">
        <v>15000000</v>
      </c>
      <c r="H39" s="79"/>
      <c r="I39" s="79"/>
      <c r="J39" s="79"/>
      <c r="K39" s="80">
        <v>1.78E-2</v>
      </c>
      <c r="L39" s="80"/>
      <c r="M39" s="75" t="s">
        <v>143</v>
      </c>
      <c r="N39" s="75" t="b">
        <v>1</v>
      </c>
      <c r="O39" s="75" t="s">
        <v>144</v>
      </c>
      <c r="P39" s="75">
        <v>1994</v>
      </c>
      <c r="Q39" s="75">
        <v>2015</v>
      </c>
      <c r="R39" s="75">
        <v>1</v>
      </c>
      <c r="S39" s="81"/>
      <c r="T39" s="82"/>
      <c r="U39" s="83"/>
    </row>
    <row r="40" spans="1:21" s="84" customFormat="1" x14ac:dyDescent="0.3">
      <c r="A40" s="68">
        <v>39119</v>
      </c>
      <c r="B40" s="69">
        <f t="shared" si="1"/>
        <v>20070206</v>
      </c>
      <c r="C40" s="70">
        <v>4.1900000000000007E-2</v>
      </c>
      <c r="D40" s="77">
        <v>0</v>
      </c>
      <c r="E40" s="77"/>
      <c r="F40" s="77">
        <v>4.4999999999999997E-3</v>
      </c>
      <c r="G40" s="78">
        <v>15000000</v>
      </c>
      <c r="H40" s="79"/>
      <c r="I40" s="79"/>
      <c r="J40" s="79"/>
      <c r="K40" s="80">
        <v>1.77E-2</v>
      </c>
      <c r="L40" s="80"/>
      <c r="M40" s="75" t="s">
        <v>143</v>
      </c>
      <c r="N40" s="75" t="b">
        <v>1</v>
      </c>
      <c r="O40" s="75" t="s">
        <v>144</v>
      </c>
      <c r="P40" s="75">
        <v>1994</v>
      </c>
      <c r="Q40" s="75">
        <v>2015</v>
      </c>
      <c r="R40" s="75">
        <v>1</v>
      </c>
      <c r="S40" s="81"/>
      <c r="T40" s="82"/>
      <c r="U40" s="83"/>
    </row>
    <row r="41" spans="1:21" s="84" customFormat="1" x14ac:dyDescent="0.3">
      <c r="A41" s="68">
        <v>39120</v>
      </c>
      <c r="B41" s="69">
        <f t="shared" si="1"/>
        <v>20070207</v>
      </c>
      <c r="C41" s="70">
        <v>4.1799999999999997E-2</v>
      </c>
      <c r="D41" s="77">
        <v>0</v>
      </c>
      <c r="E41" s="77"/>
      <c r="F41" s="77">
        <v>4.4999999999999997E-3</v>
      </c>
      <c r="G41" s="78">
        <v>15000000</v>
      </c>
      <c r="H41" s="79"/>
      <c r="I41" s="79"/>
      <c r="J41" s="79"/>
      <c r="K41" s="80">
        <v>1.77E-2</v>
      </c>
      <c r="L41" s="80"/>
      <c r="M41" s="75" t="s">
        <v>143</v>
      </c>
      <c r="N41" s="75" t="b">
        <v>1</v>
      </c>
      <c r="O41" s="75" t="s">
        <v>144</v>
      </c>
      <c r="P41" s="75">
        <v>1994</v>
      </c>
      <c r="Q41" s="75">
        <v>2015</v>
      </c>
      <c r="R41" s="75">
        <v>1</v>
      </c>
      <c r="S41" s="81"/>
      <c r="T41" s="82"/>
      <c r="U41" s="83"/>
    </row>
    <row r="42" spans="1:21" s="84" customFormat="1" x14ac:dyDescent="0.3">
      <c r="A42" s="68">
        <v>39121</v>
      </c>
      <c r="B42" s="69">
        <f t="shared" si="1"/>
        <v>20070208</v>
      </c>
      <c r="C42" s="70">
        <v>4.1700000000000001E-2</v>
      </c>
      <c r="D42" s="77">
        <v>0</v>
      </c>
      <c r="E42" s="77"/>
      <c r="F42" s="77">
        <v>4.4999999999999997E-3</v>
      </c>
      <c r="G42" s="78">
        <v>15000000</v>
      </c>
      <c r="H42" s="79"/>
      <c r="I42" s="79"/>
      <c r="J42" s="79"/>
      <c r="K42" s="80">
        <v>1.77E-2</v>
      </c>
      <c r="L42" s="80"/>
      <c r="M42" s="75" t="s">
        <v>143</v>
      </c>
      <c r="N42" s="75" t="b">
        <v>1</v>
      </c>
      <c r="O42" s="75" t="s">
        <v>144</v>
      </c>
      <c r="P42" s="75">
        <v>1994</v>
      </c>
      <c r="Q42" s="75">
        <v>2015</v>
      </c>
      <c r="R42" s="75">
        <v>1</v>
      </c>
      <c r="S42" s="81"/>
      <c r="T42" s="82"/>
      <c r="U42" s="83"/>
    </row>
    <row r="43" spans="1:21" s="84" customFormat="1" x14ac:dyDescent="0.3">
      <c r="A43" s="68">
        <v>39122</v>
      </c>
      <c r="B43" s="69">
        <f t="shared" si="1"/>
        <v>20070209</v>
      </c>
      <c r="C43" s="70">
        <v>4.2199999999999994E-2</v>
      </c>
      <c r="D43" s="77">
        <v>0</v>
      </c>
      <c r="E43" s="77"/>
      <c r="F43" s="77">
        <v>4.4999999999999997E-3</v>
      </c>
      <c r="G43" s="78">
        <v>15000000</v>
      </c>
      <c r="H43" s="79"/>
      <c r="I43" s="79"/>
      <c r="J43" s="79"/>
      <c r="K43" s="80">
        <v>1.7899999999999999E-2</v>
      </c>
      <c r="L43" s="80"/>
      <c r="M43" s="75" t="s">
        <v>143</v>
      </c>
      <c r="N43" s="75" t="b">
        <v>1</v>
      </c>
      <c r="O43" s="75" t="s">
        <v>144</v>
      </c>
      <c r="P43" s="75">
        <v>1994</v>
      </c>
      <c r="Q43" s="75">
        <v>2015</v>
      </c>
      <c r="R43" s="75">
        <v>1</v>
      </c>
      <c r="S43" s="81"/>
      <c r="T43" s="82"/>
      <c r="U43" s="83"/>
    </row>
    <row r="44" spans="1:21" s="84" customFormat="1" x14ac:dyDescent="0.3">
      <c r="A44" s="68">
        <v>39125</v>
      </c>
      <c r="B44" s="69">
        <f t="shared" si="1"/>
        <v>20070212</v>
      </c>
      <c r="C44" s="70">
        <v>4.2500000000000003E-2</v>
      </c>
      <c r="D44" s="77">
        <v>0</v>
      </c>
      <c r="E44" s="77"/>
      <c r="F44" s="77">
        <v>4.4999999999999997E-3</v>
      </c>
      <c r="G44" s="78">
        <v>15000000</v>
      </c>
      <c r="H44" s="79"/>
      <c r="I44" s="79"/>
      <c r="J44" s="79"/>
      <c r="K44" s="80">
        <v>1.8200000000000001E-2</v>
      </c>
      <c r="L44" s="80"/>
      <c r="M44" s="75" t="s">
        <v>143</v>
      </c>
      <c r="N44" s="75" t="b">
        <v>1</v>
      </c>
      <c r="O44" s="75" t="s">
        <v>144</v>
      </c>
      <c r="P44" s="75">
        <v>1994</v>
      </c>
      <c r="Q44" s="75">
        <v>2015</v>
      </c>
      <c r="R44" s="75">
        <v>1</v>
      </c>
      <c r="S44" s="81"/>
      <c r="T44" s="82"/>
      <c r="U44" s="83"/>
    </row>
    <row r="45" spans="1:21" s="84" customFormat="1" x14ac:dyDescent="0.3">
      <c r="A45" s="68">
        <v>39126</v>
      </c>
      <c r="B45" s="69">
        <f t="shared" si="1"/>
        <v>20070213</v>
      </c>
      <c r="C45" s="70">
        <v>4.2699999999999995E-2</v>
      </c>
      <c r="D45" s="77">
        <v>0</v>
      </c>
      <c r="E45" s="77"/>
      <c r="F45" s="77">
        <v>4.4999999999999997E-3</v>
      </c>
      <c r="G45" s="78">
        <v>15000000</v>
      </c>
      <c r="H45" s="79"/>
      <c r="I45" s="79"/>
      <c r="J45" s="79"/>
      <c r="K45" s="80">
        <v>1.83E-2</v>
      </c>
      <c r="L45" s="80"/>
      <c r="M45" s="75" t="s">
        <v>143</v>
      </c>
      <c r="N45" s="75" t="b">
        <v>1</v>
      </c>
      <c r="O45" s="75" t="s">
        <v>144</v>
      </c>
      <c r="P45" s="75">
        <v>1994</v>
      </c>
      <c r="Q45" s="75">
        <v>2015</v>
      </c>
      <c r="R45" s="75">
        <v>1</v>
      </c>
      <c r="S45" s="81"/>
      <c r="T45" s="82"/>
      <c r="U45" s="83"/>
    </row>
    <row r="46" spans="1:21" s="84" customFormat="1" x14ac:dyDescent="0.3">
      <c r="A46" s="68">
        <v>39127</v>
      </c>
      <c r="B46" s="69">
        <f t="shared" si="1"/>
        <v>20070214</v>
      </c>
      <c r="C46" s="70">
        <v>4.2000000000000003E-2</v>
      </c>
      <c r="D46" s="77">
        <v>0</v>
      </c>
      <c r="E46" s="77"/>
      <c r="F46" s="77">
        <v>4.4999999999999997E-3</v>
      </c>
      <c r="G46" s="78">
        <v>15000000</v>
      </c>
      <c r="H46" s="79"/>
      <c r="I46" s="79"/>
      <c r="J46" s="79"/>
      <c r="K46" s="80">
        <v>1.8000000000000002E-2</v>
      </c>
      <c r="L46" s="80"/>
      <c r="M46" s="75" t="s">
        <v>143</v>
      </c>
      <c r="N46" s="75" t="b">
        <v>1</v>
      </c>
      <c r="O46" s="75" t="s">
        <v>144</v>
      </c>
      <c r="P46" s="75">
        <v>1994</v>
      </c>
      <c r="Q46" s="75">
        <v>2015</v>
      </c>
      <c r="R46" s="75">
        <v>1</v>
      </c>
      <c r="S46" s="81"/>
      <c r="T46" s="82"/>
      <c r="U46" s="83"/>
    </row>
    <row r="47" spans="1:21" s="84" customFormat="1" x14ac:dyDescent="0.3">
      <c r="A47" s="68">
        <v>39128</v>
      </c>
      <c r="B47" s="69">
        <f t="shared" si="1"/>
        <v>20070215</v>
      </c>
      <c r="C47" s="70">
        <v>4.1799999999999997E-2</v>
      </c>
      <c r="D47" s="77">
        <v>0</v>
      </c>
      <c r="E47" s="77"/>
      <c r="F47" s="77">
        <v>4.4999999999999997E-3</v>
      </c>
      <c r="G47" s="78">
        <v>15000000</v>
      </c>
      <c r="H47" s="79"/>
      <c r="I47" s="79"/>
      <c r="J47" s="79"/>
      <c r="K47" s="80">
        <v>1.8000000000000002E-2</v>
      </c>
      <c r="L47" s="80"/>
      <c r="M47" s="75" t="s">
        <v>143</v>
      </c>
      <c r="N47" s="75" t="b">
        <v>1</v>
      </c>
      <c r="O47" s="75" t="s">
        <v>144</v>
      </c>
      <c r="P47" s="75">
        <v>1994</v>
      </c>
      <c r="Q47" s="75">
        <v>2015</v>
      </c>
      <c r="R47" s="75">
        <v>1</v>
      </c>
      <c r="S47" s="81"/>
      <c r="T47" s="82"/>
      <c r="U47" s="83"/>
    </row>
    <row r="48" spans="1:21" s="84" customFormat="1" x14ac:dyDescent="0.3">
      <c r="A48" s="68">
        <v>39129</v>
      </c>
      <c r="B48" s="69">
        <f t="shared" si="1"/>
        <v>20070216</v>
      </c>
      <c r="C48" s="70">
        <v>4.1599999999999998E-2</v>
      </c>
      <c r="D48" s="77">
        <v>0</v>
      </c>
      <c r="E48" s="77"/>
      <c r="F48" s="77">
        <v>4.4999999999999997E-3</v>
      </c>
      <c r="G48" s="78">
        <v>15000000</v>
      </c>
      <c r="H48" s="79"/>
      <c r="I48" s="79"/>
      <c r="J48" s="79"/>
      <c r="K48" s="80">
        <v>1.8000000000000002E-2</v>
      </c>
      <c r="L48" s="80"/>
      <c r="M48" s="75" t="s">
        <v>143</v>
      </c>
      <c r="N48" s="75" t="b">
        <v>1</v>
      </c>
      <c r="O48" s="75" t="s">
        <v>144</v>
      </c>
      <c r="P48" s="75">
        <v>1994</v>
      </c>
      <c r="Q48" s="75">
        <v>2015</v>
      </c>
      <c r="R48" s="75">
        <v>1</v>
      </c>
      <c r="S48" s="81"/>
      <c r="T48" s="82"/>
      <c r="U48" s="83"/>
    </row>
    <row r="49" spans="1:21" s="84" customFormat="1" x14ac:dyDescent="0.3">
      <c r="A49" s="68">
        <v>39132</v>
      </c>
      <c r="B49" s="69">
        <f t="shared" si="1"/>
        <v>20070219</v>
      </c>
      <c r="C49" s="70">
        <v>4.1599999999999998E-2</v>
      </c>
      <c r="D49" s="77">
        <v>0</v>
      </c>
      <c r="E49" s="77"/>
      <c r="F49" s="77">
        <v>4.4999999999999997E-3</v>
      </c>
      <c r="G49" s="78">
        <v>15000000</v>
      </c>
      <c r="H49" s="79"/>
      <c r="I49" s="79"/>
      <c r="J49" s="79"/>
      <c r="K49" s="80">
        <v>1.78E-2</v>
      </c>
      <c r="L49" s="80"/>
      <c r="M49" s="75" t="s">
        <v>143</v>
      </c>
      <c r="N49" s="75" t="b">
        <v>1</v>
      </c>
      <c r="O49" s="75" t="s">
        <v>144</v>
      </c>
      <c r="P49" s="75">
        <v>1994</v>
      </c>
      <c r="Q49" s="75">
        <v>2015</v>
      </c>
      <c r="R49" s="75">
        <v>1</v>
      </c>
      <c r="S49" s="81"/>
      <c r="T49" s="82"/>
      <c r="U49" s="83"/>
    </row>
    <row r="50" spans="1:21" s="84" customFormat="1" x14ac:dyDescent="0.3">
      <c r="A50" s="68">
        <v>39133</v>
      </c>
      <c r="B50" s="69">
        <f t="shared" si="1"/>
        <v>20070220</v>
      </c>
      <c r="C50" s="70">
        <v>4.1399999999999999E-2</v>
      </c>
      <c r="D50" s="77">
        <v>0</v>
      </c>
      <c r="E50" s="77"/>
      <c r="F50" s="77">
        <v>4.4999999999999997E-3</v>
      </c>
      <c r="G50" s="78">
        <v>15000000</v>
      </c>
      <c r="H50" s="79"/>
      <c r="I50" s="79"/>
      <c r="J50" s="79"/>
      <c r="K50" s="80">
        <v>1.7600000000000001E-2</v>
      </c>
      <c r="L50" s="80"/>
      <c r="M50" s="75" t="s">
        <v>143</v>
      </c>
      <c r="N50" s="75" t="b">
        <v>1</v>
      </c>
      <c r="O50" s="75" t="s">
        <v>144</v>
      </c>
      <c r="P50" s="75">
        <v>1994</v>
      </c>
      <c r="Q50" s="75">
        <v>2015</v>
      </c>
      <c r="R50" s="75">
        <v>1</v>
      </c>
      <c r="S50" s="81"/>
      <c r="T50" s="82"/>
      <c r="U50" s="83"/>
    </row>
    <row r="51" spans="1:21" s="84" customFormat="1" x14ac:dyDescent="0.3">
      <c r="A51" s="68">
        <v>39134</v>
      </c>
      <c r="B51" s="69">
        <f t="shared" si="1"/>
        <v>20070221</v>
      </c>
      <c r="C51" s="70">
        <v>4.1500000000000002E-2</v>
      </c>
      <c r="D51" s="77">
        <v>0</v>
      </c>
      <c r="E51" s="77"/>
      <c r="F51" s="77">
        <v>4.4999999999999997E-3</v>
      </c>
      <c r="G51" s="78">
        <v>15000000</v>
      </c>
      <c r="H51" s="79"/>
      <c r="I51" s="79"/>
      <c r="J51" s="79"/>
      <c r="K51" s="80">
        <v>1.7600000000000001E-2</v>
      </c>
      <c r="L51" s="80"/>
      <c r="M51" s="75" t="s">
        <v>143</v>
      </c>
      <c r="N51" s="75" t="b">
        <v>1</v>
      </c>
      <c r="O51" s="75" t="s">
        <v>144</v>
      </c>
      <c r="P51" s="75">
        <v>1994</v>
      </c>
      <c r="Q51" s="75">
        <v>2015</v>
      </c>
      <c r="R51" s="75">
        <v>1</v>
      </c>
      <c r="S51" s="81"/>
      <c r="T51" s="82"/>
      <c r="U51" s="83"/>
    </row>
    <row r="52" spans="1:21" s="84" customFormat="1" x14ac:dyDescent="0.3">
      <c r="A52" s="68">
        <v>39135</v>
      </c>
      <c r="B52" s="69">
        <f t="shared" si="1"/>
        <v>20070222</v>
      </c>
      <c r="C52" s="70">
        <v>4.1900000000000007E-2</v>
      </c>
      <c r="D52" s="77">
        <v>0</v>
      </c>
      <c r="E52" s="77"/>
      <c r="F52" s="77">
        <v>4.4999999999999997E-3</v>
      </c>
      <c r="G52" s="78">
        <v>15000000</v>
      </c>
      <c r="H52" s="79"/>
      <c r="I52" s="79"/>
      <c r="J52" s="79"/>
      <c r="K52" s="80">
        <v>1.7899999999999999E-2</v>
      </c>
      <c r="L52" s="80"/>
      <c r="M52" s="75" t="s">
        <v>143</v>
      </c>
      <c r="N52" s="75" t="b">
        <v>1</v>
      </c>
      <c r="O52" s="75" t="s">
        <v>144</v>
      </c>
      <c r="P52" s="75">
        <v>1994</v>
      </c>
      <c r="Q52" s="75">
        <v>2015</v>
      </c>
      <c r="R52" s="75">
        <v>1</v>
      </c>
      <c r="S52" s="81"/>
      <c r="T52" s="82"/>
      <c r="U52" s="83"/>
    </row>
    <row r="53" spans="1:21" s="84" customFormat="1" x14ac:dyDescent="0.3">
      <c r="A53" s="68">
        <v>39136</v>
      </c>
      <c r="B53" s="69">
        <f t="shared" si="1"/>
        <v>20070223</v>
      </c>
      <c r="C53" s="70">
        <v>4.1599999999999998E-2</v>
      </c>
      <c r="D53" s="77">
        <v>0</v>
      </c>
      <c r="E53" s="77"/>
      <c r="F53" s="77">
        <v>4.4999999999999997E-3</v>
      </c>
      <c r="G53" s="78">
        <v>15000000</v>
      </c>
      <c r="H53" s="79"/>
      <c r="I53" s="79"/>
      <c r="J53" s="79"/>
      <c r="K53" s="80">
        <v>1.78E-2</v>
      </c>
      <c r="L53" s="80"/>
      <c r="M53" s="75" t="s">
        <v>143</v>
      </c>
      <c r="N53" s="75" t="b">
        <v>1</v>
      </c>
      <c r="O53" s="75" t="s">
        <v>144</v>
      </c>
      <c r="P53" s="75">
        <v>1994</v>
      </c>
      <c r="Q53" s="75">
        <v>2015</v>
      </c>
      <c r="R53" s="75">
        <v>1</v>
      </c>
      <c r="S53" s="81"/>
      <c r="T53" s="82"/>
      <c r="U53" s="83"/>
    </row>
    <row r="54" spans="1:21" s="84" customFormat="1" x14ac:dyDescent="0.3">
      <c r="A54" s="68">
        <v>39139</v>
      </c>
      <c r="B54" s="69">
        <f t="shared" si="1"/>
        <v>20070226</v>
      </c>
      <c r="C54" s="70">
        <v>4.1200000000000001E-2</v>
      </c>
      <c r="D54" s="77">
        <v>0</v>
      </c>
      <c r="E54" s="77"/>
      <c r="F54" s="77">
        <v>4.4999999999999997E-3</v>
      </c>
      <c r="G54" s="78">
        <v>15000000</v>
      </c>
      <c r="H54" s="79"/>
      <c r="I54" s="79"/>
      <c r="J54" s="79"/>
      <c r="K54" s="80">
        <v>1.7500000000000002E-2</v>
      </c>
      <c r="L54" s="80"/>
      <c r="M54" s="75" t="s">
        <v>143</v>
      </c>
      <c r="N54" s="75" t="b">
        <v>1</v>
      </c>
      <c r="O54" s="75" t="s">
        <v>144</v>
      </c>
      <c r="P54" s="75">
        <v>1994</v>
      </c>
      <c r="Q54" s="75">
        <v>2015</v>
      </c>
      <c r="R54" s="75">
        <v>1</v>
      </c>
      <c r="S54" s="81"/>
      <c r="T54" s="82"/>
      <c r="U54" s="83"/>
    </row>
    <row r="55" spans="1:21" s="84" customFormat="1" x14ac:dyDescent="0.3">
      <c r="A55" s="68">
        <v>39140</v>
      </c>
      <c r="B55" s="69">
        <f t="shared" si="1"/>
        <v>20070227</v>
      </c>
      <c r="C55" s="70">
        <v>4.0599999999999997E-2</v>
      </c>
      <c r="D55" s="77">
        <v>0</v>
      </c>
      <c r="E55" s="77"/>
      <c r="F55" s="77">
        <v>4.4999999999999997E-3</v>
      </c>
      <c r="G55" s="78">
        <v>15000000</v>
      </c>
      <c r="H55" s="79"/>
      <c r="I55" s="79"/>
      <c r="J55" s="79"/>
      <c r="K55" s="80">
        <v>1.7299999999999999E-2</v>
      </c>
      <c r="L55" s="80"/>
      <c r="M55" s="75" t="s">
        <v>143</v>
      </c>
      <c r="N55" s="75" t="b">
        <v>1</v>
      </c>
      <c r="O55" s="75" t="s">
        <v>144</v>
      </c>
      <c r="P55" s="75">
        <v>1994</v>
      </c>
      <c r="Q55" s="75">
        <v>2015</v>
      </c>
      <c r="R55" s="75">
        <v>1</v>
      </c>
      <c r="S55" s="81"/>
      <c r="T55" s="82"/>
      <c r="U55" s="83"/>
    </row>
    <row r="56" spans="1:21" s="84" customFormat="1" x14ac:dyDescent="0.3">
      <c r="A56" s="68">
        <v>39141</v>
      </c>
      <c r="B56" s="69">
        <f t="shared" si="1"/>
        <v>20070228</v>
      </c>
      <c r="C56" s="70">
        <v>4.0999999999999995E-2</v>
      </c>
      <c r="D56" s="77">
        <v>0</v>
      </c>
      <c r="E56" s="77"/>
      <c r="F56" s="77">
        <v>4.4999999999999997E-3</v>
      </c>
      <c r="G56" s="78">
        <v>15000000</v>
      </c>
      <c r="H56" s="79"/>
      <c r="I56" s="79"/>
      <c r="J56" s="79"/>
      <c r="K56" s="80">
        <v>1.7500000000000002E-2</v>
      </c>
      <c r="L56" s="80"/>
      <c r="M56" s="75" t="s">
        <v>143</v>
      </c>
      <c r="N56" s="75" t="b">
        <v>1</v>
      </c>
      <c r="O56" s="75" t="s">
        <v>144</v>
      </c>
      <c r="P56" s="75">
        <v>1994</v>
      </c>
      <c r="Q56" s="75">
        <v>2015</v>
      </c>
      <c r="R56" s="75">
        <v>1</v>
      </c>
      <c r="S56" s="81"/>
      <c r="T56" s="82"/>
      <c r="U56" s="83"/>
    </row>
    <row r="57" spans="1:21" s="84" customFormat="1" x14ac:dyDescent="0.3">
      <c r="A57" s="68">
        <v>39142</v>
      </c>
      <c r="B57" s="69">
        <f t="shared" si="1"/>
        <v>20070301</v>
      </c>
      <c r="C57" s="70">
        <v>4.0999999999999995E-2</v>
      </c>
      <c r="D57" s="77">
        <v>0</v>
      </c>
      <c r="E57" s="77"/>
      <c r="F57" s="77">
        <v>4.4999999999999997E-3</v>
      </c>
      <c r="G57" s="78">
        <v>15000000</v>
      </c>
      <c r="H57" s="79"/>
      <c r="I57" s="79"/>
      <c r="J57" s="79"/>
      <c r="K57" s="80">
        <v>1.7399999999999999E-2</v>
      </c>
      <c r="L57" s="80"/>
      <c r="M57" s="75" t="s">
        <v>143</v>
      </c>
      <c r="N57" s="75" t="b">
        <v>1</v>
      </c>
      <c r="O57" s="75" t="s">
        <v>144</v>
      </c>
      <c r="P57" s="75">
        <v>1994</v>
      </c>
      <c r="Q57" s="75">
        <v>2015</v>
      </c>
      <c r="R57" s="75">
        <v>1</v>
      </c>
      <c r="S57" s="81"/>
      <c r="T57" s="82"/>
      <c r="U57" s="83"/>
    </row>
    <row r="58" spans="1:21" s="84" customFormat="1" x14ac:dyDescent="0.3">
      <c r="A58" s="68">
        <v>39143</v>
      </c>
      <c r="B58" s="69">
        <f t="shared" si="1"/>
        <v>20070302</v>
      </c>
      <c r="C58" s="70">
        <v>4.0899999999999999E-2</v>
      </c>
      <c r="D58" s="77">
        <v>0</v>
      </c>
      <c r="E58" s="77"/>
      <c r="F58" s="77">
        <v>4.4999999999999997E-3</v>
      </c>
      <c r="G58" s="78">
        <v>15000000</v>
      </c>
      <c r="H58" s="79"/>
      <c r="I58" s="79"/>
      <c r="J58" s="79"/>
      <c r="K58" s="80">
        <v>1.7299999999999999E-2</v>
      </c>
      <c r="L58" s="80"/>
      <c r="M58" s="75" t="s">
        <v>143</v>
      </c>
      <c r="N58" s="75" t="b">
        <v>1</v>
      </c>
      <c r="O58" s="75" t="s">
        <v>144</v>
      </c>
      <c r="P58" s="75">
        <v>1994</v>
      </c>
      <c r="Q58" s="75">
        <v>2015</v>
      </c>
      <c r="R58" s="75">
        <v>1</v>
      </c>
      <c r="S58" s="81"/>
      <c r="T58" s="82"/>
      <c r="U58" s="83"/>
    </row>
    <row r="59" spans="1:21" s="84" customFormat="1" x14ac:dyDescent="0.3">
      <c r="A59" s="68">
        <v>39146</v>
      </c>
      <c r="B59" s="69">
        <f t="shared" si="1"/>
        <v>20070305</v>
      </c>
      <c r="C59" s="70">
        <v>4.0800000000000003E-2</v>
      </c>
      <c r="D59" s="77">
        <v>0</v>
      </c>
      <c r="E59" s="77"/>
      <c r="F59" s="77">
        <v>4.4999999999999997E-3</v>
      </c>
      <c r="G59" s="78">
        <v>15000000</v>
      </c>
      <c r="H59" s="79"/>
      <c r="I59" s="79"/>
      <c r="J59" s="79"/>
      <c r="K59" s="80">
        <v>1.7299999999999999E-2</v>
      </c>
      <c r="L59" s="80"/>
      <c r="M59" s="75" t="s">
        <v>143</v>
      </c>
      <c r="N59" s="75" t="b">
        <v>1</v>
      </c>
      <c r="O59" s="75" t="s">
        <v>144</v>
      </c>
      <c r="P59" s="75">
        <v>1994</v>
      </c>
      <c r="Q59" s="75">
        <v>2015</v>
      </c>
      <c r="R59" s="75">
        <v>1</v>
      </c>
      <c r="S59" s="81"/>
      <c r="T59" s="82"/>
      <c r="U59" s="83"/>
    </row>
    <row r="60" spans="1:21" s="84" customFormat="1" x14ac:dyDescent="0.3">
      <c r="A60" s="68">
        <v>39147</v>
      </c>
      <c r="B60" s="69">
        <f t="shared" si="1"/>
        <v>20070306</v>
      </c>
      <c r="C60" s="70">
        <v>4.0899999999999999E-2</v>
      </c>
      <c r="D60" s="77">
        <v>0</v>
      </c>
      <c r="E60" s="77"/>
      <c r="F60" s="77">
        <v>4.4999999999999997E-3</v>
      </c>
      <c r="G60" s="78">
        <v>15000000</v>
      </c>
      <c r="H60" s="79"/>
      <c r="I60" s="79"/>
      <c r="J60" s="79"/>
      <c r="K60" s="80">
        <v>1.7399999999999999E-2</v>
      </c>
      <c r="L60" s="80"/>
      <c r="M60" s="75" t="s">
        <v>143</v>
      </c>
      <c r="N60" s="75" t="b">
        <v>1</v>
      </c>
      <c r="O60" s="75" t="s">
        <v>144</v>
      </c>
      <c r="P60" s="75">
        <v>1994</v>
      </c>
      <c r="Q60" s="75">
        <v>2015</v>
      </c>
      <c r="R60" s="75">
        <v>1</v>
      </c>
      <c r="S60" s="81"/>
      <c r="T60" s="82"/>
      <c r="U60" s="83"/>
    </row>
    <row r="61" spans="1:21" s="84" customFormat="1" x14ac:dyDescent="0.3">
      <c r="A61" s="68">
        <v>39148</v>
      </c>
      <c r="B61" s="69">
        <f t="shared" si="1"/>
        <v>20070307</v>
      </c>
      <c r="C61" s="70">
        <v>4.0500000000000001E-2</v>
      </c>
      <c r="D61" s="77">
        <v>0</v>
      </c>
      <c r="E61" s="77"/>
      <c r="F61" s="77">
        <v>4.4999999999999997E-3</v>
      </c>
      <c r="G61" s="78">
        <v>15000000</v>
      </c>
      <c r="H61" s="79"/>
      <c r="I61" s="79"/>
      <c r="J61" s="79"/>
      <c r="K61" s="80">
        <v>1.7100000000000001E-2</v>
      </c>
      <c r="L61" s="80"/>
      <c r="M61" s="75" t="s">
        <v>143</v>
      </c>
      <c r="N61" s="75" t="b">
        <v>1</v>
      </c>
      <c r="O61" s="75" t="s">
        <v>144</v>
      </c>
      <c r="P61" s="75">
        <v>1994</v>
      </c>
      <c r="Q61" s="75">
        <v>2015</v>
      </c>
      <c r="R61" s="75">
        <v>1</v>
      </c>
      <c r="S61" s="81"/>
      <c r="T61" s="82"/>
      <c r="U61" s="83"/>
    </row>
    <row r="62" spans="1:21" s="84" customFormat="1" x14ac:dyDescent="0.3">
      <c r="A62" s="68">
        <v>39149</v>
      </c>
      <c r="B62" s="69">
        <f t="shared" si="1"/>
        <v>20070308</v>
      </c>
      <c r="C62" s="70">
        <v>4.07E-2</v>
      </c>
      <c r="D62" s="77">
        <v>0</v>
      </c>
      <c r="E62" s="77"/>
      <c r="F62" s="77">
        <v>4.4999999999999997E-3</v>
      </c>
      <c r="G62" s="78">
        <v>15000000</v>
      </c>
      <c r="H62" s="79"/>
      <c r="I62" s="79"/>
      <c r="J62" s="79"/>
      <c r="K62" s="80">
        <v>1.72E-2</v>
      </c>
      <c r="L62" s="80"/>
      <c r="M62" s="75" t="s">
        <v>143</v>
      </c>
      <c r="N62" s="75" t="b">
        <v>1</v>
      </c>
      <c r="O62" s="75" t="s">
        <v>144</v>
      </c>
      <c r="P62" s="75">
        <v>1994</v>
      </c>
      <c r="Q62" s="75">
        <v>2015</v>
      </c>
      <c r="R62" s="75">
        <v>1</v>
      </c>
      <c r="S62" s="81"/>
      <c r="T62" s="82"/>
      <c r="U62" s="83"/>
    </row>
    <row r="63" spans="1:21" s="84" customFormat="1" x14ac:dyDescent="0.3">
      <c r="A63" s="68">
        <v>39150</v>
      </c>
      <c r="B63" s="69">
        <f t="shared" si="1"/>
        <v>20070309</v>
      </c>
      <c r="C63" s="70">
        <v>4.1200000000000001E-2</v>
      </c>
      <c r="D63" s="77">
        <v>0</v>
      </c>
      <c r="E63" s="77"/>
      <c r="F63" s="77">
        <v>4.4999999999999997E-3</v>
      </c>
      <c r="G63" s="78">
        <v>15000000</v>
      </c>
      <c r="H63" s="79"/>
      <c r="I63" s="79"/>
      <c r="J63" s="79"/>
      <c r="K63" s="80">
        <v>1.7600000000000001E-2</v>
      </c>
      <c r="L63" s="80"/>
      <c r="M63" s="75" t="s">
        <v>143</v>
      </c>
      <c r="N63" s="75" t="b">
        <v>1</v>
      </c>
      <c r="O63" s="75" t="s">
        <v>144</v>
      </c>
      <c r="P63" s="75">
        <v>1994</v>
      </c>
      <c r="Q63" s="75">
        <v>2015</v>
      </c>
      <c r="R63" s="75">
        <v>1</v>
      </c>
      <c r="S63" s="81"/>
      <c r="T63" s="82"/>
      <c r="U63" s="83"/>
    </row>
    <row r="64" spans="1:21" s="84" customFormat="1" x14ac:dyDescent="0.3">
      <c r="A64" s="68">
        <v>39153</v>
      </c>
      <c r="B64" s="69">
        <f t="shared" si="1"/>
        <v>20070312</v>
      </c>
      <c r="C64" s="70">
        <v>4.1100000000000005E-2</v>
      </c>
      <c r="D64" s="77">
        <v>0</v>
      </c>
      <c r="E64" s="77"/>
      <c r="F64" s="77">
        <v>4.4999999999999997E-3</v>
      </c>
      <c r="G64" s="78">
        <v>15000000</v>
      </c>
      <c r="H64" s="79"/>
      <c r="I64" s="79"/>
      <c r="J64" s="79"/>
      <c r="K64" s="80">
        <v>1.7500000000000002E-2</v>
      </c>
      <c r="L64" s="80"/>
      <c r="M64" s="75" t="s">
        <v>143</v>
      </c>
      <c r="N64" s="75" t="b">
        <v>1</v>
      </c>
      <c r="O64" s="75" t="s">
        <v>144</v>
      </c>
      <c r="P64" s="75">
        <v>1994</v>
      </c>
      <c r="Q64" s="75">
        <v>2015</v>
      </c>
      <c r="R64" s="75">
        <v>1</v>
      </c>
      <c r="S64" s="81"/>
      <c r="T64" s="82"/>
      <c r="U64" s="83"/>
    </row>
    <row r="65" spans="1:21" s="84" customFormat="1" x14ac:dyDescent="0.3">
      <c r="A65" s="68">
        <v>39154</v>
      </c>
      <c r="B65" s="69">
        <f t="shared" si="1"/>
        <v>20070313</v>
      </c>
      <c r="C65" s="70">
        <v>4.0800000000000003E-2</v>
      </c>
      <c r="D65" s="77">
        <v>0</v>
      </c>
      <c r="E65" s="77"/>
      <c r="F65" s="77">
        <v>4.4999999999999997E-3</v>
      </c>
      <c r="G65" s="78">
        <v>15000000</v>
      </c>
      <c r="H65" s="79"/>
      <c r="I65" s="79"/>
      <c r="J65" s="79"/>
      <c r="K65" s="80">
        <v>1.7299999999999999E-2</v>
      </c>
      <c r="L65" s="80"/>
      <c r="M65" s="75" t="s">
        <v>143</v>
      </c>
      <c r="N65" s="75" t="b">
        <v>1</v>
      </c>
      <c r="O65" s="75" t="s">
        <v>144</v>
      </c>
      <c r="P65" s="75">
        <v>1994</v>
      </c>
      <c r="Q65" s="75">
        <v>2015</v>
      </c>
      <c r="R65" s="75">
        <v>1</v>
      </c>
      <c r="S65" s="81"/>
      <c r="T65" s="82"/>
      <c r="U65" s="83"/>
    </row>
    <row r="66" spans="1:21" s="84" customFormat="1" x14ac:dyDescent="0.3">
      <c r="A66" s="68">
        <v>39155</v>
      </c>
      <c r="B66" s="69">
        <f t="shared" si="1"/>
        <v>20070314</v>
      </c>
      <c r="C66" s="70">
        <v>4.1200000000000001E-2</v>
      </c>
      <c r="D66" s="77">
        <v>0</v>
      </c>
      <c r="E66" s="77"/>
      <c r="F66" s="77">
        <v>4.4999999999999997E-3</v>
      </c>
      <c r="G66" s="78">
        <v>15000000</v>
      </c>
      <c r="H66" s="79"/>
      <c r="I66" s="79"/>
      <c r="J66" s="79"/>
      <c r="K66" s="80">
        <v>1.7500000000000002E-2</v>
      </c>
      <c r="L66" s="80"/>
      <c r="M66" s="75" t="s">
        <v>143</v>
      </c>
      <c r="N66" s="75" t="b">
        <v>1</v>
      </c>
      <c r="O66" s="75" t="s">
        <v>144</v>
      </c>
      <c r="P66" s="75">
        <v>1994</v>
      </c>
      <c r="Q66" s="75">
        <v>2015</v>
      </c>
      <c r="R66" s="75">
        <v>1</v>
      </c>
      <c r="S66" s="81"/>
      <c r="T66" s="82"/>
      <c r="U66" s="83"/>
    </row>
    <row r="67" spans="1:21" s="84" customFormat="1" x14ac:dyDescent="0.3">
      <c r="A67" s="68">
        <v>39156</v>
      </c>
      <c r="B67" s="69">
        <f t="shared" si="1"/>
        <v>20070315</v>
      </c>
      <c r="C67" s="70">
        <v>4.1200000000000001E-2</v>
      </c>
      <c r="D67" s="77">
        <v>0</v>
      </c>
      <c r="E67" s="77"/>
      <c r="F67" s="77">
        <v>4.4999999999999997E-3</v>
      </c>
      <c r="G67" s="78">
        <v>15000000</v>
      </c>
      <c r="H67" s="79"/>
      <c r="I67" s="79"/>
      <c r="J67" s="79"/>
      <c r="K67" s="80">
        <v>1.7399999999999999E-2</v>
      </c>
      <c r="L67" s="80"/>
      <c r="M67" s="75" t="s">
        <v>143</v>
      </c>
      <c r="N67" s="75" t="b">
        <v>1</v>
      </c>
      <c r="O67" s="75" t="s">
        <v>144</v>
      </c>
      <c r="P67" s="75">
        <v>1994</v>
      </c>
      <c r="Q67" s="75">
        <v>2015</v>
      </c>
      <c r="R67" s="75">
        <v>1</v>
      </c>
      <c r="S67" s="81"/>
      <c r="T67" s="82"/>
      <c r="U67" s="83"/>
    </row>
    <row r="68" spans="1:21" s="84" customFormat="1" x14ac:dyDescent="0.3">
      <c r="A68" s="68">
        <v>39157</v>
      </c>
      <c r="B68" s="69">
        <f t="shared" si="1"/>
        <v>20070316</v>
      </c>
      <c r="C68" s="70">
        <v>4.1299999999999996E-2</v>
      </c>
      <c r="D68" s="77">
        <v>0</v>
      </c>
      <c r="E68" s="77"/>
      <c r="F68" s="77">
        <v>4.4999999999999997E-3</v>
      </c>
      <c r="G68" s="78">
        <v>15000000</v>
      </c>
      <c r="H68" s="79"/>
      <c r="I68" s="79"/>
      <c r="J68" s="79"/>
      <c r="K68" s="80">
        <v>1.7399999999999999E-2</v>
      </c>
      <c r="L68" s="80"/>
      <c r="M68" s="75" t="s">
        <v>143</v>
      </c>
      <c r="N68" s="75" t="b">
        <v>1</v>
      </c>
      <c r="O68" s="75" t="s">
        <v>144</v>
      </c>
      <c r="P68" s="75">
        <v>1994</v>
      </c>
      <c r="Q68" s="75">
        <v>2015</v>
      </c>
      <c r="R68" s="75">
        <v>1</v>
      </c>
      <c r="S68" s="81"/>
      <c r="T68" s="82"/>
      <c r="U68" s="83"/>
    </row>
    <row r="69" spans="1:21" s="84" customFormat="1" x14ac:dyDescent="0.3">
      <c r="A69" s="68">
        <v>39160</v>
      </c>
      <c r="B69" s="69">
        <f t="shared" si="1"/>
        <v>20070319</v>
      </c>
      <c r="C69" s="70">
        <v>4.1500000000000002E-2</v>
      </c>
      <c r="D69" s="77">
        <v>0</v>
      </c>
      <c r="E69" s="77"/>
      <c r="F69" s="77">
        <v>4.4999999999999997E-3</v>
      </c>
      <c r="G69" s="78">
        <v>15000000</v>
      </c>
      <c r="H69" s="79"/>
      <c r="I69" s="79"/>
      <c r="J69" s="79"/>
      <c r="K69" s="80">
        <v>1.7600000000000001E-2</v>
      </c>
      <c r="L69" s="80"/>
      <c r="M69" s="75" t="s">
        <v>143</v>
      </c>
      <c r="N69" s="75" t="b">
        <v>1</v>
      </c>
      <c r="O69" s="75" t="s">
        <v>144</v>
      </c>
      <c r="P69" s="75">
        <v>1994</v>
      </c>
      <c r="Q69" s="75">
        <v>2015</v>
      </c>
      <c r="R69" s="75">
        <v>1</v>
      </c>
      <c r="S69" s="81"/>
      <c r="T69" s="82"/>
      <c r="U69" s="83"/>
    </row>
    <row r="70" spans="1:21" s="84" customFormat="1" x14ac:dyDescent="0.3">
      <c r="A70" s="68">
        <v>39161</v>
      </c>
      <c r="B70" s="69">
        <f t="shared" si="1"/>
        <v>20070320</v>
      </c>
      <c r="C70" s="70">
        <v>4.1700000000000001E-2</v>
      </c>
      <c r="D70" s="77">
        <v>0</v>
      </c>
      <c r="E70" s="77"/>
      <c r="F70" s="77">
        <v>4.4999999999999997E-3</v>
      </c>
      <c r="G70" s="78">
        <v>15000000</v>
      </c>
      <c r="H70" s="79"/>
      <c r="I70" s="79"/>
      <c r="J70" s="79"/>
      <c r="K70" s="80">
        <v>1.77E-2</v>
      </c>
      <c r="L70" s="80"/>
      <c r="M70" s="75" t="s">
        <v>143</v>
      </c>
      <c r="N70" s="75" t="b">
        <v>1</v>
      </c>
      <c r="O70" s="75" t="s">
        <v>144</v>
      </c>
      <c r="P70" s="75">
        <v>1994</v>
      </c>
      <c r="Q70" s="75">
        <v>2015</v>
      </c>
      <c r="R70" s="75">
        <v>1</v>
      </c>
      <c r="S70" s="81"/>
      <c r="T70" s="82"/>
      <c r="U70" s="83"/>
    </row>
    <row r="71" spans="1:21" s="84" customFormat="1" x14ac:dyDescent="0.3">
      <c r="A71" s="68">
        <v>39162</v>
      </c>
      <c r="B71" s="69">
        <f t="shared" si="1"/>
        <v>20070321</v>
      </c>
      <c r="C71" s="70">
        <v>4.1799999999999997E-2</v>
      </c>
      <c r="D71" s="77">
        <v>0</v>
      </c>
      <c r="E71" s="77"/>
      <c r="F71" s="77">
        <v>4.4999999999999997E-3</v>
      </c>
      <c r="G71" s="78">
        <v>15000000</v>
      </c>
      <c r="H71" s="79"/>
      <c r="I71" s="79"/>
      <c r="J71" s="79"/>
      <c r="K71" s="80">
        <v>1.7600000000000001E-2</v>
      </c>
      <c r="L71" s="80"/>
      <c r="M71" s="75" t="s">
        <v>143</v>
      </c>
      <c r="N71" s="75" t="b">
        <v>1</v>
      </c>
      <c r="O71" s="75" t="s">
        <v>144</v>
      </c>
      <c r="P71" s="75">
        <v>1994</v>
      </c>
      <c r="Q71" s="75">
        <v>2015</v>
      </c>
      <c r="R71" s="75">
        <v>1</v>
      </c>
      <c r="S71" s="81"/>
      <c r="T71" s="82"/>
      <c r="U71" s="83"/>
    </row>
    <row r="72" spans="1:21" s="84" customFormat="1" x14ac:dyDescent="0.3">
      <c r="A72" s="68">
        <v>39163</v>
      </c>
      <c r="B72" s="69">
        <f t="shared" si="1"/>
        <v>20070322</v>
      </c>
      <c r="C72" s="70">
        <v>4.2099999999999999E-2</v>
      </c>
      <c r="D72" s="77">
        <v>0</v>
      </c>
      <c r="E72" s="77"/>
      <c r="F72" s="77">
        <v>4.4999999999999997E-3</v>
      </c>
      <c r="G72" s="78">
        <v>15000000</v>
      </c>
      <c r="H72" s="79"/>
      <c r="I72" s="79"/>
      <c r="J72" s="79"/>
      <c r="K72" s="80">
        <v>1.77E-2</v>
      </c>
      <c r="L72" s="80"/>
      <c r="M72" s="75" t="s">
        <v>143</v>
      </c>
      <c r="N72" s="75" t="b">
        <v>1</v>
      </c>
      <c r="O72" s="75" t="s">
        <v>144</v>
      </c>
      <c r="P72" s="75">
        <v>1994</v>
      </c>
      <c r="Q72" s="75">
        <v>2015</v>
      </c>
      <c r="R72" s="75">
        <v>1</v>
      </c>
      <c r="S72" s="81"/>
      <c r="T72" s="82"/>
      <c r="U72" s="83"/>
    </row>
    <row r="73" spans="1:21" s="84" customFormat="1" x14ac:dyDescent="0.3">
      <c r="A73" s="68">
        <v>39164</v>
      </c>
      <c r="B73" s="69">
        <f t="shared" si="1"/>
        <v>20070323</v>
      </c>
      <c r="C73" s="70">
        <v>4.2099999999999999E-2</v>
      </c>
      <c r="D73" s="77">
        <v>0</v>
      </c>
      <c r="E73" s="77"/>
      <c r="F73" s="77">
        <v>4.4999999999999997E-3</v>
      </c>
      <c r="G73" s="78">
        <v>15000000</v>
      </c>
      <c r="H73" s="79"/>
      <c r="I73" s="79"/>
      <c r="J73" s="79"/>
      <c r="K73" s="80">
        <v>1.7600000000000001E-2</v>
      </c>
      <c r="L73" s="80"/>
      <c r="M73" s="75" t="s">
        <v>143</v>
      </c>
      <c r="N73" s="75" t="b">
        <v>1</v>
      </c>
      <c r="O73" s="75" t="s">
        <v>144</v>
      </c>
      <c r="P73" s="75">
        <v>1994</v>
      </c>
      <c r="Q73" s="75">
        <v>2015</v>
      </c>
      <c r="R73" s="75">
        <v>1</v>
      </c>
      <c r="S73" s="81"/>
      <c r="T73" s="82"/>
      <c r="U73" s="83"/>
    </row>
    <row r="74" spans="1:21" s="84" customFormat="1" x14ac:dyDescent="0.3">
      <c r="A74" s="68">
        <v>39167</v>
      </c>
      <c r="B74" s="69">
        <f t="shared" ref="B74:B137" si="2">YEAR(A74)*10000+MONTH(A74)*100+DAY(A74)</f>
        <v>20070326</v>
      </c>
      <c r="C74" s="70">
        <v>4.2099999999999999E-2</v>
      </c>
      <c r="D74" s="77">
        <v>0</v>
      </c>
      <c r="E74" s="77"/>
      <c r="F74" s="77">
        <v>4.4999999999999997E-3</v>
      </c>
      <c r="G74" s="78">
        <v>15000000</v>
      </c>
      <c r="H74" s="79"/>
      <c r="I74" s="79"/>
      <c r="J74" s="79"/>
      <c r="K74" s="80">
        <v>1.7600000000000001E-2</v>
      </c>
      <c r="L74" s="80"/>
      <c r="M74" s="75" t="s">
        <v>143</v>
      </c>
      <c r="N74" s="75" t="b">
        <v>1</v>
      </c>
      <c r="O74" s="75" t="s">
        <v>144</v>
      </c>
      <c r="P74" s="75">
        <v>1994</v>
      </c>
      <c r="Q74" s="75">
        <v>2015</v>
      </c>
      <c r="R74" s="75">
        <v>1</v>
      </c>
      <c r="S74" s="81"/>
      <c r="T74" s="82"/>
      <c r="U74" s="83"/>
    </row>
    <row r="75" spans="1:21" s="84" customFormat="1" x14ac:dyDescent="0.3">
      <c r="A75" s="68">
        <v>39168</v>
      </c>
      <c r="B75" s="69">
        <f t="shared" si="2"/>
        <v>20070327</v>
      </c>
      <c r="C75" s="70">
        <v>4.2000000000000003E-2</v>
      </c>
      <c r="D75" s="77">
        <v>0</v>
      </c>
      <c r="E75" s="77"/>
      <c r="F75" s="77">
        <v>4.4999999999999997E-3</v>
      </c>
      <c r="G75" s="78">
        <v>15000000</v>
      </c>
      <c r="H75" s="79"/>
      <c r="I75" s="79"/>
      <c r="J75" s="79"/>
      <c r="K75" s="80">
        <v>1.7600000000000001E-2</v>
      </c>
      <c r="L75" s="80"/>
      <c r="M75" s="75" t="s">
        <v>143</v>
      </c>
      <c r="N75" s="75" t="b">
        <v>1</v>
      </c>
      <c r="O75" s="75" t="s">
        <v>144</v>
      </c>
      <c r="P75" s="75">
        <v>1994</v>
      </c>
      <c r="Q75" s="75">
        <v>2015</v>
      </c>
      <c r="R75" s="75">
        <v>1</v>
      </c>
      <c r="S75" s="81"/>
      <c r="T75" s="82"/>
      <c r="U75" s="83"/>
    </row>
    <row r="76" spans="1:21" s="84" customFormat="1" x14ac:dyDescent="0.3">
      <c r="A76" s="68">
        <v>39169</v>
      </c>
      <c r="B76" s="69">
        <f t="shared" si="2"/>
        <v>20070328</v>
      </c>
      <c r="C76" s="70">
        <v>4.2099999999999999E-2</v>
      </c>
      <c r="D76" s="77">
        <v>0</v>
      </c>
      <c r="E76" s="77"/>
      <c r="F76" s="77">
        <v>4.4999999999999997E-3</v>
      </c>
      <c r="G76" s="78">
        <v>15000000</v>
      </c>
      <c r="H76" s="79"/>
      <c r="I76" s="79"/>
      <c r="J76" s="79"/>
      <c r="K76" s="80">
        <v>1.77E-2</v>
      </c>
      <c r="L76" s="80"/>
      <c r="M76" s="75" t="s">
        <v>143</v>
      </c>
      <c r="N76" s="75" t="b">
        <v>1</v>
      </c>
      <c r="O76" s="75" t="s">
        <v>144</v>
      </c>
      <c r="P76" s="75">
        <v>1994</v>
      </c>
      <c r="Q76" s="75">
        <v>2015</v>
      </c>
      <c r="R76" s="75">
        <v>1</v>
      </c>
      <c r="S76" s="81"/>
      <c r="T76" s="82"/>
      <c r="U76" s="83"/>
    </row>
    <row r="77" spans="1:21" s="84" customFormat="1" x14ac:dyDescent="0.3">
      <c r="A77" s="68">
        <v>39170</v>
      </c>
      <c r="B77" s="69">
        <f t="shared" si="2"/>
        <v>20070329</v>
      </c>
      <c r="C77" s="70">
        <v>4.2099999999999999E-2</v>
      </c>
      <c r="D77" s="77">
        <v>0</v>
      </c>
      <c r="E77" s="77"/>
      <c r="F77" s="77">
        <v>4.4999999999999997E-3</v>
      </c>
      <c r="G77" s="78">
        <v>15000000</v>
      </c>
      <c r="H77" s="79"/>
      <c r="I77" s="79"/>
      <c r="J77" s="79"/>
      <c r="K77" s="80">
        <v>1.78E-2</v>
      </c>
      <c r="L77" s="80"/>
      <c r="M77" s="75" t="s">
        <v>143</v>
      </c>
      <c r="N77" s="75" t="b">
        <v>1</v>
      </c>
      <c r="O77" s="75" t="s">
        <v>144</v>
      </c>
      <c r="P77" s="75">
        <v>1994</v>
      </c>
      <c r="Q77" s="75">
        <v>2015</v>
      </c>
      <c r="R77" s="75">
        <v>1</v>
      </c>
      <c r="S77" s="81"/>
      <c r="T77" s="82"/>
      <c r="U77" s="83"/>
    </row>
    <row r="78" spans="1:21" s="84" customFormat="1" x14ac:dyDescent="0.3">
      <c r="A78" s="68">
        <v>39171</v>
      </c>
      <c r="B78" s="69">
        <f t="shared" si="2"/>
        <v>20070330</v>
      </c>
      <c r="C78" s="70">
        <v>4.2000000000000003E-2</v>
      </c>
      <c r="D78" s="77">
        <v>0</v>
      </c>
      <c r="E78" s="77"/>
      <c r="F78" s="77">
        <v>4.4999999999999997E-3</v>
      </c>
      <c r="G78" s="78">
        <v>15000000</v>
      </c>
      <c r="H78" s="79"/>
      <c r="I78" s="79"/>
      <c r="J78" s="79"/>
      <c r="K78" s="80">
        <v>1.7600000000000001E-2</v>
      </c>
      <c r="L78" s="80"/>
      <c r="M78" s="75" t="s">
        <v>143</v>
      </c>
      <c r="N78" s="75" t="b">
        <v>1</v>
      </c>
      <c r="O78" s="75" t="s">
        <v>144</v>
      </c>
      <c r="P78" s="75">
        <v>1994</v>
      </c>
      <c r="Q78" s="75">
        <v>2015</v>
      </c>
      <c r="R78" s="75">
        <v>1</v>
      </c>
      <c r="S78" s="81"/>
      <c r="T78" s="82"/>
      <c r="U78" s="83"/>
    </row>
    <row r="79" spans="1:21" s="84" customFormat="1" x14ac:dyDescent="0.3">
      <c r="A79" s="68">
        <v>39174</v>
      </c>
      <c r="B79" s="69">
        <f t="shared" si="2"/>
        <v>20070402</v>
      </c>
      <c r="C79" s="70">
        <v>4.2099999999999999E-2</v>
      </c>
      <c r="D79" s="77">
        <v>0</v>
      </c>
      <c r="E79" s="77"/>
      <c r="F79" s="77">
        <v>4.4999999999999997E-3</v>
      </c>
      <c r="G79" s="78">
        <v>15000000</v>
      </c>
      <c r="H79" s="79"/>
      <c r="I79" s="79"/>
      <c r="J79" s="79"/>
      <c r="K79" s="80">
        <v>1.7500000000000002E-2</v>
      </c>
      <c r="L79" s="80"/>
      <c r="M79" s="75" t="s">
        <v>143</v>
      </c>
      <c r="N79" s="75" t="b">
        <v>1</v>
      </c>
      <c r="O79" s="75" t="s">
        <v>144</v>
      </c>
      <c r="P79" s="75">
        <v>1994</v>
      </c>
      <c r="Q79" s="75">
        <v>2015</v>
      </c>
      <c r="R79" s="75">
        <v>1</v>
      </c>
      <c r="S79" s="81"/>
      <c r="T79" s="82"/>
      <c r="U79" s="83"/>
    </row>
    <row r="80" spans="1:21" s="84" customFormat="1" x14ac:dyDescent="0.3">
      <c r="A80" s="68">
        <v>39175</v>
      </c>
      <c r="B80" s="69">
        <f t="shared" si="2"/>
        <v>20070403</v>
      </c>
      <c r="C80" s="70">
        <v>4.2300000000000004E-2</v>
      </c>
      <c r="D80" s="77">
        <v>0</v>
      </c>
      <c r="E80" s="77"/>
      <c r="F80" s="77">
        <v>4.4999999999999997E-3</v>
      </c>
      <c r="G80" s="78">
        <v>15000000</v>
      </c>
      <c r="H80" s="79"/>
      <c r="I80" s="79"/>
      <c r="J80" s="79"/>
      <c r="K80" s="80">
        <v>1.77E-2</v>
      </c>
      <c r="L80" s="80"/>
      <c r="M80" s="75" t="s">
        <v>143</v>
      </c>
      <c r="N80" s="75" t="b">
        <v>1</v>
      </c>
      <c r="O80" s="75" t="s">
        <v>144</v>
      </c>
      <c r="P80" s="75">
        <v>1994</v>
      </c>
      <c r="Q80" s="75">
        <v>2015</v>
      </c>
      <c r="R80" s="75">
        <v>1</v>
      </c>
      <c r="S80" s="81"/>
      <c r="T80" s="82"/>
      <c r="U80" s="83"/>
    </row>
    <row r="81" spans="1:21" s="84" customFormat="1" x14ac:dyDescent="0.3">
      <c r="A81" s="68">
        <v>39176</v>
      </c>
      <c r="B81" s="69">
        <f t="shared" si="2"/>
        <v>20070404</v>
      </c>
      <c r="C81" s="70">
        <v>4.2000000000000003E-2</v>
      </c>
      <c r="D81" s="77">
        <v>0</v>
      </c>
      <c r="E81" s="77"/>
      <c r="F81" s="77">
        <v>4.4999999999999997E-3</v>
      </c>
      <c r="G81" s="78">
        <v>15000000</v>
      </c>
      <c r="H81" s="79"/>
      <c r="I81" s="79"/>
      <c r="J81" s="79"/>
      <c r="K81" s="80">
        <v>1.7600000000000001E-2</v>
      </c>
      <c r="L81" s="80"/>
      <c r="M81" s="75" t="s">
        <v>143</v>
      </c>
      <c r="N81" s="75" t="b">
        <v>1</v>
      </c>
      <c r="O81" s="75" t="s">
        <v>144</v>
      </c>
      <c r="P81" s="75">
        <v>1994</v>
      </c>
      <c r="Q81" s="75">
        <v>2015</v>
      </c>
      <c r="R81" s="75">
        <v>1</v>
      </c>
      <c r="S81" s="81"/>
      <c r="T81" s="82"/>
      <c r="U81" s="83"/>
    </row>
    <row r="82" spans="1:21" s="84" customFormat="1" x14ac:dyDescent="0.3">
      <c r="A82" s="68">
        <v>39177</v>
      </c>
      <c r="B82" s="69">
        <f t="shared" si="2"/>
        <v>20070405</v>
      </c>
      <c r="C82" s="70">
        <v>4.2099999999999999E-2</v>
      </c>
      <c r="D82" s="77">
        <v>0</v>
      </c>
      <c r="E82" s="77"/>
      <c r="F82" s="77">
        <v>4.4999999999999997E-3</v>
      </c>
      <c r="G82" s="78">
        <v>15000000</v>
      </c>
      <c r="H82" s="79"/>
      <c r="I82" s="79"/>
      <c r="J82" s="79"/>
      <c r="K82" s="80">
        <v>1.7600000000000001E-2</v>
      </c>
      <c r="L82" s="80"/>
      <c r="M82" s="75" t="s">
        <v>143</v>
      </c>
      <c r="N82" s="75" t="b">
        <v>1</v>
      </c>
      <c r="O82" s="75" t="s">
        <v>144</v>
      </c>
      <c r="P82" s="75">
        <v>1994</v>
      </c>
      <c r="Q82" s="75">
        <v>2015</v>
      </c>
      <c r="R82" s="75">
        <v>1</v>
      </c>
      <c r="S82" s="81"/>
      <c r="T82" s="82"/>
      <c r="U82" s="83"/>
    </row>
    <row r="83" spans="1:21" s="84" customFormat="1" x14ac:dyDescent="0.3">
      <c r="A83" s="68">
        <v>39181</v>
      </c>
      <c r="B83" s="69">
        <f t="shared" si="2"/>
        <v>20070409</v>
      </c>
      <c r="C83" s="70">
        <v>4.2500000000000003E-2</v>
      </c>
      <c r="D83" s="77">
        <v>0</v>
      </c>
      <c r="E83" s="77"/>
      <c r="F83" s="77">
        <v>4.4999999999999997E-3</v>
      </c>
      <c r="G83" s="78">
        <v>15000000</v>
      </c>
      <c r="H83" s="79"/>
      <c r="I83" s="79"/>
      <c r="J83" s="79"/>
      <c r="K83" s="80">
        <v>1.7899999999999999E-2</v>
      </c>
      <c r="L83" s="80"/>
      <c r="M83" s="75" t="s">
        <v>143</v>
      </c>
      <c r="N83" s="75" t="b">
        <v>1</v>
      </c>
      <c r="O83" s="75" t="s">
        <v>144</v>
      </c>
      <c r="P83" s="75">
        <v>1994</v>
      </c>
      <c r="Q83" s="75">
        <v>2015</v>
      </c>
      <c r="R83" s="75">
        <v>1</v>
      </c>
      <c r="S83" s="81"/>
      <c r="T83" s="82"/>
      <c r="U83" s="83"/>
    </row>
    <row r="84" spans="1:21" s="84" customFormat="1" x14ac:dyDescent="0.3">
      <c r="A84" s="68">
        <v>39182</v>
      </c>
      <c r="B84" s="69">
        <f t="shared" si="2"/>
        <v>20070410</v>
      </c>
      <c r="C84" s="70">
        <v>4.2300000000000004E-2</v>
      </c>
      <c r="D84" s="77">
        <v>0</v>
      </c>
      <c r="E84" s="77"/>
      <c r="F84" s="77">
        <v>4.4999999999999997E-3</v>
      </c>
      <c r="G84" s="78">
        <v>15000000</v>
      </c>
      <c r="H84" s="79"/>
      <c r="I84" s="79"/>
      <c r="J84" s="79"/>
      <c r="K84" s="80">
        <v>1.77E-2</v>
      </c>
      <c r="L84" s="80"/>
      <c r="M84" s="75" t="s">
        <v>143</v>
      </c>
      <c r="N84" s="75" t="b">
        <v>1</v>
      </c>
      <c r="O84" s="75" t="s">
        <v>144</v>
      </c>
      <c r="P84" s="75">
        <v>1994</v>
      </c>
      <c r="Q84" s="75">
        <v>2015</v>
      </c>
      <c r="R84" s="75">
        <v>1</v>
      </c>
      <c r="S84" s="81"/>
      <c r="T84" s="82"/>
      <c r="U84" s="83"/>
    </row>
    <row r="85" spans="1:21" s="84" customFormat="1" x14ac:dyDescent="0.3">
      <c r="A85" s="68">
        <v>39183</v>
      </c>
      <c r="B85" s="69">
        <f t="shared" si="2"/>
        <v>20070411</v>
      </c>
      <c r="C85" s="70">
        <v>4.24E-2</v>
      </c>
      <c r="D85" s="77">
        <v>0</v>
      </c>
      <c r="E85" s="77"/>
      <c r="F85" s="77">
        <v>4.4999999999999997E-3</v>
      </c>
      <c r="G85" s="78">
        <v>15000000</v>
      </c>
      <c r="H85" s="79"/>
      <c r="I85" s="79"/>
      <c r="J85" s="79"/>
      <c r="K85" s="80">
        <v>1.77E-2</v>
      </c>
      <c r="L85" s="80"/>
      <c r="M85" s="75" t="s">
        <v>143</v>
      </c>
      <c r="N85" s="75" t="b">
        <v>1</v>
      </c>
      <c r="O85" s="75" t="s">
        <v>144</v>
      </c>
      <c r="P85" s="75">
        <v>1994</v>
      </c>
      <c r="Q85" s="75">
        <v>2015</v>
      </c>
      <c r="R85" s="75">
        <v>1</v>
      </c>
      <c r="S85" s="81"/>
      <c r="T85" s="82"/>
      <c r="U85" s="83"/>
    </row>
    <row r="86" spans="1:21" s="84" customFormat="1" x14ac:dyDescent="0.3">
      <c r="A86" s="68">
        <v>39184</v>
      </c>
      <c r="B86" s="69">
        <f t="shared" si="2"/>
        <v>20070412</v>
      </c>
      <c r="C86" s="70">
        <v>4.2500000000000003E-2</v>
      </c>
      <c r="D86" s="77">
        <v>0</v>
      </c>
      <c r="E86" s="77"/>
      <c r="F86" s="77">
        <v>4.4999999999999997E-3</v>
      </c>
      <c r="G86" s="78">
        <v>15000000</v>
      </c>
      <c r="H86" s="79"/>
      <c r="I86" s="79"/>
      <c r="J86" s="79"/>
      <c r="K86" s="80">
        <v>1.78E-2</v>
      </c>
      <c r="L86" s="80"/>
      <c r="M86" s="75" t="s">
        <v>143</v>
      </c>
      <c r="N86" s="75" t="b">
        <v>1</v>
      </c>
      <c r="O86" s="75" t="s">
        <v>144</v>
      </c>
      <c r="P86" s="75">
        <v>1994</v>
      </c>
      <c r="Q86" s="75">
        <v>2015</v>
      </c>
      <c r="R86" s="75">
        <v>1</v>
      </c>
      <c r="S86" s="81"/>
      <c r="T86" s="82"/>
      <c r="U86" s="83"/>
    </row>
    <row r="87" spans="1:21" s="84" customFormat="1" x14ac:dyDescent="0.3">
      <c r="A87" s="68">
        <v>39185</v>
      </c>
      <c r="B87" s="69">
        <f t="shared" si="2"/>
        <v>20070413</v>
      </c>
      <c r="C87" s="70">
        <v>4.2699999999999995E-2</v>
      </c>
      <c r="D87" s="77">
        <v>0</v>
      </c>
      <c r="E87" s="77"/>
      <c r="F87" s="77">
        <v>4.4999999999999997E-3</v>
      </c>
      <c r="G87" s="78">
        <v>15000000</v>
      </c>
      <c r="H87" s="79"/>
      <c r="I87" s="79"/>
      <c r="J87" s="79"/>
      <c r="K87" s="80">
        <v>1.8000000000000002E-2</v>
      </c>
      <c r="L87" s="80"/>
      <c r="M87" s="75" t="s">
        <v>143</v>
      </c>
      <c r="N87" s="75" t="b">
        <v>1</v>
      </c>
      <c r="O87" s="75" t="s">
        <v>144</v>
      </c>
      <c r="P87" s="75">
        <v>1994</v>
      </c>
      <c r="Q87" s="75">
        <v>2015</v>
      </c>
      <c r="R87" s="75">
        <v>1</v>
      </c>
      <c r="S87" s="81"/>
      <c r="T87" s="82"/>
      <c r="U87" s="83"/>
    </row>
    <row r="88" spans="1:21" s="84" customFormat="1" x14ac:dyDescent="0.3">
      <c r="A88" s="68">
        <v>39188</v>
      </c>
      <c r="B88" s="69">
        <f t="shared" si="2"/>
        <v>20070416</v>
      </c>
      <c r="C88" s="70">
        <v>4.2699999999999995E-2</v>
      </c>
      <c r="D88" s="77">
        <v>0</v>
      </c>
      <c r="E88" s="77"/>
      <c r="F88" s="77">
        <v>4.4999999999999997E-3</v>
      </c>
      <c r="G88" s="78">
        <v>15000000</v>
      </c>
      <c r="H88" s="79"/>
      <c r="I88" s="79"/>
      <c r="J88" s="79"/>
      <c r="K88" s="80">
        <v>1.8000000000000002E-2</v>
      </c>
      <c r="L88" s="80"/>
      <c r="M88" s="75" t="s">
        <v>143</v>
      </c>
      <c r="N88" s="75" t="b">
        <v>1</v>
      </c>
      <c r="O88" s="75" t="s">
        <v>144</v>
      </c>
      <c r="P88" s="75">
        <v>1994</v>
      </c>
      <c r="Q88" s="75">
        <v>2015</v>
      </c>
      <c r="R88" s="75">
        <v>1</v>
      </c>
      <c r="S88" s="81"/>
      <c r="T88" s="82"/>
      <c r="U88" s="83"/>
    </row>
    <row r="89" spans="1:21" s="84" customFormat="1" x14ac:dyDescent="0.3">
      <c r="A89" s="68">
        <v>39189</v>
      </c>
      <c r="B89" s="69">
        <f t="shared" si="2"/>
        <v>20070417</v>
      </c>
      <c r="C89" s="70">
        <v>4.2300000000000004E-2</v>
      </c>
      <c r="D89" s="77">
        <v>0</v>
      </c>
      <c r="E89" s="77"/>
      <c r="F89" s="77">
        <v>4.4999999999999997E-3</v>
      </c>
      <c r="G89" s="78">
        <v>15000000</v>
      </c>
      <c r="H89" s="79"/>
      <c r="I89" s="79"/>
      <c r="J89" s="79"/>
      <c r="K89" s="80">
        <v>1.77E-2</v>
      </c>
      <c r="L89" s="80"/>
      <c r="M89" s="75" t="s">
        <v>143</v>
      </c>
      <c r="N89" s="75" t="b">
        <v>1</v>
      </c>
      <c r="O89" s="75" t="s">
        <v>144</v>
      </c>
      <c r="P89" s="75">
        <v>1994</v>
      </c>
      <c r="Q89" s="75">
        <v>2015</v>
      </c>
      <c r="R89" s="75">
        <v>1</v>
      </c>
      <c r="S89" s="81"/>
      <c r="T89" s="82"/>
      <c r="U89" s="83"/>
    </row>
    <row r="90" spans="1:21" s="84" customFormat="1" x14ac:dyDescent="0.3">
      <c r="A90" s="68">
        <v>39190</v>
      </c>
      <c r="B90" s="69">
        <f t="shared" si="2"/>
        <v>20070418</v>
      </c>
      <c r="C90" s="70">
        <v>4.24E-2</v>
      </c>
      <c r="D90" s="77">
        <v>0</v>
      </c>
      <c r="E90" s="77"/>
      <c r="F90" s="77">
        <v>4.4999999999999997E-3</v>
      </c>
      <c r="G90" s="78">
        <v>15000000</v>
      </c>
      <c r="H90" s="79"/>
      <c r="I90" s="79"/>
      <c r="J90" s="79"/>
      <c r="K90" s="80">
        <v>1.77E-2</v>
      </c>
      <c r="L90" s="80"/>
      <c r="M90" s="75" t="s">
        <v>143</v>
      </c>
      <c r="N90" s="75" t="b">
        <v>1</v>
      </c>
      <c r="O90" s="75" t="s">
        <v>144</v>
      </c>
      <c r="P90" s="75">
        <v>1994</v>
      </c>
      <c r="Q90" s="75">
        <v>2015</v>
      </c>
      <c r="R90" s="75">
        <v>1</v>
      </c>
      <c r="S90" s="81"/>
      <c r="T90" s="82"/>
      <c r="U90" s="83"/>
    </row>
    <row r="91" spans="1:21" s="84" customFormat="1" x14ac:dyDescent="0.3">
      <c r="A91" s="68">
        <v>39191</v>
      </c>
      <c r="B91" s="69">
        <f t="shared" si="2"/>
        <v>20070419</v>
      </c>
      <c r="C91" s="70">
        <v>4.24E-2</v>
      </c>
      <c r="D91" s="77">
        <v>0</v>
      </c>
      <c r="E91" s="77"/>
      <c r="F91" s="77">
        <v>4.4999999999999997E-3</v>
      </c>
      <c r="G91" s="78">
        <v>15000000</v>
      </c>
      <c r="H91" s="79"/>
      <c r="I91" s="79"/>
      <c r="J91" s="79"/>
      <c r="K91" s="80">
        <v>1.77E-2</v>
      </c>
      <c r="L91" s="80"/>
      <c r="M91" s="75" t="s">
        <v>143</v>
      </c>
      <c r="N91" s="75" t="b">
        <v>1</v>
      </c>
      <c r="O91" s="75" t="s">
        <v>144</v>
      </c>
      <c r="P91" s="75">
        <v>1994</v>
      </c>
      <c r="Q91" s="75">
        <v>2015</v>
      </c>
      <c r="R91" s="75">
        <v>1</v>
      </c>
      <c r="S91" s="81"/>
      <c r="T91" s="82"/>
      <c r="U91" s="83"/>
    </row>
    <row r="92" spans="1:21" s="84" customFormat="1" x14ac:dyDescent="0.3">
      <c r="A92" s="68">
        <v>39192</v>
      </c>
      <c r="B92" s="69">
        <f t="shared" si="2"/>
        <v>20070420</v>
      </c>
      <c r="C92" s="70">
        <v>4.2699999999999995E-2</v>
      </c>
      <c r="D92" s="77">
        <v>0</v>
      </c>
      <c r="E92" s="77"/>
      <c r="F92" s="77">
        <v>4.4999999999999997E-3</v>
      </c>
      <c r="G92" s="78">
        <v>15000000</v>
      </c>
      <c r="H92" s="79"/>
      <c r="I92" s="79"/>
      <c r="J92" s="79"/>
      <c r="K92" s="80">
        <v>1.78E-2</v>
      </c>
      <c r="L92" s="80"/>
      <c r="M92" s="75" t="s">
        <v>143</v>
      </c>
      <c r="N92" s="75" t="b">
        <v>1</v>
      </c>
      <c r="O92" s="75" t="s">
        <v>144</v>
      </c>
      <c r="P92" s="75">
        <v>1994</v>
      </c>
      <c r="Q92" s="75">
        <v>2015</v>
      </c>
      <c r="R92" s="75">
        <v>1</v>
      </c>
      <c r="S92" s="81"/>
      <c r="T92" s="82"/>
      <c r="U92" s="83"/>
    </row>
    <row r="93" spans="1:21" s="84" customFormat="1" x14ac:dyDescent="0.3">
      <c r="A93" s="68">
        <v>39195</v>
      </c>
      <c r="B93" s="69">
        <f t="shared" si="2"/>
        <v>20070423</v>
      </c>
      <c r="C93" s="70">
        <v>4.2300000000000004E-2</v>
      </c>
      <c r="D93" s="77">
        <v>0</v>
      </c>
      <c r="E93" s="77"/>
      <c r="F93" s="77">
        <v>4.4999999999999997E-3</v>
      </c>
      <c r="G93" s="78">
        <v>15000000</v>
      </c>
      <c r="H93" s="79"/>
      <c r="I93" s="79"/>
      <c r="J93" s="79"/>
      <c r="K93" s="80">
        <v>1.77E-2</v>
      </c>
      <c r="L93" s="80"/>
      <c r="M93" s="75" t="s">
        <v>143</v>
      </c>
      <c r="N93" s="75" t="b">
        <v>1</v>
      </c>
      <c r="O93" s="75" t="s">
        <v>144</v>
      </c>
      <c r="P93" s="75">
        <v>1994</v>
      </c>
      <c r="Q93" s="75">
        <v>2015</v>
      </c>
      <c r="R93" s="75">
        <v>1</v>
      </c>
      <c r="S93" s="81"/>
      <c r="T93" s="82"/>
      <c r="U93" s="83"/>
    </row>
    <row r="94" spans="1:21" s="84" customFormat="1" x14ac:dyDescent="0.3">
      <c r="A94" s="68">
        <v>39196</v>
      </c>
      <c r="B94" s="69">
        <f t="shared" si="2"/>
        <v>20070424</v>
      </c>
      <c r="C94" s="70">
        <v>4.2099999999999999E-2</v>
      </c>
      <c r="D94" s="77">
        <v>0</v>
      </c>
      <c r="E94" s="77"/>
      <c r="F94" s="77">
        <v>4.4999999999999997E-3</v>
      </c>
      <c r="G94" s="78">
        <v>15000000</v>
      </c>
      <c r="H94" s="79"/>
      <c r="I94" s="79"/>
      <c r="J94" s="79"/>
      <c r="K94" s="80">
        <v>1.7500000000000002E-2</v>
      </c>
      <c r="L94" s="80"/>
      <c r="M94" s="75" t="s">
        <v>143</v>
      </c>
      <c r="N94" s="75" t="b">
        <v>1</v>
      </c>
      <c r="O94" s="75" t="s">
        <v>144</v>
      </c>
      <c r="P94" s="75">
        <v>1994</v>
      </c>
      <c r="Q94" s="75">
        <v>2015</v>
      </c>
      <c r="R94" s="75">
        <v>1</v>
      </c>
      <c r="S94" s="81"/>
      <c r="T94" s="82"/>
      <c r="U94" s="83"/>
    </row>
    <row r="95" spans="1:21" s="84" customFormat="1" x14ac:dyDescent="0.3">
      <c r="A95" s="68">
        <v>39197</v>
      </c>
      <c r="B95" s="69">
        <f t="shared" si="2"/>
        <v>20070425</v>
      </c>
      <c r="C95" s="70">
        <v>4.2099999999999999E-2</v>
      </c>
      <c r="D95" s="77">
        <v>0</v>
      </c>
      <c r="E95" s="77"/>
      <c r="F95" s="77">
        <v>4.4999999999999997E-3</v>
      </c>
      <c r="G95" s="78">
        <v>15000000</v>
      </c>
      <c r="H95" s="79"/>
      <c r="I95" s="79"/>
      <c r="J95" s="79"/>
      <c r="K95" s="80">
        <v>1.7600000000000001E-2</v>
      </c>
      <c r="L95" s="80"/>
      <c r="M95" s="75" t="s">
        <v>143</v>
      </c>
      <c r="N95" s="75" t="b">
        <v>1</v>
      </c>
      <c r="O95" s="75" t="s">
        <v>144</v>
      </c>
      <c r="P95" s="75">
        <v>1994</v>
      </c>
      <c r="Q95" s="75">
        <v>2015</v>
      </c>
      <c r="R95" s="75">
        <v>1</v>
      </c>
      <c r="S95" s="81"/>
      <c r="T95" s="82"/>
      <c r="U95" s="83"/>
    </row>
    <row r="96" spans="1:21" s="84" customFormat="1" x14ac:dyDescent="0.3">
      <c r="A96" s="68">
        <v>39198</v>
      </c>
      <c r="B96" s="69">
        <f t="shared" si="2"/>
        <v>20070426</v>
      </c>
      <c r="C96" s="70">
        <v>4.2500000000000003E-2</v>
      </c>
      <c r="D96" s="77">
        <v>0</v>
      </c>
      <c r="E96" s="77"/>
      <c r="F96" s="77">
        <v>4.4999999999999997E-3</v>
      </c>
      <c r="G96" s="78">
        <v>15000000</v>
      </c>
      <c r="H96" s="79"/>
      <c r="I96" s="79"/>
      <c r="J96" s="79"/>
      <c r="K96" s="80">
        <v>1.78E-2</v>
      </c>
      <c r="L96" s="80"/>
      <c r="M96" s="75" t="s">
        <v>143</v>
      </c>
      <c r="N96" s="75" t="b">
        <v>1</v>
      </c>
      <c r="O96" s="75" t="s">
        <v>144</v>
      </c>
      <c r="P96" s="75">
        <v>1994</v>
      </c>
      <c r="Q96" s="75">
        <v>2015</v>
      </c>
      <c r="R96" s="75">
        <v>1</v>
      </c>
      <c r="S96" s="81"/>
      <c r="T96" s="82"/>
      <c r="U96" s="83"/>
    </row>
    <row r="97" spans="1:21" s="84" customFormat="1" x14ac:dyDescent="0.3">
      <c r="A97" s="68">
        <v>39199</v>
      </c>
      <c r="B97" s="69">
        <f t="shared" si="2"/>
        <v>20070427</v>
      </c>
      <c r="C97" s="70">
        <v>4.2800000000000005E-2</v>
      </c>
      <c r="D97" s="77">
        <v>0</v>
      </c>
      <c r="E97" s="77"/>
      <c r="F97" s="77">
        <v>4.4999999999999997E-3</v>
      </c>
      <c r="G97" s="78">
        <v>15000000</v>
      </c>
      <c r="H97" s="79"/>
      <c r="I97" s="79"/>
      <c r="J97" s="79"/>
      <c r="K97" s="80">
        <v>1.8200000000000001E-2</v>
      </c>
      <c r="L97" s="80"/>
      <c r="M97" s="75" t="s">
        <v>143</v>
      </c>
      <c r="N97" s="75" t="b">
        <v>1</v>
      </c>
      <c r="O97" s="75" t="s">
        <v>144</v>
      </c>
      <c r="P97" s="75">
        <v>1994</v>
      </c>
      <c r="Q97" s="75">
        <v>2015</v>
      </c>
      <c r="R97" s="75">
        <v>1</v>
      </c>
      <c r="S97" s="81"/>
      <c r="T97" s="82"/>
      <c r="U97" s="83"/>
    </row>
    <row r="98" spans="1:21" s="84" customFormat="1" x14ac:dyDescent="0.3">
      <c r="A98" s="68">
        <v>39202</v>
      </c>
      <c r="B98" s="69">
        <f t="shared" si="2"/>
        <v>20070430</v>
      </c>
      <c r="C98" s="70">
        <v>4.2000000000000003E-2</v>
      </c>
      <c r="D98" s="77">
        <v>0</v>
      </c>
      <c r="E98" s="77"/>
      <c r="F98" s="77">
        <v>4.4999999999999997E-3</v>
      </c>
      <c r="G98" s="78">
        <v>15000000</v>
      </c>
      <c r="H98" s="79"/>
      <c r="I98" s="79"/>
      <c r="J98" s="79"/>
      <c r="K98" s="80">
        <v>1.7600000000000001E-2</v>
      </c>
      <c r="L98" s="80"/>
      <c r="M98" s="75" t="s">
        <v>143</v>
      </c>
      <c r="N98" s="75" t="b">
        <v>1</v>
      </c>
      <c r="O98" s="75" t="s">
        <v>144</v>
      </c>
      <c r="P98" s="75">
        <v>1994</v>
      </c>
      <c r="Q98" s="75">
        <v>2015</v>
      </c>
      <c r="R98" s="75">
        <v>1</v>
      </c>
      <c r="S98" s="81"/>
      <c r="T98" s="82"/>
      <c r="U98" s="83"/>
    </row>
    <row r="99" spans="1:21" s="84" customFormat="1" x14ac:dyDescent="0.3">
      <c r="A99" s="68">
        <v>39203</v>
      </c>
      <c r="B99" s="69">
        <f t="shared" si="2"/>
        <v>20070501</v>
      </c>
      <c r="C99" s="70">
        <v>4.2099999999999999E-2</v>
      </c>
      <c r="D99" s="77">
        <v>0</v>
      </c>
      <c r="E99" s="77"/>
      <c r="F99" s="77">
        <v>4.4999999999999997E-3</v>
      </c>
      <c r="G99" s="78">
        <v>15000000</v>
      </c>
      <c r="H99" s="79"/>
      <c r="I99" s="79"/>
      <c r="J99" s="79"/>
      <c r="K99" s="80">
        <v>1.77E-2</v>
      </c>
      <c r="L99" s="80"/>
      <c r="M99" s="75" t="s">
        <v>143</v>
      </c>
      <c r="N99" s="75" t="b">
        <v>1</v>
      </c>
      <c r="O99" s="75" t="s">
        <v>144</v>
      </c>
      <c r="P99" s="75">
        <v>1994</v>
      </c>
      <c r="Q99" s="75">
        <v>2015</v>
      </c>
      <c r="R99" s="75">
        <v>1</v>
      </c>
      <c r="S99" s="81"/>
      <c r="T99" s="82"/>
      <c r="U99" s="83"/>
    </row>
    <row r="100" spans="1:21" s="84" customFormat="1" x14ac:dyDescent="0.3">
      <c r="A100" s="68">
        <v>39204</v>
      </c>
      <c r="B100" s="69">
        <f t="shared" si="2"/>
        <v>20070502</v>
      </c>
      <c r="C100" s="70">
        <v>4.24E-2</v>
      </c>
      <c r="D100" s="77">
        <v>0</v>
      </c>
      <c r="E100" s="77"/>
      <c r="F100" s="77">
        <v>4.4999999999999997E-3</v>
      </c>
      <c r="G100" s="78">
        <v>15000000</v>
      </c>
      <c r="H100" s="79"/>
      <c r="I100" s="79"/>
      <c r="J100" s="79"/>
      <c r="K100" s="80">
        <v>1.7899999999999999E-2</v>
      </c>
      <c r="L100" s="80"/>
      <c r="M100" s="75" t="s">
        <v>143</v>
      </c>
      <c r="N100" s="75" t="b">
        <v>1</v>
      </c>
      <c r="O100" s="75" t="s">
        <v>144</v>
      </c>
      <c r="P100" s="75">
        <v>1994</v>
      </c>
      <c r="Q100" s="75">
        <v>2015</v>
      </c>
      <c r="R100" s="75">
        <v>1</v>
      </c>
      <c r="S100" s="81"/>
      <c r="T100" s="82"/>
      <c r="U100" s="83"/>
    </row>
    <row r="101" spans="1:21" s="84" customFormat="1" x14ac:dyDescent="0.3">
      <c r="A101" s="68">
        <v>39205</v>
      </c>
      <c r="B101" s="69">
        <f t="shared" si="2"/>
        <v>20070503</v>
      </c>
      <c r="C101" s="70">
        <v>4.2699999999999995E-2</v>
      </c>
      <c r="D101" s="77">
        <v>0</v>
      </c>
      <c r="E101" s="77"/>
      <c r="F101" s="77">
        <v>4.4999999999999997E-3</v>
      </c>
      <c r="G101" s="78">
        <v>15000000</v>
      </c>
      <c r="H101" s="79"/>
      <c r="I101" s="79"/>
      <c r="J101" s="79"/>
      <c r="K101" s="80">
        <v>1.8200000000000001E-2</v>
      </c>
      <c r="L101" s="80"/>
      <c r="M101" s="75" t="s">
        <v>143</v>
      </c>
      <c r="N101" s="75" t="b">
        <v>1</v>
      </c>
      <c r="O101" s="75" t="s">
        <v>144</v>
      </c>
      <c r="P101" s="75">
        <v>1994</v>
      </c>
      <c r="Q101" s="75">
        <v>2015</v>
      </c>
      <c r="R101" s="75">
        <v>1</v>
      </c>
      <c r="S101" s="81"/>
      <c r="T101" s="82"/>
      <c r="U101" s="83"/>
    </row>
    <row r="102" spans="1:21" s="84" customFormat="1" x14ac:dyDescent="0.3">
      <c r="A102" s="68">
        <v>39206</v>
      </c>
      <c r="B102" s="69">
        <f t="shared" si="2"/>
        <v>20070504</v>
      </c>
      <c r="C102" s="70">
        <v>4.2500000000000003E-2</v>
      </c>
      <c r="D102" s="77">
        <v>0</v>
      </c>
      <c r="E102" s="77"/>
      <c r="F102" s="77">
        <v>4.4999999999999997E-3</v>
      </c>
      <c r="G102" s="78">
        <v>15000000</v>
      </c>
      <c r="H102" s="79"/>
      <c r="I102" s="79"/>
      <c r="J102" s="79"/>
      <c r="K102" s="80">
        <v>1.8100000000000002E-2</v>
      </c>
      <c r="L102" s="80"/>
      <c r="M102" s="75" t="s">
        <v>143</v>
      </c>
      <c r="N102" s="75" t="b">
        <v>1</v>
      </c>
      <c r="O102" s="75" t="s">
        <v>144</v>
      </c>
      <c r="P102" s="75">
        <v>1994</v>
      </c>
      <c r="Q102" s="75">
        <v>2015</v>
      </c>
      <c r="R102" s="75">
        <v>1</v>
      </c>
      <c r="S102" s="81"/>
      <c r="T102" s="82"/>
      <c r="U102" s="83"/>
    </row>
    <row r="103" spans="1:21" s="84" customFormat="1" x14ac:dyDescent="0.3">
      <c r="A103" s="68">
        <v>39209</v>
      </c>
      <c r="B103" s="69">
        <f t="shared" si="2"/>
        <v>20070507</v>
      </c>
      <c r="C103" s="70">
        <v>4.2300000000000004E-2</v>
      </c>
      <c r="D103" s="77">
        <v>0</v>
      </c>
      <c r="E103" s="77"/>
      <c r="F103" s="77">
        <v>4.4999999999999997E-3</v>
      </c>
      <c r="G103" s="78">
        <v>15000000</v>
      </c>
      <c r="H103" s="79"/>
      <c r="I103" s="79"/>
      <c r="J103" s="79"/>
      <c r="K103" s="80">
        <v>1.8200000000000001E-2</v>
      </c>
      <c r="L103" s="80"/>
      <c r="M103" s="75" t="s">
        <v>143</v>
      </c>
      <c r="N103" s="75" t="b">
        <v>1</v>
      </c>
      <c r="O103" s="75" t="s">
        <v>144</v>
      </c>
      <c r="P103" s="75">
        <v>1994</v>
      </c>
      <c r="Q103" s="75">
        <v>2015</v>
      </c>
      <c r="R103" s="75">
        <v>1</v>
      </c>
      <c r="S103" s="81"/>
      <c r="T103" s="82"/>
      <c r="U103" s="83"/>
    </row>
    <row r="104" spans="1:21" s="84" customFormat="1" x14ac:dyDescent="0.3">
      <c r="A104" s="68">
        <v>39210</v>
      </c>
      <c r="B104" s="69">
        <f t="shared" si="2"/>
        <v>20070508</v>
      </c>
      <c r="C104" s="70">
        <v>4.2199999999999994E-2</v>
      </c>
      <c r="D104" s="77">
        <v>0</v>
      </c>
      <c r="E104" s="77"/>
      <c r="F104" s="77">
        <v>4.4999999999999997E-3</v>
      </c>
      <c r="G104" s="78">
        <v>15000000</v>
      </c>
      <c r="H104" s="79"/>
      <c r="I104" s="79"/>
      <c r="J104" s="79"/>
      <c r="K104" s="80">
        <v>1.8200000000000001E-2</v>
      </c>
      <c r="L104" s="80"/>
      <c r="M104" s="75" t="s">
        <v>143</v>
      </c>
      <c r="N104" s="75" t="b">
        <v>1</v>
      </c>
      <c r="O104" s="75" t="s">
        <v>144</v>
      </c>
      <c r="P104" s="75">
        <v>1994</v>
      </c>
      <c r="Q104" s="75">
        <v>2015</v>
      </c>
      <c r="R104" s="75">
        <v>1</v>
      </c>
      <c r="S104" s="81"/>
      <c r="T104" s="82"/>
      <c r="U104" s="83"/>
    </row>
    <row r="105" spans="1:21" s="84" customFormat="1" x14ac:dyDescent="0.3">
      <c r="A105" s="68">
        <v>39211</v>
      </c>
      <c r="B105" s="69">
        <f t="shared" si="2"/>
        <v>20070509</v>
      </c>
      <c r="C105" s="70">
        <v>4.2300000000000004E-2</v>
      </c>
      <c r="D105" s="77">
        <v>0</v>
      </c>
      <c r="E105" s="77"/>
      <c r="F105" s="77">
        <v>4.4999999999999997E-3</v>
      </c>
      <c r="G105" s="78">
        <v>15000000</v>
      </c>
      <c r="H105" s="79"/>
      <c r="I105" s="79"/>
      <c r="J105" s="79"/>
      <c r="K105" s="80">
        <v>1.83E-2</v>
      </c>
      <c r="L105" s="80"/>
      <c r="M105" s="75" t="s">
        <v>143</v>
      </c>
      <c r="N105" s="75" t="b">
        <v>1</v>
      </c>
      <c r="O105" s="75" t="s">
        <v>144</v>
      </c>
      <c r="P105" s="75">
        <v>1994</v>
      </c>
      <c r="Q105" s="75">
        <v>2015</v>
      </c>
      <c r="R105" s="75">
        <v>1</v>
      </c>
      <c r="S105" s="81"/>
      <c r="T105" s="82"/>
      <c r="U105" s="83"/>
    </row>
    <row r="106" spans="1:21" s="84" customFormat="1" x14ac:dyDescent="0.3">
      <c r="A106" s="68">
        <v>39212</v>
      </c>
      <c r="B106" s="69">
        <f t="shared" si="2"/>
        <v>20070510</v>
      </c>
      <c r="C106" s="70">
        <v>4.2199999999999994E-2</v>
      </c>
      <c r="D106" s="77">
        <v>0</v>
      </c>
      <c r="E106" s="77"/>
      <c r="F106" s="77">
        <v>4.4999999999999997E-3</v>
      </c>
      <c r="G106" s="78">
        <v>15000000</v>
      </c>
      <c r="H106" s="79"/>
      <c r="I106" s="79"/>
      <c r="J106" s="79"/>
      <c r="K106" s="80">
        <v>1.84E-2</v>
      </c>
      <c r="L106" s="80"/>
      <c r="M106" s="75" t="s">
        <v>143</v>
      </c>
      <c r="N106" s="75" t="b">
        <v>1</v>
      </c>
      <c r="O106" s="75" t="s">
        <v>144</v>
      </c>
      <c r="P106" s="75">
        <v>1994</v>
      </c>
      <c r="Q106" s="75">
        <v>2015</v>
      </c>
      <c r="R106" s="75">
        <v>1</v>
      </c>
      <c r="S106" s="81"/>
      <c r="T106" s="82"/>
      <c r="U106" s="83"/>
    </row>
    <row r="107" spans="1:21" s="84" customFormat="1" x14ac:dyDescent="0.3">
      <c r="A107" s="68">
        <v>39213</v>
      </c>
      <c r="B107" s="69">
        <f t="shared" si="2"/>
        <v>20070511</v>
      </c>
      <c r="C107" s="70">
        <v>4.2199999999999994E-2</v>
      </c>
      <c r="D107" s="77">
        <v>0</v>
      </c>
      <c r="E107" s="77"/>
      <c r="F107" s="77">
        <v>4.4999999999999997E-3</v>
      </c>
      <c r="G107" s="78">
        <v>15000000</v>
      </c>
      <c r="H107" s="79"/>
      <c r="I107" s="79"/>
      <c r="J107" s="79"/>
      <c r="K107" s="80">
        <v>1.8500000000000003E-2</v>
      </c>
      <c r="L107" s="80"/>
      <c r="M107" s="75" t="s">
        <v>143</v>
      </c>
      <c r="N107" s="75" t="b">
        <v>1</v>
      </c>
      <c r="O107" s="75" t="s">
        <v>144</v>
      </c>
      <c r="P107" s="75">
        <v>1994</v>
      </c>
      <c r="Q107" s="75">
        <v>2015</v>
      </c>
      <c r="R107" s="75">
        <v>1</v>
      </c>
      <c r="S107" s="81"/>
      <c r="T107" s="82"/>
      <c r="U107" s="83"/>
    </row>
    <row r="108" spans="1:21" s="84" customFormat="1" x14ac:dyDescent="0.3">
      <c r="A108" s="68">
        <v>39216</v>
      </c>
      <c r="B108" s="69">
        <f t="shared" si="2"/>
        <v>20070514</v>
      </c>
      <c r="C108" s="70">
        <v>4.2599999999999999E-2</v>
      </c>
      <c r="D108" s="77">
        <v>0</v>
      </c>
      <c r="E108" s="77"/>
      <c r="F108" s="77">
        <v>4.4999999999999997E-3</v>
      </c>
      <c r="G108" s="78">
        <v>15000000</v>
      </c>
      <c r="H108" s="79"/>
      <c r="I108" s="79"/>
      <c r="J108" s="79"/>
      <c r="K108" s="80">
        <v>1.8700000000000001E-2</v>
      </c>
      <c r="L108" s="80"/>
      <c r="M108" s="75" t="s">
        <v>143</v>
      </c>
      <c r="N108" s="75" t="b">
        <v>1</v>
      </c>
      <c r="O108" s="75" t="s">
        <v>144</v>
      </c>
      <c r="P108" s="75">
        <v>1994</v>
      </c>
      <c r="Q108" s="75">
        <v>2015</v>
      </c>
      <c r="R108" s="75">
        <v>1</v>
      </c>
      <c r="S108" s="81"/>
      <c r="T108" s="82"/>
      <c r="U108" s="83"/>
    </row>
    <row r="109" spans="1:21" s="84" customFormat="1" x14ac:dyDescent="0.3">
      <c r="A109" s="68">
        <v>39217</v>
      </c>
      <c r="B109" s="69">
        <f t="shared" si="2"/>
        <v>20070515</v>
      </c>
      <c r="C109" s="70">
        <v>4.2599999999999999E-2</v>
      </c>
      <c r="D109" s="77">
        <v>0</v>
      </c>
      <c r="E109" s="77"/>
      <c r="F109" s="77">
        <v>4.4999999999999997E-3</v>
      </c>
      <c r="G109" s="78">
        <v>15000000</v>
      </c>
      <c r="H109" s="79"/>
      <c r="I109" s="79"/>
      <c r="J109" s="79"/>
      <c r="K109" s="80">
        <v>1.9099999999999999E-2</v>
      </c>
      <c r="L109" s="80"/>
      <c r="M109" s="75" t="s">
        <v>143</v>
      </c>
      <c r="N109" s="75" t="b">
        <v>1</v>
      </c>
      <c r="O109" s="75" t="s">
        <v>144</v>
      </c>
      <c r="P109" s="75">
        <v>1994</v>
      </c>
      <c r="Q109" s="75">
        <v>2015</v>
      </c>
      <c r="R109" s="75">
        <v>1</v>
      </c>
      <c r="S109" s="81"/>
      <c r="T109" s="82"/>
      <c r="U109" s="83"/>
    </row>
    <row r="110" spans="1:21" s="84" customFormat="1" x14ac:dyDescent="0.3">
      <c r="A110" s="68">
        <v>39218</v>
      </c>
      <c r="B110" s="69">
        <f t="shared" si="2"/>
        <v>20070516</v>
      </c>
      <c r="C110" s="70">
        <v>4.2500000000000003E-2</v>
      </c>
      <c r="D110" s="77">
        <v>0</v>
      </c>
      <c r="E110" s="77"/>
      <c r="F110" s="77">
        <v>4.4999999999999997E-3</v>
      </c>
      <c r="G110" s="78">
        <v>15000000</v>
      </c>
      <c r="H110" s="79"/>
      <c r="I110" s="79"/>
      <c r="J110" s="79"/>
      <c r="K110" s="80">
        <v>1.9E-2</v>
      </c>
      <c r="L110" s="80"/>
      <c r="M110" s="75" t="s">
        <v>143</v>
      </c>
      <c r="N110" s="75" t="b">
        <v>1</v>
      </c>
      <c r="O110" s="75" t="s">
        <v>144</v>
      </c>
      <c r="P110" s="75">
        <v>1994</v>
      </c>
      <c r="Q110" s="75">
        <v>2015</v>
      </c>
      <c r="R110" s="75">
        <v>1</v>
      </c>
      <c r="S110" s="81"/>
      <c r="T110" s="82"/>
      <c r="U110" s="83"/>
    </row>
    <row r="111" spans="1:21" s="84" customFormat="1" x14ac:dyDescent="0.3">
      <c r="A111" s="68">
        <v>39219</v>
      </c>
      <c r="B111" s="69">
        <f t="shared" si="2"/>
        <v>20070517</v>
      </c>
      <c r="C111" s="70">
        <v>4.2999999999999997E-2</v>
      </c>
      <c r="D111" s="77">
        <v>0</v>
      </c>
      <c r="E111" s="77"/>
      <c r="F111" s="77">
        <v>4.4999999999999997E-3</v>
      </c>
      <c r="G111" s="78">
        <v>15000000</v>
      </c>
      <c r="H111" s="79"/>
      <c r="I111" s="79"/>
      <c r="J111" s="79"/>
      <c r="K111" s="80">
        <v>1.9199999999999998E-2</v>
      </c>
      <c r="L111" s="80"/>
      <c r="M111" s="75" t="s">
        <v>143</v>
      </c>
      <c r="N111" s="75" t="b">
        <v>1</v>
      </c>
      <c r="O111" s="75" t="s">
        <v>144</v>
      </c>
      <c r="P111" s="75">
        <v>1994</v>
      </c>
      <c r="Q111" s="75">
        <v>2015</v>
      </c>
      <c r="R111" s="75">
        <v>1</v>
      </c>
      <c r="S111" s="81"/>
      <c r="T111" s="82"/>
      <c r="U111" s="83"/>
    </row>
    <row r="112" spans="1:21" s="84" customFormat="1" x14ac:dyDescent="0.3">
      <c r="A112" s="68">
        <v>39220</v>
      </c>
      <c r="B112" s="69">
        <f t="shared" si="2"/>
        <v>20070518</v>
      </c>
      <c r="C112" s="70">
        <v>4.3099999999999999E-2</v>
      </c>
      <c r="D112" s="77">
        <v>0</v>
      </c>
      <c r="E112" s="77"/>
      <c r="F112" s="77">
        <v>4.4999999999999997E-3</v>
      </c>
      <c r="G112" s="78">
        <v>15000000</v>
      </c>
      <c r="H112" s="79"/>
      <c r="I112" s="79"/>
      <c r="J112" s="79"/>
      <c r="K112" s="80">
        <v>1.9099999999999999E-2</v>
      </c>
      <c r="L112" s="80"/>
      <c r="M112" s="75" t="s">
        <v>143</v>
      </c>
      <c r="N112" s="75" t="b">
        <v>1</v>
      </c>
      <c r="O112" s="75" t="s">
        <v>144</v>
      </c>
      <c r="P112" s="75">
        <v>1994</v>
      </c>
      <c r="Q112" s="75">
        <v>2015</v>
      </c>
      <c r="R112" s="75">
        <v>1</v>
      </c>
      <c r="S112" s="81"/>
      <c r="T112" s="82"/>
      <c r="U112" s="83"/>
    </row>
    <row r="113" spans="1:21" s="84" customFormat="1" x14ac:dyDescent="0.3">
      <c r="A113" s="68">
        <v>39224</v>
      </c>
      <c r="B113" s="69">
        <f t="shared" si="2"/>
        <v>20070522</v>
      </c>
      <c r="C113" s="70">
        <v>4.3299999999999998E-2</v>
      </c>
      <c r="D113" s="77">
        <v>0</v>
      </c>
      <c r="E113" s="77"/>
      <c r="F113" s="77">
        <v>4.4999999999999997E-3</v>
      </c>
      <c r="G113" s="78">
        <v>15000000</v>
      </c>
      <c r="H113" s="79"/>
      <c r="I113" s="79"/>
      <c r="J113" s="79"/>
      <c r="K113" s="80">
        <v>1.9400000000000001E-2</v>
      </c>
      <c r="L113" s="80"/>
      <c r="M113" s="75" t="s">
        <v>143</v>
      </c>
      <c r="N113" s="75" t="b">
        <v>1</v>
      </c>
      <c r="O113" s="75" t="s">
        <v>144</v>
      </c>
      <c r="P113" s="75">
        <v>1994</v>
      </c>
      <c r="Q113" s="75">
        <v>2015</v>
      </c>
      <c r="R113" s="75">
        <v>1</v>
      </c>
      <c r="S113" s="81"/>
      <c r="T113" s="82"/>
      <c r="U113" s="83"/>
    </row>
    <row r="114" spans="1:21" s="84" customFormat="1" x14ac:dyDescent="0.3">
      <c r="A114" s="68">
        <v>39225</v>
      </c>
      <c r="B114" s="69">
        <f t="shared" si="2"/>
        <v>20070523</v>
      </c>
      <c r="C114" s="70">
        <v>4.3700000000000003E-2</v>
      </c>
      <c r="D114" s="77">
        <v>0</v>
      </c>
      <c r="E114" s="77"/>
      <c r="F114" s="77">
        <v>4.4999999999999997E-3</v>
      </c>
      <c r="G114" s="78">
        <v>15000000</v>
      </c>
      <c r="H114" s="79"/>
      <c r="I114" s="79"/>
      <c r="J114" s="79"/>
      <c r="K114" s="80">
        <v>1.9900000000000001E-2</v>
      </c>
      <c r="L114" s="80"/>
      <c r="M114" s="75" t="s">
        <v>143</v>
      </c>
      <c r="N114" s="75" t="b">
        <v>1</v>
      </c>
      <c r="O114" s="75" t="s">
        <v>144</v>
      </c>
      <c r="P114" s="75">
        <v>1994</v>
      </c>
      <c r="Q114" s="75">
        <v>2015</v>
      </c>
      <c r="R114" s="75">
        <v>1</v>
      </c>
      <c r="S114" s="81"/>
      <c r="T114" s="82"/>
      <c r="U114" s="83"/>
    </row>
    <row r="115" spans="1:21" s="84" customFormat="1" x14ac:dyDescent="0.3">
      <c r="A115" s="68">
        <v>39226</v>
      </c>
      <c r="B115" s="69">
        <f t="shared" si="2"/>
        <v>20070524</v>
      </c>
      <c r="C115" s="70">
        <v>4.3799999999999999E-2</v>
      </c>
      <c r="D115" s="77">
        <v>0</v>
      </c>
      <c r="E115" s="77"/>
      <c r="F115" s="77">
        <v>4.4999999999999997E-3</v>
      </c>
      <c r="G115" s="78">
        <v>15000000</v>
      </c>
      <c r="H115" s="79"/>
      <c r="I115" s="79"/>
      <c r="J115" s="79"/>
      <c r="K115" s="80">
        <v>2.0099999999999996E-2</v>
      </c>
      <c r="L115" s="80"/>
      <c r="M115" s="75" t="s">
        <v>143</v>
      </c>
      <c r="N115" s="75" t="b">
        <v>1</v>
      </c>
      <c r="O115" s="75" t="s">
        <v>144</v>
      </c>
      <c r="P115" s="75">
        <v>1994</v>
      </c>
      <c r="Q115" s="75">
        <v>2015</v>
      </c>
      <c r="R115" s="75">
        <v>1</v>
      </c>
      <c r="S115" s="81"/>
      <c r="T115" s="82"/>
      <c r="U115" s="83"/>
    </row>
    <row r="116" spans="1:21" s="84" customFormat="1" x14ac:dyDescent="0.3">
      <c r="A116" s="68">
        <v>39227</v>
      </c>
      <c r="B116" s="69">
        <f t="shared" si="2"/>
        <v>20070525</v>
      </c>
      <c r="C116" s="70">
        <v>4.4000000000000004E-2</v>
      </c>
      <c r="D116" s="77">
        <v>0</v>
      </c>
      <c r="E116" s="77"/>
      <c r="F116" s="77">
        <v>4.4999999999999997E-3</v>
      </c>
      <c r="G116" s="78">
        <v>15000000</v>
      </c>
      <c r="H116" s="79"/>
      <c r="I116" s="79"/>
      <c r="J116" s="79"/>
      <c r="K116" s="80">
        <v>0.02</v>
      </c>
      <c r="L116" s="80"/>
      <c r="M116" s="75" t="s">
        <v>143</v>
      </c>
      <c r="N116" s="75" t="b">
        <v>1</v>
      </c>
      <c r="O116" s="75" t="s">
        <v>144</v>
      </c>
      <c r="P116" s="75">
        <v>1994</v>
      </c>
      <c r="Q116" s="75">
        <v>2015</v>
      </c>
      <c r="R116" s="75">
        <v>1</v>
      </c>
      <c r="S116" s="81"/>
      <c r="T116" s="82"/>
      <c r="U116" s="83"/>
    </row>
    <row r="117" spans="1:21" s="84" customFormat="1" x14ac:dyDescent="0.3">
      <c r="A117" s="68">
        <v>39230</v>
      </c>
      <c r="B117" s="69">
        <f t="shared" si="2"/>
        <v>20070528</v>
      </c>
      <c r="C117" s="70">
        <v>4.4199999999999996E-2</v>
      </c>
      <c r="D117" s="77">
        <v>0</v>
      </c>
      <c r="E117" s="77"/>
      <c r="F117" s="77">
        <v>4.4999999999999997E-3</v>
      </c>
      <c r="G117" s="78">
        <v>15000000</v>
      </c>
      <c r="H117" s="79"/>
      <c r="I117" s="79"/>
      <c r="J117" s="79"/>
      <c r="K117" s="80">
        <v>2.0099999999999996E-2</v>
      </c>
      <c r="L117" s="80"/>
      <c r="M117" s="75" t="s">
        <v>143</v>
      </c>
      <c r="N117" s="75" t="b">
        <v>1</v>
      </c>
      <c r="O117" s="75" t="s">
        <v>144</v>
      </c>
      <c r="P117" s="75">
        <v>1994</v>
      </c>
      <c r="Q117" s="75">
        <v>2015</v>
      </c>
      <c r="R117" s="75">
        <v>1</v>
      </c>
      <c r="S117" s="81"/>
      <c r="T117" s="82"/>
      <c r="U117" s="83"/>
    </row>
    <row r="118" spans="1:21" s="84" customFormat="1" x14ac:dyDescent="0.3">
      <c r="A118" s="68">
        <v>39231</v>
      </c>
      <c r="B118" s="69">
        <f t="shared" si="2"/>
        <v>20070529</v>
      </c>
      <c r="C118" s="70">
        <v>4.4500000000000005E-2</v>
      </c>
      <c r="D118" s="77">
        <v>0</v>
      </c>
      <c r="E118" s="77"/>
      <c r="F118" s="77">
        <v>4.4999999999999997E-3</v>
      </c>
      <c r="G118" s="78">
        <v>15000000</v>
      </c>
      <c r="H118" s="79"/>
      <c r="I118" s="79"/>
      <c r="J118" s="79"/>
      <c r="K118" s="80">
        <v>2.0299999999999999E-2</v>
      </c>
      <c r="L118" s="80"/>
      <c r="M118" s="75" t="s">
        <v>143</v>
      </c>
      <c r="N118" s="75" t="b">
        <v>1</v>
      </c>
      <c r="O118" s="75" t="s">
        <v>144</v>
      </c>
      <c r="P118" s="75">
        <v>1994</v>
      </c>
      <c r="Q118" s="75">
        <v>2015</v>
      </c>
      <c r="R118" s="75">
        <v>1</v>
      </c>
      <c r="S118" s="81"/>
      <c r="T118" s="82"/>
      <c r="U118" s="83"/>
    </row>
    <row r="119" spans="1:21" s="84" customFormat="1" x14ac:dyDescent="0.3">
      <c r="A119" s="68">
        <v>39232</v>
      </c>
      <c r="B119" s="69">
        <f t="shared" si="2"/>
        <v>20070530</v>
      </c>
      <c r="C119" s="70">
        <v>4.4299999999999999E-2</v>
      </c>
      <c r="D119" s="77">
        <v>0</v>
      </c>
      <c r="E119" s="77"/>
      <c r="F119" s="77">
        <v>4.4999999999999997E-3</v>
      </c>
      <c r="G119" s="78">
        <v>15000000</v>
      </c>
      <c r="H119" s="79"/>
      <c r="I119" s="79"/>
      <c r="J119" s="79"/>
      <c r="K119" s="80">
        <v>2.0199999999999999E-2</v>
      </c>
      <c r="L119" s="80"/>
      <c r="M119" s="75" t="s">
        <v>143</v>
      </c>
      <c r="N119" s="75" t="b">
        <v>1</v>
      </c>
      <c r="O119" s="75" t="s">
        <v>144</v>
      </c>
      <c r="P119" s="75">
        <v>1994</v>
      </c>
      <c r="Q119" s="75">
        <v>2015</v>
      </c>
      <c r="R119" s="75">
        <v>1</v>
      </c>
      <c r="S119" s="81"/>
      <c r="T119" s="82"/>
      <c r="U119" s="83"/>
    </row>
    <row r="120" spans="1:21" s="84" customFormat="1" x14ac:dyDescent="0.3">
      <c r="A120" s="68">
        <v>39233</v>
      </c>
      <c r="B120" s="69">
        <f t="shared" si="2"/>
        <v>20070531</v>
      </c>
      <c r="C120" s="70">
        <v>4.4199999999999996E-2</v>
      </c>
      <c r="D120" s="77">
        <v>0</v>
      </c>
      <c r="E120" s="77"/>
      <c r="F120" s="77">
        <v>4.4999999999999997E-3</v>
      </c>
      <c r="G120" s="78">
        <v>15000000</v>
      </c>
      <c r="H120" s="79"/>
      <c r="I120" s="79"/>
      <c r="J120" s="79"/>
      <c r="K120" s="80">
        <v>1.9900000000000001E-2</v>
      </c>
      <c r="L120" s="80"/>
      <c r="M120" s="75" t="s">
        <v>143</v>
      </c>
      <c r="N120" s="75" t="b">
        <v>1</v>
      </c>
      <c r="O120" s="75" t="s">
        <v>144</v>
      </c>
      <c r="P120" s="75">
        <v>1994</v>
      </c>
      <c r="Q120" s="75">
        <v>2015</v>
      </c>
      <c r="R120" s="75">
        <v>1</v>
      </c>
      <c r="S120" s="81"/>
      <c r="T120" s="82"/>
      <c r="U120" s="83"/>
    </row>
    <row r="121" spans="1:21" s="84" customFormat="1" x14ac:dyDescent="0.3">
      <c r="A121" s="68">
        <v>39234</v>
      </c>
      <c r="B121" s="69">
        <f t="shared" si="2"/>
        <v>20070601</v>
      </c>
      <c r="C121" s="70">
        <v>4.4299999999999999E-2</v>
      </c>
      <c r="D121" s="77">
        <v>0</v>
      </c>
      <c r="E121" s="77"/>
      <c r="F121" s="77">
        <v>4.4999999999999997E-3</v>
      </c>
      <c r="G121" s="78">
        <v>15000000</v>
      </c>
      <c r="H121" s="79"/>
      <c r="I121" s="79"/>
      <c r="J121" s="79"/>
      <c r="K121" s="80">
        <v>1.9900000000000001E-2</v>
      </c>
      <c r="L121" s="80"/>
      <c r="M121" s="75" t="s">
        <v>143</v>
      </c>
      <c r="N121" s="75" t="b">
        <v>1</v>
      </c>
      <c r="O121" s="75" t="s">
        <v>144</v>
      </c>
      <c r="P121" s="75">
        <v>1994</v>
      </c>
      <c r="Q121" s="75">
        <v>2015</v>
      </c>
      <c r="R121" s="75">
        <v>1</v>
      </c>
      <c r="S121" s="81"/>
      <c r="T121" s="82"/>
      <c r="U121" s="83"/>
    </row>
    <row r="122" spans="1:21" s="84" customFormat="1" x14ac:dyDescent="0.3">
      <c r="A122" s="68">
        <v>39237</v>
      </c>
      <c r="B122" s="69">
        <f t="shared" si="2"/>
        <v>20070604</v>
      </c>
      <c r="C122" s="70">
        <v>4.3799999999999999E-2</v>
      </c>
      <c r="D122" s="77">
        <v>0</v>
      </c>
      <c r="E122" s="77"/>
      <c r="F122" s="77">
        <v>4.4999999999999997E-3</v>
      </c>
      <c r="G122" s="78">
        <v>15000000</v>
      </c>
      <c r="H122" s="79"/>
      <c r="I122" s="79"/>
      <c r="J122" s="79"/>
      <c r="K122" s="80">
        <v>1.9699999999999999E-2</v>
      </c>
      <c r="L122" s="80"/>
      <c r="M122" s="75" t="s">
        <v>143</v>
      </c>
      <c r="N122" s="75" t="b">
        <v>1</v>
      </c>
      <c r="O122" s="75" t="s">
        <v>144</v>
      </c>
      <c r="P122" s="75">
        <v>1994</v>
      </c>
      <c r="Q122" s="75">
        <v>2015</v>
      </c>
      <c r="R122" s="75">
        <v>1</v>
      </c>
      <c r="S122" s="81"/>
      <c r="T122" s="82"/>
      <c r="U122" s="83"/>
    </row>
    <row r="123" spans="1:21" s="84" customFormat="1" x14ac:dyDescent="0.3">
      <c r="A123" s="68">
        <v>39238</v>
      </c>
      <c r="B123" s="69">
        <f t="shared" si="2"/>
        <v>20070605</v>
      </c>
      <c r="C123" s="70">
        <v>4.4199999999999996E-2</v>
      </c>
      <c r="D123" s="77">
        <v>0</v>
      </c>
      <c r="E123" s="77"/>
      <c r="F123" s="77">
        <v>4.4999999999999997E-3</v>
      </c>
      <c r="G123" s="78">
        <v>15000000</v>
      </c>
      <c r="H123" s="79"/>
      <c r="I123" s="79"/>
      <c r="J123" s="79"/>
      <c r="K123" s="80">
        <v>2.0099999999999996E-2</v>
      </c>
      <c r="L123" s="80"/>
      <c r="M123" s="75" t="s">
        <v>143</v>
      </c>
      <c r="N123" s="75" t="b">
        <v>1</v>
      </c>
      <c r="O123" s="75" t="s">
        <v>144</v>
      </c>
      <c r="P123" s="75">
        <v>1994</v>
      </c>
      <c r="Q123" s="75">
        <v>2015</v>
      </c>
      <c r="R123" s="75">
        <v>1</v>
      </c>
      <c r="S123" s="81"/>
      <c r="T123" s="82"/>
      <c r="U123" s="83"/>
    </row>
    <row r="124" spans="1:21" s="84" customFormat="1" x14ac:dyDescent="0.3">
      <c r="A124" s="68">
        <v>39239</v>
      </c>
      <c r="B124" s="69">
        <f t="shared" si="2"/>
        <v>20070606</v>
      </c>
      <c r="C124" s="70">
        <v>4.4199999999999996E-2</v>
      </c>
      <c r="D124" s="77">
        <v>0</v>
      </c>
      <c r="E124" s="77"/>
      <c r="F124" s="77">
        <v>4.4999999999999997E-3</v>
      </c>
      <c r="G124" s="78">
        <v>15000000</v>
      </c>
      <c r="H124" s="79"/>
      <c r="I124" s="79"/>
      <c r="J124" s="79"/>
      <c r="K124" s="80">
        <v>2.0099999999999996E-2</v>
      </c>
      <c r="L124" s="80"/>
      <c r="M124" s="75" t="s">
        <v>143</v>
      </c>
      <c r="N124" s="75" t="b">
        <v>1</v>
      </c>
      <c r="O124" s="75" t="s">
        <v>144</v>
      </c>
      <c r="P124" s="75">
        <v>1994</v>
      </c>
      <c r="Q124" s="75">
        <v>2015</v>
      </c>
      <c r="R124" s="75">
        <v>1</v>
      </c>
      <c r="S124" s="81"/>
      <c r="T124" s="82"/>
      <c r="U124" s="83"/>
    </row>
    <row r="125" spans="1:21" s="84" customFormat="1" x14ac:dyDescent="0.3">
      <c r="A125" s="68">
        <v>39240</v>
      </c>
      <c r="B125" s="69">
        <f t="shared" si="2"/>
        <v>20070607</v>
      </c>
      <c r="C125" s="70">
        <v>4.5199999999999997E-2</v>
      </c>
      <c r="D125" s="77">
        <v>0</v>
      </c>
      <c r="E125" s="77"/>
      <c r="F125" s="77">
        <v>4.4999999999999997E-3</v>
      </c>
      <c r="G125" s="78">
        <v>15000000</v>
      </c>
      <c r="H125" s="79"/>
      <c r="I125" s="79"/>
      <c r="J125" s="79"/>
      <c r="K125" s="80">
        <v>2.1099999999999997E-2</v>
      </c>
      <c r="L125" s="80"/>
      <c r="M125" s="75" t="s">
        <v>143</v>
      </c>
      <c r="N125" s="75" t="b">
        <v>1</v>
      </c>
      <c r="O125" s="75" t="s">
        <v>144</v>
      </c>
      <c r="P125" s="75">
        <v>1994</v>
      </c>
      <c r="Q125" s="75">
        <v>2015</v>
      </c>
      <c r="R125" s="75">
        <v>1</v>
      </c>
      <c r="S125" s="81"/>
      <c r="T125" s="82"/>
      <c r="U125" s="83"/>
    </row>
    <row r="126" spans="1:21" s="84" customFormat="1" x14ac:dyDescent="0.3">
      <c r="A126" s="68">
        <v>39241</v>
      </c>
      <c r="B126" s="69">
        <f t="shared" si="2"/>
        <v>20070608</v>
      </c>
      <c r="C126" s="70">
        <v>4.5499999999999999E-2</v>
      </c>
      <c r="D126" s="77">
        <v>0</v>
      </c>
      <c r="E126" s="77"/>
      <c r="F126" s="77">
        <v>4.4999999999999997E-3</v>
      </c>
      <c r="G126" s="78">
        <v>15000000</v>
      </c>
      <c r="H126" s="79"/>
      <c r="I126" s="79"/>
      <c r="J126" s="79"/>
      <c r="K126" s="80">
        <v>2.12E-2</v>
      </c>
      <c r="L126" s="80"/>
      <c r="M126" s="75" t="s">
        <v>143</v>
      </c>
      <c r="N126" s="75" t="b">
        <v>1</v>
      </c>
      <c r="O126" s="75" t="s">
        <v>144</v>
      </c>
      <c r="P126" s="75">
        <v>1994</v>
      </c>
      <c r="Q126" s="75">
        <v>2015</v>
      </c>
      <c r="R126" s="75">
        <v>1</v>
      </c>
      <c r="S126" s="81"/>
      <c r="T126" s="82"/>
      <c r="U126" s="83"/>
    </row>
    <row r="127" spans="1:21" s="84" customFormat="1" x14ac:dyDescent="0.3">
      <c r="A127" s="68">
        <v>39244</v>
      </c>
      <c r="B127" s="69">
        <f t="shared" si="2"/>
        <v>20070611</v>
      </c>
      <c r="C127" s="70">
        <v>4.5899999999999996E-2</v>
      </c>
      <c r="D127" s="77">
        <v>0</v>
      </c>
      <c r="E127" s="77"/>
      <c r="F127" s="77">
        <v>4.4999999999999997E-3</v>
      </c>
      <c r="G127" s="78">
        <v>15000000</v>
      </c>
      <c r="H127" s="79"/>
      <c r="I127" s="79"/>
      <c r="J127" s="79"/>
      <c r="K127" s="80">
        <v>2.1600000000000001E-2</v>
      </c>
      <c r="L127" s="80"/>
      <c r="M127" s="75" t="s">
        <v>143</v>
      </c>
      <c r="N127" s="75" t="b">
        <v>1</v>
      </c>
      <c r="O127" s="75" t="s">
        <v>144</v>
      </c>
      <c r="P127" s="75">
        <v>1994</v>
      </c>
      <c r="Q127" s="75">
        <v>2015</v>
      </c>
      <c r="R127" s="75">
        <v>1</v>
      </c>
      <c r="S127" s="81"/>
      <c r="T127" s="82"/>
      <c r="U127" s="83"/>
    </row>
    <row r="128" spans="1:21" s="84" customFormat="1" x14ac:dyDescent="0.3">
      <c r="A128" s="68">
        <v>39245</v>
      </c>
      <c r="B128" s="69">
        <f t="shared" si="2"/>
        <v>20070612</v>
      </c>
      <c r="C128" s="70">
        <v>4.6799999999999994E-2</v>
      </c>
      <c r="D128" s="77">
        <v>0</v>
      </c>
      <c r="E128" s="77"/>
      <c r="F128" s="77">
        <v>4.4999999999999997E-3</v>
      </c>
      <c r="G128" s="78">
        <v>15000000</v>
      </c>
      <c r="H128" s="79"/>
      <c r="I128" s="79"/>
      <c r="J128" s="79"/>
      <c r="K128" s="80">
        <v>2.23E-2</v>
      </c>
      <c r="L128" s="80"/>
      <c r="M128" s="75" t="s">
        <v>143</v>
      </c>
      <c r="N128" s="75" t="b">
        <v>1</v>
      </c>
      <c r="O128" s="75" t="s">
        <v>144</v>
      </c>
      <c r="P128" s="75">
        <v>1994</v>
      </c>
      <c r="Q128" s="75">
        <v>2015</v>
      </c>
      <c r="R128" s="75">
        <v>1</v>
      </c>
      <c r="S128" s="81"/>
      <c r="T128" s="82"/>
      <c r="U128" s="83"/>
    </row>
    <row r="129" spans="1:21" s="84" customFormat="1" x14ac:dyDescent="0.3">
      <c r="A129" s="68">
        <v>39246</v>
      </c>
      <c r="B129" s="69">
        <f t="shared" si="2"/>
        <v>20070613</v>
      </c>
      <c r="C129" s="70">
        <v>4.6199999999999998E-2</v>
      </c>
      <c r="D129" s="77">
        <v>0</v>
      </c>
      <c r="E129" s="77"/>
      <c r="F129" s="77">
        <v>4.4999999999999997E-3</v>
      </c>
      <c r="G129" s="78">
        <v>15000000</v>
      </c>
      <c r="H129" s="79"/>
      <c r="I129" s="79"/>
      <c r="J129" s="79"/>
      <c r="K129" s="80">
        <v>2.18E-2</v>
      </c>
      <c r="L129" s="80"/>
      <c r="M129" s="75" t="s">
        <v>143</v>
      </c>
      <c r="N129" s="75" t="b">
        <v>1</v>
      </c>
      <c r="O129" s="75" t="s">
        <v>144</v>
      </c>
      <c r="P129" s="75">
        <v>1994</v>
      </c>
      <c r="Q129" s="75">
        <v>2015</v>
      </c>
      <c r="R129" s="75">
        <v>1</v>
      </c>
      <c r="S129" s="81"/>
      <c r="T129" s="82"/>
      <c r="U129" s="83"/>
    </row>
    <row r="130" spans="1:21" s="84" customFormat="1" x14ac:dyDescent="0.3">
      <c r="A130" s="68">
        <v>39247</v>
      </c>
      <c r="B130" s="69">
        <f t="shared" si="2"/>
        <v>20070614</v>
      </c>
      <c r="C130" s="70">
        <v>4.6300000000000001E-2</v>
      </c>
      <c r="D130" s="77">
        <v>0</v>
      </c>
      <c r="E130" s="77"/>
      <c r="F130" s="77">
        <v>4.4999999999999997E-3</v>
      </c>
      <c r="G130" s="78">
        <v>15000000</v>
      </c>
      <c r="H130" s="79"/>
      <c r="I130" s="79"/>
      <c r="J130" s="79"/>
      <c r="K130" s="80">
        <v>2.18E-2</v>
      </c>
      <c r="L130" s="80"/>
      <c r="M130" s="75" t="s">
        <v>143</v>
      </c>
      <c r="N130" s="75" t="b">
        <v>1</v>
      </c>
      <c r="O130" s="75" t="s">
        <v>144</v>
      </c>
      <c r="P130" s="75">
        <v>1994</v>
      </c>
      <c r="Q130" s="75">
        <v>2015</v>
      </c>
      <c r="R130" s="75">
        <v>1</v>
      </c>
      <c r="S130" s="81"/>
      <c r="T130" s="82"/>
      <c r="U130" s="83"/>
    </row>
    <row r="131" spans="1:21" s="84" customFormat="1" x14ac:dyDescent="0.3">
      <c r="A131" s="68">
        <v>39248</v>
      </c>
      <c r="B131" s="69">
        <f t="shared" si="2"/>
        <v>20070615</v>
      </c>
      <c r="C131" s="70">
        <v>4.5499999999999999E-2</v>
      </c>
      <c r="D131" s="77">
        <v>0</v>
      </c>
      <c r="E131" s="77"/>
      <c r="F131" s="77">
        <v>4.4999999999999997E-3</v>
      </c>
      <c r="G131" s="78">
        <v>15000000</v>
      </c>
      <c r="H131" s="79"/>
      <c r="I131" s="79"/>
      <c r="J131" s="79"/>
      <c r="K131" s="80">
        <v>2.1299999999999999E-2</v>
      </c>
      <c r="L131" s="80"/>
      <c r="M131" s="75" t="s">
        <v>143</v>
      </c>
      <c r="N131" s="75" t="b">
        <v>1</v>
      </c>
      <c r="O131" s="75" t="s">
        <v>144</v>
      </c>
      <c r="P131" s="75">
        <v>1994</v>
      </c>
      <c r="Q131" s="75">
        <v>2015</v>
      </c>
      <c r="R131" s="75">
        <v>1</v>
      </c>
      <c r="S131" s="81"/>
      <c r="T131" s="82"/>
      <c r="U131" s="83"/>
    </row>
    <row r="132" spans="1:21" s="84" customFormat="1" x14ac:dyDescent="0.3">
      <c r="A132" s="68">
        <v>39251</v>
      </c>
      <c r="B132" s="69">
        <f t="shared" si="2"/>
        <v>20070618</v>
      </c>
      <c r="C132" s="70">
        <v>4.58E-2</v>
      </c>
      <c r="D132" s="77">
        <v>0</v>
      </c>
      <c r="E132" s="77"/>
      <c r="F132" s="77">
        <v>4.4999999999999997E-3</v>
      </c>
      <c r="G132" s="78">
        <v>15000000</v>
      </c>
      <c r="H132" s="79"/>
      <c r="I132" s="79"/>
      <c r="J132" s="79"/>
      <c r="K132" s="80">
        <v>2.1299999999999999E-2</v>
      </c>
      <c r="L132" s="80"/>
      <c r="M132" s="75" t="s">
        <v>143</v>
      </c>
      <c r="N132" s="75" t="b">
        <v>1</v>
      </c>
      <c r="O132" s="75" t="s">
        <v>144</v>
      </c>
      <c r="P132" s="75">
        <v>1994</v>
      </c>
      <c r="Q132" s="75">
        <v>2015</v>
      </c>
      <c r="R132" s="75">
        <v>1</v>
      </c>
      <c r="S132" s="81"/>
      <c r="T132" s="82"/>
      <c r="U132" s="83"/>
    </row>
    <row r="133" spans="1:21" s="84" customFormat="1" x14ac:dyDescent="0.3">
      <c r="A133" s="68">
        <v>39252</v>
      </c>
      <c r="B133" s="69">
        <f t="shared" si="2"/>
        <v>20070619</v>
      </c>
      <c r="C133" s="70">
        <v>4.5499999999999999E-2</v>
      </c>
      <c r="D133" s="77">
        <v>0</v>
      </c>
      <c r="E133" s="77"/>
      <c r="F133" s="77">
        <v>4.4999999999999997E-3</v>
      </c>
      <c r="G133" s="78">
        <v>15000000</v>
      </c>
      <c r="H133" s="79"/>
      <c r="I133" s="79"/>
      <c r="J133" s="79"/>
      <c r="K133" s="80">
        <v>2.12E-2</v>
      </c>
      <c r="L133" s="80"/>
      <c r="M133" s="75" t="s">
        <v>143</v>
      </c>
      <c r="N133" s="75" t="b">
        <v>1</v>
      </c>
      <c r="O133" s="75" t="s">
        <v>144</v>
      </c>
      <c r="P133" s="75">
        <v>1994</v>
      </c>
      <c r="Q133" s="75">
        <v>2015</v>
      </c>
      <c r="R133" s="75">
        <v>1</v>
      </c>
      <c r="S133" s="81"/>
      <c r="T133" s="82"/>
      <c r="U133" s="83"/>
    </row>
    <row r="134" spans="1:21" s="84" customFormat="1" x14ac:dyDescent="0.3">
      <c r="A134" s="68">
        <v>39253</v>
      </c>
      <c r="B134" s="69">
        <f t="shared" si="2"/>
        <v>20070620</v>
      </c>
      <c r="C134" s="70">
        <v>4.58E-2</v>
      </c>
      <c r="D134" s="77">
        <v>0</v>
      </c>
      <c r="E134" s="77"/>
      <c r="F134" s="77">
        <v>4.4999999999999997E-3</v>
      </c>
      <c r="G134" s="78">
        <v>15000000</v>
      </c>
      <c r="H134" s="79"/>
      <c r="I134" s="79"/>
      <c r="J134" s="79"/>
      <c r="K134" s="80">
        <v>2.1499999999999998E-2</v>
      </c>
      <c r="L134" s="80"/>
      <c r="M134" s="75" t="s">
        <v>143</v>
      </c>
      <c r="N134" s="75" t="b">
        <v>1</v>
      </c>
      <c r="O134" s="75" t="s">
        <v>144</v>
      </c>
      <c r="P134" s="75">
        <v>1994</v>
      </c>
      <c r="Q134" s="75">
        <v>2015</v>
      </c>
      <c r="R134" s="75">
        <v>1</v>
      </c>
      <c r="S134" s="81"/>
      <c r="T134" s="82"/>
      <c r="U134" s="83"/>
    </row>
    <row r="135" spans="1:21" s="84" customFormat="1" x14ac:dyDescent="0.3">
      <c r="A135" s="68">
        <v>39254</v>
      </c>
      <c r="B135" s="69">
        <f t="shared" si="2"/>
        <v>20070621</v>
      </c>
      <c r="C135" s="70">
        <v>4.6300000000000001E-2</v>
      </c>
      <c r="D135" s="77">
        <v>0</v>
      </c>
      <c r="E135" s="77"/>
      <c r="F135" s="77">
        <v>4.4999999999999997E-3</v>
      </c>
      <c r="G135" s="78">
        <v>15000000</v>
      </c>
      <c r="H135" s="79"/>
      <c r="I135" s="79"/>
      <c r="J135" s="79"/>
      <c r="K135" s="80">
        <v>2.18E-2</v>
      </c>
      <c r="L135" s="80"/>
      <c r="M135" s="75" t="s">
        <v>143</v>
      </c>
      <c r="N135" s="75" t="b">
        <v>1</v>
      </c>
      <c r="O135" s="75" t="s">
        <v>144</v>
      </c>
      <c r="P135" s="75">
        <v>1994</v>
      </c>
      <c r="Q135" s="75">
        <v>2015</v>
      </c>
      <c r="R135" s="75">
        <v>1</v>
      </c>
      <c r="S135" s="81"/>
      <c r="T135" s="82"/>
      <c r="U135" s="83"/>
    </row>
    <row r="136" spans="1:21" s="84" customFormat="1" x14ac:dyDescent="0.3">
      <c r="A136" s="68">
        <v>39255</v>
      </c>
      <c r="B136" s="69">
        <f t="shared" si="2"/>
        <v>20070622</v>
      </c>
      <c r="C136" s="70">
        <v>4.5999999999999999E-2</v>
      </c>
      <c r="D136" s="77">
        <v>0</v>
      </c>
      <c r="E136" s="77"/>
      <c r="F136" s="77">
        <v>4.4999999999999997E-3</v>
      </c>
      <c r="G136" s="78">
        <v>15000000</v>
      </c>
      <c r="H136" s="79"/>
      <c r="I136" s="79"/>
      <c r="J136" s="79"/>
      <c r="K136" s="80">
        <v>2.1600000000000001E-2</v>
      </c>
      <c r="L136" s="80"/>
      <c r="M136" s="75" t="s">
        <v>143</v>
      </c>
      <c r="N136" s="75" t="b">
        <v>1</v>
      </c>
      <c r="O136" s="75" t="s">
        <v>144</v>
      </c>
      <c r="P136" s="75">
        <v>1994</v>
      </c>
      <c r="Q136" s="75">
        <v>2015</v>
      </c>
      <c r="R136" s="75">
        <v>1</v>
      </c>
      <c r="S136" s="81"/>
      <c r="T136" s="82"/>
      <c r="U136" s="83"/>
    </row>
    <row r="137" spans="1:21" s="84" customFormat="1" x14ac:dyDescent="0.3">
      <c r="A137" s="68">
        <v>39258</v>
      </c>
      <c r="B137" s="69">
        <f t="shared" si="2"/>
        <v>20070625</v>
      </c>
      <c r="C137" s="70">
        <v>4.5700000000000005E-2</v>
      </c>
      <c r="D137" s="77">
        <v>0</v>
      </c>
      <c r="E137" s="77"/>
      <c r="F137" s="77">
        <v>4.4999999999999997E-3</v>
      </c>
      <c r="G137" s="78">
        <v>15000000</v>
      </c>
      <c r="H137" s="79"/>
      <c r="I137" s="79"/>
      <c r="J137" s="79"/>
      <c r="K137" s="80">
        <v>2.1400000000000002E-2</v>
      </c>
      <c r="L137" s="80"/>
      <c r="M137" s="75" t="s">
        <v>143</v>
      </c>
      <c r="N137" s="75" t="b">
        <v>1</v>
      </c>
      <c r="O137" s="75" t="s">
        <v>144</v>
      </c>
      <c r="P137" s="75">
        <v>1994</v>
      </c>
      <c r="Q137" s="75">
        <v>2015</v>
      </c>
      <c r="R137" s="75">
        <v>1</v>
      </c>
      <c r="S137" s="81"/>
      <c r="T137" s="82"/>
      <c r="U137" s="83"/>
    </row>
    <row r="138" spans="1:21" s="84" customFormat="1" x14ac:dyDescent="0.3">
      <c r="A138" s="68">
        <v>39259</v>
      </c>
      <c r="B138" s="69">
        <f t="shared" ref="B138:B201" si="3">YEAR(A138)*10000+MONTH(A138)*100+DAY(A138)</f>
        <v>20070626</v>
      </c>
      <c r="C138" s="70">
        <v>4.58E-2</v>
      </c>
      <c r="D138" s="77">
        <v>0</v>
      </c>
      <c r="E138" s="77"/>
      <c r="F138" s="77">
        <v>4.4999999999999997E-3</v>
      </c>
      <c r="G138" s="78">
        <v>15000000</v>
      </c>
      <c r="H138" s="79"/>
      <c r="I138" s="79"/>
      <c r="J138" s="79"/>
      <c r="K138" s="80">
        <v>2.1600000000000001E-2</v>
      </c>
      <c r="L138" s="80"/>
      <c r="M138" s="75" t="s">
        <v>143</v>
      </c>
      <c r="N138" s="75" t="b">
        <v>1</v>
      </c>
      <c r="O138" s="75" t="s">
        <v>144</v>
      </c>
      <c r="P138" s="75">
        <v>1994</v>
      </c>
      <c r="Q138" s="75">
        <v>2015</v>
      </c>
      <c r="R138" s="75">
        <v>1</v>
      </c>
      <c r="S138" s="81"/>
      <c r="T138" s="82"/>
      <c r="U138" s="83"/>
    </row>
    <row r="139" spans="1:21" s="84" customFormat="1" x14ac:dyDescent="0.3">
      <c r="A139" s="68">
        <v>39260</v>
      </c>
      <c r="B139" s="69">
        <f t="shared" si="3"/>
        <v>20070627</v>
      </c>
      <c r="C139" s="70">
        <v>4.5899999999999996E-2</v>
      </c>
      <c r="D139" s="77">
        <v>0</v>
      </c>
      <c r="E139" s="77"/>
      <c r="F139" s="77">
        <v>4.4999999999999997E-3</v>
      </c>
      <c r="G139" s="78">
        <v>15000000</v>
      </c>
      <c r="H139" s="79"/>
      <c r="I139" s="79"/>
      <c r="J139" s="79"/>
      <c r="K139" s="80">
        <v>2.1499999999999998E-2</v>
      </c>
      <c r="L139" s="80"/>
      <c r="M139" s="75" t="s">
        <v>143</v>
      </c>
      <c r="N139" s="75" t="b">
        <v>1</v>
      </c>
      <c r="O139" s="75" t="s">
        <v>144</v>
      </c>
      <c r="P139" s="75">
        <v>1994</v>
      </c>
      <c r="Q139" s="75">
        <v>2015</v>
      </c>
      <c r="R139" s="75">
        <v>1</v>
      </c>
      <c r="S139" s="81"/>
      <c r="T139" s="82"/>
      <c r="U139" s="83"/>
    </row>
    <row r="140" spans="1:21" s="84" customFormat="1" x14ac:dyDescent="0.3">
      <c r="A140" s="68">
        <v>39261</v>
      </c>
      <c r="B140" s="69">
        <f t="shared" si="3"/>
        <v>20070628</v>
      </c>
      <c r="C140" s="70">
        <v>4.58E-2</v>
      </c>
      <c r="D140" s="77">
        <v>0</v>
      </c>
      <c r="E140" s="77"/>
      <c r="F140" s="77">
        <v>4.4999999999999997E-3</v>
      </c>
      <c r="G140" s="78">
        <v>15000000</v>
      </c>
      <c r="H140" s="79"/>
      <c r="I140" s="79"/>
      <c r="J140" s="79"/>
      <c r="K140" s="80">
        <v>2.1499999999999998E-2</v>
      </c>
      <c r="L140" s="80"/>
      <c r="M140" s="75" t="s">
        <v>143</v>
      </c>
      <c r="N140" s="75" t="b">
        <v>1</v>
      </c>
      <c r="O140" s="75" t="s">
        <v>144</v>
      </c>
      <c r="P140" s="75">
        <v>1994</v>
      </c>
      <c r="Q140" s="75">
        <v>2015</v>
      </c>
      <c r="R140" s="75">
        <v>1</v>
      </c>
      <c r="S140" s="81"/>
      <c r="T140" s="82"/>
      <c r="U140" s="83"/>
    </row>
    <row r="141" spans="1:21" s="84" customFormat="1" x14ac:dyDescent="0.3">
      <c r="A141" s="68">
        <v>39262</v>
      </c>
      <c r="B141" s="69">
        <f t="shared" si="3"/>
        <v>20070629</v>
      </c>
      <c r="C141" s="70">
        <v>4.5100000000000001E-2</v>
      </c>
      <c r="D141" s="77">
        <v>0</v>
      </c>
      <c r="E141" s="77"/>
      <c r="F141" s="77">
        <v>4.4999999999999997E-3</v>
      </c>
      <c r="G141" s="78">
        <v>15000000</v>
      </c>
      <c r="H141" s="79"/>
      <c r="I141" s="79"/>
      <c r="J141" s="79"/>
      <c r="K141" s="80">
        <v>2.0799999999999999E-2</v>
      </c>
      <c r="L141" s="80"/>
      <c r="M141" s="75" t="s">
        <v>143</v>
      </c>
      <c r="N141" s="75" t="b">
        <v>1</v>
      </c>
      <c r="O141" s="75" t="s">
        <v>144</v>
      </c>
      <c r="P141" s="75">
        <v>1994</v>
      </c>
      <c r="Q141" s="75">
        <v>2015</v>
      </c>
      <c r="R141" s="75">
        <v>1</v>
      </c>
      <c r="S141" s="81"/>
      <c r="T141" s="82"/>
      <c r="U141" s="83"/>
    </row>
    <row r="142" spans="1:21" s="84" customFormat="1" x14ac:dyDescent="0.3">
      <c r="A142" s="68">
        <v>39266</v>
      </c>
      <c r="B142" s="69">
        <f t="shared" si="3"/>
        <v>20070703</v>
      </c>
      <c r="C142" s="70">
        <v>4.5100000000000001E-2</v>
      </c>
      <c r="D142" s="77">
        <v>0</v>
      </c>
      <c r="E142" s="77"/>
      <c r="F142" s="77">
        <v>4.4999999999999997E-3</v>
      </c>
      <c r="G142" s="78">
        <v>15000000</v>
      </c>
      <c r="H142" s="79"/>
      <c r="I142" s="79"/>
      <c r="J142" s="79"/>
      <c r="K142" s="80">
        <v>2.0899999999999998E-2</v>
      </c>
      <c r="L142" s="80"/>
      <c r="M142" s="75" t="s">
        <v>143</v>
      </c>
      <c r="N142" s="75" t="b">
        <v>1</v>
      </c>
      <c r="O142" s="75" t="s">
        <v>144</v>
      </c>
      <c r="P142" s="75">
        <v>1994</v>
      </c>
      <c r="Q142" s="75">
        <v>2015</v>
      </c>
      <c r="R142" s="75">
        <v>1</v>
      </c>
      <c r="S142" s="81"/>
      <c r="T142" s="82"/>
      <c r="U142" s="83"/>
    </row>
    <row r="143" spans="1:21" s="84" customFormat="1" x14ac:dyDescent="0.3">
      <c r="A143" s="68">
        <v>39267</v>
      </c>
      <c r="B143" s="69">
        <f t="shared" si="3"/>
        <v>20070704</v>
      </c>
      <c r="C143" s="70">
        <v>4.53E-2</v>
      </c>
      <c r="D143" s="77">
        <v>0</v>
      </c>
      <c r="E143" s="77"/>
      <c r="F143" s="77">
        <v>4.4999999999999997E-3</v>
      </c>
      <c r="G143" s="78">
        <v>15000000</v>
      </c>
      <c r="H143" s="79"/>
      <c r="I143" s="79"/>
      <c r="J143" s="79"/>
      <c r="K143" s="80">
        <v>2.1099999999999997E-2</v>
      </c>
      <c r="L143" s="80"/>
      <c r="M143" s="75" t="s">
        <v>143</v>
      </c>
      <c r="N143" s="75" t="b">
        <v>1</v>
      </c>
      <c r="O143" s="75" t="s">
        <v>144</v>
      </c>
      <c r="P143" s="75">
        <v>1994</v>
      </c>
      <c r="Q143" s="75">
        <v>2015</v>
      </c>
      <c r="R143" s="75">
        <v>1</v>
      </c>
      <c r="S143" s="81"/>
      <c r="T143" s="82"/>
      <c r="U143" s="83"/>
    </row>
    <row r="144" spans="1:21" s="84" customFormat="1" x14ac:dyDescent="0.3">
      <c r="A144" s="68">
        <v>39268</v>
      </c>
      <c r="B144" s="69">
        <f t="shared" si="3"/>
        <v>20070705</v>
      </c>
      <c r="C144" s="70">
        <v>4.5899999999999996E-2</v>
      </c>
      <c r="D144" s="77">
        <v>0</v>
      </c>
      <c r="E144" s="77"/>
      <c r="F144" s="77">
        <v>4.4999999999999997E-3</v>
      </c>
      <c r="G144" s="78">
        <v>15000000</v>
      </c>
      <c r="H144" s="79"/>
      <c r="I144" s="79"/>
      <c r="J144" s="79"/>
      <c r="K144" s="80">
        <v>2.1600000000000001E-2</v>
      </c>
      <c r="L144" s="80"/>
      <c r="M144" s="75" t="s">
        <v>143</v>
      </c>
      <c r="N144" s="75" t="b">
        <v>1</v>
      </c>
      <c r="O144" s="75" t="s">
        <v>144</v>
      </c>
      <c r="P144" s="75">
        <v>1994</v>
      </c>
      <c r="Q144" s="75">
        <v>2015</v>
      </c>
      <c r="R144" s="75">
        <v>1</v>
      </c>
      <c r="S144" s="81"/>
      <c r="T144" s="82"/>
      <c r="U144" s="83"/>
    </row>
    <row r="145" spans="1:21" s="84" customFormat="1" x14ac:dyDescent="0.3">
      <c r="A145" s="68">
        <v>39269</v>
      </c>
      <c r="B145" s="69">
        <f t="shared" si="3"/>
        <v>20070706</v>
      </c>
      <c r="C145" s="70">
        <v>4.6600000000000003E-2</v>
      </c>
      <c r="D145" s="77">
        <v>0</v>
      </c>
      <c r="E145" s="77"/>
      <c r="F145" s="77">
        <v>4.4999999999999997E-3</v>
      </c>
      <c r="G145" s="78">
        <v>15000000</v>
      </c>
      <c r="H145" s="79"/>
      <c r="I145" s="79"/>
      <c r="J145" s="79"/>
      <c r="K145" s="80">
        <v>2.2200000000000001E-2</v>
      </c>
      <c r="L145" s="80"/>
      <c r="M145" s="75" t="s">
        <v>143</v>
      </c>
      <c r="N145" s="75" t="b">
        <v>1</v>
      </c>
      <c r="O145" s="75" t="s">
        <v>144</v>
      </c>
      <c r="P145" s="75">
        <v>1994</v>
      </c>
      <c r="Q145" s="75">
        <v>2015</v>
      </c>
      <c r="R145" s="75">
        <v>1</v>
      </c>
      <c r="S145" s="81"/>
      <c r="T145" s="82"/>
      <c r="U145" s="83"/>
    </row>
    <row r="146" spans="1:21" s="84" customFormat="1" x14ac:dyDescent="0.3">
      <c r="A146" s="68">
        <v>39272</v>
      </c>
      <c r="B146" s="69">
        <f t="shared" si="3"/>
        <v>20070709</v>
      </c>
      <c r="C146" s="70">
        <v>4.6199999999999998E-2</v>
      </c>
      <c r="D146" s="77">
        <v>0</v>
      </c>
      <c r="E146" s="77"/>
      <c r="F146" s="77">
        <v>4.4999999999999997E-3</v>
      </c>
      <c r="G146" s="78">
        <v>15000000</v>
      </c>
      <c r="H146" s="79"/>
      <c r="I146" s="79"/>
      <c r="J146" s="79"/>
      <c r="K146" s="80">
        <v>2.1700000000000001E-2</v>
      </c>
      <c r="L146" s="80"/>
      <c r="M146" s="75" t="s">
        <v>143</v>
      </c>
      <c r="N146" s="75" t="b">
        <v>1</v>
      </c>
      <c r="O146" s="75" t="s">
        <v>144</v>
      </c>
      <c r="P146" s="75">
        <v>1994</v>
      </c>
      <c r="Q146" s="75">
        <v>2015</v>
      </c>
      <c r="R146" s="75">
        <v>1</v>
      </c>
      <c r="S146" s="81"/>
      <c r="T146" s="82"/>
      <c r="U146" s="83"/>
    </row>
    <row r="147" spans="1:21" s="84" customFormat="1" x14ac:dyDescent="0.3">
      <c r="A147" s="68">
        <v>39273</v>
      </c>
      <c r="B147" s="69">
        <f t="shared" si="3"/>
        <v>20070710</v>
      </c>
      <c r="C147" s="70">
        <v>4.53E-2</v>
      </c>
      <c r="D147" s="77">
        <v>0</v>
      </c>
      <c r="E147" s="77"/>
      <c r="F147" s="77">
        <v>4.4999999999999997E-3</v>
      </c>
      <c r="G147" s="78">
        <v>15000000</v>
      </c>
      <c r="H147" s="79"/>
      <c r="I147" s="79"/>
      <c r="J147" s="79"/>
      <c r="K147" s="80">
        <v>2.0899999999999998E-2</v>
      </c>
      <c r="L147" s="80"/>
      <c r="M147" s="75" t="s">
        <v>143</v>
      </c>
      <c r="N147" s="75" t="b">
        <v>1</v>
      </c>
      <c r="O147" s="75" t="s">
        <v>144</v>
      </c>
      <c r="P147" s="75">
        <v>1994</v>
      </c>
      <c r="Q147" s="75">
        <v>2015</v>
      </c>
      <c r="R147" s="75">
        <v>1</v>
      </c>
      <c r="S147" s="81"/>
      <c r="T147" s="82"/>
      <c r="U147" s="83"/>
    </row>
    <row r="148" spans="1:21" s="84" customFormat="1" x14ac:dyDescent="0.3">
      <c r="A148" s="68">
        <v>39274</v>
      </c>
      <c r="B148" s="69">
        <f t="shared" si="3"/>
        <v>20070711</v>
      </c>
      <c r="C148" s="70">
        <v>4.58E-2</v>
      </c>
      <c r="D148" s="77">
        <v>0</v>
      </c>
      <c r="E148" s="77"/>
      <c r="F148" s="77">
        <v>4.4999999999999997E-3</v>
      </c>
      <c r="G148" s="78">
        <v>15000000</v>
      </c>
      <c r="H148" s="79"/>
      <c r="I148" s="79"/>
      <c r="J148" s="79"/>
      <c r="K148" s="80">
        <v>2.1400000000000002E-2</v>
      </c>
      <c r="L148" s="80"/>
      <c r="M148" s="75" t="s">
        <v>143</v>
      </c>
      <c r="N148" s="75" t="b">
        <v>1</v>
      </c>
      <c r="O148" s="75" t="s">
        <v>144</v>
      </c>
      <c r="P148" s="75">
        <v>1994</v>
      </c>
      <c r="Q148" s="75">
        <v>2015</v>
      </c>
      <c r="R148" s="75">
        <v>1</v>
      </c>
      <c r="S148" s="81"/>
      <c r="T148" s="82"/>
      <c r="U148" s="83"/>
    </row>
    <row r="149" spans="1:21" s="84" customFormat="1" x14ac:dyDescent="0.3">
      <c r="A149" s="68">
        <v>39275</v>
      </c>
      <c r="B149" s="69">
        <f t="shared" si="3"/>
        <v>20070712</v>
      </c>
      <c r="C149" s="70">
        <v>4.6300000000000001E-2</v>
      </c>
      <c r="D149" s="77">
        <v>0</v>
      </c>
      <c r="E149" s="77"/>
      <c r="F149" s="77">
        <v>4.4999999999999997E-3</v>
      </c>
      <c r="G149" s="78">
        <v>15000000</v>
      </c>
      <c r="H149" s="79"/>
      <c r="I149" s="79"/>
      <c r="J149" s="79"/>
      <c r="K149" s="80">
        <v>2.1899999999999999E-2</v>
      </c>
      <c r="L149" s="80"/>
      <c r="M149" s="75" t="s">
        <v>143</v>
      </c>
      <c r="N149" s="75" t="b">
        <v>1</v>
      </c>
      <c r="O149" s="75" t="s">
        <v>144</v>
      </c>
      <c r="P149" s="75">
        <v>1994</v>
      </c>
      <c r="Q149" s="75">
        <v>2015</v>
      </c>
      <c r="R149" s="75">
        <v>1</v>
      </c>
      <c r="S149" s="81"/>
      <c r="T149" s="82"/>
      <c r="U149" s="83"/>
    </row>
    <row r="150" spans="1:21" s="84" customFormat="1" x14ac:dyDescent="0.3">
      <c r="A150" s="68">
        <v>39276</v>
      </c>
      <c r="B150" s="69">
        <f t="shared" si="3"/>
        <v>20070713</v>
      </c>
      <c r="C150" s="70">
        <v>4.5999999999999999E-2</v>
      </c>
      <c r="D150" s="77">
        <v>0</v>
      </c>
      <c r="E150" s="77"/>
      <c r="F150" s="77">
        <v>4.4999999999999997E-3</v>
      </c>
      <c r="G150" s="78">
        <v>15000000</v>
      </c>
      <c r="H150" s="79"/>
      <c r="I150" s="79"/>
      <c r="J150" s="79"/>
      <c r="K150" s="80">
        <v>2.1700000000000001E-2</v>
      </c>
      <c r="L150" s="80"/>
      <c r="M150" s="75" t="s">
        <v>143</v>
      </c>
      <c r="N150" s="75" t="b">
        <v>1</v>
      </c>
      <c r="O150" s="75" t="s">
        <v>144</v>
      </c>
      <c r="P150" s="75">
        <v>1994</v>
      </c>
      <c r="Q150" s="75">
        <v>2015</v>
      </c>
      <c r="R150" s="75">
        <v>1</v>
      </c>
      <c r="S150" s="81"/>
      <c r="T150" s="82"/>
      <c r="U150" s="83"/>
    </row>
    <row r="151" spans="1:21" s="84" customFormat="1" x14ac:dyDescent="0.3">
      <c r="A151" s="68">
        <v>39279</v>
      </c>
      <c r="B151" s="69">
        <f t="shared" si="3"/>
        <v>20070716</v>
      </c>
      <c r="C151" s="70">
        <v>4.5499999999999999E-2</v>
      </c>
      <c r="D151" s="77">
        <v>0</v>
      </c>
      <c r="E151" s="77"/>
      <c r="F151" s="77">
        <v>4.4999999999999997E-3</v>
      </c>
      <c r="G151" s="78">
        <v>15000000</v>
      </c>
      <c r="H151" s="79"/>
      <c r="I151" s="79"/>
      <c r="J151" s="79"/>
      <c r="K151" s="80">
        <v>2.1400000000000002E-2</v>
      </c>
      <c r="L151" s="80"/>
      <c r="M151" s="75" t="s">
        <v>143</v>
      </c>
      <c r="N151" s="75" t="b">
        <v>1</v>
      </c>
      <c r="O151" s="75" t="s">
        <v>144</v>
      </c>
      <c r="P151" s="75">
        <v>1994</v>
      </c>
      <c r="Q151" s="75">
        <v>2015</v>
      </c>
      <c r="R151" s="75">
        <v>1</v>
      </c>
      <c r="S151" s="81"/>
      <c r="T151" s="82"/>
      <c r="U151" s="83"/>
    </row>
    <row r="152" spans="1:21" s="84" customFormat="1" x14ac:dyDescent="0.3">
      <c r="A152" s="68">
        <v>39280</v>
      </c>
      <c r="B152" s="69">
        <f t="shared" si="3"/>
        <v>20070717</v>
      </c>
      <c r="C152" s="70">
        <v>4.58E-2</v>
      </c>
      <c r="D152" s="77">
        <v>0</v>
      </c>
      <c r="E152" s="77"/>
      <c r="F152" s="77">
        <v>4.4999999999999997E-3</v>
      </c>
      <c r="G152" s="78">
        <v>15000000</v>
      </c>
      <c r="H152" s="79"/>
      <c r="I152" s="79"/>
      <c r="J152" s="79"/>
      <c r="K152" s="80">
        <v>2.1600000000000001E-2</v>
      </c>
      <c r="L152" s="80"/>
      <c r="M152" s="75" t="s">
        <v>143</v>
      </c>
      <c r="N152" s="75" t="b">
        <v>1</v>
      </c>
      <c r="O152" s="75" t="s">
        <v>144</v>
      </c>
      <c r="P152" s="75">
        <v>1994</v>
      </c>
      <c r="Q152" s="75">
        <v>2015</v>
      </c>
      <c r="R152" s="75">
        <v>1</v>
      </c>
      <c r="S152" s="81"/>
      <c r="T152" s="82"/>
      <c r="U152" s="83"/>
    </row>
    <row r="153" spans="1:21" s="84" customFormat="1" x14ac:dyDescent="0.3">
      <c r="A153" s="68">
        <v>39281</v>
      </c>
      <c r="B153" s="69">
        <f t="shared" si="3"/>
        <v>20070718</v>
      </c>
      <c r="C153" s="70">
        <v>4.5700000000000005E-2</v>
      </c>
      <c r="D153" s="77">
        <v>0</v>
      </c>
      <c r="E153" s="77"/>
      <c r="F153" s="77">
        <v>4.4999999999999997E-3</v>
      </c>
      <c r="G153" s="78">
        <v>15000000</v>
      </c>
      <c r="H153" s="79"/>
      <c r="I153" s="79"/>
      <c r="J153" s="79"/>
      <c r="K153" s="80">
        <v>2.1600000000000001E-2</v>
      </c>
      <c r="L153" s="80"/>
      <c r="M153" s="75" t="s">
        <v>143</v>
      </c>
      <c r="N153" s="75" t="b">
        <v>1</v>
      </c>
      <c r="O153" s="75" t="s">
        <v>144</v>
      </c>
      <c r="P153" s="75">
        <v>1994</v>
      </c>
      <c r="Q153" s="75">
        <v>2015</v>
      </c>
      <c r="R153" s="75">
        <v>1</v>
      </c>
      <c r="S153" s="81"/>
      <c r="T153" s="82"/>
      <c r="U153" s="83"/>
    </row>
    <row r="154" spans="1:21" s="84" customFormat="1" x14ac:dyDescent="0.3">
      <c r="A154" s="68">
        <v>39282</v>
      </c>
      <c r="B154" s="69">
        <f t="shared" si="3"/>
        <v>20070719</v>
      </c>
      <c r="C154" s="70">
        <v>4.5599999999999995E-2</v>
      </c>
      <c r="D154" s="77">
        <v>0</v>
      </c>
      <c r="E154" s="77"/>
      <c r="F154" s="77">
        <v>4.4999999999999997E-3</v>
      </c>
      <c r="G154" s="78">
        <v>15000000</v>
      </c>
      <c r="H154" s="79"/>
      <c r="I154" s="79"/>
      <c r="J154" s="79"/>
      <c r="K154" s="80">
        <v>2.1600000000000001E-2</v>
      </c>
      <c r="L154" s="80"/>
      <c r="M154" s="75" t="s">
        <v>143</v>
      </c>
      <c r="N154" s="75" t="b">
        <v>1</v>
      </c>
      <c r="O154" s="75" t="s">
        <v>144</v>
      </c>
      <c r="P154" s="75">
        <v>1994</v>
      </c>
      <c r="Q154" s="75">
        <v>2015</v>
      </c>
      <c r="R154" s="75">
        <v>1</v>
      </c>
      <c r="S154" s="81"/>
      <c r="T154" s="82"/>
      <c r="U154" s="83"/>
    </row>
    <row r="155" spans="1:21" s="84" customFormat="1" x14ac:dyDescent="0.3">
      <c r="A155" s="68">
        <v>39283</v>
      </c>
      <c r="B155" s="69">
        <f t="shared" si="3"/>
        <v>20070720</v>
      </c>
      <c r="C155" s="70">
        <v>4.5199999999999997E-2</v>
      </c>
      <c r="D155" s="77">
        <v>0</v>
      </c>
      <c r="E155" s="77"/>
      <c r="F155" s="77">
        <v>4.4999999999999997E-3</v>
      </c>
      <c r="G155" s="78">
        <v>15000000</v>
      </c>
      <c r="H155" s="79"/>
      <c r="I155" s="79"/>
      <c r="J155" s="79"/>
      <c r="K155" s="80">
        <v>2.1299999999999999E-2</v>
      </c>
      <c r="L155" s="80"/>
      <c r="M155" s="75" t="s">
        <v>143</v>
      </c>
      <c r="N155" s="75" t="b">
        <v>1</v>
      </c>
      <c r="O155" s="75" t="s">
        <v>144</v>
      </c>
      <c r="P155" s="75">
        <v>1994</v>
      </c>
      <c r="Q155" s="75">
        <v>2015</v>
      </c>
      <c r="R155" s="75">
        <v>1</v>
      </c>
      <c r="S155" s="81"/>
      <c r="T155" s="82"/>
      <c r="U155" s="83"/>
    </row>
    <row r="156" spans="1:21" s="84" customFormat="1" x14ac:dyDescent="0.3">
      <c r="A156" s="68">
        <v>39286</v>
      </c>
      <c r="B156" s="69">
        <f t="shared" si="3"/>
        <v>20070723</v>
      </c>
      <c r="C156" s="70">
        <v>4.53E-2</v>
      </c>
      <c r="D156" s="77">
        <v>0</v>
      </c>
      <c r="E156" s="77"/>
      <c r="F156" s="77">
        <v>4.4999999999999997E-3</v>
      </c>
      <c r="G156" s="78">
        <v>15000000</v>
      </c>
      <c r="H156" s="79"/>
      <c r="I156" s="79"/>
      <c r="J156" s="79"/>
      <c r="K156" s="80">
        <v>2.1400000000000002E-2</v>
      </c>
      <c r="L156" s="80"/>
      <c r="M156" s="75" t="s">
        <v>143</v>
      </c>
      <c r="N156" s="75" t="b">
        <v>1</v>
      </c>
      <c r="O156" s="75" t="s">
        <v>144</v>
      </c>
      <c r="P156" s="75">
        <v>1994</v>
      </c>
      <c r="Q156" s="75">
        <v>2015</v>
      </c>
      <c r="R156" s="75">
        <v>1</v>
      </c>
      <c r="S156" s="81"/>
      <c r="T156" s="82"/>
      <c r="U156" s="83"/>
    </row>
    <row r="157" spans="1:21" s="84" customFormat="1" x14ac:dyDescent="0.3">
      <c r="A157" s="68">
        <v>39287</v>
      </c>
      <c r="B157" s="69">
        <f t="shared" si="3"/>
        <v>20070724</v>
      </c>
      <c r="C157" s="70">
        <v>4.5199999999999997E-2</v>
      </c>
      <c r="D157" s="77">
        <v>0</v>
      </c>
      <c r="E157" s="77"/>
      <c r="F157" s="77">
        <v>4.4999999999999997E-3</v>
      </c>
      <c r="G157" s="78">
        <v>15000000</v>
      </c>
      <c r="H157" s="79"/>
      <c r="I157" s="79"/>
      <c r="J157" s="79"/>
      <c r="K157" s="80">
        <v>2.12E-2</v>
      </c>
      <c r="L157" s="80"/>
      <c r="M157" s="75" t="s">
        <v>143</v>
      </c>
      <c r="N157" s="75" t="b">
        <v>1</v>
      </c>
      <c r="O157" s="75" t="s">
        <v>144</v>
      </c>
      <c r="P157" s="75">
        <v>1994</v>
      </c>
      <c r="Q157" s="75">
        <v>2015</v>
      </c>
      <c r="R157" s="75">
        <v>1</v>
      </c>
      <c r="S157" s="81"/>
      <c r="T157" s="82"/>
      <c r="U157" s="83"/>
    </row>
    <row r="158" spans="1:21" s="84" customFormat="1" x14ac:dyDescent="0.3">
      <c r="A158" s="68">
        <v>39288</v>
      </c>
      <c r="B158" s="69">
        <f t="shared" si="3"/>
        <v>20070725</v>
      </c>
      <c r="C158" s="70">
        <v>4.5199999999999997E-2</v>
      </c>
      <c r="D158" s="77">
        <v>0</v>
      </c>
      <c r="E158" s="77"/>
      <c r="F158" s="77">
        <v>4.4999999999999997E-3</v>
      </c>
      <c r="G158" s="78">
        <v>15000000</v>
      </c>
      <c r="H158" s="79"/>
      <c r="I158" s="79"/>
      <c r="J158" s="79"/>
      <c r="K158" s="80">
        <v>2.0899999999999998E-2</v>
      </c>
      <c r="L158" s="80"/>
      <c r="M158" s="75" t="s">
        <v>143</v>
      </c>
      <c r="N158" s="75" t="b">
        <v>1</v>
      </c>
      <c r="O158" s="75" t="s">
        <v>144</v>
      </c>
      <c r="P158" s="75">
        <v>1994</v>
      </c>
      <c r="Q158" s="75">
        <v>2015</v>
      </c>
      <c r="R158" s="75">
        <v>1</v>
      </c>
      <c r="S158" s="81"/>
      <c r="T158" s="82"/>
      <c r="U158" s="83"/>
    </row>
    <row r="159" spans="1:21" s="84" customFormat="1" x14ac:dyDescent="0.3">
      <c r="A159" s="68">
        <v>39289</v>
      </c>
      <c r="B159" s="69">
        <f t="shared" si="3"/>
        <v>20070726</v>
      </c>
      <c r="C159" s="70">
        <v>4.4800000000000006E-2</v>
      </c>
      <c r="D159" s="77">
        <v>0</v>
      </c>
      <c r="E159" s="77"/>
      <c r="F159" s="77">
        <v>4.4999999999999997E-3</v>
      </c>
      <c r="G159" s="78">
        <v>15000000</v>
      </c>
      <c r="H159" s="79"/>
      <c r="I159" s="79"/>
      <c r="J159" s="79"/>
      <c r="K159" s="80">
        <v>2.07E-2</v>
      </c>
      <c r="L159" s="80"/>
      <c r="M159" s="75" t="s">
        <v>143</v>
      </c>
      <c r="N159" s="75" t="b">
        <v>1</v>
      </c>
      <c r="O159" s="75" t="s">
        <v>144</v>
      </c>
      <c r="P159" s="75">
        <v>1994</v>
      </c>
      <c r="Q159" s="75">
        <v>2015</v>
      </c>
      <c r="R159" s="75">
        <v>1</v>
      </c>
      <c r="S159" s="81"/>
      <c r="T159" s="82"/>
      <c r="U159" s="83"/>
    </row>
    <row r="160" spans="1:21" s="84" customFormat="1" x14ac:dyDescent="0.3">
      <c r="A160" s="68">
        <v>39290</v>
      </c>
      <c r="B160" s="69">
        <f t="shared" si="3"/>
        <v>20070727</v>
      </c>
      <c r="C160" s="70">
        <v>4.4500000000000005E-2</v>
      </c>
      <c r="D160" s="77">
        <v>0</v>
      </c>
      <c r="E160" s="77"/>
      <c r="F160" s="77">
        <v>4.4999999999999997E-3</v>
      </c>
      <c r="G160" s="78">
        <v>15000000</v>
      </c>
      <c r="H160" s="79"/>
      <c r="I160" s="79"/>
      <c r="J160" s="79"/>
      <c r="K160" s="80">
        <v>2.0400000000000001E-2</v>
      </c>
      <c r="L160" s="80"/>
      <c r="M160" s="75" t="s">
        <v>143</v>
      </c>
      <c r="N160" s="75" t="b">
        <v>1</v>
      </c>
      <c r="O160" s="75" t="s">
        <v>144</v>
      </c>
      <c r="P160" s="75">
        <v>1994</v>
      </c>
      <c r="Q160" s="75">
        <v>2015</v>
      </c>
      <c r="R160" s="75">
        <v>1</v>
      </c>
      <c r="S160" s="81"/>
      <c r="T160" s="82"/>
      <c r="U160" s="83"/>
    </row>
    <row r="161" spans="1:21" s="84" customFormat="1" x14ac:dyDescent="0.3">
      <c r="A161" s="68">
        <v>39293</v>
      </c>
      <c r="B161" s="69">
        <f t="shared" si="3"/>
        <v>20070730</v>
      </c>
      <c r="C161" s="70">
        <v>4.4999999999999998E-2</v>
      </c>
      <c r="D161" s="77">
        <v>0</v>
      </c>
      <c r="E161" s="77"/>
      <c r="F161" s="77">
        <v>4.4999999999999997E-3</v>
      </c>
      <c r="G161" s="78">
        <v>15000000</v>
      </c>
      <c r="H161" s="79"/>
      <c r="I161" s="79"/>
      <c r="J161" s="79"/>
      <c r="K161" s="80">
        <v>2.0799999999999999E-2</v>
      </c>
      <c r="L161" s="80"/>
      <c r="M161" s="75" t="s">
        <v>143</v>
      </c>
      <c r="N161" s="75" t="b">
        <v>1</v>
      </c>
      <c r="O161" s="75" t="s">
        <v>144</v>
      </c>
      <c r="P161" s="75">
        <v>1994</v>
      </c>
      <c r="Q161" s="75">
        <v>2015</v>
      </c>
      <c r="R161" s="75">
        <v>1</v>
      </c>
      <c r="S161" s="81"/>
      <c r="T161" s="82"/>
      <c r="U161" s="83"/>
    </row>
    <row r="162" spans="1:21" s="84" customFormat="1" x14ac:dyDescent="0.3">
      <c r="A162" s="68">
        <v>39294</v>
      </c>
      <c r="B162" s="69">
        <f t="shared" si="3"/>
        <v>20070731</v>
      </c>
      <c r="C162" s="70">
        <v>4.4800000000000006E-2</v>
      </c>
      <c r="D162" s="77">
        <v>0</v>
      </c>
      <c r="E162" s="77"/>
      <c r="F162" s="77">
        <v>4.4999999999999997E-3</v>
      </c>
      <c r="G162" s="78">
        <v>15000000</v>
      </c>
      <c r="H162" s="79"/>
      <c r="I162" s="79"/>
      <c r="J162" s="79"/>
      <c r="K162" s="80">
        <v>2.07E-2</v>
      </c>
      <c r="L162" s="80"/>
      <c r="M162" s="75" t="s">
        <v>143</v>
      </c>
      <c r="N162" s="75" t="b">
        <v>1</v>
      </c>
      <c r="O162" s="75" t="s">
        <v>144</v>
      </c>
      <c r="P162" s="75">
        <v>1994</v>
      </c>
      <c r="Q162" s="75">
        <v>2015</v>
      </c>
      <c r="R162" s="75">
        <v>1</v>
      </c>
      <c r="S162" s="81"/>
      <c r="T162" s="82"/>
      <c r="U162" s="83"/>
    </row>
    <row r="163" spans="1:21" s="84" customFormat="1" x14ac:dyDescent="0.3">
      <c r="A163" s="68">
        <v>39295</v>
      </c>
      <c r="B163" s="69">
        <f t="shared" si="3"/>
        <v>20070801</v>
      </c>
      <c r="C163" s="70">
        <v>4.4800000000000006E-2</v>
      </c>
      <c r="D163" s="77">
        <v>0</v>
      </c>
      <c r="E163" s="77"/>
      <c r="F163" s="77">
        <v>4.4999999999999997E-3</v>
      </c>
      <c r="G163" s="78">
        <v>15000000</v>
      </c>
      <c r="H163" s="79"/>
      <c r="I163" s="79"/>
      <c r="J163" s="79"/>
      <c r="K163" s="80">
        <v>2.06E-2</v>
      </c>
      <c r="L163" s="80"/>
      <c r="M163" s="75" t="s">
        <v>143</v>
      </c>
      <c r="N163" s="75" t="b">
        <v>1</v>
      </c>
      <c r="O163" s="75" t="s">
        <v>144</v>
      </c>
      <c r="P163" s="75">
        <v>1994</v>
      </c>
      <c r="Q163" s="75">
        <v>2015</v>
      </c>
      <c r="R163" s="75">
        <v>1</v>
      </c>
      <c r="S163" s="81"/>
      <c r="T163" s="82"/>
      <c r="U163" s="83"/>
    </row>
    <row r="164" spans="1:21" s="84" customFormat="1" x14ac:dyDescent="0.3">
      <c r="A164" s="68">
        <v>39296</v>
      </c>
      <c r="B164" s="69">
        <f t="shared" si="3"/>
        <v>20070802</v>
      </c>
      <c r="C164" s="70">
        <v>4.4500000000000005E-2</v>
      </c>
      <c r="D164" s="77">
        <v>0</v>
      </c>
      <c r="E164" s="77"/>
      <c r="F164" s="77">
        <v>4.4999999999999997E-3</v>
      </c>
      <c r="G164" s="78">
        <v>15000000</v>
      </c>
      <c r="H164" s="79"/>
      <c r="I164" s="79"/>
      <c r="J164" s="79"/>
      <c r="K164" s="80">
        <v>2.0400000000000001E-2</v>
      </c>
      <c r="L164" s="80"/>
      <c r="M164" s="75" t="s">
        <v>143</v>
      </c>
      <c r="N164" s="75" t="b">
        <v>1</v>
      </c>
      <c r="O164" s="75" t="s">
        <v>144</v>
      </c>
      <c r="P164" s="75">
        <v>1994</v>
      </c>
      <c r="Q164" s="75">
        <v>2015</v>
      </c>
      <c r="R164" s="75">
        <v>1</v>
      </c>
      <c r="S164" s="81"/>
      <c r="T164" s="82"/>
      <c r="U164" s="83"/>
    </row>
    <row r="165" spans="1:21" s="84" customFormat="1" x14ac:dyDescent="0.3">
      <c r="A165" s="68">
        <v>39297</v>
      </c>
      <c r="B165" s="69">
        <f t="shared" si="3"/>
        <v>20070803</v>
      </c>
      <c r="C165" s="70">
        <v>4.4199999999999996E-2</v>
      </c>
      <c r="D165" s="77">
        <v>0</v>
      </c>
      <c r="E165" s="77"/>
      <c r="F165" s="77">
        <v>4.4999999999999997E-3</v>
      </c>
      <c r="G165" s="78">
        <v>15000000</v>
      </c>
      <c r="H165" s="79"/>
      <c r="I165" s="79"/>
      <c r="J165" s="79"/>
      <c r="K165" s="80">
        <v>2.0199999999999999E-2</v>
      </c>
      <c r="L165" s="80"/>
      <c r="M165" s="75" t="s">
        <v>143</v>
      </c>
      <c r="N165" s="75" t="b">
        <v>1</v>
      </c>
      <c r="O165" s="75" t="s">
        <v>144</v>
      </c>
      <c r="P165" s="75">
        <v>1994</v>
      </c>
      <c r="Q165" s="75">
        <v>2015</v>
      </c>
      <c r="R165" s="75">
        <v>1</v>
      </c>
      <c r="S165" s="81"/>
      <c r="T165" s="82"/>
      <c r="U165" s="83"/>
    </row>
    <row r="166" spans="1:21" s="84" customFormat="1" x14ac:dyDescent="0.3">
      <c r="A166" s="68">
        <v>39301</v>
      </c>
      <c r="B166" s="69">
        <f t="shared" si="3"/>
        <v>20070807</v>
      </c>
      <c r="C166" s="70">
        <v>4.4400000000000002E-2</v>
      </c>
      <c r="D166" s="77">
        <v>0</v>
      </c>
      <c r="E166" s="77"/>
      <c r="F166" s="77">
        <v>4.4999999999999997E-3</v>
      </c>
      <c r="G166" s="78">
        <v>15000000</v>
      </c>
      <c r="H166" s="79"/>
      <c r="I166" s="79"/>
      <c r="J166" s="79"/>
      <c r="K166" s="80">
        <v>2.0299999999999999E-2</v>
      </c>
      <c r="L166" s="80"/>
      <c r="M166" s="75" t="s">
        <v>143</v>
      </c>
      <c r="N166" s="75" t="b">
        <v>1</v>
      </c>
      <c r="O166" s="75" t="s">
        <v>144</v>
      </c>
      <c r="P166" s="75">
        <v>1994</v>
      </c>
      <c r="Q166" s="75">
        <v>2015</v>
      </c>
      <c r="R166" s="75">
        <v>1</v>
      </c>
      <c r="S166" s="81"/>
      <c r="T166" s="82"/>
      <c r="U166" s="83"/>
    </row>
    <row r="167" spans="1:21" s="84" customFormat="1" x14ac:dyDescent="0.3">
      <c r="A167" s="68">
        <v>39302</v>
      </c>
      <c r="B167" s="69">
        <f t="shared" si="3"/>
        <v>20070808</v>
      </c>
      <c r="C167" s="70">
        <v>4.4999999999999998E-2</v>
      </c>
      <c r="D167" s="77">
        <v>0</v>
      </c>
      <c r="E167" s="77"/>
      <c r="F167" s="77">
        <v>4.4999999999999997E-3</v>
      </c>
      <c r="G167" s="78">
        <v>15000000</v>
      </c>
      <c r="H167" s="79"/>
      <c r="I167" s="79"/>
      <c r="J167" s="79"/>
      <c r="K167" s="80">
        <v>2.0899999999999998E-2</v>
      </c>
      <c r="L167" s="80"/>
      <c r="M167" s="75" t="s">
        <v>143</v>
      </c>
      <c r="N167" s="75" t="b">
        <v>1</v>
      </c>
      <c r="O167" s="75" t="s">
        <v>144</v>
      </c>
      <c r="P167" s="75">
        <v>1994</v>
      </c>
      <c r="Q167" s="75">
        <v>2015</v>
      </c>
      <c r="R167" s="75">
        <v>1</v>
      </c>
      <c r="S167" s="81"/>
      <c r="T167" s="82"/>
      <c r="U167" s="83"/>
    </row>
    <row r="168" spans="1:21" s="84" customFormat="1" x14ac:dyDescent="0.3">
      <c r="A168" s="68">
        <v>39303</v>
      </c>
      <c r="B168" s="69">
        <f t="shared" si="3"/>
        <v>20070809</v>
      </c>
      <c r="C168" s="70">
        <v>4.4900000000000002E-2</v>
      </c>
      <c r="D168" s="77">
        <v>0</v>
      </c>
      <c r="E168" s="77"/>
      <c r="F168" s="77">
        <v>4.4999999999999997E-3</v>
      </c>
      <c r="G168" s="78">
        <v>15000000</v>
      </c>
      <c r="H168" s="79"/>
      <c r="I168" s="79"/>
      <c r="J168" s="79"/>
      <c r="K168" s="80">
        <v>2.0899999999999998E-2</v>
      </c>
      <c r="L168" s="80"/>
      <c r="M168" s="75" t="s">
        <v>143</v>
      </c>
      <c r="N168" s="75" t="b">
        <v>1</v>
      </c>
      <c r="O168" s="75" t="s">
        <v>144</v>
      </c>
      <c r="P168" s="75">
        <v>1994</v>
      </c>
      <c r="Q168" s="75">
        <v>2015</v>
      </c>
      <c r="R168" s="75">
        <v>1</v>
      </c>
      <c r="S168" s="81"/>
      <c r="T168" s="82"/>
      <c r="U168" s="83"/>
    </row>
    <row r="169" spans="1:21" s="84" customFormat="1" x14ac:dyDescent="0.3">
      <c r="A169" s="68">
        <v>39304</v>
      </c>
      <c r="B169" s="69">
        <f t="shared" si="3"/>
        <v>20070810</v>
      </c>
      <c r="C169" s="70">
        <v>4.5100000000000001E-2</v>
      </c>
      <c r="D169" s="77">
        <v>0</v>
      </c>
      <c r="E169" s="77"/>
      <c r="F169" s="77">
        <v>4.4999999999999997E-3</v>
      </c>
      <c r="G169" s="78">
        <v>15000000</v>
      </c>
      <c r="H169" s="79"/>
      <c r="I169" s="79"/>
      <c r="J169" s="79"/>
      <c r="K169" s="80">
        <v>2.1000000000000001E-2</v>
      </c>
      <c r="L169" s="80"/>
      <c r="M169" s="75" t="s">
        <v>143</v>
      </c>
      <c r="N169" s="75" t="b">
        <v>1</v>
      </c>
      <c r="O169" s="75" t="s">
        <v>144</v>
      </c>
      <c r="P169" s="75">
        <v>1994</v>
      </c>
      <c r="Q169" s="75">
        <v>2015</v>
      </c>
      <c r="R169" s="75">
        <v>1</v>
      </c>
      <c r="S169" s="81"/>
      <c r="T169" s="82"/>
      <c r="U169" s="83"/>
    </row>
    <row r="170" spans="1:21" s="84" customFormat="1" x14ac:dyDescent="0.3">
      <c r="A170" s="68">
        <v>39307</v>
      </c>
      <c r="B170" s="69">
        <f t="shared" si="3"/>
        <v>20070813</v>
      </c>
      <c r="C170" s="70">
        <v>4.4800000000000006E-2</v>
      </c>
      <c r="D170" s="77">
        <v>0</v>
      </c>
      <c r="E170" s="77"/>
      <c r="F170" s="77">
        <v>4.4999999999999997E-3</v>
      </c>
      <c r="G170" s="78">
        <v>15000000</v>
      </c>
      <c r="H170" s="79"/>
      <c r="I170" s="79"/>
      <c r="J170" s="79"/>
      <c r="K170" s="80">
        <v>2.0799999999999999E-2</v>
      </c>
      <c r="L170" s="80"/>
      <c r="M170" s="75" t="s">
        <v>143</v>
      </c>
      <c r="N170" s="75" t="b">
        <v>1</v>
      </c>
      <c r="O170" s="75" t="s">
        <v>144</v>
      </c>
      <c r="P170" s="75">
        <v>1994</v>
      </c>
      <c r="Q170" s="75">
        <v>2015</v>
      </c>
      <c r="R170" s="75">
        <v>1</v>
      </c>
      <c r="S170" s="81"/>
      <c r="T170" s="82"/>
      <c r="U170" s="83"/>
    </row>
    <row r="171" spans="1:21" s="84" customFormat="1" x14ac:dyDescent="0.3">
      <c r="A171" s="68">
        <v>39308</v>
      </c>
      <c r="B171" s="69">
        <f t="shared" si="3"/>
        <v>20070814</v>
      </c>
      <c r="C171" s="70">
        <v>4.4500000000000005E-2</v>
      </c>
      <c r="D171" s="77">
        <v>0</v>
      </c>
      <c r="E171" s="77"/>
      <c r="F171" s="77">
        <v>4.4999999999999997E-3</v>
      </c>
      <c r="G171" s="78">
        <v>15000000</v>
      </c>
      <c r="H171" s="79"/>
      <c r="I171" s="79"/>
      <c r="J171" s="79"/>
      <c r="K171" s="80">
        <v>2.06E-2</v>
      </c>
      <c r="L171" s="80"/>
      <c r="M171" s="75" t="s">
        <v>143</v>
      </c>
      <c r="N171" s="75" t="b">
        <v>1</v>
      </c>
      <c r="O171" s="75" t="s">
        <v>144</v>
      </c>
      <c r="P171" s="75">
        <v>1994</v>
      </c>
      <c r="Q171" s="75">
        <v>2015</v>
      </c>
      <c r="R171" s="75">
        <v>1</v>
      </c>
      <c r="S171" s="81"/>
      <c r="T171" s="82"/>
      <c r="U171" s="83"/>
    </row>
    <row r="172" spans="1:21" s="84" customFormat="1" x14ac:dyDescent="0.3">
      <c r="A172" s="68">
        <v>39309</v>
      </c>
      <c r="B172" s="69">
        <f t="shared" si="3"/>
        <v>20070815</v>
      </c>
      <c r="C172" s="70">
        <v>4.4900000000000002E-2</v>
      </c>
      <c r="D172" s="77">
        <v>0</v>
      </c>
      <c r="E172" s="77"/>
      <c r="F172" s="77">
        <v>4.4999999999999997E-3</v>
      </c>
      <c r="G172" s="78">
        <v>15000000</v>
      </c>
      <c r="H172" s="79"/>
      <c r="I172" s="79"/>
      <c r="J172" s="79"/>
      <c r="K172" s="80">
        <v>2.1000000000000001E-2</v>
      </c>
      <c r="L172" s="80"/>
      <c r="M172" s="75" t="s">
        <v>143</v>
      </c>
      <c r="N172" s="75" t="b">
        <v>1</v>
      </c>
      <c r="O172" s="75" t="s">
        <v>144</v>
      </c>
      <c r="P172" s="75">
        <v>1994</v>
      </c>
      <c r="Q172" s="75">
        <v>2015</v>
      </c>
      <c r="R172" s="75">
        <v>1</v>
      </c>
      <c r="S172" s="81"/>
      <c r="T172" s="82"/>
      <c r="U172" s="83"/>
    </row>
    <row r="173" spans="1:21" s="84" customFormat="1" x14ac:dyDescent="0.3">
      <c r="A173" s="68">
        <v>39310</v>
      </c>
      <c r="B173" s="69">
        <f t="shared" si="3"/>
        <v>20070816</v>
      </c>
      <c r="C173" s="70">
        <v>4.4800000000000006E-2</v>
      </c>
      <c r="D173" s="77">
        <v>0</v>
      </c>
      <c r="E173" s="77"/>
      <c r="F173" s="77">
        <v>4.4999999999999997E-3</v>
      </c>
      <c r="G173" s="78">
        <v>15000000</v>
      </c>
      <c r="H173" s="79"/>
      <c r="I173" s="79"/>
      <c r="J173" s="79"/>
      <c r="K173" s="80">
        <v>2.1099999999999997E-2</v>
      </c>
      <c r="L173" s="80"/>
      <c r="M173" s="75" t="s">
        <v>143</v>
      </c>
      <c r="N173" s="75" t="b">
        <v>1</v>
      </c>
      <c r="O173" s="75" t="s">
        <v>144</v>
      </c>
      <c r="P173" s="75">
        <v>1994</v>
      </c>
      <c r="Q173" s="75">
        <v>2015</v>
      </c>
      <c r="R173" s="75">
        <v>1</v>
      </c>
      <c r="S173" s="81"/>
      <c r="T173" s="82"/>
      <c r="U173" s="83"/>
    </row>
    <row r="174" spans="1:21" s="84" customFormat="1" x14ac:dyDescent="0.3">
      <c r="A174" s="68">
        <v>39311</v>
      </c>
      <c r="B174" s="69">
        <f t="shared" si="3"/>
        <v>20070817</v>
      </c>
      <c r="C174" s="70">
        <v>4.4800000000000006E-2</v>
      </c>
      <c r="D174" s="77">
        <v>0</v>
      </c>
      <c r="E174" s="77"/>
      <c r="F174" s="77">
        <v>4.4999999999999997E-3</v>
      </c>
      <c r="G174" s="78">
        <v>15000000</v>
      </c>
      <c r="H174" s="79"/>
      <c r="I174" s="79"/>
      <c r="J174" s="79"/>
      <c r="K174" s="80">
        <v>2.1000000000000001E-2</v>
      </c>
      <c r="L174" s="80"/>
      <c r="M174" s="75" t="s">
        <v>143</v>
      </c>
      <c r="N174" s="75" t="b">
        <v>1</v>
      </c>
      <c r="O174" s="75" t="s">
        <v>144</v>
      </c>
      <c r="P174" s="75">
        <v>1994</v>
      </c>
      <c r="Q174" s="75">
        <v>2015</v>
      </c>
      <c r="R174" s="75">
        <v>1</v>
      </c>
      <c r="S174" s="81"/>
      <c r="T174" s="82"/>
      <c r="U174" s="83"/>
    </row>
    <row r="175" spans="1:21" s="84" customFormat="1" x14ac:dyDescent="0.3">
      <c r="A175" s="68">
        <v>39314</v>
      </c>
      <c r="B175" s="69">
        <f t="shared" si="3"/>
        <v>20070820</v>
      </c>
      <c r="C175" s="70">
        <v>4.4600000000000001E-2</v>
      </c>
      <c r="D175" s="77">
        <v>0</v>
      </c>
      <c r="E175" s="77"/>
      <c r="F175" s="77">
        <v>4.4999999999999997E-3</v>
      </c>
      <c r="G175" s="78">
        <v>15000000</v>
      </c>
      <c r="H175" s="79"/>
      <c r="I175" s="79"/>
      <c r="J175" s="79"/>
      <c r="K175" s="80">
        <v>2.1000000000000001E-2</v>
      </c>
      <c r="L175" s="80"/>
      <c r="M175" s="75" t="s">
        <v>143</v>
      </c>
      <c r="N175" s="75" t="b">
        <v>1</v>
      </c>
      <c r="O175" s="75" t="s">
        <v>144</v>
      </c>
      <c r="P175" s="75">
        <v>1994</v>
      </c>
      <c r="Q175" s="75">
        <v>2015</v>
      </c>
      <c r="R175" s="75">
        <v>1</v>
      </c>
      <c r="S175" s="81"/>
      <c r="T175" s="82"/>
      <c r="U175" s="83"/>
    </row>
    <row r="176" spans="1:21" s="84" customFormat="1" x14ac:dyDescent="0.3">
      <c r="A176" s="68">
        <v>39315</v>
      </c>
      <c r="B176" s="69">
        <f t="shared" si="3"/>
        <v>20070821</v>
      </c>
      <c r="C176" s="70">
        <v>4.4500000000000005E-2</v>
      </c>
      <c r="D176" s="77">
        <v>0</v>
      </c>
      <c r="E176" s="77"/>
      <c r="F176" s="77">
        <v>4.4999999999999997E-3</v>
      </c>
      <c r="G176" s="78">
        <v>15000000</v>
      </c>
      <c r="H176" s="79"/>
      <c r="I176" s="79"/>
      <c r="J176" s="79"/>
      <c r="K176" s="80">
        <v>2.1099999999999997E-2</v>
      </c>
      <c r="L176" s="80"/>
      <c r="M176" s="75" t="s">
        <v>143</v>
      </c>
      <c r="N176" s="75" t="b">
        <v>1</v>
      </c>
      <c r="O176" s="75" t="s">
        <v>144</v>
      </c>
      <c r="P176" s="75">
        <v>1994</v>
      </c>
      <c r="Q176" s="75">
        <v>2015</v>
      </c>
      <c r="R176" s="75">
        <v>1</v>
      </c>
      <c r="S176" s="81"/>
      <c r="T176" s="82"/>
      <c r="U176" s="83"/>
    </row>
    <row r="177" spans="1:21" s="84" customFormat="1" x14ac:dyDescent="0.3">
      <c r="A177" s="68">
        <v>39316</v>
      </c>
      <c r="B177" s="69">
        <f t="shared" si="3"/>
        <v>20070822</v>
      </c>
      <c r="C177" s="70">
        <v>4.4900000000000002E-2</v>
      </c>
      <c r="D177" s="77">
        <v>0</v>
      </c>
      <c r="E177" s="77"/>
      <c r="F177" s="77">
        <v>4.4999999999999997E-3</v>
      </c>
      <c r="G177" s="78">
        <v>15000000</v>
      </c>
      <c r="H177" s="79"/>
      <c r="I177" s="79"/>
      <c r="J177" s="79"/>
      <c r="K177" s="80">
        <v>2.1499999999999998E-2</v>
      </c>
      <c r="L177" s="80"/>
      <c r="M177" s="75" t="s">
        <v>143</v>
      </c>
      <c r="N177" s="75" t="b">
        <v>1</v>
      </c>
      <c r="O177" s="75" t="s">
        <v>144</v>
      </c>
      <c r="P177" s="75">
        <v>1994</v>
      </c>
      <c r="Q177" s="75">
        <v>2015</v>
      </c>
      <c r="R177" s="75">
        <v>1</v>
      </c>
      <c r="S177" s="81"/>
      <c r="T177" s="82"/>
      <c r="U177" s="83"/>
    </row>
    <row r="178" spans="1:21" s="84" customFormat="1" x14ac:dyDescent="0.3">
      <c r="A178" s="68">
        <v>39317</v>
      </c>
      <c r="B178" s="69">
        <f t="shared" si="3"/>
        <v>20070823</v>
      </c>
      <c r="C178" s="70">
        <v>4.4699999999999997E-2</v>
      </c>
      <c r="D178" s="77">
        <v>0</v>
      </c>
      <c r="E178" s="77"/>
      <c r="F178" s="77">
        <v>4.4999999999999997E-3</v>
      </c>
      <c r="G178" s="78">
        <v>15000000</v>
      </c>
      <c r="H178" s="79"/>
      <c r="I178" s="79"/>
      <c r="J178" s="79"/>
      <c r="K178" s="80">
        <v>2.1499999999999998E-2</v>
      </c>
      <c r="L178" s="80"/>
      <c r="M178" s="75" t="s">
        <v>143</v>
      </c>
      <c r="N178" s="75" t="b">
        <v>1</v>
      </c>
      <c r="O178" s="75" t="s">
        <v>144</v>
      </c>
      <c r="P178" s="75">
        <v>1994</v>
      </c>
      <c r="Q178" s="75">
        <v>2015</v>
      </c>
      <c r="R178" s="75">
        <v>1</v>
      </c>
      <c r="S178" s="81"/>
      <c r="T178" s="82"/>
      <c r="U178" s="83"/>
    </row>
    <row r="179" spans="1:21" s="84" customFormat="1" x14ac:dyDescent="0.3">
      <c r="A179" s="68">
        <v>39318</v>
      </c>
      <c r="B179" s="69">
        <f t="shared" si="3"/>
        <v>20070824</v>
      </c>
      <c r="C179" s="70">
        <v>4.4400000000000002E-2</v>
      </c>
      <c r="D179" s="77">
        <v>0</v>
      </c>
      <c r="E179" s="77"/>
      <c r="F179" s="77">
        <v>4.4999999999999997E-3</v>
      </c>
      <c r="G179" s="78">
        <v>15000000</v>
      </c>
      <c r="H179" s="79"/>
      <c r="I179" s="79"/>
      <c r="J179" s="79"/>
      <c r="K179" s="80">
        <v>2.1000000000000001E-2</v>
      </c>
      <c r="L179" s="80"/>
      <c r="M179" s="75" t="s">
        <v>143</v>
      </c>
      <c r="N179" s="75" t="b">
        <v>1</v>
      </c>
      <c r="O179" s="75" t="s">
        <v>144</v>
      </c>
      <c r="P179" s="75">
        <v>1994</v>
      </c>
      <c r="Q179" s="75">
        <v>2015</v>
      </c>
      <c r="R179" s="75">
        <v>1</v>
      </c>
      <c r="S179" s="81"/>
      <c r="T179" s="82"/>
      <c r="U179" s="83"/>
    </row>
    <row r="180" spans="1:21" s="84" customFormat="1" x14ac:dyDescent="0.3">
      <c r="A180" s="68">
        <v>39321</v>
      </c>
      <c r="B180" s="69">
        <f t="shared" si="3"/>
        <v>20070827</v>
      </c>
      <c r="C180" s="70">
        <v>4.4000000000000004E-2</v>
      </c>
      <c r="D180" s="77">
        <v>0</v>
      </c>
      <c r="E180" s="77"/>
      <c r="F180" s="77">
        <v>4.4999999999999997E-3</v>
      </c>
      <c r="G180" s="78">
        <v>15000000</v>
      </c>
      <c r="H180" s="79"/>
      <c r="I180" s="79"/>
      <c r="J180" s="79"/>
      <c r="K180" s="80">
        <v>2.0799999999999999E-2</v>
      </c>
      <c r="L180" s="80"/>
      <c r="M180" s="75" t="s">
        <v>143</v>
      </c>
      <c r="N180" s="75" t="b">
        <v>1</v>
      </c>
      <c r="O180" s="75" t="s">
        <v>144</v>
      </c>
      <c r="P180" s="75">
        <v>1994</v>
      </c>
      <c r="Q180" s="75">
        <v>2015</v>
      </c>
      <c r="R180" s="75">
        <v>1</v>
      </c>
      <c r="S180" s="81"/>
      <c r="T180" s="82"/>
      <c r="U180" s="83"/>
    </row>
    <row r="181" spans="1:21" s="84" customFormat="1" x14ac:dyDescent="0.3">
      <c r="A181" s="68">
        <v>39322</v>
      </c>
      <c r="B181" s="69">
        <f t="shared" si="3"/>
        <v>20070828</v>
      </c>
      <c r="C181" s="70">
        <v>4.3700000000000003E-2</v>
      </c>
      <c r="D181" s="77">
        <v>0</v>
      </c>
      <c r="E181" s="77"/>
      <c r="F181" s="77">
        <v>4.4999999999999997E-3</v>
      </c>
      <c r="G181" s="78">
        <v>15000000</v>
      </c>
      <c r="H181" s="79"/>
      <c r="I181" s="79"/>
      <c r="J181" s="79"/>
      <c r="K181" s="80">
        <v>2.07E-2</v>
      </c>
      <c r="L181" s="80"/>
      <c r="M181" s="75" t="s">
        <v>143</v>
      </c>
      <c r="N181" s="75" t="b">
        <v>1</v>
      </c>
      <c r="O181" s="75" t="s">
        <v>144</v>
      </c>
      <c r="P181" s="75">
        <v>1994</v>
      </c>
      <c r="Q181" s="75">
        <v>2015</v>
      </c>
      <c r="R181" s="75">
        <v>1</v>
      </c>
      <c r="S181" s="81"/>
      <c r="T181" s="82"/>
      <c r="U181" s="83"/>
    </row>
    <row r="182" spans="1:21" s="84" customFormat="1" x14ac:dyDescent="0.3">
      <c r="A182" s="68">
        <v>39323</v>
      </c>
      <c r="B182" s="69">
        <f t="shared" si="3"/>
        <v>20070829</v>
      </c>
      <c r="C182" s="70">
        <v>4.4400000000000002E-2</v>
      </c>
      <c r="D182" s="77">
        <v>0</v>
      </c>
      <c r="E182" s="77"/>
      <c r="F182" s="77">
        <v>4.4999999999999997E-3</v>
      </c>
      <c r="G182" s="78">
        <v>15000000</v>
      </c>
      <c r="H182" s="79"/>
      <c r="I182" s="79"/>
      <c r="J182" s="79"/>
      <c r="K182" s="80">
        <v>2.1499999999999998E-2</v>
      </c>
      <c r="L182" s="80"/>
      <c r="M182" s="75" t="s">
        <v>143</v>
      </c>
      <c r="N182" s="75" t="b">
        <v>1</v>
      </c>
      <c r="O182" s="75" t="s">
        <v>144</v>
      </c>
      <c r="P182" s="75">
        <v>1994</v>
      </c>
      <c r="Q182" s="75">
        <v>2015</v>
      </c>
      <c r="R182" s="75">
        <v>1</v>
      </c>
      <c r="S182" s="81"/>
      <c r="T182" s="82"/>
      <c r="U182" s="83"/>
    </row>
    <row r="183" spans="1:21" s="84" customFormat="1" x14ac:dyDescent="0.3">
      <c r="A183" s="68">
        <v>39324</v>
      </c>
      <c r="B183" s="69">
        <f t="shared" si="3"/>
        <v>20070830</v>
      </c>
      <c r="C183" s="70">
        <v>4.4199999999999996E-2</v>
      </c>
      <c r="D183" s="77">
        <v>0</v>
      </c>
      <c r="E183" s="77"/>
      <c r="F183" s="77">
        <v>4.4999999999999997E-3</v>
      </c>
      <c r="G183" s="78">
        <v>15000000</v>
      </c>
      <c r="H183" s="79"/>
      <c r="I183" s="79"/>
      <c r="J183" s="79"/>
      <c r="K183" s="80">
        <v>2.1299999999999999E-2</v>
      </c>
      <c r="L183" s="80"/>
      <c r="M183" s="75" t="s">
        <v>143</v>
      </c>
      <c r="N183" s="75" t="b">
        <v>1</v>
      </c>
      <c r="O183" s="75" t="s">
        <v>144</v>
      </c>
      <c r="P183" s="75">
        <v>1994</v>
      </c>
      <c r="Q183" s="75">
        <v>2015</v>
      </c>
      <c r="R183" s="75">
        <v>1</v>
      </c>
      <c r="S183" s="81"/>
      <c r="T183" s="82"/>
      <c r="U183" s="83"/>
    </row>
    <row r="184" spans="1:21" s="84" customFormat="1" x14ac:dyDescent="0.3">
      <c r="A184" s="68">
        <v>39325</v>
      </c>
      <c r="B184" s="69">
        <f t="shared" si="3"/>
        <v>20070831</v>
      </c>
      <c r="C184" s="70">
        <v>4.4699999999999997E-2</v>
      </c>
      <c r="D184" s="77">
        <v>0</v>
      </c>
      <c r="E184" s="77"/>
      <c r="F184" s="77">
        <v>4.4999999999999997E-3</v>
      </c>
      <c r="G184" s="78">
        <v>15000000</v>
      </c>
      <c r="H184" s="79"/>
      <c r="I184" s="79"/>
      <c r="J184" s="79"/>
      <c r="K184" s="80">
        <v>2.1400000000000002E-2</v>
      </c>
      <c r="L184" s="80"/>
      <c r="M184" s="75" t="s">
        <v>143</v>
      </c>
      <c r="N184" s="75" t="b">
        <v>1</v>
      </c>
      <c r="O184" s="75" t="s">
        <v>144</v>
      </c>
      <c r="P184" s="75">
        <v>1994</v>
      </c>
      <c r="Q184" s="75">
        <v>2015</v>
      </c>
      <c r="R184" s="75">
        <v>1</v>
      </c>
      <c r="S184" s="81"/>
      <c r="T184" s="82"/>
      <c r="U184" s="83"/>
    </row>
    <row r="185" spans="1:21" s="84" customFormat="1" x14ac:dyDescent="0.3">
      <c r="A185" s="68">
        <v>39329</v>
      </c>
      <c r="B185" s="69">
        <f t="shared" si="3"/>
        <v>20070904</v>
      </c>
      <c r="C185" s="70">
        <v>4.4400000000000002E-2</v>
      </c>
      <c r="D185" s="77">
        <v>0</v>
      </c>
      <c r="E185" s="77"/>
      <c r="F185" s="77">
        <v>4.4999999999999997E-3</v>
      </c>
      <c r="G185" s="78">
        <v>15000000</v>
      </c>
      <c r="H185" s="79"/>
      <c r="I185" s="79"/>
      <c r="J185" s="79"/>
      <c r="K185" s="80">
        <v>2.1299999999999999E-2</v>
      </c>
      <c r="L185" s="80"/>
      <c r="M185" s="75" t="s">
        <v>143</v>
      </c>
      <c r="N185" s="75" t="b">
        <v>1</v>
      </c>
      <c r="O185" s="75" t="s">
        <v>144</v>
      </c>
      <c r="P185" s="75">
        <v>1994</v>
      </c>
      <c r="Q185" s="75">
        <v>2015</v>
      </c>
      <c r="R185" s="75">
        <v>1</v>
      </c>
      <c r="S185" s="81"/>
      <c r="T185" s="82"/>
      <c r="U185" s="83"/>
    </row>
    <row r="186" spans="1:21" s="84" customFormat="1" x14ac:dyDescent="0.3">
      <c r="A186" s="68">
        <v>39330</v>
      </c>
      <c r="B186" s="69">
        <f t="shared" si="3"/>
        <v>20070905</v>
      </c>
      <c r="C186" s="70">
        <v>4.4000000000000004E-2</v>
      </c>
      <c r="D186" s="77">
        <v>0</v>
      </c>
      <c r="E186" s="77"/>
      <c r="F186" s="77">
        <v>4.4999999999999997E-3</v>
      </c>
      <c r="G186" s="78">
        <v>15000000</v>
      </c>
      <c r="H186" s="79"/>
      <c r="I186" s="79"/>
      <c r="J186" s="79"/>
      <c r="K186" s="80">
        <v>2.0899999999999998E-2</v>
      </c>
      <c r="L186" s="80"/>
      <c r="M186" s="75" t="s">
        <v>143</v>
      </c>
      <c r="N186" s="75" t="b">
        <v>1</v>
      </c>
      <c r="O186" s="75" t="s">
        <v>144</v>
      </c>
      <c r="P186" s="75">
        <v>1994</v>
      </c>
      <c r="Q186" s="75">
        <v>2015</v>
      </c>
      <c r="R186" s="75">
        <v>1</v>
      </c>
      <c r="S186" s="81"/>
      <c r="T186" s="82"/>
      <c r="U186" s="83"/>
    </row>
    <row r="187" spans="1:21" s="84" customFormat="1" x14ac:dyDescent="0.3">
      <c r="A187" s="68">
        <v>39331</v>
      </c>
      <c r="B187" s="69">
        <f t="shared" si="3"/>
        <v>20070906</v>
      </c>
      <c r="C187" s="70">
        <v>4.4000000000000004E-2</v>
      </c>
      <c r="D187" s="77">
        <v>0</v>
      </c>
      <c r="E187" s="77"/>
      <c r="F187" s="77">
        <v>4.4999999999999997E-3</v>
      </c>
      <c r="G187" s="78">
        <v>15000000</v>
      </c>
      <c r="H187" s="79"/>
      <c r="I187" s="79"/>
      <c r="J187" s="79"/>
      <c r="K187" s="80">
        <v>2.0899999999999998E-2</v>
      </c>
      <c r="L187" s="80"/>
      <c r="M187" s="75" t="s">
        <v>143</v>
      </c>
      <c r="N187" s="75" t="b">
        <v>1</v>
      </c>
      <c r="O187" s="75" t="s">
        <v>144</v>
      </c>
      <c r="P187" s="75">
        <v>1994</v>
      </c>
      <c r="Q187" s="75">
        <v>2015</v>
      </c>
      <c r="R187" s="75">
        <v>1</v>
      </c>
      <c r="S187" s="81"/>
      <c r="T187" s="82"/>
      <c r="U187" s="83"/>
    </row>
    <row r="188" spans="1:21" s="84" customFormat="1" x14ac:dyDescent="0.3">
      <c r="A188" s="68">
        <v>39332</v>
      </c>
      <c r="B188" s="69">
        <f t="shared" si="3"/>
        <v>20070907</v>
      </c>
      <c r="C188" s="70">
        <v>4.36E-2</v>
      </c>
      <c r="D188" s="77">
        <v>0</v>
      </c>
      <c r="E188" s="77"/>
      <c r="F188" s="77">
        <v>4.4999999999999997E-3</v>
      </c>
      <c r="G188" s="78">
        <v>15000000</v>
      </c>
      <c r="H188" s="79"/>
      <c r="I188" s="79"/>
      <c r="J188" s="79"/>
      <c r="K188" s="80">
        <v>2.06E-2</v>
      </c>
      <c r="L188" s="80"/>
      <c r="M188" s="75" t="s">
        <v>143</v>
      </c>
      <c r="N188" s="75" t="b">
        <v>1</v>
      </c>
      <c r="O188" s="75" t="s">
        <v>144</v>
      </c>
      <c r="P188" s="75">
        <v>1994</v>
      </c>
      <c r="Q188" s="75">
        <v>2015</v>
      </c>
      <c r="R188" s="75">
        <v>1</v>
      </c>
      <c r="S188" s="81"/>
      <c r="T188" s="82"/>
      <c r="U188" s="83"/>
    </row>
    <row r="189" spans="1:21" s="84" customFormat="1" x14ac:dyDescent="0.3">
      <c r="A189" s="68">
        <v>39335</v>
      </c>
      <c r="B189" s="69">
        <f t="shared" si="3"/>
        <v>20070910</v>
      </c>
      <c r="C189" s="70">
        <v>4.3499999999999997E-2</v>
      </c>
      <c r="D189" s="77">
        <v>0</v>
      </c>
      <c r="E189" s="77"/>
      <c r="F189" s="77">
        <v>4.4999999999999997E-3</v>
      </c>
      <c r="G189" s="78">
        <v>15000000</v>
      </c>
      <c r="H189" s="79"/>
      <c r="I189" s="79"/>
      <c r="J189" s="79"/>
      <c r="K189" s="80">
        <v>2.0499999999999997E-2</v>
      </c>
      <c r="L189" s="80"/>
      <c r="M189" s="75" t="s">
        <v>143</v>
      </c>
      <c r="N189" s="75" t="b">
        <v>1</v>
      </c>
      <c r="O189" s="75" t="s">
        <v>144</v>
      </c>
      <c r="P189" s="75">
        <v>1994</v>
      </c>
      <c r="Q189" s="75">
        <v>2015</v>
      </c>
      <c r="R189" s="75">
        <v>1</v>
      </c>
      <c r="S189" s="81"/>
      <c r="T189" s="82"/>
      <c r="U189" s="83"/>
    </row>
    <row r="190" spans="1:21" s="84" customFormat="1" x14ac:dyDescent="0.3">
      <c r="A190" s="68">
        <v>39336</v>
      </c>
      <c r="B190" s="69">
        <f t="shared" si="3"/>
        <v>20070911</v>
      </c>
      <c r="C190" s="70">
        <v>4.4000000000000004E-2</v>
      </c>
      <c r="D190" s="77">
        <v>0</v>
      </c>
      <c r="E190" s="77"/>
      <c r="F190" s="77">
        <v>4.4999999999999997E-3</v>
      </c>
      <c r="G190" s="78">
        <v>15000000</v>
      </c>
      <c r="H190" s="79"/>
      <c r="I190" s="79"/>
      <c r="J190" s="79"/>
      <c r="K190" s="80">
        <v>2.0799999999999999E-2</v>
      </c>
      <c r="L190" s="80"/>
      <c r="M190" s="75" t="s">
        <v>143</v>
      </c>
      <c r="N190" s="75" t="b">
        <v>1</v>
      </c>
      <c r="O190" s="75" t="s">
        <v>144</v>
      </c>
      <c r="P190" s="75">
        <v>1994</v>
      </c>
      <c r="Q190" s="75">
        <v>2015</v>
      </c>
      <c r="R190" s="75">
        <v>1</v>
      </c>
      <c r="S190" s="81"/>
      <c r="T190" s="82"/>
      <c r="U190" s="83"/>
    </row>
    <row r="191" spans="1:21" s="84" customFormat="1" x14ac:dyDescent="0.3">
      <c r="A191" s="68">
        <v>39337</v>
      </c>
      <c r="B191" s="69">
        <f t="shared" si="3"/>
        <v>20070912</v>
      </c>
      <c r="C191" s="70">
        <v>4.3899999999999995E-2</v>
      </c>
      <c r="D191" s="77">
        <v>0</v>
      </c>
      <c r="E191" s="77"/>
      <c r="F191" s="77">
        <v>4.4999999999999997E-3</v>
      </c>
      <c r="G191" s="78">
        <v>15000000</v>
      </c>
      <c r="H191" s="79"/>
      <c r="I191" s="79"/>
      <c r="J191" s="79"/>
      <c r="K191" s="80">
        <v>2.07E-2</v>
      </c>
      <c r="L191" s="80"/>
      <c r="M191" s="75" t="s">
        <v>143</v>
      </c>
      <c r="N191" s="75" t="b">
        <v>1</v>
      </c>
      <c r="O191" s="75" t="s">
        <v>144</v>
      </c>
      <c r="P191" s="75">
        <v>1994</v>
      </c>
      <c r="Q191" s="75">
        <v>2015</v>
      </c>
      <c r="R191" s="75">
        <v>1</v>
      </c>
      <c r="S191" s="81"/>
      <c r="T191" s="82"/>
      <c r="U191" s="83"/>
    </row>
    <row r="192" spans="1:21" s="84" customFormat="1" x14ac:dyDescent="0.3">
      <c r="A192" s="68">
        <v>39338</v>
      </c>
      <c r="B192" s="69">
        <f t="shared" si="3"/>
        <v>20070913</v>
      </c>
      <c r="C192" s="70">
        <v>4.41E-2</v>
      </c>
      <c r="D192" s="77">
        <v>0</v>
      </c>
      <c r="E192" s="77"/>
      <c r="F192" s="77">
        <v>4.4999999999999997E-3</v>
      </c>
      <c r="G192" s="78">
        <v>15000000</v>
      </c>
      <c r="H192" s="79"/>
      <c r="I192" s="79"/>
      <c r="J192" s="79"/>
      <c r="K192" s="80">
        <v>2.0799999999999999E-2</v>
      </c>
      <c r="L192" s="80"/>
      <c r="M192" s="75" t="s">
        <v>143</v>
      </c>
      <c r="N192" s="75" t="b">
        <v>1</v>
      </c>
      <c r="O192" s="75" t="s">
        <v>144</v>
      </c>
      <c r="P192" s="75">
        <v>1994</v>
      </c>
      <c r="Q192" s="75">
        <v>2015</v>
      </c>
      <c r="R192" s="75">
        <v>1</v>
      </c>
      <c r="S192" s="81"/>
      <c r="T192" s="82"/>
      <c r="U192" s="83"/>
    </row>
    <row r="193" spans="1:21" s="84" customFormat="1" x14ac:dyDescent="0.3">
      <c r="A193" s="68">
        <v>39339</v>
      </c>
      <c r="B193" s="69">
        <f t="shared" si="3"/>
        <v>20070914</v>
      </c>
      <c r="C193" s="70">
        <v>4.3899999999999995E-2</v>
      </c>
      <c r="D193" s="77">
        <v>0</v>
      </c>
      <c r="E193" s="77"/>
      <c r="F193" s="77">
        <v>4.4999999999999997E-3</v>
      </c>
      <c r="G193" s="78">
        <v>15000000</v>
      </c>
      <c r="H193" s="79"/>
      <c r="I193" s="79"/>
      <c r="J193" s="79"/>
      <c r="K193" s="80">
        <v>2.07E-2</v>
      </c>
      <c r="L193" s="80"/>
      <c r="M193" s="75" t="s">
        <v>143</v>
      </c>
      <c r="N193" s="75" t="b">
        <v>1</v>
      </c>
      <c r="O193" s="75" t="s">
        <v>144</v>
      </c>
      <c r="P193" s="75">
        <v>1994</v>
      </c>
      <c r="Q193" s="75">
        <v>2015</v>
      </c>
      <c r="R193" s="75">
        <v>1</v>
      </c>
      <c r="S193" s="81"/>
      <c r="T193" s="82"/>
      <c r="U193" s="83"/>
    </row>
    <row r="194" spans="1:21" s="84" customFormat="1" x14ac:dyDescent="0.3">
      <c r="A194" s="68">
        <v>39342</v>
      </c>
      <c r="B194" s="69">
        <f t="shared" si="3"/>
        <v>20070917</v>
      </c>
      <c r="C194" s="70">
        <v>4.36E-2</v>
      </c>
      <c r="D194" s="77">
        <v>0</v>
      </c>
      <c r="E194" s="77"/>
      <c r="F194" s="77">
        <v>4.4999999999999997E-3</v>
      </c>
      <c r="G194" s="78">
        <v>15000000</v>
      </c>
      <c r="H194" s="79"/>
      <c r="I194" s="79"/>
      <c r="J194" s="79"/>
      <c r="K194" s="80">
        <v>2.0199999999999999E-2</v>
      </c>
      <c r="L194" s="80"/>
      <c r="M194" s="75" t="s">
        <v>143</v>
      </c>
      <c r="N194" s="75" t="b">
        <v>1</v>
      </c>
      <c r="O194" s="75" t="s">
        <v>144</v>
      </c>
      <c r="P194" s="75">
        <v>1994</v>
      </c>
      <c r="Q194" s="75">
        <v>2015</v>
      </c>
      <c r="R194" s="75">
        <v>1</v>
      </c>
      <c r="S194" s="81"/>
      <c r="T194" s="82"/>
      <c r="U194" s="83"/>
    </row>
    <row r="195" spans="1:21" s="84" customFormat="1" x14ac:dyDescent="0.3">
      <c r="A195" s="68">
        <v>39343</v>
      </c>
      <c r="B195" s="69">
        <f t="shared" si="3"/>
        <v>20070918</v>
      </c>
      <c r="C195" s="70">
        <v>4.3799999999999999E-2</v>
      </c>
      <c r="D195" s="77">
        <v>0</v>
      </c>
      <c r="E195" s="77"/>
      <c r="F195" s="77">
        <v>4.4999999999999997E-3</v>
      </c>
      <c r="G195" s="78">
        <v>15000000</v>
      </c>
      <c r="H195" s="79"/>
      <c r="I195" s="79"/>
      <c r="J195" s="79"/>
      <c r="K195" s="80">
        <v>2.0299999999999999E-2</v>
      </c>
      <c r="L195" s="80"/>
      <c r="M195" s="75" t="s">
        <v>143</v>
      </c>
      <c r="N195" s="75" t="b">
        <v>1</v>
      </c>
      <c r="O195" s="75" t="s">
        <v>144</v>
      </c>
      <c r="P195" s="75">
        <v>1994</v>
      </c>
      <c r="Q195" s="75">
        <v>2015</v>
      </c>
      <c r="R195" s="75">
        <v>1</v>
      </c>
      <c r="S195" s="81"/>
      <c r="T195" s="82"/>
      <c r="U195" s="83"/>
    </row>
    <row r="196" spans="1:21" s="84" customFormat="1" x14ac:dyDescent="0.3">
      <c r="A196" s="68">
        <v>39344</v>
      </c>
      <c r="B196" s="69">
        <f t="shared" si="3"/>
        <v>20070919</v>
      </c>
      <c r="C196" s="70">
        <v>4.4800000000000006E-2</v>
      </c>
      <c r="D196" s="77">
        <v>0</v>
      </c>
      <c r="E196" s="77"/>
      <c r="F196" s="77">
        <v>4.4999999999999997E-3</v>
      </c>
      <c r="G196" s="78">
        <v>15000000</v>
      </c>
      <c r="H196" s="79"/>
      <c r="I196" s="79"/>
      <c r="J196" s="79"/>
      <c r="K196" s="80">
        <v>2.1299999999999999E-2</v>
      </c>
      <c r="L196" s="80"/>
      <c r="M196" s="75" t="s">
        <v>143</v>
      </c>
      <c r="N196" s="75" t="b">
        <v>1</v>
      </c>
      <c r="O196" s="75" t="s">
        <v>144</v>
      </c>
      <c r="P196" s="75">
        <v>1994</v>
      </c>
      <c r="Q196" s="75">
        <v>2015</v>
      </c>
      <c r="R196" s="75">
        <v>1</v>
      </c>
      <c r="S196" s="81"/>
      <c r="T196" s="82"/>
      <c r="U196" s="83"/>
    </row>
    <row r="197" spans="1:21" s="84" customFormat="1" x14ac:dyDescent="0.3">
      <c r="A197" s="68">
        <v>39345</v>
      </c>
      <c r="B197" s="69">
        <f t="shared" si="3"/>
        <v>20070920</v>
      </c>
      <c r="C197" s="70">
        <v>4.5499999999999999E-2</v>
      </c>
      <c r="D197" s="77">
        <v>0</v>
      </c>
      <c r="E197" s="77"/>
      <c r="F197" s="77">
        <v>4.4999999999999997E-3</v>
      </c>
      <c r="G197" s="78">
        <v>15000000</v>
      </c>
      <c r="H197" s="79"/>
      <c r="I197" s="79"/>
      <c r="J197" s="79"/>
      <c r="K197" s="80">
        <v>2.1899999999999999E-2</v>
      </c>
      <c r="L197" s="80"/>
      <c r="M197" s="75" t="s">
        <v>143</v>
      </c>
      <c r="N197" s="75" t="b">
        <v>1</v>
      </c>
      <c r="O197" s="75" t="s">
        <v>144</v>
      </c>
      <c r="P197" s="75">
        <v>1994</v>
      </c>
      <c r="Q197" s="75">
        <v>2015</v>
      </c>
      <c r="R197" s="75">
        <v>1</v>
      </c>
      <c r="S197" s="81"/>
      <c r="T197" s="82"/>
      <c r="U197" s="83"/>
    </row>
    <row r="198" spans="1:21" s="84" customFormat="1" x14ac:dyDescent="0.3">
      <c r="A198" s="68">
        <v>39346</v>
      </c>
      <c r="B198" s="69">
        <f t="shared" si="3"/>
        <v>20070921</v>
      </c>
      <c r="C198" s="70">
        <v>4.4699999999999997E-2</v>
      </c>
      <c r="D198" s="77">
        <v>0</v>
      </c>
      <c r="E198" s="77"/>
      <c r="F198" s="77">
        <v>4.4999999999999997E-3</v>
      </c>
      <c r="G198" s="78">
        <v>15000000</v>
      </c>
      <c r="H198" s="79"/>
      <c r="I198" s="79"/>
      <c r="J198" s="79"/>
      <c r="K198" s="80">
        <v>2.1299999999999999E-2</v>
      </c>
      <c r="L198" s="80"/>
      <c r="M198" s="75" t="s">
        <v>143</v>
      </c>
      <c r="N198" s="75" t="b">
        <v>1</v>
      </c>
      <c r="O198" s="75" t="s">
        <v>144</v>
      </c>
      <c r="P198" s="75">
        <v>1994</v>
      </c>
      <c r="Q198" s="75">
        <v>2015</v>
      </c>
      <c r="R198" s="75">
        <v>1</v>
      </c>
      <c r="S198" s="81"/>
      <c r="T198" s="82"/>
      <c r="U198" s="83"/>
    </row>
    <row r="199" spans="1:21" s="84" customFormat="1" x14ac:dyDescent="0.3">
      <c r="A199" s="68">
        <v>39349</v>
      </c>
      <c r="B199" s="69">
        <f t="shared" si="3"/>
        <v>20070924</v>
      </c>
      <c r="C199" s="70">
        <v>4.4800000000000006E-2</v>
      </c>
      <c r="D199" s="77">
        <v>0</v>
      </c>
      <c r="E199" s="77"/>
      <c r="F199" s="77">
        <v>4.4999999999999997E-3</v>
      </c>
      <c r="G199" s="78">
        <v>15000000</v>
      </c>
      <c r="H199" s="79"/>
      <c r="I199" s="79"/>
      <c r="J199" s="79"/>
      <c r="K199" s="80">
        <v>2.1299999999999999E-2</v>
      </c>
      <c r="L199" s="80"/>
      <c r="M199" s="75" t="s">
        <v>143</v>
      </c>
      <c r="N199" s="75" t="b">
        <v>1</v>
      </c>
      <c r="O199" s="75" t="s">
        <v>144</v>
      </c>
      <c r="P199" s="75">
        <v>1994</v>
      </c>
      <c r="Q199" s="75">
        <v>2015</v>
      </c>
      <c r="R199" s="75">
        <v>1</v>
      </c>
      <c r="S199" s="81"/>
      <c r="T199" s="82"/>
      <c r="U199" s="83"/>
    </row>
    <row r="200" spans="1:21" s="84" customFormat="1" x14ac:dyDescent="0.3">
      <c r="A200" s="68">
        <v>39350</v>
      </c>
      <c r="B200" s="69">
        <f t="shared" si="3"/>
        <v>20070925</v>
      </c>
      <c r="C200" s="70">
        <v>4.4800000000000006E-2</v>
      </c>
      <c r="D200" s="77">
        <v>0</v>
      </c>
      <c r="E200" s="77"/>
      <c r="F200" s="77">
        <v>4.4999999999999997E-3</v>
      </c>
      <c r="G200" s="78">
        <v>15000000</v>
      </c>
      <c r="H200" s="79"/>
      <c r="I200" s="79"/>
      <c r="J200" s="79"/>
      <c r="K200" s="80">
        <v>2.1400000000000002E-2</v>
      </c>
      <c r="L200" s="80"/>
      <c r="M200" s="75" t="s">
        <v>143</v>
      </c>
      <c r="N200" s="75" t="b">
        <v>1</v>
      </c>
      <c r="O200" s="75" t="s">
        <v>144</v>
      </c>
      <c r="P200" s="75">
        <v>1994</v>
      </c>
      <c r="Q200" s="75">
        <v>2015</v>
      </c>
      <c r="R200" s="75">
        <v>1</v>
      </c>
      <c r="S200" s="81"/>
      <c r="T200" s="82"/>
      <c r="U200" s="83"/>
    </row>
    <row r="201" spans="1:21" s="84" customFormat="1" x14ac:dyDescent="0.3">
      <c r="A201" s="68">
        <v>39351</v>
      </c>
      <c r="B201" s="69">
        <f t="shared" si="3"/>
        <v>20070926</v>
      </c>
      <c r="C201" s="70">
        <v>4.4999999999999998E-2</v>
      </c>
      <c r="D201" s="77">
        <v>0</v>
      </c>
      <c r="E201" s="77"/>
      <c r="F201" s="77">
        <v>4.4999999999999997E-3</v>
      </c>
      <c r="G201" s="78">
        <v>15000000</v>
      </c>
      <c r="H201" s="79"/>
      <c r="I201" s="79"/>
      <c r="J201" s="79"/>
      <c r="K201" s="80">
        <v>2.1499999999999998E-2</v>
      </c>
      <c r="L201" s="80"/>
      <c r="M201" s="75" t="s">
        <v>143</v>
      </c>
      <c r="N201" s="75" t="b">
        <v>1</v>
      </c>
      <c r="O201" s="75" t="s">
        <v>144</v>
      </c>
      <c r="P201" s="75">
        <v>1994</v>
      </c>
      <c r="Q201" s="75">
        <v>2015</v>
      </c>
      <c r="R201" s="75">
        <v>1</v>
      </c>
      <c r="S201" s="81"/>
      <c r="T201" s="82"/>
      <c r="U201" s="83"/>
    </row>
    <row r="202" spans="1:21" s="84" customFormat="1" x14ac:dyDescent="0.3">
      <c r="A202" s="68">
        <v>39352</v>
      </c>
      <c r="B202" s="69">
        <f t="shared" ref="B202:B265" si="4">YEAR(A202)*10000+MONTH(A202)*100+DAY(A202)</f>
        <v>20070927</v>
      </c>
      <c r="C202" s="70">
        <v>4.4800000000000006E-2</v>
      </c>
      <c r="D202" s="77">
        <v>0</v>
      </c>
      <c r="E202" s="77"/>
      <c r="F202" s="77">
        <v>4.4999999999999997E-3</v>
      </c>
      <c r="G202" s="78">
        <v>15000000</v>
      </c>
      <c r="H202" s="79"/>
      <c r="I202" s="79"/>
      <c r="J202" s="79"/>
      <c r="K202" s="80">
        <v>2.1299999999999999E-2</v>
      </c>
      <c r="L202" s="80"/>
      <c r="M202" s="75" t="s">
        <v>143</v>
      </c>
      <c r="N202" s="75" t="b">
        <v>1</v>
      </c>
      <c r="O202" s="75" t="s">
        <v>144</v>
      </c>
      <c r="P202" s="75">
        <v>1994</v>
      </c>
      <c r="Q202" s="75">
        <v>2015</v>
      </c>
      <c r="R202" s="75">
        <v>1</v>
      </c>
      <c r="S202" s="81"/>
      <c r="T202" s="82"/>
      <c r="U202" s="83"/>
    </row>
    <row r="203" spans="1:21" s="84" customFormat="1" x14ac:dyDescent="0.3">
      <c r="A203" s="68">
        <v>39353</v>
      </c>
      <c r="B203" s="69">
        <f t="shared" si="4"/>
        <v>20070928</v>
      </c>
      <c r="C203" s="70">
        <v>4.4400000000000002E-2</v>
      </c>
      <c r="D203" s="77">
        <v>0</v>
      </c>
      <c r="E203" s="77"/>
      <c r="F203" s="77">
        <v>4.4999999999999997E-3</v>
      </c>
      <c r="G203" s="78">
        <v>15000000</v>
      </c>
      <c r="H203" s="79"/>
      <c r="I203" s="79"/>
      <c r="J203" s="79"/>
      <c r="K203" s="80">
        <v>2.07E-2</v>
      </c>
      <c r="L203" s="80"/>
      <c r="M203" s="75" t="s">
        <v>143</v>
      </c>
      <c r="N203" s="75" t="b">
        <v>1</v>
      </c>
      <c r="O203" s="75" t="s">
        <v>144</v>
      </c>
      <c r="P203" s="75">
        <v>1994</v>
      </c>
      <c r="Q203" s="75">
        <v>2015</v>
      </c>
      <c r="R203" s="75">
        <v>1</v>
      </c>
      <c r="S203" s="81"/>
      <c r="T203" s="82"/>
      <c r="U203" s="83"/>
    </row>
    <row r="204" spans="1:21" s="84" customFormat="1" x14ac:dyDescent="0.3">
      <c r="A204" s="68">
        <v>39356</v>
      </c>
      <c r="B204" s="69">
        <f t="shared" si="4"/>
        <v>20071001</v>
      </c>
      <c r="C204" s="70">
        <v>4.4299999999999999E-2</v>
      </c>
      <c r="D204" s="77">
        <v>0</v>
      </c>
      <c r="E204" s="77"/>
      <c r="F204" s="77">
        <v>4.4999999999999997E-3</v>
      </c>
      <c r="G204" s="78">
        <v>15000000</v>
      </c>
      <c r="H204" s="79"/>
      <c r="I204" s="79"/>
      <c r="J204" s="79"/>
      <c r="K204" s="80">
        <v>2.0499999999999997E-2</v>
      </c>
      <c r="L204" s="80"/>
      <c r="M204" s="75" t="s">
        <v>143</v>
      </c>
      <c r="N204" s="75" t="b">
        <v>1</v>
      </c>
      <c r="O204" s="75" t="s">
        <v>144</v>
      </c>
      <c r="P204" s="75">
        <v>1994</v>
      </c>
      <c r="Q204" s="75">
        <v>2015</v>
      </c>
      <c r="R204" s="75">
        <v>1</v>
      </c>
      <c r="S204" s="81"/>
      <c r="T204" s="82"/>
      <c r="U204" s="83"/>
    </row>
    <row r="205" spans="1:21" s="84" customFormat="1" x14ac:dyDescent="0.3">
      <c r="A205" s="68">
        <v>39357</v>
      </c>
      <c r="B205" s="69">
        <f t="shared" si="4"/>
        <v>20071002</v>
      </c>
      <c r="C205" s="70">
        <v>4.4199999999999996E-2</v>
      </c>
      <c r="D205" s="77">
        <v>0</v>
      </c>
      <c r="E205" s="77"/>
      <c r="F205" s="77">
        <v>4.4999999999999997E-3</v>
      </c>
      <c r="G205" s="78">
        <v>15000000</v>
      </c>
      <c r="H205" s="79"/>
      <c r="I205" s="79"/>
      <c r="J205" s="79"/>
      <c r="K205" s="80">
        <v>2.0400000000000001E-2</v>
      </c>
      <c r="L205" s="80"/>
      <c r="M205" s="75" t="s">
        <v>143</v>
      </c>
      <c r="N205" s="75" t="b">
        <v>1</v>
      </c>
      <c r="O205" s="75" t="s">
        <v>144</v>
      </c>
      <c r="P205" s="75">
        <v>1994</v>
      </c>
      <c r="Q205" s="75">
        <v>2015</v>
      </c>
      <c r="R205" s="75">
        <v>1</v>
      </c>
      <c r="S205" s="81"/>
      <c r="T205" s="82"/>
      <c r="U205" s="83"/>
    </row>
    <row r="206" spans="1:21" s="84" customFormat="1" x14ac:dyDescent="0.3">
      <c r="A206" s="68">
        <v>39358</v>
      </c>
      <c r="B206" s="69">
        <f t="shared" si="4"/>
        <v>20071003</v>
      </c>
      <c r="C206" s="70">
        <v>4.4500000000000005E-2</v>
      </c>
      <c r="D206" s="77">
        <v>0</v>
      </c>
      <c r="E206" s="77"/>
      <c r="F206" s="77">
        <v>4.4999999999999997E-3</v>
      </c>
      <c r="G206" s="78">
        <v>15000000</v>
      </c>
      <c r="H206" s="79"/>
      <c r="I206" s="79"/>
      <c r="J206" s="79"/>
      <c r="K206" s="80">
        <v>2.0799999999999999E-2</v>
      </c>
      <c r="L206" s="80"/>
      <c r="M206" s="75" t="s">
        <v>143</v>
      </c>
      <c r="N206" s="75" t="b">
        <v>1</v>
      </c>
      <c r="O206" s="75" t="s">
        <v>144</v>
      </c>
      <c r="P206" s="75">
        <v>1994</v>
      </c>
      <c r="Q206" s="75">
        <v>2015</v>
      </c>
      <c r="R206" s="75">
        <v>1</v>
      </c>
      <c r="S206" s="81"/>
      <c r="T206" s="82"/>
      <c r="U206" s="83"/>
    </row>
    <row r="207" spans="1:21" s="84" customFormat="1" x14ac:dyDescent="0.3">
      <c r="A207" s="68">
        <v>39359</v>
      </c>
      <c r="B207" s="69">
        <f t="shared" si="4"/>
        <v>20071004</v>
      </c>
      <c r="C207" s="70">
        <v>4.41E-2</v>
      </c>
      <c r="D207" s="77">
        <v>0</v>
      </c>
      <c r="E207" s="77"/>
      <c r="F207" s="77">
        <v>4.4999999999999997E-3</v>
      </c>
      <c r="G207" s="78">
        <v>15000000</v>
      </c>
      <c r="H207" s="79"/>
      <c r="I207" s="79"/>
      <c r="J207" s="79"/>
      <c r="K207" s="80">
        <v>2.0299999999999999E-2</v>
      </c>
      <c r="L207" s="80"/>
      <c r="M207" s="75" t="s">
        <v>143</v>
      </c>
      <c r="N207" s="75" t="b">
        <v>1</v>
      </c>
      <c r="O207" s="75" t="s">
        <v>144</v>
      </c>
      <c r="P207" s="75">
        <v>1994</v>
      </c>
      <c r="Q207" s="75">
        <v>2015</v>
      </c>
      <c r="R207" s="75">
        <v>1</v>
      </c>
      <c r="S207" s="81"/>
      <c r="T207" s="82"/>
      <c r="U207" s="83"/>
    </row>
    <row r="208" spans="1:21" s="84" customFormat="1" x14ac:dyDescent="0.3">
      <c r="A208" s="68">
        <v>39360</v>
      </c>
      <c r="B208" s="69">
        <f t="shared" si="4"/>
        <v>20071005</v>
      </c>
      <c r="C208" s="70">
        <v>4.4900000000000002E-2</v>
      </c>
      <c r="D208" s="77">
        <v>0</v>
      </c>
      <c r="E208" s="77"/>
      <c r="F208" s="77">
        <v>4.4999999999999997E-3</v>
      </c>
      <c r="G208" s="78">
        <v>15000000</v>
      </c>
      <c r="H208" s="79"/>
      <c r="I208" s="79"/>
      <c r="J208" s="79"/>
      <c r="K208" s="80">
        <v>2.1000000000000001E-2</v>
      </c>
      <c r="L208" s="80"/>
      <c r="M208" s="75" t="s">
        <v>143</v>
      </c>
      <c r="N208" s="75" t="b">
        <v>1</v>
      </c>
      <c r="O208" s="75" t="s">
        <v>144</v>
      </c>
      <c r="P208" s="75">
        <v>1994</v>
      </c>
      <c r="Q208" s="75">
        <v>2015</v>
      </c>
      <c r="R208" s="75">
        <v>1</v>
      </c>
      <c r="S208" s="81"/>
      <c r="T208" s="82"/>
      <c r="U208" s="83"/>
    </row>
    <row r="209" spans="1:21" s="84" customFormat="1" x14ac:dyDescent="0.3">
      <c r="A209" s="68">
        <v>39364</v>
      </c>
      <c r="B209" s="69">
        <f t="shared" si="4"/>
        <v>20071009</v>
      </c>
      <c r="C209" s="70">
        <v>4.5100000000000001E-2</v>
      </c>
      <c r="D209" s="77">
        <v>0</v>
      </c>
      <c r="E209" s="77"/>
      <c r="F209" s="77">
        <v>4.4999999999999997E-3</v>
      </c>
      <c r="G209" s="78">
        <v>15000000</v>
      </c>
      <c r="H209" s="79"/>
      <c r="I209" s="79"/>
      <c r="J209" s="79"/>
      <c r="K209" s="80">
        <v>2.12E-2</v>
      </c>
      <c r="L209" s="80"/>
      <c r="M209" s="75" t="s">
        <v>143</v>
      </c>
      <c r="N209" s="75" t="b">
        <v>1</v>
      </c>
      <c r="O209" s="75" t="s">
        <v>144</v>
      </c>
      <c r="P209" s="75">
        <v>1994</v>
      </c>
      <c r="Q209" s="75">
        <v>2015</v>
      </c>
      <c r="R209" s="75">
        <v>1</v>
      </c>
      <c r="S209" s="81"/>
      <c r="T209" s="82"/>
      <c r="U209" s="83"/>
    </row>
    <row r="210" spans="1:21" s="84" customFormat="1" x14ac:dyDescent="0.3">
      <c r="A210" s="68">
        <v>39365</v>
      </c>
      <c r="B210" s="69">
        <f t="shared" si="4"/>
        <v>20071010</v>
      </c>
      <c r="C210" s="70">
        <v>4.4800000000000006E-2</v>
      </c>
      <c r="D210" s="77">
        <v>0</v>
      </c>
      <c r="E210" s="77"/>
      <c r="F210" s="77">
        <v>4.4999999999999997E-3</v>
      </c>
      <c r="G210" s="78">
        <v>15000000</v>
      </c>
      <c r="H210" s="79"/>
      <c r="I210" s="79"/>
      <c r="J210" s="79"/>
      <c r="K210" s="80">
        <v>2.1000000000000001E-2</v>
      </c>
      <c r="L210" s="80"/>
      <c r="M210" s="75" t="s">
        <v>143</v>
      </c>
      <c r="N210" s="75" t="b">
        <v>1</v>
      </c>
      <c r="O210" s="75" t="s">
        <v>144</v>
      </c>
      <c r="P210" s="75">
        <v>1994</v>
      </c>
      <c r="Q210" s="75">
        <v>2015</v>
      </c>
      <c r="R210" s="75">
        <v>1</v>
      </c>
      <c r="S210" s="81"/>
      <c r="T210" s="82"/>
      <c r="U210" s="83"/>
    </row>
    <row r="211" spans="1:21" s="84" customFormat="1" x14ac:dyDescent="0.3">
      <c r="A211" s="68">
        <v>39366</v>
      </c>
      <c r="B211" s="69">
        <f t="shared" si="4"/>
        <v>20071011</v>
      </c>
      <c r="C211" s="70">
        <v>4.4900000000000002E-2</v>
      </c>
      <c r="D211" s="77">
        <v>0</v>
      </c>
      <c r="E211" s="77"/>
      <c r="F211" s="77">
        <v>4.4999999999999997E-3</v>
      </c>
      <c r="G211" s="78">
        <v>15000000</v>
      </c>
      <c r="H211" s="79"/>
      <c r="I211" s="79"/>
      <c r="J211" s="79"/>
      <c r="K211" s="80">
        <v>2.0899999999999998E-2</v>
      </c>
      <c r="L211" s="80"/>
      <c r="M211" s="75" t="s">
        <v>143</v>
      </c>
      <c r="N211" s="75" t="b">
        <v>1</v>
      </c>
      <c r="O211" s="75" t="s">
        <v>144</v>
      </c>
      <c r="P211" s="75">
        <v>1994</v>
      </c>
      <c r="Q211" s="75">
        <v>2015</v>
      </c>
      <c r="R211" s="75">
        <v>1</v>
      </c>
      <c r="S211" s="81"/>
      <c r="T211" s="82"/>
      <c r="U211" s="83"/>
    </row>
    <row r="212" spans="1:21" s="84" customFormat="1" x14ac:dyDescent="0.3">
      <c r="A212" s="68">
        <v>39367</v>
      </c>
      <c r="B212" s="69">
        <f t="shared" si="4"/>
        <v>20071012</v>
      </c>
      <c r="C212" s="70">
        <v>4.5400000000000003E-2</v>
      </c>
      <c r="D212" s="77">
        <v>0</v>
      </c>
      <c r="E212" s="77"/>
      <c r="F212" s="77">
        <v>4.4999999999999997E-3</v>
      </c>
      <c r="G212" s="78">
        <v>15000000</v>
      </c>
      <c r="H212" s="79"/>
      <c r="I212" s="79"/>
      <c r="J212" s="79"/>
      <c r="K212" s="80">
        <v>2.1400000000000002E-2</v>
      </c>
      <c r="L212" s="80"/>
      <c r="M212" s="75" t="s">
        <v>143</v>
      </c>
      <c r="N212" s="75" t="b">
        <v>1</v>
      </c>
      <c r="O212" s="75" t="s">
        <v>144</v>
      </c>
      <c r="P212" s="75">
        <v>1994</v>
      </c>
      <c r="Q212" s="75">
        <v>2015</v>
      </c>
      <c r="R212" s="75">
        <v>1</v>
      </c>
      <c r="S212" s="81"/>
      <c r="T212" s="82"/>
      <c r="U212" s="83"/>
    </row>
    <row r="213" spans="1:21" s="84" customFormat="1" x14ac:dyDescent="0.3">
      <c r="A213" s="68">
        <v>39370</v>
      </c>
      <c r="B213" s="69">
        <f t="shared" si="4"/>
        <v>20071015</v>
      </c>
      <c r="C213" s="70">
        <v>4.53E-2</v>
      </c>
      <c r="D213" s="77">
        <v>0</v>
      </c>
      <c r="E213" s="77"/>
      <c r="F213" s="77">
        <v>4.4999999999999997E-3</v>
      </c>
      <c r="G213" s="78">
        <v>15000000</v>
      </c>
      <c r="H213" s="79"/>
      <c r="I213" s="79"/>
      <c r="J213" s="79"/>
      <c r="K213" s="80">
        <v>2.1299999999999999E-2</v>
      </c>
      <c r="L213" s="80"/>
      <c r="M213" s="75" t="s">
        <v>143</v>
      </c>
      <c r="N213" s="75" t="b">
        <v>1</v>
      </c>
      <c r="O213" s="75" t="s">
        <v>144</v>
      </c>
      <c r="P213" s="75">
        <v>1994</v>
      </c>
      <c r="Q213" s="75">
        <v>2015</v>
      </c>
      <c r="R213" s="75">
        <v>1</v>
      </c>
      <c r="S213" s="81"/>
      <c r="T213" s="82"/>
      <c r="U213" s="83"/>
    </row>
    <row r="214" spans="1:21" s="84" customFormat="1" x14ac:dyDescent="0.3">
      <c r="A214" s="68">
        <v>39371</v>
      </c>
      <c r="B214" s="69">
        <f t="shared" si="4"/>
        <v>20071016</v>
      </c>
      <c r="C214" s="70">
        <v>4.5100000000000001E-2</v>
      </c>
      <c r="D214" s="77">
        <v>0</v>
      </c>
      <c r="E214" s="77"/>
      <c r="F214" s="77">
        <v>4.4999999999999997E-3</v>
      </c>
      <c r="G214" s="78">
        <v>15000000</v>
      </c>
      <c r="H214" s="79"/>
      <c r="I214" s="79"/>
      <c r="J214" s="79"/>
      <c r="K214" s="80">
        <v>2.1099999999999997E-2</v>
      </c>
      <c r="L214" s="80"/>
      <c r="M214" s="75" t="s">
        <v>143</v>
      </c>
      <c r="N214" s="75" t="b">
        <v>1</v>
      </c>
      <c r="O214" s="75" t="s">
        <v>144</v>
      </c>
      <c r="P214" s="75">
        <v>1994</v>
      </c>
      <c r="Q214" s="75">
        <v>2015</v>
      </c>
      <c r="R214" s="75">
        <v>1</v>
      </c>
      <c r="S214" s="81"/>
      <c r="T214" s="82"/>
      <c r="U214" s="83"/>
    </row>
    <row r="215" spans="1:21" s="84" customFormat="1" x14ac:dyDescent="0.3">
      <c r="A215" s="68">
        <v>39372</v>
      </c>
      <c r="B215" s="69">
        <f t="shared" si="4"/>
        <v>20071017</v>
      </c>
      <c r="C215" s="70">
        <v>4.4800000000000006E-2</v>
      </c>
      <c r="D215" s="77">
        <v>0</v>
      </c>
      <c r="E215" s="77"/>
      <c r="F215" s="77">
        <v>4.4999999999999997E-3</v>
      </c>
      <c r="G215" s="78">
        <v>15000000</v>
      </c>
      <c r="H215" s="79"/>
      <c r="I215" s="79"/>
      <c r="J215" s="79"/>
      <c r="K215" s="80">
        <v>2.12E-2</v>
      </c>
      <c r="L215" s="80"/>
      <c r="M215" s="75" t="s">
        <v>143</v>
      </c>
      <c r="N215" s="75" t="b">
        <v>1</v>
      </c>
      <c r="O215" s="75" t="s">
        <v>144</v>
      </c>
      <c r="P215" s="75">
        <v>1994</v>
      </c>
      <c r="Q215" s="75">
        <v>2015</v>
      </c>
      <c r="R215" s="75">
        <v>1</v>
      </c>
      <c r="S215" s="81"/>
      <c r="T215" s="82"/>
      <c r="U215" s="83"/>
    </row>
    <row r="216" spans="1:21" s="84" customFormat="1" x14ac:dyDescent="0.3">
      <c r="A216" s="68">
        <v>39373</v>
      </c>
      <c r="B216" s="69">
        <f t="shared" si="4"/>
        <v>20071018</v>
      </c>
      <c r="C216" s="70">
        <v>4.4400000000000002E-2</v>
      </c>
      <c r="D216" s="77">
        <v>0</v>
      </c>
      <c r="E216" s="77"/>
      <c r="F216" s="77">
        <v>4.4999999999999997E-3</v>
      </c>
      <c r="G216" s="78">
        <v>15000000</v>
      </c>
      <c r="H216" s="79"/>
      <c r="I216" s="79"/>
      <c r="J216" s="79"/>
      <c r="K216" s="80">
        <v>2.07E-2</v>
      </c>
      <c r="L216" s="80"/>
      <c r="M216" s="75" t="s">
        <v>143</v>
      </c>
      <c r="N216" s="75" t="b">
        <v>1</v>
      </c>
      <c r="O216" s="75" t="s">
        <v>144</v>
      </c>
      <c r="P216" s="75">
        <v>1994</v>
      </c>
      <c r="Q216" s="75">
        <v>2015</v>
      </c>
      <c r="R216" s="75">
        <v>1</v>
      </c>
      <c r="S216" s="81"/>
      <c r="T216" s="82"/>
      <c r="U216" s="83"/>
    </row>
    <row r="217" spans="1:21" s="84" customFormat="1" x14ac:dyDescent="0.3">
      <c r="A217" s="68">
        <v>39374</v>
      </c>
      <c r="B217" s="69">
        <f t="shared" si="4"/>
        <v>20071019</v>
      </c>
      <c r="C217" s="70">
        <v>4.3899999999999995E-2</v>
      </c>
      <c r="D217" s="77">
        <v>0</v>
      </c>
      <c r="E217" s="77"/>
      <c r="F217" s="77">
        <v>4.4999999999999997E-3</v>
      </c>
      <c r="G217" s="78">
        <v>15000000</v>
      </c>
      <c r="H217" s="79"/>
      <c r="I217" s="79"/>
      <c r="J217" s="79"/>
      <c r="K217" s="80">
        <v>2.0299999999999999E-2</v>
      </c>
      <c r="L217" s="80"/>
      <c r="M217" s="75" t="s">
        <v>143</v>
      </c>
      <c r="N217" s="75" t="b">
        <v>1</v>
      </c>
      <c r="O217" s="75" t="s">
        <v>144</v>
      </c>
      <c r="P217" s="75">
        <v>1994</v>
      </c>
      <c r="Q217" s="75">
        <v>2015</v>
      </c>
      <c r="R217" s="75">
        <v>1</v>
      </c>
      <c r="S217" s="81"/>
      <c r="T217" s="82"/>
      <c r="U217" s="83"/>
    </row>
    <row r="218" spans="1:21" s="84" customFormat="1" x14ac:dyDescent="0.3">
      <c r="A218" s="68">
        <v>39377</v>
      </c>
      <c r="B218" s="69">
        <f t="shared" si="4"/>
        <v>20071022</v>
      </c>
      <c r="C218" s="70">
        <v>4.3899999999999995E-2</v>
      </c>
      <c r="D218" s="77">
        <v>0</v>
      </c>
      <c r="E218" s="77"/>
      <c r="F218" s="77">
        <v>4.4999999999999997E-3</v>
      </c>
      <c r="G218" s="78">
        <v>15000000</v>
      </c>
      <c r="H218" s="79"/>
      <c r="I218" s="79"/>
      <c r="J218" s="79"/>
      <c r="K218" s="80">
        <v>2.0299999999999999E-2</v>
      </c>
      <c r="L218" s="80"/>
      <c r="M218" s="75" t="s">
        <v>143</v>
      </c>
      <c r="N218" s="75" t="b">
        <v>1</v>
      </c>
      <c r="O218" s="75" t="s">
        <v>144</v>
      </c>
      <c r="P218" s="75">
        <v>1994</v>
      </c>
      <c r="Q218" s="75">
        <v>2015</v>
      </c>
      <c r="R218" s="75">
        <v>1</v>
      </c>
      <c r="S218" s="81"/>
      <c r="T218" s="82"/>
      <c r="U218" s="83"/>
    </row>
    <row r="219" spans="1:21" s="84" customFormat="1" x14ac:dyDescent="0.3">
      <c r="A219" s="68">
        <v>39378</v>
      </c>
      <c r="B219" s="69">
        <f t="shared" si="4"/>
        <v>20071023</v>
      </c>
      <c r="C219" s="70">
        <v>4.4000000000000004E-2</v>
      </c>
      <c r="D219" s="77">
        <v>0</v>
      </c>
      <c r="E219" s="77"/>
      <c r="F219" s="77">
        <v>4.4999999999999997E-3</v>
      </c>
      <c r="G219" s="78">
        <v>15000000</v>
      </c>
      <c r="H219" s="79"/>
      <c r="I219" s="79"/>
      <c r="J219" s="79"/>
      <c r="K219" s="80">
        <v>2.0400000000000001E-2</v>
      </c>
      <c r="L219" s="80"/>
      <c r="M219" s="75" t="s">
        <v>143</v>
      </c>
      <c r="N219" s="75" t="b">
        <v>1</v>
      </c>
      <c r="O219" s="75" t="s">
        <v>144</v>
      </c>
      <c r="P219" s="75">
        <v>1994</v>
      </c>
      <c r="Q219" s="75">
        <v>2015</v>
      </c>
      <c r="R219" s="75">
        <v>1</v>
      </c>
      <c r="S219" s="81"/>
      <c r="T219" s="82"/>
      <c r="U219" s="83"/>
    </row>
    <row r="220" spans="1:21" s="84" customFormat="1" x14ac:dyDescent="0.3">
      <c r="A220" s="68">
        <v>39379</v>
      </c>
      <c r="B220" s="69">
        <f t="shared" si="4"/>
        <v>20071024</v>
      </c>
      <c r="C220" s="70">
        <v>4.3799999999999999E-2</v>
      </c>
      <c r="D220" s="77">
        <v>0</v>
      </c>
      <c r="E220" s="77"/>
      <c r="F220" s="77">
        <v>4.4999999999999997E-3</v>
      </c>
      <c r="G220" s="78">
        <v>15000000</v>
      </c>
      <c r="H220" s="79"/>
      <c r="I220" s="79"/>
      <c r="J220" s="79"/>
      <c r="K220" s="80">
        <v>2.0199999999999999E-2</v>
      </c>
      <c r="L220" s="80"/>
      <c r="M220" s="75" t="s">
        <v>143</v>
      </c>
      <c r="N220" s="75" t="b">
        <v>1</v>
      </c>
      <c r="O220" s="75" t="s">
        <v>144</v>
      </c>
      <c r="P220" s="75">
        <v>1994</v>
      </c>
      <c r="Q220" s="75">
        <v>2015</v>
      </c>
      <c r="R220" s="75">
        <v>1</v>
      </c>
      <c r="S220" s="81"/>
      <c r="T220" s="82"/>
      <c r="U220" s="83"/>
    </row>
    <row r="221" spans="1:21" s="84" customFormat="1" x14ac:dyDescent="0.3">
      <c r="A221" s="68">
        <v>39380</v>
      </c>
      <c r="B221" s="69">
        <f t="shared" si="4"/>
        <v>20071025</v>
      </c>
      <c r="C221" s="70">
        <v>4.4000000000000004E-2</v>
      </c>
      <c r="D221" s="77">
        <v>0</v>
      </c>
      <c r="E221" s="77"/>
      <c r="F221" s="77">
        <v>4.4999999999999997E-3</v>
      </c>
      <c r="G221" s="78">
        <v>15000000</v>
      </c>
      <c r="H221" s="79"/>
      <c r="I221" s="79"/>
      <c r="J221" s="79"/>
      <c r="K221" s="80">
        <v>2.0299999999999999E-2</v>
      </c>
      <c r="L221" s="80"/>
      <c r="M221" s="75" t="s">
        <v>143</v>
      </c>
      <c r="N221" s="75" t="b">
        <v>1</v>
      </c>
      <c r="O221" s="75" t="s">
        <v>144</v>
      </c>
      <c r="P221" s="75">
        <v>1994</v>
      </c>
      <c r="Q221" s="75">
        <v>2015</v>
      </c>
      <c r="R221" s="75">
        <v>1</v>
      </c>
      <c r="S221" s="81"/>
      <c r="T221" s="82"/>
      <c r="U221" s="83"/>
    </row>
    <row r="222" spans="1:21" s="84" customFormat="1" x14ac:dyDescent="0.3">
      <c r="A222" s="68">
        <v>39381</v>
      </c>
      <c r="B222" s="69">
        <f t="shared" si="4"/>
        <v>20071026</v>
      </c>
      <c r="C222" s="70">
        <v>4.3700000000000003E-2</v>
      </c>
      <c r="D222" s="77">
        <v>0</v>
      </c>
      <c r="E222" s="77"/>
      <c r="F222" s="77">
        <v>4.4999999999999997E-3</v>
      </c>
      <c r="G222" s="78">
        <v>15000000</v>
      </c>
      <c r="H222" s="79"/>
      <c r="I222" s="79"/>
      <c r="J222" s="79"/>
      <c r="K222" s="80">
        <v>0.02</v>
      </c>
      <c r="L222" s="80"/>
      <c r="M222" s="75" t="s">
        <v>143</v>
      </c>
      <c r="N222" s="75" t="b">
        <v>1</v>
      </c>
      <c r="O222" s="75" t="s">
        <v>144</v>
      </c>
      <c r="P222" s="75">
        <v>1994</v>
      </c>
      <c r="Q222" s="75">
        <v>2015</v>
      </c>
      <c r="R222" s="75">
        <v>1</v>
      </c>
      <c r="S222" s="81"/>
      <c r="T222" s="82"/>
      <c r="U222" s="83"/>
    </row>
    <row r="223" spans="1:21" s="84" customFormat="1" x14ac:dyDescent="0.3">
      <c r="A223" s="68">
        <v>39384</v>
      </c>
      <c r="B223" s="69">
        <f t="shared" si="4"/>
        <v>20071029</v>
      </c>
      <c r="C223" s="70">
        <v>4.36E-2</v>
      </c>
      <c r="D223" s="77">
        <v>0</v>
      </c>
      <c r="E223" s="77"/>
      <c r="F223" s="77">
        <v>4.4999999999999997E-3</v>
      </c>
      <c r="G223" s="78">
        <v>15000000</v>
      </c>
      <c r="H223" s="79"/>
      <c r="I223" s="79"/>
      <c r="J223" s="79"/>
      <c r="K223" s="80">
        <v>0.02</v>
      </c>
      <c r="L223" s="80"/>
      <c r="M223" s="75" t="s">
        <v>143</v>
      </c>
      <c r="N223" s="75" t="b">
        <v>1</v>
      </c>
      <c r="O223" s="75" t="s">
        <v>144</v>
      </c>
      <c r="P223" s="75">
        <v>1994</v>
      </c>
      <c r="Q223" s="75">
        <v>2015</v>
      </c>
      <c r="R223" s="75">
        <v>1</v>
      </c>
      <c r="S223" s="81"/>
      <c r="T223" s="82"/>
      <c r="U223" s="83"/>
    </row>
    <row r="224" spans="1:21" s="84" customFormat="1" x14ac:dyDescent="0.3">
      <c r="A224" s="68">
        <v>39385</v>
      </c>
      <c r="B224" s="69">
        <f t="shared" si="4"/>
        <v>20071030</v>
      </c>
      <c r="C224" s="70">
        <v>4.36E-2</v>
      </c>
      <c r="D224" s="77">
        <v>0</v>
      </c>
      <c r="E224" s="77"/>
      <c r="F224" s="77">
        <v>4.4999999999999997E-3</v>
      </c>
      <c r="G224" s="78">
        <v>15000000</v>
      </c>
      <c r="H224" s="79"/>
      <c r="I224" s="79"/>
      <c r="J224" s="79"/>
      <c r="K224" s="80">
        <v>2.0199999999999999E-2</v>
      </c>
      <c r="L224" s="80"/>
      <c r="M224" s="75" t="s">
        <v>143</v>
      </c>
      <c r="N224" s="75" t="b">
        <v>1</v>
      </c>
      <c r="O224" s="75" t="s">
        <v>144</v>
      </c>
      <c r="P224" s="75">
        <v>1994</v>
      </c>
      <c r="Q224" s="75">
        <v>2015</v>
      </c>
      <c r="R224" s="75">
        <v>1</v>
      </c>
      <c r="S224" s="81"/>
      <c r="T224" s="82"/>
      <c r="U224" s="83"/>
    </row>
    <row r="225" spans="1:21" s="84" customFormat="1" x14ac:dyDescent="0.3">
      <c r="A225" s="68">
        <v>39386</v>
      </c>
      <c r="B225" s="69">
        <f t="shared" si="4"/>
        <v>20071031</v>
      </c>
      <c r="C225" s="70">
        <v>4.3899999999999995E-2</v>
      </c>
      <c r="D225" s="77">
        <v>0</v>
      </c>
      <c r="E225" s="77"/>
      <c r="F225" s="77">
        <v>4.4999999999999997E-3</v>
      </c>
      <c r="G225" s="78">
        <v>15000000</v>
      </c>
      <c r="H225" s="79"/>
      <c r="I225" s="79"/>
      <c r="J225" s="79"/>
      <c r="K225" s="80">
        <v>2.0499999999999997E-2</v>
      </c>
      <c r="L225" s="80"/>
      <c r="M225" s="75" t="s">
        <v>143</v>
      </c>
      <c r="N225" s="75" t="b">
        <v>1</v>
      </c>
      <c r="O225" s="75" t="s">
        <v>144</v>
      </c>
      <c r="P225" s="75">
        <v>1994</v>
      </c>
      <c r="Q225" s="75">
        <v>2015</v>
      </c>
      <c r="R225" s="75">
        <v>1</v>
      </c>
      <c r="S225" s="81"/>
      <c r="T225" s="82"/>
      <c r="U225" s="83"/>
    </row>
    <row r="226" spans="1:21" s="84" customFormat="1" x14ac:dyDescent="0.3">
      <c r="A226" s="68">
        <v>39387</v>
      </c>
      <c r="B226" s="69">
        <f t="shared" si="4"/>
        <v>20071101</v>
      </c>
      <c r="C226" s="70">
        <v>4.3400000000000001E-2</v>
      </c>
      <c r="D226" s="77">
        <v>0</v>
      </c>
      <c r="E226" s="77"/>
      <c r="F226" s="77">
        <v>4.4999999999999997E-3</v>
      </c>
      <c r="G226" s="78">
        <v>15000000</v>
      </c>
      <c r="H226" s="79"/>
      <c r="I226" s="79"/>
      <c r="J226" s="79"/>
      <c r="K226" s="80">
        <v>2.0499999999999997E-2</v>
      </c>
      <c r="L226" s="80"/>
      <c r="M226" s="75" t="s">
        <v>143</v>
      </c>
      <c r="N226" s="75" t="b">
        <v>1</v>
      </c>
      <c r="O226" s="75" t="s">
        <v>144</v>
      </c>
      <c r="P226" s="75">
        <v>1994</v>
      </c>
      <c r="Q226" s="75">
        <v>2015</v>
      </c>
      <c r="R226" s="75">
        <v>1</v>
      </c>
      <c r="S226" s="81"/>
      <c r="T226" s="82"/>
      <c r="U226" s="83"/>
    </row>
    <row r="227" spans="1:21" s="84" customFormat="1" x14ac:dyDescent="0.3">
      <c r="A227" s="68">
        <v>39388</v>
      </c>
      <c r="B227" s="69">
        <f t="shared" si="4"/>
        <v>20071102</v>
      </c>
      <c r="C227" s="70">
        <v>4.3799999999999999E-2</v>
      </c>
      <c r="D227" s="77">
        <v>0</v>
      </c>
      <c r="E227" s="77"/>
      <c r="F227" s="77">
        <v>4.4999999999999997E-3</v>
      </c>
      <c r="G227" s="78">
        <v>15000000</v>
      </c>
      <c r="H227" s="79"/>
      <c r="I227" s="79"/>
      <c r="J227" s="79"/>
      <c r="K227" s="80">
        <v>2.0899999999999998E-2</v>
      </c>
      <c r="L227" s="80"/>
      <c r="M227" s="75" t="s">
        <v>143</v>
      </c>
      <c r="N227" s="75" t="b">
        <v>1</v>
      </c>
      <c r="O227" s="75" t="s">
        <v>144</v>
      </c>
      <c r="P227" s="75">
        <v>1994</v>
      </c>
      <c r="Q227" s="75">
        <v>2015</v>
      </c>
      <c r="R227" s="75">
        <v>1</v>
      </c>
      <c r="S227" s="81"/>
      <c r="T227" s="82"/>
      <c r="U227" s="83"/>
    </row>
    <row r="228" spans="1:21" s="84" customFormat="1" x14ac:dyDescent="0.3">
      <c r="A228" s="68">
        <v>39391</v>
      </c>
      <c r="B228" s="69">
        <f t="shared" si="4"/>
        <v>20071105</v>
      </c>
      <c r="C228" s="70">
        <v>4.3700000000000003E-2</v>
      </c>
      <c r="D228" s="77">
        <v>0</v>
      </c>
      <c r="E228" s="77"/>
      <c r="F228" s="77">
        <v>4.4999999999999997E-3</v>
      </c>
      <c r="G228" s="78">
        <v>15000000</v>
      </c>
      <c r="H228" s="79"/>
      <c r="I228" s="79"/>
      <c r="J228" s="79"/>
      <c r="K228" s="80">
        <v>2.0799999999999999E-2</v>
      </c>
      <c r="L228" s="80"/>
      <c r="M228" s="75" t="s">
        <v>143</v>
      </c>
      <c r="N228" s="75" t="b">
        <v>1</v>
      </c>
      <c r="O228" s="75" t="s">
        <v>144</v>
      </c>
      <c r="P228" s="75">
        <v>1994</v>
      </c>
      <c r="Q228" s="75">
        <v>2015</v>
      </c>
      <c r="R228" s="75">
        <v>1</v>
      </c>
      <c r="S228" s="81"/>
      <c r="T228" s="82"/>
      <c r="U228" s="83"/>
    </row>
    <row r="229" spans="1:21" s="84" customFormat="1" x14ac:dyDescent="0.3">
      <c r="A229" s="68">
        <v>39392</v>
      </c>
      <c r="B229" s="69">
        <f t="shared" si="4"/>
        <v>20071106</v>
      </c>
      <c r="C229" s="70">
        <v>4.3899999999999995E-2</v>
      </c>
      <c r="D229" s="77">
        <v>0</v>
      </c>
      <c r="E229" s="77"/>
      <c r="F229" s="77">
        <v>4.4999999999999997E-3</v>
      </c>
      <c r="G229" s="78">
        <v>15000000</v>
      </c>
      <c r="H229" s="79"/>
      <c r="I229" s="79"/>
      <c r="J229" s="79"/>
      <c r="K229" s="80">
        <v>2.1000000000000001E-2</v>
      </c>
      <c r="L229" s="80"/>
      <c r="M229" s="75" t="s">
        <v>143</v>
      </c>
      <c r="N229" s="75" t="b">
        <v>1</v>
      </c>
      <c r="O229" s="75" t="s">
        <v>144</v>
      </c>
      <c r="P229" s="75">
        <v>1994</v>
      </c>
      <c r="Q229" s="75">
        <v>2015</v>
      </c>
      <c r="R229" s="75">
        <v>1</v>
      </c>
      <c r="S229" s="81"/>
      <c r="T229" s="82"/>
      <c r="U229" s="83"/>
    </row>
    <row r="230" spans="1:21" s="84" customFormat="1" x14ac:dyDescent="0.3">
      <c r="A230" s="68">
        <v>39393</v>
      </c>
      <c r="B230" s="69">
        <f t="shared" si="4"/>
        <v>20071107</v>
      </c>
      <c r="C230" s="70">
        <v>4.36E-2</v>
      </c>
      <c r="D230" s="77">
        <v>0</v>
      </c>
      <c r="E230" s="77"/>
      <c r="F230" s="77">
        <v>4.4999999999999997E-3</v>
      </c>
      <c r="G230" s="78">
        <v>15000000</v>
      </c>
      <c r="H230" s="79"/>
      <c r="I230" s="79"/>
      <c r="J230" s="79"/>
      <c r="K230" s="80">
        <v>2.07E-2</v>
      </c>
      <c r="L230" s="80"/>
      <c r="M230" s="75" t="s">
        <v>143</v>
      </c>
      <c r="N230" s="75" t="b">
        <v>1</v>
      </c>
      <c r="O230" s="75" t="s">
        <v>144</v>
      </c>
      <c r="P230" s="75">
        <v>1994</v>
      </c>
      <c r="Q230" s="75">
        <v>2015</v>
      </c>
      <c r="R230" s="75">
        <v>1</v>
      </c>
      <c r="S230" s="81"/>
      <c r="T230" s="82"/>
      <c r="U230" s="83"/>
    </row>
    <row r="231" spans="1:21" s="84" customFormat="1" x14ac:dyDescent="0.3">
      <c r="A231" s="68">
        <v>39394</v>
      </c>
      <c r="B231" s="69">
        <f t="shared" si="4"/>
        <v>20071108</v>
      </c>
      <c r="C231" s="70">
        <v>4.3799999999999999E-2</v>
      </c>
      <c r="D231" s="77">
        <v>0</v>
      </c>
      <c r="E231" s="77"/>
      <c r="F231" s="77">
        <v>4.4999999999999997E-3</v>
      </c>
      <c r="G231" s="78">
        <v>15000000</v>
      </c>
      <c r="H231" s="79"/>
      <c r="I231" s="79"/>
      <c r="J231" s="79"/>
      <c r="K231" s="80">
        <v>2.07E-2</v>
      </c>
      <c r="L231" s="80"/>
      <c r="M231" s="75" t="s">
        <v>143</v>
      </c>
      <c r="N231" s="75" t="b">
        <v>1</v>
      </c>
      <c r="O231" s="75" t="s">
        <v>144</v>
      </c>
      <c r="P231" s="75">
        <v>1994</v>
      </c>
      <c r="Q231" s="75">
        <v>2015</v>
      </c>
      <c r="R231" s="75">
        <v>1</v>
      </c>
      <c r="S231" s="81"/>
      <c r="T231" s="82"/>
      <c r="U231" s="83"/>
    </row>
    <row r="232" spans="1:21" s="84" customFormat="1" x14ac:dyDescent="0.3">
      <c r="A232" s="68">
        <v>39395</v>
      </c>
      <c r="B232" s="69">
        <f t="shared" si="4"/>
        <v>20071109</v>
      </c>
      <c r="C232" s="70">
        <v>4.3299999999999998E-2</v>
      </c>
      <c r="D232" s="77">
        <v>0</v>
      </c>
      <c r="E232" s="77"/>
      <c r="F232" s="77">
        <v>4.4999999999999997E-3</v>
      </c>
      <c r="G232" s="78">
        <v>15000000</v>
      </c>
      <c r="H232" s="79"/>
      <c r="I232" s="79"/>
      <c r="J232" s="79"/>
      <c r="K232" s="80">
        <v>2.0199999999999999E-2</v>
      </c>
      <c r="L232" s="80"/>
      <c r="M232" s="75" t="s">
        <v>143</v>
      </c>
      <c r="N232" s="75" t="b">
        <v>1</v>
      </c>
      <c r="O232" s="75" t="s">
        <v>144</v>
      </c>
      <c r="P232" s="75">
        <v>1994</v>
      </c>
      <c r="Q232" s="75">
        <v>2015</v>
      </c>
      <c r="R232" s="75">
        <v>1</v>
      </c>
      <c r="S232" s="81"/>
      <c r="T232" s="82"/>
      <c r="U232" s="83"/>
    </row>
    <row r="233" spans="1:21" s="84" customFormat="1" x14ac:dyDescent="0.3">
      <c r="A233" s="68">
        <v>39399</v>
      </c>
      <c r="B233" s="69">
        <f t="shared" si="4"/>
        <v>20071113</v>
      </c>
      <c r="C233" s="70">
        <v>4.3400000000000001E-2</v>
      </c>
      <c r="D233" s="77">
        <v>0</v>
      </c>
      <c r="E233" s="77"/>
      <c r="F233" s="77">
        <v>4.4999999999999997E-3</v>
      </c>
      <c r="G233" s="78">
        <v>15000000</v>
      </c>
      <c r="H233" s="79"/>
      <c r="I233" s="79"/>
      <c r="J233" s="79"/>
      <c r="K233" s="80">
        <v>2.0400000000000001E-2</v>
      </c>
      <c r="L233" s="80"/>
      <c r="M233" s="75" t="s">
        <v>143</v>
      </c>
      <c r="N233" s="75" t="b">
        <v>1</v>
      </c>
      <c r="O233" s="75" t="s">
        <v>144</v>
      </c>
      <c r="P233" s="75">
        <v>1994</v>
      </c>
      <c r="Q233" s="75">
        <v>2015</v>
      </c>
      <c r="R233" s="75">
        <v>1</v>
      </c>
      <c r="S233" s="81"/>
      <c r="T233" s="82"/>
      <c r="U233" s="83"/>
    </row>
    <row r="234" spans="1:21" s="84" customFormat="1" x14ac:dyDescent="0.3">
      <c r="A234" s="68">
        <v>39400</v>
      </c>
      <c r="B234" s="69">
        <f t="shared" si="4"/>
        <v>20071114</v>
      </c>
      <c r="C234" s="70">
        <v>4.3099999999999999E-2</v>
      </c>
      <c r="D234" s="77">
        <v>0</v>
      </c>
      <c r="E234" s="77"/>
      <c r="F234" s="77">
        <v>4.4999999999999997E-3</v>
      </c>
      <c r="G234" s="78">
        <v>15000000</v>
      </c>
      <c r="H234" s="79"/>
      <c r="I234" s="79"/>
      <c r="J234" s="79"/>
      <c r="K234" s="80">
        <v>2.0099999999999996E-2</v>
      </c>
      <c r="L234" s="80"/>
      <c r="M234" s="75" t="s">
        <v>143</v>
      </c>
      <c r="N234" s="75" t="b">
        <v>1</v>
      </c>
      <c r="O234" s="75" t="s">
        <v>144</v>
      </c>
      <c r="P234" s="75">
        <v>1994</v>
      </c>
      <c r="Q234" s="75">
        <v>2015</v>
      </c>
      <c r="R234" s="75">
        <v>1</v>
      </c>
      <c r="S234" s="81"/>
      <c r="T234" s="82"/>
      <c r="U234" s="83"/>
    </row>
    <row r="235" spans="1:21" s="84" customFormat="1" x14ac:dyDescent="0.3">
      <c r="A235" s="68">
        <v>39401</v>
      </c>
      <c r="B235" s="69">
        <f t="shared" si="4"/>
        <v>20071115</v>
      </c>
      <c r="C235" s="70">
        <v>4.24E-2</v>
      </c>
      <c r="D235" s="77">
        <v>0</v>
      </c>
      <c r="E235" s="77"/>
      <c r="F235" s="77">
        <v>4.4999999999999997E-3</v>
      </c>
      <c r="G235" s="78">
        <v>15000000</v>
      </c>
      <c r="H235" s="79"/>
      <c r="I235" s="79"/>
      <c r="J235" s="79"/>
      <c r="K235" s="80">
        <v>1.9599999999999999E-2</v>
      </c>
      <c r="L235" s="80"/>
      <c r="M235" s="75" t="s">
        <v>143</v>
      </c>
      <c r="N235" s="75" t="b">
        <v>1</v>
      </c>
      <c r="O235" s="75" t="s">
        <v>144</v>
      </c>
      <c r="P235" s="75">
        <v>1994</v>
      </c>
      <c r="Q235" s="75">
        <v>2015</v>
      </c>
      <c r="R235" s="75">
        <v>1</v>
      </c>
      <c r="S235" s="81"/>
      <c r="T235" s="82"/>
      <c r="U235" s="83"/>
    </row>
    <row r="236" spans="1:21" s="84" customFormat="1" x14ac:dyDescent="0.3">
      <c r="A236" s="68">
        <v>39402</v>
      </c>
      <c r="B236" s="69">
        <f t="shared" si="4"/>
        <v>20071116</v>
      </c>
      <c r="C236" s="70">
        <v>4.2500000000000003E-2</v>
      </c>
      <c r="D236" s="77">
        <v>0</v>
      </c>
      <c r="E236" s="77"/>
      <c r="F236" s="77">
        <v>4.4999999999999997E-3</v>
      </c>
      <c r="G236" s="78">
        <v>15000000</v>
      </c>
      <c r="H236" s="79"/>
      <c r="I236" s="79"/>
      <c r="J236" s="79"/>
      <c r="K236" s="80">
        <v>1.9900000000000001E-2</v>
      </c>
      <c r="L236" s="80"/>
      <c r="M236" s="75" t="s">
        <v>143</v>
      </c>
      <c r="N236" s="75" t="b">
        <v>1</v>
      </c>
      <c r="O236" s="75" t="s">
        <v>144</v>
      </c>
      <c r="P236" s="75">
        <v>1994</v>
      </c>
      <c r="Q236" s="75">
        <v>2015</v>
      </c>
      <c r="R236" s="75">
        <v>1</v>
      </c>
      <c r="S236" s="81"/>
      <c r="T236" s="82"/>
      <c r="U236" s="83"/>
    </row>
    <row r="237" spans="1:21" s="84" customFormat="1" x14ac:dyDescent="0.3">
      <c r="A237" s="68">
        <v>39405</v>
      </c>
      <c r="B237" s="69">
        <f t="shared" si="4"/>
        <v>20071119</v>
      </c>
      <c r="C237" s="70">
        <v>4.2099999999999999E-2</v>
      </c>
      <c r="D237" s="77">
        <v>0</v>
      </c>
      <c r="E237" s="77"/>
      <c r="F237" s="77">
        <v>4.4999999999999997E-3</v>
      </c>
      <c r="G237" s="78">
        <v>15000000</v>
      </c>
      <c r="H237" s="79"/>
      <c r="I237" s="79"/>
      <c r="J237" s="79"/>
      <c r="K237" s="80">
        <v>1.9900000000000001E-2</v>
      </c>
      <c r="L237" s="80"/>
      <c r="M237" s="75" t="s">
        <v>143</v>
      </c>
      <c r="N237" s="75" t="b">
        <v>1</v>
      </c>
      <c r="O237" s="75" t="s">
        <v>144</v>
      </c>
      <c r="P237" s="75">
        <v>1994</v>
      </c>
      <c r="Q237" s="75">
        <v>2015</v>
      </c>
      <c r="R237" s="75">
        <v>1</v>
      </c>
      <c r="S237" s="81"/>
      <c r="T237" s="82"/>
      <c r="U237" s="83"/>
    </row>
    <row r="238" spans="1:21" s="84" customFormat="1" x14ac:dyDescent="0.3">
      <c r="A238" s="68">
        <v>39406</v>
      </c>
      <c r="B238" s="69">
        <f t="shared" si="4"/>
        <v>20071120</v>
      </c>
      <c r="C238" s="70">
        <v>4.2500000000000003E-2</v>
      </c>
      <c r="D238" s="77">
        <v>0</v>
      </c>
      <c r="E238" s="77"/>
      <c r="F238" s="77">
        <v>4.4999999999999997E-3</v>
      </c>
      <c r="G238" s="78">
        <v>15000000</v>
      </c>
      <c r="H238" s="79"/>
      <c r="I238" s="79"/>
      <c r="J238" s="79"/>
      <c r="K238" s="80">
        <v>2.1000000000000001E-2</v>
      </c>
      <c r="L238" s="80"/>
      <c r="M238" s="75" t="s">
        <v>143</v>
      </c>
      <c r="N238" s="75" t="b">
        <v>1</v>
      </c>
      <c r="O238" s="75" t="s">
        <v>144</v>
      </c>
      <c r="P238" s="75">
        <v>1994</v>
      </c>
      <c r="Q238" s="75">
        <v>2015</v>
      </c>
      <c r="R238" s="75">
        <v>1</v>
      </c>
      <c r="S238" s="81"/>
      <c r="T238" s="82"/>
      <c r="U238" s="83"/>
    </row>
    <row r="239" spans="1:21" s="84" customFormat="1" x14ac:dyDescent="0.3">
      <c r="A239" s="68">
        <v>39407</v>
      </c>
      <c r="B239" s="69">
        <f t="shared" si="4"/>
        <v>20071121</v>
      </c>
      <c r="C239" s="70">
        <v>4.2099999999999999E-2</v>
      </c>
      <c r="D239" s="77">
        <v>0</v>
      </c>
      <c r="E239" s="77"/>
      <c r="F239" s="77">
        <v>4.4999999999999997E-3</v>
      </c>
      <c r="G239" s="78">
        <v>15000000</v>
      </c>
      <c r="H239" s="79"/>
      <c r="I239" s="79"/>
      <c r="J239" s="79"/>
      <c r="K239" s="80">
        <v>2.0799999999999999E-2</v>
      </c>
      <c r="L239" s="80"/>
      <c r="M239" s="75" t="s">
        <v>143</v>
      </c>
      <c r="N239" s="75" t="b">
        <v>1</v>
      </c>
      <c r="O239" s="75" t="s">
        <v>144</v>
      </c>
      <c r="P239" s="75">
        <v>1994</v>
      </c>
      <c r="Q239" s="75">
        <v>2015</v>
      </c>
      <c r="R239" s="75">
        <v>1</v>
      </c>
      <c r="S239" s="81"/>
      <c r="T239" s="82"/>
      <c r="U239" s="83"/>
    </row>
    <row r="240" spans="1:21" s="84" customFormat="1" x14ac:dyDescent="0.3">
      <c r="A240" s="68">
        <v>39408</v>
      </c>
      <c r="B240" s="69">
        <f t="shared" si="4"/>
        <v>20071122</v>
      </c>
      <c r="C240" s="70">
        <v>4.2000000000000003E-2</v>
      </c>
      <c r="D240" s="77">
        <v>0</v>
      </c>
      <c r="E240" s="77"/>
      <c r="F240" s="77">
        <v>4.4999999999999997E-3</v>
      </c>
      <c r="G240" s="78">
        <v>15000000</v>
      </c>
      <c r="H240" s="79"/>
      <c r="I240" s="79"/>
      <c r="J240" s="79"/>
      <c r="K240" s="80">
        <v>2.0799999999999999E-2</v>
      </c>
      <c r="L240" s="80"/>
      <c r="M240" s="75" t="s">
        <v>143</v>
      </c>
      <c r="N240" s="75" t="b">
        <v>1</v>
      </c>
      <c r="O240" s="75" t="s">
        <v>144</v>
      </c>
      <c r="P240" s="75">
        <v>1994</v>
      </c>
      <c r="Q240" s="75">
        <v>2015</v>
      </c>
      <c r="R240" s="75">
        <v>1</v>
      </c>
      <c r="S240" s="81"/>
      <c r="T240" s="82"/>
      <c r="U240" s="83"/>
    </row>
    <row r="241" spans="1:21" s="84" customFormat="1" x14ac:dyDescent="0.3">
      <c r="A241" s="68">
        <v>39409</v>
      </c>
      <c r="B241" s="69">
        <f t="shared" si="4"/>
        <v>20071123</v>
      </c>
      <c r="C241" s="70">
        <v>4.1900000000000007E-2</v>
      </c>
      <c r="D241" s="77">
        <v>0</v>
      </c>
      <c r="E241" s="77"/>
      <c r="F241" s="77">
        <v>4.4999999999999997E-3</v>
      </c>
      <c r="G241" s="78">
        <v>15000000</v>
      </c>
      <c r="H241" s="79"/>
      <c r="I241" s="79"/>
      <c r="J241" s="79"/>
      <c r="K241" s="80">
        <v>2.06E-2</v>
      </c>
      <c r="L241" s="80"/>
      <c r="M241" s="75" t="s">
        <v>143</v>
      </c>
      <c r="N241" s="75" t="b">
        <v>1</v>
      </c>
      <c r="O241" s="75" t="s">
        <v>144</v>
      </c>
      <c r="P241" s="75">
        <v>1994</v>
      </c>
      <c r="Q241" s="75">
        <v>2015</v>
      </c>
      <c r="R241" s="75">
        <v>1</v>
      </c>
      <c r="S241" s="81"/>
      <c r="T241" s="82"/>
      <c r="U241" s="83"/>
    </row>
    <row r="242" spans="1:21" s="84" customFormat="1" x14ac:dyDescent="0.3">
      <c r="A242" s="68">
        <v>39412</v>
      </c>
      <c r="B242" s="69">
        <f t="shared" si="4"/>
        <v>20071126</v>
      </c>
      <c r="C242" s="70">
        <v>4.1299999999999996E-2</v>
      </c>
      <c r="D242" s="77">
        <v>0</v>
      </c>
      <c r="E242" s="77"/>
      <c r="F242" s="77">
        <v>4.4999999999999997E-3</v>
      </c>
      <c r="G242" s="78">
        <v>15000000</v>
      </c>
      <c r="H242" s="79"/>
      <c r="I242" s="79"/>
      <c r="J242" s="79"/>
      <c r="K242" s="80">
        <v>2.0099999999999996E-2</v>
      </c>
      <c r="L242" s="80"/>
      <c r="M242" s="75" t="s">
        <v>143</v>
      </c>
      <c r="N242" s="75" t="b">
        <v>1</v>
      </c>
      <c r="O242" s="75" t="s">
        <v>144</v>
      </c>
      <c r="P242" s="75">
        <v>1994</v>
      </c>
      <c r="Q242" s="75">
        <v>2015</v>
      </c>
      <c r="R242" s="75">
        <v>1</v>
      </c>
      <c r="S242" s="81"/>
      <c r="T242" s="82"/>
      <c r="U242" s="83"/>
    </row>
    <row r="243" spans="1:21" s="84" customFormat="1" x14ac:dyDescent="0.3">
      <c r="A243" s="68">
        <v>39413</v>
      </c>
      <c r="B243" s="69">
        <f t="shared" si="4"/>
        <v>20071127</v>
      </c>
      <c r="C243" s="70">
        <v>4.1900000000000007E-2</v>
      </c>
      <c r="D243" s="77">
        <v>0</v>
      </c>
      <c r="E243" s="77"/>
      <c r="F243" s="77">
        <v>4.4999999999999997E-3</v>
      </c>
      <c r="G243" s="78">
        <v>15000000</v>
      </c>
      <c r="H243" s="79"/>
      <c r="I243" s="79"/>
      <c r="J243" s="79"/>
      <c r="K243" s="80">
        <v>2.06E-2</v>
      </c>
      <c r="L243" s="80"/>
      <c r="M243" s="75" t="s">
        <v>143</v>
      </c>
      <c r="N243" s="75" t="b">
        <v>1</v>
      </c>
      <c r="O243" s="75" t="s">
        <v>144</v>
      </c>
      <c r="P243" s="75">
        <v>1994</v>
      </c>
      <c r="Q243" s="75">
        <v>2015</v>
      </c>
      <c r="R243" s="75">
        <v>1</v>
      </c>
      <c r="S243" s="81"/>
      <c r="T243" s="82"/>
      <c r="U243" s="83"/>
    </row>
    <row r="244" spans="1:21" s="84" customFormat="1" x14ac:dyDescent="0.3">
      <c r="A244" s="68">
        <v>39414</v>
      </c>
      <c r="B244" s="69">
        <f t="shared" si="4"/>
        <v>20071128</v>
      </c>
      <c r="C244" s="70">
        <v>4.2199999999999994E-2</v>
      </c>
      <c r="D244" s="77">
        <v>0</v>
      </c>
      <c r="E244" s="77"/>
      <c r="F244" s="77">
        <v>4.4999999999999997E-3</v>
      </c>
      <c r="G244" s="78">
        <v>15000000</v>
      </c>
      <c r="H244" s="79"/>
      <c r="I244" s="79"/>
      <c r="J244" s="79"/>
      <c r="K244" s="80">
        <v>2.1400000000000002E-2</v>
      </c>
      <c r="L244" s="80"/>
      <c r="M244" s="75" t="s">
        <v>143</v>
      </c>
      <c r="N244" s="75" t="b">
        <v>1</v>
      </c>
      <c r="O244" s="75" t="s">
        <v>144</v>
      </c>
      <c r="P244" s="75">
        <v>1994</v>
      </c>
      <c r="Q244" s="75">
        <v>2015</v>
      </c>
      <c r="R244" s="75">
        <v>1</v>
      </c>
      <c r="S244" s="81"/>
      <c r="T244" s="82"/>
      <c r="U244" s="83"/>
    </row>
    <row r="245" spans="1:21" s="84" customFormat="1" x14ac:dyDescent="0.3">
      <c r="A245" s="68">
        <v>39415</v>
      </c>
      <c r="B245" s="69">
        <f t="shared" si="4"/>
        <v>20071129</v>
      </c>
      <c r="C245" s="70">
        <v>4.1399999999999999E-2</v>
      </c>
      <c r="D245" s="77">
        <v>0</v>
      </c>
      <c r="E245" s="77"/>
      <c r="F245" s="77">
        <v>4.4999999999999997E-3</v>
      </c>
      <c r="G245" s="78">
        <v>15000000</v>
      </c>
      <c r="H245" s="79"/>
      <c r="I245" s="79"/>
      <c r="J245" s="79"/>
      <c r="K245" s="80">
        <v>2.1000000000000001E-2</v>
      </c>
      <c r="L245" s="80"/>
      <c r="M245" s="75" t="s">
        <v>143</v>
      </c>
      <c r="N245" s="75" t="b">
        <v>1</v>
      </c>
      <c r="O245" s="75" t="s">
        <v>144</v>
      </c>
      <c r="P245" s="75">
        <v>1994</v>
      </c>
      <c r="Q245" s="75">
        <v>2015</v>
      </c>
      <c r="R245" s="75">
        <v>1</v>
      </c>
      <c r="S245" s="81"/>
      <c r="T245" s="82"/>
      <c r="U245" s="83"/>
    </row>
    <row r="246" spans="1:21" s="84" customFormat="1" x14ac:dyDescent="0.3">
      <c r="A246" s="68">
        <v>39416</v>
      </c>
      <c r="B246" s="69">
        <f t="shared" si="4"/>
        <v>20071130</v>
      </c>
      <c r="C246" s="70">
        <v>4.1500000000000002E-2</v>
      </c>
      <c r="D246" s="77">
        <v>0</v>
      </c>
      <c r="E246" s="77"/>
      <c r="F246" s="77">
        <v>4.4999999999999997E-3</v>
      </c>
      <c r="G246" s="78">
        <v>15000000</v>
      </c>
      <c r="H246" s="79"/>
      <c r="I246" s="79"/>
      <c r="J246" s="79"/>
      <c r="K246" s="80">
        <v>2.07E-2</v>
      </c>
      <c r="L246" s="80"/>
      <c r="M246" s="75" t="s">
        <v>143</v>
      </c>
      <c r="N246" s="75" t="b">
        <v>1</v>
      </c>
      <c r="O246" s="75" t="s">
        <v>144</v>
      </c>
      <c r="P246" s="75">
        <v>1994</v>
      </c>
      <c r="Q246" s="75">
        <v>2015</v>
      </c>
      <c r="R246" s="75">
        <v>1</v>
      </c>
      <c r="S246" s="81"/>
      <c r="T246" s="82"/>
      <c r="U246" s="83"/>
    </row>
    <row r="247" spans="1:21" s="84" customFormat="1" x14ac:dyDescent="0.3">
      <c r="A247" s="68">
        <v>39419</v>
      </c>
      <c r="B247" s="69">
        <f t="shared" si="4"/>
        <v>20071203</v>
      </c>
      <c r="C247" s="70">
        <v>4.07E-2</v>
      </c>
      <c r="D247" s="77">
        <v>0</v>
      </c>
      <c r="E247" s="77"/>
      <c r="F247" s="77">
        <v>4.4999999999999997E-3</v>
      </c>
      <c r="G247" s="78">
        <v>15000000</v>
      </c>
      <c r="H247" s="79"/>
      <c r="I247" s="79"/>
      <c r="J247" s="79"/>
      <c r="K247" s="80">
        <v>0.02</v>
      </c>
      <c r="L247" s="80"/>
      <c r="M247" s="75" t="s">
        <v>143</v>
      </c>
      <c r="N247" s="75" t="b">
        <v>1</v>
      </c>
      <c r="O247" s="75" t="s">
        <v>144</v>
      </c>
      <c r="P247" s="75">
        <v>1994</v>
      </c>
      <c r="Q247" s="75">
        <v>2015</v>
      </c>
      <c r="R247" s="75">
        <v>1</v>
      </c>
      <c r="S247" s="81"/>
      <c r="T247" s="82"/>
      <c r="U247" s="83"/>
    </row>
    <row r="248" spans="1:21" s="84" customFormat="1" x14ac:dyDescent="0.3">
      <c r="A248" s="68">
        <v>39420</v>
      </c>
      <c r="B248" s="69">
        <f t="shared" si="4"/>
        <v>20071204</v>
      </c>
      <c r="C248" s="70">
        <v>4.0800000000000003E-2</v>
      </c>
      <c r="D248" s="77">
        <v>0</v>
      </c>
      <c r="E248" s="77"/>
      <c r="F248" s="77">
        <v>4.4999999999999997E-3</v>
      </c>
      <c r="G248" s="78">
        <v>15000000</v>
      </c>
      <c r="H248" s="79"/>
      <c r="I248" s="79"/>
      <c r="J248" s="79"/>
      <c r="K248" s="80">
        <v>0.02</v>
      </c>
      <c r="L248" s="80"/>
      <c r="M248" s="75" t="s">
        <v>143</v>
      </c>
      <c r="N248" s="75" t="b">
        <v>1</v>
      </c>
      <c r="O248" s="75" t="s">
        <v>144</v>
      </c>
      <c r="P248" s="75">
        <v>1994</v>
      </c>
      <c r="Q248" s="75">
        <v>2015</v>
      </c>
      <c r="R248" s="75">
        <v>1</v>
      </c>
      <c r="S248" s="81"/>
      <c r="T248" s="82"/>
      <c r="U248" s="83"/>
    </row>
    <row r="249" spans="1:21" s="84" customFormat="1" x14ac:dyDescent="0.3">
      <c r="A249" s="68">
        <v>39421</v>
      </c>
      <c r="B249" s="69">
        <f t="shared" si="4"/>
        <v>20071205</v>
      </c>
      <c r="C249" s="70">
        <v>4.1399999999999999E-2</v>
      </c>
      <c r="D249" s="77">
        <v>0</v>
      </c>
      <c r="E249" s="77"/>
      <c r="F249" s="77">
        <v>4.4999999999999997E-3</v>
      </c>
      <c r="G249" s="78">
        <v>15000000</v>
      </c>
      <c r="H249" s="79"/>
      <c r="I249" s="79"/>
      <c r="J249" s="79"/>
      <c r="K249" s="80">
        <v>2.0400000000000001E-2</v>
      </c>
      <c r="L249" s="80"/>
      <c r="M249" s="75" t="s">
        <v>143</v>
      </c>
      <c r="N249" s="75" t="b">
        <v>1</v>
      </c>
      <c r="O249" s="75" t="s">
        <v>144</v>
      </c>
      <c r="P249" s="75">
        <v>1994</v>
      </c>
      <c r="Q249" s="75">
        <v>2015</v>
      </c>
      <c r="R249" s="75">
        <v>1</v>
      </c>
      <c r="S249" s="81"/>
      <c r="T249" s="82"/>
      <c r="U249" s="83"/>
    </row>
    <row r="250" spans="1:21" s="84" customFormat="1" x14ac:dyDescent="0.3">
      <c r="A250" s="68">
        <v>39422</v>
      </c>
      <c r="B250" s="69">
        <f t="shared" si="4"/>
        <v>20071206</v>
      </c>
      <c r="C250" s="70">
        <v>4.1500000000000002E-2</v>
      </c>
      <c r="D250" s="77">
        <v>0</v>
      </c>
      <c r="E250" s="77"/>
      <c r="F250" s="77">
        <v>4.4999999999999997E-3</v>
      </c>
      <c r="G250" s="78">
        <v>15000000</v>
      </c>
      <c r="H250" s="79"/>
      <c r="I250" s="79"/>
      <c r="J250" s="79"/>
      <c r="K250" s="80">
        <v>2.0400000000000001E-2</v>
      </c>
      <c r="L250" s="80"/>
      <c r="M250" s="75" t="s">
        <v>143</v>
      </c>
      <c r="N250" s="75" t="b">
        <v>1</v>
      </c>
      <c r="O250" s="75" t="s">
        <v>144</v>
      </c>
      <c r="P250" s="75">
        <v>1994</v>
      </c>
      <c r="Q250" s="75">
        <v>2015</v>
      </c>
      <c r="R250" s="75">
        <v>1</v>
      </c>
      <c r="S250" s="81"/>
      <c r="T250" s="82"/>
      <c r="U250" s="83"/>
    </row>
    <row r="251" spans="1:21" s="84" customFormat="1" x14ac:dyDescent="0.3">
      <c r="A251" s="68">
        <v>39423</v>
      </c>
      <c r="B251" s="69">
        <f t="shared" si="4"/>
        <v>20071207</v>
      </c>
      <c r="C251" s="70">
        <v>4.1799999999999997E-2</v>
      </c>
      <c r="D251" s="77">
        <v>0</v>
      </c>
      <c r="E251" s="77"/>
      <c r="F251" s="77">
        <v>4.4999999999999997E-3</v>
      </c>
      <c r="G251" s="78">
        <v>15000000</v>
      </c>
      <c r="H251" s="79"/>
      <c r="I251" s="79"/>
      <c r="J251" s="79"/>
      <c r="K251" s="80">
        <v>2.0499999999999997E-2</v>
      </c>
      <c r="L251" s="80"/>
      <c r="M251" s="75" t="s">
        <v>143</v>
      </c>
      <c r="N251" s="75" t="b">
        <v>1</v>
      </c>
      <c r="O251" s="75" t="s">
        <v>144</v>
      </c>
      <c r="P251" s="75">
        <v>1994</v>
      </c>
      <c r="Q251" s="75">
        <v>2015</v>
      </c>
      <c r="R251" s="75">
        <v>1</v>
      </c>
      <c r="S251" s="81"/>
      <c r="T251" s="82"/>
      <c r="U251" s="83"/>
    </row>
    <row r="252" spans="1:21" s="84" customFormat="1" x14ac:dyDescent="0.3">
      <c r="A252" s="68">
        <v>39426</v>
      </c>
      <c r="B252" s="69">
        <f t="shared" si="4"/>
        <v>20071210</v>
      </c>
      <c r="C252" s="70">
        <v>4.2099999999999999E-2</v>
      </c>
      <c r="D252" s="77">
        <v>0</v>
      </c>
      <c r="E252" s="77"/>
      <c r="F252" s="77">
        <v>4.4999999999999997E-3</v>
      </c>
      <c r="G252" s="78">
        <v>15000000</v>
      </c>
      <c r="H252" s="79"/>
      <c r="I252" s="79"/>
      <c r="J252" s="79"/>
      <c r="K252" s="80">
        <v>2.0299999999999999E-2</v>
      </c>
      <c r="L252" s="80"/>
      <c r="M252" s="75" t="s">
        <v>143</v>
      </c>
      <c r="N252" s="75" t="b">
        <v>1</v>
      </c>
      <c r="O252" s="75" t="s">
        <v>144</v>
      </c>
      <c r="P252" s="75">
        <v>1994</v>
      </c>
      <c r="Q252" s="75">
        <v>2015</v>
      </c>
      <c r="R252" s="75">
        <v>1</v>
      </c>
      <c r="S252" s="81"/>
      <c r="T252" s="82"/>
      <c r="U252" s="83"/>
    </row>
    <row r="253" spans="1:21" s="84" customFormat="1" x14ac:dyDescent="0.3">
      <c r="A253" s="68">
        <v>39427</v>
      </c>
      <c r="B253" s="69">
        <f t="shared" si="4"/>
        <v>20071211</v>
      </c>
      <c r="C253" s="70">
        <v>4.0999999999999995E-2</v>
      </c>
      <c r="D253" s="77">
        <v>0</v>
      </c>
      <c r="E253" s="77"/>
      <c r="F253" s="77">
        <v>4.4999999999999997E-3</v>
      </c>
      <c r="G253" s="78">
        <v>15000000</v>
      </c>
      <c r="H253" s="79"/>
      <c r="I253" s="79"/>
      <c r="J253" s="79"/>
      <c r="K253" s="80">
        <v>1.95E-2</v>
      </c>
      <c r="L253" s="80"/>
      <c r="M253" s="75" t="s">
        <v>143</v>
      </c>
      <c r="N253" s="75" t="b">
        <v>1</v>
      </c>
      <c r="O253" s="75" t="s">
        <v>144</v>
      </c>
      <c r="P253" s="75">
        <v>1994</v>
      </c>
      <c r="Q253" s="75">
        <v>2015</v>
      </c>
      <c r="R253" s="75">
        <v>1</v>
      </c>
      <c r="S253" s="81"/>
      <c r="T253" s="82"/>
      <c r="U253" s="83"/>
    </row>
    <row r="254" spans="1:21" s="84" customFormat="1" x14ac:dyDescent="0.3">
      <c r="A254" s="68">
        <v>39428</v>
      </c>
      <c r="B254" s="69">
        <f t="shared" si="4"/>
        <v>20071212</v>
      </c>
      <c r="C254" s="70">
        <v>4.1599999999999998E-2</v>
      </c>
      <c r="D254" s="77">
        <v>0</v>
      </c>
      <c r="E254" s="77"/>
      <c r="F254" s="77">
        <v>4.4999999999999997E-3</v>
      </c>
      <c r="G254" s="78">
        <v>15000000</v>
      </c>
      <c r="H254" s="79"/>
      <c r="I254" s="79"/>
      <c r="J254" s="79"/>
      <c r="K254" s="80">
        <v>1.9699999999999999E-2</v>
      </c>
      <c r="L254" s="80"/>
      <c r="M254" s="75" t="s">
        <v>143</v>
      </c>
      <c r="N254" s="75" t="b">
        <v>1</v>
      </c>
      <c r="O254" s="75" t="s">
        <v>144</v>
      </c>
      <c r="P254" s="75">
        <v>1994</v>
      </c>
      <c r="Q254" s="75">
        <v>2015</v>
      </c>
      <c r="R254" s="75">
        <v>1</v>
      </c>
      <c r="S254" s="81"/>
      <c r="T254" s="82"/>
      <c r="U254" s="83"/>
    </row>
    <row r="255" spans="1:21" s="84" customFormat="1" x14ac:dyDescent="0.3">
      <c r="A255" s="68">
        <v>39429</v>
      </c>
      <c r="B255" s="69">
        <f t="shared" si="4"/>
        <v>20071213</v>
      </c>
      <c r="C255" s="70">
        <v>4.2500000000000003E-2</v>
      </c>
      <c r="D255" s="77">
        <v>0</v>
      </c>
      <c r="E255" s="77"/>
      <c r="F255" s="77">
        <v>4.4999999999999997E-3</v>
      </c>
      <c r="G255" s="78">
        <v>15000000</v>
      </c>
      <c r="H255" s="79"/>
      <c r="I255" s="79"/>
      <c r="J255" s="79"/>
      <c r="K255" s="80">
        <v>2.0499999999999997E-2</v>
      </c>
      <c r="L255" s="80"/>
      <c r="M255" s="75" t="s">
        <v>143</v>
      </c>
      <c r="N255" s="75" t="b">
        <v>1</v>
      </c>
      <c r="O255" s="75" t="s">
        <v>144</v>
      </c>
      <c r="P255" s="75">
        <v>1994</v>
      </c>
      <c r="Q255" s="75">
        <v>2015</v>
      </c>
      <c r="R255" s="75">
        <v>1</v>
      </c>
      <c r="S255" s="81"/>
      <c r="T255" s="82"/>
      <c r="U255" s="83"/>
    </row>
    <row r="256" spans="1:21" s="84" customFormat="1" x14ac:dyDescent="0.3">
      <c r="A256" s="68">
        <v>39430</v>
      </c>
      <c r="B256" s="69">
        <f t="shared" si="4"/>
        <v>20071214</v>
      </c>
      <c r="C256" s="70">
        <v>4.2500000000000003E-2</v>
      </c>
      <c r="D256" s="77">
        <v>0</v>
      </c>
      <c r="E256" s="77"/>
      <c r="F256" s="77">
        <v>4.4999999999999997E-3</v>
      </c>
      <c r="G256" s="78">
        <v>15000000</v>
      </c>
      <c r="H256" s="79"/>
      <c r="I256" s="79"/>
      <c r="J256" s="79"/>
      <c r="K256" s="80">
        <v>2.0400000000000001E-2</v>
      </c>
      <c r="L256" s="80"/>
      <c r="M256" s="75" t="s">
        <v>143</v>
      </c>
      <c r="N256" s="75" t="b">
        <v>1</v>
      </c>
      <c r="O256" s="75" t="s">
        <v>144</v>
      </c>
      <c r="P256" s="75">
        <v>1994</v>
      </c>
      <c r="Q256" s="75">
        <v>2015</v>
      </c>
      <c r="R256" s="75">
        <v>1</v>
      </c>
      <c r="S256" s="81"/>
      <c r="T256" s="82"/>
      <c r="U256" s="83"/>
    </row>
    <row r="257" spans="1:21" s="84" customFormat="1" x14ac:dyDescent="0.3">
      <c r="A257" s="68">
        <v>39433</v>
      </c>
      <c r="B257" s="69">
        <f t="shared" si="4"/>
        <v>20071217</v>
      </c>
      <c r="C257" s="70">
        <v>4.1599999999999998E-2</v>
      </c>
      <c r="D257" s="77">
        <v>0</v>
      </c>
      <c r="E257" s="77"/>
      <c r="F257" s="77">
        <v>4.4999999999999997E-3</v>
      </c>
      <c r="G257" s="78">
        <v>15000000</v>
      </c>
      <c r="H257" s="79"/>
      <c r="I257" s="79"/>
      <c r="J257" s="79"/>
      <c r="K257" s="80">
        <v>1.9699999999999999E-2</v>
      </c>
      <c r="L257" s="80"/>
      <c r="M257" s="75" t="s">
        <v>143</v>
      </c>
      <c r="N257" s="75" t="b">
        <v>1</v>
      </c>
      <c r="O257" s="75" t="s">
        <v>144</v>
      </c>
      <c r="P257" s="75">
        <v>1994</v>
      </c>
      <c r="Q257" s="75">
        <v>2015</v>
      </c>
      <c r="R257" s="75">
        <v>1</v>
      </c>
      <c r="S257" s="81"/>
      <c r="T257" s="82"/>
      <c r="U257" s="83"/>
    </row>
    <row r="258" spans="1:21" s="84" customFormat="1" x14ac:dyDescent="0.3">
      <c r="A258" s="68">
        <v>39434</v>
      </c>
      <c r="B258" s="69">
        <f t="shared" si="4"/>
        <v>20071218</v>
      </c>
      <c r="C258" s="70">
        <v>4.1399999999999999E-2</v>
      </c>
      <c r="D258" s="77">
        <v>0</v>
      </c>
      <c r="E258" s="77"/>
      <c r="F258" s="77">
        <v>4.4999999999999997E-3</v>
      </c>
      <c r="G258" s="78">
        <v>15000000</v>
      </c>
      <c r="H258" s="79"/>
      <c r="I258" s="79"/>
      <c r="J258" s="79"/>
      <c r="K258" s="80">
        <v>1.95E-2</v>
      </c>
      <c r="L258" s="80"/>
      <c r="M258" s="75" t="s">
        <v>143</v>
      </c>
      <c r="N258" s="75" t="b">
        <v>1</v>
      </c>
      <c r="O258" s="75" t="s">
        <v>144</v>
      </c>
      <c r="P258" s="75">
        <v>1994</v>
      </c>
      <c r="Q258" s="75">
        <v>2015</v>
      </c>
      <c r="R258" s="75">
        <v>1</v>
      </c>
      <c r="S258" s="81"/>
      <c r="T258" s="82"/>
      <c r="U258" s="83"/>
    </row>
    <row r="259" spans="1:21" s="84" customFormat="1" x14ac:dyDescent="0.3">
      <c r="A259" s="68">
        <v>39435</v>
      </c>
      <c r="B259" s="69">
        <f t="shared" si="4"/>
        <v>20071219</v>
      </c>
      <c r="C259" s="70">
        <v>4.0899999999999999E-2</v>
      </c>
      <c r="D259" s="77">
        <v>0</v>
      </c>
      <c r="E259" s="77"/>
      <c r="F259" s="77">
        <v>4.4999999999999997E-3</v>
      </c>
      <c r="G259" s="78">
        <v>15000000</v>
      </c>
      <c r="H259" s="79"/>
      <c r="I259" s="79"/>
      <c r="J259" s="79"/>
      <c r="K259" s="80">
        <v>1.89E-2</v>
      </c>
      <c r="L259" s="80"/>
      <c r="M259" s="75" t="s">
        <v>143</v>
      </c>
      <c r="N259" s="75" t="b">
        <v>1</v>
      </c>
      <c r="O259" s="75" t="s">
        <v>144</v>
      </c>
      <c r="P259" s="75">
        <v>1994</v>
      </c>
      <c r="Q259" s="75">
        <v>2015</v>
      </c>
      <c r="R259" s="75">
        <v>1</v>
      </c>
      <c r="S259" s="81"/>
      <c r="T259" s="82"/>
      <c r="U259" s="83"/>
    </row>
    <row r="260" spans="1:21" s="84" customFormat="1" x14ac:dyDescent="0.3">
      <c r="A260" s="68">
        <v>39436</v>
      </c>
      <c r="B260" s="69">
        <f t="shared" si="4"/>
        <v>20071220</v>
      </c>
      <c r="C260" s="70">
        <v>4.0999999999999995E-2</v>
      </c>
      <c r="D260" s="77">
        <v>0</v>
      </c>
      <c r="E260" s="77"/>
      <c r="F260" s="77">
        <v>4.4999999999999997E-3</v>
      </c>
      <c r="G260" s="78">
        <v>15000000</v>
      </c>
      <c r="H260" s="79"/>
      <c r="I260" s="79"/>
      <c r="J260" s="79"/>
      <c r="K260" s="80">
        <v>1.9199999999999998E-2</v>
      </c>
      <c r="L260" s="80"/>
      <c r="M260" s="75" t="s">
        <v>143</v>
      </c>
      <c r="N260" s="75" t="b">
        <v>1</v>
      </c>
      <c r="O260" s="75" t="s">
        <v>144</v>
      </c>
      <c r="P260" s="75">
        <v>1994</v>
      </c>
      <c r="Q260" s="75">
        <v>2015</v>
      </c>
      <c r="R260" s="75">
        <v>1</v>
      </c>
      <c r="S260" s="81"/>
      <c r="T260" s="82"/>
      <c r="U260" s="83"/>
    </row>
    <row r="261" spans="1:21" s="84" customFormat="1" x14ac:dyDescent="0.3">
      <c r="A261" s="68">
        <v>39437</v>
      </c>
      <c r="B261" s="69">
        <f t="shared" si="4"/>
        <v>20071221</v>
      </c>
      <c r="C261" s="70">
        <v>4.1700000000000001E-2</v>
      </c>
      <c r="D261" s="77">
        <v>0</v>
      </c>
      <c r="E261" s="77"/>
      <c r="F261" s="77">
        <v>4.4999999999999997E-3</v>
      </c>
      <c r="G261" s="78">
        <v>15000000</v>
      </c>
      <c r="H261" s="79"/>
      <c r="I261" s="79"/>
      <c r="J261" s="79"/>
      <c r="K261" s="80">
        <v>1.9799999999999998E-2</v>
      </c>
      <c r="L261" s="80"/>
      <c r="M261" s="75" t="s">
        <v>143</v>
      </c>
      <c r="N261" s="75" t="b">
        <v>1</v>
      </c>
      <c r="O261" s="75" t="s">
        <v>144</v>
      </c>
      <c r="P261" s="75">
        <v>1994</v>
      </c>
      <c r="Q261" s="75">
        <v>2015</v>
      </c>
      <c r="R261" s="75">
        <v>1</v>
      </c>
      <c r="S261" s="81"/>
      <c r="T261" s="82"/>
      <c r="U261" s="83"/>
    </row>
    <row r="262" spans="1:21" s="84" customFormat="1" x14ac:dyDescent="0.3">
      <c r="A262" s="68">
        <v>39440</v>
      </c>
      <c r="B262" s="69">
        <f t="shared" si="4"/>
        <v>20071224</v>
      </c>
      <c r="C262" s="70">
        <v>4.1799999999999997E-2</v>
      </c>
      <c r="D262" s="77">
        <v>0</v>
      </c>
      <c r="E262" s="77"/>
      <c r="F262" s="77">
        <v>4.4999999999999997E-3</v>
      </c>
      <c r="G262" s="78">
        <v>15000000</v>
      </c>
      <c r="H262" s="79"/>
      <c r="I262" s="79"/>
      <c r="J262" s="79"/>
      <c r="K262" s="80">
        <v>1.9900000000000001E-2</v>
      </c>
      <c r="L262" s="80"/>
      <c r="M262" s="75" t="s">
        <v>143</v>
      </c>
      <c r="N262" s="75" t="b">
        <v>1</v>
      </c>
      <c r="O262" s="75" t="s">
        <v>144</v>
      </c>
      <c r="P262" s="75">
        <v>1994</v>
      </c>
      <c r="Q262" s="75">
        <v>2015</v>
      </c>
      <c r="R262" s="75">
        <v>1</v>
      </c>
      <c r="S262" s="81"/>
      <c r="T262" s="82"/>
      <c r="U262" s="83"/>
    </row>
    <row r="263" spans="1:21" s="84" customFormat="1" x14ac:dyDescent="0.3">
      <c r="A263" s="68">
        <v>39443</v>
      </c>
      <c r="B263" s="69">
        <f t="shared" si="4"/>
        <v>20071227</v>
      </c>
      <c r="C263" s="70">
        <v>4.1799999999999997E-2</v>
      </c>
      <c r="D263" s="77">
        <v>0</v>
      </c>
      <c r="E263" s="77"/>
      <c r="F263" s="77">
        <v>4.4999999999999997E-3</v>
      </c>
      <c r="G263" s="78">
        <v>15000000</v>
      </c>
      <c r="H263" s="79"/>
      <c r="I263" s="79"/>
      <c r="J263" s="79"/>
      <c r="K263" s="80">
        <v>1.9900000000000001E-2</v>
      </c>
      <c r="L263" s="80"/>
      <c r="M263" s="75" t="s">
        <v>143</v>
      </c>
      <c r="N263" s="75" t="b">
        <v>1</v>
      </c>
      <c r="O263" s="75" t="s">
        <v>144</v>
      </c>
      <c r="P263" s="75">
        <v>1994</v>
      </c>
      <c r="Q263" s="75">
        <v>2015</v>
      </c>
      <c r="R263" s="75">
        <v>1</v>
      </c>
      <c r="S263" s="81"/>
      <c r="T263" s="82"/>
      <c r="U263" s="83"/>
    </row>
    <row r="264" spans="1:21" s="84" customFormat="1" x14ac:dyDescent="0.3">
      <c r="A264" s="68">
        <v>39444</v>
      </c>
      <c r="B264" s="69">
        <f t="shared" si="4"/>
        <v>20071228</v>
      </c>
      <c r="C264" s="70">
        <v>4.1200000000000001E-2</v>
      </c>
      <c r="D264" s="77">
        <v>0</v>
      </c>
      <c r="E264" s="77"/>
      <c r="F264" s="77">
        <v>4.4999999999999997E-3</v>
      </c>
      <c r="G264" s="78">
        <v>15000000</v>
      </c>
      <c r="H264" s="79"/>
      <c r="I264" s="79"/>
      <c r="J264" s="79"/>
      <c r="K264" s="80">
        <v>1.9299999999999998E-2</v>
      </c>
      <c r="L264" s="80"/>
      <c r="M264" s="75" t="s">
        <v>143</v>
      </c>
      <c r="N264" s="75" t="b">
        <v>1</v>
      </c>
      <c r="O264" s="75" t="s">
        <v>144</v>
      </c>
      <c r="P264" s="75">
        <v>1994</v>
      </c>
      <c r="Q264" s="75">
        <v>2015</v>
      </c>
      <c r="R264" s="75">
        <v>1</v>
      </c>
      <c r="S264" s="81"/>
      <c r="T264" s="82"/>
      <c r="U264" s="83"/>
    </row>
    <row r="265" spans="1:21" s="96" customFormat="1" x14ac:dyDescent="0.3">
      <c r="A265" s="85">
        <v>39447</v>
      </c>
      <c r="B265" s="86">
        <f t="shared" si="4"/>
        <v>20071231</v>
      </c>
      <c r="C265" s="87">
        <v>4.0999999999999995E-2</v>
      </c>
      <c r="D265" s="88">
        <v>0</v>
      </c>
      <c r="E265" s="88"/>
      <c r="F265" s="89">
        <v>4.0000000000000001E-3</v>
      </c>
      <c r="G265" s="90">
        <v>15000000</v>
      </c>
      <c r="H265" s="91"/>
      <c r="I265" s="91"/>
      <c r="J265" s="91"/>
      <c r="K265" s="92">
        <v>1.9099999999999999E-2</v>
      </c>
      <c r="L265" s="92"/>
      <c r="M265" s="75" t="s">
        <v>143</v>
      </c>
      <c r="N265" s="75" t="b">
        <v>1</v>
      </c>
      <c r="O265" s="75" t="s">
        <v>144</v>
      </c>
      <c r="P265" s="75">
        <v>1994</v>
      </c>
      <c r="Q265" s="75">
        <v>2015</v>
      </c>
      <c r="R265" s="75">
        <v>1</v>
      </c>
      <c r="S265" s="93"/>
      <c r="T265" s="94"/>
      <c r="U265" s="95"/>
    </row>
    <row r="266" spans="1:21" s="84" customFormat="1" x14ac:dyDescent="0.3">
      <c r="A266" s="68">
        <v>39449</v>
      </c>
      <c r="B266" s="69">
        <f t="shared" ref="B266:B329" si="5">YEAR(A266)*10000+MONTH(A266)*100+DAY(A266)</f>
        <v>20080102</v>
      </c>
      <c r="C266" s="70">
        <v>4.0500000000000001E-2</v>
      </c>
      <c r="D266" s="77">
        <v>0</v>
      </c>
      <c r="E266" s="77"/>
      <c r="F266" s="77">
        <v>4.0000000000000001E-3</v>
      </c>
      <c r="G266" s="78">
        <v>15000000</v>
      </c>
      <c r="H266" s="79"/>
      <c r="I266" s="79"/>
      <c r="J266" s="79"/>
      <c r="K266" s="80">
        <v>1.8600000000000002E-2</v>
      </c>
      <c r="L266" s="80"/>
      <c r="M266" s="75" t="s">
        <v>143</v>
      </c>
      <c r="N266" s="75" t="b">
        <v>1</v>
      </c>
      <c r="O266" s="75" t="s">
        <v>144</v>
      </c>
      <c r="P266" s="75">
        <v>1994</v>
      </c>
      <c r="Q266" s="75">
        <v>2015</v>
      </c>
      <c r="R266" s="75">
        <v>1</v>
      </c>
      <c r="S266" s="81"/>
      <c r="T266" s="82"/>
      <c r="U266" s="83"/>
    </row>
    <row r="267" spans="1:21" s="84" customFormat="1" x14ac:dyDescent="0.3">
      <c r="A267" s="68">
        <v>39450</v>
      </c>
      <c r="B267" s="69">
        <f t="shared" si="5"/>
        <v>20080103</v>
      </c>
      <c r="C267" s="70">
        <v>4.0800000000000003E-2</v>
      </c>
      <c r="D267" s="77">
        <v>0</v>
      </c>
      <c r="E267" s="77"/>
      <c r="F267" s="77">
        <v>4.0000000000000001E-3</v>
      </c>
      <c r="G267" s="78">
        <v>15000000</v>
      </c>
      <c r="H267" s="79"/>
      <c r="I267" s="79"/>
      <c r="J267" s="79"/>
      <c r="K267" s="80">
        <v>1.89E-2</v>
      </c>
      <c r="L267" s="80"/>
      <c r="M267" s="75" t="s">
        <v>143</v>
      </c>
      <c r="N267" s="75" t="b">
        <v>1</v>
      </c>
      <c r="O267" s="75" t="s">
        <v>144</v>
      </c>
      <c r="P267" s="75">
        <v>1994</v>
      </c>
      <c r="Q267" s="75">
        <v>2015</v>
      </c>
      <c r="R267" s="75">
        <v>1</v>
      </c>
      <c r="S267" s="81"/>
      <c r="T267" s="82"/>
      <c r="U267" s="83"/>
    </row>
    <row r="268" spans="1:21" s="84" customFormat="1" x14ac:dyDescent="0.3">
      <c r="A268" s="68">
        <v>39451</v>
      </c>
      <c r="B268" s="69">
        <f t="shared" si="5"/>
        <v>20080104</v>
      </c>
      <c r="C268" s="70">
        <v>4.07E-2</v>
      </c>
      <c r="D268" s="77">
        <v>0</v>
      </c>
      <c r="E268" s="77"/>
      <c r="F268" s="77">
        <v>4.0000000000000001E-3</v>
      </c>
      <c r="G268" s="78">
        <v>15000000</v>
      </c>
      <c r="H268" s="79"/>
      <c r="I268" s="79"/>
      <c r="J268" s="79"/>
      <c r="K268" s="80">
        <v>1.89E-2</v>
      </c>
      <c r="L268" s="80"/>
      <c r="M268" s="75" t="s">
        <v>143</v>
      </c>
      <c r="N268" s="75" t="b">
        <v>1</v>
      </c>
      <c r="O268" s="75" t="s">
        <v>144</v>
      </c>
      <c r="P268" s="75">
        <v>1994</v>
      </c>
      <c r="Q268" s="75">
        <v>2015</v>
      </c>
      <c r="R268" s="75">
        <v>1</v>
      </c>
      <c r="S268" s="81"/>
      <c r="T268" s="82"/>
      <c r="U268" s="83"/>
    </row>
    <row r="269" spans="1:21" s="84" customFormat="1" x14ac:dyDescent="0.3">
      <c r="A269" s="68">
        <v>39454</v>
      </c>
      <c r="B269" s="69">
        <f t="shared" si="5"/>
        <v>20080107</v>
      </c>
      <c r="C269" s="70">
        <v>4.0500000000000001E-2</v>
      </c>
      <c r="D269" s="77">
        <v>0</v>
      </c>
      <c r="E269" s="77"/>
      <c r="F269" s="77">
        <v>4.0000000000000001E-3</v>
      </c>
      <c r="G269" s="78">
        <v>15000000</v>
      </c>
      <c r="H269" s="79"/>
      <c r="I269" s="79"/>
      <c r="J269" s="79"/>
      <c r="K269" s="80">
        <v>1.8799999999999997E-2</v>
      </c>
      <c r="L269" s="80"/>
      <c r="M269" s="75" t="s">
        <v>143</v>
      </c>
      <c r="N269" s="75" t="b">
        <v>1</v>
      </c>
      <c r="O269" s="75" t="s">
        <v>144</v>
      </c>
      <c r="P269" s="75">
        <v>1994</v>
      </c>
      <c r="Q269" s="75">
        <v>2015</v>
      </c>
      <c r="R269" s="75">
        <v>1</v>
      </c>
      <c r="S269" s="81"/>
      <c r="T269" s="82"/>
      <c r="U269" s="83"/>
    </row>
    <row r="270" spans="1:21" s="84" customFormat="1" x14ac:dyDescent="0.3">
      <c r="A270" s="68">
        <v>39455</v>
      </c>
      <c r="B270" s="69">
        <f t="shared" si="5"/>
        <v>20080108</v>
      </c>
      <c r="C270" s="70">
        <v>4.0399999999999998E-2</v>
      </c>
      <c r="D270" s="77">
        <v>0</v>
      </c>
      <c r="E270" s="77"/>
      <c r="F270" s="77">
        <v>4.0000000000000001E-3</v>
      </c>
      <c r="G270" s="78">
        <v>15000000</v>
      </c>
      <c r="H270" s="79"/>
      <c r="I270" s="79"/>
      <c r="J270" s="79"/>
      <c r="K270" s="80">
        <v>1.8700000000000001E-2</v>
      </c>
      <c r="L270" s="80"/>
      <c r="M270" s="75" t="s">
        <v>143</v>
      </c>
      <c r="N270" s="75" t="b">
        <v>1</v>
      </c>
      <c r="O270" s="75" t="s">
        <v>144</v>
      </c>
      <c r="P270" s="75">
        <v>1994</v>
      </c>
      <c r="Q270" s="75">
        <v>2015</v>
      </c>
      <c r="R270" s="75">
        <v>1</v>
      </c>
      <c r="S270" s="81"/>
      <c r="T270" s="82"/>
      <c r="U270" s="83"/>
    </row>
    <row r="271" spans="1:21" s="84" customFormat="1" x14ac:dyDescent="0.3">
      <c r="A271" s="68">
        <v>39456</v>
      </c>
      <c r="B271" s="69">
        <f t="shared" si="5"/>
        <v>20080109</v>
      </c>
      <c r="C271" s="70">
        <v>4.0599999999999997E-2</v>
      </c>
      <c r="D271" s="77">
        <v>0</v>
      </c>
      <c r="E271" s="77"/>
      <c r="F271" s="77">
        <v>4.0000000000000001E-3</v>
      </c>
      <c r="G271" s="78">
        <v>15000000</v>
      </c>
      <c r="H271" s="79"/>
      <c r="I271" s="79"/>
      <c r="J271" s="79"/>
      <c r="K271" s="80">
        <v>1.89E-2</v>
      </c>
      <c r="L271" s="80"/>
      <c r="M271" s="75" t="s">
        <v>143</v>
      </c>
      <c r="N271" s="75" t="b">
        <v>1</v>
      </c>
      <c r="O271" s="75" t="s">
        <v>144</v>
      </c>
      <c r="P271" s="75">
        <v>1994</v>
      </c>
      <c r="Q271" s="75">
        <v>2015</v>
      </c>
      <c r="R271" s="75">
        <v>1</v>
      </c>
      <c r="S271" s="81"/>
      <c r="T271" s="82"/>
      <c r="U271" s="83"/>
    </row>
    <row r="272" spans="1:21" s="84" customFormat="1" x14ac:dyDescent="0.3">
      <c r="A272" s="68">
        <v>39457</v>
      </c>
      <c r="B272" s="69">
        <f t="shared" si="5"/>
        <v>20080110</v>
      </c>
      <c r="C272" s="70">
        <v>4.0800000000000003E-2</v>
      </c>
      <c r="D272" s="77">
        <v>0</v>
      </c>
      <c r="E272" s="77"/>
      <c r="F272" s="77">
        <v>4.0000000000000001E-3</v>
      </c>
      <c r="G272" s="78">
        <v>15000000</v>
      </c>
      <c r="H272" s="79"/>
      <c r="I272" s="79"/>
      <c r="J272" s="79"/>
      <c r="K272" s="80">
        <v>1.9099999999999999E-2</v>
      </c>
      <c r="L272" s="80"/>
      <c r="M272" s="75" t="s">
        <v>143</v>
      </c>
      <c r="N272" s="75" t="b">
        <v>1</v>
      </c>
      <c r="O272" s="75" t="s">
        <v>144</v>
      </c>
      <c r="P272" s="75">
        <v>1994</v>
      </c>
      <c r="Q272" s="75">
        <v>2015</v>
      </c>
      <c r="R272" s="75">
        <v>1</v>
      </c>
      <c r="S272" s="81"/>
      <c r="T272" s="82"/>
      <c r="U272" s="83"/>
    </row>
    <row r="273" spans="1:21" s="84" customFormat="1" x14ac:dyDescent="0.3">
      <c r="A273" s="68">
        <v>39458</v>
      </c>
      <c r="B273" s="69">
        <f t="shared" si="5"/>
        <v>20080111</v>
      </c>
      <c r="C273" s="70">
        <v>4.0399999999999998E-2</v>
      </c>
      <c r="D273" s="77">
        <v>0</v>
      </c>
      <c r="E273" s="77"/>
      <c r="F273" s="77">
        <v>4.0000000000000001E-3</v>
      </c>
      <c r="G273" s="78">
        <v>15000000</v>
      </c>
      <c r="H273" s="79"/>
      <c r="I273" s="79"/>
      <c r="J273" s="79"/>
      <c r="K273" s="80">
        <v>1.8600000000000002E-2</v>
      </c>
      <c r="L273" s="80"/>
      <c r="M273" s="75" t="s">
        <v>143</v>
      </c>
      <c r="N273" s="75" t="b">
        <v>1</v>
      </c>
      <c r="O273" s="75" t="s">
        <v>144</v>
      </c>
      <c r="P273" s="75">
        <v>1994</v>
      </c>
      <c r="Q273" s="75">
        <v>2015</v>
      </c>
      <c r="R273" s="75">
        <v>1</v>
      </c>
      <c r="S273" s="81"/>
      <c r="T273" s="82"/>
      <c r="U273" s="83"/>
    </row>
    <row r="274" spans="1:21" s="84" customFormat="1" x14ac:dyDescent="0.3">
      <c r="A274" s="68">
        <v>39461</v>
      </c>
      <c r="B274" s="69">
        <f t="shared" si="5"/>
        <v>20080114</v>
      </c>
      <c r="C274" s="70">
        <v>4.0500000000000001E-2</v>
      </c>
      <c r="D274" s="77">
        <v>0</v>
      </c>
      <c r="E274" s="77"/>
      <c r="F274" s="77">
        <v>4.0000000000000001E-3</v>
      </c>
      <c r="G274" s="78">
        <v>15000000</v>
      </c>
      <c r="H274" s="79"/>
      <c r="I274" s="79"/>
      <c r="J274" s="79"/>
      <c r="K274" s="80">
        <v>1.8600000000000002E-2</v>
      </c>
      <c r="L274" s="80"/>
      <c r="M274" s="75" t="s">
        <v>143</v>
      </c>
      <c r="N274" s="75" t="b">
        <v>1</v>
      </c>
      <c r="O274" s="75" t="s">
        <v>144</v>
      </c>
      <c r="P274" s="75">
        <v>1994</v>
      </c>
      <c r="Q274" s="75">
        <v>2015</v>
      </c>
      <c r="R274" s="75">
        <v>1</v>
      </c>
      <c r="S274" s="81"/>
      <c r="T274" s="82"/>
      <c r="U274" s="83"/>
    </row>
    <row r="275" spans="1:21" s="84" customFormat="1" x14ac:dyDescent="0.3">
      <c r="A275" s="68">
        <v>39462</v>
      </c>
      <c r="B275" s="69">
        <f t="shared" si="5"/>
        <v>20080115</v>
      </c>
      <c r="C275" s="70">
        <v>4.0199999999999993E-2</v>
      </c>
      <c r="D275" s="77">
        <v>0</v>
      </c>
      <c r="E275" s="77"/>
      <c r="F275" s="77">
        <v>4.0000000000000001E-3</v>
      </c>
      <c r="G275" s="78">
        <v>15000000</v>
      </c>
      <c r="H275" s="79"/>
      <c r="I275" s="79"/>
      <c r="J275" s="79"/>
      <c r="K275" s="80">
        <v>1.84E-2</v>
      </c>
      <c r="L275" s="80"/>
      <c r="M275" s="75" t="s">
        <v>143</v>
      </c>
      <c r="N275" s="75" t="b">
        <v>1</v>
      </c>
      <c r="O275" s="75" t="s">
        <v>144</v>
      </c>
      <c r="P275" s="75">
        <v>1994</v>
      </c>
      <c r="Q275" s="75">
        <v>2015</v>
      </c>
      <c r="R275" s="75">
        <v>1</v>
      </c>
      <c r="S275" s="81"/>
      <c r="T275" s="82"/>
      <c r="U275" s="83"/>
    </row>
    <row r="276" spans="1:21" s="84" customFormat="1" x14ac:dyDescent="0.3">
      <c r="A276" s="68">
        <v>39463</v>
      </c>
      <c r="B276" s="69">
        <f t="shared" si="5"/>
        <v>20080116</v>
      </c>
      <c r="C276" s="70">
        <v>4.0599999999999997E-2</v>
      </c>
      <c r="D276" s="77">
        <v>0</v>
      </c>
      <c r="E276" s="77"/>
      <c r="F276" s="77">
        <v>4.0000000000000001E-3</v>
      </c>
      <c r="G276" s="78">
        <v>15000000</v>
      </c>
      <c r="H276" s="79"/>
      <c r="I276" s="79"/>
      <c r="J276" s="79"/>
      <c r="K276" s="80">
        <v>1.8799999999999997E-2</v>
      </c>
      <c r="L276" s="80"/>
      <c r="M276" s="75" t="s">
        <v>143</v>
      </c>
      <c r="N276" s="75" t="b">
        <v>1</v>
      </c>
      <c r="O276" s="75" t="s">
        <v>144</v>
      </c>
      <c r="P276" s="75">
        <v>1994</v>
      </c>
      <c r="Q276" s="75">
        <v>2015</v>
      </c>
      <c r="R276" s="75">
        <v>1</v>
      </c>
      <c r="S276" s="81"/>
      <c r="T276" s="82"/>
      <c r="U276" s="83"/>
    </row>
    <row r="277" spans="1:21" s="84" customFormat="1" x14ac:dyDescent="0.3">
      <c r="A277" s="68">
        <v>39464</v>
      </c>
      <c r="B277" s="69">
        <f t="shared" si="5"/>
        <v>20080117</v>
      </c>
      <c r="C277" s="70">
        <v>4.0300000000000002E-2</v>
      </c>
      <c r="D277" s="77">
        <v>0</v>
      </c>
      <c r="E277" s="77"/>
      <c r="F277" s="77">
        <v>4.0000000000000001E-3</v>
      </c>
      <c r="G277" s="78">
        <v>15000000</v>
      </c>
      <c r="H277" s="79"/>
      <c r="I277" s="79"/>
      <c r="J277" s="79"/>
      <c r="K277" s="80">
        <v>1.8500000000000003E-2</v>
      </c>
      <c r="L277" s="80"/>
      <c r="M277" s="75" t="s">
        <v>143</v>
      </c>
      <c r="N277" s="75" t="b">
        <v>1</v>
      </c>
      <c r="O277" s="75" t="s">
        <v>144</v>
      </c>
      <c r="P277" s="75">
        <v>1994</v>
      </c>
      <c r="Q277" s="75">
        <v>2015</v>
      </c>
      <c r="R277" s="75">
        <v>1</v>
      </c>
      <c r="S277" s="81"/>
      <c r="T277" s="82"/>
      <c r="U277" s="83"/>
    </row>
    <row r="278" spans="1:21" s="84" customFormat="1" x14ac:dyDescent="0.3">
      <c r="A278" s="68">
        <v>39465</v>
      </c>
      <c r="B278" s="69">
        <f t="shared" si="5"/>
        <v>20080118</v>
      </c>
      <c r="C278" s="70">
        <v>4.07E-2</v>
      </c>
      <c r="D278" s="77">
        <v>0</v>
      </c>
      <c r="E278" s="77"/>
      <c r="F278" s="77">
        <v>4.0000000000000001E-3</v>
      </c>
      <c r="G278" s="78">
        <v>15000000</v>
      </c>
      <c r="H278" s="79"/>
      <c r="I278" s="79"/>
      <c r="J278" s="79"/>
      <c r="K278" s="80">
        <v>1.89E-2</v>
      </c>
      <c r="L278" s="80"/>
      <c r="M278" s="75" t="s">
        <v>143</v>
      </c>
      <c r="N278" s="75" t="b">
        <v>1</v>
      </c>
      <c r="O278" s="75" t="s">
        <v>144</v>
      </c>
      <c r="P278" s="75">
        <v>1994</v>
      </c>
      <c r="Q278" s="75">
        <v>2015</v>
      </c>
      <c r="R278" s="75">
        <v>1</v>
      </c>
      <c r="S278" s="81"/>
      <c r="T278" s="82"/>
      <c r="U278" s="83"/>
    </row>
    <row r="279" spans="1:21" s="84" customFormat="1" x14ac:dyDescent="0.3">
      <c r="A279" s="68">
        <v>39468</v>
      </c>
      <c r="B279" s="69">
        <f t="shared" si="5"/>
        <v>20080121</v>
      </c>
      <c r="C279" s="70">
        <v>4.0399999999999998E-2</v>
      </c>
      <c r="D279" s="77">
        <v>0</v>
      </c>
      <c r="E279" s="77"/>
      <c r="F279" s="77">
        <v>4.0000000000000001E-3</v>
      </c>
      <c r="G279" s="78">
        <v>15000000</v>
      </c>
      <c r="H279" s="79"/>
      <c r="I279" s="79"/>
      <c r="J279" s="79"/>
      <c r="K279" s="80">
        <v>1.8700000000000001E-2</v>
      </c>
      <c r="L279" s="80"/>
      <c r="M279" s="75" t="s">
        <v>143</v>
      </c>
      <c r="N279" s="75" t="b">
        <v>1</v>
      </c>
      <c r="O279" s="75" t="s">
        <v>144</v>
      </c>
      <c r="P279" s="75">
        <v>1994</v>
      </c>
      <c r="Q279" s="75">
        <v>2015</v>
      </c>
      <c r="R279" s="75">
        <v>1</v>
      </c>
      <c r="S279" s="81"/>
      <c r="T279" s="82"/>
      <c r="U279" s="83"/>
    </row>
    <row r="280" spans="1:21" s="84" customFormat="1" x14ac:dyDescent="0.3">
      <c r="A280" s="68">
        <v>39469</v>
      </c>
      <c r="B280" s="69">
        <f t="shared" si="5"/>
        <v>20080122</v>
      </c>
      <c r="C280" s="70">
        <v>4.0999999999999995E-2</v>
      </c>
      <c r="D280" s="77">
        <v>0</v>
      </c>
      <c r="E280" s="77"/>
      <c r="F280" s="77">
        <v>4.0000000000000001E-3</v>
      </c>
      <c r="G280" s="78">
        <v>15000000</v>
      </c>
      <c r="H280" s="79"/>
      <c r="I280" s="79"/>
      <c r="J280" s="79"/>
      <c r="K280" s="80">
        <v>1.9299999999999998E-2</v>
      </c>
      <c r="L280" s="80"/>
      <c r="M280" s="75" t="s">
        <v>143</v>
      </c>
      <c r="N280" s="75" t="b">
        <v>1</v>
      </c>
      <c r="O280" s="75" t="s">
        <v>144</v>
      </c>
      <c r="P280" s="75">
        <v>1994</v>
      </c>
      <c r="Q280" s="75">
        <v>2015</v>
      </c>
      <c r="R280" s="75">
        <v>1</v>
      </c>
      <c r="S280" s="81"/>
      <c r="T280" s="82"/>
      <c r="U280" s="83"/>
    </row>
    <row r="281" spans="1:21" s="84" customFormat="1" x14ac:dyDescent="0.3">
      <c r="A281" s="68">
        <v>39470</v>
      </c>
      <c r="B281" s="69">
        <f t="shared" si="5"/>
        <v>20080123</v>
      </c>
      <c r="C281" s="70">
        <v>4.1700000000000001E-2</v>
      </c>
      <c r="D281" s="77">
        <v>0</v>
      </c>
      <c r="E281" s="77"/>
      <c r="F281" s="77">
        <v>4.0000000000000001E-3</v>
      </c>
      <c r="G281" s="78">
        <v>15000000</v>
      </c>
      <c r="H281" s="79"/>
      <c r="I281" s="79"/>
      <c r="J281" s="79"/>
      <c r="K281" s="80">
        <v>1.9799999999999998E-2</v>
      </c>
      <c r="L281" s="80"/>
      <c r="M281" s="75" t="s">
        <v>143</v>
      </c>
      <c r="N281" s="75" t="b">
        <v>1</v>
      </c>
      <c r="O281" s="75" t="s">
        <v>144</v>
      </c>
      <c r="P281" s="75">
        <v>1994</v>
      </c>
      <c r="Q281" s="75">
        <v>2015</v>
      </c>
      <c r="R281" s="75">
        <v>1</v>
      </c>
      <c r="S281" s="81"/>
      <c r="T281" s="82"/>
      <c r="U281" s="83"/>
    </row>
    <row r="282" spans="1:21" s="84" customFormat="1" x14ac:dyDescent="0.3">
      <c r="A282" s="68">
        <v>39471</v>
      </c>
      <c r="B282" s="69">
        <f t="shared" si="5"/>
        <v>20080124</v>
      </c>
      <c r="C282" s="70">
        <v>4.2099999999999999E-2</v>
      </c>
      <c r="D282" s="77">
        <v>0</v>
      </c>
      <c r="E282" s="77"/>
      <c r="F282" s="77">
        <v>4.0000000000000001E-3</v>
      </c>
      <c r="G282" s="78">
        <v>15000000</v>
      </c>
      <c r="H282" s="79"/>
      <c r="I282" s="79"/>
      <c r="J282" s="79"/>
      <c r="K282" s="80">
        <v>0.02</v>
      </c>
      <c r="L282" s="80"/>
      <c r="M282" s="75" t="s">
        <v>143</v>
      </c>
      <c r="N282" s="75" t="b">
        <v>1</v>
      </c>
      <c r="O282" s="75" t="s">
        <v>144</v>
      </c>
      <c r="P282" s="75">
        <v>1994</v>
      </c>
      <c r="Q282" s="75">
        <v>2015</v>
      </c>
      <c r="R282" s="75">
        <v>1</v>
      </c>
      <c r="S282" s="81"/>
      <c r="T282" s="82"/>
      <c r="U282" s="83"/>
    </row>
    <row r="283" spans="1:21" s="84" customFormat="1" x14ac:dyDescent="0.3">
      <c r="A283" s="68">
        <v>39472</v>
      </c>
      <c r="B283" s="69">
        <f t="shared" si="5"/>
        <v>20080125</v>
      </c>
      <c r="C283" s="70">
        <v>4.1299999999999996E-2</v>
      </c>
      <c r="D283" s="77">
        <v>0</v>
      </c>
      <c r="E283" s="77"/>
      <c r="F283" s="77">
        <v>4.0000000000000001E-3</v>
      </c>
      <c r="G283" s="78">
        <v>15000000</v>
      </c>
      <c r="H283" s="79"/>
      <c r="I283" s="79"/>
      <c r="J283" s="79"/>
      <c r="K283" s="80">
        <v>1.9400000000000001E-2</v>
      </c>
      <c r="L283" s="80"/>
      <c r="M283" s="75" t="s">
        <v>143</v>
      </c>
      <c r="N283" s="75" t="b">
        <v>1</v>
      </c>
      <c r="O283" s="75" t="s">
        <v>144</v>
      </c>
      <c r="P283" s="75">
        <v>1994</v>
      </c>
      <c r="Q283" s="75">
        <v>2015</v>
      </c>
      <c r="R283" s="75">
        <v>1</v>
      </c>
      <c r="S283" s="81"/>
      <c r="T283" s="82"/>
      <c r="U283" s="83"/>
    </row>
    <row r="284" spans="1:21" s="84" customFormat="1" x14ac:dyDescent="0.3">
      <c r="A284" s="68">
        <v>39475</v>
      </c>
      <c r="B284" s="69">
        <f t="shared" si="5"/>
        <v>20080128</v>
      </c>
      <c r="C284" s="70">
        <v>4.1299999999999996E-2</v>
      </c>
      <c r="D284" s="77">
        <v>0</v>
      </c>
      <c r="E284" s="77"/>
      <c r="F284" s="77">
        <v>4.0000000000000001E-3</v>
      </c>
      <c r="G284" s="78">
        <v>15000000</v>
      </c>
      <c r="H284" s="79"/>
      <c r="I284" s="79"/>
      <c r="J284" s="79"/>
      <c r="K284" s="80">
        <v>1.9299999999999998E-2</v>
      </c>
      <c r="L284" s="80"/>
      <c r="M284" s="75" t="s">
        <v>143</v>
      </c>
      <c r="N284" s="75" t="b">
        <v>1</v>
      </c>
      <c r="O284" s="75" t="s">
        <v>144</v>
      </c>
      <c r="P284" s="75">
        <v>1994</v>
      </c>
      <c r="Q284" s="75">
        <v>2015</v>
      </c>
      <c r="R284" s="75">
        <v>1</v>
      </c>
      <c r="S284" s="81"/>
      <c r="T284" s="82"/>
      <c r="U284" s="83"/>
    </row>
    <row r="285" spans="1:21" s="84" customFormat="1" x14ac:dyDescent="0.3">
      <c r="A285" s="68">
        <v>39476</v>
      </c>
      <c r="B285" s="69">
        <f t="shared" si="5"/>
        <v>20080129</v>
      </c>
      <c r="C285" s="70">
        <v>4.1700000000000001E-2</v>
      </c>
      <c r="D285" s="77">
        <v>0</v>
      </c>
      <c r="E285" s="77"/>
      <c r="F285" s="77">
        <v>4.0000000000000001E-3</v>
      </c>
      <c r="G285" s="78">
        <v>15000000</v>
      </c>
      <c r="H285" s="79"/>
      <c r="I285" s="79"/>
      <c r="J285" s="79"/>
      <c r="K285" s="80">
        <v>1.9699999999999999E-2</v>
      </c>
      <c r="L285" s="80"/>
      <c r="M285" s="75" t="s">
        <v>143</v>
      </c>
      <c r="N285" s="75" t="b">
        <v>1</v>
      </c>
      <c r="O285" s="75" t="s">
        <v>144</v>
      </c>
      <c r="P285" s="75">
        <v>1994</v>
      </c>
      <c r="Q285" s="75">
        <v>2015</v>
      </c>
      <c r="R285" s="75">
        <v>1</v>
      </c>
      <c r="S285" s="81"/>
      <c r="T285" s="82"/>
      <c r="U285" s="83"/>
    </row>
    <row r="286" spans="1:21" s="84" customFormat="1" x14ac:dyDescent="0.3">
      <c r="A286" s="68">
        <v>39477</v>
      </c>
      <c r="B286" s="69">
        <f t="shared" si="5"/>
        <v>20080130</v>
      </c>
      <c r="C286" s="70">
        <v>4.1700000000000001E-2</v>
      </c>
      <c r="D286" s="77">
        <v>0</v>
      </c>
      <c r="E286" s="77"/>
      <c r="F286" s="77">
        <v>4.0000000000000001E-3</v>
      </c>
      <c r="G286" s="78">
        <v>15000000</v>
      </c>
      <c r="H286" s="79"/>
      <c r="I286" s="79"/>
      <c r="J286" s="79"/>
      <c r="K286" s="80">
        <v>1.9799999999999998E-2</v>
      </c>
      <c r="L286" s="80"/>
      <c r="M286" s="75" t="s">
        <v>143</v>
      </c>
      <c r="N286" s="75" t="b">
        <v>1</v>
      </c>
      <c r="O286" s="75" t="s">
        <v>144</v>
      </c>
      <c r="P286" s="75">
        <v>1994</v>
      </c>
      <c r="Q286" s="75">
        <v>2015</v>
      </c>
      <c r="R286" s="75">
        <v>1</v>
      </c>
      <c r="S286" s="81"/>
      <c r="T286" s="82"/>
      <c r="U286" s="83"/>
    </row>
    <row r="287" spans="1:21" s="84" customFormat="1" x14ac:dyDescent="0.3">
      <c r="A287" s="68">
        <v>39478</v>
      </c>
      <c r="B287" s="69">
        <f t="shared" si="5"/>
        <v>20080131</v>
      </c>
      <c r="C287" s="70">
        <v>4.1599999999999998E-2</v>
      </c>
      <c r="D287" s="77">
        <v>0</v>
      </c>
      <c r="E287" s="77"/>
      <c r="F287" s="77">
        <v>4.0000000000000001E-3</v>
      </c>
      <c r="G287" s="78">
        <v>15000000</v>
      </c>
      <c r="H287" s="79"/>
      <c r="I287" s="79"/>
      <c r="J287" s="79"/>
      <c r="K287" s="80">
        <v>1.9599999999999999E-2</v>
      </c>
      <c r="L287" s="80"/>
      <c r="M287" s="75" t="s">
        <v>143</v>
      </c>
      <c r="N287" s="75" t="b">
        <v>1</v>
      </c>
      <c r="O287" s="75" t="s">
        <v>144</v>
      </c>
      <c r="P287" s="75">
        <v>1994</v>
      </c>
      <c r="Q287" s="75">
        <v>2015</v>
      </c>
      <c r="R287" s="75">
        <v>1</v>
      </c>
      <c r="S287" s="81"/>
      <c r="T287" s="82"/>
      <c r="U287" s="83"/>
    </row>
    <row r="288" spans="1:21" s="84" customFormat="1" x14ac:dyDescent="0.3">
      <c r="A288" s="68">
        <v>39479</v>
      </c>
      <c r="B288" s="69">
        <f t="shared" si="5"/>
        <v>20080201</v>
      </c>
      <c r="C288" s="70">
        <v>4.1100000000000005E-2</v>
      </c>
      <c r="D288" s="77">
        <v>0</v>
      </c>
      <c r="E288" s="77"/>
      <c r="F288" s="77">
        <v>4.0000000000000001E-3</v>
      </c>
      <c r="G288" s="78">
        <v>15000000</v>
      </c>
      <c r="H288" s="79"/>
      <c r="I288" s="79"/>
      <c r="J288" s="79"/>
      <c r="K288" s="80">
        <v>1.9099999999999999E-2</v>
      </c>
      <c r="L288" s="80"/>
      <c r="M288" s="75" t="s">
        <v>143</v>
      </c>
      <c r="N288" s="75" t="b">
        <v>1</v>
      </c>
      <c r="O288" s="75" t="s">
        <v>144</v>
      </c>
      <c r="P288" s="75">
        <v>1994</v>
      </c>
      <c r="Q288" s="75">
        <v>2015</v>
      </c>
      <c r="R288" s="75">
        <v>1</v>
      </c>
      <c r="S288" s="81"/>
      <c r="T288" s="82"/>
      <c r="U288" s="83"/>
    </row>
    <row r="289" spans="1:21" s="84" customFormat="1" x14ac:dyDescent="0.3">
      <c r="A289" s="68">
        <v>39482</v>
      </c>
      <c r="B289" s="69">
        <f t="shared" si="5"/>
        <v>20080204</v>
      </c>
      <c r="C289" s="70">
        <v>4.1399999999999999E-2</v>
      </c>
      <c r="D289" s="77">
        <v>0</v>
      </c>
      <c r="E289" s="77"/>
      <c r="F289" s="77">
        <v>4.0000000000000001E-3</v>
      </c>
      <c r="G289" s="78">
        <v>15000000</v>
      </c>
      <c r="H289" s="79"/>
      <c r="I289" s="79"/>
      <c r="J289" s="79"/>
      <c r="K289" s="80">
        <v>1.9299999999999998E-2</v>
      </c>
      <c r="L289" s="80"/>
      <c r="M289" s="75" t="s">
        <v>143</v>
      </c>
      <c r="N289" s="75" t="b">
        <v>1</v>
      </c>
      <c r="O289" s="75" t="s">
        <v>144</v>
      </c>
      <c r="P289" s="75">
        <v>1994</v>
      </c>
      <c r="Q289" s="75">
        <v>2015</v>
      </c>
      <c r="R289" s="75">
        <v>1</v>
      </c>
      <c r="S289" s="81"/>
      <c r="T289" s="82"/>
      <c r="U289" s="83"/>
    </row>
    <row r="290" spans="1:21" s="84" customFormat="1" x14ac:dyDescent="0.3">
      <c r="A290" s="68">
        <v>39483</v>
      </c>
      <c r="B290" s="69">
        <f t="shared" si="5"/>
        <v>20080205</v>
      </c>
      <c r="C290" s="70">
        <v>4.0800000000000003E-2</v>
      </c>
      <c r="D290" s="77">
        <v>0</v>
      </c>
      <c r="E290" s="77"/>
      <c r="F290" s="77">
        <v>4.0000000000000001E-3</v>
      </c>
      <c r="G290" s="78">
        <v>15000000</v>
      </c>
      <c r="H290" s="79"/>
      <c r="I290" s="79"/>
      <c r="J290" s="79"/>
      <c r="K290" s="80">
        <v>1.89E-2</v>
      </c>
      <c r="L290" s="80"/>
      <c r="M290" s="75" t="s">
        <v>143</v>
      </c>
      <c r="N290" s="75" t="b">
        <v>1</v>
      </c>
      <c r="O290" s="75" t="s">
        <v>144</v>
      </c>
      <c r="P290" s="75">
        <v>1994</v>
      </c>
      <c r="Q290" s="75">
        <v>2015</v>
      </c>
      <c r="R290" s="75">
        <v>1</v>
      </c>
      <c r="S290" s="81"/>
      <c r="T290" s="82"/>
      <c r="U290" s="83"/>
    </row>
    <row r="291" spans="1:21" s="84" customFormat="1" x14ac:dyDescent="0.3">
      <c r="A291" s="68">
        <v>39484</v>
      </c>
      <c r="B291" s="69">
        <f t="shared" si="5"/>
        <v>20080206</v>
      </c>
      <c r="C291" s="70">
        <v>4.1200000000000001E-2</v>
      </c>
      <c r="D291" s="77">
        <v>0</v>
      </c>
      <c r="E291" s="77"/>
      <c r="F291" s="77">
        <v>4.0000000000000001E-3</v>
      </c>
      <c r="G291" s="78">
        <v>15000000</v>
      </c>
      <c r="H291" s="79"/>
      <c r="I291" s="79"/>
      <c r="J291" s="79"/>
      <c r="K291" s="80">
        <v>1.9199999999999998E-2</v>
      </c>
      <c r="L291" s="80"/>
      <c r="M291" s="75" t="s">
        <v>143</v>
      </c>
      <c r="N291" s="75" t="b">
        <v>1</v>
      </c>
      <c r="O291" s="75" t="s">
        <v>144</v>
      </c>
      <c r="P291" s="75">
        <v>1994</v>
      </c>
      <c r="Q291" s="75">
        <v>2015</v>
      </c>
      <c r="R291" s="75">
        <v>1</v>
      </c>
      <c r="S291" s="81"/>
      <c r="T291" s="82"/>
      <c r="U291" s="83"/>
    </row>
    <row r="292" spans="1:21" s="84" customFormat="1" x14ac:dyDescent="0.3">
      <c r="A292" s="68">
        <v>39485</v>
      </c>
      <c r="B292" s="69">
        <f t="shared" si="5"/>
        <v>20080207</v>
      </c>
      <c r="C292" s="70">
        <v>4.1900000000000007E-2</v>
      </c>
      <c r="D292" s="77">
        <v>0</v>
      </c>
      <c r="E292" s="77"/>
      <c r="F292" s="77">
        <v>4.0000000000000001E-3</v>
      </c>
      <c r="G292" s="78">
        <v>15000000</v>
      </c>
      <c r="H292" s="79"/>
      <c r="I292" s="79"/>
      <c r="J292" s="79"/>
      <c r="K292" s="80">
        <v>0.02</v>
      </c>
      <c r="L292" s="80"/>
      <c r="M292" s="75" t="s">
        <v>143</v>
      </c>
      <c r="N292" s="75" t="b">
        <v>1</v>
      </c>
      <c r="O292" s="75" t="s">
        <v>144</v>
      </c>
      <c r="P292" s="75">
        <v>1994</v>
      </c>
      <c r="Q292" s="75">
        <v>2015</v>
      </c>
      <c r="R292" s="75">
        <v>1</v>
      </c>
      <c r="S292" s="81"/>
      <c r="T292" s="82"/>
      <c r="U292" s="83"/>
    </row>
    <row r="293" spans="1:21" s="84" customFormat="1" x14ac:dyDescent="0.3">
      <c r="A293" s="68">
        <v>39486</v>
      </c>
      <c r="B293" s="69">
        <f t="shared" si="5"/>
        <v>20080208</v>
      </c>
      <c r="C293" s="70">
        <v>4.1599999999999998E-2</v>
      </c>
      <c r="D293" s="77">
        <v>0</v>
      </c>
      <c r="E293" s="77"/>
      <c r="F293" s="77">
        <v>4.0000000000000001E-3</v>
      </c>
      <c r="G293" s="78">
        <v>15000000</v>
      </c>
      <c r="H293" s="79"/>
      <c r="I293" s="79"/>
      <c r="J293" s="79"/>
      <c r="K293" s="80">
        <v>1.9699999999999999E-2</v>
      </c>
      <c r="L293" s="80"/>
      <c r="M293" s="75" t="s">
        <v>143</v>
      </c>
      <c r="N293" s="75" t="b">
        <v>1</v>
      </c>
      <c r="O293" s="75" t="s">
        <v>144</v>
      </c>
      <c r="P293" s="75">
        <v>1994</v>
      </c>
      <c r="Q293" s="75">
        <v>2015</v>
      </c>
      <c r="R293" s="75">
        <v>1</v>
      </c>
      <c r="S293" s="81"/>
      <c r="T293" s="82"/>
      <c r="U293" s="83"/>
    </row>
    <row r="294" spans="1:21" s="84" customFormat="1" x14ac:dyDescent="0.3">
      <c r="A294" s="68">
        <v>39489</v>
      </c>
      <c r="B294" s="69">
        <f t="shared" si="5"/>
        <v>20080211</v>
      </c>
      <c r="C294" s="70">
        <v>4.1200000000000001E-2</v>
      </c>
      <c r="D294" s="77">
        <v>0</v>
      </c>
      <c r="E294" s="77"/>
      <c r="F294" s="77">
        <v>4.0000000000000001E-3</v>
      </c>
      <c r="G294" s="78">
        <v>15000000</v>
      </c>
      <c r="H294" s="79"/>
      <c r="I294" s="79"/>
      <c r="J294" s="79"/>
      <c r="K294" s="80">
        <v>1.9400000000000001E-2</v>
      </c>
      <c r="L294" s="80"/>
      <c r="M294" s="75" t="s">
        <v>143</v>
      </c>
      <c r="N294" s="75" t="b">
        <v>1</v>
      </c>
      <c r="O294" s="75" t="s">
        <v>144</v>
      </c>
      <c r="P294" s="75">
        <v>1994</v>
      </c>
      <c r="Q294" s="75">
        <v>2015</v>
      </c>
      <c r="R294" s="75">
        <v>1</v>
      </c>
      <c r="S294" s="81"/>
      <c r="T294" s="82"/>
      <c r="U294" s="83"/>
    </row>
    <row r="295" spans="1:21" s="84" customFormat="1" x14ac:dyDescent="0.3">
      <c r="A295" s="68">
        <v>39490</v>
      </c>
      <c r="B295" s="69">
        <f t="shared" si="5"/>
        <v>20080212</v>
      </c>
      <c r="C295" s="70">
        <v>4.1599999999999998E-2</v>
      </c>
      <c r="D295" s="77">
        <v>0</v>
      </c>
      <c r="E295" s="77"/>
      <c r="F295" s="77">
        <v>4.0000000000000001E-3</v>
      </c>
      <c r="G295" s="78">
        <v>15000000</v>
      </c>
      <c r="H295" s="79"/>
      <c r="I295" s="79"/>
      <c r="J295" s="79"/>
      <c r="K295" s="80">
        <v>1.9799999999999998E-2</v>
      </c>
      <c r="L295" s="80"/>
      <c r="M295" s="75" t="s">
        <v>143</v>
      </c>
      <c r="N295" s="75" t="b">
        <v>1</v>
      </c>
      <c r="O295" s="75" t="s">
        <v>144</v>
      </c>
      <c r="P295" s="75">
        <v>1994</v>
      </c>
      <c r="Q295" s="75">
        <v>2015</v>
      </c>
      <c r="R295" s="75">
        <v>1</v>
      </c>
      <c r="S295" s="81"/>
      <c r="T295" s="82"/>
      <c r="U295" s="83"/>
    </row>
    <row r="296" spans="1:21" s="84" customFormat="1" x14ac:dyDescent="0.3">
      <c r="A296" s="68">
        <v>39491</v>
      </c>
      <c r="B296" s="69">
        <f t="shared" si="5"/>
        <v>20080213</v>
      </c>
      <c r="C296" s="70">
        <v>4.2099999999999999E-2</v>
      </c>
      <c r="D296" s="77">
        <v>0</v>
      </c>
      <c r="E296" s="77"/>
      <c r="F296" s="77">
        <v>4.0000000000000001E-3</v>
      </c>
      <c r="G296" s="78">
        <v>15000000</v>
      </c>
      <c r="H296" s="79"/>
      <c r="I296" s="79"/>
      <c r="J296" s="79"/>
      <c r="K296" s="80">
        <v>2.0299999999999999E-2</v>
      </c>
      <c r="L296" s="80"/>
      <c r="M296" s="75" t="s">
        <v>143</v>
      </c>
      <c r="N296" s="75" t="b">
        <v>1</v>
      </c>
      <c r="O296" s="75" t="s">
        <v>144</v>
      </c>
      <c r="P296" s="75">
        <v>1994</v>
      </c>
      <c r="Q296" s="75">
        <v>2015</v>
      </c>
      <c r="R296" s="75">
        <v>1</v>
      </c>
      <c r="S296" s="81"/>
      <c r="T296" s="82"/>
      <c r="U296" s="83"/>
    </row>
    <row r="297" spans="1:21" s="84" customFormat="1" x14ac:dyDescent="0.3">
      <c r="A297" s="68">
        <v>39492</v>
      </c>
      <c r="B297" s="69">
        <f t="shared" si="5"/>
        <v>20080214</v>
      </c>
      <c r="C297" s="70">
        <v>4.2199999999999994E-2</v>
      </c>
      <c r="D297" s="77">
        <v>0</v>
      </c>
      <c r="E297" s="77"/>
      <c r="F297" s="77">
        <v>4.0000000000000001E-3</v>
      </c>
      <c r="G297" s="78">
        <v>15000000</v>
      </c>
      <c r="H297" s="79"/>
      <c r="I297" s="79"/>
      <c r="J297" s="79"/>
      <c r="K297" s="80">
        <v>2.0499999999999997E-2</v>
      </c>
      <c r="L297" s="80"/>
      <c r="M297" s="75" t="s">
        <v>143</v>
      </c>
      <c r="N297" s="75" t="b">
        <v>1</v>
      </c>
      <c r="O297" s="75" t="s">
        <v>144</v>
      </c>
      <c r="P297" s="75">
        <v>1994</v>
      </c>
      <c r="Q297" s="75">
        <v>2015</v>
      </c>
      <c r="R297" s="75">
        <v>1</v>
      </c>
      <c r="S297" s="81"/>
      <c r="T297" s="82"/>
      <c r="U297" s="83"/>
    </row>
    <row r="298" spans="1:21" s="84" customFormat="1" x14ac:dyDescent="0.3">
      <c r="A298" s="68">
        <v>39493</v>
      </c>
      <c r="B298" s="69">
        <f t="shared" si="5"/>
        <v>20080215</v>
      </c>
      <c r="C298" s="70">
        <v>4.1599999999999998E-2</v>
      </c>
      <c r="D298" s="77">
        <v>0</v>
      </c>
      <c r="E298" s="77"/>
      <c r="F298" s="77">
        <v>4.0000000000000001E-3</v>
      </c>
      <c r="G298" s="78">
        <v>15000000</v>
      </c>
      <c r="H298" s="79"/>
      <c r="I298" s="79"/>
      <c r="J298" s="79"/>
      <c r="K298" s="80">
        <v>1.9900000000000001E-2</v>
      </c>
      <c r="L298" s="80"/>
      <c r="M298" s="75" t="s">
        <v>143</v>
      </c>
      <c r="N298" s="75" t="b">
        <v>1</v>
      </c>
      <c r="O298" s="75" t="s">
        <v>144</v>
      </c>
      <c r="P298" s="75">
        <v>1994</v>
      </c>
      <c r="Q298" s="75">
        <v>2015</v>
      </c>
      <c r="R298" s="75">
        <v>1</v>
      </c>
      <c r="S298" s="81"/>
      <c r="T298" s="82"/>
      <c r="U298" s="83"/>
    </row>
    <row r="299" spans="1:21" s="84" customFormat="1" x14ac:dyDescent="0.3">
      <c r="A299" s="68">
        <v>39497</v>
      </c>
      <c r="B299" s="69">
        <f t="shared" si="5"/>
        <v>20080219</v>
      </c>
      <c r="C299" s="70">
        <v>4.24E-2</v>
      </c>
      <c r="D299" s="77">
        <v>0</v>
      </c>
      <c r="E299" s="77"/>
      <c r="F299" s="77">
        <v>4.0000000000000001E-3</v>
      </c>
      <c r="G299" s="78">
        <v>15000000</v>
      </c>
      <c r="H299" s="79"/>
      <c r="I299" s="79"/>
      <c r="J299" s="79"/>
      <c r="K299" s="80">
        <v>2.07E-2</v>
      </c>
      <c r="L299" s="80"/>
      <c r="M299" s="75" t="s">
        <v>143</v>
      </c>
      <c r="N299" s="75" t="b">
        <v>1</v>
      </c>
      <c r="O299" s="75" t="s">
        <v>144</v>
      </c>
      <c r="P299" s="75">
        <v>1994</v>
      </c>
      <c r="Q299" s="75">
        <v>2015</v>
      </c>
      <c r="R299" s="75">
        <v>1</v>
      </c>
      <c r="S299" s="81"/>
      <c r="T299" s="82"/>
      <c r="U299" s="83"/>
    </row>
    <row r="300" spans="1:21" s="84" customFormat="1" x14ac:dyDescent="0.3">
      <c r="A300" s="68">
        <v>39498</v>
      </c>
      <c r="B300" s="69">
        <f t="shared" si="5"/>
        <v>20080220</v>
      </c>
      <c r="C300" s="70">
        <v>4.2199999999999994E-2</v>
      </c>
      <c r="D300" s="77">
        <v>0</v>
      </c>
      <c r="E300" s="77"/>
      <c r="F300" s="77">
        <v>4.0000000000000001E-3</v>
      </c>
      <c r="G300" s="78">
        <v>15000000</v>
      </c>
      <c r="H300" s="79"/>
      <c r="I300" s="79"/>
      <c r="J300" s="79"/>
      <c r="K300" s="80">
        <v>2.0299999999999999E-2</v>
      </c>
      <c r="L300" s="80"/>
      <c r="M300" s="75" t="s">
        <v>143</v>
      </c>
      <c r="N300" s="75" t="b">
        <v>1</v>
      </c>
      <c r="O300" s="75" t="s">
        <v>144</v>
      </c>
      <c r="P300" s="75">
        <v>1994</v>
      </c>
      <c r="Q300" s="75">
        <v>2015</v>
      </c>
      <c r="R300" s="75">
        <v>1</v>
      </c>
      <c r="S300" s="81"/>
      <c r="T300" s="82"/>
      <c r="U300" s="83"/>
    </row>
    <row r="301" spans="1:21" s="84" customFormat="1" x14ac:dyDescent="0.3">
      <c r="A301" s="68">
        <v>39499</v>
      </c>
      <c r="B301" s="69">
        <f t="shared" si="5"/>
        <v>20080221</v>
      </c>
      <c r="C301" s="70">
        <v>4.1799999999999997E-2</v>
      </c>
      <c r="D301" s="77">
        <v>0</v>
      </c>
      <c r="E301" s="77"/>
      <c r="F301" s="77">
        <v>4.0000000000000001E-3</v>
      </c>
      <c r="G301" s="78">
        <v>15000000</v>
      </c>
      <c r="H301" s="79"/>
      <c r="I301" s="79"/>
      <c r="J301" s="79"/>
      <c r="K301" s="80">
        <v>2.0199999999999999E-2</v>
      </c>
      <c r="L301" s="80"/>
      <c r="M301" s="75" t="s">
        <v>143</v>
      </c>
      <c r="N301" s="75" t="b">
        <v>1</v>
      </c>
      <c r="O301" s="75" t="s">
        <v>144</v>
      </c>
      <c r="P301" s="75">
        <v>1994</v>
      </c>
      <c r="Q301" s="75">
        <v>2015</v>
      </c>
      <c r="R301" s="75">
        <v>1</v>
      </c>
      <c r="S301" s="81"/>
      <c r="T301" s="82"/>
      <c r="U301" s="83"/>
    </row>
    <row r="302" spans="1:21" s="84" customFormat="1" x14ac:dyDescent="0.3">
      <c r="A302" s="68">
        <v>39500</v>
      </c>
      <c r="B302" s="69">
        <f t="shared" si="5"/>
        <v>20080222</v>
      </c>
      <c r="C302" s="70">
        <v>4.1900000000000007E-2</v>
      </c>
      <c r="D302" s="77">
        <v>0</v>
      </c>
      <c r="E302" s="77"/>
      <c r="F302" s="77">
        <v>4.0000000000000001E-3</v>
      </c>
      <c r="G302" s="78">
        <v>15000000</v>
      </c>
      <c r="H302" s="79"/>
      <c r="I302" s="79"/>
      <c r="J302" s="79"/>
      <c r="K302" s="80">
        <v>2.0400000000000001E-2</v>
      </c>
      <c r="L302" s="80"/>
      <c r="M302" s="75" t="s">
        <v>143</v>
      </c>
      <c r="N302" s="75" t="b">
        <v>1</v>
      </c>
      <c r="O302" s="75" t="s">
        <v>144</v>
      </c>
      <c r="P302" s="75">
        <v>1994</v>
      </c>
      <c r="Q302" s="75">
        <v>2015</v>
      </c>
      <c r="R302" s="75">
        <v>1</v>
      </c>
      <c r="S302" s="81"/>
      <c r="T302" s="82"/>
      <c r="U302" s="83"/>
    </row>
    <row r="303" spans="1:21" s="84" customFormat="1" x14ac:dyDescent="0.3">
      <c r="A303" s="68">
        <v>39503</v>
      </c>
      <c r="B303" s="69">
        <f t="shared" si="5"/>
        <v>20080225</v>
      </c>
      <c r="C303" s="70">
        <v>4.2199999999999994E-2</v>
      </c>
      <c r="D303" s="77">
        <v>0</v>
      </c>
      <c r="E303" s="77"/>
      <c r="F303" s="77">
        <v>4.0000000000000001E-3</v>
      </c>
      <c r="G303" s="78">
        <v>15000000</v>
      </c>
      <c r="H303" s="79"/>
      <c r="I303" s="79"/>
      <c r="J303" s="79"/>
      <c r="K303" s="80">
        <v>2.06E-2</v>
      </c>
      <c r="L303" s="80"/>
      <c r="M303" s="75" t="s">
        <v>143</v>
      </c>
      <c r="N303" s="75" t="b">
        <v>1</v>
      </c>
      <c r="O303" s="75" t="s">
        <v>144</v>
      </c>
      <c r="P303" s="75">
        <v>1994</v>
      </c>
      <c r="Q303" s="75">
        <v>2015</v>
      </c>
      <c r="R303" s="75">
        <v>1</v>
      </c>
      <c r="S303" s="81"/>
      <c r="T303" s="82"/>
      <c r="U303" s="83"/>
    </row>
    <row r="304" spans="1:21" s="84" customFormat="1" x14ac:dyDescent="0.3">
      <c r="A304" s="68">
        <v>39504</v>
      </c>
      <c r="B304" s="69">
        <f t="shared" si="5"/>
        <v>20080226</v>
      </c>
      <c r="C304" s="70">
        <v>4.1700000000000001E-2</v>
      </c>
      <c r="D304" s="77">
        <v>0</v>
      </c>
      <c r="E304" s="77"/>
      <c r="F304" s="77">
        <v>4.0000000000000001E-3</v>
      </c>
      <c r="G304" s="78">
        <v>15000000</v>
      </c>
      <c r="H304" s="79"/>
      <c r="I304" s="79"/>
      <c r="J304" s="79"/>
      <c r="K304" s="80">
        <v>2.0299999999999999E-2</v>
      </c>
      <c r="L304" s="80"/>
      <c r="M304" s="75" t="s">
        <v>143</v>
      </c>
      <c r="N304" s="75" t="b">
        <v>1</v>
      </c>
      <c r="O304" s="75" t="s">
        <v>144</v>
      </c>
      <c r="P304" s="75">
        <v>1994</v>
      </c>
      <c r="Q304" s="75">
        <v>2015</v>
      </c>
      <c r="R304" s="75">
        <v>1</v>
      </c>
      <c r="S304" s="81"/>
      <c r="T304" s="82"/>
      <c r="U304" s="83"/>
    </row>
    <row r="305" spans="1:21" s="84" customFormat="1" x14ac:dyDescent="0.3">
      <c r="A305" s="68">
        <v>39505</v>
      </c>
      <c r="B305" s="69">
        <f t="shared" si="5"/>
        <v>20080227</v>
      </c>
      <c r="C305" s="70">
        <v>4.1399999999999999E-2</v>
      </c>
      <c r="D305" s="77">
        <v>0</v>
      </c>
      <c r="E305" s="77"/>
      <c r="F305" s="77">
        <v>4.0000000000000001E-3</v>
      </c>
      <c r="G305" s="78">
        <v>15000000</v>
      </c>
      <c r="H305" s="79"/>
      <c r="I305" s="79"/>
      <c r="J305" s="79"/>
      <c r="K305" s="80">
        <v>1.9400000000000001E-2</v>
      </c>
      <c r="L305" s="80"/>
      <c r="M305" s="75" t="s">
        <v>143</v>
      </c>
      <c r="N305" s="75" t="b">
        <v>1</v>
      </c>
      <c r="O305" s="75" t="s">
        <v>144</v>
      </c>
      <c r="P305" s="75">
        <v>1994</v>
      </c>
      <c r="Q305" s="75">
        <v>2015</v>
      </c>
      <c r="R305" s="75">
        <v>1</v>
      </c>
      <c r="S305" s="81"/>
      <c r="T305" s="82"/>
      <c r="U305" s="83"/>
    </row>
    <row r="306" spans="1:21" s="84" customFormat="1" x14ac:dyDescent="0.3">
      <c r="A306" s="68">
        <v>39506</v>
      </c>
      <c r="B306" s="69">
        <f t="shared" si="5"/>
        <v>20080228</v>
      </c>
      <c r="C306" s="70">
        <v>4.0500000000000001E-2</v>
      </c>
      <c r="D306" s="77">
        <v>0</v>
      </c>
      <c r="E306" s="77"/>
      <c r="F306" s="77">
        <v>4.0000000000000001E-3</v>
      </c>
      <c r="G306" s="78">
        <v>15000000</v>
      </c>
      <c r="H306" s="79"/>
      <c r="I306" s="79"/>
      <c r="J306" s="79"/>
      <c r="K306" s="80">
        <v>1.8600000000000002E-2</v>
      </c>
      <c r="L306" s="80"/>
      <c r="M306" s="75" t="s">
        <v>143</v>
      </c>
      <c r="N306" s="75" t="b">
        <v>1</v>
      </c>
      <c r="O306" s="75" t="s">
        <v>144</v>
      </c>
      <c r="P306" s="75">
        <v>1994</v>
      </c>
      <c r="Q306" s="75">
        <v>2015</v>
      </c>
      <c r="R306" s="75">
        <v>1</v>
      </c>
      <c r="S306" s="81"/>
      <c r="T306" s="82"/>
      <c r="U306" s="83"/>
    </row>
    <row r="307" spans="1:21" s="84" customFormat="1" x14ac:dyDescent="0.3">
      <c r="A307" s="68">
        <v>39507</v>
      </c>
      <c r="B307" s="69">
        <f t="shared" si="5"/>
        <v>20080229</v>
      </c>
      <c r="C307" s="70">
        <v>4.0399999999999998E-2</v>
      </c>
      <c r="D307" s="77">
        <v>0</v>
      </c>
      <c r="E307" s="77"/>
      <c r="F307" s="77">
        <v>4.0000000000000001E-3</v>
      </c>
      <c r="G307" s="78">
        <v>15000000</v>
      </c>
      <c r="H307" s="79"/>
      <c r="I307" s="79"/>
      <c r="J307" s="79"/>
      <c r="K307" s="80">
        <v>1.8500000000000003E-2</v>
      </c>
      <c r="L307" s="80"/>
      <c r="M307" s="75" t="s">
        <v>143</v>
      </c>
      <c r="N307" s="75" t="b">
        <v>1</v>
      </c>
      <c r="O307" s="75" t="s">
        <v>144</v>
      </c>
      <c r="P307" s="75">
        <v>1994</v>
      </c>
      <c r="Q307" s="75">
        <v>2015</v>
      </c>
      <c r="R307" s="75">
        <v>1</v>
      </c>
      <c r="S307" s="81"/>
      <c r="T307" s="82"/>
      <c r="U307" s="83"/>
    </row>
    <row r="308" spans="1:21" s="84" customFormat="1" x14ac:dyDescent="0.3">
      <c r="A308" s="68">
        <v>39510</v>
      </c>
      <c r="B308" s="69">
        <f t="shared" si="5"/>
        <v>20080303</v>
      </c>
      <c r="C308" s="70">
        <v>4.0300000000000002E-2</v>
      </c>
      <c r="D308" s="77">
        <v>0</v>
      </c>
      <c r="E308" s="77"/>
      <c r="F308" s="77">
        <v>4.0000000000000001E-3</v>
      </c>
      <c r="G308" s="78">
        <v>15000000</v>
      </c>
      <c r="H308" s="79"/>
      <c r="I308" s="79"/>
      <c r="J308" s="79"/>
      <c r="K308" s="80">
        <v>1.84E-2</v>
      </c>
      <c r="L308" s="80"/>
      <c r="M308" s="75" t="s">
        <v>143</v>
      </c>
      <c r="N308" s="75" t="b">
        <v>1</v>
      </c>
      <c r="O308" s="75" t="s">
        <v>144</v>
      </c>
      <c r="P308" s="75">
        <v>1994</v>
      </c>
      <c r="Q308" s="75">
        <v>2015</v>
      </c>
      <c r="R308" s="75">
        <v>1</v>
      </c>
      <c r="S308" s="81"/>
      <c r="T308" s="82"/>
      <c r="U308" s="83"/>
    </row>
    <row r="309" spans="1:21" s="84" customFormat="1" x14ac:dyDescent="0.3">
      <c r="A309" s="68">
        <v>39511</v>
      </c>
      <c r="B309" s="69">
        <f t="shared" si="5"/>
        <v>20080304</v>
      </c>
      <c r="C309" s="70">
        <v>4.0599999999999997E-2</v>
      </c>
      <c r="D309" s="77">
        <v>0</v>
      </c>
      <c r="E309" s="77"/>
      <c r="F309" s="77">
        <v>4.0000000000000001E-3</v>
      </c>
      <c r="G309" s="78">
        <v>15000000</v>
      </c>
      <c r="H309" s="79"/>
      <c r="I309" s="79"/>
      <c r="J309" s="79"/>
      <c r="K309" s="80">
        <v>1.8500000000000003E-2</v>
      </c>
      <c r="L309" s="80"/>
      <c r="M309" s="75" t="s">
        <v>143</v>
      </c>
      <c r="N309" s="75" t="b">
        <v>1</v>
      </c>
      <c r="O309" s="75" t="s">
        <v>144</v>
      </c>
      <c r="P309" s="75">
        <v>1994</v>
      </c>
      <c r="Q309" s="75">
        <v>2015</v>
      </c>
      <c r="R309" s="75">
        <v>1</v>
      </c>
      <c r="S309" s="81"/>
      <c r="T309" s="82"/>
      <c r="U309" s="83"/>
    </row>
    <row r="310" spans="1:21" s="84" customFormat="1" x14ac:dyDescent="0.3">
      <c r="A310" s="68">
        <v>39512</v>
      </c>
      <c r="B310" s="69">
        <f t="shared" si="5"/>
        <v>20080305</v>
      </c>
      <c r="C310" s="70">
        <v>4.07E-2</v>
      </c>
      <c r="D310" s="77">
        <v>0</v>
      </c>
      <c r="E310" s="77"/>
      <c r="F310" s="77">
        <v>4.0000000000000001E-3</v>
      </c>
      <c r="G310" s="78">
        <v>15000000</v>
      </c>
      <c r="H310" s="79"/>
      <c r="I310" s="79"/>
      <c r="J310" s="79"/>
      <c r="K310" s="80">
        <v>1.84E-2</v>
      </c>
      <c r="L310" s="80"/>
      <c r="M310" s="75" t="s">
        <v>143</v>
      </c>
      <c r="N310" s="75" t="b">
        <v>1</v>
      </c>
      <c r="O310" s="75" t="s">
        <v>144</v>
      </c>
      <c r="P310" s="75">
        <v>1994</v>
      </c>
      <c r="Q310" s="75">
        <v>2015</v>
      </c>
      <c r="R310" s="75">
        <v>1</v>
      </c>
      <c r="S310" s="81"/>
      <c r="T310" s="82"/>
      <c r="U310" s="83"/>
    </row>
    <row r="311" spans="1:21" s="84" customFormat="1" x14ac:dyDescent="0.3">
      <c r="A311" s="68">
        <v>39513</v>
      </c>
      <c r="B311" s="69">
        <f t="shared" si="5"/>
        <v>20080306</v>
      </c>
      <c r="C311" s="70">
        <v>4.0099999999999997E-2</v>
      </c>
      <c r="D311" s="77">
        <v>0</v>
      </c>
      <c r="E311" s="77"/>
      <c r="F311" s="77">
        <v>4.0000000000000001E-3</v>
      </c>
      <c r="G311" s="78">
        <v>15000000</v>
      </c>
      <c r="H311" s="79"/>
      <c r="I311" s="79"/>
      <c r="J311" s="79"/>
      <c r="K311" s="80">
        <v>1.78E-2</v>
      </c>
      <c r="L311" s="80"/>
      <c r="M311" s="75" t="s">
        <v>143</v>
      </c>
      <c r="N311" s="75" t="b">
        <v>1</v>
      </c>
      <c r="O311" s="75" t="s">
        <v>144</v>
      </c>
      <c r="P311" s="75">
        <v>1994</v>
      </c>
      <c r="Q311" s="75">
        <v>2015</v>
      </c>
      <c r="R311" s="75">
        <v>1</v>
      </c>
      <c r="S311" s="81"/>
      <c r="T311" s="82"/>
      <c r="U311" s="83"/>
    </row>
    <row r="312" spans="1:21" s="84" customFormat="1" x14ac:dyDescent="0.3">
      <c r="A312" s="68">
        <v>39514</v>
      </c>
      <c r="B312" s="69">
        <f t="shared" si="5"/>
        <v>20080307</v>
      </c>
      <c r="C312" s="70">
        <v>4.0099999999999997E-2</v>
      </c>
      <c r="D312" s="77">
        <v>0</v>
      </c>
      <c r="E312" s="77"/>
      <c r="F312" s="77">
        <v>4.0000000000000001E-3</v>
      </c>
      <c r="G312" s="78">
        <v>15000000</v>
      </c>
      <c r="H312" s="79"/>
      <c r="I312" s="79"/>
      <c r="J312" s="79"/>
      <c r="K312" s="80">
        <v>1.77E-2</v>
      </c>
      <c r="L312" s="80"/>
      <c r="M312" s="75" t="s">
        <v>143</v>
      </c>
      <c r="N312" s="75" t="b">
        <v>1</v>
      </c>
      <c r="O312" s="75" t="s">
        <v>144</v>
      </c>
      <c r="P312" s="75">
        <v>1994</v>
      </c>
      <c r="Q312" s="75">
        <v>2015</v>
      </c>
      <c r="R312" s="75">
        <v>1</v>
      </c>
      <c r="S312" s="81"/>
      <c r="T312" s="82"/>
      <c r="U312" s="83"/>
    </row>
    <row r="313" spans="1:21" s="84" customFormat="1" x14ac:dyDescent="0.3">
      <c r="A313" s="68">
        <v>39517</v>
      </c>
      <c r="B313" s="69">
        <f t="shared" si="5"/>
        <v>20080310</v>
      </c>
      <c r="C313" s="70">
        <v>3.9800000000000002E-2</v>
      </c>
      <c r="D313" s="77">
        <v>0</v>
      </c>
      <c r="E313" s="77"/>
      <c r="F313" s="77">
        <v>4.0000000000000001E-3</v>
      </c>
      <c r="G313" s="78">
        <v>15000000</v>
      </c>
      <c r="H313" s="79"/>
      <c r="I313" s="79"/>
      <c r="J313" s="79"/>
      <c r="K313" s="80">
        <v>1.72E-2</v>
      </c>
      <c r="L313" s="80"/>
      <c r="M313" s="75" t="s">
        <v>143</v>
      </c>
      <c r="N313" s="75" t="b">
        <v>1</v>
      </c>
      <c r="O313" s="75" t="s">
        <v>144</v>
      </c>
      <c r="P313" s="75">
        <v>1994</v>
      </c>
      <c r="Q313" s="75">
        <v>2015</v>
      </c>
      <c r="R313" s="75">
        <v>1</v>
      </c>
      <c r="S313" s="81"/>
      <c r="T313" s="82"/>
      <c r="U313" s="83"/>
    </row>
    <row r="314" spans="1:21" s="84" customFormat="1" x14ac:dyDescent="0.3">
      <c r="A314" s="68">
        <v>39518</v>
      </c>
      <c r="B314" s="69">
        <f t="shared" si="5"/>
        <v>20080311</v>
      </c>
      <c r="C314" s="70">
        <v>4.0099999999999997E-2</v>
      </c>
      <c r="D314" s="77">
        <v>0</v>
      </c>
      <c r="E314" s="77"/>
      <c r="F314" s="77">
        <v>4.0000000000000001E-3</v>
      </c>
      <c r="G314" s="78">
        <v>15000000</v>
      </c>
      <c r="H314" s="79"/>
      <c r="I314" s="79"/>
      <c r="J314" s="79"/>
      <c r="K314" s="80">
        <v>1.7399999999999999E-2</v>
      </c>
      <c r="L314" s="80"/>
      <c r="M314" s="75" t="s">
        <v>143</v>
      </c>
      <c r="N314" s="75" t="b">
        <v>1</v>
      </c>
      <c r="O314" s="75" t="s">
        <v>144</v>
      </c>
      <c r="P314" s="75">
        <v>1994</v>
      </c>
      <c r="Q314" s="75">
        <v>2015</v>
      </c>
      <c r="R314" s="75">
        <v>1</v>
      </c>
      <c r="S314" s="81"/>
      <c r="T314" s="82"/>
      <c r="U314" s="83"/>
    </row>
    <row r="315" spans="1:21" s="84" customFormat="1" x14ac:dyDescent="0.3">
      <c r="A315" s="68">
        <v>39519</v>
      </c>
      <c r="B315" s="69">
        <f t="shared" si="5"/>
        <v>20080312</v>
      </c>
      <c r="C315" s="70">
        <v>3.9699999999999999E-2</v>
      </c>
      <c r="D315" s="77">
        <v>0</v>
      </c>
      <c r="E315" s="77"/>
      <c r="F315" s="77">
        <v>4.0000000000000001E-3</v>
      </c>
      <c r="G315" s="78">
        <v>15000000</v>
      </c>
      <c r="H315" s="79"/>
      <c r="I315" s="79"/>
      <c r="J315" s="79"/>
      <c r="K315" s="80">
        <v>1.7100000000000001E-2</v>
      </c>
      <c r="L315" s="80"/>
      <c r="M315" s="75" t="s">
        <v>143</v>
      </c>
      <c r="N315" s="75" t="b">
        <v>1</v>
      </c>
      <c r="O315" s="75" t="s">
        <v>144</v>
      </c>
      <c r="P315" s="75">
        <v>1994</v>
      </c>
      <c r="Q315" s="75">
        <v>2015</v>
      </c>
      <c r="R315" s="75">
        <v>1</v>
      </c>
      <c r="S315" s="81"/>
      <c r="T315" s="82"/>
      <c r="U315" s="83"/>
    </row>
    <row r="316" spans="1:21" s="84" customFormat="1" x14ac:dyDescent="0.3">
      <c r="A316" s="68">
        <v>39520</v>
      </c>
      <c r="B316" s="69">
        <f t="shared" si="5"/>
        <v>20080313</v>
      </c>
      <c r="C316" s="70">
        <v>3.9699999999999999E-2</v>
      </c>
      <c r="D316" s="77">
        <v>0</v>
      </c>
      <c r="E316" s="77"/>
      <c r="F316" s="77">
        <v>4.0000000000000001E-3</v>
      </c>
      <c r="G316" s="78">
        <v>15000000</v>
      </c>
      <c r="H316" s="79"/>
      <c r="I316" s="79"/>
      <c r="J316" s="79"/>
      <c r="K316" s="80">
        <v>1.7100000000000001E-2</v>
      </c>
      <c r="L316" s="80"/>
      <c r="M316" s="75" t="s">
        <v>143</v>
      </c>
      <c r="N316" s="75" t="b">
        <v>1</v>
      </c>
      <c r="O316" s="75" t="s">
        <v>144</v>
      </c>
      <c r="P316" s="75">
        <v>1994</v>
      </c>
      <c r="Q316" s="75">
        <v>2015</v>
      </c>
      <c r="R316" s="75">
        <v>1</v>
      </c>
      <c r="S316" s="81"/>
      <c r="T316" s="82"/>
      <c r="U316" s="83"/>
    </row>
    <row r="317" spans="1:21" s="84" customFormat="1" x14ac:dyDescent="0.3">
      <c r="A317" s="68">
        <v>39521</v>
      </c>
      <c r="B317" s="69">
        <f t="shared" si="5"/>
        <v>20080314</v>
      </c>
      <c r="C317" s="70">
        <v>3.9599999999999996E-2</v>
      </c>
      <c r="D317" s="77">
        <v>0</v>
      </c>
      <c r="E317" s="77"/>
      <c r="F317" s="77">
        <v>4.0000000000000001E-3</v>
      </c>
      <c r="G317" s="78">
        <v>15000000</v>
      </c>
      <c r="H317" s="79"/>
      <c r="I317" s="79"/>
      <c r="J317" s="79"/>
      <c r="K317" s="80">
        <v>1.7100000000000001E-2</v>
      </c>
      <c r="L317" s="80"/>
      <c r="M317" s="75" t="s">
        <v>143</v>
      </c>
      <c r="N317" s="75" t="b">
        <v>1</v>
      </c>
      <c r="O317" s="75" t="s">
        <v>144</v>
      </c>
      <c r="P317" s="75">
        <v>1994</v>
      </c>
      <c r="Q317" s="75">
        <v>2015</v>
      </c>
      <c r="R317" s="75">
        <v>1</v>
      </c>
      <c r="S317" s="81"/>
      <c r="T317" s="82"/>
      <c r="U317" s="83"/>
    </row>
    <row r="318" spans="1:21" s="84" customFormat="1" x14ac:dyDescent="0.3">
      <c r="A318" s="68">
        <v>39524</v>
      </c>
      <c r="B318" s="69">
        <f t="shared" si="5"/>
        <v>20080317</v>
      </c>
      <c r="C318" s="70">
        <v>3.9100000000000003E-2</v>
      </c>
      <c r="D318" s="77">
        <v>0</v>
      </c>
      <c r="E318" s="77"/>
      <c r="F318" s="77">
        <v>4.0000000000000001E-3</v>
      </c>
      <c r="G318" s="78">
        <v>15000000</v>
      </c>
      <c r="H318" s="79"/>
      <c r="I318" s="79"/>
      <c r="J318" s="79"/>
      <c r="K318" s="80">
        <v>1.6799999999999999E-2</v>
      </c>
      <c r="L318" s="80"/>
      <c r="M318" s="75" t="s">
        <v>143</v>
      </c>
      <c r="N318" s="75" t="b">
        <v>1</v>
      </c>
      <c r="O318" s="75" t="s">
        <v>144</v>
      </c>
      <c r="P318" s="75">
        <v>1994</v>
      </c>
      <c r="Q318" s="75">
        <v>2015</v>
      </c>
      <c r="R318" s="75">
        <v>1</v>
      </c>
      <c r="S318" s="81"/>
      <c r="T318" s="82"/>
      <c r="U318" s="83"/>
    </row>
    <row r="319" spans="1:21" s="84" customFormat="1" x14ac:dyDescent="0.3">
      <c r="A319" s="68">
        <v>39525</v>
      </c>
      <c r="B319" s="69">
        <f t="shared" si="5"/>
        <v>20080318</v>
      </c>
      <c r="C319" s="70">
        <v>3.9399999999999998E-2</v>
      </c>
      <c r="D319" s="77">
        <v>0</v>
      </c>
      <c r="E319" s="77"/>
      <c r="F319" s="77">
        <v>4.0000000000000001E-3</v>
      </c>
      <c r="G319" s="78">
        <v>15000000</v>
      </c>
      <c r="H319" s="79"/>
      <c r="I319" s="79"/>
      <c r="J319" s="79"/>
      <c r="K319" s="80">
        <v>1.6899999999999998E-2</v>
      </c>
      <c r="L319" s="80"/>
      <c r="M319" s="75" t="s">
        <v>143</v>
      </c>
      <c r="N319" s="75" t="b">
        <v>1</v>
      </c>
      <c r="O319" s="75" t="s">
        <v>144</v>
      </c>
      <c r="P319" s="75">
        <v>1994</v>
      </c>
      <c r="Q319" s="75">
        <v>2015</v>
      </c>
      <c r="R319" s="75">
        <v>1</v>
      </c>
      <c r="S319" s="81"/>
      <c r="T319" s="82"/>
      <c r="U319" s="83"/>
    </row>
    <row r="320" spans="1:21" s="84" customFormat="1" x14ac:dyDescent="0.3">
      <c r="A320" s="68">
        <v>39526</v>
      </c>
      <c r="B320" s="69">
        <f t="shared" si="5"/>
        <v>20080319</v>
      </c>
      <c r="C320" s="70">
        <v>3.8900000000000004E-2</v>
      </c>
      <c r="D320" s="77">
        <v>0</v>
      </c>
      <c r="E320" s="77"/>
      <c r="F320" s="77">
        <v>4.0000000000000001E-3</v>
      </c>
      <c r="G320" s="78">
        <v>15000000</v>
      </c>
      <c r="H320" s="79"/>
      <c r="I320" s="79"/>
      <c r="J320" s="79"/>
      <c r="K320" s="80">
        <v>1.6500000000000001E-2</v>
      </c>
      <c r="L320" s="80"/>
      <c r="M320" s="75" t="s">
        <v>143</v>
      </c>
      <c r="N320" s="75" t="b">
        <v>1</v>
      </c>
      <c r="O320" s="75" t="s">
        <v>144</v>
      </c>
      <c r="P320" s="75">
        <v>1994</v>
      </c>
      <c r="Q320" s="75">
        <v>2015</v>
      </c>
      <c r="R320" s="75">
        <v>1</v>
      </c>
      <c r="S320" s="81"/>
      <c r="T320" s="82"/>
      <c r="U320" s="83"/>
    </row>
    <row r="321" spans="1:21" s="84" customFormat="1" x14ac:dyDescent="0.3">
      <c r="A321" s="68">
        <v>39527</v>
      </c>
      <c r="B321" s="69">
        <f t="shared" si="5"/>
        <v>20080320</v>
      </c>
      <c r="C321" s="70">
        <v>3.9E-2</v>
      </c>
      <c r="D321" s="77">
        <v>0</v>
      </c>
      <c r="E321" s="77"/>
      <c r="F321" s="77">
        <v>4.0000000000000001E-3</v>
      </c>
      <c r="G321" s="78">
        <v>15000000</v>
      </c>
      <c r="H321" s="79"/>
      <c r="I321" s="79"/>
      <c r="J321" s="79"/>
      <c r="K321" s="80">
        <v>1.6500000000000001E-2</v>
      </c>
      <c r="L321" s="80"/>
      <c r="M321" s="75" t="s">
        <v>143</v>
      </c>
      <c r="N321" s="75" t="b">
        <v>1</v>
      </c>
      <c r="O321" s="75" t="s">
        <v>144</v>
      </c>
      <c r="P321" s="75">
        <v>1994</v>
      </c>
      <c r="Q321" s="75">
        <v>2015</v>
      </c>
      <c r="R321" s="75">
        <v>1</v>
      </c>
      <c r="S321" s="81"/>
      <c r="T321" s="82"/>
      <c r="U321" s="83"/>
    </row>
    <row r="322" spans="1:21" s="84" customFormat="1" x14ac:dyDescent="0.3">
      <c r="A322" s="68">
        <v>39531</v>
      </c>
      <c r="B322" s="69">
        <f t="shared" si="5"/>
        <v>20080324</v>
      </c>
      <c r="C322" s="70">
        <v>3.9399999999999998E-2</v>
      </c>
      <c r="D322" s="77">
        <v>0</v>
      </c>
      <c r="E322" s="77"/>
      <c r="F322" s="77">
        <v>4.0000000000000001E-3</v>
      </c>
      <c r="G322" s="78">
        <v>15000000</v>
      </c>
      <c r="H322" s="79"/>
      <c r="I322" s="79"/>
      <c r="J322" s="79"/>
      <c r="K322" s="80">
        <v>1.6899999999999998E-2</v>
      </c>
      <c r="L322" s="80"/>
      <c r="M322" s="75" t="s">
        <v>143</v>
      </c>
      <c r="N322" s="75" t="b">
        <v>1</v>
      </c>
      <c r="O322" s="75" t="s">
        <v>144</v>
      </c>
      <c r="P322" s="75">
        <v>1994</v>
      </c>
      <c r="Q322" s="75">
        <v>2015</v>
      </c>
      <c r="R322" s="75">
        <v>1</v>
      </c>
      <c r="S322" s="81"/>
      <c r="T322" s="82"/>
      <c r="U322" s="83"/>
    </row>
    <row r="323" spans="1:21" s="84" customFormat="1" x14ac:dyDescent="0.3">
      <c r="A323" s="68">
        <v>39532</v>
      </c>
      <c r="B323" s="69">
        <f t="shared" si="5"/>
        <v>20080325</v>
      </c>
      <c r="C323" s="70">
        <v>3.9E-2</v>
      </c>
      <c r="D323" s="77">
        <v>0</v>
      </c>
      <c r="E323" s="77"/>
      <c r="F323" s="77">
        <v>4.0000000000000001E-3</v>
      </c>
      <c r="G323" s="78">
        <v>15000000</v>
      </c>
      <c r="H323" s="79"/>
      <c r="I323" s="79"/>
      <c r="J323" s="79"/>
      <c r="K323" s="80">
        <v>1.6500000000000001E-2</v>
      </c>
      <c r="L323" s="80"/>
      <c r="M323" s="75" t="s">
        <v>143</v>
      </c>
      <c r="N323" s="75" t="b">
        <v>1</v>
      </c>
      <c r="O323" s="75" t="s">
        <v>144</v>
      </c>
      <c r="P323" s="75">
        <v>1994</v>
      </c>
      <c r="Q323" s="75">
        <v>2015</v>
      </c>
      <c r="R323" s="75">
        <v>1</v>
      </c>
      <c r="S323" s="81"/>
      <c r="T323" s="82"/>
      <c r="U323" s="83"/>
    </row>
    <row r="324" spans="1:21" s="84" customFormat="1" x14ac:dyDescent="0.3">
      <c r="A324" s="68">
        <v>39533</v>
      </c>
      <c r="B324" s="69">
        <f t="shared" si="5"/>
        <v>20080326</v>
      </c>
      <c r="C324" s="70">
        <v>3.9100000000000003E-2</v>
      </c>
      <c r="D324" s="77">
        <v>0</v>
      </c>
      <c r="E324" s="77"/>
      <c r="F324" s="77">
        <v>4.0000000000000001E-3</v>
      </c>
      <c r="G324" s="78">
        <v>15000000</v>
      </c>
      <c r="H324" s="79"/>
      <c r="I324" s="79"/>
      <c r="J324" s="79"/>
      <c r="K324" s="80">
        <v>1.67E-2</v>
      </c>
      <c r="L324" s="80"/>
      <c r="M324" s="75" t="s">
        <v>143</v>
      </c>
      <c r="N324" s="75" t="b">
        <v>1</v>
      </c>
      <c r="O324" s="75" t="s">
        <v>144</v>
      </c>
      <c r="P324" s="75">
        <v>1994</v>
      </c>
      <c r="Q324" s="75">
        <v>2015</v>
      </c>
      <c r="R324" s="75">
        <v>1</v>
      </c>
      <c r="S324" s="81"/>
      <c r="T324" s="82"/>
      <c r="U324" s="83"/>
    </row>
    <row r="325" spans="1:21" s="84" customFormat="1" x14ac:dyDescent="0.3">
      <c r="A325" s="68">
        <v>39534</v>
      </c>
      <c r="B325" s="69">
        <f t="shared" si="5"/>
        <v>20080327</v>
      </c>
      <c r="C325" s="70">
        <v>3.9199999999999999E-2</v>
      </c>
      <c r="D325" s="77">
        <v>0</v>
      </c>
      <c r="E325" s="77"/>
      <c r="F325" s="77">
        <v>4.0000000000000001E-3</v>
      </c>
      <c r="G325" s="78">
        <v>15000000</v>
      </c>
      <c r="H325" s="79"/>
      <c r="I325" s="79"/>
      <c r="J325" s="79"/>
      <c r="K325" s="80">
        <v>1.6500000000000001E-2</v>
      </c>
      <c r="L325" s="80"/>
      <c r="M325" s="75" t="s">
        <v>143</v>
      </c>
      <c r="N325" s="75" t="b">
        <v>1</v>
      </c>
      <c r="O325" s="75" t="s">
        <v>144</v>
      </c>
      <c r="P325" s="75">
        <v>1994</v>
      </c>
      <c r="Q325" s="75">
        <v>2015</v>
      </c>
      <c r="R325" s="75">
        <v>1</v>
      </c>
      <c r="S325" s="81"/>
      <c r="T325" s="82"/>
      <c r="U325" s="83"/>
    </row>
    <row r="326" spans="1:21" s="84" customFormat="1" x14ac:dyDescent="0.3">
      <c r="A326" s="68">
        <v>39535</v>
      </c>
      <c r="B326" s="69">
        <f t="shared" si="5"/>
        <v>20080328</v>
      </c>
      <c r="C326" s="70">
        <v>3.9E-2</v>
      </c>
      <c r="D326" s="77">
        <v>0</v>
      </c>
      <c r="E326" s="77"/>
      <c r="F326" s="77">
        <v>4.0000000000000001E-3</v>
      </c>
      <c r="G326" s="78">
        <v>15000000</v>
      </c>
      <c r="H326" s="79"/>
      <c r="I326" s="79"/>
      <c r="J326" s="79"/>
      <c r="K326" s="80">
        <v>1.6299999999999999E-2</v>
      </c>
      <c r="L326" s="80"/>
      <c r="M326" s="75" t="s">
        <v>143</v>
      </c>
      <c r="N326" s="75" t="b">
        <v>1</v>
      </c>
      <c r="O326" s="75" t="s">
        <v>144</v>
      </c>
      <c r="P326" s="75">
        <v>1994</v>
      </c>
      <c r="Q326" s="75">
        <v>2015</v>
      </c>
      <c r="R326" s="75">
        <v>1</v>
      </c>
      <c r="S326" s="81"/>
      <c r="T326" s="82"/>
      <c r="U326" s="83"/>
    </row>
    <row r="327" spans="1:21" s="84" customFormat="1" x14ac:dyDescent="0.3">
      <c r="A327" s="68">
        <v>39538</v>
      </c>
      <c r="B327" s="69">
        <f t="shared" si="5"/>
        <v>20080331</v>
      </c>
      <c r="C327" s="70">
        <v>3.8800000000000001E-2</v>
      </c>
      <c r="D327" s="77">
        <v>0</v>
      </c>
      <c r="E327" s="77"/>
      <c r="F327" s="77">
        <v>4.0000000000000001E-3</v>
      </c>
      <c r="G327" s="78">
        <v>15000000</v>
      </c>
      <c r="H327" s="79"/>
      <c r="I327" s="79"/>
      <c r="J327" s="79"/>
      <c r="K327" s="80">
        <v>1.6E-2</v>
      </c>
      <c r="L327" s="80"/>
      <c r="M327" s="75" t="s">
        <v>143</v>
      </c>
      <c r="N327" s="75" t="b">
        <v>1</v>
      </c>
      <c r="O327" s="75" t="s">
        <v>144</v>
      </c>
      <c r="P327" s="75">
        <v>1994</v>
      </c>
      <c r="Q327" s="75">
        <v>2015</v>
      </c>
      <c r="R327" s="75">
        <v>1</v>
      </c>
      <c r="S327" s="81"/>
      <c r="T327" s="82"/>
      <c r="U327" s="83"/>
    </row>
    <row r="328" spans="1:21" s="84" customFormat="1" x14ac:dyDescent="0.3">
      <c r="A328" s="68">
        <v>39539</v>
      </c>
      <c r="B328" s="69">
        <f t="shared" si="5"/>
        <v>20080401</v>
      </c>
      <c r="C328" s="70">
        <v>3.9800000000000002E-2</v>
      </c>
      <c r="D328" s="77">
        <v>0</v>
      </c>
      <c r="E328" s="77"/>
      <c r="F328" s="77">
        <v>4.0000000000000001E-3</v>
      </c>
      <c r="G328" s="78">
        <v>15000000</v>
      </c>
      <c r="H328" s="79"/>
      <c r="I328" s="79"/>
      <c r="J328" s="79"/>
      <c r="K328" s="80">
        <v>1.6899999999999998E-2</v>
      </c>
      <c r="L328" s="80"/>
      <c r="M328" s="75" t="s">
        <v>143</v>
      </c>
      <c r="N328" s="75" t="b">
        <v>1</v>
      </c>
      <c r="O328" s="75" t="s">
        <v>144</v>
      </c>
      <c r="P328" s="75">
        <v>1994</v>
      </c>
      <c r="Q328" s="75">
        <v>2015</v>
      </c>
      <c r="R328" s="75">
        <v>1</v>
      </c>
      <c r="S328" s="81"/>
      <c r="T328" s="82"/>
      <c r="U328" s="83"/>
    </row>
    <row r="329" spans="1:21" s="84" customFormat="1" x14ac:dyDescent="0.3">
      <c r="A329" s="68">
        <v>39540</v>
      </c>
      <c r="B329" s="69">
        <f t="shared" si="5"/>
        <v>20080402</v>
      </c>
      <c r="C329" s="70">
        <v>4.0099999999999997E-2</v>
      </c>
      <c r="D329" s="77">
        <v>0</v>
      </c>
      <c r="E329" s="77"/>
      <c r="F329" s="77">
        <v>4.0000000000000001E-3</v>
      </c>
      <c r="G329" s="78">
        <v>15000000</v>
      </c>
      <c r="H329" s="79"/>
      <c r="I329" s="79"/>
      <c r="J329" s="79"/>
      <c r="K329" s="80">
        <v>1.6899999999999998E-2</v>
      </c>
      <c r="L329" s="80"/>
      <c r="M329" s="75" t="s">
        <v>143</v>
      </c>
      <c r="N329" s="75" t="b">
        <v>1</v>
      </c>
      <c r="O329" s="75" t="s">
        <v>144</v>
      </c>
      <c r="P329" s="75">
        <v>1994</v>
      </c>
      <c r="Q329" s="75">
        <v>2015</v>
      </c>
      <c r="R329" s="75">
        <v>1</v>
      </c>
      <c r="S329" s="81"/>
      <c r="T329" s="82"/>
      <c r="U329" s="83"/>
    </row>
    <row r="330" spans="1:21" s="84" customFormat="1" x14ac:dyDescent="0.3">
      <c r="A330" s="68">
        <v>39541</v>
      </c>
      <c r="B330" s="69">
        <f t="shared" ref="B330:B393" si="6">YEAR(A330)*10000+MONTH(A330)*100+DAY(A330)</f>
        <v>20080403</v>
      </c>
      <c r="C330" s="70">
        <v>3.9900000000000005E-2</v>
      </c>
      <c r="D330" s="77">
        <v>0</v>
      </c>
      <c r="E330" s="77"/>
      <c r="F330" s="77">
        <v>4.0000000000000001E-3</v>
      </c>
      <c r="G330" s="78">
        <v>15000000</v>
      </c>
      <c r="H330" s="79"/>
      <c r="I330" s="79"/>
      <c r="J330" s="79"/>
      <c r="K330" s="80">
        <v>1.67E-2</v>
      </c>
      <c r="L330" s="80"/>
      <c r="M330" s="75" t="s">
        <v>143</v>
      </c>
      <c r="N330" s="75" t="b">
        <v>1</v>
      </c>
      <c r="O330" s="75" t="s">
        <v>144</v>
      </c>
      <c r="P330" s="75">
        <v>1994</v>
      </c>
      <c r="Q330" s="75">
        <v>2015</v>
      </c>
      <c r="R330" s="75">
        <v>1</v>
      </c>
      <c r="S330" s="81"/>
      <c r="T330" s="82"/>
      <c r="U330" s="83"/>
    </row>
    <row r="331" spans="1:21" s="84" customFormat="1" x14ac:dyDescent="0.3">
      <c r="A331" s="68">
        <v>39542</v>
      </c>
      <c r="B331" s="69">
        <f t="shared" si="6"/>
        <v>20080404</v>
      </c>
      <c r="C331" s="70">
        <v>3.9599999999999996E-2</v>
      </c>
      <c r="D331" s="77">
        <v>0</v>
      </c>
      <c r="E331" s="77"/>
      <c r="F331" s="77">
        <v>4.0000000000000001E-3</v>
      </c>
      <c r="G331" s="78">
        <v>15000000</v>
      </c>
      <c r="H331" s="79"/>
      <c r="I331" s="79"/>
      <c r="J331" s="79"/>
      <c r="K331" s="80">
        <v>1.6500000000000001E-2</v>
      </c>
      <c r="L331" s="80"/>
      <c r="M331" s="75" t="s">
        <v>143</v>
      </c>
      <c r="N331" s="75" t="b">
        <v>1</v>
      </c>
      <c r="O331" s="75" t="s">
        <v>144</v>
      </c>
      <c r="P331" s="75">
        <v>1994</v>
      </c>
      <c r="Q331" s="75">
        <v>2015</v>
      </c>
      <c r="R331" s="75">
        <v>1</v>
      </c>
      <c r="S331" s="81"/>
      <c r="T331" s="82"/>
      <c r="U331" s="83"/>
    </row>
    <row r="332" spans="1:21" s="84" customFormat="1" x14ac:dyDescent="0.3">
      <c r="A332" s="68">
        <v>39545</v>
      </c>
      <c r="B332" s="69">
        <f t="shared" si="6"/>
        <v>20080407</v>
      </c>
      <c r="C332" s="70">
        <v>4.0099999999999997E-2</v>
      </c>
      <c r="D332" s="77">
        <v>0</v>
      </c>
      <c r="E332" s="77"/>
      <c r="F332" s="77">
        <v>4.0000000000000001E-3</v>
      </c>
      <c r="G332" s="78">
        <v>15000000</v>
      </c>
      <c r="H332" s="79"/>
      <c r="I332" s="79"/>
      <c r="J332" s="79"/>
      <c r="K332" s="80">
        <v>1.6899999999999998E-2</v>
      </c>
      <c r="L332" s="80"/>
      <c r="M332" s="75" t="s">
        <v>143</v>
      </c>
      <c r="N332" s="75" t="b">
        <v>1</v>
      </c>
      <c r="O332" s="75" t="s">
        <v>144</v>
      </c>
      <c r="P332" s="75">
        <v>1994</v>
      </c>
      <c r="Q332" s="75">
        <v>2015</v>
      </c>
      <c r="R332" s="75">
        <v>1</v>
      </c>
      <c r="S332" s="81"/>
      <c r="T332" s="82"/>
      <c r="U332" s="83"/>
    </row>
    <row r="333" spans="1:21" s="84" customFormat="1" x14ac:dyDescent="0.3">
      <c r="A333" s="68">
        <v>39546</v>
      </c>
      <c r="B333" s="69">
        <f t="shared" si="6"/>
        <v>20080408</v>
      </c>
      <c r="C333" s="70">
        <v>4.0399999999999998E-2</v>
      </c>
      <c r="D333" s="77">
        <v>0</v>
      </c>
      <c r="E333" s="77"/>
      <c r="F333" s="77">
        <v>4.0000000000000001E-3</v>
      </c>
      <c r="G333" s="78">
        <v>15000000</v>
      </c>
      <c r="H333" s="79"/>
      <c r="I333" s="79"/>
      <c r="J333" s="79"/>
      <c r="K333" s="80">
        <v>1.7299999999999999E-2</v>
      </c>
      <c r="L333" s="80"/>
      <c r="M333" s="75" t="s">
        <v>143</v>
      </c>
      <c r="N333" s="75" t="b">
        <v>1</v>
      </c>
      <c r="O333" s="75" t="s">
        <v>144</v>
      </c>
      <c r="P333" s="75">
        <v>1994</v>
      </c>
      <c r="Q333" s="75">
        <v>2015</v>
      </c>
      <c r="R333" s="75">
        <v>1</v>
      </c>
      <c r="S333" s="81"/>
      <c r="T333" s="82"/>
      <c r="U333" s="83"/>
    </row>
    <row r="334" spans="1:21" s="84" customFormat="1" x14ac:dyDescent="0.3">
      <c r="A334" s="68">
        <v>39547</v>
      </c>
      <c r="B334" s="69">
        <f t="shared" si="6"/>
        <v>20080409</v>
      </c>
      <c r="C334" s="70">
        <v>0.04</v>
      </c>
      <c r="D334" s="77">
        <v>0</v>
      </c>
      <c r="E334" s="77"/>
      <c r="F334" s="77">
        <v>4.0000000000000001E-3</v>
      </c>
      <c r="G334" s="78">
        <v>15000000</v>
      </c>
      <c r="H334" s="79"/>
      <c r="I334" s="79"/>
      <c r="J334" s="79"/>
      <c r="K334" s="80">
        <v>1.6899999999999998E-2</v>
      </c>
      <c r="L334" s="80"/>
      <c r="M334" s="75" t="s">
        <v>143</v>
      </c>
      <c r="N334" s="75" t="b">
        <v>1</v>
      </c>
      <c r="O334" s="75" t="s">
        <v>144</v>
      </c>
      <c r="P334" s="75">
        <v>1994</v>
      </c>
      <c r="Q334" s="75">
        <v>2015</v>
      </c>
      <c r="R334" s="75">
        <v>1</v>
      </c>
      <c r="S334" s="81"/>
      <c r="T334" s="82"/>
      <c r="U334" s="83"/>
    </row>
    <row r="335" spans="1:21" s="84" customFormat="1" x14ac:dyDescent="0.3">
      <c r="A335" s="68">
        <v>39548</v>
      </c>
      <c r="B335" s="69">
        <f t="shared" si="6"/>
        <v>20080410</v>
      </c>
      <c r="C335" s="70">
        <v>4.0599999999999997E-2</v>
      </c>
      <c r="D335" s="77">
        <v>0</v>
      </c>
      <c r="E335" s="77"/>
      <c r="F335" s="77">
        <v>4.0000000000000001E-3</v>
      </c>
      <c r="G335" s="78">
        <v>15000000</v>
      </c>
      <c r="H335" s="79"/>
      <c r="I335" s="79"/>
      <c r="J335" s="79"/>
      <c r="K335" s="80">
        <v>1.7500000000000002E-2</v>
      </c>
      <c r="L335" s="80"/>
      <c r="M335" s="75" t="s">
        <v>143</v>
      </c>
      <c r="N335" s="75" t="b">
        <v>1</v>
      </c>
      <c r="O335" s="75" t="s">
        <v>144</v>
      </c>
      <c r="P335" s="75">
        <v>1994</v>
      </c>
      <c r="Q335" s="75">
        <v>2015</v>
      </c>
      <c r="R335" s="75">
        <v>1</v>
      </c>
      <c r="S335" s="81"/>
      <c r="T335" s="82"/>
      <c r="U335" s="83"/>
    </row>
    <row r="336" spans="1:21" s="84" customFormat="1" x14ac:dyDescent="0.3">
      <c r="A336" s="68">
        <v>39549</v>
      </c>
      <c r="B336" s="69">
        <f t="shared" si="6"/>
        <v>20080411</v>
      </c>
      <c r="C336" s="70">
        <v>4.0099999999999997E-2</v>
      </c>
      <c r="D336" s="77">
        <v>0</v>
      </c>
      <c r="E336" s="77"/>
      <c r="F336" s="77">
        <v>4.0000000000000001E-3</v>
      </c>
      <c r="G336" s="78">
        <v>15000000</v>
      </c>
      <c r="H336" s="79"/>
      <c r="I336" s="79"/>
      <c r="J336" s="79"/>
      <c r="K336" s="80">
        <v>1.6899999999999998E-2</v>
      </c>
      <c r="L336" s="80"/>
      <c r="M336" s="75" t="s">
        <v>143</v>
      </c>
      <c r="N336" s="75" t="b">
        <v>1</v>
      </c>
      <c r="O336" s="75" t="s">
        <v>144</v>
      </c>
      <c r="P336" s="75">
        <v>1994</v>
      </c>
      <c r="Q336" s="75">
        <v>2015</v>
      </c>
      <c r="R336" s="75">
        <v>1</v>
      </c>
      <c r="S336" s="81"/>
      <c r="T336" s="82"/>
      <c r="U336" s="83"/>
    </row>
    <row r="337" spans="1:21" s="84" customFormat="1" x14ac:dyDescent="0.3">
      <c r="A337" s="68">
        <v>39552</v>
      </c>
      <c r="B337" s="69">
        <f t="shared" si="6"/>
        <v>20080414</v>
      </c>
      <c r="C337" s="70">
        <v>4.0300000000000002E-2</v>
      </c>
      <c r="D337" s="77">
        <v>0</v>
      </c>
      <c r="E337" s="77"/>
      <c r="F337" s="77">
        <v>4.0000000000000001E-3</v>
      </c>
      <c r="G337" s="78">
        <v>15000000</v>
      </c>
      <c r="H337" s="79"/>
      <c r="I337" s="79"/>
      <c r="J337" s="79"/>
      <c r="K337" s="80">
        <v>1.72E-2</v>
      </c>
      <c r="L337" s="80"/>
      <c r="M337" s="75" t="s">
        <v>143</v>
      </c>
      <c r="N337" s="75" t="b">
        <v>1</v>
      </c>
      <c r="O337" s="75" t="s">
        <v>144</v>
      </c>
      <c r="P337" s="75">
        <v>1994</v>
      </c>
      <c r="Q337" s="75">
        <v>2015</v>
      </c>
      <c r="R337" s="75">
        <v>1</v>
      </c>
      <c r="S337" s="81"/>
      <c r="T337" s="82"/>
      <c r="U337" s="83"/>
    </row>
    <row r="338" spans="1:21" s="84" customFormat="1" x14ac:dyDescent="0.3">
      <c r="A338" s="68">
        <v>39553</v>
      </c>
      <c r="B338" s="69">
        <f t="shared" si="6"/>
        <v>20080415</v>
      </c>
      <c r="C338" s="70">
        <v>4.0800000000000003E-2</v>
      </c>
      <c r="D338" s="77">
        <v>0</v>
      </c>
      <c r="E338" s="77"/>
      <c r="F338" s="77">
        <v>4.0000000000000001E-3</v>
      </c>
      <c r="G338" s="78">
        <v>15000000</v>
      </c>
      <c r="H338" s="79"/>
      <c r="I338" s="79"/>
      <c r="J338" s="79"/>
      <c r="K338" s="80">
        <v>1.77E-2</v>
      </c>
      <c r="L338" s="80"/>
      <c r="M338" s="75" t="s">
        <v>143</v>
      </c>
      <c r="N338" s="75" t="b">
        <v>1</v>
      </c>
      <c r="O338" s="75" t="s">
        <v>144</v>
      </c>
      <c r="P338" s="75">
        <v>1994</v>
      </c>
      <c r="Q338" s="75">
        <v>2015</v>
      </c>
      <c r="R338" s="75">
        <v>1</v>
      </c>
      <c r="S338" s="81"/>
      <c r="T338" s="82"/>
      <c r="U338" s="83"/>
    </row>
    <row r="339" spans="1:21" s="84" customFormat="1" x14ac:dyDescent="0.3">
      <c r="A339" s="68">
        <v>39554</v>
      </c>
      <c r="B339" s="69">
        <f t="shared" si="6"/>
        <v>20080416</v>
      </c>
      <c r="C339" s="70">
        <v>4.0999999999999995E-2</v>
      </c>
      <c r="D339" s="77">
        <v>0</v>
      </c>
      <c r="E339" s="77"/>
      <c r="F339" s="77">
        <v>4.0000000000000001E-3</v>
      </c>
      <c r="G339" s="78">
        <v>15000000</v>
      </c>
      <c r="H339" s="79"/>
      <c r="I339" s="79"/>
      <c r="J339" s="79"/>
      <c r="K339" s="80">
        <v>1.7899999999999999E-2</v>
      </c>
      <c r="L339" s="80"/>
      <c r="M339" s="75" t="s">
        <v>143</v>
      </c>
      <c r="N339" s="75" t="b">
        <v>1</v>
      </c>
      <c r="O339" s="75" t="s">
        <v>144</v>
      </c>
      <c r="P339" s="75">
        <v>1994</v>
      </c>
      <c r="Q339" s="75">
        <v>2015</v>
      </c>
      <c r="R339" s="75">
        <v>1</v>
      </c>
      <c r="S339" s="81"/>
      <c r="T339" s="82"/>
      <c r="U339" s="83"/>
    </row>
    <row r="340" spans="1:21" s="84" customFormat="1" x14ac:dyDescent="0.3">
      <c r="A340" s="68">
        <v>39555</v>
      </c>
      <c r="B340" s="69">
        <f t="shared" si="6"/>
        <v>20080417</v>
      </c>
      <c r="C340" s="70">
        <v>4.0999999999999995E-2</v>
      </c>
      <c r="D340" s="77">
        <v>0</v>
      </c>
      <c r="E340" s="77"/>
      <c r="F340" s="77">
        <v>4.0000000000000001E-3</v>
      </c>
      <c r="G340" s="78">
        <v>15000000</v>
      </c>
      <c r="H340" s="79"/>
      <c r="I340" s="79"/>
      <c r="J340" s="79"/>
      <c r="K340" s="80">
        <v>1.8100000000000002E-2</v>
      </c>
      <c r="L340" s="80"/>
      <c r="M340" s="75" t="s">
        <v>143</v>
      </c>
      <c r="N340" s="75" t="b">
        <v>1</v>
      </c>
      <c r="O340" s="75" t="s">
        <v>144</v>
      </c>
      <c r="P340" s="75">
        <v>1994</v>
      </c>
      <c r="Q340" s="75">
        <v>2015</v>
      </c>
      <c r="R340" s="75">
        <v>1</v>
      </c>
      <c r="S340" s="81"/>
      <c r="T340" s="82"/>
      <c r="U340" s="83"/>
    </row>
    <row r="341" spans="1:21" s="84" customFormat="1" x14ac:dyDescent="0.3">
      <c r="A341" s="68">
        <v>39556</v>
      </c>
      <c r="B341" s="69">
        <f t="shared" si="6"/>
        <v>20080418</v>
      </c>
      <c r="C341" s="70">
        <v>4.0999999999999995E-2</v>
      </c>
      <c r="D341" s="77">
        <v>0</v>
      </c>
      <c r="E341" s="77"/>
      <c r="F341" s="77">
        <v>4.0000000000000001E-3</v>
      </c>
      <c r="G341" s="78">
        <v>15000000</v>
      </c>
      <c r="H341" s="79"/>
      <c r="I341" s="79"/>
      <c r="J341" s="79"/>
      <c r="K341" s="80">
        <v>1.8000000000000002E-2</v>
      </c>
      <c r="L341" s="80"/>
      <c r="M341" s="75" t="s">
        <v>143</v>
      </c>
      <c r="N341" s="75" t="b">
        <v>1</v>
      </c>
      <c r="O341" s="75" t="s">
        <v>144</v>
      </c>
      <c r="P341" s="75">
        <v>1994</v>
      </c>
      <c r="Q341" s="75">
        <v>2015</v>
      </c>
      <c r="R341" s="75">
        <v>1</v>
      </c>
      <c r="S341" s="81"/>
      <c r="T341" s="82"/>
      <c r="U341" s="83"/>
    </row>
    <row r="342" spans="1:21" s="84" customFormat="1" x14ac:dyDescent="0.3">
      <c r="A342" s="68">
        <v>39559</v>
      </c>
      <c r="B342" s="69">
        <f t="shared" si="6"/>
        <v>20080421</v>
      </c>
      <c r="C342" s="70">
        <v>4.07E-2</v>
      </c>
      <c r="D342" s="77">
        <v>0</v>
      </c>
      <c r="E342" s="77"/>
      <c r="F342" s="77">
        <v>4.0000000000000001E-3</v>
      </c>
      <c r="G342" s="78">
        <v>15000000</v>
      </c>
      <c r="H342" s="79"/>
      <c r="I342" s="79"/>
      <c r="J342" s="79"/>
      <c r="K342" s="80">
        <v>1.78E-2</v>
      </c>
      <c r="L342" s="80"/>
      <c r="M342" s="75" t="s">
        <v>143</v>
      </c>
      <c r="N342" s="75" t="b">
        <v>1</v>
      </c>
      <c r="O342" s="75" t="s">
        <v>144</v>
      </c>
      <c r="P342" s="75">
        <v>1994</v>
      </c>
      <c r="Q342" s="75">
        <v>2015</v>
      </c>
      <c r="R342" s="75">
        <v>1</v>
      </c>
      <c r="S342" s="81"/>
      <c r="T342" s="82"/>
      <c r="U342" s="83"/>
    </row>
    <row r="343" spans="1:21" s="84" customFormat="1" x14ac:dyDescent="0.3">
      <c r="A343" s="68">
        <v>39560</v>
      </c>
      <c r="B343" s="69">
        <f t="shared" si="6"/>
        <v>20080422</v>
      </c>
      <c r="C343" s="70">
        <v>4.07E-2</v>
      </c>
      <c r="D343" s="77">
        <v>0</v>
      </c>
      <c r="E343" s="77"/>
      <c r="F343" s="77">
        <v>4.0000000000000001E-3</v>
      </c>
      <c r="G343" s="78">
        <v>15000000</v>
      </c>
      <c r="H343" s="79"/>
      <c r="I343" s="79"/>
      <c r="J343" s="79"/>
      <c r="K343" s="80">
        <v>1.77E-2</v>
      </c>
      <c r="L343" s="80"/>
      <c r="M343" s="75" t="s">
        <v>143</v>
      </c>
      <c r="N343" s="75" t="b">
        <v>1</v>
      </c>
      <c r="O343" s="75" t="s">
        <v>144</v>
      </c>
      <c r="P343" s="75">
        <v>1994</v>
      </c>
      <c r="Q343" s="75">
        <v>2015</v>
      </c>
      <c r="R343" s="75">
        <v>1</v>
      </c>
      <c r="S343" s="81"/>
      <c r="T343" s="82"/>
      <c r="U343" s="83"/>
    </row>
    <row r="344" spans="1:21" s="84" customFormat="1" x14ac:dyDescent="0.3">
      <c r="A344" s="68">
        <v>39561</v>
      </c>
      <c r="B344" s="69">
        <f t="shared" si="6"/>
        <v>20080423</v>
      </c>
      <c r="C344" s="70">
        <v>4.0999999999999995E-2</v>
      </c>
      <c r="D344" s="77">
        <v>0</v>
      </c>
      <c r="E344" s="77"/>
      <c r="F344" s="77">
        <v>4.0000000000000001E-3</v>
      </c>
      <c r="G344" s="78">
        <v>15000000</v>
      </c>
      <c r="H344" s="79"/>
      <c r="I344" s="79"/>
      <c r="J344" s="79"/>
      <c r="K344" s="80">
        <v>1.8000000000000002E-2</v>
      </c>
      <c r="L344" s="80"/>
      <c r="M344" s="75" t="s">
        <v>143</v>
      </c>
      <c r="N344" s="75" t="b">
        <v>1</v>
      </c>
      <c r="O344" s="75" t="s">
        <v>144</v>
      </c>
      <c r="P344" s="75">
        <v>1994</v>
      </c>
      <c r="Q344" s="75">
        <v>2015</v>
      </c>
      <c r="R344" s="75">
        <v>1</v>
      </c>
      <c r="S344" s="81"/>
      <c r="T344" s="82"/>
      <c r="U344" s="83"/>
    </row>
    <row r="345" spans="1:21" s="84" customFormat="1" x14ac:dyDescent="0.3">
      <c r="A345" s="68">
        <v>39562</v>
      </c>
      <c r="B345" s="69">
        <f t="shared" si="6"/>
        <v>20080424</v>
      </c>
      <c r="C345" s="70">
        <v>4.1399999999999999E-2</v>
      </c>
      <c r="D345" s="77">
        <v>0</v>
      </c>
      <c r="E345" s="77"/>
      <c r="F345" s="77">
        <v>4.0000000000000001E-3</v>
      </c>
      <c r="G345" s="78">
        <v>15000000</v>
      </c>
      <c r="H345" s="79"/>
      <c r="I345" s="79"/>
      <c r="J345" s="79"/>
      <c r="K345" s="80">
        <v>1.8200000000000001E-2</v>
      </c>
      <c r="L345" s="80"/>
      <c r="M345" s="75" t="s">
        <v>143</v>
      </c>
      <c r="N345" s="75" t="b">
        <v>1</v>
      </c>
      <c r="O345" s="75" t="s">
        <v>144</v>
      </c>
      <c r="P345" s="75">
        <v>1994</v>
      </c>
      <c r="Q345" s="75">
        <v>2015</v>
      </c>
      <c r="R345" s="75">
        <v>1</v>
      </c>
      <c r="S345" s="81"/>
      <c r="T345" s="82"/>
      <c r="U345" s="83"/>
    </row>
    <row r="346" spans="1:21" s="84" customFormat="1" x14ac:dyDescent="0.3">
      <c r="A346" s="68">
        <v>39563</v>
      </c>
      <c r="B346" s="69">
        <f t="shared" si="6"/>
        <v>20080425</v>
      </c>
      <c r="C346" s="70">
        <v>4.1599999999999998E-2</v>
      </c>
      <c r="D346" s="77">
        <v>0</v>
      </c>
      <c r="E346" s="77"/>
      <c r="F346" s="77">
        <v>4.0000000000000001E-3</v>
      </c>
      <c r="G346" s="78">
        <v>15000000</v>
      </c>
      <c r="H346" s="79"/>
      <c r="I346" s="79"/>
      <c r="J346" s="79"/>
      <c r="K346" s="80">
        <v>1.8200000000000001E-2</v>
      </c>
      <c r="L346" s="80"/>
      <c r="M346" s="75" t="s">
        <v>143</v>
      </c>
      <c r="N346" s="75" t="b">
        <v>1</v>
      </c>
      <c r="O346" s="75" t="s">
        <v>144</v>
      </c>
      <c r="P346" s="75">
        <v>1994</v>
      </c>
      <c r="Q346" s="75">
        <v>2015</v>
      </c>
      <c r="R346" s="75">
        <v>1</v>
      </c>
      <c r="S346" s="81"/>
      <c r="T346" s="82"/>
      <c r="U346" s="83"/>
    </row>
    <row r="347" spans="1:21" s="84" customFormat="1" x14ac:dyDescent="0.3">
      <c r="A347" s="68">
        <v>39566</v>
      </c>
      <c r="B347" s="69">
        <f t="shared" si="6"/>
        <v>20080428</v>
      </c>
      <c r="C347" s="70">
        <v>4.1399999999999999E-2</v>
      </c>
      <c r="D347" s="77">
        <v>0</v>
      </c>
      <c r="E347" s="77"/>
      <c r="F347" s="77">
        <v>4.0000000000000001E-3</v>
      </c>
      <c r="G347" s="78">
        <v>15000000</v>
      </c>
      <c r="H347" s="79"/>
      <c r="I347" s="79"/>
      <c r="J347" s="79"/>
      <c r="K347" s="80">
        <v>1.8100000000000002E-2</v>
      </c>
      <c r="L347" s="80"/>
      <c r="M347" s="75" t="s">
        <v>143</v>
      </c>
      <c r="N347" s="75" t="b">
        <v>1</v>
      </c>
      <c r="O347" s="75" t="s">
        <v>144</v>
      </c>
      <c r="P347" s="75">
        <v>1994</v>
      </c>
      <c r="Q347" s="75">
        <v>2015</v>
      </c>
      <c r="R347" s="75">
        <v>1</v>
      </c>
      <c r="S347" s="81"/>
      <c r="T347" s="82"/>
      <c r="U347" s="83"/>
    </row>
    <row r="348" spans="1:21" s="84" customFormat="1" x14ac:dyDescent="0.3">
      <c r="A348" s="68">
        <v>39567</v>
      </c>
      <c r="B348" s="69">
        <f t="shared" si="6"/>
        <v>20080429</v>
      </c>
      <c r="C348" s="70">
        <v>4.1100000000000005E-2</v>
      </c>
      <c r="D348" s="77">
        <v>0</v>
      </c>
      <c r="E348" s="77"/>
      <c r="F348" s="77">
        <v>4.0000000000000001E-3</v>
      </c>
      <c r="G348" s="78">
        <v>15000000</v>
      </c>
      <c r="H348" s="79"/>
      <c r="I348" s="79"/>
      <c r="J348" s="79"/>
      <c r="K348" s="80">
        <v>1.8000000000000002E-2</v>
      </c>
      <c r="L348" s="80"/>
      <c r="M348" s="75" t="s">
        <v>143</v>
      </c>
      <c r="N348" s="75" t="b">
        <v>1</v>
      </c>
      <c r="O348" s="75" t="s">
        <v>144</v>
      </c>
      <c r="P348" s="75">
        <v>1994</v>
      </c>
      <c r="Q348" s="75">
        <v>2015</v>
      </c>
      <c r="R348" s="75">
        <v>1</v>
      </c>
      <c r="S348" s="81"/>
      <c r="T348" s="82"/>
      <c r="U348" s="83"/>
    </row>
    <row r="349" spans="1:21" s="84" customFormat="1" x14ac:dyDescent="0.3">
      <c r="A349" s="68">
        <v>39568</v>
      </c>
      <c r="B349" s="69">
        <f t="shared" si="6"/>
        <v>20080430</v>
      </c>
      <c r="C349" s="70">
        <v>4.0199999999999993E-2</v>
      </c>
      <c r="D349" s="77">
        <v>0</v>
      </c>
      <c r="E349" s="77"/>
      <c r="F349" s="77">
        <v>4.0000000000000001E-3</v>
      </c>
      <c r="G349" s="78">
        <v>15000000</v>
      </c>
      <c r="H349" s="79"/>
      <c r="I349" s="79"/>
      <c r="J349" s="79"/>
      <c r="K349" s="80">
        <v>1.72E-2</v>
      </c>
      <c r="L349" s="80"/>
      <c r="M349" s="75" t="s">
        <v>143</v>
      </c>
      <c r="N349" s="75" t="b">
        <v>1</v>
      </c>
      <c r="O349" s="75" t="s">
        <v>144</v>
      </c>
      <c r="P349" s="75">
        <v>1994</v>
      </c>
      <c r="Q349" s="75">
        <v>2015</v>
      </c>
      <c r="R349" s="75">
        <v>1</v>
      </c>
      <c r="S349" s="81"/>
      <c r="T349" s="82"/>
      <c r="U349" s="83"/>
    </row>
    <row r="350" spans="1:21" s="84" customFormat="1" x14ac:dyDescent="0.3">
      <c r="A350" s="68">
        <v>39569</v>
      </c>
      <c r="B350" s="69">
        <f t="shared" si="6"/>
        <v>20080501</v>
      </c>
      <c r="C350" s="70">
        <v>0.04</v>
      </c>
      <c r="D350" s="77">
        <v>0</v>
      </c>
      <c r="E350" s="77"/>
      <c r="F350" s="77">
        <v>4.0000000000000001E-3</v>
      </c>
      <c r="G350" s="78">
        <v>15000000</v>
      </c>
      <c r="H350" s="79"/>
      <c r="I350" s="79"/>
      <c r="J350" s="79"/>
      <c r="K350" s="80">
        <v>1.7000000000000001E-2</v>
      </c>
      <c r="L350" s="80"/>
      <c r="M350" s="75" t="s">
        <v>143</v>
      </c>
      <c r="N350" s="75" t="b">
        <v>1</v>
      </c>
      <c r="O350" s="75" t="s">
        <v>144</v>
      </c>
      <c r="P350" s="75">
        <v>1994</v>
      </c>
      <c r="Q350" s="75">
        <v>2015</v>
      </c>
      <c r="R350" s="75">
        <v>1</v>
      </c>
      <c r="S350" s="81"/>
      <c r="T350" s="82"/>
      <c r="U350" s="83"/>
    </row>
    <row r="351" spans="1:21" s="84" customFormat="1" x14ac:dyDescent="0.3">
      <c r="A351" s="68">
        <v>39570</v>
      </c>
      <c r="B351" s="69">
        <f t="shared" si="6"/>
        <v>20080502</v>
      </c>
      <c r="C351" s="70">
        <v>4.0399999999999998E-2</v>
      </c>
      <c r="D351" s="77">
        <v>0</v>
      </c>
      <c r="E351" s="77"/>
      <c r="F351" s="77">
        <v>4.0000000000000001E-3</v>
      </c>
      <c r="G351" s="78">
        <v>15000000</v>
      </c>
      <c r="H351" s="79"/>
      <c r="I351" s="79"/>
      <c r="J351" s="79"/>
      <c r="K351" s="80">
        <v>1.7299999999999999E-2</v>
      </c>
      <c r="L351" s="80"/>
      <c r="M351" s="75" t="s">
        <v>143</v>
      </c>
      <c r="N351" s="75" t="b">
        <v>1</v>
      </c>
      <c r="O351" s="75" t="s">
        <v>144</v>
      </c>
      <c r="P351" s="75">
        <v>1994</v>
      </c>
      <c r="Q351" s="75">
        <v>2015</v>
      </c>
      <c r="R351" s="75">
        <v>1</v>
      </c>
      <c r="S351" s="81"/>
      <c r="T351" s="82"/>
      <c r="U351" s="83"/>
    </row>
    <row r="352" spans="1:21" s="84" customFormat="1" x14ac:dyDescent="0.3">
      <c r="A352" s="68">
        <v>39573</v>
      </c>
      <c r="B352" s="69">
        <f t="shared" si="6"/>
        <v>20080505</v>
      </c>
      <c r="C352" s="70">
        <v>4.0500000000000001E-2</v>
      </c>
      <c r="D352" s="77">
        <v>0</v>
      </c>
      <c r="E352" s="77"/>
      <c r="F352" s="77">
        <v>4.0000000000000001E-3</v>
      </c>
      <c r="G352" s="78">
        <v>15000000</v>
      </c>
      <c r="H352" s="79"/>
      <c r="I352" s="79"/>
      <c r="J352" s="79"/>
      <c r="K352" s="80">
        <v>1.7399999999999999E-2</v>
      </c>
      <c r="L352" s="80"/>
      <c r="M352" s="75" t="s">
        <v>143</v>
      </c>
      <c r="N352" s="75" t="b">
        <v>1</v>
      </c>
      <c r="O352" s="75" t="s">
        <v>144</v>
      </c>
      <c r="P352" s="75">
        <v>1994</v>
      </c>
      <c r="Q352" s="75">
        <v>2015</v>
      </c>
      <c r="R352" s="75">
        <v>1</v>
      </c>
      <c r="S352" s="81"/>
      <c r="T352" s="82"/>
      <c r="U352" s="83"/>
    </row>
    <row r="353" spans="1:21" s="84" customFormat="1" x14ac:dyDescent="0.3">
      <c r="A353" s="68">
        <v>39574</v>
      </c>
      <c r="B353" s="69">
        <f t="shared" si="6"/>
        <v>20080506</v>
      </c>
      <c r="C353" s="70">
        <v>4.1200000000000001E-2</v>
      </c>
      <c r="D353" s="77">
        <v>0</v>
      </c>
      <c r="E353" s="77"/>
      <c r="F353" s="77">
        <v>4.0000000000000001E-3</v>
      </c>
      <c r="G353" s="78">
        <v>15000000</v>
      </c>
      <c r="H353" s="79"/>
      <c r="I353" s="79"/>
      <c r="J353" s="79"/>
      <c r="K353" s="80">
        <v>1.7899999999999999E-2</v>
      </c>
      <c r="L353" s="80"/>
      <c r="M353" s="75" t="s">
        <v>143</v>
      </c>
      <c r="N353" s="75" t="b">
        <v>1</v>
      </c>
      <c r="O353" s="75" t="s">
        <v>144</v>
      </c>
      <c r="P353" s="75">
        <v>1994</v>
      </c>
      <c r="Q353" s="75">
        <v>2015</v>
      </c>
      <c r="R353" s="75">
        <v>1</v>
      </c>
      <c r="S353" s="81"/>
      <c r="T353" s="82"/>
      <c r="U353" s="83"/>
    </row>
    <row r="354" spans="1:21" s="84" customFormat="1" x14ac:dyDescent="0.3">
      <c r="A354" s="68">
        <v>39575</v>
      </c>
      <c r="B354" s="69">
        <f t="shared" si="6"/>
        <v>20080507</v>
      </c>
      <c r="C354" s="70">
        <v>4.0999999999999995E-2</v>
      </c>
      <c r="D354" s="77">
        <v>0</v>
      </c>
      <c r="E354" s="77"/>
      <c r="F354" s="77">
        <v>4.0000000000000001E-3</v>
      </c>
      <c r="G354" s="78">
        <v>15000000</v>
      </c>
      <c r="H354" s="79"/>
      <c r="I354" s="79"/>
      <c r="J354" s="79"/>
      <c r="K354" s="80">
        <v>1.78E-2</v>
      </c>
      <c r="L354" s="80"/>
      <c r="M354" s="75" t="s">
        <v>143</v>
      </c>
      <c r="N354" s="75" t="b">
        <v>1</v>
      </c>
      <c r="O354" s="75" t="s">
        <v>144</v>
      </c>
      <c r="P354" s="75">
        <v>1994</v>
      </c>
      <c r="Q354" s="75">
        <v>2015</v>
      </c>
      <c r="R354" s="75">
        <v>1</v>
      </c>
      <c r="S354" s="81"/>
      <c r="T354" s="82"/>
      <c r="U354" s="83"/>
    </row>
    <row r="355" spans="1:21" s="84" customFormat="1" x14ac:dyDescent="0.3">
      <c r="A355" s="68">
        <v>39576</v>
      </c>
      <c r="B355" s="69">
        <f t="shared" si="6"/>
        <v>20080508</v>
      </c>
      <c r="C355" s="70">
        <v>4.0800000000000003E-2</v>
      </c>
      <c r="D355" s="77">
        <v>0</v>
      </c>
      <c r="E355" s="77"/>
      <c r="F355" s="77">
        <v>4.0000000000000001E-3</v>
      </c>
      <c r="G355" s="78">
        <v>15000000</v>
      </c>
      <c r="H355" s="79"/>
      <c r="I355" s="79"/>
      <c r="J355" s="79"/>
      <c r="K355" s="80">
        <v>1.7500000000000002E-2</v>
      </c>
      <c r="L355" s="80"/>
      <c r="M355" s="75" t="s">
        <v>143</v>
      </c>
      <c r="N355" s="75" t="b">
        <v>1</v>
      </c>
      <c r="O355" s="75" t="s">
        <v>144</v>
      </c>
      <c r="P355" s="75">
        <v>1994</v>
      </c>
      <c r="Q355" s="75">
        <v>2015</v>
      </c>
      <c r="R355" s="75">
        <v>1</v>
      </c>
      <c r="S355" s="81"/>
      <c r="T355" s="82"/>
      <c r="U355" s="83"/>
    </row>
    <row r="356" spans="1:21" s="84" customFormat="1" x14ac:dyDescent="0.3">
      <c r="A356" s="68">
        <v>39577</v>
      </c>
      <c r="B356" s="69">
        <f t="shared" si="6"/>
        <v>20080509</v>
      </c>
      <c r="C356" s="70">
        <v>4.0199999999999993E-2</v>
      </c>
      <c r="D356" s="77">
        <v>0</v>
      </c>
      <c r="E356" s="77"/>
      <c r="F356" s="77">
        <v>4.0000000000000001E-3</v>
      </c>
      <c r="G356" s="78">
        <v>15000000</v>
      </c>
      <c r="H356" s="79"/>
      <c r="I356" s="79"/>
      <c r="J356" s="79"/>
      <c r="K356" s="80">
        <v>1.6899999999999998E-2</v>
      </c>
      <c r="L356" s="80"/>
      <c r="M356" s="75" t="s">
        <v>143</v>
      </c>
      <c r="N356" s="75" t="b">
        <v>1</v>
      </c>
      <c r="O356" s="75" t="s">
        <v>144</v>
      </c>
      <c r="P356" s="75">
        <v>1994</v>
      </c>
      <c r="Q356" s="75">
        <v>2015</v>
      </c>
      <c r="R356" s="75">
        <v>1</v>
      </c>
      <c r="S356" s="81"/>
      <c r="T356" s="82"/>
      <c r="U356" s="83"/>
    </row>
    <row r="357" spans="1:21" s="84" customFormat="1" x14ac:dyDescent="0.3">
      <c r="A357" s="68">
        <v>39580</v>
      </c>
      <c r="B357" s="69">
        <f t="shared" si="6"/>
        <v>20080512</v>
      </c>
      <c r="C357" s="70">
        <v>0.04</v>
      </c>
      <c r="D357" s="77">
        <v>0</v>
      </c>
      <c r="E357" s="77"/>
      <c r="F357" s="77">
        <v>4.0000000000000001E-3</v>
      </c>
      <c r="G357" s="78">
        <v>15000000</v>
      </c>
      <c r="H357" s="79"/>
      <c r="I357" s="79"/>
      <c r="J357" s="79"/>
      <c r="K357" s="80">
        <v>1.67E-2</v>
      </c>
      <c r="L357" s="80"/>
      <c r="M357" s="75" t="s">
        <v>143</v>
      </c>
      <c r="N357" s="75" t="b">
        <v>1</v>
      </c>
      <c r="O357" s="75" t="s">
        <v>144</v>
      </c>
      <c r="P357" s="75">
        <v>1994</v>
      </c>
      <c r="Q357" s="75">
        <v>2015</v>
      </c>
      <c r="R357" s="75">
        <v>1</v>
      </c>
      <c r="S357" s="81"/>
      <c r="T357" s="82"/>
      <c r="U357" s="83"/>
    </row>
    <row r="358" spans="1:21" s="84" customFormat="1" x14ac:dyDescent="0.3">
      <c r="A358" s="68">
        <v>39581</v>
      </c>
      <c r="B358" s="69">
        <f t="shared" si="6"/>
        <v>20080513</v>
      </c>
      <c r="C358" s="70">
        <v>4.0199999999999993E-2</v>
      </c>
      <c r="D358" s="77">
        <v>0</v>
      </c>
      <c r="E358" s="77"/>
      <c r="F358" s="77">
        <v>4.0000000000000001E-3</v>
      </c>
      <c r="G358" s="78">
        <v>15000000</v>
      </c>
      <c r="H358" s="79"/>
      <c r="I358" s="79"/>
      <c r="J358" s="79"/>
      <c r="K358" s="80">
        <v>1.6799999999999999E-2</v>
      </c>
      <c r="L358" s="80"/>
      <c r="M358" s="75" t="s">
        <v>143</v>
      </c>
      <c r="N358" s="75" t="b">
        <v>1</v>
      </c>
      <c r="O358" s="75" t="s">
        <v>144</v>
      </c>
      <c r="P358" s="75">
        <v>1994</v>
      </c>
      <c r="Q358" s="75">
        <v>2015</v>
      </c>
      <c r="R358" s="75">
        <v>1</v>
      </c>
      <c r="S358" s="81"/>
      <c r="T358" s="82"/>
      <c r="U358" s="83"/>
    </row>
    <row r="359" spans="1:21" s="84" customFormat="1" x14ac:dyDescent="0.3">
      <c r="A359" s="68">
        <v>39582</v>
      </c>
      <c r="B359" s="69">
        <f t="shared" si="6"/>
        <v>20080514</v>
      </c>
      <c r="C359" s="70">
        <v>4.0099999999999997E-2</v>
      </c>
      <c r="D359" s="77">
        <v>0</v>
      </c>
      <c r="E359" s="77"/>
      <c r="F359" s="77">
        <v>4.0000000000000001E-3</v>
      </c>
      <c r="G359" s="78">
        <v>15000000</v>
      </c>
      <c r="H359" s="79"/>
      <c r="I359" s="79"/>
      <c r="J359" s="79"/>
      <c r="K359" s="80">
        <v>1.67E-2</v>
      </c>
      <c r="L359" s="80"/>
      <c r="M359" s="75" t="s">
        <v>143</v>
      </c>
      <c r="N359" s="75" t="b">
        <v>1</v>
      </c>
      <c r="O359" s="75" t="s">
        <v>144</v>
      </c>
      <c r="P359" s="75">
        <v>1994</v>
      </c>
      <c r="Q359" s="75">
        <v>2015</v>
      </c>
      <c r="R359" s="75">
        <v>1</v>
      </c>
      <c r="S359" s="81"/>
      <c r="T359" s="82"/>
      <c r="U359" s="83"/>
    </row>
    <row r="360" spans="1:21" s="84" customFormat="1" x14ac:dyDescent="0.3">
      <c r="A360" s="68">
        <v>39583</v>
      </c>
      <c r="B360" s="69">
        <f t="shared" si="6"/>
        <v>20080515</v>
      </c>
      <c r="C360" s="70">
        <v>3.9800000000000002E-2</v>
      </c>
      <c r="D360" s="77">
        <v>0</v>
      </c>
      <c r="E360" s="77"/>
      <c r="F360" s="77">
        <v>4.0000000000000001E-3</v>
      </c>
      <c r="G360" s="78">
        <v>15000000</v>
      </c>
      <c r="H360" s="79"/>
      <c r="I360" s="79"/>
      <c r="J360" s="79"/>
      <c r="K360" s="80">
        <v>1.6500000000000001E-2</v>
      </c>
      <c r="L360" s="80"/>
      <c r="M360" s="75" t="s">
        <v>143</v>
      </c>
      <c r="N360" s="75" t="b">
        <v>1</v>
      </c>
      <c r="O360" s="75" t="s">
        <v>144</v>
      </c>
      <c r="P360" s="75">
        <v>1994</v>
      </c>
      <c r="Q360" s="75">
        <v>2015</v>
      </c>
      <c r="R360" s="75">
        <v>1</v>
      </c>
      <c r="S360" s="81"/>
      <c r="T360" s="82"/>
      <c r="U360" s="83"/>
    </row>
    <row r="361" spans="1:21" s="84" customFormat="1" x14ac:dyDescent="0.3">
      <c r="A361" s="68">
        <v>39584</v>
      </c>
      <c r="B361" s="69">
        <f t="shared" si="6"/>
        <v>20080516</v>
      </c>
      <c r="C361" s="70">
        <v>3.9900000000000005E-2</v>
      </c>
      <c r="D361" s="77">
        <v>0</v>
      </c>
      <c r="E361" s="77"/>
      <c r="F361" s="77">
        <v>4.0000000000000001E-3</v>
      </c>
      <c r="G361" s="78">
        <v>15000000</v>
      </c>
      <c r="H361" s="79"/>
      <c r="I361" s="79"/>
      <c r="J361" s="79"/>
      <c r="K361" s="80">
        <v>1.66E-2</v>
      </c>
      <c r="L361" s="80"/>
      <c r="M361" s="75" t="s">
        <v>143</v>
      </c>
      <c r="N361" s="75" t="b">
        <v>1</v>
      </c>
      <c r="O361" s="75" t="s">
        <v>144</v>
      </c>
      <c r="P361" s="75">
        <v>1994</v>
      </c>
      <c r="Q361" s="75">
        <v>2015</v>
      </c>
      <c r="R361" s="75">
        <v>1</v>
      </c>
      <c r="S361" s="81"/>
      <c r="T361" s="82"/>
      <c r="U361" s="83"/>
    </row>
    <row r="362" spans="1:21" s="84" customFormat="1" x14ac:dyDescent="0.3">
      <c r="A362" s="68">
        <v>39588</v>
      </c>
      <c r="B362" s="69">
        <f t="shared" si="6"/>
        <v>20080520</v>
      </c>
      <c r="C362" s="70">
        <v>3.9599999999999996E-2</v>
      </c>
      <c r="D362" s="77">
        <v>0</v>
      </c>
      <c r="E362" s="77"/>
      <c r="F362" s="77">
        <v>4.0000000000000001E-3</v>
      </c>
      <c r="G362" s="78">
        <v>15000000</v>
      </c>
      <c r="H362" s="79"/>
      <c r="I362" s="79"/>
      <c r="J362" s="79"/>
      <c r="K362" s="80">
        <v>1.6399999999999998E-2</v>
      </c>
      <c r="L362" s="80"/>
      <c r="M362" s="75" t="s">
        <v>143</v>
      </c>
      <c r="N362" s="75" t="b">
        <v>1</v>
      </c>
      <c r="O362" s="75" t="s">
        <v>144</v>
      </c>
      <c r="P362" s="75">
        <v>1994</v>
      </c>
      <c r="Q362" s="75">
        <v>2015</v>
      </c>
      <c r="R362" s="75">
        <v>1</v>
      </c>
      <c r="S362" s="81"/>
      <c r="T362" s="82"/>
      <c r="U362" s="83"/>
    </row>
    <row r="363" spans="1:21" s="84" customFormat="1" x14ac:dyDescent="0.3">
      <c r="A363" s="68">
        <v>39589</v>
      </c>
      <c r="B363" s="69">
        <f t="shared" si="6"/>
        <v>20080521</v>
      </c>
      <c r="C363" s="70">
        <v>4.0099999999999997E-2</v>
      </c>
      <c r="D363" s="77">
        <v>0</v>
      </c>
      <c r="E363" s="77"/>
      <c r="F363" s="77">
        <v>4.0000000000000001E-3</v>
      </c>
      <c r="G363" s="78">
        <v>15000000</v>
      </c>
      <c r="H363" s="79"/>
      <c r="I363" s="79"/>
      <c r="J363" s="79"/>
      <c r="K363" s="80">
        <v>1.61E-2</v>
      </c>
      <c r="L363" s="80"/>
      <c r="M363" s="75" t="s">
        <v>143</v>
      </c>
      <c r="N363" s="75" t="b">
        <v>1</v>
      </c>
      <c r="O363" s="75" t="s">
        <v>144</v>
      </c>
      <c r="P363" s="75">
        <v>1994</v>
      </c>
      <c r="Q363" s="75">
        <v>2015</v>
      </c>
      <c r="R363" s="75">
        <v>1</v>
      </c>
      <c r="S363" s="81"/>
      <c r="T363" s="82"/>
      <c r="U363" s="83"/>
    </row>
    <row r="364" spans="1:21" s="84" customFormat="1" x14ac:dyDescent="0.3">
      <c r="A364" s="68">
        <v>39590</v>
      </c>
      <c r="B364" s="69">
        <f t="shared" si="6"/>
        <v>20080522</v>
      </c>
      <c r="C364" s="70">
        <v>4.07E-2</v>
      </c>
      <c r="D364" s="77">
        <v>0</v>
      </c>
      <c r="E364" s="77"/>
      <c r="F364" s="77">
        <v>4.0000000000000001E-3</v>
      </c>
      <c r="G364" s="78">
        <v>15000000</v>
      </c>
      <c r="H364" s="79"/>
      <c r="I364" s="79"/>
      <c r="J364" s="79"/>
      <c r="K364" s="80">
        <v>1.6899999999999998E-2</v>
      </c>
      <c r="L364" s="80"/>
      <c r="M364" s="75" t="s">
        <v>143</v>
      </c>
      <c r="N364" s="75" t="b">
        <v>1</v>
      </c>
      <c r="O364" s="75" t="s">
        <v>144</v>
      </c>
      <c r="P364" s="75">
        <v>1994</v>
      </c>
      <c r="Q364" s="75">
        <v>2015</v>
      </c>
      <c r="R364" s="75">
        <v>1</v>
      </c>
      <c r="S364" s="81"/>
      <c r="T364" s="82"/>
      <c r="U364" s="83"/>
    </row>
    <row r="365" spans="1:21" s="84" customFormat="1" x14ac:dyDescent="0.3">
      <c r="A365" s="68">
        <v>39591</v>
      </c>
      <c r="B365" s="69">
        <f t="shared" si="6"/>
        <v>20080523</v>
      </c>
      <c r="C365" s="70">
        <v>4.0300000000000002E-2</v>
      </c>
      <c r="D365" s="77">
        <v>0</v>
      </c>
      <c r="E365" s="77"/>
      <c r="F365" s="77">
        <v>4.0000000000000001E-3</v>
      </c>
      <c r="G365" s="78">
        <v>15000000</v>
      </c>
      <c r="H365" s="79"/>
      <c r="I365" s="79"/>
      <c r="J365" s="79"/>
      <c r="K365" s="80">
        <v>1.6399999999999998E-2</v>
      </c>
      <c r="L365" s="80"/>
      <c r="M365" s="75" t="s">
        <v>143</v>
      </c>
      <c r="N365" s="75" t="b">
        <v>1</v>
      </c>
      <c r="O365" s="75" t="s">
        <v>144</v>
      </c>
      <c r="P365" s="75">
        <v>1994</v>
      </c>
      <c r="Q365" s="75">
        <v>2015</v>
      </c>
      <c r="R365" s="75">
        <v>1</v>
      </c>
      <c r="S365" s="81"/>
      <c r="T365" s="82"/>
      <c r="U365" s="83"/>
    </row>
    <row r="366" spans="1:21" s="84" customFormat="1" x14ac:dyDescent="0.3">
      <c r="A366" s="68">
        <v>39594</v>
      </c>
      <c r="B366" s="69">
        <f t="shared" si="6"/>
        <v>20080526</v>
      </c>
      <c r="C366" s="70">
        <v>4.0399999999999998E-2</v>
      </c>
      <c r="D366" s="77">
        <v>0</v>
      </c>
      <c r="E366" s="77"/>
      <c r="F366" s="77">
        <v>4.0000000000000001E-3</v>
      </c>
      <c r="G366" s="78">
        <v>15000000</v>
      </c>
      <c r="H366" s="79"/>
      <c r="I366" s="79"/>
      <c r="J366" s="79"/>
      <c r="K366" s="80">
        <v>1.6500000000000001E-2</v>
      </c>
      <c r="L366" s="80"/>
      <c r="M366" s="75" t="s">
        <v>143</v>
      </c>
      <c r="N366" s="75" t="b">
        <v>1</v>
      </c>
      <c r="O366" s="75" t="s">
        <v>144</v>
      </c>
      <c r="P366" s="75">
        <v>1994</v>
      </c>
      <c r="Q366" s="75">
        <v>2015</v>
      </c>
      <c r="R366" s="75">
        <v>1</v>
      </c>
      <c r="S366" s="81"/>
      <c r="T366" s="82"/>
      <c r="U366" s="83"/>
    </row>
    <row r="367" spans="1:21" s="84" customFormat="1" x14ac:dyDescent="0.3">
      <c r="A367" s="68">
        <v>39595</v>
      </c>
      <c r="B367" s="69">
        <f t="shared" si="6"/>
        <v>20080527</v>
      </c>
      <c r="C367" s="70">
        <v>4.0599999999999997E-2</v>
      </c>
      <c r="D367" s="77">
        <v>0</v>
      </c>
      <c r="E367" s="77"/>
      <c r="F367" s="77">
        <v>4.0000000000000001E-3</v>
      </c>
      <c r="G367" s="78">
        <v>15000000</v>
      </c>
      <c r="H367" s="79"/>
      <c r="I367" s="79"/>
      <c r="J367" s="79"/>
      <c r="K367" s="80">
        <v>1.6500000000000001E-2</v>
      </c>
      <c r="L367" s="80"/>
      <c r="M367" s="75" t="s">
        <v>143</v>
      </c>
      <c r="N367" s="75" t="b">
        <v>1</v>
      </c>
      <c r="O367" s="75" t="s">
        <v>144</v>
      </c>
      <c r="P367" s="75">
        <v>1994</v>
      </c>
      <c r="Q367" s="75">
        <v>2015</v>
      </c>
      <c r="R367" s="75">
        <v>1</v>
      </c>
      <c r="S367" s="81"/>
      <c r="T367" s="82"/>
      <c r="U367" s="83"/>
    </row>
    <row r="368" spans="1:21" s="84" customFormat="1" x14ac:dyDescent="0.3">
      <c r="A368" s="68">
        <v>39596</v>
      </c>
      <c r="B368" s="69">
        <f t="shared" si="6"/>
        <v>20080528</v>
      </c>
      <c r="C368" s="70">
        <v>4.07E-2</v>
      </c>
      <c r="D368" s="77">
        <v>0</v>
      </c>
      <c r="E368" s="77"/>
      <c r="F368" s="77">
        <v>4.0000000000000001E-3</v>
      </c>
      <c r="G368" s="78">
        <v>15000000</v>
      </c>
      <c r="H368" s="79"/>
      <c r="I368" s="79"/>
      <c r="J368" s="79"/>
      <c r="K368" s="80">
        <v>1.5700000000000002E-2</v>
      </c>
      <c r="L368" s="80"/>
      <c r="M368" s="75" t="s">
        <v>143</v>
      </c>
      <c r="N368" s="75" t="b">
        <v>1</v>
      </c>
      <c r="O368" s="75" t="s">
        <v>144</v>
      </c>
      <c r="P368" s="75">
        <v>1994</v>
      </c>
      <c r="Q368" s="75">
        <v>2015</v>
      </c>
      <c r="R368" s="75">
        <v>1</v>
      </c>
      <c r="S368" s="81"/>
      <c r="T368" s="82"/>
      <c r="U368" s="83"/>
    </row>
    <row r="369" spans="1:21" s="84" customFormat="1" x14ac:dyDescent="0.3">
      <c r="A369" s="68">
        <v>39597</v>
      </c>
      <c r="B369" s="69">
        <f t="shared" si="6"/>
        <v>20080529</v>
      </c>
      <c r="C369" s="70">
        <v>4.0999999999999995E-2</v>
      </c>
      <c r="D369" s="77">
        <v>0</v>
      </c>
      <c r="E369" s="77"/>
      <c r="F369" s="77">
        <v>4.0000000000000001E-3</v>
      </c>
      <c r="G369" s="78">
        <v>15000000</v>
      </c>
      <c r="H369" s="79"/>
      <c r="I369" s="79"/>
      <c r="J369" s="79"/>
      <c r="K369" s="80">
        <v>1.61E-2</v>
      </c>
      <c r="L369" s="80"/>
      <c r="M369" s="75" t="s">
        <v>143</v>
      </c>
      <c r="N369" s="75" t="b">
        <v>1</v>
      </c>
      <c r="O369" s="75" t="s">
        <v>144</v>
      </c>
      <c r="P369" s="75">
        <v>1994</v>
      </c>
      <c r="Q369" s="75">
        <v>2015</v>
      </c>
      <c r="R369" s="75">
        <v>1</v>
      </c>
      <c r="S369" s="81"/>
      <c r="T369" s="82"/>
      <c r="U369" s="83"/>
    </row>
    <row r="370" spans="1:21" s="84" customFormat="1" x14ac:dyDescent="0.3">
      <c r="A370" s="68">
        <v>39598</v>
      </c>
      <c r="B370" s="69">
        <f t="shared" si="6"/>
        <v>20080530</v>
      </c>
      <c r="C370" s="70">
        <v>4.0899999999999999E-2</v>
      </c>
      <c r="D370" s="77">
        <v>0</v>
      </c>
      <c r="E370" s="77"/>
      <c r="F370" s="77">
        <v>4.0000000000000001E-3</v>
      </c>
      <c r="G370" s="78">
        <v>15000000</v>
      </c>
      <c r="H370" s="79"/>
      <c r="I370" s="79"/>
      <c r="J370" s="79"/>
      <c r="K370" s="80">
        <v>1.61E-2</v>
      </c>
      <c r="L370" s="80"/>
      <c r="M370" s="75" t="s">
        <v>143</v>
      </c>
      <c r="N370" s="75" t="b">
        <v>1</v>
      </c>
      <c r="O370" s="75" t="s">
        <v>144</v>
      </c>
      <c r="P370" s="75">
        <v>1994</v>
      </c>
      <c r="Q370" s="75">
        <v>2015</v>
      </c>
      <c r="R370" s="75">
        <v>1</v>
      </c>
      <c r="S370" s="81"/>
      <c r="T370" s="82"/>
      <c r="U370" s="83"/>
    </row>
    <row r="371" spans="1:21" s="84" customFormat="1" x14ac:dyDescent="0.3">
      <c r="A371" s="68">
        <v>39601</v>
      </c>
      <c r="B371" s="69">
        <f t="shared" si="6"/>
        <v>20080602</v>
      </c>
      <c r="C371" s="70">
        <v>4.0800000000000003E-2</v>
      </c>
      <c r="D371" s="77">
        <v>0</v>
      </c>
      <c r="E371" s="77"/>
      <c r="F371" s="77">
        <v>4.0000000000000001E-3</v>
      </c>
      <c r="G371" s="78">
        <v>15000000</v>
      </c>
      <c r="H371" s="79"/>
      <c r="I371" s="79"/>
      <c r="J371" s="79"/>
      <c r="K371" s="80">
        <v>1.5600000000000001E-2</v>
      </c>
      <c r="L371" s="80"/>
      <c r="M371" s="75" t="s">
        <v>143</v>
      </c>
      <c r="N371" s="75" t="b">
        <v>1</v>
      </c>
      <c r="O371" s="75" t="s">
        <v>144</v>
      </c>
      <c r="P371" s="75">
        <v>1994</v>
      </c>
      <c r="Q371" s="75">
        <v>2015</v>
      </c>
      <c r="R371" s="75">
        <v>1</v>
      </c>
      <c r="S371" s="81"/>
      <c r="T371" s="82"/>
      <c r="U371" s="83"/>
    </row>
    <row r="372" spans="1:21" s="84" customFormat="1" x14ac:dyDescent="0.3">
      <c r="A372" s="68">
        <v>39602</v>
      </c>
      <c r="B372" s="69">
        <f t="shared" si="6"/>
        <v>20080603</v>
      </c>
      <c r="C372" s="70">
        <v>4.0800000000000003E-2</v>
      </c>
      <c r="D372" s="77">
        <v>0</v>
      </c>
      <c r="E372" s="77"/>
      <c r="F372" s="77">
        <v>4.0000000000000001E-3</v>
      </c>
      <c r="G372" s="78">
        <v>15000000</v>
      </c>
      <c r="H372" s="79"/>
      <c r="I372" s="79"/>
      <c r="J372" s="79"/>
      <c r="K372" s="80">
        <v>1.5800000000000002E-2</v>
      </c>
      <c r="L372" s="80"/>
      <c r="M372" s="75" t="s">
        <v>143</v>
      </c>
      <c r="N372" s="75" t="b">
        <v>1</v>
      </c>
      <c r="O372" s="75" t="s">
        <v>144</v>
      </c>
      <c r="P372" s="75">
        <v>1994</v>
      </c>
      <c r="Q372" s="75">
        <v>2015</v>
      </c>
      <c r="R372" s="75">
        <v>1</v>
      </c>
      <c r="S372" s="81"/>
      <c r="T372" s="82"/>
      <c r="U372" s="83"/>
    </row>
    <row r="373" spans="1:21" s="84" customFormat="1" x14ac:dyDescent="0.3">
      <c r="A373" s="68">
        <v>39603</v>
      </c>
      <c r="B373" s="69">
        <f t="shared" si="6"/>
        <v>20080604</v>
      </c>
      <c r="C373" s="70">
        <v>4.0999999999999995E-2</v>
      </c>
      <c r="D373" s="77">
        <v>0</v>
      </c>
      <c r="E373" s="77"/>
      <c r="F373" s="77">
        <v>4.0000000000000001E-3</v>
      </c>
      <c r="G373" s="78">
        <v>15000000</v>
      </c>
      <c r="H373" s="79"/>
      <c r="I373" s="79"/>
      <c r="J373" s="79"/>
      <c r="K373" s="80">
        <v>1.5900000000000001E-2</v>
      </c>
      <c r="L373" s="80"/>
      <c r="M373" s="75" t="s">
        <v>143</v>
      </c>
      <c r="N373" s="75" t="b">
        <v>1</v>
      </c>
      <c r="O373" s="75" t="s">
        <v>144</v>
      </c>
      <c r="P373" s="75">
        <v>1994</v>
      </c>
      <c r="Q373" s="75">
        <v>2015</v>
      </c>
      <c r="R373" s="75">
        <v>1</v>
      </c>
      <c r="S373" s="81"/>
      <c r="T373" s="82"/>
      <c r="U373" s="83"/>
    </row>
    <row r="374" spans="1:21" s="84" customFormat="1" x14ac:dyDescent="0.3">
      <c r="A374" s="68">
        <v>39604</v>
      </c>
      <c r="B374" s="69">
        <f t="shared" si="6"/>
        <v>20080605</v>
      </c>
      <c r="C374" s="70">
        <v>4.1500000000000002E-2</v>
      </c>
      <c r="D374" s="77">
        <v>0</v>
      </c>
      <c r="E374" s="77"/>
      <c r="F374" s="77">
        <v>4.0000000000000001E-3</v>
      </c>
      <c r="G374" s="78">
        <v>15000000</v>
      </c>
      <c r="H374" s="79"/>
      <c r="I374" s="79"/>
      <c r="J374" s="79"/>
      <c r="K374" s="80">
        <v>1.6299999999999999E-2</v>
      </c>
      <c r="L374" s="80"/>
      <c r="M374" s="75" t="s">
        <v>143</v>
      </c>
      <c r="N374" s="75" t="b">
        <v>1</v>
      </c>
      <c r="O374" s="75" t="s">
        <v>144</v>
      </c>
      <c r="P374" s="75">
        <v>1994</v>
      </c>
      <c r="Q374" s="75">
        <v>2015</v>
      </c>
      <c r="R374" s="75">
        <v>1</v>
      </c>
      <c r="S374" s="81"/>
      <c r="T374" s="82"/>
      <c r="U374" s="83"/>
    </row>
    <row r="375" spans="1:21" s="84" customFormat="1" x14ac:dyDescent="0.3">
      <c r="A375" s="68">
        <v>39605</v>
      </c>
      <c r="B375" s="69">
        <f t="shared" si="6"/>
        <v>20080606</v>
      </c>
      <c r="C375" s="70">
        <v>4.0999999999999995E-2</v>
      </c>
      <c r="D375" s="77">
        <v>0</v>
      </c>
      <c r="E375" s="77"/>
      <c r="F375" s="77">
        <v>4.0000000000000001E-3</v>
      </c>
      <c r="G375" s="78">
        <v>15000000</v>
      </c>
      <c r="H375" s="79"/>
      <c r="I375" s="79"/>
      <c r="J375" s="79"/>
      <c r="K375" s="80">
        <v>1.5800000000000002E-2</v>
      </c>
      <c r="L375" s="80"/>
      <c r="M375" s="75" t="s">
        <v>143</v>
      </c>
      <c r="N375" s="75" t="b">
        <v>1</v>
      </c>
      <c r="O375" s="75" t="s">
        <v>144</v>
      </c>
      <c r="P375" s="75">
        <v>1994</v>
      </c>
      <c r="Q375" s="75">
        <v>2015</v>
      </c>
      <c r="R375" s="75">
        <v>1</v>
      </c>
      <c r="S375" s="81"/>
      <c r="T375" s="82"/>
      <c r="U375" s="83"/>
    </row>
    <row r="376" spans="1:21" s="84" customFormat="1" x14ac:dyDescent="0.3">
      <c r="A376" s="68">
        <v>39608</v>
      </c>
      <c r="B376" s="69">
        <f t="shared" si="6"/>
        <v>20080609</v>
      </c>
      <c r="C376" s="70">
        <v>4.1100000000000005E-2</v>
      </c>
      <c r="D376" s="77">
        <v>0</v>
      </c>
      <c r="E376" s="77"/>
      <c r="F376" s="77">
        <v>4.0000000000000001E-3</v>
      </c>
      <c r="G376" s="78">
        <v>15000000</v>
      </c>
      <c r="H376" s="79"/>
      <c r="I376" s="79"/>
      <c r="J376" s="79"/>
      <c r="K376" s="80">
        <v>1.5900000000000001E-2</v>
      </c>
      <c r="L376" s="80"/>
      <c r="M376" s="75" t="s">
        <v>143</v>
      </c>
      <c r="N376" s="75" t="b">
        <v>1</v>
      </c>
      <c r="O376" s="75" t="s">
        <v>144</v>
      </c>
      <c r="P376" s="75">
        <v>1994</v>
      </c>
      <c r="Q376" s="75">
        <v>2015</v>
      </c>
      <c r="R376" s="75">
        <v>1</v>
      </c>
      <c r="S376" s="81"/>
      <c r="T376" s="82"/>
      <c r="U376" s="83"/>
    </row>
    <row r="377" spans="1:21" s="84" customFormat="1" x14ac:dyDescent="0.3">
      <c r="A377" s="68">
        <v>39609</v>
      </c>
      <c r="B377" s="69">
        <f t="shared" si="6"/>
        <v>20080610</v>
      </c>
      <c r="C377" s="70">
        <v>4.1799999999999997E-2</v>
      </c>
      <c r="D377" s="77">
        <v>0</v>
      </c>
      <c r="E377" s="77"/>
      <c r="F377" s="77">
        <v>4.0000000000000001E-3</v>
      </c>
      <c r="G377" s="78">
        <v>15000000</v>
      </c>
      <c r="H377" s="79"/>
      <c r="I377" s="79"/>
      <c r="J377" s="79"/>
      <c r="K377" s="80">
        <v>1.6500000000000001E-2</v>
      </c>
      <c r="L377" s="80"/>
      <c r="M377" s="75" t="s">
        <v>143</v>
      </c>
      <c r="N377" s="75" t="b">
        <v>1</v>
      </c>
      <c r="O377" s="75" t="s">
        <v>144</v>
      </c>
      <c r="P377" s="75">
        <v>1994</v>
      </c>
      <c r="Q377" s="75">
        <v>2015</v>
      </c>
      <c r="R377" s="75">
        <v>1</v>
      </c>
      <c r="S377" s="81"/>
      <c r="T377" s="82"/>
      <c r="U377" s="83"/>
    </row>
    <row r="378" spans="1:21" s="84" customFormat="1" x14ac:dyDescent="0.3">
      <c r="A378" s="68">
        <v>39610</v>
      </c>
      <c r="B378" s="69">
        <f t="shared" si="6"/>
        <v>20080611</v>
      </c>
      <c r="C378" s="70">
        <v>4.1700000000000001E-2</v>
      </c>
      <c r="D378" s="77">
        <v>0</v>
      </c>
      <c r="E378" s="77"/>
      <c r="F378" s="77">
        <v>4.0000000000000001E-3</v>
      </c>
      <c r="G378" s="78">
        <v>15000000</v>
      </c>
      <c r="H378" s="79"/>
      <c r="I378" s="79"/>
      <c r="J378" s="79"/>
      <c r="K378" s="80">
        <v>1.6399999999999998E-2</v>
      </c>
      <c r="L378" s="80"/>
      <c r="M378" s="75" t="s">
        <v>143</v>
      </c>
      <c r="N378" s="75" t="b">
        <v>1</v>
      </c>
      <c r="O378" s="75" t="s">
        <v>144</v>
      </c>
      <c r="P378" s="75">
        <v>1994</v>
      </c>
      <c r="Q378" s="75">
        <v>2015</v>
      </c>
      <c r="R378" s="75">
        <v>1</v>
      </c>
      <c r="S378" s="81"/>
      <c r="T378" s="82"/>
      <c r="U378" s="83"/>
    </row>
    <row r="379" spans="1:21" s="84" customFormat="1" x14ac:dyDescent="0.3">
      <c r="A379" s="68">
        <v>39611</v>
      </c>
      <c r="B379" s="69">
        <f t="shared" si="6"/>
        <v>20080612</v>
      </c>
      <c r="C379" s="70">
        <v>4.2099999999999999E-2</v>
      </c>
      <c r="D379" s="77">
        <v>0</v>
      </c>
      <c r="E379" s="77"/>
      <c r="F379" s="77">
        <v>4.0000000000000001E-3</v>
      </c>
      <c r="G379" s="78">
        <v>15000000</v>
      </c>
      <c r="H379" s="79"/>
      <c r="I379" s="79"/>
      <c r="J379" s="79"/>
      <c r="K379" s="80">
        <v>1.66E-2</v>
      </c>
      <c r="L379" s="80"/>
      <c r="M379" s="75" t="s">
        <v>143</v>
      </c>
      <c r="N379" s="75" t="b">
        <v>1</v>
      </c>
      <c r="O379" s="75" t="s">
        <v>144</v>
      </c>
      <c r="P379" s="75">
        <v>1994</v>
      </c>
      <c r="Q379" s="75">
        <v>2015</v>
      </c>
      <c r="R379" s="75">
        <v>1</v>
      </c>
      <c r="S379" s="81"/>
      <c r="T379" s="82"/>
      <c r="U379" s="83"/>
    </row>
    <row r="380" spans="1:21" s="84" customFormat="1" x14ac:dyDescent="0.3">
      <c r="A380" s="68">
        <v>39612</v>
      </c>
      <c r="B380" s="69">
        <f t="shared" si="6"/>
        <v>20080613</v>
      </c>
      <c r="C380" s="70">
        <v>4.2300000000000004E-2</v>
      </c>
      <c r="D380" s="77">
        <v>0</v>
      </c>
      <c r="E380" s="77"/>
      <c r="F380" s="77">
        <v>4.0000000000000001E-3</v>
      </c>
      <c r="G380" s="78">
        <v>15000000</v>
      </c>
      <c r="H380" s="79"/>
      <c r="I380" s="79"/>
      <c r="J380" s="79"/>
      <c r="K380" s="80">
        <v>1.66E-2</v>
      </c>
      <c r="L380" s="80"/>
      <c r="M380" s="75" t="s">
        <v>143</v>
      </c>
      <c r="N380" s="75" t="b">
        <v>1</v>
      </c>
      <c r="O380" s="75" t="s">
        <v>144</v>
      </c>
      <c r="P380" s="75">
        <v>1994</v>
      </c>
      <c r="Q380" s="75">
        <v>2015</v>
      </c>
      <c r="R380" s="75">
        <v>1</v>
      </c>
      <c r="S380" s="81"/>
      <c r="T380" s="82"/>
      <c r="U380" s="83"/>
    </row>
    <row r="381" spans="1:21" s="84" customFormat="1" x14ac:dyDescent="0.3">
      <c r="A381" s="68">
        <v>39615</v>
      </c>
      <c r="B381" s="69">
        <f t="shared" si="6"/>
        <v>20080616</v>
      </c>
      <c r="C381" s="70">
        <v>4.2099999999999999E-2</v>
      </c>
      <c r="D381" s="77">
        <v>0</v>
      </c>
      <c r="E381" s="77"/>
      <c r="F381" s="77">
        <v>4.0000000000000001E-3</v>
      </c>
      <c r="G381" s="78">
        <v>15000000</v>
      </c>
      <c r="H381" s="79"/>
      <c r="I381" s="79"/>
      <c r="J381" s="79"/>
      <c r="K381" s="80">
        <v>1.6299999999999999E-2</v>
      </c>
      <c r="L381" s="80"/>
      <c r="M381" s="75" t="s">
        <v>143</v>
      </c>
      <c r="N381" s="75" t="b">
        <v>1</v>
      </c>
      <c r="O381" s="75" t="s">
        <v>144</v>
      </c>
      <c r="P381" s="75">
        <v>1994</v>
      </c>
      <c r="Q381" s="75">
        <v>2015</v>
      </c>
      <c r="R381" s="75">
        <v>1</v>
      </c>
      <c r="S381" s="81"/>
      <c r="T381" s="82"/>
      <c r="U381" s="83"/>
    </row>
    <row r="382" spans="1:21" s="84" customFormat="1" x14ac:dyDescent="0.3">
      <c r="A382" s="68">
        <v>39616</v>
      </c>
      <c r="B382" s="69">
        <f t="shared" si="6"/>
        <v>20080617</v>
      </c>
      <c r="C382" s="70">
        <v>4.1900000000000007E-2</v>
      </c>
      <c r="D382" s="77">
        <v>0</v>
      </c>
      <c r="E382" s="77"/>
      <c r="F382" s="77">
        <v>4.0000000000000001E-3</v>
      </c>
      <c r="G382" s="78">
        <v>15000000</v>
      </c>
      <c r="H382" s="79"/>
      <c r="I382" s="79"/>
      <c r="J382" s="79"/>
      <c r="K382" s="80">
        <v>1.6E-2</v>
      </c>
      <c r="L382" s="80"/>
      <c r="M382" s="75" t="s">
        <v>143</v>
      </c>
      <c r="N382" s="75" t="b">
        <v>1</v>
      </c>
      <c r="O382" s="75" t="s">
        <v>144</v>
      </c>
      <c r="P382" s="75">
        <v>1994</v>
      </c>
      <c r="Q382" s="75">
        <v>2015</v>
      </c>
      <c r="R382" s="75">
        <v>1</v>
      </c>
      <c r="S382" s="81"/>
      <c r="T382" s="82"/>
      <c r="U382" s="83"/>
    </row>
    <row r="383" spans="1:21" s="84" customFormat="1" x14ac:dyDescent="0.3">
      <c r="A383" s="68">
        <v>39617</v>
      </c>
      <c r="B383" s="69">
        <f t="shared" si="6"/>
        <v>20080618</v>
      </c>
      <c r="C383" s="70">
        <v>4.1700000000000001E-2</v>
      </c>
      <c r="D383" s="77">
        <v>0</v>
      </c>
      <c r="E383" s="77"/>
      <c r="F383" s="77">
        <v>4.0000000000000001E-3</v>
      </c>
      <c r="G383" s="78">
        <v>15000000</v>
      </c>
      <c r="H383" s="79"/>
      <c r="I383" s="79"/>
      <c r="J383" s="79"/>
      <c r="K383" s="80">
        <v>1.5600000000000001E-2</v>
      </c>
      <c r="L383" s="80"/>
      <c r="M383" s="75" t="s">
        <v>143</v>
      </c>
      <c r="N383" s="75" t="b">
        <v>1</v>
      </c>
      <c r="O383" s="75" t="s">
        <v>144</v>
      </c>
      <c r="P383" s="75">
        <v>1994</v>
      </c>
      <c r="Q383" s="75">
        <v>2015</v>
      </c>
      <c r="R383" s="75">
        <v>1</v>
      </c>
      <c r="S383" s="81"/>
      <c r="T383" s="82"/>
      <c r="U383" s="83"/>
    </row>
    <row r="384" spans="1:21" s="84" customFormat="1" x14ac:dyDescent="0.3">
      <c r="A384" s="68">
        <v>39618</v>
      </c>
      <c r="B384" s="69">
        <f t="shared" si="6"/>
        <v>20080619</v>
      </c>
      <c r="C384" s="70">
        <v>4.2000000000000003E-2</v>
      </c>
      <c r="D384" s="77">
        <v>0</v>
      </c>
      <c r="E384" s="77"/>
      <c r="F384" s="77">
        <v>4.0000000000000001E-3</v>
      </c>
      <c r="G384" s="78">
        <v>15000000</v>
      </c>
      <c r="H384" s="79"/>
      <c r="I384" s="79"/>
      <c r="J384" s="79"/>
      <c r="K384" s="80">
        <v>1.55E-2</v>
      </c>
      <c r="L384" s="80"/>
      <c r="M384" s="75" t="s">
        <v>143</v>
      </c>
      <c r="N384" s="75" t="b">
        <v>1</v>
      </c>
      <c r="O384" s="75" t="s">
        <v>144</v>
      </c>
      <c r="P384" s="75">
        <v>1994</v>
      </c>
      <c r="Q384" s="75">
        <v>2015</v>
      </c>
      <c r="R384" s="75">
        <v>1</v>
      </c>
      <c r="S384" s="81"/>
      <c r="T384" s="82"/>
      <c r="U384" s="83"/>
    </row>
    <row r="385" spans="1:21" s="84" customFormat="1" x14ac:dyDescent="0.3">
      <c r="A385" s="68">
        <v>39619</v>
      </c>
      <c r="B385" s="69">
        <f t="shared" si="6"/>
        <v>20080620</v>
      </c>
      <c r="C385" s="70">
        <v>4.1700000000000001E-2</v>
      </c>
      <c r="D385" s="77">
        <v>0</v>
      </c>
      <c r="E385" s="77"/>
      <c r="F385" s="77">
        <v>4.0000000000000001E-3</v>
      </c>
      <c r="G385" s="78">
        <v>15000000</v>
      </c>
      <c r="H385" s="79"/>
      <c r="I385" s="79"/>
      <c r="J385" s="79"/>
      <c r="K385" s="80">
        <v>1.5300000000000001E-2</v>
      </c>
      <c r="L385" s="80"/>
      <c r="M385" s="75" t="s">
        <v>143</v>
      </c>
      <c r="N385" s="75" t="b">
        <v>1</v>
      </c>
      <c r="O385" s="75" t="s">
        <v>144</v>
      </c>
      <c r="P385" s="75">
        <v>1994</v>
      </c>
      <c r="Q385" s="75">
        <v>2015</v>
      </c>
      <c r="R385" s="75">
        <v>1</v>
      </c>
      <c r="S385" s="81"/>
      <c r="T385" s="82"/>
      <c r="U385" s="83"/>
    </row>
    <row r="386" spans="1:21" s="84" customFormat="1" x14ac:dyDescent="0.3">
      <c r="A386" s="68">
        <v>39622</v>
      </c>
      <c r="B386" s="69">
        <f t="shared" si="6"/>
        <v>20080623</v>
      </c>
      <c r="C386" s="70">
        <v>4.1399999999999999E-2</v>
      </c>
      <c r="D386" s="77">
        <v>0</v>
      </c>
      <c r="E386" s="77"/>
      <c r="F386" s="77">
        <v>4.0000000000000001E-3</v>
      </c>
      <c r="G386" s="78">
        <v>15000000</v>
      </c>
      <c r="H386" s="79"/>
      <c r="I386" s="79"/>
      <c r="J386" s="79"/>
      <c r="K386" s="80">
        <v>1.5100000000000001E-2</v>
      </c>
      <c r="L386" s="80"/>
      <c r="M386" s="75" t="s">
        <v>143</v>
      </c>
      <c r="N386" s="75" t="b">
        <v>1</v>
      </c>
      <c r="O386" s="75" t="s">
        <v>144</v>
      </c>
      <c r="P386" s="75">
        <v>1994</v>
      </c>
      <c r="Q386" s="75">
        <v>2015</v>
      </c>
      <c r="R386" s="75">
        <v>1</v>
      </c>
      <c r="S386" s="81"/>
      <c r="T386" s="82"/>
      <c r="U386" s="83"/>
    </row>
    <row r="387" spans="1:21" s="84" customFormat="1" x14ac:dyDescent="0.3">
      <c r="A387" s="68">
        <v>39623</v>
      </c>
      <c r="B387" s="69">
        <f t="shared" si="6"/>
        <v>20080624</v>
      </c>
      <c r="C387" s="70">
        <v>4.07E-2</v>
      </c>
      <c r="D387" s="77">
        <v>0</v>
      </c>
      <c r="E387" s="77"/>
      <c r="F387" s="77">
        <v>4.0000000000000001E-3</v>
      </c>
      <c r="G387" s="78">
        <v>15000000</v>
      </c>
      <c r="H387" s="79"/>
      <c r="I387" s="79"/>
      <c r="J387" s="79"/>
      <c r="K387" s="80">
        <v>1.43E-2</v>
      </c>
      <c r="L387" s="80"/>
      <c r="M387" s="75" t="s">
        <v>143</v>
      </c>
      <c r="N387" s="75" t="b">
        <v>1</v>
      </c>
      <c r="O387" s="75" t="s">
        <v>144</v>
      </c>
      <c r="P387" s="75">
        <v>1994</v>
      </c>
      <c r="Q387" s="75">
        <v>2015</v>
      </c>
      <c r="R387" s="75">
        <v>1</v>
      </c>
      <c r="S387" s="81"/>
      <c r="T387" s="82"/>
      <c r="U387" s="83"/>
    </row>
    <row r="388" spans="1:21" s="84" customFormat="1" x14ac:dyDescent="0.3">
      <c r="A388" s="68">
        <v>39624</v>
      </c>
      <c r="B388" s="69">
        <f t="shared" si="6"/>
        <v>20080625</v>
      </c>
      <c r="C388" s="70">
        <v>4.07E-2</v>
      </c>
      <c r="D388" s="77">
        <v>0</v>
      </c>
      <c r="E388" s="77"/>
      <c r="F388" s="77">
        <v>4.0000000000000001E-3</v>
      </c>
      <c r="G388" s="78">
        <v>15000000</v>
      </c>
      <c r="H388" s="79"/>
      <c r="I388" s="79"/>
      <c r="J388" s="79"/>
      <c r="K388" s="80">
        <v>1.4499999999999999E-2</v>
      </c>
      <c r="L388" s="80"/>
      <c r="M388" s="75" t="s">
        <v>143</v>
      </c>
      <c r="N388" s="75" t="b">
        <v>1</v>
      </c>
      <c r="O388" s="75" t="s">
        <v>144</v>
      </c>
      <c r="P388" s="75">
        <v>1994</v>
      </c>
      <c r="Q388" s="75">
        <v>2015</v>
      </c>
      <c r="R388" s="75">
        <v>1</v>
      </c>
      <c r="S388" s="81"/>
      <c r="T388" s="82"/>
      <c r="U388" s="83"/>
    </row>
    <row r="389" spans="1:21" s="84" customFormat="1" x14ac:dyDescent="0.3">
      <c r="A389" s="68">
        <v>39625</v>
      </c>
      <c r="B389" s="69">
        <f t="shared" si="6"/>
        <v>20080626</v>
      </c>
      <c r="C389" s="70">
        <v>4.0899999999999999E-2</v>
      </c>
      <c r="D389" s="77">
        <v>0</v>
      </c>
      <c r="E389" s="77"/>
      <c r="F389" s="77">
        <v>4.0000000000000001E-3</v>
      </c>
      <c r="G389" s="78">
        <v>15000000</v>
      </c>
      <c r="H389" s="79"/>
      <c r="I389" s="79"/>
      <c r="J389" s="79"/>
      <c r="K389" s="80">
        <v>1.47E-2</v>
      </c>
      <c r="L389" s="80"/>
      <c r="M389" s="75" t="s">
        <v>143</v>
      </c>
      <c r="N389" s="75" t="b">
        <v>1</v>
      </c>
      <c r="O389" s="75" t="s">
        <v>144</v>
      </c>
      <c r="P389" s="75">
        <v>1994</v>
      </c>
      <c r="Q389" s="75">
        <v>2015</v>
      </c>
      <c r="R389" s="75">
        <v>1</v>
      </c>
      <c r="S389" s="81"/>
      <c r="T389" s="82"/>
      <c r="U389" s="83"/>
    </row>
    <row r="390" spans="1:21" s="84" customFormat="1" x14ac:dyDescent="0.3">
      <c r="A390" s="68">
        <v>39626</v>
      </c>
      <c r="B390" s="69">
        <f t="shared" si="6"/>
        <v>20080627</v>
      </c>
      <c r="C390" s="70">
        <v>4.0800000000000003E-2</v>
      </c>
      <c r="D390" s="77">
        <v>0</v>
      </c>
      <c r="E390" s="77"/>
      <c r="F390" s="77">
        <v>4.0000000000000001E-3</v>
      </c>
      <c r="G390" s="78">
        <v>15000000</v>
      </c>
      <c r="H390" s="79"/>
      <c r="I390" s="79"/>
      <c r="J390" s="79"/>
      <c r="K390" s="80">
        <v>1.46E-2</v>
      </c>
      <c r="L390" s="80"/>
      <c r="M390" s="75" t="s">
        <v>143</v>
      </c>
      <c r="N390" s="75" t="b">
        <v>1</v>
      </c>
      <c r="O390" s="75" t="s">
        <v>144</v>
      </c>
      <c r="P390" s="75">
        <v>1994</v>
      </c>
      <c r="Q390" s="75">
        <v>2015</v>
      </c>
      <c r="R390" s="75">
        <v>1</v>
      </c>
      <c r="S390" s="81"/>
      <c r="T390" s="82"/>
      <c r="U390" s="83"/>
    </row>
    <row r="391" spans="1:21" s="84" customFormat="1" x14ac:dyDescent="0.3">
      <c r="A391" s="68">
        <v>39629</v>
      </c>
      <c r="B391" s="69">
        <f t="shared" si="6"/>
        <v>20080630</v>
      </c>
      <c r="C391" s="70">
        <v>4.0999999999999995E-2</v>
      </c>
      <c r="D391" s="77">
        <v>0</v>
      </c>
      <c r="E391" s="77"/>
      <c r="F391" s="77">
        <v>4.0000000000000001E-3</v>
      </c>
      <c r="G391" s="78">
        <v>15000000</v>
      </c>
      <c r="H391" s="79"/>
      <c r="I391" s="79"/>
      <c r="J391" s="79"/>
      <c r="K391" s="80">
        <v>1.47E-2</v>
      </c>
      <c r="L391" s="80"/>
      <c r="M391" s="75" t="s">
        <v>143</v>
      </c>
      <c r="N391" s="75" t="b">
        <v>1</v>
      </c>
      <c r="O391" s="75" t="s">
        <v>144</v>
      </c>
      <c r="P391" s="75">
        <v>1994</v>
      </c>
      <c r="Q391" s="75">
        <v>2015</v>
      </c>
      <c r="R391" s="75">
        <v>1</v>
      </c>
      <c r="S391" s="81"/>
      <c r="T391" s="82"/>
      <c r="U391" s="83"/>
    </row>
    <row r="392" spans="1:21" s="84" customFormat="1" x14ac:dyDescent="0.3">
      <c r="A392" s="68">
        <v>39631</v>
      </c>
      <c r="B392" s="69">
        <f t="shared" si="6"/>
        <v>20080702</v>
      </c>
      <c r="C392" s="70">
        <v>4.0899999999999999E-2</v>
      </c>
      <c r="D392" s="77">
        <v>0</v>
      </c>
      <c r="E392" s="77"/>
      <c r="F392" s="77">
        <v>4.0000000000000001E-3</v>
      </c>
      <c r="G392" s="78">
        <v>15000000</v>
      </c>
      <c r="H392" s="79"/>
      <c r="I392" s="79"/>
      <c r="J392" s="79"/>
      <c r="K392" s="80">
        <v>1.4499999999999999E-2</v>
      </c>
      <c r="L392" s="80"/>
      <c r="M392" s="75" t="s">
        <v>143</v>
      </c>
      <c r="N392" s="75" t="b">
        <v>1</v>
      </c>
      <c r="O392" s="75" t="s">
        <v>144</v>
      </c>
      <c r="P392" s="75">
        <v>1994</v>
      </c>
      <c r="Q392" s="75">
        <v>2015</v>
      </c>
      <c r="R392" s="75">
        <v>1</v>
      </c>
      <c r="S392" s="81"/>
      <c r="T392" s="82"/>
      <c r="U392" s="83"/>
    </row>
    <row r="393" spans="1:21" s="84" customFormat="1" x14ac:dyDescent="0.3">
      <c r="A393" s="68">
        <v>39632</v>
      </c>
      <c r="B393" s="69">
        <f t="shared" si="6"/>
        <v>20080703</v>
      </c>
      <c r="C393" s="70">
        <v>4.0899999999999999E-2</v>
      </c>
      <c r="D393" s="77">
        <v>0</v>
      </c>
      <c r="E393" s="77"/>
      <c r="F393" s="77">
        <v>4.0000000000000001E-3</v>
      </c>
      <c r="G393" s="78">
        <v>15000000</v>
      </c>
      <c r="H393" s="79"/>
      <c r="I393" s="79"/>
      <c r="J393" s="79"/>
      <c r="K393" s="80">
        <v>1.44E-2</v>
      </c>
      <c r="L393" s="80"/>
      <c r="M393" s="75" t="s">
        <v>143</v>
      </c>
      <c r="N393" s="75" t="b">
        <v>1</v>
      </c>
      <c r="O393" s="75" t="s">
        <v>144</v>
      </c>
      <c r="P393" s="75">
        <v>1994</v>
      </c>
      <c r="Q393" s="75">
        <v>2015</v>
      </c>
      <c r="R393" s="75">
        <v>1</v>
      </c>
      <c r="S393" s="81"/>
      <c r="T393" s="82"/>
      <c r="U393" s="83"/>
    </row>
    <row r="394" spans="1:21" s="84" customFormat="1" x14ac:dyDescent="0.3">
      <c r="A394" s="68">
        <v>39633</v>
      </c>
      <c r="B394" s="69">
        <f t="shared" ref="B394:B457" si="7">YEAR(A394)*10000+MONTH(A394)*100+DAY(A394)</f>
        <v>20080704</v>
      </c>
      <c r="C394" s="70">
        <v>4.07E-2</v>
      </c>
      <c r="D394" s="77">
        <v>0</v>
      </c>
      <c r="E394" s="77"/>
      <c r="F394" s="77">
        <v>4.0000000000000001E-3</v>
      </c>
      <c r="G394" s="78">
        <v>15000000</v>
      </c>
      <c r="H394" s="79"/>
      <c r="I394" s="79"/>
      <c r="J394" s="79"/>
      <c r="K394" s="80">
        <v>1.4199999999999999E-2</v>
      </c>
      <c r="L394" s="80"/>
      <c r="M394" s="75" t="s">
        <v>143</v>
      </c>
      <c r="N394" s="75" t="b">
        <v>1</v>
      </c>
      <c r="O394" s="75" t="s">
        <v>144</v>
      </c>
      <c r="P394" s="75">
        <v>1994</v>
      </c>
      <c r="Q394" s="75">
        <v>2015</v>
      </c>
      <c r="R394" s="75">
        <v>1</v>
      </c>
      <c r="S394" s="81"/>
      <c r="T394" s="82"/>
      <c r="U394" s="83"/>
    </row>
    <row r="395" spans="1:21" s="84" customFormat="1" x14ac:dyDescent="0.3">
      <c r="A395" s="68">
        <v>39636</v>
      </c>
      <c r="B395" s="69">
        <f t="shared" si="7"/>
        <v>20080707</v>
      </c>
      <c r="C395" s="70">
        <v>4.0500000000000001E-2</v>
      </c>
      <c r="D395" s="77">
        <v>0</v>
      </c>
      <c r="E395" s="77"/>
      <c r="F395" s="77">
        <v>4.0000000000000001E-3</v>
      </c>
      <c r="G395" s="78">
        <v>15000000</v>
      </c>
      <c r="H395" s="79"/>
      <c r="I395" s="79"/>
      <c r="J395" s="79"/>
      <c r="K395" s="80">
        <v>1.41E-2</v>
      </c>
      <c r="L395" s="80"/>
      <c r="M395" s="75" t="s">
        <v>143</v>
      </c>
      <c r="N395" s="75" t="b">
        <v>1</v>
      </c>
      <c r="O395" s="75" t="s">
        <v>144</v>
      </c>
      <c r="P395" s="75">
        <v>1994</v>
      </c>
      <c r="Q395" s="75">
        <v>2015</v>
      </c>
      <c r="R395" s="75">
        <v>1</v>
      </c>
      <c r="S395" s="81"/>
      <c r="T395" s="82"/>
      <c r="U395" s="83"/>
    </row>
    <row r="396" spans="1:21" s="84" customFormat="1" x14ac:dyDescent="0.3">
      <c r="A396" s="68">
        <v>39637</v>
      </c>
      <c r="B396" s="69">
        <f t="shared" si="7"/>
        <v>20080708</v>
      </c>
      <c r="C396" s="70">
        <v>4.0599999999999997E-2</v>
      </c>
      <c r="D396" s="77">
        <v>0</v>
      </c>
      <c r="E396" s="77"/>
      <c r="F396" s="77">
        <v>4.0000000000000001E-3</v>
      </c>
      <c r="G396" s="78">
        <v>15000000</v>
      </c>
      <c r="H396" s="79"/>
      <c r="I396" s="79"/>
      <c r="J396" s="79"/>
      <c r="K396" s="80">
        <v>1.4800000000000001E-2</v>
      </c>
      <c r="L396" s="80"/>
      <c r="M396" s="75" t="s">
        <v>143</v>
      </c>
      <c r="N396" s="75" t="b">
        <v>1</v>
      </c>
      <c r="O396" s="75" t="s">
        <v>144</v>
      </c>
      <c r="P396" s="75">
        <v>1994</v>
      </c>
      <c r="Q396" s="75">
        <v>2015</v>
      </c>
      <c r="R396" s="75">
        <v>1</v>
      </c>
      <c r="S396" s="81"/>
      <c r="T396" s="82"/>
      <c r="U396" s="83"/>
    </row>
    <row r="397" spans="1:21" s="84" customFormat="1" x14ac:dyDescent="0.3">
      <c r="A397" s="68">
        <v>39638</v>
      </c>
      <c r="B397" s="69">
        <f t="shared" si="7"/>
        <v>20080709</v>
      </c>
      <c r="C397" s="70">
        <v>4.07E-2</v>
      </c>
      <c r="D397" s="77">
        <v>0</v>
      </c>
      <c r="E397" s="77"/>
      <c r="F397" s="77">
        <v>4.0000000000000001E-3</v>
      </c>
      <c r="G397" s="78">
        <v>15000000</v>
      </c>
      <c r="H397" s="79"/>
      <c r="I397" s="79"/>
      <c r="J397" s="79"/>
      <c r="K397" s="80">
        <v>1.49E-2</v>
      </c>
      <c r="L397" s="80"/>
      <c r="M397" s="75" t="s">
        <v>143</v>
      </c>
      <c r="N397" s="75" t="b">
        <v>1</v>
      </c>
      <c r="O397" s="75" t="s">
        <v>144</v>
      </c>
      <c r="P397" s="75">
        <v>1994</v>
      </c>
      <c r="Q397" s="75">
        <v>2015</v>
      </c>
      <c r="R397" s="75">
        <v>1</v>
      </c>
      <c r="S397" s="81"/>
      <c r="T397" s="82"/>
      <c r="U397" s="83"/>
    </row>
    <row r="398" spans="1:21" s="84" customFormat="1" x14ac:dyDescent="0.3">
      <c r="A398" s="68">
        <v>39639</v>
      </c>
      <c r="B398" s="69">
        <f t="shared" si="7"/>
        <v>20080710</v>
      </c>
      <c r="C398" s="70">
        <v>4.07E-2</v>
      </c>
      <c r="D398" s="77">
        <v>0</v>
      </c>
      <c r="E398" s="77"/>
      <c r="F398" s="77">
        <v>4.0000000000000001E-3</v>
      </c>
      <c r="G398" s="78">
        <v>15000000</v>
      </c>
      <c r="H398" s="79"/>
      <c r="I398" s="79"/>
      <c r="J398" s="79"/>
      <c r="K398" s="80">
        <v>1.49E-2</v>
      </c>
      <c r="L398" s="80"/>
      <c r="M398" s="75" t="s">
        <v>143</v>
      </c>
      <c r="N398" s="75" t="b">
        <v>1</v>
      </c>
      <c r="O398" s="75" t="s">
        <v>144</v>
      </c>
      <c r="P398" s="75">
        <v>1994</v>
      </c>
      <c r="Q398" s="75">
        <v>2015</v>
      </c>
      <c r="R398" s="75">
        <v>1</v>
      </c>
      <c r="S398" s="81"/>
      <c r="T398" s="82"/>
      <c r="U398" s="83"/>
    </row>
    <row r="399" spans="1:21" s="84" customFormat="1" x14ac:dyDescent="0.3">
      <c r="A399" s="68">
        <v>39640</v>
      </c>
      <c r="B399" s="69">
        <f t="shared" si="7"/>
        <v>20080711</v>
      </c>
      <c r="C399" s="70">
        <v>4.0999999999999995E-2</v>
      </c>
      <c r="D399" s="77">
        <v>0</v>
      </c>
      <c r="E399" s="77"/>
      <c r="F399" s="77">
        <v>4.0000000000000001E-3</v>
      </c>
      <c r="G399" s="78">
        <v>15000000</v>
      </c>
      <c r="H399" s="79"/>
      <c r="I399" s="79"/>
      <c r="J399" s="79"/>
      <c r="K399" s="80">
        <v>1.5100000000000001E-2</v>
      </c>
      <c r="L399" s="80"/>
      <c r="M399" s="75" t="s">
        <v>143</v>
      </c>
      <c r="N399" s="75" t="b">
        <v>1</v>
      </c>
      <c r="O399" s="75" t="s">
        <v>144</v>
      </c>
      <c r="P399" s="75">
        <v>1994</v>
      </c>
      <c r="Q399" s="75">
        <v>2015</v>
      </c>
      <c r="R399" s="75">
        <v>1</v>
      </c>
      <c r="S399" s="81"/>
      <c r="T399" s="82"/>
      <c r="U399" s="83"/>
    </row>
    <row r="400" spans="1:21" s="84" customFormat="1" x14ac:dyDescent="0.3">
      <c r="A400" s="68">
        <v>39643</v>
      </c>
      <c r="B400" s="69">
        <f t="shared" si="7"/>
        <v>20080714</v>
      </c>
      <c r="C400" s="70">
        <v>4.0599999999999997E-2</v>
      </c>
      <c r="D400" s="77">
        <v>0</v>
      </c>
      <c r="E400" s="77"/>
      <c r="F400" s="77">
        <v>4.0000000000000001E-3</v>
      </c>
      <c r="G400" s="78">
        <v>15000000</v>
      </c>
      <c r="H400" s="79"/>
      <c r="I400" s="79"/>
      <c r="J400" s="79"/>
      <c r="K400" s="80">
        <v>1.47E-2</v>
      </c>
      <c r="L400" s="80"/>
      <c r="M400" s="75" t="s">
        <v>143</v>
      </c>
      <c r="N400" s="75" t="b">
        <v>1</v>
      </c>
      <c r="O400" s="75" t="s">
        <v>144</v>
      </c>
      <c r="P400" s="75">
        <v>1994</v>
      </c>
      <c r="Q400" s="75">
        <v>2015</v>
      </c>
      <c r="R400" s="75">
        <v>1</v>
      </c>
      <c r="S400" s="81"/>
      <c r="T400" s="82"/>
      <c r="U400" s="83"/>
    </row>
    <row r="401" spans="1:21" s="84" customFormat="1" x14ac:dyDescent="0.3">
      <c r="A401" s="68">
        <v>39644</v>
      </c>
      <c r="B401" s="69">
        <f t="shared" si="7"/>
        <v>20080715</v>
      </c>
      <c r="C401" s="70">
        <v>4.07E-2</v>
      </c>
      <c r="D401" s="77">
        <v>0</v>
      </c>
      <c r="E401" s="77"/>
      <c r="F401" s="77">
        <v>4.0000000000000001E-3</v>
      </c>
      <c r="G401" s="78">
        <v>15000000</v>
      </c>
      <c r="H401" s="79"/>
      <c r="I401" s="79"/>
      <c r="J401" s="79"/>
      <c r="K401" s="80">
        <v>1.47E-2</v>
      </c>
      <c r="L401" s="80"/>
      <c r="M401" s="75" t="s">
        <v>143</v>
      </c>
      <c r="N401" s="75" t="b">
        <v>1</v>
      </c>
      <c r="O401" s="75" t="s">
        <v>144</v>
      </c>
      <c r="P401" s="75">
        <v>1994</v>
      </c>
      <c r="Q401" s="75">
        <v>2015</v>
      </c>
      <c r="R401" s="75">
        <v>1</v>
      </c>
      <c r="S401" s="81"/>
      <c r="T401" s="82"/>
      <c r="U401" s="83"/>
    </row>
    <row r="402" spans="1:21" s="84" customFormat="1" x14ac:dyDescent="0.3">
      <c r="A402" s="68">
        <v>39645</v>
      </c>
      <c r="B402" s="69">
        <f t="shared" si="7"/>
        <v>20080716</v>
      </c>
      <c r="C402" s="70">
        <v>4.1299999999999996E-2</v>
      </c>
      <c r="D402" s="77">
        <v>0</v>
      </c>
      <c r="E402" s="77"/>
      <c r="F402" s="77">
        <v>4.0000000000000001E-3</v>
      </c>
      <c r="G402" s="78">
        <v>15000000</v>
      </c>
      <c r="H402" s="79"/>
      <c r="I402" s="79"/>
      <c r="J402" s="79"/>
      <c r="K402" s="80">
        <v>1.5300000000000001E-2</v>
      </c>
      <c r="L402" s="80"/>
      <c r="M402" s="75" t="s">
        <v>143</v>
      </c>
      <c r="N402" s="75" t="b">
        <v>1</v>
      </c>
      <c r="O402" s="75" t="s">
        <v>144</v>
      </c>
      <c r="P402" s="75">
        <v>1994</v>
      </c>
      <c r="Q402" s="75">
        <v>2015</v>
      </c>
      <c r="R402" s="75">
        <v>1</v>
      </c>
      <c r="S402" s="81"/>
      <c r="T402" s="82"/>
      <c r="U402" s="83"/>
    </row>
    <row r="403" spans="1:21" s="84" customFormat="1" x14ac:dyDescent="0.3">
      <c r="A403" s="68">
        <v>39646</v>
      </c>
      <c r="B403" s="69">
        <f t="shared" si="7"/>
        <v>20080717</v>
      </c>
      <c r="C403" s="70">
        <v>4.1500000000000002E-2</v>
      </c>
      <c r="D403" s="77">
        <v>0</v>
      </c>
      <c r="E403" s="77"/>
      <c r="F403" s="77">
        <v>4.0000000000000001E-3</v>
      </c>
      <c r="G403" s="78">
        <v>15000000</v>
      </c>
      <c r="H403" s="79"/>
      <c r="I403" s="79"/>
      <c r="J403" s="79"/>
      <c r="K403" s="80">
        <v>1.54E-2</v>
      </c>
      <c r="L403" s="80"/>
      <c r="M403" s="75" t="s">
        <v>143</v>
      </c>
      <c r="N403" s="75" t="b">
        <v>1</v>
      </c>
      <c r="O403" s="75" t="s">
        <v>144</v>
      </c>
      <c r="P403" s="75">
        <v>1994</v>
      </c>
      <c r="Q403" s="75">
        <v>2015</v>
      </c>
      <c r="R403" s="75">
        <v>1</v>
      </c>
      <c r="S403" s="81"/>
      <c r="T403" s="82"/>
      <c r="U403" s="83"/>
    </row>
    <row r="404" spans="1:21" s="84" customFormat="1" x14ac:dyDescent="0.3">
      <c r="A404" s="68">
        <v>39647</v>
      </c>
      <c r="B404" s="69">
        <f t="shared" si="7"/>
        <v>20080718</v>
      </c>
      <c r="C404" s="70">
        <v>4.1700000000000001E-2</v>
      </c>
      <c r="D404" s="77">
        <v>0</v>
      </c>
      <c r="E404" s="77"/>
      <c r="F404" s="77">
        <v>4.0000000000000001E-3</v>
      </c>
      <c r="G404" s="78">
        <v>15000000</v>
      </c>
      <c r="H404" s="79"/>
      <c r="I404" s="79"/>
      <c r="J404" s="79"/>
      <c r="K404" s="80">
        <v>1.55E-2</v>
      </c>
      <c r="L404" s="80"/>
      <c r="M404" s="75" t="s">
        <v>143</v>
      </c>
      <c r="N404" s="75" t="b">
        <v>1</v>
      </c>
      <c r="O404" s="75" t="s">
        <v>144</v>
      </c>
      <c r="P404" s="75">
        <v>1994</v>
      </c>
      <c r="Q404" s="75">
        <v>2015</v>
      </c>
      <c r="R404" s="75">
        <v>1</v>
      </c>
      <c r="S404" s="81"/>
      <c r="T404" s="82"/>
      <c r="U404" s="83"/>
    </row>
    <row r="405" spans="1:21" s="84" customFormat="1" x14ac:dyDescent="0.3">
      <c r="A405" s="68">
        <v>39650</v>
      </c>
      <c r="B405" s="69">
        <f t="shared" si="7"/>
        <v>20080721</v>
      </c>
      <c r="C405" s="70">
        <v>4.1599999999999998E-2</v>
      </c>
      <c r="D405" s="77">
        <v>0</v>
      </c>
      <c r="E405" s="77"/>
      <c r="F405" s="77">
        <v>4.0000000000000001E-3</v>
      </c>
      <c r="G405" s="78">
        <v>15000000</v>
      </c>
      <c r="H405" s="79"/>
      <c r="I405" s="79"/>
      <c r="J405" s="79"/>
      <c r="K405" s="80">
        <v>1.5300000000000001E-2</v>
      </c>
      <c r="L405" s="80"/>
      <c r="M405" s="75" t="s">
        <v>143</v>
      </c>
      <c r="N405" s="75" t="b">
        <v>1</v>
      </c>
      <c r="O405" s="75" t="s">
        <v>144</v>
      </c>
      <c r="P405" s="75">
        <v>1994</v>
      </c>
      <c r="Q405" s="75">
        <v>2015</v>
      </c>
      <c r="R405" s="75">
        <v>1</v>
      </c>
      <c r="S405" s="81"/>
      <c r="T405" s="82"/>
      <c r="U405" s="83"/>
    </row>
    <row r="406" spans="1:21" s="84" customFormat="1" x14ac:dyDescent="0.3">
      <c r="A406" s="68">
        <v>39651</v>
      </c>
      <c r="B406" s="69">
        <f t="shared" si="7"/>
        <v>20080722</v>
      </c>
      <c r="C406" s="70">
        <v>4.1900000000000007E-2</v>
      </c>
      <c r="D406" s="77">
        <v>0</v>
      </c>
      <c r="E406" s="77"/>
      <c r="F406" s="77">
        <v>4.0000000000000001E-3</v>
      </c>
      <c r="G406" s="78">
        <v>15000000</v>
      </c>
      <c r="H406" s="79"/>
      <c r="I406" s="79"/>
      <c r="J406" s="79"/>
      <c r="K406" s="80">
        <v>1.5700000000000002E-2</v>
      </c>
      <c r="L406" s="80"/>
      <c r="M406" s="75" t="s">
        <v>143</v>
      </c>
      <c r="N406" s="75" t="b">
        <v>1</v>
      </c>
      <c r="O406" s="75" t="s">
        <v>144</v>
      </c>
      <c r="P406" s="75">
        <v>1994</v>
      </c>
      <c r="Q406" s="75">
        <v>2015</v>
      </c>
      <c r="R406" s="75">
        <v>1</v>
      </c>
      <c r="S406" s="81"/>
      <c r="T406" s="82"/>
      <c r="U406" s="83"/>
    </row>
    <row r="407" spans="1:21" s="84" customFormat="1" x14ac:dyDescent="0.3">
      <c r="A407" s="68">
        <v>39652</v>
      </c>
      <c r="B407" s="69">
        <f t="shared" si="7"/>
        <v>20080723</v>
      </c>
      <c r="C407" s="70">
        <v>4.1799999999999997E-2</v>
      </c>
      <c r="D407" s="77">
        <v>0</v>
      </c>
      <c r="E407" s="77"/>
      <c r="F407" s="77">
        <v>4.0000000000000001E-3</v>
      </c>
      <c r="G407" s="78">
        <v>15000000</v>
      </c>
      <c r="H407" s="79"/>
      <c r="I407" s="79"/>
      <c r="J407" s="79"/>
      <c r="K407" s="80">
        <v>1.5800000000000002E-2</v>
      </c>
      <c r="L407" s="80"/>
      <c r="M407" s="75" t="s">
        <v>143</v>
      </c>
      <c r="N407" s="75" t="b">
        <v>1</v>
      </c>
      <c r="O407" s="75" t="s">
        <v>144</v>
      </c>
      <c r="P407" s="75">
        <v>1994</v>
      </c>
      <c r="Q407" s="75">
        <v>2015</v>
      </c>
      <c r="R407" s="75">
        <v>1</v>
      </c>
      <c r="S407" s="81"/>
      <c r="T407" s="82"/>
      <c r="U407" s="83"/>
    </row>
    <row r="408" spans="1:21" s="84" customFormat="1" x14ac:dyDescent="0.3">
      <c r="A408" s="68">
        <v>39653</v>
      </c>
      <c r="B408" s="69">
        <f t="shared" si="7"/>
        <v>20080724</v>
      </c>
      <c r="C408" s="70">
        <v>4.1500000000000002E-2</v>
      </c>
      <c r="D408" s="77">
        <v>0</v>
      </c>
      <c r="E408" s="77"/>
      <c r="F408" s="77">
        <v>4.0000000000000001E-3</v>
      </c>
      <c r="G408" s="78">
        <v>15000000</v>
      </c>
      <c r="H408" s="79"/>
      <c r="I408" s="79"/>
      <c r="J408" s="79"/>
      <c r="K408" s="80">
        <v>1.5800000000000002E-2</v>
      </c>
      <c r="L408" s="80"/>
      <c r="M408" s="75" t="s">
        <v>143</v>
      </c>
      <c r="N408" s="75" t="b">
        <v>1</v>
      </c>
      <c r="O408" s="75" t="s">
        <v>144</v>
      </c>
      <c r="P408" s="75">
        <v>1994</v>
      </c>
      <c r="Q408" s="75">
        <v>2015</v>
      </c>
      <c r="R408" s="75">
        <v>1</v>
      </c>
      <c r="S408" s="81"/>
      <c r="T408" s="82"/>
      <c r="U408" s="83"/>
    </row>
    <row r="409" spans="1:21" s="84" customFormat="1" x14ac:dyDescent="0.3">
      <c r="A409" s="68">
        <v>39654</v>
      </c>
      <c r="B409" s="69">
        <f t="shared" si="7"/>
        <v>20080725</v>
      </c>
      <c r="C409" s="70">
        <v>4.1799999999999997E-2</v>
      </c>
      <c r="D409" s="77">
        <v>0</v>
      </c>
      <c r="E409" s="77"/>
      <c r="F409" s="77">
        <v>4.0000000000000001E-3</v>
      </c>
      <c r="G409" s="78">
        <v>15000000</v>
      </c>
      <c r="H409" s="79"/>
      <c r="I409" s="79"/>
      <c r="J409" s="79"/>
      <c r="K409" s="80">
        <v>1.61E-2</v>
      </c>
      <c r="L409" s="80"/>
      <c r="M409" s="75" t="s">
        <v>143</v>
      </c>
      <c r="N409" s="75" t="b">
        <v>1</v>
      </c>
      <c r="O409" s="75" t="s">
        <v>144</v>
      </c>
      <c r="P409" s="75">
        <v>1994</v>
      </c>
      <c r="Q409" s="75">
        <v>2015</v>
      </c>
      <c r="R409" s="75">
        <v>1</v>
      </c>
      <c r="S409" s="81"/>
      <c r="T409" s="82"/>
      <c r="U409" s="83"/>
    </row>
    <row r="410" spans="1:21" s="84" customFormat="1" x14ac:dyDescent="0.3">
      <c r="A410" s="68">
        <v>39657</v>
      </c>
      <c r="B410" s="69">
        <f t="shared" si="7"/>
        <v>20080728</v>
      </c>
      <c r="C410" s="70">
        <v>4.1399999999999999E-2</v>
      </c>
      <c r="D410" s="77">
        <v>0</v>
      </c>
      <c r="E410" s="77"/>
      <c r="F410" s="77">
        <v>4.0000000000000001E-3</v>
      </c>
      <c r="G410" s="78">
        <v>15000000</v>
      </c>
      <c r="H410" s="79"/>
      <c r="I410" s="79"/>
      <c r="J410" s="79"/>
      <c r="K410" s="80">
        <v>1.5900000000000001E-2</v>
      </c>
      <c r="L410" s="80"/>
      <c r="M410" s="75" t="s">
        <v>143</v>
      </c>
      <c r="N410" s="75" t="b">
        <v>1</v>
      </c>
      <c r="O410" s="75" t="s">
        <v>144</v>
      </c>
      <c r="P410" s="75">
        <v>1994</v>
      </c>
      <c r="Q410" s="75">
        <v>2015</v>
      </c>
      <c r="R410" s="75">
        <v>1</v>
      </c>
      <c r="S410" s="81"/>
      <c r="T410" s="82"/>
      <c r="U410" s="83"/>
    </row>
    <row r="411" spans="1:21" s="84" customFormat="1" x14ac:dyDescent="0.3">
      <c r="A411" s="68">
        <v>39658</v>
      </c>
      <c r="B411" s="69">
        <f t="shared" si="7"/>
        <v>20080729</v>
      </c>
      <c r="C411" s="70">
        <v>4.1599999999999998E-2</v>
      </c>
      <c r="D411" s="77">
        <v>0</v>
      </c>
      <c r="E411" s="77"/>
      <c r="F411" s="77">
        <v>4.0000000000000001E-3</v>
      </c>
      <c r="G411" s="78">
        <v>15000000</v>
      </c>
      <c r="H411" s="79"/>
      <c r="I411" s="79"/>
      <c r="J411" s="79"/>
      <c r="K411" s="80">
        <v>1.5900000000000001E-2</v>
      </c>
      <c r="L411" s="80"/>
      <c r="M411" s="75" t="s">
        <v>143</v>
      </c>
      <c r="N411" s="75" t="b">
        <v>1</v>
      </c>
      <c r="O411" s="75" t="s">
        <v>144</v>
      </c>
      <c r="P411" s="75">
        <v>1994</v>
      </c>
      <c r="Q411" s="75">
        <v>2015</v>
      </c>
      <c r="R411" s="75">
        <v>1</v>
      </c>
      <c r="S411" s="81"/>
      <c r="T411" s="82"/>
      <c r="U411" s="83"/>
    </row>
    <row r="412" spans="1:21" s="84" customFormat="1" x14ac:dyDescent="0.3">
      <c r="A412" s="68">
        <v>39659</v>
      </c>
      <c r="B412" s="69">
        <f t="shared" si="7"/>
        <v>20080730</v>
      </c>
      <c r="C412" s="70">
        <v>4.1799999999999997E-2</v>
      </c>
      <c r="D412" s="77">
        <v>0</v>
      </c>
      <c r="E412" s="77"/>
      <c r="F412" s="77">
        <v>4.0000000000000001E-3</v>
      </c>
      <c r="G412" s="78">
        <v>15000000</v>
      </c>
      <c r="H412" s="79"/>
      <c r="I412" s="79"/>
      <c r="J412" s="79"/>
      <c r="K412" s="80">
        <v>1.6E-2</v>
      </c>
      <c r="L412" s="80"/>
      <c r="M412" s="75" t="s">
        <v>143</v>
      </c>
      <c r="N412" s="75" t="b">
        <v>1</v>
      </c>
      <c r="O412" s="75" t="s">
        <v>144</v>
      </c>
      <c r="P412" s="75">
        <v>1994</v>
      </c>
      <c r="Q412" s="75">
        <v>2015</v>
      </c>
      <c r="R412" s="75">
        <v>1</v>
      </c>
      <c r="S412" s="81"/>
      <c r="T412" s="82"/>
      <c r="U412" s="83"/>
    </row>
    <row r="413" spans="1:21" s="84" customFormat="1" x14ac:dyDescent="0.3">
      <c r="A413" s="68">
        <v>39660</v>
      </c>
      <c r="B413" s="69">
        <f t="shared" si="7"/>
        <v>20080731</v>
      </c>
      <c r="C413" s="70">
        <v>4.1100000000000005E-2</v>
      </c>
      <c r="D413" s="77">
        <v>0</v>
      </c>
      <c r="E413" s="77"/>
      <c r="F413" s="77">
        <v>4.0000000000000001E-3</v>
      </c>
      <c r="G413" s="78">
        <v>15000000</v>
      </c>
      <c r="H413" s="79"/>
      <c r="I413" s="79"/>
      <c r="J413" s="79"/>
      <c r="K413" s="80">
        <v>1.54E-2</v>
      </c>
      <c r="L413" s="80"/>
      <c r="M413" s="75" t="s">
        <v>143</v>
      </c>
      <c r="N413" s="75" t="b">
        <v>1</v>
      </c>
      <c r="O413" s="75" t="s">
        <v>144</v>
      </c>
      <c r="P413" s="75">
        <v>1994</v>
      </c>
      <c r="Q413" s="75">
        <v>2015</v>
      </c>
      <c r="R413" s="75">
        <v>1</v>
      </c>
      <c r="S413" s="81"/>
      <c r="T413" s="82"/>
      <c r="U413" s="83"/>
    </row>
    <row r="414" spans="1:21" s="84" customFormat="1" x14ac:dyDescent="0.3">
      <c r="A414" s="68">
        <v>39661</v>
      </c>
      <c r="B414" s="69">
        <f t="shared" si="7"/>
        <v>20080801</v>
      </c>
      <c r="C414" s="70">
        <v>4.0800000000000003E-2</v>
      </c>
      <c r="D414" s="77">
        <v>0</v>
      </c>
      <c r="E414" s="77"/>
      <c r="F414" s="77">
        <v>4.0000000000000001E-3</v>
      </c>
      <c r="G414" s="78">
        <v>15000000</v>
      </c>
      <c r="H414" s="79"/>
      <c r="I414" s="79"/>
      <c r="J414" s="79"/>
      <c r="K414" s="80">
        <v>1.4999999999999999E-2</v>
      </c>
      <c r="L414" s="80"/>
      <c r="M414" s="75" t="s">
        <v>143</v>
      </c>
      <c r="N414" s="75" t="b">
        <v>1</v>
      </c>
      <c r="O414" s="75" t="s">
        <v>144</v>
      </c>
      <c r="P414" s="75">
        <v>1994</v>
      </c>
      <c r="Q414" s="75">
        <v>2015</v>
      </c>
      <c r="R414" s="75">
        <v>1</v>
      </c>
      <c r="S414" s="81"/>
      <c r="T414" s="82"/>
      <c r="U414" s="83"/>
    </row>
    <row r="415" spans="1:21" s="84" customFormat="1" x14ac:dyDescent="0.3">
      <c r="A415" s="68">
        <v>39665</v>
      </c>
      <c r="B415" s="69">
        <f t="shared" si="7"/>
        <v>20080805</v>
      </c>
      <c r="C415" s="70">
        <v>4.1100000000000005E-2</v>
      </c>
      <c r="D415" s="77">
        <v>0</v>
      </c>
      <c r="E415" s="77"/>
      <c r="F415" s="77">
        <v>4.0000000000000001E-3</v>
      </c>
      <c r="G415" s="78">
        <v>15000000</v>
      </c>
      <c r="H415" s="79"/>
      <c r="I415" s="79"/>
      <c r="J415" s="79"/>
      <c r="K415" s="80">
        <v>1.55E-2</v>
      </c>
      <c r="L415" s="80"/>
      <c r="M415" s="75" t="s">
        <v>143</v>
      </c>
      <c r="N415" s="75" t="b">
        <v>1</v>
      </c>
      <c r="O415" s="75" t="s">
        <v>144</v>
      </c>
      <c r="P415" s="75">
        <v>1994</v>
      </c>
      <c r="Q415" s="75">
        <v>2015</v>
      </c>
      <c r="R415" s="75">
        <v>1</v>
      </c>
      <c r="S415" s="81"/>
      <c r="T415" s="82"/>
      <c r="U415" s="83"/>
    </row>
    <row r="416" spans="1:21" s="84" customFormat="1" x14ac:dyDescent="0.3">
      <c r="A416" s="68">
        <v>39666</v>
      </c>
      <c r="B416" s="69">
        <f t="shared" si="7"/>
        <v>20080806</v>
      </c>
      <c r="C416" s="70">
        <v>4.1299999999999996E-2</v>
      </c>
      <c r="D416" s="77">
        <v>0</v>
      </c>
      <c r="E416" s="77"/>
      <c r="F416" s="77">
        <v>4.0000000000000001E-3</v>
      </c>
      <c r="G416" s="78">
        <v>15000000</v>
      </c>
      <c r="H416" s="79"/>
      <c r="I416" s="79"/>
      <c r="J416" s="79"/>
      <c r="K416" s="80">
        <v>1.5900000000000001E-2</v>
      </c>
      <c r="L416" s="80"/>
      <c r="M416" s="75" t="s">
        <v>143</v>
      </c>
      <c r="N416" s="75" t="b">
        <v>1</v>
      </c>
      <c r="O416" s="75" t="s">
        <v>144</v>
      </c>
      <c r="P416" s="75">
        <v>1994</v>
      </c>
      <c r="Q416" s="75">
        <v>2015</v>
      </c>
      <c r="R416" s="75">
        <v>1</v>
      </c>
      <c r="S416" s="81"/>
      <c r="T416" s="82"/>
      <c r="U416" s="83"/>
    </row>
    <row r="417" spans="1:21" s="84" customFormat="1" x14ac:dyDescent="0.3">
      <c r="A417" s="68">
        <v>39667</v>
      </c>
      <c r="B417" s="69">
        <f t="shared" si="7"/>
        <v>20080807</v>
      </c>
      <c r="C417" s="70">
        <v>4.0800000000000003E-2</v>
      </c>
      <c r="D417" s="77">
        <v>0</v>
      </c>
      <c r="E417" s="77"/>
      <c r="F417" s="77">
        <v>4.0000000000000001E-3</v>
      </c>
      <c r="G417" s="78">
        <v>15000000</v>
      </c>
      <c r="H417" s="79"/>
      <c r="I417" s="79"/>
      <c r="J417" s="79"/>
      <c r="K417" s="80">
        <v>1.55E-2</v>
      </c>
      <c r="L417" s="80"/>
      <c r="M417" s="75" t="s">
        <v>143</v>
      </c>
      <c r="N417" s="75" t="b">
        <v>1</v>
      </c>
      <c r="O417" s="75" t="s">
        <v>144</v>
      </c>
      <c r="P417" s="75">
        <v>1994</v>
      </c>
      <c r="Q417" s="75">
        <v>2015</v>
      </c>
      <c r="R417" s="75">
        <v>1</v>
      </c>
      <c r="S417" s="81"/>
      <c r="T417" s="82"/>
      <c r="U417" s="83"/>
    </row>
    <row r="418" spans="1:21" s="84" customFormat="1" x14ac:dyDescent="0.3">
      <c r="A418" s="68">
        <v>39668</v>
      </c>
      <c r="B418" s="69">
        <f t="shared" si="7"/>
        <v>20080808</v>
      </c>
      <c r="C418" s="70">
        <v>4.0599999999999997E-2</v>
      </c>
      <c r="D418" s="77">
        <v>0</v>
      </c>
      <c r="E418" s="77"/>
      <c r="F418" s="77">
        <v>4.0000000000000001E-3</v>
      </c>
      <c r="G418" s="78">
        <v>15000000</v>
      </c>
      <c r="H418" s="79"/>
      <c r="I418" s="79"/>
      <c r="J418" s="79"/>
      <c r="K418" s="80">
        <v>1.5800000000000002E-2</v>
      </c>
      <c r="L418" s="80"/>
      <c r="M418" s="75" t="s">
        <v>143</v>
      </c>
      <c r="N418" s="75" t="b">
        <v>1</v>
      </c>
      <c r="O418" s="75" t="s">
        <v>144</v>
      </c>
      <c r="P418" s="75">
        <v>1994</v>
      </c>
      <c r="Q418" s="75">
        <v>2015</v>
      </c>
      <c r="R418" s="75">
        <v>1</v>
      </c>
      <c r="S418" s="81"/>
      <c r="T418" s="82"/>
      <c r="U418" s="83"/>
    </row>
    <row r="419" spans="1:21" s="84" customFormat="1" x14ac:dyDescent="0.3">
      <c r="A419" s="68">
        <v>39671</v>
      </c>
      <c r="B419" s="69">
        <f t="shared" si="7"/>
        <v>20080811</v>
      </c>
      <c r="C419" s="70">
        <v>4.0599999999999997E-2</v>
      </c>
      <c r="D419" s="77">
        <v>0</v>
      </c>
      <c r="E419" s="77"/>
      <c r="F419" s="77">
        <v>4.0000000000000001E-3</v>
      </c>
      <c r="G419" s="78">
        <v>15000000</v>
      </c>
      <c r="H419" s="79"/>
      <c r="I419" s="79"/>
      <c r="J419" s="79"/>
      <c r="K419" s="80">
        <v>1.5900000000000001E-2</v>
      </c>
      <c r="L419" s="80"/>
      <c r="M419" s="75" t="s">
        <v>143</v>
      </c>
      <c r="N419" s="75" t="b">
        <v>1</v>
      </c>
      <c r="O419" s="75" t="s">
        <v>144</v>
      </c>
      <c r="P419" s="75">
        <v>1994</v>
      </c>
      <c r="Q419" s="75">
        <v>2015</v>
      </c>
      <c r="R419" s="75">
        <v>1</v>
      </c>
      <c r="S419" s="81"/>
      <c r="T419" s="82"/>
      <c r="U419" s="83"/>
    </row>
    <row r="420" spans="1:21" s="84" customFormat="1" x14ac:dyDescent="0.3">
      <c r="A420" s="68">
        <v>39672</v>
      </c>
      <c r="B420" s="69">
        <f t="shared" si="7"/>
        <v>20080812</v>
      </c>
      <c r="C420" s="70">
        <v>4.0399999999999998E-2</v>
      </c>
      <c r="D420" s="77">
        <v>0</v>
      </c>
      <c r="E420" s="77"/>
      <c r="F420" s="77">
        <v>4.0000000000000001E-3</v>
      </c>
      <c r="G420" s="78">
        <v>15000000</v>
      </c>
      <c r="H420" s="79"/>
      <c r="I420" s="79"/>
      <c r="J420" s="79"/>
      <c r="K420" s="80">
        <v>1.61E-2</v>
      </c>
      <c r="L420" s="80"/>
      <c r="M420" s="75" t="s">
        <v>143</v>
      </c>
      <c r="N420" s="75" t="b">
        <v>1</v>
      </c>
      <c r="O420" s="75" t="s">
        <v>144</v>
      </c>
      <c r="P420" s="75">
        <v>1994</v>
      </c>
      <c r="Q420" s="75">
        <v>2015</v>
      </c>
      <c r="R420" s="75">
        <v>1</v>
      </c>
      <c r="S420" s="81"/>
      <c r="T420" s="82"/>
      <c r="U420" s="83"/>
    </row>
    <row r="421" spans="1:21" s="84" customFormat="1" x14ac:dyDescent="0.3">
      <c r="A421" s="68">
        <v>39673</v>
      </c>
      <c r="B421" s="69">
        <f t="shared" si="7"/>
        <v>20080813</v>
      </c>
      <c r="C421" s="70">
        <v>4.0399999999999998E-2</v>
      </c>
      <c r="D421" s="77">
        <v>0</v>
      </c>
      <c r="E421" s="77"/>
      <c r="F421" s="77">
        <v>4.0000000000000001E-3</v>
      </c>
      <c r="G421" s="78">
        <v>15000000</v>
      </c>
      <c r="H421" s="79"/>
      <c r="I421" s="79"/>
      <c r="J421" s="79"/>
      <c r="K421" s="80">
        <v>1.6E-2</v>
      </c>
      <c r="L421" s="80"/>
      <c r="M421" s="75" t="s">
        <v>143</v>
      </c>
      <c r="N421" s="75" t="b">
        <v>1</v>
      </c>
      <c r="O421" s="75" t="s">
        <v>144</v>
      </c>
      <c r="P421" s="75">
        <v>1994</v>
      </c>
      <c r="Q421" s="75">
        <v>2015</v>
      </c>
      <c r="R421" s="75">
        <v>1</v>
      </c>
      <c r="S421" s="81"/>
      <c r="T421" s="82"/>
      <c r="U421" s="83"/>
    </row>
    <row r="422" spans="1:21" s="84" customFormat="1" x14ac:dyDescent="0.3">
      <c r="A422" s="68">
        <v>39674</v>
      </c>
      <c r="B422" s="69">
        <f t="shared" si="7"/>
        <v>20080814</v>
      </c>
      <c r="C422" s="70">
        <v>4.0300000000000002E-2</v>
      </c>
      <c r="D422" s="77">
        <v>0</v>
      </c>
      <c r="E422" s="77"/>
      <c r="F422" s="77">
        <v>4.0000000000000001E-3</v>
      </c>
      <c r="G422" s="78">
        <v>15000000</v>
      </c>
      <c r="H422" s="79"/>
      <c r="I422" s="79"/>
      <c r="J422" s="79"/>
      <c r="K422" s="80">
        <v>1.5700000000000002E-2</v>
      </c>
      <c r="L422" s="80"/>
      <c r="M422" s="75" t="s">
        <v>143</v>
      </c>
      <c r="N422" s="75" t="b">
        <v>1</v>
      </c>
      <c r="O422" s="75" t="s">
        <v>144</v>
      </c>
      <c r="P422" s="75">
        <v>1994</v>
      </c>
      <c r="Q422" s="75">
        <v>2015</v>
      </c>
      <c r="R422" s="75">
        <v>1</v>
      </c>
      <c r="S422" s="81"/>
      <c r="T422" s="82"/>
      <c r="U422" s="83"/>
    </row>
    <row r="423" spans="1:21" s="84" customFormat="1" x14ac:dyDescent="0.3">
      <c r="A423" s="68">
        <v>39675</v>
      </c>
      <c r="B423" s="69">
        <f t="shared" si="7"/>
        <v>20080815</v>
      </c>
      <c r="C423" s="70">
        <v>4.0099999999999997E-2</v>
      </c>
      <c r="D423" s="77">
        <v>0</v>
      </c>
      <c r="E423" s="77"/>
      <c r="F423" s="77">
        <v>4.0000000000000001E-3</v>
      </c>
      <c r="G423" s="78">
        <v>15000000</v>
      </c>
      <c r="H423" s="79"/>
      <c r="I423" s="79"/>
      <c r="J423" s="79"/>
      <c r="K423" s="80">
        <v>1.55E-2</v>
      </c>
      <c r="L423" s="80"/>
      <c r="M423" s="75" t="s">
        <v>143</v>
      </c>
      <c r="N423" s="75" t="b">
        <v>1</v>
      </c>
      <c r="O423" s="75" t="s">
        <v>144</v>
      </c>
      <c r="P423" s="75">
        <v>1994</v>
      </c>
      <c r="Q423" s="75">
        <v>2015</v>
      </c>
      <c r="R423" s="75">
        <v>1</v>
      </c>
      <c r="S423" s="81"/>
      <c r="T423" s="82"/>
      <c r="U423" s="83"/>
    </row>
    <row r="424" spans="1:21" s="84" customFormat="1" x14ac:dyDescent="0.3">
      <c r="A424" s="68">
        <v>39678</v>
      </c>
      <c r="B424" s="69">
        <f t="shared" si="7"/>
        <v>20080818</v>
      </c>
      <c r="C424" s="70">
        <v>0.04</v>
      </c>
      <c r="D424" s="77">
        <v>0</v>
      </c>
      <c r="E424" s="77"/>
      <c r="F424" s="77">
        <v>4.0000000000000001E-3</v>
      </c>
      <c r="G424" s="78">
        <v>15000000</v>
      </c>
      <c r="H424" s="79"/>
      <c r="I424" s="79"/>
      <c r="J424" s="79"/>
      <c r="K424" s="80">
        <v>1.5300000000000001E-2</v>
      </c>
      <c r="L424" s="80"/>
      <c r="M424" s="75" t="s">
        <v>143</v>
      </c>
      <c r="N424" s="75" t="b">
        <v>1</v>
      </c>
      <c r="O424" s="75" t="s">
        <v>144</v>
      </c>
      <c r="P424" s="75">
        <v>1994</v>
      </c>
      <c r="Q424" s="75">
        <v>2015</v>
      </c>
      <c r="R424" s="75">
        <v>1</v>
      </c>
      <c r="S424" s="81"/>
      <c r="T424" s="82"/>
      <c r="U424" s="83"/>
    </row>
    <row r="425" spans="1:21" s="84" customFormat="1" x14ac:dyDescent="0.3">
      <c r="A425" s="68">
        <v>39679</v>
      </c>
      <c r="B425" s="69">
        <f t="shared" si="7"/>
        <v>20080819</v>
      </c>
      <c r="C425" s="70">
        <v>4.0300000000000002E-2</v>
      </c>
      <c r="D425" s="77">
        <v>0</v>
      </c>
      <c r="E425" s="77"/>
      <c r="F425" s="77">
        <v>4.0000000000000001E-3</v>
      </c>
      <c r="G425" s="78">
        <v>15000000</v>
      </c>
      <c r="H425" s="79"/>
      <c r="I425" s="79"/>
      <c r="J425" s="79"/>
      <c r="K425" s="80">
        <v>1.5600000000000001E-2</v>
      </c>
      <c r="L425" s="80"/>
      <c r="M425" s="75" t="s">
        <v>143</v>
      </c>
      <c r="N425" s="75" t="b">
        <v>1</v>
      </c>
      <c r="O425" s="75" t="s">
        <v>144</v>
      </c>
      <c r="P425" s="75">
        <v>1994</v>
      </c>
      <c r="Q425" s="75">
        <v>2015</v>
      </c>
      <c r="R425" s="75">
        <v>1</v>
      </c>
      <c r="S425" s="81"/>
      <c r="T425" s="82"/>
      <c r="U425" s="83"/>
    </row>
    <row r="426" spans="1:21" s="84" customFormat="1" x14ac:dyDescent="0.3">
      <c r="A426" s="68">
        <v>39680</v>
      </c>
      <c r="B426" s="69">
        <f t="shared" si="7"/>
        <v>20080820</v>
      </c>
      <c r="C426" s="70">
        <v>4.0500000000000001E-2</v>
      </c>
      <c r="D426" s="77">
        <v>0</v>
      </c>
      <c r="E426" s="77"/>
      <c r="F426" s="77">
        <v>4.0000000000000001E-3</v>
      </c>
      <c r="G426" s="78">
        <v>15000000</v>
      </c>
      <c r="H426" s="79"/>
      <c r="I426" s="79"/>
      <c r="J426" s="79"/>
      <c r="K426" s="80">
        <v>1.5700000000000002E-2</v>
      </c>
      <c r="L426" s="80"/>
      <c r="M426" s="75" t="s">
        <v>143</v>
      </c>
      <c r="N426" s="75" t="b">
        <v>1</v>
      </c>
      <c r="O426" s="75" t="s">
        <v>144</v>
      </c>
      <c r="P426" s="75">
        <v>1994</v>
      </c>
      <c r="Q426" s="75">
        <v>2015</v>
      </c>
      <c r="R426" s="75">
        <v>1</v>
      </c>
      <c r="S426" s="81"/>
      <c r="T426" s="82"/>
      <c r="U426" s="83"/>
    </row>
    <row r="427" spans="1:21" s="84" customFormat="1" x14ac:dyDescent="0.3">
      <c r="A427" s="68">
        <v>39681</v>
      </c>
      <c r="B427" s="69">
        <f t="shared" si="7"/>
        <v>20080821</v>
      </c>
      <c r="C427" s="70">
        <v>4.0599999999999997E-2</v>
      </c>
      <c r="D427" s="77">
        <v>0</v>
      </c>
      <c r="E427" s="77"/>
      <c r="F427" s="77">
        <v>4.0000000000000001E-3</v>
      </c>
      <c r="G427" s="78">
        <v>15000000</v>
      </c>
      <c r="H427" s="79"/>
      <c r="I427" s="79"/>
      <c r="J427" s="79"/>
      <c r="K427" s="80">
        <v>1.5700000000000002E-2</v>
      </c>
      <c r="L427" s="80"/>
      <c r="M427" s="75" t="s">
        <v>143</v>
      </c>
      <c r="N427" s="75" t="b">
        <v>1</v>
      </c>
      <c r="O427" s="75" t="s">
        <v>144</v>
      </c>
      <c r="P427" s="75">
        <v>1994</v>
      </c>
      <c r="Q427" s="75">
        <v>2015</v>
      </c>
      <c r="R427" s="75">
        <v>1</v>
      </c>
      <c r="S427" s="81"/>
      <c r="T427" s="82"/>
      <c r="U427" s="83"/>
    </row>
    <row r="428" spans="1:21" s="84" customFormat="1" x14ac:dyDescent="0.3">
      <c r="A428" s="68">
        <v>39682</v>
      </c>
      <c r="B428" s="69">
        <f t="shared" si="7"/>
        <v>20080822</v>
      </c>
      <c r="C428" s="70">
        <v>4.07E-2</v>
      </c>
      <c r="D428" s="77">
        <v>0</v>
      </c>
      <c r="E428" s="77"/>
      <c r="F428" s="77">
        <v>4.0000000000000001E-3</v>
      </c>
      <c r="G428" s="78">
        <v>15000000</v>
      </c>
      <c r="H428" s="79"/>
      <c r="I428" s="79"/>
      <c r="J428" s="79"/>
      <c r="K428" s="80">
        <v>1.6E-2</v>
      </c>
      <c r="L428" s="80"/>
      <c r="M428" s="75" t="s">
        <v>143</v>
      </c>
      <c r="N428" s="75" t="b">
        <v>1</v>
      </c>
      <c r="O428" s="75" t="s">
        <v>144</v>
      </c>
      <c r="P428" s="75">
        <v>1994</v>
      </c>
      <c r="Q428" s="75">
        <v>2015</v>
      </c>
      <c r="R428" s="75">
        <v>1</v>
      </c>
      <c r="S428" s="81"/>
      <c r="T428" s="82"/>
      <c r="U428" s="83"/>
    </row>
    <row r="429" spans="1:21" s="84" customFormat="1" x14ac:dyDescent="0.3">
      <c r="A429" s="68">
        <v>39685</v>
      </c>
      <c r="B429" s="69">
        <f t="shared" si="7"/>
        <v>20080825</v>
      </c>
      <c r="C429" s="70">
        <v>4.0399999999999998E-2</v>
      </c>
      <c r="D429" s="77">
        <v>0</v>
      </c>
      <c r="E429" s="77"/>
      <c r="F429" s="77">
        <v>4.0000000000000001E-3</v>
      </c>
      <c r="G429" s="78">
        <v>15000000</v>
      </c>
      <c r="H429" s="79"/>
      <c r="I429" s="79"/>
      <c r="J429" s="79"/>
      <c r="K429" s="80">
        <v>1.5700000000000002E-2</v>
      </c>
      <c r="L429" s="80"/>
      <c r="M429" s="75" t="s">
        <v>143</v>
      </c>
      <c r="N429" s="75" t="b">
        <v>1</v>
      </c>
      <c r="O429" s="75" t="s">
        <v>144</v>
      </c>
      <c r="P429" s="75">
        <v>1994</v>
      </c>
      <c r="Q429" s="75">
        <v>2015</v>
      </c>
      <c r="R429" s="75">
        <v>1</v>
      </c>
      <c r="S429" s="81"/>
      <c r="T429" s="82"/>
      <c r="U429" s="83"/>
    </row>
    <row r="430" spans="1:21" s="84" customFormat="1" x14ac:dyDescent="0.3">
      <c r="A430" s="68">
        <v>39686</v>
      </c>
      <c r="B430" s="69">
        <f t="shared" si="7"/>
        <v>20080826</v>
      </c>
      <c r="C430" s="70">
        <v>4.0199999999999993E-2</v>
      </c>
      <c r="D430" s="77">
        <v>0</v>
      </c>
      <c r="E430" s="77"/>
      <c r="F430" s="77">
        <v>4.0000000000000001E-3</v>
      </c>
      <c r="G430" s="78">
        <v>15000000</v>
      </c>
      <c r="H430" s="79"/>
      <c r="I430" s="79"/>
      <c r="J430" s="79"/>
      <c r="K430" s="80">
        <v>1.55E-2</v>
      </c>
      <c r="L430" s="80"/>
      <c r="M430" s="75" t="s">
        <v>143</v>
      </c>
      <c r="N430" s="75" t="b">
        <v>1</v>
      </c>
      <c r="O430" s="75" t="s">
        <v>144</v>
      </c>
      <c r="P430" s="75">
        <v>1994</v>
      </c>
      <c r="Q430" s="75">
        <v>2015</v>
      </c>
      <c r="R430" s="75">
        <v>1</v>
      </c>
      <c r="S430" s="81"/>
      <c r="T430" s="82"/>
      <c r="U430" s="83"/>
    </row>
    <row r="431" spans="1:21" s="84" customFormat="1" x14ac:dyDescent="0.3">
      <c r="A431" s="68">
        <v>39687</v>
      </c>
      <c r="B431" s="69">
        <f t="shared" si="7"/>
        <v>20080827</v>
      </c>
      <c r="C431" s="70">
        <v>4.0199999999999993E-2</v>
      </c>
      <c r="D431" s="77">
        <v>0</v>
      </c>
      <c r="E431" s="77"/>
      <c r="F431" s="77">
        <v>4.0000000000000001E-3</v>
      </c>
      <c r="G431" s="78">
        <v>15000000</v>
      </c>
      <c r="H431" s="79"/>
      <c r="I431" s="79"/>
      <c r="J431" s="79"/>
      <c r="K431" s="80">
        <v>1.5300000000000001E-2</v>
      </c>
      <c r="L431" s="80"/>
      <c r="M431" s="75" t="s">
        <v>143</v>
      </c>
      <c r="N431" s="75" t="b">
        <v>1</v>
      </c>
      <c r="O431" s="75" t="s">
        <v>144</v>
      </c>
      <c r="P431" s="75">
        <v>1994</v>
      </c>
      <c r="Q431" s="75">
        <v>2015</v>
      </c>
      <c r="R431" s="75">
        <v>1</v>
      </c>
      <c r="S431" s="81"/>
      <c r="T431" s="82"/>
      <c r="U431" s="83"/>
    </row>
    <row r="432" spans="1:21" s="84" customFormat="1" x14ac:dyDescent="0.3">
      <c r="A432" s="68">
        <v>39688</v>
      </c>
      <c r="B432" s="69">
        <f t="shared" si="7"/>
        <v>20080828</v>
      </c>
      <c r="C432" s="70">
        <v>4.0199999999999993E-2</v>
      </c>
      <c r="D432" s="77">
        <v>0</v>
      </c>
      <c r="E432" s="77"/>
      <c r="F432" s="77">
        <v>4.0000000000000001E-3</v>
      </c>
      <c r="G432" s="78">
        <v>15000000</v>
      </c>
      <c r="H432" s="79"/>
      <c r="I432" s="79"/>
      <c r="J432" s="79"/>
      <c r="K432" s="80">
        <v>1.55E-2</v>
      </c>
      <c r="L432" s="80"/>
      <c r="M432" s="75" t="s">
        <v>143</v>
      </c>
      <c r="N432" s="75" t="b">
        <v>1</v>
      </c>
      <c r="O432" s="75" t="s">
        <v>144</v>
      </c>
      <c r="P432" s="75">
        <v>1994</v>
      </c>
      <c r="Q432" s="75">
        <v>2015</v>
      </c>
      <c r="R432" s="75">
        <v>1</v>
      </c>
      <c r="S432" s="81"/>
      <c r="T432" s="82"/>
      <c r="U432" s="83"/>
    </row>
    <row r="433" spans="1:21" s="84" customFormat="1" x14ac:dyDescent="0.3">
      <c r="A433" s="68">
        <v>39689</v>
      </c>
      <c r="B433" s="69">
        <f t="shared" si="7"/>
        <v>20080829</v>
      </c>
      <c r="C433" s="70">
        <v>4.0199999999999993E-2</v>
      </c>
      <c r="D433" s="77">
        <v>0</v>
      </c>
      <c r="E433" s="77"/>
      <c r="F433" s="77">
        <v>4.0000000000000001E-3</v>
      </c>
      <c r="G433" s="78">
        <v>15000000</v>
      </c>
      <c r="H433" s="79"/>
      <c r="I433" s="79"/>
      <c r="J433" s="79"/>
      <c r="K433" s="80">
        <v>1.5700000000000002E-2</v>
      </c>
      <c r="L433" s="80"/>
      <c r="M433" s="75" t="s">
        <v>143</v>
      </c>
      <c r="N433" s="75" t="b">
        <v>1</v>
      </c>
      <c r="O433" s="75" t="s">
        <v>144</v>
      </c>
      <c r="P433" s="75">
        <v>1994</v>
      </c>
      <c r="Q433" s="75">
        <v>2015</v>
      </c>
      <c r="R433" s="75">
        <v>1</v>
      </c>
      <c r="S433" s="81"/>
      <c r="T433" s="82"/>
      <c r="U433" s="83"/>
    </row>
    <row r="434" spans="1:21" s="84" customFormat="1" x14ac:dyDescent="0.3">
      <c r="A434" s="68">
        <v>39693</v>
      </c>
      <c r="B434" s="69">
        <f t="shared" si="7"/>
        <v>20080902</v>
      </c>
      <c r="C434" s="70">
        <v>0.04</v>
      </c>
      <c r="D434" s="77">
        <v>0</v>
      </c>
      <c r="E434" s="77"/>
      <c r="F434" s="77">
        <v>4.0000000000000001E-3</v>
      </c>
      <c r="G434" s="78">
        <v>15000000</v>
      </c>
      <c r="H434" s="79"/>
      <c r="I434" s="79"/>
      <c r="J434" s="79"/>
      <c r="K434" s="80">
        <v>1.61E-2</v>
      </c>
      <c r="L434" s="80"/>
      <c r="M434" s="75" t="s">
        <v>143</v>
      </c>
      <c r="N434" s="75" t="b">
        <v>1</v>
      </c>
      <c r="O434" s="75" t="s">
        <v>144</v>
      </c>
      <c r="P434" s="75">
        <v>1994</v>
      </c>
      <c r="Q434" s="75">
        <v>2015</v>
      </c>
      <c r="R434" s="75">
        <v>1</v>
      </c>
      <c r="S434" s="81"/>
      <c r="T434" s="82"/>
      <c r="U434" s="83"/>
    </row>
    <row r="435" spans="1:21" s="84" customFormat="1" x14ac:dyDescent="0.3">
      <c r="A435" s="68">
        <v>39694</v>
      </c>
      <c r="B435" s="69">
        <f t="shared" si="7"/>
        <v>20080903</v>
      </c>
      <c r="C435" s="70">
        <v>3.9900000000000005E-2</v>
      </c>
      <c r="D435" s="77">
        <v>0</v>
      </c>
      <c r="E435" s="77"/>
      <c r="F435" s="77">
        <v>4.0000000000000001E-3</v>
      </c>
      <c r="G435" s="78">
        <v>15000000</v>
      </c>
      <c r="H435" s="79"/>
      <c r="I435" s="79"/>
      <c r="J435" s="79"/>
      <c r="K435" s="80">
        <v>1.6399999999999998E-2</v>
      </c>
      <c r="L435" s="80"/>
      <c r="M435" s="75" t="s">
        <v>143</v>
      </c>
      <c r="N435" s="75" t="b">
        <v>1</v>
      </c>
      <c r="O435" s="75" t="s">
        <v>144</v>
      </c>
      <c r="P435" s="75">
        <v>1994</v>
      </c>
      <c r="Q435" s="75">
        <v>2015</v>
      </c>
      <c r="R435" s="75">
        <v>1</v>
      </c>
      <c r="S435" s="81"/>
      <c r="T435" s="82"/>
      <c r="U435" s="83"/>
    </row>
    <row r="436" spans="1:21" s="84" customFormat="1" x14ac:dyDescent="0.3">
      <c r="A436" s="68">
        <v>39695</v>
      </c>
      <c r="B436" s="69">
        <f t="shared" si="7"/>
        <v>20080904</v>
      </c>
      <c r="C436" s="70">
        <v>3.95E-2</v>
      </c>
      <c r="D436" s="77">
        <v>0</v>
      </c>
      <c r="E436" s="77"/>
      <c r="F436" s="77">
        <v>4.0000000000000001E-3</v>
      </c>
      <c r="G436" s="78">
        <v>15000000</v>
      </c>
      <c r="H436" s="79"/>
      <c r="I436" s="79"/>
      <c r="J436" s="79"/>
      <c r="K436" s="80">
        <v>1.66E-2</v>
      </c>
      <c r="L436" s="80"/>
      <c r="M436" s="75" t="s">
        <v>143</v>
      </c>
      <c r="N436" s="75" t="b">
        <v>1</v>
      </c>
      <c r="O436" s="75" t="s">
        <v>144</v>
      </c>
      <c r="P436" s="75">
        <v>1994</v>
      </c>
      <c r="Q436" s="75">
        <v>2015</v>
      </c>
      <c r="R436" s="75">
        <v>1</v>
      </c>
      <c r="S436" s="81"/>
      <c r="T436" s="82"/>
      <c r="U436" s="83"/>
    </row>
    <row r="437" spans="1:21" s="84" customFormat="1" x14ac:dyDescent="0.3">
      <c r="A437" s="68">
        <v>39696</v>
      </c>
      <c r="B437" s="69">
        <f t="shared" si="7"/>
        <v>20080905</v>
      </c>
      <c r="C437" s="70">
        <v>3.9599999999999996E-2</v>
      </c>
      <c r="D437" s="77">
        <v>0</v>
      </c>
      <c r="E437" s="77"/>
      <c r="F437" s="77">
        <v>4.0000000000000001E-3</v>
      </c>
      <c r="G437" s="78">
        <v>15000000</v>
      </c>
      <c r="H437" s="79"/>
      <c r="I437" s="79"/>
      <c r="J437" s="79"/>
      <c r="K437" s="80">
        <v>1.6500000000000001E-2</v>
      </c>
      <c r="L437" s="80"/>
      <c r="M437" s="75" t="s">
        <v>143</v>
      </c>
      <c r="N437" s="75" t="b">
        <v>1</v>
      </c>
      <c r="O437" s="75" t="s">
        <v>144</v>
      </c>
      <c r="P437" s="75">
        <v>1994</v>
      </c>
      <c r="Q437" s="75">
        <v>2015</v>
      </c>
      <c r="R437" s="75">
        <v>1</v>
      </c>
      <c r="S437" s="81"/>
      <c r="T437" s="82"/>
      <c r="U437" s="83"/>
    </row>
    <row r="438" spans="1:21" s="84" customFormat="1" x14ac:dyDescent="0.3">
      <c r="A438" s="68">
        <v>39699</v>
      </c>
      <c r="B438" s="69">
        <f t="shared" si="7"/>
        <v>20080908</v>
      </c>
      <c r="C438" s="70">
        <v>3.95E-2</v>
      </c>
      <c r="D438" s="77">
        <v>0</v>
      </c>
      <c r="E438" s="77"/>
      <c r="F438" s="77">
        <v>4.0000000000000001E-3</v>
      </c>
      <c r="G438" s="78">
        <v>15000000</v>
      </c>
      <c r="H438" s="79"/>
      <c r="I438" s="79"/>
      <c r="J438" s="79"/>
      <c r="K438" s="80">
        <v>1.6299999999999999E-2</v>
      </c>
      <c r="L438" s="80"/>
      <c r="M438" s="75" t="s">
        <v>143</v>
      </c>
      <c r="N438" s="75" t="b">
        <v>1</v>
      </c>
      <c r="O438" s="75" t="s">
        <v>144</v>
      </c>
      <c r="P438" s="75">
        <v>1994</v>
      </c>
      <c r="Q438" s="75">
        <v>2015</v>
      </c>
      <c r="R438" s="75">
        <v>1</v>
      </c>
      <c r="S438" s="81"/>
      <c r="T438" s="82"/>
      <c r="U438" s="83"/>
    </row>
    <row r="439" spans="1:21" s="84" customFormat="1" x14ac:dyDescent="0.3">
      <c r="A439" s="68">
        <v>39700</v>
      </c>
      <c r="B439" s="69">
        <f t="shared" si="7"/>
        <v>20080909</v>
      </c>
      <c r="C439" s="70">
        <v>3.9399999999999998E-2</v>
      </c>
      <c r="D439" s="77">
        <v>0</v>
      </c>
      <c r="E439" s="77"/>
      <c r="F439" s="77">
        <v>4.0000000000000001E-3</v>
      </c>
      <c r="G439" s="78">
        <v>15000000</v>
      </c>
      <c r="H439" s="79"/>
      <c r="I439" s="79"/>
      <c r="J439" s="79"/>
      <c r="K439" s="80">
        <v>1.6299999999999999E-2</v>
      </c>
      <c r="L439" s="80"/>
      <c r="M439" s="75" t="s">
        <v>143</v>
      </c>
      <c r="N439" s="75" t="b">
        <v>1</v>
      </c>
      <c r="O439" s="75" t="s">
        <v>144</v>
      </c>
      <c r="P439" s="75">
        <v>1994</v>
      </c>
      <c r="Q439" s="75">
        <v>2015</v>
      </c>
      <c r="R439" s="75">
        <v>1</v>
      </c>
      <c r="S439" s="81"/>
      <c r="T439" s="82"/>
      <c r="U439" s="83"/>
    </row>
    <row r="440" spans="1:21" s="84" customFormat="1" x14ac:dyDescent="0.3">
      <c r="A440" s="68">
        <v>39701</v>
      </c>
      <c r="B440" s="69">
        <f t="shared" si="7"/>
        <v>20080910</v>
      </c>
      <c r="C440" s="70">
        <v>3.9399999999999998E-2</v>
      </c>
      <c r="D440" s="77">
        <v>0</v>
      </c>
      <c r="E440" s="77"/>
      <c r="F440" s="77">
        <v>4.0000000000000001E-3</v>
      </c>
      <c r="G440" s="78">
        <v>15000000</v>
      </c>
      <c r="H440" s="79"/>
      <c r="I440" s="79"/>
      <c r="J440" s="79"/>
      <c r="K440" s="80">
        <v>1.6299999999999999E-2</v>
      </c>
      <c r="L440" s="80"/>
      <c r="M440" s="75" t="s">
        <v>143</v>
      </c>
      <c r="N440" s="75" t="b">
        <v>1</v>
      </c>
      <c r="O440" s="75" t="s">
        <v>144</v>
      </c>
      <c r="P440" s="75">
        <v>1994</v>
      </c>
      <c r="Q440" s="75">
        <v>2015</v>
      </c>
      <c r="R440" s="75">
        <v>1</v>
      </c>
      <c r="S440" s="81"/>
      <c r="T440" s="82"/>
      <c r="U440" s="83"/>
    </row>
    <row r="441" spans="1:21" s="84" customFormat="1" x14ac:dyDescent="0.3">
      <c r="A441" s="68">
        <v>39702</v>
      </c>
      <c r="B441" s="69">
        <f t="shared" si="7"/>
        <v>20080911</v>
      </c>
      <c r="C441" s="70">
        <v>3.9699999999999999E-2</v>
      </c>
      <c r="D441" s="77">
        <v>0</v>
      </c>
      <c r="E441" s="77"/>
      <c r="F441" s="77">
        <v>4.0000000000000001E-3</v>
      </c>
      <c r="G441" s="78">
        <v>15000000</v>
      </c>
      <c r="H441" s="79"/>
      <c r="I441" s="79"/>
      <c r="J441" s="79"/>
      <c r="K441" s="80">
        <v>1.6500000000000001E-2</v>
      </c>
      <c r="L441" s="80"/>
      <c r="M441" s="75" t="s">
        <v>143</v>
      </c>
      <c r="N441" s="75" t="b">
        <v>1</v>
      </c>
      <c r="O441" s="75" t="s">
        <v>144</v>
      </c>
      <c r="P441" s="75">
        <v>1994</v>
      </c>
      <c r="Q441" s="75">
        <v>2015</v>
      </c>
      <c r="R441" s="75">
        <v>1</v>
      </c>
      <c r="S441" s="81"/>
      <c r="T441" s="82"/>
      <c r="U441" s="83"/>
    </row>
    <row r="442" spans="1:21" s="84" customFormat="1" x14ac:dyDescent="0.3">
      <c r="A442" s="68">
        <v>39703</v>
      </c>
      <c r="B442" s="69">
        <f t="shared" si="7"/>
        <v>20080912</v>
      </c>
      <c r="C442" s="70">
        <v>4.0599999999999997E-2</v>
      </c>
      <c r="D442" s="77">
        <v>0</v>
      </c>
      <c r="E442" s="77"/>
      <c r="F442" s="77">
        <v>4.0000000000000001E-3</v>
      </c>
      <c r="G442" s="78">
        <v>15000000</v>
      </c>
      <c r="H442" s="79"/>
      <c r="I442" s="79"/>
      <c r="J442" s="79"/>
      <c r="K442" s="80">
        <v>1.7399999999999999E-2</v>
      </c>
      <c r="L442" s="80"/>
      <c r="M442" s="75" t="s">
        <v>143</v>
      </c>
      <c r="N442" s="75" t="b">
        <v>1</v>
      </c>
      <c r="O442" s="75" t="s">
        <v>144</v>
      </c>
      <c r="P442" s="75">
        <v>1994</v>
      </c>
      <c r="Q442" s="75">
        <v>2015</v>
      </c>
      <c r="R442" s="75">
        <v>1</v>
      </c>
      <c r="S442" s="81"/>
      <c r="T442" s="82"/>
      <c r="U442" s="83"/>
    </row>
    <row r="443" spans="1:21" s="84" customFormat="1" x14ac:dyDescent="0.3">
      <c r="A443" s="68">
        <v>39706</v>
      </c>
      <c r="B443" s="69">
        <f t="shared" si="7"/>
        <v>20080915</v>
      </c>
      <c r="C443" s="70">
        <v>3.9100000000000003E-2</v>
      </c>
      <c r="D443" s="77">
        <v>0</v>
      </c>
      <c r="E443" s="77"/>
      <c r="F443" s="77">
        <v>4.0000000000000001E-3</v>
      </c>
      <c r="G443" s="78">
        <v>15000000</v>
      </c>
      <c r="H443" s="79"/>
      <c r="I443" s="79"/>
      <c r="J443" s="79"/>
      <c r="K443" s="80">
        <v>1.6799999999999999E-2</v>
      </c>
      <c r="L443" s="80"/>
      <c r="M443" s="75" t="s">
        <v>143</v>
      </c>
      <c r="N443" s="75" t="b">
        <v>1</v>
      </c>
      <c r="O443" s="75" t="s">
        <v>144</v>
      </c>
      <c r="P443" s="75">
        <v>1994</v>
      </c>
      <c r="Q443" s="75">
        <v>2015</v>
      </c>
      <c r="R443" s="75">
        <v>1</v>
      </c>
      <c r="S443" s="81"/>
      <c r="T443" s="82"/>
      <c r="U443" s="83"/>
    </row>
    <row r="444" spans="1:21" s="84" customFormat="1" x14ac:dyDescent="0.3">
      <c r="A444" s="68">
        <v>39707</v>
      </c>
      <c r="B444" s="69">
        <f t="shared" si="7"/>
        <v>20080916</v>
      </c>
      <c r="C444" s="70">
        <v>3.95E-2</v>
      </c>
      <c r="D444" s="77">
        <v>0</v>
      </c>
      <c r="E444" s="77"/>
      <c r="F444" s="77">
        <v>4.0000000000000001E-3</v>
      </c>
      <c r="G444" s="78">
        <v>15000000</v>
      </c>
      <c r="H444" s="79"/>
      <c r="I444" s="79"/>
      <c r="J444" s="79"/>
      <c r="K444" s="80">
        <v>1.78E-2</v>
      </c>
      <c r="L444" s="80"/>
      <c r="M444" s="75" t="s">
        <v>143</v>
      </c>
      <c r="N444" s="75" t="b">
        <v>1</v>
      </c>
      <c r="O444" s="75" t="s">
        <v>144</v>
      </c>
      <c r="P444" s="75">
        <v>1994</v>
      </c>
      <c r="Q444" s="75">
        <v>2015</v>
      </c>
      <c r="R444" s="75">
        <v>1</v>
      </c>
      <c r="S444" s="81"/>
      <c r="T444" s="82"/>
      <c r="U444" s="83"/>
    </row>
    <row r="445" spans="1:21" s="84" customFormat="1" x14ac:dyDescent="0.3">
      <c r="A445" s="68">
        <v>39708</v>
      </c>
      <c r="B445" s="69">
        <f t="shared" si="7"/>
        <v>20080917</v>
      </c>
      <c r="C445" s="70">
        <v>3.95E-2</v>
      </c>
      <c r="D445" s="77">
        <v>0</v>
      </c>
      <c r="E445" s="77"/>
      <c r="F445" s="77">
        <v>4.0000000000000001E-3</v>
      </c>
      <c r="G445" s="78">
        <v>15000000</v>
      </c>
      <c r="H445" s="79"/>
      <c r="I445" s="79"/>
      <c r="J445" s="79"/>
      <c r="K445" s="80">
        <v>1.77E-2</v>
      </c>
      <c r="L445" s="80"/>
      <c r="M445" s="75" t="s">
        <v>143</v>
      </c>
      <c r="N445" s="75" t="b">
        <v>1</v>
      </c>
      <c r="O445" s="75" t="s">
        <v>144</v>
      </c>
      <c r="P445" s="75">
        <v>1994</v>
      </c>
      <c r="Q445" s="75">
        <v>2015</v>
      </c>
      <c r="R445" s="75">
        <v>1</v>
      </c>
      <c r="S445" s="81"/>
      <c r="T445" s="82"/>
      <c r="U445" s="83"/>
    </row>
    <row r="446" spans="1:21" s="84" customFormat="1" x14ac:dyDescent="0.3">
      <c r="A446" s="68">
        <v>39709</v>
      </c>
      <c r="B446" s="69">
        <f t="shared" si="7"/>
        <v>20080918</v>
      </c>
      <c r="C446" s="70">
        <v>4.0300000000000002E-2</v>
      </c>
      <c r="D446" s="77">
        <v>0</v>
      </c>
      <c r="E446" s="77"/>
      <c r="F446" s="77">
        <v>4.0000000000000001E-3</v>
      </c>
      <c r="G446" s="78">
        <v>15000000</v>
      </c>
      <c r="H446" s="79"/>
      <c r="I446" s="79"/>
      <c r="J446" s="79"/>
      <c r="K446" s="80">
        <v>1.9299999999999998E-2</v>
      </c>
      <c r="L446" s="80"/>
      <c r="M446" s="75" t="s">
        <v>143</v>
      </c>
      <c r="N446" s="75" t="b">
        <v>1</v>
      </c>
      <c r="O446" s="75" t="s">
        <v>144</v>
      </c>
      <c r="P446" s="75">
        <v>1994</v>
      </c>
      <c r="Q446" s="75">
        <v>2015</v>
      </c>
      <c r="R446" s="75">
        <v>1</v>
      </c>
      <c r="S446" s="81"/>
      <c r="T446" s="82"/>
      <c r="U446" s="83"/>
    </row>
    <row r="447" spans="1:21" s="84" customFormat="1" x14ac:dyDescent="0.3">
      <c r="A447" s="68">
        <v>39710</v>
      </c>
      <c r="B447" s="69">
        <f t="shared" si="7"/>
        <v>20080919</v>
      </c>
      <c r="C447" s="70">
        <v>4.1500000000000002E-2</v>
      </c>
      <c r="D447" s="77">
        <v>0</v>
      </c>
      <c r="E447" s="77"/>
      <c r="F447" s="77">
        <v>4.0000000000000001E-3</v>
      </c>
      <c r="G447" s="78">
        <v>15000000</v>
      </c>
      <c r="H447" s="79"/>
      <c r="I447" s="79"/>
      <c r="J447" s="79"/>
      <c r="K447" s="80">
        <v>1.9900000000000001E-2</v>
      </c>
      <c r="L447" s="80"/>
      <c r="M447" s="75" t="s">
        <v>143</v>
      </c>
      <c r="N447" s="75" t="b">
        <v>1</v>
      </c>
      <c r="O447" s="75" t="s">
        <v>144</v>
      </c>
      <c r="P447" s="75">
        <v>1994</v>
      </c>
      <c r="Q447" s="75">
        <v>2015</v>
      </c>
      <c r="R447" s="75">
        <v>1</v>
      </c>
      <c r="S447" s="81"/>
      <c r="T447" s="82"/>
      <c r="U447" s="83"/>
    </row>
    <row r="448" spans="1:21" s="84" customFormat="1" x14ac:dyDescent="0.3">
      <c r="A448" s="68">
        <v>39713</v>
      </c>
      <c r="B448" s="69">
        <f t="shared" si="7"/>
        <v>20080922</v>
      </c>
      <c r="C448" s="70">
        <v>4.1200000000000001E-2</v>
      </c>
      <c r="D448" s="77">
        <v>0</v>
      </c>
      <c r="E448" s="77"/>
      <c r="F448" s="77">
        <v>4.0000000000000001E-3</v>
      </c>
      <c r="G448" s="78">
        <v>15000000</v>
      </c>
      <c r="H448" s="79"/>
      <c r="I448" s="79"/>
      <c r="J448" s="79"/>
      <c r="K448" s="80">
        <v>1.9599999999999999E-2</v>
      </c>
      <c r="L448" s="80"/>
      <c r="M448" s="75" t="s">
        <v>143</v>
      </c>
      <c r="N448" s="75" t="b">
        <v>1</v>
      </c>
      <c r="O448" s="75" t="s">
        <v>144</v>
      </c>
      <c r="P448" s="75">
        <v>1994</v>
      </c>
      <c r="Q448" s="75">
        <v>2015</v>
      </c>
      <c r="R448" s="75">
        <v>1</v>
      </c>
      <c r="S448" s="81"/>
      <c r="T448" s="82"/>
      <c r="U448" s="83"/>
    </row>
    <row r="449" spans="1:21" s="84" customFormat="1" x14ac:dyDescent="0.3">
      <c r="A449" s="68">
        <v>39714</v>
      </c>
      <c r="B449" s="69">
        <f t="shared" si="7"/>
        <v>20080923</v>
      </c>
      <c r="C449" s="70">
        <v>4.1100000000000005E-2</v>
      </c>
      <c r="D449" s="77">
        <v>0</v>
      </c>
      <c r="E449" s="77"/>
      <c r="F449" s="77">
        <v>4.0000000000000001E-3</v>
      </c>
      <c r="G449" s="78">
        <v>15000000</v>
      </c>
      <c r="H449" s="79"/>
      <c r="I449" s="79"/>
      <c r="J449" s="79"/>
      <c r="K449" s="80">
        <v>0.02</v>
      </c>
      <c r="L449" s="80"/>
      <c r="M449" s="75" t="s">
        <v>143</v>
      </c>
      <c r="N449" s="75" t="b">
        <v>1</v>
      </c>
      <c r="O449" s="75" t="s">
        <v>144</v>
      </c>
      <c r="P449" s="75">
        <v>1994</v>
      </c>
      <c r="Q449" s="75">
        <v>2015</v>
      </c>
      <c r="R449" s="75">
        <v>1</v>
      </c>
      <c r="S449" s="81"/>
      <c r="T449" s="82"/>
      <c r="U449" s="83"/>
    </row>
    <row r="450" spans="1:21" s="84" customFormat="1" x14ac:dyDescent="0.3">
      <c r="A450" s="68">
        <v>39715</v>
      </c>
      <c r="B450" s="69">
        <f t="shared" si="7"/>
        <v>20080924</v>
      </c>
      <c r="C450" s="70">
        <v>4.1399999999999999E-2</v>
      </c>
      <c r="D450" s="77">
        <v>0</v>
      </c>
      <c r="E450" s="77"/>
      <c r="F450" s="77">
        <v>4.0000000000000001E-3</v>
      </c>
      <c r="G450" s="78">
        <v>15000000</v>
      </c>
      <c r="H450" s="79"/>
      <c r="I450" s="79"/>
      <c r="J450" s="79"/>
      <c r="K450" s="80">
        <v>2.06E-2</v>
      </c>
      <c r="L450" s="80"/>
      <c r="M450" s="75" t="s">
        <v>143</v>
      </c>
      <c r="N450" s="75" t="b">
        <v>1</v>
      </c>
      <c r="O450" s="75" t="s">
        <v>144</v>
      </c>
      <c r="P450" s="75">
        <v>1994</v>
      </c>
      <c r="Q450" s="75">
        <v>2015</v>
      </c>
      <c r="R450" s="75">
        <v>1</v>
      </c>
      <c r="S450" s="81"/>
      <c r="T450" s="82"/>
      <c r="U450" s="83"/>
    </row>
    <row r="451" spans="1:21" s="84" customFormat="1" x14ac:dyDescent="0.3">
      <c r="A451" s="68">
        <v>39716</v>
      </c>
      <c r="B451" s="69">
        <f t="shared" si="7"/>
        <v>20080925</v>
      </c>
      <c r="C451" s="70">
        <v>4.1500000000000002E-2</v>
      </c>
      <c r="D451" s="77">
        <v>0</v>
      </c>
      <c r="E451" s="77"/>
      <c r="F451" s="77">
        <v>4.0000000000000001E-3</v>
      </c>
      <c r="G451" s="78">
        <v>15000000</v>
      </c>
      <c r="H451" s="79"/>
      <c r="I451" s="79"/>
      <c r="J451" s="79"/>
      <c r="K451" s="80">
        <v>2.06E-2</v>
      </c>
      <c r="L451" s="80"/>
      <c r="M451" s="75" t="s">
        <v>143</v>
      </c>
      <c r="N451" s="75" t="b">
        <v>1</v>
      </c>
      <c r="O451" s="75" t="s">
        <v>144</v>
      </c>
      <c r="P451" s="75">
        <v>1994</v>
      </c>
      <c r="Q451" s="75">
        <v>2015</v>
      </c>
      <c r="R451" s="75">
        <v>1</v>
      </c>
      <c r="S451" s="81"/>
      <c r="T451" s="82"/>
      <c r="U451" s="83"/>
    </row>
    <row r="452" spans="1:21" s="84" customFormat="1" x14ac:dyDescent="0.3">
      <c r="A452" s="68">
        <v>39717</v>
      </c>
      <c r="B452" s="69">
        <f t="shared" si="7"/>
        <v>20080926</v>
      </c>
      <c r="C452" s="70">
        <v>4.1599999999999998E-2</v>
      </c>
      <c r="D452" s="77">
        <v>0</v>
      </c>
      <c r="E452" s="77"/>
      <c r="F452" s="77">
        <v>4.0000000000000001E-3</v>
      </c>
      <c r="G452" s="78">
        <v>15000000</v>
      </c>
      <c r="H452" s="79"/>
      <c r="I452" s="79"/>
      <c r="J452" s="79"/>
      <c r="K452" s="80">
        <v>2.1000000000000001E-2</v>
      </c>
      <c r="L452" s="80"/>
      <c r="M452" s="75" t="s">
        <v>143</v>
      </c>
      <c r="N452" s="75" t="b">
        <v>1</v>
      </c>
      <c r="O452" s="75" t="s">
        <v>144</v>
      </c>
      <c r="P452" s="75">
        <v>1994</v>
      </c>
      <c r="Q452" s="75">
        <v>2015</v>
      </c>
      <c r="R452" s="75">
        <v>1</v>
      </c>
      <c r="S452" s="81"/>
      <c r="T452" s="82"/>
      <c r="U452" s="83"/>
    </row>
    <row r="453" spans="1:21" s="84" customFormat="1" x14ac:dyDescent="0.3">
      <c r="A453" s="68">
        <v>39720</v>
      </c>
      <c r="B453" s="69">
        <f t="shared" si="7"/>
        <v>20080929</v>
      </c>
      <c r="C453" s="70">
        <v>4.0399999999999998E-2</v>
      </c>
      <c r="D453" s="77">
        <v>0</v>
      </c>
      <c r="E453" s="77"/>
      <c r="F453" s="77">
        <v>4.0000000000000001E-3</v>
      </c>
      <c r="G453" s="78">
        <v>15000000</v>
      </c>
      <c r="H453" s="79"/>
      <c r="I453" s="79"/>
      <c r="J453" s="79"/>
      <c r="K453" s="80">
        <v>2.06E-2</v>
      </c>
      <c r="L453" s="80"/>
      <c r="M453" s="75" t="s">
        <v>143</v>
      </c>
      <c r="N453" s="75" t="b">
        <v>1</v>
      </c>
      <c r="O453" s="75" t="s">
        <v>144</v>
      </c>
      <c r="P453" s="75">
        <v>1994</v>
      </c>
      <c r="Q453" s="75">
        <v>2015</v>
      </c>
      <c r="R453" s="75">
        <v>1</v>
      </c>
      <c r="S453" s="81"/>
      <c r="T453" s="82"/>
      <c r="U453" s="83"/>
    </row>
    <row r="454" spans="1:21" s="84" customFormat="1" x14ac:dyDescent="0.3">
      <c r="A454" s="68">
        <v>39721</v>
      </c>
      <c r="B454" s="69">
        <f t="shared" si="7"/>
        <v>20080930</v>
      </c>
      <c r="C454" s="70">
        <v>4.2500000000000003E-2</v>
      </c>
      <c r="D454" s="77">
        <v>0</v>
      </c>
      <c r="E454" s="77"/>
      <c r="F454" s="77">
        <v>4.0000000000000001E-3</v>
      </c>
      <c r="G454" s="78">
        <v>15000000</v>
      </c>
      <c r="H454" s="79"/>
      <c r="I454" s="79"/>
      <c r="J454" s="79"/>
      <c r="K454" s="80">
        <v>2.23E-2</v>
      </c>
      <c r="L454" s="80"/>
      <c r="M454" s="75" t="s">
        <v>143</v>
      </c>
      <c r="N454" s="75" t="b">
        <v>1</v>
      </c>
      <c r="O454" s="75" t="s">
        <v>144</v>
      </c>
      <c r="P454" s="75">
        <v>1994</v>
      </c>
      <c r="Q454" s="75">
        <v>2015</v>
      </c>
      <c r="R454" s="75">
        <v>1</v>
      </c>
      <c r="S454" s="81"/>
      <c r="T454" s="82"/>
      <c r="U454" s="83"/>
    </row>
    <row r="455" spans="1:21" s="84" customFormat="1" x14ac:dyDescent="0.3">
      <c r="A455" s="68">
        <v>39722</v>
      </c>
      <c r="B455" s="69">
        <f t="shared" si="7"/>
        <v>20081001</v>
      </c>
      <c r="C455" s="70">
        <v>4.2099999999999999E-2</v>
      </c>
      <c r="D455" s="77">
        <v>0</v>
      </c>
      <c r="E455" s="77"/>
      <c r="F455" s="77">
        <v>4.0000000000000001E-3</v>
      </c>
      <c r="G455" s="78">
        <v>15000000</v>
      </c>
      <c r="H455" s="79"/>
      <c r="I455" s="79"/>
      <c r="J455" s="79"/>
      <c r="K455" s="80">
        <v>2.2099999999999998E-2</v>
      </c>
      <c r="L455" s="80"/>
      <c r="M455" s="75" t="s">
        <v>143</v>
      </c>
      <c r="N455" s="75" t="b">
        <v>1</v>
      </c>
      <c r="O455" s="75" t="s">
        <v>144</v>
      </c>
      <c r="P455" s="75">
        <v>1994</v>
      </c>
      <c r="Q455" s="75">
        <v>2015</v>
      </c>
      <c r="R455" s="75">
        <v>1</v>
      </c>
      <c r="S455" s="81"/>
      <c r="T455" s="82"/>
      <c r="U455" s="83"/>
    </row>
    <row r="456" spans="1:21" s="84" customFormat="1" x14ac:dyDescent="0.3">
      <c r="A456" s="68">
        <v>39723</v>
      </c>
      <c r="B456" s="69">
        <f t="shared" si="7"/>
        <v>20081002</v>
      </c>
      <c r="C456" s="70">
        <v>4.1599999999999998E-2</v>
      </c>
      <c r="D456" s="77">
        <v>0</v>
      </c>
      <c r="E456" s="77"/>
      <c r="F456" s="77">
        <v>4.0000000000000001E-3</v>
      </c>
      <c r="G456" s="78">
        <v>15000000</v>
      </c>
      <c r="H456" s="79"/>
      <c r="I456" s="79"/>
      <c r="J456" s="79"/>
      <c r="K456" s="80">
        <v>2.1899999999999999E-2</v>
      </c>
      <c r="L456" s="80"/>
      <c r="M456" s="75" t="s">
        <v>143</v>
      </c>
      <c r="N456" s="75" t="b">
        <v>1</v>
      </c>
      <c r="O456" s="75" t="s">
        <v>144</v>
      </c>
      <c r="P456" s="75">
        <v>1994</v>
      </c>
      <c r="Q456" s="75">
        <v>2015</v>
      </c>
      <c r="R456" s="75">
        <v>1</v>
      </c>
      <c r="S456" s="81"/>
      <c r="T456" s="82"/>
      <c r="U456" s="83"/>
    </row>
    <row r="457" spans="1:21" s="84" customFormat="1" x14ac:dyDescent="0.3">
      <c r="A457" s="68">
        <v>39724</v>
      </c>
      <c r="B457" s="69">
        <f t="shared" si="7"/>
        <v>20081003</v>
      </c>
      <c r="C457" s="70">
        <v>4.1200000000000001E-2</v>
      </c>
      <c r="D457" s="77">
        <v>0</v>
      </c>
      <c r="E457" s="77"/>
      <c r="F457" s="77">
        <v>4.0000000000000001E-3</v>
      </c>
      <c r="G457" s="78">
        <v>15000000</v>
      </c>
      <c r="H457" s="79"/>
      <c r="I457" s="79"/>
      <c r="J457" s="79"/>
      <c r="K457" s="80">
        <v>2.1400000000000002E-2</v>
      </c>
      <c r="L457" s="80"/>
      <c r="M457" s="75" t="s">
        <v>143</v>
      </c>
      <c r="N457" s="75" t="b">
        <v>1</v>
      </c>
      <c r="O457" s="75" t="s">
        <v>144</v>
      </c>
      <c r="P457" s="75">
        <v>1994</v>
      </c>
      <c r="Q457" s="75">
        <v>2015</v>
      </c>
      <c r="R457" s="75">
        <v>1</v>
      </c>
      <c r="S457" s="81"/>
      <c r="T457" s="82"/>
      <c r="U457" s="83"/>
    </row>
    <row r="458" spans="1:21" s="84" customFormat="1" x14ac:dyDescent="0.3">
      <c r="A458" s="68">
        <v>39727</v>
      </c>
      <c r="B458" s="69">
        <f t="shared" ref="B458:B521" si="8">YEAR(A458)*10000+MONTH(A458)*100+DAY(A458)</f>
        <v>20081006</v>
      </c>
      <c r="C458" s="70">
        <v>0.04</v>
      </c>
      <c r="D458" s="77">
        <v>0</v>
      </c>
      <c r="E458" s="77"/>
      <c r="F458" s="77">
        <v>4.0000000000000001E-3</v>
      </c>
      <c r="G458" s="78">
        <v>15000000</v>
      </c>
      <c r="H458" s="79"/>
      <c r="I458" s="79"/>
      <c r="J458" s="79"/>
      <c r="K458" s="80">
        <v>2.12E-2</v>
      </c>
      <c r="L458" s="80"/>
      <c r="M458" s="75" t="s">
        <v>143</v>
      </c>
      <c r="N458" s="75" t="b">
        <v>1</v>
      </c>
      <c r="O458" s="75" t="s">
        <v>144</v>
      </c>
      <c r="P458" s="75">
        <v>1994</v>
      </c>
      <c r="Q458" s="75">
        <v>2015</v>
      </c>
      <c r="R458" s="75">
        <v>1</v>
      </c>
      <c r="S458" s="81"/>
      <c r="T458" s="82"/>
      <c r="U458" s="83"/>
    </row>
    <row r="459" spans="1:21" s="84" customFormat="1" x14ac:dyDescent="0.3">
      <c r="A459" s="68">
        <v>39728</v>
      </c>
      <c r="B459" s="69">
        <f t="shared" si="8"/>
        <v>20081007</v>
      </c>
      <c r="C459" s="70">
        <v>4.07E-2</v>
      </c>
      <c r="D459" s="77">
        <v>0</v>
      </c>
      <c r="E459" s="77"/>
      <c r="F459" s="77">
        <v>4.0000000000000001E-3</v>
      </c>
      <c r="G459" s="78">
        <v>15000000</v>
      </c>
      <c r="H459" s="79"/>
      <c r="I459" s="79"/>
      <c r="J459" s="79"/>
      <c r="K459" s="80">
        <v>2.2700000000000001E-2</v>
      </c>
      <c r="L459" s="80"/>
      <c r="M459" s="75" t="s">
        <v>143</v>
      </c>
      <c r="N459" s="75" t="b">
        <v>1</v>
      </c>
      <c r="O459" s="75" t="s">
        <v>144</v>
      </c>
      <c r="P459" s="75">
        <v>1994</v>
      </c>
      <c r="Q459" s="75">
        <v>2015</v>
      </c>
      <c r="R459" s="75">
        <v>1</v>
      </c>
      <c r="S459" s="81"/>
      <c r="T459" s="82"/>
      <c r="U459" s="83"/>
    </row>
    <row r="460" spans="1:21" s="84" customFormat="1" x14ac:dyDescent="0.3">
      <c r="A460" s="68">
        <v>39729</v>
      </c>
      <c r="B460" s="69">
        <f t="shared" si="8"/>
        <v>20081008</v>
      </c>
      <c r="C460" s="70">
        <v>4.1399999999999999E-2</v>
      </c>
      <c r="D460" s="77">
        <v>0</v>
      </c>
      <c r="E460" s="77"/>
      <c r="F460" s="77">
        <v>4.0000000000000001E-3</v>
      </c>
      <c r="G460" s="78">
        <v>15000000</v>
      </c>
      <c r="H460" s="79"/>
      <c r="I460" s="79"/>
      <c r="J460" s="79"/>
      <c r="K460" s="80">
        <v>2.35E-2</v>
      </c>
      <c r="L460" s="80"/>
      <c r="M460" s="75" t="s">
        <v>143</v>
      </c>
      <c r="N460" s="75" t="b">
        <v>1</v>
      </c>
      <c r="O460" s="75" t="s">
        <v>144</v>
      </c>
      <c r="P460" s="75">
        <v>1994</v>
      </c>
      <c r="Q460" s="75">
        <v>2015</v>
      </c>
      <c r="R460" s="75">
        <v>1</v>
      </c>
      <c r="S460" s="81"/>
      <c r="T460" s="82"/>
      <c r="U460" s="83"/>
    </row>
    <row r="461" spans="1:21" s="84" customFormat="1" x14ac:dyDescent="0.3">
      <c r="A461" s="68">
        <v>39730</v>
      </c>
      <c r="B461" s="69">
        <f t="shared" si="8"/>
        <v>20081009</v>
      </c>
      <c r="C461" s="70">
        <v>4.1700000000000001E-2</v>
      </c>
      <c r="D461" s="77">
        <v>0</v>
      </c>
      <c r="E461" s="77"/>
      <c r="F461" s="77">
        <v>4.0000000000000001E-3</v>
      </c>
      <c r="G461" s="78">
        <v>15000000</v>
      </c>
      <c r="H461" s="79"/>
      <c r="I461" s="79"/>
      <c r="J461" s="79"/>
      <c r="K461" s="80">
        <v>2.35E-2</v>
      </c>
      <c r="L461" s="80"/>
      <c r="M461" s="75" t="s">
        <v>143</v>
      </c>
      <c r="N461" s="75" t="b">
        <v>1</v>
      </c>
      <c r="O461" s="75" t="s">
        <v>144</v>
      </c>
      <c r="P461" s="75">
        <v>1994</v>
      </c>
      <c r="Q461" s="75">
        <v>2015</v>
      </c>
      <c r="R461" s="75">
        <v>1</v>
      </c>
      <c r="S461" s="81"/>
      <c r="T461" s="82"/>
      <c r="U461" s="83"/>
    </row>
    <row r="462" spans="1:21" s="84" customFormat="1" x14ac:dyDescent="0.3">
      <c r="A462" s="68">
        <v>39731</v>
      </c>
      <c r="B462" s="69">
        <f t="shared" si="8"/>
        <v>20081010</v>
      </c>
      <c r="C462" s="70">
        <v>4.2800000000000005E-2</v>
      </c>
      <c r="D462" s="77">
        <v>0</v>
      </c>
      <c r="E462" s="77"/>
      <c r="F462" s="77">
        <v>4.0000000000000001E-3</v>
      </c>
      <c r="G462" s="78">
        <v>15000000</v>
      </c>
      <c r="H462" s="79"/>
      <c r="I462" s="79"/>
      <c r="J462" s="79"/>
      <c r="K462" s="80">
        <v>2.4799999999999999E-2</v>
      </c>
      <c r="L462" s="80"/>
      <c r="M462" s="75" t="s">
        <v>143</v>
      </c>
      <c r="N462" s="75" t="b">
        <v>1</v>
      </c>
      <c r="O462" s="75" t="s">
        <v>144</v>
      </c>
      <c r="P462" s="75">
        <v>1994</v>
      </c>
      <c r="Q462" s="75">
        <v>2015</v>
      </c>
      <c r="R462" s="75">
        <v>1</v>
      </c>
      <c r="S462" s="81"/>
      <c r="T462" s="82"/>
      <c r="U462" s="83"/>
    </row>
    <row r="463" spans="1:21" s="84" customFormat="1" x14ac:dyDescent="0.3">
      <c r="A463" s="68">
        <v>39735</v>
      </c>
      <c r="B463" s="69">
        <f t="shared" si="8"/>
        <v>20081014</v>
      </c>
      <c r="C463" s="70">
        <v>4.2999999999999997E-2</v>
      </c>
      <c r="D463" s="77">
        <v>0</v>
      </c>
      <c r="E463" s="77"/>
      <c r="F463" s="77">
        <v>4.0000000000000001E-3</v>
      </c>
      <c r="G463" s="78">
        <v>15000000</v>
      </c>
      <c r="H463" s="79"/>
      <c r="I463" s="79"/>
      <c r="J463" s="79"/>
      <c r="K463" s="80">
        <v>2.41E-2</v>
      </c>
      <c r="L463" s="80"/>
      <c r="M463" s="75" t="s">
        <v>143</v>
      </c>
      <c r="N463" s="75" t="b">
        <v>1</v>
      </c>
      <c r="O463" s="75" t="s">
        <v>144</v>
      </c>
      <c r="P463" s="75">
        <v>1994</v>
      </c>
      <c r="Q463" s="75">
        <v>2015</v>
      </c>
      <c r="R463" s="75">
        <v>1</v>
      </c>
      <c r="S463" s="81"/>
      <c r="T463" s="82"/>
      <c r="U463" s="83"/>
    </row>
    <row r="464" spans="1:21" s="84" customFormat="1" x14ac:dyDescent="0.3">
      <c r="A464" s="68">
        <v>39736</v>
      </c>
      <c r="B464" s="69">
        <f t="shared" si="8"/>
        <v>20081015</v>
      </c>
      <c r="C464" s="70">
        <v>4.2300000000000004E-2</v>
      </c>
      <c r="D464" s="77">
        <v>0</v>
      </c>
      <c r="E464" s="77"/>
      <c r="F464" s="77">
        <v>4.0000000000000001E-3</v>
      </c>
      <c r="G464" s="78">
        <v>15000000</v>
      </c>
      <c r="H464" s="79"/>
      <c r="I464" s="79"/>
      <c r="J464" s="79"/>
      <c r="K464" s="80">
        <v>2.3199999999999998E-2</v>
      </c>
      <c r="L464" s="80"/>
      <c r="M464" s="75" t="s">
        <v>143</v>
      </c>
      <c r="N464" s="75" t="b">
        <v>1</v>
      </c>
      <c r="O464" s="75" t="s">
        <v>144</v>
      </c>
      <c r="P464" s="75">
        <v>1994</v>
      </c>
      <c r="Q464" s="75">
        <v>2015</v>
      </c>
      <c r="R464" s="75">
        <v>1</v>
      </c>
      <c r="S464" s="81"/>
      <c r="T464" s="82"/>
      <c r="U464" s="83"/>
    </row>
    <row r="465" spans="1:21" s="84" customFormat="1" x14ac:dyDescent="0.3">
      <c r="A465" s="68">
        <v>39737</v>
      </c>
      <c r="B465" s="69">
        <f t="shared" si="8"/>
        <v>20081016</v>
      </c>
      <c r="C465" s="70">
        <v>4.2699999999999995E-2</v>
      </c>
      <c r="D465" s="77">
        <v>0</v>
      </c>
      <c r="E465" s="77"/>
      <c r="F465" s="77">
        <v>4.0000000000000001E-3</v>
      </c>
      <c r="G465" s="78">
        <v>15000000</v>
      </c>
      <c r="H465" s="79"/>
      <c r="I465" s="79"/>
      <c r="J465" s="79"/>
      <c r="K465" s="80">
        <v>2.41E-2</v>
      </c>
      <c r="L465" s="80"/>
      <c r="M465" s="75" t="s">
        <v>143</v>
      </c>
      <c r="N465" s="75" t="b">
        <v>1</v>
      </c>
      <c r="O465" s="75" t="s">
        <v>144</v>
      </c>
      <c r="P465" s="75">
        <v>1994</v>
      </c>
      <c r="Q465" s="75">
        <v>2015</v>
      </c>
      <c r="R465" s="75">
        <v>1</v>
      </c>
      <c r="S465" s="81"/>
      <c r="T465" s="82"/>
      <c r="U465" s="83"/>
    </row>
    <row r="466" spans="1:21" s="84" customFormat="1" x14ac:dyDescent="0.3">
      <c r="A466" s="68">
        <v>39738</v>
      </c>
      <c r="B466" s="69">
        <f t="shared" si="8"/>
        <v>20081017</v>
      </c>
      <c r="C466" s="70">
        <v>4.2800000000000005E-2</v>
      </c>
      <c r="D466" s="77">
        <v>0</v>
      </c>
      <c r="E466" s="77"/>
      <c r="F466" s="77">
        <v>4.0000000000000001E-3</v>
      </c>
      <c r="G466" s="78">
        <v>15000000</v>
      </c>
      <c r="H466" s="79"/>
      <c r="I466" s="79"/>
      <c r="J466" s="79"/>
      <c r="K466" s="80">
        <v>2.3799999999999998E-2</v>
      </c>
      <c r="L466" s="80"/>
      <c r="M466" s="75" t="s">
        <v>143</v>
      </c>
      <c r="N466" s="75" t="b">
        <v>1</v>
      </c>
      <c r="O466" s="75" t="s">
        <v>144</v>
      </c>
      <c r="P466" s="75">
        <v>1994</v>
      </c>
      <c r="Q466" s="75">
        <v>2015</v>
      </c>
      <c r="R466" s="75">
        <v>1</v>
      </c>
      <c r="S466" s="81"/>
      <c r="T466" s="82"/>
      <c r="U466" s="83"/>
    </row>
    <row r="467" spans="1:21" s="84" customFormat="1" x14ac:dyDescent="0.3">
      <c r="A467" s="68">
        <v>39741</v>
      </c>
      <c r="B467" s="69">
        <f t="shared" si="8"/>
        <v>20081020</v>
      </c>
      <c r="C467" s="70">
        <v>4.2599999999999999E-2</v>
      </c>
      <c r="D467" s="77">
        <v>0</v>
      </c>
      <c r="E467" s="77"/>
      <c r="F467" s="77">
        <v>4.0000000000000001E-3</v>
      </c>
      <c r="G467" s="78">
        <v>15000000</v>
      </c>
      <c r="H467" s="79"/>
      <c r="I467" s="79"/>
      <c r="J467" s="79"/>
      <c r="K467" s="80">
        <v>2.3599999999999999E-2</v>
      </c>
      <c r="L467" s="80"/>
      <c r="M467" s="75" t="s">
        <v>143</v>
      </c>
      <c r="N467" s="75" t="b">
        <v>1</v>
      </c>
      <c r="O467" s="75" t="s">
        <v>144</v>
      </c>
      <c r="P467" s="75">
        <v>1994</v>
      </c>
      <c r="Q467" s="75">
        <v>2015</v>
      </c>
      <c r="R467" s="75">
        <v>1</v>
      </c>
      <c r="S467" s="81"/>
      <c r="T467" s="82"/>
      <c r="U467" s="83"/>
    </row>
    <row r="468" spans="1:21" s="84" customFormat="1" x14ac:dyDescent="0.3">
      <c r="A468" s="68">
        <v>39742</v>
      </c>
      <c r="B468" s="69">
        <f t="shared" si="8"/>
        <v>20081021</v>
      </c>
      <c r="C468" s="70">
        <v>4.2199999999999994E-2</v>
      </c>
      <c r="D468" s="77">
        <v>0</v>
      </c>
      <c r="E468" s="77"/>
      <c r="F468" s="77">
        <v>4.0000000000000001E-3</v>
      </c>
      <c r="G468" s="78">
        <v>15000000</v>
      </c>
      <c r="H468" s="79"/>
      <c r="I468" s="79"/>
      <c r="J468" s="79"/>
      <c r="K468" s="80">
        <v>2.3E-2</v>
      </c>
      <c r="L468" s="80"/>
      <c r="M468" s="75" t="s">
        <v>143</v>
      </c>
      <c r="N468" s="75" t="b">
        <v>1</v>
      </c>
      <c r="O468" s="75" t="s">
        <v>144</v>
      </c>
      <c r="P468" s="75">
        <v>1994</v>
      </c>
      <c r="Q468" s="75">
        <v>2015</v>
      </c>
      <c r="R468" s="75">
        <v>1</v>
      </c>
      <c r="S468" s="81"/>
      <c r="T468" s="82"/>
      <c r="U468" s="83"/>
    </row>
    <row r="469" spans="1:21" s="84" customFormat="1" x14ac:dyDescent="0.3">
      <c r="A469" s="68">
        <v>39743</v>
      </c>
      <c r="B469" s="69">
        <f t="shared" si="8"/>
        <v>20081022</v>
      </c>
      <c r="C469" s="70">
        <v>4.1299999999999996E-2</v>
      </c>
      <c r="D469" s="77">
        <v>0</v>
      </c>
      <c r="E469" s="77"/>
      <c r="F469" s="77">
        <v>4.0000000000000001E-3</v>
      </c>
      <c r="G469" s="78">
        <v>15000000</v>
      </c>
      <c r="H469" s="79"/>
      <c r="I469" s="79"/>
      <c r="J469" s="79"/>
      <c r="K469" s="80">
        <v>2.2599999999999999E-2</v>
      </c>
      <c r="L469" s="80"/>
      <c r="M469" s="75" t="s">
        <v>143</v>
      </c>
      <c r="N469" s="75" t="b">
        <v>1</v>
      </c>
      <c r="O469" s="75" t="s">
        <v>144</v>
      </c>
      <c r="P469" s="75">
        <v>1994</v>
      </c>
      <c r="Q469" s="75">
        <v>2015</v>
      </c>
      <c r="R469" s="75">
        <v>1</v>
      </c>
      <c r="S469" s="81"/>
      <c r="T469" s="82"/>
      <c r="U469" s="83"/>
    </row>
    <row r="470" spans="1:21" s="84" customFormat="1" x14ac:dyDescent="0.3">
      <c r="A470" s="68">
        <v>39744</v>
      </c>
      <c r="B470" s="69">
        <f t="shared" si="8"/>
        <v>20081023</v>
      </c>
      <c r="C470" s="70">
        <v>4.1500000000000002E-2</v>
      </c>
      <c r="D470" s="77">
        <v>0</v>
      </c>
      <c r="E470" s="77"/>
      <c r="F470" s="77">
        <v>4.0000000000000001E-3</v>
      </c>
      <c r="G470" s="78">
        <v>15000000</v>
      </c>
      <c r="H470" s="79"/>
      <c r="I470" s="79"/>
      <c r="J470" s="79"/>
      <c r="K470" s="80">
        <v>2.3199999999999998E-2</v>
      </c>
      <c r="L470" s="80"/>
      <c r="M470" s="75" t="s">
        <v>143</v>
      </c>
      <c r="N470" s="75" t="b">
        <v>1</v>
      </c>
      <c r="O470" s="75" t="s">
        <v>144</v>
      </c>
      <c r="P470" s="75">
        <v>1994</v>
      </c>
      <c r="Q470" s="75">
        <v>2015</v>
      </c>
      <c r="R470" s="75">
        <v>1</v>
      </c>
      <c r="S470" s="81"/>
      <c r="T470" s="82"/>
      <c r="U470" s="83"/>
    </row>
    <row r="471" spans="1:21" s="84" customFormat="1" x14ac:dyDescent="0.3">
      <c r="A471" s="68">
        <v>39745</v>
      </c>
      <c r="B471" s="69">
        <f t="shared" si="8"/>
        <v>20081024</v>
      </c>
      <c r="C471" s="70">
        <v>4.1700000000000001E-2</v>
      </c>
      <c r="D471" s="77">
        <v>0</v>
      </c>
      <c r="E471" s="77"/>
      <c r="F471" s="77">
        <v>4.0000000000000001E-3</v>
      </c>
      <c r="G471" s="78">
        <v>15000000</v>
      </c>
      <c r="H471" s="79"/>
      <c r="I471" s="79"/>
      <c r="J471" s="79"/>
      <c r="K471" s="80">
        <v>2.3799999999999998E-2</v>
      </c>
      <c r="L471" s="80"/>
      <c r="M471" s="75" t="s">
        <v>143</v>
      </c>
      <c r="N471" s="75" t="b">
        <v>1</v>
      </c>
      <c r="O471" s="75" t="s">
        <v>144</v>
      </c>
      <c r="P471" s="75">
        <v>1994</v>
      </c>
      <c r="Q471" s="75">
        <v>2015</v>
      </c>
      <c r="R471" s="75">
        <v>1</v>
      </c>
      <c r="S471" s="81"/>
      <c r="T471" s="82"/>
      <c r="U471" s="83"/>
    </row>
    <row r="472" spans="1:21" s="84" customFormat="1" x14ac:dyDescent="0.3">
      <c r="A472" s="68">
        <v>39748</v>
      </c>
      <c r="B472" s="69">
        <f t="shared" si="8"/>
        <v>20081027</v>
      </c>
      <c r="C472" s="70">
        <v>4.1700000000000001E-2</v>
      </c>
      <c r="D472" s="77">
        <v>0</v>
      </c>
      <c r="E472" s="77"/>
      <c r="F472" s="77">
        <v>4.0000000000000001E-3</v>
      </c>
      <c r="G472" s="78">
        <v>15000000</v>
      </c>
      <c r="H472" s="79"/>
      <c r="I472" s="79"/>
      <c r="J472" s="79"/>
      <c r="K472" s="80">
        <v>2.4399999999999998E-2</v>
      </c>
      <c r="L472" s="80"/>
      <c r="M472" s="75" t="s">
        <v>143</v>
      </c>
      <c r="N472" s="75" t="b">
        <v>1</v>
      </c>
      <c r="O472" s="75" t="s">
        <v>144</v>
      </c>
      <c r="P472" s="75">
        <v>1994</v>
      </c>
      <c r="Q472" s="75">
        <v>2015</v>
      </c>
      <c r="R472" s="75">
        <v>1</v>
      </c>
      <c r="S472" s="81"/>
      <c r="T472" s="82"/>
      <c r="U472" s="83"/>
    </row>
    <row r="473" spans="1:21" s="84" customFormat="1" x14ac:dyDescent="0.3">
      <c r="A473" s="68">
        <v>39749</v>
      </c>
      <c r="B473" s="69">
        <f t="shared" si="8"/>
        <v>20081028</v>
      </c>
      <c r="C473" s="70">
        <v>4.2500000000000003E-2</v>
      </c>
      <c r="D473" s="77">
        <v>0</v>
      </c>
      <c r="E473" s="77"/>
      <c r="F473" s="77">
        <v>4.0000000000000001E-3</v>
      </c>
      <c r="G473" s="78">
        <v>15000000</v>
      </c>
      <c r="H473" s="79"/>
      <c r="I473" s="79"/>
      <c r="J473" s="79"/>
      <c r="K473" s="80">
        <v>2.46E-2</v>
      </c>
      <c r="L473" s="80"/>
      <c r="M473" s="75" t="s">
        <v>143</v>
      </c>
      <c r="N473" s="75" t="b">
        <v>1</v>
      </c>
      <c r="O473" s="75" t="s">
        <v>144</v>
      </c>
      <c r="P473" s="75">
        <v>1994</v>
      </c>
      <c r="Q473" s="75">
        <v>2015</v>
      </c>
      <c r="R473" s="75">
        <v>1</v>
      </c>
      <c r="S473" s="81"/>
      <c r="T473" s="82"/>
      <c r="U473" s="83"/>
    </row>
    <row r="474" spans="1:21" s="84" customFormat="1" x14ac:dyDescent="0.3">
      <c r="A474" s="68">
        <v>39750</v>
      </c>
      <c r="B474" s="69">
        <f t="shared" si="8"/>
        <v>20081029</v>
      </c>
      <c r="C474" s="70">
        <v>4.3099999999999999E-2</v>
      </c>
      <c r="D474" s="77">
        <v>0</v>
      </c>
      <c r="E474" s="77"/>
      <c r="F474" s="77">
        <v>4.0000000000000001E-3</v>
      </c>
      <c r="G474" s="78">
        <v>15000000</v>
      </c>
      <c r="H474" s="79"/>
      <c r="I474" s="79"/>
      <c r="J474" s="79"/>
      <c r="K474" s="80">
        <v>2.4900000000000002E-2</v>
      </c>
      <c r="L474" s="80"/>
      <c r="M474" s="75" t="s">
        <v>143</v>
      </c>
      <c r="N474" s="75" t="b">
        <v>1</v>
      </c>
      <c r="O474" s="75" t="s">
        <v>144</v>
      </c>
      <c r="P474" s="75">
        <v>1994</v>
      </c>
      <c r="Q474" s="75">
        <v>2015</v>
      </c>
      <c r="R474" s="75">
        <v>1</v>
      </c>
      <c r="S474" s="81"/>
      <c r="T474" s="82"/>
      <c r="U474" s="83"/>
    </row>
    <row r="475" spans="1:21" s="84" customFormat="1" x14ac:dyDescent="0.3">
      <c r="A475" s="68">
        <v>39751</v>
      </c>
      <c r="B475" s="69">
        <f t="shared" si="8"/>
        <v>20081030</v>
      </c>
      <c r="C475" s="70">
        <v>4.2800000000000005E-2</v>
      </c>
      <c r="D475" s="77">
        <v>0</v>
      </c>
      <c r="E475" s="77"/>
      <c r="F475" s="77">
        <v>4.0000000000000001E-3</v>
      </c>
      <c r="G475" s="78">
        <v>15000000</v>
      </c>
      <c r="H475" s="79"/>
      <c r="I475" s="79"/>
      <c r="J475" s="79"/>
      <c r="K475" s="80">
        <v>2.4399999999999998E-2</v>
      </c>
      <c r="L475" s="80"/>
      <c r="M475" s="75" t="s">
        <v>143</v>
      </c>
      <c r="N475" s="75" t="b">
        <v>1</v>
      </c>
      <c r="O475" s="75" t="s">
        <v>144</v>
      </c>
      <c r="P475" s="75">
        <v>1994</v>
      </c>
      <c r="Q475" s="75">
        <v>2015</v>
      </c>
      <c r="R475" s="75">
        <v>1</v>
      </c>
      <c r="S475" s="81"/>
      <c r="T475" s="82"/>
      <c r="U475" s="83"/>
    </row>
    <row r="476" spans="1:21" s="84" customFormat="1" x14ac:dyDescent="0.3">
      <c r="A476" s="68">
        <v>39752</v>
      </c>
      <c r="B476" s="69">
        <f t="shared" si="8"/>
        <v>20081031</v>
      </c>
      <c r="C476" s="70">
        <v>4.3299999999999998E-2</v>
      </c>
      <c r="D476" s="77">
        <v>0</v>
      </c>
      <c r="E476" s="77"/>
      <c r="F476" s="77">
        <v>4.0000000000000001E-3</v>
      </c>
      <c r="G476" s="78">
        <v>15000000</v>
      </c>
      <c r="H476" s="79"/>
      <c r="I476" s="79"/>
      <c r="J476" s="79"/>
      <c r="K476" s="80">
        <v>2.5099999999999997E-2</v>
      </c>
      <c r="L476" s="80"/>
      <c r="M476" s="75" t="s">
        <v>143</v>
      </c>
      <c r="N476" s="75" t="b">
        <v>1</v>
      </c>
      <c r="O476" s="75" t="s">
        <v>144</v>
      </c>
      <c r="P476" s="75">
        <v>1994</v>
      </c>
      <c r="Q476" s="75">
        <v>2015</v>
      </c>
      <c r="R476" s="75">
        <v>1</v>
      </c>
      <c r="S476" s="81"/>
      <c r="T476" s="82"/>
      <c r="U476" s="83"/>
    </row>
    <row r="477" spans="1:21" s="84" customFormat="1" x14ac:dyDescent="0.3">
      <c r="A477" s="68">
        <v>39755</v>
      </c>
      <c r="B477" s="69">
        <f t="shared" si="8"/>
        <v>20081103</v>
      </c>
      <c r="C477" s="70">
        <v>4.3499999999999997E-2</v>
      </c>
      <c r="D477" s="77">
        <v>0</v>
      </c>
      <c r="E477" s="77"/>
      <c r="F477" s="77">
        <v>4.0000000000000001E-3</v>
      </c>
      <c r="G477" s="78">
        <v>15000000</v>
      </c>
      <c r="H477" s="79"/>
      <c r="I477" s="79"/>
      <c r="J477" s="79"/>
      <c r="K477" s="80">
        <v>2.5000000000000001E-2</v>
      </c>
      <c r="L477" s="80"/>
      <c r="M477" s="75" t="s">
        <v>143</v>
      </c>
      <c r="N477" s="75" t="b">
        <v>1</v>
      </c>
      <c r="O477" s="75" t="s">
        <v>144</v>
      </c>
      <c r="P477" s="75">
        <v>1994</v>
      </c>
      <c r="Q477" s="75">
        <v>2015</v>
      </c>
      <c r="R477" s="75">
        <v>1</v>
      </c>
      <c r="S477" s="81"/>
      <c r="T477" s="82"/>
      <c r="U477" s="83"/>
    </row>
    <row r="478" spans="1:21" s="84" customFormat="1" x14ac:dyDescent="0.3">
      <c r="A478" s="68">
        <v>39756</v>
      </c>
      <c r="B478" s="69">
        <f t="shared" si="8"/>
        <v>20081104</v>
      </c>
      <c r="C478" s="70">
        <v>4.2999999999999997E-2</v>
      </c>
      <c r="D478" s="77">
        <v>0</v>
      </c>
      <c r="E478" s="77"/>
      <c r="F478" s="77">
        <v>4.0000000000000001E-3</v>
      </c>
      <c r="G478" s="78">
        <v>15000000</v>
      </c>
      <c r="H478" s="79"/>
      <c r="I478" s="79"/>
      <c r="J478" s="79"/>
      <c r="K478" s="80">
        <v>2.4300000000000002E-2</v>
      </c>
      <c r="L478" s="80"/>
      <c r="M478" s="75" t="s">
        <v>143</v>
      </c>
      <c r="N478" s="75" t="b">
        <v>1</v>
      </c>
      <c r="O478" s="75" t="s">
        <v>144</v>
      </c>
      <c r="P478" s="75">
        <v>1994</v>
      </c>
      <c r="Q478" s="75">
        <v>2015</v>
      </c>
      <c r="R478" s="75">
        <v>1</v>
      </c>
      <c r="S478" s="81"/>
      <c r="T478" s="82"/>
      <c r="U478" s="83"/>
    </row>
    <row r="479" spans="1:21" s="84" customFormat="1" x14ac:dyDescent="0.3">
      <c r="A479" s="68">
        <v>39757</v>
      </c>
      <c r="B479" s="69">
        <f t="shared" si="8"/>
        <v>20081105</v>
      </c>
      <c r="C479" s="70">
        <v>4.2800000000000005E-2</v>
      </c>
      <c r="D479" s="77">
        <v>0</v>
      </c>
      <c r="E479" s="77"/>
      <c r="F479" s="77">
        <v>4.0000000000000001E-3</v>
      </c>
      <c r="G479" s="78">
        <v>15000000</v>
      </c>
      <c r="H479" s="79"/>
      <c r="I479" s="79"/>
      <c r="J479" s="79"/>
      <c r="K479" s="80">
        <v>2.4399999999999998E-2</v>
      </c>
      <c r="L479" s="80"/>
      <c r="M479" s="75" t="s">
        <v>143</v>
      </c>
      <c r="N479" s="75" t="b">
        <v>1</v>
      </c>
      <c r="O479" s="75" t="s">
        <v>144</v>
      </c>
      <c r="P479" s="75">
        <v>1994</v>
      </c>
      <c r="Q479" s="75">
        <v>2015</v>
      </c>
      <c r="R479" s="75">
        <v>1</v>
      </c>
      <c r="S479" s="81"/>
      <c r="T479" s="82"/>
      <c r="U479" s="83"/>
    </row>
    <row r="480" spans="1:21" s="84" customFormat="1" x14ac:dyDescent="0.3">
      <c r="A480" s="68">
        <v>39758</v>
      </c>
      <c r="B480" s="69">
        <f t="shared" si="8"/>
        <v>20081106</v>
      </c>
      <c r="C480" s="70">
        <v>4.2900000000000001E-2</v>
      </c>
      <c r="D480" s="77">
        <v>0</v>
      </c>
      <c r="E480" s="77"/>
      <c r="F480" s="77">
        <v>4.0000000000000001E-3</v>
      </c>
      <c r="G480" s="78">
        <v>15000000</v>
      </c>
      <c r="H480" s="79"/>
      <c r="I480" s="79"/>
      <c r="J480" s="79"/>
      <c r="K480" s="80">
        <v>2.46E-2</v>
      </c>
      <c r="L480" s="80"/>
      <c r="M480" s="75" t="s">
        <v>143</v>
      </c>
      <c r="N480" s="75" t="b">
        <v>1</v>
      </c>
      <c r="O480" s="75" t="s">
        <v>144</v>
      </c>
      <c r="P480" s="75">
        <v>1994</v>
      </c>
      <c r="Q480" s="75">
        <v>2015</v>
      </c>
      <c r="R480" s="75">
        <v>1</v>
      </c>
      <c r="S480" s="81"/>
      <c r="T480" s="82"/>
      <c r="U480" s="83"/>
    </row>
    <row r="481" spans="1:21" s="84" customFormat="1" x14ac:dyDescent="0.3">
      <c r="A481" s="68">
        <v>39759</v>
      </c>
      <c r="B481" s="69">
        <f t="shared" si="8"/>
        <v>20081107</v>
      </c>
      <c r="C481" s="70">
        <v>4.2800000000000005E-2</v>
      </c>
      <c r="D481" s="77">
        <v>0</v>
      </c>
      <c r="E481" s="77"/>
      <c r="F481" s="77">
        <v>4.0000000000000001E-3</v>
      </c>
      <c r="G481" s="78">
        <v>15000000</v>
      </c>
      <c r="H481" s="79"/>
      <c r="I481" s="79"/>
      <c r="J481" s="79"/>
      <c r="K481" s="80">
        <v>2.4399999999999998E-2</v>
      </c>
      <c r="L481" s="80"/>
      <c r="M481" s="75" t="s">
        <v>143</v>
      </c>
      <c r="N481" s="75" t="b">
        <v>1</v>
      </c>
      <c r="O481" s="75" t="s">
        <v>144</v>
      </c>
      <c r="P481" s="75">
        <v>1994</v>
      </c>
      <c r="Q481" s="75">
        <v>2015</v>
      </c>
      <c r="R481" s="75">
        <v>1</v>
      </c>
      <c r="S481" s="81"/>
      <c r="T481" s="82"/>
      <c r="U481" s="83"/>
    </row>
    <row r="482" spans="1:21" s="84" customFormat="1" x14ac:dyDescent="0.3">
      <c r="A482" s="68">
        <v>39762</v>
      </c>
      <c r="B482" s="69">
        <f t="shared" si="8"/>
        <v>20081110</v>
      </c>
      <c r="C482" s="70">
        <v>4.2900000000000001E-2</v>
      </c>
      <c r="D482" s="77">
        <v>0</v>
      </c>
      <c r="E482" s="77"/>
      <c r="F482" s="77">
        <v>4.0000000000000001E-3</v>
      </c>
      <c r="G482" s="78">
        <v>15000000</v>
      </c>
      <c r="H482" s="79"/>
      <c r="I482" s="79"/>
      <c r="J482" s="79"/>
      <c r="K482" s="80">
        <v>2.4500000000000001E-2</v>
      </c>
      <c r="L482" s="80"/>
      <c r="M482" s="75" t="s">
        <v>143</v>
      </c>
      <c r="N482" s="75" t="b">
        <v>1</v>
      </c>
      <c r="O482" s="75" t="s">
        <v>144</v>
      </c>
      <c r="P482" s="75">
        <v>1994</v>
      </c>
      <c r="Q482" s="75">
        <v>2015</v>
      </c>
      <c r="R482" s="75">
        <v>1</v>
      </c>
      <c r="S482" s="81"/>
      <c r="T482" s="82"/>
      <c r="U482" s="83"/>
    </row>
    <row r="483" spans="1:21" s="84" customFormat="1" x14ac:dyDescent="0.3">
      <c r="A483" s="68">
        <v>39764</v>
      </c>
      <c r="B483" s="69">
        <f t="shared" si="8"/>
        <v>20081112</v>
      </c>
      <c r="C483" s="70">
        <v>4.2800000000000005E-2</v>
      </c>
      <c r="D483" s="77">
        <v>0</v>
      </c>
      <c r="E483" s="77"/>
      <c r="F483" s="77">
        <v>4.0000000000000001E-3</v>
      </c>
      <c r="G483" s="78">
        <v>15000000</v>
      </c>
      <c r="H483" s="79"/>
      <c r="I483" s="79"/>
      <c r="J483" s="79"/>
      <c r="K483" s="80">
        <v>2.4900000000000002E-2</v>
      </c>
      <c r="L483" s="80"/>
      <c r="M483" s="75" t="s">
        <v>143</v>
      </c>
      <c r="N483" s="75" t="b">
        <v>1</v>
      </c>
      <c r="O483" s="75" t="s">
        <v>144</v>
      </c>
      <c r="P483" s="75">
        <v>1994</v>
      </c>
      <c r="Q483" s="75">
        <v>2015</v>
      </c>
      <c r="R483" s="75">
        <v>1</v>
      </c>
      <c r="S483" s="81"/>
      <c r="T483" s="82"/>
      <c r="U483" s="83"/>
    </row>
    <row r="484" spans="1:21" s="84" customFormat="1" x14ac:dyDescent="0.3">
      <c r="A484" s="68">
        <v>39765</v>
      </c>
      <c r="B484" s="69">
        <f t="shared" si="8"/>
        <v>20081113</v>
      </c>
      <c r="C484" s="70">
        <v>4.3499999999999997E-2</v>
      </c>
      <c r="D484" s="77">
        <v>0</v>
      </c>
      <c r="E484" s="77"/>
      <c r="F484" s="77">
        <v>4.0000000000000001E-3</v>
      </c>
      <c r="G484" s="78">
        <v>15000000</v>
      </c>
      <c r="H484" s="79"/>
      <c r="I484" s="79"/>
      <c r="J484" s="79"/>
      <c r="K484" s="80">
        <v>2.58E-2</v>
      </c>
      <c r="L484" s="80"/>
      <c r="M484" s="75" t="s">
        <v>143</v>
      </c>
      <c r="N484" s="75" t="b">
        <v>1</v>
      </c>
      <c r="O484" s="75" t="s">
        <v>144</v>
      </c>
      <c r="P484" s="75">
        <v>1994</v>
      </c>
      <c r="Q484" s="75">
        <v>2015</v>
      </c>
      <c r="R484" s="75">
        <v>1</v>
      </c>
      <c r="S484" s="81"/>
      <c r="T484" s="82"/>
      <c r="U484" s="83"/>
    </row>
    <row r="485" spans="1:21" s="84" customFormat="1" x14ac:dyDescent="0.3">
      <c r="A485" s="68">
        <v>39766</v>
      </c>
      <c r="B485" s="69">
        <f t="shared" si="8"/>
        <v>20081114</v>
      </c>
      <c r="C485" s="70">
        <v>4.2599999999999999E-2</v>
      </c>
      <c r="D485" s="77">
        <v>0</v>
      </c>
      <c r="E485" s="77"/>
      <c r="F485" s="77">
        <v>4.0000000000000001E-3</v>
      </c>
      <c r="G485" s="78">
        <v>15000000</v>
      </c>
      <c r="H485" s="79"/>
      <c r="I485" s="79"/>
      <c r="J485" s="79"/>
      <c r="K485" s="80">
        <v>2.4900000000000002E-2</v>
      </c>
      <c r="L485" s="80"/>
      <c r="M485" s="75" t="s">
        <v>143</v>
      </c>
      <c r="N485" s="75" t="b">
        <v>1</v>
      </c>
      <c r="O485" s="75" t="s">
        <v>144</v>
      </c>
      <c r="P485" s="75">
        <v>1994</v>
      </c>
      <c r="Q485" s="75">
        <v>2015</v>
      </c>
      <c r="R485" s="75">
        <v>1</v>
      </c>
      <c r="S485" s="81"/>
      <c r="T485" s="82"/>
      <c r="U485" s="83"/>
    </row>
    <row r="486" spans="1:21" s="84" customFormat="1" x14ac:dyDescent="0.3">
      <c r="A486" s="68">
        <v>39769</v>
      </c>
      <c r="B486" s="69">
        <f t="shared" si="8"/>
        <v>20081117</v>
      </c>
      <c r="C486" s="70">
        <v>4.2000000000000003E-2</v>
      </c>
      <c r="D486" s="77">
        <v>0</v>
      </c>
      <c r="E486" s="77"/>
      <c r="F486" s="77">
        <v>4.0000000000000001E-3</v>
      </c>
      <c r="G486" s="78">
        <v>15000000</v>
      </c>
      <c r="H486" s="79"/>
      <c r="I486" s="79"/>
      <c r="J486" s="79"/>
      <c r="K486" s="80">
        <v>2.4300000000000002E-2</v>
      </c>
      <c r="L486" s="80"/>
      <c r="M486" s="75" t="s">
        <v>143</v>
      </c>
      <c r="N486" s="75" t="b">
        <v>1</v>
      </c>
      <c r="O486" s="75" t="s">
        <v>144</v>
      </c>
      <c r="P486" s="75">
        <v>1994</v>
      </c>
      <c r="Q486" s="75">
        <v>2015</v>
      </c>
      <c r="R486" s="75">
        <v>1</v>
      </c>
      <c r="S486" s="81"/>
      <c r="T486" s="82"/>
      <c r="U486" s="83"/>
    </row>
    <row r="487" spans="1:21" s="84" customFormat="1" x14ac:dyDescent="0.3">
      <c r="A487" s="68">
        <v>39770</v>
      </c>
      <c r="B487" s="69">
        <f t="shared" si="8"/>
        <v>20081118</v>
      </c>
      <c r="C487" s="70">
        <v>4.1700000000000001E-2</v>
      </c>
      <c r="D487" s="77">
        <v>0</v>
      </c>
      <c r="E487" s="77"/>
      <c r="F487" s="77">
        <v>4.0000000000000001E-3</v>
      </c>
      <c r="G487" s="78">
        <v>15000000</v>
      </c>
      <c r="H487" s="79"/>
      <c r="I487" s="79"/>
      <c r="J487" s="79"/>
      <c r="K487" s="80">
        <v>2.4199999999999999E-2</v>
      </c>
      <c r="L487" s="80"/>
      <c r="M487" s="75" t="s">
        <v>143</v>
      </c>
      <c r="N487" s="75" t="b">
        <v>1</v>
      </c>
      <c r="O487" s="75" t="s">
        <v>144</v>
      </c>
      <c r="P487" s="75">
        <v>1994</v>
      </c>
      <c r="Q487" s="75">
        <v>2015</v>
      </c>
      <c r="R487" s="75">
        <v>1</v>
      </c>
      <c r="S487" s="81"/>
      <c r="T487" s="82"/>
      <c r="U487" s="83"/>
    </row>
    <row r="488" spans="1:21" s="84" customFormat="1" x14ac:dyDescent="0.3">
      <c r="A488" s="68">
        <v>39771</v>
      </c>
      <c r="B488" s="69">
        <f t="shared" si="8"/>
        <v>20081119</v>
      </c>
      <c r="C488" s="70">
        <v>4.1299999999999996E-2</v>
      </c>
      <c r="D488" s="77">
        <v>0</v>
      </c>
      <c r="E488" s="77"/>
      <c r="F488" s="77">
        <v>4.0000000000000001E-3</v>
      </c>
      <c r="G488" s="78">
        <v>15000000</v>
      </c>
      <c r="H488" s="79"/>
      <c r="I488" s="79"/>
      <c r="J488" s="79"/>
      <c r="K488" s="80">
        <v>2.4900000000000002E-2</v>
      </c>
      <c r="L488" s="80"/>
      <c r="M488" s="75" t="s">
        <v>143</v>
      </c>
      <c r="N488" s="75" t="b">
        <v>1</v>
      </c>
      <c r="O488" s="75" t="s">
        <v>144</v>
      </c>
      <c r="P488" s="75">
        <v>1994</v>
      </c>
      <c r="Q488" s="75">
        <v>2015</v>
      </c>
      <c r="R488" s="75">
        <v>1</v>
      </c>
      <c r="S488" s="81"/>
      <c r="T488" s="82"/>
      <c r="U488" s="83"/>
    </row>
    <row r="489" spans="1:21" s="84" customFormat="1" x14ac:dyDescent="0.3">
      <c r="A489" s="68">
        <v>39772</v>
      </c>
      <c r="B489" s="69">
        <f t="shared" si="8"/>
        <v>20081120</v>
      </c>
      <c r="C489" s="70">
        <v>0.04</v>
      </c>
      <c r="D489" s="77">
        <v>0</v>
      </c>
      <c r="E489" s="77"/>
      <c r="F489" s="77">
        <v>4.0000000000000001E-3</v>
      </c>
      <c r="G489" s="78">
        <v>15000000</v>
      </c>
      <c r="H489" s="79"/>
      <c r="I489" s="79"/>
      <c r="J489" s="79"/>
      <c r="K489" s="80">
        <v>2.4300000000000002E-2</v>
      </c>
      <c r="L489" s="80"/>
      <c r="M489" s="75" t="s">
        <v>143</v>
      </c>
      <c r="N489" s="75" t="b">
        <v>1</v>
      </c>
      <c r="O489" s="75" t="s">
        <v>144</v>
      </c>
      <c r="P489" s="75">
        <v>1994</v>
      </c>
      <c r="Q489" s="75">
        <v>2015</v>
      </c>
      <c r="R489" s="75">
        <v>1</v>
      </c>
      <c r="S489" s="81"/>
      <c r="T489" s="82"/>
      <c r="U489" s="83"/>
    </row>
    <row r="490" spans="1:21" s="84" customFormat="1" x14ac:dyDescent="0.3">
      <c r="A490" s="68">
        <v>39773</v>
      </c>
      <c r="B490" s="69">
        <f t="shared" si="8"/>
        <v>20081121</v>
      </c>
      <c r="C490" s="70">
        <v>4.0999999999999995E-2</v>
      </c>
      <c r="D490" s="77">
        <v>0</v>
      </c>
      <c r="E490" s="77"/>
      <c r="F490" s="77">
        <v>4.0000000000000001E-3</v>
      </c>
      <c r="G490" s="78">
        <v>15000000</v>
      </c>
      <c r="H490" s="79"/>
      <c r="I490" s="79"/>
      <c r="J490" s="79"/>
      <c r="K490" s="80">
        <v>2.6699999999999998E-2</v>
      </c>
      <c r="L490" s="80"/>
      <c r="M490" s="75" t="s">
        <v>143</v>
      </c>
      <c r="N490" s="75" t="b">
        <v>1</v>
      </c>
      <c r="O490" s="75" t="s">
        <v>144</v>
      </c>
      <c r="P490" s="75">
        <v>1994</v>
      </c>
      <c r="Q490" s="75">
        <v>2015</v>
      </c>
      <c r="R490" s="75">
        <v>1</v>
      </c>
      <c r="S490" s="81"/>
      <c r="T490" s="82"/>
      <c r="U490" s="83"/>
    </row>
    <row r="491" spans="1:21" s="84" customFormat="1" x14ac:dyDescent="0.3">
      <c r="A491" s="68">
        <v>39776</v>
      </c>
      <c r="B491" s="69">
        <f t="shared" si="8"/>
        <v>20081124</v>
      </c>
      <c r="C491" s="70">
        <v>4.1200000000000001E-2</v>
      </c>
      <c r="D491" s="77">
        <v>0</v>
      </c>
      <c r="E491" s="77"/>
      <c r="F491" s="77">
        <v>4.0000000000000001E-3</v>
      </c>
      <c r="G491" s="78">
        <v>15000000</v>
      </c>
      <c r="H491" s="79"/>
      <c r="I491" s="79"/>
      <c r="J491" s="79"/>
      <c r="K491" s="80">
        <v>2.7099999999999999E-2</v>
      </c>
      <c r="L491" s="80"/>
      <c r="M491" s="75" t="s">
        <v>143</v>
      </c>
      <c r="N491" s="75" t="b">
        <v>1</v>
      </c>
      <c r="O491" s="75" t="s">
        <v>144</v>
      </c>
      <c r="P491" s="75">
        <v>1994</v>
      </c>
      <c r="Q491" s="75">
        <v>2015</v>
      </c>
      <c r="R491" s="75">
        <v>1</v>
      </c>
      <c r="S491" s="81"/>
      <c r="T491" s="82"/>
      <c r="U491" s="83"/>
    </row>
    <row r="492" spans="1:21" s="84" customFormat="1" x14ac:dyDescent="0.3">
      <c r="A492" s="68">
        <v>39777</v>
      </c>
      <c r="B492" s="69">
        <f t="shared" si="8"/>
        <v>20081125</v>
      </c>
      <c r="C492" s="70">
        <v>4.0300000000000002E-2</v>
      </c>
      <c r="D492" s="77">
        <v>0</v>
      </c>
      <c r="E492" s="77"/>
      <c r="F492" s="77">
        <v>4.0000000000000001E-3</v>
      </c>
      <c r="G492" s="78">
        <v>15000000</v>
      </c>
      <c r="H492" s="79"/>
      <c r="I492" s="79"/>
      <c r="J492" s="79"/>
      <c r="K492" s="80">
        <v>2.6800000000000001E-2</v>
      </c>
      <c r="L492" s="80"/>
      <c r="M492" s="75" t="s">
        <v>143</v>
      </c>
      <c r="N492" s="75" t="b">
        <v>1</v>
      </c>
      <c r="O492" s="75" t="s">
        <v>144</v>
      </c>
      <c r="P492" s="75">
        <v>1994</v>
      </c>
      <c r="Q492" s="75">
        <v>2015</v>
      </c>
      <c r="R492" s="75">
        <v>1</v>
      </c>
      <c r="S492" s="81"/>
      <c r="T492" s="82"/>
      <c r="U492" s="83"/>
    </row>
    <row r="493" spans="1:21" s="84" customFormat="1" x14ac:dyDescent="0.3">
      <c r="A493" s="68">
        <v>39778</v>
      </c>
      <c r="B493" s="69">
        <f t="shared" si="8"/>
        <v>20081126</v>
      </c>
      <c r="C493" s="70">
        <v>0.04</v>
      </c>
      <c r="D493" s="77">
        <v>0</v>
      </c>
      <c r="E493" s="77"/>
      <c r="F493" s="77">
        <v>4.0000000000000001E-3</v>
      </c>
      <c r="G493" s="78">
        <v>15000000</v>
      </c>
      <c r="H493" s="79"/>
      <c r="I493" s="79"/>
      <c r="J493" s="79"/>
      <c r="K493" s="80">
        <v>2.6800000000000001E-2</v>
      </c>
      <c r="L493" s="80"/>
      <c r="M493" s="75" t="s">
        <v>143</v>
      </c>
      <c r="N493" s="75" t="b">
        <v>1</v>
      </c>
      <c r="O493" s="75" t="s">
        <v>144</v>
      </c>
      <c r="P493" s="75">
        <v>1994</v>
      </c>
      <c r="Q493" s="75">
        <v>2015</v>
      </c>
      <c r="R493" s="75">
        <v>1</v>
      </c>
      <c r="S493" s="81"/>
      <c r="T493" s="82"/>
      <c r="U493" s="83"/>
    </row>
    <row r="494" spans="1:21" s="84" customFormat="1" x14ac:dyDescent="0.3">
      <c r="A494" s="68">
        <v>39779</v>
      </c>
      <c r="B494" s="69">
        <f t="shared" si="8"/>
        <v>20081127</v>
      </c>
      <c r="C494" s="70">
        <v>3.9800000000000002E-2</v>
      </c>
      <c r="D494" s="77">
        <v>0</v>
      </c>
      <c r="E494" s="77"/>
      <c r="F494" s="77">
        <v>4.0000000000000001E-3</v>
      </c>
      <c r="G494" s="78">
        <v>15000000</v>
      </c>
      <c r="H494" s="79"/>
      <c r="I494" s="79"/>
      <c r="J494" s="79"/>
      <c r="K494" s="80">
        <v>2.6699999999999998E-2</v>
      </c>
      <c r="L494" s="80"/>
      <c r="M494" s="75" t="s">
        <v>143</v>
      </c>
      <c r="N494" s="75" t="b">
        <v>1</v>
      </c>
      <c r="O494" s="75" t="s">
        <v>144</v>
      </c>
      <c r="P494" s="75">
        <v>1994</v>
      </c>
      <c r="Q494" s="75">
        <v>2015</v>
      </c>
      <c r="R494" s="75">
        <v>1</v>
      </c>
      <c r="S494" s="81"/>
      <c r="T494" s="82"/>
      <c r="U494" s="83"/>
    </row>
    <row r="495" spans="1:21" s="84" customFormat="1" x14ac:dyDescent="0.3">
      <c r="A495" s="68">
        <v>39780</v>
      </c>
      <c r="B495" s="69">
        <f t="shared" si="8"/>
        <v>20081128</v>
      </c>
      <c r="C495" s="70">
        <v>3.9599999999999996E-2</v>
      </c>
      <c r="D495" s="77">
        <v>0</v>
      </c>
      <c r="E495" s="77"/>
      <c r="F495" s="77">
        <v>4.0000000000000001E-3</v>
      </c>
      <c r="G495" s="78">
        <v>15000000</v>
      </c>
      <c r="H495" s="79"/>
      <c r="I495" s="79"/>
      <c r="J495" s="79"/>
      <c r="K495" s="80">
        <v>2.6499999999999999E-2</v>
      </c>
      <c r="L495" s="80"/>
      <c r="M495" s="75" t="s">
        <v>143</v>
      </c>
      <c r="N495" s="75" t="b">
        <v>1</v>
      </c>
      <c r="O495" s="75" t="s">
        <v>144</v>
      </c>
      <c r="P495" s="75">
        <v>1994</v>
      </c>
      <c r="Q495" s="75">
        <v>2015</v>
      </c>
      <c r="R495" s="75">
        <v>1</v>
      </c>
      <c r="S495" s="81"/>
      <c r="T495" s="82"/>
      <c r="U495" s="83"/>
    </row>
    <row r="496" spans="1:21" s="84" customFormat="1" x14ac:dyDescent="0.3">
      <c r="A496" s="68">
        <v>39783</v>
      </c>
      <c r="B496" s="69">
        <f t="shared" si="8"/>
        <v>20081201</v>
      </c>
      <c r="C496" s="70">
        <v>3.8100000000000002E-2</v>
      </c>
      <c r="D496" s="77">
        <v>0</v>
      </c>
      <c r="E496" s="77"/>
      <c r="F496" s="77">
        <v>4.0000000000000001E-3</v>
      </c>
      <c r="G496" s="78">
        <v>15000000</v>
      </c>
      <c r="H496" s="79"/>
      <c r="I496" s="79"/>
      <c r="J496" s="79"/>
      <c r="K496" s="80">
        <v>2.5699999999999997E-2</v>
      </c>
      <c r="L496" s="80"/>
      <c r="M496" s="75" t="s">
        <v>143</v>
      </c>
      <c r="N496" s="75" t="b">
        <v>1</v>
      </c>
      <c r="O496" s="75" t="s">
        <v>144</v>
      </c>
      <c r="P496" s="75">
        <v>1994</v>
      </c>
      <c r="Q496" s="75">
        <v>2015</v>
      </c>
      <c r="R496" s="75">
        <v>1</v>
      </c>
      <c r="S496" s="81"/>
      <c r="T496" s="82"/>
      <c r="U496" s="83"/>
    </row>
    <row r="497" spans="1:21" s="84" customFormat="1" x14ac:dyDescent="0.3">
      <c r="A497" s="68">
        <v>39784</v>
      </c>
      <c r="B497" s="69">
        <f t="shared" si="8"/>
        <v>20081202</v>
      </c>
      <c r="C497" s="70">
        <v>3.8300000000000001E-2</v>
      </c>
      <c r="D497" s="77">
        <v>0</v>
      </c>
      <c r="E497" s="77"/>
      <c r="F497" s="77">
        <v>4.0000000000000001E-3</v>
      </c>
      <c r="G497" s="78">
        <v>15000000</v>
      </c>
      <c r="H497" s="79"/>
      <c r="I497" s="79"/>
      <c r="J497" s="79"/>
      <c r="K497" s="80">
        <v>2.5899999999999999E-2</v>
      </c>
      <c r="L497" s="80"/>
      <c r="M497" s="75" t="s">
        <v>143</v>
      </c>
      <c r="N497" s="75" t="b">
        <v>1</v>
      </c>
      <c r="O497" s="75" t="s">
        <v>144</v>
      </c>
      <c r="P497" s="75">
        <v>1994</v>
      </c>
      <c r="Q497" s="75">
        <v>2015</v>
      </c>
      <c r="R497" s="75">
        <v>1</v>
      </c>
      <c r="S497" s="81"/>
      <c r="T497" s="82"/>
      <c r="U497" s="83"/>
    </row>
    <row r="498" spans="1:21" s="84" customFormat="1" x14ac:dyDescent="0.3">
      <c r="A498" s="68">
        <v>39785</v>
      </c>
      <c r="B498" s="69">
        <f t="shared" si="8"/>
        <v>20081203</v>
      </c>
      <c r="C498" s="70">
        <v>3.8399999999999997E-2</v>
      </c>
      <c r="D498" s="77">
        <v>0</v>
      </c>
      <c r="E498" s="77"/>
      <c r="F498" s="77">
        <v>4.0000000000000001E-3</v>
      </c>
      <c r="G498" s="78">
        <v>15000000</v>
      </c>
      <c r="H498" s="79"/>
      <c r="I498" s="79"/>
      <c r="J498" s="79"/>
      <c r="K498" s="80">
        <v>2.6000000000000002E-2</v>
      </c>
      <c r="L498" s="80"/>
      <c r="M498" s="75" t="s">
        <v>143</v>
      </c>
      <c r="N498" s="75" t="b">
        <v>1</v>
      </c>
      <c r="O498" s="75" t="s">
        <v>144</v>
      </c>
      <c r="P498" s="75">
        <v>1994</v>
      </c>
      <c r="Q498" s="75">
        <v>2015</v>
      </c>
      <c r="R498" s="75">
        <v>1</v>
      </c>
      <c r="S498" s="81"/>
      <c r="T498" s="82"/>
      <c r="U498" s="83"/>
    </row>
    <row r="499" spans="1:21" s="84" customFormat="1" x14ac:dyDescent="0.3">
      <c r="A499" s="68">
        <v>39786</v>
      </c>
      <c r="B499" s="69">
        <f t="shared" si="8"/>
        <v>20081204</v>
      </c>
      <c r="C499" s="70">
        <v>3.78E-2</v>
      </c>
      <c r="D499" s="77">
        <v>0</v>
      </c>
      <c r="E499" s="77"/>
      <c r="F499" s="77">
        <v>4.0000000000000001E-3</v>
      </c>
      <c r="G499" s="78">
        <v>15000000</v>
      </c>
      <c r="H499" s="79"/>
      <c r="I499" s="79"/>
      <c r="J499" s="79"/>
      <c r="K499" s="80">
        <v>2.5000000000000001E-2</v>
      </c>
      <c r="L499" s="80"/>
      <c r="M499" s="75" t="s">
        <v>143</v>
      </c>
      <c r="N499" s="75" t="b">
        <v>1</v>
      </c>
      <c r="O499" s="75" t="s">
        <v>144</v>
      </c>
      <c r="P499" s="75">
        <v>1994</v>
      </c>
      <c r="Q499" s="75">
        <v>2015</v>
      </c>
      <c r="R499" s="75">
        <v>1</v>
      </c>
      <c r="S499" s="81"/>
      <c r="T499" s="82"/>
      <c r="U499" s="83"/>
    </row>
    <row r="500" spans="1:21" s="84" customFormat="1" x14ac:dyDescent="0.3">
      <c r="A500" s="68">
        <v>39787</v>
      </c>
      <c r="B500" s="69">
        <f t="shared" si="8"/>
        <v>20081205</v>
      </c>
      <c r="C500" s="70">
        <v>3.7999999999999999E-2</v>
      </c>
      <c r="D500" s="77">
        <v>0</v>
      </c>
      <c r="E500" s="77"/>
      <c r="F500" s="77">
        <v>4.0000000000000001E-3</v>
      </c>
      <c r="G500" s="78">
        <v>15000000</v>
      </c>
      <c r="H500" s="79"/>
      <c r="I500" s="79"/>
      <c r="J500" s="79"/>
      <c r="K500" s="80">
        <v>2.5000000000000001E-2</v>
      </c>
      <c r="L500" s="80"/>
      <c r="M500" s="75" t="s">
        <v>143</v>
      </c>
      <c r="N500" s="75" t="b">
        <v>1</v>
      </c>
      <c r="O500" s="75" t="s">
        <v>144</v>
      </c>
      <c r="P500" s="75">
        <v>1994</v>
      </c>
      <c r="Q500" s="75">
        <v>2015</v>
      </c>
      <c r="R500" s="75">
        <v>1</v>
      </c>
      <c r="S500" s="81"/>
      <c r="T500" s="82"/>
      <c r="U500" s="83"/>
    </row>
    <row r="501" spans="1:21" s="84" customFormat="1" x14ac:dyDescent="0.3">
      <c r="A501" s="68">
        <v>39790</v>
      </c>
      <c r="B501" s="69">
        <f t="shared" si="8"/>
        <v>20081208</v>
      </c>
      <c r="C501" s="70">
        <v>3.7999999999999999E-2</v>
      </c>
      <c r="D501" s="77">
        <v>0</v>
      </c>
      <c r="E501" s="77"/>
      <c r="F501" s="77">
        <v>4.0000000000000001E-3</v>
      </c>
      <c r="G501" s="78">
        <v>15000000</v>
      </c>
      <c r="H501" s="79"/>
      <c r="I501" s="79"/>
      <c r="J501" s="79"/>
      <c r="K501" s="80">
        <v>2.4799999999999999E-2</v>
      </c>
      <c r="L501" s="80"/>
      <c r="M501" s="75" t="s">
        <v>143</v>
      </c>
      <c r="N501" s="75" t="b">
        <v>1</v>
      </c>
      <c r="O501" s="75" t="s">
        <v>144</v>
      </c>
      <c r="P501" s="75">
        <v>1994</v>
      </c>
      <c r="Q501" s="75">
        <v>2015</v>
      </c>
      <c r="R501" s="75">
        <v>1</v>
      </c>
      <c r="S501" s="81"/>
      <c r="T501" s="82"/>
      <c r="U501" s="83"/>
    </row>
    <row r="502" spans="1:21" s="84" customFormat="1" x14ac:dyDescent="0.3">
      <c r="A502" s="68">
        <v>39791</v>
      </c>
      <c r="B502" s="69">
        <f t="shared" si="8"/>
        <v>20081209</v>
      </c>
      <c r="C502" s="70">
        <v>3.7699999999999997E-2</v>
      </c>
      <c r="D502" s="77">
        <v>0</v>
      </c>
      <c r="E502" s="77"/>
      <c r="F502" s="77">
        <v>4.0000000000000001E-3</v>
      </c>
      <c r="G502" s="78">
        <v>15000000</v>
      </c>
      <c r="H502" s="79"/>
      <c r="I502" s="79"/>
      <c r="J502" s="79"/>
      <c r="K502" s="80">
        <v>2.46E-2</v>
      </c>
      <c r="L502" s="80"/>
      <c r="M502" s="75" t="s">
        <v>143</v>
      </c>
      <c r="N502" s="75" t="b">
        <v>1</v>
      </c>
      <c r="O502" s="75" t="s">
        <v>144</v>
      </c>
      <c r="P502" s="75">
        <v>1994</v>
      </c>
      <c r="Q502" s="75">
        <v>2015</v>
      </c>
      <c r="R502" s="75">
        <v>1</v>
      </c>
      <c r="S502" s="81"/>
      <c r="T502" s="82"/>
      <c r="U502" s="83"/>
    </row>
    <row r="503" spans="1:21" s="84" customFormat="1" x14ac:dyDescent="0.3">
      <c r="A503" s="68">
        <v>39792</v>
      </c>
      <c r="B503" s="69">
        <f t="shared" si="8"/>
        <v>20081210</v>
      </c>
      <c r="C503" s="70">
        <v>3.78E-2</v>
      </c>
      <c r="D503" s="77">
        <v>0</v>
      </c>
      <c r="E503" s="77"/>
      <c r="F503" s="77">
        <v>4.0000000000000001E-3</v>
      </c>
      <c r="G503" s="78">
        <v>15000000</v>
      </c>
      <c r="H503" s="79"/>
      <c r="I503" s="79"/>
      <c r="J503" s="79"/>
      <c r="K503" s="80">
        <v>2.4500000000000001E-2</v>
      </c>
      <c r="L503" s="80"/>
      <c r="M503" s="75" t="s">
        <v>143</v>
      </c>
      <c r="N503" s="75" t="b">
        <v>1</v>
      </c>
      <c r="O503" s="75" t="s">
        <v>144</v>
      </c>
      <c r="P503" s="75">
        <v>1994</v>
      </c>
      <c r="Q503" s="75">
        <v>2015</v>
      </c>
      <c r="R503" s="75">
        <v>1</v>
      </c>
      <c r="S503" s="81"/>
      <c r="T503" s="82"/>
      <c r="U503" s="83"/>
    </row>
    <row r="504" spans="1:21" s="84" customFormat="1" x14ac:dyDescent="0.3">
      <c r="A504" s="68">
        <v>39793</v>
      </c>
      <c r="B504" s="69">
        <f t="shared" si="8"/>
        <v>20081211</v>
      </c>
      <c r="C504" s="70">
        <v>3.7699999999999997E-2</v>
      </c>
      <c r="D504" s="77">
        <v>0</v>
      </c>
      <c r="E504" s="77"/>
      <c r="F504" s="77">
        <v>4.0000000000000001E-3</v>
      </c>
      <c r="G504" s="78">
        <v>15000000</v>
      </c>
      <c r="H504" s="79"/>
      <c r="I504" s="79"/>
      <c r="J504" s="79"/>
      <c r="K504" s="80">
        <v>2.4399999999999998E-2</v>
      </c>
      <c r="L504" s="80"/>
      <c r="M504" s="75" t="s">
        <v>143</v>
      </c>
      <c r="N504" s="75" t="b">
        <v>1</v>
      </c>
      <c r="O504" s="75" t="s">
        <v>144</v>
      </c>
      <c r="P504" s="75">
        <v>1994</v>
      </c>
      <c r="Q504" s="75">
        <v>2015</v>
      </c>
      <c r="R504" s="75">
        <v>1</v>
      </c>
      <c r="S504" s="81"/>
      <c r="T504" s="82"/>
      <c r="U504" s="83"/>
    </row>
    <row r="505" spans="1:21" s="84" customFormat="1" x14ac:dyDescent="0.3">
      <c r="A505" s="68">
        <v>39794</v>
      </c>
      <c r="B505" s="69">
        <f t="shared" si="8"/>
        <v>20081212</v>
      </c>
      <c r="C505" s="70">
        <v>3.7900000000000003E-2</v>
      </c>
      <c r="D505" s="77">
        <v>0</v>
      </c>
      <c r="E505" s="77"/>
      <c r="F505" s="77">
        <v>4.0000000000000001E-3</v>
      </c>
      <c r="G505" s="78">
        <v>15000000</v>
      </c>
      <c r="H505" s="79"/>
      <c r="I505" s="79"/>
      <c r="J505" s="79"/>
      <c r="K505" s="80">
        <v>2.46E-2</v>
      </c>
      <c r="L505" s="80"/>
      <c r="M505" s="75" t="s">
        <v>143</v>
      </c>
      <c r="N505" s="75" t="b">
        <v>1</v>
      </c>
      <c r="O505" s="75" t="s">
        <v>144</v>
      </c>
      <c r="P505" s="75">
        <v>1994</v>
      </c>
      <c r="Q505" s="75">
        <v>2015</v>
      </c>
      <c r="R505" s="75">
        <v>1</v>
      </c>
      <c r="S505" s="81"/>
      <c r="T505" s="82"/>
      <c r="U505" s="83"/>
    </row>
    <row r="506" spans="1:21" s="84" customFormat="1" x14ac:dyDescent="0.3">
      <c r="A506" s="68">
        <v>39797</v>
      </c>
      <c r="B506" s="69">
        <f t="shared" si="8"/>
        <v>20081215</v>
      </c>
      <c r="C506" s="70">
        <v>3.7699999999999997E-2</v>
      </c>
      <c r="D506" s="77">
        <v>0</v>
      </c>
      <c r="E506" s="77"/>
      <c r="F506" s="77">
        <v>4.0000000000000001E-3</v>
      </c>
      <c r="G506" s="78">
        <v>15000000</v>
      </c>
      <c r="H506" s="79"/>
      <c r="I506" s="79"/>
      <c r="J506" s="79"/>
      <c r="K506" s="80">
        <v>2.4500000000000001E-2</v>
      </c>
      <c r="L506" s="80"/>
      <c r="M506" s="75" t="s">
        <v>143</v>
      </c>
      <c r="N506" s="75" t="b">
        <v>1</v>
      </c>
      <c r="O506" s="75" t="s">
        <v>144</v>
      </c>
      <c r="P506" s="75">
        <v>1994</v>
      </c>
      <c r="Q506" s="75">
        <v>2015</v>
      </c>
      <c r="R506" s="75">
        <v>1</v>
      </c>
      <c r="S506" s="81"/>
      <c r="T506" s="82"/>
      <c r="U506" s="83"/>
    </row>
    <row r="507" spans="1:21" s="84" customFormat="1" x14ac:dyDescent="0.3">
      <c r="A507" s="68">
        <v>39798</v>
      </c>
      <c r="B507" s="69">
        <f t="shared" si="8"/>
        <v>20081216</v>
      </c>
      <c r="C507" s="70">
        <v>3.6799999999999999E-2</v>
      </c>
      <c r="D507" s="77">
        <v>0</v>
      </c>
      <c r="E507" s="77"/>
      <c r="F507" s="77">
        <v>4.0000000000000001E-3</v>
      </c>
      <c r="G507" s="78">
        <v>15000000</v>
      </c>
      <c r="H507" s="79"/>
      <c r="I507" s="79"/>
      <c r="J507" s="79"/>
      <c r="K507" s="80">
        <v>2.3399999999999997E-2</v>
      </c>
      <c r="L507" s="80"/>
      <c r="M507" s="75" t="s">
        <v>143</v>
      </c>
      <c r="N507" s="75" t="b">
        <v>1</v>
      </c>
      <c r="O507" s="75" t="s">
        <v>144</v>
      </c>
      <c r="P507" s="75">
        <v>1994</v>
      </c>
      <c r="Q507" s="75">
        <v>2015</v>
      </c>
      <c r="R507" s="75">
        <v>1</v>
      </c>
      <c r="S507" s="81"/>
      <c r="T507" s="82"/>
      <c r="U507" s="83"/>
    </row>
    <row r="508" spans="1:21" s="84" customFormat="1" x14ac:dyDescent="0.3">
      <c r="A508" s="68">
        <v>39799</v>
      </c>
      <c r="B508" s="69">
        <f t="shared" si="8"/>
        <v>20081217</v>
      </c>
      <c r="C508" s="70">
        <v>3.5699999999999996E-2</v>
      </c>
      <c r="D508" s="77">
        <v>0</v>
      </c>
      <c r="E508" s="77"/>
      <c r="F508" s="77">
        <v>4.0000000000000001E-3</v>
      </c>
      <c r="G508" s="78">
        <v>15000000</v>
      </c>
      <c r="H508" s="79"/>
      <c r="I508" s="79"/>
      <c r="J508" s="79"/>
      <c r="K508" s="80">
        <v>2.2099999999999998E-2</v>
      </c>
      <c r="L508" s="80"/>
      <c r="M508" s="75" t="s">
        <v>143</v>
      </c>
      <c r="N508" s="75" t="b">
        <v>1</v>
      </c>
      <c r="O508" s="75" t="s">
        <v>144</v>
      </c>
      <c r="P508" s="75">
        <v>1994</v>
      </c>
      <c r="Q508" s="75">
        <v>2015</v>
      </c>
      <c r="R508" s="75">
        <v>1</v>
      </c>
      <c r="S508" s="81"/>
      <c r="T508" s="82"/>
      <c r="U508" s="83"/>
    </row>
    <row r="509" spans="1:21" s="84" customFormat="1" x14ac:dyDescent="0.3">
      <c r="A509" s="68">
        <v>39800</v>
      </c>
      <c r="B509" s="69">
        <f t="shared" si="8"/>
        <v>20081218</v>
      </c>
      <c r="C509" s="70">
        <v>3.4799999999999998E-2</v>
      </c>
      <c r="D509" s="77">
        <v>0</v>
      </c>
      <c r="E509" s="77"/>
      <c r="F509" s="77">
        <v>4.0000000000000001E-3</v>
      </c>
      <c r="G509" s="78">
        <v>15000000</v>
      </c>
      <c r="H509" s="79"/>
      <c r="I509" s="79"/>
      <c r="J509" s="79"/>
      <c r="K509" s="80">
        <v>2.1400000000000002E-2</v>
      </c>
      <c r="L509" s="80"/>
      <c r="M509" s="75" t="s">
        <v>143</v>
      </c>
      <c r="N509" s="75" t="b">
        <v>1</v>
      </c>
      <c r="O509" s="75" t="s">
        <v>144</v>
      </c>
      <c r="P509" s="75">
        <v>1994</v>
      </c>
      <c r="Q509" s="75">
        <v>2015</v>
      </c>
      <c r="R509" s="75">
        <v>1</v>
      </c>
      <c r="S509" s="81"/>
      <c r="T509" s="82"/>
      <c r="U509" s="83"/>
    </row>
    <row r="510" spans="1:21" s="84" customFormat="1" x14ac:dyDescent="0.3">
      <c r="A510" s="68">
        <v>39801</v>
      </c>
      <c r="B510" s="69">
        <f t="shared" si="8"/>
        <v>20081219</v>
      </c>
      <c r="C510" s="70">
        <v>3.49E-2</v>
      </c>
      <c r="D510" s="77">
        <v>0</v>
      </c>
      <c r="E510" s="77"/>
      <c r="F510" s="77">
        <v>4.0000000000000001E-3</v>
      </c>
      <c r="G510" s="78">
        <v>15000000</v>
      </c>
      <c r="H510" s="79"/>
      <c r="I510" s="79"/>
      <c r="J510" s="79"/>
      <c r="K510" s="80">
        <v>2.0199999999999999E-2</v>
      </c>
      <c r="L510" s="80"/>
      <c r="M510" s="75" t="s">
        <v>143</v>
      </c>
      <c r="N510" s="75" t="b">
        <v>1</v>
      </c>
      <c r="O510" s="75" t="s">
        <v>144</v>
      </c>
      <c r="P510" s="75">
        <v>1994</v>
      </c>
      <c r="Q510" s="75">
        <v>2015</v>
      </c>
      <c r="R510" s="75">
        <v>1</v>
      </c>
      <c r="S510" s="81"/>
      <c r="T510" s="82"/>
      <c r="U510" s="83"/>
    </row>
    <row r="511" spans="1:21" s="84" customFormat="1" x14ac:dyDescent="0.3">
      <c r="A511" s="68">
        <v>39804</v>
      </c>
      <c r="B511" s="69">
        <f t="shared" si="8"/>
        <v>20081222</v>
      </c>
      <c r="C511" s="70">
        <v>3.5099999999999999E-2</v>
      </c>
      <c r="D511" s="77">
        <v>0</v>
      </c>
      <c r="E511" s="77"/>
      <c r="F511" s="77">
        <v>4.0000000000000001E-3</v>
      </c>
      <c r="G511" s="78">
        <v>15000000</v>
      </c>
      <c r="H511" s="79"/>
      <c r="I511" s="79"/>
      <c r="J511" s="79"/>
      <c r="K511" s="80">
        <v>2.06E-2</v>
      </c>
      <c r="L511" s="80"/>
      <c r="M511" s="75" t="s">
        <v>143</v>
      </c>
      <c r="N511" s="75" t="b">
        <v>1</v>
      </c>
      <c r="O511" s="75" t="s">
        <v>144</v>
      </c>
      <c r="P511" s="75">
        <v>1994</v>
      </c>
      <c r="Q511" s="75">
        <v>2015</v>
      </c>
      <c r="R511" s="75">
        <v>1</v>
      </c>
      <c r="S511" s="81"/>
      <c r="T511" s="82"/>
      <c r="U511" s="83"/>
    </row>
    <row r="512" spans="1:21" s="84" customFormat="1" x14ac:dyDescent="0.3">
      <c r="A512" s="68">
        <v>39805</v>
      </c>
      <c r="B512" s="69">
        <f t="shared" si="8"/>
        <v>20081223</v>
      </c>
      <c r="C512" s="70">
        <v>3.5299999999999998E-2</v>
      </c>
      <c r="D512" s="77">
        <v>0</v>
      </c>
      <c r="E512" s="77"/>
      <c r="F512" s="77">
        <v>4.0000000000000001E-3</v>
      </c>
      <c r="G512" s="78">
        <v>15000000</v>
      </c>
      <c r="H512" s="79"/>
      <c r="I512" s="79"/>
      <c r="J512" s="79"/>
      <c r="K512" s="80">
        <v>2.1099999999999997E-2</v>
      </c>
      <c r="L512" s="80"/>
      <c r="M512" s="75" t="s">
        <v>143</v>
      </c>
      <c r="N512" s="75" t="b">
        <v>1</v>
      </c>
      <c r="O512" s="75" t="s">
        <v>144</v>
      </c>
      <c r="P512" s="75">
        <v>1994</v>
      </c>
      <c r="Q512" s="75">
        <v>2015</v>
      </c>
      <c r="R512" s="75">
        <v>1</v>
      </c>
      <c r="S512" s="81"/>
      <c r="T512" s="82"/>
      <c r="U512" s="83"/>
    </row>
    <row r="513" spans="1:21" s="84" customFormat="1" x14ac:dyDescent="0.3">
      <c r="A513" s="68">
        <v>39806</v>
      </c>
      <c r="B513" s="69">
        <f t="shared" si="8"/>
        <v>20081224</v>
      </c>
      <c r="C513" s="70">
        <v>3.5299999999999998E-2</v>
      </c>
      <c r="D513" s="77">
        <v>0</v>
      </c>
      <c r="E513" s="77"/>
      <c r="F513" s="77">
        <v>4.0000000000000001E-3</v>
      </c>
      <c r="G513" s="78">
        <v>15000000</v>
      </c>
      <c r="H513" s="79"/>
      <c r="I513" s="79"/>
      <c r="J513" s="79"/>
      <c r="K513" s="80">
        <v>2.1099999999999997E-2</v>
      </c>
      <c r="L513" s="80"/>
      <c r="M513" s="75" t="s">
        <v>143</v>
      </c>
      <c r="N513" s="75" t="b">
        <v>1</v>
      </c>
      <c r="O513" s="75" t="s">
        <v>144</v>
      </c>
      <c r="P513" s="75">
        <v>1994</v>
      </c>
      <c r="Q513" s="75">
        <v>2015</v>
      </c>
      <c r="R513" s="75">
        <v>1</v>
      </c>
      <c r="S513" s="81"/>
      <c r="T513" s="82"/>
      <c r="U513" s="83"/>
    </row>
    <row r="514" spans="1:21" s="84" customFormat="1" x14ac:dyDescent="0.3">
      <c r="A514" s="68">
        <v>39811</v>
      </c>
      <c r="B514" s="69">
        <f t="shared" si="8"/>
        <v>20081229</v>
      </c>
      <c r="C514" s="70">
        <v>3.4099999999999998E-2</v>
      </c>
      <c r="D514" s="77">
        <v>0</v>
      </c>
      <c r="E514" s="77"/>
      <c r="F514" s="77">
        <v>4.0000000000000001E-3</v>
      </c>
      <c r="G514" s="78">
        <v>15000000</v>
      </c>
      <c r="H514" s="79"/>
      <c r="I514" s="79"/>
      <c r="J514" s="79"/>
      <c r="K514" s="80">
        <v>2.0299999999999999E-2</v>
      </c>
      <c r="L514" s="80"/>
      <c r="M514" s="75" t="s">
        <v>143</v>
      </c>
      <c r="N514" s="75" t="b">
        <v>1</v>
      </c>
      <c r="O514" s="75" t="s">
        <v>144</v>
      </c>
      <c r="P514" s="75">
        <v>1994</v>
      </c>
      <c r="Q514" s="75">
        <v>2015</v>
      </c>
      <c r="R514" s="75">
        <v>1</v>
      </c>
      <c r="S514" s="81"/>
      <c r="T514" s="82"/>
      <c r="U514" s="83"/>
    </row>
    <row r="515" spans="1:21" s="84" customFormat="1" x14ac:dyDescent="0.3">
      <c r="A515" s="68">
        <v>39812</v>
      </c>
      <c r="B515" s="69">
        <f t="shared" si="8"/>
        <v>20081230</v>
      </c>
      <c r="C515" s="70">
        <v>3.4300000000000004E-2</v>
      </c>
      <c r="D515" s="77">
        <v>0</v>
      </c>
      <c r="E515" s="77"/>
      <c r="F515" s="77">
        <v>4.0000000000000001E-3</v>
      </c>
      <c r="G515" s="78">
        <v>15000000</v>
      </c>
      <c r="H515" s="79"/>
      <c r="I515" s="79"/>
      <c r="J515" s="79"/>
      <c r="K515" s="80">
        <v>2.0499999999999997E-2</v>
      </c>
      <c r="L515" s="80"/>
      <c r="M515" s="75" t="s">
        <v>143</v>
      </c>
      <c r="N515" s="75" t="b">
        <v>1</v>
      </c>
      <c r="O515" s="75" t="s">
        <v>144</v>
      </c>
      <c r="P515" s="75">
        <v>1994</v>
      </c>
      <c r="Q515" s="75">
        <v>2015</v>
      </c>
      <c r="R515" s="75">
        <v>1</v>
      </c>
      <c r="S515" s="81"/>
      <c r="T515" s="82"/>
      <c r="U515" s="83"/>
    </row>
    <row r="516" spans="1:21" s="96" customFormat="1" x14ac:dyDescent="0.3">
      <c r="A516" s="85">
        <v>39813</v>
      </c>
      <c r="B516" s="86">
        <f t="shared" si="8"/>
        <v>20081231</v>
      </c>
      <c r="C516" s="87">
        <v>3.4500000000000003E-2</v>
      </c>
      <c r="D516" s="89">
        <v>0.01</v>
      </c>
      <c r="E516" s="88"/>
      <c r="F516" s="89">
        <v>1.4E-2</v>
      </c>
      <c r="G516" s="90">
        <v>15000000</v>
      </c>
      <c r="H516" s="91"/>
      <c r="I516" s="91"/>
      <c r="J516" s="91"/>
      <c r="K516" s="92">
        <v>2.1000000000000001E-2</v>
      </c>
      <c r="L516" s="92"/>
      <c r="M516" s="75" t="s">
        <v>143</v>
      </c>
      <c r="N516" s="75" t="b">
        <v>1</v>
      </c>
      <c r="O516" s="75" t="s">
        <v>144</v>
      </c>
      <c r="P516" s="75">
        <v>1994</v>
      </c>
      <c r="Q516" s="75">
        <v>2015</v>
      </c>
      <c r="R516" s="75">
        <v>1</v>
      </c>
      <c r="S516" s="93"/>
      <c r="T516" s="94"/>
      <c r="U516" s="95"/>
    </row>
    <row r="517" spans="1:21" s="84" customFormat="1" x14ac:dyDescent="0.3">
      <c r="A517" s="68">
        <v>39815</v>
      </c>
      <c r="B517" s="69">
        <f t="shared" si="8"/>
        <v>20090102</v>
      </c>
      <c r="C517" s="70">
        <v>3.5499999999999997E-2</v>
      </c>
      <c r="D517" s="77">
        <v>0.01</v>
      </c>
      <c r="E517" s="77"/>
      <c r="F517" s="77">
        <v>1.4E-2</v>
      </c>
      <c r="G517" s="78">
        <v>15000000</v>
      </c>
      <c r="H517" s="79"/>
      <c r="I517" s="79"/>
      <c r="J517" s="79"/>
      <c r="K517" s="80">
        <v>2.1899999999999999E-2</v>
      </c>
      <c r="L517" s="80"/>
      <c r="M517" s="75" t="s">
        <v>143</v>
      </c>
      <c r="N517" s="75" t="b">
        <v>1</v>
      </c>
      <c r="O517" s="75" t="s">
        <v>144</v>
      </c>
      <c r="P517" s="75">
        <v>1994</v>
      </c>
      <c r="Q517" s="75">
        <v>2015</v>
      </c>
      <c r="R517" s="75">
        <v>1</v>
      </c>
      <c r="S517" s="81"/>
      <c r="T517" s="82"/>
      <c r="U517" s="83"/>
    </row>
    <row r="518" spans="1:21" s="84" customFormat="1" x14ac:dyDescent="0.3">
      <c r="A518" s="68">
        <v>39818</v>
      </c>
      <c r="B518" s="69">
        <f t="shared" si="8"/>
        <v>20090105</v>
      </c>
      <c r="C518" s="70">
        <v>3.6400000000000002E-2</v>
      </c>
      <c r="D518" s="77">
        <v>0.01</v>
      </c>
      <c r="E518" s="77"/>
      <c r="F518" s="77">
        <v>1.4E-2</v>
      </c>
      <c r="G518" s="78">
        <v>15000000</v>
      </c>
      <c r="H518" s="79"/>
      <c r="I518" s="79"/>
      <c r="J518" s="79"/>
      <c r="K518" s="80">
        <v>2.29E-2</v>
      </c>
      <c r="L518" s="80"/>
      <c r="M518" s="75" t="s">
        <v>143</v>
      </c>
      <c r="N518" s="75" t="b">
        <v>1</v>
      </c>
      <c r="O518" s="75" t="s">
        <v>144</v>
      </c>
      <c r="P518" s="75">
        <v>1994</v>
      </c>
      <c r="Q518" s="75">
        <v>2015</v>
      </c>
      <c r="R518" s="75">
        <v>1</v>
      </c>
      <c r="S518" s="81"/>
      <c r="T518" s="82"/>
      <c r="U518" s="83"/>
    </row>
    <row r="519" spans="1:21" s="84" customFormat="1" x14ac:dyDescent="0.3">
      <c r="A519" s="68">
        <v>39819</v>
      </c>
      <c r="B519" s="69">
        <f t="shared" si="8"/>
        <v>20090106</v>
      </c>
      <c r="C519" s="70">
        <v>3.6499999999999998E-2</v>
      </c>
      <c r="D519" s="77">
        <v>0.01</v>
      </c>
      <c r="E519" s="77"/>
      <c r="F519" s="77">
        <v>1.4E-2</v>
      </c>
      <c r="G519" s="78">
        <v>15000000</v>
      </c>
      <c r="H519" s="79"/>
      <c r="I519" s="79"/>
      <c r="J519" s="79"/>
      <c r="K519" s="80">
        <v>2.2700000000000001E-2</v>
      </c>
      <c r="L519" s="80"/>
      <c r="M519" s="75" t="s">
        <v>143</v>
      </c>
      <c r="N519" s="75" t="b">
        <v>1</v>
      </c>
      <c r="O519" s="75" t="s">
        <v>144</v>
      </c>
      <c r="P519" s="75">
        <v>1994</v>
      </c>
      <c r="Q519" s="75">
        <v>2015</v>
      </c>
      <c r="R519" s="75">
        <v>1</v>
      </c>
      <c r="S519" s="81"/>
      <c r="T519" s="82"/>
      <c r="U519" s="83"/>
    </row>
    <row r="520" spans="1:21" s="84" customFormat="1" x14ac:dyDescent="0.3">
      <c r="A520" s="68">
        <v>39820</v>
      </c>
      <c r="B520" s="69">
        <f t="shared" si="8"/>
        <v>20090107</v>
      </c>
      <c r="C520" s="70">
        <v>3.7000000000000005E-2</v>
      </c>
      <c r="D520" s="77">
        <v>0.01</v>
      </c>
      <c r="E520" s="77"/>
      <c r="F520" s="77">
        <v>1.4E-2</v>
      </c>
      <c r="G520" s="78">
        <v>15000000</v>
      </c>
      <c r="H520" s="79"/>
      <c r="I520" s="79"/>
      <c r="J520" s="79"/>
      <c r="K520" s="80">
        <v>2.3099999999999999E-2</v>
      </c>
      <c r="L520" s="80"/>
      <c r="M520" s="75" t="s">
        <v>143</v>
      </c>
      <c r="N520" s="75" t="b">
        <v>1</v>
      </c>
      <c r="O520" s="75" t="s">
        <v>144</v>
      </c>
      <c r="P520" s="75">
        <v>1994</v>
      </c>
      <c r="Q520" s="75">
        <v>2015</v>
      </c>
      <c r="R520" s="75">
        <v>1</v>
      </c>
      <c r="S520" s="81"/>
      <c r="T520" s="82"/>
      <c r="U520" s="83"/>
    </row>
    <row r="521" spans="1:21" s="84" customFormat="1" x14ac:dyDescent="0.3">
      <c r="A521" s="68">
        <v>39821</v>
      </c>
      <c r="B521" s="69">
        <f t="shared" si="8"/>
        <v>20090108</v>
      </c>
      <c r="C521" s="70">
        <v>3.6699999999999997E-2</v>
      </c>
      <c r="D521" s="77">
        <v>0.01</v>
      </c>
      <c r="E521" s="77"/>
      <c r="F521" s="77">
        <v>1.4E-2</v>
      </c>
      <c r="G521" s="78">
        <v>15000000</v>
      </c>
      <c r="H521" s="79"/>
      <c r="I521" s="79"/>
      <c r="J521" s="79"/>
      <c r="K521" s="80">
        <v>2.2499999999999999E-2</v>
      </c>
      <c r="L521" s="80"/>
      <c r="M521" s="75" t="s">
        <v>143</v>
      </c>
      <c r="N521" s="75" t="b">
        <v>1</v>
      </c>
      <c r="O521" s="75" t="s">
        <v>144</v>
      </c>
      <c r="P521" s="75">
        <v>1994</v>
      </c>
      <c r="Q521" s="75">
        <v>2015</v>
      </c>
      <c r="R521" s="75">
        <v>1</v>
      </c>
      <c r="S521" s="81"/>
      <c r="T521" s="82"/>
      <c r="U521" s="83"/>
    </row>
    <row r="522" spans="1:21" s="84" customFormat="1" x14ac:dyDescent="0.3">
      <c r="A522" s="68">
        <v>39822</v>
      </c>
      <c r="B522" s="69">
        <f t="shared" ref="B522:B585" si="9">YEAR(A522)*10000+MONTH(A522)*100+DAY(A522)</f>
        <v>20090109</v>
      </c>
      <c r="C522" s="70">
        <v>3.6299999999999999E-2</v>
      </c>
      <c r="D522" s="77">
        <v>0.01</v>
      </c>
      <c r="E522" s="77"/>
      <c r="F522" s="77">
        <v>1.4E-2</v>
      </c>
      <c r="G522" s="78">
        <v>15000000</v>
      </c>
      <c r="H522" s="79"/>
      <c r="I522" s="79"/>
      <c r="J522" s="79"/>
      <c r="K522" s="80">
        <v>2.1600000000000001E-2</v>
      </c>
      <c r="L522" s="80"/>
      <c r="M522" s="75" t="s">
        <v>143</v>
      </c>
      <c r="N522" s="75" t="b">
        <v>1</v>
      </c>
      <c r="O522" s="75" t="s">
        <v>144</v>
      </c>
      <c r="P522" s="75">
        <v>1994</v>
      </c>
      <c r="Q522" s="75">
        <v>2015</v>
      </c>
      <c r="R522" s="75">
        <v>1</v>
      </c>
      <c r="S522" s="81"/>
      <c r="T522" s="82"/>
      <c r="U522" s="83"/>
    </row>
    <row r="523" spans="1:21" s="84" customFormat="1" x14ac:dyDescent="0.3">
      <c r="A523" s="68">
        <v>39825</v>
      </c>
      <c r="B523" s="69">
        <f t="shared" si="9"/>
        <v>20090112</v>
      </c>
      <c r="C523" s="70">
        <v>3.61E-2</v>
      </c>
      <c r="D523" s="77">
        <v>0.01</v>
      </c>
      <c r="E523" s="77"/>
      <c r="F523" s="77">
        <v>1.4E-2</v>
      </c>
      <c r="G523" s="78">
        <v>15000000</v>
      </c>
      <c r="H523" s="79"/>
      <c r="I523" s="79"/>
      <c r="J523" s="79"/>
      <c r="K523" s="80">
        <v>2.12E-2</v>
      </c>
      <c r="L523" s="80"/>
      <c r="M523" s="75" t="s">
        <v>143</v>
      </c>
      <c r="N523" s="75" t="b">
        <v>1</v>
      </c>
      <c r="O523" s="75" t="s">
        <v>144</v>
      </c>
      <c r="P523" s="75">
        <v>1994</v>
      </c>
      <c r="Q523" s="75">
        <v>2015</v>
      </c>
      <c r="R523" s="75">
        <v>1</v>
      </c>
      <c r="S523" s="81"/>
      <c r="T523" s="82"/>
      <c r="U523" s="83"/>
    </row>
    <row r="524" spans="1:21" s="84" customFormat="1" x14ac:dyDescent="0.3">
      <c r="A524" s="68">
        <v>39826</v>
      </c>
      <c r="B524" s="69">
        <f t="shared" si="9"/>
        <v>20090113</v>
      </c>
      <c r="C524" s="70">
        <v>3.5699999999999996E-2</v>
      </c>
      <c r="D524" s="77">
        <v>0.01</v>
      </c>
      <c r="E524" s="77"/>
      <c r="F524" s="77">
        <v>1.4E-2</v>
      </c>
      <c r="G524" s="78">
        <v>15000000</v>
      </c>
      <c r="H524" s="79"/>
      <c r="I524" s="79"/>
      <c r="J524" s="79"/>
      <c r="K524" s="80">
        <v>2.07E-2</v>
      </c>
      <c r="L524" s="80"/>
      <c r="M524" s="75" t="s">
        <v>143</v>
      </c>
      <c r="N524" s="75" t="b">
        <v>1</v>
      </c>
      <c r="O524" s="75" t="s">
        <v>144</v>
      </c>
      <c r="P524" s="75">
        <v>1994</v>
      </c>
      <c r="Q524" s="75">
        <v>2015</v>
      </c>
      <c r="R524" s="75">
        <v>1</v>
      </c>
      <c r="S524" s="81"/>
      <c r="T524" s="82"/>
      <c r="U524" s="83"/>
    </row>
    <row r="525" spans="1:21" s="84" customFormat="1" x14ac:dyDescent="0.3">
      <c r="A525" s="68">
        <v>39827</v>
      </c>
      <c r="B525" s="69">
        <f t="shared" si="9"/>
        <v>20090114</v>
      </c>
      <c r="C525" s="70">
        <v>3.4300000000000004E-2</v>
      </c>
      <c r="D525" s="77">
        <v>0.01</v>
      </c>
      <c r="E525" s="77"/>
      <c r="F525" s="77">
        <v>1.4E-2</v>
      </c>
      <c r="G525" s="78">
        <v>15000000</v>
      </c>
      <c r="H525" s="79"/>
      <c r="I525" s="79"/>
      <c r="J525" s="79"/>
      <c r="K525" s="80">
        <v>1.95E-2</v>
      </c>
      <c r="L525" s="80"/>
      <c r="M525" s="75" t="s">
        <v>143</v>
      </c>
      <c r="N525" s="75" t="b">
        <v>1</v>
      </c>
      <c r="O525" s="75" t="s">
        <v>144</v>
      </c>
      <c r="P525" s="75">
        <v>1994</v>
      </c>
      <c r="Q525" s="75">
        <v>2015</v>
      </c>
      <c r="R525" s="75">
        <v>1</v>
      </c>
      <c r="S525" s="81"/>
      <c r="T525" s="82"/>
      <c r="U525" s="83"/>
    </row>
    <row r="526" spans="1:21" s="84" customFormat="1" x14ac:dyDescent="0.3">
      <c r="A526" s="68">
        <v>39828</v>
      </c>
      <c r="B526" s="69">
        <f t="shared" si="9"/>
        <v>20090115</v>
      </c>
      <c r="C526" s="70">
        <v>3.5000000000000003E-2</v>
      </c>
      <c r="D526" s="77">
        <v>0.01</v>
      </c>
      <c r="E526" s="77"/>
      <c r="F526" s="77">
        <v>1.4E-2</v>
      </c>
      <c r="G526" s="78">
        <v>15000000</v>
      </c>
      <c r="H526" s="79"/>
      <c r="I526" s="79"/>
      <c r="J526" s="79"/>
      <c r="K526" s="80">
        <v>2.0499999999999997E-2</v>
      </c>
      <c r="L526" s="80"/>
      <c r="M526" s="75" t="s">
        <v>143</v>
      </c>
      <c r="N526" s="75" t="b">
        <v>1</v>
      </c>
      <c r="O526" s="75" t="s">
        <v>144</v>
      </c>
      <c r="P526" s="75">
        <v>1994</v>
      </c>
      <c r="Q526" s="75">
        <v>2015</v>
      </c>
      <c r="R526" s="75">
        <v>1</v>
      </c>
      <c r="S526" s="81"/>
      <c r="T526" s="82"/>
      <c r="U526" s="83"/>
    </row>
    <row r="527" spans="1:21" s="84" customFormat="1" x14ac:dyDescent="0.3">
      <c r="A527" s="68">
        <v>39829</v>
      </c>
      <c r="B527" s="69">
        <f t="shared" si="9"/>
        <v>20090116</v>
      </c>
      <c r="C527" s="70">
        <v>3.56E-2</v>
      </c>
      <c r="D527" s="77">
        <v>0.01</v>
      </c>
      <c r="E527" s="77"/>
      <c r="F527" s="77">
        <v>1.4E-2</v>
      </c>
      <c r="G527" s="78">
        <v>15000000</v>
      </c>
      <c r="H527" s="79"/>
      <c r="I527" s="79"/>
      <c r="J527" s="79"/>
      <c r="K527" s="80">
        <v>2.1099999999999997E-2</v>
      </c>
      <c r="L527" s="80"/>
      <c r="M527" s="75" t="s">
        <v>143</v>
      </c>
      <c r="N527" s="75" t="b">
        <v>1</v>
      </c>
      <c r="O527" s="75" t="s">
        <v>144</v>
      </c>
      <c r="P527" s="75">
        <v>1994</v>
      </c>
      <c r="Q527" s="75">
        <v>2015</v>
      </c>
      <c r="R527" s="75">
        <v>1</v>
      </c>
      <c r="S527" s="81"/>
      <c r="T527" s="82"/>
      <c r="U527" s="83"/>
    </row>
    <row r="528" spans="1:21" s="84" customFormat="1" x14ac:dyDescent="0.3">
      <c r="A528" s="68">
        <v>39832</v>
      </c>
      <c r="B528" s="69">
        <f t="shared" si="9"/>
        <v>20090119</v>
      </c>
      <c r="C528" s="70">
        <v>3.6299999999999999E-2</v>
      </c>
      <c r="D528" s="77">
        <v>0.01</v>
      </c>
      <c r="E528" s="77"/>
      <c r="F528" s="77">
        <v>1.4E-2</v>
      </c>
      <c r="G528" s="78">
        <v>15000000</v>
      </c>
      <c r="H528" s="79"/>
      <c r="I528" s="79"/>
      <c r="J528" s="79"/>
      <c r="K528" s="80">
        <v>2.1700000000000001E-2</v>
      </c>
      <c r="L528" s="80"/>
      <c r="M528" s="75" t="s">
        <v>143</v>
      </c>
      <c r="N528" s="75" t="b">
        <v>1</v>
      </c>
      <c r="O528" s="75" t="s">
        <v>144</v>
      </c>
      <c r="P528" s="75">
        <v>1994</v>
      </c>
      <c r="Q528" s="75">
        <v>2015</v>
      </c>
      <c r="R528" s="75">
        <v>1</v>
      </c>
      <c r="S528" s="81"/>
      <c r="T528" s="82"/>
      <c r="U528" s="83"/>
    </row>
    <row r="529" spans="1:21" s="84" customFormat="1" x14ac:dyDescent="0.3">
      <c r="A529" s="68">
        <v>39833</v>
      </c>
      <c r="B529" s="69">
        <f t="shared" si="9"/>
        <v>20090120</v>
      </c>
      <c r="C529" s="70">
        <v>3.5900000000000001E-2</v>
      </c>
      <c r="D529" s="77">
        <v>0.01</v>
      </c>
      <c r="E529" s="77"/>
      <c r="F529" s="77">
        <v>1.4E-2</v>
      </c>
      <c r="G529" s="78">
        <v>15000000</v>
      </c>
      <c r="H529" s="79"/>
      <c r="I529" s="79"/>
      <c r="J529" s="79"/>
      <c r="K529" s="80">
        <v>2.1299999999999999E-2</v>
      </c>
      <c r="L529" s="80"/>
      <c r="M529" s="75" t="s">
        <v>143</v>
      </c>
      <c r="N529" s="75" t="b">
        <v>1</v>
      </c>
      <c r="O529" s="75" t="s">
        <v>144</v>
      </c>
      <c r="P529" s="75">
        <v>1994</v>
      </c>
      <c r="Q529" s="75">
        <v>2015</v>
      </c>
      <c r="R529" s="75">
        <v>1</v>
      </c>
      <c r="S529" s="81"/>
      <c r="T529" s="82"/>
      <c r="U529" s="83"/>
    </row>
    <row r="530" spans="1:21" s="84" customFormat="1" x14ac:dyDescent="0.3">
      <c r="A530" s="68">
        <v>39834</v>
      </c>
      <c r="B530" s="69">
        <f t="shared" si="9"/>
        <v>20090121</v>
      </c>
      <c r="C530" s="70">
        <v>3.6499999999999998E-2</v>
      </c>
      <c r="D530" s="77">
        <v>0.01</v>
      </c>
      <c r="E530" s="77"/>
      <c r="F530" s="77">
        <v>1.4E-2</v>
      </c>
      <c r="G530" s="78">
        <v>15000000</v>
      </c>
      <c r="H530" s="79"/>
      <c r="I530" s="79"/>
      <c r="J530" s="79"/>
      <c r="K530" s="80">
        <v>2.1899999999999999E-2</v>
      </c>
      <c r="L530" s="80"/>
      <c r="M530" s="75" t="s">
        <v>143</v>
      </c>
      <c r="N530" s="75" t="b">
        <v>1</v>
      </c>
      <c r="O530" s="75" t="s">
        <v>144</v>
      </c>
      <c r="P530" s="75">
        <v>1994</v>
      </c>
      <c r="Q530" s="75">
        <v>2015</v>
      </c>
      <c r="R530" s="75">
        <v>1</v>
      </c>
      <c r="S530" s="81"/>
      <c r="T530" s="82"/>
      <c r="U530" s="83"/>
    </row>
    <row r="531" spans="1:21" s="84" customFormat="1" x14ac:dyDescent="0.3">
      <c r="A531" s="68">
        <v>39835</v>
      </c>
      <c r="B531" s="69">
        <f t="shared" si="9"/>
        <v>20090122</v>
      </c>
      <c r="C531" s="70">
        <v>3.6499999999999998E-2</v>
      </c>
      <c r="D531" s="77">
        <v>0.01</v>
      </c>
      <c r="E531" s="77"/>
      <c r="F531" s="77">
        <v>1.4E-2</v>
      </c>
      <c r="G531" s="78">
        <v>15000000</v>
      </c>
      <c r="H531" s="79"/>
      <c r="I531" s="79"/>
      <c r="J531" s="79"/>
      <c r="K531" s="80">
        <v>2.23E-2</v>
      </c>
      <c r="L531" s="80"/>
      <c r="M531" s="75" t="s">
        <v>143</v>
      </c>
      <c r="N531" s="75" t="b">
        <v>1</v>
      </c>
      <c r="O531" s="75" t="s">
        <v>144</v>
      </c>
      <c r="P531" s="75">
        <v>1994</v>
      </c>
      <c r="Q531" s="75">
        <v>2015</v>
      </c>
      <c r="R531" s="75">
        <v>1</v>
      </c>
      <c r="S531" s="81"/>
      <c r="T531" s="82"/>
      <c r="U531" s="83"/>
    </row>
    <row r="532" spans="1:21" s="84" customFormat="1" x14ac:dyDescent="0.3">
      <c r="A532" s="68">
        <v>39836</v>
      </c>
      <c r="B532" s="69">
        <f t="shared" si="9"/>
        <v>20090123</v>
      </c>
      <c r="C532" s="70">
        <v>3.6799999999999999E-2</v>
      </c>
      <c r="D532" s="77">
        <v>0.01</v>
      </c>
      <c r="E532" s="77"/>
      <c r="F532" s="77">
        <v>1.4E-2</v>
      </c>
      <c r="G532" s="78">
        <v>15000000</v>
      </c>
      <c r="H532" s="79"/>
      <c r="I532" s="79"/>
      <c r="J532" s="79"/>
      <c r="K532" s="80">
        <v>2.2599999999999999E-2</v>
      </c>
      <c r="L532" s="80"/>
      <c r="M532" s="75" t="s">
        <v>143</v>
      </c>
      <c r="N532" s="75" t="b">
        <v>1</v>
      </c>
      <c r="O532" s="75" t="s">
        <v>144</v>
      </c>
      <c r="P532" s="75">
        <v>1994</v>
      </c>
      <c r="Q532" s="75">
        <v>2015</v>
      </c>
      <c r="R532" s="75">
        <v>1</v>
      </c>
      <c r="S532" s="81"/>
      <c r="T532" s="82"/>
      <c r="U532" s="83"/>
    </row>
    <row r="533" spans="1:21" s="84" customFormat="1" x14ac:dyDescent="0.3">
      <c r="A533" s="68">
        <v>39839</v>
      </c>
      <c r="B533" s="69">
        <f t="shared" si="9"/>
        <v>20090126</v>
      </c>
      <c r="C533" s="70">
        <v>3.7499999999999999E-2</v>
      </c>
      <c r="D533" s="77">
        <v>0.01</v>
      </c>
      <c r="E533" s="77"/>
      <c r="F533" s="77">
        <v>1.4E-2</v>
      </c>
      <c r="G533" s="78">
        <v>15000000</v>
      </c>
      <c r="H533" s="79"/>
      <c r="I533" s="79"/>
      <c r="J533" s="79"/>
      <c r="K533" s="80">
        <v>2.3199999999999998E-2</v>
      </c>
      <c r="L533" s="80"/>
      <c r="M533" s="75" t="s">
        <v>143</v>
      </c>
      <c r="N533" s="75" t="b">
        <v>1</v>
      </c>
      <c r="O533" s="75" t="s">
        <v>144</v>
      </c>
      <c r="P533" s="75">
        <v>1994</v>
      </c>
      <c r="Q533" s="75">
        <v>2015</v>
      </c>
      <c r="R533" s="75">
        <v>1</v>
      </c>
      <c r="S533" s="81"/>
      <c r="T533" s="82"/>
      <c r="U533" s="83"/>
    </row>
    <row r="534" spans="1:21" s="84" customFormat="1" x14ac:dyDescent="0.3">
      <c r="A534" s="68">
        <v>39840</v>
      </c>
      <c r="B534" s="69">
        <f t="shared" si="9"/>
        <v>20090127</v>
      </c>
      <c r="C534" s="70">
        <v>3.7100000000000001E-2</v>
      </c>
      <c r="D534" s="77">
        <v>0.01</v>
      </c>
      <c r="E534" s="77"/>
      <c r="F534" s="77">
        <v>1.4E-2</v>
      </c>
      <c r="G534" s="78">
        <v>15000000</v>
      </c>
      <c r="H534" s="79"/>
      <c r="I534" s="79"/>
      <c r="J534" s="79"/>
      <c r="K534" s="80">
        <v>2.2499999999999999E-2</v>
      </c>
      <c r="L534" s="80"/>
      <c r="M534" s="75" t="s">
        <v>143</v>
      </c>
      <c r="N534" s="75" t="b">
        <v>1</v>
      </c>
      <c r="O534" s="75" t="s">
        <v>144</v>
      </c>
      <c r="P534" s="75">
        <v>1994</v>
      </c>
      <c r="Q534" s="75">
        <v>2015</v>
      </c>
      <c r="R534" s="75">
        <v>1</v>
      </c>
      <c r="S534" s="81"/>
      <c r="T534" s="82"/>
      <c r="U534" s="83"/>
    </row>
    <row r="535" spans="1:21" s="84" customFormat="1" x14ac:dyDescent="0.3">
      <c r="A535" s="68">
        <v>39841</v>
      </c>
      <c r="B535" s="69">
        <f t="shared" si="9"/>
        <v>20090128</v>
      </c>
      <c r="C535" s="70">
        <v>3.7400000000000003E-2</v>
      </c>
      <c r="D535" s="77">
        <v>0.01</v>
      </c>
      <c r="E535" s="77"/>
      <c r="F535" s="77">
        <v>1.4E-2</v>
      </c>
      <c r="G535" s="78">
        <v>15000000</v>
      </c>
      <c r="H535" s="79"/>
      <c r="I535" s="79"/>
      <c r="J535" s="79"/>
      <c r="K535" s="80">
        <v>2.2599999999999999E-2</v>
      </c>
      <c r="L535" s="80"/>
      <c r="M535" s="75" t="s">
        <v>143</v>
      </c>
      <c r="N535" s="75" t="b">
        <v>1</v>
      </c>
      <c r="O535" s="75" t="s">
        <v>144</v>
      </c>
      <c r="P535" s="75">
        <v>1994</v>
      </c>
      <c r="Q535" s="75">
        <v>2015</v>
      </c>
      <c r="R535" s="75">
        <v>1</v>
      </c>
      <c r="S535" s="81"/>
      <c r="T535" s="82"/>
      <c r="U535" s="83"/>
    </row>
    <row r="536" spans="1:21" s="84" customFormat="1" x14ac:dyDescent="0.3">
      <c r="A536" s="68">
        <v>39842</v>
      </c>
      <c r="B536" s="69">
        <f t="shared" si="9"/>
        <v>20090129</v>
      </c>
      <c r="C536" s="70">
        <v>3.8199999999999998E-2</v>
      </c>
      <c r="D536" s="77">
        <v>0.01</v>
      </c>
      <c r="E536" s="77"/>
      <c r="F536" s="77">
        <v>1.4E-2</v>
      </c>
      <c r="G536" s="78">
        <v>15000000</v>
      </c>
      <c r="H536" s="79"/>
      <c r="I536" s="79"/>
      <c r="J536" s="79"/>
      <c r="K536" s="80">
        <v>2.3199999999999998E-2</v>
      </c>
      <c r="L536" s="80"/>
      <c r="M536" s="75" t="s">
        <v>143</v>
      </c>
      <c r="N536" s="75" t="b">
        <v>1</v>
      </c>
      <c r="O536" s="75" t="s">
        <v>144</v>
      </c>
      <c r="P536" s="75">
        <v>1994</v>
      </c>
      <c r="Q536" s="75">
        <v>2015</v>
      </c>
      <c r="R536" s="75">
        <v>1</v>
      </c>
      <c r="S536" s="81"/>
      <c r="T536" s="82"/>
      <c r="U536" s="83"/>
    </row>
    <row r="537" spans="1:21" s="84" customFormat="1" x14ac:dyDescent="0.3">
      <c r="A537" s="68">
        <v>39843</v>
      </c>
      <c r="B537" s="69">
        <f t="shared" si="9"/>
        <v>20090130</v>
      </c>
      <c r="C537" s="70">
        <v>3.7999999999999999E-2</v>
      </c>
      <c r="D537" s="77">
        <v>0.01</v>
      </c>
      <c r="E537" s="77"/>
      <c r="F537" s="77">
        <v>1.4E-2</v>
      </c>
      <c r="G537" s="78">
        <v>15000000</v>
      </c>
      <c r="H537" s="79"/>
      <c r="I537" s="79"/>
      <c r="J537" s="79"/>
      <c r="K537" s="80">
        <v>2.2700000000000001E-2</v>
      </c>
      <c r="L537" s="80"/>
      <c r="M537" s="75" t="s">
        <v>143</v>
      </c>
      <c r="N537" s="75" t="b">
        <v>1</v>
      </c>
      <c r="O537" s="75" t="s">
        <v>144</v>
      </c>
      <c r="P537" s="75">
        <v>1994</v>
      </c>
      <c r="Q537" s="75">
        <v>2015</v>
      </c>
      <c r="R537" s="75">
        <v>1</v>
      </c>
      <c r="S537" s="81"/>
      <c r="T537" s="82"/>
      <c r="U537" s="83"/>
    </row>
    <row r="538" spans="1:21" s="84" customFormat="1" x14ac:dyDescent="0.3">
      <c r="A538" s="68">
        <v>39846</v>
      </c>
      <c r="B538" s="69">
        <f t="shared" si="9"/>
        <v>20090202</v>
      </c>
      <c r="C538" s="70">
        <v>3.7100000000000001E-2</v>
      </c>
      <c r="D538" s="77">
        <v>0.01</v>
      </c>
      <c r="E538" s="77"/>
      <c r="F538" s="77">
        <v>1.4E-2</v>
      </c>
      <c r="G538" s="78">
        <v>15000000</v>
      </c>
      <c r="H538" s="79"/>
      <c r="I538" s="79"/>
      <c r="J538" s="79"/>
      <c r="K538" s="80">
        <v>2.1899999999999999E-2</v>
      </c>
      <c r="L538" s="80"/>
      <c r="M538" s="75" t="s">
        <v>143</v>
      </c>
      <c r="N538" s="75" t="b">
        <v>1</v>
      </c>
      <c r="O538" s="75" t="s">
        <v>144</v>
      </c>
      <c r="P538" s="75">
        <v>1994</v>
      </c>
      <c r="Q538" s="75">
        <v>2015</v>
      </c>
      <c r="R538" s="75">
        <v>1</v>
      </c>
      <c r="S538" s="81"/>
      <c r="T538" s="82"/>
      <c r="U538" s="83"/>
    </row>
    <row r="539" spans="1:21" s="84" customFormat="1" x14ac:dyDescent="0.3">
      <c r="A539" s="68">
        <v>39847</v>
      </c>
      <c r="B539" s="69">
        <f t="shared" si="9"/>
        <v>20090203</v>
      </c>
      <c r="C539" s="70">
        <v>3.78E-2</v>
      </c>
      <c r="D539" s="77">
        <v>0.01</v>
      </c>
      <c r="E539" s="77"/>
      <c r="F539" s="77">
        <v>1.4E-2</v>
      </c>
      <c r="G539" s="78">
        <v>15000000</v>
      </c>
      <c r="H539" s="79"/>
      <c r="I539" s="79"/>
      <c r="J539" s="79"/>
      <c r="K539" s="80">
        <v>2.2200000000000001E-2</v>
      </c>
      <c r="L539" s="80"/>
      <c r="M539" s="75" t="s">
        <v>143</v>
      </c>
      <c r="N539" s="75" t="b">
        <v>1</v>
      </c>
      <c r="O539" s="75" t="s">
        <v>144</v>
      </c>
      <c r="P539" s="75">
        <v>1994</v>
      </c>
      <c r="Q539" s="75">
        <v>2015</v>
      </c>
      <c r="R539" s="75">
        <v>1</v>
      </c>
      <c r="S539" s="81"/>
      <c r="T539" s="82"/>
      <c r="U539" s="83"/>
    </row>
    <row r="540" spans="1:21" s="84" customFormat="1" x14ac:dyDescent="0.3">
      <c r="A540" s="68">
        <v>39848</v>
      </c>
      <c r="B540" s="69">
        <f t="shared" si="9"/>
        <v>20090204</v>
      </c>
      <c r="C540" s="70">
        <v>3.8199999999999998E-2</v>
      </c>
      <c r="D540" s="77">
        <v>0.01</v>
      </c>
      <c r="E540" s="77"/>
      <c r="F540" s="77">
        <v>1.4E-2</v>
      </c>
      <c r="G540" s="78">
        <v>15000000</v>
      </c>
      <c r="H540" s="79"/>
      <c r="I540" s="79"/>
      <c r="J540" s="79"/>
      <c r="K540" s="80">
        <v>2.2400000000000003E-2</v>
      </c>
      <c r="L540" s="80"/>
      <c r="M540" s="75" t="s">
        <v>143</v>
      </c>
      <c r="N540" s="75" t="b">
        <v>1</v>
      </c>
      <c r="O540" s="75" t="s">
        <v>144</v>
      </c>
      <c r="P540" s="75">
        <v>1994</v>
      </c>
      <c r="Q540" s="75">
        <v>2015</v>
      </c>
      <c r="R540" s="75">
        <v>1</v>
      </c>
      <c r="S540" s="81"/>
      <c r="T540" s="82"/>
      <c r="U540" s="83"/>
    </row>
    <row r="541" spans="1:21" s="84" customFormat="1" x14ac:dyDescent="0.3">
      <c r="A541" s="68">
        <v>39849</v>
      </c>
      <c r="B541" s="69">
        <f t="shared" si="9"/>
        <v>20090205</v>
      </c>
      <c r="C541" s="70">
        <v>3.7499999999999999E-2</v>
      </c>
      <c r="D541" s="77">
        <v>0.01</v>
      </c>
      <c r="E541" s="77"/>
      <c r="F541" s="77">
        <v>1.4E-2</v>
      </c>
      <c r="G541" s="78">
        <v>15000000</v>
      </c>
      <c r="H541" s="79"/>
      <c r="I541" s="79"/>
      <c r="J541" s="79"/>
      <c r="K541" s="80">
        <v>2.18E-2</v>
      </c>
      <c r="L541" s="80"/>
      <c r="M541" s="75" t="s">
        <v>143</v>
      </c>
      <c r="N541" s="75" t="b">
        <v>1</v>
      </c>
      <c r="O541" s="75" t="s">
        <v>144</v>
      </c>
      <c r="P541" s="75">
        <v>1994</v>
      </c>
      <c r="Q541" s="75">
        <v>2015</v>
      </c>
      <c r="R541" s="75">
        <v>1</v>
      </c>
      <c r="S541" s="81"/>
      <c r="T541" s="82"/>
      <c r="U541" s="83"/>
    </row>
    <row r="542" spans="1:21" s="84" customFormat="1" x14ac:dyDescent="0.3">
      <c r="A542" s="68">
        <v>39850</v>
      </c>
      <c r="B542" s="69">
        <f t="shared" si="9"/>
        <v>20090206</v>
      </c>
      <c r="C542" s="70">
        <v>3.7900000000000003E-2</v>
      </c>
      <c r="D542" s="77">
        <v>0.01</v>
      </c>
      <c r="E542" s="77"/>
      <c r="F542" s="77">
        <v>1.4E-2</v>
      </c>
      <c r="G542" s="78">
        <v>15000000</v>
      </c>
      <c r="H542" s="79"/>
      <c r="I542" s="79"/>
      <c r="J542" s="79"/>
      <c r="K542" s="80">
        <v>2.2099999999999998E-2</v>
      </c>
      <c r="L542" s="80"/>
      <c r="M542" s="75" t="s">
        <v>143</v>
      </c>
      <c r="N542" s="75" t="b">
        <v>1</v>
      </c>
      <c r="O542" s="75" t="s">
        <v>144</v>
      </c>
      <c r="P542" s="75">
        <v>1994</v>
      </c>
      <c r="Q542" s="75">
        <v>2015</v>
      </c>
      <c r="R542" s="75">
        <v>1</v>
      </c>
      <c r="S542" s="81"/>
      <c r="T542" s="82"/>
      <c r="U542" s="83"/>
    </row>
    <row r="543" spans="1:21" s="84" customFormat="1" x14ac:dyDescent="0.3">
      <c r="A543" s="68">
        <v>39853</v>
      </c>
      <c r="B543" s="69">
        <f t="shared" si="9"/>
        <v>20090209</v>
      </c>
      <c r="C543" s="70">
        <v>3.7999999999999999E-2</v>
      </c>
      <c r="D543" s="77">
        <v>0.01</v>
      </c>
      <c r="E543" s="77"/>
      <c r="F543" s="77">
        <v>1.4E-2</v>
      </c>
      <c r="G543" s="78">
        <v>15000000</v>
      </c>
      <c r="H543" s="79"/>
      <c r="I543" s="79"/>
      <c r="J543" s="79"/>
      <c r="K543" s="80">
        <v>2.1600000000000001E-2</v>
      </c>
      <c r="L543" s="80"/>
      <c r="M543" s="75" t="s">
        <v>143</v>
      </c>
      <c r="N543" s="75" t="b">
        <v>1</v>
      </c>
      <c r="O543" s="75" t="s">
        <v>144</v>
      </c>
      <c r="P543" s="75">
        <v>1994</v>
      </c>
      <c r="Q543" s="75">
        <v>2015</v>
      </c>
      <c r="R543" s="75">
        <v>1</v>
      </c>
      <c r="S543" s="81"/>
      <c r="T543" s="82"/>
      <c r="U543" s="83"/>
    </row>
    <row r="544" spans="1:21" s="84" customFormat="1" x14ac:dyDescent="0.3">
      <c r="A544" s="68">
        <v>39854</v>
      </c>
      <c r="B544" s="69">
        <f t="shared" si="9"/>
        <v>20090210</v>
      </c>
      <c r="C544" s="70">
        <v>3.7200000000000004E-2</v>
      </c>
      <c r="D544" s="77">
        <v>0.01</v>
      </c>
      <c r="E544" s="77"/>
      <c r="F544" s="77">
        <v>1.4E-2</v>
      </c>
      <c r="G544" s="78">
        <v>15000000</v>
      </c>
      <c r="H544" s="79"/>
      <c r="I544" s="79"/>
      <c r="J544" s="79"/>
      <c r="K544" s="80">
        <v>2.1000000000000001E-2</v>
      </c>
      <c r="L544" s="80"/>
      <c r="M544" s="75" t="s">
        <v>143</v>
      </c>
      <c r="N544" s="75" t="b">
        <v>1</v>
      </c>
      <c r="O544" s="75" t="s">
        <v>144</v>
      </c>
      <c r="P544" s="75">
        <v>1994</v>
      </c>
      <c r="Q544" s="75">
        <v>2015</v>
      </c>
      <c r="R544" s="75">
        <v>1</v>
      </c>
      <c r="S544" s="81"/>
      <c r="T544" s="82"/>
      <c r="U544" s="83"/>
    </row>
    <row r="545" spans="1:21" s="84" customFormat="1" x14ac:dyDescent="0.3">
      <c r="A545" s="68">
        <v>39855</v>
      </c>
      <c r="B545" s="69">
        <f t="shared" si="9"/>
        <v>20090211</v>
      </c>
      <c r="C545" s="70">
        <v>3.6900000000000002E-2</v>
      </c>
      <c r="D545" s="77">
        <v>0.01</v>
      </c>
      <c r="E545" s="77"/>
      <c r="F545" s="77">
        <v>1.4E-2</v>
      </c>
      <c r="G545" s="78">
        <v>15000000</v>
      </c>
      <c r="H545" s="79"/>
      <c r="I545" s="79"/>
      <c r="J545" s="79"/>
      <c r="K545" s="80">
        <v>2.0899999999999998E-2</v>
      </c>
      <c r="L545" s="80"/>
      <c r="M545" s="75" t="s">
        <v>143</v>
      </c>
      <c r="N545" s="75" t="b">
        <v>1</v>
      </c>
      <c r="O545" s="75" t="s">
        <v>144</v>
      </c>
      <c r="P545" s="75">
        <v>1994</v>
      </c>
      <c r="Q545" s="75">
        <v>2015</v>
      </c>
      <c r="R545" s="75">
        <v>1</v>
      </c>
      <c r="S545" s="81"/>
      <c r="T545" s="82"/>
      <c r="U545" s="83"/>
    </row>
    <row r="546" spans="1:21" s="84" customFormat="1" x14ac:dyDescent="0.3">
      <c r="A546" s="68">
        <v>39856</v>
      </c>
      <c r="B546" s="69">
        <f t="shared" si="9"/>
        <v>20090212</v>
      </c>
      <c r="C546" s="70">
        <v>3.6499999999999998E-2</v>
      </c>
      <c r="D546" s="77">
        <v>0.01</v>
      </c>
      <c r="E546" s="77"/>
      <c r="F546" s="77">
        <v>1.4E-2</v>
      </c>
      <c r="G546" s="78">
        <v>15000000</v>
      </c>
      <c r="H546" s="79"/>
      <c r="I546" s="79"/>
      <c r="J546" s="79"/>
      <c r="K546" s="80">
        <v>2.0400000000000001E-2</v>
      </c>
      <c r="L546" s="80"/>
      <c r="M546" s="75" t="s">
        <v>143</v>
      </c>
      <c r="N546" s="75" t="b">
        <v>1</v>
      </c>
      <c r="O546" s="75" t="s">
        <v>144</v>
      </c>
      <c r="P546" s="75">
        <v>1994</v>
      </c>
      <c r="Q546" s="75">
        <v>2015</v>
      </c>
      <c r="R546" s="75">
        <v>1</v>
      </c>
      <c r="S546" s="81"/>
      <c r="T546" s="82"/>
      <c r="U546" s="83"/>
    </row>
    <row r="547" spans="1:21" s="84" customFormat="1" x14ac:dyDescent="0.3">
      <c r="A547" s="68">
        <v>39857</v>
      </c>
      <c r="B547" s="69">
        <f t="shared" si="9"/>
        <v>20090213</v>
      </c>
      <c r="C547" s="70">
        <v>3.6799999999999999E-2</v>
      </c>
      <c r="D547" s="77">
        <v>0.01</v>
      </c>
      <c r="E547" s="77"/>
      <c r="F547" s="77">
        <v>1.4E-2</v>
      </c>
      <c r="G547" s="78">
        <v>15000000</v>
      </c>
      <c r="H547" s="79"/>
      <c r="I547" s="79"/>
      <c r="J547" s="79"/>
      <c r="K547" s="80">
        <v>2.06E-2</v>
      </c>
      <c r="L547" s="80"/>
      <c r="M547" s="75" t="s">
        <v>143</v>
      </c>
      <c r="N547" s="75" t="b">
        <v>1</v>
      </c>
      <c r="O547" s="75" t="s">
        <v>144</v>
      </c>
      <c r="P547" s="75">
        <v>1994</v>
      </c>
      <c r="Q547" s="75">
        <v>2015</v>
      </c>
      <c r="R547" s="75">
        <v>1</v>
      </c>
      <c r="S547" s="81"/>
      <c r="T547" s="82"/>
      <c r="U547" s="83"/>
    </row>
    <row r="548" spans="1:21" s="84" customFormat="1" x14ac:dyDescent="0.3">
      <c r="A548" s="68">
        <v>39861</v>
      </c>
      <c r="B548" s="69">
        <f t="shared" si="9"/>
        <v>20090217</v>
      </c>
      <c r="C548" s="70">
        <v>3.5499999999999997E-2</v>
      </c>
      <c r="D548" s="77">
        <v>0.01</v>
      </c>
      <c r="E548" s="77"/>
      <c r="F548" s="77">
        <v>1.4E-2</v>
      </c>
      <c r="G548" s="78">
        <v>15000000</v>
      </c>
      <c r="H548" s="79"/>
      <c r="I548" s="79"/>
      <c r="J548" s="79"/>
      <c r="K548" s="80">
        <v>1.9699999999999999E-2</v>
      </c>
      <c r="L548" s="80"/>
      <c r="M548" s="75" t="s">
        <v>143</v>
      </c>
      <c r="N548" s="75" t="b">
        <v>1</v>
      </c>
      <c r="O548" s="75" t="s">
        <v>144</v>
      </c>
      <c r="P548" s="75">
        <v>1994</v>
      </c>
      <c r="Q548" s="75">
        <v>2015</v>
      </c>
      <c r="R548" s="75">
        <v>1</v>
      </c>
      <c r="S548" s="81"/>
      <c r="T548" s="82"/>
      <c r="U548" s="83"/>
    </row>
    <row r="549" spans="1:21" s="84" customFormat="1" x14ac:dyDescent="0.3">
      <c r="A549" s="68">
        <v>39862</v>
      </c>
      <c r="B549" s="69">
        <f t="shared" si="9"/>
        <v>20090218</v>
      </c>
      <c r="C549" s="70">
        <v>3.5900000000000001E-2</v>
      </c>
      <c r="D549" s="77">
        <v>0.01</v>
      </c>
      <c r="E549" s="77"/>
      <c r="F549" s="77">
        <v>1.4E-2</v>
      </c>
      <c r="G549" s="78">
        <v>15000000</v>
      </c>
      <c r="H549" s="79"/>
      <c r="I549" s="79"/>
      <c r="J549" s="79"/>
      <c r="K549" s="80">
        <v>1.9900000000000001E-2</v>
      </c>
      <c r="L549" s="80"/>
      <c r="M549" s="75" t="s">
        <v>143</v>
      </c>
      <c r="N549" s="75" t="b">
        <v>1</v>
      </c>
      <c r="O549" s="75" t="s">
        <v>144</v>
      </c>
      <c r="P549" s="75">
        <v>1994</v>
      </c>
      <c r="Q549" s="75">
        <v>2015</v>
      </c>
      <c r="R549" s="75">
        <v>1</v>
      </c>
      <c r="S549" s="81"/>
      <c r="T549" s="82"/>
      <c r="U549" s="83"/>
    </row>
    <row r="550" spans="1:21" s="84" customFormat="1" x14ac:dyDescent="0.3">
      <c r="A550" s="68">
        <v>39863</v>
      </c>
      <c r="B550" s="69">
        <f t="shared" si="9"/>
        <v>20090219</v>
      </c>
      <c r="C550" s="70">
        <v>3.6400000000000002E-2</v>
      </c>
      <c r="D550" s="77">
        <v>0.01</v>
      </c>
      <c r="E550" s="77"/>
      <c r="F550" s="77">
        <v>1.4E-2</v>
      </c>
      <c r="G550" s="78">
        <v>15000000</v>
      </c>
      <c r="H550" s="79"/>
      <c r="I550" s="79"/>
      <c r="J550" s="79"/>
      <c r="K550" s="80">
        <v>2.0199999999999999E-2</v>
      </c>
      <c r="L550" s="80"/>
      <c r="M550" s="75" t="s">
        <v>143</v>
      </c>
      <c r="N550" s="75" t="b">
        <v>1</v>
      </c>
      <c r="O550" s="75" t="s">
        <v>144</v>
      </c>
      <c r="P550" s="75">
        <v>1994</v>
      </c>
      <c r="Q550" s="75">
        <v>2015</v>
      </c>
      <c r="R550" s="75">
        <v>1</v>
      </c>
      <c r="S550" s="81"/>
      <c r="T550" s="82"/>
      <c r="U550" s="83"/>
    </row>
    <row r="551" spans="1:21" s="84" customFormat="1" x14ac:dyDescent="0.3">
      <c r="A551" s="68">
        <v>39864</v>
      </c>
      <c r="B551" s="69">
        <f t="shared" si="9"/>
        <v>20090220</v>
      </c>
      <c r="C551" s="70">
        <v>3.61E-2</v>
      </c>
      <c r="D551" s="77">
        <v>0.01</v>
      </c>
      <c r="E551" s="77"/>
      <c r="F551" s="77">
        <v>1.4E-2</v>
      </c>
      <c r="G551" s="78">
        <v>15000000</v>
      </c>
      <c r="H551" s="79"/>
      <c r="I551" s="79"/>
      <c r="J551" s="79"/>
      <c r="K551" s="80">
        <v>0.02</v>
      </c>
      <c r="L551" s="80"/>
      <c r="M551" s="75" t="s">
        <v>143</v>
      </c>
      <c r="N551" s="75" t="b">
        <v>1</v>
      </c>
      <c r="O551" s="75" t="s">
        <v>144</v>
      </c>
      <c r="P551" s="75">
        <v>1994</v>
      </c>
      <c r="Q551" s="75">
        <v>2015</v>
      </c>
      <c r="R551" s="75">
        <v>1</v>
      </c>
      <c r="S551" s="81"/>
      <c r="T551" s="82"/>
      <c r="U551" s="83"/>
    </row>
    <row r="552" spans="1:21" s="84" customFormat="1" x14ac:dyDescent="0.3">
      <c r="A552" s="68">
        <v>39867</v>
      </c>
      <c r="B552" s="69">
        <f t="shared" si="9"/>
        <v>20090223</v>
      </c>
      <c r="C552" s="70">
        <v>3.5799999999999998E-2</v>
      </c>
      <c r="D552" s="77">
        <v>0.01</v>
      </c>
      <c r="E552" s="77"/>
      <c r="F552" s="77">
        <v>1.4E-2</v>
      </c>
      <c r="G552" s="78">
        <v>15000000</v>
      </c>
      <c r="H552" s="79"/>
      <c r="I552" s="79"/>
      <c r="J552" s="79"/>
      <c r="K552" s="80">
        <v>0.02</v>
      </c>
      <c r="L552" s="80"/>
      <c r="M552" s="75" t="s">
        <v>143</v>
      </c>
      <c r="N552" s="75" t="b">
        <v>1</v>
      </c>
      <c r="O552" s="75" t="s">
        <v>144</v>
      </c>
      <c r="P552" s="75">
        <v>1994</v>
      </c>
      <c r="Q552" s="75">
        <v>2015</v>
      </c>
      <c r="R552" s="75">
        <v>1</v>
      </c>
      <c r="S552" s="81"/>
      <c r="T552" s="82"/>
      <c r="U552" s="83"/>
    </row>
    <row r="553" spans="1:21" s="84" customFormat="1" x14ac:dyDescent="0.3">
      <c r="A553" s="68">
        <v>39868</v>
      </c>
      <c r="B553" s="69">
        <f t="shared" si="9"/>
        <v>20090224</v>
      </c>
      <c r="C553" s="70">
        <v>3.61E-2</v>
      </c>
      <c r="D553" s="77">
        <v>0.01</v>
      </c>
      <c r="E553" s="77"/>
      <c r="F553" s="77">
        <v>1.4E-2</v>
      </c>
      <c r="G553" s="78">
        <v>15000000</v>
      </c>
      <c r="H553" s="79"/>
      <c r="I553" s="79"/>
      <c r="J553" s="79"/>
      <c r="K553" s="80">
        <v>2.0400000000000001E-2</v>
      </c>
      <c r="L553" s="80"/>
      <c r="M553" s="75" t="s">
        <v>143</v>
      </c>
      <c r="N553" s="75" t="b">
        <v>1</v>
      </c>
      <c r="O553" s="75" t="s">
        <v>144</v>
      </c>
      <c r="P553" s="75">
        <v>1994</v>
      </c>
      <c r="Q553" s="75">
        <v>2015</v>
      </c>
      <c r="R553" s="75">
        <v>1</v>
      </c>
      <c r="S553" s="81"/>
      <c r="T553" s="82"/>
      <c r="U553" s="83"/>
    </row>
    <row r="554" spans="1:21" s="84" customFormat="1" x14ac:dyDescent="0.3">
      <c r="A554" s="68">
        <v>39869</v>
      </c>
      <c r="B554" s="69">
        <f t="shared" si="9"/>
        <v>20090225</v>
      </c>
      <c r="C554" s="70">
        <v>3.7000000000000005E-2</v>
      </c>
      <c r="D554" s="77">
        <v>0.01</v>
      </c>
      <c r="E554" s="77"/>
      <c r="F554" s="77">
        <v>1.4E-2</v>
      </c>
      <c r="G554" s="78">
        <v>15000000</v>
      </c>
      <c r="H554" s="79"/>
      <c r="I554" s="79"/>
      <c r="J554" s="79"/>
      <c r="K554" s="80">
        <v>2.1899999999999999E-2</v>
      </c>
      <c r="L554" s="80"/>
      <c r="M554" s="75" t="s">
        <v>143</v>
      </c>
      <c r="N554" s="75" t="b">
        <v>1</v>
      </c>
      <c r="O554" s="75" t="s">
        <v>144</v>
      </c>
      <c r="P554" s="75">
        <v>1994</v>
      </c>
      <c r="Q554" s="75">
        <v>2015</v>
      </c>
      <c r="R554" s="75">
        <v>1</v>
      </c>
      <c r="S554" s="81"/>
      <c r="T554" s="82"/>
      <c r="U554" s="83"/>
    </row>
    <row r="555" spans="1:21" s="84" customFormat="1" x14ac:dyDescent="0.3">
      <c r="A555" s="68">
        <v>39870</v>
      </c>
      <c r="B555" s="69">
        <f t="shared" si="9"/>
        <v>20090226</v>
      </c>
      <c r="C555" s="70">
        <v>3.7000000000000005E-2</v>
      </c>
      <c r="D555" s="77">
        <v>0.01</v>
      </c>
      <c r="E555" s="77"/>
      <c r="F555" s="77">
        <v>1.4E-2</v>
      </c>
      <c r="G555" s="78">
        <v>15000000</v>
      </c>
      <c r="H555" s="79"/>
      <c r="I555" s="79"/>
      <c r="J555" s="79"/>
      <c r="K555" s="80">
        <v>2.3099999999999999E-2</v>
      </c>
      <c r="L555" s="80"/>
      <c r="M555" s="75" t="s">
        <v>143</v>
      </c>
      <c r="N555" s="75" t="b">
        <v>1</v>
      </c>
      <c r="O555" s="75" t="s">
        <v>144</v>
      </c>
      <c r="P555" s="75">
        <v>1994</v>
      </c>
      <c r="Q555" s="75">
        <v>2015</v>
      </c>
      <c r="R555" s="75">
        <v>1</v>
      </c>
      <c r="S555" s="81"/>
      <c r="T555" s="82"/>
      <c r="U555" s="83"/>
    </row>
    <row r="556" spans="1:21" s="84" customFormat="1" x14ac:dyDescent="0.3">
      <c r="A556" s="68">
        <v>39871</v>
      </c>
      <c r="B556" s="69">
        <f t="shared" si="9"/>
        <v>20090227</v>
      </c>
      <c r="C556" s="70">
        <v>3.7000000000000005E-2</v>
      </c>
      <c r="D556" s="77">
        <v>0.01</v>
      </c>
      <c r="E556" s="77"/>
      <c r="F556" s="77">
        <v>1.4E-2</v>
      </c>
      <c r="G556" s="78">
        <v>15000000</v>
      </c>
      <c r="H556" s="79"/>
      <c r="I556" s="79"/>
      <c r="J556" s="79"/>
      <c r="K556" s="80">
        <v>2.3199999999999998E-2</v>
      </c>
      <c r="L556" s="80"/>
      <c r="M556" s="75" t="s">
        <v>143</v>
      </c>
      <c r="N556" s="75" t="b">
        <v>1</v>
      </c>
      <c r="O556" s="75" t="s">
        <v>144</v>
      </c>
      <c r="P556" s="75">
        <v>1994</v>
      </c>
      <c r="Q556" s="75">
        <v>2015</v>
      </c>
      <c r="R556" s="75">
        <v>1</v>
      </c>
      <c r="S556" s="81"/>
      <c r="T556" s="82"/>
      <c r="U556" s="83"/>
    </row>
    <row r="557" spans="1:21" s="84" customFormat="1" x14ac:dyDescent="0.3">
      <c r="A557" s="68">
        <v>39874</v>
      </c>
      <c r="B557" s="69">
        <f t="shared" si="9"/>
        <v>20090302</v>
      </c>
      <c r="C557" s="70">
        <v>3.5799999999999998E-2</v>
      </c>
      <c r="D557" s="77">
        <v>0.01</v>
      </c>
      <c r="E557" s="77"/>
      <c r="F557" s="77">
        <v>1.4E-2</v>
      </c>
      <c r="G557" s="78">
        <v>15000000</v>
      </c>
      <c r="H557" s="79"/>
      <c r="I557" s="79"/>
      <c r="J557" s="79"/>
      <c r="K557" s="80">
        <v>2.2200000000000001E-2</v>
      </c>
      <c r="L557" s="80"/>
      <c r="M557" s="75" t="s">
        <v>143</v>
      </c>
      <c r="N557" s="75" t="b">
        <v>1</v>
      </c>
      <c r="O557" s="75" t="s">
        <v>144</v>
      </c>
      <c r="P557" s="75">
        <v>1994</v>
      </c>
      <c r="Q557" s="75">
        <v>2015</v>
      </c>
      <c r="R557" s="75">
        <v>1</v>
      </c>
      <c r="S557" s="81"/>
      <c r="T557" s="82"/>
      <c r="U557" s="83"/>
    </row>
    <row r="558" spans="1:21" s="84" customFormat="1" x14ac:dyDescent="0.3">
      <c r="A558" s="68">
        <v>39875</v>
      </c>
      <c r="B558" s="69">
        <f t="shared" si="9"/>
        <v>20090303</v>
      </c>
      <c r="C558" s="70">
        <v>3.5900000000000001E-2</v>
      </c>
      <c r="D558" s="77">
        <v>0.01</v>
      </c>
      <c r="E558" s="77"/>
      <c r="F558" s="77">
        <v>1.4E-2</v>
      </c>
      <c r="G558" s="78">
        <v>15000000</v>
      </c>
      <c r="H558" s="79"/>
      <c r="I558" s="79"/>
      <c r="J558" s="79"/>
      <c r="K558" s="80">
        <v>2.1899999999999999E-2</v>
      </c>
      <c r="L558" s="80"/>
      <c r="M558" s="75" t="s">
        <v>143</v>
      </c>
      <c r="N558" s="75" t="b">
        <v>1</v>
      </c>
      <c r="O558" s="75" t="s">
        <v>144</v>
      </c>
      <c r="P558" s="75">
        <v>1994</v>
      </c>
      <c r="Q558" s="75">
        <v>2015</v>
      </c>
      <c r="R558" s="75">
        <v>1</v>
      </c>
      <c r="S558" s="81"/>
      <c r="T558" s="82"/>
      <c r="U558" s="83"/>
    </row>
    <row r="559" spans="1:21" s="84" customFormat="1" x14ac:dyDescent="0.3">
      <c r="A559" s="68">
        <v>39876</v>
      </c>
      <c r="B559" s="69">
        <f t="shared" si="9"/>
        <v>20090304</v>
      </c>
      <c r="C559" s="70">
        <v>3.6299999999999999E-2</v>
      </c>
      <c r="D559" s="77">
        <v>0.01</v>
      </c>
      <c r="E559" s="77"/>
      <c r="F559" s="77">
        <v>1.4E-2</v>
      </c>
      <c r="G559" s="78">
        <v>15000000</v>
      </c>
      <c r="H559" s="79"/>
      <c r="I559" s="79"/>
      <c r="J559" s="79"/>
      <c r="K559" s="80">
        <v>2.2099999999999998E-2</v>
      </c>
      <c r="L559" s="80"/>
      <c r="M559" s="75" t="s">
        <v>143</v>
      </c>
      <c r="N559" s="75" t="b">
        <v>1</v>
      </c>
      <c r="O559" s="75" t="s">
        <v>144</v>
      </c>
      <c r="P559" s="75">
        <v>1994</v>
      </c>
      <c r="Q559" s="75">
        <v>2015</v>
      </c>
      <c r="R559" s="75">
        <v>1</v>
      </c>
      <c r="S559" s="81"/>
      <c r="T559" s="82"/>
      <c r="U559" s="83"/>
    </row>
    <row r="560" spans="1:21" s="84" customFormat="1" x14ac:dyDescent="0.3">
      <c r="A560" s="68">
        <v>39877</v>
      </c>
      <c r="B560" s="69">
        <f t="shared" si="9"/>
        <v>20090305</v>
      </c>
      <c r="C560" s="70">
        <v>3.5200000000000002E-2</v>
      </c>
      <c r="D560" s="77">
        <v>0.01</v>
      </c>
      <c r="E560" s="77"/>
      <c r="F560" s="77">
        <v>1.4E-2</v>
      </c>
      <c r="G560" s="78">
        <v>15000000</v>
      </c>
      <c r="H560" s="79"/>
      <c r="I560" s="79"/>
      <c r="J560" s="79"/>
      <c r="K560" s="80">
        <v>2.12E-2</v>
      </c>
      <c r="L560" s="80"/>
      <c r="M560" s="75" t="s">
        <v>143</v>
      </c>
      <c r="N560" s="75" t="b">
        <v>1</v>
      </c>
      <c r="O560" s="75" t="s">
        <v>144</v>
      </c>
      <c r="P560" s="75">
        <v>1994</v>
      </c>
      <c r="Q560" s="75">
        <v>2015</v>
      </c>
      <c r="R560" s="75">
        <v>1</v>
      </c>
      <c r="S560" s="81"/>
      <c r="T560" s="82"/>
      <c r="U560" s="83"/>
    </row>
    <row r="561" spans="1:21" s="84" customFormat="1" x14ac:dyDescent="0.3">
      <c r="A561" s="68">
        <v>39878</v>
      </c>
      <c r="B561" s="69">
        <f t="shared" si="9"/>
        <v>20090306</v>
      </c>
      <c r="C561" s="70">
        <v>3.56E-2</v>
      </c>
      <c r="D561" s="77">
        <v>0.01</v>
      </c>
      <c r="E561" s="77"/>
      <c r="F561" s="77">
        <v>1.4E-2</v>
      </c>
      <c r="G561" s="78">
        <v>15000000</v>
      </c>
      <c r="H561" s="79"/>
      <c r="I561" s="79"/>
      <c r="J561" s="79"/>
      <c r="K561" s="80">
        <v>2.1700000000000001E-2</v>
      </c>
      <c r="L561" s="80"/>
      <c r="M561" s="75" t="s">
        <v>143</v>
      </c>
      <c r="N561" s="75" t="b">
        <v>1</v>
      </c>
      <c r="O561" s="75" t="s">
        <v>144</v>
      </c>
      <c r="P561" s="75">
        <v>1994</v>
      </c>
      <c r="Q561" s="75">
        <v>2015</v>
      </c>
      <c r="R561" s="75">
        <v>1</v>
      </c>
      <c r="S561" s="81"/>
      <c r="T561" s="82"/>
      <c r="U561" s="83"/>
    </row>
    <row r="562" spans="1:21" s="84" customFormat="1" x14ac:dyDescent="0.3">
      <c r="A562" s="68">
        <v>39881</v>
      </c>
      <c r="B562" s="69">
        <f t="shared" si="9"/>
        <v>20090309</v>
      </c>
      <c r="C562" s="70">
        <v>3.5799999999999998E-2</v>
      </c>
      <c r="D562" s="77">
        <v>0.01</v>
      </c>
      <c r="E562" s="77"/>
      <c r="F562" s="77">
        <v>1.4E-2</v>
      </c>
      <c r="G562" s="78">
        <v>15000000</v>
      </c>
      <c r="H562" s="79"/>
      <c r="I562" s="79"/>
      <c r="J562" s="79"/>
      <c r="K562" s="80">
        <v>2.2000000000000002E-2</v>
      </c>
      <c r="L562" s="80"/>
      <c r="M562" s="75" t="s">
        <v>143</v>
      </c>
      <c r="N562" s="75" t="b">
        <v>1</v>
      </c>
      <c r="O562" s="75" t="s">
        <v>144</v>
      </c>
      <c r="P562" s="75">
        <v>1994</v>
      </c>
      <c r="Q562" s="75">
        <v>2015</v>
      </c>
      <c r="R562" s="75">
        <v>1</v>
      </c>
      <c r="S562" s="81"/>
      <c r="T562" s="82"/>
      <c r="U562" s="83"/>
    </row>
    <row r="563" spans="1:21" s="84" customFormat="1" x14ac:dyDescent="0.3">
      <c r="A563" s="68">
        <v>39882</v>
      </c>
      <c r="B563" s="69">
        <f t="shared" si="9"/>
        <v>20090310</v>
      </c>
      <c r="C563" s="70">
        <v>3.6499999999999998E-2</v>
      </c>
      <c r="D563" s="77">
        <v>0.01</v>
      </c>
      <c r="E563" s="77"/>
      <c r="F563" s="77">
        <v>1.4E-2</v>
      </c>
      <c r="G563" s="78">
        <v>15000000</v>
      </c>
      <c r="H563" s="79"/>
      <c r="I563" s="79"/>
      <c r="J563" s="79"/>
      <c r="K563" s="80">
        <v>2.2700000000000001E-2</v>
      </c>
      <c r="L563" s="80"/>
      <c r="M563" s="75" t="s">
        <v>143</v>
      </c>
      <c r="N563" s="75" t="b">
        <v>1</v>
      </c>
      <c r="O563" s="75" t="s">
        <v>144</v>
      </c>
      <c r="P563" s="75">
        <v>1994</v>
      </c>
      <c r="Q563" s="75">
        <v>2015</v>
      </c>
      <c r="R563" s="75">
        <v>1</v>
      </c>
      <c r="S563" s="81"/>
      <c r="T563" s="82"/>
      <c r="U563" s="83"/>
    </row>
    <row r="564" spans="1:21" s="84" customFormat="1" x14ac:dyDescent="0.3">
      <c r="A564" s="68">
        <v>39883</v>
      </c>
      <c r="B564" s="69">
        <f t="shared" si="9"/>
        <v>20090311</v>
      </c>
      <c r="C564" s="70">
        <v>3.5900000000000001E-2</v>
      </c>
      <c r="D564" s="77">
        <v>0.01</v>
      </c>
      <c r="E564" s="77"/>
      <c r="F564" s="77">
        <v>1.4E-2</v>
      </c>
      <c r="G564" s="78">
        <v>15000000</v>
      </c>
      <c r="H564" s="79"/>
      <c r="I564" s="79"/>
      <c r="J564" s="79"/>
      <c r="K564" s="80">
        <v>2.2200000000000001E-2</v>
      </c>
      <c r="L564" s="80"/>
      <c r="M564" s="75" t="s">
        <v>143</v>
      </c>
      <c r="N564" s="75" t="b">
        <v>1</v>
      </c>
      <c r="O564" s="75" t="s">
        <v>144</v>
      </c>
      <c r="P564" s="75">
        <v>1994</v>
      </c>
      <c r="Q564" s="75">
        <v>2015</v>
      </c>
      <c r="R564" s="75">
        <v>1</v>
      </c>
      <c r="S564" s="81"/>
      <c r="T564" s="82"/>
      <c r="U564" s="83"/>
    </row>
    <row r="565" spans="1:21" s="84" customFormat="1" x14ac:dyDescent="0.3">
      <c r="A565" s="68">
        <v>39884</v>
      </c>
      <c r="B565" s="69">
        <f t="shared" si="9"/>
        <v>20090312</v>
      </c>
      <c r="C565" s="70">
        <v>3.5799999999999998E-2</v>
      </c>
      <c r="D565" s="77">
        <v>0.01</v>
      </c>
      <c r="E565" s="77"/>
      <c r="F565" s="77">
        <v>1.4E-2</v>
      </c>
      <c r="G565" s="78">
        <v>15000000</v>
      </c>
      <c r="H565" s="79"/>
      <c r="I565" s="79"/>
      <c r="J565" s="79"/>
      <c r="K565" s="80">
        <v>2.1400000000000002E-2</v>
      </c>
      <c r="L565" s="80"/>
      <c r="M565" s="75" t="s">
        <v>143</v>
      </c>
      <c r="N565" s="75" t="b">
        <v>1</v>
      </c>
      <c r="O565" s="75" t="s">
        <v>144</v>
      </c>
      <c r="P565" s="75">
        <v>1994</v>
      </c>
      <c r="Q565" s="75">
        <v>2015</v>
      </c>
      <c r="R565" s="75">
        <v>1</v>
      </c>
      <c r="S565" s="81"/>
      <c r="T565" s="82"/>
      <c r="U565" s="83"/>
    </row>
    <row r="566" spans="1:21" s="84" customFormat="1" x14ac:dyDescent="0.3">
      <c r="A566" s="68">
        <v>39885</v>
      </c>
      <c r="B566" s="69">
        <f t="shared" si="9"/>
        <v>20090313</v>
      </c>
      <c r="C566" s="70">
        <v>3.5400000000000001E-2</v>
      </c>
      <c r="D566" s="77">
        <v>0.01</v>
      </c>
      <c r="E566" s="77"/>
      <c r="F566" s="77">
        <v>1.4E-2</v>
      </c>
      <c r="G566" s="78">
        <v>15000000</v>
      </c>
      <c r="H566" s="79"/>
      <c r="I566" s="79"/>
      <c r="J566" s="79"/>
      <c r="K566" s="80">
        <v>2.0899999999999998E-2</v>
      </c>
      <c r="L566" s="80"/>
      <c r="M566" s="75" t="s">
        <v>143</v>
      </c>
      <c r="N566" s="75" t="b">
        <v>1</v>
      </c>
      <c r="O566" s="75" t="s">
        <v>144</v>
      </c>
      <c r="P566" s="75">
        <v>1994</v>
      </c>
      <c r="Q566" s="75">
        <v>2015</v>
      </c>
      <c r="R566" s="75">
        <v>1</v>
      </c>
      <c r="S566" s="81"/>
      <c r="T566" s="82"/>
      <c r="U566" s="83"/>
    </row>
    <row r="567" spans="1:21" s="84" customFormat="1" x14ac:dyDescent="0.3">
      <c r="A567" s="68">
        <v>39888</v>
      </c>
      <c r="B567" s="69">
        <f t="shared" si="9"/>
        <v>20090316</v>
      </c>
      <c r="C567" s="70">
        <v>3.5499999999999997E-2</v>
      </c>
      <c r="D567" s="77">
        <v>0.01</v>
      </c>
      <c r="E567" s="77"/>
      <c r="F567" s="77">
        <v>1.4E-2</v>
      </c>
      <c r="G567" s="78">
        <v>15000000</v>
      </c>
      <c r="H567" s="79"/>
      <c r="I567" s="79"/>
      <c r="J567" s="79"/>
      <c r="K567" s="80">
        <v>2.06E-2</v>
      </c>
      <c r="L567" s="80"/>
      <c r="M567" s="75" t="s">
        <v>143</v>
      </c>
      <c r="N567" s="75" t="b">
        <v>1</v>
      </c>
      <c r="O567" s="75" t="s">
        <v>144</v>
      </c>
      <c r="P567" s="75">
        <v>1994</v>
      </c>
      <c r="Q567" s="75">
        <v>2015</v>
      </c>
      <c r="R567" s="75">
        <v>1</v>
      </c>
      <c r="S567" s="81"/>
      <c r="T567" s="82"/>
      <c r="U567" s="83"/>
    </row>
    <row r="568" spans="1:21" s="84" customFormat="1" x14ac:dyDescent="0.3">
      <c r="A568" s="68">
        <v>39889</v>
      </c>
      <c r="B568" s="69">
        <f t="shared" si="9"/>
        <v>20090317</v>
      </c>
      <c r="C568" s="70">
        <v>3.5799999999999998E-2</v>
      </c>
      <c r="D568" s="77">
        <v>0.01</v>
      </c>
      <c r="E568" s="77"/>
      <c r="F568" s="77">
        <v>1.4E-2</v>
      </c>
      <c r="G568" s="78">
        <v>15000000</v>
      </c>
      <c r="H568" s="79"/>
      <c r="I568" s="79"/>
      <c r="J568" s="79"/>
      <c r="K568" s="80">
        <v>2.0799999999999999E-2</v>
      </c>
      <c r="L568" s="80"/>
      <c r="M568" s="75" t="s">
        <v>143</v>
      </c>
      <c r="N568" s="75" t="b">
        <v>1</v>
      </c>
      <c r="O568" s="75" t="s">
        <v>144</v>
      </c>
      <c r="P568" s="75">
        <v>1994</v>
      </c>
      <c r="Q568" s="75">
        <v>2015</v>
      </c>
      <c r="R568" s="75">
        <v>1</v>
      </c>
      <c r="S568" s="81"/>
      <c r="T568" s="82"/>
      <c r="U568" s="83"/>
    </row>
    <row r="569" spans="1:21" s="84" customFormat="1" x14ac:dyDescent="0.3">
      <c r="A569" s="68">
        <v>39890</v>
      </c>
      <c r="B569" s="69">
        <f t="shared" si="9"/>
        <v>20090318</v>
      </c>
      <c r="C569" s="70">
        <v>3.4500000000000003E-2</v>
      </c>
      <c r="D569" s="77">
        <v>0.01</v>
      </c>
      <c r="E569" s="77"/>
      <c r="F569" s="77">
        <v>1.4E-2</v>
      </c>
      <c r="G569" s="78">
        <v>15000000</v>
      </c>
      <c r="H569" s="79"/>
      <c r="I569" s="79"/>
      <c r="J569" s="79"/>
      <c r="K569" s="80">
        <v>1.9099999999999999E-2</v>
      </c>
      <c r="L569" s="80"/>
      <c r="M569" s="75" t="s">
        <v>143</v>
      </c>
      <c r="N569" s="75" t="b">
        <v>1</v>
      </c>
      <c r="O569" s="75" t="s">
        <v>144</v>
      </c>
      <c r="P569" s="75">
        <v>1994</v>
      </c>
      <c r="Q569" s="75">
        <v>2015</v>
      </c>
      <c r="R569" s="75">
        <v>1</v>
      </c>
      <c r="S569" s="81"/>
      <c r="T569" s="82"/>
      <c r="U569" s="83"/>
    </row>
    <row r="570" spans="1:21" s="84" customFormat="1" x14ac:dyDescent="0.3">
      <c r="A570" s="68">
        <v>39891</v>
      </c>
      <c r="B570" s="69">
        <f t="shared" si="9"/>
        <v>20090319</v>
      </c>
      <c r="C570" s="70">
        <v>3.4599999999999999E-2</v>
      </c>
      <c r="D570" s="77">
        <v>0.01</v>
      </c>
      <c r="E570" s="77"/>
      <c r="F570" s="77">
        <v>1.4E-2</v>
      </c>
      <c r="G570" s="78">
        <v>15000000</v>
      </c>
      <c r="H570" s="79"/>
      <c r="I570" s="79"/>
      <c r="J570" s="79"/>
      <c r="K570" s="80">
        <v>1.8799999999999997E-2</v>
      </c>
      <c r="L570" s="80"/>
      <c r="M570" s="75" t="s">
        <v>143</v>
      </c>
      <c r="N570" s="75" t="b">
        <v>1</v>
      </c>
      <c r="O570" s="75" t="s">
        <v>144</v>
      </c>
      <c r="P570" s="75">
        <v>1994</v>
      </c>
      <c r="Q570" s="75">
        <v>2015</v>
      </c>
      <c r="R570" s="75">
        <v>1</v>
      </c>
      <c r="S570" s="81"/>
      <c r="T570" s="82"/>
      <c r="U570" s="83"/>
    </row>
    <row r="571" spans="1:21" s="84" customFormat="1" x14ac:dyDescent="0.3">
      <c r="A571" s="68">
        <v>39892</v>
      </c>
      <c r="B571" s="69">
        <f t="shared" si="9"/>
        <v>20090320</v>
      </c>
      <c r="C571" s="70">
        <v>3.49E-2</v>
      </c>
      <c r="D571" s="77">
        <v>0.01</v>
      </c>
      <c r="E571" s="77"/>
      <c r="F571" s="77">
        <v>1.4E-2</v>
      </c>
      <c r="G571" s="78">
        <v>15000000</v>
      </c>
      <c r="H571" s="79"/>
      <c r="I571" s="79"/>
      <c r="J571" s="79"/>
      <c r="K571" s="80">
        <v>1.9299999999999998E-2</v>
      </c>
      <c r="L571" s="80"/>
      <c r="M571" s="75" t="s">
        <v>143</v>
      </c>
      <c r="N571" s="75" t="b">
        <v>1</v>
      </c>
      <c r="O571" s="75" t="s">
        <v>144</v>
      </c>
      <c r="P571" s="75">
        <v>1994</v>
      </c>
      <c r="Q571" s="75">
        <v>2015</v>
      </c>
      <c r="R571" s="75">
        <v>1</v>
      </c>
      <c r="S571" s="81"/>
      <c r="T571" s="82"/>
      <c r="U571" s="83"/>
    </row>
    <row r="572" spans="1:21" s="84" customFormat="1" x14ac:dyDescent="0.3">
      <c r="A572" s="68">
        <v>39895</v>
      </c>
      <c r="B572" s="69">
        <f t="shared" si="9"/>
        <v>20090323</v>
      </c>
      <c r="C572" s="70">
        <v>3.5000000000000003E-2</v>
      </c>
      <c r="D572" s="77">
        <v>0.01</v>
      </c>
      <c r="E572" s="77"/>
      <c r="F572" s="77">
        <v>1.4E-2</v>
      </c>
      <c r="G572" s="78">
        <v>15000000</v>
      </c>
      <c r="H572" s="79"/>
      <c r="I572" s="79"/>
      <c r="J572" s="79"/>
      <c r="K572" s="80">
        <v>1.9299999999999998E-2</v>
      </c>
      <c r="L572" s="80"/>
      <c r="M572" s="75" t="s">
        <v>143</v>
      </c>
      <c r="N572" s="75" t="b">
        <v>1</v>
      </c>
      <c r="O572" s="75" t="s">
        <v>144</v>
      </c>
      <c r="P572" s="75">
        <v>1994</v>
      </c>
      <c r="Q572" s="75">
        <v>2015</v>
      </c>
      <c r="R572" s="75">
        <v>1</v>
      </c>
      <c r="S572" s="81"/>
      <c r="T572" s="82"/>
      <c r="U572" s="83"/>
    </row>
    <row r="573" spans="1:21" s="84" customFormat="1" x14ac:dyDescent="0.3">
      <c r="A573" s="68">
        <v>39896</v>
      </c>
      <c r="B573" s="69">
        <f t="shared" si="9"/>
        <v>20090324</v>
      </c>
      <c r="C573" s="70">
        <v>3.5799999999999998E-2</v>
      </c>
      <c r="D573" s="77">
        <v>0.01</v>
      </c>
      <c r="E573" s="77"/>
      <c r="F573" s="77">
        <v>1.4E-2</v>
      </c>
      <c r="G573" s="78">
        <v>15000000</v>
      </c>
      <c r="H573" s="79"/>
      <c r="I573" s="79"/>
      <c r="J573" s="79"/>
      <c r="K573" s="80">
        <v>1.9799999999999998E-2</v>
      </c>
      <c r="L573" s="80"/>
      <c r="M573" s="75" t="s">
        <v>143</v>
      </c>
      <c r="N573" s="75" t="b">
        <v>1</v>
      </c>
      <c r="O573" s="75" t="s">
        <v>144</v>
      </c>
      <c r="P573" s="75">
        <v>1994</v>
      </c>
      <c r="Q573" s="75">
        <v>2015</v>
      </c>
      <c r="R573" s="75">
        <v>1</v>
      </c>
      <c r="S573" s="81"/>
      <c r="T573" s="82"/>
      <c r="U573" s="83"/>
    </row>
    <row r="574" spans="1:21" s="84" customFormat="1" x14ac:dyDescent="0.3">
      <c r="A574" s="68">
        <v>39897</v>
      </c>
      <c r="B574" s="69">
        <f t="shared" si="9"/>
        <v>20090325</v>
      </c>
      <c r="C574" s="70">
        <v>3.6299999999999999E-2</v>
      </c>
      <c r="D574" s="77">
        <v>0.01</v>
      </c>
      <c r="E574" s="77"/>
      <c r="F574" s="77">
        <v>1.4E-2</v>
      </c>
      <c r="G574" s="78">
        <v>15000000</v>
      </c>
      <c r="H574" s="79"/>
      <c r="I574" s="79"/>
      <c r="J574" s="79"/>
      <c r="K574" s="80">
        <v>0.02</v>
      </c>
      <c r="L574" s="80"/>
      <c r="M574" s="75" t="s">
        <v>143</v>
      </c>
      <c r="N574" s="75" t="b">
        <v>1</v>
      </c>
      <c r="O574" s="75" t="s">
        <v>144</v>
      </c>
      <c r="P574" s="75">
        <v>1994</v>
      </c>
      <c r="Q574" s="75">
        <v>2015</v>
      </c>
      <c r="R574" s="75">
        <v>1</v>
      </c>
      <c r="S574" s="81"/>
      <c r="T574" s="82"/>
      <c r="U574" s="83"/>
    </row>
    <row r="575" spans="1:21" s="84" customFormat="1" x14ac:dyDescent="0.3">
      <c r="A575" s="68">
        <v>39898</v>
      </c>
      <c r="B575" s="69">
        <f t="shared" si="9"/>
        <v>20090326</v>
      </c>
      <c r="C575" s="70">
        <v>3.5400000000000001E-2</v>
      </c>
      <c r="D575" s="77">
        <v>0.01</v>
      </c>
      <c r="E575" s="77"/>
      <c r="F575" s="77">
        <v>1.4E-2</v>
      </c>
      <c r="G575" s="78">
        <v>15000000</v>
      </c>
      <c r="H575" s="79"/>
      <c r="I575" s="79"/>
      <c r="J575" s="79"/>
      <c r="K575" s="80">
        <v>1.84E-2</v>
      </c>
      <c r="L575" s="80"/>
      <c r="M575" s="75" t="s">
        <v>143</v>
      </c>
      <c r="N575" s="75" t="b">
        <v>1</v>
      </c>
      <c r="O575" s="75" t="s">
        <v>144</v>
      </c>
      <c r="P575" s="75">
        <v>1994</v>
      </c>
      <c r="Q575" s="75">
        <v>2015</v>
      </c>
      <c r="R575" s="75">
        <v>1</v>
      </c>
      <c r="S575" s="81"/>
      <c r="T575" s="82"/>
      <c r="U575" s="83"/>
    </row>
    <row r="576" spans="1:21" s="84" customFormat="1" x14ac:dyDescent="0.3">
      <c r="A576" s="68">
        <v>39899</v>
      </c>
      <c r="B576" s="69">
        <f t="shared" si="9"/>
        <v>20090327</v>
      </c>
      <c r="C576" s="70">
        <v>3.56E-2</v>
      </c>
      <c r="D576" s="77">
        <v>0.01</v>
      </c>
      <c r="E576" s="77"/>
      <c r="F576" s="77">
        <v>1.4E-2</v>
      </c>
      <c r="G576" s="78">
        <v>15000000</v>
      </c>
      <c r="H576" s="79"/>
      <c r="I576" s="79"/>
      <c r="J576" s="79"/>
      <c r="K576" s="80">
        <v>1.8700000000000001E-2</v>
      </c>
      <c r="L576" s="80"/>
      <c r="M576" s="75" t="s">
        <v>143</v>
      </c>
      <c r="N576" s="75" t="b">
        <v>1</v>
      </c>
      <c r="O576" s="75" t="s">
        <v>144</v>
      </c>
      <c r="P576" s="75">
        <v>1994</v>
      </c>
      <c r="Q576" s="75">
        <v>2015</v>
      </c>
      <c r="R576" s="75">
        <v>1</v>
      </c>
      <c r="S576" s="81"/>
      <c r="T576" s="82"/>
      <c r="U576" s="83"/>
    </row>
    <row r="577" spans="1:21" s="84" customFormat="1" x14ac:dyDescent="0.3">
      <c r="A577" s="68">
        <v>39902</v>
      </c>
      <c r="B577" s="69">
        <f t="shared" si="9"/>
        <v>20090330</v>
      </c>
      <c r="C577" s="70">
        <v>3.4799999999999998E-2</v>
      </c>
      <c r="D577" s="77">
        <v>0.01</v>
      </c>
      <c r="E577" s="77"/>
      <c r="F577" s="77">
        <v>1.4E-2</v>
      </c>
      <c r="G577" s="78">
        <v>15000000</v>
      </c>
      <c r="H577" s="79"/>
      <c r="I577" s="79"/>
      <c r="J577" s="79"/>
      <c r="K577" s="80">
        <v>1.8100000000000002E-2</v>
      </c>
      <c r="L577" s="80"/>
      <c r="M577" s="75" t="s">
        <v>143</v>
      </c>
      <c r="N577" s="75" t="b">
        <v>1</v>
      </c>
      <c r="O577" s="75" t="s">
        <v>144</v>
      </c>
      <c r="P577" s="75">
        <v>1994</v>
      </c>
      <c r="Q577" s="75">
        <v>2015</v>
      </c>
      <c r="R577" s="75">
        <v>1</v>
      </c>
      <c r="S577" s="81"/>
      <c r="T577" s="82"/>
      <c r="U577" s="83"/>
    </row>
    <row r="578" spans="1:21" s="84" customFormat="1" x14ac:dyDescent="0.3">
      <c r="A578" s="68">
        <v>39903</v>
      </c>
      <c r="B578" s="69">
        <f t="shared" si="9"/>
        <v>20090331</v>
      </c>
      <c r="C578" s="70">
        <v>3.4599999999999999E-2</v>
      </c>
      <c r="D578" s="77">
        <v>0.01</v>
      </c>
      <c r="E578" s="77"/>
      <c r="F578" s="77">
        <v>1.4E-2</v>
      </c>
      <c r="G578" s="78">
        <v>15000000</v>
      </c>
      <c r="H578" s="79"/>
      <c r="I578" s="79"/>
      <c r="J578" s="79"/>
      <c r="K578" s="80">
        <v>1.8100000000000002E-2</v>
      </c>
      <c r="L578" s="80"/>
      <c r="M578" s="75" t="s">
        <v>143</v>
      </c>
      <c r="N578" s="75" t="b">
        <v>1</v>
      </c>
      <c r="O578" s="75" t="s">
        <v>144</v>
      </c>
      <c r="P578" s="75">
        <v>1994</v>
      </c>
      <c r="Q578" s="75">
        <v>2015</v>
      </c>
      <c r="R578" s="75">
        <v>1</v>
      </c>
      <c r="S578" s="81"/>
      <c r="T578" s="82"/>
      <c r="U578" s="83"/>
    </row>
    <row r="579" spans="1:21" s="84" customFormat="1" x14ac:dyDescent="0.3">
      <c r="A579" s="68">
        <v>39904</v>
      </c>
      <c r="B579" s="69">
        <f t="shared" si="9"/>
        <v>20090401</v>
      </c>
      <c r="C579" s="70">
        <v>3.44E-2</v>
      </c>
      <c r="D579" s="77">
        <v>0.01</v>
      </c>
      <c r="E579" s="77"/>
      <c r="F579" s="77">
        <v>1.4E-2</v>
      </c>
      <c r="G579" s="78">
        <v>15000000</v>
      </c>
      <c r="H579" s="79"/>
      <c r="I579" s="79"/>
      <c r="J579" s="79"/>
      <c r="K579" s="80">
        <v>1.7899999999999999E-2</v>
      </c>
      <c r="L579" s="80"/>
      <c r="M579" s="75" t="s">
        <v>143</v>
      </c>
      <c r="N579" s="75" t="b">
        <v>1</v>
      </c>
      <c r="O579" s="75" t="s">
        <v>144</v>
      </c>
      <c r="P579" s="75">
        <v>1994</v>
      </c>
      <c r="Q579" s="75">
        <v>2015</v>
      </c>
      <c r="R579" s="75">
        <v>1</v>
      </c>
      <c r="S579" s="81"/>
      <c r="T579" s="82"/>
      <c r="U579" s="83"/>
    </row>
    <row r="580" spans="1:21" s="84" customFormat="1" x14ac:dyDescent="0.3">
      <c r="A580" s="68">
        <v>39905</v>
      </c>
      <c r="B580" s="69">
        <f t="shared" si="9"/>
        <v>20090402</v>
      </c>
      <c r="C580" s="70">
        <v>3.5099999999999999E-2</v>
      </c>
      <c r="D580" s="77">
        <v>0.01</v>
      </c>
      <c r="E580" s="77"/>
      <c r="F580" s="77">
        <v>1.4E-2</v>
      </c>
      <c r="G580" s="78">
        <v>15000000</v>
      </c>
      <c r="H580" s="79"/>
      <c r="I580" s="79"/>
      <c r="J580" s="79"/>
      <c r="K580" s="80">
        <v>1.8600000000000002E-2</v>
      </c>
      <c r="L580" s="80"/>
      <c r="M580" s="75" t="s">
        <v>143</v>
      </c>
      <c r="N580" s="75" t="b">
        <v>1</v>
      </c>
      <c r="O580" s="75" t="s">
        <v>144</v>
      </c>
      <c r="P580" s="75">
        <v>1994</v>
      </c>
      <c r="Q580" s="75">
        <v>2015</v>
      </c>
      <c r="R580" s="75">
        <v>1</v>
      </c>
      <c r="S580" s="81"/>
      <c r="T580" s="82"/>
      <c r="U580" s="83"/>
    </row>
    <row r="581" spans="1:21" s="84" customFormat="1" x14ac:dyDescent="0.3">
      <c r="A581" s="68">
        <v>39906</v>
      </c>
      <c r="B581" s="69">
        <f t="shared" si="9"/>
        <v>20090403</v>
      </c>
      <c r="C581" s="70">
        <v>3.56E-2</v>
      </c>
      <c r="D581" s="77">
        <v>0.01</v>
      </c>
      <c r="E581" s="77"/>
      <c r="F581" s="77">
        <v>1.4E-2</v>
      </c>
      <c r="G581" s="78">
        <v>15000000</v>
      </c>
      <c r="H581" s="79"/>
      <c r="I581" s="79"/>
      <c r="J581" s="79"/>
      <c r="K581" s="80">
        <v>1.9099999999999999E-2</v>
      </c>
      <c r="L581" s="80"/>
      <c r="M581" s="75" t="s">
        <v>143</v>
      </c>
      <c r="N581" s="75" t="b">
        <v>1</v>
      </c>
      <c r="O581" s="75" t="s">
        <v>144</v>
      </c>
      <c r="P581" s="75">
        <v>1994</v>
      </c>
      <c r="Q581" s="75">
        <v>2015</v>
      </c>
      <c r="R581" s="75">
        <v>1</v>
      </c>
      <c r="S581" s="81"/>
      <c r="T581" s="82"/>
      <c r="U581" s="83"/>
    </row>
    <row r="582" spans="1:21" s="84" customFormat="1" x14ac:dyDescent="0.3">
      <c r="A582" s="68">
        <v>39909</v>
      </c>
      <c r="B582" s="69">
        <f t="shared" si="9"/>
        <v>20090406</v>
      </c>
      <c r="C582" s="70">
        <v>3.61E-2</v>
      </c>
      <c r="D582" s="77">
        <v>0.01</v>
      </c>
      <c r="E582" s="77"/>
      <c r="F582" s="77">
        <v>1.4E-2</v>
      </c>
      <c r="G582" s="78">
        <v>15000000</v>
      </c>
      <c r="H582" s="79"/>
      <c r="I582" s="79"/>
      <c r="J582" s="79"/>
      <c r="K582" s="80">
        <v>1.95E-2</v>
      </c>
      <c r="L582" s="80"/>
      <c r="M582" s="75" t="s">
        <v>143</v>
      </c>
      <c r="N582" s="75" t="b">
        <v>1</v>
      </c>
      <c r="O582" s="75" t="s">
        <v>144</v>
      </c>
      <c r="P582" s="75">
        <v>1994</v>
      </c>
      <c r="Q582" s="75">
        <v>2015</v>
      </c>
      <c r="R582" s="75">
        <v>1</v>
      </c>
      <c r="S582" s="81"/>
      <c r="T582" s="82"/>
      <c r="U582" s="83"/>
    </row>
    <row r="583" spans="1:21" s="84" customFormat="1" x14ac:dyDescent="0.3">
      <c r="A583" s="68">
        <v>39910</v>
      </c>
      <c r="B583" s="69">
        <f t="shared" si="9"/>
        <v>20090407</v>
      </c>
      <c r="C583" s="70">
        <v>3.5699999999999996E-2</v>
      </c>
      <c r="D583" s="77">
        <v>0.01</v>
      </c>
      <c r="E583" s="77"/>
      <c r="F583" s="77">
        <v>1.4E-2</v>
      </c>
      <c r="G583" s="78">
        <v>15000000</v>
      </c>
      <c r="H583" s="79"/>
      <c r="I583" s="79"/>
      <c r="J583" s="79"/>
      <c r="K583" s="80">
        <v>1.9199999999999998E-2</v>
      </c>
      <c r="L583" s="80"/>
      <c r="M583" s="75" t="s">
        <v>143</v>
      </c>
      <c r="N583" s="75" t="b">
        <v>1</v>
      </c>
      <c r="O583" s="75" t="s">
        <v>144</v>
      </c>
      <c r="P583" s="75">
        <v>1994</v>
      </c>
      <c r="Q583" s="75">
        <v>2015</v>
      </c>
      <c r="R583" s="75">
        <v>1</v>
      </c>
      <c r="S583" s="81"/>
      <c r="T583" s="82"/>
      <c r="U583" s="83"/>
    </row>
    <row r="584" spans="1:21" s="84" customFormat="1" x14ac:dyDescent="0.3">
      <c r="A584" s="68">
        <v>39911</v>
      </c>
      <c r="B584" s="69">
        <f t="shared" si="9"/>
        <v>20090408</v>
      </c>
      <c r="C584" s="70">
        <v>3.5200000000000002E-2</v>
      </c>
      <c r="D584" s="77">
        <v>0.01</v>
      </c>
      <c r="E584" s="77"/>
      <c r="F584" s="77">
        <v>1.4E-2</v>
      </c>
      <c r="G584" s="78">
        <v>15000000</v>
      </c>
      <c r="H584" s="79"/>
      <c r="I584" s="79"/>
      <c r="J584" s="79"/>
      <c r="K584" s="80">
        <v>1.8799999999999997E-2</v>
      </c>
      <c r="L584" s="80"/>
      <c r="M584" s="75" t="s">
        <v>143</v>
      </c>
      <c r="N584" s="75" t="b">
        <v>1</v>
      </c>
      <c r="O584" s="75" t="s">
        <v>144</v>
      </c>
      <c r="P584" s="75">
        <v>1994</v>
      </c>
      <c r="Q584" s="75">
        <v>2015</v>
      </c>
      <c r="R584" s="75">
        <v>1</v>
      </c>
      <c r="S584" s="81"/>
      <c r="T584" s="82"/>
      <c r="U584" s="83"/>
    </row>
    <row r="585" spans="1:21" s="84" customFormat="1" x14ac:dyDescent="0.3">
      <c r="A585" s="68">
        <v>39912</v>
      </c>
      <c r="B585" s="69">
        <f t="shared" si="9"/>
        <v>20090409</v>
      </c>
      <c r="C585" s="70">
        <v>3.5499999999999997E-2</v>
      </c>
      <c r="D585" s="77">
        <v>0.01</v>
      </c>
      <c r="E585" s="77"/>
      <c r="F585" s="77">
        <v>1.4E-2</v>
      </c>
      <c r="G585" s="78">
        <v>15000000</v>
      </c>
      <c r="H585" s="79"/>
      <c r="I585" s="79"/>
      <c r="J585" s="79"/>
      <c r="K585" s="80">
        <v>1.89E-2</v>
      </c>
      <c r="L585" s="80"/>
      <c r="M585" s="75" t="s">
        <v>143</v>
      </c>
      <c r="N585" s="75" t="b">
        <v>1</v>
      </c>
      <c r="O585" s="75" t="s">
        <v>144</v>
      </c>
      <c r="P585" s="75">
        <v>1994</v>
      </c>
      <c r="Q585" s="75">
        <v>2015</v>
      </c>
      <c r="R585" s="75">
        <v>1</v>
      </c>
      <c r="S585" s="81"/>
      <c r="T585" s="82"/>
      <c r="U585" s="83"/>
    </row>
    <row r="586" spans="1:21" s="84" customFormat="1" x14ac:dyDescent="0.3">
      <c r="A586" s="68">
        <v>39916</v>
      </c>
      <c r="B586" s="69">
        <f t="shared" ref="B586:B649" si="10">YEAR(A586)*10000+MONTH(A586)*100+DAY(A586)</f>
        <v>20090413</v>
      </c>
      <c r="C586" s="70">
        <v>3.5499999999999997E-2</v>
      </c>
      <c r="D586" s="77">
        <v>0.01</v>
      </c>
      <c r="E586" s="77"/>
      <c r="F586" s="77">
        <v>1.4E-2</v>
      </c>
      <c r="G586" s="78">
        <v>15000000</v>
      </c>
      <c r="H586" s="79"/>
      <c r="I586" s="79"/>
      <c r="J586" s="79"/>
      <c r="K586" s="80">
        <v>1.89E-2</v>
      </c>
      <c r="L586" s="80"/>
      <c r="M586" s="75" t="s">
        <v>143</v>
      </c>
      <c r="N586" s="75" t="b">
        <v>1</v>
      </c>
      <c r="O586" s="75" t="s">
        <v>144</v>
      </c>
      <c r="P586" s="75">
        <v>1994</v>
      </c>
      <c r="Q586" s="75">
        <v>2015</v>
      </c>
      <c r="R586" s="75">
        <v>1</v>
      </c>
      <c r="S586" s="81"/>
      <c r="T586" s="82"/>
      <c r="U586" s="83"/>
    </row>
    <row r="587" spans="1:21" s="84" customFormat="1" x14ac:dyDescent="0.3">
      <c r="A587" s="68">
        <v>39917</v>
      </c>
      <c r="B587" s="69">
        <f t="shared" si="10"/>
        <v>20090414</v>
      </c>
      <c r="C587" s="70">
        <v>3.5299999999999998E-2</v>
      </c>
      <c r="D587" s="77">
        <v>0.01</v>
      </c>
      <c r="E587" s="77"/>
      <c r="F587" s="77">
        <v>1.4E-2</v>
      </c>
      <c r="G587" s="78">
        <v>15000000</v>
      </c>
      <c r="H587" s="79"/>
      <c r="I587" s="79"/>
      <c r="J587" s="79"/>
      <c r="K587" s="80">
        <v>1.8799999999999997E-2</v>
      </c>
      <c r="L587" s="80"/>
      <c r="M587" s="75" t="s">
        <v>143</v>
      </c>
      <c r="N587" s="75" t="b">
        <v>1</v>
      </c>
      <c r="O587" s="75" t="s">
        <v>144</v>
      </c>
      <c r="P587" s="75">
        <v>1994</v>
      </c>
      <c r="Q587" s="75">
        <v>2015</v>
      </c>
      <c r="R587" s="75">
        <v>1</v>
      </c>
      <c r="S587" s="81"/>
      <c r="T587" s="82"/>
      <c r="U587" s="83"/>
    </row>
    <row r="588" spans="1:21" s="84" customFormat="1" x14ac:dyDescent="0.3">
      <c r="A588" s="68">
        <v>39918</v>
      </c>
      <c r="B588" s="69">
        <f t="shared" si="10"/>
        <v>20090415</v>
      </c>
      <c r="C588" s="70">
        <v>3.5699999999999996E-2</v>
      </c>
      <c r="D588" s="77">
        <v>0.01</v>
      </c>
      <c r="E588" s="77"/>
      <c r="F588" s="77">
        <v>1.4E-2</v>
      </c>
      <c r="G588" s="78">
        <v>15000000</v>
      </c>
      <c r="H588" s="79"/>
      <c r="I588" s="79"/>
      <c r="J588" s="79"/>
      <c r="K588" s="80">
        <v>1.9400000000000001E-2</v>
      </c>
      <c r="L588" s="80"/>
      <c r="M588" s="75" t="s">
        <v>143</v>
      </c>
      <c r="N588" s="75" t="b">
        <v>1</v>
      </c>
      <c r="O588" s="75" t="s">
        <v>144</v>
      </c>
      <c r="P588" s="75">
        <v>1994</v>
      </c>
      <c r="Q588" s="75">
        <v>2015</v>
      </c>
      <c r="R588" s="75">
        <v>1</v>
      </c>
      <c r="S588" s="81"/>
      <c r="T588" s="82"/>
      <c r="U588" s="83"/>
    </row>
    <row r="589" spans="1:21" s="84" customFormat="1" x14ac:dyDescent="0.3">
      <c r="A589" s="68">
        <v>39919</v>
      </c>
      <c r="B589" s="69">
        <f t="shared" si="10"/>
        <v>20090416</v>
      </c>
      <c r="C589" s="70">
        <v>3.5900000000000001E-2</v>
      </c>
      <c r="D589" s="77">
        <v>0.01</v>
      </c>
      <c r="E589" s="77"/>
      <c r="F589" s="77">
        <v>1.4E-2</v>
      </c>
      <c r="G589" s="78">
        <v>15000000</v>
      </c>
      <c r="H589" s="79"/>
      <c r="I589" s="79"/>
      <c r="J589" s="79"/>
      <c r="K589" s="80">
        <v>1.9599999999999999E-2</v>
      </c>
      <c r="L589" s="80"/>
      <c r="M589" s="75" t="s">
        <v>143</v>
      </c>
      <c r="N589" s="75" t="b">
        <v>1</v>
      </c>
      <c r="O589" s="75" t="s">
        <v>144</v>
      </c>
      <c r="P589" s="75">
        <v>1994</v>
      </c>
      <c r="Q589" s="75">
        <v>2015</v>
      </c>
      <c r="R589" s="75">
        <v>1</v>
      </c>
      <c r="S589" s="81"/>
      <c r="T589" s="82"/>
      <c r="U589" s="83"/>
    </row>
    <row r="590" spans="1:21" s="84" customFormat="1" x14ac:dyDescent="0.3">
      <c r="A590" s="68">
        <v>39920</v>
      </c>
      <c r="B590" s="69">
        <f t="shared" si="10"/>
        <v>20090417</v>
      </c>
      <c r="C590" s="70">
        <v>3.6499999999999998E-2</v>
      </c>
      <c r="D590" s="77">
        <v>0.01</v>
      </c>
      <c r="E590" s="77"/>
      <c r="F590" s="77">
        <v>1.4E-2</v>
      </c>
      <c r="G590" s="78">
        <v>15000000</v>
      </c>
      <c r="H590" s="79"/>
      <c r="I590" s="79"/>
      <c r="J590" s="79"/>
      <c r="K590" s="80">
        <v>2.0199999999999999E-2</v>
      </c>
      <c r="L590" s="80"/>
      <c r="M590" s="75" t="s">
        <v>143</v>
      </c>
      <c r="N590" s="75" t="b">
        <v>1</v>
      </c>
      <c r="O590" s="75" t="s">
        <v>144</v>
      </c>
      <c r="P590" s="75">
        <v>1994</v>
      </c>
      <c r="Q590" s="75">
        <v>2015</v>
      </c>
      <c r="R590" s="75">
        <v>1</v>
      </c>
      <c r="S590" s="81"/>
      <c r="T590" s="82"/>
      <c r="U590" s="83"/>
    </row>
    <row r="591" spans="1:21" s="84" customFormat="1" x14ac:dyDescent="0.3">
      <c r="A591" s="68">
        <v>39923</v>
      </c>
      <c r="B591" s="69">
        <f t="shared" si="10"/>
        <v>20090420</v>
      </c>
      <c r="C591" s="70">
        <v>3.5400000000000001E-2</v>
      </c>
      <c r="D591" s="77">
        <v>0.01</v>
      </c>
      <c r="E591" s="77"/>
      <c r="F591" s="77">
        <v>1.4E-2</v>
      </c>
      <c r="G591" s="78">
        <v>15000000</v>
      </c>
      <c r="H591" s="79"/>
      <c r="I591" s="79"/>
      <c r="J591" s="79"/>
      <c r="K591" s="80">
        <v>1.9400000000000001E-2</v>
      </c>
      <c r="L591" s="80"/>
      <c r="M591" s="75" t="s">
        <v>143</v>
      </c>
      <c r="N591" s="75" t="b">
        <v>1</v>
      </c>
      <c r="O591" s="75" t="s">
        <v>144</v>
      </c>
      <c r="P591" s="75">
        <v>1994</v>
      </c>
      <c r="Q591" s="75">
        <v>2015</v>
      </c>
      <c r="R591" s="75">
        <v>1</v>
      </c>
      <c r="S591" s="81"/>
      <c r="T591" s="82"/>
      <c r="U591" s="83"/>
    </row>
    <row r="592" spans="1:21" s="84" customFormat="1" x14ac:dyDescent="0.3">
      <c r="A592" s="68">
        <v>39924</v>
      </c>
      <c r="B592" s="69">
        <f t="shared" si="10"/>
        <v>20090421</v>
      </c>
      <c r="C592" s="70">
        <v>3.5799999999999998E-2</v>
      </c>
      <c r="D592" s="77">
        <v>0.01</v>
      </c>
      <c r="E592" s="77"/>
      <c r="F592" s="77">
        <v>1.4E-2</v>
      </c>
      <c r="G592" s="78">
        <v>15000000</v>
      </c>
      <c r="H592" s="79"/>
      <c r="I592" s="79"/>
      <c r="J592" s="79"/>
      <c r="K592" s="80">
        <v>1.9900000000000001E-2</v>
      </c>
      <c r="L592" s="80"/>
      <c r="M592" s="75" t="s">
        <v>143</v>
      </c>
      <c r="N592" s="75" t="b">
        <v>1</v>
      </c>
      <c r="O592" s="75" t="s">
        <v>144</v>
      </c>
      <c r="P592" s="75">
        <v>1994</v>
      </c>
      <c r="Q592" s="75">
        <v>2015</v>
      </c>
      <c r="R592" s="75">
        <v>1</v>
      </c>
      <c r="S592" s="81"/>
      <c r="T592" s="82"/>
      <c r="U592" s="83"/>
    </row>
    <row r="593" spans="1:21" s="84" customFormat="1" x14ac:dyDescent="0.3">
      <c r="A593" s="68">
        <v>39925</v>
      </c>
      <c r="B593" s="69">
        <f t="shared" si="10"/>
        <v>20090422</v>
      </c>
      <c r="C593" s="70">
        <v>3.61E-2</v>
      </c>
      <c r="D593" s="77">
        <v>0.01</v>
      </c>
      <c r="E593" s="77"/>
      <c r="F593" s="77">
        <v>1.4E-2</v>
      </c>
      <c r="G593" s="78">
        <v>15000000</v>
      </c>
      <c r="H593" s="79"/>
      <c r="I593" s="79"/>
      <c r="J593" s="79"/>
      <c r="K593" s="80">
        <v>2.0099999999999996E-2</v>
      </c>
      <c r="L593" s="80"/>
      <c r="M593" s="75" t="s">
        <v>143</v>
      </c>
      <c r="N593" s="75" t="b">
        <v>1</v>
      </c>
      <c r="O593" s="75" t="s">
        <v>144</v>
      </c>
      <c r="P593" s="75">
        <v>1994</v>
      </c>
      <c r="Q593" s="75">
        <v>2015</v>
      </c>
      <c r="R593" s="75">
        <v>1</v>
      </c>
      <c r="S593" s="81"/>
      <c r="T593" s="82"/>
      <c r="U593" s="83"/>
    </row>
    <row r="594" spans="1:21" s="84" customFormat="1" x14ac:dyDescent="0.3">
      <c r="A594" s="68">
        <v>39926</v>
      </c>
      <c r="B594" s="69">
        <f t="shared" si="10"/>
        <v>20090423</v>
      </c>
      <c r="C594" s="70">
        <v>3.6499999999999998E-2</v>
      </c>
      <c r="D594" s="77">
        <v>0.01</v>
      </c>
      <c r="E594" s="77"/>
      <c r="F594" s="77">
        <v>1.4E-2</v>
      </c>
      <c r="G594" s="78">
        <v>15000000</v>
      </c>
      <c r="H594" s="79"/>
      <c r="I594" s="79"/>
      <c r="J594" s="79"/>
      <c r="K594" s="80">
        <v>1.9799999999999998E-2</v>
      </c>
      <c r="L594" s="80"/>
      <c r="M594" s="75" t="s">
        <v>143</v>
      </c>
      <c r="N594" s="75" t="b">
        <v>1</v>
      </c>
      <c r="O594" s="75" t="s">
        <v>144</v>
      </c>
      <c r="P594" s="75">
        <v>1994</v>
      </c>
      <c r="Q594" s="75">
        <v>2015</v>
      </c>
      <c r="R594" s="75">
        <v>1</v>
      </c>
      <c r="S594" s="81"/>
      <c r="T594" s="82"/>
      <c r="U594" s="83"/>
    </row>
    <row r="595" spans="1:21" s="84" customFormat="1" x14ac:dyDescent="0.3">
      <c r="A595" s="68">
        <v>39927</v>
      </c>
      <c r="B595" s="69">
        <f t="shared" si="10"/>
        <v>20090424</v>
      </c>
      <c r="C595" s="70">
        <v>3.6499999999999998E-2</v>
      </c>
      <c r="D595" s="77">
        <v>0.01</v>
      </c>
      <c r="E595" s="77"/>
      <c r="F595" s="77">
        <v>1.4E-2</v>
      </c>
      <c r="G595" s="78">
        <v>15000000</v>
      </c>
      <c r="H595" s="79"/>
      <c r="I595" s="79"/>
      <c r="J595" s="79"/>
      <c r="K595" s="80">
        <v>1.9599999999999999E-2</v>
      </c>
      <c r="L595" s="80"/>
      <c r="M595" s="75" t="s">
        <v>143</v>
      </c>
      <c r="N595" s="75" t="b">
        <v>1</v>
      </c>
      <c r="O595" s="75" t="s">
        <v>144</v>
      </c>
      <c r="P595" s="75">
        <v>1994</v>
      </c>
      <c r="Q595" s="75">
        <v>2015</v>
      </c>
      <c r="R595" s="75">
        <v>1</v>
      </c>
      <c r="S595" s="81"/>
      <c r="T595" s="82"/>
      <c r="U595" s="83"/>
    </row>
    <row r="596" spans="1:21" s="84" customFormat="1" x14ac:dyDescent="0.3">
      <c r="A596" s="68">
        <v>39930</v>
      </c>
      <c r="B596" s="69">
        <f t="shared" si="10"/>
        <v>20090427</v>
      </c>
      <c r="C596" s="70">
        <v>3.6600000000000001E-2</v>
      </c>
      <c r="D596" s="77">
        <v>0.01</v>
      </c>
      <c r="E596" s="77"/>
      <c r="F596" s="77">
        <v>1.4E-2</v>
      </c>
      <c r="G596" s="78">
        <v>15000000</v>
      </c>
      <c r="H596" s="79"/>
      <c r="I596" s="79"/>
      <c r="J596" s="79"/>
      <c r="K596" s="80">
        <v>1.9699999999999999E-2</v>
      </c>
      <c r="L596" s="80"/>
      <c r="M596" s="75" t="s">
        <v>143</v>
      </c>
      <c r="N596" s="75" t="b">
        <v>1</v>
      </c>
      <c r="O596" s="75" t="s">
        <v>144</v>
      </c>
      <c r="P596" s="75">
        <v>1994</v>
      </c>
      <c r="Q596" s="75">
        <v>2015</v>
      </c>
      <c r="R596" s="75">
        <v>1</v>
      </c>
      <c r="S596" s="81"/>
      <c r="T596" s="82"/>
      <c r="U596" s="83"/>
    </row>
    <row r="597" spans="1:21" s="84" customFormat="1" x14ac:dyDescent="0.3">
      <c r="A597" s="68">
        <v>39931</v>
      </c>
      <c r="B597" s="69">
        <f t="shared" si="10"/>
        <v>20090428</v>
      </c>
      <c r="C597" s="70">
        <v>3.7000000000000005E-2</v>
      </c>
      <c r="D597" s="77">
        <v>0.01</v>
      </c>
      <c r="E597" s="77"/>
      <c r="F597" s="77">
        <v>1.4E-2</v>
      </c>
      <c r="G597" s="78">
        <v>15000000</v>
      </c>
      <c r="H597" s="79"/>
      <c r="I597" s="79"/>
      <c r="J597" s="79"/>
      <c r="K597" s="80">
        <v>1.9900000000000001E-2</v>
      </c>
      <c r="L597" s="80"/>
      <c r="M597" s="75" t="s">
        <v>143</v>
      </c>
      <c r="N597" s="75" t="b">
        <v>1</v>
      </c>
      <c r="O597" s="75" t="s">
        <v>144</v>
      </c>
      <c r="P597" s="75">
        <v>1994</v>
      </c>
      <c r="Q597" s="75">
        <v>2015</v>
      </c>
      <c r="R597" s="75">
        <v>1</v>
      </c>
      <c r="S597" s="81"/>
      <c r="T597" s="82"/>
      <c r="U597" s="83"/>
    </row>
    <row r="598" spans="1:21" s="84" customFormat="1" x14ac:dyDescent="0.3">
      <c r="A598" s="68">
        <v>39932</v>
      </c>
      <c r="B598" s="69">
        <f t="shared" si="10"/>
        <v>20090429</v>
      </c>
      <c r="C598" s="70">
        <v>3.7200000000000004E-2</v>
      </c>
      <c r="D598" s="77">
        <v>0.01</v>
      </c>
      <c r="E598" s="77"/>
      <c r="F598" s="77">
        <v>1.4E-2</v>
      </c>
      <c r="G598" s="78">
        <v>15000000</v>
      </c>
      <c r="H598" s="79"/>
      <c r="I598" s="79"/>
      <c r="J598" s="79"/>
      <c r="K598" s="80">
        <v>2.0099999999999996E-2</v>
      </c>
      <c r="L598" s="80"/>
      <c r="M598" s="75" t="s">
        <v>143</v>
      </c>
      <c r="N598" s="75" t="b">
        <v>1</v>
      </c>
      <c r="O598" s="75" t="s">
        <v>144</v>
      </c>
      <c r="P598" s="75">
        <v>1994</v>
      </c>
      <c r="Q598" s="75">
        <v>2015</v>
      </c>
      <c r="R598" s="75">
        <v>1</v>
      </c>
      <c r="S598" s="81"/>
      <c r="T598" s="82"/>
      <c r="U598" s="83"/>
    </row>
    <row r="599" spans="1:21" s="84" customFormat="1" x14ac:dyDescent="0.3">
      <c r="A599" s="68">
        <v>39933</v>
      </c>
      <c r="B599" s="69">
        <f t="shared" si="10"/>
        <v>20090430</v>
      </c>
      <c r="C599" s="70">
        <v>3.7400000000000003E-2</v>
      </c>
      <c r="D599" s="77">
        <v>0.01</v>
      </c>
      <c r="E599" s="77"/>
      <c r="F599" s="77">
        <v>1.4E-2</v>
      </c>
      <c r="G599" s="78">
        <v>15000000</v>
      </c>
      <c r="H599" s="79"/>
      <c r="I599" s="79"/>
      <c r="J599" s="79"/>
      <c r="K599" s="80">
        <v>2.0499999999999997E-2</v>
      </c>
      <c r="L599" s="80"/>
      <c r="M599" s="75" t="s">
        <v>143</v>
      </c>
      <c r="N599" s="75" t="b">
        <v>1</v>
      </c>
      <c r="O599" s="75" t="s">
        <v>144</v>
      </c>
      <c r="P599" s="75">
        <v>1994</v>
      </c>
      <c r="Q599" s="75">
        <v>2015</v>
      </c>
      <c r="R599" s="75">
        <v>1</v>
      </c>
      <c r="S599" s="81"/>
      <c r="T599" s="82"/>
      <c r="U599" s="83"/>
    </row>
    <row r="600" spans="1:21" s="84" customFormat="1" x14ac:dyDescent="0.3">
      <c r="A600" s="68">
        <v>39934</v>
      </c>
      <c r="B600" s="69">
        <f t="shared" si="10"/>
        <v>20090501</v>
      </c>
      <c r="C600" s="70">
        <v>3.73E-2</v>
      </c>
      <c r="D600" s="77">
        <v>0.01</v>
      </c>
      <c r="E600" s="77"/>
      <c r="F600" s="77">
        <v>1.4E-2</v>
      </c>
      <c r="G600" s="78">
        <v>15000000</v>
      </c>
      <c r="H600" s="79"/>
      <c r="I600" s="79"/>
      <c r="J600" s="79"/>
      <c r="K600" s="80">
        <v>2.06E-2</v>
      </c>
      <c r="L600" s="80"/>
      <c r="M600" s="75" t="s">
        <v>143</v>
      </c>
      <c r="N600" s="75" t="b">
        <v>1</v>
      </c>
      <c r="O600" s="75" t="s">
        <v>144</v>
      </c>
      <c r="P600" s="75">
        <v>1994</v>
      </c>
      <c r="Q600" s="75">
        <v>2015</v>
      </c>
      <c r="R600" s="75">
        <v>1</v>
      </c>
      <c r="S600" s="81"/>
      <c r="T600" s="82"/>
      <c r="U600" s="83"/>
    </row>
    <row r="601" spans="1:21" s="84" customFormat="1" x14ac:dyDescent="0.3">
      <c r="A601" s="68">
        <v>39937</v>
      </c>
      <c r="B601" s="69">
        <f t="shared" si="10"/>
        <v>20090504</v>
      </c>
      <c r="C601" s="70">
        <v>3.7400000000000003E-2</v>
      </c>
      <c r="D601" s="77">
        <v>0.01</v>
      </c>
      <c r="E601" s="77"/>
      <c r="F601" s="77">
        <v>1.4E-2</v>
      </c>
      <c r="G601" s="78">
        <v>15000000</v>
      </c>
      <c r="H601" s="79"/>
      <c r="I601" s="79"/>
      <c r="J601" s="79"/>
      <c r="K601" s="80">
        <v>2.1000000000000001E-2</v>
      </c>
      <c r="L601" s="80"/>
      <c r="M601" s="75" t="s">
        <v>143</v>
      </c>
      <c r="N601" s="75" t="b">
        <v>1</v>
      </c>
      <c r="O601" s="75" t="s">
        <v>144</v>
      </c>
      <c r="P601" s="75">
        <v>1994</v>
      </c>
      <c r="Q601" s="75">
        <v>2015</v>
      </c>
      <c r="R601" s="75">
        <v>1</v>
      </c>
      <c r="S601" s="81"/>
      <c r="T601" s="82"/>
      <c r="U601" s="83"/>
    </row>
    <row r="602" spans="1:21" s="84" customFormat="1" x14ac:dyDescent="0.3">
      <c r="A602" s="68">
        <v>39938</v>
      </c>
      <c r="B602" s="69">
        <f t="shared" si="10"/>
        <v>20090505</v>
      </c>
      <c r="C602" s="70">
        <v>3.7200000000000004E-2</v>
      </c>
      <c r="D602" s="77">
        <v>0.01</v>
      </c>
      <c r="E602" s="77"/>
      <c r="F602" s="77">
        <v>1.4E-2</v>
      </c>
      <c r="G602" s="78">
        <v>15000000</v>
      </c>
      <c r="H602" s="79"/>
      <c r="I602" s="79"/>
      <c r="J602" s="79"/>
      <c r="K602" s="80">
        <v>2.1099999999999997E-2</v>
      </c>
      <c r="L602" s="80"/>
      <c r="M602" s="75" t="s">
        <v>143</v>
      </c>
      <c r="N602" s="75" t="b">
        <v>1</v>
      </c>
      <c r="O602" s="75" t="s">
        <v>144</v>
      </c>
      <c r="P602" s="75">
        <v>1994</v>
      </c>
      <c r="Q602" s="75">
        <v>2015</v>
      </c>
      <c r="R602" s="75">
        <v>1</v>
      </c>
      <c r="S602" s="81"/>
      <c r="T602" s="82"/>
      <c r="U602" s="83"/>
    </row>
    <row r="603" spans="1:21" s="84" customFormat="1" x14ac:dyDescent="0.3">
      <c r="A603" s="68">
        <v>39939</v>
      </c>
      <c r="B603" s="69">
        <f t="shared" si="10"/>
        <v>20090506</v>
      </c>
      <c r="C603" s="70">
        <v>3.7499999999999999E-2</v>
      </c>
      <c r="D603" s="77">
        <v>0.01</v>
      </c>
      <c r="E603" s="77"/>
      <c r="F603" s="77">
        <v>1.4E-2</v>
      </c>
      <c r="G603" s="78">
        <v>15000000</v>
      </c>
      <c r="H603" s="79"/>
      <c r="I603" s="79"/>
      <c r="J603" s="79"/>
      <c r="K603" s="80">
        <v>2.12E-2</v>
      </c>
      <c r="L603" s="80"/>
      <c r="M603" s="75" t="s">
        <v>143</v>
      </c>
      <c r="N603" s="75" t="b">
        <v>1</v>
      </c>
      <c r="O603" s="75" t="s">
        <v>144</v>
      </c>
      <c r="P603" s="75">
        <v>1994</v>
      </c>
      <c r="Q603" s="75">
        <v>2015</v>
      </c>
      <c r="R603" s="75">
        <v>1</v>
      </c>
      <c r="S603" s="81"/>
      <c r="T603" s="82"/>
      <c r="U603" s="83"/>
    </row>
    <row r="604" spans="1:21" s="84" customFormat="1" x14ac:dyDescent="0.3">
      <c r="A604" s="68">
        <v>39940</v>
      </c>
      <c r="B604" s="69">
        <f t="shared" si="10"/>
        <v>20090507</v>
      </c>
      <c r="C604" s="70">
        <v>3.8100000000000002E-2</v>
      </c>
      <c r="D604" s="77">
        <v>0.01</v>
      </c>
      <c r="E604" s="77"/>
      <c r="F604" s="77">
        <v>1.4E-2</v>
      </c>
      <c r="G604" s="78">
        <v>15000000</v>
      </c>
      <c r="H604" s="79"/>
      <c r="I604" s="79"/>
      <c r="J604" s="79"/>
      <c r="K604" s="80">
        <v>2.12E-2</v>
      </c>
      <c r="L604" s="80"/>
      <c r="M604" s="75" t="s">
        <v>143</v>
      </c>
      <c r="N604" s="75" t="b">
        <v>1</v>
      </c>
      <c r="O604" s="75" t="s">
        <v>144</v>
      </c>
      <c r="P604" s="75">
        <v>1994</v>
      </c>
      <c r="Q604" s="75">
        <v>2015</v>
      </c>
      <c r="R604" s="75">
        <v>1</v>
      </c>
      <c r="S604" s="81"/>
      <c r="T604" s="82"/>
      <c r="U604" s="83"/>
    </row>
    <row r="605" spans="1:21" s="84" customFormat="1" x14ac:dyDescent="0.3">
      <c r="A605" s="68">
        <v>39941</v>
      </c>
      <c r="B605" s="69">
        <f t="shared" si="10"/>
        <v>20090508</v>
      </c>
      <c r="C605" s="70">
        <v>3.8199999999999998E-2</v>
      </c>
      <c r="D605" s="77">
        <v>0.01</v>
      </c>
      <c r="E605" s="77"/>
      <c r="F605" s="77">
        <v>1.4E-2</v>
      </c>
      <c r="G605" s="78">
        <v>15000000</v>
      </c>
      <c r="H605" s="79"/>
      <c r="I605" s="79"/>
      <c r="J605" s="79"/>
      <c r="K605" s="80">
        <v>2.0899999999999998E-2</v>
      </c>
      <c r="L605" s="80"/>
      <c r="M605" s="75" t="s">
        <v>143</v>
      </c>
      <c r="N605" s="75" t="b">
        <v>1</v>
      </c>
      <c r="O605" s="75" t="s">
        <v>144</v>
      </c>
      <c r="P605" s="75">
        <v>1994</v>
      </c>
      <c r="Q605" s="75">
        <v>2015</v>
      </c>
      <c r="R605" s="75">
        <v>1</v>
      </c>
      <c r="S605" s="81"/>
      <c r="T605" s="82"/>
      <c r="U605" s="83"/>
    </row>
    <row r="606" spans="1:21" s="84" customFormat="1" x14ac:dyDescent="0.3">
      <c r="A606" s="68">
        <v>39944</v>
      </c>
      <c r="B606" s="69">
        <f t="shared" si="10"/>
        <v>20090511</v>
      </c>
      <c r="C606" s="70">
        <v>3.7699999999999997E-2</v>
      </c>
      <c r="D606" s="77">
        <v>0.01</v>
      </c>
      <c r="E606" s="77"/>
      <c r="F606" s="77">
        <v>1.4E-2</v>
      </c>
      <c r="G606" s="78">
        <v>15000000</v>
      </c>
      <c r="H606" s="79"/>
      <c r="I606" s="79"/>
      <c r="J606" s="79"/>
      <c r="K606" s="80">
        <v>2.0400000000000001E-2</v>
      </c>
      <c r="L606" s="80"/>
      <c r="M606" s="75" t="s">
        <v>143</v>
      </c>
      <c r="N606" s="75" t="b">
        <v>1</v>
      </c>
      <c r="O606" s="75" t="s">
        <v>144</v>
      </c>
      <c r="P606" s="75">
        <v>1994</v>
      </c>
      <c r="Q606" s="75">
        <v>2015</v>
      </c>
      <c r="R606" s="75">
        <v>1</v>
      </c>
      <c r="S606" s="81"/>
      <c r="T606" s="82"/>
      <c r="U606" s="83"/>
    </row>
    <row r="607" spans="1:21" s="84" customFormat="1" x14ac:dyDescent="0.3">
      <c r="A607" s="68">
        <v>39945</v>
      </c>
      <c r="B607" s="69">
        <f t="shared" si="10"/>
        <v>20090512</v>
      </c>
      <c r="C607" s="70">
        <v>3.7999999999999999E-2</v>
      </c>
      <c r="D607" s="77">
        <v>0.01</v>
      </c>
      <c r="E607" s="77"/>
      <c r="F607" s="77">
        <v>1.4E-2</v>
      </c>
      <c r="G607" s="78">
        <v>15000000</v>
      </c>
      <c r="H607" s="79"/>
      <c r="I607" s="79"/>
      <c r="J607" s="79"/>
      <c r="K607" s="80">
        <v>2.06E-2</v>
      </c>
      <c r="L607" s="80"/>
      <c r="M607" s="75" t="s">
        <v>143</v>
      </c>
      <c r="N607" s="75" t="b">
        <v>1</v>
      </c>
      <c r="O607" s="75" t="s">
        <v>144</v>
      </c>
      <c r="P607" s="75">
        <v>1994</v>
      </c>
      <c r="Q607" s="75">
        <v>2015</v>
      </c>
      <c r="R607" s="75">
        <v>1</v>
      </c>
      <c r="S607" s="81"/>
      <c r="T607" s="82"/>
      <c r="U607" s="83"/>
    </row>
    <row r="608" spans="1:21" s="84" customFormat="1" x14ac:dyDescent="0.3">
      <c r="A608" s="68">
        <v>39946</v>
      </c>
      <c r="B608" s="69">
        <f t="shared" si="10"/>
        <v>20090513</v>
      </c>
      <c r="C608" s="70">
        <v>3.7499999999999999E-2</v>
      </c>
      <c r="D608" s="77">
        <v>0.01</v>
      </c>
      <c r="E608" s="77"/>
      <c r="F608" s="77">
        <v>1.4E-2</v>
      </c>
      <c r="G608" s="78">
        <v>15000000</v>
      </c>
      <c r="H608" s="79"/>
      <c r="I608" s="79"/>
      <c r="J608" s="79"/>
      <c r="K608" s="80">
        <v>2.07E-2</v>
      </c>
      <c r="L608" s="80"/>
      <c r="M608" s="75" t="s">
        <v>143</v>
      </c>
      <c r="N608" s="75" t="b">
        <v>1</v>
      </c>
      <c r="O608" s="75" t="s">
        <v>144</v>
      </c>
      <c r="P608" s="75">
        <v>1994</v>
      </c>
      <c r="Q608" s="75">
        <v>2015</v>
      </c>
      <c r="R608" s="75">
        <v>1</v>
      </c>
      <c r="S608" s="81"/>
      <c r="T608" s="82"/>
      <c r="U608" s="83"/>
    </row>
    <row r="609" spans="1:21" s="84" customFormat="1" x14ac:dyDescent="0.3">
      <c r="A609" s="68">
        <v>39947</v>
      </c>
      <c r="B609" s="69">
        <f t="shared" si="10"/>
        <v>20090514</v>
      </c>
      <c r="C609" s="70">
        <v>3.7499999999999999E-2</v>
      </c>
      <c r="D609" s="77">
        <v>0.01</v>
      </c>
      <c r="E609" s="77"/>
      <c r="F609" s="77">
        <v>1.4E-2</v>
      </c>
      <c r="G609" s="78">
        <v>15000000</v>
      </c>
      <c r="H609" s="79"/>
      <c r="I609" s="79"/>
      <c r="J609" s="79"/>
      <c r="K609" s="80">
        <v>2.07E-2</v>
      </c>
      <c r="L609" s="80"/>
      <c r="M609" s="75" t="s">
        <v>143</v>
      </c>
      <c r="N609" s="75" t="b">
        <v>1</v>
      </c>
      <c r="O609" s="75" t="s">
        <v>144</v>
      </c>
      <c r="P609" s="75">
        <v>1994</v>
      </c>
      <c r="Q609" s="75">
        <v>2015</v>
      </c>
      <c r="R609" s="75">
        <v>1</v>
      </c>
      <c r="S609" s="81"/>
      <c r="T609" s="82"/>
      <c r="U609" s="83"/>
    </row>
    <row r="610" spans="1:21" s="84" customFormat="1" x14ac:dyDescent="0.3">
      <c r="A610" s="68">
        <v>39948</v>
      </c>
      <c r="B610" s="69">
        <f t="shared" si="10"/>
        <v>20090515</v>
      </c>
      <c r="C610" s="70">
        <v>3.7499999999999999E-2</v>
      </c>
      <c r="D610" s="77">
        <v>0.01</v>
      </c>
      <c r="E610" s="77"/>
      <c r="F610" s="77">
        <v>1.4E-2</v>
      </c>
      <c r="G610" s="78">
        <v>15000000</v>
      </c>
      <c r="H610" s="79"/>
      <c r="I610" s="79"/>
      <c r="J610" s="79"/>
      <c r="K610" s="80">
        <v>2.0499999999999997E-2</v>
      </c>
      <c r="L610" s="80"/>
      <c r="M610" s="75" t="s">
        <v>143</v>
      </c>
      <c r="N610" s="75" t="b">
        <v>1</v>
      </c>
      <c r="O610" s="75" t="s">
        <v>144</v>
      </c>
      <c r="P610" s="75">
        <v>1994</v>
      </c>
      <c r="Q610" s="75">
        <v>2015</v>
      </c>
      <c r="R610" s="75">
        <v>1</v>
      </c>
      <c r="S610" s="81"/>
      <c r="T610" s="82"/>
      <c r="U610" s="83"/>
    </row>
    <row r="611" spans="1:21" s="84" customFormat="1" x14ac:dyDescent="0.3">
      <c r="A611" s="68">
        <v>39952</v>
      </c>
      <c r="B611" s="69">
        <f t="shared" si="10"/>
        <v>20090519</v>
      </c>
      <c r="C611" s="70">
        <v>3.7999999999999999E-2</v>
      </c>
      <c r="D611" s="77">
        <v>0.01</v>
      </c>
      <c r="E611" s="77"/>
      <c r="F611" s="77">
        <v>1.4E-2</v>
      </c>
      <c r="G611" s="78">
        <v>15000000</v>
      </c>
      <c r="H611" s="79"/>
      <c r="I611" s="79"/>
      <c r="J611" s="79"/>
      <c r="K611" s="80">
        <v>2.0499999999999997E-2</v>
      </c>
      <c r="L611" s="80"/>
      <c r="M611" s="75" t="s">
        <v>143</v>
      </c>
      <c r="N611" s="75" t="b">
        <v>1</v>
      </c>
      <c r="O611" s="75" t="s">
        <v>144</v>
      </c>
      <c r="P611" s="75">
        <v>1994</v>
      </c>
      <c r="Q611" s="75">
        <v>2015</v>
      </c>
      <c r="R611" s="75">
        <v>1</v>
      </c>
      <c r="S611" s="81"/>
      <c r="T611" s="82"/>
      <c r="U611" s="83"/>
    </row>
    <row r="612" spans="1:21" s="84" customFormat="1" x14ac:dyDescent="0.3">
      <c r="A612" s="68">
        <v>39953</v>
      </c>
      <c r="B612" s="69">
        <f t="shared" si="10"/>
        <v>20090520</v>
      </c>
      <c r="C612" s="70">
        <v>3.7900000000000003E-2</v>
      </c>
      <c r="D612" s="77">
        <v>0.01</v>
      </c>
      <c r="E612" s="77"/>
      <c r="F612" s="77">
        <v>1.4E-2</v>
      </c>
      <c r="G612" s="78">
        <v>15000000</v>
      </c>
      <c r="H612" s="79"/>
      <c r="I612" s="79"/>
      <c r="J612" s="79"/>
      <c r="K612" s="80">
        <v>2.06E-2</v>
      </c>
      <c r="L612" s="80"/>
      <c r="M612" s="75" t="s">
        <v>143</v>
      </c>
      <c r="N612" s="75" t="b">
        <v>1</v>
      </c>
      <c r="O612" s="75" t="s">
        <v>144</v>
      </c>
      <c r="P612" s="75">
        <v>1994</v>
      </c>
      <c r="Q612" s="75">
        <v>2015</v>
      </c>
      <c r="R612" s="75">
        <v>1</v>
      </c>
      <c r="S612" s="81"/>
      <c r="T612" s="82"/>
      <c r="U612" s="83"/>
    </row>
    <row r="613" spans="1:21" s="84" customFormat="1" x14ac:dyDescent="0.3">
      <c r="A613" s="68">
        <v>39954</v>
      </c>
      <c r="B613" s="69">
        <f t="shared" si="10"/>
        <v>20090521</v>
      </c>
      <c r="C613" s="70">
        <v>3.8900000000000004E-2</v>
      </c>
      <c r="D613" s="77">
        <v>0.01</v>
      </c>
      <c r="E613" s="77"/>
      <c r="F613" s="77">
        <v>1.4E-2</v>
      </c>
      <c r="G613" s="78">
        <v>15000000</v>
      </c>
      <c r="H613" s="79"/>
      <c r="I613" s="79"/>
      <c r="J613" s="79"/>
      <c r="K613" s="80">
        <v>2.1499999999999998E-2</v>
      </c>
      <c r="L613" s="80"/>
      <c r="M613" s="75" t="s">
        <v>143</v>
      </c>
      <c r="N613" s="75" t="b">
        <v>1</v>
      </c>
      <c r="O613" s="75" t="s">
        <v>144</v>
      </c>
      <c r="P613" s="75">
        <v>1994</v>
      </c>
      <c r="Q613" s="75">
        <v>2015</v>
      </c>
      <c r="R613" s="75">
        <v>1</v>
      </c>
      <c r="S613" s="81"/>
      <c r="T613" s="82"/>
      <c r="U613" s="83"/>
    </row>
    <row r="614" spans="1:21" s="84" customFormat="1" x14ac:dyDescent="0.3">
      <c r="A614" s="68">
        <v>39955</v>
      </c>
      <c r="B614" s="69">
        <f t="shared" si="10"/>
        <v>20090522</v>
      </c>
      <c r="C614" s="70">
        <v>3.8800000000000001E-2</v>
      </c>
      <c r="D614" s="77">
        <v>0.01</v>
      </c>
      <c r="E614" s="77"/>
      <c r="F614" s="77">
        <v>1.4E-2</v>
      </c>
      <c r="G614" s="78">
        <v>15000000</v>
      </c>
      <c r="H614" s="79"/>
      <c r="I614" s="79"/>
      <c r="J614" s="79"/>
      <c r="K614" s="80">
        <v>2.1400000000000002E-2</v>
      </c>
      <c r="L614" s="80"/>
      <c r="M614" s="75" t="s">
        <v>143</v>
      </c>
      <c r="N614" s="75" t="b">
        <v>1</v>
      </c>
      <c r="O614" s="75" t="s">
        <v>144</v>
      </c>
      <c r="P614" s="75">
        <v>1994</v>
      </c>
      <c r="Q614" s="75">
        <v>2015</v>
      </c>
      <c r="R614" s="75">
        <v>1</v>
      </c>
      <c r="S614" s="81"/>
      <c r="T614" s="82"/>
      <c r="U614" s="83"/>
    </row>
    <row r="615" spans="1:21" s="84" customFormat="1" x14ac:dyDescent="0.3">
      <c r="A615" s="68">
        <v>39958</v>
      </c>
      <c r="B615" s="69">
        <f t="shared" si="10"/>
        <v>20090525</v>
      </c>
      <c r="C615" s="70">
        <v>3.8900000000000004E-2</v>
      </c>
      <c r="D615" s="77">
        <v>0.01</v>
      </c>
      <c r="E615" s="77"/>
      <c r="F615" s="77">
        <v>1.4E-2</v>
      </c>
      <c r="G615" s="78">
        <v>15000000</v>
      </c>
      <c r="H615" s="79"/>
      <c r="I615" s="79"/>
      <c r="J615" s="79"/>
      <c r="K615" s="80">
        <v>2.1400000000000002E-2</v>
      </c>
      <c r="L615" s="80"/>
      <c r="M615" s="75" t="s">
        <v>143</v>
      </c>
      <c r="N615" s="75" t="b">
        <v>1</v>
      </c>
      <c r="O615" s="75" t="s">
        <v>144</v>
      </c>
      <c r="P615" s="75">
        <v>1994</v>
      </c>
      <c r="Q615" s="75">
        <v>2015</v>
      </c>
      <c r="R615" s="75">
        <v>1</v>
      </c>
      <c r="S615" s="81"/>
      <c r="T615" s="82"/>
      <c r="U615" s="83"/>
    </row>
    <row r="616" spans="1:21" s="84" customFormat="1" x14ac:dyDescent="0.3">
      <c r="A616" s="68">
        <v>39959</v>
      </c>
      <c r="B616" s="69">
        <f t="shared" si="10"/>
        <v>20090526</v>
      </c>
      <c r="C616" s="70">
        <v>0.04</v>
      </c>
      <c r="D616" s="77">
        <v>0.01</v>
      </c>
      <c r="E616" s="77"/>
      <c r="F616" s="77">
        <v>1.4E-2</v>
      </c>
      <c r="G616" s="78">
        <v>15000000</v>
      </c>
      <c r="H616" s="79"/>
      <c r="I616" s="79"/>
      <c r="J616" s="79"/>
      <c r="K616" s="80">
        <v>2.23E-2</v>
      </c>
      <c r="L616" s="80"/>
      <c r="M616" s="75" t="s">
        <v>143</v>
      </c>
      <c r="N616" s="75" t="b">
        <v>1</v>
      </c>
      <c r="O616" s="75" t="s">
        <v>144</v>
      </c>
      <c r="P616" s="75">
        <v>1994</v>
      </c>
      <c r="Q616" s="75">
        <v>2015</v>
      </c>
      <c r="R616" s="75">
        <v>1</v>
      </c>
      <c r="S616" s="81"/>
      <c r="T616" s="82"/>
      <c r="U616" s="83"/>
    </row>
    <row r="617" spans="1:21" s="84" customFormat="1" x14ac:dyDescent="0.3">
      <c r="A617" s="68">
        <v>39960</v>
      </c>
      <c r="B617" s="69">
        <f t="shared" si="10"/>
        <v>20090527</v>
      </c>
      <c r="C617" s="70">
        <v>4.1100000000000005E-2</v>
      </c>
      <c r="D617" s="77">
        <v>0.01</v>
      </c>
      <c r="E617" s="77"/>
      <c r="F617" s="77">
        <v>1.4E-2</v>
      </c>
      <c r="G617" s="78">
        <v>15000000</v>
      </c>
      <c r="H617" s="79"/>
      <c r="I617" s="79"/>
      <c r="J617" s="79"/>
      <c r="K617" s="80">
        <v>2.3399999999999997E-2</v>
      </c>
      <c r="L617" s="80"/>
      <c r="M617" s="75" t="s">
        <v>143</v>
      </c>
      <c r="N617" s="75" t="b">
        <v>1</v>
      </c>
      <c r="O617" s="75" t="s">
        <v>144</v>
      </c>
      <c r="P617" s="75">
        <v>1994</v>
      </c>
      <c r="Q617" s="75">
        <v>2015</v>
      </c>
      <c r="R617" s="75">
        <v>1</v>
      </c>
      <c r="S617" s="81"/>
      <c r="T617" s="82"/>
      <c r="U617" s="83"/>
    </row>
    <row r="618" spans="1:21" s="84" customFormat="1" x14ac:dyDescent="0.3">
      <c r="A618" s="68">
        <v>39961</v>
      </c>
      <c r="B618" s="69">
        <f t="shared" si="10"/>
        <v>20090528</v>
      </c>
      <c r="C618" s="70">
        <v>0.04</v>
      </c>
      <c r="D618" s="77">
        <v>0.01</v>
      </c>
      <c r="E618" s="77"/>
      <c r="F618" s="77">
        <v>1.4E-2</v>
      </c>
      <c r="G618" s="78">
        <v>15000000</v>
      </c>
      <c r="H618" s="79"/>
      <c r="I618" s="79"/>
      <c r="J618" s="79"/>
      <c r="K618" s="80">
        <v>2.06E-2</v>
      </c>
      <c r="L618" s="80"/>
      <c r="M618" s="75" t="s">
        <v>143</v>
      </c>
      <c r="N618" s="75" t="b">
        <v>1</v>
      </c>
      <c r="O618" s="75" t="s">
        <v>144</v>
      </c>
      <c r="P618" s="75">
        <v>1994</v>
      </c>
      <c r="Q618" s="75">
        <v>2015</v>
      </c>
      <c r="R618" s="75">
        <v>1</v>
      </c>
      <c r="S618" s="81"/>
      <c r="T618" s="82"/>
      <c r="U618" s="83"/>
    </row>
    <row r="619" spans="1:21" s="84" customFormat="1" x14ac:dyDescent="0.3">
      <c r="A619" s="68">
        <v>39962</v>
      </c>
      <c r="B619" s="69">
        <f t="shared" si="10"/>
        <v>20090529</v>
      </c>
      <c r="C619" s="70">
        <v>3.9300000000000002E-2</v>
      </c>
      <c r="D619" s="77">
        <v>0.01</v>
      </c>
      <c r="E619" s="77"/>
      <c r="F619" s="77">
        <v>1.4E-2</v>
      </c>
      <c r="G619" s="78">
        <v>15000000</v>
      </c>
      <c r="H619" s="79"/>
      <c r="I619" s="79"/>
      <c r="J619" s="79"/>
      <c r="K619" s="80">
        <v>0.02</v>
      </c>
      <c r="L619" s="80"/>
      <c r="M619" s="75" t="s">
        <v>143</v>
      </c>
      <c r="N619" s="75" t="b">
        <v>1</v>
      </c>
      <c r="O619" s="75" t="s">
        <v>144</v>
      </c>
      <c r="P619" s="75">
        <v>1994</v>
      </c>
      <c r="Q619" s="75">
        <v>2015</v>
      </c>
      <c r="R619" s="75">
        <v>1</v>
      </c>
      <c r="S619" s="81"/>
      <c r="T619" s="82"/>
      <c r="U619" s="83"/>
    </row>
    <row r="620" spans="1:21" s="84" customFormat="1" x14ac:dyDescent="0.3">
      <c r="A620" s="68">
        <v>39965</v>
      </c>
      <c r="B620" s="69">
        <f t="shared" si="10"/>
        <v>20090601</v>
      </c>
      <c r="C620" s="70">
        <v>3.9699999999999999E-2</v>
      </c>
      <c r="D620" s="77">
        <v>0.01</v>
      </c>
      <c r="E620" s="77"/>
      <c r="F620" s="77">
        <v>1.4E-2</v>
      </c>
      <c r="G620" s="78">
        <v>15000000</v>
      </c>
      <c r="H620" s="79"/>
      <c r="I620" s="79"/>
      <c r="J620" s="79"/>
      <c r="K620" s="80">
        <v>2.0199999999999999E-2</v>
      </c>
      <c r="L620" s="80"/>
      <c r="M620" s="75" t="s">
        <v>143</v>
      </c>
      <c r="N620" s="75" t="b">
        <v>1</v>
      </c>
      <c r="O620" s="75" t="s">
        <v>144</v>
      </c>
      <c r="P620" s="75">
        <v>1994</v>
      </c>
      <c r="Q620" s="75">
        <v>2015</v>
      </c>
      <c r="R620" s="75">
        <v>1</v>
      </c>
      <c r="S620" s="81"/>
      <c r="T620" s="82"/>
      <c r="U620" s="83"/>
    </row>
    <row r="621" spans="1:21" s="84" customFormat="1" x14ac:dyDescent="0.3">
      <c r="A621" s="68">
        <v>39966</v>
      </c>
      <c r="B621" s="69">
        <f t="shared" si="10"/>
        <v>20090602</v>
      </c>
      <c r="C621" s="70">
        <v>4.0399999999999998E-2</v>
      </c>
      <c r="D621" s="77">
        <v>0.01</v>
      </c>
      <c r="E621" s="77"/>
      <c r="F621" s="77">
        <v>1.4E-2</v>
      </c>
      <c r="G621" s="78">
        <v>15000000</v>
      </c>
      <c r="H621" s="79"/>
      <c r="I621" s="79"/>
      <c r="J621" s="79"/>
      <c r="K621" s="80">
        <v>0.02</v>
      </c>
      <c r="L621" s="80"/>
      <c r="M621" s="75" t="s">
        <v>143</v>
      </c>
      <c r="N621" s="75" t="b">
        <v>1</v>
      </c>
      <c r="O621" s="75" t="s">
        <v>144</v>
      </c>
      <c r="P621" s="75">
        <v>1994</v>
      </c>
      <c r="Q621" s="75">
        <v>2015</v>
      </c>
      <c r="R621" s="75">
        <v>1</v>
      </c>
      <c r="S621" s="81"/>
      <c r="T621" s="82"/>
      <c r="U621" s="83"/>
    </row>
    <row r="622" spans="1:21" s="84" customFormat="1" x14ac:dyDescent="0.3">
      <c r="A622" s="68">
        <v>39967</v>
      </c>
      <c r="B622" s="69">
        <f t="shared" si="10"/>
        <v>20090603</v>
      </c>
      <c r="C622" s="70">
        <v>3.9900000000000005E-2</v>
      </c>
      <c r="D622" s="77">
        <v>0.01</v>
      </c>
      <c r="E622" s="77"/>
      <c r="F622" s="77">
        <v>1.4E-2</v>
      </c>
      <c r="G622" s="78">
        <v>15000000</v>
      </c>
      <c r="H622" s="79"/>
      <c r="I622" s="79"/>
      <c r="J622" s="79"/>
      <c r="K622" s="80">
        <v>1.9599999999999999E-2</v>
      </c>
      <c r="L622" s="80"/>
      <c r="M622" s="75" t="s">
        <v>143</v>
      </c>
      <c r="N622" s="75" t="b">
        <v>1</v>
      </c>
      <c r="O622" s="75" t="s">
        <v>144</v>
      </c>
      <c r="P622" s="75">
        <v>1994</v>
      </c>
      <c r="Q622" s="75">
        <v>2015</v>
      </c>
      <c r="R622" s="75">
        <v>1</v>
      </c>
      <c r="S622" s="81"/>
      <c r="T622" s="82"/>
      <c r="U622" s="83"/>
    </row>
    <row r="623" spans="1:21" s="84" customFormat="1" x14ac:dyDescent="0.3">
      <c r="A623" s="68">
        <v>39968</v>
      </c>
      <c r="B623" s="69">
        <f t="shared" si="10"/>
        <v>20090604</v>
      </c>
      <c r="C623" s="70">
        <v>4.0300000000000002E-2</v>
      </c>
      <c r="D623" s="77">
        <v>0.01</v>
      </c>
      <c r="E623" s="77"/>
      <c r="F623" s="77">
        <v>1.4E-2</v>
      </c>
      <c r="G623" s="78">
        <v>15000000</v>
      </c>
      <c r="H623" s="79"/>
      <c r="I623" s="79"/>
      <c r="J623" s="79"/>
      <c r="K623" s="80">
        <v>1.9900000000000001E-2</v>
      </c>
      <c r="L623" s="80"/>
      <c r="M623" s="75" t="s">
        <v>143</v>
      </c>
      <c r="N623" s="75" t="b">
        <v>1</v>
      </c>
      <c r="O623" s="75" t="s">
        <v>144</v>
      </c>
      <c r="P623" s="75">
        <v>1994</v>
      </c>
      <c r="Q623" s="75">
        <v>2015</v>
      </c>
      <c r="R623" s="75">
        <v>1</v>
      </c>
      <c r="S623" s="81"/>
      <c r="T623" s="82"/>
      <c r="U623" s="83"/>
    </row>
    <row r="624" spans="1:21" s="84" customFormat="1" x14ac:dyDescent="0.3">
      <c r="A624" s="68">
        <v>39969</v>
      </c>
      <c r="B624" s="69">
        <f t="shared" si="10"/>
        <v>20090605</v>
      </c>
      <c r="C624" s="70">
        <v>4.0199999999999993E-2</v>
      </c>
      <c r="D624" s="77">
        <v>0.01</v>
      </c>
      <c r="E624" s="77"/>
      <c r="F624" s="77">
        <v>1.4E-2</v>
      </c>
      <c r="G624" s="78">
        <v>15000000</v>
      </c>
      <c r="H624" s="79"/>
      <c r="I624" s="79"/>
      <c r="J624" s="79"/>
      <c r="K624" s="80">
        <v>1.9599999999999999E-2</v>
      </c>
      <c r="L624" s="80"/>
      <c r="M624" s="75" t="s">
        <v>143</v>
      </c>
      <c r="N624" s="75" t="b">
        <v>1</v>
      </c>
      <c r="O624" s="75" t="s">
        <v>144</v>
      </c>
      <c r="P624" s="75">
        <v>1994</v>
      </c>
      <c r="Q624" s="75">
        <v>2015</v>
      </c>
      <c r="R624" s="75">
        <v>1</v>
      </c>
      <c r="S624" s="81"/>
      <c r="T624" s="82"/>
      <c r="U624" s="83"/>
    </row>
    <row r="625" spans="1:21" s="84" customFormat="1" x14ac:dyDescent="0.3">
      <c r="A625" s="68">
        <v>39972</v>
      </c>
      <c r="B625" s="69">
        <f t="shared" si="10"/>
        <v>20090608</v>
      </c>
      <c r="C625" s="70">
        <v>4.0500000000000001E-2</v>
      </c>
      <c r="D625" s="77">
        <v>0.01</v>
      </c>
      <c r="E625" s="77"/>
      <c r="F625" s="77">
        <v>1.4E-2</v>
      </c>
      <c r="G625" s="78">
        <v>15000000</v>
      </c>
      <c r="H625" s="79"/>
      <c r="I625" s="79"/>
      <c r="J625" s="79"/>
      <c r="K625" s="80">
        <v>1.9799999999999998E-2</v>
      </c>
      <c r="L625" s="80"/>
      <c r="M625" s="75" t="s">
        <v>143</v>
      </c>
      <c r="N625" s="75" t="b">
        <v>1</v>
      </c>
      <c r="O625" s="75" t="s">
        <v>144</v>
      </c>
      <c r="P625" s="75">
        <v>1994</v>
      </c>
      <c r="Q625" s="75">
        <v>2015</v>
      </c>
      <c r="R625" s="75">
        <v>1</v>
      </c>
      <c r="S625" s="81"/>
      <c r="T625" s="82"/>
      <c r="U625" s="83"/>
    </row>
    <row r="626" spans="1:21" s="84" customFormat="1" x14ac:dyDescent="0.3">
      <c r="A626" s="68">
        <v>39973</v>
      </c>
      <c r="B626" s="69">
        <f t="shared" si="10"/>
        <v>20090609</v>
      </c>
      <c r="C626" s="70">
        <v>4.07E-2</v>
      </c>
      <c r="D626" s="77">
        <v>0.01</v>
      </c>
      <c r="E626" s="77"/>
      <c r="F626" s="77">
        <v>1.4E-2</v>
      </c>
      <c r="G626" s="78">
        <v>15000000</v>
      </c>
      <c r="H626" s="79"/>
      <c r="I626" s="79"/>
      <c r="J626" s="79"/>
      <c r="K626" s="80">
        <v>0.02</v>
      </c>
      <c r="L626" s="80"/>
      <c r="M626" s="75" t="s">
        <v>143</v>
      </c>
      <c r="N626" s="75" t="b">
        <v>1</v>
      </c>
      <c r="O626" s="75" t="s">
        <v>144</v>
      </c>
      <c r="P626" s="75">
        <v>1994</v>
      </c>
      <c r="Q626" s="75">
        <v>2015</v>
      </c>
      <c r="R626" s="75">
        <v>1</v>
      </c>
      <c r="S626" s="81"/>
      <c r="T626" s="82"/>
      <c r="U626" s="83"/>
    </row>
    <row r="627" spans="1:21" s="84" customFormat="1" x14ac:dyDescent="0.3">
      <c r="A627" s="68">
        <v>39974</v>
      </c>
      <c r="B627" s="69">
        <f t="shared" si="10"/>
        <v>20090610</v>
      </c>
      <c r="C627" s="70">
        <v>4.1500000000000002E-2</v>
      </c>
      <c r="D627" s="77">
        <v>0.01</v>
      </c>
      <c r="E627" s="77"/>
      <c r="F627" s="77">
        <v>1.4E-2</v>
      </c>
      <c r="G627" s="78">
        <v>15000000</v>
      </c>
      <c r="H627" s="79"/>
      <c r="I627" s="79"/>
      <c r="J627" s="79"/>
      <c r="K627" s="80">
        <v>2.0299999999999999E-2</v>
      </c>
      <c r="L627" s="80"/>
      <c r="M627" s="75" t="s">
        <v>143</v>
      </c>
      <c r="N627" s="75" t="b">
        <v>1</v>
      </c>
      <c r="O627" s="75" t="s">
        <v>144</v>
      </c>
      <c r="P627" s="75">
        <v>1994</v>
      </c>
      <c r="Q627" s="75">
        <v>2015</v>
      </c>
      <c r="R627" s="75">
        <v>1</v>
      </c>
      <c r="S627" s="81"/>
      <c r="T627" s="82"/>
      <c r="U627" s="83"/>
    </row>
    <row r="628" spans="1:21" s="84" customFormat="1" x14ac:dyDescent="0.3">
      <c r="A628" s="68">
        <v>39975</v>
      </c>
      <c r="B628" s="69">
        <f t="shared" si="10"/>
        <v>20090611</v>
      </c>
      <c r="C628" s="70">
        <v>4.0399999999999998E-2</v>
      </c>
      <c r="D628" s="77">
        <v>0.01</v>
      </c>
      <c r="E628" s="77"/>
      <c r="F628" s="77">
        <v>1.4E-2</v>
      </c>
      <c r="G628" s="78">
        <v>15000000</v>
      </c>
      <c r="H628" s="79"/>
      <c r="I628" s="79"/>
      <c r="J628" s="79"/>
      <c r="K628" s="80">
        <v>1.95E-2</v>
      </c>
      <c r="L628" s="80"/>
      <c r="M628" s="75" t="s">
        <v>143</v>
      </c>
      <c r="N628" s="75" t="b">
        <v>1</v>
      </c>
      <c r="O628" s="75" t="s">
        <v>144</v>
      </c>
      <c r="P628" s="75">
        <v>1994</v>
      </c>
      <c r="Q628" s="75">
        <v>2015</v>
      </c>
      <c r="R628" s="75">
        <v>1</v>
      </c>
      <c r="S628" s="81"/>
      <c r="T628" s="82"/>
      <c r="U628" s="83"/>
    </row>
    <row r="629" spans="1:21" s="84" customFormat="1" x14ac:dyDescent="0.3">
      <c r="A629" s="68">
        <v>39976</v>
      </c>
      <c r="B629" s="69">
        <f t="shared" si="10"/>
        <v>20090612</v>
      </c>
      <c r="C629" s="70">
        <v>3.9800000000000002E-2</v>
      </c>
      <c r="D629" s="77">
        <v>0.01</v>
      </c>
      <c r="E629" s="77"/>
      <c r="F629" s="77">
        <v>1.4E-2</v>
      </c>
      <c r="G629" s="78">
        <v>15000000</v>
      </c>
      <c r="H629" s="79"/>
      <c r="I629" s="79"/>
      <c r="J629" s="79"/>
      <c r="K629" s="80">
        <v>1.9199999999999998E-2</v>
      </c>
      <c r="L629" s="80"/>
      <c r="M629" s="75" t="s">
        <v>143</v>
      </c>
      <c r="N629" s="75" t="b">
        <v>1</v>
      </c>
      <c r="O629" s="75" t="s">
        <v>144</v>
      </c>
      <c r="P629" s="75">
        <v>1994</v>
      </c>
      <c r="Q629" s="75">
        <v>2015</v>
      </c>
      <c r="R629" s="75">
        <v>1</v>
      </c>
      <c r="S629" s="81"/>
      <c r="T629" s="82"/>
      <c r="U629" s="83"/>
    </row>
    <row r="630" spans="1:21" s="84" customFormat="1" x14ac:dyDescent="0.3">
      <c r="A630" s="68">
        <v>39979</v>
      </c>
      <c r="B630" s="69">
        <f t="shared" si="10"/>
        <v>20090615</v>
      </c>
      <c r="C630" s="70">
        <v>3.9800000000000002E-2</v>
      </c>
      <c r="D630" s="77">
        <v>0.01</v>
      </c>
      <c r="E630" s="77"/>
      <c r="F630" s="77">
        <v>1.4E-2</v>
      </c>
      <c r="G630" s="78">
        <v>15000000</v>
      </c>
      <c r="H630" s="79"/>
      <c r="I630" s="79"/>
      <c r="J630" s="79"/>
      <c r="K630" s="80">
        <v>1.9299999999999998E-2</v>
      </c>
      <c r="L630" s="80"/>
      <c r="M630" s="75" t="s">
        <v>143</v>
      </c>
      <c r="N630" s="75" t="b">
        <v>1</v>
      </c>
      <c r="O630" s="75" t="s">
        <v>144</v>
      </c>
      <c r="P630" s="75">
        <v>1994</v>
      </c>
      <c r="Q630" s="75">
        <v>2015</v>
      </c>
      <c r="R630" s="75">
        <v>1</v>
      </c>
      <c r="S630" s="81"/>
      <c r="T630" s="82"/>
      <c r="U630" s="83"/>
    </row>
    <row r="631" spans="1:21" s="84" customFormat="1" x14ac:dyDescent="0.3">
      <c r="A631" s="68">
        <v>39980</v>
      </c>
      <c r="B631" s="69">
        <f t="shared" si="10"/>
        <v>20090616</v>
      </c>
      <c r="C631" s="70">
        <v>3.9399999999999998E-2</v>
      </c>
      <c r="D631" s="77">
        <v>0.01</v>
      </c>
      <c r="E631" s="77"/>
      <c r="F631" s="77">
        <v>1.4E-2</v>
      </c>
      <c r="G631" s="78">
        <v>15000000</v>
      </c>
      <c r="H631" s="79"/>
      <c r="I631" s="79"/>
      <c r="J631" s="79"/>
      <c r="K631" s="80">
        <v>1.89E-2</v>
      </c>
      <c r="L631" s="80"/>
      <c r="M631" s="75" t="s">
        <v>143</v>
      </c>
      <c r="N631" s="75" t="b">
        <v>1</v>
      </c>
      <c r="O631" s="75" t="s">
        <v>144</v>
      </c>
      <c r="P631" s="75">
        <v>1994</v>
      </c>
      <c r="Q631" s="75">
        <v>2015</v>
      </c>
      <c r="R631" s="75">
        <v>1</v>
      </c>
      <c r="S631" s="81"/>
      <c r="T631" s="82"/>
      <c r="U631" s="83"/>
    </row>
    <row r="632" spans="1:21" s="84" customFormat="1" x14ac:dyDescent="0.3">
      <c r="A632" s="68">
        <v>39981</v>
      </c>
      <c r="B632" s="69">
        <f t="shared" si="10"/>
        <v>20090617</v>
      </c>
      <c r="C632" s="70">
        <v>3.9399999999999998E-2</v>
      </c>
      <c r="D632" s="77">
        <v>0.01</v>
      </c>
      <c r="E632" s="77"/>
      <c r="F632" s="77">
        <v>1.4E-2</v>
      </c>
      <c r="G632" s="78">
        <v>15000000</v>
      </c>
      <c r="H632" s="79"/>
      <c r="I632" s="79"/>
      <c r="J632" s="79"/>
      <c r="K632" s="80">
        <v>1.9099999999999999E-2</v>
      </c>
      <c r="L632" s="80"/>
      <c r="M632" s="75" t="s">
        <v>143</v>
      </c>
      <c r="N632" s="75" t="b">
        <v>1</v>
      </c>
      <c r="O632" s="75" t="s">
        <v>144</v>
      </c>
      <c r="P632" s="75">
        <v>1994</v>
      </c>
      <c r="Q632" s="75">
        <v>2015</v>
      </c>
      <c r="R632" s="75">
        <v>1</v>
      </c>
      <c r="S632" s="81"/>
      <c r="T632" s="82"/>
      <c r="U632" s="83"/>
    </row>
    <row r="633" spans="1:21" s="84" customFormat="1" x14ac:dyDescent="0.3">
      <c r="A633" s="68">
        <v>39982</v>
      </c>
      <c r="B633" s="69">
        <f t="shared" si="10"/>
        <v>20090618</v>
      </c>
      <c r="C633" s="70">
        <v>4.0099999999999997E-2</v>
      </c>
      <c r="D633" s="77">
        <v>0.01</v>
      </c>
      <c r="E633" s="77"/>
      <c r="F633" s="77">
        <v>1.4E-2</v>
      </c>
      <c r="G633" s="78">
        <v>15000000</v>
      </c>
      <c r="H633" s="79"/>
      <c r="I633" s="79"/>
      <c r="J633" s="79"/>
      <c r="K633" s="80">
        <v>1.9599999999999999E-2</v>
      </c>
      <c r="L633" s="80"/>
      <c r="M633" s="75" t="s">
        <v>143</v>
      </c>
      <c r="N633" s="75" t="b">
        <v>1</v>
      </c>
      <c r="O633" s="75" t="s">
        <v>144</v>
      </c>
      <c r="P633" s="75">
        <v>1994</v>
      </c>
      <c r="Q633" s="75">
        <v>2015</v>
      </c>
      <c r="R633" s="75">
        <v>1</v>
      </c>
      <c r="S633" s="81"/>
      <c r="T633" s="82"/>
      <c r="U633" s="83"/>
    </row>
    <row r="634" spans="1:21" s="84" customFormat="1" x14ac:dyDescent="0.3">
      <c r="A634" s="68">
        <v>39983</v>
      </c>
      <c r="B634" s="69">
        <f t="shared" si="10"/>
        <v>20090619</v>
      </c>
      <c r="C634" s="70">
        <v>4.0199999999999993E-2</v>
      </c>
      <c r="D634" s="77">
        <v>0.01</v>
      </c>
      <c r="E634" s="77"/>
      <c r="F634" s="77">
        <v>1.4E-2</v>
      </c>
      <c r="G634" s="78">
        <v>15000000</v>
      </c>
      <c r="H634" s="79"/>
      <c r="I634" s="79"/>
      <c r="J634" s="79"/>
      <c r="K634" s="80">
        <v>1.95E-2</v>
      </c>
      <c r="L634" s="80"/>
      <c r="M634" s="75" t="s">
        <v>143</v>
      </c>
      <c r="N634" s="75" t="b">
        <v>1</v>
      </c>
      <c r="O634" s="75" t="s">
        <v>144</v>
      </c>
      <c r="P634" s="75">
        <v>1994</v>
      </c>
      <c r="Q634" s="75">
        <v>2015</v>
      </c>
      <c r="R634" s="75">
        <v>1</v>
      </c>
      <c r="S634" s="81"/>
      <c r="T634" s="82"/>
      <c r="U634" s="83"/>
    </row>
    <row r="635" spans="1:21" s="84" customFormat="1" x14ac:dyDescent="0.3">
      <c r="A635" s="68">
        <v>39986</v>
      </c>
      <c r="B635" s="69">
        <f t="shared" si="10"/>
        <v>20090622</v>
      </c>
      <c r="C635" s="70">
        <v>3.95E-2</v>
      </c>
      <c r="D635" s="77">
        <v>0.01</v>
      </c>
      <c r="E635" s="77"/>
      <c r="F635" s="77">
        <v>1.4E-2</v>
      </c>
      <c r="G635" s="78">
        <v>15000000</v>
      </c>
      <c r="H635" s="79"/>
      <c r="I635" s="79"/>
      <c r="J635" s="79"/>
      <c r="K635" s="80">
        <v>1.89E-2</v>
      </c>
      <c r="L635" s="80"/>
      <c r="M635" s="75" t="s">
        <v>143</v>
      </c>
      <c r="N635" s="75" t="b">
        <v>1</v>
      </c>
      <c r="O635" s="75" t="s">
        <v>144</v>
      </c>
      <c r="P635" s="75">
        <v>1994</v>
      </c>
      <c r="Q635" s="75">
        <v>2015</v>
      </c>
      <c r="R635" s="75">
        <v>1</v>
      </c>
      <c r="S635" s="81"/>
      <c r="T635" s="82"/>
      <c r="U635" s="83"/>
    </row>
    <row r="636" spans="1:21" s="84" customFormat="1" x14ac:dyDescent="0.3">
      <c r="A636" s="68">
        <v>39987</v>
      </c>
      <c r="B636" s="69">
        <f t="shared" si="10"/>
        <v>20090623</v>
      </c>
      <c r="C636" s="70">
        <v>3.9300000000000002E-2</v>
      </c>
      <c r="D636" s="77">
        <v>0.01</v>
      </c>
      <c r="E636" s="77"/>
      <c r="F636" s="77">
        <v>1.4E-2</v>
      </c>
      <c r="G636" s="78">
        <v>15000000</v>
      </c>
      <c r="H636" s="79"/>
      <c r="I636" s="79"/>
      <c r="J636" s="79"/>
      <c r="K636" s="80">
        <v>1.8700000000000001E-2</v>
      </c>
      <c r="L636" s="80"/>
      <c r="M636" s="75" t="s">
        <v>143</v>
      </c>
      <c r="N636" s="75" t="b">
        <v>1</v>
      </c>
      <c r="O636" s="75" t="s">
        <v>144</v>
      </c>
      <c r="P636" s="75">
        <v>1994</v>
      </c>
      <c r="Q636" s="75">
        <v>2015</v>
      </c>
      <c r="R636" s="75">
        <v>1</v>
      </c>
      <c r="S636" s="81"/>
      <c r="T636" s="82"/>
      <c r="U636" s="83"/>
    </row>
    <row r="637" spans="1:21" s="84" customFormat="1" x14ac:dyDescent="0.3">
      <c r="A637" s="68">
        <v>39988</v>
      </c>
      <c r="B637" s="69">
        <f t="shared" si="10"/>
        <v>20090624</v>
      </c>
      <c r="C637" s="70">
        <v>3.9599999999999996E-2</v>
      </c>
      <c r="D637" s="77">
        <v>0.01</v>
      </c>
      <c r="E637" s="77"/>
      <c r="F637" s="77">
        <v>1.4E-2</v>
      </c>
      <c r="G637" s="78">
        <v>15000000</v>
      </c>
      <c r="H637" s="79"/>
      <c r="I637" s="79"/>
      <c r="J637" s="79"/>
      <c r="K637" s="80">
        <v>1.9099999999999999E-2</v>
      </c>
      <c r="L637" s="80"/>
      <c r="M637" s="75" t="s">
        <v>143</v>
      </c>
      <c r="N637" s="75" t="b">
        <v>1</v>
      </c>
      <c r="O637" s="75" t="s">
        <v>144</v>
      </c>
      <c r="P637" s="75">
        <v>1994</v>
      </c>
      <c r="Q637" s="75">
        <v>2015</v>
      </c>
      <c r="R637" s="75">
        <v>1</v>
      </c>
      <c r="S637" s="81"/>
      <c r="T637" s="82"/>
      <c r="U637" s="83"/>
    </row>
    <row r="638" spans="1:21" s="84" customFormat="1" x14ac:dyDescent="0.3">
      <c r="A638" s="68">
        <v>39989</v>
      </c>
      <c r="B638" s="69">
        <f t="shared" si="10"/>
        <v>20090625</v>
      </c>
      <c r="C638" s="70">
        <v>3.9599999999999996E-2</v>
      </c>
      <c r="D638" s="77">
        <v>0.01</v>
      </c>
      <c r="E638" s="77"/>
      <c r="F638" s="77">
        <v>1.4E-2</v>
      </c>
      <c r="G638" s="78">
        <v>15000000</v>
      </c>
      <c r="H638" s="79"/>
      <c r="I638" s="79"/>
      <c r="J638" s="79"/>
      <c r="K638" s="80">
        <v>1.9E-2</v>
      </c>
      <c r="L638" s="80"/>
      <c r="M638" s="75" t="s">
        <v>143</v>
      </c>
      <c r="N638" s="75" t="b">
        <v>1</v>
      </c>
      <c r="O638" s="75" t="s">
        <v>144</v>
      </c>
      <c r="P638" s="75">
        <v>1994</v>
      </c>
      <c r="Q638" s="75">
        <v>2015</v>
      </c>
      <c r="R638" s="75">
        <v>1</v>
      </c>
      <c r="S638" s="81"/>
      <c r="T638" s="82"/>
      <c r="U638" s="83"/>
    </row>
    <row r="639" spans="1:21" s="84" customFormat="1" x14ac:dyDescent="0.3">
      <c r="A639" s="68">
        <v>39990</v>
      </c>
      <c r="B639" s="69">
        <f t="shared" si="10"/>
        <v>20090626</v>
      </c>
      <c r="C639" s="70">
        <v>3.95E-2</v>
      </c>
      <c r="D639" s="77">
        <v>0.01</v>
      </c>
      <c r="E639" s="77"/>
      <c r="F639" s="77">
        <v>1.4E-2</v>
      </c>
      <c r="G639" s="78">
        <v>15000000</v>
      </c>
      <c r="H639" s="79"/>
      <c r="I639" s="79"/>
      <c r="J639" s="79"/>
      <c r="K639" s="80">
        <v>1.89E-2</v>
      </c>
      <c r="L639" s="80"/>
      <c r="M639" s="75" t="s">
        <v>143</v>
      </c>
      <c r="N639" s="75" t="b">
        <v>1</v>
      </c>
      <c r="O639" s="75" t="s">
        <v>144</v>
      </c>
      <c r="P639" s="75">
        <v>1994</v>
      </c>
      <c r="Q639" s="75">
        <v>2015</v>
      </c>
      <c r="R639" s="75">
        <v>1</v>
      </c>
      <c r="S639" s="81"/>
      <c r="T639" s="82"/>
      <c r="U639" s="83"/>
    </row>
    <row r="640" spans="1:21" s="84" customFormat="1" x14ac:dyDescent="0.3">
      <c r="A640" s="68">
        <v>39993</v>
      </c>
      <c r="B640" s="69">
        <f t="shared" si="10"/>
        <v>20090629</v>
      </c>
      <c r="C640" s="70">
        <v>3.95E-2</v>
      </c>
      <c r="D640" s="77">
        <v>0.01</v>
      </c>
      <c r="E640" s="77"/>
      <c r="F640" s="77">
        <v>1.4E-2</v>
      </c>
      <c r="G640" s="78">
        <v>15000000</v>
      </c>
      <c r="H640" s="79"/>
      <c r="I640" s="79"/>
      <c r="J640" s="79"/>
      <c r="K640" s="80">
        <v>1.9E-2</v>
      </c>
      <c r="L640" s="80"/>
      <c r="M640" s="75" t="s">
        <v>143</v>
      </c>
      <c r="N640" s="75" t="b">
        <v>1</v>
      </c>
      <c r="O640" s="75" t="s">
        <v>144</v>
      </c>
      <c r="P640" s="75">
        <v>1994</v>
      </c>
      <c r="Q640" s="75">
        <v>2015</v>
      </c>
      <c r="R640" s="75">
        <v>1</v>
      </c>
      <c r="S640" s="81"/>
      <c r="T640" s="82"/>
      <c r="U640" s="83"/>
    </row>
    <row r="641" spans="1:21" s="84" customFormat="1" x14ac:dyDescent="0.3">
      <c r="A641" s="68">
        <v>39994</v>
      </c>
      <c r="B641" s="69">
        <f t="shared" si="10"/>
        <v>20090630</v>
      </c>
      <c r="C641" s="70">
        <v>3.9100000000000003E-2</v>
      </c>
      <c r="D641" s="77">
        <v>0.01</v>
      </c>
      <c r="E641" s="77"/>
      <c r="F641" s="77">
        <v>1.4E-2</v>
      </c>
      <c r="G641" s="78">
        <v>15000000</v>
      </c>
      <c r="H641" s="79"/>
      <c r="I641" s="79"/>
      <c r="J641" s="79"/>
      <c r="K641" s="80">
        <v>1.8600000000000002E-2</v>
      </c>
      <c r="L641" s="80"/>
      <c r="M641" s="75" t="s">
        <v>143</v>
      </c>
      <c r="N641" s="75" t="b">
        <v>1</v>
      </c>
      <c r="O641" s="75" t="s">
        <v>144</v>
      </c>
      <c r="P641" s="75">
        <v>1994</v>
      </c>
      <c r="Q641" s="75">
        <v>2015</v>
      </c>
      <c r="R641" s="75">
        <v>1</v>
      </c>
      <c r="S641" s="81"/>
      <c r="T641" s="82"/>
      <c r="U641" s="83"/>
    </row>
    <row r="642" spans="1:21" s="84" customFormat="1" x14ac:dyDescent="0.3">
      <c r="A642" s="68">
        <v>39996</v>
      </c>
      <c r="B642" s="69">
        <f t="shared" si="10"/>
        <v>20090702</v>
      </c>
      <c r="C642" s="70">
        <v>3.9E-2</v>
      </c>
      <c r="D642" s="77">
        <v>0.01</v>
      </c>
      <c r="E642" s="77"/>
      <c r="F642" s="77">
        <v>1.4E-2</v>
      </c>
      <c r="G642" s="78">
        <v>15000000</v>
      </c>
      <c r="H642" s="79"/>
      <c r="I642" s="79"/>
      <c r="J642" s="79"/>
      <c r="K642" s="80">
        <v>1.84E-2</v>
      </c>
      <c r="L642" s="80"/>
      <c r="M642" s="75" t="s">
        <v>143</v>
      </c>
      <c r="N642" s="75" t="b">
        <v>1</v>
      </c>
      <c r="O642" s="75" t="s">
        <v>144</v>
      </c>
      <c r="P642" s="75">
        <v>1994</v>
      </c>
      <c r="Q642" s="75">
        <v>2015</v>
      </c>
      <c r="R642" s="75">
        <v>1</v>
      </c>
      <c r="S642" s="81"/>
      <c r="T642" s="82"/>
      <c r="U642" s="83"/>
    </row>
    <row r="643" spans="1:21" s="84" customFormat="1" x14ac:dyDescent="0.3">
      <c r="A643" s="68">
        <v>39997</v>
      </c>
      <c r="B643" s="69">
        <f t="shared" si="10"/>
        <v>20090703</v>
      </c>
      <c r="C643" s="70">
        <v>3.9E-2</v>
      </c>
      <c r="D643" s="77">
        <v>0.01</v>
      </c>
      <c r="E643" s="77"/>
      <c r="F643" s="77">
        <v>1.4E-2</v>
      </c>
      <c r="G643" s="78">
        <v>15000000</v>
      </c>
      <c r="H643" s="79"/>
      <c r="I643" s="79"/>
      <c r="J643" s="79"/>
      <c r="K643" s="80">
        <v>1.8500000000000003E-2</v>
      </c>
      <c r="L643" s="80"/>
      <c r="M643" s="75" t="s">
        <v>143</v>
      </c>
      <c r="N643" s="75" t="b">
        <v>1</v>
      </c>
      <c r="O643" s="75" t="s">
        <v>144</v>
      </c>
      <c r="P643" s="75">
        <v>1994</v>
      </c>
      <c r="Q643" s="75">
        <v>2015</v>
      </c>
      <c r="R643" s="75">
        <v>1</v>
      </c>
      <c r="S643" s="81"/>
      <c r="T643" s="82"/>
      <c r="U643" s="83"/>
    </row>
    <row r="644" spans="1:21" s="84" customFormat="1" x14ac:dyDescent="0.3">
      <c r="A644" s="68">
        <v>40000</v>
      </c>
      <c r="B644" s="69">
        <f t="shared" si="10"/>
        <v>20090706</v>
      </c>
      <c r="C644" s="70">
        <v>3.9199999999999999E-2</v>
      </c>
      <c r="D644" s="77">
        <v>0.01</v>
      </c>
      <c r="E644" s="77"/>
      <c r="F644" s="77">
        <v>1.4E-2</v>
      </c>
      <c r="G644" s="78">
        <v>15000000</v>
      </c>
      <c r="H644" s="79"/>
      <c r="I644" s="79"/>
      <c r="J644" s="79"/>
      <c r="K644" s="80">
        <v>1.8799999999999997E-2</v>
      </c>
      <c r="L644" s="80"/>
      <c r="M644" s="75" t="s">
        <v>143</v>
      </c>
      <c r="N644" s="75" t="b">
        <v>1</v>
      </c>
      <c r="O644" s="75" t="s">
        <v>144</v>
      </c>
      <c r="P644" s="75">
        <v>1994</v>
      </c>
      <c r="Q644" s="75">
        <v>2015</v>
      </c>
      <c r="R644" s="75">
        <v>1</v>
      </c>
      <c r="S644" s="81"/>
      <c r="T644" s="82"/>
      <c r="U644" s="83"/>
    </row>
    <row r="645" spans="1:21" s="84" customFormat="1" x14ac:dyDescent="0.3">
      <c r="A645" s="68">
        <v>40001</v>
      </c>
      <c r="B645" s="69">
        <f t="shared" si="10"/>
        <v>20090707</v>
      </c>
      <c r="C645" s="70">
        <v>3.9100000000000003E-2</v>
      </c>
      <c r="D645" s="77">
        <v>0.01</v>
      </c>
      <c r="E645" s="77"/>
      <c r="F645" s="77">
        <v>1.4E-2</v>
      </c>
      <c r="G645" s="78">
        <v>15000000</v>
      </c>
      <c r="H645" s="79"/>
      <c r="I645" s="79"/>
      <c r="J645" s="79"/>
      <c r="K645" s="80">
        <v>1.89E-2</v>
      </c>
      <c r="L645" s="80"/>
      <c r="M645" s="75" t="s">
        <v>143</v>
      </c>
      <c r="N645" s="75" t="b">
        <v>1</v>
      </c>
      <c r="O645" s="75" t="s">
        <v>144</v>
      </c>
      <c r="P645" s="75">
        <v>1994</v>
      </c>
      <c r="Q645" s="75">
        <v>2015</v>
      </c>
      <c r="R645" s="75">
        <v>1</v>
      </c>
      <c r="S645" s="81"/>
      <c r="T645" s="82"/>
      <c r="U645" s="83"/>
    </row>
    <row r="646" spans="1:21" s="84" customFormat="1" x14ac:dyDescent="0.3">
      <c r="A646" s="68">
        <v>40002</v>
      </c>
      <c r="B646" s="69">
        <f t="shared" si="10"/>
        <v>20090708</v>
      </c>
      <c r="C646" s="70">
        <v>3.8900000000000004E-2</v>
      </c>
      <c r="D646" s="77">
        <v>0.01</v>
      </c>
      <c r="E646" s="77"/>
      <c r="F646" s="77">
        <v>1.4E-2</v>
      </c>
      <c r="G646" s="78">
        <v>15000000</v>
      </c>
      <c r="H646" s="79"/>
      <c r="I646" s="79"/>
      <c r="J646" s="79"/>
      <c r="K646" s="80">
        <v>1.9E-2</v>
      </c>
      <c r="L646" s="80"/>
      <c r="M646" s="75" t="s">
        <v>143</v>
      </c>
      <c r="N646" s="75" t="b">
        <v>1</v>
      </c>
      <c r="O646" s="75" t="s">
        <v>144</v>
      </c>
      <c r="P646" s="75">
        <v>1994</v>
      </c>
      <c r="Q646" s="75">
        <v>2015</v>
      </c>
      <c r="R646" s="75">
        <v>1</v>
      </c>
      <c r="S646" s="81"/>
      <c r="T646" s="82"/>
      <c r="U646" s="83"/>
    </row>
    <row r="647" spans="1:21" s="84" customFormat="1" x14ac:dyDescent="0.3">
      <c r="A647" s="68">
        <v>40003</v>
      </c>
      <c r="B647" s="69">
        <f t="shared" si="10"/>
        <v>20090709</v>
      </c>
      <c r="C647" s="70">
        <v>3.9199999999999999E-2</v>
      </c>
      <c r="D647" s="77">
        <v>0.01</v>
      </c>
      <c r="E647" s="77"/>
      <c r="F647" s="77">
        <v>1.4E-2</v>
      </c>
      <c r="G647" s="78">
        <v>15000000</v>
      </c>
      <c r="H647" s="79"/>
      <c r="I647" s="79"/>
      <c r="J647" s="79"/>
      <c r="K647" s="80">
        <v>1.9400000000000001E-2</v>
      </c>
      <c r="L647" s="80"/>
      <c r="M647" s="75" t="s">
        <v>143</v>
      </c>
      <c r="N647" s="75" t="b">
        <v>1</v>
      </c>
      <c r="O647" s="75" t="s">
        <v>144</v>
      </c>
      <c r="P647" s="75">
        <v>1994</v>
      </c>
      <c r="Q647" s="75">
        <v>2015</v>
      </c>
      <c r="R647" s="75">
        <v>1</v>
      </c>
      <c r="S647" s="81"/>
      <c r="T647" s="82"/>
      <c r="U647" s="83"/>
    </row>
    <row r="648" spans="1:21" s="84" customFormat="1" x14ac:dyDescent="0.3">
      <c r="A648" s="68">
        <v>40004</v>
      </c>
      <c r="B648" s="69">
        <f t="shared" si="10"/>
        <v>20090710</v>
      </c>
      <c r="C648" s="70">
        <v>3.9100000000000003E-2</v>
      </c>
      <c r="D648" s="77">
        <v>0.01</v>
      </c>
      <c r="E648" s="77"/>
      <c r="F648" s="77">
        <v>1.4E-2</v>
      </c>
      <c r="G648" s="78">
        <v>15000000</v>
      </c>
      <c r="H648" s="79"/>
      <c r="I648" s="79"/>
      <c r="J648" s="79"/>
      <c r="K648" s="80">
        <v>1.9400000000000001E-2</v>
      </c>
      <c r="L648" s="80"/>
      <c r="M648" s="75" t="s">
        <v>143</v>
      </c>
      <c r="N648" s="75" t="b">
        <v>1</v>
      </c>
      <c r="O648" s="75" t="s">
        <v>144</v>
      </c>
      <c r="P648" s="75">
        <v>1994</v>
      </c>
      <c r="Q648" s="75">
        <v>2015</v>
      </c>
      <c r="R648" s="75">
        <v>1</v>
      </c>
      <c r="S648" s="81"/>
      <c r="T648" s="82"/>
      <c r="U648" s="83"/>
    </row>
    <row r="649" spans="1:21" s="84" customFormat="1" x14ac:dyDescent="0.3">
      <c r="A649" s="68">
        <v>40007</v>
      </c>
      <c r="B649" s="69">
        <f t="shared" si="10"/>
        <v>20090713</v>
      </c>
      <c r="C649" s="70">
        <v>3.95E-2</v>
      </c>
      <c r="D649" s="77">
        <v>0.01</v>
      </c>
      <c r="E649" s="77"/>
      <c r="F649" s="77">
        <v>1.4E-2</v>
      </c>
      <c r="G649" s="78">
        <v>15000000</v>
      </c>
      <c r="H649" s="79"/>
      <c r="I649" s="79"/>
      <c r="J649" s="79"/>
      <c r="K649" s="80">
        <v>1.9900000000000001E-2</v>
      </c>
      <c r="L649" s="80"/>
      <c r="M649" s="75" t="s">
        <v>143</v>
      </c>
      <c r="N649" s="75" t="b">
        <v>1</v>
      </c>
      <c r="O649" s="75" t="s">
        <v>144</v>
      </c>
      <c r="P649" s="75">
        <v>1994</v>
      </c>
      <c r="Q649" s="75">
        <v>2015</v>
      </c>
      <c r="R649" s="75">
        <v>1</v>
      </c>
      <c r="S649" s="81"/>
      <c r="T649" s="82"/>
      <c r="U649" s="83"/>
    </row>
    <row r="650" spans="1:21" s="84" customFormat="1" x14ac:dyDescent="0.3">
      <c r="A650" s="68">
        <v>40008</v>
      </c>
      <c r="B650" s="69">
        <f t="shared" ref="B650:B713" si="11">YEAR(A650)*10000+MONTH(A650)*100+DAY(A650)</f>
        <v>20090714</v>
      </c>
      <c r="C650" s="70">
        <v>4.0399999999999998E-2</v>
      </c>
      <c r="D650" s="77">
        <v>0.01</v>
      </c>
      <c r="E650" s="77"/>
      <c r="F650" s="77">
        <v>1.4E-2</v>
      </c>
      <c r="G650" s="78">
        <v>15000000</v>
      </c>
      <c r="H650" s="79"/>
      <c r="I650" s="79"/>
      <c r="J650" s="79"/>
      <c r="K650" s="80">
        <v>2.0299999999999999E-2</v>
      </c>
      <c r="L650" s="80"/>
      <c r="M650" s="75" t="s">
        <v>143</v>
      </c>
      <c r="N650" s="75" t="b">
        <v>1</v>
      </c>
      <c r="O650" s="75" t="s">
        <v>144</v>
      </c>
      <c r="P650" s="75">
        <v>1994</v>
      </c>
      <c r="Q650" s="75">
        <v>2015</v>
      </c>
      <c r="R650" s="75">
        <v>1</v>
      </c>
      <c r="S650" s="81"/>
      <c r="T650" s="82"/>
      <c r="U650" s="83"/>
    </row>
    <row r="651" spans="1:21" s="84" customFormat="1" x14ac:dyDescent="0.3">
      <c r="A651" s="68">
        <v>40009</v>
      </c>
      <c r="B651" s="69">
        <f t="shared" si="11"/>
        <v>20090715</v>
      </c>
      <c r="C651" s="70">
        <v>4.07E-2</v>
      </c>
      <c r="D651" s="77">
        <v>0.01</v>
      </c>
      <c r="E651" s="77"/>
      <c r="F651" s="77">
        <v>1.4E-2</v>
      </c>
      <c r="G651" s="78">
        <v>15000000</v>
      </c>
      <c r="H651" s="79"/>
      <c r="I651" s="79"/>
      <c r="J651" s="79"/>
      <c r="K651" s="80">
        <v>2.0199999999999999E-2</v>
      </c>
      <c r="L651" s="80"/>
      <c r="M651" s="75" t="s">
        <v>143</v>
      </c>
      <c r="N651" s="75" t="b">
        <v>1</v>
      </c>
      <c r="O651" s="75" t="s">
        <v>144</v>
      </c>
      <c r="P651" s="75">
        <v>1994</v>
      </c>
      <c r="Q651" s="75">
        <v>2015</v>
      </c>
      <c r="R651" s="75">
        <v>1</v>
      </c>
      <c r="S651" s="81"/>
      <c r="T651" s="82"/>
      <c r="U651" s="83"/>
    </row>
    <row r="652" spans="1:21" s="84" customFormat="1" x14ac:dyDescent="0.3">
      <c r="A652" s="68">
        <v>40010</v>
      </c>
      <c r="B652" s="69">
        <f t="shared" si="11"/>
        <v>20090716</v>
      </c>
      <c r="C652" s="70">
        <v>4.0099999999999997E-2</v>
      </c>
      <c r="D652" s="77">
        <v>0.01</v>
      </c>
      <c r="E652" s="77"/>
      <c r="F652" s="77">
        <v>1.4E-2</v>
      </c>
      <c r="G652" s="78">
        <v>15000000</v>
      </c>
      <c r="H652" s="79"/>
      <c r="I652" s="79"/>
      <c r="J652" s="79"/>
      <c r="K652" s="80">
        <v>1.9599999999999999E-2</v>
      </c>
      <c r="L652" s="80"/>
      <c r="M652" s="75" t="s">
        <v>143</v>
      </c>
      <c r="N652" s="75" t="b">
        <v>1</v>
      </c>
      <c r="O652" s="75" t="s">
        <v>144</v>
      </c>
      <c r="P652" s="75">
        <v>1994</v>
      </c>
      <c r="Q652" s="75">
        <v>2015</v>
      </c>
      <c r="R652" s="75">
        <v>1</v>
      </c>
      <c r="S652" s="81"/>
      <c r="T652" s="82"/>
      <c r="U652" s="83"/>
    </row>
    <row r="653" spans="1:21" s="84" customFormat="1" x14ac:dyDescent="0.3">
      <c r="A653" s="68">
        <v>40011</v>
      </c>
      <c r="B653" s="69">
        <f t="shared" si="11"/>
        <v>20090717</v>
      </c>
      <c r="C653" s="70">
        <v>4.0599999999999997E-2</v>
      </c>
      <c r="D653" s="77">
        <v>0.01</v>
      </c>
      <c r="E653" s="77"/>
      <c r="F653" s="77">
        <v>1.4E-2</v>
      </c>
      <c r="G653" s="78">
        <v>15000000</v>
      </c>
      <c r="H653" s="79"/>
      <c r="I653" s="79"/>
      <c r="J653" s="79"/>
      <c r="K653" s="80">
        <v>0.02</v>
      </c>
      <c r="L653" s="80"/>
      <c r="M653" s="75" t="s">
        <v>143</v>
      </c>
      <c r="N653" s="75" t="b">
        <v>1</v>
      </c>
      <c r="O653" s="75" t="s">
        <v>144</v>
      </c>
      <c r="P653" s="75">
        <v>1994</v>
      </c>
      <c r="Q653" s="75">
        <v>2015</v>
      </c>
      <c r="R653" s="75">
        <v>1</v>
      </c>
      <c r="S653" s="81"/>
      <c r="T653" s="82"/>
      <c r="U653" s="83"/>
    </row>
    <row r="654" spans="1:21" s="84" customFormat="1" x14ac:dyDescent="0.3">
      <c r="A654" s="68">
        <v>40014</v>
      </c>
      <c r="B654" s="69">
        <f t="shared" si="11"/>
        <v>20090720</v>
      </c>
      <c r="C654" s="70">
        <v>4.0099999999999997E-2</v>
      </c>
      <c r="D654" s="77">
        <v>0.01</v>
      </c>
      <c r="E654" s="77"/>
      <c r="F654" s="77">
        <v>1.4E-2</v>
      </c>
      <c r="G654" s="78">
        <v>15000000</v>
      </c>
      <c r="H654" s="79"/>
      <c r="I654" s="79"/>
      <c r="J654" s="79"/>
      <c r="K654" s="80">
        <v>1.9299999999999998E-2</v>
      </c>
      <c r="L654" s="80"/>
      <c r="M654" s="75" t="s">
        <v>143</v>
      </c>
      <c r="N654" s="75" t="b">
        <v>1</v>
      </c>
      <c r="O654" s="75" t="s">
        <v>144</v>
      </c>
      <c r="P654" s="75">
        <v>1994</v>
      </c>
      <c r="Q654" s="75">
        <v>2015</v>
      </c>
      <c r="R654" s="75">
        <v>1</v>
      </c>
      <c r="S654" s="81"/>
      <c r="T654" s="82"/>
      <c r="U654" s="83"/>
    </row>
    <row r="655" spans="1:21" s="84" customFormat="1" x14ac:dyDescent="0.3">
      <c r="A655" s="68">
        <v>40015</v>
      </c>
      <c r="B655" s="69">
        <f t="shared" si="11"/>
        <v>20090721</v>
      </c>
      <c r="C655" s="70">
        <v>4.0199999999999993E-2</v>
      </c>
      <c r="D655" s="77">
        <v>0.01</v>
      </c>
      <c r="E655" s="77"/>
      <c r="F655" s="77">
        <v>1.4E-2</v>
      </c>
      <c r="G655" s="78">
        <v>15000000</v>
      </c>
      <c r="H655" s="79"/>
      <c r="I655" s="79"/>
      <c r="J655" s="79"/>
      <c r="K655" s="80">
        <v>1.9400000000000001E-2</v>
      </c>
      <c r="L655" s="80"/>
      <c r="M655" s="75" t="s">
        <v>143</v>
      </c>
      <c r="N655" s="75" t="b">
        <v>1</v>
      </c>
      <c r="O655" s="75" t="s">
        <v>144</v>
      </c>
      <c r="P655" s="75">
        <v>1994</v>
      </c>
      <c r="Q655" s="75">
        <v>2015</v>
      </c>
      <c r="R655" s="75">
        <v>1</v>
      </c>
      <c r="S655" s="81"/>
      <c r="T655" s="82"/>
      <c r="U655" s="83"/>
    </row>
    <row r="656" spans="1:21" s="84" customFormat="1" x14ac:dyDescent="0.3">
      <c r="A656" s="68">
        <v>40016</v>
      </c>
      <c r="B656" s="69">
        <f t="shared" si="11"/>
        <v>20090722</v>
      </c>
      <c r="C656" s="70">
        <v>4.0599999999999997E-2</v>
      </c>
      <c r="D656" s="77">
        <v>0.01</v>
      </c>
      <c r="E656" s="77"/>
      <c r="F656" s="77">
        <v>1.4E-2</v>
      </c>
      <c r="G656" s="78">
        <v>15000000</v>
      </c>
      <c r="H656" s="79"/>
      <c r="I656" s="79"/>
      <c r="J656" s="79"/>
      <c r="K656" s="80">
        <v>1.9699999999999999E-2</v>
      </c>
      <c r="L656" s="80"/>
      <c r="M656" s="75" t="s">
        <v>143</v>
      </c>
      <c r="N656" s="75" t="b">
        <v>1</v>
      </c>
      <c r="O656" s="75" t="s">
        <v>144</v>
      </c>
      <c r="P656" s="75">
        <v>1994</v>
      </c>
      <c r="Q656" s="75">
        <v>2015</v>
      </c>
      <c r="R656" s="75">
        <v>1</v>
      </c>
      <c r="S656" s="81"/>
      <c r="T656" s="82"/>
      <c r="U656" s="83"/>
    </row>
    <row r="657" spans="1:21" s="84" customFormat="1" x14ac:dyDescent="0.3">
      <c r="A657" s="68">
        <v>40017</v>
      </c>
      <c r="B657" s="69">
        <f t="shared" si="11"/>
        <v>20090723</v>
      </c>
      <c r="C657" s="70">
        <v>4.0999999999999995E-2</v>
      </c>
      <c r="D657" s="77">
        <v>0.01</v>
      </c>
      <c r="E657" s="77"/>
      <c r="F657" s="77">
        <v>1.4E-2</v>
      </c>
      <c r="G657" s="78">
        <v>15000000</v>
      </c>
      <c r="H657" s="79"/>
      <c r="I657" s="79"/>
      <c r="J657" s="79"/>
      <c r="K657" s="80">
        <v>1.9699999999999999E-2</v>
      </c>
      <c r="L657" s="80"/>
      <c r="M657" s="75" t="s">
        <v>143</v>
      </c>
      <c r="N657" s="75" t="b">
        <v>1</v>
      </c>
      <c r="O657" s="75" t="s">
        <v>144</v>
      </c>
      <c r="P657" s="75">
        <v>1994</v>
      </c>
      <c r="Q657" s="75">
        <v>2015</v>
      </c>
      <c r="R657" s="75">
        <v>1</v>
      </c>
      <c r="S657" s="81"/>
      <c r="T657" s="82"/>
      <c r="U657" s="83"/>
    </row>
    <row r="658" spans="1:21" s="84" customFormat="1" x14ac:dyDescent="0.3">
      <c r="A658" s="68">
        <v>40018</v>
      </c>
      <c r="B658" s="69">
        <f t="shared" si="11"/>
        <v>20090724</v>
      </c>
      <c r="C658" s="70">
        <v>4.1100000000000005E-2</v>
      </c>
      <c r="D658" s="77">
        <v>0.01</v>
      </c>
      <c r="E658" s="77"/>
      <c r="F658" s="77">
        <v>1.4E-2</v>
      </c>
      <c r="G658" s="78">
        <v>15000000</v>
      </c>
      <c r="H658" s="79"/>
      <c r="I658" s="79"/>
      <c r="J658" s="79"/>
      <c r="K658" s="80">
        <v>1.9699999999999999E-2</v>
      </c>
      <c r="L658" s="80"/>
      <c r="M658" s="75" t="s">
        <v>143</v>
      </c>
      <c r="N658" s="75" t="b">
        <v>1</v>
      </c>
      <c r="O658" s="75" t="s">
        <v>144</v>
      </c>
      <c r="P658" s="75">
        <v>1994</v>
      </c>
      <c r="Q658" s="75">
        <v>2015</v>
      </c>
      <c r="R658" s="75">
        <v>1</v>
      </c>
      <c r="S658" s="81"/>
      <c r="T658" s="82"/>
      <c r="U658" s="83"/>
    </row>
    <row r="659" spans="1:21" s="84" customFormat="1" x14ac:dyDescent="0.3">
      <c r="A659" s="68">
        <v>40021</v>
      </c>
      <c r="B659" s="69">
        <f t="shared" si="11"/>
        <v>20090727</v>
      </c>
      <c r="C659" s="70">
        <v>4.1200000000000001E-2</v>
      </c>
      <c r="D659" s="77">
        <v>0.01</v>
      </c>
      <c r="E659" s="77"/>
      <c r="F659" s="77">
        <v>1.4E-2</v>
      </c>
      <c r="G659" s="78">
        <v>15000000</v>
      </c>
      <c r="H659" s="79"/>
      <c r="I659" s="79"/>
      <c r="J659" s="79"/>
      <c r="K659" s="80">
        <v>1.95E-2</v>
      </c>
      <c r="L659" s="80"/>
      <c r="M659" s="75" t="s">
        <v>143</v>
      </c>
      <c r="N659" s="75" t="b">
        <v>1</v>
      </c>
      <c r="O659" s="75" t="s">
        <v>144</v>
      </c>
      <c r="P659" s="75">
        <v>1994</v>
      </c>
      <c r="Q659" s="75">
        <v>2015</v>
      </c>
      <c r="R659" s="75">
        <v>1</v>
      </c>
      <c r="S659" s="81"/>
      <c r="T659" s="82"/>
      <c r="U659" s="83"/>
    </row>
    <row r="660" spans="1:21" s="84" customFormat="1" x14ac:dyDescent="0.3">
      <c r="A660" s="68">
        <v>40022</v>
      </c>
      <c r="B660" s="69">
        <f t="shared" si="11"/>
        <v>20090728</v>
      </c>
      <c r="C660" s="70">
        <v>4.0999999999999995E-2</v>
      </c>
      <c r="D660" s="77">
        <v>0.01</v>
      </c>
      <c r="E660" s="77"/>
      <c r="F660" s="77">
        <v>1.4E-2</v>
      </c>
      <c r="G660" s="78">
        <v>15000000</v>
      </c>
      <c r="H660" s="79"/>
      <c r="I660" s="79"/>
      <c r="J660" s="79"/>
      <c r="K660" s="80">
        <v>1.9199999999999998E-2</v>
      </c>
      <c r="L660" s="80"/>
      <c r="M660" s="75" t="s">
        <v>143</v>
      </c>
      <c r="N660" s="75" t="b">
        <v>1</v>
      </c>
      <c r="O660" s="75" t="s">
        <v>144</v>
      </c>
      <c r="P660" s="75">
        <v>1994</v>
      </c>
      <c r="Q660" s="75">
        <v>2015</v>
      </c>
      <c r="R660" s="75">
        <v>1</v>
      </c>
      <c r="S660" s="81"/>
      <c r="T660" s="82"/>
      <c r="U660" s="83"/>
    </row>
    <row r="661" spans="1:21" s="84" customFormat="1" x14ac:dyDescent="0.3">
      <c r="A661" s="68">
        <v>40023</v>
      </c>
      <c r="B661" s="69">
        <f t="shared" si="11"/>
        <v>20090729</v>
      </c>
      <c r="C661" s="70">
        <v>4.0999999999999995E-2</v>
      </c>
      <c r="D661" s="77">
        <v>0.01</v>
      </c>
      <c r="E661" s="77"/>
      <c r="F661" s="77">
        <v>1.4E-2</v>
      </c>
      <c r="G661" s="78">
        <v>15000000</v>
      </c>
      <c r="H661" s="79"/>
      <c r="I661" s="79"/>
      <c r="J661" s="79"/>
      <c r="K661" s="80">
        <v>1.89E-2</v>
      </c>
      <c r="L661" s="80"/>
      <c r="M661" s="75" t="s">
        <v>143</v>
      </c>
      <c r="N661" s="75" t="b">
        <v>1</v>
      </c>
      <c r="O661" s="75" t="s">
        <v>144</v>
      </c>
      <c r="P661" s="75">
        <v>1994</v>
      </c>
      <c r="Q661" s="75">
        <v>2015</v>
      </c>
      <c r="R661" s="75">
        <v>1</v>
      </c>
      <c r="S661" s="81"/>
      <c r="T661" s="82"/>
      <c r="U661" s="83"/>
    </row>
    <row r="662" spans="1:21" s="84" customFormat="1" x14ac:dyDescent="0.3">
      <c r="A662" s="68">
        <v>40024</v>
      </c>
      <c r="B662" s="69">
        <f t="shared" si="11"/>
        <v>20090730</v>
      </c>
      <c r="C662" s="70">
        <v>4.0999999999999995E-2</v>
      </c>
      <c r="D662" s="77">
        <v>0.01</v>
      </c>
      <c r="E662" s="77"/>
      <c r="F662" s="77">
        <v>1.4E-2</v>
      </c>
      <c r="G662" s="78">
        <v>15000000</v>
      </c>
      <c r="H662" s="79"/>
      <c r="I662" s="79"/>
      <c r="J662" s="79"/>
      <c r="K662" s="80">
        <v>1.8500000000000003E-2</v>
      </c>
      <c r="L662" s="80"/>
      <c r="M662" s="75" t="s">
        <v>143</v>
      </c>
      <c r="N662" s="75" t="b">
        <v>1</v>
      </c>
      <c r="O662" s="75" t="s">
        <v>144</v>
      </c>
      <c r="P662" s="75">
        <v>1994</v>
      </c>
      <c r="Q662" s="75">
        <v>2015</v>
      </c>
      <c r="R662" s="75">
        <v>1</v>
      </c>
      <c r="S662" s="81"/>
      <c r="T662" s="82"/>
      <c r="U662" s="83"/>
    </row>
    <row r="663" spans="1:21" s="96" customFormat="1" x14ac:dyDescent="0.3">
      <c r="A663" s="85">
        <v>40025</v>
      </c>
      <c r="B663" s="86">
        <f t="shared" si="11"/>
        <v>20090731</v>
      </c>
      <c r="C663" s="87">
        <v>4.0099999999999997E-2</v>
      </c>
      <c r="D663" s="89">
        <v>1E-3</v>
      </c>
      <c r="E663" s="89"/>
      <c r="F663" s="89">
        <v>5.0000000000000001E-3</v>
      </c>
      <c r="G663" s="90">
        <v>15000000</v>
      </c>
      <c r="H663" s="91"/>
      <c r="I663" s="91"/>
      <c r="J663" s="91"/>
      <c r="K663" s="92">
        <v>1.7299999999999999E-2</v>
      </c>
      <c r="L663" s="92"/>
      <c r="M663" s="75" t="s">
        <v>143</v>
      </c>
      <c r="N663" s="75" t="b">
        <v>1</v>
      </c>
      <c r="O663" s="75" t="s">
        <v>144</v>
      </c>
      <c r="P663" s="75">
        <v>1994</v>
      </c>
      <c r="Q663" s="75">
        <v>2015</v>
      </c>
      <c r="R663" s="75">
        <v>1</v>
      </c>
      <c r="S663" s="93"/>
      <c r="T663" s="94"/>
      <c r="U663" s="95"/>
    </row>
    <row r="664" spans="1:21" s="84" customFormat="1" x14ac:dyDescent="0.3">
      <c r="A664" s="68">
        <v>40029</v>
      </c>
      <c r="B664" s="69">
        <f t="shared" si="11"/>
        <v>20090804</v>
      </c>
      <c r="C664" s="70">
        <v>4.07E-2</v>
      </c>
      <c r="D664" s="77">
        <v>1E-3</v>
      </c>
      <c r="E664" s="77"/>
      <c r="F664" s="77">
        <v>5.0000000000000001E-3</v>
      </c>
      <c r="G664" s="78">
        <v>15000000</v>
      </c>
      <c r="H664" s="79"/>
      <c r="I664" s="79"/>
      <c r="J664" s="79"/>
      <c r="K664" s="80">
        <v>1.8200000000000001E-2</v>
      </c>
      <c r="L664" s="80"/>
      <c r="M664" s="75" t="s">
        <v>143</v>
      </c>
      <c r="N664" s="75" t="b">
        <v>1</v>
      </c>
      <c r="O664" s="75" t="s">
        <v>144</v>
      </c>
      <c r="P664" s="75">
        <v>1994</v>
      </c>
      <c r="Q664" s="75">
        <v>2015</v>
      </c>
      <c r="R664" s="75">
        <v>1</v>
      </c>
      <c r="S664" s="81"/>
      <c r="T664" s="82"/>
      <c r="U664" s="83"/>
    </row>
    <row r="665" spans="1:21" s="84" customFormat="1" x14ac:dyDescent="0.3">
      <c r="A665" s="68">
        <v>40030</v>
      </c>
      <c r="B665" s="69">
        <f t="shared" si="11"/>
        <v>20090805</v>
      </c>
      <c r="C665" s="70">
        <v>4.1200000000000001E-2</v>
      </c>
      <c r="D665" s="77">
        <v>1E-3</v>
      </c>
      <c r="E665" s="77"/>
      <c r="F665" s="77">
        <v>5.0000000000000001E-3</v>
      </c>
      <c r="G665" s="78">
        <v>15000000</v>
      </c>
      <c r="H665" s="79"/>
      <c r="I665" s="79"/>
      <c r="J665" s="79"/>
      <c r="K665" s="80">
        <v>1.8700000000000001E-2</v>
      </c>
      <c r="L665" s="80"/>
      <c r="M665" s="75" t="s">
        <v>143</v>
      </c>
      <c r="N665" s="75" t="b">
        <v>1</v>
      </c>
      <c r="O665" s="75" t="s">
        <v>144</v>
      </c>
      <c r="P665" s="75">
        <v>1994</v>
      </c>
      <c r="Q665" s="75">
        <v>2015</v>
      </c>
      <c r="R665" s="75">
        <v>1</v>
      </c>
      <c r="S665" s="81"/>
      <c r="T665" s="82"/>
      <c r="U665" s="83"/>
    </row>
    <row r="666" spans="1:21" s="84" customFormat="1" x14ac:dyDescent="0.3">
      <c r="A666" s="68">
        <v>40031</v>
      </c>
      <c r="B666" s="69">
        <f t="shared" si="11"/>
        <v>20090806</v>
      </c>
      <c r="C666" s="70">
        <v>4.0800000000000003E-2</v>
      </c>
      <c r="D666" s="77">
        <v>1E-3</v>
      </c>
      <c r="E666" s="77"/>
      <c r="F666" s="77">
        <v>5.0000000000000001E-3</v>
      </c>
      <c r="G666" s="78">
        <v>15000000</v>
      </c>
      <c r="H666" s="79"/>
      <c r="I666" s="79"/>
      <c r="J666" s="79"/>
      <c r="K666" s="80">
        <v>1.84E-2</v>
      </c>
      <c r="L666" s="80"/>
      <c r="M666" s="75" t="s">
        <v>143</v>
      </c>
      <c r="N666" s="75" t="b">
        <v>1</v>
      </c>
      <c r="O666" s="75" t="s">
        <v>144</v>
      </c>
      <c r="P666" s="75">
        <v>1994</v>
      </c>
      <c r="Q666" s="75">
        <v>2015</v>
      </c>
      <c r="R666" s="75">
        <v>1</v>
      </c>
      <c r="S666" s="81"/>
      <c r="T666" s="82"/>
      <c r="U666" s="83"/>
    </row>
    <row r="667" spans="1:21" s="84" customFormat="1" x14ac:dyDescent="0.3">
      <c r="A667" s="68">
        <v>40032</v>
      </c>
      <c r="B667" s="69">
        <f t="shared" si="11"/>
        <v>20090807</v>
      </c>
      <c r="C667" s="70">
        <v>4.1299999999999996E-2</v>
      </c>
      <c r="D667" s="77">
        <v>1E-3</v>
      </c>
      <c r="E667" s="77"/>
      <c r="F667" s="77">
        <v>5.0000000000000001E-3</v>
      </c>
      <c r="G667" s="78">
        <v>15000000</v>
      </c>
      <c r="H667" s="79"/>
      <c r="I667" s="79"/>
      <c r="J667" s="79"/>
      <c r="K667" s="80">
        <v>1.8799999999999997E-2</v>
      </c>
      <c r="L667" s="80"/>
      <c r="M667" s="75" t="s">
        <v>143</v>
      </c>
      <c r="N667" s="75" t="b">
        <v>1</v>
      </c>
      <c r="O667" s="75" t="s">
        <v>144</v>
      </c>
      <c r="P667" s="75">
        <v>1994</v>
      </c>
      <c r="Q667" s="75">
        <v>2015</v>
      </c>
      <c r="R667" s="75">
        <v>1</v>
      </c>
      <c r="S667" s="81"/>
      <c r="T667" s="82"/>
      <c r="U667" s="83"/>
    </row>
    <row r="668" spans="1:21" s="84" customFormat="1" x14ac:dyDescent="0.3">
      <c r="A668" s="68">
        <v>40035</v>
      </c>
      <c r="B668" s="69">
        <f t="shared" si="11"/>
        <v>20090810</v>
      </c>
      <c r="C668" s="70">
        <v>4.0899999999999999E-2</v>
      </c>
      <c r="D668" s="77">
        <v>1E-3</v>
      </c>
      <c r="E668" s="77"/>
      <c r="F668" s="77">
        <v>5.0000000000000001E-3</v>
      </c>
      <c r="G668" s="78">
        <v>15000000</v>
      </c>
      <c r="H668" s="79"/>
      <c r="I668" s="79"/>
      <c r="J668" s="79"/>
      <c r="K668" s="80">
        <v>1.8500000000000003E-2</v>
      </c>
      <c r="L668" s="80"/>
      <c r="M668" s="75" t="s">
        <v>143</v>
      </c>
      <c r="N668" s="75" t="b">
        <v>1</v>
      </c>
      <c r="O668" s="75" t="s">
        <v>144</v>
      </c>
      <c r="P668" s="75">
        <v>1994</v>
      </c>
      <c r="Q668" s="75">
        <v>2015</v>
      </c>
      <c r="R668" s="75">
        <v>1</v>
      </c>
      <c r="S668" s="81"/>
      <c r="T668" s="82"/>
      <c r="U668" s="83"/>
    </row>
    <row r="669" spans="1:21" s="84" customFormat="1" x14ac:dyDescent="0.3">
      <c r="A669" s="68">
        <v>40036</v>
      </c>
      <c r="B669" s="69">
        <f t="shared" si="11"/>
        <v>20090811</v>
      </c>
      <c r="C669" s="70">
        <v>4.0399999999999998E-2</v>
      </c>
      <c r="D669" s="77">
        <v>1E-3</v>
      </c>
      <c r="E669" s="77"/>
      <c r="F669" s="77">
        <v>5.0000000000000001E-3</v>
      </c>
      <c r="G669" s="78">
        <v>15000000</v>
      </c>
      <c r="H669" s="79"/>
      <c r="I669" s="79"/>
      <c r="J669" s="79"/>
      <c r="K669" s="80">
        <v>1.8200000000000001E-2</v>
      </c>
      <c r="L669" s="80"/>
      <c r="M669" s="75" t="s">
        <v>143</v>
      </c>
      <c r="N669" s="75" t="b">
        <v>1</v>
      </c>
      <c r="O669" s="75" t="s">
        <v>144</v>
      </c>
      <c r="P669" s="75">
        <v>1994</v>
      </c>
      <c r="Q669" s="75">
        <v>2015</v>
      </c>
      <c r="R669" s="75">
        <v>1</v>
      </c>
      <c r="S669" s="81"/>
      <c r="T669" s="82"/>
      <c r="U669" s="83"/>
    </row>
    <row r="670" spans="1:21" s="84" customFormat="1" x14ac:dyDescent="0.3">
      <c r="A670" s="68">
        <v>40037</v>
      </c>
      <c r="B670" s="69">
        <f t="shared" si="11"/>
        <v>20090812</v>
      </c>
      <c r="C670" s="70">
        <v>4.0500000000000001E-2</v>
      </c>
      <c r="D670" s="77">
        <v>1E-3</v>
      </c>
      <c r="E670" s="77"/>
      <c r="F670" s="77">
        <v>5.0000000000000001E-3</v>
      </c>
      <c r="G670" s="78">
        <v>15000000</v>
      </c>
      <c r="H670" s="79"/>
      <c r="I670" s="79"/>
      <c r="J670" s="79"/>
      <c r="K670" s="80">
        <v>1.83E-2</v>
      </c>
      <c r="L670" s="80"/>
      <c r="M670" s="75" t="s">
        <v>143</v>
      </c>
      <c r="N670" s="75" t="b">
        <v>1</v>
      </c>
      <c r="O670" s="75" t="s">
        <v>144</v>
      </c>
      <c r="P670" s="75">
        <v>1994</v>
      </c>
      <c r="Q670" s="75">
        <v>2015</v>
      </c>
      <c r="R670" s="75">
        <v>1</v>
      </c>
      <c r="S670" s="81"/>
      <c r="T670" s="82"/>
      <c r="U670" s="83"/>
    </row>
    <row r="671" spans="1:21" s="84" customFormat="1" x14ac:dyDescent="0.3">
      <c r="A671" s="68">
        <v>40038</v>
      </c>
      <c r="B671" s="69">
        <f t="shared" si="11"/>
        <v>20090813</v>
      </c>
      <c r="C671" s="70">
        <v>4.0399999999999998E-2</v>
      </c>
      <c r="D671" s="77">
        <v>1E-3</v>
      </c>
      <c r="E671" s="77"/>
      <c r="F671" s="77">
        <v>5.0000000000000001E-3</v>
      </c>
      <c r="G671" s="78">
        <v>15000000</v>
      </c>
      <c r="H671" s="79"/>
      <c r="I671" s="79"/>
      <c r="J671" s="79"/>
      <c r="K671" s="80">
        <v>1.83E-2</v>
      </c>
      <c r="L671" s="80"/>
      <c r="M671" s="75" t="s">
        <v>143</v>
      </c>
      <c r="N671" s="75" t="b">
        <v>1</v>
      </c>
      <c r="O671" s="75" t="s">
        <v>144</v>
      </c>
      <c r="P671" s="75">
        <v>1994</v>
      </c>
      <c r="Q671" s="75">
        <v>2015</v>
      </c>
      <c r="R671" s="75">
        <v>1</v>
      </c>
      <c r="S671" s="81"/>
      <c r="T671" s="82"/>
      <c r="U671" s="83"/>
    </row>
    <row r="672" spans="1:21" s="84" customFormat="1" x14ac:dyDescent="0.3">
      <c r="A672" s="68">
        <v>40039</v>
      </c>
      <c r="B672" s="69">
        <f t="shared" si="11"/>
        <v>20090814</v>
      </c>
      <c r="C672" s="70">
        <v>0.04</v>
      </c>
      <c r="D672" s="77">
        <v>1E-3</v>
      </c>
      <c r="E672" s="77"/>
      <c r="F672" s="77">
        <v>5.0000000000000001E-3</v>
      </c>
      <c r="G672" s="78">
        <v>15000000</v>
      </c>
      <c r="H672" s="79"/>
      <c r="I672" s="79"/>
      <c r="J672" s="79"/>
      <c r="K672" s="80">
        <v>1.8000000000000002E-2</v>
      </c>
      <c r="L672" s="80"/>
      <c r="M672" s="75" t="s">
        <v>143</v>
      </c>
      <c r="N672" s="75" t="b">
        <v>1</v>
      </c>
      <c r="O672" s="75" t="s">
        <v>144</v>
      </c>
      <c r="P672" s="75">
        <v>1994</v>
      </c>
      <c r="Q672" s="75">
        <v>2015</v>
      </c>
      <c r="R672" s="75">
        <v>1</v>
      </c>
      <c r="S672" s="81"/>
      <c r="T672" s="82"/>
      <c r="U672" s="83"/>
    </row>
    <row r="673" spans="1:21" s="84" customFormat="1" x14ac:dyDescent="0.3">
      <c r="A673" s="68">
        <v>40042</v>
      </c>
      <c r="B673" s="69">
        <f t="shared" si="11"/>
        <v>20090817</v>
      </c>
      <c r="C673" s="70">
        <v>3.95E-2</v>
      </c>
      <c r="D673" s="77">
        <v>1E-3</v>
      </c>
      <c r="E673" s="77"/>
      <c r="F673" s="77">
        <v>5.0000000000000001E-3</v>
      </c>
      <c r="G673" s="78">
        <v>15000000</v>
      </c>
      <c r="H673" s="79"/>
      <c r="I673" s="79"/>
      <c r="J673" s="79"/>
      <c r="K673" s="80">
        <v>1.7600000000000001E-2</v>
      </c>
      <c r="L673" s="80"/>
      <c r="M673" s="75" t="s">
        <v>143</v>
      </c>
      <c r="N673" s="75" t="b">
        <v>1</v>
      </c>
      <c r="O673" s="75" t="s">
        <v>144</v>
      </c>
      <c r="P673" s="75">
        <v>1994</v>
      </c>
      <c r="Q673" s="75">
        <v>2015</v>
      </c>
      <c r="R673" s="75">
        <v>1</v>
      </c>
      <c r="S673" s="81"/>
      <c r="T673" s="82"/>
      <c r="U673" s="83"/>
    </row>
    <row r="674" spans="1:21" s="84" customFormat="1" x14ac:dyDescent="0.3">
      <c r="A674" s="68">
        <v>40043</v>
      </c>
      <c r="B674" s="69">
        <f t="shared" si="11"/>
        <v>20090818</v>
      </c>
      <c r="C674" s="70">
        <v>3.9599999999999996E-2</v>
      </c>
      <c r="D674" s="77">
        <v>1E-3</v>
      </c>
      <c r="E674" s="77"/>
      <c r="F674" s="77">
        <v>5.0000000000000001E-3</v>
      </c>
      <c r="G674" s="78">
        <v>15000000</v>
      </c>
      <c r="H674" s="79"/>
      <c r="I674" s="79"/>
      <c r="J674" s="79"/>
      <c r="K674" s="80">
        <v>1.78E-2</v>
      </c>
      <c r="L674" s="80"/>
      <c r="M674" s="75" t="s">
        <v>143</v>
      </c>
      <c r="N674" s="75" t="b">
        <v>1</v>
      </c>
      <c r="O674" s="75" t="s">
        <v>144</v>
      </c>
      <c r="P674" s="75">
        <v>1994</v>
      </c>
      <c r="Q674" s="75">
        <v>2015</v>
      </c>
      <c r="R674" s="75">
        <v>1</v>
      </c>
      <c r="S674" s="81"/>
      <c r="T674" s="82"/>
      <c r="U674" s="83"/>
    </row>
    <row r="675" spans="1:21" s="84" customFormat="1" x14ac:dyDescent="0.3">
      <c r="A675" s="68">
        <v>40044</v>
      </c>
      <c r="B675" s="69">
        <f t="shared" si="11"/>
        <v>20090819</v>
      </c>
      <c r="C675" s="70">
        <v>3.9599999999999996E-2</v>
      </c>
      <c r="D675" s="77">
        <v>1E-3</v>
      </c>
      <c r="E675" s="77"/>
      <c r="F675" s="77">
        <v>5.0000000000000001E-3</v>
      </c>
      <c r="G675" s="78">
        <v>15000000</v>
      </c>
      <c r="H675" s="79"/>
      <c r="I675" s="79"/>
      <c r="J675" s="79"/>
      <c r="K675" s="80">
        <v>1.8000000000000002E-2</v>
      </c>
      <c r="L675" s="80"/>
      <c r="M675" s="75" t="s">
        <v>143</v>
      </c>
      <c r="N675" s="75" t="b">
        <v>1</v>
      </c>
      <c r="O675" s="75" t="s">
        <v>144</v>
      </c>
      <c r="P675" s="75">
        <v>1994</v>
      </c>
      <c r="Q675" s="75">
        <v>2015</v>
      </c>
      <c r="R675" s="75">
        <v>1</v>
      </c>
      <c r="S675" s="81"/>
      <c r="T675" s="82"/>
      <c r="U675" s="83"/>
    </row>
    <row r="676" spans="1:21" s="84" customFormat="1" x14ac:dyDescent="0.3">
      <c r="A676" s="68">
        <v>40045</v>
      </c>
      <c r="B676" s="69">
        <f t="shared" si="11"/>
        <v>20090820</v>
      </c>
      <c r="C676" s="70">
        <v>3.95E-2</v>
      </c>
      <c r="D676" s="77">
        <v>1E-3</v>
      </c>
      <c r="E676" s="77"/>
      <c r="F676" s="77">
        <v>5.0000000000000001E-3</v>
      </c>
      <c r="G676" s="78">
        <v>15000000</v>
      </c>
      <c r="H676" s="79"/>
      <c r="I676" s="79"/>
      <c r="J676" s="79"/>
      <c r="K676" s="80">
        <v>1.78E-2</v>
      </c>
      <c r="L676" s="80"/>
      <c r="M676" s="75" t="s">
        <v>143</v>
      </c>
      <c r="N676" s="75" t="b">
        <v>1</v>
      </c>
      <c r="O676" s="75" t="s">
        <v>144</v>
      </c>
      <c r="P676" s="75">
        <v>1994</v>
      </c>
      <c r="Q676" s="75">
        <v>2015</v>
      </c>
      <c r="R676" s="75">
        <v>1</v>
      </c>
      <c r="S676" s="81"/>
      <c r="T676" s="82"/>
      <c r="U676" s="83"/>
    </row>
    <row r="677" spans="1:21" s="84" customFormat="1" x14ac:dyDescent="0.3">
      <c r="A677" s="68">
        <v>40046</v>
      </c>
      <c r="B677" s="69">
        <f t="shared" si="11"/>
        <v>20090821</v>
      </c>
      <c r="C677" s="70">
        <v>4.0099999999999997E-2</v>
      </c>
      <c r="D677" s="77">
        <v>1E-3</v>
      </c>
      <c r="E677" s="77"/>
      <c r="F677" s="77">
        <v>5.0000000000000001E-3</v>
      </c>
      <c r="G677" s="78">
        <v>15000000</v>
      </c>
      <c r="H677" s="79"/>
      <c r="I677" s="79"/>
      <c r="J677" s="79"/>
      <c r="K677" s="80">
        <v>1.84E-2</v>
      </c>
      <c r="L677" s="80"/>
      <c r="M677" s="75" t="s">
        <v>143</v>
      </c>
      <c r="N677" s="75" t="b">
        <v>1</v>
      </c>
      <c r="O677" s="75" t="s">
        <v>144</v>
      </c>
      <c r="P677" s="75">
        <v>1994</v>
      </c>
      <c r="Q677" s="75">
        <v>2015</v>
      </c>
      <c r="R677" s="75">
        <v>1</v>
      </c>
      <c r="S677" s="81"/>
      <c r="T677" s="82"/>
      <c r="U677" s="83"/>
    </row>
    <row r="678" spans="1:21" s="84" customFormat="1" x14ac:dyDescent="0.3">
      <c r="A678" s="68">
        <v>40049</v>
      </c>
      <c r="B678" s="69">
        <f t="shared" si="11"/>
        <v>20090824</v>
      </c>
      <c r="C678" s="70">
        <v>3.9599999999999996E-2</v>
      </c>
      <c r="D678" s="77">
        <v>1E-3</v>
      </c>
      <c r="E678" s="77"/>
      <c r="F678" s="77">
        <v>5.0000000000000001E-3</v>
      </c>
      <c r="G678" s="78">
        <v>15000000</v>
      </c>
      <c r="H678" s="79"/>
      <c r="I678" s="79"/>
      <c r="J678" s="79"/>
      <c r="K678" s="80">
        <v>1.7899999999999999E-2</v>
      </c>
      <c r="L678" s="80"/>
      <c r="M678" s="75" t="s">
        <v>143</v>
      </c>
      <c r="N678" s="75" t="b">
        <v>1</v>
      </c>
      <c r="O678" s="75" t="s">
        <v>144</v>
      </c>
      <c r="P678" s="75">
        <v>1994</v>
      </c>
      <c r="Q678" s="75">
        <v>2015</v>
      </c>
      <c r="R678" s="75">
        <v>1</v>
      </c>
      <c r="S678" s="81"/>
      <c r="T678" s="82"/>
      <c r="U678" s="83"/>
    </row>
    <row r="679" spans="1:21" s="84" customFormat="1" x14ac:dyDescent="0.3">
      <c r="A679" s="68">
        <v>40050</v>
      </c>
      <c r="B679" s="69">
        <f t="shared" si="11"/>
        <v>20090825</v>
      </c>
      <c r="C679" s="70">
        <v>3.9599999999999996E-2</v>
      </c>
      <c r="D679" s="77">
        <v>1E-3</v>
      </c>
      <c r="E679" s="77"/>
      <c r="F679" s="77">
        <v>5.0000000000000001E-3</v>
      </c>
      <c r="G679" s="78">
        <v>15000000</v>
      </c>
      <c r="H679" s="79"/>
      <c r="I679" s="79"/>
      <c r="J679" s="79"/>
      <c r="K679" s="80">
        <v>1.8000000000000002E-2</v>
      </c>
      <c r="L679" s="80"/>
      <c r="M679" s="75" t="s">
        <v>143</v>
      </c>
      <c r="N679" s="75" t="b">
        <v>1</v>
      </c>
      <c r="O679" s="75" t="s">
        <v>144</v>
      </c>
      <c r="P679" s="75">
        <v>1994</v>
      </c>
      <c r="Q679" s="75">
        <v>2015</v>
      </c>
      <c r="R679" s="75">
        <v>1</v>
      </c>
      <c r="S679" s="81"/>
      <c r="T679" s="82"/>
      <c r="U679" s="83"/>
    </row>
    <row r="680" spans="1:21" s="84" customFormat="1" x14ac:dyDescent="0.3">
      <c r="A680" s="68">
        <v>40051</v>
      </c>
      <c r="B680" s="69">
        <f t="shared" si="11"/>
        <v>20090826</v>
      </c>
      <c r="C680" s="70">
        <v>3.9599999999999996E-2</v>
      </c>
      <c r="D680" s="77">
        <v>1E-3</v>
      </c>
      <c r="E680" s="77"/>
      <c r="F680" s="77">
        <v>5.0000000000000001E-3</v>
      </c>
      <c r="G680" s="78">
        <v>15000000</v>
      </c>
      <c r="H680" s="79"/>
      <c r="I680" s="79"/>
      <c r="J680" s="79"/>
      <c r="K680" s="80">
        <v>1.8200000000000001E-2</v>
      </c>
      <c r="L680" s="80"/>
      <c r="M680" s="75" t="s">
        <v>143</v>
      </c>
      <c r="N680" s="75" t="b">
        <v>1</v>
      </c>
      <c r="O680" s="75" t="s">
        <v>144</v>
      </c>
      <c r="P680" s="75">
        <v>1994</v>
      </c>
      <c r="Q680" s="75">
        <v>2015</v>
      </c>
      <c r="R680" s="75">
        <v>1</v>
      </c>
      <c r="S680" s="81"/>
      <c r="T680" s="82"/>
      <c r="U680" s="83"/>
    </row>
    <row r="681" spans="1:21" s="84" customFormat="1" x14ac:dyDescent="0.3">
      <c r="A681" s="68">
        <v>40052</v>
      </c>
      <c r="B681" s="69">
        <f t="shared" si="11"/>
        <v>20090827</v>
      </c>
      <c r="C681" s="70">
        <v>3.95E-2</v>
      </c>
      <c r="D681" s="77">
        <v>1E-3</v>
      </c>
      <c r="E681" s="77"/>
      <c r="F681" s="77">
        <v>5.0000000000000001E-3</v>
      </c>
      <c r="G681" s="78">
        <v>15000000</v>
      </c>
      <c r="H681" s="79"/>
      <c r="I681" s="79"/>
      <c r="J681" s="79"/>
      <c r="K681" s="80">
        <v>1.8100000000000002E-2</v>
      </c>
      <c r="L681" s="80"/>
      <c r="M681" s="75" t="s">
        <v>143</v>
      </c>
      <c r="N681" s="75" t="b">
        <v>1</v>
      </c>
      <c r="O681" s="75" t="s">
        <v>144</v>
      </c>
      <c r="P681" s="75">
        <v>1994</v>
      </c>
      <c r="Q681" s="75">
        <v>2015</v>
      </c>
      <c r="R681" s="75">
        <v>1</v>
      </c>
      <c r="S681" s="81"/>
      <c r="T681" s="82"/>
      <c r="U681" s="83"/>
    </row>
    <row r="682" spans="1:21" s="84" customFormat="1" x14ac:dyDescent="0.3">
      <c r="A682" s="68">
        <v>40053</v>
      </c>
      <c r="B682" s="69">
        <f t="shared" si="11"/>
        <v>20090828</v>
      </c>
      <c r="C682" s="70">
        <v>3.9599999999999996E-2</v>
      </c>
      <c r="D682" s="77">
        <v>1E-3</v>
      </c>
      <c r="E682" s="77"/>
      <c r="F682" s="77">
        <v>5.0000000000000001E-3</v>
      </c>
      <c r="G682" s="78">
        <v>15000000</v>
      </c>
      <c r="H682" s="79"/>
      <c r="I682" s="79"/>
      <c r="J682" s="79"/>
      <c r="K682" s="80">
        <v>1.8000000000000002E-2</v>
      </c>
      <c r="L682" s="80"/>
      <c r="M682" s="75" t="s">
        <v>143</v>
      </c>
      <c r="N682" s="75" t="b">
        <v>1</v>
      </c>
      <c r="O682" s="75" t="s">
        <v>144</v>
      </c>
      <c r="P682" s="75">
        <v>1994</v>
      </c>
      <c r="Q682" s="75">
        <v>2015</v>
      </c>
      <c r="R682" s="75">
        <v>1</v>
      </c>
      <c r="S682" s="81"/>
      <c r="T682" s="82"/>
      <c r="U682" s="83"/>
    </row>
    <row r="683" spans="1:21" s="84" customFormat="1" x14ac:dyDescent="0.3">
      <c r="A683" s="68">
        <v>40056</v>
      </c>
      <c r="B683" s="69">
        <f t="shared" si="11"/>
        <v>20090831</v>
      </c>
      <c r="C683" s="70">
        <v>3.9399999999999998E-2</v>
      </c>
      <c r="D683" s="77">
        <v>1E-3</v>
      </c>
      <c r="E683" s="77"/>
      <c r="F683" s="77">
        <v>5.0000000000000001E-3</v>
      </c>
      <c r="G683" s="78">
        <v>15000000</v>
      </c>
      <c r="H683" s="79"/>
      <c r="I683" s="79"/>
      <c r="J683" s="79"/>
      <c r="K683" s="80">
        <v>1.8100000000000002E-2</v>
      </c>
      <c r="L683" s="80"/>
      <c r="M683" s="75" t="s">
        <v>143</v>
      </c>
      <c r="N683" s="75" t="b">
        <v>1</v>
      </c>
      <c r="O683" s="75" t="s">
        <v>144</v>
      </c>
      <c r="P683" s="75">
        <v>1994</v>
      </c>
      <c r="Q683" s="75">
        <v>2015</v>
      </c>
      <c r="R683" s="75">
        <v>1</v>
      </c>
      <c r="S683" s="81"/>
      <c r="T683" s="82"/>
      <c r="U683" s="83"/>
    </row>
    <row r="684" spans="1:21" s="84" customFormat="1" x14ac:dyDescent="0.3">
      <c r="A684" s="68">
        <v>40057</v>
      </c>
      <c r="B684" s="69">
        <f t="shared" si="11"/>
        <v>20090901</v>
      </c>
      <c r="C684" s="70">
        <v>3.9300000000000002E-2</v>
      </c>
      <c r="D684" s="77">
        <v>1E-3</v>
      </c>
      <c r="E684" s="77"/>
      <c r="F684" s="77">
        <v>5.0000000000000001E-3</v>
      </c>
      <c r="G684" s="78">
        <v>15000000</v>
      </c>
      <c r="H684" s="79"/>
      <c r="I684" s="79"/>
      <c r="J684" s="79"/>
      <c r="K684" s="80">
        <v>1.8000000000000002E-2</v>
      </c>
      <c r="L684" s="80"/>
      <c r="M684" s="75" t="s">
        <v>143</v>
      </c>
      <c r="N684" s="75" t="b">
        <v>1</v>
      </c>
      <c r="O684" s="75" t="s">
        <v>144</v>
      </c>
      <c r="P684" s="75">
        <v>1994</v>
      </c>
      <c r="Q684" s="75">
        <v>2015</v>
      </c>
      <c r="R684" s="75">
        <v>1</v>
      </c>
      <c r="S684" s="81"/>
      <c r="T684" s="82"/>
      <c r="U684" s="83"/>
    </row>
    <row r="685" spans="1:21" s="84" customFormat="1" x14ac:dyDescent="0.3">
      <c r="A685" s="68">
        <v>40058</v>
      </c>
      <c r="B685" s="69">
        <f t="shared" si="11"/>
        <v>20090902</v>
      </c>
      <c r="C685" s="70">
        <v>3.9100000000000003E-2</v>
      </c>
      <c r="D685" s="77">
        <v>1E-3</v>
      </c>
      <c r="E685" s="77"/>
      <c r="F685" s="77">
        <v>5.0000000000000001E-3</v>
      </c>
      <c r="G685" s="78">
        <v>15000000</v>
      </c>
      <c r="H685" s="79"/>
      <c r="I685" s="79"/>
      <c r="J685" s="79"/>
      <c r="K685" s="80">
        <v>1.8100000000000002E-2</v>
      </c>
      <c r="L685" s="80"/>
      <c r="M685" s="75" t="s">
        <v>143</v>
      </c>
      <c r="N685" s="75" t="b">
        <v>1</v>
      </c>
      <c r="O685" s="75" t="s">
        <v>144</v>
      </c>
      <c r="P685" s="75">
        <v>1994</v>
      </c>
      <c r="Q685" s="75">
        <v>2015</v>
      </c>
      <c r="R685" s="75">
        <v>1</v>
      </c>
      <c r="S685" s="81"/>
      <c r="T685" s="82"/>
      <c r="U685" s="83"/>
    </row>
    <row r="686" spans="1:21" s="84" customFormat="1" x14ac:dyDescent="0.3">
      <c r="A686" s="68">
        <v>40059</v>
      </c>
      <c r="B686" s="69">
        <f t="shared" si="11"/>
        <v>20090903</v>
      </c>
      <c r="C686" s="70">
        <v>3.9300000000000002E-2</v>
      </c>
      <c r="D686" s="77">
        <v>1E-3</v>
      </c>
      <c r="E686" s="77"/>
      <c r="F686" s="77">
        <v>5.0000000000000001E-3</v>
      </c>
      <c r="G686" s="78">
        <v>15000000</v>
      </c>
      <c r="H686" s="79"/>
      <c r="I686" s="79"/>
      <c r="J686" s="79"/>
      <c r="K686" s="80">
        <v>1.8200000000000001E-2</v>
      </c>
      <c r="L686" s="80"/>
      <c r="M686" s="75" t="s">
        <v>143</v>
      </c>
      <c r="N686" s="75" t="b">
        <v>1</v>
      </c>
      <c r="O686" s="75" t="s">
        <v>144</v>
      </c>
      <c r="P686" s="75">
        <v>1994</v>
      </c>
      <c r="Q686" s="75">
        <v>2015</v>
      </c>
      <c r="R686" s="75">
        <v>1</v>
      </c>
      <c r="S686" s="81"/>
      <c r="T686" s="82"/>
      <c r="U686" s="83"/>
    </row>
    <row r="687" spans="1:21" s="84" customFormat="1" x14ac:dyDescent="0.3">
      <c r="A687" s="68">
        <v>40060</v>
      </c>
      <c r="B687" s="69">
        <f t="shared" si="11"/>
        <v>20090904</v>
      </c>
      <c r="C687" s="70">
        <v>3.95E-2</v>
      </c>
      <c r="D687" s="77">
        <v>1E-3</v>
      </c>
      <c r="E687" s="77"/>
      <c r="F687" s="77">
        <v>5.0000000000000001E-3</v>
      </c>
      <c r="G687" s="78">
        <v>15000000</v>
      </c>
      <c r="H687" s="79"/>
      <c r="I687" s="79"/>
      <c r="J687" s="79"/>
      <c r="K687" s="80">
        <v>1.83E-2</v>
      </c>
      <c r="L687" s="80"/>
      <c r="M687" s="75" t="s">
        <v>143</v>
      </c>
      <c r="N687" s="75" t="b">
        <v>1</v>
      </c>
      <c r="O687" s="75" t="s">
        <v>144</v>
      </c>
      <c r="P687" s="75">
        <v>1994</v>
      </c>
      <c r="Q687" s="75">
        <v>2015</v>
      </c>
      <c r="R687" s="75">
        <v>1</v>
      </c>
      <c r="S687" s="81"/>
      <c r="T687" s="82"/>
      <c r="U687" s="83"/>
    </row>
    <row r="688" spans="1:21" s="84" customFormat="1" x14ac:dyDescent="0.3">
      <c r="A688" s="68">
        <v>40064</v>
      </c>
      <c r="B688" s="69">
        <f t="shared" si="11"/>
        <v>20090908</v>
      </c>
      <c r="C688" s="70">
        <v>3.9699999999999999E-2</v>
      </c>
      <c r="D688" s="77">
        <v>1E-3</v>
      </c>
      <c r="E688" s="77"/>
      <c r="F688" s="77">
        <v>5.0000000000000001E-3</v>
      </c>
      <c r="G688" s="78">
        <v>15000000</v>
      </c>
      <c r="H688" s="79"/>
      <c r="I688" s="79"/>
      <c r="J688" s="79"/>
      <c r="K688" s="80">
        <v>1.8600000000000002E-2</v>
      </c>
      <c r="L688" s="80"/>
      <c r="M688" s="75" t="s">
        <v>143</v>
      </c>
      <c r="N688" s="75" t="b">
        <v>1</v>
      </c>
      <c r="O688" s="75" t="s">
        <v>144</v>
      </c>
      <c r="P688" s="75">
        <v>1994</v>
      </c>
      <c r="Q688" s="75">
        <v>2015</v>
      </c>
      <c r="R688" s="75">
        <v>1</v>
      </c>
      <c r="S688" s="81"/>
      <c r="T688" s="82"/>
      <c r="U688" s="83"/>
    </row>
    <row r="689" spans="1:21" s="84" customFormat="1" x14ac:dyDescent="0.3">
      <c r="A689" s="68">
        <v>40065</v>
      </c>
      <c r="B689" s="69">
        <f t="shared" si="11"/>
        <v>20090909</v>
      </c>
      <c r="C689" s="70">
        <v>3.9800000000000002E-2</v>
      </c>
      <c r="D689" s="77">
        <v>1E-3</v>
      </c>
      <c r="E689" s="77"/>
      <c r="F689" s="77">
        <v>5.0000000000000001E-3</v>
      </c>
      <c r="G689" s="78">
        <v>15000000</v>
      </c>
      <c r="H689" s="79"/>
      <c r="I689" s="79"/>
      <c r="J689" s="79"/>
      <c r="K689" s="80">
        <v>1.8700000000000001E-2</v>
      </c>
      <c r="L689" s="80"/>
      <c r="M689" s="75" t="s">
        <v>143</v>
      </c>
      <c r="N689" s="75" t="b">
        <v>1</v>
      </c>
      <c r="O689" s="75" t="s">
        <v>144</v>
      </c>
      <c r="P689" s="75">
        <v>1994</v>
      </c>
      <c r="Q689" s="75">
        <v>2015</v>
      </c>
      <c r="R689" s="75">
        <v>1</v>
      </c>
      <c r="S689" s="81"/>
      <c r="T689" s="82"/>
      <c r="U689" s="83"/>
    </row>
    <row r="690" spans="1:21" s="84" customFormat="1" x14ac:dyDescent="0.3">
      <c r="A690" s="68">
        <v>40066</v>
      </c>
      <c r="B690" s="69">
        <f t="shared" si="11"/>
        <v>20090910</v>
      </c>
      <c r="C690" s="70">
        <v>3.9100000000000003E-2</v>
      </c>
      <c r="D690" s="77">
        <v>1E-3</v>
      </c>
      <c r="E690" s="77"/>
      <c r="F690" s="77">
        <v>5.0000000000000001E-3</v>
      </c>
      <c r="G690" s="78">
        <v>15000000</v>
      </c>
      <c r="H690" s="79"/>
      <c r="I690" s="79"/>
      <c r="J690" s="79"/>
      <c r="K690" s="80">
        <v>1.7899999999999999E-2</v>
      </c>
      <c r="L690" s="80"/>
      <c r="M690" s="75" t="s">
        <v>143</v>
      </c>
      <c r="N690" s="75" t="b">
        <v>1</v>
      </c>
      <c r="O690" s="75" t="s">
        <v>144</v>
      </c>
      <c r="P690" s="75">
        <v>1994</v>
      </c>
      <c r="Q690" s="75">
        <v>2015</v>
      </c>
      <c r="R690" s="75">
        <v>1</v>
      </c>
      <c r="S690" s="81"/>
      <c r="T690" s="82"/>
      <c r="U690" s="83"/>
    </row>
    <row r="691" spans="1:21" s="84" customFormat="1" x14ac:dyDescent="0.3">
      <c r="A691" s="68">
        <v>40067</v>
      </c>
      <c r="B691" s="69">
        <f t="shared" si="11"/>
        <v>20090911</v>
      </c>
      <c r="C691" s="70">
        <v>3.9E-2</v>
      </c>
      <c r="D691" s="77">
        <v>1E-3</v>
      </c>
      <c r="E691" s="77"/>
      <c r="F691" s="77">
        <v>5.0000000000000001E-3</v>
      </c>
      <c r="G691" s="78">
        <v>15000000</v>
      </c>
      <c r="H691" s="79"/>
      <c r="I691" s="79"/>
      <c r="J691" s="79"/>
      <c r="K691" s="80">
        <v>1.78E-2</v>
      </c>
      <c r="L691" s="80"/>
      <c r="M691" s="75" t="s">
        <v>143</v>
      </c>
      <c r="N691" s="75" t="b">
        <v>1</v>
      </c>
      <c r="O691" s="75" t="s">
        <v>144</v>
      </c>
      <c r="P691" s="75">
        <v>1994</v>
      </c>
      <c r="Q691" s="75">
        <v>2015</v>
      </c>
      <c r="R691" s="75">
        <v>1</v>
      </c>
      <c r="S691" s="81"/>
      <c r="T691" s="82"/>
      <c r="U691" s="83"/>
    </row>
    <row r="692" spans="1:21" s="84" customFormat="1" x14ac:dyDescent="0.3">
      <c r="A692" s="68">
        <v>40070</v>
      </c>
      <c r="B692" s="69">
        <f t="shared" si="11"/>
        <v>20090914</v>
      </c>
      <c r="C692" s="70">
        <v>3.9399999999999998E-2</v>
      </c>
      <c r="D692" s="77">
        <v>1E-3</v>
      </c>
      <c r="E692" s="77"/>
      <c r="F692" s="77">
        <v>5.0000000000000001E-3</v>
      </c>
      <c r="G692" s="78">
        <v>15000000</v>
      </c>
      <c r="H692" s="79"/>
      <c r="I692" s="79"/>
      <c r="J692" s="79"/>
      <c r="K692" s="80">
        <v>1.8200000000000001E-2</v>
      </c>
      <c r="L692" s="80"/>
      <c r="M692" s="75" t="s">
        <v>143</v>
      </c>
      <c r="N692" s="75" t="b">
        <v>1</v>
      </c>
      <c r="O692" s="75" t="s">
        <v>144</v>
      </c>
      <c r="P692" s="75">
        <v>1994</v>
      </c>
      <c r="Q692" s="75">
        <v>2015</v>
      </c>
      <c r="R692" s="75">
        <v>1</v>
      </c>
      <c r="S692" s="81"/>
      <c r="T692" s="82"/>
      <c r="U692" s="83"/>
    </row>
    <row r="693" spans="1:21" s="84" customFormat="1" x14ac:dyDescent="0.3">
      <c r="A693" s="68">
        <v>40071</v>
      </c>
      <c r="B693" s="69">
        <f t="shared" si="11"/>
        <v>20090915</v>
      </c>
      <c r="C693" s="70">
        <v>3.9300000000000002E-2</v>
      </c>
      <c r="D693" s="77">
        <v>1E-3</v>
      </c>
      <c r="E693" s="77"/>
      <c r="F693" s="77">
        <v>5.0000000000000001E-3</v>
      </c>
      <c r="G693" s="78">
        <v>15000000</v>
      </c>
      <c r="H693" s="79"/>
      <c r="I693" s="79"/>
      <c r="J693" s="79"/>
      <c r="K693" s="80">
        <v>1.8100000000000002E-2</v>
      </c>
      <c r="L693" s="80"/>
      <c r="M693" s="75" t="s">
        <v>143</v>
      </c>
      <c r="N693" s="75" t="b">
        <v>1</v>
      </c>
      <c r="O693" s="75" t="s">
        <v>144</v>
      </c>
      <c r="P693" s="75">
        <v>1994</v>
      </c>
      <c r="Q693" s="75">
        <v>2015</v>
      </c>
      <c r="R693" s="75">
        <v>1</v>
      </c>
      <c r="S693" s="81"/>
      <c r="T693" s="82"/>
      <c r="U693" s="83"/>
    </row>
    <row r="694" spans="1:21" s="84" customFormat="1" x14ac:dyDescent="0.3">
      <c r="A694" s="68">
        <v>40072</v>
      </c>
      <c r="B694" s="69">
        <f t="shared" si="11"/>
        <v>20090916</v>
      </c>
      <c r="C694" s="70">
        <v>3.9199999999999999E-2</v>
      </c>
      <c r="D694" s="77">
        <v>1E-3</v>
      </c>
      <c r="E694" s="77"/>
      <c r="F694" s="77">
        <v>5.0000000000000001E-3</v>
      </c>
      <c r="G694" s="78">
        <v>15000000</v>
      </c>
      <c r="H694" s="79"/>
      <c r="I694" s="79"/>
      <c r="J694" s="79"/>
      <c r="K694" s="80">
        <v>1.77E-2</v>
      </c>
      <c r="L694" s="80"/>
      <c r="M694" s="75" t="s">
        <v>143</v>
      </c>
      <c r="N694" s="75" t="b">
        <v>1</v>
      </c>
      <c r="O694" s="75" t="s">
        <v>144</v>
      </c>
      <c r="P694" s="75">
        <v>1994</v>
      </c>
      <c r="Q694" s="75">
        <v>2015</v>
      </c>
      <c r="R694" s="75">
        <v>1</v>
      </c>
      <c r="S694" s="81"/>
      <c r="T694" s="82"/>
      <c r="U694" s="83"/>
    </row>
    <row r="695" spans="1:21" s="84" customFormat="1" x14ac:dyDescent="0.3">
      <c r="A695" s="68">
        <v>40073</v>
      </c>
      <c r="B695" s="69">
        <f t="shared" si="11"/>
        <v>20090917</v>
      </c>
      <c r="C695" s="70">
        <v>3.9100000000000003E-2</v>
      </c>
      <c r="D695" s="77">
        <v>1E-3</v>
      </c>
      <c r="E695" s="77"/>
      <c r="F695" s="77">
        <v>5.0000000000000001E-3</v>
      </c>
      <c r="G695" s="78">
        <v>15000000</v>
      </c>
      <c r="H695" s="79"/>
      <c r="I695" s="79"/>
      <c r="J695" s="79"/>
      <c r="K695" s="80">
        <v>1.7600000000000001E-2</v>
      </c>
      <c r="L695" s="80"/>
      <c r="M695" s="75" t="s">
        <v>143</v>
      </c>
      <c r="N695" s="75" t="b">
        <v>1</v>
      </c>
      <c r="O695" s="75" t="s">
        <v>144</v>
      </c>
      <c r="P695" s="75">
        <v>1994</v>
      </c>
      <c r="Q695" s="75">
        <v>2015</v>
      </c>
      <c r="R695" s="75">
        <v>1</v>
      </c>
      <c r="S695" s="81"/>
      <c r="T695" s="82"/>
      <c r="U695" s="83"/>
    </row>
    <row r="696" spans="1:21" s="84" customFormat="1" x14ac:dyDescent="0.3">
      <c r="A696" s="68">
        <v>40074</v>
      </c>
      <c r="B696" s="69">
        <f t="shared" si="11"/>
        <v>20090918</v>
      </c>
      <c r="C696" s="70">
        <v>3.95E-2</v>
      </c>
      <c r="D696" s="77">
        <v>1E-3</v>
      </c>
      <c r="E696" s="77"/>
      <c r="F696" s="77">
        <v>5.0000000000000001E-3</v>
      </c>
      <c r="G696" s="78">
        <v>15000000</v>
      </c>
      <c r="H696" s="79"/>
      <c r="I696" s="79"/>
      <c r="J696" s="79"/>
      <c r="K696" s="80">
        <v>1.7899999999999999E-2</v>
      </c>
      <c r="L696" s="80"/>
      <c r="M696" s="75" t="s">
        <v>143</v>
      </c>
      <c r="N696" s="75" t="b">
        <v>1</v>
      </c>
      <c r="O696" s="75" t="s">
        <v>144</v>
      </c>
      <c r="P696" s="75">
        <v>1994</v>
      </c>
      <c r="Q696" s="75">
        <v>2015</v>
      </c>
      <c r="R696" s="75">
        <v>1</v>
      </c>
      <c r="S696" s="81"/>
      <c r="T696" s="82"/>
      <c r="U696" s="83"/>
    </row>
    <row r="697" spans="1:21" s="84" customFormat="1" x14ac:dyDescent="0.3">
      <c r="A697" s="68">
        <v>40077</v>
      </c>
      <c r="B697" s="69">
        <f t="shared" si="11"/>
        <v>20090921</v>
      </c>
      <c r="C697" s="70">
        <v>3.9699999999999999E-2</v>
      </c>
      <c r="D697" s="77">
        <v>1E-3</v>
      </c>
      <c r="E697" s="77"/>
      <c r="F697" s="77">
        <v>5.0000000000000001E-3</v>
      </c>
      <c r="G697" s="78">
        <v>15000000</v>
      </c>
      <c r="H697" s="79"/>
      <c r="I697" s="79"/>
      <c r="J697" s="79"/>
      <c r="K697" s="80">
        <v>1.8100000000000002E-2</v>
      </c>
      <c r="L697" s="80"/>
      <c r="M697" s="75" t="s">
        <v>143</v>
      </c>
      <c r="N697" s="75" t="b">
        <v>1</v>
      </c>
      <c r="O697" s="75" t="s">
        <v>144</v>
      </c>
      <c r="P697" s="75">
        <v>1994</v>
      </c>
      <c r="Q697" s="75">
        <v>2015</v>
      </c>
      <c r="R697" s="75">
        <v>1</v>
      </c>
      <c r="S697" s="81"/>
      <c r="T697" s="82"/>
      <c r="U697" s="83"/>
    </row>
    <row r="698" spans="1:21" s="84" customFormat="1" x14ac:dyDescent="0.3">
      <c r="A698" s="68">
        <v>40078</v>
      </c>
      <c r="B698" s="69">
        <f t="shared" si="11"/>
        <v>20090922</v>
      </c>
      <c r="C698" s="70">
        <v>3.9699999999999999E-2</v>
      </c>
      <c r="D698" s="77">
        <v>1E-3</v>
      </c>
      <c r="E698" s="77"/>
      <c r="F698" s="77">
        <v>5.0000000000000001E-3</v>
      </c>
      <c r="G698" s="78">
        <v>15000000</v>
      </c>
      <c r="H698" s="79"/>
      <c r="I698" s="79"/>
      <c r="J698" s="79"/>
      <c r="K698" s="80">
        <v>1.8200000000000001E-2</v>
      </c>
      <c r="L698" s="80"/>
      <c r="M698" s="75" t="s">
        <v>143</v>
      </c>
      <c r="N698" s="75" t="b">
        <v>1</v>
      </c>
      <c r="O698" s="75" t="s">
        <v>144</v>
      </c>
      <c r="P698" s="75">
        <v>1994</v>
      </c>
      <c r="Q698" s="75">
        <v>2015</v>
      </c>
      <c r="R698" s="75">
        <v>1</v>
      </c>
      <c r="S698" s="81"/>
      <c r="T698" s="82"/>
      <c r="U698" s="83"/>
    </row>
    <row r="699" spans="1:21" s="84" customFormat="1" x14ac:dyDescent="0.3">
      <c r="A699" s="68">
        <v>40079</v>
      </c>
      <c r="B699" s="69">
        <f t="shared" si="11"/>
        <v>20090923</v>
      </c>
      <c r="C699" s="70">
        <v>3.9599999999999996E-2</v>
      </c>
      <c r="D699" s="77">
        <v>1E-3</v>
      </c>
      <c r="E699" s="77"/>
      <c r="F699" s="77">
        <v>5.0000000000000001E-3</v>
      </c>
      <c r="G699" s="78">
        <v>15000000</v>
      </c>
      <c r="H699" s="79"/>
      <c r="I699" s="79"/>
      <c r="J699" s="79"/>
      <c r="K699" s="80">
        <v>1.8100000000000002E-2</v>
      </c>
      <c r="L699" s="80"/>
      <c r="M699" s="75" t="s">
        <v>143</v>
      </c>
      <c r="N699" s="75" t="b">
        <v>1</v>
      </c>
      <c r="O699" s="75" t="s">
        <v>144</v>
      </c>
      <c r="P699" s="75">
        <v>1994</v>
      </c>
      <c r="Q699" s="75">
        <v>2015</v>
      </c>
      <c r="R699" s="75">
        <v>1</v>
      </c>
      <c r="S699" s="81"/>
      <c r="T699" s="82"/>
      <c r="U699" s="83"/>
    </row>
    <row r="700" spans="1:21" s="84" customFormat="1" x14ac:dyDescent="0.3">
      <c r="A700" s="68">
        <v>40080</v>
      </c>
      <c r="B700" s="69">
        <f t="shared" si="11"/>
        <v>20090924</v>
      </c>
      <c r="C700" s="70">
        <v>3.9399999999999998E-2</v>
      </c>
      <c r="D700" s="77">
        <v>1E-3</v>
      </c>
      <c r="E700" s="77"/>
      <c r="F700" s="77">
        <v>5.0000000000000001E-3</v>
      </c>
      <c r="G700" s="78">
        <v>15000000</v>
      </c>
      <c r="H700" s="79"/>
      <c r="I700" s="79"/>
      <c r="J700" s="79"/>
      <c r="K700" s="80">
        <v>1.77E-2</v>
      </c>
      <c r="L700" s="80"/>
      <c r="M700" s="75" t="s">
        <v>143</v>
      </c>
      <c r="N700" s="75" t="b">
        <v>1</v>
      </c>
      <c r="O700" s="75" t="s">
        <v>144</v>
      </c>
      <c r="P700" s="75">
        <v>1994</v>
      </c>
      <c r="Q700" s="75">
        <v>2015</v>
      </c>
      <c r="R700" s="75">
        <v>1</v>
      </c>
      <c r="S700" s="81"/>
      <c r="T700" s="82"/>
      <c r="U700" s="83"/>
    </row>
    <row r="701" spans="1:21" s="84" customFormat="1" x14ac:dyDescent="0.3">
      <c r="A701" s="68">
        <v>40081</v>
      </c>
      <c r="B701" s="69">
        <f t="shared" si="11"/>
        <v>20090925</v>
      </c>
      <c r="C701" s="70">
        <v>3.9100000000000003E-2</v>
      </c>
      <c r="D701" s="77">
        <v>1E-3</v>
      </c>
      <c r="E701" s="77"/>
      <c r="F701" s="77">
        <v>5.0000000000000001E-3</v>
      </c>
      <c r="G701" s="78">
        <v>15000000</v>
      </c>
      <c r="H701" s="79"/>
      <c r="I701" s="79"/>
      <c r="J701" s="79"/>
      <c r="K701" s="80">
        <v>1.7600000000000001E-2</v>
      </c>
      <c r="L701" s="80"/>
      <c r="M701" s="75" t="s">
        <v>143</v>
      </c>
      <c r="N701" s="75" t="b">
        <v>1</v>
      </c>
      <c r="O701" s="75" t="s">
        <v>144</v>
      </c>
      <c r="P701" s="75">
        <v>1994</v>
      </c>
      <c r="Q701" s="75">
        <v>2015</v>
      </c>
      <c r="R701" s="75">
        <v>1</v>
      </c>
      <c r="S701" s="81"/>
      <c r="T701" s="82"/>
      <c r="U701" s="83"/>
    </row>
    <row r="702" spans="1:21" s="84" customFormat="1" x14ac:dyDescent="0.3">
      <c r="A702" s="68">
        <v>40084</v>
      </c>
      <c r="B702" s="69">
        <f t="shared" si="11"/>
        <v>20090928</v>
      </c>
      <c r="C702" s="70">
        <v>3.8900000000000004E-2</v>
      </c>
      <c r="D702" s="77">
        <v>1E-3</v>
      </c>
      <c r="E702" s="77"/>
      <c r="F702" s="77">
        <v>5.0000000000000001E-3</v>
      </c>
      <c r="G702" s="78">
        <v>15000000</v>
      </c>
      <c r="H702" s="79"/>
      <c r="I702" s="79"/>
      <c r="J702" s="79"/>
      <c r="K702" s="80">
        <v>1.7600000000000001E-2</v>
      </c>
      <c r="L702" s="80"/>
      <c r="M702" s="75" t="s">
        <v>143</v>
      </c>
      <c r="N702" s="75" t="b">
        <v>1</v>
      </c>
      <c r="O702" s="75" t="s">
        <v>144</v>
      </c>
      <c r="P702" s="75">
        <v>1994</v>
      </c>
      <c r="Q702" s="75">
        <v>2015</v>
      </c>
      <c r="R702" s="75">
        <v>1</v>
      </c>
      <c r="S702" s="81"/>
      <c r="T702" s="82"/>
      <c r="U702" s="83"/>
    </row>
    <row r="703" spans="1:21" s="84" customFormat="1" x14ac:dyDescent="0.3">
      <c r="A703" s="68">
        <v>40085</v>
      </c>
      <c r="B703" s="69">
        <f t="shared" si="11"/>
        <v>20090929</v>
      </c>
      <c r="C703" s="70">
        <v>3.8900000000000004E-2</v>
      </c>
      <c r="D703" s="77">
        <v>1E-3</v>
      </c>
      <c r="E703" s="77"/>
      <c r="F703" s="77">
        <v>5.0000000000000001E-3</v>
      </c>
      <c r="G703" s="78">
        <v>15000000</v>
      </c>
      <c r="H703" s="79"/>
      <c r="I703" s="79"/>
      <c r="J703" s="79"/>
      <c r="K703" s="80">
        <v>1.78E-2</v>
      </c>
      <c r="L703" s="80"/>
      <c r="M703" s="75" t="s">
        <v>143</v>
      </c>
      <c r="N703" s="75" t="b">
        <v>1</v>
      </c>
      <c r="O703" s="75" t="s">
        <v>144</v>
      </c>
      <c r="P703" s="75">
        <v>1994</v>
      </c>
      <c r="Q703" s="75">
        <v>2015</v>
      </c>
      <c r="R703" s="75">
        <v>1</v>
      </c>
      <c r="S703" s="81"/>
      <c r="T703" s="82"/>
      <c r="U703" s="83"/>
    </row>
    <row r="704" spans="1:21" s="84" customFormat="1" x14ac:dyDescent="0.3">
      <c r="A704" s="68">
        <v>40086</v>
      </c>
      <c r="B704" s="69">
        <f t="shared" si="11"/>
        <v>20090930</v>
      </c>
      <c r="C704" s="70">
        <v>3.8699999999999998E-2</v>
      </c>
      <c r="D704" s="77">
        <v>1E-3</v>
      </c>
      <c r="E704" s="77"/>
      <c r="F704" s="77">
        <v>5.0000000000000001E-3</v>
      </c>
      <c r="G704" s="78">
        <v>15000000</v>
      </c>
      <c r="H704" s="79"/>
      <c r="I704" s="79"/>
      <c r="J704" s="79"/>
      <c r="K704" s="80">
        <v>1.7399999999999999E-2</v>
      </c>
      <c r="L704" s="80"/>
      <c r="M704" s="75" t="s">
        <v>143</v>
      </c>
      <c r="N704" s="75" t="b">
        <v>1</v>
      </c>
      <c r="O704" s="75" t="s">
        <v>144</v>
      </c>
      <c r="P704" s="75">
        <v>1994</v>
      </c>
      <c r="Q704" s="75">
        <v>2015</v>
      </c>
      <c r="R704" s="75">
        <v>1</v>
      </c>
      <c r="S704" s="81"/>
      <c r="T704" s="82"/>
      <c r="U704" s="83"/>
    </row>
    <row r="705" spans="1:21" s="84" customFormat="1" x14ac:dyDescent="0.3">
      <c r="A705" s="68">
        <v>40087</v>
      </c>
      <c r="B705" s="69">
        <f t="shared" si="11"/>
        <v>20091001</v>
      </c>
      <c r="C705" s="70">
        <v>3.8300000000000001E-2</v>
      </c>
      <c r="D705" s="77">
        <v>1E-3</v>
      </c>
      <c r="E705" s="77"/>
      <c r="F705" s="77">
        <v>5.0000000000000001E-3</v>
      </c>
      <c r="G705" s="78">
        <v>15000000</v>
      </c>
      <c r="H705" s="79"/>
      <c r="I705" s="79"/>
      <c r="J705" s="79"/>
      <c r="K705" s="80">
        <v>1.72E-2</v>
      </c>
      <c r="L705" s="80"/>
      <c r="M705" s="75" t="s">
        <v>143</v>
      </c>
      <c r="N705" s="75" t="b">
        <v>1</v>
      </c>
      <c r="O705" s="75" t="s">
        <v>144</v>
      </c>
      <c r="P705" s="75">
        <v>1994</v>
      </c>
      <c r="Q705" s="75">
        <v>2015</v>
      </c>
      <c r="R705" s="75">
        <v>1</v>
      </c>
      <c r="S705" s="81"/>
      <c r="T705" s="82"/>
      <c r="U705" s="83"/>
    </row>
    <row r="706" spans="1:21" s="84" customFormat="1" x14ac:dyDescent="0.3">
      <c r="A706" s="68">
        <v>40088</v>
      </c>
      <c r="B706" s="69">
        <f t="shared" si="11"/>
        <v>20091002</v>
      </c>
      <c r="C706" s="70">
        <v>3.85E-2</v>
      </c>
      <c r="D706" s="77">
        <v>1E-3</v>
      </c>
      <c r="E706" s="77"/>
      <c r="F706" s="77">
        <v>5.0000000000000001E-3</v>
      </c>
      <c r="G706" s="78">
        <v>15000000</v>
      </c>
      <c r="H706" s="79"/>
      <c r="I706" s="79"/>
      <c r="J706" s="79"/>
      <c r="K706" s="80">
        <v>1.7299999999999999E-2</v>
      </c>
      <c r="L706" s="80"/>
      <c r="M706" s="75" t="s">
        <v>143</v>
      </c>
      <c r="N706" s="75" t="b">
        <v>1</v>
      </c>
      <c r="O706" s="75" t="s">
        <v>144</v>
      </c>
      <c r="P706" s="75">
        <v>1994</v>
      </c>
      <c r="Q706" s="75">
        <v>2015</v>
      </c>
      <c r="R706" s="75">
        <v>1</v>
      </c>
      <c r="S706" s="81"/>
      <c r="T706" s="82"/>
      <c r="U706" s="83"/>
    </row>
    <row r="707" spans="1:21" s="84" customFormat="1" x14ac:dyDescent="0.3">
      <c r="A707" s="68">
        <v>40091</v>
      </c>
      <c r="B707" s="69">
        <f t="shared" si="11"/>
        <v>20091005</v>
      </c>
      <c r="C707" s="70">
        <v>3.8199999999999998E-2</v>
      </c>
      <c r="D707" s="77">
        <v>1E-3</v>
      </c>
      <c r="E707" s="77"/>
      <c r="F707" s="77">
        <v>5.0000000000000001E-3</v>
      </c>
      <c r="G707" s="78">
        <v>15000000</v>
      </c>
      <c r="H707" s="79"/>
      <c r="I707" s="79"/>
      <c r="J707" s="79"/>
      <c r="K707" s="80">
        <v>1.7000000000000001E-2</v>
      </c>
      <c r="L707" s="80"/>
      <c r="M707" s="75" t="s">
        <v>143</v>
      </c>
      <c r="N707" s="75" t="b">
        <v>1</v>
      </c>
      <c r="O707" s="75" t="s">
        <v>144</v>
      </c>
      <c r="P707" s="75">
        <v>1994</v>
      </c>
      <c r="Q707" s="75">
        <v>2015</v>
      </c>
      <c r="R707" s="75">
        <v>1</v>
      </c>
      <c r="S707" s="81"/>
      <c r="T707" s="82"/>
      <c r="U707" s="83"/>
    </row>
    <row r="708" spans="1:21" s="84" customFormat="1" x14ac:dyDescent="0.3">
      <c r="A708" s="68">
        <v>40092</v>
      </c>
      <c r="B708" s="69">
        <f t="shared" si="11"/>
        <v>20091006</v>
      </c>
      <c r="C708" s="70">
        <v>3.8599999999999995E-2</v>
      </c>
      <c r="D708" s="77">
        <v>1E-3</v>
      </c>
      <c r="E708" s="77"/>
      <c r="F708" s="77">
        <v>5.0000000000000001E-3</v>
      </c>
      <c r="G708" s="78">
        <v>15000000</v>
      </c>
      <c r="H708" s="79"/>
      <c r="I708" s="79"/>
      <c r="J708" s="79"/>
      <c r="K708" s="80">
        <v>1.72E-2</v>
      </c>
      <c r="L708" s="80"/>
      <c r="M708" s="75" t="s">
        <v>143</v>
      </c>
      <c r="N708" s="75" t="b">
        <v>1</v>
      </c>
      <c r="O708" s="75" t="s">
        <v>144</v>
      </c>
      <c r="P708" s="75">
        <v>1994</v>
      </c>
      <c r="Q708" s="75">
        <v>2015</v>
      </c>
      <c r="R708" s="75">
        <v>1</v>
      </c>
      <c r="S708" s="81"/>
      <c r="T708" s="82"/>
      <c r="U708" s="83"/>
    </row>
    <row r="709" spans="1:21" s="84" customFormat="1" x14ac:dyDescent="0.3">
      <c r="A709" s="68">
        <v>40093</v>
      </c>
      <c r="B709" s="69">
        <f t="shared" si="11"/>
        <v>20091007</v>
      </c>
      <c r="C709" s="70">
        <v>3.8599999999999995E-2</v>
      </c>
      <c r="D709" s="77">
        <v>1E-3</v>
      </c>
      <c r="E709" s="77"/>
      <c r="F709" s="77">
        <v>5.0000000000000001E-3</v>
      </c>
      <c r="G709" s="78">
        <v>15000000</v>
      </c>
      <c r="H709" s="79"/>
      <c r="I709" s="79"/>
      <c r="J709" s="79"/>
      <c r="K709" s="80">
        <v>1.7000000000000001E-2</v>
      </c>
      <c r="L709" s="80"/>
      <c r="M709" s="75" t="s">
        <v>143</v>
      </c>
      <c r="N709" s="75" t="b">
        <v>1</v>
      </c>
      <c r="O709" s="75" t="s">
        <v>144</v>
      </c>
      <c r="P709" s="75">
        <v>1994</v>
      </c>
      <c r="Q709" s="75">
        <v>2015</v>
      </c>
      <c r="R709" s="75">
        <v>1</v>
      </c>
      <c r="S709" s="81"/>
      <c r="T709" s="82"/>
      <c r="U709" s="83"/>
    </row>
    <row r="710" spans="1:21" s="84" customFormat="1" x14ac:dyDescent="0.3">
      <c r="A710" s="68">
        <v>40094</v>
      </c>
      <c r="B710" s="69">
        <f t="shared" si="11"/>
        <v>20091008</v>
      </c>
      <c r="C710" s="70">
        <v>3.9100000000000003E-2</v>
      </c>
      <c r="D710" s="77">
        <v>1E-3</v>
      </c>
      <c r="E710" s="77"/>
      <c r="F710" s="77">
        <v>5.0000000000000001E-3</v>
      </c>
      <c r="G710" s="78">
        <v>15000000</v>
      </c>
      <c r="H710" s="79"/>
      <c r="I710" s="79"/>
      <c r="J710" s="79"/>
      <c r="K710" s="80">
        <v>1.7000000000000001E-2</v>
      </c>
      <c r="L710" s="80"/>
      <c r="M710" s="75" t="s">
        <v>143</v>
      </c>
      <c r="N710" s="75" t="b">
        <v>1</v>
      </c>
      <c r="O710" s="75" t="s">
        <v>144</v>
      </c>
      <c r="P710" s="75">
        <v>1994</v>
      </c>
      <c r="Q710" s="75">
        <v>2015</v>
      </c>
      <c r="R710" s="75">
        <v>1</v>
      </c>
      <c r="S710" s="81"/>
      <c r="T710" s="82"/>
      <c r="U710" s="83"/>
    </row>
    <row r="711" spans="1:21" s="84" customFormat="1" x14ac:dyDescent="0.3">
      <c r="A711" s="68">
        <v>40095</v>
      </c>
      <c r="B711" s="69">
        <f t="shared" si="11"/>
        <v>20091009</v>
      </c>
      <c r="C711" s="70">
        <v>0.04</v>
      </c>
      <c r="D711" s="77">
        <v>1E-3</v>
      </c>
      <c r="E711" s="77"/>
      <c r="F711" s="77">
        <v>5.0000000000000001E-3</v>
      </c>
      <c r="G711" s="78">
        <v>15000000</v>
      </c>
      <c r="H711" s="79"/>
      <c r="I711" s="79"/>
      <c r="J711" s="79"/>
      <c r="K711" s="80">
        <v>1.7500000000000002E-2</v>
      </c>
      <c r="L711" s="80"/>
      <c r="M711" s="75" t="s">
        <v>143</v>
      </c>
      <c r="N711" s="75" t="b">
        <v>1</v>
      </c>
      <c r="O711" s="75" t="s">
        <v>144</v>
      </c>
      <c r="P711" s="75">
        <v>1994</v>
      </c>
      <c r="Q711" s="75">
        <v>2015</v>
      </c>
      <c r="R711" s="75">
        <v>1</v>
      </c>
      <c r="S711" s="81"/>
      <c r="T711" s="82"/>
      <c r="U711" s="83"/>
    </row>
    <row r="712" spans="1:21" s="84" customFormat="1" x14ac:dyDescent="0.3">
      <c r="A712" s="68">
        <v>40099</v>
      </c>
      <c r="B712" s="69">
        <f t="shared" si="11"/>
        <v>20091013</v>
      </c>
      <c r="C712" s="70">
        <v>3.9800000000000002E-2</v>
      </c>
      <c r="D712" s="77">
        <v>1E-3</v>
      </c>
      <c r="E712" s="77"/>
      <c r="F712" s="77">
        <v>5.0000000000000001E-3</v>
      </c>
      <c r="G712" s="78">
        <v>15000000</v>
      </c>
      <c r="H712" s="79"/>
      <c r="I712" s="79"/>
      <c r="J712" s="79"/>
      <c r="K712" s="80">
        <v>1.7000000000000001E-2</v>
      </c>
      <c r="L712" s="80"/>
      <c r="M712" s="75" t="s">
        <v>143</v>
      </c>
      <c r="N712" s="75" t="b">
        <v>1</v>
      </c>
      <c r="O712" s="75" t="s">
        <v>144</v>
      </c>
      <c r="P712" s="75">
        <v>1994</v>
      </c>
      <c r="Q712" s="75">
        <v>2015</v>
      </c>
      <c r="R712" s="75">
        <v>1</v>
      </c>
      <c r="S712" s="81"/>
      <c r="T712" s="82"/>
      <c r="U712" s="83"/>
    </row>
    <row r="713" spans="1:21" s="84" customFormat="1" x14ac:dyDescent="0.3">
      <c r="A713" s="68">
        <v>40100</v>
      </c>
      <c r="B713" s="69">
        <f t="shared" si="11"/>
        <v>20091014</v>
      </c>
      <c r="C713" s="70">
        <v>4.0199999999999993E-2</v>
      </c>
      <c r="D713" s="77">
        <v>1E-3</v>
      </c>
      <c r="E713" s="77"/>
      <c r="F713" s="77">
        <v>5.0000000000000001E-3</v>
      </c>
      <c r="G713" s="78">
        <v>15000000</v>
      </c>
      <c r="H713" s="79"/>
      <c r="I713" s="79"/>
      <c r="J713" s="79"/>
      <c r="K713" s="80">
        <v>1.6799999999999999E-2</v>
      </c>
      <c r="L713" s="80"/>
      <c r="M713" s="75" t="s">
        <v>143</v>
      </c>
      <c r="N713" s="75" t="b">
        <v>1</v>
      </c>
      <c r="O713" s="75" t="s">
        <v>144</v>
      </c>
      <c r="P713" s="75">
        <v>1994</v>
      </c>
      <c r="Q713" s="75">
        <v>2015</v>
      </c>
      <c r="R713" s="75">
        <v>1</v>
      </c>
      <c r="S713" s="81"/>
      <c r="T713" s="82"/>
      <c r="U713" s="83"/>
    </row>
    <row r="714" spans="1:21" s="84" customFormat="1" x14ac:dyDescent="0.3">
      <c r="A714" s="68">
        <v>40101</v>
      </c>
      <c r="B714" s="69">
        <f t="shared" ref="B714:B780" si="12">YEAR(A714)*10000+MONTH(A714)*100+DAY(A714)</f>
        <v>20091015</v>
      </c>
      <c r="C714" s="70">
        <v>4.0399999999999998E-2</v>
      </c>
      <c r="D714" s="77">
        <v>1E-3</v>
      </c>
      <c r="E714" s="77"/>
      <c r="F714" s="77">
        <v>5.0000000000000001E-3</v>
      </c>
      <c r="G714" s="78">
        <v>15000000</v>
      </c>
      <c r="H714" s="79"/>
      <c r="I714" s="79"/>
      <c r="J714" s="79"/>
      <c r="K714" s="80">
        <v>1.6799999999999999E-2</v>
      </c>
      <c r="L714" s="80"/>
      <c r="M714" s="75" t="s">
        <v>143</v>
      </c>
      <c r="N714" s="75" t="b">
        <v>1</v>
      </c>
      <c r="O714" s="75" t="s">
        <v>144</v>
      </c>
      <c r="P714" s="75">
        <v>1994</v>
      </c>
      <c r="Q714" s="75">
        <v>2015</v>
      </c>
      <c r="R714" s="75">
        <v>1</v>
      </c>
      <c r="S714" s="81"/>
      <c r="T714" s="82"/>
      <c r="U714" s="83"/>
    </row>
    <row r="715" spans="1:21" s="84" customFormat="1" x14ac:dyDescent="0.3">
      <c r="A715" s="68">
        <v>40102</v>
      </c>
      <c r="B715" s="69">
        <f t="shared" si="12"/>
        <v>20091016</v>
      </c>
      <c r="C715" s="70">
        <v>3.9800000000000002E-2</v>
      </c>
      <c r="D715" s="77">
        <v>1E-3</v>
      </c>
      <c r="E715" s="77"/>
      <c r="F715" s="77">
        <v>5.0000000000000001E-3</v>
      </c>
      <c r="G715" s="78">
        <v>15000000</v>
      </c>
      <c r="H715" s="79"/>
      <c r="I715" s="79"/>
      <c r="J715" s="79"/>
      <c r="K715" s="80">
        <v>1.6500000000000001E-2</v>
      </c>
      <c r="L715" s="80"/>
      <c r="M715" s="75" t="s">
        <v>143</v>
      </c>
      <c r="N715" s="75" t="b">
        <v>1</v>
      </c>
      <c r="O715" s="75" t="s">
        <v>144</v>
      </c>
      <c r="P715" s="75">
        <v>1994</v>
      </c>
      <c r="Q715" s="75">
        <v>2015</v>
      </c>
      <c r="R715" s="75">
        <v>1</v>
      </c>
      <c r="S715" s="81"/>
      <c r="T715" s="82"/>
      <c r="U715" s="83"/>
    </row>
    <row r="716" spans="1:21" s="84" customFormat="1" x14ac:dyDescent="0.3">
      <c r="A716" s="68">
        <v>40105</v>
      </c>
      <c r="B716" s="69">
        <f t="shared" si="12"/>
        <v>20091019</v>
      </c>
      <c r="C716" s="70">
        <v>0.04</v>
      </c>
      <c r="D716" s="77">
        <v>1E-3</v>
      </c>
      <c r="E716" s="77"/>
      <c r="F716" s="77">
        <v>5.0000000000000001E-3</v>
      </c>
      <c r="G716" s="78">
        <v>15000000</v>
      </c>
      <c r="H716" s="79"/>
      <c r="I716" s="79"/>
      <c r="J716" s="79"/>
      <c r="K716" s="80">
        <v>1.6500000000000001E-2</v>
      </c>
      <c r="L716" s="80"/>
      <c r="M716" s="75" t="s">
        <v>143</v>
      </c>
      <c r="N716" s="75" t="b">
        <v>1</v>
      </c>
      <c r="O716" s="75" t="s">
        <v>144</v>
      </c>
      <c r="P716" s="75">
        <v>1994</v>
      </c>
      <c r="Q716" s="75">
        <v>2015</v>
      </c>
      <c r="R716" s="75">
        <v>1</v>
      </c>
      <c r="S716" s="81"/>
      <c r="T716" s="82"/>
      <c r="U716" s="83"/>
    </row>
    <row r="717" spans="1:21" s="84" customFormat="1" x14ac:dyDescent="0.3">
      <c r="A717" s="68">
        <v>40106</v>
      </c>
      <c r="B717" s="69">
        <f t="shared" si="12"/>
        <v>20091020</v>
      </c>
      <c r="C717" s="70">
        <v>3.95E-2</v>
      </c>
      <c r="D717" s="77">
        <v>1E-3</v>
      </c>
      <c r="E717" s="77"/>
      <c r="F717" s="77">
        <v>5.0000000000000001E-3</v>
      </c>
      <c r="G717" s="78">
        <v>15000000</v>
      </c>
      <c r="H717" s="79"/>
      <c r="I717" s="79"/>
      <c r="J717" s="79"/>
      <c r="K717" s="80">
        <v>1.6399999999999998E-2</v>
      </c>
      <c r="L717" s="80"/>
      <c r="M717" s="75" t="s">
        <v>143</v>
      </c>
      <c r="N717" s="75" t="b">
        <v>1</v>
      </c>
      <c r="O717" s="75" t="s">
        <v>144</v>
      </c>
      <c r="P717" s="75">
        <v>1994</v>
      </c>
      <c r="Q717" s="75">
        <v>2015</v>
      </c>
      <c r="R717" s="75">
        <v>1</v>
      </c>
      <c r="S717" s="81"/>
      <c r="T717" s="82"/>
      <c r="U717" s="83"/>
    </row>
    <row r="718" spans="1:21" s="84" customFormat="1" x14ac:dyDescent="0.3">
      <c r="A718" s="68">
        <v>40107</v>
      </c>
      <c r="B718" s="69">
        <f t="shared" si="12"/>
        <v>20091021</v>
      </c>
      <c r="C718" s="70">
        <v>3.9599999999999996E-2</v>
      </c>
      <c r="D718" s="77">
        <v>1E-3</v>
      </c>
      <c r="E718" s="77"/>
      <c r="F718" s="77">
        <v>5.0000000000000001E-3</v>
      </c>
      <c r="G718" s="78">
        <v>15000000</v>
      </c>
      <c r="H718" s="79"/>
      <c r="I718" s="79"/>
      <c r="J718" s="79"/>
      <c r="K718" s="80">
        <v>1.6799999999999999E-2</v>
      </c>
      <c r="L718" s="80"/>
      <c r="M718" s="75" t="s">
        <v>143</v>
      </c>
      <c r="N718" s="75" t="b">
        <v>1</v>
      </c>
      <c r="O718" s="75" t="s">
        <v>144</v>
      </c>
      <c r="P718" s="75">
        <v>1994</v>
      </c>
      <c r="Q718" s="75">
        <v>2015</v>
      </c>
      <c r="R718" s="75">
        <v>1</v>
      </c>
      <c r="S718" s="81"/>
      <c r="T718" s="82"/>
      <c r="U718" s="83"/>
    </row>
    <row r="719" spans="1:21" s="84" customFormat="1" x14ac:dyDescent="0.3">
      <c r="A719" s="68">
        <v>40108</v>
      </c>
      <c r="B719" s="69">
        <f t="shared" si="12"/>
        <v>20091022</v>
      </c>
      <c r="C719" s="70">
        <v>3.9699999999999999E-2</v>
      </c>
      <c r="D719" s="77">
        <v>1E-3</v>
      </c>
      <c r="E719" s="77"/>
      <c r="F719" s="77">
        <v>5.0000000000000001E-3</v>
      </c>
      <c r="G719" s="78">
        <v>15000000</v>
      </c>
      <c r="H719" s="79"/>
      <c r="I719" s="79"/>
      <c r="J719" s="79"/>
      <c r="K719" s="80">
        <v>1.67E-2</v>
      </c>
      <c r="L719" s="80"/>
      <c r="M719" s="75" t="s">
        <v>143</v>
      </c>
      <c r="N719" s="75" t="b">
        <v>1</v>
      </c>
      <c r="O719" s="75" t="s">
        <v>144</v>
      </c>
      <c r="P719" s="75">
        <v>1994</v>
      </c>
      <c r="Q719" s="75">
        <v>2015</v>
      </c>
      <c r="R719" s="75">
        <v>1</v>
      </c>
      <c r="S719" s="81"/>
      <c r="T719" s="82"/>
      <c r="U719" s="83"/>
    </row>
    <row r="720" spans="1:21" s="84" customFormat="1" x14ac:dyDescent="0.3">
      <c r="A720" s="68">
        <v>40109</v>
      </c>
      <c r="B720" s="69">
        <f t="shared" si="12"/>
        <v>20091023</v>
      </c>
      <c r="C720" s="70">
        <v>0.04</v>
      </c>
      <c r="D720" s="77">
        <v>1E-3</v>
      </c>
      <c r="E720" s="77"/>
      <c r="F720" s="77">
        <v>5.0000000000000001E-3</v>
      </c>
      <c r="G720" s="78">
        <v>15000000</v>
      </c>
      <c r="H720" s="79"/>
      <c r="I720" s="79"/>
      <c r="J720" s="79"/>
      <c r="K720" s="80">
        <v>1.6799999999999999E-2</v>
      </c>
      <c r="L720" s="80"/>
      <c r="M720" s="75" t="s">
        <v>143</v>
      </c>
      <c r="N720" s="75" t="b">
        <v>1</v>
      </c>
      <c r="O720" s="75" t="s">
        <v>144</v>
      </c>
      <c r="P720" s="75">
        <v>1994</v>
      </c>
      <c r="Q720" s="75">
        <v>2015</v>
      </c>
      <c r="R720" s="75">
        <v>1</v>
      </c>
      <c r="S720" s="81"/>
      <c r="T720" s="82"/>
      <c r="U720" s="83"/>
    </row>
    <row r="721" spans="1:21" s="84" customFormat="1" x14ac:dyDescent="0.3">
      <c r="A721" s="68">
        <v>40112</v>
      </c>
      <c r="B721" s="69">
        <f t="shared" si="12"/>
        <v>20091026</v>
      </c>
      <c r="C721" s="70">
        <v>4.0500000000000001E-2</v>
      </c>
      <c r="D721" s="77">
        <v>1E-3</v>
      </c>
      <c r="E721" s="77"/>
      <c r="F721" s="77">
        <v>5.0000000000000001E-3</v>
      </c>
      <c r="G721" s="78">
        <v>15000000</v>
      </c>
      <c r="H721" s="79"/>
      <c r="I721" s="79"/>
      <c r="J721" s="79"/>
      <c r="K721" s="80">
        <v>1.7000000000000001E-2</v>
      </c>
      <c r="L721" s="80"/>
      <c r="M721" s="75" t="s">
        <v>143</v>
      </c>
      <c r="N721" s="75" t="b">
        <v>1</v>
      </c>
      <c r="O721" s="75" t="s">
        <v>144</v>
      </c>
      <c r="P721" s="75">
        <v>1994</v>
      </c>
      <c r="Q721" s="75">
        <v>2015</v>
      </c>
      <c r="R721" s="75">
        <v>1</v>
      </c>
      <c r="S721" s="81"/>
      <c r="T721" s="82"/>
      <c r="U721" s="83"/>
    </row>
    <row r="722" spans="1:21" s="84" customFormat="1" x14ac:dyDescent="0.3">
      <c r="A722" s="68">
        <v>40113</v>
      </c>
      <c r="B722" s="69">
        <f t="shared" si="12"/>
        <v>20091027</v>
      </c>
      <c r="C722" s="70">
        <v>4.0099999999999997E-2</v>
      </c>
      <c r="D722" s="77">
        <v>1E-3</v>
      </c>
      <c r="E722" s="77"/>
      <c r="F722" s="77">
        <v>5.0000000000000001E-3</v>
      </c>
      <c r="G722" s="78">
        <v>15000000</v>
      </c>
      <c r="H722" s="79"/>
      <c r="I722" s="79"/>
      <c r="J722" s="79"/>
      <c r="K722" s="80">
        <v>1.6500000000000001E-2</v>
      </c>
      <c r="L722" s="80"/>
      <c r="M722" s="75" t="s">
        <v>143</v>
      </c>
      <c r="N722" s="75" t="b">
        <v>1</v>
      </c>
      <c r="O722" s="75" t="s">
        <v>144</v>
      </c>
      <c r="P722" s="75">
        <v>1994</v>
      </c>
      <c r="Q722" s="75">
        <v>2015</v>
      </c>
      <c r="R722" s="75">
        <v>1</v>
      </c>
      <c r="S722" s="81"/>
      <c r="T722" s="82"/>
      <c r="U722" s="83"/>
    </row>
    <row r="723" spans="1:21" s="84" customFormat="1" x14ac:dyDescent="0.3">
      <c r="A723" s="68">
        <v>40114</v>
      </c>
      <c r="B723" s="69">
        <f t="shared" si="12"/>
        <v>20091028</v>
      </c>
      <c r="C723" s="70">
        <v>3.9800000000000002E-2</v>
      </c>
      <c r="D723" s="77">
        <v>1E-3</v>
      </c>
      <c r="E723" s="77"/>
      <c r="F723" s="77">
        <v>5.0000000000000001E-3</v>
      </c>
      <c r="G723" s="78">
        <v>15000000</v>
      </c>
      <c r="H723" s="79"/>
      <c r="I723" s="79"/>
      <c r="J723" s="79"/>
      <c r="K723" s="80">
        <v>1.6299999999999999E-2</v>
      </c>
      <c r="L723" s="80"/>
      <c r="M723" s="75" t="s">
        <v>143</v>
      </c>
      <c r="N723" s="75" t="b">
        <v>1</v>
      </c>
      <c r="O723" s="75" t="s">
        <v>144</v>
      </c>
      <c r="P723" s="75">
        <v>1994</v>
      </c>
      <c r="Q723" s="75">
        <v>2015</v>
      </c>
      <c r="R723" s="75">
        <v>1</v>
      </c>
      <c r="S723" s="81"/>
      <c r="T723" s="82"/>
      <c r="U723" s="83"/>
    </row>
    <row r="724" spans="1:21" s="84" customFormat="1" x14ac:dyDescent="0.3">
      <c r="A724" s="68">
        <v>40115</v>
      </c>
      <c r="B724" s="69">
        <f t="shared" si="12"/>
        <v>20091029</v>
      </c>
      <c r="C724" s="70">
        <v>4.0099999999999997E-2</v>
      </c>
      <c r="D724" s="77">
        <v>1E-3</v>
      </c>
      <c r="E724" s="77"/>
      <c r="F724" s="77">
        <v>5.0000000000000001E-3</v>
      </c>
      <c r="G724" s="78">
        <v>15000000</v>
      </c>
      <c r="H724" s="79"/>
      <c r="I724" s="79"/>
      <c r="J724" s="79"/>
      <c r="K724" s="80">
        <v>1.6500000000000001E-2</v>
      </c>
      <c r="L724" s="80"/>
      <c r="M724" s="75" t="s">
        <v>143</v>
      </c>
      <c r="N724" s="75" t="b">
        <v>1</v>
      </c>
      <c r="O724" s="75" t="s">
        <v>144</v>
      </c>
      <c r="P724" s="75">
        <v>1994</v>
      </c>
      <c r="Q724" s="75">
        <v>2015</v>
      </c>
      <c r="R724" s="75">
        <v>1</v>
      </c>
      <c r="S724" s="81"/>
      <c r="T724" s="82"/>
      <c r="U724" s="83"/>
    </row>
    <row r="725" spans="1:21" s="84" customFormat="1" x14ac:dyDescent="0.3">
      <c r="A725" s="68">
        <v>40116</v>
      </c>
      <c r="B725" s="69">
        <f t="shared" si="12"/>
        <v>20091030</v>
      </c>
      <c r="C725" s="70">
        <v>3.95E-2</v>
      </c>
      <c r="D725" s="77">
        <v>1E-3</v>
      </c>
      <c r="E725" s="77"/>
      <c r="F725" s="77">
        <v>5.0000000000000001E-3</v>
      </c>
      <c r="G725" s="78">
        <v>15000000</v>
      </c>
      <c r="H725" s="79"/>
      <c r="I725" s="79"/>
      <c r="J725" s="79"/>
      <c r="K725" s="80">
        <v>1.6E-2</v>
      </c>
      <c r="L725" s="80"/>
      <c r="M725" s="75" t="s">
        <v>143</v>
      </c>
      <c r="N725" s="75" t="b">
        <v>1</v>
      </c>
      <c r="O725" s="75" t="s">
        <v>144</v>
      </c>
      <c r="P725" s="75">
        <v>1994</v>
      </c>
      <c r="Q725" s="75">
        <v>2015</v>
      </c>
      <c r="R725" s="75">
        <v>1</v>
      </c>
      <c r="S725" s="81"/>
      <c r="T725" s="82"/>
      <c r="U725" s="83"/>
    </row>
    <row r="726" spans="1:21" s="84" customFormat="1" x14ac:dyDescent="0.3">
      <c r="A726" s="68">
        <v>40119</v>
      </c>
      <c r="B726" s="69">
        <f t="shared" si="12"/>
        <v>20091102</v>
      </c>
      <c r="C726" s="70">
        <v>3.9699999999999999E-2</v>
      </c>
      <c r="D726" s="77">
        <v>1E-3</v>
      </c>
      <c r="E726" s="77"/>
      <c r="F726" s="77">
        <v>5.0000000000000001E-3</v>
      </c>
      <c r="G726" s="78">
        <v>15000000</v>
      </c>
      <c r="H726" s="79"/>
      <c r="I726" s="79"/>
      <c r="J726" s="79"/>
      <c r="K726" s="80">
        <v>1.6200000000000003E-2</v>
      </c>
      <c r="L726" s="80"/>
      <c r="M726" s="75" t="s">
        <v>143</v>
      </c>
      <c r="N726" s="75" t="b">
        <v>1</v>
      </c>
      <c r="O726" s="75" t="s">
        <v>144</v>
      </c>
      <c r="P726" s="75">
        <v>1994</v>
      </c>
      <c r="Q726" s="75">
        <v>2015</v>
      </c>
      <c r="R726" s="75">
        <v>1</v>
      </c>
      <c r="S726" s="81"/>
      <c r="T726" s="82"/>
      <c r="U726" s="83"/>
    </row>
    <row r="727" spans="1:21" s="84" customFormat="1" x14ac:dyDescent="0.3">
      <c r="A727" s="68">
        <v>40120</v>
      </c>
      <c r="B727" s="69">
        <f t="shared" si="12"/>
        <v>20091103</v>
      </c>
      <c r="C727" s="70">
        <v>3.9699999999999999E-2</v>
      </c>
      <c r="D727" s="77">
        <v>1E-3</v>
      </c>
      <c r="E727" s="77"/>
      <c r="F727" s="77">
        <v>5.0000000000000001E-3</v>
      </c>
      <c r="G727" s="78">
        <v>15000000</v>
      </c>
      <c r="H727" s="79"/>
      <c r="I727" s="79"/>
      <c r="J727" s="79"/>
      <c r="K727" s="80">
        <v>1.6200000000000003E-2</v>
      </c>
      <c r="L727" s="80"/>
      <c r="M727" s="75" t="s">
        <v>143</v>
      </c>
      <c r="N727" s="75" t="b">
        <v>1</v>
      </c>
      <c r="O727" s="75" t="s">
        <v>144</v>
      </c>
      <c r="P727" s="75">
        <v>1994</v>
      </c>
      <c r="Q727" s="75">
        <v>2015</v>
      </c>
      <c r="R727" s="75">
        <v>1</v>
      </c>
      <c r="S727" s="81"/>
      <c r="T727" s="82"/>
      <c r="U727" s="83"/>
    </row>
    <row r="728" spans="1:21" s="84" customFormat="1" x14ac:dyDescent="0.3">
      <c r="A728" s="68">
        <v>40121</v>
      </c>
      <c r="B728" s="69">
        <f t="shared" si="12"/>
        <v>20091104</v>
      </c>
      <c r="C728" s="70">
        <v>4.0199999999999993E-2</v>
      </c>
      <c r="D728" s="77">
        <v>1E-3</v>
      </c>
      <c r="E728" s="77"/>
      <c r="F728" s="77">
        <v>5.0000000000000001E-3</v>
      </c>
      <c r="G728" s="78">
        <v>15000000</v>
      </c>
      <c r="H728" s="79"/>
      <c r="I728" s="79"/>
      <c r="J728" s="79"/>
      <c r="K728" s="80">
        <v>1.6799999999999999E-2</v>
      </c>
      <c r="L728" s="80"/>
      <c r="M728" s="75" t="s">
        <v>143</v>
      </c>
      <c r="N728" s="75" t="b">
        <v>1</v>
      </c>
      <c r="O728" s="75" t="s">
        <v>144</v>
      </c>
      <c r="P728" s="75">
        <v>1994</v>
      </c>
      <c r="Q728" s="75">
        <v>2015</v>
      </c>
      <c r="R728" s="75">
        <v>1</v>
      </c>
      <c r="S728" s="81"/>
      <c r="T728" s="82"/>
      <c r="U728" s="83"/>
    </row>
    <row r="729" spans="1:21" s="84" customFormat="1" x14ac:dyDescent="0.3">
      <c r="A729" s="68">
        <v>40122</v>
      </c>
      <c r="B729" s="69">
        <f t="shared" si="12"/>
        <v>20091105</v>
      </c>
      <c r="C729" s="70">
        <v>4.0599999999999997E-2</v>
      </c>
      <c r="D729" s="77">
        <v>1E-3</v>
      </c>
      <c r="E729" s="77"/>
      <c r="F729" s="77">
        <v>5.0000000000000001E-3</v>
      </c>
      <c r="G729" s="78">
        <v>15000000</v>
      </c>
      <c r="H729" s="79"/>
      <c r="I729" s="79"/>
      <c r="J729" s="79"/>
      <c r="K729" s="80">
        <v>1.7299999999999999E-2</v>
      </c>
      <c r="L729" s="80"/>
      <c r="M729" s="75" t="s">
        <v>143</v>
      </c>
      <c r="N729" s="75" t="b">
        <v>1</v>
      </c>
      <c r="O729" s="75" t="s">
        <v>144</v>
      </c>
      <c r="P729" s="75">
        <v>1994</v>
      </c>
      <c r="Q729" s="75">
        <v>2015</v>
      </c>
      <c r="R729" s="75">
        <v>1</v>
      </c>
      <c r="S729" s="81"/>
      <c r="T729" s="82"/>
      <c r="U729" s="83"/>
    </row>
    <row r="730" spans="1:21" s="84" customFormat="1" x14ac:dyDescent="0.3">
      <c r="A730" s="68">
        <v>40123</v>
      </c>
      <c r="B730" s="69">
        <f t="shared" si="12"/>
        <v>20091106</v>
      </c>
      <c r="C730" s="70">
        <v>4.0500000000000001E-2</v>
      </c>
      <c r="D730" s="77">
        <v>1E-3</v>
      </c>
      <c r="E730" s="77"/>
      <c r="F730" s="77">
        <v>5.0000000000000001E-3</v>
      </c>
      <c r="G730" s="78">
        <v>15000000</v>
      </c>
      <c r="H730" s="79"/>
      <c r="I730" s="79"/>
      <c r="J730" s="79"/>
      <c r="K730" s="80">
        <v>1.7299999999999999E-2</v>
      </c>
      <c r="L730" s="80"/>
      <c r="M730" s="75" t="s">
        <v>143</v>
      </c>
      <c r="N730" s="75" t="b">
        <v>1</v>
      </c>
      <c r="O730" s="75" t="s">
        <v>144</v>
      </c>
      <c r="P730" s="75">
        <v>1994</v>
      </c>
      <c r="Q730" s="75">
        <v>2015</v>
      </c>
      <c r="R730" s="75">
        <v>1</v>
      </c>
      <c r="S730" s="81"/>
      <c r="T730" s="82"/>
      <c r="U730" s="83"/>
    </row>
    <row r="731" spans="1:21" s="84" customFormat="1" x14ac:dyDescent="0.3">
      <c r="A731" s="68">
        <v>40126</v>
      </c>
      <c r="B731" s="69">
        <f t="shared" si="12"/>
        <v>20091109</v>
      </c>
      <c r="C731" s="70">
        <v>4.0399999999999998E-2</v>
      </c>
      <c r="D731" s="77">
        <v>1E-3</v>
      </c>
      <c r="E731" s="77"/>
      <c r="F731" s="77">
        <v>5.0000000000000001E-3</v>
      </c>
      <c r="G731" s="78">
        <v>15000000</v>
      </c>
      <c r="H731" s="79"/>
      <c r="I731" s="79"/>
      <c r="J731" s="79"/>
      <c r="K731" s="80">
        <v>1.7100000000000001E-2</v>
      </c>
      <c r="L731" s="80"/>
      <c r="M731" s="75" t="s">
        <v>143</v>
      </c>
      <c r="N731" s="75" t="b">
        <v>1</v>
      </c>
      <c r="O731" s="75" t="s">
        <v>144</v>
      </c>
      <c r="P731" s="75">
        <v>1994</v>
      </c>
      <c r="Q731" s="75">
        <v>2015</v>
      </c>
      <c r="R731" s="75">
        <v>1</v>
      </c>
      <c r="S731" s="81"/>
      <c r="T731" s="82"/>
      <c r="U731" s="83"/>
    </row>
    <row r="732" spans="1:21" s="84" customFormat="1" x14ac:dyDescent="0.3">
      <c r="A732" s="68">
        <v>40127</v>
      </c>
      <c r="B732" s="69">
        <f t="shared" si="12"/>
        <v>20091110</v>
      </c>
      <c r="C732" s="70">
        <v>4.0199999999999993E-2</v>
      </c>
      <c r="D732" s="77">
        <v>1E-3</v>
      </c>
      <c r="E732" s="77"/>
      <c r="F732" s="77">
        <v>5.0000000000000001E-3</v>
      </c>
      <c r="G732" s="78">
        <v>15000000</v>
      </c>
      <c r="H732" s="79"/>
      <c r="I732" s="79"/>
      <c r="J732" s="79"/>
      <c r="K732" s="80">
        <v>1.72E-2</v>
      </c>
      <c r="L732" s="80"/>
      <c r="M732" s="75" t="s">
        <v>143</v>
      </c>
      <c r="N732" s="75" t="b">
        <v>1</v>
      </c>
      <c r="O732" s="75" t="s">
        <v>144</v>
      </c>
      <c r="P732" s="75">
        <v>1994</v>
      </c>
      <c r="Q732" s="75">
        <v>2015</v>
      </c>
      <c r="R732" s="75">
        <v>1</v>
      </c>
      <c r="S732" s="81"/>
      <c r="T732" s="82"/>
      <c r="U732" s="83"/>
    </row>
    <row r="733" spans="1:21" s="84" customFormat="1" x14ac:dyDescent="0.3">
      <c r="A733" s="68">
        <v>40129</v>
      </c>
      <c r="B733" s="69">
        <f t="shared" si="12"/>
        <v>20091112</v>
      </c>
      <c r="C733" s="70">
        <v>4.0300000000000002E-2</v>
      </c>
      <c r="D733" s="77">
        <v>1E-3</v>
      </c>
      <c r="E733" s="77"/>
      <c r="F733" s="77">
        <v>5.0000000000000001E-3</v>
      </c>
      <c r="G733" s="78">
        <v>15000000</v>
      </c>
      <c r="H733" s="79"/>
      <c r="I733" s="79"/>
      <c r="J733" s="79"/>
      <c r="K733" s="80">
        <v>1.7299999999999999E-2</v>
      </c>
      <c r="L733" s="80"/>
      <c r="M733" s="75" t="s">
        <v>143</v>
      </c>
      <c r="N733" s="75" t="b">
        <v>1</v>
      </c>
      <c r="O733" s="75" t="s">
        <v>144</v>
      </c>
      <c r="P733" s="75">
        <v>1994</v>
      </c>
      <c r="Q733" s="75">
        <v>2015</v>
      </c>
      <c r="R733" s="75">
        <v>1</v>
      </c>
      <c r="S733" s="81"/>
      <c r="T733" s="82"/>
      <c r="U733" s="83"/>
    </row>
    <row r="734" spans="1:21" s="84" customFormat="1" x14ac:dyDescent="0.3">
      <c r="A734" s="68">
        <v>40130</v>
      </c>
      <c r="B734" s="69">
        <f t="shared" si="12"/>
        <v>20091113</v>
      </c>
      <c r="C734" s="70">
        <v>3.9900000000000005E-2</v>
      </c>
      <c r="D734" s="77">
        <v>1E-3</v>
      </c>
      <c r="E734" s="77"/>
      <c r="F734" s="77">
        <v>5.0000000000000001E-3</v>
      </c>
      <c r="G734" s="78">
        <v>15000000</v>
      </c>
      <c r="H734" s="79"/>
      <c r="I734" s="79"/>
      <c r="J734" s="79"/>
      <c r="K734" s="80">
        <v>1.6899999999999998E-2</v>
      </c>
      <c r="L734" s="80"/>
      <c r="M734" s="75" t="s">
        <v>143</v>
      </c>
      <c r="N734" s="75" t="b">
        <v>1</v>
      </c>
      <c r="O734" s="75" t="s">
        <v>144</v>
      </c>
      <c r="P734" s="75">
        <v>1994</v>
      </c>
      <c r="Q734" s="75">
        <v>2015</v>
      </c>
      <c r="R734" s="75">
        <v>1</v>
      </c>
      <c r="S734" s="81"/>
      <c r="T734" s="82"/>
      <c r="U734" s="83"/>
    </row>
    <row r="735" spans="1:21" s="84" customFormat="1" x14ac:dyDescent="0.3">
      <c r="A735" s="68">
        <v>40133</v>
      </c>
      <c r="B735" s="69">
        <f t="shared" si="12"/>
        <v>20091116</v>
      </c>
      <c r="C735" s="70">
        <v>3.9199999999999999E-2</v>
      </c>
      <c r="D735" s="77">
        <v>1E-3</v>
      </c>
      <c r="E735" s="77"/>
      <c r="F735" s="77">
        <v>5.0000000000000001E-3</v>
      </c>
      <c r="G735" s="78">
        <v>15000000</v>
      </c>
      <c r="H735" s="79"/>
      <c r="I735" s="79"/>
      <c r="J735" s="79"/>
      <c r="K735" s="80">
        <v>1.6399999999999998E-2</v>
      </c>
      <c r="L735" s="80"/>
      <c r="M735" s="75" t="s">
        <v>143</v>
      </c>
      <c r="N735" s="75" t="b">
        <v>1</v>
      </c>
      <c r="O735" s="75" t="s">
        <v>144</v>
      </c>
      <c r="P735" s="75">
        <v>1994</v>
      </c>
      <c r="Q735" s="75">
        <v>2015</v>
      </c>
      <c r="R735" s="75">
        <v>1</v>
      </c>
      <c r="S735" s="81"/>
      <c r="T735" s="82"/>
      <c r="U735" s="83"/>
    </row>
    <row r="736" spans="1:21" s="84" customFormat="1" x14ac:dyDescent="0.3">
      <c r="A736" s="68">
        <v>40134</v>
      </c>
      <c r="B736" s="69">
        <f t="shared" si="12"/>
        <v>20091117</v>
      </c>
      <c r="C736" s="70">
        <v>3.9100000000000003E-2</v>
      </c>
      <c r="D736" s="77">
        <v>1E-3</v>
      </c>
      <c r="E736" s="77"/>
      <c r="F736" s="77">
        <v>5.0000000000000001E-3</v>
      </c>
      <c r="G736" s="78">
        <v>15000000</v>
      </c>
      <c r="H736" s="79"/>
      <c r="I736" s="79"/>
      <c r="J736" s="79"/>
      <c r="K736" s="80">
        <v>1.6200000000000003E-2</v>
      </c>
      <c r="L736" s="80"/>
      <c r="M736" s="75" t="s">
        <v>143</v>
      </c>
      <c r="N736" s="75" t="b">
        <v>1</v>
      </c>
      <c r="O736" s="75" t="s">
        <v>144</v>
      </c>
      <c r="P736" s="75">
        <v>1994</v>
      </c>
      <c r="Q736" s="75">
        <v>2015</v>
      </c>
      <c r="R736" s="75">
        <v>1</v>
      </c>
      <c r="S736" s="81"/>
      <c r="T736" s="82"/>
      <c r="U736" s="83"/>
    </row>
    <row r="737" spans="1:21" s="84" customFormat="1" x14ac:dyDescent="0.3">
      <c r="A737" s="68">
        <v>40135</v>
      </c>
      <c r="B737" s="69">
        <f t="shared" si="12"/>
        <v>20091118</v>
      </c>
      <c r="C737" s="70">
        <v>3.95E-2</v>
      </c>
      <c r="D737" s="77">
        <v>1E-3</v>
      </c>
      <c r="E737" s="77"/>
      <c r="F737" s="77">
        <v>5.0000000000000001E-3</v>
      </c>
      <c r="G737" s="78">
        <v>15000000</v>
      </c>
      <c r="H737" s="79"/>
      <c r="I737" s="79"/>
      <c r="J737" s="79"/>
      <c r="K737" s="80">
        <v>1.6500000000000001E-2</v>
      </c>
      <c r="L737" s="80"/>
      <c r="M737" s="75" t="s">
        <v>143</v>
      </c>
      <c r="N737" s="75" t="b">
        <v>1</v>
      </c>
      <c r="O737" s="75" t="s">
        <v>144</v>
      </c>
      <c r="P737" s="75">
        <v>1994</v>
      </c>
      <c r="Q737" s="75">
        <v>2015</v>
      </c>
      <c r="R737" s="75">
        <v>1</v>
      </c>
      <c r="S737" s="81"/>
      <c r="T737" s="82"/>
      <c r="U737" s="83"/>
    </row>
    <row r="738" spans="1:21" s="84" customFormat="1" x14ac:dyDescent="0.3">
      <c r="A738" s="68">
        <v>40136</v>
      </c>
      <c r="B738" s="69">
        <f t="shared" si="12"/>
        <v>20091119</v>
      </c>
      <c r="C738" s="70">
        <v>3.9199999999999999E-2</v>
      </c>
      <c r="D738" s="77">
        <v>1E-3</v>
      </c>
      <c r="E738" s="77"/>
      <c r="F738" s="77">
        <v>5.0000000000000001E-3</v>
      </c>
      <c r="G738" s="78">
        <v>15000000</v>
      </c>
      <c r="H738" s="79"/>
      <c r="I738" s="79"/>
      <c r="J738" s="79"/>
      <c r="K738" s="80">
        <v>1.6200000000000003E-2</v>
      </c>
      <c r="L738" s="80"/>
      <c r="M738" s="75" t="s">
        <v>143</v>
      </c>
      <c r="N738" s="75" t="b">
        <v>1</v>
      </c>
      <c r="O738" s="75" t="s">
        <v>144</v>
      </c>
      <c r="P738" s="75">
        <v>1994</v>
      </c>
      <c r="Q738" s="75">
        <v>2015</v>
      </c>
      <c r="R738" s="75">
        <v>1</v>
      </c>
      <c r="S738" s="81"/>
      <c r="T738" s="82"/>
      <c r="U738" s="83"/>
    </row>
    <row r="739" spans="1:21" s="84" customFormat="1" x14ac:dyDescent="0.3">
      <c r="A739" s="68">
        <v>40137</v>
      </c>
      <c r="B739" s="69">
        <f t="shared" si="12"/>
        <v>20091120</v>
      </c>
      <c r="C739" s="70">
        <v>3.9300000000000002E-2</v>
      </c>
      <c r="D739" s="77">
        <v>1E-3</v>
      </c>
      <c r="E739" s="77"/>
      <c r="F739" s="77">
        <v>5.0000000000000001E-3</v>
      </c>
      <c r="G739" s="78">
        <v>15000000</v>
      </c>
      <c r="H739" s="79"/>
      <c r="I739" s="79"/>
      <c r="J739" s="79"/>
      <c r="K739" s="80">
        <v>1.6299999999999999E-2</v>
      </c>
      <c r="L739" s="80"/>
      <c r="M739" s="75" t="s">
        <v>143</v>
      </c>
      <c r="N739" s="75" t="b">
        <v>1</v>
      </c>
      <c r="O739" s="75" t="s">
        <v>144</v>
      </c>
      <c r="P739" s="75">
        <v>1994</v>
      </c>
      <c r="Q739" s="75">
        <v>2015</v>
      </c>
      <c r="R739" s="75">
        <v>1</v>
      </c>
      <c r="S739" s="81"/>
      <c r="T739" s="82"/>
      <c r="U739" s="83"/>
    </row>
    <row r="740" spans="1:21" s="84" customFormat="1" x14ac:dyDescent="0.3">
      <c r="A740" s="68">
        <v>40140</v>
      </c>
      <c r="B740" s="69">
        <f t="shared" si="12"/>
        <v>20091123</v>
      </c>
      <c r="C740" s="70">
        <v>3.9199999999999999E-2</v>
      </c>
      <c r="D740" s="77">
        <v>1E-3</v>
      </c>
      <c r="E740" s="77"/>
      <c r="F740" s="77">
        <v>5.0000000000000001E-3</v>
      </c>
      <c r="G740" s="78">
        <v>15000000</v>
      </c>
      <c r="H740" s="79"/>
      <c r="I740" s="79"/>
      <c r="J740" s="79"/>
      <c r="K740" s="80">
        <v>1.6200000000000003E-2</v>
      </c>
      <c r="L740" s="80"/>
      <c r="M740" s="75" t="s">
        <v>143</v>
      </c>
      <c r="N740" s="75" t="b">
        <v>1</v>
      </c>
      <c r="O740" s="75" t="s">
        <v>144</v>
      </c>
      <c r="P740" s="75">
        <v>1994</v>
      </c>
      <c r="Q740" s="75">
        <v>2015</v>
      </c>
      <c r="R740" s="75">
        <v>1</v>
      </c>
      <c r="S740" s="81"/>
      <c r="T740" s="82"/>
      <c r="U740" s="83"/>
    </row>
    <row r="741" spans="1:21" s="84" customFormat="1" x14ac:dyDescent="0.3">
      <c r="A741" s="68">
        <v>40141</v>
      </c>
      <c r="B741" s="69">
        <f t="shared" si="12"/>
        <v>20091124</v>
      </c>
      <c r="C741" s="70">
        <v>3.85E-2</v>
      </c>
      <c r="D741" s="77">
        <v>1E-3</v>
      </c>
      <c r="E741" s="77"/>
      <c r="F741" s="77">
        <v>5.0000000000000001E-3</v>
      </c>
      <c r="G741" s="78">
        <v>15000000</v>
      </c>
      <c r="H741" s="79"/>
      <c r="I741" s="79"/>
      <c r="J741" s="79"/>
      <c r="K741" s="80">
        <v>1.5600000000000001E-2</v>
      </c>
      <c r="L741" s="80"/>
      <c r="M741" s="75" t="s">
        <v>143</v>
      </c>
      <c r="N741" s="75" t="b">
        <v>1</v>
      </c>
      <c r="O741" s="75" t="s">
        <v>144</v>
      </c>
      <c r="P741" s="75">
        <v>1994</v>
      </c>
      <c r="Q741" s="75">
        <v>2015</v>
      </c>
      <c r="R741" s="75">
        <v>1</v>
      </c>
      <c r="S741" s="81"/>
      <c r="T741" s="82"/>
      <c r="U741" s="83"/>
    </row>
    <row r="742" spans="1:21" s="84" customFormat="1" x14ac:dyDescent="0.3">
      <c r="A742" s="68">
        <v>40142</v>
      </c>
      <c r="B742" s="69">
        <f t="shared" si="12"/>
        <v>20091125</v>
      </c>
      <c r="C742" s="70">
        <v>3.8399999999999997E-2</v>
      </c>
      <c r="D742" s="77">
        <v>1E-3</v>
      </c>
      <c r="E742" s="77"/>
      <c r="F742" s="77">
        <v>5.0000000000000001E-3</v>
      </c>
      <c r="G742" s="78">
        <v>15000000</v>
      </c>
      <c r="H742" s="79"/>
      <c r="I742" s="79"/>
      <c r="J742" s="79"/>
      <c r="K742" s="80">
        <v>1.5600000000000001E-2</v>
      </c>
      <c r="L742" s="80"/>
      <c r="M742" s="75" t="s">
        <v>143</v>
      </c>
      <c r="N742" s="75" t="b">
        <v>1</v>
      </c>
      <c r="O742" s="75" t="s">
        <v>144</v>
      </c>
      <c r="P742" s="75">
        <v>1994</v>
      </c>
      <c r="Q742" s="75">
        <v>2015</v>
      </c>
      <c r="R742" s="75">
        <v>1</v>
      </c>
      <c r="S742" s="81"/>
      <c r="T742" s="82"/>
      <c r="U742" s="83"/>
    </row>
    <row r="743" spans="1:21" s="84" customFormat="1" x14ac:dyDescent="0.3">
      <c r="A743" s="68">
        <v>40143</v>
      </c>
      <c r="B743" s="69">
        <f t="shared" si="12"/>
        <v>20091126</v>
      </c>
      <c r="C743" s="70">
        <v>3.8100000000000002E-2</v>
      </c>
      <c r="D743" s="77">
        <v>1E-3</v>
      </c>
      <c r="E743" s="77"/>
      <c r="F743" s="77">
        <v>5.0000000000000001E-3</v>
      </c>
      <c r="G743" s="78">
        <v>15000000</v>
      </c>
      <c r="H743" s="79"/>
      <c r="I743" s="79"/>
      <c r="J743" s="79"/>
      <c r="K743" s="80">
        <v>1.54E-2</v>
      </c>
      <c r="L743" s="80"/>
      <c r="M743" s="75" t="s">
        <v>143</v>
      </c>
      <c r="N743" s="75" t="b">
        <v>1</v>
      </c>
      <c r="O743" s="75" t="s">
        <v>144</v>
      </c>
      <c r="P743" s="75">
        <v>1994</v>
      </c>
      <c r="Q743" s="75">
        <v>2015</v>
      </c>
      <c r="R743" s="75">
        <v>1</v>
      </c>
      <c r="S743" s="81"/>
      <c r="T743" s="82"/>
      <c r="U743" s="83"/>
    </row>
    <row r="744" spans="1:21" s="84" customFormat="1" x14ac:dyDescent="0.3">
      <c r="A744" s="68">
        <v>40144</v>
      </c>
      <c r="B744" s="69">
        <f t="shared" si="12"/>
        <v>20091127</v>
      </c>
      <c r="C744" s="70">
        <v>3.8300000000000001E-2</v>
      </c>
      <c r="D744" s="77">
        <v>1E-3</v>
      </c>
      <c r="E744" s="77"/>
      <c r="F744" s="77">
        <v>5.0000000000000001E-3</v>
      </c>
      <c r="G744" s="78">
        <v>15000000</v>
      </c>
      <c r="H744" s="79"/>
      <c r="I744" s="79"/>
      <c r="J744" s="79"/>
      <c r="K744" s="80">
        <v>1.5800000000000002E-2</v>
      </c>
      <c r="L744" s="80"/>
      <c r="M744" s="75" t="s">
        <v>143</v>
      </c>
      <c r="N744" s="75" t="b">
        <v>1</v>
      </c>
      <c r="O744" s="75" t="s">
        <v>144</v>
      </c>
      <c r="P744" s="75">
        <v>1994</v>
      </c>
      <c r="Q744" s="75">
        <v>2015</v>
      </c>
      <c r="R744" s="75">
        <v>1</v>
      </c>
      <c r="S744" s="81"/>
      <c r="T744" s="82"/>
      <c r="U744" s="83"/>
    </row>
    <row r="745" spans="1:21" s="84" customFormat="1" x14ac:dyDescent="0.3">
      <c r="A745" s="68">
        <v>40147</v>
      </c>
      <c r="B745" s="69">
        <f t="shared" si="12"/>
        <v>20091130</v>
      </c>
      <c r="C745" s="70">
        <v>3.8300000000000001E-2</v>
      </c>
      <c r="D745" s="77">
        <v>1E-3</v>
      </c>
      <c r="E745" s="77"/>
      <c r="F745" s="77">
        <v>5.0000000000000001E-3</v>
      </c>
      <c r="G745" s="78">
        <v>15000000</v>
      </c>
      <c r="H745" s="79"/>
      <c r="I745" s="79"/>
      <c r="J745" s="79"/>
      <c r="K745" s="80">
        <v>1.5800000000000002E-2</v>
      </c>
      <c r="L745" s="80"/>
      <c r="M745" s="75" t="s">
        <v>143</v>
      </c>
      <c r="N745" s="75" t="b">
        <v>1</v>
      </c>
      <c r="O745" s="75" t="s">
        <v>144</v>
      </c>
      <c r="P745" s="75">
        <v>1994</v>
      </c>
      <c r="Q745" s="75">
        <v>2015</v>
      </c>
      <c r="R745" s="75">
        <v>1</v>
      </c>
      <c r="S745" s="81"/>
      <c r="T745" s="82"/>
      <c r="U745" s="83"/>
    </row>
    <row r="746" spans="1:21" s="84" customFormat="1" x14ac:dyDescent="0.3">
      <c r="A746" s="68">
        <v>40148</v>
      </c>
      <c r="B746" s="69">
        <f t="shared" si="12"/>
        <v>20091201</v>
      </c>
      <c r="C746" s="70">
        <v>3.8599999999999995E-2</v>
      </c>
      <c r="D746" s="77">
        <v>1E-3</v>
      </c>
      <c r="E746" s="77"/>
      <c r="F746" s="77">
        <v>5.0000000000000001E-3</v>
      </c>
      <c r="G746" s="78">
        <v>15000000</v>
      </c>
      <c r="H746" s="79"/>
      <c r="I746" s="79"/>
      <c r="J746" s="79"/>
      <c r="K746" s="80">
        <v>1.54E-2</v>
      </c>
      <c r="L746" s="80"/>
      <c r="M746" s="75" t="s">
        <v>143</v>
      </c>
      <c r="N746" s="75" t="b">
        <v>1</v>
      </c>
      <c r="O746" s="75" t="s">
        <v>144</v>
      </c>
      <c r="P746" s="75">
        <v>1994</v>
      </c>
      <c r="Q746" s="75">
        <v>2015</v>
      </c>
      <c r="R746" s="75">
        <v>1</v>
      </c>
      <c r="S746" s="81"/>
      <c r="T746" s="82"/>
      <c r="U746" s="83"/>
    </row>
    <row r="747" spans="1:21" s="84" customFormat="1" x14ac:dyDescent="0.3">
      <c r="A747" s="68">
        <v>40149</v>
      </c>
      <c r="B747" s="69">
        <f t="shared" si="12"/>
        <v>20091202</v>
      </c>
      <c r="C747" s="70">
        <v>3.8599999999999995E-2</v>
      </c>
      <c r="D747" s="77">
        <v>1E-3</v>
      </c>
      <c r="E747" s="77"/>
      <c r="F747" s="77">
        <v>5.0000000000000001E-3</v>
      </c>
      <c r="G747" s="78">
        <v>15000000</v>
      </c>
      <c r="H747" s="79"/>
      <c r="I747" s="79"/>
      <c r="J747" s="79"/>
      <c r="K747" s="80">
        <v>1.5100000000000001E-2</v>
      </c>
      <c r="L747" s="80"/>
      <c r="M747" s="75" t="s">
        <v>143</v>
      </c>
      <c r="N747" s="75" t="b">
        <v>1</v>
      </c>
      <c r="O747" s="75" t="s">
        <v>144</v>
      </c>
      <c r="P747" s="75">
        <v>1994</v>
      </c>
      <c r="Q747" s="75">
        <v>2015</v>
      </c>
      <c r="R747" s="75">
        <v>1</v>
      </c>
      <c r="S747" s="81"/>
      <c r="T747" s="82"/>
      <c r="U747" s="83"/>
    </row>
    <row r="748" spans="1:21" s="84" customFormat="1" x14ac:dyDescent="0.3">
      <c r="A748" s="68">
        <v>40150</v>
      </c>
      <c r="B748" s="69">
        <f t="shared" si="12"/>
        <v>20091203</v>
      </c>
      <c r="C748" s="70">
        <v>3.85E-2</v>
      </c>
      <c r="D748" s="77">
        <v>1E-3</v>
      </c>
      <c r="E748" s="77"/>
      <c r="F748" s="77">
        <v>5.0000000000000001E-3</v>
      </c>
      <c r="G748" s="78">
        <v>15000000</v>
      </c>
      <c r="H748" s="79"/>
      <c r="I748" s="79"/>
      <c r="J748" s="79"/>
      <c r="K748" s="80">
        <v>1.4999999999999999E-2</v>
      </c>
      <c r="L748" s="80"/>
      <c r="M748" s="75" t="s">
        <v>143</v>
      </c>
      <c r="N748" s="75" t="b">
        <v>1</v>
      </c>
      <c r="O748" s="75" t="s">
        <v>144</v>
      </c>
      <c r="P748" s="75">
        <v>1994</v>
      </c>
      <c r="Q748" s="75">
        <v>2015</v>
      </c>
      <c r="R748" s="75">
        <v>1</v>
      </c>
      <c r="S748" s="81"/>
      <c r="T748" s="82"/>
      <c r="U748" s="83"/>
    </row>
    <row r="749" spans="1:21" s="84" customFormat="1" x14ac:dyDescent="0.3">
      <c r="A749" s="68">
        <v>40151</v>
      </c>
      <c r="B749" s="69">
        <f t="shared" si="12"/>
        <v>20091204</v>
      </c>
      <c r="C749" s="70">
        <v>3.9E-2</v>
      </c>
      <c r="D749" s="77">
        <v>1E-3</v>
      </c>
      <c r="E749" s="77"/>
      <c r="F749" s="77">
        <v>5.0000000000000001E-3</v>
      </c>
      <c r="G749" s="78">
        <v>15000000</v>
      </c>
      <c r="H749" s="79"/>
      <c r="I749" s="79"/>
      <c r="J749" s="79"/>
      <c r="K749" s="80">
        <v>1.5300000000000001E-2</v>
      </c>
      <c r="L749" s="80"/>
      <c r="M749" s="75" t="s">
        <v>143</v>
      </c>
      <c r="N749" s="75" t="b">
        <v>1</v>
      </c>
      <c r="O749" s="75" t="s">
        <v>144</v>
      </c>
      <c r="P749" s="75">
        <v>1994</v>
      </c>
      <c r="Q749" s="75">
        <v>2015</v>
      </c>
      <c r="R749" s="75">
        <v>1</v>
      </c>
      <c r="S749" s="81"/>
      <c r="T749" s="82"/>
      <c r="U749" s="83"/>
    </row>
    <row r="750" spans="1:21" s="84" customFormat="1" x14ac:dyDescent="0.3">
      <c r="A750" s="68">
        <v>40154</v>
      </c>
      <c r="B750" s="69">
        <f t="shared" si="12"/>
        <v>20091207</v>
      </c>
      <c r="C750" s="70">
        <v>3.8800000000000001E-2</v>
      </c>
      <c r="D750" s="77">
        <v>1E-3</v>
      </c>
      <c r="E750" s="77"/>
      <c r="F750" s="77">
        <v>5.0000000000000001E-3</v>
      </c>
      <c r="G750" s="78">
        <v>15000000</v>
      </c>
      <c r="H750" s="79"/>
      <c r="I750" s="79"/>
      <c r="J750" s="79"/>
      <c r="K750" s="80">
        <v>1.5100000000000001E-2</v>
      </c>
      <c r="L750" s="80"/>
      <c r="M750" s="75" t="s">
        <v>143</v>
      </c>
      <c r="N750" s="75" t="b">
        <v>1</v>
      </c>
      <c r="O750" s="75" t="s">
        <v>144</v>
      </c>
      <c r="P750" s="75">
        <v>1994</v>
      </c>
      <c r="Q750" s="75">
        <v>2015</v>
      </c>
      <c r="R750" s="75">
        <v>1</v>
      </c>
      <c r="S750" s="81"/>
      <c r="T750" s="82"/>
      <c r="U750" s="83"/>
    </row>
    <row r="751" spans="1:21" s="84" customFormat="1" x14ac:dyDescent="0.3">
      <c r="A751" s="68">
        <v>40155</v>
      </c>
      <c r="B751" s="69">
        <f t="shared" si="12"/>
        <v>20091208</v>
      </c>
      <c r="C751" s="70">
        <v>3.9100000000000003E-2</v>
      </c>
      <c r="D751" s="77">
        <v>1E-3</v>
      </c>
      <c r="E751" s="77"/>
      <c r="F751" s="77">
        <v>5.0000000000000001E-3</v>
      </c>
      <c r="G751" s="78">
        <v>15000000</v>
      </c>
      <c r="H751" s="79"/>
      <c r="I751" s="79"/>
      <c r="J751" s="79"/>
      <c r="K751" s="80">
        <v>1.55E-2</v>
      </c>
      <c r="L751" s="80"/>
      <c r="M751" s="75" t="s">
        <v>143</v>
      </c>
      <c r="N751" s="75" t="b">
        <v>1</v>
      </c>
      <c r="O751" s="75" t="s">
        <v>144</v>
      </c>
      <c r="P751" s="75">
        <v>1994</v>
      </c>
      <c r="Q751" s="75">
        <v>2015</v>
      </c>
      <c r="R751" s="75">
        <v>1</v>
      </c>
      <c r="S751" s="81"/>
      <c r="T751" s="82"/>
      <c r="U751" s="83"/>
    </row>
    <row r="752" spans="1:21" s="84" customFormat="1" x14ac:dyDescent="0.3">
      <c r="A752" s="68">
        <v>40156</v>
      </c>
      <c r="B752" s="69">
        <f t="shared" si="12"/>
        <v>20091209</v>
      </c>
      <c r="C752" s="70">
        <v>3.9399999999999998E-2</v>
      </c>
      <c r="D752" s="77">
        <v>1E-3</v>
      </c>
      <c r="E752" s="77"/>
      <c r="F752" s="77">
        <v>5.0000000000000001E-3</v>
      </c>
      <c r="G752" s="78">
        <v>15000000</v>
      </c>
      <c r="H752" s="79"/>
      <c r="I752" s="79"/>
      <c r="J752" s="79"/>
      <c r="K752" s="80">
        <v>1.5900000000000001E-2</v>
      </c>
      <c r="L752" s="80"/>
      <c r="M752" s="75" t="s">
        <v>143</v>
      </c>
      <c r="N752" s="75" t="b">
        <v>1</v>
      </c>
      <c r="O752" s="75" t="s">
        <v>144</v>
      </c>
      <c r="P752" s="75">
        <v>1994</v>
      </c>
      <c r="Q752" s="75">
        <v>2015</v>
      </c>
      <c r="R752" s="75">
        <v>1</v>
      </c>
      <c r="S752" s="81"/>
      <c r="T752" s="82"/>
      <c r="U752" s="83"/>
    </row>
    <row r="753" spans="1:21" s="84" customFormat="1" x14ac:dyDescent="0.3">
      <c r="A753" s="68">
        <v>40157</v>
      </c>
      <c r="B753" s="69">
        <f t="shared" si="12"/>
        <v>20091210</v>
      </c>
      <c r="C753" s="70">
        <v>3.9800000000000002E-2</v>
      </c>
      <c r="D753" s="77">
        <v>1E-3</v>
      </c>
      <c r="E753" s="77"/>
      <c r="F753" s="77">
        <v>5.0000000000000001E-3</v>
      </c>
      <c r="G753" s="78">
        <v>15000000</v>
      </c>
      <c r="H753" s="79"/>
      <c r="I753" s="79"/>
      <c r="J753" s="79"/>
      <c r="K753" s="80">
        <v>1.6200000000000003E-2</v>
      </c>
      <c r="L753" s="80"/>
      <c r="M753" s="75" t="s">
        <v>143</v>
      </c>
      <c r="N753" s="75" t="b">
        <v>1</v>
      </c>
      <c r="O753" s="75" t="s">
        <v>144</v>
      </c>
      <c r="P753" s="75">
        <v>1994</v>
      </c>
      <c r="Q753" s="75">
        <v>2015</v>
      </c>
      <c r="R753" s="75">
        <v>1</v>
      </c>
      <c r="S753" s="81"/>
      <c r="T753" s="82"/>
      <c r="U753" s="83"/>
    </row>
    <row r="754" spans="1:21" s="84" customFormat="1" x14ac:dyDescent="0.3">
      <c r="A754" s="68">
        <v>40158</v>
      </c>
      <c r="B754" s="69">
        <f t="shared" si="12"/>
        <v>20091211</v>
      </c>
      <c r="C754" s="70">
        <v>3.9800000000000002E-2</v>
      </c>
      <c r="D754" s="77">
        <v>1E-3</v>
      </c>
      <c r="E754" s="77"/>
      <c r="F754" s="77">
        <v>5.0000000000000001E-3</v>
      </c>
      <c r="G754" s="78">
        <v>15000000</v>
      </c>
      <c r="H754" s="79"/>
      <c r="I754" s="79"/>
      <c r="J754" s="79"/>
      <c r="K754" s="80">
        <v>1.61E-2</v>
      </c>
      <c r="L754" s="80"/>
      <c r="M754" s="75" t="s">
        <v>143</v>
      </c>
      <c r="N754" s="75" t="b">
        <v>1</v>
      </c>
      <c r="O754" s="75" t="s">
        <v>144</v>
      </c>
      <c r="P754" s="75">
        <v>1994</v>
      </c>
      <c r="Q754" s="75">
        <v>2015</v>
      </c>
      <c r="R754" s="75">
        <v>1</v>
      </c>
      <c r="S754" s="81"/>
      <c r="T754" s="82"/>
      <c r="U754" s="83"/>
    </row>
    <row r="755" spans="1:21" s="84" customFormat="1" x14ac:dyDescent="0.3">
      <c r="A755" s="68">
        <v>40161</v>
      </c>
      <c r="B755" s="69">
        <f t="shared" si="12"/>
        <v>20091214</v>
      </c>
      <c r="C755" s="70">
        <v>0.04</v>
      </c>
      <c r="D755" s="77">
        <v>1E-3</v>
      </c>
      <c r="E755" s="77"/>
      <c r="F755" s="77">
        <v>5.0000000000000001E-3</v>
      </c>
      <c r="G755" s="78">
        <v>15000000</v>
      </c>
      <c r="H755" s="79"/>
      <c r="I755" s="79"/>
      <c r="J755" s="79"/>
      <c r="K755" s="80">
        <v>1.6E-2</v>
      </c>
      <c r="L755" s="80"/>
      <c r="M755" s="75" t="s">
        <v>143</v>
      </c>
      <c r="N755" s="75" t="b">
        <v>1</v>
      </c>
      <c r="O755" s="75" t="s">
        <v>144</v>
      </c>
      <c r="P755" s="75">
        <v>1994</v>
      </c>
      <c r="Q755" s="75">
        <v>2015</v>
      </c>
      <c r="R755" s="75">
        <v>1</v>
      </c>
      <c r="S755" s="81"/>
      <c r="T755" s="82"/>
      <c r="U755" s="83"/>
    </row>
    <row r="756" spans="1:21" s="84" customFormat="1" x14ac:dyDescent="0.3">
      <c r="A756" s="68">
        <v>40162</v>
      </c>
      <c r="B756" s="69">
        <f t="shared" si="12"/>
        <v>20091215</v>
      </c>
      <c r="C756" s="70">
        <v>3.9900000000000005E-2</v>
      </c>
      <c r="D756" s="77">
        <v>1E-3</v>
      </c>
      <c r="E756" s="77"/>
      <c r="F756" s="77">
        <v>5.0000000000000001E-3</v>
      </c>
      <c r="G756" s="78">
        <v>15000000</v>
      </c>
      <c r="H756" s="79"/>
      <c r="I756" s="79"/>
      <c r="J756" s="79"/>
      <c r="K756" s="80">
        <v>1.5800000000000002E-2</v>
      </c>
      <c r="L756" s="80"/>
      <c r="M756" s="75" t="s">
        <v>143</v>
      </c>
      <c r="N756" s="75" t="b">
        <v>1</v>
      </c>
      <c r="O756" s="75" t="s">
        <v>144</v>
      </c>
      <c r="P756" s="75">
        <v>1994</v>
      </c>
      <c r="Q756" s="75">
        <v>2015</v>
      </c>
      <c r="R756" s="75">
        <v>1</v>
      </c>
      <c r="S756" s="81"/>
      <c r="T756" s="82"/>
      <c r="U756" s="83"/>
    </row>
    <row r="757" spans="1:21" s="84" customFormat="1" x14ac:dyDescent="0.3">
      <c r="A757" s="68">
        <v>40163</v>
      </c>
      <c r="B757" s="69">
        <f t="shared" si="12"/>
        <v>20091216</v>
      </c>
      <c r="C757" s="70">
        <v>3.9800000000000002E-2</v>
      </c>
      <c r="D757" s="77">
        <v>1E-3</v>
      </c>
      <c r="E757" s="77"/>
      <c r="F757" s="77">
        <v>5.0000000000000001E-3</v>
      </c>
      <c r="G757" s="78">
        <v>15000000</v>
      </c>
      <c r="H757" s="79"/>
      <c r="I757" s="79"/>
      <c r="J757" s="79"/>
      <c r="K757" s="80">
        <v>1.5700000000000002E-2</v>
      </c>
      <c r="L757" s="80"/>
      <c r="M757" s="75" t="s">
        <v>143</v>
      </c>
      <c r="N757" s="75" t="b">
        <v>1</v>
      </c>
      <c r="O757" s="75" t="s">
        <v>144</v>
      </c>
      <c r="P757" s="75">
        <v>1994</v>
      </c>
      <c r="Q757" s="75">
        <v>2015</v>
      </c>
      <c r="R757" s="75">
        <v>1</v>
      </c>
      <c r="S757" s="81"/>
      <c r="T757" s="82"/>
      <c r="U757" s="83"/>
    </row>
    <row r="758" spans="1:21" s="84" customFormat="1" x14ac:dyDescent="0.3">
      <c r="A758" s="68">
        <v>40164</v>
      </c>
      <c r="B758" s="69">
        <f t="shared" si="12"/>
        <v>20091217</v>
      </c>
      <c r="C758" s="70">
        <v>3.9599999999999996E-2</v>
      </c>
      <c r="D758" s="77">
        <v>1E-3</v>
      </c>
      <c r="E758" s="77"/>
      <c r="F758" s="77">
        <v>5.0000000000000001E-3</v>
      </c>
      <c r="G758" s="78">
        <v>15000000</v>
      </c>
      <c r="H758" s="79"/>
      <c r="I758" s="79"/>
      <c r="J758" s="79"/>
      <c r="K758" s="80">
        <v>1.52E-2</v>
      </c>
      <c r="L758" s="80"/>
      <c r="M758" s="75" t="s">
        <v>143</v>
      </c>
      <c r="N758" s="75" t="b">
        <v>1</v>
      </c>
      <c r="O758" s="75" t="s">
        <v>144</v>
      </c>
      <c r="P758" s="75">
        <v>1994</v>
      </c>
      <c r="Q758" s="75">
        <v>2015</v>
      </c>
      <c r="R758" s="75">
        <v>1</v>
      </c>
      <c r="S758" s="81"/>
      <c r="T758" s="82"/>
      <c r="U758" s="83"/>
    </row>
    <row r="759" spans="1:21" s="84" customFormat="1" x14ac:dyDescent="0.3">
      <c r="A759" s="68">
        <v>40165</v>
      </c>
      <c r="B759" s="69">
        <f t="shared" si="12"/>
        <v>20091218</v>
      </c>
      <c r="C759" s="70">
        <v>0.04</v>
      </c>
      <c r="D759" s="77">
        <v>1E-3</v>
      </c>
      <c r="E759" s="77"/>
      <c r="F759" s="77">
        <v>5.0000000000000001E-3</v>
      </c>
      <c r="G759" s="78">
        <v>15000000</v>
      </c>
      <c r="H759" s="79"/>
      <c r="I759" s="79"/>
      <c r="J759" s="79"/>
      <c r="K759" s="80">
        <v>1.55E-2</v>
      </c>
      <c r="L759" s="80"/>
      <c r="M759" s="75" t="s">
        <v>143</v>
      </c>
      <c r="N759" s="75" t="b">
        <v>1</v>
      </c>
      <c r="O759" s="75" t="s">
        <v>144</v>
      </c>
      <c r="P759" s="75">
        <v>1994</v>
      </c>
      <c r="Q759" s="75">
        <v>2015</v>
      </c>
      <c r="R759" s="75">
        <v>1</v>
      </c>
      <c r="S759" s="81"/>
      <c r="T759" s="82"/>
      <c r="U759" s="83"/>
    </row>
    <row r="760" spans="1:21" s="84" customFormat="1" x14ac:dyDescent="0.3">
      <c r="A760" s="68">
        <v>40168</v>
      </c>
      <c r="B760" s="69">
        <f t="shared" si="12"/>
        <v>20091221</v>
      </c>
      <c r="C760" s="70">
        <v>4.0800000000000003E-2</v>
      </c>
      <c r="D760" s="77">
        <v>1E-3</v>
      </c>
      <c r="E760" s="77"/>
      <c r="F760" s="77">
        <v>5.0000000000000001E-3</v>
      </c>
      <c r="G760" s="78">
        <v>15000000</v>
      </c>
      <c r="H760" s="79"/>
      <c r="I760" s="79"/>
      <c r="J760" s="79"/>
      <c r="K760" s="80">
        <v>1.5900000000000001E-2</v>
      </c>
      <c r="L760" s="80"/>
      <c r="M760" s="75" t="s">
        <v>143</v>
      </c>
      <c r="N760" s="75" t="b">
        <v>1</v>
      </c>
      <c r="O760" s="75" t="s">
        <v>144</v>
      </c>
      <c r="P760" s="75">
        <v>1994</v>
      </c>
      <c r="Q760" s="75">
        <v>2015</v>
      </c>
      <c r="R760" s="75">
        <v>1</v>
      </c>
      <c r="S760" s="81"/>
      <c r="T760" s="82"/>
      <c r="U760" s="83"/>
    </row>
    <row r="761" spans="1:21" s="84" customFormat="1" x14ac:dyDescent="0.3">
      <c r="A761" s="68">
        <v>40169</v>
      </c>
      <c r="B761" s="69">
        <f t="shared" si="12"/>
        <v>20091222</v>
      </c>
      <c r="C761" s="70">
        <v>4.1200000000000001E-2</v>
      </c>
      <c r="D761" s="77">
        <v>1E-3</v>
      </c>
      <c r="E761" s="77"/>
      <c r="F761" s="77">
        <v>5.0000000000000001E-3</v>
      </c>
      <c r="G761" s="78">
        <v>15000000</v>
      </c>
      <c r="H761" s="79"/>
      <c r="I761" s="79"/>
      <c r="J761" s="79"/>
      <c r="K761" s="80">
        <v>1.5900000000000001E-2</v>
      </c>
      <c r="L761" s="80"/>
      <c r="M761" s="75" t="s">
        <v>143</v>
      </c>
      <c r="N761" s="75" t="b">
        <v>1</v>
      </c>
      <c r="O761" s="75" t="s">
        <v>144</v>
      </c>
      <c r="P761" s="75">
        <v>1994</v>
      </c>
      <c r="Q761" s="75">
        <v>2015</v>
      </c>
      <c r="R761" s="75">
        <v>1</v>
      </c>
      <c r="S761" s="81"/>
      <c r="T761" s="82"/>
      <c r="U761" s="83"/>
    </row>
    <row r="762" spans="1:21" s="84" customFormat="1" x14ac:dyDescent="0.3">
      <c r="A762" s="68">
        <v>40170</v>
      </c>
      <c r="B762" s="69">
        <f t="shared" si="12"/>
        <v>20091223</v>
      </c>
      <c r="C762" s="70">
        <v>4.07E-2</v>
      </c>
      <c r="D762" s="77">
        <v>1E-3</v>
      </c>
      <c r="E762" s="77"/>
      <c r="F762" s="77">
        <v>5.0000000000000001E-3</v>
      </c>
      <c r="G762" s="78">
        <v>15000000</v>
      </c>
      <c r="H762" s="79"/>
      <c r="I762" s="79"/>
      <c r="J762" s="79"/>
      <c r="K762" s="80">
        <v>1.54E-2</v>
      </c>
      <c r="L762" s="80"/>
      <c r="M762" s="75" t="s">
        <v>143</v>
      </c>
      <c r="N762" s="75" t="b">
        <v>1</v>
      </c>
      <c r="O762" s="75" t="s">
        <v>144</v>
      </c>
      <c r="P762" s="75">
        <v>1994</v>
      </c>
      <c r="Q762" s="75">
        <v>2015</v>
      </c>
      <c r="R762" s="75">
        <v>1</v>
      </c>
      <c r="S762" s="81"/>
      <c r="T762" s="82"/>
      <c r="U762" s="83"/>
    </row>
    <row r="763" spans="1:21" s="84" customFormat="1" x14ac:dyDescent="0.3">
      <c r="A763" s="68">
        <v>40171</v>
      </c>
      <c r="B763" s="69">
        <f t="shared" si="12"/>
        <v>20091224</v>
      </c>
      <c r="C763" s="70">
        <v>4.0899999999999999E-2</v>
      </c>
      <c r="D763" s="77">
        <v>1E-3</v>
      </c>
      <c r="E763" s="77"/>
      <c r="F763" s="77">
        <v>5.0000000000000001E-3</v>
      </c>
      <c r="G763" s="78">
        <v>15000000</v>
      </c>
      <c r="H763" s="79"/>
      <c r="I763" s="79"/>
      <c r="J763" s="79"/>
      <c r="K763" s="80">
        <v>1.5600000000000001E-2</v>
      </c>
      <c r="L763" s="80"/>
      <c r="M763" s="75" t="s">
        <v>143</v>
      </c>
      <c r="N763" s="75" t="b">
        <v>1</v>
      </c>
      <c r="O763" s="75" t="s">
        <v>144</v>
      </c>
      <c r="P763" s="75">
        <v>1994</v>
      </c>
      <c r="Q763" s="75">
        <v>2015</v>
      </c>
      <c r="R763" s="75">
        <v>1</v>
      </c>
      <c r="S763" s="81"/>
      <c r="T763" s="82"/>
      <c r="U763" s="83"/>
    </row>
    <row r="764" spans="1:21" s="84" customFormat="1" x14ac:dyDescent="0.3">
      <c r="A764" s="68">
        <v>40176</v>
      </c>
      <c r="B764" s="69">
        <f t="shared" si="12"/>
        <v>20091229</v>
      </c>
      <c r="C764" s="70">
        <v>4.0999999999999995E-2</v>
      </c>
      <c r="D764" s="77">
        <v>1E-3</v>
      </c>
      <c r="E764" s="77"/>
      <c r="F764" s="77">
        <v>5.0000000000000001E-3</v>
      </c>
      <c r="G764" s="78">
        <v>15000000</v>
      </c>
      <c r="H764" s="79"/>
      <c r="I764" s="79"/>
      <c r="J764" s="79"/>
      <c r="K764" s="80">
        <v>1.5600000000000001E-2</v>
      </c>
      <c r="L764" s="80"/>
      <c r="M764" s="75" t="s">
        <v>143</v>
      </c>
      <c r="N764" s="75" t="b">
        <v>1</v>
      </c>
      <c r="O764" s="75" t="s">
        <v>144</v>
      </c>
      <c r="P764" s="75">
        <v>1994</v>
      </c>
      <c r="Q764" s="75">
        <v>2015</v>
      </c>
      <c r="R764" s="75">
        <v>1</v>
      </c>
      <c r="S764" s="81"/>
      <c r="T764" s="82"/>
      <c r="U764" s="83"/>
    </row>
    <row r="765" spans="1:21" s="84" customFormat="1" x14ac:dyDescent="0.3">
      <c r="A765" s="68">
        <v>40177</v>
      </c>
      <c r="B765" s="69">
        <f t="shared" si="12"/>
        <v>20091230</v>
      </c>
      <c r="C765" s="70">
        <v>4.0800000000000003E-2</v>
      </c>
      <c r="D765" s="77">
        <v>1E-3</v>
      </c>
      <c r="E765" s="77"/>
      <c r="F765" s="77">
        <v>5.0000000000000001E-3</v>
      </c>
      <c r="G765" s="78">
        <v>15000000</v>
      </c>
      <c r="H765" s="79"/>
      <c r="I765" s="79"/>
      <c r="J765" s="79"/>
      <c r="K765" s="80">
        <v>1.52E-2</v>
      </c>
      <c r="L765" s="80"/>
      <c r="M765" s="75" t="s">
        <v>143</v>
      </c>
      <c r="N765" s="75" t="b">
        <v>1</v>
      </c>
      <c r="O765" s="75" t="s">
        <v>144</v>
      </c>
      <c r="P765" s="75">
        <v>1994</v>
      </c>
      <c r="Q765" s="75">
        <v>2015</v>
      </c>
      <c r="R765" s="75">
        <v>1</v>
      </c>
      <c r="S765" s="81"/>
      <c r="T765" s="82"/>
      <c r="U765" s="83"/>
    </row>
    <row r="766" spans="1:21" s="99" customFormat="1" x14ac:dyDescent="0.3">
      <c r="A766" s="85">
        <v>40178</v>
      </c>
      <c r="B766" s="86">
        <f t="shared" si="12"/>
        <v>20091231</v>
      </c>
      <c r="C766" s="87">
        <v>4.0899999999999999E-2</v>
      </c>
      <c r="D766" s="89">
        <v>4.0000000000000001E-3</v>
      </c>
      <c r="E766" s="89">
        <v>4.0000000000000001E-3</v>
      </c>
      <c r="F766" s="89">
        <v>4.0000000000000001E-3</v>
      </c>
      <c r="G766" s="97">
        <v>0</v>
      </c>
      <c r="H766" s="91"/>
      <c r="I766" s="91"/>
      <c r="J766" s="91"/>
      <c r="K766" s="92">
        <v>1.5300000000000001E-2</v>
      </c>
      <c r="L766" s="92">
        <v>0</v>
      </c>
      <c r="M766" s="98" t="s">
        <v>143</v>
      </c>
      <c r="N766" s="98" t="b">
        <v>1</v>
      </c>
      <c r="O766" s="98" t="s">
        <v>144</v>
      </c>
      <c r="P766" s="98">
        <v>1994</v>
      </c>
      <c r="Q766" s="98">
        <v>2020</v>
      </c>
      <c r="R766" s="98">
        <v>1</v>
      </c>
      <c r="S766" s="93">
        <v>210020</v>
      </c>
      <c r="T766" s="94">
        <v>40281</v>
      </c>
      <c r="U766" s="95" t="s">
        <v>176</v>
      </c>
    </row>
    <row r="767" spans="1:21" s="84" customFormat="1" x14ac:dyDescent="0.3">
      <c r="A767" s="68">
        <v>40179</v>
      </c>
      <c r="B767" s="69">
        <f>YEAR(A767)*10000+MONTH(A767)*100+DAY(A767)</f>
        <v>20100101</v>
      </c>
      <c r="C767" s="70">
        <v>4.0899999999999999E-2</v>
      </c>
      <c r="D767" s="77">
        <v>4.0000000000000001E-3</v>
      </c>
      <c r="E767" s="77">
        <v>4.0000000000000001E-3</v>
      </c>
      <c r="F767" s="77">
        <v>4.0000000000000001E-3</v>
      </c>
      <c r="G767" s="78">
        <v>0</v>
      </c>
      <c r="H767" s="79"/>
      <c r="I767" s="79"/>
      <c r="J767" s="79"/>
      <c r="K767" s="80">
        <v>1.5300000000000001E-2</v>
      </c>
      <c r="L767" s="80">
        <v>0</v>
      </c>
      <c r="M767" s="75" t="s">
        <v>143</v>
      </c>
      <c r="N767" s="75" t="b">
        <v>1</v>
      </c>
      <c r="O767" s="75" t="s">
        <v>144</v>
      </c>
      <c r="P767" s="75">
        <v>1994</v>
      </c>
      <c r="Q767" s="75">
        <v>2020</v>
      </c>
      <c r="R767" s="75">
        <v>1</v>
      </c>
      <c r="S767" s="100">
        <v>210020</v>
      </c>
      <c r="T767" s="101">
        <v>40281</v>
      </c>
      <c r="U767" s="83"/>
    </row>
    <row r="768" spans="1:21" s="84" customFormat="1" x14ac:dyDescent="0.3">
      <c r="A768" s="68">
        <v>40180</v>
      </c>
      <c r="B768" s="69">
        <f>YEAR(A768)*10000+MONTH(A768)*100+DAY(A768)</f>
        <v>20100102</v>
      </c>
      <c r="C768" s="70">
        <v>4.0899999999999999E-2</v>
      </c>
      <c r="D768" s="77">
        <v>4.0000000000000001E-3</v>
      </c>
      <c r="E768" s="77">
        <v>4.0000000000000001E-3</v>
      </c>
      <c r="F768" s="77">
        <v>4.0000000000000001E-3</v>
      </c>
      <c r="G768" s="78">
        <v>0</v>
      </c>
      <c r="H768" s="79"/>
      <c r="I768" s="79"/>
      <c r="J768" s="79"/>
      <c r="K768" s="80">
        <v>1.5300000000000001E-2</v>
      </c>
      <c r="L768" s="80">
        <v>0</v>
      </c>
      <c r="M768" s="75" t="s">
        <v>143</v>
      </c>
      <c r="N768" s="75" t="b">
        <v>1</v>
      </c>
      <c r="O768" s="75" t="s">
        <v>144</v>
      </c>
      <c r="P768" s="75">
        <v>1994</v>
      </c>
      <c r="Q768" s="75">
        <v>2020</v>
      </c>
      <c r="R768" s="75">
        <v>1</v>
      </c>
      <c r="S768" s="100">
        <v>210020</v>
      </c>
      <c r="T768" s="101">
        <v>40281</v>
      </c>
      <c r="U768" s="83"/>
    </row>
    <row r="769" spans="1:21" s="84" customFormat="1" x14ac:dyDescent="0.3">
      <c r="A769" s="68">
        <v>40181</v>
      </c>
      <c r="B769" s="69">
        <f>YEAR(A769)*10000+MONTH(A769)*100+DAY(A769)</f>
        <v>20100103</v>
      </c>
      <c r="C769" s="70">
        <v>4.0899999999999999E-2</v>
      </c>
      <c r="D769" s="77">
        <v>4.0000000000000001E-3</v>
      </c>
      <c r="E769" s="77">
        <v>4.0000000000000001E-3</v>
      </c>
      <c r="F769" s="77">
        <v>4.0000000000000001E-3</v>
      </c>
      <c r="G769" s="78">
        <v>0</v>
      </c>
      <c r="H769" s="79"/>
      <c r="I769" s="79"/>
      <c r="J769" s="79"/>
      <c r="K769" s="80">
        <v>1.5300000000000001E-2</v>
      </c>
      <c r="L769" s="80">
        <v>0</v>
      </c>
      <c r="M769" s="75" t="s">
        <v>143</v>
      </c>
      <c r="N769" s="75" t="b">
        <v>1</v>
      </c>
      <c r="O769" s="75" t="s">
        <v>144</v>
      </c>
      <c r="P769" s="75">
        <v>1994</v>
      </c>
      <c r="Q769" s="75">
        <v>2020</v>
      </c>
      <c r="R769" s="75">
        <v>1</v>
      </c>
      <c r="S769" s="100">
        <v>210020</v>
      </c>
      <c r="T769" s="101">
        <v>40281</v>
      </c>
      <c r="U769" s="83"/>
    </row>
    <row r="770" spans="1:21" s="84" customFormat="1" x14ac:dyDescent="0.3">
      <c r="A770" s="68">
        <v>40182</v>
      </c>
      <c r="B770" s="69">
        <f t="shared" si="12"/>
        <v>20100104</v>
      </c>
      <c r="C770" s="70">
        <v>4.0999999999999995E-2</v>
      </c>
      <c r="D770" s="77">
        <v>4.0000000000000001E-3</v>
      </c>
      <c r="E770" s="77">
        <v>4.0000000000000001E-3</v>
      </c>
      <c r="F770" s="77">
        <v>4.0000000000000001E-3</v>
      </c>
      <c r="G770" s="78">
        <v>0</v>
      </c>
      <c r="H770" s="79"/>
      <c r="I770" s="79"/>
      <c r="J770" s="79"/>
      <c r="K770" s="80">
        <v>1.54E-2</v>
      </c>
      <c r="L770" s="80">
        <v>0</v>
      </c>
      <c r="M770" s="75" t="s">
        <v>143</v>
      </c>
      <c r="N770" s="75" t="b">
        <v>1</v>
      </c>
      <c r="O770" s="75" t="s">
        <v>144</v>
      </c>
      <c r="P770" s="75">
        <v>1994</v>
      </c>
      <c r="Q770" s="75">
        <v>2020</v>
      </c>
      <c r="R770" s="75">
        <v>1</v>
      </c>
      <c r="S770" s="100">
        <v>210020</v>
      </c>
      <c r="T770" s="101">
        <v>40281</v>
      </c>
      <c r="U770" s="83"/>
    </row>
    <row r="771" spans="1:21" s="84" customFormat="1" x14ac:dyDescent="0.3">
      <c r="A771" s="68">
        <v>40183</v>
      </c>
      <c r="B771" s="69">
        <f t="shared" si="12"/>
        <v>20100105</v>
      </c>
      <c r="C771" s="70">
        <v>4.0800000000000003E-2</v>
      </c>
      <c r="D771" s="77">
        <v>4.0000000000000001E-3</v>
      </c>
      <c r="E771" s="77">
        <v>4.0000000000000001E-3</v>
      </c>
      <c r="F771" s="77">
        <v>4.0000000000000001E-3</v>
      </c>
      <c r="G771" s="78">
        <v>0</v>
      </c>
      <c r="H771" s="79"/>
      <c r="I771" s="79"/>
      <c r="J771" s="79"/>
      <c r="K771" s="80">
        <v>1.5300000000000001E-2</v>
      </c>
      <c r="L771" s="80">
        <v>0</v>
      </c>
      <c r="M771" s="75" t="s">
        <v>143</v>
      </c>
      <c r="N771" s="75" t="b">
        <v>1</v>
      </c>
      <c r="O771" s="75" t="s">
        <v>144</v>
      </c>
      <c r="P771" s="75">
        <v>1994</v>
      </c>
      <c r="Q771" s="75">
        <v>2020</v>
      </c>
      <c r="R771" s="75">
        <v>1</v>
      </c>
      <c r="S771" s="100">
        <v>210020</v>
      </c>
      <c r="T771" s="101">
        <v>40281</v>
      </c>
      <c r="U771" s="83"/>
    </row>
    <row r="772" spans="1:21" s="84" customFormat="1" x14ac:dyDescent="0.3">
      <c r="A772" s="68">
        <v>40184</v>
      </c>
      <c r="B772" s="69">
        <f t="shared" si="12"/>
        <v>20100106</v>
      </c>
      <c r="C772" s="70">
        <v>4.1299999999999996E-2</v>
      </c>
      <c r="D772" s="77">
        <v>4.0000000000000001E-3</v>
      </c>
      <c r="E772" s="77">
        <v>4.0000000000000001E-3</v>
      </c>
      <c r="F772" s="77">
        <v>4.0000000000000001E-3</v>
      </c>
      <c r="G772" s="78">
        <v>0</v>
      </c>
      <c r="H772" s="79"/>
      <c r="I772" s="79"/>
      <c r="J772" s="79"/>
      <c r="K772" s="80">
        <v>1.5900000000000001E-2</v>
      </c>
      <c r="L772" s="80">
        <v>0</v>
      </c>
      <c r="M772" s="75" t="s">
        <v>143</v>
      </c>
      <c r="N772" s="75" t="b">
        <v>1</v>
      </c>
      <c r="O772" s="75" t="s">
        <v>144</v>
      </c>
      <c r="P772" s="75">
        <v>1994</v>
      </c>
      <c r="Q772" s="75">
        <v>2020</v>
      </c>
      <c r="R772" s="75">
        <v>1</v>
      </c>
      <c r="S772" s="100">
        <v>210020</v>
      </c>
      <c r="T772" s="101">
        <v>40281</v>
      </c>
      <c r="U772" s="83"/>
    </row>
    <row r="773" spans="1:21" s="84" customFormat="1" x14ac:dyDescent="0.3">
      <c r="A773" s="68">
        <v>40185</v>
      </c>
      <c r="B773" s="69">
        <f t="shared" si="12"/>
        <v>20100107</v>
      </c>
      <c r="C773" s="70">
        <v>4.1399999999999999E-2</v>
      </c>
      <c r="D773" s="77">
        <v>4.0000000000000001E-3</v>
      </c>
      <c r="E773" s="77">
        <v>4.0000000000000001E-3</v>
      </c>
      <c r="F773" s="77">
        <v>4.0000000000000001E-3</v>
      </c>
      <c r="G773" s="78">
        <v>0</v>
      </c>
      <c r="H773" s="79"/>
      <c r="I773" s="79"/>
      <c r="J773" s="79"/>
      <c r="K773" s="80">
        <v>1.5700000000000002E-2</v>
      </c>
      <c r="L773" s="80">
        <v>0</v>
      </c>
      <c r="M773" s="75" t="s">
        <v>143</v>
      </c>
      <c r="N773" s="75" t="b">
        <v>1</v>
      </c>
      <c r="O773" s="75" t="s">
        <v>144</v>
      </c>
      <c r="P773" s="75">
        <v>1994</v>
      </c>
      <c r="Q773" s="75">
        <v>2020</v>
      </c>
      <c r="R773" s="75">
        <v>1</v>
      </c>
      <c r="S773" s="100">
        <v>210020</v>
      </c>
      <c r="T773" s="101">
        <v>40281</v>
      </c>
      <c r="U773" s="83"/>
    </row>
    <row r="774" spans="1:21" s="84" customFormat="1" x14ac:dyDescent="0.3">
      <c r="A774" s="68">
        <v>40186</v>
      </c>
      <c r="B774" s="69">
        <f t="shared" si="12"/>
        <v>20100108</v>
      </c>
      <c r="C774" s="70">
        <v>4.1100000000000005E-2</v>
      </c>
      <c r="D774" s="77">
        <v>4.0000000000000001E-3</v>
      </c>
      <c r="E774" s="77">
        <v>4.0000000000000001E-3</v>
      </c>
      <c r="F774" s="77">
        <v>4.0000000000000001E-3</v>
      </c>
      <c r="G774" s="78">
        <v>0</v>
      </c>
      <c r="H774" s="79"/>
      <c r="I774" s="79"/>
      <c r="J774" s="79"/>
      <c r="K774" s="80">
        <v>1.55E-2</v>
      </c>
      <c r="L774" s="80">
        <v>0</v>
      </c>
      <c r="M774" s="75" t="s">
        <v>143</v>
      </c>
      <c r="N774" s="75" t="b">
        <v>1</v>
      </c>
      <c r="O774" s="75" t="s">
        <v>144</v>
      </c>
      <c r="P774" s="75">
        <v>1994</v>
      </c>
      <c r="Q774" s="75">
        <v>2020</v>
      </c>
      <c r="R774" s="75">
        <v>1</v>
      </c>
      <c r="S774" s="100">
        <v>210020</v>
      </c>
      <c r="T774" s="101">
        <v>40281</v>
      </c>
      <c r="U774" s="83"/>
    </row>
    <row r="775" spans="1:21" s="84" customFormat="1" x14ac:dyDescent="0.3">
      <c r="A775" s="68">
        <v>40189</v>
      </c>
      <c r="B775" s="69">
        <f t="shared" si="12"/>
        <v>20100111</v>
      </c>
      <c r="C775" s="70">
        <v>4.1299999999999996E-2</v>
      </c>
      <c r="D775" s="77">
        <v>4.0000000000000001E-3</v>
      </c>
      <c r="E775" s="77">
        <v>4.0000000000000001E-3</v>
      </c>
      <c r="F775" s="77">
        <v>4.0000000000000001E-3</v>
      </c>
      <c r="G775" s="78">
        <v>0</v>
      </c>
      <c r="H775" s="79"/>
      <c r="I775" s="79"/>
      <c r="J775" s="79"/>
      <c r="K775" s="80">
        <v>1.5700000000000002E-2</v>
      </c>
      <c r="L775" s="80">
        <v>0</v>
      </c>
      <c r="M775" s="75" t="s">
        <v>143</v>
      </c>
      <c r="N775" s="75" t="b">
        <v>1</v>
      </c>
      <c r="O775" s="75" t="s">
        <v>144</v>
      </c>
      <c r="P775" s="75">
        <v>1994</v>
      </c>
      <c r="Q775" s="75">
        <v>2020</v>
      </c>
      <c r="R775" s="75">
        <v>1</v>
      </c>
      <c r="S775" s="100">
        <v>210020</v>
      </c>
      <c r="T775" s="101">
        <v>40281</v>
      </c>
      <c r="U775" s="83"/>
    </row>
    <row r="776" spans="1:21" s="84" customFormat="1" x14ac:dyDescent="0.3">
      <c r="A776" s="68">
        <v>40190</v>
      </c>
      <c r="B776" s="69">
        <f t="shared" si="12"/>
        <v>20100112</v>
      </c>
      <c r="C776" s="70">
        <v>4.0800000000000003E-2</v>
      </c>
      <c r="D776" s="77">
        <v>4.0000000000000001E-3</v>
      </c>
      <c r="E776" s="77">
        <v>4.0000000000000001E-3</v>
      </c>
      <c r="F776" s="77">
        <v>4.0000000000000001E-3</v>
      </c>
      <c r="G776" s="78">
        <v>0</v>
      </c>
      <c r="H776" s="79"/>
      <c r="I776" s="79"/>
      <c r="J776" s="79"/>
      <c r="K776" s="80">
        <v>1.54E-2</v>
      </c>
      <c r="L776" s="80">
        <v>0</v>
      </c>
      <c r="M776" s="75" t="s">
        <v>143</v>
      </c>
      <c r="N776" s="75" t="b">
        <v>1</v>
      </c>
      <c r="O776" s="75" t="s">
        <v>144</v>
      </c>
      <c r="P776" s="75">
        <v>1994</v>
      </c>
      <c r="Q776" s="75">
        <v>2020</v>
      </c>
      <c r="R776" s="75">
        <v>1</v>
      </c>
      <c r="S776" s="100">
        <v>210020</v>
      </c>
      <c r="T776" s="101">
        <v>40281</v>
      </c>
      <c r="U776" s="83"/>
    </row>
    <row r="777" spans="1:21" s="84" customFormat="1" x14ac:dyDescent="0.3">
      <c r="A777" s="68">
        <v>40191</v>
      </c>
      <c r="B777" s="69">
        <f t="shared" si="12"/>
        <v>20100113</v>
      </c>
      <c r="C777" s="70">
        <v>4.1299999999999996E-2</v>
      </c>
      <c r="D777" s="77">
        <v>4.0000000000000001E-3</v>
      </c>
      <c r="E777" s="77">
        <v>4.0000000000000001E-3</v>
      </c>
      <c r="F777" s="77">
        <v>4.0000000000000001E-3</v>
      </c>
      <c r="G777" s="78">
        <v>0</v>
      </c>
      <c r="H777" s="79"/>
      <c r="I777" s="79"/>
      <c r="J777" s="79"/>
      <c r="K777" s="80">
        <v>1.5900000000000001E-2</v>
      </c>
      <c r="L777" s="80">
        <v>0</v>
      </c>
      <c r="M777" s="75" t="s">
        <v>143</v>
      </c>
      <c r="N777" s="75" t="b">
        <v>1</v>
      </c>
      <c r="O777" s="75" t="s">
        <v>144</v>
      </c>
      <c r="P777" s="75">
        <v>1994</v>
      </c>
      <c r="Q777" s="75">
        <v>2020</v>
      </c>
      <c r="R777" s="75">
        <v>1</v>
      </c>
      <c r="S777" s="100">
        <v>210020</v>
      </c>
      <c r="T777" s="101">
        <v>40281</v>
      </c>
      <c r="U777" s="83"/>
    </row>
    <row r="778" spans="1:21" s="84" customFormat="1" x14ac:dyDescent="0.3">
      <c r="A778" s="68">
        <v>40192</v>
      </c>
      <c r="B778" s="69">
        <f t="shared" si="12"/>
        <v>20100114</v>
      </c>
      <c r="C778" s="70">
        <v>4.0800000000000003E-2</v>
      </c>
      <c r="D778" s="77">
        <v>4.0000000000000001E-3</v>
      </c>
      <c r="E778" s="77">
        <v>4.0000000000000001E-3</v>
      </c>
      <c r="F778" s="77">
        <v>4.0000000000000001E-3</v>
      </c>
      <c r="G778" s="78">
        <v>0</v>
      </c>
      <c r="H778" s="79"/>
      <c r="I778" s="79"/>
      <c r="J778" s="79"/>
      <c r="K778" s="80">
        <v>1.5800000000000002E-2</v>
      </c>
      <c r="L778" s="80">
        <v>0</v>
      </c>
      <c r="M778" s="75" t="s">
        <v>143</v>
      </c>
      <c r="N778" s="75" t="b">
        <v>1</v>
      </c>
      <c r="O778" s="75" t="s">
        <v>144</v>
      </c>
      <c r="P778" s="75">
        <v>1994</v>
      </c>
      <c r="Q778" s="75">
        <v>2020</v>
      </c>
      <c r="R778" s="75">
        <v>1</v>
      </c>
      <c r="S778" s="100">
        <v>210020</v>
      </c>
      <c r="T778" s="101">
        <v>40281</v>
      </c>
      <c r="U778" s="83"/>
    </row>
    <row r="779" spans="1:21" s="84" customFormat="1" x14ac:dyDescent="0.3">
      <c r="A779" s="68">
        <v>40193</v>
      </c>
      <c r="B779" s="69">
        <f t="shared" si="12"/>
        <v>20100115</v>
      </c>
      <c r="C779" s="70">
        <v>4.0399999999999998E-2</v>
      </c>
      <c r="D779" s="77">
        <v>4.0000000000000001E-3</v>
      </c>
      <c r="E779" s="77">
        <v>4.0000000000000001E-3</v>
      </c>
      <c r="F779" s="77">
        <v>4.0000000000000001E-3</v>
      </c>
      <c r="G779" s="78">
        <v>0</v>
      </c>
      <c r="H779" s="79"/>
      <c r="I779" s="79"/>
      <c r="J779" s="79"/>
      <c r="K779" s="80">
        <v>1.5600000000000001E-2</v>
      </c>
      <c r="L779" s="80">
        <v>0</v>
      </c>
      <c r="M779" s="75" t="s">
        <v>143</v>
      </c>
      <c r="N779" s="75" t="b">
        <v>1</v>
      </c>
      <c r="O779" s="75" t="s">
        <v>144</v>
      </c>
      <c r="P779" s="75">
        <v>1994</v>
      </c>
      <c r="Q779" s="75">
        <v>2020</v>
      </c>
      <c r="R779" s="75">
        <v>1</v>
      </c>
      <c r="S779" s="100">
        <v>210020</v>
      </c>
      <c r="T779" s="101">
        <v>40281</v>
      </c>
      <c r="U779" s="83"/>
    </row>
    <row r="780" spans="1:21" s="84" customFormat="1" x14ac:dyDescent="0.3">
      <c r="A780" s="68">
        <v>40196</v>
      </c>
      <c r="B780" s="69">
        <f t="shared" si="12"/>
        <v>20100118</v>
      </c>
      <c r="C780" s="70">
        <v>4.0199999999999993E-2</v>
      </c>
      <c r="D780" s="77">
        <v>4.0000000000000001E-3</v>
      </c>
      <c r="E780" s="77">
        <v>4.0000000000000001E-3</v>
      </c>
      <c r="F780" s="77">
        <v>4.0000000000000001E-3</v>
      </c>
      <c r="G780" s="78">
        <v>0</v>
      </c>
      <c r="H780" s="79"/>
      <c r="I780" s="79"/>
      <c r="J780" s="79"/>
      <c r="K780" s="80">
        <v>1.54E-2</v>
      </c>
      <c r="L780" s="80">
        <v>0</v>
      </c>
      <c r="M780" s="75" t="s">
        <v>143</v>
      </c>
      <c r="N780" s="75" t="b">
        <v>1</v>
      </c>
      <c r="O780" s="75" t="s">
        <v>144</v>
      </c>
      <c r="P780" s="75">
        <v>1994</v>
      </c>
      <c r="Q780" s="75">
        <v>2020</v>
      </c>
      <c r="R780" s="75">
        <v>1</v>
      </c>
      <c r="S780" s="100">
        <v>210020</v>
      </c>
      <c r="T780" s="101">
        <v>40281</v>
      </c>
      <c r="U780" s="83"/>
    </row>
    <row r="781" spans="1:21" s="84" customFormat="1" x14ac:dyDescent="0.3">
      <c r="A781" s="68">
        <v>40197</v>
      </c>
      <c r="B781" s="69">
        <f t="shared" ref="B781:B841" si="13">YEAR(A781)*10000+MONTH(A781)*100+DAY(A781)</f>
        <v>20100119</v>
      </c>
      <c r="C781" s="70">
        <v>4.0300000000000002E-2</v>
      </c>
      <c r="D781" s="77">
        <v>4.0000000000000001E-3</v>
      </c>
      <c r="E781" s="77">
        <v>4.0000000000000001E-3</v>
      </c>
      <c r="F781" s="77">
        <v>4.0000000000000001E-3</v>
      </c>
      <c r="G781" s="78">
        <v>0</v>
      </c>
      <c r="H781" s="79"/>
      <c r="I781" s="79"/>
      <c r="J781" s="79"/>
      <c r="K781" s="80">
        <v>1.55E-2</v>
      </c>
      <c r="L781" s="80">
        <v>0</v>
      </c>
      <c r="M781" s="75" t="s">
        <v>143</v>
      </c>
      <c r="N781" s="75" t="b">
        <v>1</v>
      </c>
      <c r="O781" s="75" t="s">
        <v>144</v>
      </c>
      <c r="P781" s="75">
        <v>1994</v>
      </c>
      <c r="Q781" s="75">
        <v>2020</v>
      </c>
      <c r="R781" s="75">
        <v>1</v>
      </c>
      <c r="S781" s="100">
        <v>210020</v>
      </c>
      <c r="T781" s="101">
        <v>40281</v>
      </c>
      <c r="U781" s="83"/>
    </row>
    <row r="782" spans="1:21" s="84" customFormat="1" x14ac:dyDescent="0.3">
      <c r="A782" s="68">
        <v>40198</v>
      </c>
      <c r="B782" s="69">
        <f t="shared" si="13"/>
        <v>20100120</v>
      </c>
      <c r="C782" s="70">
        <v>3.9900000000000005E-2</v>
      </c>
      <c r="D782" s="77">
        <v>4.0000000000000001E-3</v>
      </c>
      <c r="E782" s="77">
        <v>4.0000000000000001E-3</v>
      </c>
      <c r="F782" s="77">
        <v>4.0000000000000001E-3</v>
      </c>
      <c r="G782" s="78">
        <v>0</v>
      </c>
      <c r="H782" s="79"/>
      <c r="I782" s="79"/>
      <c r="J782" s="79"/>
      <c r="K782" s="80">
        <v>1.5700000000000002E-2</v>
      </c>
      <c r="L782" s="80">
        <v>0</v>
      </c>
      <c r="M782" s="75" t="s">
        <v>143</v>
      </c>
      <c r="N782" s="75" t="b">
        <v>1</v>
      </c>
      <c r="O782" s="75" t="s">
        <v>144</v>
      </c>
      <c r="P782" s="75">
        <v>1994</v>
      </c>
      <c r="Q782" s="75">
        <v>2020</v>
      </c>
      <c r="R782" s="75">
        <v>1</v>
      </c>
      <c r="S782" s="100">
        <v>210020</v>
      </c>
      <c r="T782" s="101">
        <v>40281</v>
      </c>
      <c r="U782" s="83"/>
    </row>
    <row r="783" spans="1:21" s="84" customFormat="1" x14ac:dyDescent="0.3">
      <c r="A783" s="68">
        <v>40199</v>
      </c>
      <c r="B783" s="69">
        <f t="shared" si="13"/>
        <v>20100121</v>
      </c>
      <c r="C783" s="70">
        <v>3.9699999999999999E-2</v>
      </c>
      <c r="D783" s="77">
        <v>4.0000000000000001E-3</v>
      </c>
      <c r="E783" s="77">
        <v>4.0000000000000001E-3</v>
      </c>
      <c r="F783" s="77">
        <v>4.0000000000000001E-3</v>
      </c>
      <c r="G783" s="78">
        <v>0</v>
      </c>
      <c r="H783" s="79"/>
      <c r="I783" s="79"/>
      <c r="J783" s="79"/>
      <c r="K783" s="80">
        <v>1.5600000000000001E-2</v>
      </c>
      <c r="L783" s="80">
        <v>0</v>
      </c>
      <c r="M783" s="75" t="s">
        <v>143</v>
      </c>
      <c r="N783" s="75" t="b">
        <v>1</v>
      </c>
      <c r="O783" s="75" t="s">
        <v>144</v>
      </c>
      <c r="P783" s="75">
        <v>1994</v>
      </c>
      <c r="Q783" s="75">
        <v>2020</v>
      </c>
      <c r="R783" s="75">
        <v>1</v>
      </c>
      <c r="S783" s="100">
        <v>210020</v>
      </c>
      <c r="T783" s="101">
        <v>40281</v>
      </c>
      <c r="U783" s="83"/>
    </row>
    <row r="784" spans="1:21" s="84" customFormat="1" x14ac:dyDescent="0.3">
      <c r="A784" s="68">
        <v>40200</v>
      </c>
      <c r="B784" s="69">
        <f t="shared" si="13"/>
        <v>20100122</v>
      </c>
      <c r="C784" s="70">
        <v>3.95E-2</v>
      </c>
      <c r="D784" s="77">
        <v>4.0000000000000001E-3</v>
      </c>
      <c r="E784" s="77">
        <v>4.0000000000000001E-3</v>
      </c>
      <c r="F784" s="77">
        <v>4.0000000000000001E-3</v>
      </c>
      <c r="G784" s="78">
        <v>0</v>
      </c>
      <c r="H784" s="79"/>
      <c r="I784" s="79"/>
      <c r="J784" s="79"/>
      <c r="K784" s="80">
        <v>1.5700000000000002E-2</v>
      </c>
      <c r="L784" s="80">
        <v>0</v>
      </c>
      <c r="M784" s="75" t="s">
        <v>143</v>
      </c>
      <c r="N784" s="75" t="b">
        <v>1</v>
      </c>
      <c r="O784" s="75" t="s">
        <v>144</v>
      </c>
      <c r="P784" s="75">
        <v>1994</v>
      </c>
      <c r="Q784" s="75">
        <v>2020</v>
      </c>
      <c r="R784" s="75">
        <v>1</v>
      </c>
      <c r="S784" s="100">
        <v>210020</v>
      </c>
      <c r="T784" s="101">
        <v>40281</v>
      </c>
      <c r="U784" s="83"/>
    </row>
    <row r="785" spans="1:21" s="84" customFormat="1" x14ac:dyDescent="0.3">
      <c r="A785" s="68">
        <v>40203</v>
      </c>
      <c r="B785" s="69">
        <f t="shared" si="13"/>
        <v>20100125</v>
      </c>
      <c r="C785" s="70">
        <v>3.9599999999999996E-2</v>
      </c>
      <c r="D785" s="77">
        <v>4.0000000000000001E-3</v>
      </c>
      <c r="E785" s="77">
        <v>4.0000000000000001E-3</v>
      </c>
      <c r="F785" s="77">
        <v>4.0000000000000001E-3</v>
      </c>
      <c r="G785" s="78">
        <v>0</v>
      </c>
      <c r="H785" s="79"/>
      <c r="I785" s="79"/>
      <c r="J785" s="79"/>
      <c r="K785" s="80">
        <v>1.5700000000000002E-2</v>
      </c>
      <c r="L785" s="80">
        <v>0</v>
      </c>
      <c r="M785" s="75" t="s">
        <v>143</v>
      </c>
      <c r="N785" s="75" t="b">
        <v>1</v>
      </c>
      <c r="O785" s="75" t="s">
        <v>144</v>
      </c>
      <c r="P785" s="75">
        <v>1994</v>
      </c>
      <c r="Q785" s="75">
        <v>2020</v>
      </c>
      <c r="R785" s="75">
        <v>1</v>
      </c>
      <c r="S785" s="100">
        <v>210020</v>
      </c>
      <c r="T785" s="101">
        <v>40281</v>
      </c>
      <c r="U785" s="83"/>
    </row>
    <row r="786" spans="1:21" s="84" customFormat="1" x14ac:dyDescent="0.3">
      <c r="A786" s="68">
        <v>40204</v>
      </c>
      <c r="B786" s="69">
        <f t="shared" si="13"/>
        <v>20100126</v>
      </c>
      <c r="C786" s="70">
        <v>3.9300000000000002E-2</v>
      </c>
      <c r="D786" s="77">
        <v>4.0000000000000001E-3</v>
      </c>
      <c r="E786" s="77">
        <v>4.0000000000000001E-3</v>
      </c>
      <c r="F786" s="77">
        <v>4.0000000000000001E-3</v>
      </c>
      <c r="G786" s="78">
        <v>0</v>
      </c>
      <c r="H786" s="79"/>
      <c r="I786" s="79"/>
      <c r="J786" s="79"/>
      <c r="K786" s="80">
        <v>1.55E-2</v>
      </c>
      <c r="L786" s="80">
        <v>0</v>
      </c>
      <c r="M786" s="75" t="s">
        <v>143</v>
      </c>
      <c r="N786" s="75" t="b">
        <v>1</v>
      </c>
      <c r="O786" s="75" t="s">
        <v>144</v>
      </c>
      <c r="P786" s="75">
        <v>1994</v>
      </c>
      <c r="Q786" s="75">
        <v>2020</v>
      </c>
      <c r="R786" s="75">
        <v>1</v>
      </c>
      <c r="S786" s="100">
        <v>210020</v>
      </c>
      <c r="T786" s="101">
        <v>40281</v>
      </c>
      <c r="U786" s="83"/>
    </row>
    <row r="787" spans="1:21" s="84" customFormat="1" x14ac:dyDescent="0.3">
      <c r="A787" s="68">
        <v>40205</v>
      </c>
      <c r="B787" s="69">
        <f t="shared" si="13"/>
        <v>20100127</v>
      </c>
      <c r="C787" s="70">
        <v>3.9199999999999999E-2</v>
      </c>
      <c r="D787" s="77">
        <v>4.0000000000000001E-3</v>
      </c>
      <c r="E787" s="77">
        <v>4.0000000000000001E-3</v>
      </c>
      <c r="F787" s="77">
        <v>4.0000000000000001E-3</v>
      </c>
      <c r="G787" s="78">
        <v>0</v>
      </c>
      <c r="H787" s="79"/>
      <c r="I787" s="79"/>
      <c r="J787" s="79"/>
      <c r="K787" s="80">
        <v>1.55E-2</v>
      </c>
      <c r="L787" s="80">
        <v>0</v>
      </c>
      <c r="M787" s="75" t="s">
        <v>143</v>
      </c>
      <c r="N787" s="75" t="b">
        <v>1</v>
      </c>
      <c r="O787" s="75" t="s">
        <v>144</v>
      </c>
      <c r="P787" s="75">
        <v>1994</v>
      </c>
      <c r="Q787" s="75">
        <v>2020</v>
      </c>
      <c r="R787" s="75">
        <v>1</v>
      </c>
      <c r="S787" s="100">
        <v>210020</v>
      </c>
      <c r="T787" s="101">
        <v>40281</v>
      </c>
      <c r="U787" s="83"/>
    </row>
    <row r="788" spans="1:21" s="84" customFormat="1" x14ac:dyDescent="0.3">
      <c r="A788" s="68">
        <v>40206</v>
      </c>
      <c r="B788" s="69">
        <f t="shared" si="13"/>
        <v>20100128</v>
      </c>
      <c r="C788" s="70">
        <v>3.9E-2</v>
      </c>
      <c r="D788" s="77">
        <v>4.0000000000000001E-3</v>
      </c>
      <c r="E788" s="77">
        <v>4.0000000000000001E-3</v>
      </c>
      <c r="F788" s="77">
        <v>4.0000000000000001E-3</v>
      </c>
      <c r="G788" s="78">
        <v>0</v>
      </c>
      <c r="H788" s="79"/>
      <c r="I788" s="79"/>
      <c r="J788" s="79"/>
      <c r="K788" s="80">
        <v>1.4999999999999999E-2</v>
      </c>
      <c r="L788" s="80">
        <v>0</v>
      </c>
      <c r="M788" s="75" t="s">
        <v>143</v>
      </c>
      <c r="N788" s="75" t="b">
        <v>1</v>
      </c>
      <c r="O788" s="75" t="s">
        <v>144</v>
      </c>
      <c r="P788" s="75">
        <v>1994</v>
      </c>
      <c r="Q788" s="75">
        <v>2020</v>
      </c>
      <c r="R788" s="75">
        <v>1</v>
      </c>
      <c r="S788" s="100">
        <v>210020</v>
      </c>
      <c r="T788" s="101">
        <v>40281</v>
      </c>
      <c r="U788" s="83"/>
    </row>
    <row r="789" spans="1:21" s="84" customFormat="1" x14ac:dyDescent="0.3">
      <c r="A789" s="68">
        <v>40207</v>
      </c>
      <c r="B789" s="69">
        <f t="shared" si="13"/>
        <v>20100129</v>
      </c>
      <c r="C789" s="102">
        <v>3.9E-2</v>
      </c>
      <c r="D789" s="77">
        <v>4.0000000000000001E-3</v>
      </c>
      <c r="E789" s="77">
        <v>4.0000000000000001E-3</v>
      </c>
      <c r="F789" s="77">
        <v>4.0000000000000001E-3</v>
      </c>
      <c r="G789" s="78">
        <v>0</v>
      </c>
      <c r="H789" s="79"/>
      <c r="I789" s="79"/>
      <c r="J789" s="79"/>
      <c r="K789" s="80">
        <v>1.49E-2</v>
      </c>
      <c r="L789" s="80">
        <v>0</v>
      </c>
      <c r="M789" s="75" t="s">
        <v>143</v>
      </c>
      <c r="N789" s="75" t="b">
        <v>1</v>
      </c>
      <c r="O789" s="75" t="s">
        <v>144</v>
      </c>
      <c r="P789" s="75">
        <v>1994</v>
      </c>
      <c r="Q789" s="75">
        <v>2020</v>
      </c>
      <c r="R789" s="75">
        <v>1</v>
      </c>
      <c r="S789" s="100">
        <v>210020</v>
      </c>
      <c r="T789" s="101">
        <v>40281</v>
      </c>
      <c r="U789" s="83"/>
    </row>
    <row r="790" spans="1:21" s="84" customFormat="1" x14ac:dyDescent="0.3">
      <c r="A790" s="68">
        <v>40208</v>
      </c>
      <c r="B790" s="69">
        <f>YEAR(A790)*10000+MONTH(A790)*100+DAY(A790)</f>
        <v>20100130</v>
      </c>
      <c r="C790" s="102">
        <v>3.9E-2</v>
      </c>
      <c r="D790" s="77">
        <v>4.0000000000000001E-3</v>
      </c>
      <c r="E790" s="77">
        <v>4.0000000000000001E-3</v>
      </c>
      <c r="F790" s="77">
        <v>4.0000000000000001E-3</v>
      </c>
      <c r="G790" s="78">
        <v>0</v>
      </c>
      <c r="H790" s="79"/>
      <c r="I790" s="79"/>
      <c r="J790" s="79"/>
      <c r="K790" s="80">
        <v>1.49E-2</v>
      </c>
      <c r="L790" s="80">
        <v>0</v>
      </c>
      <c r="M790" s="75" t="s">
        <v>143</v>
      </c>
      <c r="N790" s="75" t="b">
        <v>1</v>
      </c>
      <c r="O790" s="75" t="s">
        <v>144</v>
      </c>
      <c r="P790" s="75">
        <v>1994</v>
      </c>
      <c r="Q790" s="75">
        <v>2020</v>
      </c>
      <c r="R790" s="75">
        <v>1</v>
      </c>
      <c r="S790" s="100">
        <v>210020</v>
      </c>
      <c r="T790" s="101">
        <v>40281</v>
      </c>
      <c r="U790" s="83"/>
    </row>
    <row r="791" spans="1:21" s="84" customFormat="1" x14ac:dyDescent="0.3">
      <c r="A791" s="68">
        <v>40209</v>
      </c>
      <c r="B791" s="69">
        <f>YEAR(A791)*10000+MONTH(A791)*100+DAY(A791)</f>
        <v>20100131</v>
      </c>
      <c r="C791" s="102">
        <v>3.9E-2</v>
      </c>
      <c r="D791" s="77">
        <v>4.0000000000000001E-3</v>
      </c>
      <c r="E791" s="77">
        <v>4.0000000000000001E-3</v>
      </c>
      <c r="F791" s="77">
        <v>4.0000000000000001E-3</v>
      </c>
      <c r="G791" s="78">
        <v>0</v>
      </c>
      <c r="H791" s="79"/>
      <c r="I791" s="79"/>
      <c r="J791" s="79"/>
      <c r="K791" s="80">
        <v>1.49E-2</v>
      </c>
      <c r="L791" s="80">
        <v>0</v>
      </c>
      <c r="M791" s="75" t="s">
        <v>143</v>
      </c>
      <c r="N791" s="75" t="b">
        <v>1</v>
      </c>
      <c r="O791" s="75" t="s">
        <v>144</v>
      </c>
      <c r="P791" s="75">
        <v>1994</v>
      </c>
      <c r="Q791" s="75">
        <v>2020</v>
      </c>
      <c r="R791" s="75">
        <v>1</v>
      </c>
      <c r="S791" s="100">
        <v>210020</v>
      </c>
      <c r="T791" s="101">
        <v>40281</v>
      </c>
      <c r="U791" s="83"/>
    </row>
    <row r="792" spans="1:21" s="84" customFormat="1" x14ac:dyDescent="0.3">
      <c r="A792" s="68">
        <v>40210</v>
      </c>
      <c r="B792" s="69">
        <f t="shared" si="13"/>
        <v>20100201</v>
      </c>
      <c r="C792" s="70">
        <v>3.9399999999999998E-2</v>
      </c>
      <c r="D792" s="77">
        <v>4.0000000000000001E-3</v>
      </c>
      <c r="E792" s="77">
        <v>4.0000000000000001E-3</v>
      </c>
      <c r="F792" s="77">
        <v>4.0000000000000001E-3</v>
      </c>
      <c r="G792" s="78">
        <v>0</v>
      </c>
      <c r="H792" s="79"/>
      <c r="I792" s="79"/>
      <c r="J792" s="79"/>
      <c r="K792" s="80">
        <v>1.49E-2</v>
      </c>
      <c r="L792" s="80">
        <v>0</v>
      </c>
      <c r="M792" s="75" t="s">
        <v>143</v>
      </c>
      <c r="N792" s="75" t="b">
        <v>1</v>
      </c>
      <c r="O792" s="75" t="s">
        <v>144</v>
      </c>
      <c r="P792" s="75">
        <v>1994</v>
      </c>
      <c r="Q792" s="75">
        <v>2020</v>
      </c>
      <c r="R792" s="75">
        <v>1</v>
      </c>
      <c r="S792" s="100">
        <v>210020</v>
      </c>
      <c r="T792" s="101">
        <v>40281</v>
      </c>
      <c r="U792" s="83"/>
    </row>
    <row r="793" spans="1:21" s="84" customFormat="1" x14ac:dyDescent="0.3">
      <c r="A793" s="68">
        <v>40211</v>
      </c>
      <c r="B793" s="69">
        <f t="shared" si="13"/>
        <v>20100202</v>
      </c>
      <c r="C793" s="70">
        <v>3.95E-2</v>
      </c>
      <c r="D793" s="77">
        <v>4.0000000000000001E-3</v>
      </c>
      <c r="E793" s="77">
        <v>4.0000000000000001E-3</v>
      </c>
      <c r="F793" s="77">
        <v>4.0000000000000001E-3</v>
      </c>
      <c r="G793" s="78">
        <v>0</v>
      </c>
      <c r="H793" s="79"/>
      <c r="I793" s="79"/>
      <c r="J793" s="79"/>
      <c r="K793" s="80">
        <v>1.5300000000000001E-2</v>
      </c>
      <c r="L793" s="80">
        <v>0</v>
      </c>
      <c r="M793" s="75" t="s">
        <v>143</v>
      </c>
      <c r="N793" s="75" t="b">
        <v>1</v>
      </c>
      <c r="O793" s="75" t="s">
        <v>144</v>
      </c>
      <c r="P793" s="75">
        <v>1994</v>
      </c>
      <c r="Q793" s="75">
        <v>2020</v>
      </c>
      <c r="R793" s="75">
        <v>1</v>
      </c>
      <c r="S793" s="100">
        <v>210020</v>
      </c>
      <c r="T793" s="101">
        <v>40281</v>
      </c>
      <c r="U793" s="83"/>
    </row>
    <row r="794" spans="1:21" s="84" customFormat="1" x14ac:dyDescent="0.3">
      <c r="A794" s="68">
        <v>40212</v>
      </c>
      <c r="B794" s="69">
        <f t="shared" si="13"/>
        <v>20100203</v>
      </c>
      <c r="C794" s="70">
        <v>0.04</v>
      </c>
      <c r="D794" s="77">
        <v>4.0000000000000001E-3</v>
      </c>
      <c r="E794" s="77">
        <v>4.0000000000000001E-3</v>
      </c>
      <c r="F794" s="77">
        <v>4.0000000000000001E-3</v>
      </c>
      <c r="G794" s="78">
        <v>0</v>
      </c>
      <c r="H794" s="79"/>
      <c r="I794" s="79"/>
      <c r="J794" s="79"/>
      <c r="K794" s="80">
        <v>1.5600000000000001E-2</v>
      </c>
      <c r="L794" s="80">
        <v>0</v>
      </c>
      <c r="M794" s="75" t="s">
        <v>143</v>
      </c>
      <c r="N794" s="75" t="b">
        <v>1</v>
      </c>
      <c r="O794" s="75" t="s">
        <v>144</v>
      </c>
      <c r="P794" s="75">
        <v>1994</v>
      </c>
      <c r="Q794" s="75">
        <v>2020</v>
      </c>
      <c r="R794" s="75">
        <v>1</v>
      </c>
      <c r="S794" s="100">
        <v>210020</v>
      </c>
      <c r="T794" s="101">
        <v>40281</v>
      </c>
      <c r="U794" s="83"/>
    </row>
    <row r="795" spans="1:21" s="84" customFormat="1" x14ac:dyDescent="0.3">
      <c r="A795" s="68">
        <v>40213</v>
      </c>
      <c r="B795" s="69">
        <f t="shared" si="13"/>
        <v>20100204</v>
      </c>
      <c r="C795" s="70">
        <v>3.9399999999999998E-2</v>
      </c>
      <c r="D795" s="77">
        <v>4.0000000000000001E-3</v>
      </c>
      <c r="E795" s="77">
        <v>4.0000000000000001E-3</v>
      </c>
      <c r="F795" s="77">
        <v>4.0000000000000001E-3</v>
      </c>
      <c r="G795" s="78">
        <v>0</v>
      </c>
      <c r="H795" s="79"/>
      <c r="I795" s="79"/>
      <c r="J795" s="79"/>
      <c r="K795" s="80">
        <v>1.5300000000000001E-2</v>
      </c>
      <c r="L795" s="80">
        <v>0</v>
      </c>
      <c r="M795" s="75" t="s">
        <v>143</v>
      </c>
      <c r="N795" s="75" t="b">
        <v>1</v>
      </c>
      <c r="O795" s="75" t="s">
        <v>144</v>
      </c>
      <c r="P795" s="75">
        <v>1994</v>
      </c>
      <c r="Q795" s="75">
        <v>2020</v>
      </c>
      <c r="R795" s="75">
        <v>1</v>
      </c>
      <c r="S795" s="100">
        <v>210020</v>
      </c>
      <c r="T795" s="101">
        <v>40281</v>
      </c>
      <c r="U795" s="83"/>
    </row>
    <row r="796" spans="1:21" s="84" customFormat="1" x14ac:dyDescent="0.3">
      <c r="A796" s="68">
        <v>40214</v>
      </c>
      <c r="B796" s="69">
        <f t="shared" si="13"/>
        <v>20100205</v>
      </c>
      <c r="C796" s="70">
        <v>3.9399999999999998E-2</v>
      </c>
      <c r="D796" s="77">
        <v>4.0000000000000001E-3</v>
      </c>
      <c r="E796" s="77">
        <v>4.0000000000000001E-3</v>
      </c>
      <c r="F796" s="77">
        <v>4.0000000000000001E-3</v>
      </c>
      <c r="G796" s="78">
        <v>0</v>
      </c>
      <c r="H796" s="79"/>
      <c r="I796" s="79"/>
      <c r="J796" s="79"/>
      <c r="K796" s="80">
        <v>1.5600000000000001E-2</v>
      </c>
      <c r="L796" s="80">
        <v>0</v>
      </c>
      <c r="M796" s="75" t="s">
        <v>143</v>
      </c>
      <c r="N796" s="75" t="b">
        <v>1</v>
      </c>
      <c r="O796" s="75" t="s">
        <v>144</v>
      </c>
      <c r="P796" s="75">
        <v>1994</v>
      </c>
      <c r="Q796" s="75">
        <v>2020</v>
      </c>
      <c r="R796" s="75">
        <v>1</v>
      </c>
      <c r="S796" s="100">
        <v>210020</v>
      </c>
      <c r="T796" s="101">
        <v>40281</v>
      </c>
      <c r="U796" s="83"/>
    </row>
    <row r="797" spans="1:21" s="84" customFormat="1" x14ac:dyDescent="0.3">
      <c r="A797" s="68">
        <v>40217</v>
      </c>
      <c r="B797" s="69">
        <f t="shared" si="13"/>
        <v>20100208</v>
      </c>
      <c r="C797" s="70">
        <v>3.9100000000000003E-2</v>
      </c>
      <c r="D797" s="77">
        <v>4.0000000000000001E-3</v>
      </c>
      <c r="E797" s="77">
        <v>4.0000000000000001E-3</v>
      </c>
      <c r="F797" s="77">
        <v>4.0000000000000001E-3</v>
      </c>
      <c r="G797" s="78">
        <v>0</v>
      </c>
      <c r="H797" s="79"/>
      <c r="I797" s="79"/>
      <c r="J797" s="79"/>
      <c r="K797" s="80">
        <v>1.55E-2</v>
      </c>
      <c r="L797" s="80">
        <v>0</v>
      </c>
      <c r="M797" s="75" t="s">
        <v>143</v>
      </c>
      <c r="N797" s="75" t="b">
        <v>1</v>
      </c>
      <c r="O797" s="75" t="s">
        <v>144</v>
      </c>
      <c r="P797" s="75">
        <v>1994</v>
      </c>
      <c r="Q797" s="75">
        <v>2020</v>
      </c>
      <c r="R797" s="75">
        <v>1</v>
      </c>
      <c r="S797" s="100">
        <v>210020</v>
      </c>
      <c r="T797" s="101">
        <v>40281</v>
      </c>
      <c r="U797" s="83"/>
    </row>
    <row r="798" spans="1:21" s="84" customFormat="1" x14ac:dyDescent="0.3">
      <c r="A798" s="68">
        <v>40218</v>
      </c>
      <c r="B798" s="69">
        <f t="shared" si="13"/>
        <v>20100209</v>
      </c>
      <c r="C798" s="70">
        <v>3.9399999999999998E-2</v>
      </c>
      <c r="D798" s="77">
        <v>4.0000000000000001E-3</v>
      </c>
      <c r="E798" s="77">
        <v>4.0000000000000001E-3</v>
      </c>
      <c r="F798" s="77">
        <v>4.0000000000000001E-3</v>
      </c>
      <c r="G798" s="78">
        <v>0</v>
      </c>
      <c r="H798" s="79"/>
      <c r="I798" s="79"/>
      <c r="J798" s="79"/>
      <c r="K798" s="80">
        <v>1.5600000000000001E-2</v>
      </c>
      <c r="L798" s="80">
        <v>0</v>
      </c>
      <c r="M798" s="75" t="s">
        <v>143</v>
      </c>
      <c r="N798" s="75" t="b">
        <v>1</v>
      </c>
      <c r="O798" s="75" t="s">
        <v>144</v>
      </c>
      <c r="P798" s="75">
        <v>1994</v>
      </c>
      <c r="Q798" s="75">
        <v>2020</v>
      </c>
      <c r="R798" s="75">
        <v>1</v>
      </c>
      <c r="S798" s="100">
        <v>210020</v>
      </c>
      <c r="T798" s="101">
        <v>40281</v>
      </c>
      <c r="U798" s="83"/>
    </row>
    <row r="799" spans="1:21" s="84" customFormat="1" x14ac:dyDescent="0.3">
      <c r="A799" s="68">
        <v>40219</v>
      </c>
      <c r="B799" s="69">
        <f t="shared" si="13"/>
        <v>20100210</v>
      </c>
      <c r="C799" s="70">
        <v>3.9699999999999999E-2</v>
      </c>
      <c r="D799" s="77">
        <v>4.0000000000000001E-3</v>
      </c>
      <c r="E799" s="77">
        <v>4.0000000000000001E-3</v>
      </c>
      <c r="F799" s="77">
        <v>4.0000000000000001E-3</v>
      </c>
      <c r="G799" s="78">
        <v>0</v>
      </c>
      <c r="H799" s="79"/>
      <c r="I799" s="79"/>
      <c r="J799" s="79"/>
      <c r="K799" s="80">
        <v>1.5800000000000002E-2</v>
      </c>
      <c r="L799" s="80">
        <v>0</v>
      </c>
      <c r="M799" s="75" t="s">
        <v>143</v>
      </c>
      <c r="N799" s="75" t="b">
        <v>1</v>
      </c>
      <c r="O799" s="75" t="s">
        <v>144</v>
      </c>
      <c r="P799" s="75">
        <v>1994</v>
      </c>
      <c r="Q799" s="75">
        <v>2020</v>
      </c>
      <c r="R799" s="75">
        <v>1</v>
      </c>
      <c r="S799" s="100">
        <v>210020</v>
      </c>
      <c r="T799" s="101">
        <v>40281</v>
      </c>
      <c r="U799" s="83"/>
    </row>
    <row r="800" spans="1:21" s="84" customFormat="1" x14ac:dyDescent="0.3">
      <c r="A800" s="68">
        <v>40220</v>
      </c>
      <c r="B800" s="69">
        <f t="shared" si="13"/>
        <v>20100211</v>
      </c>
      <c r="C800" s="70">
        <v>3.9900000000000005E-2</v>
      </c>
      <c r="D800" s="77">
        <v>4.0000000000000001E-3</v>
      </c>
      <c r="E800" s="77">
        <v>4.0000000000000001E-3</v>
      </c>
      <c r="F800" s="77">
        <v>4.0000000000000001E-3</v>
      </c>
      <c r="G800" s="78">
        <v>0</v>
      </c>
      <c r="H800" s="79"/>
      <c r="I800" s="79"/>
      <c r="J800" s="79"/>
      <c r="K800" s="80">
        <v>1.6E-2</v>
      </c>
      <c r="L800" s="80">
        <v>0</v>
      </c>
      <c r="M800" s="75" t="s">
        <v>143</v>
      </c>
      <c r="N800" s="75" t="b">
        <v>1</v>
      </c>
      <c r="O800" s="75" t="s">
        <v>144</v>
      </c>
      <c r="P800" s="75">
        <v>1994</v>
      </c>
      <c r="Q800" s="75">
        <v>2020</v>
      </c>
      <c r="R800" s="75">
        <v>1</v>
      </c>
      <c r="S800" s="100">
        <v>210020</v>
      </c>
      <c r="T800" s="101">
        <v>40281</v>
      </c>
      <c r="U800" s="83"/>
    </row>
    <row r="801" spans="1:21" s="84" customFormat="1" x14ac:dyDescent="0.3">
      <c r="A801" s="68">
        <v>40221</v>
      </c>
      <c r="B801" s="69">
        <f t="shared" si="13"/>
        <v>20100212</v>
      </c>
      <c r="C801" s="70">
        <v>0.04</v>
      </c>
      <c r="D801" s="77">
        <v>4.0000000000000001E-3</v>
      </c>
      <c r="E801" s="77">
        <v>4.0000000000000001E-3</v>
      </c>
      <c r="F801" s="77">
        <v>4.0000000000000001E-3</v>
      </c>
      <c r="G801" s="78">
        <v>0</v>
      </c>
      <c r="H801" s="79"/>
      <c r="I801" s="79"/>
      <c r="J801" s="79"/>
      <c r="K801" s="80">
        <v>1.61E-2</v>
      </c>
      <c r="L801" s="80">
        <v>0</v>
      </c>
      <c r="M801" s="75" t="s">
        <v>143</v>
      </c>
      <c r="N801" s="75" t="b">
        <v>1</v>
      </c>
      <c r="O801" s="75" t="s">
        <v>144</v>
      </c>
      <c r="P801" s="75">
        <v>1994</v>
      </c>
      <c r="Q801" s="75">
        <v>2020</v>
      </c>
      <c r="R801" s="75">
        <v>1</v>
      </c>
      <c r="S801" s="100">
        <v>210020</v>
      </c>
      <c r="T801" s="101">
        <v>40281</v>
      </c>
      <c r="U801" s="83"/>
    </row>
    <row r="802" spans="1:21" s="84" customFormat="1" x14ac:dyDescent="0.3">
      <c r="A802" s="68">
        <v>40225</v>
      </c>
      <c r="B802" s="69">
        <f t="shared" si="13"/>
        <v>20100216</v>
      </c>
      <c r="C802" s="70">
        <v>3.9900000000000005E-2</v>
      </c>
      <c r="D802" s="77">
        <v>4.0000000000000001E-3</v>
      </c>
      <c r="E802" s="77">
        <v>4.0000000000000001E-3</v>
      </c>
      <c r="F802" s="77">
        <v>4.0000000000000001E-3</v>
      </c>
      <c r="G802" s="78">
        <v>0</v>
      </c>
      <c r="H802" s="79"/>
      <c r="I802" s="79"/>
      <c r="J802" s="79"/>
      <c r="K802" s="80">
        <v>1.6E-2</v>
      </c>
      <c r="L802" s="80">
        <v>0</v>
      </c>
      <c r="M802" s="75" t="s">
        <v>143</v>
      </c>
      <c r="N802" s="75" t="b">
        <v>1</v>
      </c>
      <c r="O802" s="75" t="s">
        <v>144</v>
      </c>
      <c r="P802" s="75">
        <v>1994</v>
      </c>
      <c r="Q802" s="75">
        <v>2020</v>
      </c>
      <c r="R802" s="75">
        <v>1</v>
      </c>
      <c r="S802" s="100">
        <v>210020</v>
      </c>
      <c r="T802" s="101">
        <v>40281</v>
      </c>
      <c r="U802" s="83"/>
    </row>
    <row r="803" spans="1:21" s="84" customFormat="1" x14ac:dyDescent="0.3">
      <c r="A803" s="68">
        <v>40226</v>
      </c>
      <c r="B803" s="69">
        <f t="shared" si="13"/>
        <v>20100217</v>
      </c>
      <c r="C803" s="70">
        <v>4.0099999999999997E-2</v>
      </c>
      <c r="D803" s="77">
        <v>4.0000000000000001E-3</v>
      </c>
      <c r="E803" s="77">
        <v>4.0000000000000001E-3</v>
      </c>
      <c r="F803" s="77">
        <v>4.0000000000000001E-3</v>
      </c>
      <c r="G803" s="78">
        <v>0</v>
      </c>
      <c r="H803" s="79"/>
      <c r="I803" s="79"/>
      <c r="J803" s="79"/>
      <c r="K803" s="80">
        <v>1.6200000000000003E-2</v>
      </c>
      <c r="L803" s="80">
        <v>0</v>
      </c>
      <c r="M803" s="75" t="s">
        <v>143</v>
      </c>
      <c r="N803" s="75" t="b">
        <v>1</v>
      </c>
      <c r="O803" s="75" t="s">
        <v>144</v>
      </c>
      <c r="P803" s="75">
        <v>1994</v>
      </c>
      <c r="Q803" s="75">
        <v>2020</v>
      </c>
      <c r="R803" s="75">
        <v>1</v>
      </c>
      <c r="S803" s="100">
        <v>210020</v>
      </c>
      <c r="T803" s="101">
        <v>40281</v>
      </c>
      <c r="U803" s="83"/>
    </row>
    <row r="804" spans="1:21" s="84" customFormat="1" x14ac:dyDescent="0.3">
      <c r="A804" s="68">
        <v>40227</v>
      </c>
      <c r="B804" s="69">
        <f t="shared" si="13"/>
        <v>20100218</v>
      </c>
      <c r="C804" s="70">
        <v>4.0099999999999997E-2</v>
      </c>
      <c r="D804" s="77">
        <v>4.0000000000000001E-3</v>
      </c>
      <c r="E804" s="77">
        <v>4.0000000000000001E-3</v>
      </c>
      <c r="F804" s="77">
        <v>4.0000000000000001E-3</v>
      </c>
      <c r="G804" s="78">
        <v>0</v>
      </c>
      <c r="H804" s="79"/>
      <c r="I804" s="79"/>
      <c r="J804" s="79"/>
      <c r="K804" s="80">
        <v>1.61E-2</v>
      </c>
      <c r="L804" s="80">
        <v>0</v>
      </c>
      <c r="M804" s="75" t="s">
        <v>143</v>
      </c>
      <c r="N804" s="75" t="b">
        <v>1</v>
      </c>
      <c r="O804" s="75" t="s">
        <v>144</v>
      </c>
      <c r="P804" s="75">
        <v>1994</v>
      </c>
      <c r="Q804" s="75">
        <v>2020</v>
      </c>
      <c r="R804" s="75">
        <v>1</v>
      </c>
      <c r="S804" s="100">
        <v>210020</v>
      </c>
      <c r="T804" s="101">
        <v>40281</v>
      </c>
      <c r="U804" s="83"/>
    </row>
    <row r="805" spans="1:21" s="84" customFormat="1" x14ac:dyDescent="0.3">
      <c r="A805" s="68">
        <v>40228</v>
      </c>
      <c r="B805" s="69">
        <f t="shared" si="13"/>
        <v>20100219</v>
      </c>
      <c r="C805" s="70">
        <v>4.0099999999999997E-2</v>
      </c>
      <c r="D805" s="77">
        <v>4.0000000000000001E-3</v>
      </c>
      <c r="E805" s="77">
        <v>4.0000000000000001E-3</v>
      </c>
      <c r="F805" s="77">
        <v>4.0000000000000001E-3</v>
      </c>
      <c r="G805" s="78">
        <v>0</v>
      </c>
      <c r="H805" s="79"/>
      <c r="I805" s="79"/>
      <c r="J805" s="79"/>
      <c r="K805" s="80">
        <v>1.61E-2</v>
      </c>
      <c r="L805" s="80">
        <v>0</v>
      </c>
      <c r="M805" s="75" t="s">
        <v>143</v>
      </c>
      <c r="N805" s="75" t="b">
        <v>1</v>
      </c>
      <c r="O805" s="75" t="s">
        <v>144</v>
      </c>
      <c r="P805" s="75">
        <v>1994</v>
      </c>
      <c r="Q805" s="75">
        <v>2020</v>
      </c>
      <c r="R805" s="75">
        <v>1</v>
      </c>
      <c r="S805" s="100">
        <v>210020</v>
      </c>
      <c r="T805" s="101">
        <v>40281</v>
      </c>
      <c r="U805" s="83"/>
    </row>
    <row r="806" spans="1:21" s="84" customFormat="1" x14ac:dyDescent="0.3">
      <c r="A806" s="68">
        <v>40231</v>
      </c>
      <c r="B806" s="69">
        <f t="shared" si="13"/>
        <v>20100222</v>
      </c>
      <c r="C806" s="70">
        <v>4.0199999999999993E-2</v>
      </c>
      <c r="D806" s="77">
        <v>4.0000000000000001E-3</v>
      </c>
      <c r="E806" s="77">
        <v>4.0000000000000001E-3</v>
      </c>
      <c r="F806" s="77">
        <v>4.0000000000000001E-3</v>
      </c>
      <c r="G806" s="78">
        <v>0</v>
      </c>
      <c r="H806" s="79"/>
      <c r="I806" s="79"/>
      <c r="J806" s="79"/>
      <c r="K806" s="80">
        <v>1.6399999999999998E-2</v>
      </c>
      <c r="L806" s="80">
        <v>0</v>
      </c>
      <c r="M806" s="75" t="s">
        <v>143</v>
      </c>
      <c r="N806" s="75" t="b">
        <v>1</v>
      </c>
      <c r="O806" s="75" t="s">
        <v>144</v>
      </c>
      <c r="P806" s="75">
        <v>1994</v>
      </c>
      <c r="Q806" s="75">
        <v>2020</v>
      </c>
      <c r="R806" s="75">
        <v>1</v>
      </c>
      <c r="S806" s="100">
        <v>210020</v>
      </c>
      <c r="T806" s="101">
        <v>40281</v>
      </c>
      <c r="U806" s="83"/>
    </row>
    <row r="807" spans="1:21" s="84" customFormat="1" x14ac:dyDescent="0.3">
      <c r="A807" s="68">
        <v>40232</v>
      </c>
      <c r="B807" s="69">
        <f t="shared" si="13"/>
        <v>20100223</v>
      </c>
      <c r="C807" s="70">
        <v>3.9599999999999996E-2</v>
      </c>
      <c r="D807" s="77">
        <v>4.0000000000000001E-3</v>
      </c>
      <c r="E807" s="77">
        <v>4.0000000000000001E-3</v>
      </c>
      <c r="F807" s="77">
        <v>4.0000000000000001E-3</v>
      </c>
      <c r="G807" s="78">
        <v>0</v>
      </c>
      <c r="H807" s="79"/>
      <c r="I807" s="79"/>
      <c r="J807" s="79"/>
      <c r="K807" s="80">
        <v>1.5700000000000002E-2</v>
      </c>
      <c r="L807" s="80">
        <v>0</v>
      </c>
      <c r="M807" s="75" t="s">
        <v>143</v>
      </c>
      <c r="N807" s="75" t="b">
        <v>1</v>
      </c>
      <c r="O807" s="75" t="s">
        <v>144</v>
      </c>
      <c r="P807" s="75">
        <v>1994</v>
      </c>
      <c r="Q807" s="75">
        <v>2020</v>
      </c>
      <c r="R807" s="75">
        <v>1</v>
      </c>
      <c r="S807" s="100">
        <v>210020</v>
      </c>
      <c r="T807" s="101">
        <v>40281</v>
      </c>
      <c r="U807" s="83"/>
    </row>
    <row r="808" spans="1:21" s="84" customFormat="1" x14ac:dyDescent="0.3">
      <c r="A808" s="68">
        <v>40233</v>
      </c>
      <c r="B808" s="69">
        <f t="shared" si="13"/>
        <v>20100224</v>
      </c>
      <c r="C808" s="70">
        <v>3.9800000000000002E-2</v>
      </c>
      <c r="D808" s="77">
        <v>4.0000000000000001E-3</v>
      </c>
      <c r="E808" s="77">
        <v>4.0000000000000001E-3</v>
      </c>
      <c r="F808" s="77">
        <v>4.0000000000000001E-3</v>
      </c>
      <c r="G808" s="78">
        <v>0</v>
      </c>
      <c r="H808" s="79"/>
      <c r="I808" s="79"/>
      <c r="J808" s="79"/>
      <c r="K808" s="80">
        <v>1.5900000000000001E-2</v>
      </c>
      <c r="L808" s="80">
        <v>0</v>
      </c>
      <c r="M808" s="75" t="s">
        <v>143</v>
      </c>
      <c r="N808" s="75" t="b">
        <v>1</v>
      </c>
      <c r="O808" s="75" t="s">
        <v>144</v>
      </c>
      <c r="P808" s="75">
        <v>1994</v>
      </c>
      <c r="Q808" s="75">
        <v>2020</v>
      </c>
      <c r="R808" s="75">
        <v>1</v>
      </c>
      <c r="S808" s="100">
        <v>210020</v>
      </c>
      <c r="T808" s="101">
        <v>40281</v>
      </c>
      <c r="U808" s="83"/>
    </row>
    <row r="809" spans="1:21" s="84" customFormat="1" x14ac:dyDescent="0.3">
      <c r="A809" s="68">
        <v>40234</v>
      </c>
      <c r="B809" s="69">
        <f t="shared" si="13"/>
        <v>20100225</v>
      </c>
      <c r="C809" s="70">
        <v>3.95E-2</v>
      </c>
      <c r="D809" s="77">
        <v>4.0000000000000001E-3</v>
      </c>
      <c r="E809" s="77">
        <v>4.0000000000000001E-3</v>
      </c>
      <c r="F809" s="77">
        <v>4.0000000000000001E-3</v>
      </c>
      <c r="G809" s="78">
        <v>0</v>
      </c>
      <c r="H809" s="79"/>
      <c r="I809" s="79"/>
      <c r="J809" s="79"/>
      <c r="K809" s="80">
        <v>1.5700000000000002E-2</v>
      </c>
      <c r="L809" s="80">
        <v>0</v>
      </c>
      <c r="M809" s="75" t="s">
        <v>143</v>
      </c>
      <c r="N809" s="75" t="b">
        <v>1</v>
      </c>
      <c r="O809" s="75" t="s">
        <v>144</v>
      </c>
      <c r="P809" s="75">
        <v>1994</v>
      </c>
      <c r="Q809" s="75">
        <v>2020</v>
      </c>
      <c r="R809" s="75">
        <v>1</v>
      </c>
      <c r="S809" s="100">
        <v>210020</v>
      </c>
      <c r="T809" s="101">
        <v>40281</v>
      </c>
      <c r="U809" s="83"/>
    </row>
    <row r="810" spans="1:21" s="84" customFormat="1" x14ac:dyDescent="0.3">
      <c r="A810" s="68">
        <v>40235</v>
      </c>
      <c r="B810" s="69">
        <f t="shared" si="13"/>
        <v>20100226</v>
      </c>
      <c r="C810" s="70">
        <v>3.9399999999999998E-2</v>
      </c>
      <c r="D810" s="77">
        <v>4.0000000000000001E-3</v>
      </c>
      <c r="E810" s="77">
        <v>4.0000000000000001E-3</v>
      </c>
      <c r="F810" s="77">
        <v>4.0000000000000001E-3</v>
      </c>
      <c r="G810" s="78">
        <v>0</v>
      </c>
      <c r="H810" s="79"/>
      <c r="I810" s="79"/>
      <c r="J810" s="79"/>
      <c r="K810" s="80">
        <v>1.5800000000000002E-2</v>
      </c>
      <c r="L810" s="80">
        <v>0</v>
      </c>
      <c r="M810" s="75" t="s">
        <v>143</v>
      </c>
      <c r="N810" s="75" t="b">
        <v>1</v>
      </c>
      <c r="O810" s="75" t="s">
        <v>144</v>
      </c>
      <c r="P810" s="75">
        <v>1994</v>
      </c>
      <c r="Q810" s="75">
        <v>2020</v>
      </c>
      <c r="R810" s="75">
        <v>1</v>
      </c>
      <c r="S810" s="100">
        <v>210020</v>
      </c>
      <c r="T810" s="101">
        <v>40281</v>
      </c>
      <c r="U810" s="83"/>
    </row>
    <row r="811" spans="1:21" s="84" customFormat="1" x14ac:dyDescent="0.3">
      <c r="A811" s="68">
        <v>40236</v>
      </c>
      <c r="B811" s="69">
        <f>YEAR(A811)*10000+MONTH(A811)*100+DAY(A811)</f>
        <v>20100227</v>
      </c>
      <c r="C811" s="70">
        <v>3.9399999999999998E-2</v>
      </c>
      <c r="D811" s="77">
        <v>4.0000000000000001E-3</v>
      </c>
      <c r="E811" s="77">
        <v>4.0000000000000001E-3</v>
      </c>
      <c r="F811" s="77">
        <v>4.0000000000000001E-3</v>
      </c>
      <c r="G811" s="78">
        <v>0</v>
      </c>
      <c r="H811" s="79"/>
      <c r="I811" s="79"/>
      <c r="J811" s="79"/>
      <c r="K811" s="80">
        <v>1.5800000000000002E-2</v>
      </c>
      <c r="L811" s="80">
        <v>0</v>
      </c>
      <c r="M811" s="75" t="s">
        <v>143</v>
      </c>
      <c r="N811" s="75" t="b">
        <v>1</v>
      </c>
      <c r="O811" s="75" t="s">
        <v>144</v>
      </c>
      <c r="P811" s="75">
        <v>1994</v>
      </c>
      <c r="Q811" s="75">
        <v>2020</v>
      </c>
      <c r="R811" s="75">
        <v>1</v>
      </c>
      <c r="S811" s="100">
        <v>210020</v>
      </c>
      <c r="T811" s="101">
        <v>40281</v>
      </c>
      <c r="U811" s="83"/>
    </row>
    <row r="812" spans="1:21" s="84" customFormat="1" x14ac:dyDescent="0.3">
      <c r="A812" s="68">
        <v>40237</v>
      </c>
      <c r="B812" s="69">
        <f>YEAR(A812)*10000+MONTH(A812)*100+DAY(A812)</f>
        <v>20100228</v>
      </c>
      <c r="C812" s="70">
        <v>3.9399999999999998E-2</v>
      </c>
      <c r="D812" s="77">
        <v>4.0000000000000001E-3</v>
      </c>
      <c r="E812" s="77">
        <v>4.0000000000000001E-3</v>
      </c>
      <c r="F812" s="77">
        <v>4.0000000000000001E-3</v>
      </c>
      <c r="G812" s="78">
        <v>0</v>
      </c>
      <c r="H812" s="79"/>
      <c r="I812" s="79"/>
      <c r="J812" s="79"/>
      <c r="K812" s="80">
        <v>1.5800000000000002E-2</v>
      </c>
      <c r="L812" s="80">
        <v>0</v>
      </c>
      <c r="M812" s="75" t="s">
        <v>143</v>
      </c>
      <c r="N812" s="75" t="b">
        <v>1</v>
      </c>
      <c r="O812" s="75" t="s">
        <v>144</v>
      </c>
      <c r="P812" s="75">
        <v>1994</v>
      </c>
      <c r="Q812" s="75">
        <v>2020</v>
      </c>
      <c r="R812" s="75">
        <v>1</v>
      </c>
      <c r="S812" s="100">
        <v>210020</v>
      </c>
      <c r="T812" s="101">
        <v>40281</v>
      </c>
      <c r="U812" s="83"/>
    </row>
    <row r="813" spans="1:21" s="84" customFormat="1" x14ac:dyDescent="0.3">
      <c r="A813" s="68">
        <v>40238</v>
      </c>
      <c r="B813" s="69">
        <f t="shared" si="13"/>
        <v>20100301</v>
      </c>
      <c r="C813" s="70">
        <v>3.95E-2</v>
      </c>
      <c r="D813" s="77">
        <v>4.0000000000000001E-3</v>
      </c>
      <c r="E813" s="77">
        <v>4.0000000000000001E-3</v>
      </c>
      <c r="F813" s="77">
        <v>4.0000000000000001E-3</v>
      </c>
      <c r="G813" s="78">
        <v>0</v>
      </c>
      <c r="H813" s="79"/>
      <c r="I813" s="79"/>
      <c r="J813" s="79"/>
      <c r="K813" s="80">
        <v>1.5800000000000002E-2</v>
      </c>
      <c r="L813" s="80">
        <v>0</v>
      </c>
      <c r="M813" s="75" t="s">
        <v>143</v>
      </c>
      <c r="N813" s="75" t="b">
        <v>1</v>
      </c>
      <c r="O813" s="75" t="s">
        <v>144</v>
      </c>
      <c r="P813" s="75">
        <v>1994</v>
      </c>
      <c r="Q813" s="75">
        <v>2020</v>
      </c>
      <c r="R813" s="75">
        <v>1</v>
      </c>
      <c r="S813" s="100">
        <v>210020</v>
      </c>
      <c r="T813" s="101">
        <v>40281</v>
      </c>
      <c r="U813" s="83"/>
    </row>
    <row r="814" spans="1:21" s="84" customFormat="1" x14ac:dyDescent="0.3">
      <c r="A814" s="68">
        <v>40239</v>
      </c>
      <c r="B814" s="69">
        <f t="shared" si="13"/>
        <v>20100302</v>
      </c>
      <c r="C814" s="70">
        <v>3.9199999999999999E-2</v>
      </c>
      <c r="D814" s="77">
        <v>4.0000000000000001E-3</v>
      </c>
      <c r="E814" s="77">
        <v>4.0000000000000001E-3</v>
      </c>
      <c r="F814" s="77">
        <v>4.0000000000000001E-3</v>
      </c>
      <c r="G814" s="78">
        <v>0</v>
      </c>
      <c r="H814" s="79"/>
      <c r="I814" s="79"/>
      <c r="J814" s="79"/>
      <c r="K814" s="80">
        <v>1.5600000000000001E-2</v>
      </c>
      <c r="L814" s="80">
        <v>0</v>
      </c>
      <c r="M814" s="75" t="s">
        <v>143</v>
      </c>
      <c r="N814" s="75" t="b">
        <v>1</v>
      </c>
      <c r="O814" s="75" t="s">
        <v>144</v>
      </c>
      <c r="P814" s="75">
        <v>1994</v>
      </c>
      <c r="Q814" s="75">
        <v>2020</v>
      </c>
      <c r="R814" s="75">
        <v>1</v>
      </c>
      <c r="S814" s="100">
        <v>210020</v>
      </c>
      <c r="T814" s="101">
        <v>40281</v>
      </c>
      <c r="U814" s="83"/>
    </row>
    <row r="815" spans="1:21" s="84" customFormat="1" x14ac:dyDescent="0.3">
      <c r="A815" s="68">
        <v>40240</v>
      </c>
      <c r="B815" s="69">
        <f t="shared" si="13"/>
        <v>20100303</v>
      </c>
      <c r="C815" s="70">
        <v>3.9300000000000002E-2</v>
      </c>
      <c r="D815" s="77">
        <v>4.0000000000000001E-3</v>
      </c>
      <c r="E815" s="77">
        <v>4.0000000000000001E-3</v>
      </c>
      <c r="F815" s="77">
        <v>4.0000000000000001E-3</v>
      </c>
      <c r="G815" s="78">
        <v>0</v>
      </c>
      <c r="H815" s="79"/>
      <c r="I815" s="79"/>
      <c r="J815" s="79"/>
      <c r="K815" s="80">
        <v>1.5600000000000001E-2</v>
      </c>
      <c r="L815" s="80">
        <v>0</v>
      </c>
      <c r="M815" s="75" t="s">
        <v>143</v>
      </c>
      <c r="N815" s="75" t="b">
        <v>1</v>
      </c>
      <c r="O815" s="75" t="s">
        <v>144</v>
      </c>
      <c r="P815" s="75">
        <v>1994</v>
      </c>
      <c r="Q815" s="75">
        <v>2020</v>
      </c>
      <c r="R815" s="75">
        <v>1</v>
      </c>
      <c r="S815" s="100">
        <v>210020</v>
      </c>
      <c r="T815" s="101">
        <v>40281</v>
      </c>
      <c r="U815" s="83"/>
    </row>
    <row r="816" spans="1:21" s="84" customFormat="1" x14ac:dyDescent="0.3">
      <c r="A816" s="68">
        <v>40241</v>
      </c>
      <c r="B816" s="69">
        <f t="shared" si="13"/>
        <v>20100304</v>
      </c>
      <c r="C816" s="70">
        <v>3.9399999999999998E-2</v>
      </c>
      <c r="D816" s="77">
        <v>4.0000000000000001E-3</v>
      </c>
      <c r="E816" s="77">
        <v>4.0000000000000001E-3</v>
      </c>
      <c r="F816" s="77">
        <v>4.0000000000000001E-3</v>
      </c>
      <c r="G816" s="78">
        <v>0</v>
      </c>
      <c r="H816" s="79"/>
      <c r="I816" s="79"/>
      <c r="J816" s="79"/>
      <c r="K816" s="80">
        <v>1.5800000000000002E-2</v>
      </c>
      <c r="L816" s="80">
        <v>0</v>
      </c>
      <c r="M816" s="75" t="s">
        <v>143</v>
      </c>
      <c r="N816" s="75" t="b">
        <v>1</v>
      </c>
      <c r="O816" s="75" t="s">
        <v>144</v>
      </c>
      <c r="P816" s="75">
        <v>1994</v>
      </c>
      <c r="Q816" s="75">
        <v>2020</v>
      </c>
      <c r="R816" s="75">
        <v>1</v>
      </c>
      <c r="S816" s="100">
        <v>210020</v>
      </c>
      <c r="T816" s="101">
        <v>40281</v>
      </c>
      <c r="U816" s="83"/>
    </row>
    <row r="817" spans="1:21" s="84" customFormat="1" x14ac:dyDescent="0.3">
      <c r="A817" s="68">
        <v>40242</v>
      </c>
      <c r="B817" s="69">
        <f t="shared" si="13"/>
        <v>20100305</v>
      </c>
      <c r="C817" s="70">
        <v>3.9800000000000002E-2</v>
      </c>
      <c r="D817" s="77">
        <v>4.0000000000000001E-3</v>
      </c>
      <c r="E817" s="77">
        <v>4.0000000000000001E-3</v>
      </c>
      <c r="F817" s="77">
        <v>4.0000000000000001E-3</v>
      </c>
      <c r="G817" s="78">
        <v>0</v>
      </c>
      <c r="H817" s="79"/>
      <c r="I817" s="79"/>
      <c r="J817" s="79"/>
      <c r="K817" s="80">
        <v>1.6200000000000003E-2</v>
      </c>
      <c r="L817" s="80">
        <v>0</v>
      </c>
      <c r="M817" s="75" t="s">
        <v>143</v>
      </c>
      <c r="N817" s="75" t="b">
        <v>1</v>
      </c>
      <c r="O817" s="75" t="s">
        <v>144</v>
      </c>
      <c r="P817" s="75">
        <v>1994</v>
      </c>
      <c r="Q817" s="75">
        <v>2020</v>
      </c>
      <c r="R817" s="75">
        <v>1</v>
      </c>
      <c r="S817" s="100">
        <v>210020</v>
      </c>
      <c r="T817" s="101">
        <v>40281</v>
      </c>
      <c r="U817" s="83"/>
    </row>
    <row r="818" spans="1:21" s="84" customFormat="1" x14ac:dyDescent="0.3">
      <c r="A818" s="68">
        <v>40245</v>
      </c>
      <c r="B818" s="69">
        <f t="shared" si="13"/>
        <v>20100308</v>
      </c>
      <c r="C818" s="70">
        <v>4.0199999999999993E-2</v>
      </c>
      <c r="D818" s="77">
        <v>4.0000000000000001E-3</v>
      </c>
      <c r="E818" s="77">
        <v>4.0000000000000001E-3</v>
      </c>
      <c r="F818" s="77">
        <v>4.0000000000000001E-3</v>
      </c>
      <c r="G818" s="78">
        <v>0</v>
      </c>
      <c r="H818" s="79"/>
      <c r="I818" s="79"/>
      <c r="J818" s="79"/>
      <c r="K818" s="80">
        <v>1.6500000000000001E-2</v>
      </c>
      <c r="L818" s="80">
        <v>0</v>
      </c>
      <c r="M818" s="75" t="s">
        <v>143</v>
      </c>
      <c r="N818" s="75" t="b">
        <v>1</v>
      </c>
      <c r="O818" s="75" t="s">
        <v>144</v>
      </c>
      <c r="P818" s="75">
        <v>1994</v>
      </c>
      <c r="Q818" s="75">
        <v>2020</v>
      </c>
      <c r="R818" s="75">
        <v>1</v>
      </c>
      <c r="S818" s="100">
        <v>210020</v>
      </c>
      <c r="T818" s="101">
        <v>40281</v>
      </c>
      <c r="U818" s="83"/>
    </row>
    <row r="819" spans="1:21" s="84" customFormat="1" x14ac:dyDescent="0.3">
      <c r="A819" s="68">
        <v>40246</v>
      </c>
      <c r="B819" s="69">
        <f t="shared" si="13"/>
        <v>20100309</v>
      </c>
      <c r="C819" s="70">
        <v>4.0300000000000002E-2</v>
      </c>
      <c r="D819" s="77">
        <v>4.0000000000000001E-3</v>
      </c>
      <c r="E819" s="77">
        <v>4.0000000000000001E-3</v>
      </c>
      <c r="F819" s="77">
        <v>4.0000000000000001E-3</v>
      </c>
      <c r="G819" s="78">
        <v>0</v>
      </c>
      <c r="H819" s="79"/>
      <c r="I819" s="79"/>
      <c r="J819" s="79"/>
      <c r="K819" s="80">
        <v>1.66E-2</v>
      </c>
      <c r="L819" s="80">
        <v>0</v>
      </c>
      <c r="M819" s="75" t="s">
        <v>143</v>
      </c>
      <c r="N819" s="75" t="b">
        <v>1</v>
      </c>
      <c r="O819" s="75" t="s">
        <v>144</v>
      </c>
      <c r="P819" s="75">
        <v>1994</v>
      </c>
      <c r="Q819" s="75">
        <v>2020</v>
      </c>
      <c r="R819" s="75">
        <v>1</v>
      </c>
      <c r="S819" s="100">
        <v>210020</v>
      </c>
      <c r="T819" s="101">
        <v>40281</v>
      </c>
      <c r="U819" s="83"/>
    </row>
    <row r="820" spans="1:21" s="84" customFormat="1" x14ac:dyDescent="0.3">
      <c r="A820" s="68">
        <v>40247</v>
      </c>
      <c r="B820" s="69">
        <f t="shared" si="13"/>
        <v>20100310</v>
      </c>
      <c r="C820" s="70">
        <v>4.0399999999999998E-2</v>
      </c>
      <c r="D820" s="77">
        <v>4.0000000000000001E-3</v>
      </c>
      <c r="E820" s="77">
        <v>4.0000000000000001E-3</v>
      </c>
      <c r="F820" s="77">
        <v>4.0000000000000001E-3</v>
      </c>
      <c r="G820" s="78">
        <v>0</v>
      </c>
      <c r="H820" s="79"/>
      <c r="I820" s="79"/>
      <c r="J820" s="79"/>
      <c r="K820" s="80">
        <v>1.6500000000000001E-2</v>
      </c>
      <c r="L820" s="80">
        <v>0</v>
      </c>
      <c r="M820" s="75" t="s">
        <v>143</v>
      </c>
      <c r="N820" s="75" t="b">
        <v>1</v>
      </c>
      <c r="O820" s="75" t="s">
        <v>144</v>
      </c>
      <c r="P820" s="75">
        <v>1994</v>
      </c>
      <c r="Q820" s="75">
        <v>2020</v>
      </c>
      <c r="R820" s="75">
        <v>1</v>
      </c>
      <c r="S820" s="100">
        <v>210020</v>
      </c>
      <c r="T820" s="101">
        <v>40281</v>
      </c>
      <c r="U820" s="83"/>
    </row>
    <row r="821" spans="1:21" s="84" customFormat="1" x14ac:dyDescent="0.3">
      <c r="A821" s="68">
        <v>40248</v>
      </c>
      <c r="B821" s="69">
        <f t="shared" si="13"/>
        <v>20100311</v>
      </c>
      <c r="C821" s="70">
        <v>0.04</v>
      </c>
      <c r="D821" s="77">
        <v>4.0000000000000001E-3</v>
      </c>
      <c r="E821" s="77">
        <v>4.0000000000000001E-3</v>
      </c>
      <c r="F821" s="77">
        <v>4.0000000000000001E-3</v>
      </c>
      <c r="G821" s="78">
        <v>0</v>
      </c>
      <c r="H821" s="79"/>
      <c r="I821" s="79"/>
      <c r="J821" s="79"/>
      <c r="K821" s="80">
        <v>1.5900000000000001E-2</v>
      </c>
      <c r="L821" s="80">
        <v>0</v>
      </c>
      <c r="M821" s="75" t="s">
        <v>143</v>
      </c>
      <c r="N821" s="75" t="b">
        <v>1</v>
      </c>
      <c r="O821" s="75" t="s">
        <v>144</v>
      </c>
      <c r="P821" s="75">
        <v>1994</v>
      </c>
      <c r="Q821" s="75">
        <v>2020</v>
      </c>
      <c r="R821" s="75">
        <v>1</v>
      </c>
      <c r="S821" s="100">
        <v>210020</v>
      </c>
      <c r="T821" s="101">
        <v>40281</v>
      </c>
      <c r="U821" s="83"/>
    </row>
    <row r="822" spans="1:21" s="84" customFormat="1" x14ac:dyDescent="0.3">
      <c r="A822" s="68">
        <v>40249</v>
      </c>
      <c r="B822" s="69">
        <f t="shared" si="13"/>
        <v>20100312</v>
      </c>
      <c r="C822" s="70">
        <v>4.0099999999999997E-2</v>
      </c>
      <c r="D822" s="77">
        <v>4.0000000000000001E-3</v>
      </c>
      <c r="E822" s="77">
        <v>4.0000000000000001E-3</v>
      </c>
      <c r="F822" s="77">
        <v>4.0000000000000001E-3</v>
      </c>
      <c r="G822" s="78">
        <v>0</v>
      </c>
      <c r="H822" s="79"/>
      <c r="I822" s="79"/>
      <c r="J822" s="79"/>
      <c r="K822" s="80">
        <v>1.61E-2</v>
      </c>
      <c r="L822" s="80">
        <v>0</v>
      </c>
      <c r="M822" s="75" t="s">
        <v>143</v>
      </c>
      <c r="N822" s="75" t="b">
        <v>1</v>
      </c>
      <c r="O822" s="75" t="s">
        <v>144</v>
      </c>
      <c r="P822" s="75">
        <v>1994</v>
      </c>
      <c r="Q822" s="75">
        <v>2020</v>
      </c>
      <c r="R822" s="75">
        <v>1</v>
      </c>
      <c r="S822" s="100">
        <v>210020</v>
      </c>
      <c r="T822" s="101">
        <v>40281</v>
      </c>
      <c r="U822" s="83"/>
    </row>
    <row r="823" spans="1:21" s="84" customFormat="1" x14ac:dyDescent="0.3">
      <c r="A823" s="68">
        <v>40252</v>
      </c>
      <c r="B823" s="69">
        <f t="shared" si="13"/>
        <v>20100315</v>
      </c>
      <c r="C823" s="70">
        <v>3.9800000000000002E-2</v>
      </c>
      <c r="D823" s="77">
        <v>4.0000000000000001E-3</v>
      </c>
      <c r="E823" s="77">
        <v>4.0000000000000001E-3</v>
      </c>
      <c r="F823" s="77">
        <v>4.0000000000000001E-3</v>
      </c>
      <c r="G823" s="78">
        <v>0</v>
      </c>
      <c r="H823" s="79"/>
      <c r="I823" s="79"/>
      <c r="J823" s="79"/>
      <c r="K823" s="80">
        <v>1.5800000000000002E-2</v>
      </c>
      <c r="L823" s="80">
        <v>0</v>
      </c>
      <c r="M823" s="75" t="s">
        <v>143</v>
      </c>
      <c r="N823" s="75" t="b">
        <v>1</v>
      </c>
      <c r="O823" s="75" t="s">
        <v>144</v>
      </c>
      <c r="P823" s="75">
        <v>1994</v>
      </c>
      <c r="Q823" s="75">
        <v>2020</v>
      </c>
      <c r="R823" s="75">
        <v>1</v>
      </c>
      <c r="S823" s="100">
        <v>210020</v>
      </c>
      <c r="T823" s="101">
        <v>40281</v>
      </c>
      <c r="U823" s="83"/>
    </row>
    <row r="824" spans="1:21" s="84" customFormat="1" x14ac:dyDescent="0.3">
      <c r="A824" s="68">
        <v>40253</v>
      </c>
      <c r="B824" s="69">
        <f t="shared" si="13"/>
        <v>20100316</v>
      </c>
      <c r="C824" s="70">
        <v>3.9399999999999998E-2</v>
      </c>
      <c r="D824" s="77">
        <v>4.0000000000000001E-3</v>
      </c>
      <c r="E824" s="77">
        <v>4.0000000000000001E-3</v>
      </c>
      <c r="F824" s="77">
        <v>4.0000000000000001E-3</v>
      </c>
      <c r="G824" s="78">
        <v>0</v>
      </c>
      <c r="H824" s="79"/>
      <c r="I824" s="79"/>
      <c r="J824" s="79"/>
      <c r="K824" s="80">
        <v>1.5700000000000002E-2</v>
      </c>
      <c r="L824" s="80">
        <v>0</v>
      </c>
      <c r="M824" s="75" t="s">
        <v>143</v>
      </c>
      <c r="N824" s="75" t="b">
        <v>1</v>
      </c>
      <c r="O824" s="75" t="s">
        <v>144</v>
      </c>
      <c r="P824" s="75">
        <v>1994</v>
      </c>
      <c r="Q824" s="75">
        <v>2020</v>
      </c>
      <c r="R824" s="75">
        <v>1</v>
      </c>
      <c r="S824" s="100">
        <v>210020</v>
      </c>
      <c r="T824" s="101">
        <v>40281</v>
      </c>
      <c r="U824" s="83"/>
    </row>
    <row r="825" spans="1:21" s="84" customFormat="1" x14ac:dyDescent="0.3">
      <c r="A825" s="68">
        <v>40254</v>
      </c>
      <c r="B825" s="69">
        <f t="shared" si="13"/>
        <v>20100317</v>
      </c>
      <c r="C825" s="70">
        <v>3.9699999999999999E-2</v>
      </c>
      <c r="D825" s="77">
        <v>4.0000000000000001E-3</v>
      </c>
      <c r="E825" s="77">
        <v>4.0000000000000001E-3</v>
      </c>
      <c r="F825" s="77">
        <v>4.0000000000000001E-3</v>
      </c>
      <c r="G825" s="78">
        <v>0</v>
      </c>
      <c r="H825" s="79"/>
      <c r="I825" s="79"/>
      <c r="J825" s="79"/>
      <c r="K825" s="80">
        <v>1.5900000000000001E-2</v>
      </c>
      <c r="L825" s="80">
        <v>0</v>
      </c>
      <c r="M825" s="75" t="s">
        <v>143</v>
      </c>
      <c r="N825" s="75" t="b">
        <v>1</v>
      </c>
      <c r="O825" s="75" t="s">
        <v>144</v>
      </c>
      <c r="P825" s="75">
        <v>1994</v>
      </c>
      <c r="Q825" s="75">
        <v>2020</v>
      </c>
      <c r="R825" s="75">
        <v>1</v>
      </c>
      <c r="S825" s="100">
        <v>210020</v>
      </c>
      <c r="T825" s="101">
        <v>40281</v>
      </c>
      <c r="U825" s="83"/>
    </row>
    <row r="826" spans="1:21" s="84" customFormat="1" x14ac:dyDescent="0.3">
      <c r="A826" s="68">
        <v>40255</v>
      </c>
      <c r="B826" s="69">
        <f t="shared" si="13"/>
        <v>20100318</v>
      </c>
      <c r="C826" s="70">
        <v>3.9399999999999998E-2</v>
      </c>
      <c r="D826" s="77">
        <v>4.0000000000000001E-3</v>
      </c>
      <c r="E826" s="77">
        <v>4.0000000000000001E-3</v>
      </c>
      <c r="F826" s="77">
        <v>4.0000000000000001E-3</v>
      </c>
      <c r="G826" s="78">
        <v>0</v>
      </c>
      <c r="H826" s="79"/>
      <c r="I826" s="79"/>
      <c r="J826" s="79"/>
      <c r="K826" s="80">
        <v>1.5600000000000001E-2</v>
      </c>
      <c r="L826" s="80">
        <v>0</v>
      </c>
      <c r="M826" s="75" t="s">
        <v>143</v>
      </c>
      <c r="N826" s="75" t="b">
        <v>1</v>
      </c>
      <c r="O826" s="75" t="s">
        <v>144</v>
      </c>
      <c r="P826" s="75">
        <v>1994</v>
      </c>
      <c r="Q826" s="75">
        <v>2020</v>
      </c>
      <c r="R826" s="75">
        <v>1</v>
      </c>
      <c r="S826" s="100">
        <v>210020</v>
      </c>
      <c r="T826" s="101">
        <v>40281</v>
      </c>
      <c r="U826" s="83"/>
    </row>
    <row r="827" spans="1:21" s="84" customFormat="1" x14ac:dyDescent="0.3">
      <c r="A827" s="68">
        <v>40256</v>
      </c>
      <c r="B827" s="69">
        <f t="shared" si="13"/>
        <v>20100319</v>
      </c>
      <c r="C827" s="70">
        <v>3.9699999999999999E-2</v>
      </c>
      <c r="D827" s="77">
        <v>4.0000000000000001E-3</v>
      </c>
      <c r="E827" s="77">
        <v>4.0000000000000001E-3</v>
      </c>
      <c r="F827" s="77">
        <v>4.0000000000000001E-3</v>
      </c>
      <c r="G827" s="78">
        <v>0</v>
      </c>
      <c r="H827" s="79"/>
      <c r="I827" s="79"/>
      <c r="J827" s="79"/>
      <c r="K827" s="80">
        <v>1.55E-2</v>
      </c>
      <c r="L827" s="80">
        <v>0</v>
      </c>
      <c r="M827" s="75" t="s">
        <v>143</v>
      </c>
      <c r="N827" s="75" t="b">
        <v>1</v>
      </c>
      <c r="O827" s="75" t="s">
        <v>144</v>
      </c>
      <c r="P827" s="75">
        <v>1994</v>
      </c>
      <c r="Q827" s="75">
        <v>2020</v>
      </c>
      <c r="R827" s="75">
        <v>1</v>
      </c>
      <c r="S827" s="100">
        <v>210020</v>
      </c>
      <c r="T827" s="101">
        <v>40281</v>
      </c>
      <c r="U827" s="83"/>
    </row>
    <row r="828" spans="1:21" s="84" customFormat="1" x14ac:dyDescent="0.3">
      <c r="A828" s="68">
        <v>40259</v>
      </c>
      <c r="B828" s="69">
        <f t="shared" si="13"/>
        <v>20100322</v>
      </c>
      <c r="C828" s="70">
        <v>3.95E-2</v>
      </c>
      <c r="D828" s="77">
        <v>4.0000000000000001E-3</v>
      </c>
      <c r="E828" s="77">
        <v>4.0000000000000001E-3</v>
      </c>
      <c r="F828" s="77">
        <v>4.0000000000000001E-3</v>
      </c>
      <c r="G828" s="78">
        <v>0</v>
      </c>
      <c r="H828" s="79"/>
      <c r="I828" s="79"/>
      <c r="J828" s="79"/>
      <c r="K828" s="80">
        <v>1.54E-2</v>
      </c>
      <c r="L828" s="80">
        <v>0</v>
      </c>
      <c r="M828" s="75" t="s">
        <v>143</v>
      </c>
      <c r="N828" s="75" t="b">
        <v>1</v>
      </c>
      <c r="O828" s="75" t="s">
        <v>144</v>
      </c>
      <c r="P828" s="75">
        <v>1994</v>
      </c>
      <c r="Q828" s="75">
        <v>2020</v>
      </c>
      <c r="R828" s="75">
        <v>1</v>
      </c>
      <c r="S828" s="100">
        <v>210020</v>
      </c>
      <c r="T828" s="101">
        <v>40281</v>
      </c>
      <c r="U828" s="83"/>
    </row>
    <row r="829" spans="1:21" s="84" customFormat="1" x14ac:dyDescent="0.3">
      <c r="A829" s="68">
        <v>40260</v>
      </c>
      <c r="B829" s="69">
        <f t="shared" si="13"/>
        <v>20100323</v>
      </c>
      <c r="C829" s="70">
        <v>3.95E-2</v>
      </c>
      <c r="D829" s="77">
        <v>4.0000000000000001E-3</v>
      </c>
      <c r="E829" s="77">
        <v>4.0000000000000001E-3</v>
      </c>
      <c r="F829" s="77">
        <v>4.0000000000000001E-3</v>
      </c>
      <c r="G829" s="78">
        <v>0</v>
      </c>
      <c r="H829" s="79"/>
      <c r="I829" s="79"/>
      <c r="J829" s="79"/>
      <c r="K829" s="80">
        <v>1.54E-2</v>
      </c>
      <c r="L829" s="80">
        <v>0</v>
      </c>
      <c r="M829" s="75" t="s">
        <v>143</v>
      </c>
      <c r="N829" s="75" t="b">
        <v>1</v>
      </c>
      <c r="O829" s="75" t="s">
        <v>144</v>
      </c>
      <c r="P829" s="75">
        <v>1994</v>
      </c>
      <c r="Q829" s="75">
        <v>2020</v>
      </c>
      <c r="R829" s="75">
        <v>1</v>
      </c>
      <c r="S829" s="100">
        <v>210020</v>
      </c>
      <c r="T829" s="101">
        <v>40281</v>
      </c>
      <c r="U829" s="83"/>
    </row>
    <row r="830" spans="1:21" s="84" customFormat="1" x14ac:dyDescent="0.3">
      <c r="A830" s="68">
        <v>40261</v>
      </c>
      <c r="B830" s="69">
        <f t="shared" si="13"/>
        <v>20100324</v>
      </c>
      <c r="C830" s="70">
        <v>4.0099999999999997E-2</v>
      </c>
      <c r="D830" s="77">
        <v>4.0000000000000001E-3</v>
      </c>
      <c r="E830" s="77">
        <v>4.0000000000000001E-3</v>
      </c>
      <c r="F830" s="77">
        <v>4.0000000000000001E-3</v>
      </c>
      <c r="G830" s="78">
        <v>0</v>
      </c>
      <c r="H830" s="79"/>
      <c r="I830" s="79"/>
      <c r="J830" s="79"/>
      <c r="K830" s="80">
        <v>1.5800000000000002E-2</v>
      </c>
      <c r="L830" s="80">
        <v>0</v>
      </c>
      <c r="M830" s="75" t="s">
        <v>143</v>
      </c>
      <c r="N830" s="75" t="b">
        <v>1</v>
      </c>
      <c r="O830" s="75" t="s">
        <v>144</v>
      </c>
      <c r="P830" s="75">
        <v>1994</v>
      </c>
      <c r="Q830" s="75">
        <v>2020</v>
      </c>
      <c r="R830" s="75">
        <v>1</v>
      </c>
      <c r="S830" s="100">
        <v>210020</v>
      </c>
      <c r="T830" s="101">
        <v>40281</v>
      </c>
      <c r="U830" s="83"/>
    </row>
    <row r="831" spans="1:21" s="84" customFormat="1" x14ac:dyDescent="0.3">
      <c r="A831" s="68">
        <v>40262</v>
      </c>
      <c r="B831" s="69">
        <f t="shared" si="13"/>
        <v>20100325</v>
      </c>
      <c r="C831" s="70">
        <v>0.04</v>
      </c>
      <c r="D831" s="77">
        <v>4.0000000000000001E-3</v>
      </c>
      <c r="E831" s="77">
        <v>4.0000000000000001E-3</v>
      </c>
      <c r="F831" s="77">
        <v>4.0000000000000001E-3</v>
      </c>
      <c r="G831" s="78">
        <v>0</v>
      </c>
      <c r="H831" s="79"/>
      <c r="I831" s="79"/>
      <c r="J831" s="79"/>
      <c r="K831" s="80">
        <v>1.5700000000000002E-2</v>
      </c>
      <c r="L831" s="80">
        <v>0</v>
      </c>
      <c r="M831" s="75" t="s">
        <v>143</v>
      </c>
      <c r="N831" s="75" t="b">
        <v>1</v>
      </c>
      <c r="O831" s="75" t="s">
        <v>144</v>
      </c>
      <c r="P831" s="75">
        <v>1994</v>
      </c>
      <c r="Q831" s="75">
        <v>2020</v>
      </c>
      <c r="R831" s="75">
        <v>1</v>
      </c>
      <c r="S831" s="100">
        <v>210020</v>
      </c>
      <c r="T831" s="101">
        <v>40281</v>
      </c>
      <c r="U831" s="83"/>
    </row>
    <row r="832" spans="1:21" s="84" customFormat="1" x14ac:dyDescent="0.3">
      <c r="A832" s="68">
        <v>40263</v>
      </c>
      <c r="B832" s="69">
        <f t="shared" si="13"/>
        <v>20100326</v>
      </c>
      <c r="C832" s="70">
        <v>4.0099999999999997E-2</v>
      </c>
      <c r="D832" s="77">
        <v>4.0000000000000001E-3</v>
      </c>
      <c r="E832" s="77">
        <v>4.0000000000000001E-3</v>
      </c>
      <c r="F832" s="77">
        <v>4.0000000000000001E-3</v>
      </c>
      <c r="G832" s="78">
        <v>0</v>
      </c>
      <c r="H832" s="79"/>
      <c r="I832" s="79"/>
      <c r="J832" s="79"/>
      <c r="K832" s="80">
        <v>1.5600000000000001E-2</v>
      </c>
      <c r="L832" s="80">
        <v>0</v>
      </c>
      <c r="M832" s="75" t="s">
        <v>143</v>
      </c>
      <c r="N832" s="75" t="b">
        <v>1</v>
      </c>
      <c r="O832" s="75" t="s">
        <v>144</v>
      </c>
      <c r="P832" s="75">
        <v>1994</v>
      </c>
      <c r="Q832" s="75">
        <v>2020</v>
      </c>
      <c r="R832" s="75">
        <v>1</v>
      </c>
      <c r="S832" s="100">
        <v>210020</v>
      </c>
      <c r="T832" s="101">
        <v>40281</v>
      </c>
      <c r="U832" s="83"/>
    </row>
    <row r="833" spans="1:21" s="84" customFormat="1" x14ac:dyDescent="0.3">
      <c r="A833" s="68">
        <v>40266</v>
      </c>
      <c r="B833" s="69">
        <f t="shared" si="13"/>
        <v>20100329</v>
      </c>
      <c r="C833" s="70">
        <v>4.0199999999999993E-2</v>
      </c>
      <c r="D833" s="77">
        <v>4.0000000000000001E-3</v>
      </c>
      <c r="E833" s="77">
        <v>4.0000000000000001E-3</v>
      </c>
      <c r="F833" s="77">
        <v>4.0000000000000001E-3</v>
      </c>
      <c r="G833" s="78">
        <v>0</v>
      </c>
      <c r="H833" s="79"/>
      <c r="I833" s="79"/>
      <c r="J833" s="79"/>
      <c r="K833" s="80">
        <v>1.5800000000000002E-2</v>
      </c>
      <c r="L833" s="80">
        <v>0</v>
      </c>
      <c r="M833" s="75" t="s">
        <v>143</v>
      </c>
      <c r="N833" s="75" t="b">
        <v>1</v>
      </c>
      <c r="O833" s="75" t="s">
        <v>144</v>
      </c>
      <c r="P833" s="75">
        <v>1994</v>
      </c>
      <c r="Q833" s="75">
        <v>2020</v>
      </c>
      <c r="R833" s="75">
        <v>1</v>
      </c>
      <c r="S833" s="100">
        <v>210020</v>
      </c>
      <c r="T833" s="101">
        <v>40281</v>
      </c>
      <c r="U833" s="83"/>
    </row>
    <row r="834" spans="1:21" s="84" customFormat="1" x14ac:dyDescent="0.3">
      <c r="A834" s="68">
        <v>40267</v>
      </c>
      <c r="B834" s="69">
        <f t="shared" si="13"/>
        <v>20100330</v>
      </c>
      <c r="C834" s="70">
        <v>4.0199999999999993E-2</v>
      </c>
      <c r="D834" s="77">
        <v>4.0000000000000001E-3</v>
      </c>
      <c r="E834" s="77">
        <v>4.0000000000000001E-3</v>
      </c>
      <c r="F834" s="77">
        <v>4.0000000000000001E-3</v>
      </c>
      <c r="G834" s="78">
        <v>0</v>
      </c>
      <c r="H834" s="79"/>
      <c r="I834" s="79"/>
      <c r="J834" s="79"/>
      <c r="K834" s="80">
        <v>1.5800000000000002E-2</v>
      </c>
      <c r="L834" s="80">
        <v>0</v>
      </c>
      <c r="M834" s="75" t="s">
        <v>143</v>
      </c>
      <c r="N834" s="75" t="b">
        <v>1</v>
      </c>
      <c r="O834" s="75" t="s">
        <v>144</v>
      </c>
      <c r="P834" s="75">
        <v>1994</v>
      </c>
      <c r="Q834" s="75">
        <v>2020</v>
      </c>
      <c r="R834" s="75">
        <v>1</v>
      </c>
      <c r="S834" s="100">
        <v>210020</v>
      </c>
      <c r="T834" s="101">
        <v>40281</v>
      </c>
      <c r="U834" s="83"/>
    </row>
    <row r="835" spans="1:21" s="84" customFormat="1" x14ac:dyDescent="0.3">
      <c r="A835" s="68">
        <v>40268</v>
      </c>
      <c r="B835" s="69">
        <f t="shared" si="13"/>
        <v>20100331</v>
      </c>
      <c r="C835" s="70">
        <v>3.9900000000000005E-2</v>
      </c>
      <c r="D835" s="77">
        <v>4.0000000000000001E-3</v>
      </c>
      <c r="E835" s="77">
        <v>4.0000000000000001E-3</v>
      </c>
      <c r="F835" s="77">
        <v>4.0000000000000001E-3</v>
      </c>
      <c r="G835" s="78">
        <v>0</v>
      </c>
      <c r="H835" s="79"/>
      <c r="I835" s="79"/>
      <c r="J835" s="79"/>
      <c r="K835" s="80">
        <v>1.5600000000000001E-2</v>
      </c>
      <c r="L835" s="80">
        <v>0</v>
      </c>
      <c r="M835" s="75" t="s">
        <v>143</v>
      </c>
      <c r="N835" s="75" t="b">
        <v>1</v>
      </c>
      <c r="O835" s="75" t="s">
        <v>144</v>
      </c>
      <c r="P835" s="75">
        <v>1994</v>
      </c>
      <c r="Q835" s="75">
        <v>2020</v>
      </c>
      <c r="R835" s="75">
        <v>1</v>
      </c>
      <c r="S835" s="100">
        <v>210020</v>
      </c>
      <c r="T835" s="101">
        <v>40281</v>
      </c>
      <c r="U835" s="83"/>
    </row>
    <row r="836" spans="1:21" s="84" customFormat="1" x14ac:dyDescent="0.3">
      <c r="A836" s="68">
        <v>40269</v>
      </c>
      <c r="B836" s="69">
        <f t="shared" si="13"/>
        <v>20100401</v>
      </c>
      <c r="C836" s="70">
        <v>3.9800000000000002E-2</v>
      </c>
      <c r="D836" s="77">
        <v>4.0000000000000001E-3</v>
      </c>
      <c r="E836" s="77">
        <v>4.0000000000000001E-3</v>
      </c>
      <c r="F836" s="77">
        <v>4.0000000000000001E-3</v>
      </c>
      <c r="G836" s="78">
        <v>0</v>
      </c>
      <c r="H836" s="79"/>
      <c r="I836" s="79"/>
      <c r="J836" s="79"/>
      <c r="K836" s="80">
        <v>1.54E-2</v>
      </c>
      <c r="L836" s="80">
        <v>0</v>
      </c>
      <c r="M836" s="75" t="s">
        <v>143</v>
      </c>
      <c r="N836" s="75" t="b">
        <v>1</v>
      </c>
      <c r="O836" s="75" t="s">
        <v>144</v>
      </c>
      <c r="P836" s="75">
        <v>1994</v>
      </c>
      <c r="Q836" s="75">
        <v>2020</v>
      </c>
      <c r="R836" s="75">
        <v>1</v>
      </c>
      <c r="S836" s="100">
        <v>210020</v>
      </c>
      <c r="T836" s="101">
        <v>40281</v>
      </c>
      <c r="U836" s="83"/>
    </row>
    <row r="837" spans="1:21" s="84" customFormat="1" x14ac:dyDescent="0.3">
      <c r="A837" s="68">
        <v>40270</v>
      </c>
      <c r="B837" s="69">
        <f t="shared" si="13"/>
        <v>20100402</v>
      </c>
      <c r="C837" s="70">
        <v>3.9800000000000002E-2</v>
      </c>
      <c r="D837" s="77">
        <v>4.0000000000000001E-3</v>
      </c>
      <c r="E837" s="77">
        <v>4.0000000000000001E-3</v>
      </c>
      <c r="F837" s="77">
        <v>4.0000000000000001E-3</v>
      </c>
      <c r="G837" s="78">
        <v>0</v>
      </c>
      <c r="H837" s="79"/>
      <c r="I837" s="79"/>
      <c r="J837" s="79"/>
      <c r="K837" s="80">
        <v>1.54E-2</v>
      </c>
      <c r="L837" s="80">
        <v>0</v>
      </c>
      <c r="M837" s="75" t="s">
        <v>143</v>
      </c>
      <c r="N837" s="75" t="b">
        <v>1</v>
      </c>
      <c r="O837" s="75" t="s">
        <v>144</v>
      </c>
      <c r="P837" s="75">
        <v>1994</v>
      </c>
      <c r="Q837" s="75">
        <v>2020</v>
      </c>
      <c r="R837" s="75">
        <v>1</v>
      </c>
      <c r="S837" s="100">
        <v>210020</v>
      </c>
      <c r="T837" s="101">
        <v>40281</v>
      </c>
      <c r="U837" s="83"/>
    </row>
    <row r="838" spans="1:21" s="84" customFormat="1" x14ac:dyDescent="0.3">
      <c r="A838" s="68">
        <v>40273</v>
      </c>
      <c r="B838" s="69">
        <f t="shared" si="13"/>
        <v>20100405</v>
      </c>
      <c r="C838" s="70">
        <v>4.0500000000000001E-2</v>
      </c>
      <c r="D838" s="77">
        <v>4.0000000000000001E-3</v>
      </c>
      <c r="E838" s="77">
        <v>4.0000000000000001E-3</v>
      </c>
      <c r="F838" s="77">
        <v>4.0000000000000001E-3</v>
      </c>
      <c r="G838" s="78">
        <v>0</v>
      </c>
      <c r="H838" s="79"/>
      <c r="I838" s="79"/>
      <c r="J838" s="79"/>
      <c r="K838" s="80">
        <v>1.5800000000000002E-2</v>
      </c>
      <c r="L838" s="80">
        <v>0</v>
      </c>
      <c r="M838" s="75" t="s">
        <v>143</v>
      </c>
      <c r="N838" s="75" t="b">
        <v>1</v>
      </c>
      <c r="O838" s="75" t="s">
        <v>144</v>
      </c>
      <c r="P838" s="75">
        <v>1994</v>
      </c>
      <c r="Q838" s="75">
        <v>2020</v>
      </c>
      <c r="R838" s="75">
        <v>1</v>
      </c>
      <c r="S838" s="100">
        <v>210020</v>
      </c>
      <c r="T838" s="101">
        <v>40281</v>
      </c>
      <c r="U838" s="83"/>
    </row>
    <row r="839" spans="1:21" s="84" customFormat="1" x14ac:dyDescent="0.3">
      <c r="A839" s="68">
        <v>40274</v>
      </c>
      <c r="B839" s="69">
        <f t="shared" si="13"/>
        <v>20100406</v>
      </c>
      <c r="C839" s="70">
        <v>4.0500000000000001E-2</v>
      </c>
      <c r="D839" s="77">
        <v>4.0000000000000001E-3</v>
      </c>
      <c r="E839" s="77">
        <v>4.0000000000000001E-3</v>
      </c>
      <c r="F839" s="77">
        <v>4.0000000000000001E-3</v>
      </c>
      <c r="G839" s="78">
        <v>0</v>
      </c>
      <c r="H839" s="79"/>
      <c r="I839" s="79"/>
      <c r="J839" s="79"/>
      <c r="K839" s="80">
        <v>1.5800000000000002E-2</v>
      </c>
      <c r="L839" s="80">
        <v>0</v>
      </c>
      <c r="M839" s="75" t="s">
        <v>143</v>
      </c>
      <c r="N839" s="75" t="b">
        <v>1</v>
      </c>
      <c r="O839" s="75" t="s">
        <v>144</v>
      </c>
      <c r="P839" s="75">
        <v>1994</v>
      </c>
      <c r="Q839" s="75">
        <v>2020</v>
      </c>
      <c r="R839" s="75">
        <v>1</v>
      </c>
      <c r="S839" s="100">
        <v>210020</v>
      </c>
      <c r="T839" s="101">
        <v>40281</v>
      </c>
      <c r="U839" s="83"/>
    </row>
    <row r="840" spans="1:21" s="84" customFormat="1" x14ac:dyDescent="0.3">
      <c r="A840" s="68">
        <v>40275</v>
      </c>
      <c r="B840" s="69">
        <f t="shared" si="13"/>
        <v>20100407</v>
      </c>
      <c r="C840" s="70">
        <v>0.04</v>
      </c>
      <c r="D840" s="77">
        <v>4.0000000000000001E-3</v>
      </c>
      <c r="E840" s="77">
        <v>4.0000000000000001E-3</v>
      </c>
      <c r="F840" s="77">
        <v>4.0000000000000001E-3</v>
      </c>
      <c r="G840" s="78">
        <v>0</v>
      </c>
      <c r="H840" s="79"/>
      <c r="I840" s="79"/>
      <c r="J840" s="79"/>
      <c r="K840" s="80">
        <v>1.54E-2</v>
      </c>
      <c r="L840" s="80">
        <v>0</v>
      </c>
      <c r="M840" s="75" t="s">
        <v>143</v>
      </c>
      <c r="N840" s="75" t="b">
        <v>1</v>
      </c>
      <c r="O840" s="75" t="s">
        <v>144</v>
      </c>
      <c r="P840" s="75">
        <v>1994</v>
      </c>
      <c r="Q840" s="75">
        <v>2020</v>
      </c>
      <c r="R840" s="75">
        <v>1</v>
      </c>
      <c r="S840" s="100">
        <v>210020</v>
      </c>
      <c r="T840" s="101">
        <v>40281</v>
      </c>
      <c r="U840" s="83"/>
    </row>
    <row r="841" spans="1:21" s="84" customFormat="1" x14ac:dyDescent="0.3">
      <c r="A841" s="68">
        <v>40276</v>
      </c>
      <c r="B841" s="69">
        <f t="shared" si="13"/>
        <v>20100408</v>
      </c>
      <c r="C841" s="70">
        <v>4.0399999999999998E-2</v>
      </c>
      <c r="D841" s="77">
        <v>4.0000000000000001E-3</v>
      </c>
      <c r="E841" s="77">
        <v>4.0000000000000001E-3</v>
      </c>
      <c r="F841" s="77">
        <v>4.0000000000000001E-3</v>
      </c>
      <c r="G841" s="78">
        <v>0</v>
      </c>
      <c r="H841" s="79"/>
      <c r="I841" s="79"/>
      <c r="J841" s="79"/>
      <c r="K841" s="80">
        <v>1.5600000000000001E-2</v>
      </c>
      <c r="L841" s="80">
        <v>0</v>
      </c>
      <c r="M841" s="75" t="s">
        <v>143</v>
      </c>
      <c r="N841" s="75" t="b">
        <v>1</v>
      </c>
      <c r="O841" s="75" t="s">
        <v>144</v>
      </c>
      <c r="P841" s="75">
        <v>1994</v>
      </c>
      <c r="Q841" s="75">
        <v>2020</v>
      </c>
      <c r="R841" s="75">
        <v>1</v>
      </c>
      <c r="S841" s="100">
        <v>210020</v>
      </c>
      <c r="T841" s="101">
        <v>40281</v>
      </c>
      <c r="U841" s="83"/>
    </row>
    <row r="842" spans="1:21" s="84" customFormat="1" x14ac:dyDescent="0.3">
      <c r="A842" s="68">
        <v>40277</v>
      </c>
      <c r="B842" s="69">
        <f t="shared" ref="B842:B909" si="14">YEAR(A842)*10000+MONTH(A842)*100+DAY(A842)</f>
        <v>20100409</v>
      </c>
      <c r="C842" s="70">
        <v>0.04</v>
      </c>
      <c r="D842" s="77">
        <v>4.0000000000000001E-3</v>
      </c>
      <c r="E842" s="77">
        <v>4.0000000000000001E-3</v>
      </c>
      <c r="F842" s="77">
        <v>4.0000000000000001E-3</v>
      </c>
      <c r="G842" s="78">
        <v>0</v>
      </c>
      <c r="H842" s="79"/>
      <c r="I842" s="79"/>
      <c r="J842" s="79"/>
      <c r="K842" s="80">
        <v>1.52E-2</v>
      </c>
      <c r="L842" s="80">
        <v>0</v>
      </c>
      <c r="M842" s="75" t="s">
        <v>143</v>
      </c>
      <c r="N842" s="75" t="b">
        <v>1</v>
      </c>
      <c r="O842" s="75" t="s">
        <v>144</v>
      </c>
      <c r="P842" s="75">
        <v>1994</v>
      </c>
      <c r="Q842" s="75">
        <v>2020</v>
      </c>
      <c r="R842" s="75">
        <v>1</v>
      </c>
      <c r="S842" s="100">
        <v>210020</v>
      </c>
      <c r="T842" s="101">
        <v>40281</v>
      </c>
      <c r="U842" s="83"/>
    </row>
    <row r="843" spans="1:21" s="84" customFormat="1" x14ac:dyDescent="0.3">
      <c r="A843" s="68">
        <v>40278</v>
      </c>
      <c r="B843" s="69">
        <f t="shared" si="14"/>
        <v>20100410</v>
      </c>
      <c r="C843" s="70">
        <v>0.04</v>
      </c>
      <c r="D843" s="77">
        <v>4.0000000000000001E-3</v>
      </c>
      <c r="E843" s="77">
        <v>4.0000000000000001E-3</v>
      </c>
      <c r="F843" s="77">
        <v>4.0000000000000001E-3</v>
      </c>
      <c r="G843" s="78">
        <v>0</v>
      </c>
      <c r="H843" s="79"/>
      <c r="I843" s="79"/>
      <c r="J843" s="79"/>
      <c r="K843" s="80">
        <v>1.52E-2</v>
      </c>
      <c r="L843" s="80">
        <v>0</v>
      </c>
      <c r="M843" s="75" t="s">
        <v>143</v>
      </c>
      <c r="N843" s="75" t="b">
        <v>1</v>
      </c>
      <c r="O843" s="75" t="s">
        <v>144</v>
      </c>
      <c r="P843" s="75">
        <v>1994</v>
      </c>
      <c r="Q843" s="75">
        <v>2020</v>
      </c>
      <c r="R843" s="75">
        <v>1</v>
      </c>
      <c r="S843" s="100">
        <v>210020</v>
      </c>
      <c r="T843" s="101">
        <v>40281</v>
      </c>
      <c r="U843" s="83"/>
    </row>
    <row r="844" spans="1:21" s="84" customFormat="1" x14ac:dyDescent="0.3">
      <c r="A844" s="68">
        <v>40279</v>
      </c>
      <c r="B844" s="69">
        <f t="shared" si="14"/>
        <v>20100411</v>
      </c>
      <c r="C844" s="70">
        <v>0.04</v>
      </c>
      <c r="D844" s="77">
        <v>4.0000000000000001E-3</v>
      </c>
      <c r="E844" s="77">
        <v>4.0000000000000001E-3</v>
      </c>
      <c r="F844" s="77">
        <v>4.0000000000000001E-3</v>
      </c>
      <c r="G844" s="78">
        <v>0</v>
      </c>
      <c r="H844" s="79"/>
      <c r="I844" s="79"/>
      <c r="J844" s="79"/>
      <c r="K844" s="80">
        <v>1.52E-2</v>
      </c>
      <c r="L844" s="80">
        <v>0</v>
      </c>
      <c r="M844" s="75" t="s">
        <v>143</v>
      </c>
      <c r="N844" s="75" t="b">
        <v>1</v>
      </c>
      <c r="O844" s="75" t="s">
        <v>144</v>
      </c>
      <c r="P844" s="75">
        <v>1994</v>
      </c>
      <c r="Q844" s="75">
        <v>2020</v>
      </c>
      <c r="R844" s="75">
        <v>1</v>
      </c>
      <c r="S844" s="100">
        <v>210020</v>
      </c>
      <c r="T844" s="101">
        <v>40281</v>
      </c>
      <c r="U844" s="83"/>
    </row>
    <row r="845" spans="1:21" s="84" customFormat="1" x14ac:dyDescent="0.3">
      <c r="A845" s="68">
        <v>40280</v>
      </c>
      <c r="B845" s="69">
        <f t="shared" si="14"/>
        <v>20100412</v>
      </c>
      <c r="C845" s="70">
        <v>0.04</v>
      </c>
      <c r="D845" s="77">
        <v>4.0000000000000001E-3</v>
      </c>
      <c r="E845" s="77">
        <v>4.0000000000000001E-3</v>
      </c>
      <c r="F845" s="77">
        <v>4.0000000000000001E-3</v>
      </c>
      <c r="G845" s="78">
        <v>0</v>
      </c>
      <c r="H845" s="79"/>
      <c r="I845" s="79"/>
      <c r="J845" s="79"/>
      <c r="K845" s="80">
        <v>1.52E-2</v>
      </c>
      <c r="L845" s="80">
        <v>0</v>
      </c>
      <c r="M845" s="75" t="s">
        <v>143</v>
      </c>
      <c r="N845" s="75" t="b">
        <v>1</v>
      </c>
      <c r="O845" s="75" t="s">
        <v>144</v>
      </c>
      <c r="P845" s="75">
        <v>1994</v>
      </c>
      <c r="Q845" s="75">
        <v>2020</v>
      </c>
      <c r="R845" s="75">
        <v>1</v>
      </c>
      <c r="S845" s="100">
        <v>210020</v>
      </c>
      <c r="T845" s="101">
        <v>40281</v>
      </c>
      <c r="U845" s="83"/>
    </row>
    <row r="846" spans="1:21" s="84" customFormat="1" x14ac:dyDescent="0.3">
      <c r="A846" s="68">
        <v>40281</v>
      </c>
      <c r="B846" s="69">
        <f t="shared" si="14"/>
        <v>20100413</v>
      </c>
      <c r="C846" s="70">
        <v>4.02E-2</v>
      </c>
      <c r="D846" s="77">
        <v>4.0000000000000001E-3</v>
      </c>
      <c r="E846" s="77">
        <v>4.0000000000000001E-3</v>
      </c>
      <c r="F846" s="77">
        <v>4.0000000000000001E-3</v>
      </c>
      <c r="G846" s="78">
        <v>0</v>
      </c>
      <c r="H846" s="79"/>
      <c r="I846" s="79"/>
      <c r="J846" s="79"/>
      <c r="K846" s="80">
        <v>1.55E-2</v>
      </c>
      <c r="L846" s="80">
        <v>0</v>
      </c>
      <c r="M846" s="75" t="s">
        <v>143</v>
      </c>
      <c r="N846" s="75" t="b">
        <v>1</v>
      </c>
      <c r="O846" s="75" t="s">
        <v>144</v>
      </c>
      <c r="P846" s="75">
        <v>1994</v>
      </c>
      <c r="Q846" s="75">
        <v>2020</v>
      </c>
      <c r="R846" s="75">
        <v>1</v>
      </c>
      <c r="S846" s="100">
        <v>210020</v>
      </c>
      <c r="T846" s="101">
        <v>40281</v>
      </c>
      <c r="U846" s="83"/>
    </row>
    <row r="847" spans="1:21" s="84" customFormat="1" x14ac:dyDescent="0.3">
      <c r="A847" s="68">
        <v>40282</v>
      </c>
      <c r="B847" s="69">
        <f t="shared" si="14"/>
        <v>20100414</v>
      </c>
      <c r="C847" s="70">
        <v>4.0500000000000001E-2</v>
      </c>
      <c r="D847" s="77">
        <v>4.0000000000000001E-3</v>
      </c>
      <c r="E847" s="77">
        <v>4.0000000000000001E-3</v>
      </c>
      <c r="F847" s="77">
        <v>4.0000000000000001E-3</v>
      </c>
      <c r="G847" s="78">
        <v>0</v>
      </c>
      <c r="H847" s="79"/>
      <c r="I847" s="79"/>
      <c r="J847" s="79"/>
      <c r="K847" s="80">
        <v>1.5700000000000002E-2</v>
      </c>
      <c r="L847" s="80">
        <v>0</v>
      </c>
      <c r="M847" s="75" t="s">
        <v>143</v>
      </c>
      <c r="N847" s="75" t="b">
        <v>1</v>
      </c>
      <c r="O847" s="75" t="s">
        <v>144</v>
      </c>
      <c r="P847" s="75">
        <v>1994</v>
      </c>
      <c r="Q847" s="75">
        <v>2020</v>
      </c>
      <c r="R847" s="75">
        <v>1</v>
      </c>
      <c r="S847" s="100">
        <v>210020</v>
      </c>
      <c r="T847" s="101">
        <v>40281</v>
      </c>
      <c r="U847" s="83"/>
    </row>
    <row r="848" spans="1:21" s="84" customFormat="1" x14ac:dyDescent="0.3">
      <c r="A848" s="68">
        <v>40283</v>
      </c>
      <c r="B848" s="69">
        <f t="shared" si="14"/>
        <v>20100415</v>
      </c>
      <c r="C848" s="70">
        <v>4.0500000000000001E-2</v>
      </c>
      <c r="D848" s="77">
        <v>4.0000000000000001E-3</v>
      </c>
      <c r="E848" s="77">
        <v>4.0000000000000001E-3</v>
      </c>
      <c r="F848" s="77">
        <v>4.0000000000000001E-3</v>
      </c>
      <c r="G848" s="78">
        <v>0</v>
      </c>
      <c r="H848" s="79"/>
      <c r="I848" s="79"/>
      <c r="J848" s="79"/>
      <c r="K848" s="80">
        <v>1.5600000000000001E-2</v>
      </c>
      <c r="L848" s="80">
        <v>0</v>
      </c>
      <c r="M848" s="75" t="s">
        <v>143</v>
      </c>
      <c r="N848" s="75" t="b">
        <v>1</v>
      </c>
      <c r="O848" s="75" t="s">
        <v>144</v>
      </c>
      <c r="P848" s="75">
        <v>1994</v>
      </c>
      <c r="Q848" s="75">
        <v>2020</v>
      </c>
      <c r="R848" s="75">
        <v>1</v>
      </c>
      <c r="S848" s="100">
        <v>210020</v>
      </c>
      <c r="T848" s="101">
        <v>40281</v>
      </c>
      <c r="U848" s="83"/>
    </row>
    <row r="849" spans="1:21" s="84" customFormat="1" x14ac:dyDescent="0.3">
      <c r="A849" s="68">
        <v>40284</v>
      </c>
      <c r="B849" s="69">
        <f t="shared" si="14"/>
        <v>20100416</v>
      </c>
      <c r="C849" s="70">
        <v>4.0300000000000002E-2</v>
      </c>
      <c r="D849" s="77">
        <v>4.0000000000000001E-3</v>
      </c>
      <c r="E849" s="77">
        <v>4.0000000000000001E-3</v>
      </c>
      <c r="F849" s="77">
        <v>4.0000000000000001E-3</v>
      </c>
      <c r="G849" s="78">
        <v>0</v>
      </c>
      <c r="H849" s="79"/>
      <c r="I849" s="79"/>
      <c r="J849" s="79"/>
      <c r="K849" s="80">
        <v>1.5600000000000001E-2</v>
      </c>
      <c r="L849" s="80">
        <v>0</v>
      </c>
      <c r="M849" s="75" t="s">
        <v>143</v>
      </c>
      <c r="N849" s="75" t="b">
        <v>1</v>
      </c>
      <c r="O849" s="75" t="s">
        <v>144</v>
      </c>
      <c r="P849" s="75">
        <v>1994</v>
      </c>
      <c r="Q849" s="75">
        <v>2020</v>
      </c>
      <c r="R849" s="75">
        <v>1</v>
      </c>
      <c r="S849" s="100">
        <v>210020</v>
      </c>
      <c r="T849" s="101">
        <v>40281</v>
      </c>
      <c r="U849" s="83"/>
    </row>
    <row r="850" spans="1:21" s="84" customFormat="1" x14ac:dyDescent="0.3">
      <c r="A850" s="68">
        <v>40285</v>
      </c>
      <c r="B850" s="69">
        <f t="shared" si="14"/>
        <v>20100417</v>
      </c>
      <c r="C850" s="70">
        <v>4.0300000000000002E-2</v>
      </c>
      <c r="D850" s="77">
        <v>4.0000000000000001E-3</v>
      </c>
      <c r="E850" s="77">
        <v>4.0000000000000001E-3</v>
      </c>
      <c r="F850" s="77">
        <v>4.0000000000000001E-3</v>
      </c>
      <c r="G850" s="78">
        <v>0</v>
      </c>
      <c r="H850" s="79"/>
      <c r="I850" s="79"/>
      <c r="J850" s="79"/>
      <c r="K850" s="80">
        <v>1.5600000000000001E-2</v>
      </c>
      <c r="L850" s="80">
        <v>0</v>
      </c>
      <c r="M850" s="75" t="s">
        <v>143</v>
      </c>
      <c r="N850" s="75" t="b">
        <v>1</v>
      </c>
      <c r="O850" s="75" t="s">
        <v>144</v>
      </c>
      <c r="P850" s="75">
        <v>1994</v>
      </c>
      <c r="Q850" s="75">
        <v>2020</v>
      </c>
      <c r="R850" s="75">
        <v>1</v>
      </c>
      <c r="S850" s="100">
        <v>210020</v>
      </c>
      <c r="T850" s="101">
        <v>40281</v>
      </c>
      <c r="U850" s="83"/>
    </row>
    <row r="851" spans="1:21" s="84" customFormat="1" x14ac:dyDescent="0.3">
      <c r="A851" s="68">
        <v>40286</v>
      </c>
      <c r="B851" s="69">
        <f t="shared" si="14"/>
        <v>20100418</v>
      </c>
      <c r="C851" s="70">
        <v>4.0300000000000002E-2</v>
      </c>
      <c r="D851" s="77">
        <v>4.0000000000000001E-3</v>
      </c>
      <c r="E851" s="77">
        <v>4.0000000000000001E-3</v>
      </c>
      <c r="F851" s="77">
        <v>4.0000000000000001E-3</v>
      </c>
      <c r="G851" s="78">
        <v>0</v>
      </c>
      <c r="H851" s="79"/>
      <c r="I851" s="79"/>
      <c r="J851" s="79"/>
      <c r="K851" s="80">
        <v>1.5600000000000001E-2</v>
      </c>
      <c r="L851" s="80">
        <v>0</v>
      </c>
      <c r="M851" s="75" t="s">
        <v>143</v>
      </c>
      <c r="N851" s="75" t="b">
        <v>1</v>
      </c>
      <c r="O851" s="75" t="s">
        <v>144</v>
      </c>
      <c r="P851" s="75">
        <v>1994</v>
      </c>
      <c r="Q851" s="75">
        <v>2020</v>
      </c>
      <c r="R851" s="75">
        <v>1</v>
      </c>
      <c r="S851" s="100">
        <v>210020</v>
      </c>
      <c r="T851" s="101">
        <v>40281</v>
      </c>
      <c r="U851" s="83"/>
    </row>
    <row r="852" spans="1:21" s="84" customFormat="1" x14ac:dyDescent="0.3">
      <c r="A852" s="68">
        <v>40287</v>
      </c>
      <c r="B852" s="69">
        <f t="shared" si="14"/>
        <v>20100419</v>
      </c>
      <c r="C852" s="70">
        <v>4.0099999999999997E-2</v>
      </c>
      <c r="D852" s="77">
        <v>4.0000000000000001E-3</v>
      </c>
      <c r="E852" s="77">
        <v>4.0000000000000001E-3</v>
      </c>
      <c r="F852" s="77">
        <v>4.0000000000000001E-3</v>
      </c>
      <c r="G852" s="78">
        <v>0</v>
      </c>
      <c r="H852" s="79"/>
      <c r="I852" s="79"/>
      <c r="J852" s="79"/>
      <c r="K852" s="80">
        <v>1.55E-2</v>
      </c>
      <c r="L852" s="80">
        <v>0</v>
      </c>
      <c r="M852" s="75" t="s">
        <v>143</v>
      </c>
      <c r="N852" s="75" t="b">
        <v>1</v>
      </c>
      <c r="O852" s="75" t="s">
        <v>144</v>
      </c>
      <c r="P852" s="75">
        <v>1994</v>
      </c>
      <c r="Q852" s="75">
        <v>2020</v>
      </c>
      <c r="R852" s="75">
        <v>1</v>
      </c>
      <c r="S852" s="100">
        <v>210020</v>
      </c>
      <c r="T852" s="101">
        <v>40281</v>
      </c>
      <c r="U852" s="83"/>
    </row>
    <row r="853" spans="1:21" s="84" customFormat="1" x14ac:dyDescent="0.3">
      <c r="A853" s="68">
        <v>40288</v>
      </c>
      <c r="B853" s="69">
        <f t="shared" si="14"/>
        <v>20100420</v>
      </c>
      <c r="C853" s="70">
        <v>4.02E-2</v>
      </c>
      <c r="D853" s="77">
        <v>4.0000000000000001E-3</v>
      </c>
      <c r="E853" s="77">
        <v>4.0000000000000001E-3</v>
      </c>
      <c r="F853" s="77">
        <v>4.0000000000000001E-3</v>
      </c>
      <c r="G853" s="78">
        <v>0</v>
      </c>
      <c r="H853" s="79"/>
      <c r="I853" s="79"/>
      <c r="J853" s="79"/>
      <c r="K853" s="80">
        <v>1.54E-2</v>
      </c>
      <c r="L853" s="80">
        <v>0</v>
      </c>
      <c r="M853" s="75" t="s">
        <v>143</v>
      </c>
      <c r="N853" s="75" t="b">
        <v>1</v>
      </c>
      <c r="O853" s="75" t="s">
        <v>144</v>
      </c>
      <c r="P853" s="75">
        <v>1994</v>
      </c>
      <c r="Q853" s="75">
        <v>2020</v>
      </c>
      <c r="R853" s="75">
        <v>1</v>
      </c>
      <c r="S853" s="100">
        <v>210020</v>
      </c>
      <c r="T853" s="101">
        <v>40281</v>
      </c>
      <c r="U853" s="83"/>
    </row>
    <row r="854" spans="1:21" s="84" customFormat="1" x14ac:dyDescent="0.3">
      <c r="A854" s="68">
        <v>40289</v>
      </c>
      <c r="B854" s="69">
        <f t="shared" si="14"/>
        <v>20100421</v>
      </c>
      <c r="C854" s="70">
        <v>4.02E-2</v>
      </c>
      <c r="D854" s="77">
        <v>4.0000000000000001E-3</v>
      </c>
      <c r="E854" s="77">
        <v>4.0000000000000001E-3</v>
      </c>
      <c r="F854" s="77">
        <v>4.0000000000000001E-3</v>
      </c>
      <c r="G854" s="78">
        <v>0</v>
      </c>
      <c r="H854" s="79"/>
      <c r="I854" s="79"/>
      <c r="J854" s="79"/>
      <c r="K854" s="80">
        <v>1.5300000000000001E-2</v>
      </c>
      <c r="L854" s="80">
        <v>0</v>
      </c>
      <c r="M854" s="75" t="s">
        <v>143</v>
      </c>
      <c r="N854" s="75" t="b">
        <v>1</v>
      </c>
      <c r="O854" s="75" t="s">
        <v>144</v>
      </c>
      <c r="P854" s="75">
        <v>1994</v>
      </c>
      <c r="Q854" s="75">
        <v>2020</v>
      </c>
      <c r="R854" s="75">
        <v>1</v>
      </c>
      <c r="S854" s="100">
        <v>210020</v>
      </c>
      <c r="T854" s="101">
        <v>40281</v>
      </c>
      <c r="U854" s="83"/>
    </row>
    <row r="855" spans="1:21" s="84" customFormat="1" x14ac:dyDescent="0.3">
      <c r="A855" s="68">
        <v>40290</v>
      </c>
      <c r="B855" s="69">
        <f t="shared" si="14"/>
        <v>20100422</v>
      </c>
      <c r="C855" s="70">
        <v>4.0399999999999998E-2</v>
      </c>
      <c r="D855" s="77">
        <v>4.0000000000000001E-3</v>
      </c>
      <c r="E855" s="77">
        <v>4.0000000000000001E-3</v>
      </c>
      <c r="F855" s="77">
        <v>4.0000000000000001E-3</v>
      </c>
      <c r="G855" s="78">
        <v>0</v>
      </c>
      <c r="H855" s="79"/>
      <c r="I855" s="79"/>
      <c r="J855" s="79"/>
      <c r="K855" s="80">
        <v>1.55E-2</v>
      </c>
      <c r="L855" s="80">
        <v>0</v>
      </c>
      <c r="M855" s="75" t="s">
        <v>143</v>
      </c>
      <c r="N855" s="75" t="b">
        <v>1</v>
      </c>
      <c r="O855" s="75" t="s">
        <v>144</v>
      </c>
      <c r="P855" s="75">
        <v>1994</v>
      </c>
      <c r="Q855" s="75">
        <v>2020</v>
      </c>
      <c r="R855" s="75">
        <v>1</v>
      </c>
      <c r="S855" s="100">
        <v>210020</v>
      </c>
      <c r="T855" s="101">
        <v>40281</v>
      </c>
      <c r="U855" s="83"/>
    </row>
    <row r="856" spans="1:21" s="84" customFormat="1" x14ac:dyDescent="0.3">
      <c r="A856" s="68">
        <v>40291</v>
      </c>
      <c r="B856" s="69">
        <f t="shared" si="14"/>
        <v>20100423</v>
      </c>
      <c r="C856" s="70">
        <v>4.0199999999999993E-2</v>
      </c>
      <c r="D856" s="77">
        <v>4.0000000000000001E-3</v>
      </c>
      <c r="E856" s="77">
        <v>4.0000000000000001E-3</v>
      </c>
      <c r="F856" s="77">
        <v>4.0000000000000001E-3</v>
      </c>
      <c r="G856" s="78">
        <v>0</v>
      </c>
      <c r="H856" s="79"/>
      <c r="I856" s="79"/>
      <c r="J856" s="79"/>
      <c r="K856" s="80">
        <v>1.55E-2</v>
      </c>
      <c r="L856" s="80">
        <v>0</v>
      </c>
      <c r="M856" s="75" t="s">
        <v>143</v>
      </c>
      <c r="N856" s="75" t="b">
        <v>1</v>
      </c>
      <c r="O856" s="75" t="s">
        <v>144</v>
      </c>
      <c r="P856" s="75">
        <v>1994</v>
      </c>
      <c r="Q856" s="75">
        <v>2020</v>
      </c>
      <c r="R856" s="75">
        <v>1</v>
      </c>
      <c r="S856" s="100">
        <v>210020</v>
      </c>
      <c r="T856" s="101">
        <v>40281</v>
      </c>
      <c r="U856" s="83"/>
    </row>
    <row r="857" spans="1:21" s="84" customFormat="1" x14ac:dyDescent="0.3">
      <c r="A857" s="68">
        <v>40292</v>
      </c>
      <c r="B857" s="69">
        <f>YEAR(A857)*10000+MONTH(A857)*100+DAY(A857)</f>
        <v>20100424</v>
      </c>
      <c r="C857" s="70">
        <v>4.0199999999999993E-2</v>
      </c>
      <c r="D857" s="77">
        <v>4.0000000000000001E-3</v>
      </c>
      <c r="E857" s="77">
        <v>4.0000000000000001E-3</v>
      </c>
      <c r="F857" s="77">
        <v>4.0000000000000001E-3</v>
      </c>
      <c r="G857" s="78">
        <v>0</v>
      </c>
      <c r="H857" s="79"/>
      <c r="I857" s="79"/>
      <c r="J857" s="79"/>
      <c r="K857" s="80">
        <v>1.55E-2</v>
      </c>
      <c r="L857" s="80">
        <v>0</v>
      </c>
      <c r="M857" s="75" t="s">
        <v>143</v>
      </c>
      <c r="N857" s="75" t="b">
        <v>1</v>
      </c>
      <c r="O857" s="75" t="s">
        <v>144</v>
      </c>
      <c r="P857" s="75">
        <v>1994</v>
      </c>
      <c r="Q857" s="75">
        <v>2020</v>
      </c>
      <c r="R857" s="75">
        <v>1</v>
      </c>
      <c r="S857" s="100">
        <v>210020</v>
      </c>
      <c r="T857" s="101">
        <v>40281</v>
      </c>
      <c r="U857" s="83"/>
    </row>
    <row r="858" spans="1:21" s="84" customFormat="1" x14ac:dyDescent="0.3">
      <c r="A858" s="68">
        <v>40293</v>
      </c>
      <c r="B858" s="69">
        <f>YEAR(A858)*10000+MONTH(A858)*100+DAY(A858)</f>
        <v>20100425</v>
      </c>
      <c r="C858" s="70">
        <v>4.0199999999999993E-2</v>
      </c>
      <c r="D858" s="77">
        <v>4.0000000000000001E-3</v>
      </c>
      <c r="E858" s="77">
        <v>4.0000000000000001E-3</v>
      </c>
      <c r="F858" s="77">
        <v>4.0000000000000001E-3</v>
      </c>
      <c r="G858" s="78">
        <v>0</v>
      </c>
      <c r="H858" s="79"/>
      <c r="I858" s="79"/>
      <c r="J858" s="79"/>
      <c r="K858" s="80">
        <v>1.55E-2</v>
      </c>
      <c r="L858" s="80">
        <v>0</v>
      </c>
      <c r="M858" s="75" t="s">
        <v>143</v>
      </c>
      <c r="N858" s="75" t="b">
        <v>1</v>
      </c>
      <c r="O858" s="75" t="s">
        <v>144</v>
      </c>
      <c r="P858" s="75">
        <v>1994</v>
      </c>
      <c r="Q858" s="75">
        <v>2020</v>
      </c>
      <c r="R858" s="75">
        <v>1</v>
      </c>
      <c r="S858" s="100">
        <v>210020</v>
      </c>
      <c r="T858" s="101">
        <v>40281</v>
      </c>
      <c r="U858" s="83"/>
    </row>
    <row r="859" spans="1:21" s="84" customFormat="1" x14ac:dyDescent="0.3">
      <c r="A859" s="68">
        <v>40294</v>
      </c>
      <c r="B859" s="69">
        <f t="shared" si="14"/>
        <v>20100426</v>
      </c>
      <c r="C859" s="70">
        <v>4.0099999999999997E-2</v>
      </c>
      <c r="D859" s="77">
        <v>4.0000000000000001E-3</v>
      </c>
      <c r="E859" s="77">
        <v>4.0000000000000001E-3</v>
      </c>
      <c r="F859" s="77">
        <v>4.0000000000000001E-3</v>
      </c>
      <c r="G859" s="78">
        <v>0</v>
      </c>
      <c r="H859" s="79"/>
      <c r="I859" s="79"/>
      <c r="J859" s="79"/>
      <c r="K859" s="80">
        <v>1.54E-2</v>
      </c>
      <c r="L859" s="80">
        <v>0</v>
      </c>
      <c r="M859" s="75" t="s">
        <v>143</v>
      </c>
      <c r="N859" s="75" t="b">
        <v>1</v>
      </c>
      <c r="O859" s="75" t="s">
        <v>144</v>
      </c>
      <c r="P859" s="75">
        <v>1994</v>
      </c>
      <c r="Q859" s="75">
        <v>2020</v>
      </c>
      <c r="R859" s="75">
        <v>1</v>
      </c>
      <c r="S859" s="100">
        <v>210020</v>
      </c>
      <c r="T859" s="101">
        <v>40281</v>
      </c>
      <c r="U859" s="83"/>
    </row>
    <row r="860" spans="1:21" s="84" customFormat="1" x14ac:dyDescent="0.3">
      <c r="A860" s="68">
        <v>40295</v>
      </c>
      <c r="B860" s="69">
        <f t="shared" si="14"/>
        <v>20100427</v>
      </c>
      <c r="C860" s="70">
        <v>3.95E-2</v>
      </c>
      <c r="D860" s="77">
        <v>4.0000000000000001E-3</v>
      </c>
      <c r="E860" s="77">
        <v>4.0000000000000001E-3</v>
      </c>
      <c r="F860" s="77">
        <v>4.0000000000000001E-3</v>
      </c>
      <c r="G860" s="78">
        <v>0</v>
      </c>
      <c r="H860" s="79"/>
      <c r="I860" s="79"/>
      <c r="J860" s="79"/>
      <c r="K860" s="80">
        <v>1.5100000000000001E-2</v>
      </c>
      <c r="L860" s="80">
        <v>0</v>
      </c>
      <c r="M860" s="75" t="s">
        <v>143</v>
      </c>
      <c r="N860" s="75" t="b">
        <v>1</v>
      </c>
      <c r="O860" s="75" t="s">
        <v>144</v>
      </c>
      <c r="P860" s="75">
        <v>1994</v>
      </c>
      <c r="Q860" s="75">
        <v>2020</v>
      </c>
      <c r="R860" s="75">
        <v>1</v>
      </c>
      <c r="S860" s="100">
        <v>210020</v>
      </c>
      <c r="T860" s="101">
        <v>40281</v>
      </c>
      <c r="U860" s="83"/>
    </row>
    <row r="861" spans="1:21" s="84" customFormat="1" x14ac:dyDescent="0.3">
      <c r="A861" s="68">
        <v>40296</v>
      </c>
      <c r="B861" s="69">
        <f t="shared" si="14"/>
        <v>20100428</v>
      </c>
      <c r="C861" s="70">
        <v>3.9900000000000005E-2</v>
      </c>
      <c r="D861" s="77">
        <v>4.0000000000000001E-3</v>
      </c>
      <c r="E861" s="77">
        <v>4.0000000000000001E-3</v>
      </c>
      <c r="F861" s="77">
        <v>4.0000000000000001E-3</v>
      </c>
      <c r="G861" s="78">
        <v>0</v>
      </c>
      <c r="H861" s="79"/>
      <c r="I861" s="79"/>
      <c r="J861" s="79"/>
      <c r="K861" s="80">
        <v>1.54E-2</v>
      </c>
      <c r="L861" s="80">
        <v>0</v>
      </c>
      <c r="M861" s="75" t="s">
        <v>143</v>
      </c>
      <c r="N861" s="75" t="b">
        <v>1</v>
      </c>
      <c r="O861" s="75" t="s">
        <v>144</v>
      </c>
      <c r="P861" s="75">
        <v>1994</v>
      </c>
      <c r="Q861" s="75">
        <v>2020</v>
      </c>
      <c r="R861" s="75">
        <v>1</v>
      </c>
      <c r="S861" s="100">
        <v>210020</v>
      </c>
      <c r="T861" s="101">
        <v>40281</v>
      </c>
      <c r="U861" s="83"/>
    </row>
    <row r="862" spans="1:21" s="84" customFormat="1" x14ac:dyDescent="0.3">
      <c r="A862" s="68">
        <v>40297</v>
      </c>
      <c r="B862" s="69">
        <f t="shared" si="14"/>
        <v>20100429</v>
      </c>
      <c r="C862" s="70">
        <v>3.9900000000000005E-2</v>
      </c>
      <c r="D862" s="77">
        <v>4.0000000000000001E-3</v>
      </c>
      <c r="E862" s="77">
        <v>4.0000000000000001E-3</v>
      </c>
      <c r="F862" s="77">
        <v>4.0000000000000001E-3</v>
      </c>
      <c r="G862" s="78">
        <v>0</v>
      </c>
      <c r="H862" s="79"/>
      <c r="I862" s="79"/>
      <c r="J862" s="79"/>
      <c r="K862" s="80">
        <v>1.5300000000000001E-2</v>
      </c>
      <c r="L862" s="80">
        <v>0</v>
      </c>
      <c r="M862" s="75" t="s">
        <v>143</v>
      </c>
      <c r="N862" s="75" t="b">
        <v>1</v>
      </c>
      <c r="O862" s="75" t="s">
        <v>144</v>
      </c>
      <c r="P862" s="75">
        <v>1994</v>
      </c>
      <c r="Q862" s="75">
        <v>2020</v>
      </c>
      <c r="R862" s="75">
        <v>1</v>
      </c>
      <c r="S862" s="100">
        <v>210020</v>
      </c>
      <c r="T862" s="101">
        <v>40281</v>
      </c>
      <c r="U862" s="83"/>
    </row>
    <row r="863" spans="1:21" s="84" customFormat="1" x14ac:dyDescent="0.3">
      <c r="A863" s="68">
        <v>40298</v>
      </c>
      <c r="B863" s="69">
        <f t="shared" si="14"/>
        <v>20100430</v>
      </c>
      <c r="C863" s="70">
        <v>3.9399999999999998E-2</v>
      </c>
      <c r="D863" s="77">
        <v>4.0000000000000001E-3</v>
      </c>
      <c r="E863" s="77">
        <v>4.0000000000000001E-3</v>
      </c>
      <c r="F863" s="77">
        <v>4.0000000000000001E-3</v>
      </c>
      <c r="G863" s="78">
        <v>0</v>
      </c>
      <c r="H863" s="79"/>
      <c r="I863" s="79"/>
      <c r="J863" s="79"/>
      <c r="K863" s="80">
        <v>1.49E-2</v>
      </c>
      <c r="L863" s="80">
        <v>0</v>
      </c>
      <c r="M863" s="75" t="s">
        <v>143</v>
      </c>
      <c r="N863" s="75" t="b">
        <v>1</v>
      </c>
      <c r="O863" s="75" t="s">
        <v>144</v>
      </c>
      <c r="P863" s="75">
        <v>1994</v>
      </c>
      <c r="Q863" s="75">
        <v>2020</v>
      </c>
      <c r="R863" s="75">
        <v>1</v>
      </c>
      <c r="S863" s="100">
        <v>210020</v>
      </c>
      <c r="T863" s="101">
        <v>40281</v>
      </c>
      <c r="U863" s="83"/>
    </row>
    <row r="864" spans="1:21" s="84" customFormat="1" x14ac:dyDescent="0.3">
      <c r="A864" s="68">
        <v>40299</v>
      </c>
      <c r="B864" s="69">
        <f t="shared" si="14"/>
        <v>20100501</v>
      </c>
      <c r="C864" s="70">
        <v>3.9399999999999998E-2</v>
      </c>
      <c r="D864" s="77">
        <v>4.0000000000000001E-3</v>
      </c>
      <c r="E864" s="77">
        <v>4.0000000000000001E-3</v>
      </c>
      <c r="F864" s="77">
        <v>4.0000000000000001E-3</v>
      </c>
      <c r="G864" s="78">
        <v>0</v>
      </c>
      <c r="H864" s="79"/>
      <c r="I864" s="79"/>
      <c r="J864" s="79"/>
      <c r="K864" s="80">
        <v>1.49E-2</v>
      </c>
      <c r="L864" s="80">
        <v>0</v>
      </c>
      <c r="M864" s="75" t="s">
        <v>143</v>
      </c>
      <c r="N864" s="75" t="b">
        <v>1</v>
      </c>
      <c r="O864" s="75" t="s">
        <v>144</v>
      </c>
      <c r="P864" s="75">
        <v>1994</v>
      </c>
      <c r="Q864" s="75">
        <v>2020</v>
      </c>
      <c r="R864" s="75">
        <v>1</v>
      </c>
      <c r="S864" s="100">
        <v>210020</v>
      </c>
      <c r="T864" s="101">
        <v>40281</v>
      </c>
      <c r="U864" s="83"/>
    </row>
    <row r="865" spans="1:21" s="84" customFormat="1" x14ac:dyDescent="0.3">
      <c r="A865" s="68">
        <v>40300</v>
      </c>
      <c r="B865" s="69">
        <f t="shared" si="14"/>
        <v>20100502</v>
      </c>
      <c r="C865" s="70">
        <v>3.9399999999999998E-2</v>
      </c>
      <c r="D865" s="77">
        <v>4.0000000000000001E-3</v>
      </c>
      <c r="E865" s="77">
        <v>4.0000000000000001E-3</v>
      </c>
      <c r="F865" s="77">
        <v>4.0000000000000001E-3</v>
      </c>
      <c r="G865" s="78">
        <v>0</v>
      </c>
      <c r="H865" s="79"/>
      <c r="I865" s="79"/>
      <c r="J865" s="79"/>
      <c r="K865" s="80">
        <v>1.49E-2</v>
      </c>
      <c r="L865" s="80">
        <v>0</v>
      </c>
      <c r="M865" s="75" t="s">
        <v>143</v>
      </c>
      <c r="N865" s="75" t="b">
        <v>1</v>
      </c>
      <c r="O865" s="75" t="s">
        <v>144</v>
      </c>
      <c r="P865" s="75">
        <v>1994</v>
      </c>
      <c r="Q865" s="75">
        <v>2020</v>
      </c>
      <c r="R865" s="75">
        <v>1</v>
      </c>
      <c r="S865" s="100">
        <v>210020</v>
      </c>
      <c r="T865" s="101">
        <v>40281</v>
      </c>
      <c r="U865" s="83"/>
    </row>
    <row r="866" spans="1:21" s="84" customFormat="1" x14ac:dyDescent="0.3">
      <c r="A866" s="68">
        <v>40301</v>
      </c>
      <c r="B866" s="69">
        <f t="shared" si="14"/>
        <v>20100503</v>
      </c>
      <c r="C866" s="70">
        <v>3.9199999999999999E-2</v>
      </c>
      <c r="D866" s="77">
        <v>4.0000000000000001E-3</v>
      </c>
      <c r="E866" s="77">
        <v>4.0000000000000001E-3</v>
      </c>
      <c r="F866" s="77">
        <v>4.0000000000000001E-3</v>
      </c>
      <c r="G866" s="78">
        <v>0</v>
      </c>
      <c r="H866" s="79"/>
      <c r="I866" s="79"/>
      <c r="J866" s="79"/>
      <c r="K866" s="80">
        <v>1.4800000000000001E-2</v>
      </c>
      <c r="L866" s="80">
        <v>0</v>
      </c>
      <c r="M866" s="75" t="s">
        <v>143</v>
      </c>
      <c r="N866" s="75" t="b">
        <v>1</v>
      </c>
      <c r="O866" s="75" t="s">
        <v>144</v>
      </c>
      <c r="P866" s="75">
        <v>1994</v>
      </c>
      <c r="Q866" s="75">
        <v>2020</v>
      </c>
      <c r="R866" s="75">
        <v>1</v>
      </c>
      <c r="S866" s="100">
        <v>210020</v>
      </c>
      <c r="T866" s="101">
        <v>40281</v>
      </c>
      <c r="U866" s="83"/>
    </row>
    <row r="867" spans="1:21" s="84" customFormat="1" x14ac:dyDescent="0.3">
      <c r="A867" s="68">
        <v>40302</v>
      </c>
      <c r="B867" s="69">
        <f t="shared" si="14"/>
        <v>20100504</v>
      </c>
      <c r="C867" s="70">
        <v>3.8599999999999995E-2</v>
      </c>
      <c r="D867" s="77">
        <v>4.0000000000000001E-3</v>
      </c>
      <c r="E867" s="77">
        <v>4.0000000000000001E-3</v>
      </c>
      <c r="F867" s="77">
        <v>4.0000000000000001E-3</v>
      </c>
      <c r="G867" s="78">
        <v>0</v>
      </c>
      <c r="H867" s="79"/>
      <c r="I867" s="79"/>
      <c r="J867" s="79"/>
      <c r="K867" s="80">
        <v>1.46E-2</v>
      </c>
      <c r="L867" s="80">
        <v>0</v>
      </c>
      <c r="M867" s="75" t="s">
        <v>143</v>
      </c>
      <c r="N867" s="75" t="b">
        <v>1</v>
      </c>
      <c r="O867" s="75" t="s">
        <v>144</v>
      </c>
      <c r="P867" s="75">
        <v>1994</v>
      </c>
      <c r="Q867" s="75">
        <v>2020</v>
      </c>
      <c r="R867" s="75">
        <v>1</v>
      </c>
      <c r="S867" s="100">
        <v>210020</v>
      </c>
      <c r="T867" s="101">
        <v>40281</v>
      </c>
      <c r="U867" s="83"/>
    </row>
    <row r="868" spans="1:21" s="84" customFormat="1" x14ac:dyDescent="0.3">
      <c r="A868" s="68">
        <v>40303</v>
      </c>
      <c r="B868" s="69">
        <f t="shared" si="14"/>
        <v>20100505</v>
      </c>
      <c r="C868" s="70">
        <v>3.85E-2</v>
      </c>
      <c r="D868" s="77">
        <v>4.0000000000000001E-3</v>
      </c>
      <c r="E868" s="77">
        <v>4.0000000000000001E-3</v>
      </c>
      <c r="F868" s="77">
        <v>4.0000000000000001E-3</v>
      </c>
      <c r="G868" s="78">
        <v>0</v>
      </c>
      <c r="H868" s="79"/>
      <c r="I868" s="79"/>
      <c r="J868" s="79"/>
      <c r="K868" s="80">
        <v>1.47E-2</v>
      </c>
      <c r="L868" s="80">
        <v>0</v>
      </c>
      <c r="M868" s="75" t="s">
        <v>143</v>
      </c>
      <c r="N868" s="75" t="b">
        <v>1</v>
      </c>
      <c r="O868" s="75" t="s">
        <v>144</v>
      </c>
      <c r="P868" s="75">
        <v>1994</v>
      </c>
      <c r="Q868" s="75">
        <v>2020</v>
      </c>
      <c r="R868" s="75">
        <v>1</v>
      </c>
      <c r="S868" s="100">
        <v>210020</v>
      </c>
      <c r="T868" s="101">
        <v>40281</v>
      </c>
      <c r="U868" s="83"/>
    </row>
    <row r="869" spans="1:21" s="84" customFormat="1" x14ac:dyDescent="0.3">
      <c r="A869" s="68">
        <v>40304</v>
      </c>
      <c r="B869" s="69">
        <f t="shared" si="14"/>
        <v>20100506</v>
      </c>
      <c r="C869" s="70">
        <v>3.78E-2</v>
      </c>
      <c r="D869" s="77">
        <v>4.0000000000000001E-3</v>
      </c>
      <c r="E869" s="77">
        <v>4.0000000000000001E-3</v>
      </c>
      <c r="F869" s="77">
        <v>4.0000000000000001E-3</v>
      </c>
      <c r="G869" s="78">
        <v>0</v>
      </c>
      <c r="H869" s="79"/>
      <c r="I869" s="79"/>
      <c r="J869" s="79"/>
      <c r="K869" s="80">
        <v>1.49E-2</v>
      </c>
      <c r="L869" s="80">
        <v>0</v>
      </c>
      <c r="M869" s="75" t="s">
        <v>143</v>
      </c>
      <c r="N869" s="75" t="b">
        <v>1</v>
      </c>
      <c r="O869" s="75" t="s">
        <v>144</v>
      </c>
      <c r="P869" s="75">
        <v>1994</v>
      </c>
      <c r="Q869" s="75">
        <v>2020</v>
      </c>
      <c r="R869" s="75">
        <v>1</v>
      </c>
      <c r="S869" s="100">
        <v>210020</v>
      </c>
      <c r="T869" s="101">
        <v>40281</v>
      </c>
      <c r="U869" s="83"/>
    </row>
    <row r="870" spans="1:21" s="84" customFormat="1" x14ac:dyDescent="0.3">
      <c r="A870" s="68">
        <v>40305</v>
      </c>
      <c r="B870" s="69">
        <f t="shared" si="14"/>
        <v>20100507</v>
      </c>
      <c r="C870" s="70">
        <v>3.7999999999999999E-2</v>
      </c>
      <c r="D870" s="77">
        <v>4.0000000000000001E-3</v>
      </c>
      <c r="E870" s="77">
        <v>4.0000000000000001E-3</v>
      </c>
      <c r="F870" s="77">
        <v>4.0000000000000001E-3</v>
      </c>
      <c r="G870" s="78">
        <v>0</v>
      </c>
      <c r="H870" s="79"/>
      <c r="I870" s="79"/>
      <c r="J870" s="79"/>
      <c r="K870" s="80">
        <v>1.49E-2</v>
      </c>
      <c r="L870" s="80">
        <v>0</v>
      </c>
      <c r="M870" s="75" t="s">
        <v>143</v>
      </c>
      <c r="N870" s="75" t="b">
        <v>1</v>
      </c>
      <c r="O870" s="75" t="s">
        <v>144</v>
      </c>
      <c r="P870" s="75">
        <v>1994</v>
      </c>
      <c r="Q870" s="75">
        <v>2020</v>
      </c>
      <c r="R870" s="75">
        <v>1</v>
      </c>
      <c r="S870" s="100">
        <v>210020</v>
      </c>
      <c r="T870" s="101">
        <v>40281</v>
      </c>
      <c r="U870" s="83"/>
    </row>
    <row r="871" spans="1:21" s="84" customFormat="1" x14ac:dyDescent="0.3">
      <c r="A871" s="68">
        <v>40306</v>
      </c>
      <c r="B871" s="69">
        <f>YEAR(A871)*10000+MONTH(A871)*100+DAY(A871)</f>
        <v>20100508</v>
      </c>
      <c r="C871" s="70">
        <v>3.7999999999999999E-2</v>
      </c>
      <c r="D871" s="77">
        <v>4.0000000000000001E-3</v>
      </c>
      <c r="E871" s="77">
        <v>4.0000000000000001E-3</v>
      </c>
      <c r="F871" s="77">
        <v>4.0000000000000001E-3</v>
      </c>
      <c r="G871" s="78">
        <v>0</v>
      </c>
      <c r="H871" s="79"/>
      <c r="I871" s="79"/>
      <c r="J871" s="79"/>
      <c r="K871" s="80">
        <v>1.49E-2</v>
      </c>
      <c r="L871" s="80">
        <v>0</v>
      </c>
      <c r="M871" s="75" t="s">
        <v>143</v>
      </c>
      <c r="N871" s="75" t="b">
        <v>1</v>
      </c>
      <c r="O871" s="75" t="s">
        <v>144</v>
      </c>
      <c r="P871" s="75">
        <v>1994</v>
      </c>
      <c r="Q871" s="75">
        <v>2020</v>
      </c>
      <c r="R871" s="75">
        <v>1</v>
      </c>
      <c r="S871" s="100">
        <v>210020</v>
      </c>
      <c r="T871" s="101">
        <v>40281</v>
      </c>
      <c r="U871" s="83"/>
    </row>
    <row r="872" spans="1:21" s="84" customFormat="1" x14ac:dyDescent="0.3">
      <c r="A872" s="68">
        <v>40307</v>
      </c>
      <c r="B872" s="69">
        <f>YEAR(A872)*10000+MONTH(A872)*100+DAY(A872)</f>
        <v>20100509</v>
      </c>
      <c r="C872" s="70">
        <v>3.7999999999999999E-2</v>
      </c>
      <c r="D872" s="77">
        <v>4.0000000000000001E-3</v>
      </c>
      <c r="E872" s="77">
        <v>4.0000000000000001E-3</v>
      </c>
      <c r="F872" s="77">
        <v>4.0000000000000001E-3</v>
      </c>
      <c r="G872" s="78">
        <v>0</v>
      </c>
      <c r="H872" s="79"/>
      <c r="I872" s="79"/>
      <c r="J872" s="79"/>
      <c r="K872" s="80">
        <v>1.49E-2</v>
      </c>
      <c r="L872" s="80">
        <v>0</v>
      </c>
      <c r="M872" s="75" t="s">
        <v>143</v>
      </c>
      <c r="N872" s="75" t="b">
        <v>1</v>
      </c>
      <c r="O872" s="75" t="s">
        <v>144</v>
      </c>
      <c r="P872" s="75">
        <v>1994</v>
      </c>
      <c r="Q872" s="75">
        <v>2020</v>
      </c>
      <c r="R872" s="75">
        <v>1</v>
      </c>
      <c r="S872" s="100">
        <v>210020</v>
      </c>
      <c r="T872" s="101">
        <v>40281</v>
      </c>
      <c r="U872" s="83"/>
    </row>
    <row r="873" spans="1:21" s="84" customFormat="1" x14ac:dyDescent="0.3">
      <c r="A873" s="68">
        <v>40308</v>
      </c>
      <c r="B873" s="69">
        <f t="shared" si="14"/>
        <v>20100510</v>
      </c>
      <c r="C873" s="70">
        <v>3.85E-2</v>
      </c>
      <c r="D873" s="77">
        <v>4.0000000000000001E-3</v>
      </c>
      <c r="E873" s="77">
        <v>4.0000000000000001E-3</v>
      </c>
      <c r="F873" s="77">
        <v>4.0000000000000001E-3</v>
      </c>
      <c r="G873" s="78">
        <v>0</v>
      </c>
      <c r="H873" s="79"/>
      <c r="I873" s="79"/>
      <c r="J873" s="79"/>
      <c r="K873" s="80">
        <v>1.52E-2</v>
      </c>
      <c r="L873" s="80">
        <v>0</v>
      </c>
      <c r="M873" s="75" t="s">
        <v>143</v>
      </c>
      <c r="N873" s="75" t="b">
        <v>1</v>
      </c>
      <c r="O873" s="75" t="s">
        <v>144</v>
      </c>
      <c r="P873" s="75">
        <v>1994</v>
      </c>
      <c r="Q873" s="75">
        <v>2020</v>
      </c>
      <c r="R873" s="75">
        <v>1</v>
      </c>
      <c r="S873" s="100">
        <v>210020</v>
      </c>
      <c r="T873" s="101">
        <v>40281</v>
      </c>
      <c r="U873" s="83"/>
    </row>
    <row r="874" spans="1:21" s="84" customFormat="1" x14ac:dyDescent="0.3">
      <c r="A874" s="68">
        <v>40309</v>
      </c>
      <c r="B874" s="69">
        <f t="shared" si="14"/>
        <v>20100511</v>
      </c>
      <c r="C874" s="70">
        <v>3.85E-2</v>
      </c>
      <c r="D874" s="77">
        <v>4.0000000000000001E-3</v>
      </c>
      <c r="E874" s="77">
        <v>4.0000000000000001E-3</v>
      </c>
      <c r="F874" s="77">
        <v>4.0000000000000001E-3</v>
      </c>
      <c r="G874" s="78">
        <v>0</v>
      </c>
      <c r="H874" s="79"/>
      <c r="I874" s="79"/>
      <c r="J874" s="79"/>
      <c r="K874" s="80">
        <v>1.52E-2</v>
      </c>
      <c r="L874" s="80">
        <v>0</v>
      </c>
      <c r="M874" s="75" t="s">
        <v>143</v>
      </c>
      <c r="N874" s="75" t="b">
        <v>1</v>
      </c>
      <c r="O874" s="75" t="s">
        <v>144</v>
      </c>
      <c r="P874" s="75">
        <v>1994</v>
      </c>
      <c r="Q874" s="75">
        <v>2020</v>
      </c>
      <c r="R874" s="75">
        <v>1</v>
      </c>
      <c r="S874" s="100">
        <v>210020</v>
      </c>
      <c r="T874" s="101">
        <v>40281</v>
      </c>
      <c r="U874" s="83"/>
    </row>
    <row r="875" spans="1:21" s="84" customFormat="1" x14ac:dyDescent="0.3">
      <c r="A875" s="68">
        <v>40310</v>
      </c>
      <c r="B875" s="69">
        <f t="shared" si="14"/>
        <v>20100512</v>
      </c>
      <c r="C875" s="70">
        <v>3.8599999999999995E-2</v>
      </c>
      <c r="D875" s="77">
        <v>4.0000000000000001E-3</v>
      </c>
      <c r="E875" s="77">
        <v>4.0000000000000001E-3</v>
      </c>
      <c r="F875" s="77">
        <v>4.0000000000000001E-3</v>
      </c>
      <c r="G875" s="78">
        <v>0</v>
      </c>
      <c r="H875" s="79"/>
      <c r="I875" s="79"/>
      <c r="J875" s="79"/>
      <c r="K875" s="80">
        <v>1.52E-2</v>
      </c>
      <c r="L875" s="80">
        <v>0</v>
      </c>
      <c r="M875" s="75" t="s">
        <v>143</v>
      </c>
      <c r="N875" s="75" t="b">
        <v>1</v>
      </c>
      <c r="O875" s="75" t="s">
        <v>144</v>
      </c>
      <c r="P875" s="75">
        <v>1994</v>
      </c>
      <c r="Q875" s="75">
        <v>2020</v>
      </c>
      <c r="R875" s="75">
        <v>1</v>
      </c>
      <c r="S875" s="100">
        <v>210020</v>
      </c>
      <c r="T875" s="101">
        <v>40281</v>
      </c>
      <c r="U875" s="83"/>
    </row>
    <row r="876" spans="1:21" s="84" customFormat="1" x14ac:dyDescent="0.3">
      <c r="A876" s="68">
        <v>40311</v>
      </c>
      <c r="B876" s="69">
        <f t="shared" si="14"/>
        <v>20100513</v>
      </c>
      <c r="C876" s="70">
        <v>3.7900000000000003E-2</v>
      </c>
      <c r="D876" s="77">
        <v>4.0000000000000001E-3</v>
      </c>
      <c r="E876" s="77">
        <v>4.0000000000000001E-3</v>
      </c>
      <c r="F876" s="77">
        <v>4.0000000000000001E-3</v>
      </c>
      <c r="G876" s="78">
        <v>0</v>
      </c>
      <c r="H876" s="79"/>
      <c r="I876" s="79"/>
      <c r="J876" s="79"/>
      <c r="K876" s="80">
        <v>1.4499999999999999E-2</v>
      </c>
      <c r="L876" s="80">
        <v>0</v>
      </c>
      <c r="M876" s="75" t="s">
        <v>143</v>
      </c>
      <c r="N876" s="75" t="b">
        <v>1</v>
      </c>
      <c r="O876" s="75" t="s">
        <v>144</v>
      </c>
      <c r="P876" s="75">
        <v>1994</v>
      </c>
      <c r="Q876" s="75">
        <v>2020</v>
      </c>
      <c r="R876" s="75">
        <v>1</v>
      </c>
      <c r="S876" s="100">
        <v>210020</v>
      </c>
      <c r="T876" s="101">
        <v>40281</v>
      </c>
      <c r="U876" s="83"/>
    </row>
    <row r="877" spans="1:21" s="84" customFormat="1" x14ac:dyDescent="0.3">
      <c r="A877" s="68">
        <v>40312</v>
      </c>
      <c r="B877" s="69">
        <f t="shared" si="14"/>
        <v>20100514</v>
      </c>
      <c r="C877" s="70">
        <v>3.73E-2</v>
      </c>
      <c r="D877" s="77">
        <v>4.0000000000000001E-3</v>
      </c>
      <c r="E877" s="77">
        <v>4.0000000000000001E-3</v>
      </c>
      <c r="F877" s="77">
        <v>4.0000000000000001E-3</v>
      </c>
      <c r="G877" s="78">
        <v>0</v>
      </c>
      <c r="H877" s="79"/>
      <c r="I877" s="79"/>
      <c r="J877" s="79"/>
      <c r="K877" s="80">
        <v>1.43E-2</v>
      </c>
      <c r="L877" s="80">
        <v>0</v>
      </c>
      <c r="M877" s="75" t="s">
        <v>143</v>
      </c>
      <c r="N877" s="75" t="b">
        <v>1</v>
      </c>
      <c r="O877" s="75" t="s">
        <v>144</v>
      </c>
      <c r="P877" s="75">
        <v>1994</v>
      </c>
      <c r="Q877" s="75">
        <v>2020</v>
      </c>
      <c r="R877" s="75">
        <v>1</v>
      </c>
      <c r="S877" s="100">
        <v>210020</v>
      </c>
      <c r="T877" s="101">
        <v>40281</v>
      </c>
      <c r="U877" s="83"/>
    </row>
    <row r="878" spans="1:21" s="84" customFormat="1" x14ac:dyDescent="0.3">
      <c r="A878" s="68">
        <v>40313</v>
      </c>
      <c r="B878" s="69">
        <f>YEAR(A878)*10000+MONTH(A878)*100+DAY(A878)</f>
        <v>20100515</v>
      </c>
      <c r="C878" s="70">
        <v>3.73E-2</v>
      </c>
      <c r="D878" s="77">
        <v>4.0000000000000001E-3</v>
      </c>
      <c r="E878" s="77">
        <v>4.0000000000000001E-3</v>
      </c>
      <c r="F878" s="77">
        <v>4.0000000000000001E-3</v>
      </c>
      <c r="G878" s="78">
        <v>0</v>
      </c>
      <c r="H878" s="79"/>
      <c r="I878" s="79"/>
      <c r="J878" s="79"/>
      <c r="K878" s="80">
        <v>1.43E-2</v>
      </c>
      <c r="L878" s="80">
        <v>0</v>
      </c>
      <c r="M878" s="75" t="s">
        <v>143</v>
      </c>
      <c r="N878" s="75" t="b">
        <v>1</v>
      </c>
      <c r="O878" s="75" t="s">
        <v>144</v>
      </c>
      <c r="P878" s="75">
        <v>1994</v>
      </c>
      <c r="Q878" s="75">
        <v>2020</v>
      </c>
      <c r="R878" s="75">
        <v>1</v>
      </c>
      <c r="S878" s="100">
        <v>210020</v>
      </c>
      <c r="T878" s="101">
        <v>40281</v>
      </c>
      <c r="U878" s="83"/>
    </row>
    <row r="879" spans="1:21" s="84" customFormat="1" x14ac:dyDescent="0.3">
      <c r="A879" s="68">
        <v>40314</v>
      </c>
      <c r="B879" s="69">
        <f>YEAR(A879)*10000+MONTH(A879)*100+DAY(A879)</f>
        <v>20100516</v>
      </c>
      <c r="C879" s="70">
        <v>3.73E-2</v>
      </c>
      <c r="D879" s="77">
        <v>4.0000000000000001E-3</v>
      </c>
      <c r="E879" s="77">
        <v>4.0000000000000001E-3</v>
      </c>
      <c r="F879" s="77">
        <v>4.0000000000000001E-3</v>
      </c>
      <c r="G879" s="78">
        <v>0</v>
      </c>
      <c r="H879" s="79"/>
      <c r="I879" s="79"/>
      <c r="J879" s="79"/>
      <c r="K879" s="80">
        <v>1.43E-2</v>
      </c>
      <c r="L879" s="80">
        <v>0</v>
      </c>
      <c r="M879" s="75" t="s">
        <v>143</v>
      </c>
      <c r="N879" s="75" t="b">
        <v>1</v>
      </c>
      <c r="O879" s="75" t="s">
        <v>144</v>
      </c>
      <c r="P879" s="75">
        <v>1994</v>
      </c>
      <c r="Q879" s="75">
        <v>2020</v>
      </c>
      <c r="R879" s="75">
        <v>1</v>
      </c>
      <c r="S879" s="100">
        <v>210020</v>
      </c>
      <c r="T879" s="101">
        <v>40281</v>
      </c>
      <c r="U879" s="83"/>
    </row>
    <row r="880" spans="1:21" s="84" customFormat="1" x14ac:dyDescent="0.3">
      <c r="A880" s="68">
        <v>40315</v>
      </c>
      <c r="B880" s="69">
        <f t="shared" si="14"/>
        <v>20100517</v>
      </c>
      <c r="C880" s="70">
        <v>3.7900000000000003E-2</v>
      </c>
      <c r="D880" s="77">
        <v>4.0000000000000001E-3</v>
      </c>
      <c r="E880" s="77">
        <v>4.0000000000000001E-3</v>
      </c>
      <c r="F880" s="77">
        <v>4.0000000000000001E-3</v>
      </c>
      <c r="G880" s="78">
        <v>0</v>
      </c>
      <c r="H880" s="79"/>
      <c r="I880" s="79"/>
      <c r="J880" s="79"/>
      <c r="K880" s="80">
        <v>1.49E-2</v>
      </c>
      <c r="L880" s="80">
        <v>0</v>
      </c>
      <c r="M880" s="75" t="s">
        <v>143</v>
      </c>
      <c r="N880" s="75" t="b">
        <v>1</v>
      </c>
      <c r="O880" s="75" t="s">
        <v>144</v>
      </c>
      <c r="P880" s="75">
        <v>1994</v>
      </c>
      <c r="Q880" s="75">
        <v>2020</v>
      </c>
      <c r="R880" s="75">
        <v>1</v>
      </c>
      <c r="S880" s="100">
        <v>210020</v>
      </c>
      <c r="T880" s="101">
        <v>40281</v>
      </c>
      <c r="U880" s="83"/>
    </row>
    <row r="881" spans="1:21" s="84" customFormat="1" x14ac:dyDescent="0.3">
      <c r="A881" s="68">
        <v>40316</v>
      </c>
      <c r="B881" s="69">
        <f t="shared" si="14"/>
        <v>20100518</v>
      </c>
      <c r="C881" s="70">
        <v>3.7200000000000004E-2</v>
      </c>
      <c r="D881" s="77">
        <v>4.0000000000000001E-3</v>
      </c>
      <c r="E881" s="77">
        <v>4.0000000000000001E-3</v>
      </c>
      <c r="F881" s="77">
        <v>4.0000000000000001E-3</v>
      </c>
      <c r="G881" s="78">
        <v>0</v>
      </c>
      <c r="H881" s="79"/>
      <c r="I881" s="79"/>
      <c r="J881" s="79"/>
      <c r="K881" s="80">
        <v>1.43E-2</v>
      </c>
      <c r="L881" s="80">
        <v>0</v>
      </c>
      <c r="M881" s="75" t="s">
        <v>143</v>
      </c>
      <c r="N881" s="75" t="b">
        <v>1</v>
      </c>
      <c r="O881" s="75" t="s">
        <v>144</v>
      </c>
      <c r="P881" s="75">
        <v>1994</v>
      </c>
      <c r="Q881" s="75">
        <v>2020</v>
      </c>
      <c r="R881" s="75">
        <v>1</v>
      </c>
      <c r="S881" s="100">
        <v>210020</v>
      </c>
      <c r="T881" s="101">
        <v>40281</v>
      </c>
      <c r="U881" s="83"/>
    </row>
    <row r="882" spans="1:21" s="84" customFormat="1" x14ac:dyDescent="0.3">
      <c r="A882" s="68">
        <v>40317</v>
      </c>
      <c r="B882" s="69">
        <f t="shared" si="14"/>
        <v>20100519</v>
      </c>
      <c r="C882" s="70">
        <v>3.7100000000000001E-2</v>
      </c>
      <c r="D882" s="77">
        <v>4.0000000000000001E-3</v>
      </c>
      <c r="E882" s="77">
        <v>4.0000000000000001E-3</v>
      </c>
      <c r="F882" s="77">
        <v>4.0000000000000001E-3</v>
      </c>
      <c r="G882" s="78">
        <v>0</v>
      </c>
      <c r="H882" s="79"/>
      <c r="I882" s="79"/>
      <c r="J882" s="79"/>
      <c r="K882" s="80">
        <v>1.4199999999999999E-2</v>
      </c>
      <c r="L882" s="80">
        <v>0</v>
      </c>
      <c r="M882" s="75" t="s">
        <v>143</v>
      </c>
      <c r="N882" s="75" t="b">
        <v>1</v>
      </c>
      <c r="O882" s="75" t="s">
        <v>144</v>
      </c>
      <c r="P882" s="75">
        <v>1994</v>
      </c>
      <c r="Q882" s="75">
        <v>2020</v>
      </c>
      <c r="R882" s="75">
        <v>1</v>
      </c>
      <c r="S882" s="100">
        <v>210020</v>
      </c>
      <c r="T882" s="101">
        <v>40281</v>
      </c>
      <c r="U882" s="83"/>
    </row>
    <row r="883" spans="1:21" s="84" customFormat="1" x14ac:dyDescent="0.3">
      <c r="A883" s="68">
        <v>40318</v>
      </c>
      <c r="B883" s="69">
        <f t="shared" si="14"/>
        <v>20100520</v>
      </c>
      <c r="C883" s="70">
        <v>3.6400000000000002E-2</v>
      </c>
      <c r="D883" s="77">
        <v>4.0000000000000001E-3</v>
      </c>
      <c r="E883" s="77">
        <v>4.0000000000000001E-3</v>
      </c>
      <c r="F883" s="77">
        <v>4.0000000000000001E-3</v>
      </c>
      <c r="G883" s="78">
        <v>0</v>
      </c>
      <c r="H883" s="79"/>
      <c r="I883" s="79"/>
      <c r="J883" s="79"/>
      <c r="K883" s="80">
        <v>1.4800000000000001E-2</v>
      </c>
      <c r="L883" s="80">
        <v>0</v>
      </c>
      <c r="M883" s="75" t="s">
        <v>143</v>
      </c>
      <c r="N883" s="75" t="b">
        <v>1</v>
      </c>
      <c r="O883" s="75" t="s">
        <v>144</v>
      </c>
      <c r="P883" s="75">
        <v>1994</v>
      </c>
      <c r="Q883" s="75">
        <v>2020</v>
      </c>
      <c r="R883" s="75">
        <v>1</v>
      </c>
      <c r="S883" s="100">
        <v>210020</v>
      </c>
      <c r="T883" s="101">
        <v>40281</v>
      </c>
      <c r="U883" s="83"/>
    </row>
    <row r="884" spans="1:21" s="84" customFormat="1" x14ac:dyDescent="0.3">
      <c r="A884" s="68">
        <v>40319</v>
      </c>
      <c r="B884" s="69">
        <f t="shared" si="14"/>
        <v>20100521</v>
      </c>
      <c r="C884" s="70">
        <v>3.6699999999999997E-2</v>
      </c>
      <c r="D884" s="77">
        <v>4.0000000000000001E-3</v>
      </c>
      <c r="E884" s="77">
        <v>4.0000000000000001E-3</v>
      </c>
      <c r="F884" s="77">
        <v>4.0000000000000001E-3</v>
      </c>
      <c r="G884" s="78">
        <v>0</v>
      </c>
      <c r="H884" s="79"/>
      <c r="I884" s="79"/>
      <c r="J884" s="79"/>
      <c r="K884" s="80">
        <v>1.49E-2</v>
      </c>
      <c r="L884" s="80">
        <v>0</v>
      </c>
      <c r="M884" s="75" t="s">
        <v>143</v>
      </c>
      <c r="N884" s="75" t="b">
        <v>1</v>
      </c>
      <c r="O884" s="75" t="s">
        <v>144</v>
      </c>
      <c r="P884" s="75">
        <v>1994</v>
      </c>
      <c r="Q884" s="75">
        <v>2020</v>
      </c>
      <c r="R884" s="75">
        <v>1</v>
      </c>
      <c r="S884" s="100">
        <v>210020</v>
      </c>
      <c r="T884" s="101">
        <v>40281</v>
      </c>
      <c r="U884" s="83"/>
    </row>
    <row r="885" spans="1:21" s="84" customFormat="1" x14ac:dyDescent="0.3">
      <c r="A885" s="68">
        <v>40320</v>
      </c>
      <c r="B885" s="69">
        <f>YEAR(A885)*10000+MONTH(A885)*100+DAY(A885)</f>
        <v>20100522</v>
      </c>
      <c r="C885" s="70">
        <v>3.6699999999999997E-2</v>
      </c>
      <c r="D885" s="77">
        <v>4.0000000000000001E-3</v>
      </c>
      <c r="E885" s="77">
        <v>4.0000000000000001E-3</v>
      </c>
      <c r="F885" s="77">
        <v>4.0000000000000001E-3</v>
      </c>
      <c r="G885" s="78">
        <v>0</v>
      </c>
      <c r="H885" s="79"/>
      <c r="I885" s="79"/>
      <c r="J885" s="79"/>
      <c r="K885" s="80">
        <v>1.49E-2</v>
      </c>
      <c r="L885" s="80">
        <v>0</v>
      </c>
      <c r="M885" s="75" t="s">
        <v>143</v>
      </c>
      <c r="N885" s="75" t="b">
        <v>1</v>
      </c>
      <c r="O885" s="75" t="s">
        <v>144</v>
      </c>
      <c r="P885" s="75">
        <v>1994</v>
      </c>
      <c r="Q885" s="75">
        <v>2020</v>
      </c>
      <c r="R885" s="75">
        <v>1</v>
      </c>
      <c r="S885" s="100">
        <v>210020</v>
      </c>
      <c r="T885" s="101">
        <v>40281</v>
      </c>
      <c r="U885" s="83"/>
    </row>
    <row r="886" spans="1:21" s="84" customFormat="1" x14ac:dyDescent="0.3">
      <c r="A886" s="68">
        <v>40321</v>
      </c>
      <c r="B886" s="69">
        <f>YEAR(A886)*10000+MONTH(A886)*100+DAY(A886)</f>
        <v>20100523</v>
      </c>
      <c r="C886" s="70">
        <v>3.6699999999999997E-2</v>
      </c>
      <c r="D886" s="77">
        <v>4.0000000000000001E-3</v>
      </c>
      <c r="E886" s="77">
        <v>4.0000000000000001E-3</v>
      </c>
      <c r="F886" s="77">
        <v>4.0000000000000001E-3</v>
      </c>
      <c r="G886" s="78">
        <v>0</v>
      </c>
      <c r="H886" s="79"/>
      <c r="I886" s="79"/>
      <c r="J886" s="79"/>
      <c r="K886" s="80">
        <v>1.49E-2</v>
      </c>
      <c r="L886" s="80">
        <v>0</v>
      </c>
      <c r="M886" s="75" t="s">
        <v>143</v>
      </c>
      <c r="N886" s="75" t="b">
        <v>1</v>
      </c>
      <c r="O886" s="75" t="s">
        <v>144</v>
      </c>
      <c r="P886" s="75">
        <v>1994</v>
      </c>
      <c r="Q886" s="75">
        <v>2020</v>
      </c>
      <c r="R886" s="75">
        <v>1</v>
      </c>
      <c r="S886" s="100">
        <v>210020</v>
      </c>
      <c r="T886" s="101">
        <v>40281</v>
      </c>
      <c r="U886" s="83"/>
    </row>
    <row r="887" spans="1:21" s="84" customFormat="1" x14ac:dyDescent="0.3">
      <c r="A887" s="68">
        <v>40322</v>
      </c>
      <c r="B887" s="69">
        <f t="shared" si="14"/>
        <v>20100524</v>
      </c>
      <c r="C887" s="70">
        <v>3.6699999999999997E-2</v>
      </c>
      <c r="D887" s="77">
        <v>4.0000000000000001E-3</v>
      </c>
      <c r="E887" s="77">
        <v>4.0000000000000001E-3</v>
      </c>
      <c r="F887" s="77">
        <v>4.0000000000000001E-3</v>
      </c>
      <c r="G887" s="78">
        <v>0</v>
      </c>
      <c r="H887" s="79"/>
      <c r="I887" s="79"/>
      <c r="J887" s="79"/>
      <c r="K887" s="80">
        <v>1.49E-2</v>
      </c>
      <c r="L887" s="80">
        <v>0</v>
      </c>
      <c r="M887" s="75" t="s">
        <v>143</v>
      </c>
      <c r="N887" s="75" t="b">
        <v>1</v>
      </c>
      <c r="O887" s="75" t="s">
        <v>144</v>
      </c>
      <c r="P887" s="75">
        <v>1994</v>
      </c>
      <c r="Q887" s="75">
        <v>2020</v>
      </c>
      <c r="R887" s="75">
        <v>1</v>
      </c>
      <c r="S887" s="100">
        <v>210020</v>
      </c>
      <c r="T887" s="101">
        <v>40281</v>
      </c>
      <c r="U887" s="83"/>
    </row>
    <row r="888" spans="1:21" s="84" customFormat="1" x14ac:dyDescent="0.3">
      <c r="A888" s="68">
        <v>40323</v>
      </c>
      <c r="B888" s="69">
        <f t="shared" si="14"/>
        <v>20100525</v>
      </c>
      <c r="C888" s="70">
        <v>3.5900000000000001E-2</v>
      </c>
      <c r="D888" s="77">
        <v>4.0000000000000001E-3</v>
      </c>
      <c r="E888" s="77">
        <v>4.0000000000000001E-3</v>
      </c>
      <c r="F888" s="77">
        <v>4.0000000000000001E-3</v>
      </c>
      <c r="G888" s="78">
        <v>0</v>
      </c>
      <c r="H888" s="79"/>
      <c r="I888" s="79"/>
      <c r="J888" s="79"/>
      <c r="K888" s="80">
        <v>1.46E-2</v>
      </c>
      <c r="L888" s="80">
        <v>0</v>
      </c>
      <c r="M888" s="75" t="s">
        <v>143</v>
      </c>
      <c r="N888" s="75" t="b">
        <v>1</v>
      </c>
      <c r="O888" s="75" t="s">
        <v>144</v>
      </c>
      <c r="P888" s="75">
        <v>1994</v>
      </c>
      <c r="Q888" s="75">
        <v>2020</v>
      </c>
      <c r="R888" s="75">
        <v>1</v>
      </c>
      <c r="S888" s="100">
        <v>210020</v>
      </c>
      <c r="T888" s="101">
        <v>40281</v>
      </c>
      <c r="U888" s="83"/>
    </row>
    <row r="889" spans="1:21" s="84" customFormat="1" x14ac:dyDescent="0.3">
      <c r="A889" s="68">
        <v>40324</v>
      </c>
      <c r="B889" s="69">
        <f t="shared" si="14"/>
        <v>20100526</v>
      </c>
      <c r="C889" s="70">
        <v>3.5799999999999998E-2</v>
      </c>
      <c r="D889" s="77">
        <v>4.0000000000000001E-3</v>
      </c>
      <c r="E889" s="77">
        <v>4.0000000000000001E-3</v>
      </c>
      <c r="F889" s="77">
        <v>4.0000000000000001E-3</v>
      </c>
      <c r="G889" s="78">
        <v>0</v>
      </c>
      <c r="H889" s="79"/>
      <c r="I889" s="79"/>
      <c r="J889" s="79"/>
      <c r="K889" s="80">
        <v>1.44E-2</v>
      </c>
      <c r="L889" s="80">
        <v>0</v>
      </c>
      <c r="M889" s="75" t="s">
        <v>143</v>
      </c>
      <c r="N889" s="75" t="b">
        <v>1</v>
      </c>
      <c r="O889" s="75" t="s">
        <v>144</v>
      </c>
      <c r="P889" s="75">
        <v>1994</v>
      </c>
      <c r="Q889" s="75">
        <v>2020</v>
      </c>
      <c r="R889" s="75">
        <v>1</v>
      </c>
      <c r="S889" s="100">
        <v>210020</v>
      </c>
      <c r="T889" s="101">
        <v>40281</v>
      </c>
      <c r="U889" s="83"/>
    </row>
    <row r="890" spans="1:21" s="84" customFormat="1" x14ac:dyDescent="0.3">
      <c r="A890" s="68">
        <v>40325</v>
      </c>
      <c r="B890" s="69">
        <f t="shared" si="14"/>
        <v>20100527</v>
      </c>
      <c r="C890" s="70">
        <v>3.6600000000000001E-2</v>
      </c>
      <c r="D890" s="77">
        <v>4.0000000000000001E-3</v>
      </c>
      <c r="E890" s="77">
        <v>4.0000000000000001E-3</v>
      </c>
      <c r="F890" s="77">
        <v>4.0000000000000001E-3</v>
      </c>
      <c r="G890" s="78">
        <v>0</v>
      </c>
      <c r="H890" s="79"/>
      <c r="I890" s="79"/>
      <c r="J890" s="79"/>
      <c r="K890" s="80">
        <v>1.4499999999999999E-2</v>
      </c>
      <c r="L890" s="80">
        <v>0</v>
      </c>
      <c r="M890" s="75" t="s">
        <v>143</v>
      </c>
      <c r="N890" s="75" t="b">
        <v>1</v>
      </c>
      <c r="O890" s="75" t="s">
        <v>144</v>
      </c>
      <c r="P890" s="75">
        <v>1994</v>
      </c>
      <c r="Q890" s="75">
        <v>2020</v>
      </c>
      <c r="R890" s="75">
        <v>1</v>
      </c>
      <c r="S890" s="100">
        <v>210020</v>
      </c>
      <c r="T890" s="101">
        <v>40281</v>
      </c>
      <c r="U890" s="83"/>
    </row>
    <row r="891" spans="1:21" s="84" customFormat="1" x14ac:dyDescent="0.3">
      <c r="A891" s="68">
        <v>40326</v>
      </c>
      <c r="B891" s="69">
        <f t="shared" si="14"/>
        <v>20100528</v>
      </c>
      <c r="C891" s="70">
        <v>3.61E-2</v>
      </c>
      <c r="D891" s="77">
        <v>4.0000000000000001E-3</v>
      </c>
      <c r="E891" s="77">
        <v>4.0000000000000001E-3</v>
      </c>
      <c r="F891" s="77">
        <v>4.0000000000000001E-3</v>
      </c>
      <c r="G891" s="78">
        <v>0</v>
      </c>
      <c r="H891" s="79"/>
      <c r="I891" s="79"/>
      <c r="J891" s="79"/>
      <c r="K891" s="80">
        <v>1.43E-2</v>
      </c>
      <c r="L891" s="80">
        <v>0</v>
      </c>
      <c r="M891" s="75" t="s">
        <v>143</v>
      </c>
      <c r="N891" s="75" t="b">
        <v>1</v>
      </c>
      <c r="O891" s="75" t="s">
        <v>144</v>
      </c>
      <c r="P891" s="75">
        <v>1994</v>
      </c>
      <c r="Q891" s="75">
        <v>2020</v>
      </c>
      <c r="R891" s="75">
        <v>1</v>
      </c>
      <c r="S891" s="100">
        <v>210020</v>
      </c>
      <c r="T891" s="101">
        <v>40281</v>
      </c>
      <c r="U891" s="83"/>
    </row>
    <row r="892" spans="1:21" s="84" customFormat="1" x14ac:dyDescent="0.3">
      <c r="A892" s="68">
        <v>40329</v>
      </c>
      <c r="B892" s="69">
        <f t="shared" si="14"/>
        <v>20100531</v>
      </c>
      <c r="C892" s="70">
        <v>3.6499999999999998E-2</v>
      </c>
      <c r="D892" s="77">
        <v>4.0000000000000001E-3</v>
      </c>
      <c r="E892" s="77">
        <v>4.0000000000000001E-3</v>
      </c>
      <c r="F892" s="77">
        <v>4.0000000000000001E-3</v>
      </c>
      <c r="G892" s="78">
        <v>0</v>
      </c>
      <c r="H892" s="79"/>
      <c r="I892" s="79"/>
      <c r="J892" s="79"/>
      <c r="K892" s="80">
        <v>1.4499999999999999E-2</v>
      </c>
      <c r="L892" s="80">
        <v>0</v>
      </c>
      <c r="M892" s="75" t="s">
        <v>143</v>
      </c>
      <c r="N892" s="75" t="b">
        <v>1</v>
      </c>
      <c r="O892" s="75" t="s">
        <v>144</v>
      </c>
      <c r="P892" s="75">
        <v>1994</v>
      </c>
      <c r="Q892" s="75">
        <v>2020</v>
      </c>
      <c r="R892" s="75">
        <v>1</v>
      </c>
      <c r="S892" s="100">
        <v>210020</v>
      </c>
      <c r="T892" s="101">
        <v>40281</v>
      </c>
      <c r="U892" s="83"/>
    </row>
    <row r="893" spans="1:21" s="84" customFormat="1" x14ac:dyDescent="0.3">
      <c r="A893" s="68">
        <v>40330</v>
      </c>
      <c r="B893" s="69">
        <f t="shared" si="14"/>
        <v>20100601</v>
      </c>
      <c r="C893" s="70">
        <v>3.61E-2</v>
      </c>
      <c r="D893" s="77">
        <v>4.0000000000000001E-3</v>
      </c>
      <c r="E893" s="77">
        <v>4.0000000000000001E-3</v>
      </c>
      <c r="F893" s="77">
        <v>4.0000000000000001E-3</v>
      </c>
      <c r="G893" s="78">
        <v>0</v>
      </c>
      <c r="H893" s="79"/>
      <c r="I893" s="79"/>
      <c r="J893" s="79"/>
      <c r="K893" s="80">
        <v>1.44E-2</v>
      </c>
      <c r="L893" s="80">
        <v>0</v>
      </c>
      <c r="M893" s="75" t="s">
        <v>143</v>
      </c>
      <c r="N893" s="75" t="b">
        <v>1</v>
      </c>
      <c r="O893" s="75" t="s">
        <v>144</v>
      </c>
      <c r="P893" s="75">
        <v>1994</v>
      </c>
      <c r="Q893" s="75">
        <v>2020</v>
      </c>
      <c r="R893" s="75">
        <v>1</v>
      </c>
      <c r="S893" s="100">
        <v>210020</v>
      </c>
      <c r="T893" s="101">
        <v>40281</v>
      </c>
      <c r="U893" s="83"/>
    </row>
    <row r="894" spans="1:21" s="84" customFormat="1" x14ac:dyDescent="0.3">
      <c r="A894" s="68">
        <v>40331</v>
      </c>
      <c r="B894" s="69">
        <f t="shared" si="14"/>
        <v>20100602</v>
      </c>
      <c r="C894" s="70">
        <v>3.7400000000000003E-2</v>
      </c>
      <c r="D894" s="77">
        <v>4.0000000000000001E-3</v>
      </c>
      <c r="E894" s="77">
        <v>4.0000000000000001E-3</v>
      </c>
      <c r="F894" s="77">
        <v>4.0000000000000001E-3</v>
      </c>
      <c r="G894" s="78">
        <v>0</v>
      </c>
      <c r="H894" s="79"/>
      <c r="I894" s="79"/>
      <c r="J894" s="79"/>
      <c r="K894" s="80">
        <v>1.47E-2</v>
      </c>
      <c r="L894" s="80">
        <v>0</v>
      </c>
      <c r="M894" s="75" t="s">
        <v>143</v>
      </c>
      <c r="N894" s="75" t="b">
        <v>1</v>
      </c>
      <c r="O894" s="75" t="s">
        <v>144</v>
      </c>
      <c r="P894" s="75">
        <v>1994</v>
      </c>
      <c r="Q894" s="75">
        <v>2020</v>
      </c>
      <c r="R894" s="75">
        <v>1</v>
      </c>
      <c r="S894" s="100">
        <v>210020</v>
      </c>
      <c r="T894" s="101">
        <v>40281</v>
      </c>
      <c r="U894" s="83"/>
    </row>
    <row r="895" spans="1:21" s="84" customFormat="1" x14ac:dyDescent="0.3">
      <c r="A895" s="68">
        <v>40332</v>
      </c>
      <c r="B895" s="69">
        <f t="shared" si="14"/>
        <v>20100603</v>
      </c>
      <c r="C895" s="70">
        <v>3.7499999999999999E-2</v>
      </c>
      <c r="D895" s="77">
        <v>4.0000000000000001E-3</v>
      </c>
      <c r="E895" s="77">
        <v>4.0000000000000001E-3</v>
      </c>
      <c r="F895" s="77">
        <v>4.0000000000000001E-3</v>
      </c>
      <c r="G895" s="78">
        <v>0</v>
      </c>
      <c r="H895" s="79"/>
      <c r="I895" s="79"/>
      <c r="J895" s="79"/>
      <c r="K895" s="80">
        <v>1.4800000000000001E-2</v>
      </c>
      <c r="L895" s="80">
        <v>0</v>
      </c>
      <c r="M895" s="75" t="s">
        <v>143</v>
      </c>
      <c r="N895" s="75" t="b">
        <v>1</v>
      </c>
      <c r="O895" s="75" t="s">
        <v>144</v>
      </c>
      <c r="P895" s="75">
        <v>1994</v>
      </c>
      <c r="Q895" s="75">
        <v>2020</v>
      </c>
      <c r="R895" s="75">
        <v>1</v>
      </c>
      <c r="S895" s="100">
        <v>210020</v>
      </c>
      <c r="T895" s="101">
        <v>40281</v>
      </c>
      <c r="U895" s="83"/>
    </row>
    <row r="896" spans="1:21" s="84" customFormat="1" x14ac:dyDescent="0.3">
      <c r="A896" s="68">
        <v>40333</v>
      </c>
      <c r="B896" s="69">
        <f t="shared" si="14"/>
        <v>20100604</v>
      </c>
      <c r="C896" s="70">
        <v>3.6799999999999999E-2</v>
      </c>
      <c r="D896" s="77">
        <v>4.0000000000000001E-3</v>
      </c>
      <c r="E896" s="77">
        <v>4.0000000000000001E-3</v>
      </c>
      <c r="F896" s="77">
        <v>4.0000000000000001E-3</v>
      </c>
      <c r="G896" s="78">
        <v>0</v>
      </c>
      <c r="H896" s="79"/>
      <c r="I896" s="79"/>
      <c r="J896" s="79"/>
      <c r="K896" s="80">
        <v>1.44E-2</v>
      </c>
      <c r="L896" s="80">
        <v>0</v>
      </c>
      <c r="M896" s="75" t="s">
        <v>143</v>
      </c>
      <c r="N896" s="75" t="b">
        <v>1</v>
      </c>
      <c r="O896" s="75" t="s">
        <v>144</v>
      </c>
      <c r="P896" s="75">
        <v>1994</v>
      </c>
      <c r="Q896" s="75">
        <v>2020</v>
      </c>
      <c r="R896" s="75">
        <v>1</v>
      </c>
      <c r="S896" s="100">
        <v>210020</v>
      </c>
      <c r="T896" s="101">
        <v>40281</v>
      </c>
      <c r="U896" s="83"/>
    </row>
    <row r="897" spans="1:21" s="84" customFormat="1" x14ac:dyDescent="0.3">
      <c r="A897" s="68">
        <v>40334</v>
      </c>
      <c r="B897" s="69">
        <f t="shared" si="14"/>
        <v>20100605</v>
      </c>
      <c r="C897" s="70">
        <v>3.6799999999999999E-2</v>
      </c>
      <c r="D897" s="77">
        <v>4.0000000000000001E-3</v>
      </c>
      <c r="E897" s="77">
        <v>4.0000000000000001E-3</v>
      </c>
      <c r="F897" s="77">
        <v>4.0000000000000001E-3</v>
      </c>
      <c r="G897" s="78">
        <v>0</v>
      </c>
      <c r="H897" s="79"/>
      <c r="I897" s="79"/>
      <c r="J897" s="79"/>
      <c r="K897" s="80">
        <v>1.44E-2</v>
      </c>
      <c r="L897" s="80">
        <v>0</v>
      </c>
      <c r="M897" s="75" t="s">
        <v>143</v>
      </c>
      <c r="N897" s="75" t="b">
        <v>1</v>
      </c>
      <c r="O897" s="75" t="s">
        <v>144</v>
      </c>
      <c r="P897" s="75">
        <v>1994</v>
      </c>
      <c r="Q897" s="75">
        <v>2020</v>
      </c>
      <c r="R897" s="75">
        <v>1</v>
      </c>
      <c r="S897" s="100">
        <v>210020</v>
      </c>
      <c r="T897" s="101">
        <v>40281</v>
      </c>
      <c r="U897" s="83"/>
    </row>
    <row r="898" spans="1:21" s="84" customFormat="1" x14ac:dyDescent="0.3">
      <c r="A898" s="68">
        <v>40335</v>
      </c>
      <c r="B898" s="69">
        <f t="shared" si="14"/>
        <v>20100606</v>
      </c>
      <c r="C898" s="70">
        <v>3.6799999999999999E-2</v>
      </c>
      <c r="D898" s="77">
        <v>4.0000000000000001E-3</v>
      </c>
      <c r="E898" s="77">
        <v>4.0000000000000001E-3</v>
      </c>
      <c r="F898" s="77">
        <v>4.0000000000000001E-3</v>
      </c>
      <c r="G898" s="78">
        <v>0</v>
      </c>
      <c r="H898" s="79"/>
      <c r="I898" s="79"/>
      <c r="J898" s="79"/>
      <c r="K898" s="80">
        <v>1.44E-2</v>
      </c>
      <c r="L898" s="80">
        <v>0</v>
      </c>
      <c r="M898" s="75" t="s">
        <v>143</v>
      </c>
      <c r="N898" s="75" t="b">
        <v>1</v>
      </c>
      <c r="O898" s="75" t="s">
        <v>144</v>
      </c>
      <c r="P898" s="75">
        <v>1994</v>
      </c>
      <c r="Q898" s="75">
        <v>2020</v>
      </c>
      <c r="R898" s="75">
        <v>1</v>
      </c>
      <c r="S898" s="100">
        <v>210020</v>
      </c>
      <c r="T898" s="101">
        <v>40281</v>
      </c>
      <c r="U898" s="83"/>
    </row>
    <row r="899" spans="1:21" s="84" customFormat="1" x14ac:dyDescent="0.3">
      <c r="A899" s="68">
        <v>40336</v>
      </c>
      <c r="B899" s="69">
        <f t="shared" si="14"/>
        <v>20100607</v>
      </c>
      <c r="C899" s="70">
        <v>3.6799999999999999E-2</v>
      </c>
      <c r="D899" s="77">
        <v>4.0000000000000001E-3</v>
      </c>
      <c r="E899" s="77">
        <v>4.0000000000000001E-3</v>
      </c>
      <c r="F899" s="77">
        <v>4.0000000000000001E-3</v>
      </c>
      <c r="G899" s="78">
        <v>0</v>
      </c>
      <c r="H899" s="79"/>
      <c r="I899" s="79"/>
      <c r="J899" s="79"/>
      <c r="K899" s="80">
        <v>1.4499999999999999E-2</v>
      </c>
      <c r="L899" s="80">
        <v>0</v>
      </c>
      <c r="M899" s="75" t="s">
        <v>143</v>
      </c>
      <c r="N899" s="75" t="b">
        <v>1</v>
      </c>
      <c r="O899" s="75" t="s">
        <v>144</v>
      </c>
      <c r="P899" s="75">
        <v>1994</v>
      </c>
      <c r="Q899" s="75">
        <v>2020</v>
      </c>
      <c r="R899" s="75">
        <v>1</v>
      </c>
      <c r="S899" s="100">
        <v>210020</v>
      </c>
      <c r="T899" s="101">
        <v>40281</v>
      </c>
      <c r="U899" s="83"/>
    </row>
    <row r="900" spans="1:21" s="84" customFormat="1" x14ac:dyDescent="0.3">
      <c r="A900" s="68">
        <v>40337</v>
      </c>
      <c r="B900" s="69">
        <f t="shared" si="14"/>
        <v>20100608</v>
      </c>
      <c r="C900" s="70">
        <v>3.7000000000000005E-2</v>
      </c>
      <c r="D900" s="77">
        <v>4.0000000000000001E-3</v>
      </c>
      <c r="E900" s="77">
        <v>4.0000000000000001E-3</v>
      </c>
      <c r="F900" s="77">
        <v>4.0000000000000001E-3</v>
      </c>
      <c r="G900" s="78">
        <v>0</v>
      </c>
      <c r="H900" s="79"/>
      <c r="I900" s="79"/>
      <c r="J900" s="79"/>
      <c r="K900" s="80">
        <v>1.4800000000000001E-2</v>
      </c>
      <c r="L900" s="80">
        <v>0</v>
      </c>
      <c r="M900" s="75" t="s">
        <v>143</v>
      </c>
      <c r="N900" s="75" t="b">
        <v>1</v>
      </c>
      <c r="O900" s="75" t="s">
        <v>144</v>
      </c>
      <c r="P900" s="75">
        <v>1994</v>
      </c>
      <c r="Q900" s="75">
        <v>2020</v>
      </c>
      <c r="R900" s="75">
        <v>1</v>
      </c>
      <c r="S900" s="100">
        <v>210020</v>
      </c>
      <c r="T900" s="101">
        <v>40281</v>
      </c>
      <c r="U900" s="83"/>
    </row>
    <row r="901" spans="1:21" s="84" customFormat="1" x14ac:dyDescent="0.3">
      <c r="A901" s="68">
        <v>40338</v>
      </c>
      <c r="B901" s="69">
        <f t="shared" si="14"/>
        <v>20100609</v>
      </c>
      <c r="C901" s="70">
        <v>3.73E-2</v>
      </c>
      <c r="D901" s="77">
        <v>4.0000000000000001E-3</v>
      </c>
      <c r="E901" s="77">
        <v>4.0000000000000001E-3</v>
      </c>
      <c r="F901" s="77">
        <v>4.0000000000000001E-3</v>
      </c>
      <c r="G901" s="78">
        <v>0</v>
      </c>
      <c r="H901" s="79"/>
      <c r="I901" s="79"/>
      <c r="J901" s="79"/>
      <c r="K901" s="80">
        <v>1.4800000000000001E-2</v>
      </c>
      <c r="L901" s="80">
        <v>0</v>
      </c>
      <c r="M901" s="75" t="s">
        <v>143</v>
      </c>
      <c r="N901" s="75" t="b">
        <v>1</v>
      </c>
      <c r="O901" s="75" t="s">
        <v>144</v>
      </c>
      <c r="P901" s="75">
        <v>1994</v>
      </c>
      <c r="Q901" s="75">
        <v>2020</v>
      </c>
      <c r="R901" s="75">
        <v>1</v>
      </c>
      <c r="S901" s="100">
        <v>210020</v>
      </c>
      <c r="T901" s="101">
        <v>40281</v>
      </c>
      <c r="U901" s="83"/>
    </row>
    <row r="902" spans="1:21" s="84" customFormat="1" x14ac:dyDescent="0.3">
      <c r="A902" s="68">
        <v>40339</v>
      </c>
      <c r="B902" s="69">
        <f t="shared" si="14"/>
        <v>20100610</v>
      </c>
      <c r="C902" s="70">
        <v>3.7999999999999999E-2</v>
      </c>
      <c r="D902" s="77">
        <v>4.0000000000000001E-3</v>
      </c>
      <c r="E902" s="77">
        <v>4.0000000000000001E-3</v>
      </c>
      <c r="F902" s="77">
        <v>4.0000000000000001E-3</v>
      </c>
      <c r="G902" s="78">
        <v>0</v>
      </c>
      <c r="H902" s="79"/>
      <c r="I902" s="79"/>
      <c r="J902" s="79"/>
      <c r="K902" s="80">
        <v>1.54E-2</v>
      </c>
      <c r="L902" s="80">
        <v>0</v>
      </c>
      <c r="M902" s="75" t="s">
        <v>143</v>
      </c>
      <c r="N902" s="75" t="b">
        <v>1</v>
      </c>
      <c r="O902" s="75" t="s">
        <v>144</v>
      </c>
      <c r="P902" s="75">
        <v>1994</v>
      </c>
      <c r="Q902" s="75">
        <v>2020</v>
      </c>
      <c r="R902" s="75">
        <v>1</v>
      </c>
      <c r="S902" s="100">
        <v>210020</v>
      </c>
      <c r="T902" s="101">
        <v>40281</v>
      </c>
      <c r="U902" s="83"/>
    </row>
    <row r="903" spans="1:21" s="84" customFormat="1" x14ac:dyDescent="0.3">
      <c r="A903" s="68">
        <v>40340</v>
      </c>
      <c r="B903" s="69">
        <f t="shared" si="14"/>
        <v>20100611</v>
      </c>
      <c r="C903" s="70">
        <v>3.78E-2</v>
      </c>
      <c r="D903" s="77">
        <v>4.0000000000000001E-3</v>
      </c>
      <c r="E903" s="77">
        <v>4.0000000000000001E-3</v>
      </c>
      <c r="F903" s="77">
        <v>4.0000000000000001E-3</v>
      </c>
      <c r="G903" s="78">
        <v>0</v>
      </c>
      <c r="H903" s="79"/>
      <c r="I903" s="79"/>
      <c r="J903" s="79"/>
      <c r="K903" s="80">
        <v>1.5300000000000001E-2</v>
      </c>
      <c r="L903" s="80">
        <v>0</v>
      </c>
      <c r="M903" s="75" t="s">
        <v>143</v>
      </c>
      <c r="N903" s="75" t="b">
        <v>1</v>
      </c>
      <c r="O903" s="75" t="s">
        <v>144</v>
      </c>
      <c r="P903" s="75">
        <v>1994</v>
      </c>
      <c r="Q903" s="75">
        <v>2020</v>
      </c>
      <c r="R903" s="75">
        <v>1</v>
      </c>
      <c r="S903" s="100">
        <v>210020</v>
      </c>
      <c r="T903" s="101">
        <v>40281</v>
      </c>
      <c r="U903" s="83"/>
    </row>
    <row r="904" spans="1:21" s="84" customFormat="1" x14ac:dyDescent="0.3">
      <c r="A904" s="68">
        <v>40341</v>
      </c>
      <c r="B904" s="69">
        <f t="shared" si="14"/>
        <v>20100612</v>
      </c>
      <c r="C904" s="70">
        <v>3.78E-2</v>
      </c>
      <c r="D904" s="77">
        <v>4.0000000000000001E-3</v>
      </c>
      <c r="E904" s="77">
        <v>4.0000000000000001E-3</v>
      </c>
      <c r="F904" s="77">
        <v>4.0000000000000001E-3</v>
      </c>
      <c r="G904" s="78">
        <v>0</v>
      </c>
      <c r="H904" s="79"/>
      <c r="I904" s="79"/>
      <c r="J904" s="79"/>
      <c r="K904" s="80">
        <v>1.5300000000000001E-2</v>
      </c>
      <c r="L904" s="80">
        <v>0</v>
      </c>
      <c r="M904" s="75" t="s">
        <v>143</v>
      </c>
      <c r="N904" s="75" t="b">
        <v>1</v>
      </c>
      <c r="O904" s="75" t="s">
        <v>144</v>
      </c>
      <c r="P904" s="75">
        <v>1994</v>
      </c>
      <c r="Q904" s="75">
        <v>2020</v>
      </c>
      <c r="R904" s="75">
        <v>1</v>
      </c>
      <c r="S904" s="100">
        <v>210020</v>
      </c>
      <c r="T904" s="101">
        <v>40281</v>
      </c>
      <c r="U904" s="83"/>
    </row>
    <row r="905" spans="1:21" s="84" customFormat="1" x14ac:dyDescent="0.3">
      <c r="A905" s="68">
        <v>40342</v>
      </c>
      <c r="B905" s="69">
        <f t="shared" si="14"/>
        <v>20100613</v>
      </c>
      <c r="C905" s="70">
        <v>3.78E-2</v>
      </c>
      <c r="D905" s="77">
        <v>4.0000000000000001E-3</v>
      </c>
      <c r="E905" s="77">
        <v>4.0000000000000001E-3</v>
      </c>
      <c r="F905" s="77">
        <v>4.0000000000000001E-3</v>
      </c>
      <c r="G905" s="78">
        <v>0</v>
      </c>
      <c r="H905" s="79"/>
      <c r="I905" s="79"/>
      <c r="J905" s="79"/>
      <c r="K905" s="80">
        <v>1.5300000000000001E-2</v>
      </c>
      <c r="L905" s="80">
        <v>0</v>
      </c>
      <c r="M905" s="75" t="s">
        <v>143</v>
      </c>
      <c r="N905" s="75" t="b">
        <v>1</v>
      </c>
      <c r="O905" s="75" t="s">
        <v>144</v>
      </c>
      <c r="P905" s="75">
        <v>1994</v>
      </c>
      <c r="Q905" s="75">
        <v>2020</v>
      </c>
      <c r="R905" s="75">
        <v>1</v>
      </c>
      <c r="S905" s="100">
        <v>210020</v>
      </c>
      <c r="T905" s="101">
        <v>40281</v>
      </c>
      <c r="U905" s="83"/>
    </row>
    <row r="906" spans="1:21" s="84" customFormat="1" x14ac:dyDescent="0.3">
      <c r="A906" s="68">
        <v>40343</v>
      </c>
      <c r="B906" s="69">
        <f t="shared" si="14"/>
        <v>20100614</v>
      </c>
      <c r="C906" s="70">
        <v>3.8100000000000002E-2</v>
      </c>
      <c r="D906" s="77">
        <v>4.0000000000000001E-3</v>
      </c>
      <c r="E906" s="77">
        <v>4.0000000000000001E-3</v>
      </c>
      <c r="F906" s="77">
        <v>4.0000000000000001E-3</v>
      </c>
      <c r="G906" s="78">
        <v>0</v>
      </c>
      <c r="H906" s="79"/>
      <c r="I906" s="79"/>
      <c r="J906" s="79"/>
      <c r="K906" s="80">
        <v>1.55E-2</v>
      </c>
      <c r="L906" s="80">
        <v>0</v>
      </c>
      <c r="M906" s="75" t="s">
        <v>143</v>
      </c>
      <c r="N906" s="75" t="b">
        <v>1</v>
      </c>
      <c r="O906" s="75" t="s">
        <v>144</v>
      </c>
      <c r="P906" s="75">
        <v>1994</v>
      </c>
      <c r="Q906" s="75">
        <v>2020</v>
      </c>
      <c r="R906" s="75">
        <v>1</v>
      </c>
      <c r="S906" s="100">
        <v>210020</v>
      </c>
      <c r="T906" s="101">
        <v>40281</v>
      </c>
      <c r="U906" s="83"/>
    </row>
    <row r="907" spans="1:21" s="84" customFormat="1" x14ac:dyDescent="0.3">
      <c r="A907" s="68">
        <v>40344</v>
      </c>
      <c r="B907" s="69">
        <f t="shared" si="14"/>
        <v>20100615</v>
      </c>
      <c r="C907" s="70">
        <v>3.7999999999999999E-2</v>
      </c>
      <c r="D907" s="77">
        <v>4.0000000000000001E-3</v>
      </c>
      <c r="E907" s="77">
        <v>4.0000000000000001E-3</v>
      </c>
      <c r="F907" s="77">
        <v>4.0000000000000001E-3</v>
      </c>
      <c r="G907" s="78">
        <v>0</v>
      </c>
      <c r="H907" s="79"/>
      <c r="I907" s="79"/>
      <c r="J907" s="79"/>
      <c r="K907" s="80">
        <v>1.5300000000000001E-2</v>
      </c>
      <c r="L907" s="80">
        <v>0</v>
      </c>
      <c r="M907" s="75" t="s">
        <v>143</v>
      </c>
      <c r="N907" s="75" t="b">
        <v>1</v>
      </c>
      <c r="O907" s="75" t="s">
        <v>144</v>
      </c>
      <c r="P907" s="75">
        <v>1994</v>
      </c>
      <c r="Q907" s="75">
        <v>2020</v>
      </c>
      <c r="R907" s="75">
        <v>1</v>
      </c>
      <c r="S907" s="100">
        <v>210020</v>
      </c>
      <c r="T907" s="101">
        <v>40281</v>
      </c>
      <c r="U907" s="83"/>
    </row>
    <row r="908" spans="1:21" s="84" customFormat="1" x14ac:dyDescent="0.3">
      <c r="A908" s="68">
        <v>40345</v>
      </c>
      <c r="B908" s="69">
        <f t="shared" si="14"/>
        <v>20100616</v>
      </c>
      <c r="C908" s="70">
        <v>3.7499999999999999E-2</v>
      </c>
      <c r="D908" s="77">
        <v>4.0000000000000001E-3</v>
      </c>
      <c r="E908" s="77">
        <v>4.0000000000000001E-3</v>
      </c>
      <c r="F908" s="77">
        <v>4.0000000000000001E-3</v>
      </c>
      <c r="G908" s="78">
        <v>0</v>
      </c>
      <c r="H908" s="79"/>
      <c r="I908" s="79"/>
      <c r="J908" s="79"/>
      <c r="K908" s="80">
        <v>1.49E-2</v>
      </c>
      <c r="L908" s="80">
        <v>0</v>
      </c>
      <c r="M908" s="75" t="s">
        <v>143</v>
      </c>
      <c r="N908" s="75" t="b">
        <v>1</v>
      </c>
      <c r="O908" s="75" t="s">
        <v>144</v>
      </c>
      <c r="P908" s="75">
        <v>1994</v>
      </c>
      <c r="Q908" s="75">
        <v>2020</v>
      </c>
      <c r="R908" s="75">
        <v>1</v>
      </c>
      <c r="S908" s="100">
        <v>210020</v>
      </c>
      <c r="T908" s="101">
        <v>40281</v>
      </c>
      <c r="U908" s="83"/>
    </row>
    <row r="909" spans="1:21" s="84" customFormat="1" x14ac:dyDescent="0.3">
      <c r="A909" s="68">
        <v>40346</v>
      </c>
      <c r="B909" s="69">
        <f t="shared" si="14"/>
        <v>20100617</v>
      </c>
      <c r="C909" s="70">
        <v>3.7100000000000001E-2</v>
      </c>
      <c r="D909" s="77">
        <v>4.0000000000000001E-3</v>
      </c>
      <c r="E909" s="77">
        <v>4.0000000000000001E-3</v>
      </c>
      <c r="F909" s="77">
        <v>4.0000000000000001E-3</v>
      </c>
      <c r="G909" s="78">
        <v>0</v>
      </c>
      <c r="H909" s="79"/>
      <c r="I909" s="79"/>
      <c r="J909" s="79"/>
      <c r="K909" s="80">
        <v>1.46E-2</v>
      </c>
      <c r="L909" s="80">
        <v>0</v>
      </c>
      <c r="M909" s="75" t="s">
        <v>143</v>
      </c>
      <c r="N909" s="75" t="b">
        <v>1</v>
      </c>
      <c r="O909" s="75" t="s">
        <v>144</v>
      </c>
      <c r="P909" s="75">
        <v>1994</v>
      </c>
      <c r="Q909" s="75">
        <v>2020</v>
      </c>
      <c r="R909" s="75">
        <v>1</v>
      </c>
      <c r="S909" s="100">
        <v>210020</v>
      </c>
      <c r="T909" s="101">
        <v>40281</v>
      </c>
      <c r="U909" s="83"/>
    </row>
    <row r="910" spans="1:21" s="84" customFormat="1" x14ac:dyDescent="0.3">
      <c r="A910" s="68">
        <v>40347</v>
      </c>
      <c r="B910" s="69">
        <f t="shared" ref="B910:B951" si="15">YEAR(A910)*10000+MONTH(A910)*100+DAY(A910)</f>
        <v>20100618</v>
      </c>
      <c r="C910" s="70">
        <v>3.7200000000000004E-2</v>
      </c>
      <c r="D910" s="77">
        <v>4.0000000000000001E-3</v>
      </c>
      <c r="E910" s="77">
        <v>4.0000000000000001E-3</v>
      </c>
      <c r="F910" s="77">
        <v>4.0000000000000001E-3</v>
      </c>
      <c r="G910" s="78">
        <v>0</v>
      </c>
      <c r="H910" s="79"/>
      <c r="I910" s="79"/>
      <c r="J910" s="79"/>
      <c r="K910" s="80">
        <v>1.46E-2</v>
      </c>
      <c r="L910" s="80">
        <v>0</v>
      </c>
      <c r="M910" s="75" t="s">
        <v>143</v>
      </c>
      <c r="N910" s="75" t="b">
        <v>1</v>
      </c>
      <c r="O910" s="75" t="s">
        <v>144</v>
      </c>
      <c r="P910" s="75">
        <v>1994</v>
      </c>
      <c r="Q910" s="75">
        <v>2020</v>
      </c>
      <c r="R910" s="75">
        <v>1</v>
      </c>
      <c r="S910" s="100">
        <v>210020</v>
      </c>
      <c r="T910" s="101">
        <v>40281</v>
      </c>
      <c r="U910" s="83"/>
    </row>
    <row r="911" spans="1:21" s="84" customFormat="1" x14ac:dyDescent="0.3">
      <c r="A911" s="68">
        <v>40348</v>
      </c>
      <c r="B911" s="69">
        <f t="shared" si="15"/>
        <v>20100619</v>
      </c>
      <c r="C911" s="70">
        <v>3.7200000000000004E-2</v>
      </c>
      <c r="D911" s="77">
        <v>4.0000000000000001E-3</v>
      </c>
      <c r="E911" s="77">
        <v>4.0000000000000001E-3</v>
      </c>
      <c r="F911" s="77">
        <v>4.0000000000000001E-3</v>
      </c>
      <c r="G911" s="78">
        <v>0</v>
      </c>
      <c r="H911" s="79"/>
      <c r="I911" s="79"/>
      <c r="J911" s="79"/>
      <c r="K911" s="80">
        <v>1.46E-2</v>
      </c>
      <c r="L911" s="80">
        <v>0</v>
      </c>
      <c r="M911" s="75" t="s">
        <v>143</v>
      </c>
      <c r="N911" s="75" t="b">
        <v>1</v>
      </c>
      <c r="O911" s="75" t="s">
        <v>144</v>
      </c>
      <c r="P911" s="75">
        <v>1994</v>
      </c>
      <c r="Q911" s="75">
        <v>2020</v>
      </c>
      <c r="R911" s="75">
        <v>1</v>
      </c>
      <c r="S911" s="100">
        <v>210020</v>
      </c>
      <c r="T911" s="101">
        <v>40281</v>
      </c>
      <c r="U911" s="83"/>
    </row>
    <row r="912" spans="1:21" s="84" customFormat="1" x14ac:dyDescent="0.3">
      <c r="A912" s="68">
        <v>40349</v>
      </c>
      <c r="B912" s="69">
        <f t="shared" si="15"/>
        <v>20100620</v>
      </c>
      <c r="C912" s="70">
        <v>3.7200000000000004E-2</v>
      </c>
      <c r="D912" s="77">
        <v>4.0000000000000001E-3</v>
      </c>
      <c r="E912" s="77">
        <v>4.0000000000000001E-3</v>
      </c>
      <c r="F912" s="77">
        <v>4.0000000000000001E-3</v>
      </c>
      <c r="G912" s="78">
        <v>0</v>
      </c>
      <c r="H912" s="79"/>
      <c r="I912" s="79"/>
      <c r="J912" s="79"/>
      <c r="K912" s="80">
        <v>1.46E-2</v>
      </c>
      <c r="L912" s="80">
        <v>0</v>
      </c>
      <c r="M912" s="75" t="s">
        <v>143</v>
      </c>
      <c r="N912" s="75" t="b">
        <v>1</v>
      </c>
      <c r="O912" s="75" t="s">
        <v>144</v>
      </c>
      <c r="P912" s="75">
        <v>1994</v>
      </c>
      <c r="Q912" s="75">
        <v>2020</v>
      </c>
      <c r="R912" s="75">
        <v>1</v>
      </c>
      <c r="S912" s="100">
        <v>210020</v>
      </c>
      <c r="T912" s="101">
        <v>40281</v>
      </c>
      <c r="U912" s="83"/>
    </row>
    <row r="913" spans="1:21" s="84" customFormat="1" x14ac:dyDescent="0.3">
      <c r="A913" s="68">
        <v>40350</v>
      </c>
      <c r="B913" s="69">
        <f t="shared" si="15"/>
        <v>20100621</v>
      </c>
      <c r="C913" s="70">
        <v>3.73E-2</v>
      </c>
      <c r="D913" s="77">
        <v>4.0000000000000001E-3</v>
      </c>
      <c r="E913" s="77">
        <v>4.0000000000000001E-3</v>
      </c>
      <c r="F913" s="77">
        <v>4.0000000000000001E-3</v>
      </c>
      <c r="G913" s="78">
        <v>0</v>
      </c>
      <c r="H913" s="79"/>
      <c r="I913" s="79"/>
      <c r="J913" s="79"/>
      <c r="K913" s="80">
        <v>1.4499999999999999E-2</v>
      </c>
      <c r="L913" s="80">
        <v>0</v>
      </c>
      <c r="M913" s="75" t="s">
        <v>143</v>
      </c>
      <c r="N913" s="75" t="b">
        <v>1</v>
      </c>
      <c r="O913" s="75" t="s">
        <v>144</v>
      </c>
      <c r="P913" s="75">
        <v>1994</v>
      </c>
      <c r="Q913" s="75">
        <v>2020</v>
      </c>
      <c r="R913" s="75">
        <v>1</v>
      </c>
      <c r="S913" s="100">
        <v>210020</v>
      </c>
      <c r="T913" s="101">
        <v>40281</v>
      </c>
      <c r="U913" s="83"/>
    </row>
    <row r="914" spans="1:21" s="84" customFormat="1" x14ac:dyDescent="0.3">
      <c r="A914" s="68">
        <v>40351</v>
      </c>
      <c r="B914" s="69">
        <f t="shared" si="15"/>
        <v>20100622</v>
      </c>
      <c r="C914" s="70">
        <v>3.6699999999999997E-2</v>
      </c>
      <c r="D914" s="77">
        <v>4.0000000000000001E-3</v>
      </c>
      <c r="E914" s="77">
        <v>4.0000000000000001E-3</v>
      </c>
      <c r="F914" s="77">
        <v>4.0000000000000001E-3</v>
      </c>
      <c r="G914" s="78">
        <v>0</v>
      </c>
      <c r="H914" s="79"/>
      <c r="I914" s="79"/>
      <c r="J914" s="79"/>
      <c r="K914" s="80">
        <v>1.41E-2</v>
      </c>
      <c r="L914" s="80">
        <v>0</v>
      </c>
      <c r="M914" s="75" t="s">
        <v>143</v>
      </c>
      <c r="N914" s="75" t="b">
        <v>1</v>
      </c>
      <c r="O914" s="75" t="s">
        <v>144</v>
      </c>
      <c r="P914" s="75">
        <v>1994</v>
      </c>
      <c r="Q914" s="75">
        <v>2020</v>
      </c>
      <c r="R914" s="75">
        <v>1</v>
      </c>
      <c r="S914" s="100">
        <v>210020</v>
      </c>
      <c r="T914" s="101">
        <v>40281</v>
      </c>
      <c r="U914" s="83"/>
    </row>
    <row r="915" spans="1:21" s="84" customFormat="1" x14ac:dyDescent="0.3">
      <c r="A915" s="68">
        <v>40352</v>
      </c>
      <c r="B915" s="69">
        <f t="shared" si="15"/>
        <v>20100623</v>
      </c>
      <c r="C915" s="70">
        <v>3.6499999999999998E-2</v>
      </c>
      <c r="D915" s="77">
        <v>4.0000000000000001E-3</v>
      </c>
      <c r="E915" s="77">
        <v>4.0000000000000001E-3</v>
      </c>
      <c r="F915" s="77">
        <v>4.0000000000000001E-3</v>
      </c>
      <c r="G915" s="78">
        <v>0</v>
      </c>
      <c r="H915" s="79"/>
      <c r="I915" s="79"/>
      <c r="J915" s="79"/>
      <c r="K915" s="80">
        <v>1.43E-2</v>
      </c>
      <c r="L915" s="80">
        <v>0</v>
      </c>
      <c r="M915" s="75" t="s">
        <v>143</v>
      </c>
      <c r="N915" s="75" t="b">
        <v>1</v>
      </c>
      <c r="O915" s="75" t="s">
        <v>144</v>
      </c>
      <c r="P915" s="75">
        <v>1994</v>
      </c>
      <c r="Q915" s="75">
        <v>2020</v>
      </c>
      <c r="R915" s="75">
        <v>1</v>
      </c>
      <c r="S915" s="100">
        <v>210020</v>
      </c>
      <c r="T915" s="101">
        <v>40281</v>
      </c>
      <c r="U915" s="83"/>
    </row>
    <row r="916" spans="1:21" s="84" customFormat="1" x14ac:dyDescent="0.3">
      <c r="A916" s="68">
        <v>40353</v>
      </c>
      <c r="B916" s="69">
        <f t="shared" si="15"/>
        <v>20100624</v>
      </c>
      <c r="C916" s="70">
        <v>3.6600000000000001E-2</v>
      </c>
      <c r="D916" s="77">
        <v>4.0000000000000001E-3</v>
      </c>
      <c r="E916" s="77">
        <v>4.0000000000000001E-3</v>
      </c>
      <c r="F916" s="77">
        <v>4.0000000000000001E-3</v>
      </c>
      <c r="G916" s="78">
        <v>0</v>
      </c>
      <c r="H916" s="79"/>
      <c r="I916" s="79"/>
      <c r="J916" s="79"/>
      <c r="K916" s="80">
        <v>1.44E-2</v>
      </c>
      <c r="L916" s="80">
        <v>0</v>
      </c>
      <c r="M916" s="75" t="s">
        <v>143</v>
      </c>
      <c r="N916" s="75" t="b">
        <v>1</v>
      </c>
      <c r="O916" s="75" t="s">
        <v>144</v>
      </c>
      <c r="P916" s="75">
        <v>1994</v>
      </c>
      <c r="Q916" s="75">
        <v>2020</v>
      </c>
      <c r="R916" s="75">
        <v>1</v>
      </c>
      <c r="S916" s="100">
        <v>210020</v>
      </c>
      <c r="T916" s="101">
        <v>40281</v>
      </c>
      <c r="U916" s="83"/>
    </row>
    <row r="917" spans="1:21" s="84" customFormat="1" x14ac:dyDescent="0.3">
      <c r="A917" s="68">
        <v>40354</v>
      </c>
      <c r="B917" s="69">
        <f t="shared" si="15"/>
        <v>20100625</v>
      </c>
      <c r="C917" s="70">
        <v>3.6400000000000002E-2</v>
      </c>
      <c r="D917" s="77">
        <v>4.0000000000000001E-3</v>
      </c>
      <c r="E917" s="77">
        <v>4.0000000000000001E-3</v>
      </c>
      <c r="F917" s="77">
        <v>4.0000000000000001E-3</v>
      </c>
      <c r="G917" s="78">
        <v>0</v>
      </c>
      <c r="H917" s="79"/>
      <c r="I917" s="79"/>
      <c r="J917" s="79"/>
      <c r="K917" s="80">
        <v>1.4199999999999999E-2</v>
      </c>
      <c r="L917" s="80">
        <v>0</v>
      </c>
      <c r="M917" s="75" t="s">
        <v>143</v>
      </c>
      <c r="N917" s="75" t="b">
        <v>1</v>
      </c>
      <c r="O917" s="75" t="s">
        <v>144</v>
      </c>
      <c r="P917" s="75">
        <v>1994</v>
      </c>
      <c r="Q917" s="75">
        <v>2020</v>
      </c>
      <c r="R917" s="75">
        <v>1</v>
      </c>
      <c r="S917" s="100">
        <v>210020</v>
      </c>
      <c r="T917" s="101">
        <v>40281</v>
      </c>
      <c r="U917" s="83"/>
    </row>
    <row r="918" spans="1:21" s="84" customFormat="1" x14ac:dyDescent="0.3">
      <c r="A918" s="68">
        <v>40355</v>
      </c>
      <c r="B918" s="69">
        <f t="shared" si="15"/>
        <v>20100626</v>
      </c>
      <c r="C918" s="70">
        <v>3.6400000000000002E-2</v>
      </c>
      <c r="D918" s="77">
        <v>4.0000000000000001E-3</v>
      </c>
      <c r="E918" s="77">
        <v>4.0000000000000001E-3</v>
      </c>
      <c r="F918" s="77">
        <v>4.0000000000000001E-3</v>
      </c>
      <c r="G918" s="78">
        <v>0</v>
      </c>
      <c r="H918" s="79"/>
      <c r="I918" s="79"/>
      <c r="J918" s="79"/>
      <c r="K918" s="80">
        <v>1.4199999999999999E-2</v>
      </c>
      <c r="L918" s="80">
        <v>0</v>
      </c>
      <c r="M918" s="75" t="s">
        <v>143</v>
      </c>
      <c r="N918" s="75" t="b">
        <v>1</v>
      </c>
      <c r="O918" s="75" t="s">
        <v>144</v>
      </c>
      <c r="P918" s="75">
        <v>1994</v>
      </c>
      <c r="Q918" s="75">
        <v>2020</v>
      </c>
      <c r="R918" s="75">
        <v>1</v>
      </c>
      <c r="S918" s="100">
        <v>210020</v>
      </c>
      <c r="T918" s="101">
        <v>40281</v>
      </c>
      <c r="U918" s="83"/>
    </row>
    <row r="919" spans="1:21" s="84" customFormat="1" x14ac:dyDescent="0.3">
      <c r="A919" s="68">
        <v>40356</v>
      </c>
      <c r="B919" s="69">
        <f t="shared" si="15"/>
        <v>20100627</v>
      </c>
      <c r="C919" s="70">
        <v>3.6400000000000002E-2</v>
      </c>
      <c r="D919" s="77">
        <v>4.0000000000000001E-3</v>
      </c>
      <c r="E919" s="77">
        <v>4.0000000000000001E-3</v>
      </c>
      <c r="F919" s="77">
        <v>4.0000000000000001E-3</v>
      </c>
      <c r="G919" s="78">
        <v>0</v>
      </c>
      <c r="H919" s="79"/>
      <c r="I919" s="79"/>
      <c r="J919" s="79"/>
      <c r="K919" s="80">
        <v>1.4199999999999999E-2</v>
      </c>
      <c r="L919" s="80">
        <v>0</v>
      </c>
      <c r="M919" s="75" t="s">
        <v>143</v>
      </c>
      <c r="N919" s="75" t="b">
        <v>1</v>
      </c>
      <c r="O919" s="75" t="s">
        <v>144</v>
      </c>
      <c r="P919" s="75">
        <v>1994</v>
      </c>
      <c r="Q919" s="75">
        <v>2020</v>
      </c>
      <c r="R919" s="75">
        <v>1</v>
      </c>
      <c r="S919" s="100">
        <v>210020</v>
      </c>
      <c r="T919" s="101">
        <v>40281</v>
      </c>
      <c r="U919" s="83"/>
    </row>
    <row r="920" spans="1:21" s="84" customFormat="1" x14ac:dyDescent="0.3">
      <c r="A920" s="68">
        <v>40357</v>
      </c>
      <c r="B920" s="69">
        <f t="shared" si="15"/>
        <v>20100628</v>
      </c>
      <c r="C920" s="70">
        <v>3.6299999999999999E-2</v>
      </c>
      <c r="D920" s="77">
        <v>4.0000000000000001E-3</v>
      </c>
      <c r="E920" s="77">
        <v>4.0000000000000001E-3</v>
      </c>
      <c r="F920" s="77">
        <v>4.0000000000000001E-3</v>
      </c>
      <c r="G920" s="78">
        <v>0</v>
      </c>
      <c r="H920" s="79"/>
      <c r="I920" s="79"/>
      <c r="J920" s="79"/>
      <c r="K920" s="80">
        <v>1.43E-2</v>
      </c>
      <c r="L920" s="80">
        <v>0</v>
      </c>
      <c r="M920" s="75" t="s">
        <v>143</v>
      </c>
      <c r="N920" s="75" t="b">
        <v>1</v>
      </c>
      <c r="O920" s="75" t="s">
        <v>144</v>
      </c>
      <c r="P920" s="75">
        <v>1994</v>
      </c>
      <c r="Q920" s="75">
        <v>2020</v>
      </c>
      <c r="R920" s="75">
        <v>1</v>
      </c>
      <c r="S920" s="100">
        <v>210020</v>
      </c>
      <c r="T920" s="101">
        <v>40281</v>
      </c>
      <c r="U920" s="83"/>
    </row>
    <row r="921" spans="1:21" s="84" customFormat="1" x14ac:dyDescent="0.3">
      <c r="A921" s="68">
        <v>40358</v>
      </c>
      <c r="B921" s="69">
        <f t="shared" si="15"/>
        <v>20100629</v>
      </c>
      <c r="C921" s="70">
        <v>3.5900000000000001E-2</v>
      </c>
      <c r="D921" s="77">
        <v>4.0000000000000001E-3</v>
      </c>
      <c r="E921" s="77">
        <v>4.0000000000000001E-3</v>
      </c>
      <c r="F921" s="77">
        <v>4.0000000000000001E-3</v>
      </c>
      <c r="G921" s="78">
        <v>0</v>
      </c>
      <c r="H921" s="79"/>
      <c r="I921" s="79"/>
      <c r="J921" s="79"/>
      <c r="K921" s="80">
        <v>1.41E-2</v>
      </c>
      <c r="L921" s="80">
        <v>0</v>
      </c>
      <c r="M921" s="75" t="s">
        <v>143</v>
      </c>
      <c r="N921" s="75" t="b">
        <v>1</v>
      </c>
      <c r="O921" s="75" t="s">
        <v>144</v>
      </c>
      <c r="P921" s="75">
        <v>1994</v>
      </c>
      <c r="Q921" s="75">
        <v>2020</v>
      </c>
      <c r="R921" s="75">
        <v>1</v>
      </c>
      <c r="S921" s="100">
        <v>210020</v>
      </c>
      <c r="T921" s="101">
        <v>40281</v>
      </c>
      <c r="U921" s="83"/>
    </row>
    <row r="922" spans="1:21" s="99" customFormat="1" x14ac:dyDescent="0.3">
      <c r="A922" s="85">
        <v>40359</v>
      </c>
      <c r="B922" s="86">
        <f t="shared" si="15"/>
        <v>20100630</v>
      </c>
      <c r="C922" s="87">
        <v>3.5900000000000001E-2</v>
      </c>
      <c r="D922" s="89">
        <v>7.0000000000000001E-3</v>
      </c>
      <c r="E922" s="89">
        <v>7.0000000000000001E-3</v>
      </c>
      <c r="F922" s="89">
        <v>7.0000000000000001E-3</v>
      </c>
      <c r="G922" s="103">
        <v>0</v>
      </c>
      <c r="H922" s="91"/>
      <c r="I922" s="91"/>
      <c r="J922" s="91"/>
      <c r="K922" s="92">
        <v>1.4199999999999999E-2</v>
      </c>
      <c r="L922" s="92">
        <v>0</v>
      </c>
      <c r="M922" s="98" t="s">
        <v>143</v>
      </c>
      <c r="N922" s="98" t="b">
        <v>1</v>
      </c>
      <c r="O922" s="98" t="s">
        <v>144</v>
      </c>
      <c r="P922" s="98">
        <v>1994</v>
      </c>
      <c r="Q922" s="98">
        <v>2020</v>
      </c>
      <c r="R922" s="98">
        <v>1</v>
      </c>
      <c r="S922" s="93">
        <v>210056</v>
      </c>
      <c r="T922" s="94">
        <v>40420</v>
      </c>
      <c r="U922" s="95" t="s">
        <v>176</v>
      </c>
    </row>
    <row r="923" spans="1:21" s="84" customFormat="1" x14ac:dyDescent="0.3">
      <c r="A923" s="68">
        <v>40360</v>
      </c>
      <c r="B923" s="69">
        <f t="shared" si="15"/>
        <v>20100701</v>
      </c>
      <c r="C923" s="70">
        <v>3.5900000000000001E-2</v>
      </c>
      <c r="D923" s="77">
        <v>7.0000000000000001E-3</v>
      </c>
      <c r="E923" s="77">
        <v>7.0000000000000001E-3</v>
      </c>
      <c r="F923" s="77">
        <v>7.0000000000000001E-3</v>
      </c>
      <c r="G923" s="78">
        <v>0</v>
      </c>
      <c r="H923" s="79"/>
      <c r="I923" s="79"/>
      <c r="J923" s="79"/>
      <c r="K923" s="80">
        <v>1.4199999999999999E-2</v>
      </c>
      <c r="L923" s="80">
        <v>0</v>
      </c>
      <c r="M923" s="75" t="s">
        <v>143</v>
      </c>
      <c r="N923" s="75" t="b">
        <v>1</v>
      </c>
      <c r="O923" s="75" t="s">
        <v>144</v>
      </c>
      <c r="P923" s="75">
        <v>1994</v>
      </c>
      <c r="Q923" s="75">
        <v>2020</v>
      </c>
      <c r="R923" s="75">
        <v>1</v>
      </c>
      <c r="S923" s="100">
        <v>210056</v>
      </c>
      <c r="T923" s="101">
        <v>40420</v>
      </c>
      <c r="U923" s="83"/>
    </row>
    <row r="924" spans="1:21" s="84" customFormat="1" x14ac:dyDescent="0.3">
      <c r="A924" s="68">
        <v>40361</v>
      </c>
      <c r="B924" s="69">
        <f t="shared" si="15"/>
        <v>20100702</v>
      </c>
      <c r="C924" s="70">
        <v>3.5900000000000001E-2</v>
      </c>
      <c r="D924" s="77">
        <v>7.0000000000000001E-3</v>
      </c>
      <c r="E924" s="77">
        <v>7.0000000000000001E-3</v>
      </c>
      <c r="F924" s="77">
        <v>7.0000000000000001E-3</v>
      </c>
      <c r="G924" s="78">
        <v>0</v>
      </c>
      <c r="H924" s="79"/>
      <c r="I924" s="79"/>
      <c r="J924" s="79"/>
      <c r="K924" s="80">
        <v>1.4499999999999999E-2</v>
      </c>
      <c r="L924" s="80">
        <v>0</v>
      </c>
      <c r="M924" s="75" t="s">
        <v>143</v>
      </c>
      <c r="N924" s="75" t="b">
        <v>1</v>
      </c>
      <c r="O924" s="75" t="s">
        <v>144</v>
      </c>
      <c r="P924" s="75">
        <v>1994</v>
      </c>
      <c r="Q924" s="75">
        <v>2020</v>
      </c>
      <c r="R924" s="75">
        <v>1</v>
      </c>
      <c r="S924" s="100">
        <v>210056</v>
      </c>
      <c r="T924" s="101">
        <v>40420</v>
      </c>
      <c r="U924" s="83"/>
    </row>
    <row r="925" spans="1:21" s="84" customFormat="1" x14ac:dyDescent="0.3">
      <c r="A925" s="68">
        <v>40362</v>
      </c>
      <c r="B925" s="69">
        <f t="shared" si="15"/>
        <v>20100703</v>
      </c>
      <c r="C925" s="70">
        <v>3.5900000000000001E-2</v>
      </c>
      <c r="D925" s="77">
        <v>7.0000000000000001E-3</v>
      </c>
      <c r="E925" s="77">
        <v>7.0000000000000001E-3</v>
      </c>
      <c r="F925" s="77">
        <v>7.0000000000000001E-3</v>
      </c>
      <c r="G925" s="78">
        <v>0</v>
      </c>
      <c r="H925" s="79"/>
      <c r="I925" s="79"/>
      <c r="J925" s="79"/>
      <c r="K925" s="80">
        <v>1.4499999999999999E-2</v>
      </c>
      <c r="L925" s="80">
        <v>0</v>
      </c>
      <c r="M925" s="75" t="s">
        <v>143</v>
      </c>
      <c r="N925" s="75" t="b">
        <v>1</v>
      </c>
      <c r="O925" s="75" t="s">
        <v>144</v>
      </c>
      <c r="P925" s="75">
        <v>1994</v>
      </c>
      <c r="Q925" s="75">
        <v>2020</v>
      </c>
      <c r="R925" s="75">
        <v>1</v>
      </c>
      <c r="S925" s="100">
        <v>210056</v>
      </c>
      <c r="T925" s="101">
        <v>40420</v>
      </c>
      <c r="U925" s="83"/>
    </row>
    <row r="926" spans="1:21" s="84" customFormat="1" x14ac:dyDescent="0.3">
      <c r="A926" s="68">
        <v>40363</v>
      </c>
      <c r="B926" s="69">
        <f t="shared" si="15"/>
        <v>20100704</v>
      </c>
      <c r="C926" s="70">
        <v>3.5900000000000001E-2</v>
      </c>
      <c r="D926" s="77">
        <v>7.0000000000000001E-3</v>
      </c>
      <c r="E926" s="77">
        <v>7.0000000000000001E-3</v>
      </c>
      <c r="F926" s="77">
        <v>7.0000000000000001E-3</v>
      </c>
      <c r="G926" s="78">
        <v>0</v>
      </c>
      <c r="H926" s="79"/>
      <c r="I926" s="79"/>
      <c r="J926" s="79"/>
      <c r="K926" s="80">
        <v>1.4499999999999999E-2</v>
      </c>
      <c r="L926" s="80">
        <v>0</v>
      </c>
      <c r="M926" s="75" t="s">
        <v>143</v>
      </c>
      <c r="N926" s="75" t="b">
        <v>1</v>
      </c>
      <c r="O926" s="75" t="s">
        <v>144</v>
      </c>
      <c r="P926" s="75">
        <v>1994</v>
      </c>
      <c r="Q926" s="75">
        <v>2020</v>
      </c>
      <c r="R926" s="75">
        <v>1</v>
      </c>
      <c r="S926" s="100">
        <v>210056</v>
      </c>
      <c r="T926" s="101">
        <v>40420</v>
      </c>
      <c r="U926" s="83"/>
    </row>
    <row r="927" spans="1:21" s="84" customFormat="1" x14ac:dyDescent="0.3">
      <c r="A927" s="68">
        <v>40364</v>
      </c>
      <c r="B927" s="69">
        <f t="shared" si="15"/>
        <v>20100705</v>
      </c>
      <c r="C927" s="70">
        <v>3.5699999999999996E-2</v>
      </c>
      <c r="D927" s="77">
        <v>7.0000000000000001E-3</v>
      </c>
      <c r="E927" s="77">
        <v>7.0000000000000001E-3</v>
      </c>
      <c r="F927" s="77">
        <v>7.0000000000000001E-3</v>
      </c>
      <c r="G927" s="78">
        <v>0</v>
      </c>
      <c r="H927" s="79"/>
      <c r="I927" s="79"/>
      <c r="J927" s="79"/>
      <c r="K927" s="80">
        <v>1.43E-2</v>
      </c>
      <c r="L927" s="80">
        <v>0</v>
      </c>
      <c r="M927" s="75" t="s">
        <v>143</v>
      </c>
      <c r="N927" s="75" t="b">
        <v>1</v>
      </c>
      <c r="O927" s="75" t="s">
        <v>144</v>
      </c>
      <c r="P927" s="75">
        <v>1994</v>
      </c>
      <c r="Q927" s="75">
        <v>2020</v>
      </c>
      <c r="R927" s="75">
        <v>1</v>
      </c>
      <c r="S927" s="100">
        <v>210056</v>
      </c>
      <c r="T927" s="101">
        <v>40420</v>
      </c>
      <c r="U927" s="83"/>
    </row>
    <row r="928" spans="1:21" s="84" customFormat="1" x14ac:dyDescent="0.3">
      <c r="A928" s="68">
        <v>40365</v>
      </c>
      <c r="B928" s="69">
        <f t="shared" si="15"/>
        <v>20100706</v>
      </c>
      <c r="C928" s="70">
        <v>3.5799999999999998E-2</v>
      </c>
      <c r="D928" s="77">
        <v>7.0000000000000001E-3</v>
      </c>
      <c r="E928" s="77">
        <v>7.0000000000000001E-3</v>
      </c>
      <c r="F928" s="77">
        <v>7.0000000000000001E-3</v>
      </c>
      <c r="G928" s="78">
        <v>0</v>
      </c>
      <c r="H928" s="79"/>
      <c r="I928" s="79"/>
      <c r="J928" s="79"/>
      <c r="K928" s="80">
        <v>1.4499999999999999E-2</v>
      </c>
      <c r="L928" s="80">
        <v>0</v>
      </c>
      <c r="M928" s="75" t="s">
        <v>143</v>
      </c>
      <c r="N928" s="75" t="b">
        <v>1</v>
      </c>
      <c r="O928" s="75" t="s">
        <v>144</v>
      </c>
      <c r="P928" s="75">
        <v>1994</v>
      </c>
      <c r="Q928" s="75">
        <v>2020</v>
      </c>
      <c r="R928" s="75">
        <v>1</v>
      </c>
      <c r="S928" s="100">
        <v>210056</v>
      </c>
      <c r="T928" s="101">
        <v>40420</v>
      </c>
      <c r="U928" s="83"/>
    </row>
    <row r="929" spans="1:21" s="84" customFormat="1" x14ac:dyDescent="0.3">
      <c r="A929" s="68">
        <v>40366</v>
      </c>
      <c r="B929" s="69">
        <f t="shared" si="15"/>
        <v>20100707</v>
      </c>
      <c r="C929" s="70">
        <v>3.6400000000000002E-2</v>
      </c>
      <c r="D929" s="77">
        <v>7.0000000000000001E-3</v>
      </c>
      <c r="E929" s="77">
        <v>7.0000000000000001E-3</v>
      </c>
      <c r="F929" s="77">
        <v>7.0000000000000001E-3</v>
      </c>
      <c r="G929" s="78">
        <v>0</v>
      </c>
      <c r="H929" s="79"/>
      <c r="I929" s="79"/>
      <c r="J929" s="79"/>
      <c r="K929" s="80">
        <v>1.4999999999999999E-2</v>
      </c>
      <c r="L929" s="80">
        <v>0</v>
      </c>
      <c r="M929" s="75" t="s">
        <v>143</v>
      </c>
      <c r="N929" s="75" t="b">
        <v>1</v>
      </c>
      <c r="O929" s="75" t="s">
        <v>144</v>
      </c>
      <c r="P929" s="75">
        <v>1994</v>
      </c>
      <c r="Q929" s="75">
        <v>2020</v>
      </c>
      <c r="R929" s="75">
        <v>1</v>
      </c>
      <c r="S929" s="100">
        <v>210056</v>
      </c>
      <c r="T929" s="101">
        <v>40420</v>
      </c>
      <c r="U929" s="83"/>
    </row>
    <row r="930" spans="1:21" s="84" customFormat="1" x14ac:dyDescent="0.3">
      <c r="A930" s="68">
        <v>40367</v>
      </c>
      <c r="B930" s="69">
        <f t="shared" si="15"/>
        <v>20100708</v>
      </c>
      <c r="C930" s="70">
        <v>3.6699999999999997E-2</v>
      </c>
      <c r="D930" s="77">
        <v>7.0000000000000001E-3</v>
      </c>
      <c r="E930" s="77">
        <v>7.0000000000000001E-3</v>
      </c>
      <c r="F930" s="77">
        <v>7.0000000000000001E-3</v>
      </c>
      <c r="G930" s="78">
        <v>0</v>
      </c>
      <c r="H930" s="79"/>
      <c r="I930" s="79"/>
      <c r="J930" s="79"/>
      <c r="K930" s="80">
        <v>1.5100000000000001E-2</v>
      </c>
      <c r="L930" s="80">
        <v>0</v>
      </c>
      <c r="M930" s="75" t="s">
        <v>143</v>
      </c>
      <c r="N930" s="75" t="b">
        <v>1</v>
      </c>
      <c r="O930" s="75" t="s">
        <v>144</v>
      </c>
      <c r="P930" s="75">
        <v>1994</v>
      </c>
      <c r="Q930" s="75">
        <v>2020</v>
      </c>
      <c r="R930" s="75">
        <v>1</v>
      </c>
      <c r="S930" s="100">
        <v>210056</v>
      </c>
      <c r="T930" s="101">
        <v>40420</v>
      </c>
      <c r="U930" s="83"/>
    </row>
    <row r="931" spans="1:21" s="84" customFormat="1" x14ac:dyDescent="0.3">
      <c r="A931" s="68">
        <v>40368</v>
      </c>
      <c r="B931" s="69">
        <f t="shared" si="15"/>
        <v>20100709</v>
      </c>
      <c r="C931" s="70">
        <v>3.7000000000000005E-2</v>
      </c>
      <c r="D931" s="77">
        <v>7.0000000000000001E-3</v>
      </c>
      <c r="E931" s="77">
        <v>7.0000000000000001E-3</v>
      </c>
      <c r="F931" s="77">
        <v>7.0000000000000001E-3</v>
      </c>
      <c r="G931" s="78">
        <v>0</v>
      </c>
      <c r="H931" s="79"/>
      <c r="I931" s="79"/>
      <c r="J931" s="79"/>
      <c r="K931" s="80">
        <v>1.5100000000000001E-2</v>
      </c>
      <c r="L931" s="80">
        <v>0</v>
      </c>
      <c r="M931" s="75" t="s">
        <v>143</v>
      </c>
      <c r="N931" s="75" t="b">
        <v>1</v>
      </c>
      <c r="O931" s="75" t="s">
        <v>144</v>
      </c>
      <c r="P931" s="75">
        <v>1994</v>
      </c>
      <c r="Q931" s="75">
        <v>2020</v>
      </c>
      <c r="R931" s="75">
        <v>1</v>
      </c>
      <c r="S931" s="100">
        <v>210056</v>
      </c>
      <c r="T931" s="101">
        <v>40420</v>
      </c>
      <c r="U931" s="83"/>
    </row>
    <row r="932" spans="1:21" s="84" customFormat="1" x14ac:dyDescent="0.3">
      <c r="A932" s="68">
        <v>40369</v>
      </c>
      <c r="B932" s="69">
        <f t="shared" si="15"/>
        <v>20100710</v>
      </c>
      <c r="C932" s="70">
        <v>3.7000000000000005E-2</v>
      </c>
      <c r="D932" s="77">
        <v>7.0000000000000001E-3</v>
      </c>
      <c r="E932" s="77">
        <v>7.0000000000000001E-3</v>
      </c>
      <c r="F932" s="77">
        <v>7.0000000000000001E-3</v>
      </c>
      <c r="G932" s="78">
        <v>0</v>
      </c>
      <c r="H932" s="79"/>
      <c r="I932" s="79"/>
      <c r="J932" s="79"/>
      <c r="K932" s="80">
        <v>1.5100000000000001E-2</v>
      </c>
      <c r="L932" s="80">
        <v>0</v>
      </c>
      <c r="M932" s="75" t="s">
        <v>143</v>
      </c>
      <c r="N932" s="75" t="b">
        <v>1</v>
      </c>
      <c r="O932" s="75" t="s">
        <v>144</v>
      </c>
      <c r="P932" s="75">
        <v>1994</v>
      </c>
      <c r="Q932" s="75">
        <v>2020</v>
      </c>
      <c r="R932" s="75">
        <v>1</v>
      </c>
      <c r="S932" s="100">
        <v>210056</v>
      </c>
      <c r="T932" s="101">
        <v>40420</v>
      </c>
      <c r="U932" s="83"/>
    </row>
    <row r="933" spans="1:21" s="84" customFormat="1" x14ac:dyDescent="0.3">
      <c r="A933" s="68">
        <v>40370</v>
      </c>
      <c r="B933" s="69">
        <f t="shared" si="15"/>
        <v>20100711</v>
      </c>
      <c r="C933" s="70">
        <v>3.7000000000000005E-2</v>
      </c>
      <c r="D933" s="77">
        <v>7.0000000000000001E-3</v>
      </c>
      <c r="E933" s="77">
        <v>7.0000000000000001E-3</v>
      </c>
      <c r="F933" s="77">
        <v>7.0000000000000001E-3</v>
      </c>
      <c r="G933" s="78">
        <v>0</v>
      </c>
      <c r="H933" s="79"/>
      <c r="I933" s="79"/>
      <c r="J933" s="79"/>
      <c r="K933" s="80">
        <v>1.5100000000000001E-2</v>
      </c>
      <c r="L933" s="80">
        <v>0</v>
      </c>
      <c r="M933" s="75" t="s">
        <v>143</v>
      </c>
      <c r="N933" s="75" t="b">
        <v>1</v>
      </c>
      <c r="O933" s="75" t="s">
        <v>144</v>
      </c>
      <c r="P933" s="75">
        <v>1994</v>
      </c>
      <c r="Q933" s="75">
        <v>2020</v>
      </c>
      <c r="R933" s="75">
        <v>1</v>
      </c>
      <c r="S933" s="100">
        <v>210056</v>
      </c>
      <c r="T933" s="101">
        <v>40420</v>
      </c>
      <c r="U933" s="83"/>
    </row>
    <row r="934" spans="1:21" s="84" customFormat="1" x14ac:dyDescent="0.3">
      <c r="A934" s="68">
        <v>40371</v>
      </c>
      <c r="B934" s="69">
        <f t="shared" si="15"/>
        <v>20100712</v>
      </c>
      <c r="C934" s="70">
        <v>3.7000000000000005E-2</v>
      </c>
      <c r="D934" s="77">
        <v>7.0000000000000001E-3</v>
      </c>
      <c r="E934" s="77">
        <v>7.0000000000000001E-3</v>
      </c>
      <c r="F934" s="77">
        <v>7.0000000000000001E-3</v>
      </c>
      <c r="G934" s="78">
        <v>0</v>
      </c>
      <c r="H934" s="79"/>
      <c r="I934" s="79"/>
      <c r="J934" s="79"/>
      <c r="K934" s="80">
        <v>1.4999999999999999E-2</v>
      </c>
      <c r="L934" s="80">
        <v>0</v>
      </c>
      <c r="M934" s="75" t="s">
        <v>143</v>
      </c>
      <c r="N934" s="75" t="b">
        <v>1</v>
      </c>
      <c r="O934" s="75" t="s">
        <v>144</v>
      </c>
      <c r="P934" s="75">
        <v>1994</v>
      </c>
      <c r="Q934" s="75">
        <v>2020</v>
      </c>
      <c r="R934" s="75">
        <v>1</v>
      </c>
      <c r="S934" s="100">
        <v>210056</v>
      </c>
      <c r="T934" s="101">
        <v>40420</v>
      </c>
      <c r="U934" s="83"/>
    </row>
    <row r="935" spans="1:21" s="84" customFormat="1" x14ac:dyDescent="0.3">
      <c r="A935" s="68">
        <v>40372</v>
      </c>
      <c r="B935" s="69">
        <f t="shared" si="15"/>
        <v>20100713</v>
      </c>
      <c r="C935" s="70">
        <v>3.7400000000000003E-2</v>
      </c>
      <c r="D935" s="77">
        <v>7.0000000000000001E-3</v>
      </c>
      <c r="E935" s="77">
        <v>7.0000000000000001E-3</v>
      </c>
      <c r="F935" s="77">
        <v>7.0000000000000001E-3</v>
      </c>
      <c r="G935" s="78">
        <v>0</v>
      </c>
      <c r="H935" s="79"/>
      <c r="I935" s="79"/>
      <c r="J935" s="79"/>
      <c r="K935" s="80">
        <v>1.5100000000000001E-2</v>
      </c>
      <c r="L935" s="80">
        <v>0</v>
      </c>
      <c r="M935" s="75" t="s">
        <v>143</v>
      </c>
      <c r="N935" s="75" t="b">
        <v>1</v>
      </c>
      <c r="O935" s="75" t="s">
        <v>144</v>
      </c>
      <c r="P935" s="75">
        <v>1994</v>
      </c>
      <c r="Q935" s="75">
        <v>2020</v>
      </c>
      <c r="R935" s="75">
        <v>1</v>
      </c>
      <c r="S935" s="100">
        <v>210056</v>
      </c>
      <c r="T935" s="101">
        <v>40420</v>
      </c>
      <c r="U935" s="83"/>
    </row>
    <row r="936" spans="1:21" s="84" customFormat="1" x14ac:dyDescent="0.3">
      <c r="A936" s="68">
        <v>40373</v>
      </c>
      <c r="B936" s="69">
        <f t="shared" si="15"/>
        <v>20100714</v>
      </c>
      <c r="C936" s="70">
        <v>3.7400000000000003E-2</v>
      </c>
      <c r="D936" s="77">
        <v>7.0000000000000001E-3</v>
      </c>
      <c r="E936" s="77">
        <v>7.0000000000000001E-3</v>
      </c>
      <c r="F936" s="77">
        <v>7.0000000000000001E-3</v>
      </c>
      <c r="G936" s="78">
        <v>0</v>
      </c>
      <c r="H936" s="79"/>
      <c r="I936" s="79"/>
      <c r="J936" s="79"/>
      <c r="K936" s="80">
        <v>1.5300000000000001E-2</v>
      </c>
      <c r="L936" s="80">
        <v>0</v>
      </c>
      <c r="M936" s="75" t="s">
        <v>143</v>
      </c>
      <c r="N936" s="75" t="b">
        <v>1</v>
      </c>
      <c r="O936" s="75" t="s">
        <v>144</v>
      </c>
      <c r="P936" s="75">
        <v>1994</v>
      </c>
      <c r="Q936" s="75">
        <v>2020</v>
      </c>
      <c r="R936" s="75">
        <v>1</v>
      </c>
      <c r="S936" s="100">
        <v>210056</v>
      </c>
      <c r="T936" s="101">
        <v>40420</v>
      </c>
      <c r="U936" s="83"/>
    </row>
    <row r="937" spans="1:21" s="84" customFormat="1" x14ac:dyDescent="0.3">
      <c r="A937" s="68">
        <v>40374</v>
      </c>
      <c r="B937" s="69">
        <f t="shared" si="15"/>
        <v>20100715</v>
      </c>
      <c r="C937" s="70">
        <v>3.73E-2</v>
      </c>
      <c r="D937" s="77">
        <v>7.0000000000000001E-3</v>
      </c>
      <c r="E937" s="77">
        <v>7.0000000000000001E-3</v>
      </c>
      <c r="F937" s="77">
        <v>7.0000000000000001E-3</v>
      </c>
      <c r="G937" s="78">
        <v>0</v>
      </c>
      <c r="H937" s="79"/>
      <c r="I937" s="79"/>
      <c r="J937" s="79"/>
      <c r="K937" s="80">
        <v>1.52E-2</v>
      </c>
      <c r="L937" s="80">
        <v>0</v>
      </c>
      <c r="M937" s="75" t="s">
        <v>143</v>
      </c>
      <c r="N937" s="75" t="b">
        <v>1</v>
      </c>
      <c r="O937" s="75" t="s">
        <v>144</v>
      </c>
      <c r="P937" s="75">
        <v>1994</v>
      </c>
      <c r="Q937" s="75">
        <v>2020</v>
      </c>
      <c r="R937" s="75">
        <v>1</v>
      </c>
      <c r="S937" s="100">
        <v>210056</v>
      </c>
      <c r="T937" s="101">
        <v>40420</v>
      </c>
      <c r="U937" s="83"/>
    </row>
    <row r="938" spans="1:21" s="84" customFormat="1" x14ac:dyDescent="0.3">
      <c r="A938" s="68">
        <v>40375</v>
      </c>
      <c r="B938" s="69">
        <f t="shared" si="15"/>
        <v>20100716</v>
      </c>
      <c r="C938" s="70">
        <v>3.6699999999999997E-2</v>
      </c>
      <c r="D938" s="77">
        <v>7.0000000000000001E-3</v>
      </c>
      <c r="E938" s="77">
        <v>7.0000000000000001E-3</v>
      </c>
      <c r="F938" s="77">
        <v>7.0000000000000001E-3</v>
      </c>
      <c r="G938" s="78">
        <v>0</v>
      </c>
      <c r="H938" s="79"/>
      <c r="I938" s="79"/>
      <c r="J938" s="79"/>
      <c r="K938" s="80">
        <v>1.4999999999999999E-2</v>
      </c>
      <c r="L938" s="80">
        <v>0</v>
      </c>
      <c r="M938" s="75" t="s">
        <v>143</v>
      </c>
      <c r="N938" s="75" t="b">
        <v>1</v>
      </c>
      <c r="O938" s="75" t="s">
        <v>144</v>
      </c>
      <c r="P938" s="75">
        <v>1994</v>
      </c>
      <c r="Q938" s="75">
        <v>2020</v>
      </c>
      <c r="R938" s="75">
        <v>1</v>
      </c>
      <c r="S938" s="100">
        <v>210056</v>
      </c>
      <c r="T938" s="101">
        <v>40420</v>
      </c>
      <c r="U938" s="83"/>
    </row>
    <row r="939" spans="1:21" s="84" customFormat="1" x14ac:dyDescent="0.3">
      <c r="A939" s="68">
        <v>40376</v>
      </c>
      <c r="B939" s="69">
        <f t="shared" si="15"/>
        <v>20100717</v>
      </c>
      <c r="C939" s="70">
        <v>3.6699999999999997E-2</v>
      </c>
      <c r="D939" s="77">
        <v>7.0000000000000001E-3</v>
      </c>
      <c r="E939" s="77">
        <v>7.0000000000000001E-3</v>
      </c>
      <c r="F939" s="77">
        <v>7.0000000000000001E-3</v>
      </c>
      <c r="G939" s="78">
        <v>0</v>
      </c>
      <c r="H939" s="79"/>
      <c r="I939" s="79"/>
      <c r="J939" s="79"/>
      <c r="K939" s="80">
        <v>1.4999999999999999E-2</v>
      </c>
      <c r="L939" s="80">
        <v>0</v>
      </c>
      <c r="M939" s="75" t="s">
        <v>143</v>
      </c>
      <c r="N939" s="75" t="b">
        <v>1</v>
      </c>
      <c r="O939" s="75" t="s">
        <v>144</v>
      </c>
      <c r="P939" s="75">
        <v>1994</v>
      </c>
      <c r="Q939" s="75">
        <v>2020</v>
      </c>
      <c r="R939" s="75">
        <v>1</v>
      </c>
      <c r="S939" s="100">
        <v>210056</v>
      </c>
      <c r="T939" s="101">
        <v>40420</v>
      </c>
      <c r="U939" s="83"/>
    </row>
    <row r="940" spans="1:21" s="84" customFormat="1" x14ac:dyDescent="0.3">
      <c r="A940" s="68">
        <v>40377</v>
      </c>
      <c r="B940" s="69">
        <f t="shared" si="15"/>
        <v>20100718</v>
      </c>
      <c r="C940" s="70">
        <v>3.6699999999999997E-2</v>
      </c>
      <c r="D940" s="77">
        <v>7.0000000000000001E-3</v>
      </c>
      <c r="E940" s="77">
        <v>7.0000000000000001E-3</v>
      </c>
      <c r="F940" s="77">
        <v>7.0000000000000001E-3</v>
      </c>
      <c r="G940" s="78">
        <v>0</v>
      </c>
      <c r="H940" s="79"/>
      <c r="I940" s="79"/>
      <c r="J940" s="79"/>
      <c r="K940" s="80">
        <v>1.4999999999999999E-2</v>
      </c>
      <c r="L940" s="80">
        <v>0</v>
      </c>
      <c r="M940" s="75" t="s">
        <v>143</v>
      </c>
      <c r="N940" s="75" t="b">
        <v>1</v>
      </c>
      <c r="O940" s="75" t="s">
        <v>144</v>
      </c>
      <c r="P940" s="75">
        <v>1994</v>
      </c>
      <c r="Q940" s="75">
        <v>2020</v>
      </c>
      <c r="R940" s="75">
        <v>1</v>
      </c>
      <c r="S940" s="100">
        <v>210056</v>
      </c>
      <c r="T940" s="101">
        <v>40420</v>
      </c>
      <c r="U940" s="83"/>
    </row>
    <row r="941" spans="1:21" s="84" customFormat="1" x14ac:dyDescent="0.3">
      <c r="A941" s="68">
        <v>40378</v>
      </c>
      <c r="B941" s="69">
        <f t="shared" si="15"/>
        <v>20100719</v>
      </c>
      <c r="C941" s="70">
        <v>3.6699999999999997E-2</v>
      </c>
      <c r="D941" s="77">
        <v>7.0000000000000001E-3</v>
      </c>
      <c r="E941" s="77">
        <v>7.0000000000000001E-3</v>
      </c>
      <c r="F941" s="77">
        <v>7.0000000000000001E-3</v>
      </c>
      <c r="G941" s="78">
        <v>0</v>
      </c>
      <c r="H941" s="79"/>
      <c r="I941" s="79"/>
      <c r="J941" s="79"/>
      <c r="K941" s="80">
        <v>1.52E-2</v>
      </c>
      <c r="L941" s="80">
        <v>0</v>
      </c>
      <c r="M941" s="75" t="s">
        <v>143</v>
      </c>
      <c r="N941" s="75" t="b">
        <v>1</v>
      </c>
      <c r="O941" s="75" t="s">
        <v>144</v>
      </c>
      <c r="P941" s="75">
        <v>1994</v>
      </c>
      <c r="Q941" s="75">
        <v>2020</v>
      </c>
      <c r="R941" s="75">
        <v>1</v>
      </c>
      <c r="S941" s="100">
        <v>210056</v>
      </c>
      <c r="T941" s="101">
        <v>40420</v>
      </c>
      <c r="U941" s="83"/>
    </row>
    <row r="942" spans="1:21" s="84" customFormat="1" x14ac:dyDescent="0.3">
      <c r="A942" s="68">
        <v>40379</v>
      </c>
      <c r="B942" s="69">
        <f t="shared" si="15"/>
        <v>20100720</v>
      </c>
      <c r="C942" s="70">
        <v>3.7000000000000005E-2</v>
      </c>
      <c r="D942" s="77">
        <v>7.0000000000000001E-3</v>
      </c>
      <c r="E942" s="77">
        <v>7.0000000000000001E-3</v>
      </c>
      <c r="F942" s="77">
        <v>7.0000000000000001E-3</v>
      </c>
      <c r="G942" s="78">
        <v>0</v>
      </c>
      <c r="H942" s="79"/>
      <c r="I942" s="79"/>
      <c r="J942" s="79"/>
      <c r="K942" s="80">
        <v>1.55E-2</v>
      </c>
      <c r="L942" s="80">
        <v>0</v>
      </c>
      <c r="M942" s="75" t="s">
        <v>143</v>
      </c>
      <c r="N942" s="75" t="b">
        <v>1</v>
      </c>
      <c r="O942" s="75" t="s">
        <v>144</v>
      </c>
      <c r="P942" s="75">
        <v>1994</v>
      </c>
      <c r="Q942" s="75">
        <v>2020</v>
      </c>
      <c r="R942" s="75">
        <v>1</v>
      </c>
      <c r="S942" s="100">
        <v>210056</v>
      </c>
      <c r="T942" s="101">
        <v>40420</v>
      </c>
      <c r="U942" s="83"/>
    </row>
    <row r="943" spans="1:21" s="84" customFormat="1" x14ac:dyDescent="0.3">
      <c r="A943" s="68">
        <v>40380</v>
      </c>
      <c r="B943" s="69">
        <f t="shared" si="15"/>
        <v>20100721</v>
      </c>
      <c r="C943" s="70">
        <v>3.6600000000000001E-2</v>
      </c>
      <c r="D943" s="77">
        <v>7.0000000000000001E-3</v>
      </c>
      <c r="E943" s="77">
        <v>7.0000000000000001E-3</v>
      </c>
      <c r="F943" s="77">
        <v>7.0000000000000001E-3</v>
      </c>
      <c r="G943" s="78">
        <v>0</v>
      </c>
      <c r="H943" s="79"/>
      <c r="I943" s="79"/>
      <c r="J943" s="79"/>
      <c r="K943" s="80">
        <v>1.5100000000000001E-2</v>
      </c>
      <c r="L943" s="80">
        <v>0</v>
      </c>
      <c r="M943" s="75" t="s">
        <v>143</v>
      </c>
      <c r="N943" s="75" t="b">
        <v>1</v>
      </c>
      <c r="O943" s="75" t="s">
        <v>144</v>
      </c>
      <c r="P943" s="75">
        <v>1994</v>
      </c>
      <c r="Q943" s="75">
        <v>2020</v>
      </c>
      <c r="R943" s="75">
        <v>1</v>
      </c>
      <c r="S943" s="100">
        <v>210056</v>
      </c>
      <c r="T943" s="101">
        <v>40420</v>
      </c>
      <c r="U943" s="83"/>
    </row>
    <row r="944" spans="1:21" s="84" customFormat="1" x14ac:dyDescent="0.3">
      <c r="A944" s="68">
        <v>40381</v>
      </c>
      <c r="B944" s="69">
        <f t="shared" si="15"/>
        <v>20100722</v>
      </c>
      <c r="C944" s="70">
        <v>3.7000000000000005E-2</v>
      </c>
      <c r="D944" s="77">
        <v>7.0000000000000001E-3</v>
      </c>
      <c r="E944" s="77">
        <v>7.0000000000000001E-3</v>
      </c>
      <c r="F944" s="77">
        <v>7.0000000000000001E-3</v>
      </c>
      <c r="G944" s="78">
        <v>0</v>
      </c>
      <c r="H944" s="79"/>
      <c r="I944" s="79"/>
      <c r="J944" s="79"/>
      <c r="K944" s="80">
        <v>1.55E-2</v>
      </c>
      <c r="L944" s="80">
        <v>0</v>
      </c>
      <c r="M944" s="75" t="s">
        <v>143</v>
      </c>
      <c r="N944" s="75" t="b">
        <v>1</v>
      </c>
      <c r="O944" s="75" t="s">
        <v>144</v>
      </c>
      <c r="P944" s="75">
        <v>1994</v>
      </c>
      <c r="Q944" s="75">
        <v>2020</v>
      </c>
      <c r="R944" s="75">
        <v>1</v>
      </c>
      <c r="S944" s="100">
        <v>210056</v>
      </c>
      <c r="T944" s="101">
        <v>40420</v>
      </c>
      <c r="U944" s="83"/>
    </row>
    <row r="945" spans="1:21" s="84" customFormat="1" x14ac:dyDescent="0.3">
      <c r="A945" s="68">
        <v>40382</v>
      </c>
      <c r="B945" s="69">
        <f t="shared" si="15"/>
        <v>20100723</v>
      </c>
      <c r="C945" s="70">
        <v>3.7100000000000001E-2</v>
      </c>
      <c r="D945" s="77">
        <v>7.0000000000000001E-3</v>
      </c>
      <c r="E945" s="77">
        <v>7.0000000000000001E-3</v>
      </c>
      <c r="F945" s="77">
        <v>7.0000000000000001E-3</v>
      </c>
      <c r="G945" s="78">
        <v>0</v>
      </c>
      <c r="H945" s="79"/>
      <c r="I945" s="79"/>
      <c r="J945" s="79"/>
      <c r="K945" s="80">
        <v>1.5600000000000001E-2</v>
      </c>
      <c r="L945" s="80">
        <v>0</v>
      </c>
      <c r="M945" s="75" t="s">
        <v>143</v>
      </c>
      <c r="N945" s="75" t="b">
        <v>1</v>
      </c>
      <c r="O945" s="75" t="s">
        <v>144</v>
      </c>
      <c r="P945" s="75">
        <v>1994</v>
      </c>
      <c r="Q945" s="75">
        <v>2020</v>
      </c>
      <c r="R945" s="75">
        <v>1</v>
      </c>
      <c r="S945" s="100">
        <v>210056</v>
      </c>
      <c r="T945" s="101">
        <v>40420</v>
      </c>
      <c r="U945" s="83"/>
    </row>
    <row r="946" spans="1:21" s="84" customFormat="1" x14ac:dyDescent="0.3">
      <c r="A946" s="68">
        <v>40383</v>
      </c>
      <c r="B946" s="69">
        <f t="shared" si="15"/>
        <v>20100724</v>
      </c>
      <c r="C946" s="70">
        <v>3.7100000000000001E-2</v>
      </c>
      <c r="D946" s="77">
        <v>7.0000000000000001E-3</v>
      </c>
      <c r="E946" s="77">
        <v>7.0000000000000001E-3</v>
      </c>
      <c r="F946" s="77">
        <v>7.0000000000000001E-3</v>
      </c>
      <c r="G946" s="78">
        <v>0</v>
      </c>
      <c r="H946" s="79"/>
      <c r="I946" s="79"/>
      <c r="J946" s="79"/>
      <c r="K946" s="80">
        <v>1.5600000000000001E-2</v>
      </c>
      <c r="L946" s="80">
        <v>0</v>
      </c>
      <c r="M946" s="75" t="s">
        <v>143</v>
      </c>
      <c r="N946" s="75" t="b">
        <v>1</v>
      </c>
      <c r="O946" s="75" t="s">
        <v>144</v>
      </c>
      <c r="P946" s="75">
        <v>1994</v>
      </c>
      <c r="Q946" s="75">
        <v>2020</v>
      </c>
      <c r="R946" s="75">
        <v>1</v>
      </c>
      <c r="S946" s="100">
        <v>210056</v>
      </c>
      <c r="T946" s="101">
        <v>40420</v>
      </c>
      <c r="U946" s="83"/>
    </row>
    <row r="947" spans="1:21" s="84" customFormat="1" x14ac:dyDescent="0.3">
      <c r="A947" s="68">
        <v>40384</v>
      </c>
      <c r="B947" s="69">
        <f t="shared" si="15"/>
        <v>20100725</v>
      </c>
      <c r="C947" s="70">
        <v>3.7100000000000001E-2</v>
      </c>
      <c r="D947" s="77">
        <v>7.0000000000000001E-3</v>
      </c>
      <c r="E947" s="77">
        <v>7.0000000000000001E-3</v>
      </c>
      <c r="F947" s="77">
        <v>7.0000000000000001E-3</v>
      </c>
      <c r="G947" s="78">
        <v>0</v>
      </c>
      <c r="H947" s="79"/>
      <c r="I947" s="79"/>
      <c r="J947" s="79"/>
      <c r="K947" s="80">
        <v>1.5600000000000001E-2</v>
      </c>
      <c r="L947" s="80">
        <v>0</v>
      </c>
      <c r="M947" s="75" t="s">
        <v>143</v>
      </c>
      <c r="N947" s="75" t="b">
        <v>1</v>
      </c>
      <c r="O947" s="75" t="s">
        <v>144</v>
      </c>
      <c r="P947" s="75">
        <v>1994</v>
      </c>
      <c r="Q947" s="75">
        <v>2020</v>
      </c>
      <c r="R947" s="75">
        <v>1</v>
      </c>
      <c r="S947" s="100">
        <v>210056</v>
      </c>
      <c r="T947" s="101">
        <v>40420</v>
      </c>
      <c r="U947" s="83"/>
    </row>
    <row r="948" spans="1:21" s="84" customFormat="1" x14ac:dyDescent="0.3">
      <c r="A948" s="68">
        <v>40385</v>
      </c>
      <c r="B948" s="69">
        <f t="shared" si="15"/>
        <v>20100726</v>
      </c>
      <c r="C948" s="70">
        <v>3.7100000000000001E-2</v>
      </c>
      <c r="D948" s="77">
        <v>7.0000000000000001E-3</v>
      </c>
      <c r="E948" s="77">
        <v>7.0000000000000001E-3</v>
      </c>
      <c r="F948" s="77">
        <v>7.0000000000000001E-3</v>
      </c>
      <c r="G948" s="78">
        <v>0</v>
      </c>
      <c r="H948" s="79"/>
      <c r="I948" s="79"/>
      <c r="J948" s="79"/>
      <c r="K948" s="80">
        <v>1.5600000000000001E-2</v>
      </c>
      <c r="L948" s="80">
        <v>0</v>
      </c>
      <c r="M948" s="75" t="s">
        <v>143</v>
      </c>
      <c r="N948" s="75" t="b">
        <v>1</v>
      </c>
      <c r="O948" s="75" t="s">
        <v>144</v>
      </c>
      <c r="P948" s="75">
        <v>1994</v>
      </c>
      <c r="Q948" s="75">
        <v>2020</v>
      </c>
      <c r="R948" s="75">
        <v>1</v>
      </c>
      <c r="S948" s="100">
        <v>210056</v>
      </c>
      <c r="T948" s="101">
        <v>40420</v>
      </c>
      <c r="U948" s="83"/>
    </row>
    <row r="949" spans="1:21" s="84" customFormat="1" x14ac:dyDescent="0.3">
      <c r="A949" s="68">
        <v>40386</v>
      </c>
      <c r="B949" s="69">
        <f t="shared" si="15"/>
        <v>20100727</v>
      </c>
      <c r="C949" s="70">
        <v>3.7400000000000003E-2</v>
      </c>
      <c r="D949" s="77">
        <v>7.0000000000000001E-3</v>
      </c>
      <c r="E949" s="77">
        <v>7.0000000000000001E-3</v>
      </c>
      <c r="F949" s="77">
        <v>7.0000000000000001E-3</v>
      </c>
      <c r="G949" s="78">
        <v>0</v>
      </c>
      <c r="H949" s="79"/>
      <c r="I949" s="79"/>
      <c r="J949" s="79"/>
      <c r="K949" s="80">
        <v>1.5700000000000002E-2</v>
      </c>
      <c r="L949" s="80">
        <v>0</v>
      </c>
      <c r="M949" s="75" t="s">
        <v>143</v>
      </c>
      <c r="N949" s="75" t="b">
        <v>1</v>
      </c>
      <c r="O949" s="75" t="s">
        <v>144</v>
      </c>
      <c r="P949" s="75">
        <v>1994</v>
      </c>
      <c r="Q949" s="75">
        <v>2020</v>
      </c>
      <c r="R949" s="75">
        <v>1</v>
      </c>
      <c r="S949" s="100">
        <v>210056</v>
      </c>
      <c r="T949" s="101">
        <v>40420</v>
      </c>
      <c r="U949" s="83"/>
    </row>
    <row r="950" spans="1:21" s="84" customFormat="1" x14ac:dyDescent="0.3">
      <c r="A950" s="68">
        <v>40387</v>
      </c>
      <c r="B950" s="69">
        <f t="shared" si="15"/>
        <v>20100728</v>
      </c>
      <c r="C950" s="70">
        <v>3.7100000000000001E-2</v>
      </c>
      <c r="D950" s="77">
        <v>7.0000000000000001E-3</v>
      </c>
      <c r="E950" s="77">
        <v>7.0000000000000001E-3</v>
      </c>
      <c r="F950" s="77">
        <v>7.0000000000000001E-3</v>
      </c>
      <c r="G950" s="78">
        <v>0</v>
      </c>
      <c r="H950" s="79"/>
      <c r="I950" s="79"/>
      <c r="J950" s="79"/>
      <c r="K950" s="80">
        <v>1.55E-2</v>
      </c>
      <c r="L950" s="80">
        <v>0</v>
      </c>
      <c r="M950" s="75" t="s">
        <v>143</v>
      </c>
      <c r="N950" s="75" t="b">
        <v>1</v>
      </c>
      <c r="O950" s="75" t="s">
        <v>144</v>
      </c>
      <c r="P950" s="75">
        <v>1994</v>
      </c>
      <c r="Q950" s="75">
        <v>2020</v>
      </c>
      <c r="R950" s="75">
        <v>1</v>
      </c>
      <c r="S950" s="100">
        <v>210056</v>
      </c>
      <c r="T950" s="101">
        <v>40420</v>
      </c>
      <c r="U950" s="83"/>
    </row>
    <row r="951" spans="1:21" s="84" customFormat="1" x14ac:dyDescent="0.3">
      <c r="A951" s="68">
        <v>40388</v>
      </c>
      <c r="B951" s="69">
        <f t="shared" si="15"/>
        <v>20100729</v>
      </c>
      <c r="C951" s="70">
        <v>3.6900000000000002E-2</v>
      </c>
      <c r="D951" s="77">
        <v>7.0000000000000001E-3</v>
      </c>
      <c r="E951" s="77">
        <v>7.0000000000000001E-3</v>
      </c>
      <c r="F951" s="77">
        <v>7.0000000000000001E-3</v>
      </c>
      <c r="G951" s="78">
        <v>0</v>
      </c>
      <c r="H951" s="79"/>
      <c r="I951" s="79"/>
      <c r="J951" s="79"/>
      <c r="K951" s="80">
        <v>1.55E-2</v>
      </c>
      <c r="L951" s="80">
        <v>0</v>
      </c>
      <c r="M951" s="75" t="s">
        <v>143</v>
      </c>
      <c r="N951" s="75" t="b">
        <v>1</v>
      </c>
      <c r="O951" s="75" t="s">
        <v>144</v>
      </c>
      <c r="P951" s="75">
        <v>1994</v>
      </c>
      <c r="Q951" s="75">
        <v>2020</v>
      </c>
      <c r="R951" s="75">
        <v>1</v>
      </c>
      <c r="S951" s="100">
        <v>210056</v>
      </c>
      <c r="T951" s="101">
        <v>40420</v>
      </c>
      <c r="U951" s="83"/>
    </row>
    <row r="952" spans="1:21" s="84" customFormat="1" x14ac:dyDescent="0.3">
      <c r="A952" s="68">
        <v>40389</v>
      </c>
      <c r="B952" s="69">
        <f>YEAR(A952)*10000+MONTH(A952)*100+DAY(A952)</f>
        <v>20100730</v>
      </c>
      <c r="C952" s="70">
        <v>3.6200000000000003E-2</v>
      </c>
      <c r="D952" s="77">
        <v>7.0000000000000001E-3</v>
      </c>
      <c r="E952" s="77">
        <v>7.0000000000000001E-3</v>
      </c>
      <c r="F952" s="77">
        <v>7.0000000000000001E-3</v>
      </c>
      <c r="G952" s="78">
        <v>0</v>
      </c>
      <c r="H952" s="79"/>
      <c r="I952" s="79"/>
      <c r="J952" s="79"/>
      <c r="K952" s="80">
        <v>1.5100000000000001E-2</v>
      </c>
      <c r="L952" s="80">
        <v>0</v>
      </c>
      <c r="M952" s="75" t="s">
        <v>143</v>
      </c>
      <c r="N952" s="75" t="b">
        <v>1</v>
      </c>
      <c r="O952" s="75" t="s">
        <v>144</v>
      </c>
      <c r="P952" s="75">
        <v>1994</v>
      </c>
      <c r="Q952" s="75">
        <v>2020</v>
      </c>
      <c r="R952" s="75">
        <v>1</v>
      </c>
      <c r="S952" s="100">
        <v>210056</v>
      </c>
      <c r="T952" s="101">
        <v>40420</v>
      </c>
      <c r="U952" s="83"/>
    </row>
    <row r="953" spans="1:21" s="84" customFormat="1" x14ac:dyDescent="0.3">
      <c r="A953" s="68">
        <v>40390</v>
      </c>
      <c r="B953" s="69">
        <f>YEAR(A953)*10000+MONTH(A953)*100+DAY(A953)</f>
        <v>20100731</v>
      </c>
      <c r="C953" s="70">
        <v>3.6200000000000003E-2</v>
      </c>
      <c r="D953" s="77">
        <v>7.0000000000000001E-3</v>
      </c>
      <c r="E953" s="77">
        <v>7.0000000000000001E-3</v>
      </c>
      <c r="F953" s="77">
        <v>7.0000000000000001E-3</v>
      </c>
      <c r="G953" s="78">
        <v>0</v>
      </c>
      <c r="H953" s="79"/>
      <c r="I953" s="79"/>
      <c r="J953" s="79"/>
      <c r="K953" s="80">
        <v>1.5100000000000001E-2</v>
      </c>
      <c r="L953" s="80">
        <v>0</v>
      </c>
      <c r="M953" s="75" t="s">
        <v>143</v>
      </c>
      <c r="N953" s="75" t="b">
        <v>1</v>
      </c>
      <c r="O953" s="75" t="s">
        <v>144</v>
      </c>
      <c r="P953" s="75">
        <v>1994</v>
      </c>
      <c r="Q953" s="75">
        <v>2020</v>
      </c>
      <c r="R953" s="75">
        <v>1</v>
      </c>
      <c r="S953" s="100">
        <v>210056</v>
      </c>
      <c r="T953" s="101">
        <v>40420</v>
      </c>
      <c r="U953" s="83"/>
    </row>
    <row r="954" spans="1:21" s="84" customFormat="1" x14ac:dyDescent="0.3">
      <c r="A954" s="68">
        <v>40391</v>
      </c>
      <c r="B954" s="69">
        <f>YEAR(A954)*10000+MONTH(A954)*100+DAY(A954)</f>
        <v>20100801</v>
      </c>
      <c r="C954" s="70">
        <v>3.6200000000000003E-2</v>
      </c>
      <c r="D954" s="77">
        <v>7.0000000000000001E-3</v>
      </c>
      <c r="E954" s="77">
        <v>7.0000000000000001E-3</v>
      </c>
      <c r="F954" s="77">
        <v>7.0000000000000001E-3</v>
      </c>
      <c r="G954" s="78">
        <v>0</v>
      </c>
      <c r="H954" s="79"/>
      <c r="I954" s="79"/>
      <c r="J954" s="79"/>
      <c r="K954" s="80">
        <v>1.5100000000000001E-2</v>
      </c>
      <c r="L954" s="80">
        <v>0</v>
      </c>
      <c r="M954" s="75" t="s">
        <v>143</v>
      </c>
      <c r="N954" s="75" t="b">
        <v>1</v>
      </c>
      <c r="O954" s="75" t="s">
        <v>144</v>
      </c>
      <c r="P954" s="75">
        <v>1994</v>
      </c>
      <c r="Q954" s="75">
        <v>2020</v>
      </c>
      <c r="R954" s="75">
        <v>1</v>
      </c>
      <c r="S954" s="100">
        <v>210056</v>
      </c>
      <c r="T954" s="101">
        <v>40420</v>
      </c>
      <c r="U954" s="83"/>
    </row>
    <row r="955" spans="1:21" s="84" customFormat="1" x14ac:dyDescent="0.3">
      <c r="A955" s="68">
        <v>40392</v>
      </c>
      <c r="B955" s="69">
        <f t="shared" ref="B955:B1020" si="16">YEAR(A955)*10000+MONTH(A955)*100+DAY(A955)</f>
        <v>20100802</v>
      </c>
      <c r="C955" s="70">
        <v>3.6200000000000003E-2</v>
      </c>
      <c r="D955" s="77">
        <v>7.0000000000000001E-3</v>
      </c>
      <c r="E955" s="77">
        <v>7.0000000000000001E-3</v>
      </c>
      <c r="F955" s="77">
        <v>7.0000000000000001E-3</v>
      </c>
      <c r="G955" s="78">
        <v>0</v>
      </c>
      <c r="H955" s="79"/>
      <c r="I955" s="79"/>
      <c r="J955" s="79"/>
      <c r="K955" s="80">
        <v>1.5100000000000001E-2</v>
      </c>
      <c r="L955" s="80">
        <v>0</v>
      </c>
      <c r="M955" s="75" t="s">
        <v>143</v>
      </c>
      <c r="N955" s="75" t="b">
        <v>1</v>
      </c>
      <c r="O955" s="75" t="s">
        <v>144</v>
      </c>
      <c r="P955" s="75">
        <v>1994</v>
      </c>
      <c r="Q955" s="75">
        <v>2020</v>
      </c>
      <c r="R955" s="75">
        <v>1</v>
      </c>
      <c r="S955" s="100">
        <v>210056</v>
      </c>
      <c r="T955" s="101">
        <v>40420</v>
      </c>
      <c r="U955" s="83"/>
    </row>
    <row r="956" spans="1:21" s="84" customFormat="1" x14ac:dyDescent="0.3">
      <c r="A956" s="68">
        <v>40393</v>
      </c>
      <c r="B956" s="69">
        <f t="shared" si="16"/>
        <v>20100803</v>
      </c>
      <c r="C956" s="70">
        <v>3.6299999999999999E-2</v>
      </c>
      <c r="D956" s="77">
        <v>7.0000000000000001E-3</v>
      </c>
      <c r="E956" s="77">
        <v>7.0000000000000001E-3</v>
      </c>
      <c r="F956" s="77">
        <v>7.0000000000000001E-3</v>
      </c>
      <c r="G956" s="78">
        <v>0</v>
      </c>
      <c r="H956" s="79"/>
      <c r="I956" s="79"/>
      <c r="J956" s="79"/>
      <c r="K956" s="80">
        <v>1.4999999999999999E-2</v>
      </c>
      <c r="L956" s="80">
        <v>0</v>
      </c>
      <c r="M956" s="75" t="s">
        <v>143</v>
      </c>
      <c r="N956" s="75" t="b">
        <v>1</v>
      </c>
      <c r="O956" s="75" t="s">
        <v>144</v>
      </c>
      <c r="P956" s="75">
        <v>1994</v>
      </c>
      <c r="Q956" s="75">
        <v>2020</v>
      </c>
      <c r="R956" s="75">
        <v>1</v>
      </c>
      <c r="S956" s="100">
        <v>210056</v>
      </c>
      <c r="T956" s="101">
        <v>40420</v>
      </c>
      <c r="U956" s="83"/>
    </row>
    <row r="957" spans="1:21" s="84" customFormat="1" x14ac:dyDescent="0.3">
      <c r="A957" s="68">
        <v>40394</v>
      </c>
      <c r="B957" s="69">
        <f t="shared" si="16"/>
        <v>20100804</v>
      </c>
      <c r="C957" s="70">
        <v>3.6600000000000001E-2</v>
      </c>
      <c r="D957" s="77">
        <v>7.0000000000000001E-3</v>
      </c>
      <c r="E957" s="77">
        <v>7.0000000000000001E-3</v>
      </c>
      <c r="F957" s="77">
        <v>7.0000000000000001E-3</v>
      </c>
      <c r="G957" s="78">
        <v>0</v>
      </c>
      <c r="H957" s="79"/>
      <c r="I957" s="79"/>
      <c r="J957" s="79"/>
      <c r="K957" s="80">
        <v>1.52E-2</v>
      </c>
      <c r="L957" s="80">
        <v>0</v>
      </c>
      <c r="M957" s="75" t="s">
        <v>143</v>
      </c>
      <c r="N957" s="75" t="b">
        <v>1</v>
      </c>
      <c r="O957" s="75" t="s">
        <v>144</v>
      </c>
      <c r="P957" s="75">
        <v>1994</v>
      </c>
      <c r="Q957" s="75">
        <v>2020</v>
      </c>
      <c r="R957" s="75">
        <v>1</v>
      </c>
      <c r="S957" s="100">
        <v>210056</v>
      </c>
      <c r="T957" s="101">
        <v>40420</v>
      </c>
      <c r="U957" s="83"/>
    </row>
    <row r="958" spans="1:21" s="84" customFormat="1" x14ac:dyDescent="0.3">
      <c r="A958" s="68">
        <v>40395</v>
      </c>
      <c r="B958" s="69">
        <f t="shared" si="16"/>
        <v>20100805</v>
      </c>
      <c r="C958" s="70">
        <v>3.6000000000000004E-2</v>
      </c>
      <c r="D958" s="77">
        <v>7.0000000000000001E-3</v>
      </c>
      <c r="E958" s="77">
        <v>7.0000000000000001E-3</v>
      </c>
      <c r="F958" s="77">
        <v>7.0000000000000001E-3</v>
      </c>
      <c r="G958" s="78">
        <v>0</v>
      </c>
      <c r="H958" s="79"/>
      <c r="I958" s="79"/>
      <c r="J958" s="79"/>
      <c r="K958" s="80">
        <v>1.47E-2</v>
      </c>
      <c r="L958" s="80">
        <v>0</v>
      </c>
      <c r="M958" s="75" t="s">
        <v>143</v>
      </c>
      <c r="N958" s="75" t="b">
        <v>1</v>
      </c>
      <c r="O958" s="75" t="s">
        <v>144</v>
      </c>
      <c r="P958" s="75">
        <v>1994</v>
      </c>
      <c r="Q958" s="75">
        <v>2020</v>
      </c>
      <c r="R958" s="75">
        <v>1</v>
      </c>
      <c r="S958" s="100">
        <v>210056</v>
      </c>
      <c r="T958" s="101">
        <v>40420</v>
      </c>
      <c r="U958" s="83"/>
    </row>
    <row r="959" spans="1:21" s="84" customFormat="1" x14ac:dyDescent="0.3">
      <c r="A959" s="68">
        <v>40396</v>
      </c>
      <c r="B959" s="69">
        <f t="shared" si="16"/>
        <v>20100806</v>
      </c>
      <c r="C959" s="70">
        <v>3.5799999999999998E-2</v>
      </c>
      <c r="D959" s="77">
        <v>7.0000000000000001E-3</v>
      </c>
      <c r="E959" s="77">
        <v>7.0000000000000001E-3</v>
      </c>
      <c r="F959" s="77">
        <v>7.0000000000000001E-3</v>
      </c>
      <c r="G959" s="78">
        <v>0</v>
      </c>
      <c r="H959" s="79"/>
      <c r="I959" s="79"/>
      <c r="J959" s="79"/>
      <c r="K959" s="80">
        <v>1.4499999999999999E-2</v>
      </c>
      <c r="L959" s="80">
        <v>0</v>
      </c>
      <c r="M959" s="75" t="s">
        <v>143</v>
      </c>
      <c r="N959" s="75" t="b">
        <v>1</v>
      </c>
      <c r="O959" s="75" t="s">
        <v>144</v>
      </c>
      <c r="P959" s="75">
        <v>1994</v>
      </c>
      <c r="Q959" s="75">
        <v>2020</v>
      </c>
      <c r="R959" s="75">
        <v>1</v>
      </c>
      <c r="S959" s="100">
        <v>210056</v>
      </c>
      <c r="T959" s="101">
        <v>40420</v>
      </c>
      <c r="U959" s="83"/>
    </row>
    <row r="960" spans="1:21" s="84" customFormat="1" x14ac:dyDescent="0.3">
      <c r="A960" s="68">
        <v>40397</v>
      </c>
      <c r="B960" s="69">
        <f t="shared" si="16"/>
        <v>20100807</v>
      </c>
      <c r="C960" s="70">
        <v>3.5799999999999998E-2</v>
      </c>
      <c r="D960" s="77">
        <v>7.0000000000000001E-3</v>
      </c>
      <c r="E960" s="77">
        <v>7.0000000000000001E-3</v>
      </c>
      <c r="F960" s="77">
        <v>7.0000000000000001E-3</v>
      </c>
      <c r="G960" s="78">
        <v>0</v>
      </c>
      <c r="H960" s="79"/>
      <c r="I960" s="79"/>
      <c r="J960" s="79"/>
      <c r="K960" s="80">
        <v>1.4499999999999999E-2</v>
      </c>
      <c r="L960" s="80">
        <v>0</v>
      </c>
      <c r="M960" s="75" t="s">
        <v>143</v>
      </c>
      <c r="N960" s="75" t="b">
        <v>1</v>
      </c>
      <c r="O960" s="75" t="s">
        <v>144</v>
      </c>
      <c r="P960" s="75">
        <v>1994</v>
      </c>
      <c r="Q960" s="75">
        <v>2020</v>
      </c>
      <c r="R960" s="75">
        <v>1</v>
      </c>
      <c r="S960" s="100">
        <v>210056</v>
      </c>
      <c r="T960" s="101">
        <v>40420</v>
      </c>
      <c r="U960" s="83"/>
    </row>
    <row r="961" spans="1:21" s="84" customFormat="1" x14ac:dyDescent="0.3">
      <c r="A961" s="68">
        <v>40398</v>
      </c>
      <c r="B961" s="69">
        <f t="shared" si="16"/>
        <v>20100808</v>
      </c>
      <c r="C961" s="70">
        <v>3.5799999999999998E-2</v>
      </c>
      <c r="D961" s="77">
        <v>7.0000000000000001E-3</v>
      </c>
      <c r="E961" s="77">
        <v>7.0000000000000001E-3</v>
      </c>
      <c r="F961" s="77">
        <v>7.0000000000000001E-3</v>
      </c>
      <c r="G961" s="78">
        <v>0</v>
      </c>
      <c r="H961" s="79"/>
      <c r="I961" s="79"/>
      <c r="J961" s="79"/>
      <c r="K961" s="80">
        <v>1.4499999999999999E-2</v>
      </c>
      <c r="L961" s="80">
        <v>0</v>
      </c>
      <c r="M961" s="75" t="s">
        <v>143</v>
      </c>
      <c r="N961" s="75" t="b">
        <v>1</v>
      </c>
      <c r="O961" s="75" t="s">
        <v>144</v>
      </c>
      <c r="P961" s="75">
        <v>1994</v>
      </c>
      <c r="Q961" s="75">
        <v>2020</v>
      </c>
      <c r="R961" s="75">
        <v>1</v>
      </c>
      <c r="S961" s="100">
        <v>210056</v>
      </c>
      <c r="T961" s="101">
        <v>40420</v>
      </c>
      <c r="U961" s="83"/>
    </row>
    <row r="962" spans="1:21" s="84" customFormat="1" x14ac:dyDescent="0.3">
      <c r="A962" s="68">
        <v>40399</v>
      </c>
      <c r="B962" s="69">
        <f t="shared" si="16"/>
        <v>20100809</v>
      </c>
      <c r="C962" s="70">
        <v>3.5900000000000001E-2</v>
      </c>
      <c r="D962" s="77">
        <v>7.0000000000000001E-3</v>
      </c>
      <c r="E962" s="77">
        <v>7.0000000000000001E-3</v>
      </c>
      <c r="F962" s="77">
        <v>7.0000000000000001E-3</v>
      </c>
      <c r="G962" s="78">
        <v>0</v>
      </c>
      <c r="H962" s="79"/>
      <c r="I962" s="79"/>
      <c r="J962" s="79"/>
      <c r="K962" s="80">
        <v>1.46E-2</v>
      </c>
      <c r="L962" s="80">
        <v>0</v>
      </c>
      <c r="M962" s="75" t="s">
        <v>143</v>
      </c>
      <c r="N962" s="75" t="b">
        <v>1</v>
      </c>
      <c r="O962" s="75" t="s">
        <v>144</v>
      </c>
      <c r="P962" s="75">
        <v>1994</v>
      </c>
      <c r="Q962" s="75">
        <v>2020</v>
      </c>
      <c r="R962" s="75">
        <v>1</v>
      </c>
      <c r="S962" s="100">
        <v>210056</v>
      </c>
      <c r="T962" s="101">
        <v>40420</v>
      </c>
      <c r="U962" s="83"/>
    </row>
    <row r="963" spans="1:21" s="84" customFormat="1" x14ac:dyDescent="0.3">
      <c r="A963" s="68">
        <v>40400</v>
      </c>
      <c r="B963" s="69">
        <f t="shared" si="16"/>
        <v>20100810</v>
      </c>
      <c r="C963" s="70">
        <v>3.56E-2</v>
      </c>
      <c r="D963" s="77">
        <v>7.0000000000000001E-3</v>
      </c>
      <c r="E963" s="77">
        <v>7.0000000000000001E-3</v>
      </c>
      <c r="F963" s="77">
        <v>7.0000000000000001E-3</v>
      </c>
      <c r="G963" s="78">
        <v>0</v>
      </c>
      <c r="H963" s="79"/>
      <c r="I963" s="79"/>
      <c r="J963" s="79"/>
      <c r="K963" s="80">
        <v>1.43E-2</v>
      </c>
      <c r="L963" s="80">
        <v>0</v>
      </c>
      <c r="M963" s="75" t="s">
        <v>143</v>
      </c>
      <c r="N963" s="75" t="b">
        <v>1</v>
      </c>
      <c r="O963" s="75" t="s">
        <v>144</v>
      </c>
      <c r="P963" s="75">
        <v>1994</v>
      </c>
      <c r="Q963" s="75">
        <v>2020</v>
      </c>
      <c r="R963" s="75">
        <v>1</v>
      </c>
      <c r="S963" s="100">
        <v>210056</v>
      </c>
      <c r="T963" s="101">
        <v>40420</v>
      </c>
      <c r="U963" s="83"/>
    </row>
    <row r="964" spans="1:21" s="84" customFormat="1" x14ac:dyDescent="0.3">
      <c r="A964" s="68">
        <v>40401</v>
      </c>
      <c r="B964" s="69">
        <f t="shared" si="16"/>
        <v>20100811</v>
      </c>
      <c r="C964" s="70">
        <v>3.5299999999999998E-2</v>
      </c>
      <c r="D964" s="77">
        <v>7.0000000000000001E-3</v>
      </c>
      <c r="E964" s="77">
        <v>7.0000000000000001E-3</v>
      </c>
      <c r="F964" s="77">
        <v>7.0000000000000001E-3</v>
      </c>
      <c r="G964" s="78">
        <v>0</v>
      </c>
      <c r="H964" s="79"/>
      <c r="I964" s="79"/>
      <c r="J964" s="79"/>
      <c r="K964" s="80">
        <v>1.4199999999999999E-2</v>
      </c>
      <c r="L964" s="80">
        <v>0</v>
      </c>
      <c r="M964" s="75" t="s">
        <v>143</v>
      </c>
      <c r="N964" s="75" t="b">
        <v>1</v>
      </c>
      <c r="O964" s="75" t="s">
        <v>144</v>
      </c>
      <c r="P964" s="75">
        <v>1994</v>
      </c>
      <c r="Q964" s="75">
        <v>2020</v>
      </c>
      <c r="R964" s="75">
        <v>1</v>
      </c>
      <c r="S964" s="100">
        <v>210056</v>
      </c>
      <c r="T964" s="101">
        <v>40420</v>
      </c>
      <c r="U964" s="83"/>
    </row>
    <row r="965" spans="1:21" s="84" customFormat="1" x14ac:dyDescent="0.3">
      <c r="A965" s="68">
        <v>40402</v>
      </c>
      <c r="B965" s="69">
        <f t="shared" si="16"/>
        <v>20100812</v>
      </c>
      <c r="C965" s="70">
        <v>3.56E-2</v>
      </c>
      <c r="D965" s="77">
        <v>7.0000000000000001E-3</v>
      </c>
      <c r="E965" s="77">
        <v>7.0000000000000001E-3</v>
      </c>
      <c r="F965" s="77">
        <v>7.0000000000000001E-3</v>
      </c>
      <c r="G965" s="78">
        <v>0</v>
      </c>
      <c r="H965" s="79"/>
      <c r="I965" s="79"/>
      <c r="J965" s="79"/>
      <c r="K965" s="80">
        <v>1.44E-2</v>
      </c>
      <c r="L965" s="80">
        <v>0</v>
      </c>
      <c r="M965" s="75" t="s">
        <v>143</v>
      </c>
      <c r="N965" s="75" t="b">
        <v>1</v>
      </c>
      <c r="O965" s="75" t="s">
        <v>144</v>
      </c>
      <c r="P965" s="75">
        <v>1994</v>
      </c>
      <c r="Q965" s="75">
        <v>2020</v>
      </c>
      <c r="R965" s="75">
        <v>1</v>
      </c>
      <c r="S965" s="100">
        <v>210056</v>
      </c>
      <c r="T965" s="101">
        <v>40420</v>
      </c>
      <c r="U965" s="83"/>
    </row>
    <row r="966" spans="1:21" s="84" customFormat="1" x14ac:dyDescent="0.3">
      <c r="A966" s="68">
        <v>40403</v>
      </c>
      <c r="B966" s="69">
        <f t="shared" si="16"/>
        <v>20100813</v>
      </c>
      <c r="C966" s="70">
        <v>3.5299999999999998E-2</v>
      </c>
      <c r="D966" s="77">
        <v>7.0000000000000001E-3</v>
      </c>
      <c r="E966" s="77">
        <v>7.0000000000000001E-3</v>
      </c>
      <c r="F966" s="77">
        <v>7.0000000000000001E-3</v>
      </c>
      <c r="G966" s="78">
        <v>0</v>
      </c>
      <c r="H966" s="79"/>
      <c r="I966" s="79"/>
      <c r="J966" s="79"/>
      <c r="K966" s="80">
        <v>1.41E-2</v>
      </c>
      <c r="L966" s="80">
        <v>0</v>
      </c>
      <c r="M966" s="75" t="s">
        <v>143</v>
      </c>
      <c r="N966" s="75" t="b">
        <v>1</v>
      </c>
      <c r="O966" s="75" t="s">
        <v>144</v>
      </c>
      <c r="P966" s="75">
        <v>1994</v>
      </c>
      <c r="Q966" s="75">
        <v>2020</v>
      </c>
      <c r="R966" s="75">
        <v>1</v>
      </c>
      <c r="S966" s="100">
        <v>210056</v>
      </c>
      <c r="T966" s="101">
        <v>40420</v>
      </c>
      <c r="U966" s="83"/>
    </row>
    <row r="967" spans="1:21" s="84" customFormat="1" x14ac:dyDescent="0.3">
      <c r="A967" s="68">
        <v>40404</v>
      </c>
      <c r="B967" s="69">
        <f t="shared" si="16"/>
        <v>20100814</v>
      </c>
      <c r="C967" s="70">
        <v>3.5299999999999998E-2</v>
      </c>
      <c r="D967" s="77">
        <v>7.0000000000000001E-3</v>
      </c>
      <c r="E967" s="77">
        <v>7.0000000000000001E-3</v>
      </c>
      <c r="F967" s="77">
        <v>7.0000000000000001E-3</v>
      </c>
      <c r="G967" s="78">
        <v>0</v>
      </c>
      <c r="H967" s="79"/>
      <c r="I967" s="79"/>
      <c r="J967" s="79"/>
      <c r="K967" s="80">
        <v>1.41E-2</v>
      </c>
      <c r="L967" s="80">
        <v>0</v>
      </c>
      <c r="M967" s="75" t="s">
        <v>143</v>
      </c>
      <c r="N967" s="75" t="b">
        <v>1</v>
      </c>
      <c r="O967" s="75" t="s">
        <v>144</v>
      </c>
      <c r="P967" s="75">
        <v>1994</v>
      </c>
      <c r="Q967" s="75">
        <v>2020</v>
      </c>
      <c r="R967" s="75">
        <v>1</v>
      </c>
      <c r="S967" s="100">
        <v>210056</v>
      </c>
      <c r="T967" s="101">
        <v>40420</v>
      </c>
      <c r="U967" s="83"/>
    </row>
    <row r="968" spans="1:21" s="84" customFormat="1" x14ac:dyDescent="0.3">
      <c r="A968" s="68">
        <v>40405</v>
      </c>
      <c r="B968" s="69">
        <f t="shared" si="16"/>
        <v>20100815</v>
      </c>
      <c r="C968" s="70">
        <v>3.5299999999999998E-2</v>
      </c>
      <c r="D968" s="77">
        <v>7.0000000000000001E-3</v>
      </c>
      <c r="E968" s="77">
        <v>7.0000000000000001E-3</v>
      </c>
      <c r="F968" s="77">
        <v>7.0000000000000001E-3</v>
      </c>
      <c r="G968" s="78">
        <v>0</v>
      </c>
      <c r="H968" s="79"/>
      <c r="I968" s="79"/>
      <c r="J968" s="79"/>
      <c r="K968" s="80">
        <v>1.41E-2</v>
      </c>
      <c r="L968" s="80">
        <v>0</v>
      </c>
      <c r="M968" s="75" t="s">
        <v>143</v>
      </c>
      <c r="N968" s="75" t="b">
        <v>1</v>
      </c>
      <c r="O968" s="75" t="s">
        <v>144</v>
      </c>
      <c r="P968" s="75">
        <v>1994</v>
      </c>
      <c r="Q968" s="75">
        <v>2020</v>
      </c>
      <c r="R968" s="75">
        <v>1</v>
      </c>
      <c r="S968" s="100">
        <v>210056</v>
      </c>
      <c r="T968" s="101">
        <v>40420</v>
      </c>
      <c r="U968" s="83"/>
    </row>
    <row r="969" spans="1:21" s="84" customFormat="1" x14ac:dyDescent="0.3">
      <c r="A969" s="68">
        <v>40406</v>
      </c>
      <c r="B969" s="69">
        <f t="shared" si="16"/>
        <v>20100816</v>
      </c>
      <c r="C969" s="70">
        <v>3.4700000000000002E-2</v>
      </c>
      <c r="D969" s="77">
        <v>7.0000000000000001E-3</v>
      </c>
      <c r="E969" s="77">
        <v>7.0000000000000001E-3</v>
      </c>
      <c r="F969" s="77">
        <v>7.0000000000000001E-3</v>
      </c>
      <c r="G969" s="78">
        <v>0</v>
      </c>
      <c r="H969" s="79"/>
      <c r="I969" s="79"/>
      <c r="J969" s="79"/>
      <c r="K969" s="80">
        <v>1.37E-2</v>
      </c>
      <c r="L969" s="80">
        <v>0</v>
      </c>
      <c r="M969" s="75" t="s">
        <v>143</v>
      </c>
      <c r="N969" s="75" t="b">
        <v>1</v>
      </c>
      <c r="O969" s="75" t="s">
        <v>144</v>
      </c>
      <c r="P969" s="75">
        <v>1994</v>
      </c>
      <c r="Q969" s="75">
        <v>2020</v>
      </c>
      <c r="R969" s="75">
        <v>1</v>
      </c>
      <c r="S969" s="100">
        <v>210056</v>
      </c>
      <c r="T969" s="101">
        <v>40420</v>
      </c>
      <c r="U969" s="83"/>
    </row>
    <row r="970" spans="1:21" s="84" customFormat="1" x14ac:dyDescent="0.3">
      <c r="A970" s="68">
        <v>40407</v>
      </c>
      <c r="B970" s="69">
        <f t="shared" si="16"/>
        <v>20100817</v>
      </c>
      <c r="C970" s="70">
        <v>3.5000000000000003E-2</v>
      </c>
      <c r="D970" s="77">
        <v>7.0000000000000001E-3</v>
      </c>
      <c r="E970" s="77">
        <v>7.0000000000000001E-3</v>
      </c>
      <c r="F970" s="77">
        <v>7.0000000000000001E-3</v>
      </c>
      <c r="G970" s="78">
        <v>0</v>
      </c>
      <c r="H970" s="79"/>
      <c r="I970" s="79"/>
      <c r="J970" s="79"/>
      <c r="K970" s="80">
        <v>1.38E-2</v>
      </c>
      <c r="L970" s="80">
        <v>0</v>
      </c>
      <c r="M970" s="75" t="s">
        <v>143</v>
      </c>
      <c r="N970" s="75" t="b">
        <v>1</v>
      </c>
      <c r="O970" s="75" t="s">
        <v>144</v>
      </c>
      <c r="P970" s="75">
        <v>1994</v>
      </c>
      <c r="Q970" s="75">
        <v>2020</v>
      </c>
      <c r="R970" s="75">
        <v>1</v>
      </c>
      <c r="S970" s="100">
        <v>210056</v>
      </c>
      <c r="T970" s="101">
        <v>40420</v>
      </c>
      <c r="U970" s="83"/>
    </row>
    <row r="971" spans="1:21" s="84" customFormat="1" x14ac:dyDescent="0.3">
      <c r="A971" s="68">
        <v>40408</v>
      </c>
      <c r="B971" s="69">
        <f t="shared" si="16"/>
        <v>20100818</v>
      </c>
      <c r="C971" s="70">
        <v>3.4700000000000002E-2</v>
      </c>
      <c r="D971" s="77">
        <v>7.0000000000000001E-3</v>
      </c>
      <c r="E971" s="77">
        <v>7.0000000000000001E-3</v>
      </c>
      <c r="F971" s="77">
        <v>7.0000000000000001E-3</v>
      </c>
      <c r="G971" s="78">
        <v>0</v>
      </c>
      <c r="H971" s="79"/>
      <c r="I971" s="79"/>
      <c r="J971" s="79"/>
      <c r="K971" s="80">
        <v>1.3600000000000001E-2</v>
      </c>
      <c r="L971" s="80">
        <v>0</v>
      </c>
      <c r="M971" s="75" t="s">
        <v>143</v>
      </c>
      <c r="N971" s="75" t="b">
        <v>1</v>
      </c>
      <c r="O971" s="75" t="s">
        <v>144</v>
      </c>
      <c r="P971" s="75">
        <v>1994</v>
      </c>
      <c r="Q971" s="75">
        <v>2020</v>
      </c>
      <c r="R971" s="75">
        <v>1</v>
      </c>
      <c r="S971" s="100">
        <v>210056</v>
      </c>
      <c r="T971" s="101">
        <v>40420</v>
      </c>
      <c r="U971" s="83"/>
    </row>
    <row r="972" spans="1:21" s="84" customFormat="1" x14ac:dyDescent="0.3">
      <c r="A972" s="68">
        <v>40409</v>
      </c>
      <c r="B972" s="69">
        <f t="shared" si="16"/>
        <v>20100819</v>
      </c>
      <c r="C972" s="70">
        <v>3.4500000000000003E-2</v>
      </c>
      <c r="D972" s="77">
        <v>7.0000000000000001E-3</v>
      </c>
      <c r="E972" s="77">
        <v>7.0000000000000001E-3</v>
      </c>
      <c r="F972" s="77">
        <v>7.0000000000000001E-3</v>
      </c>
      <c r="G972" s="78">
        <v>0</v>
      </c>
      <c r="H972" s="79"/>
      <c r="I972" s="79"/>
      <c r="J972" s="79"/>
      <c r="K972" s="80">
        <v>1.34E-2</v>
      </c>
      <c r="L972" s="80">
        <v>0</v>
      </c>
      <c r="M972" s="75" t="s">
        <v>143</v>
      </c>
      <c r="N972" s="75" t="b">
        <v>1</v>
      </c>
      <c r="O972" s="75" t="s">
        <v>144</v>
      </c>
      <c r="P972" s="75">
        <v>1994</v>
      </c>
      <c r="Q972" s="75">
        <v>2020</v>
      </c>
      <c r="R972" s="75">
        <v>1</v>
      </c>
      <c r="S972" s="100">
        <v>210056</v>
      </c>
      <c r="T972" s="101">
        <v>40420</v>
      </c>
      <c r="U972" s="83"/>
    </row>
    <row r="973" spans="1:21" s="84" customFormat="1" x14ac:dyDescent="0.3">
      <c r="A973" s="68">
        <v>40410</v>
      </c>
      <c r="B973" s="69">
        <f t="shared" si="16"/>
        <v>20100820</v>
      </c>
      <c r="C973" s="70">
        <v>3.4599999999999999E-2</v>
      </c>
      <c r="D973" s="77">
        <v>7.0000000000000001E-3</v>
      </c>
      <c r="E973" s="77">
        <v>7.0000000000000001E-3</v>
      </c>
      <c r="F973" s="77">
        <v>7.0000000000000001E-3</v>
      </c>
      <c r="G973" s="78">
        <v>0</v>
      </c>
      <c r="H973" s="79"/>
      <c r="I973" s="79"/>
      <c r="J973" s="79"/>
      <c r="K973" s="80">
        <v>1.3600000000000001E-2</v>
      </c>
      <c r="L973" s="80">
        <v>0</v>
      </c>
      <c r="M973" s="75" t="s">
        <v>143</v>
      </c>
      <c r="N973" s="75" t="b">
        <v>1</v>
      </c>
      <c r="O973" s="75" t="s">
        <v>144</v>
      </c>
      <c r="P973" s="75">
        <v>1994</v>
      </c>
      <c r="Q973" s="75">
        <v>2020</v>
      </c>
      <c r="R973" s="75">
        <v>1</v>
      </c>
      <c r="S973" s="100">
        <v>210056</v>
      </c>
      <c r="T973" s="101">
        <v>40420</v>
      </c>
      <c r="U973" s="83"/>
    </row>
    <row r="974" spans="1:21" s="84" customFormat="1" x14ac:dyDescent="0.3">
      <c r="A974" s="68">
        <v>40411</v>
      </c>
      <c r="B974" s="69">
        <f t="shared" si="16"/>
        <v>20100821</v>
      </c>
      <c r="C974" s="70">
        <v>3.4599999999999999E-2</v>
      </c>
      <c r="D974" s="77">
        <v>7.0000000000000001E-3</v>
      </c>
      <c r="E974" s="77">
        <v>7.0000000000000001E-3</v>
      </c>
      <c r="F974" s="77">
        <v>7.0000000000000001E-3</v>
      </c>
      <c r="G974" s="78">
        <v>0</v>
      </c>
      <c r="H974" s="79"/>
      <c r="I974" s="79"/>
      <c r="J974" s="79"/>
      <c r="K974" s="80">
        <v>1.3600000000000001E-2</v>
      </c>
      <c r="L974" s="80">
        <v>0</v>
      </c>
      <c r="M974" s="75" t="s">
        <v>143</v>
      </c>
      <c r="N974" s="75" t="b">
        <v>1</v>
      </c>
      <c r="O974" s="75" t="s">
        <v>144</v>
      </c>
      <c r="P974" s="75">
        <v>1994</v>
      </c>
      <c r="Q974" s="75">
        <v>2020</v>
      </c>
      <c r="R974" s="75">
        <v>1</v>
      </c>
      <c r="S974" s="100">
        <v>210056</v>
      </c>
      <c r="T974" s="101">
        <v>40420</v>
      </c>
      <c r="U974" s="83"/>
    </row>
    <row r="975" spans="1:21" s="84" customFormat="1" x14ac:dyDescent="0.3">
      <c r="A975" s="68">
        <v>40412</v>
      </c>
      <c r="B975" s="69">
        <f t="shared" si="16"/>
        <v>20100822</v>
      </c>
      <c r="C975" s="70">
        <v>3.4599999999999999E-2</v>
      </c>
      <c r="D975" s="77">
        <v>7.0000000000000001E-3</v>
      </c>
      <c r="E975" s="77">
        <v>7.0000000000000001E-3</v>
      </c>
      <c r="F975" s="77">
        <v>7.0000000000000001E-3</v>
      </c>
      <c r="G975" s="78">
        <v>0</v>
      </c>
      <c r="H975" s="79"/>
      <c r="I975" s="79"/>
      <c r="J975" s="79"/>
      <c r="K975" s="80">
        <v>1.3600000000000001E-2</v>
      </c>
      <c r="L975" s="80">
        <v>0</v>
      </c>
      <c r="M975" s="75" t="s">
        <v>143</v>
      </c>
      <c r="N975" s="75" t="b">
        <v>1</v>
      </c>
      <c r="O975" s="75" t="s">
        <v>144</v>
      </c>
      <c r="P975" s="75">
        <v>1994</v>
      </c>
      <c r="Q975" s="75">
        <v>2020</v>
      </c>
      <c r="R975" s="75">
        <v>1</v>
      </c>
      <c r="S975" s="100">
        <v>210056</v>
      </c>
      <c r="T975" s="101">
        <v>40420</v>
      </c>
      <c r="U975" s="83"/>
    </row>
    <row r="976" spans="1:21" s="84" customFormat="1" x14ac:dyDescent="0.3">
      <c r="A976" s="68">
        <v>40413</v>
      </c>
      <c r="B976" s="69">
        <f t="shared" si="16"/>
        <v>20100823</v>
      </c>
      <c r="C976" s="70">
        <v>3.4500000000000003E-2</v>
      </c>
      <c r="D976" s="77">
        <v>7.0000000000000001E-3</v>
      </c>
      <c r="E976" s="77">
        <v>7.0000000000000001E-3</v>
      </c>
      <c r="F976" s="77">
        <v>7.0000000000000001E-3</v>
      </c>
      <c r="G976" s="78">
        <v>0</v>
      </c>
      <c r="H976" s="79"/>
      <c r="I976" s="79"/>
      <c r="J976" s="79"/>
      <c r="K976" s="80">
        <v>1.38E-2</v>
      </c>
      <c r="L976" s="80">
        <v>0</v>
      </c>
      <c r="M976" s="75" t="s">
        <v>143</v>
      </c>
      <c r="N976" s="75" t="b">
        <v>1</v>
      </c>
      <c r="O976" s="75" t="s">
        <v>144</v>
      </c>
      <c r="P976" s="75">
        <v>1994</v>
      </c>
      <c r="Q976" s="75">
        <v>2020</v>
      </c>
      <c r="R976" s="75">
        <v>1</v>
      </c>
      <c r="S976" s="100">
        <v>210056</v>
      </c>
      <c r="T976" s="101">
        <v>40420</v>
      </c>
      <c r="U976" s="83"/>
    </row>
    <row r="977" spans="1:21" s="84" customFormat="1" x14ac:dyDescent="0.3">
      <c r="A977" s="68">
        <v>40414</v>
      </c>
      <c r="B977" s="69">
        <f t="shared" si="16"/>
        <v>20100824</v>
      </c>
      <c r="C977" s="70">
        <v>3.4099999999999998E-2</v>
      </c>
      <c r="D977" s="77">
        <v>7.0000000000000001E-3</v>
      </c>
      <c r="E977" s="77">
        <v>7.0000000000000001E-3</v>
      </c>
      <c r="F977" s="77">
        <v>7.0000000000000001E-3</v>
      </c>
      <c r="G977" s="78">
        <v>0</v>
      </c>
      <c r="H977" s="79"/>
      <c r="I977" s="79"/>
      <c r="J977" s="79"/>
      <c r="K977" s="80">
        <v>1.3600000000000001E-2</v>
      </c>
      <c r="L977" s="80">
        <v>0</v>
      </c>
      <c r="M977" s="75" t="s">
        <v>143</v>
      </c>
      <c r="N977" s="75" t="b">
        <v>1</v>
      </c>
      <c r="O977" s="75" t="s">
        <v>144</v>
      </c>
      <c r="P977" s="75">
        <v>1994</v>
      </c>
      <c r="Q977" s="75">
        <v>2020</v>
      </c>
      <c r="R977" s="75">
        <v>1</v>
      </c>
      <c r="S977" s="100">
        <v>210056</v>
      </c>
      <c r="T977" s="101">
        <v>40420</v>
      </c>
      <c r="U977" s="83"/>
    </row>
    <row r="978" spans="1:21" s="84" customFormat="1" x14ac:dyDescent="0.3">
      <c r="A978" s="68">
        <v>40415</v>
      </c>
      <c r="B978" s="69">
        <f t="shared" si="16"/>
        <v>20100825</v>
      </c>
      <c r="C978" s="70">
        <v>3.39E-2</v>
      </c>
      <c r="D978" s="77">
        <v>7.0000000000000001E-3</v>
      </c>
      <c r="E978" s="77">
        <v>7.0000000000000001E-3</v>
      </c>
      <c r="F978" s="77">
        <v>7.0000000000000001E-3</v>
      </c>
      <c r="G978" s="78">
        <v>0</v>
      </c>
      <c r="H978" s="79"/>
      <c r="I978" s="79"/>
      <c r="J978" s="79"/>
      <c r="K978" s="80">
        <v>1.3999999999999999E-2</v>
      </c>
      <c r="L978" s="80">
        <v>0</v>
      </c>
      <c r="M978" s="75" t="s">
        <v>143</v>
      </c>
      <c r="N978" s="75" t="b">
        <v>1</v>
      </c>
      <c r="O978" s="75" t="s">
        <v>144</v>
      </c>
      <c r="P978" s="75">
        <v>1994</v>
      </c>
      <c r="Q978" s="75">
        <v>2020</v>
      </c>
      <c r="R978" s="75">
        <v>1</v>
      </c>
      <c r="S978" s="100">
        <v>210056</v>
      </c>
      <c r="T978" s="101">
        <v>40420</v>
      </c>
      <c r="U978" s="83"/>
    </row>
    <row r="979" spans="1:21" s="84" customFormat="1" x14ac:dyDescent="0.3">
      <c r="A979" s="68">
        <v>40416</v>
      </c>
      <c r="B979" s="69">
        <f t="shared" si="16"/>
        <v>20100826</v>
      </c>
      <c r="C979" s="70">
        <v>3.3500000000000002E-2</v>
      </c>
      <c r="D979" s="77">
        <v>7.0000000000000001E-3</v>
      </c>
      <c r="E979" s="77">
        <v>7.0000000000000001E-3</v>
      </c>
      <c r="F979" s="77">
        <v>7.0000000000000001E-3</v>
      </c>
      <c r="G979" s="78">
        <v>0</v>
      </c>
      <c r="H979" s="79"/>
      <c r="I979" s="79"/>
      <c r="J979" s="79"/>
      <c r="K979" s="80">
        <v>1.3300000000000001E-2</v>
      </c>
      <c r="L979" s="80">
        <v>0</v>
      </c>
      <c r="M979" s="75" t="s">
        <v>143</v>
      </c>
      <c r="N979" s="75" t="b">
        <v>1</v>
      </c>
      <c r="O979" s="75" t="s">
        <v>144</v>
      </c>
      <c r="P979" s="75">
        <v>1994</v>
      </c>
      <c r="Q979" s="75">
        <v>2020</v>
      </c>
      <c r="R979" s="75">
        <v>1</v>
      </c>
      <c r="S979" s="100">
        <v>210056</v>
      </c>
      <c r="T979" s="101">
        <v>40420</v>
      </c>
      <c r="U979" s="83"/>
    </row>
    <row r="980" spans="1:21" s="84" customFormat="1" x14ac:dyDescent="0.3">
      <c r="A980" s="68">
        <v>40417</v>
      </c>
      <c r="B980" s="69">
        <f t="shared" si="16"/>
        <v>20100827</v>
      </c>
      <c r="C980" s="70">
        <v>3.4099999999999998E-2</v>
      </c>
      <c r="D980" s="77">
        <v>7.0000000000000001E-3</v>
      </c>
      <c r="E980" s="77">
        <v>7.0000000000000001E-3</v>
      </c>
      <c r="F980" s="77">
        <v>7.0000000000000001E-3</v>
      </c>
      <c r="G980" s="78">
        <v>0</v>
      </c>
      <c r="H980" s="79"/>
      <c r="I980" s="79"/>
      <c r="J980" s="79"/>
      <c r="K980" s="80">
        <v>1.37E-2</v>
      </c>
      <c r="L980" s="80">
        <v>0</v>
      </c>
      <c r="M980" s="75" t="s">
        <v>143</v>
      </c>
      <c r="N980" s="75" t="b">
        <v>1</v>
      </c>
      <c r="O980" s="75" t="s">
        <v>144</v>
      </c>
      <c r="P980" s="75">
        <v>1994</v>
      </c>
      <c r="Q980" s="75">
        <v>2020</v>
      </c>
      <c r="R980" s="75">
        <v>1</v>
      </c>
      <c r="S980" s="100">
        <v>210056</v>
      </c>
      <c r="T980" s="101">
        <v>40420</v>
      </c>
      <c r="U980" s="83"/>
    </row>
    <row r="981" spans="1:21" s="84" customFormat="1" x14ac:dyDescent="0.3">
      <c r="A981" s="68">
        <v>40418</v>
      </c>
      <c r="B981" s="69">
        <f t="shared" si="16"/>
        <v>20100828</v>
      </c>
      <c r="C981" s="70">
        <v>3.4099999999999998E-2</v>
      </c>
      <c r="D981" s="77">
        <v>7.0000000000000001E-3</v>
      </c>
      <c r="E981" s="77">
        <v>7.0000000000000001E-3</v>
      </c>
      <c r="F981" s="77">
        <v>7.0000000000000001E-3</v>
      </c>
      <c r="G981" s="78">
        <v>0</v>
      </c>
      <c r="H981" s="79"/>
      <c r="I981" s="79"/>
      <c r="J981" s="79"/>
      <c r="K981" s="80">
        <v>1.37E-2</v>
      </c>
      <c r="L981" s="80">
        <v>0</v>
      </c>
      <c r="M981" s="75" t="s">
        <v>143</v>
      </c>
      <c r="N981" s="75" t="b">
        <v>1</v>
      </c>
      <c r="O981" s="75" t="s">
        <v>144</v>
      </c>
      <c r="P981" s="75">
        <v>1994</v>
      </c>
      <c r="Q981" s="75">
        <v>2020</v>
      </c>
      <c r="R981" s="75">
        <v>1</v>
      </c>
      <c r="S981" s="100">
        <v>210056</v>
      </c>
      <c r="T981" s="101">
        <v>40420</v>
      </c>
      <c r="U981" s="83"/>
    </row>
    <row r="982" spans="1:21" s="84" customFormat="1" x14ac:dyDescent="0.3">
      <c r="A982" s="68">
        <v>40419</v>
      </c>
      <c r="B982" s="69">
        <f t="shared" si="16"/>
        <v>20100829</v>
      </c>
      <c r="C982" s="70">
        <v>3.4099999999999998E-2</v>
      </c>
      <c r="D982" s="77">
        <v>7.0000000000000001E-3</v>
      </c>
      <c r="E982" s="77">
        <v>7.0000000000000001E-3</v>
      </c>
      <c r="F982" s="77">
        <v>7.0000000000000001E-3</v>
      </c>
      <c r="G982" s="78">
        <v>0</v>
      </c>
      <c r="H982" s="79"/>
      <c r="I982" s="79"/>
      <c r="J982" s="79"/>
      <c r="K982" s="80">
        <v>1.37E-2</v>
      </c>
      <c r="L982" s="80">
        <v>0</v>
      </c>
      <c r="M982" s="75" t="s">
        <v>143</v>
      </c>
      <c r="N982" s="75" t="b">
        <v>1</v>
      </c>
      <c r="O982" s="75" t="s">
        <v>144</v>
      </c>
      <c r="P982" s="75">
        <v>1994</v>
      </c>
      <c r="Q982" s="75">
        <v>2020</v>
      </c>
      <c r="R982" s="75">
        <v>1</v>
      </c>
      <c r="S982" s="100">
        <v>210056</v>
      </c>
      <c r="T982" s="101">
        <v>40420</v>
      </c>
      <c r="U982" s="83"/>
    </row>
    <row r="983" spans="1:21" s="84" customFormat="1" x14ac:dyDescent="0.3">
      <c r="A983" s="68">
        <v>40420</v>
      </c>
      <c r="B983" s="69">
        <f t="shared" si="16"/>
        <v>20100830</v>
      </c>
      <c r="C983" s="70">
        <v>3.3500000000000002E-2</v>
      </c>
      <c r="D983" s="77">
        <v>7.0000000000000001E-3</v>
      </c>
      <c r="E983" s="77">
        <v>7.0000000000000001E-3</v>
      </c>
      <c r="F983" s="77">
        <v>7.0000000000000001E-3</v>
      </c>
      <c r="G983" s="78">
        <v>0</v>
      </c>
      <c r="H983" s="79"/>
      <c r="I983" s="79"/>
      <c r="J983" s="79"/>
      <c r="K983" s="80">
        <v>1.3100000000000001E-2</v>
      </c>
      <c r="L983" s="80">
        <v>0</v>
      </c>
      <c r="M983" s="75" t="s">
        <v>143</v>
      </c>
      <c r="N983" s="75" t="b">
        <v>1</v>
      </c>
      <c r="O983" s="75" t="s">
        <v>144</v>
      </c>
      <c r="P983" s="75">
        <v>1994</v>
      </c>
      <c r="Q983" s="75">
        <v>2020</v>
      </c>
      <c r="R983" s="75">
        <v>1</v>
      </c>
      <c r="S983" s="100">
        <v>210056</v>
      </c>
      <c r="T983" s="101">
        <v>40420</v>
      </c>
      <c r="U983" s="83"/>
    </row>
    <row r="984" spans="1:21" s="84" customFormat="1" x14ac:dyDescent="0.3">
      <c r="A984" s="68">
        <v>40421</v>
      </c>
      <c r="B984" s="69">
        <f t="shared" si="16"/>
        <v>20100831</v>
      </c>
      <c r="C984" s="70">
        <v>3.3599999999999998E-2</v>
      </c>
      <c r="D984" s="77">
        <v>7.0000000000000001E-3</v>
      </c>
      <c r="E984" s="77">
        <v>7.0000000000000001E-3</v>
      </c>
      <c r="F984" s="77">
        <v>7.0000000000000001E-3</v>
      </c>
      <c r="G984" s="78">
        <v>0</v>
      </c>
      <c r="H984" s="79"/>
      <c r="I984" s="79"/>
      <c r="J984" s="79"/>
      <c r="K984" s="80">
        <v>1.34E-2</v>
      </c>
      <c r="L984" s="80">
        <v>0</v>
      </c>
      <c r="M984" s="75" t="s">
        <v>143</v>
      </c>
      <c r="N984" s="75" t="b">
        <v>1</v>
      </c>
      <c r="O984" s="75" t="s">
        <v>144</v>
      </c>
      <c r="P984" s="75">
        <v>1994</v>
      </c>
      <c r="Q984" s="75">
        <v>2020</v>
      </c>
      <c r="R984" s="75">
        <v>1</v>
      </c>
      <c r="S984" s="100">
        <v>210056</v>
      </c>
      <c r="T984" s="101">
        <v>40420</v>
      </c>
      <c r="U984" s="83"/>
    </row>
    <row r="985" spans="1:21" s="84" customFormat="1" x14ac:dyDescent="0.3">
      <c r="A985" s="68">
        <v>40422</v>
      </c>
      <c r="B985" s="69">
        <f t="shared" si="16"/>
        <v>20100901</v>
      </c>
      <c r="C985" s="70">
        <v>3.4099999999999998E-2</v>
      </c>
      <c r="D985" s="77">
        <v>7.0000000000000001E-3</v>
      </c>
      <c r="E985" s="77">
        <v>7.0000000000000001E-3</v>
      </c>
      <c r="F985" s="77">
        <v>7.0000000000000001E-3</v>
      </c>
      <c r="G985" s="78">
        <v>0</v>
      </c>
      <c r="H985" s="79"/>
      <c r="I985" s="79"/>
      <c r="J985" s="79"/>
      <c r="K985" s="80">
        <v>1.38E-2</v>
      </c>
      <c r="L985" s="80">
        <v>0</v>
      </c>
      <c r="M985" s="75" t="s">
        <v>143</v>
      </c>
      <c r="N985" s="75" t="b">
        <v>1</v>
      </c>
      <c r="O985" s="75" t="s">
        <v>144</v>
      </c>
      <c r="P985" s="75">
        <v>1994</v>
      </c>
      <c r="Q985" s="75">
        <v>2020</v>
      </c>
      <c r="R985" s="75">
        <v>1</v>
      </c>
      <c r="S985" s="100">
        <v>210056</v>
      </c>
      <c r="T985" s="101">
        <v>40420</v>
      </c>
      <c r="U985" s="83"/>
    </row>
    <row r="986" spans="1:21" s="84" customFormat="1" x14ac:dyDescent="0.3">
      <c r="A986" s="68">
        <v>40423</v>
      </c>
      <c r="B986" s="69">
        <f t="shared" si="16"/>
        <v>20100902</v>
      </c>
      <c r="C986" s="70">
        <v>3.4300000000000004E-2</v>
      </c>
      <c r="D986" s="77">
        <v>7.0000000000000001E-3</v>
      </c>
      <c r="E986" s="77">
        <v>7.0000000000000001E-3</v>
      </c>
      <c r="F986" s="77">
        <v>7.0000000000000001E-3</v>
      </c>
      <c r="G986" s="78">
        <v>0</v>
      </c>
      <c r="H986" s="79"/>
      <c r="I986" s="79"/>
      <c r="J986" s="79"/>
      <c r="K986" s="80">
        <v>1.38E-2</v>
      </c>
      <c r="L986" s="80">
        <v>0</v>
      </c>
      <c r="M986" s="75" t="s">
        <v>143</v>
      </c>
      <c r="N986" s="75" t="b">
        <v>1</v>
      </c>
      <c r="O986" s="75" t="s">
        <v>144</v>
      </c>
      <c r="P986" s="75">
        <v>1994</v>
      </c>
      <c r="Q986" s="75">
        <v>2020</v>
      </c>
      <c r="R986" s="75">
        <v>1</v>
      </c>
      <c r="S986" s="100">
        <v>210056</v>
      </c>
      <c r="T986" s="101">
        <v>40420</v>
      </c>
      <c r="U986" s="83"/>
    </row>
    <row r="987" spans="1:21" s="84" customFormat="1" x14ac:dyDescent="0.3">
      <c r="A987" s="68">
        <v>40424</v>
      </c>
      <c r="B987" s="69">
        <f t="shared" si="16"/>
        <v>20100903</v>
      </c>
      <c r="C987" s="70">
        <v>3.49E-2</v>
      </c>
      <c r="D987" s="77">
        <v>7.0000000000000001E-3</v>
      </c>
      <c r="E987" s="77">
        <v>7.0000000000000001E-3</v>
      </c>
      <c r="F987" s="77">
        <v>7.0000000000000001E-3</v>
      </c>
      <c r="G987" s="78">
        <v>0</v>
      </c>
      <c r="H987" s="79"/>
      <c r="I987" s="79"/>
      <c r="J987" s="79"/>
      <c r="K987" s="80">
        <v>1.41E-2</v>
      </c>
      <c r="L987" s="80">
        <v>0</v>
      </c>
      <c r="M987" s="75" t="s">
        <v>143</v>
      </c>
      <c r="N987" s="75" t="b">
        <v>1</v>
      </c>
      <c r="O987" s="75" t="s">
        <v>144</v>
      </c>
      <c r="P987" s="75">
        <v>1994</v>
      </c>
      <c r="Q987" s="75">
        <v>2020</v>
      </c>
      <c r="R987" s="75">
        <v>1</v>
      </c>
      <c r="S987" s="100">
        <v>210056</v>
      </c>
      <c r="T987" s="101">
        <v>40420</v>
      </c>
      <c r="U987" s="83"/>
    </row>
    <row r="988" spans="1:21" s="84" customFormat="1" x14ac:dyDescent="0.3">
      <c r="A988" s="68">
        <v>40425</v>
      </c>
      <c r="B988" s="69">
        <f>YEAR(A988)*10000+MONTH(A988)*100+DAY(A988)</f>
        <v>20100904</v>
      </c>
      <c r="C988" s="70">
        <v>3.49E-2</v>
      </c>
      <c r="D988" s="77">
        <v>7.0000000000000001E-3</v>
      </c>
      <c r="E988" s="77">
        <v>7.0000000000000001E-3</v>
      </c>
      <c r="F988" s="77">
        <v>7.0000000000000001E-3</v>
      </c>
      <c r="G988" s="78">
        <v>0</v>
      </c>
      <c r="H988" s="79"/>
      <c r="I988" s="79"/>
      <c r="J988" s="79"/>
      <c r="K988" s="80">
        <v>1.41E-2</v>
      </c>
      <c r="L988" s="80">
        <v>0</v>
      </c>
      <c r="M988" s="75" t="s">
        <v>143</v>
      </c>
      <c r="N988" s="75" t="b">
        <v>1</v>
      </c>
      <c r="O988" s="75" t="s">
        <v>144</v>
      </c>
      <c r="P988" s="75">
        <v>1994</v>
      </c>
      <c r="Q988" s="75">
        <v>2020</v>
      </c>
      <c r="R988" s="75">
        <v>1</v>
      </c>
      <c r="S988" s="100">
        <v>210056</v>
      </c>
      <c r="T988" s="101">
        <v>40420</v>
      </c>
      <c r="U988" s="83"/>
    </row>
    <row r="989" spans="1:21" s="84" customFormat="1" x14ac:dyDescent="0.3">
      <c r="A989" s="68">
        <v>40426</v>
      </c>
      <c r="B989" s="69">
        <f>YEAR(A989)*10000+MONTH(A989)*100+DAY(A989)</f>
        <v>20100905</v>
      </c>
      <c r="C989" s="70">
        <v>3.49E-2</v>
      </c>
      <c r="D989" s="77">
        <v>7.0000000000000001E-3</v>
      </c>
      <c r="E989" s="77">
        <v>7.0000000000000001E-3</v>
      </c>
      <c r="F989" s="77">
        <v>7.0000000000000001E-3</v>
      </c>
      <c r="G989" s="78">
        <v>0</v>
      </c>
      <c r="H989" s="79"/>
      <c r="I989" s="79"/>
      <c r="J989" s="79"/>
      <c r="K989" s="80">
        <v>1.41E-2</v>
      </c>
      <c r="L989" s="80">
        <v>0</v>
      </c>
      <c r="M989" s="75" t="s">
        <v>143</v>
      </c>
      <c r="N989" s="75" t="b">
        <v>1</v>
      </c>
      <c r="O989" s="75" t="s">
        <v>144</v>
      </c>
      <c r="P989" s="75">
        <v>1994</v>
      </c>
      <c r="Q989" s="75">
        <v>2020</v>
      </c>
      <c r="R989" s="75">
        <v>1</v>
      </c>
      <c r="S989" s="100">
        <v>210056</v>
      </c>
      <c r="T989" s="101">
        <v>40420</v>
      </c>
      <c r="U989" s="83"/>
    </row>
    <row r="990" spans="1:21" s="84" customFormat="1" x14ac:dyDescent="0.3">
      <c r="A990" s="68">
        <v>40427</v>
      </c>
      <c r="B990" s="69">
        <f t="shared" si="16"/>
        <v>20100906</v>
      </c>
      <c r="C990" s="70">
        <v>3.49E-2</v>
      </c>
      <c r="D990" s="77">
        <v>7.0000000000000001E-3</v>
      </c>
      <c r="E990" s="77">
        <v>7.0000000000000001E-3</v>
      </c>
      <c r="F990" s="77">
        <v>7.0000000000000001E-3</v>
      </c>
      <c r="G990" s="78">
        <v>0</v>
      </c>
      <c r="H990" s="79"/>
      <c r="I990" s="79"/>
      <c r="J990" s="79"/>
      <c r="K990" s="80">
        <v>1.41E-2</v>
      </c>
      <c r="L990" s="80">
        <v>0</v>
      </c>
      <c r="M990" s="75" t="s">
        <v>143</v>
      </c>
      <c r="N990" s="75" t="b">
        <v>1</v>
      </c>
      <c r="O990" s="75" t="s">
        <v>144</v>
      </c>
      <c r="P990" s="75">
        <v>1994</v>
      </c>
      <c r="Q990" s="75">
        <v>2020</v>
      </c>
      <c r="R990" s="75">
        <v>1</v>
      </c>
      <c r="S990" s="100">
        <v>210056</v>
      </c>
      <c r="T990" s="101">
        <v>40420</v>
      </c>
      <c r="U990" s="83"/>
    </row>
    <row r="991" spans="1:21" s="84" customFormat="1" x14ac:dyDescent="0.3">
      <c r="A991" s="68">
        <v>40428</v>
      </c>
      <c r="B991" s="69">
        <f t="shared" si="16"/>
        <v>20100907</v>
      </c>
      <c r="C991" s="70">
        <v>3.3799999999999997E-2</v>
      </c>
      <c r="D991" s="77">
        <v>7.0000000000000001E-3</v>
      </c>
      <c r="E991" s="77">
        <v>7.0000000000000001E-3</v>
      </c>
      <c r="F991" s="77">
        <v>7.0000000000000001E-3</v>
      </c>
      <c r="G991" s="78">
        <v>0</v>
      </c>
      <c r="H991" s="79"/>
      <c r="I991" s="79"/>
      <c r="J991" s="79"/>
      <c r="K991" s="80">
        <v>1.3300000000000001E-2</v>
      </c>
      <c r="L991" s="80">
        <v>0</v>
      </c>
      <c r="M991" s="75" t="s">
        <v>143</v>
      </c>
      <c r="N991" s="75" t="b">
        <v>1</v>
      </c>
      <c r="O991" s="75" t="s">
        <v>144</v>
      </c>
      <c r="P991" s="75">
        <v>1994</v>
      </c>
      <c r="Q991" s="75">
        <v>2020</v>
      </c>
      <c r="R991" s="75">
        <v>1</v>
      </c>
      <c r="S991" s="100">
        <v>210056</v>
      </c>
      <c r="T991" s="101">
        <v>40420</v>
      </c>
      <c r="U991" s="83"/>
    </row>
    <row r="992" spans="1:21" s="84" customFormat="1" x14ac:dyDescent="0.3">
      <c r="A992" s="68">
        <v>40429</v>
      </c>
      <c r="B992" s="69">
        <f t="shared" si="16"/>
        <v>20100908</v>
      </c>
      <c r="C992" s="70">
        <v>3.4599999999999999E-2</v>
      </c>
      <c r="D992" s="77">
        <v>7.0000000000000001E-3</v>
      </c>
      <c r="E992" s="77">
        <v>7.0000000000000001E-3</v>
      </c>
      <c r="F992" s="77">
        <v>7.0000000000000001E-3</v>
      </c>
      <c r="G992" s="78">
        <v>0</v>
      </c>
      <c r="H992" s="79"/>
      <c r="I992" s="79"/>
      <c r="J992" s="79"/>
      <c r="K992" s="80">
        <v>1.38E-2</v>
      </c>
      <c r="L992" s="80">
        <v>0</v>
      </c>
      <c r="M992" s="75" t="s">
        <v>143</v>
      </c>
      <c r="N992" s="75" t="b">
        <v>1</v>
      </c>
      <c r="O992" s="75" t="s">
        <v>144</v>
      </c>
      <c r="P992" s="75">
        <v>1994</v>
      </c>
      <c r="Q992" s="75">
        <v>2020</v>
      </c>
      <c r="R992" s="75">
        <v>1</v>
      </c>
      <c r="S992" s="100">
        <v>210056</v>
      </c>
      <c r="T992" s="101">
        <v>40420</v>
      </c>
      <c r="U992" s="83"/>
    </row>
    <row r="993" spans="1:21" s="84" customFormat="1" x14ac:dyDescent="0.3">
      <c r="A993" s="68">
        <v>40430</v>
      </c>
      <c r="B993" s="69">
        <f t="shared" si="16"/>
        <v>20100909</v>
      </c>
      <c r="C993" s="70">
        <v>3.4799999999999998E-2</v>
      </c>
      <c r="D993" s="77">
        <v>7.0000000000000001E-3</v>
      </c>
      <c r="E993" s="77">
        <v>7.0000000000000001E-3</v>
      </c>
      <c r="F993" s="77">
        <v>7.0000000000000001E-3</v>
      </c>
      <c r="G993" s="78">
        <v>0</v>
      </c>
      <c r="H993" s="79"/>
      <c r="I993" s="79"/>
      <c r="J993" s="79"/>
      <c r="K993" s="80">
        <v>1.38E-2</v>
      </c>
      <c r="L993" s="80">
        <v>0</v>
      </c>
      <c r="M993" s="75" t="s">
        <v>143</v>
      </c>
      <c r="N993" s="75" t="b">
        <v>1</v>
      </c>
      <c r="O993" s="75" t="s">
        <v>144</v>
      </c>
      <c r="P993" s="75">
        <v>1994</v>
      </c>
      <c r="Q993" s="75">
        <v>2020</v>
      </c>
      <c r="R993" s="75">
        <v>1</v>
      </c>
      <c r="S993" s="100">
        <v>210056</v>
      </c>
      <c r="T993" s="101">
        <v>40420</v>
      </c>
      <c r="U993" s="83"/>
    </row>
    <row r="994" spans="1:21" s="84" customFormat="1" x14ac:dyDescent="0.3">
      <c r="A994" s="68">
        <v>40431</v>
      </c>
      <c r="B994" s="69">
        <f t="shared" si="16"/>
        <v>20100910</v>
      </c>
      <c r="C994" s="70">
        <v>3.4799999999999998E-2</v>
      </c>
      <c r="D994" s="77">
        <v>7.0000000000000001E-3</v>
      </c>
      <c r="E994" s="77">
        <v>7.0000000000000001E-3</v>
      </c>
      <c r="F994" s="77">
        <v>7.0000000000000001E-3</v>
      </c>
      <c r="G994" s="78">
        <v>0</v>
      </c>
      <c r="H994" s="79"/>
      <c r="I994" s="79"/>
      <c r="J994" s="79"/>
      <c r="K994" s="80">
        <v>1.3600000000000001E-2</v>
      </c>
      <c r="L994" s="80">
        <v>0</v>
      </c>
      <c r="M994" s="75" t="s">
        <v>143</v>
      </c>
      <c r="N994" s="75" t="b">
        <v>1</v>
      </c>
      <c r="O994" s="75" t="s">
        <v>144</v>
      </c>
      <c r="P994" s="75">
        <v>1994</v>
      </c>
      <c r="Q994" s="75">
        <v>2020</v>
      </c>
      <c r="R994" s="75">
        <v>1</v>
      </c>
      <c r="S994" s="100">
        <v>210056</v>
      </c>
      <c r="T994" s="101">
        <v>40420</v>
      </c>
      <c r="U994" s="83"/>
    </row>
    <row r="995" spans="1:21" s="84" customFormat="1" x14ac:dyDescent="0.3">
      <c r="A995" s="68">
        <v>40432</v>
      </c>
      <c r="B995" s="69">
        <f t="shared" si="16"/>
        <v>20100911</v>
      </c>
      <c r="C995" s="70">
        <v>3.4799999999999998E-2</v>
      </c>
      <c r="D995" s="77">
        <v>7.0000000000000001E-3</v>
      </c>
      <c r="E995" s="77">
        <v>7.0000000000000001E-3</v>
      </c>
      <c r="F995" s="77">
        <v>7.0000000000000001E-3</v>
      </c>
      <c r="G995" s="78">
        <v>0</v>
      </c>
      <c r="H995" s="79"/>
      <c r="I995" s="79"/>
      <c r="J995" s="79"/>
      <c r="K995" s="80">
        <v>1.3600000000000001E-2</v>
      </c>
      <c r="L995" s="80">
        <v>0</v>
      </c>
      <c r="M995" s="75" t="s">
        <v>143</v>
      </c>
      <c r="N995" s="75" t="b">
        <v>1</v>
      </c>
      <c r="O995" s="75" t="s">
        <v>144</v>
      </c>
      <c r="P995" s="75">
        <v>1994</v>
      </c>
      <c r="Q995" s="75">
        <v>2020</v>
      </c>
      <c r="R995" s="75">
        <v>1</v>
      </c>
      <c r="S995" s="100">
        <v>210056</v>
      </c>
      <c r="T995" s="101">
        <v>40420</v>
      </c>
      <c r="U995" s="83"/>
    </row>
    <row r="996" spans="1:21" s="84" customFormat="1" x14ac:dyDescent="0.3">
      <c r="A996" s="68">
        <v>40433</v>
      </c>
      <c r="B996" s="69">
        <f t="shared" si="16"/>
        <v>20100912</v>
      </c>
      <c r="C996" s="70">
        <v>3.4799999999999998E-2</v>
      </c>
      <c r="D996" s="77">
        <v>7.0000000000000001E-3</v>
      </c>
      <c r="E996" s="77">
        <v>7.0000000000000001E-3</v>
      </c>
      <c r="F996" s="77">
        <v>7.0000000000000001E-3</v>
      </c>
      <c r="G996" s="78">
        <v>0</v>
      </c>
      <c r="H996" s="79"/>
      <c r="I996" s="79"/>
      <c r="J996" s="79"/>
      <c r="K996" s="80">
        <v>1.3600000000000001E-2</v>
      </c>
      <c r="L996" s="80">
        <v>0</v>
      </c>
      <c r="M996" s="75" t="s">
        <v>143</v>
      </c>
      <c r="N996" s="75" t="b">
        <v>1</v>
      </c>
      <c r="O996" s="75" t="s">
        <v>144</v>
      </c>
      <c r="P996" s="75">
        <v>1994</v>
      </c>
      <c r="Q996" s="75">
        <v>2020</v>
      </c>
      <c r="R996" s="75">
        <v>1</v>
      </c>
      <c r="S996" s="100">
        <v>210056</v>
      </c>
      <c r="T996" s="101">
        <v>40420</v>
      </c>
      <c r="U996" s="83"/>
    </row>
    <row r="997" spans="1:21" s="84" customFormat="1" x14ac:dyDescent="0.3">
      <c r="A997" s="68">
        <v>40434</v>
      </c>
      <c r="B997" s="69">
        <f t="shared" si="16"/>
        <v>20100913</v>
      </c>
      <c r="C997" s="70">
        <v>3.4700000000000002E-2</v>
      </c>
      <c r="D997" s="77">
        <v>7.0000000000000001E-3</v>
      </c>
      <c r="E997" s="77">
        <v>7.0000000000000001E-3</v>
      </c>
      <c r="F997" s="77">
        <v>7.0000000000000001E-3</v>
      </c>
      <c r="G997" s="78">
        <v>0</v>
      </c>
      <c r="H997" s="79"/>
      <c r="I997" s="79"/>
      <c r="J997" s="79"/>
      <c r="K997" s="80">
        <v>1.3300000000000001E-2</v>
      </c>
      <c r="L997" s="80">
        <v>0</v>
      </c>
      <c r="M997" s="75" t="s">
        <v>143</v>
      </c>
      <c r="N997" s="75" t="b">
        <v>1</v>
      </c>
      <c r="O997" s="75" t="s">
        <v>144</v>
      </c>
      <c r="P997" s="75">
        <v>1994</v>
      </c>
      <c r="Q997" s="75">
        <v>2020</v>
      </c>
      <c r="R997" s="75">
        <v>1</v>
      </c>
      <c r="S997" s="100">
        <v>210056</v>
      </c>
      <c r="T997" s="101">
        <v>40420</v>
      </c>
      <c r="U997" s="83"/>
    </row>
    <row r="998" spans="1:21" s="84" customFormat="1" x14ac:dyDescent="0.3">
      <c r="A998" s="68">
        <v>40435</v>
      </c>
      <c r="B998" s="69">
        <f t="shared" si="16"/>
        <v>20100914</v>
      </c>
      <c r="C998" s="70">
        <v>3.4500000000000003E-2</v>
      </c>
      <c r="D998" s="77">
        <v>7.0000000000000001E-3</v>
      </c>
      <c r="E998" s="77">
        <v>7.0000000000000001E-3</v>
      </c>
      <c r="F998" s="77">
        <v>7.0000000000000001E-3</v>
      </c>
      <c r="G998" s="78">
        <v>0</v>
      </c>
      <c r="H998" s="79"/>
      <c r="I998" s="79"/>
      <c r="J998" s="79"/>
      <c r="K998" s="80">
        <v>1.32E-2</v>
      </c>
      <c r="L998" s="80">
        <v>0</v>
      </c>
      <c r="M998" s="75" t="s">
        <v>143</v>
      </c>
      <c r="N998" s="75" t="b">
        <v>1</v>
      </c>
      <c r="O998" s="75" t="s">
        <v>144</v>
      </c>
      <c r="P998" s="75">
        <v>1994</v>
      </c>
      <c r="Q998" s="75">
        <v>2020</v>
      </c>
      <c r="R998" s="75">
        <v>1</v>
      </c>
      <c r="S998" s="100">
        <v>210056</v>
      </c>
      <c r="T998" s="101">
        <v>40420</v>
      </c>
      <c r="U998" s="83"/>
    </row>
    <row r="999" spans="1:21" s="84" customFormat="1" x14ac:dyDescent="0.3">
      <c r="A999" s="68">
        <v>40436</v>
      </c>
      <c r="B999" s="69">
        <f t="shared" si="16"/>
        <v>20100915</v>
      </c>
      <c r="C999" s="70">
        <v>3.4700000000000002E-2</v>
      </c>
      <c r="D999" s="77">
        <v>7.0000000000000001E-3</v>
      </c>
      <c r="E999" s="77">
        <v>7.0000000000000001E-3</v>
      </c>
      <c r="F999" s="77">
        <v>7.0000000000000001E-3</v>
      </c>
      <c r="G999" s="78">
        <v>0</v>
      </c>
      <c r="H999" s="79"/>
      <c r="I999" s="79"/>
      <c r="J999" s="79"/>
      <c r="K999" s="80">
        <v>1.3500000000000002E-2</v>
      </c>
      <c r="L999" s="80">
        <v>0</v>
      </c>
      <c r="M999" s="75" t="s">
        <v>143</v>
      </c>
      <c r="N999" s="75" t="b">
        <v>1</v>
      </c>
      <c r="O999" s="75" t="s">
        <v>144</v>
      </c>
      <c r="P999" s="75">
        <v>1994</v>
      </c>
      <c r="Q999" s="75">
        <v>2020</v>
      </c>
      <c r="R999" s="75">
        <v>1</v>
      </c>
      <c r="S999" s="100">
        <v>210056</v>
      </c>
      <c r="T999" s="101">
        <v>40420</v>
      </c>
      <c r="U999" s="83"/>
    </row>
    <row r="1000" spans="1:21" s="84" customFormat="1" x14ac:dyDescent="0.3">
      <c r="A1000" s="68">
        <v>40437</v>
      </c>
      <c r="B1000" s="69">
        <f t="shared" si="16"/>
        <v>20100916</v>
      </c>
      <c r="C1000" s="70">
        <v>3.4799999999999998E-2</v>
      </c>
      <c r="D1000" s="77">
        <v>7.0000000000000001E-3</v>
      </c>
      <c r="E1000" s="77">
        <v>7.0000000000000001E-3</v>
      </c>
      <c r="F1000" s="77">
        <v>7.0000000000000001E-3</v>
      </c>
      <c r="G1000" s="78">
        <v>0</v>
      </c>
      <c r="H1000" s="79"/>
      <c r="I1000" s="79"/>
      <c r="J1000" s="79"/>
      <c r="K1000" s="80">
        <v>1.3500000000000002E-2</v>
      </c>
      <c r="L1000" s="80">
        <v>0</v>
      </c>
      <c r="M1000" s="75" t="s">
        <v>143</v>
      </c>
      <c r="N1000" s="75" t="b">
        <v>1</v>
      </c>
      <c r="O1000" s="75" t="s">
        <v>144</v>
      </c>
      <c r="P1000" s="75">
        <v>1994</v>
      </c>
      <c r="Q1000" s="75">
        <v>2020</v>
      </c>
      <c r="R1000" s="75">
        <v>1</v>
      </c>
      <c r="S1000" s="100">
        <v>210056</v>
      </c>
      <c r="T1000" s="101">
        <v>40420</v>
      </c>
      <c r="U1000" s="83"/>
    </row>
    <row r="1001" spans="1:21" s="84" customFormat="1" x14ac:dyDescent="0.3">
      <c r="A1001" s="68">
        <v>40438</v>
      </c>
      <c r="B1001" s="69">
        <f t="shared" si="16"/>
        <v>20100917</v>
      </c>
      <c r="C1001" s="70">
        <v>3.4300000000000004E-2</v>
      </c>
      <c r="D1001" s="77">
        <v>7.0000000000000001E-3</v>
      </c>
      <c r="E1001" s="77">
        <v>7.0000000000000001E-3</v>
      </c>
      <c r="F1001" s="77">
        <v>7.0000000000000001E-3</v>
      </c>
      <c r="G1001" s="78">
        <v>0</v>
      </c>
      <c r="H1001" s="79"/>
      <c r="I1001" s="79"/>
      <c r="J1001" s="79"/>
      <c r="K1001" s="80">
        <v>1.3100000000000001E-2</v>
      </c>
      <c r="L1001" s="80">
        <v>0</v>
      </c>
      <c r="M1001" s="75" t="s">
        <v>143</v>
      </c>
      <c r="N1001" s="75" t="b">
        <v>1</v>
      </c>
      <c r="O1001" s="75" t="s">
        <v>144</v>
      </c>
      <c r="P1001" s="75">
        <v>1994</v>
      </c>
      <c r="Q1001" s="75">
        <v>2020</v>
      </c>
      <c r="R1001" s="75">
        <v>1</v>
      </c>
      <c r="S1001" s="100">
        <v>210056</v>
      </c>
      <c r="T1001" s="101">
        <v>40420</v>
      </c>
      <c r="U1001" s="83"/>
    </row>
    <row r="1002" spans="1:21" s="84" customFormat="1" x14ac:dyDescent="0.3">
      <c r="A1002" s="68">
        <v>40439</v>
      </c>
      <c r="B1002" s="69">
        <f>YEAR(A1002)*10000+MONTH(A1002)*100+DAY(A1002)</f>
        <v>20100918</v>
      </c>
      <c r="C1002" s="70">
        <v>3.4300000000000004E-2</v>
      </c>
      <c r="D1002" s="77">
        <v>7.0000000000000001E-3</v>
      </c>
      <c r="E1002" s="77">
        <v>7.0000000000000001E-3</v>
      </c>
      <c r="F1002" s="77">
        <v>7.0000000000000001E-3</v>
      </c>
      <c r="G1002" s="78">
        <v>0</v>
      </c>
      <c r="H1002" s="79"/>
      <c r="I1002" s="79"/>
      <c r="J1002" s="79"/>
      <c r="K1002" s="80">
        <v>1.3100000000000001E-2</v>
      </c>
      <c r="L1002" s="80">
        <v>0</v>
      </c>
      <c r="M1002" s="75" t="s">
        <v>143</v>
      </c>
      <c r="N1002" s="75" t="b">
        <v>1</v>
      </c>
      <c r="O1002" s="75" t="s">
        <v>144</v>
      </c>
      <c r="P1002" s="75">
        <v>1994</v>
      </c>
      <c r="Q1002" s="75">
        <v>2020</v>
      </c>
      <c r="R1002" s="75">
        <v>1</v>
      </c>
      <c r="S1002" s="100">
        <v>210056</v>
      </c>
      <c r="T1002" s="101">
        <v>40420</v>
      </c>
      <c r="U1002" s="83"/>
    </row>
    <row r="1003" spans="1:21" s="84" customFormat="1" x14ac:dyDescent="0.3">
      <c r="A1003" s="68">
        <v>40440</v>
      </c>
      <c r="B1003" s="69">
        <f>YEAR(A1003)*10000+MONTH(A1003)*100+DAY(A1003)</f>
        <v>20100919</v>
      </c>
      <c r="C1003" s="70">
        <v>3.4300000000000004E-2</v>
      </c>
      <c r="D1003" s="77">
        <v>7.0000000000000001E-3</v>
      </c>
      <c r="E1003" s="77">
        <v>7.0000000000000001E-3</v>
      </c>
      <c r="F1003" s="77">
        <v>7.0000000000000001E-3</v>
      </c>
      <c r="G1003" s="78">
        <v>0</v>
      </c>
      <c r="H1003" s="79"/>
      <c r="I1003" s="79"/>
      <c r="J1003" s="79"/>
      <c r="K1003" s="80">
        <v>1.3100000000000001E-2</v>
      </c>
      <c r="L1003" s="80">
        <v>0</v>
      </c>
      <c r="M1003" s="75" t="s">
        <v>143</v>
      </c>
      <c r="N1003" s="75" t="b">
        <v>1</v>
      </c>
      <c r="O1003" s="75" t="s">
        <v>144</v>
      </c>
      <c r="P1003" s="75">
        <v>1994</v>
      </c>
      <c r="Q1003" s="75">
        <v>2020</v>
      </c>
      <c r="R1003" s="75">
        <v>1</v>
      </c>
      <c r="S1003" s="100">
        <v>210056</v>
      </c>
      <c r="T1003" s="101">
        <v>40420</v>
      </c>
      <c r="U1003" s="83"/>
    </row>
    <row r="1004" spans="1:21" s="84" customFormat="1" x14ac:dyDescent="0.3">
      <c r="A1004" s="68">
        <v>40441</v>
      </c>
      <c r="B1004" s="69">
        <f t="shared" si="16"/>
        <v>20100920</v>
      </c>
      <c r="C1004" s="70">
        <v>3.4300000000000004E-2</v>
      </c>
      <c r="D1004" s="77">
        <v>7.0000000000000001E-3</v>
      </c>
      <c r="E1004" s="77">
        <v>7.0000000000000001E-3</v>
      </c>
      <c r="F1004" s="77">
        <v>7.0000000000000001E-3</v>
      </c>
      <c r="G1004" s="78">
        <v>0</v>
      </c>
      <c r="H1004" s="79"/>
      <c r="I1004" s="79"/>
      <c r="J1004" s="79"/>
      <c r="K1004" s="80">
        <v>1.3000000000000001E-2</v>
      </c>
      <c r="L1004" s="80">
        <v>0</v>
      </c>
      <c r="M1004" s="75" t="s">
        <v>143</v>
      </c>
      <c r="N1004" s="75" t="b">
        <v>1</v>
      </c>
      <c r="O1004" s="75" t="s">
        <v>144</v>
      </c>
      <c r="P1004" s="75">
        <v>1994</v>
      </c>
      <c r="Q1004" s="75">
        <v>2020</v>
      </c>
      <c r="R1004" s="75">
        <v>1</v>
      </c>
      <c r="S1004" s="100">
        <v>210056</v>
      </c>
      <c r="T1004" s="101">
        <v>40420</v>
      </c>
      <c r="U1004" s="83"/>
    </row>
    <row r="1005" spans="1:21" s="84" customFormat="1" x14ac:dyDescent="0.3">
      <c r="A1005" s="68">
        <v>40442</v>
      </c>
      <c r="B1005" s="69">
        <f t="shared" si="16"/>
        <v>20100921</v>
      </c>
      <c r="C1005" s="70">
        <v>3.4099999999999998E-2</v>
      </c>
      <c r="D1005" s="77">
        <v>7.0000000000000001E-3</v>
      </c>
      <c r="E1005" s="77">
        <v>7.0000000000000001E-3</v>
      </c>
      <c r="F1005" s="77">
        <v>7.0000000000000001E-3</v>
      </c>
      <c r="G1005" s="78">
        <v>0</v>
      </c>
      <c r="H1005" s="79"/>
      <c r="I1005" s="79"/>
      <c r="J1005" s="79"/>
      <c r="K1005" s="80">
        <v>1.3000000000000001E-2</v>
      </c>
      <c r="L1005" s="80">
        <v>0</v>
      </c>
      <c r="M1005" s="75" t="s">
        <v>143</v>
      </c>
      <c r="N1005" s="75" t="b">
        <v>1</v>
      </c>
      <c r="O1005" s="75" t="s">
        <v>144</v>
      </c>
      <c r="P1005" s="75">
        <v>1994</v>
      </c>
      <c r="Q1005" s="75">
        <v>2020</v>
      </c>
      <c r="R1005" s="75">
        <v>1</v>
      </c>
      <c r="S1005" s="100">
        <v>210056</v>
      </c>
      <c r="T1005" s="101">
        <v>40420</v>
      </c>
      <c r="U1005" s="83"/>
    </row>
    <row r="1006" spans="1:21" s="84" customFormat="1" x14ac:dyDescent="0.3">
      <c r="A1006" s="68">
        <v>40443</v>
      </c>
      <c r="B1006" s="69">
        <f t="shared" si="16"/>
        <v>20100922</v>
      </c>
      <c r="C1006" s="70">
        <v>3.3599999999999998E-2</v>
      </c>
      <c r="D1006" s="77">
        <v>7.0000000000000001E-3</v>
      </c>
      <c r="E1006" s="77">
        <v>7.0000000000000001E-3</v>
      </c>
      <c r="F1006" s="77">
        <v>7.0000000000000001E-3</v>
      </c>
      <c r="G1006" s="78">
        <v>0</v>
      </c>
      <c r="H1006" s="79"/>
      <c r="I1006" s="79"/>
      <c r="J1006" s="79"/>
      <c r="K1006" s="80">
        <v>1.2500000000000001E-2</v>
      </c>
      <c r="L1006" s="80">
        <v>0</v>
      </c>
      <c r="M1006" s="75" t="s">
        <v>143</v>
      </c>
      <c r="N1006" s="75" t="b">
        <v>1</v>
      </c>
      <c r="O1006" s="75" t="s">
        <v>144</v>
      </c>
      <c r="P1006" s="75">
        <v>1994</v>
      </c>
      <c r="Q1006" s="75">
        <v>2020</v>
      </c>
      <c r="R1006" s="75">
        <v>1</v>
      </c>
      <c r="S1006" s="100">
        <v>210056</v>
      </c>
      <c r="T1006" s="101">
        <v>40420</v>
      </c>
      <c r="U1006" s="83"/>
    </row>
    <row r="1007" spans="1:21" s="84" customFormat="1" x14ac:dyDescent="0.3">
      <c r="A1007" s="68">
        <v>40444</v>
      </c>
      <c r="B1007" s="69">
        <f t="shared" si="16"/>
        <v>20100923</v>
      </c>
      <c r="C1007" s="70">
        <v>3.3399999999999999E-2</v>
      </c>
      <c r="D1007" s="77">
        <v>7.0000000000000001E-3</v>
      </c>
      <c r="E1007" s="77">
        <v>7.0000000000000001E-3</v>
      </c>
      <c r="F1007" s="77">
        <v>7.0000000000000001E-3</v>
      </c>
      <c r="G1007" s="78">
        <v>0</v>
      </c>
      <c r="H1007" s="79"/>
      <c r="I1007" s="79"/>
      <c r="J1007" s="79"/>
      <c r="K1007" s="80">
        <v>1.24E-2</v>
      </c>
      <c r="L1007" s="80">
        <v>0</v>
      </c>
      <c r="M1007" s="75" t="s">
        <v>143</v>
      </c>
      <c r="N1007" s="75" t="b">
        <v>1</v>
      </c>
      <c r="O1007" s="75" t="s">
        <v>144</v>
      </c>
      <c r="P1007" s="75">
        <v>1994</v>
      </c>
      <c r="Q1007" s="75">
        <v>2020</v>
      </c>
      <c r="R1007" s="75">
        <v>1</v>
      </c>
      <c r="S1007" s="100">
        <v>210056</v>
      </c>
      <c r="T1007" s="101">
        <v>40420</v>
      </c>
      <c r="U1007" s="83"/>
    </row>
    <row r="1008" spans="1:21" s="84" customFormat="1" x14ac:dyDescent="0.3">
      <c r="A1008" s="68">
        <v>40445</v>
      </c>
      <c r="B1008" s="69">
        <f t="shared" si="16"/>
        <v>20100924</v>
      </c>
      <c r="C1008" s="70">
        <v>3.3599999999999998E-2</v>
      </c>
      <c r="D1008" s="77">
        <v>7.0000000000000001E-3</v>
      </c>
      <c r="E1008" s="77">
        <v>7.0000000000000001E-3</v>
      </c>
      <c r="F1008" s="77">
        <v>7.0000000000000001E-3</v>
      </c>
      <c r="G1008" s="78">
        <v>0</v>
      </c>
      <c r="H1008" s="79"/>
      <c r="I1008" s="79"/>
      <c r="J1008" s="79"/>
      <c r="K1008" s="80">
        <v>1.24E-2</v>
      </c>
      <c r="L1008" s="80">
        <v>0</v>
      </c>
      <c r="M1008" s="75" t="s">
        <v>143</v>
      </c>
      <c r="N1008" s="75" t="b">
        <v>1</v>
      </c>
      <c r="O1008" s="75" t="s">
        <v>144</v>
      </c>
      <c r="P1008" s="75">
        <v>1994</v>
      </c>
      <c r="Q1008" s="75">
        <v>2020</v>
      </c>
      <c r="R1008" s="75">
        <v>1</v>
      </c>
      <c r="S1008" s="100">
        <v>210056</v>
      </c>
      <c r="T1008" s="101">
        <v>40420</v>
      </c>
      <c r="U1008" s="83"/>
    </row>
    <row r="1009" spans="1:21" s="84" customFormat="1" x14ac:dyDescent="0.3">
      <c r="A1009" s="68">
        <v>40446</v>
      </c>
      <c r="B1009" s="69">
        <f>YEAR(A1009)*10000+MONTH(A1009)*100+DAY(A1009)</f>
        <v>20100925</v>
      </c>
      <c r="C1009" s="70">
        <v>3.3599999999999998E-2</v>
      </c>
      <c r="D1009" s="77">
        <v>7.0000000000000001E-3</v>
      </c>
      <c r="E1009" s="77">
        <v>7.0000000000000001E-3</v>
      </c>
      <c r="F1009" s="77">
        <v>7.0000000000000001E-3</v>
      </c>
      <c r="G1009" s="78">
        <v>0</v>
      </c>
      <c r="H1009" s="79"/>
      <c r="I1009" s="79"/>
      <c r="J1009" s="79"/>
      <c r="K1009" s="80">
        <v>1.24E-2</v>
      </c>
      <c r="L1009" s="80">
        <v>0</v>
      </c>
      <c r="M1009" s="75" t="s">
        <v>143</v>
      </c>
      <c r="N1009" s="75" t="b">
        <v>1</v>
      </c>
      <c r="O1009" s="75" t="s">
        <v>144</v>
      </c>
      <c r="P1009" s="75">
        <v>1994</v>
      </c>
      <c r="Q1009" s="75">
        <v>2020</v>
      </c>
      <c r="R1009" s="75">
        <v>1</v>
      </c>
      <c r="S1009" s="100">
        <v>210056</v>
      </c>
      <c r="T1009" s="101">
        <v>40420</v>
      </c>
      <c r="U1009" s="83"/>
    </row>
    <row r="1010" spans="1:21" s="84" customFormat="1" x14ac:dyDescent="0.3">
      <c r="A1010" s="68">
        <v>40447</v>
      </c>
      <c r="B1010" s="69">
        <f>YEAR(A1010)*10000+MONTH(A1010)*100+DAY(A1010)</f>
        <v>20100926</v>
      </c>
      <c r="C1010" s="70">
        <v>3.3599999999999998E-2</v>
      </c>
      <c r="D1010" s="77">
        <v>7.0000000000000001E-3</v>
      </c>
      <c r="E1010" s="77">
        <v>7.0000000000000001E-3</v>
      </c>
      <c r="F1010" s="77">
        <v>7.0000000000000001E-3</v>
      </c>
      <c r="G1010" s="78">
        <v>0</v>
      </c>
      <c r="H1010" s="79"/>
      <c r="I1010" s="79"/>
      <c r="J1010" s="79"/>
      <c r="K1010" s="80">
        <v>1.24E-2</v>
      </c>
      <c r="L1010" s="80">
        <v>0</v>
      </c>
      <c r="M1010" s="75" t="s">
        <v>143</v>
      </c>
      <c r="N1010" s="75" t="b">
        <v>1</v>
      </c>
      <c r="O1010" s="75" t="s">
        <v>144</v>
      </c>
      <c r="P1010" s="75">
        <v>1994</v>
      </c>
      <c r="Q1010" s="75">
        <v>2020</v>
      </c>
      <c r="R1010" s="75">
        <v>1</v>
      </c>
      <c r="S1010" s="100">
        <v>210056</v>
      </c>
      <c r="T1010" s="101">
        <v>40420</v>
      </c>
      <c r="U1010" s="83"/>
    </row>
    <row r="1011" spans="1:21" s="84" customFormat="1" x14ac:dyDescent="0.3">
      <c r="A1011" s="68">
        <v>40448</v>
      </c>
      <c r="B1011" s="69">
        <f t="shared" si="16"/>
        <v>20100927</v>
      </c>
      <c r="C1011" s="70">
        <v>3.3099999999999997E-2</v>
      </c>
      <c r="D1011" s="77">
        <v>7.0000000000000001E-3</v>
      </c>
      <c r="E1011" s="77">
        <v>7.0000000000000001E-3</v>
      </c>
      <c r="F1011" s="77">
        <v>7.0000000000000001E-3</v>
      </c>
      <c r="G1011" s="78">
        <v>0</v>
      </c>
      <c r="H1011" s="79"/>
      <c r="I1011" s="79"/>
      <c r="J1011" s="79"/>
      <c r="K1011" s="80">
        <v>1.21E-2</v>
      </c>
      <c r="L1011" s="80">
        <v>0</v>
      </c>
      <c r="M1011" s="75" t="s">
        <v>143</v>
      </c>
      <c r="N1011" s="75" t="b">
        <v>1</v>
      </c>
      <c r="O1011" s="75" t="s">
        <v>144</v>
      </c>
      <c r="P1011" s="75">
        <v>1994</v>
      </c>
      <c r="Q1011" s="75">
        <v>2020</v>
      </c>
      <c r="R1011" s="75">
        <v>1</v>
      </c>
      <c r="S1011" s="100">
        <v>210056</v>
      </c>
      <c r="T1011" s="101">
        <v>40420</v>
      </c>
      <c r="U1011" s="83"/>
    </row>
    <row r="1012" spans="1:21" s="84" customFormat="1" x14ac:dyDescent="0.3">
      <c r="A1012" s="68">
        <v>40449</v>
      </c>
      <c r="B1012" s="69">
        <f t="shared" si="16"/>
        <v>20100928</v>
      </c>
      <c r="C1012" s="70">
        <v>3.2599999999999997E-2</v>
      </c>
      <c r="D1012" s="77">
        <v>7.0000000000000001E-3</v>
      </c>
      <c r="E1012" s="77">
        <v>7.0000000000000001E-3</v>
      </c>
      <c r="F1012" s="77">
        <v>7.0000000000000001E-3</v>
      </c>
      <c r="G1012" s="78">
        <v>0</v>
      </c>
      <c r="H1012" s="79"/>
      <c r="I1012" s="79"/>
      <c r="J1012" s="79"/>
      <c r="K1012" s="80">
        <v>1.1599999999999999E-2</v>
      </c>
      <c r="L1012" s="80">
        <v>0</v>
      </c>
      <c r="M1012" s="75" t="s">
        <v>143</v>
      </c>
      <c r="N1012" s="75" t="b">
        <v>1</v>
      </c>
      <c r="O1012" s="75" t="s">
        <v>144</v>
      </c>
      <c r="P1012" s="75">
        <v>1994</v>
      </c>
      <c r="Q1012" s="75">
        <v>2020</v>
      </c>
      <c r="R1012" s="75">
        <v>1</v>
      </c>
      <c r="S1012" s="100">
        <v>210056</v>
      </c>
      <c r="T1012" s="101">
        <v>40420</v>
      </c>
      <c r="U1012" s="83"/>
    </row>
    <row r="1013" spans="1:21" s="84" customFormat="1" x14ac:dyDescent="0.3">
      <c r="A1013" s="68">
        <v>40450</v>
      </c>
      <c r="B1013" s="69">
        <f t="shared" si="16"/>
        <v>20100929</v>
      </c>
      <c r="C1013" s="70">
        <v>3.2500000000000001E-2</v>
      </c>
      <c r="D1013" s="77">
        <v>7.0000000000000001E-3</v>
      </c>
      <c r="E1013" s="77">
        <v>7.0000000000000001E-3</v>
      </c>
      <c r="F1013" s="77">
        <v>7.0000000000000001E-3</v>
      </c>
      <c r="G1013" s="78">
        <v>0</v>
      </c>
      <c r="H1013" s="79"/>
      <c r="I1013" s="79"/>
      <c r="J1013" s="79"/>
      <c r="K1013" s="80">
        <v>1.1699999999999999E-2</v>
      </c>
      <c r="L1013" s="80">
        <v>0</v>
      </c>
      <c r="M1013" s="75" t="s">
        <v>143</v>
      </c>
      <c r="N1013" s="75" t="b">
        <v>1</v>
      </c>
      <c r="O1013" s="75" t="s">
        <v>144</v>
      </c>
      <c r="P1013" s="75">
        <v>1994</v>
      </c>
      <c r="Q1013" s="75">
        <v>2020</v>
      </c>
      <c r="R1013" s="75">
        <v>1</v>
      </c>
      <c r="S1013" s="100">
        <v>210056</v>
      </c>
      <c r="T1013" s="101">
        <v>40420</v>
      </c>
      <c r="U1013" s="83"/>
    </row>
    <row r="1014" spans="1:21" s="99" customFormat="1" x14ac:dyDescent="0.3">
      <c r="A1014" s="85">
        <v>40451</v>
      </c>
      <c r="B1014" s="86">
        <f t="shared" si="16"/>
        <v>20100930</v>
      </c>
      <c r="C1014" s="87">
        <v>3.27E-2</v>
      </c>
      <c r="D1014" s="89">
        <v>1.0999999999999999E-2</v>
      </c>
      <c r="E1014" s="89">
        <v>1.0999999999999999E-2</v>
      </c>
      <c r="F1014" s="89">
        <v>1.0999999999999999E-2</v>
      </c>
      <c r="G1014" s="103">
        <v>0</v>
      </c>
      <c r="H1014" s="91"/>
      <c r="I1014" s="91"/>
      <c r="J1014" s="91"/>
      <c r="K1014" s="92">
        <v>1.2E-2</v>
      </c>
      <c r="L1014" s="92">
        <v>0</v>
      </c>
      <c r="M1014" s="98" t="s">
        <v>143</v>
      </c>
      <c r="N1014" s="98" t="b">
        <v>1</v>
      </c>
      <c r="O1014" s="98" t="s">
        <v>144</v>
      </c>
      <c r="P1014" s="98">
        <v>1994</v>
      </c>
      <c r="Q1014" s="98">
        <v>2020</v>
      </c>
      <c r="R1014" s="98">
        <v>1</v>
      </c>
      <c r="S1014" s="93">
        <v>210056</v>
      </c>
      <c r="T1014" s="94">
        <v>40420</v>
      </c>
      <c r="U1014" s="95" t="s">
        <v>176</v>
      </c>
    </row>
    <row r="1015" spans="1:21" s="84" customFormat="1" x14ac:dyDescent="0.3">
      <c r="A1015" s="68">
        <v>40452</v>
      </c>
      <c r="B1015" s="69">
        <f t="shared" si="16"/>
        <v>20101001</v>
      </c>
      <c r="C1015" s="70">
        <v>3.3099999999999997E-2</v>
      </c>
      <c r="D1015" s="77">
        <v>1.0999999999999999E-2</v>
      </c>
      <c r="E1015" s="77">
        <v>1.0999999999999999E-2</v>
      </c>
      <c r="F1015" s="77">
        <v>1.0999999999999999E-2</v>
      </c>
      <c r="G1015" s="78">
        <v>0</v>
      </c>
      <c r="H1015" s="79"/>
      <c r="I1015" s="79"/>
      <c r="J1015" s="79"/>
      <c r="K1015" s="80">
        <v>1.24E-2</v>
      </c>
      <c r="L1015" s="80">
        <v>0</v>
      </c>
      <c r="M1015" s="75" t="s">
        <v>143</v>
      </c>
      <c r="N1015" s="75" t="b">
        <v>1</v>
      </c>
      <c r="O1015" s="75" t="s">
        <v>144</v>
      </c>
      <c r="P1015" s="75">
        <v>1994</v>
      </c>
      <c r="Q1015" s="75">
        <v>2020</v>
      </c>
      <c r="R1015" s="75">
        <v>1</v>
      </c>
      <c r="S1015" s="100">
        <v>210056</v>
      </c>
      <c r="T1015" s="101">
        <v>40420</v>
      </c>
      <c r="U1015" s="83"/>
    </row>
    <row r="1016" spans="1:21" s="84" customFormat="1" x14ac:dyDescent="0.3">
      <c r="A1016" s="68">
        <v>40453</v>
      </c>
      <c r="B1016" s="69">
        <f>YEAR(A1016)*10000+MONTH(A1016)*100+DAY(A1016)</f>
        <v>20101002</v>
      </c>
      <c r="C1016" s="70">
        <v>3.3099999999999997E-2</v>
      </c>
      <c r="D1016" s="77">
        <v>1.0999999999999999E-2</v>
      </c>
      <c r="E1016" s="77">
        <v>1.0999999999999999E-2</v>
      </c>
      <c r="F1016" s="77">
        <v>1.0999999999999999E-2</v>
      </c>
      <c r="G1016" s="78">
        <v>0</v>
      </c>
      <c r="H1016" s="79"/>
      <c r="I1016" s="79"/>
      <c r="J1016" s="79"/>
      <c r="K1016" s="80">
        <v>1.24E-2</v>
      </c>
      <c r="L1016" s="80">
        <v>0</v>
      </c>
      <c r="M1016" s="75" t="s">
        <v>143</v>
      </c>
      <c r="N1016" s="75" t="b">
        <v>1</v>
      </c>
      <c r="O1016" s="75" t="s">
        <v>144</v>
      </c>
      <c r="P1016" s="75">
        <v>1994</v>
      </c>
      <c r="Q1016" s="75">
        <v>2020</v>
      </c>
      <c r="R1016" s="75">
        <v>1</v>
      </c>
      <c r="S1016" s="100">
        <v>210056</v>
      </c>
      <c r="T1016" s="101">
        <v>40420</v>
      </c>
      <c r="U1016" s="83"/>
    </row>
    <row r="1017" spans="1:21" s="84" customFormat="1" x14ac:dyDescent="0.3">
      <c r="A1017" s="68">
        <v>40454</v>
      </c>
      <c r="B1017" s="69">
        <f>YEAR(A1017)*10000+MONTH(A1017)*100+DAY(A1017)</f>
        <v>20101003</v>
      </c>
      <c r="C1017" s="70">
        <v>3.3099999999999997E-2</v>
      </c>
      <c r="D1017" s="77">
        <v>1.0999999999999999E-2</v>
      </c>
      <c r="E1017" s="77">
        <v>1.0999999999999999E-2</v>
      </c>
      <c r="F1017" s="77">
        <v>1.0999999999999999E-2</v>
      </c>
      <c r="G1017" s="78">
        <v>0</v>
      </c>
      <c r="H1017" s="79"/>
      <c r="I1017" s="79"/>
      <c r="J1017" s="79"/>
      <c r="K1017" s="80">
        <v>1.24E-2</v>
      </c>
      <c r="L1017" s="80">
        <v>0</v>
      </c>
      <c r="M1017" s="75" t="s">
        <v>143</v>
      </c>
      <c r="N1017" s="75" t="b">
        <v>1</v>
      </c>
      <c r="O1017" s="75" t="s">
        <v>144</v>
      </c>
      <c r="P1017" s="75">
        <v>1994</v>
      </c>
      <c r="Q1017" s="75">
        <v>2020</v>
      </c>
      <c r="R1017" s="75">
        <v>1</v>
      </c>
      <c r="S1017" s="100">
        <v>210056</v>
      </c>
      <c r="T1017" s="101">
        <v>40420</v>
      </c>
      <c r="U1017" s="83"/>
    </row>
    <row r="1018" spans="1:21" s="84" customFormat="1" x14ac:dyDescent="0.3">
      <c r="A1018" s="68">
        <v>40455</v>
      </c>
      <c r="B1018" s="69">
        <f t="shared" si="16"/>
        <v>20101004</v>
      </c>
      <c r="C1018" s="70">
        <v>3.2799999999999996E-2</v>
      </c>
      <c r="D1018" s="77">
        <v>1.0999999999999999E-2</v>
      </c>
      <c r="E1018" s="77">
        <v>1.0999999999999999E-2</v>
      </c>
      <c r="F1018" s="77">
        <v>1.0999999999999999E-2</v>
      </c>
      <c r="G1018" s="78">
        <v>0</v>
      </c>
      <c r="H1018" s="79"/>
      <c r="I1018" s="79"/>
      <c r="J1018" s="79"/>
      <c r="K1018" s="80">
        <v>1.21E-2</v>
      </c>
      <c r="L1018" s="80">
        <v>0</v>
      </c>
      <c r="M1018" s="75" t="s">
        <v>143</v>
      </c>
      <c r="N1018" s="75" t="b">
        <v>1</v>
      </c>
      <c r="O1018" s="75" t="s">
        <v>144</v>
      </c>
      <c r="P1018" s="75">
        <v>1994</v>
      </c>
      <c r="Q1018" s="75">
        <v>2020</v>
      </c>
      <c r="R1018" s="75">
        <v>1</v>
      </c>
      <c r="S1018" s="100">
        <v>210056</v>
      </c>
      <c r="T1018" s="101">
        <v>40420</v>
      </c>
      <c r="U1018" s="83"/>
    </row>
    <row r="1019" spans="1:21" s="84" customFormat="1" x14ac:dyDescent="0.3">
      <c r="A1019" s="68">
        <v>40456</v>
      </c>
      <c r="B1019" s="69">
        <f t="shared" si="16"/>
        <v>20101005</v>
      </c>
      <c r="C1019" s="70">
        <v>3.3000000000000002E-2</v>
      </c>
      <c r="D1019" s="77">
        <v>1.0999999999999999E-2</v>
      </c>
      <c r="E1019" s="77">
        <v>1.0999999999999999E-2</v>
      </c>
      <c r="F1019" s="77">
        <v>1.0999999999999999E-2</v>
      </c>
      <c r="G1019" s="78">
        <v>0</v>
      </c>
      <c r="H1019" s="79"/>
      <c r="I1019" s="79"/>
      <c r="J1019" s="79"/>
      <c r="K1019" s="80">
        <v>1.2199999999999999E-2</v>
      </c>
      <c r="L1019" s="80">
        <v>0</v>
      </c>
      <c r="M1019" s="75" t="s">
        <v>143</v>
      </c>
      <c r="N1019" s="75" t="b">
        <v>1</v>
      </c>
      <c r="O1019" s="75" t="s">
        <v>144</v>
      </c>
      <c r="P1019" s="75">
        <v>1994</v>
      </c>
      <c r="Q1019" s="75">
        <v>2020</v>
      </c>
      <c r="R1019" s="75">
        <v>1</v>
      </c>
      <c r="S1019" s="100">
        <v>210056</v>
      </c>
      <c r="T1019" s="101">
        <v>40420</v>
      </c>
      <c r="U1019" s="83"/>
    </row>
    <row r="1020" spans="1:21" s="84" customFormat="1" x14ac:dyDescent="0.3">
      <c r="A1020" s="68">
        <v>40457</v>
      </c>
      <c r="B1020" s="69">
        <f t="shared" si="16"/>
        <v>20101006</v>
      </c>
      <c r="C1020" s="70">
        <v>3.2899999999999999E-2</v>
      </c>
      <c r="D1020" s="77">
        <v>1.0999999999999999E-2</v>
      </c>
      <c r="E1020" s="77">
        <v>1.0999999999999999E-2</v>
      </c>
      <c r="F1020" s="77">
        <v>1.0999999999999999E-2</v>
      </c>
      <c r="G1020" s="78">
        <v>0</v>
      </c>
      <c r="H1020" s="79"/>
      <c r="I1020" s="79"/>
      <c r="J1020" s="79"/>
      <c r="K1020" s="80">
        <v>1.2E-2</v>
      </c>
      <c r="L1020" s="80">
        <v>0</v>
      </c>
      <c r="M1020" s="75" t="s">
        <v>143</v>
      </c>
      <c r="N1020" s="75" t="b">
        <v>1</v>
      </c>
      <c r="O1020" s="75" t="s">
        <v>144</v>
      </c>
      <c r="P1020" s="75">
        <v>1994</v>
      </c>
      <c r="Q1020" s="75">
        <v>2020</v>
      </c>
      <c r="R1020" s="75">
        <v>1</v>
      </c>
      <c r="S1020" s="100">
        <v>210056</v>
      </c>
      <c r="T1020" s="101">
        <v>40420</v>
      </c>
      <c r="U1020" s="83"/>
    </row>
    <row r="1021" spans="1:21" s="84" customFormat="1" x14ac:dyDescent="0.3">
      <c r="A1021" s="68">
        <v>40458</v>
      </c>
      <c r="B1021" s="69">
        <f t="shared" ref="B1021:B1043" si="17">YEAR(A1021)*10000+MONTH(A1021)*100+DAY(A1021)</f>
        <v>20101007</v>
      </c>
      <c r="C1021" s="70">
        <v>3.32E-2</v>
      </c>
      <c r="D1021" s="77">
        <v>1.0999999999999999E-2</v>
      </c>
      <c r="E1021" s="77">
        <v>1.0999999999999999E-2</v>
      </c>
      <c r="F1021" s="77">
        <v>1.0999999999999999E-2</v>
      </c>
      <c r="G1021" s="78">
        <v>0</v>
      </c>
      <c r="H1021" s="79"/>
      <c r="I1021" s="79"/>
      <c r="J1021" s="79"/>
      <c r="K1021" s="80">
        <v>1.24E-2</v>
      </c>
      <c r="L1021" s="80">
        <v>0</v>
      </c>
      <c r="M1021" s="75" t="s">
        <v>143</v>
      </c>
      <c r="N1021" s="75" t="b">
        <v>1</v>
      </c>
      <c r="O1021" s="75" t="s">
        <v>144</v>
      </c>
      <c r="P1021" s="75">
        <v>1994</v>
      </c>
      <c r="Q1021" s="75">
        <v>2020</v>
      </c>
      <c r="R1021" s="75">
        <v>1</v>
      </c>
      <c r="S1021" s="100">
        <v>210056</v>
      </c>
      <c r="T1021" s="101">
        <v>40420</v>
      </c>
      <c r="U1021" s="83"/>
    </row>
    <row r="1022" spans="1:21" s="84" customFormat="1" x14ac:dyDescent="0.3">
      <c r="A1022" s="68">
        <v>40459</v>
      </c>
      <c r="B1022" s="69">
        <f t="shared" si="17"/>
        <v>20101008</v>
      </c>
      <c r="C1022" s="70">
        <v>3.2899999999999999E-2</v>
      </c>
      <c r="D1022" s="77">
        <v>1.0999999999999999E-2</v>
      </c>
      <c r="E1022" s="77">
        <v>1.0999999999999999E-2</v>
      </c>
      <c r="F1022" s="77">
        <v>1.0999999999999999E-2</v>
      </c>
      <c r="G1022" s="78">
        <v>0</v>
      </c>
      <c r="H1022" s="79"/>
      <c r="I1022" s="79"/>
      <c r="J1022" s="79"/>
      <c r="K1022" s="80">
        <v>1.21E-2</v>
      </c>
      <c r="L1022" s="80">
        <v>0</v>
      </c>
      <c r="M1022" s="75" t="s">
        <v>143</v>
      </c>
      <c r="N1022" s="75" t="b">
        <v>1</v>
      </c>
      <c r="O1022" s="75" t="s">
        <v>144</v>
      </c>
      <c r="P1022" s="75">
        <v>1994</v>
      </c>
      <c r="Q1022" s="75">
        <v>2020</v>
      </c>
      <c r="R1022" s="75">
        <v>1</v>
      </c>
      <c r="S1022" s="100">
        <v>210056</v>
      </c>
      <c r="T1022" s="101">
        <v>40420</v>
      </c>
      <c r="U1022" s="83"/>
    </row>
    <row r="1023" spans="1:21" s="84" customFormat="1" x14ac:dyDescent="0.3">
      <c r="A1023" s="68">
        <v>40460</v>
      </c>
      <c r="B1023" s="69">
        <f>YEAR(A1023)*10000+MONTH(A1023)*100+DAY(A1023)</f>
        <v>20101009</v>
      </c>
      <c r="C1023" s="70">
        <v>3.2899999999999999E-2</v>
      </c>
      <c r="D1023" s="77">
        <v>1.0999999999999999E-2</v>
      </c>
      <c r="E1023" s="77">
        <v>1.0999999999999999E-2</v>
      </c>
      <c r="F1023" s="77">
        <v>1.0999999999999999E-2</v>
      </c>
      <c r="G1023" s="78">
        <v>0</v>
      </c>
      <c r="H1023" s="79"/>
      <c r="I1023" s="79"/>
      <c r="J1023" s="79"/>
      <c r="K1023" s="80">
        <v>1.21E-2</v>
      </c>
      <c r="L1023" s="80">
        <v>0</v>
      </c>
      <c r="M1023" s="75" t="s">
        <v>143</v>
      </c>
      <c r="N1023" s="75" t="b">
        <v>1</v>
      </c>
      <c r="O1023" s="75" t="s">
        <v>144</v>
      </c>
      <c r="P1023" s="75">
        <v>1994</v>
      </c>
      <c r="Q1023" s="75">
        <v>2020</v>
      </c>
      <c r="R1023" s="75">
        <v>1</v>
      </c>
      <c r="S1023" s="100">
        <v>210056</v>
      </c>
      <c r="T1023" s="101">
        <v>40420</v>
      </c>
      <c r="U1023" s="83"/>
    </row>
    <row r="1024" spans="1:21" s="84" customFormat="1" x14ac:dyDescent="0.3">
      <c r="A1024" s="68">
        <v>40461</v>
      </c>
      <c r="B1024" s="69">
        <f>YEAR(A1024)*10000+MONTH(A1024)*100+DAY(A1024)</f>
        <v>20101010</v>
      </c>
      <c r="C1024" s="70">
        <v>3.2899999999999999E-2</v>
      </c>
      <c r="D1024" s="77">
        <v>1.0999999999999999E-2</v>
      </c>
      <c r="E1024" s="77">
        <v>1.0999999999999999E-2</v>
      </c>
      <c r="F1024" s="77">
        <v>1.0999999999999999E-2</v>
      </c>
      <c r="G1024" s="78">
        <v>0</v>
      </c>
      <c r="H1024" s="79"/>
      <c r="I1024" s="79"/>
      <c r="J1024" s="79"/>
      <c r="K1024" s="80">
        <v>1.21E-2</v>
      </c>
      <c r="L1024" s="80">
        <v>0</v>
      </c>
      <c r="M1024" s="75" t="s">
        <v>143</v>
      </c>
      <c r="N1024" s="75" t="b">
        <v>1</v>
      </c>
      <c r="O1024" s="75" t="s">
        <v>144</v>
      </c>
      <c r="P1024" s="75">
        <v>1994</v>
      </c>
      <c r="Q1024" s="75">
        <v>2020</v>
      </c>
      <c r="R1024" s="75">
        <v>1</v>
      </c>
      <c r="S1024" s="100">
        <v>210056</v>
      </c>
      <c r="T1024" s="101">
        <v>40420</v>
      </c>
      <c r="U1024" s="83"/>
    </row>
    <row r="1025" spans="1:21" s="84" customFormat="1" x14ac:dyDescent="0.3">
      <c r="A1025" s="68">
        <v>40462</v>
      </c>
      <c r="B1025" s="69">
        <f t="shared" si="17"/>
        <v>20101011</v>
      </c>
      <c r="C1025" s="70">
        <v>3.2899999999999999E-2</v>
      </c>
      <c r="D1025" s="77">
        <v>1.0999999999999999E-2</v>
      </c>
      <c r="E1025" s="77">
        <v>1.0999999999999999E-2</v>
      </c>
      <c r="F1025" s="77">
        <v>1.0999999999999999E-2</v>
      </c>
      <c r="G1025" s="78">
        <v>0</v>
      </c>
      <c r="H1025" s="79"/>
      <c r="I1025" s="79"/>
      <c r="J1025" s="79"/>
      <c r="K1025" s="80">
        <v>1.21E-2</v>
      </c>
      <c r="L1025" s="80">
        <v>0</v>
      </c>
      <c r="M1025" s="75" t="s">
        <v>143</v>
      </c>
      <c r="N1025" s="75" t="b">
        <v>1</v>
      </c>
      <c r="O1025" s="75" t="s">
        <v>144</v>
      </c>
      <c r="P1025" s="75">
        <v>1994</v>
      </c>
      <c r="Q1025" s="75">
        <v>2020</v>
      </c>
      <c r="R1025" s="75">
        <v>1</v>
      </c>
      <c r="S1025" s="100">
        <v>210056</v>
      </c>
      <c r="T1025" s="101">
        <v>40420</v>
      </c>
      <c r="U1025" s="83"/>
    </row>
    <row r="1026" spans="1:21" s="84" customFormat="1" x14ac:dyDescent="0.3">
      <c r="A1026" s="68">
        <v>40463</v>
      </c>
      <c r="B1026" s="69">
        <f t="shared" si="17"/>
        <v>20101012</v>
      </c>
      <c r="C1026" s="70">
        <v>3.3000000000000002E-2</v>
      </c>
      <c r="D1026" s="77">
        <v>1.0999999999999999E-2</v>
      </c>
      <c r="E1026" s="77">
        <v>1.0999999999999999E-2</v>
      </c>
      <c r="F1026" s="77">
        <v>1.0999999999999999E-2</v>
      </c>
      <c r="G1026" s="78">
        <v>0</v>
      </c>
      <c r="H1026" s="79"/>
      <c r="I1026" s="79"/>
      <c r="J1026" s="79"/>
      <c r="K1026" s="80">
        <v>1.23E-2</v>
      </c>
      <c r="L1026" s="80">
        <v>0</v>
      </c>
      <c r="M1026" s="75" t="s">
        <v>143</v>
      </c>
      <c r="N1026" s="75" t="b">
        <v>1</v>
      </c>
      <c r="O1026" s="75" t="s">
        <v>144</v>
      </c>
      <c r="P1026" s="75">
        <v>1994</v>
      </c>
      <c r="Q1026" s="75">
        <v>2020</v>
      </c>
      <c r="R1026" s="75">
        <v>1</v>
      </c>
      <c r="S1026" s="100">
        <v>210056</v>
      </c>
      <c r="T1026" s="101">
        <v>40420</v>
      </c>
      <c r="U1026" s="83"/>
    </row>
    <row r="1027" spans="1:21" s="84" customFormat="1" x14ac:dyDescent="0.3">
      <c r="A1027" s="68">
        <v>40464</v>
      </c>
      <c r="B1027" s="69">
        <f t="shared" si="17"/>
        <v>20101013</v>
      </c>
      <c r="C1027" s="70">
        <v>3.3000000000000002E-2</v>
      </c>
      <c r="D1027" s="77">
        <v>1.0999999999999999E-2</v>
      </c>
      <c r="E1027" s="77">
        <v>1.0999999999999999E-2</v>
      </c>
      <c r="F1027" s="77">
        <v>1.0999999999999999E-2</v>
      </c>
      <c r="G1027" s="78">
        <v>0</v>
      </c>
      <c r="H1027" s="79"/>
      <c r="I1027" s="79"/>
      <c r="J1027" s="79"/>
      <c r="K1027" s="80">
        <v>1.23E-2</v>
      </c>
      <c r="L1027" s="80">
        <v>0</v>
      </c>
      <c r="M1027" s="75" t="s">
        <v>143</v>
      </c>
      <c r="N1027" s="75" t="b">
        <v>1</v>
      </c>
      <c r="O1027" s="75" t="s">
        <v>144</v>
      </c>
      <c r="P1027" s="75">
        <v>1994</v>
      </c>
      <c r="Q1027" s="75">
        <v>2020</v>
      </c>
      <c r="R1027" s="75">
        <v>1</v>
      </c>
      <c r="S1027" s="100">
        <v>210056</v>
      </c>
      <c r="T1027" s="101">
        <v>40420</v>
      </c>
      <c r="U1027" s="83"/>
    </row>
    <row r="1028" spans="1:21" s="84" customFormat="1" x14ac:dyDescent="0.3">
      <c r="A1028" s="68">
        <v>40465</v>
      </c>
      <c r="B1028" s="69">
        <f t="shared" si="17"/>
        <v>20101014</v>
      </c>
      <c r="C1028" s="70">
        <v>3.32E-2</v>
      </c>
      <c r="D1028" s="77">
        <v>1.0999999999999999E-2</v>
      </c>
      <c r="E1028" s="77">
        <v>1.0999999999999999E-2</v>
      </c>
      <c r="F1028" s="77">
        <v>1.0999999999999999E-2</v>
      </c>
      <c r="G1028" s="78">
        <v>0</v>
      </c>
      <c r="H1028" s="79"/>
      <c r="I1028" s="79"/>
      <c r="J1028" s="79"/>
      <c r="K1028" s="80">
        <v>1.1599999999999999E-2</v>
      </c>
      <c r="L1028" s="80">
        <v>0</v>
      </c>
      <c r="M1028" s="75" t="s">
        <v>143</v>
      </c>
      <c r="N1028" s="75" t="b">
        <v>1</v>
      </c>
      <c r="O1028" s="75" t="s">
        <v>144</v>
      </c>
      <c r="P1028" s="75">
        <v>1994</v>
      </c>
      <c r="Q1028" s="75">
        <v>2020</v>
      </c>
      <c r="R1028" s="75">
        <v>1</v>
      </c>
      <c r="S1028" s="100">
        <v>210056</v>
      </c>
      <c r="T1028" s="101">
        <v>40420</v>
      </c>
      <c r="U1028" s="83"/>
    </row>
    <row r="1029" spans="1:21" s="84" customFormat="1" x14ac:dyDescent="0.3">
      <c r="A1029" s="68">
        <v>40466</v>
      </c>
      <c r="B1029" s="69">
        <f t="shared" si="17"/>
        <v>20101015</v>
      </c>
      <c r="C1029" s="70">
        <v>3.3500000000000002E-2</v>
      </c>
      <c r="D1029" s="77">
        <v>1.0999999999999999E-2</v>
      </c>
      <c r="E1029" s="77">
        <v>1.0999999999999999E-2</v>
      </c>
      <c r="F1029" s="77">
        <v>1.0999999999999999E-2</v>
      </c>
      <c r="G1029" s="78">
        <v>0</v>
      </c>
      <c r="H1029" s="79"/>
      <c r="I1029" s="79"/>
      <c r="J1029" s="79"/>
      <c r="K1029" s="80">
        <v>1.2E-2</v>
      </c>
      <c r="L1029" s="80">
        <v>0</v>
      </c>
      <c r="M1029" s="75" t="s">
        <v>143</v>
      </c>
      <c r="N1029" s="75" t="b">
        <v>1</v>
      </c>
      <c r="O1029" s="75" t="s">
        <v>144</v>
      </c>
      <c r="P1029" s="75">
        <v>1994</v>
      </c>
      <c r="Q1029" s="75">
        <v>2020</v>
      </c>
      <c r="R1029" s="75">
        <v>1</v>
      </c>
      <c r="S1029" s="100">
        <v>210056</v>
      </c>
      <c r="T1029" s="101">
        <v>40420</v>
      </c>
      <c r="U1029" s="83"/>
    </row>
    <row r="1030" spans="1:21" s="84" customFormat="1" x14ac:dyDescent="0.3">
      <c r="A1030" s="68">
        <v>40467</v>
      </c>
      <c r="B1030" s="69">
        <f>YEAR(A1030)*10000+MONTH(A1030)*100+DAY(A1030)</f>
        <v>20101016</v>
      </c>
      <c r="C1030" s="70">
        <v>3.3500000000000002E-2</v>
      </c>
      <c r="D1030" s="77">
        <v>1.0999999999999999E-2</v>
      </c>
      <c r="E1030" s="77">
        <v>1.0999999999999999E-2</v>
      </c>
      <c r="F1030" s="77">
        <v>1.0999999999999999E-2</v>
      </c>
      <c r="G1030" s="78">
        <v>0</v>
      </c>
      <c r="H1030" s="79"/>
      <c r="I1030" s="79"/>
      <c r="J1030" s="79"/>
      <c r="K1030" s="80">
        <v>1.2E-2</v>
      </c>
      <c r="L1030" s="80">
        <v>0</v>
      </c>
      <c r="M1030" s="75" t="s">
        <v>143</v>
      </c>
      <c r="N1030" s="75" t="b">
        <v>1</v>
      </c>
      <c r="O1030" s="75" t="s">
        <v>144</v>
      </c>
      <c r="P1030" s="75">
        <v>1994</v>
      </c>
      <c r="Q1030" s="75">
        <v>2020</v>
      </c>
      <c r="R1030" s="75">
        <v>1</v>
      </c>
      <c r="S1030" s="100">
        <v>210056</v>
      </c>
      <c r="T1030" s="101">
        <v>40420</v>
      </c>
      <c r="U1030" s="83"/>
    </row>
    <row r="1031" spans="1:21" s="84" customFormat="1" x14ac:dyDescent="0.3">
      <c r="A1031" s="68">
        <v>40468</v>
      </c>
      <c r="B1031" s="69">
        <f>YEAR(A1031)*10000+MONTH(A1031)*100+DAY(A1031)</f>
        <v>20101017</v>
      </c>
      <c r="C1031" s="70">
        <v>3.3500000000000002E-2</v>
      </c>
      <c r="D1031" s="77">
        <v>1.0999999999999999E-2</v>
      </c>
      <c r="E1031" s="77">
        <v>1.0999999999999999E-2</v>
      </c>
      <c r="F1031" s="77">
        <v>1.0999999999999999E-2</v>
      </c>
      <c r="G1031" s="78">
        <v>0</v>
      </c>
      <c r="H1031" s="79"/>
      <c r="I1031" s="79"/>
      <c r="J1031" s="79"/>
      <c r="K1031" s="80">
        <v>1.2E-2</v>
      </c>
      <c r="L1031" s="80">
        <v>0</v>
      </c>
      <c r="M1031" s="75" t="s">
        <v>143</v>
      </c>
      <c r="N1031" s="75" t="b">
        <v>1</v>
      </c>
      <c r="O1031" s="75" t="s">
        <v>144</v>
      </c>
      <c r="P1031" s="75">
        <v>1994</v>
      </c>
      <c r="Q1031" s="75">
        <v>2020</v>
      </c>
      <c r="R1031" s="75">
        <v>1</v>
      </c>
      <c r="S1031" s="100">
        <v>210056</v>
      </c>
      <c r="T1031" s="101">
        <v>40420</v>
      </c>
      <c r="U1031" s="83"/>
    </row>
    <row r="1032" spans="1:21" s="84" customFormat="1" x14ac:dyDescent="0.3">
      <c r="A1032" s="68">
        <v>40469</v>
      </c>
      <c r="B1032" s="69">
        <f t="shared" si="17"/>
        <v>20101018</v>
      </c>
      <c r="C1032" s="70">
        <v>3.3399999999999999E-2</v>
      </c>
      <c r="D1032" s="77">
        <v>1.0999999999999999E-2</v>
      </c>
      <c r="E1032" s="77">
        <v>1.0999999999999999E-2</v>
      </c>
      <c r="F1032" s="77">
        <v>1.0999999999999999E-2</v>
      </c>
      <c r="G1032" s="78">
        <v>0</v>
      </c>
      <c r="H1032" s="79"/>
      <c r="I1032" s="79"/>
      <c r="J1032" s="79"/>
      <c r="K1032" s="80">
        <v>1.18E-2</v>
      </c>
      <c r="L1032" s="80">
        <v>0</v>
      </c>
      <c r="M1032" s="75" t="s">
        <v>143</v>
      </c>
      <c r="N1032" s="75" t="b">
        <v>1</v>
      </c>
      <c r="O1032" s="75" t="s">
        <v>144</v>
      </c>
      <c r="P1032" s="75">
        <v>1994</v>
      </c>
      <c r="Q1032" s="75">
        <v>2020</v>
      </c>
      <c r="R1032" s="75">
        <v>1</v>
      </c>
      <c r="S1032" s="100">
        <v>210056</v>
      </c>
      <c r="T1032" s="101">
        <v>40420</v>
      </c>
      <c r="U1032" s="83"/>
    </row>
    <row r="1033" spans="1:21" s="84" customFormat="1" x14ac:dyDescent="0.3">
      <c r="A1033" s="68">
        <v>40470</v>
      </c>
      <c r="B1033" s="69">
        <f t="shared" si="17"/>
        <v>20101019</v>
      </c>
      <c r="C1033" s="70">
        <v>3.2899999999999999E-2</v>
      </c>
      <c r="D1033" s="77">
        <v>1.0999999999999999E-2</v>
      </c>
      <c r="E1033" s="77">
        <v>1.0999999999999999E-2</v>
      </c>
      <c r="F1033" s="77">
        <v>1.0999999999999999E-2</v>
      </c>
      <c r="G1033" s="78">
        <v>0</v>
      </c>
      <c r="H1033" s="79"/>
      <c r="I1033" s="79"/>
      <c r="J1033" s="79"/>
      <c r="K1033" s="80">
        <v>1.1200000000000002E-2</v>
      </c>
      <c r="L1033" s="80">
        <v>0</v>
      </c>
      <c r="M1033" s="75" t="s">
        <v>143</v>
      </c>
      <c r="N1033" s="75" t="b">
        <v>1</v>
      </c>
      <c r="O1033" s="75" t="s">
        <v>144</v>
      </c>
      <c r="P1033" s="75">
        <v>1994</v>
      </c>
      <c r="Q1033" s="75">
        <v>2020</v>
      </c>
      <c r="R1033" s="75">
        <v>1</v>
      </c>
      <c r="S1033" s="100">
        <v>210056</v>
      </c>
      <c r="T1033" s="101">
        <v>40420</v>
      </c>
      <c r="U1033" s="83"/>
    </row>
    <row r="1034" spans="1:21" s="84" customFormat="1" x14ac:dyDescent="0.3">
      <c r="A1034" s="68">
        <v>40471</v>
      </c>
      <c r="B1034" s="69">
        <f t="shared" si="17"/>
        <v>20101020</v>
      </c>
      <c r="C1034" s="70">
        <v>3.32E-2</v>
      </c>
      <c r="D1034" s="77">
        <v>1.0999999999999999E-2</v>
      </c>
      <c r="E1034" s="77">
        <v>1.0999999999999999E-2</v>
      </c>
      <c r="F1034" s="77">
        <v>1.0999999999999999E-2</v>
      </c>
      <c r="G1034" s="78">
        <v>0</v>
      </c>
      <c r="H1034" s="79"/>
      <c r="I1034" s="79"/>
      <c r="J1034" s="79"/>
      <c r="K1034" s="80">
        <v>1.1299999999999999E-2</v>
      </c>
      <c r="L1034" s="80">
        <v>0</v>
      </c>
      <c r="M1034" s="75" t="s">
        <v>143</v>
      </c>
      <c r="N1034" s="75" t="b">
        <v>1</v>
      </c>
      <c r="O1034" s="75" t="s">
        <v>144</v>
      </c>
      <c r="P1034" s="75">
        <v>1994</v>
      </c>
      <c r="Q1034" s="75">
        <v>2020</v>
      </c>
      <c r="R1034" s="75">
        <v>1</v>
      </c>
      <c r="S1034" s="100">
        <v>210056</v>
      </c>
      <c r="T1034" s="101">
        <v>40420</v>
      </c>
      <c r="U1034" s="83"/>
    </row>
    <row r="1035" spans="1:21" s="84" customFormat="1" x14ac:dyDescent="0.3">
      <c r="A1035" s="68">
        <v>40472</v>
      </c>
      <c r="B1035" s="69">
        <f t="shared" si="17"/>
        <v>20101021</v>
      </c>
      <c r="C1035" s="70">
        <v>3.3000000000000002E-2</v>
      </c>
      <c r="D1035" s="77">
        <v>1.0999999999999999E-2</v>
      </c>
      <c r="E1035" s="77">
        <v>1.0999999999999999E-2</v>
      </c>
      <c r="F1035" s="77">
        <v>1.0999999999999999E-2</v>
      </c>
      <c r="G1035" s="78">
        <v>0</v>
      </c>
      <c r="H1035" s="79"/>
      <c r="I1035" s="79"/>
      <c r="J1035" s="79"/>
      <c r="K1035" s="80">
        <v>1.09E-2</v>
      </c>
      <c r="L1035" s="80">
        <v>0</v>
      </c>
      <c r="M1035" s="75" t="s">
        <v>143</v>
      </c>
      <c r="N1035" s="75" t="b">
        <v>1</v>
      </c>
      <c r="O1035" s="75" t="s">
        <v>144</v>
      </c>
      <c r="P1035" s="75">
        <v>1994</v>
      </c>
      <c r="Q1035" s="75">
        <v>2020</v>
      </c>
      <c r="R1035" s="75">
        <v>1</v>
      </c>
      <c r="S1035" s="100">
        <v>210056</v>
      </c>
      <c r="T1035" s="101">
        <v>40420</v>
      </c>
      <c r="U1035" s="83"/>
    </row>
    <row r="1036" spans="1:21" s="84" customFormat="1" x14ac:dyDescent="0.3">
      <c r="A1036" s="68">
        <v>40473</v>
      </c>
      <c r="B1036" s="69">
        <f t="shared" si="17"/>
        <v>20101022</v>
      </c>
      <c r="C1036" s="70">
        <v>3.3000000000000002E-2</v>
      </c>
      <c r="D1036" s="77">
        <v>1.0999999999999999E-2</v>
      </c>
      <c r="E1036" s="77">
        <v>1.0999999999999999E-2</v>
      </c>
      <c r="F1036" s="77">
        <v>1.0999999999999999E-2</v>
      </c>
      <c r="G1036" s="78">
        <v>0</v>
      </c>
      <c r="H1036" s="79"/>
      <c r="I1036" s="79"/>
      <c r="J1036" s="79"/>
      <c r="K1036" s="80">
        <v>1.09E-2</v>
      </c>
      <c r="L1036" s="80">
        <v>0</v>
      </c>
      <c r="M1036" s="75" t="s">
        <v>143</v>
      </c>
      <c r="N1036" s="75" t="b">
        <v>1</v>
      </c>
      <c r="O1036" s="75" t="s">
        <v>144</v>
      </c>
      <c r="P1036" s="75">
        <v>1994</v>
      </c>
      <c r="Q1036" s="75">
        <v>2020</v>
      </c>
      <c r="R1036" s="75">
        <v>1</v>
      </c>
      <c r="S1036" s="100">
        <v>210056</v>
      </c>
      <c r="T1036" s="101">
        <v>40420</v>
      </c>
      <c r="U1036" s="83"/>
    </row>
    <row r="1037" spans="1:21" s="84" customFormat="1" x14ac:dyDescent="0.3">
      <c r="A1037" s="68">
        <v>40474</v>
      </c>
      <c r="B1037" s="69">
        <f>YEAR(A1037)*10000+MONTH(A1037)*100+DAY(A1037)</f>
        <v>20101023</v>
      </c>
      <c r="C1037" s="70">
        <v>3.3000000000000002E-2</v>
      </c>
      <c r="D1037" s="77">
        <v>1.0999999999999999E-2</v>
      </c>
      <c r="E1037" s="77">
        <v>1.0999999999999999E-2</v>
      </c>
      <c r="F1037" s="77">
        <v>1.0999999999999999E-2</v>
      </c>
      <c r="G1037" s="78">
        <v>0</v>
      </c>
      <c r="H1037" s="79"/>
      <c r="I1037" s="79"/>
      <c r="J1037" s="79"/>
      <c r="K1037" s="80">
        <v>1.09E-2</v>
      </c>
      <c r="L1037" s="80">
        <v>0</v>
      </c>
      <c r="M1037" s="75" t="s">
        <v>143</v>
      </c>
      <c r="N1037" s="75" t="b">
        <v>1</v>
      </c>
      <c r="O1037" s="75" t="s">
        <v>144</v>
      </c>
      <c r="P1037" s="75">
        <v>1994</v>
      </c>
      <c r="Q1037" s="75">
        <v>2020</v>
      </c>
      <c r="R1037" s="75">
        <v>1</v>
      </c>
      <c r="S1037" s="100">
        <v>210056</v>
      </c>
      <c r="T1037" s="101">
        <v>40420</v>
      </c>
      <c r="U1037" s="83"/>
    </row>
    <row r="1038" spans="1:21" s="84" customFormat="1" x14ac:dyDescent="0.3">
      <c r="A1038" s="68">
        <v>40475</v>
      </c>
      <c r="B1038" s="69">
        <f>YEAR(A1038)*10000+MONTH(A1038)*100+DAY(A1038)</f>
        <v>20101024</v>
      </c>
      <c r="C1038" s="70">
        <v>3.3000000000000002E-2</v>
      </c>
      <c r="D1038" s="77">
        <v>1.0999999999999999E-2</v>
      </c>
      <c r="E1038" s="77">
        <v>1.0999999999999999E-2</v>
      </c>
      <c r="F1038" s="77">
        <v>1.0999999999999999E-2</v>
      </c>
      <c r="G1038" s="78">
        <v>0</v>
      </c>
      <c r="H1038" s="79"/>
      <c r="I1038" s="79"/>
      <c r="J1038" s="79"/>
      <c r="K1038" s="80">
        <v>1.09E-2</v>
      </c>
      <c r="L1038" s="80">
        <v>0</v>
      </c>
      <c r="M1038" s="75" t="s">
        <v>143</v>
      </c>
      <c r="N1038" s="75" t="b">
        <v>1</v>
      </c>
      <c r="O1038" s="75" t="s">
        <v>144</v>
      </c>
      <c r="P1038" s="75">
        <v>1994</v>
      </c>
      <c r="Q1038" s="75">
        <v>2020</v>
      </c>
      <c r="R1038" s="75">
        <v>1</v>
      </c>
      <c r="S1038" s="100">
        <v>210056</v>
      </c>
      <c r="T1038" s="101">
        <v>40420</v>
      </c>
      <c r="U1038" s="83"/>
    </row>
    <row r="1039" spans="1:21" s="84" customFormat="1" x14ac:dyDescent="0.3">
      <c r="A1039" s="68">
        <v>40476</v>
      </c>
      <c r="B1039" s="69">
        <f t="shared" si="17"/>
        <v>20101025</v>
      </c>
      <c r="C1039" s="70">
        <v>3.2899999999999999E-2</v>
      </c>
      <c r="D1039" s="77">
        <v>1.0999999999999999E-2</v>
      </c>
      <c r="E1039" s="77">
        <v>1.0999999999999999E-2</v>
      </c>
      <c r="F1039" s="77">
        <v>1.0999999999999999E-2</v>
      </c>
      <c r="G1039" s="78">
        <v>0</v>
      </c>
      <c r="H1039" s="79"/>
      <c r="I1039" s="79"/>
      <c r="J1039" s="79"/>
      <c r="K1039" s="80">
        <v>1.0800000000000001E-2</v>
      </c>
      <c r="L1039" s="80">
        <v>0</v>
      </c>
      <c r="M1039" s="75" t="s">
        <v>143</v>
      </c>
      <c r="N1039" s="75" t="b">
        <v>1</v>
      </c>
      <c r="O1039" s="75" t="s">
        <v>144</v>
      </c>
      <c r="P1039" s="75">
        <v>1994</v>
      </c>
      <c r="Q1039" s="75">
        <v>2020</v>
      </c>
      <c r="R1039" s="75">
        <v>1</v>
      </c>
      <c r="S1039" s="100">
        <v>210056</v>
      </c>
      <c r="T1039" s="101">
        <v>40420</v>
      </c>
      <c r="U1039" s="83"/>
    </row>
    <row r="1040" spans="1:21" s="84" customFormat="1" x14ac:dyDescent="0.3">
      <c r="A1040" s="68">
        <v>40477</v>
      </c>
      <c r="B1040" s="69">
        <f t="shared" si="17"/>
        <v>20101026</v>
      </c>
      <c r="C1040" s="70">
        <v>3.3300000000000003E-2</v>
      </c>
      <c r="D1040" s="77">
        <v>1.0999999999999999E-2</v>
      </c>
      <c r="E1040" s="77">
        <v>1.0999999999999999E-2</v>
      </c>
      <c r="F1040" s="77">
        <v>1.0999999999999999E-2</v>
      </c>
      <c r="G1040" s="78">
        <v>0</v>
      </c>
      <c r="H1040" s="79"/>
      <c r="I1040" s="79"/>
      <c r="J1040" s="79"/>
      <c r="K1040" s="80">
        <v>1.1299999999999999E-2</v>
      </c>
      <c r="L1040" s="80">
        <v>0</v>
      </c>
      <c r="M1040" s="75" t="s">
        <v>143</v>
      </c>
      <c r="N1040" s="75" t="b">
        <v>1</v>
      </c>
      <c r="O1040" s="75" t="s">
        <v>144</v>
      </c>
      <c r="P1040" s="75">
        <v>1994</v>
      </c>
      <c r="Q1040" s="75">
        <v>2020</v>
      </c>
      <c r="R1040" s="75">
        <v>1</v>
      </c>
      <c r="S1040" s="100">
        <v>210056</v>
      </c>
      <c r="T1040" s="101">
        <v>40420</v>
      </c>
      <c r="U1040" s="83"/>
    </row>
    <row r="1041" spans="1:21" s="84" customFormat="1" x14ac:dyDescent="0.3">
      <c r="A1041" s="68">
        <v>40478</v>
      </c>
      <c r="B1041" s="69">
        <f t="shared" si="17"/>
        <v>20101027</v>
      </c>
      <c r="C1041" s="70">
        <v>3.3799999999999997E-2</v>
      </c>
      <c r="D1041" s="77">
        <v>1.0999999999999999E-2</v>
      </c>
      <c r="E1041" s="77">
        <v>1.0999999999999999E-2</v>
      </c>
      <c r="F1041" s="77">
        <v>1.0999999999999999E-2</v>
      </c>
      <c r="G1041" s="78">
        <v>0</v>
      </c>
      <c r="H1041" s="79"/>
      <c r="I1041" s="79"/>
      <c r="J1041" s="79"/>
      <c r="K1041" s="80">
        <v>1.1699999999999999E-2</v>
      </c>
      <c r="L1041" s="80">
        <v>0</v>
      </c>
      <c r="M1041" s="75" t="s">
        <v>143</v>
      </c>
      <c r="N1041" s="75" t="b">
        <v>1</v>
      </c>
      <c r="O1041" s="75" t="s">
        <v>144</v>
      </c>
      <c r="P1041" s="75">
        <v>1994</v>
      </c>
      <c r="Q1041" s="75">
        <v>2020</v>
      </c>
      <c r="R1041" s="75">
        <v>1</v>
      </c>
      <c r="S1041" s="100">
        <v>210056</v>
      </c>
      <c r="T1041" s="101">
        <v>40420</v>
      </c>
      <c r="U1041" s="83"/>
    </row>
    <row r="1042" spans="1:21" s="84" customFormat="1" x14ac:dyDescent="0.3">
      <c r="A1042" s="68">
        <v>40479</v>
      </c>
      <c r="B1042" s="69">
        <f t="shared" si="17"/>
        <v>20101028</v>
      </c>
      <c r="C1042" s="70">
        <v>3.3599999999999998E-2</v>
      </c>
      <c r="D1042" s="77">
        <v>1.0999999999999999E-2</v>
      </c>
      <c r="E1042" s="77">
        <v>1.0999999999999999E-2</v>
      </c>
      <c r="F1042" s="77">
        <v>1.0999999999999999E-2</v>
      </c>
      <c r="G1042" s="78">
        <v>0</v>
      </c>
      <c r="H1042" s="79"/>
      <c r="I1042" s="79"/>
      <c r="J1042" s="79"/>
      <c r="K1042" s="80">
        <v>1.1399999999999999E-2</v>
      </c>
      <c r="L1042" s="80">
        <v>0</v>
      </c>
      <c r="M1042" s="75" t="s">
        <v>143</v>
      </c>
      <c r="N1042" s="75" t="b">
        <v>1</v>
      </c>
      <c r="O1042" s="75" t="s">
        <v>144</v>
      </c>
      <c r="P1042" s="75">
        <v>1994</v>
      </c>
      <c r="Q1042" s="75">
        <v>2020</v>
      </c>
      <c r="R1042" s="75">
        <v>1</v>
      </c>
      <c r="S1042" s="100">
        <v>210056</v>
      </c>
      <c r="T1042" s="101">
        <v>40420</v>
      </c>
      <c r="U1042" s="83"/>
    </row>
    <row r="1043" spans="1:21" s="84" customFormat="1" x14ac:dyDescent="0.3">
      <c r="A1043" s="68">
        <v>40480</v>
      </c>
      <c r="B1043" s="69">
        <f t="shared" si="17"/>
        <v>20101029</v>
      </c>
      <c r="C1043" s="70">
        <v>3.32E-2</v>
      </c>
      <c r="D1043" s="77">
        <v>1.0999999999999999E-2</v>
      </c>
      <c r="E1043" s="77">
        <v>1.0999999999999999E-2</v>
      </c>
      <c r="F1043" s="77">
        <v>1.0999999999999999E-2</v>
      </c>
      <c r="G1043" s="78">
        <v>0</v>
      </c>
      <c r="H1043" s="79"/>
      <c r="I1043" s="79"/>
      <c r="J1043" s="79"/>
      <c r="K1043" s="80">
        <v>1.09E-2</v>
      </c>
      <c r="L1043" s="80">
        <v>0</v>
      </c>
      <c r="M1043" s="75" t="s">
        <v>143</v>
      </c>
      <c r="N1043" s="75" t="b">
        <v>1</v>
      </c>
      <c r="O1043" s="75" t="s">
        <v>144</v>
      </c>
      <c r="P1043" s="75">
        <v>1994</v>
      </c>
      <c r="Q1043" s="75">
        <v>2020</v>
      </c>
      <c r="R1043" s="75">
        <v>1</v>
      </c>
      <c r="S1043" s="100">
        <v>210056</v>
      </c>
      <c r="T1043" s="101">
        <v>40420</v>
      </c>
      <c r="U1043" s="83"/>
    </row>
    <row r="1044" spans="1:21" s="84" customFormat="1" x14ac:dyDescent="0.3">
      <c r="A1044" s="68">
        <v>40481</v>
      </c>
      <c r="B1044" s="69">
        <f>YEAR(A1044)*10000+MONTH(A1044)*100+DAY(A1044)</f>
        <v>20101030</v>
      </c>
      <c r="C1044" s="70">
        <v>3.32E-2</v>
      </c>
      <c r="D1044" s="77">
        <v>1.0999999999999999E-2</v>
      </c>
      <c r="E1044" s="77">
        <v>1.0999999999999999E-2</v>
      </c>
      <c r="F1044" s="77">
        <v>1.0999999999999999E-2</v>
      </c>
      <c r="G1044" s="78">
        <v>0</v>
      </c>
      <c r="H1044" s="79"/>
      <c r="I1044" s="79"/>
      <c r="J1044" s="79"/>
      <c r="K1044" s="80">
        <v>1.09E-2</v>
      </c>
      <c r="L1044" s="80">
        <v>0</v>
      </c>
      <c r="M1044" s="75" t="s">
        <v>143</v>
      </c>
      <c r="N1044" s="75" t="b">
        <v>1</v>
      </c>
      <c r="O1044" s="75" t="s">
        <v>144</v>
      </c>
      <c r="P1044" s="75">
        <v>1994</v>
      </c>
      <c r="Q1044" s="75">
        <v>2020</v>
      </c>
      <c r="R1044" s="75">
        <v>1</v>
      </c>
      <c r="S1044" s="100">
        <v>210056</v>
      </c>
      <c r="T1044" s="101">
        <v>40420</v>
      </c>
      <c r="U1044" s="83"/>
    </row>
    <row r="1045" spans="1:21" s="84" customFormat="1" x14ac:dyDescent="0.3">
      <c r="A1045" s="68">
        <v>40482</v>
      </c>
      <c r="B1045" s="69">
        <f>YEAR(A1045)*10000+MONTH(A1045)*100+DAY(A1045)</f>
        <v>20101031</v>
      </c>
      <c r="C1045" s="70">
        <v>3.32E-2</v>
      </c>
      <c r="D1045" s="77">
        <v>1.0999999999999999E-2</v>
      </c>
      <c r="E1045" s="77">
        <v>1.0999999999999999E-2</v>
      </c>
      <c r="F1045" s="77">
        <v>1.0999999999999999E-2</v>
      </c>
      <c r="G1045" s="78">
        <v>0</v>
      </c>
      <c r="H1045" s="79"/>
      <c r="I1045" s="79"/>
      <c r="J1045" s="79"/>
      <c r="K1045" s="80">
        <v>1.09E-2</v>
      </c>
      <c r="L1045" s="80">
        <v>0</v>
      </c>
      <c r="M1045" s="75" t="s">
        <v>143</v>
      </c>
      <c r="N1045" s="75" t="b">
        <v>1</v>
      </c>
      <c r="O1045" s="75" t="s">
        <v>144</v>
      </c>
      <c r="P1045" s="75">
        <v>1994</v>
      </c>
      <c r="Q1045" s="75">
        <v>2020</v>
      </c>
      <c r="R1045" s="75">
        <v>1</v>
      </c>
      <c r="S1045" s="100">
        <v>210056</v>
      </c>
      <c r="T1045" s="101">
        <v>40420</v>
      </c>
      <c r="U1045" s="83"/>
    </row>
    <row r="1046" spans="1:21" s="84" customFormat="1" x14ac:dyDescent="0.3">
      <c r="A1046" s="68">
        <v>40483</v>
      </c>
      <c r="B1046" s="69">
        <f t="shared" ref="B1046:B1105" si="18">YEAR(A1046)*10000+MONTH(A1046)*100+DAY(A1046)</f>
        <v>20101101</v>
      </c>
      <c r="C1046" s="70">
        <v>3.3500000000000002E-2</v>
      </c>
      <c r="D1046" s="77">
        <v>1.0999999999999999E-2</v>
      </c>
      <c r="E1046" s="77">
        <v>1.0999999999999999E-2</v>
      </c>
      <c r="F1046" s="77">
        <v>1.0999999999999999E-2</v>
      </c>
      <c r="G1046" s="78">
        <v>0</v>
      </c>
      <c r="H1046" s="79"/>
      <c r="I1046" s="79"/>
      <c r="J1046" s="79"/>
      <c r="K1046" s="80">
        <v>1.1299999999999999E-2</v>
      </c>
      <c r="L1046" s="80">
        <v>0</v>
      </c>
      <c r="M1046" s="75" t="s">
        <v>143</v>
      </c>
      <c r="N1046" s="75" t="b">
        <v>1</v>
      </c>
      <c r="O1046" s="75" t="s">
        <v>144</v>
      </c>
      <c r="P1046" s="75">
        <v>1994</v>
      </c>
      <c r="Q1046" s="75">
        <v>2020</v>
      </c>
      <c r="R1046" s="75">
        <v>1</v>
      </c>
      <c r="S1046" s="100">
        <v>210056</v>
      </c>
      <c r="T1046" s="101">
        <v>40420</v>
      </c>
      <c r="U1046" s="83"/>
    </row>
    <row r="1047" spans="1:21" s="84" customFormat="1" x14ac:dyDescent="0.3">
      <c r="A1047" s="68">
        <v>40484</v>
      </c>
      <c r="B1047" s="69">
        <f t="shared" si="18"/>
        <v>20101102</v>
      </c>
      <c r="C1047" s="70">
        <v>3.3700000000000001E-2</v>
      </c>
      <c r="D1047" s="77">
        <v>1.0999999999999999E-2</v>
      </c>
      <c r="E1047" s="77">
        <v>1.0999999999999999E-2</v>
      </c>
      <c r="F1047" s="77">
        <v>1.0999999999999999E-2</v>
      </c>
      <c r="G1047" s="78">
        <v>0</v>
      </c>
      <c r="H1047" s="79"/>
      <c r="I1047" s="79"/>
      <c r="J1047" s="79"/>
      <c r="K1047" s="80">
        <v>1.1399999999999999E-2</v>
      </c>
      <c r="L1047" s="80">
        <v>0</v>
      </c>
      <c r="M1047" s="75" t="s">
        <v>143</v>
      </c>
      <c r="N1047" s="75" t="b">
        <v>1</v>
      </c>
      <c r="O1047" s="75" t="s">
        <v>144</v>
      </c>
      <c r="P1047" s="75">
        <v>1994</v>
      </c>
      <c r="Q1047" s="75">
        <v>2020</v>
      </c>
      <c r="R1047" s="75">
        <v>1</v>
      </c>
      <c r="S1047" s="100">
        <v>210056</v>
      </c>
      <c r="T1047" s="101">
        <v>40420</v>
      </c>
      <c r="U1047" s="83"/>
    </row>
    <row r="1048" spans="1:21" s="84" customFormat="1" x14ac:dyDescent="0.3">
      <c r="A1048" s="68">
        <v>40485</v>
      </c>
      <c r="B1048" s="69">
        <f t="shared" si="18"/>
        <v>20101103</v>
      </c>
      <c r="C1048" s="70">
        <v>3.3700000000000001E-2</v>
      </c>
      <c r="D1048" s="77">
        <v>1.0999999999999999E-2</v>
      </c>
      <c r="E1048" s="77">
        <v>1.0999999999999999E-2</v>
      </c>
      <c r="F1048" s="77">
        <v>1.0999999999999999E-2</v>
      </c>
      <c r="G1048" s="78">
        <v>0</v>
      </c>
      <c r="H1048" s="79"/>
      <c r="I1048" s="79"/>
      <c r="J1048" s="79"/>
      <c r="K1048" s="80">
        <v>1.15E-2</v>
      </c>
      <c r="L1048" s="80">
        <v>0</v>
      </c>
      <c r="M1048" s="75" t="s">
        <v>143</v>
      </c>
      <c r="N1048" s="75" t="b">
        <v>1</v>
      </c>
      <c r="O1048" s="75" t="s">
        <v>144</v>
      </c>
      <c r="P1048" s="75">
        <v>1994</v>
      </c>
      <c r="Q1048" s="75">
        <v>2020</v>
      </c>
      <c r="R1048" s="75">
        <v>1</v>
      </c>
      <c r="S1048" s="100">
        <v>210056</v>
      </c>
      <c r="T1048" s="101">
        <v>40420</v>
      </c>
      <c r="U1048" s="83"/>
    </row>
    <row r="1049" spans="1:21" s="84" customFormat="1" x14ac:dyDescent="0.3">
      <c r="A1049" s="68">
        <v>40486</v>
      </c>
      <c r="B1049" s="69">
        <f t="shared" si="18"/>
        <v>20101104</v>
      </c>
      <c r="C1049" s="70">
        <v>3.3500000000000002E-2</v>
      </c>
      <c r="D1049" s="77">
        <v>1.0999999999999999E-2</v>
      </c>
      <c r="E1049" s="77">
        <v>1.0999999999999999E-2</v>
      </c>
      <c r="F1049" s="77">
        <v>1.0999999999999999E-2</v>
      </c>
      <c r="G1049" s="78">
        <v>0</v>
      </c>
      <c r="H1049" s="79"/>
      <c r="I1049" s="79"/>
      <c r="J1049" s="79"/>
      <c r="K1049" s="80">
        <v>1.1299999999999999E-2</v>
      </c>
      <c r="L1049" s="80">
        <v>0</v>
      </c>
      <c r="M1049" s="75" t="s">
        <v>143</v>
      </c>
      <c r="N1049" s="75" t="b">
        <v>1</v>
      </c>
      <c r="O1049" s="75" t="s">
        <v>144</v>
      </c>
      <c r="P1049" s="75">
        <v>1994</v>
      </c>
      <c r="Q1049" s="75">
        <v>2020</v>
      </c>
      <c r="R1049" s="75">
        <v>1</v>
      </c>
      <c r="S1049" s="100">
        <v>210056</v>
      </c>
      <c r="T1049" s="101">
        <v>40420</v>
      </c>
      <c r="U1049" s="83"/>
    </row>
    <row r="1050" spans="1:21" s="84" customFormat="1" x14ac:dyDescent="0.3">
      <c r="A1050" s="68">
        <v>40487</v>
      </c>
      <c r="B1050" s="69">
        <f t="shared" si="18"/>
        <v>20101105</v>
      </c>
      <c r="C1050" s="70">
        <v>3.3599999999999998E-2</v>
      </c>
      <c r="D1050" s="77">
        <v>1.0999999999999999E-2</v>
      </c>
      <c r="E1050" s="77">
        <v>1.0999999999999999E-2</v>
      </c>
      <c r="F1050" s="77">
        <v>1.0999999999999999E-2</v>
      </c>
      <c r="G1050" s="78">
        <v>0</v>
      </c>
      <c r="H1050" s="79"/>
      <c r="I1050" s="79"/>
      <c r="J1050" s="79"/>
      <c r="K1050" s="80">
        <v>1.15E-2</v>
      </c>
      <c r="L1050" s="80">
        <v>0</v>
      </c>
      <c r="M1050" s="75" t="s">
        <v>143</v>
      </c>
      <c r="N1050" s="75" t="b">
        <v>1</v>
      </c>
      <c r="O1050" s="75" t="s">
        <v>144</v>
      </c>
      <c r="P1050" s="75">
        <v>1994</v>
      </c>
      <c r="Q1050" s="75">
        <v>2020</v>
      </c>
      <c r="R1050" s="75">
        <v>1</v>
      </c>
      <c r="S1050" s="100">
        <v>210056</v>
      </c>
      <c r="T1050" s="101">
        <v>40420</v>
      </c>
      <c r="U1050" s="83"/>
    </row>
    <row r="1051" spans="1:21" s="84" customFormat="1" x14ac:dyDescent="0.3">
      <c r="A1051" s="68">
        <v>40488</v>
      </c>
      <c r="B1051" s="69">
        <f t="shared" si="18"/>
        <v>20101106</v>
      </c>
      <c r="C1051" s="70">
        <v>3.3599999999999998E-2</v>
      </c>
      <c r="D1051" s="77">
        <v>1.0999999999999999E-2</v>
      </c>
      <c r="E1051" s="77">
        <v>1.0999999999999999E-2</v>
      </c>
      <c r="F1051" s="77">
        <v>1.0999999999999999E-2</v>
      </c>
      <c r="G1051" s="78">
        <v>0</v>
      </c>
      <c r="H1051" s="79"/>
      <c r="I1051" s="79"/>
      <c r="J1051" s="79"/>
      <c r="K1051" s="80">
        <v>1.15E-2</v>
      </c>
      <c r="L1051" s="80">
        <v>0</v>
      </c>
      <c r="M1051" s="75" t="s">
        <v>143</v>
      </c>
      <c r="N1051" s="75" t="b">
        <v>1</v>
      </c>
      <c r="O1051" s="75" t="s">
        <v>144</v>
      </c>
      <c r="P1051" s="75">
        <v>1994</v>
      </c>
      <c r="Q1051" s="75">
        <v>2020</v>
      </c>
      <c r="R1051" s="75">
        <v>1</v>
      </c>
      <c r="S1051" s="100">
        <v>210056</v>
      </c>
      <c r="T1051" s="101">
        <v>40420</v>
      </c>
      <c r="U1051" s="83"/>
    </row>
    <row r="1052" spans="1:21" s="84" customFormat="1" x14ac:dyDescent="0.3">
      <c r="A1052" s="68">
        <v>40489</v>
      </c>
      <c r="B1052" s="69">
        <f t="shared" si="18"/>
        <v>20101107</v>
      </c>
      <c r="C1052" s="70">
        <v>3.3599999999999998E-2</v>
      </c>
      <c r="D1052" s="77">
        <v>1.0999999999999999E-2</v>
      </c>
      <c r="E1052" s="77">
        <v>1.0999999999999999E-2</v>
      </c>
      <c r="F1052" s="77">
        <v>1.0999999999999999E-2</v>
      </c>
      <c r="G1052" s="78">
        <v>0</v>
      </c>
      <c r="H1052" s="79"/>
      <c r="I1052" s="79"/>
      <c r="J1052" s="79"/>
      <c r="K1052" s="80">
        <v>1.15E-2</v>
      </c>
      <c r="L1052" s="80">
        <v>0</v>
      </c>
      <c r="M1052" s="75" t="s">
        <v>143</v>
      </c>
      <c r="N1052" s="75" t="b">
        <v>1</v>
      </c>
      <c r="O1052" s="75" t="s">
        <v>144</v>
      </c>
      <c r="P1052" s="75">
        <v>1994</v>
      </c>
      <c r="Q1052" s="75">
        <v>2020</v>
      </c>
      <c r="R1052" s="75">
        <v>1</v>
      </c>
      <c r="S1052" s="100">
        <v>210056</v>
      </c>
      <c r="T1052" s="101">
        <v>40420</v>
      </c>
      <c r="U1052" s="83"/>
    </row>
    <row r="1053" spans="1:21" s="84" customFormat="1" x14ac:dyDescent="0.3">
      <c r="A1053" s="68">
        <v>40490</v>
      </c>
      <c r="B1053" s="69">
        <f t="shared" si="18"/>
        <v>20101108</v>
      </c>
      <c r="C1053" s="70">
        <v>3.3799999999999997E-2</v>
      </c>
      <c r="D1053" s="77">
        <v>1.0999999999999999E-2</v>
      </c>
      <c r="E1053" s="77">
        <v>1.0999999999999999E-2</v>
      </c>
      <c r="F1053" s="77">
        <v>1.0999999999999999E-2</v>
      </c>
      <c r="G1053" s="78">
        <v>0</v>
      </c>
      <c r="H1053" s="79"/>
      <c r="I1053" s="79"/>
      <c r="J1053" s="79"/>
      <c r="K1053" s="80">
        <v>1.18E-2</v>
      </c>
      <c r="L1053" s="80">
        <v>0</v>
      </c>
      <c r="M1053" s="75" t="s">
        <v>143</v>
      </c>
      <c r="N1053" s="75" t="b">
        <v>1</v>
      </c>
      <c r="O1053" s="75" t="s">
        <v>144</v>
      </c>
      <c r="P1053" s="75">
        <v>1994</v>
      </c>
      <c r="Q1053" s="75">
        <v>2020</v>
      </c>
      <c r="R1053" s="75">
        <v>1</v>
      </c>
      <c r="S1053" s="100">
        <v>210056</v>
      </c>
      <c r="T1053" s="101">
        <v>40420</v>
      </c>
      <c r="U1053" s="83"/>
    </row>
    <row r="1054" spans="1:21" s="84" customFormat="1" x14ac:dyDescent="0.3">
      <c r="A1054" s="68">
        <v>40491</v>
      </c>
      <c r="B1054" s="69">
        <f t="shared" si="18"/>
        <v>20101109</v>
      </c>
      <c r="C1054" s="70">
        <v>3.4599999999999999E-2</v>
      </c>
      <c r="D1054" s="77">
        <v>1.0999999999999999E-2</v>
      </c>
      <c r="E1054" s="77">
        <v>1.0999999999999999E-2</v>
      </c>
      <c r="F1054" s="77">
        <v>1.0999999999999999E-2</v>
      </c>
      <c r="G1054" s="78">
        <v>0</v>
      </c>
      <c r="H1054" s="79"/>
      <c r="I1054" s="79"/>
      <c r="J1054" s="79"/>
      <c r="K1054" s="80">
        <v>1.23E-2</v>
      </c>
      <c r="L1054" s="80">
        <v>0</v>
      </c>
      <c r="M1054" s="75" t="s">
        <v>143</v>
      </c>
      <c r="N1054" s="75" t="b">
        <v>1</v>
      </c>
      <c r="O1054" s="75" t="s">
        <v>144</v>
      </c>
      <c r="P1054" s="75">
        <v>1994</v>
      </c>
      <c r="Q1054" s="75">
        <v>2020</v>
      </c>
      <c r="R1054" s="75">
        <v>1</v>
      </c>
      <c r="S1054" s="100">
        <v>210056</v>
      </c>
      <c r="T1054" s="101">
        <v>40420</v>
      </c>
      <c r="U1054" s="83"/>
    </row>
    <row r="1055" spans="1:21" s="84" customFormat="1" x14ac:dyDescent="0.3">
      <c r="A1055" s="68">
        <v>40492</v>
      </c>
      <c r="B1055" s="69">
        <f t="shared" si="18"/>
        <v>20101110</v>
      </c>
      <c r="C1055" s="70">
        <v>3.4700000000000002E-2</v>
      </c>
      <c r="D1055" s="77">
        <v>1.0999999999999999E-2</v>
      </c>
      <c r="E1055" s="77">
        <v>1.0999999999999999E-2</v>
      </c>
      <c r="F1055" s="77">
        <v>1.0999999999999999E-2</v>
      </c>
      <c r="G1055" s="78">
        <v>0</v>
      </c>
      <c r="H1055" s="79"/>
      <c r="I1055" s="79"/>
      <c r="J1055" s="79"/>
      <c r="K1055" s="80">
        <v>1.2500000000000001E-2</v>
      </c>
      <c r="L1055" s="80">
        <v>0</v>
      </c>
      <c r="M1055" s="75" t="s">
        <v>143</v>
      </c>
      <c r="N1055" s="75" t="b">
        <v>1</v>
      </c>
      <c r="O1055" s="75" t="s">
        <v>144</v>
      </c>
      <c r="P1055" s="75">
        <v>1994</v>
      </c>
      <c r="Q1055" s="75">
        <v>2020</v>
      </c>
      <c r="R1055" s="75">
        <v>1</v>
      </c>
      <c r="S1055" s="100">
        <v>210056</v>
      </c>
      <c r="T1055" s="101">
        <v>40420</v>
      </c>
      <c r="U1055" s="83"/>
    </row>
    <row r="1056" spans="1:21" s="84" customFormat="1" x14ac:dyDescent="0.3">
      <c r="A1056" s="68">
        <v>40493</v>
      </c>
      <c r="B1056" s="69">
        <f t="shared" si="18"/>
        <v>20101111</v>
      </c>
      <c r="C1056" s="70">
        <v>3.4700000000000002E-2</v>
      </c>
      <c r="D1056" s="77">
        <v>1.0999999999999999E-2</v>
      </c>
      <c r="E1056" s="77">
        <v>1.0999999999999999E-2</v>
      </c>
      <c r="F1056" s="77">
        <v>1.0999999999999999E-2</v>
      </c>
      <c r="G1056" s="78">
        <v>0</v>
      </c>
      <c r="H1056" s="79"/>
      <c r="I1056" s="79"/>
      <c r="J1056" s="79"/>
      <c r="K1056" s="80">
        <v>1.2500000000000001E-2</v>
      </c>
      <c r="L1056" s="80">
        <v>0</v>
      </c>
      <c r="M1056" s="75" t="s">
        <v>143</v>
      </c>
      <c r="N1056" s="75" t="b">
        <v>1</v>
      </c>
      <c r="O1056" s="75" t="s">
        <v>144</v>
      </c>
      <c r="P1056" s="75">
        <v>1994</v>
      </c>
      <c r="Q1056" s="75">
        <v>2020</v>
      </c>
      <c r="R1056" s="75">
        <v>1</v>
      </c>
      <c r="S1056" s="100">
        <v>210056</v>
      </c>
      <c r="T1056" s="101">
        <v>40420</v>
      </c>
      <c r="U1056" s="83"/>
    </row>
    <row r="1057" spans="1:21" s="84" customFormat="1" x14ac:dyDescent="0.3">
      <c r="A1057" s="68">
        <v>40494</v>
      </c>
      <c r="B1057" s="69">
        <f t="shared" si="18"/>
        <v>20101112</v>
      </c>
      <c r="C1057" s="70">
        <v>3.5099999999999999E-2</v>
      </c>
      <c r="D1057" s="77">
        <v>1.0999999999999999E-2</v>
      </c>
      <c r="E1057" s="77">
        <v>1.0999999999999999E-2</v>
      </c>
      <c r="F1057" s="77">
        <v>1.0999999999999999E-2</v>
      </c>
      <c r="G1057" s="78">
        <v>0</v>
      </c>
      <c r="H1057" s="79"/>
      <c r="I1057" s="79"/>
      <c r="J1057" s="79"/>
      <c r="K1057" s="80">
        <v>1.3000000000000001E-2</v>
      </c>
      <c r="L1057" s="80">
        <v>0</v>
      </c>
      <c r="M1057" s="75" t="s">
        <v>143</v>
      </c>
      <c r="N1057" s="75" t="b">
        <v>1</v>
      </c>
      <c r="O1057" s="75" t="s">
        <v>144</v>
      </c>
      <c r="P1057" s="75">
        <v>1994</v>
      </c>
      <c r="Q1057" s="75">
        <v>2020</v>
      </c>
      <c r="R1057" s="75">
        <v>1</v>
      </c>
      <c r="S1057" s="100">
        <v>210056</v>
      </c>
      <c r="T1057" s="101">
        <v>40420</v>
      </c>
      <c r="U1057" s="83"/>
    </row>
    <row r="1058" spans="1:21" s="84" customFormat="1" x14ac:dyDescent="0.3">
      <c r="A1058" s="68">
        <v>40495</v>
      </c>
      <c r="B1058" s="69">
        <f t="shared" si="18"/>
        <v>20101113</v>
      </c>
      <c r="C1058" s="70">
        <v>3.5099999999999999E-2</v>
      </c>
      <c r="D1058" s="77">
        <v>1.0999999999999999E-2</v>
      </c>
      <c r="E1058" s="77">
        <v>1.0999999999999999E-2</v>
      </c>
      <c r="F1058" s="77">
        <v>1.0999999999999999E-2</v>
      </c>
      <c r="G1058" s="78">
        <v>0</v>
      </c>
      <c r="H1058" s="79"/>
      <c r="I1058" s="79"/>
      <c r="J1058" s="79"/>
      <c r="K1058" s="80">
        <v>1.3000000000000001E-2</v>
      </c>
      <c r="L1058" s="80">
        <v>0</v>
      </c>
      <c r="M1058" s="75" t="s">
        <v>143</v>
      </c>
      <c r="N1058" s="75" t="b">
        <v>1</v>
      </c>
      <c r="O1058" s="75" t="s">
        <v>144</v>
      </c>
      <c r="P1058" s="75">
        <v>1994</v>
      </c>
      <c r="Q1058" s="75">
        <v>2020</v>
      </c>
      <c r="R1058" s="75">
        <v>1</v>
      </c>
      <c r="S1058" s="100">
        <v>210056</v>
      </c>
      <c r="T1058" s="101">
        <v>40420</v>
      </c>
      <c r="U1058" s="83"/>
    </row>
    <row r="1059" spans="1:21" s="84" customFormat="1" x14ac:dyDescent="0.3">
      <c r="A1059" s="68">
        <v>40496</v>
      </c>
      <c r="B1059" s="69">
        <f t="shared" si="18"/>
        <v>20101114</v>
      </c>
      <c r="C1059" s="70">
        <v>3.5099999999999999E-2</v>
      </c>
      <c r="D1059" s="77">
        <v>1.0999999999999999E-2</v>
      </c>
      <c r="E1059" s="77">
        <v>1.0999999999999999E-2</v>
      </c>
      <c r="F1059" s="77">
        <v>1.0999999999999999E-2</v>
      </c>
      <c r="G1059" s="78">
        <v>0</v>
      </c>
      <c r="H1059" s="79"/>
      <c r="I1059" s="79"/>
      <c r="J1059" s="79"/>
      <c r="K1059" s="80">
        <v>1.3000000000000001E-2</v>
      </c>
      <c r="L1059" s="80">
        <v>0</v>
      </c>
      <c r="M1059" s="75" t="s">
        <v>143</v>
      </c>
      <c r="N1059" s="75" t="b">
        <v>1</v>
      </c>
      <c r="O1059" s="75" t="s">
        <v>144</v>
      </c>
      <c r="P1059" s="75">
        <v>1994</v>
      </c>
      <c r="Q1059" s="75">
        <v>2020</v>
      </c>
      <c r="R1059" s="75">
        <v>1</v>
      </c>
      <c r="S1059" s="100">
        <v>210056</v>
      </c>
      <c r="T1059" s="101">
        <v>40420</v>
      </c>
      <c r="U1059" s="83"/>
    </row>
    <row r="1060" spans="1:21" s="84" customFormat="1" x14ac:dyDescent="0.3">
      <c r="A1060" s="68">
        <v>40497</v>
      </c>
      <c r="B1060" s="69">
        <f t="shared" si="18"/>
        <v>20101115</v>
      </c>
      <c r="C1060" s="70">
        <v>3.61E-2</v>
      </c>
      <c r="D1060" s="77">
        <v>1.0999999999999999E-2</v>
      </c>
      <c r="E1060" s="77">
        <v>1.0999999999999999E-2</v>
      </c>
      <c r="F1060" s="77">
        <v>1.0999999999999999E-2</v>
      </c>
      <c r="G1060" s="78">
        <v>0</v>
      </c>
      <c r="H1060" s="79"/>
      <c r="I1060" s="79"/>
      <c r="J1060" s="79"/>
      <c r="K1060" s="80">
        <v>1.37E-2</v>
      </c>
      <c r="L1060" s="80">
        <v>0</v>
      </c>
      <c r="M1060" s="75" t="s">
        <v>143</v>
      </c>
      <c r="N1060" s="75" t="b">
        <v>1</v>
      </c>
      <c r="O1060" s="75" t="s">
        <v>144</v>
      </c>
      <c r="P1060" s="75">
        <v>1994</v>
      </c>
      <c r="Q1060" s="75">
        <v>2020</v>
      </c>
      <c r="R1060" s="75">
        <v>1</v>
      </c>
      <c r="S1060" s="100">
        <v>210056</v>
      </c>
      <c r="T1060" s="101">
        <v>40420</v>
      </c>
      <c r="U1060" s="83"/>
    </row>
    <row r="1061" spans="1:21" s="84" customFormat="1" x14ac:dyDescent="0.3">
      <c r="A1061" s="68">
        <v>40498</v>
      </c>
      <c r="B1061" s="69">
        <f t="shared" si="18"/>
        <v>20101116</v>
      </c>
      <c r="C1061" s="70">
        <v>3.56E-2</v>
      </c>
      <c r="D1061" s="77">
        <v>1.0999999999999999E-2</v>
      </c>
      <c r="E1061" s="77">
        <v>1.0999999999999999E-2</v>
      </c>
      <c r="F1061" s="77">
        <v>1.0999999999999999E-2</v>
      </c>
      <c r="G1061" s="78">
        <v>0</v>
      </c>
      <c r="H1061" s="79"/>
      <c r="I1061" s="79"/>
      <c r="J1061" s="79"/>
      <c r="K1061" s="80">
        <v>1.34E-2</v>
      </c>
      <c r="L1061" s="80">
        <v>0</v>
      </c>
      <c r="M1061" s="75" t="s">
        <v>143</v>
      </c>
      <c r="N1061" s="75" t="b">
        <v>1</v>
      </c>
      <c r="O1061" s="75" t="s">
        <v>144</v>
      </c>
      <c r="P1061" s="75">
        <v>1994</v>
      </c>
      <c r="Q1061" s="75">
        <v>2020</v>
      </c>
      <c r="R1061" s="75">
        <v>1</v>
      </c>
      <c r="S1061" s="100">
        <v>210056</v>
      </c>
      <c r="T1061" s="101">
        <v>40420</v>
      </c>
      <c r="U1061" s="83"/>
    </row>
    <row r="1062" spans="1:21" s="84" customFormat="1" x14ac:dyDescent="0.3">
      <c r="A1062" s="68">
        <v>40499</v>
      </c>
      <c r="B1062" s="69">
        <f t="shared" si="18"/>
        <v>20101117</v>
      </c>
      <c r="C1062" s="70">
        <v>3.5499999999999997E-2</v>
      </c>
      <c r="D1062" s="77">
        <v>1.0999999999999999E-2</v>
      </c>
      <c r="E1062" s="77">
        <v>1.0999999999999999E-2</v>
      </c>
      <c r="F1062" s="77">
        <v>1.0999999999999999E-2</v>
      </c>
      <c r="G1062" s="78">
        <v>0</v>
      </c>
      <c r="H1062" s="79"/>
      <c r="I1062" s="79"/>
      <c r="J1062" s="79"/>
      <c r="K1062" s="80">
        <v>1.32E-2</v>
      </c>
      <c r="L1062" s="80">
        <v>0</v>
      </c>
      <c r="M1062" s="75" t="s">
        <v>143</v>
      </c>
      <c r="N1062" s="75" t="b">
        <v>1</v>
      </c>
      <c r="O1062" s="75" t="s">
        <v>144</v>
      </c>
      <c r="P1062" s="75">
        <v>1994</v>
      </c>
      <c r="Q1062" s="75">
        <v>2020</v>
      </c>
      <c r="R1062" s="75">
        <v>1</v>
      </c>
      <c r="S1062" s="100">
        <v>210056</v>
      </c>
      <c r="T1062" s="101">
        <v>40420</v>
      </c>
      <c r="U1062" s="83"/>
    </row>
    <row r="1063" spans="1:21" s="84" customFormat="1" x14ac:dyDescent="0.3">
      <c r="A1063" s="68">
        <v>40500</v>
      </c>
      <c r="B1063" s="69">
        <f t="shared" si="18"/>
        <v>20101118</v>
      </c>
      <c r="C1063" s="70">
        <v>3.5499999999999997E-2</v>
      </c>
      <c r="D1063" s="77">
        <v>1.0999999999999999E-2</v>
      </c>
      <c r="E1063" s="77">
        <v>1.0999999999999999E-2</v>
      </c>
      <c r="F1063" s="77">
        <v>1.0999999999999999E-2</v>
      </c>
      <c r="G1063" s="78">
        <v>0</v>
      </c>
      <c r="H1063" s="79"/>
      <c r="I1063" s="79"/>
      <c r="J1063" s="79"/>
      <c r="K1063" s="80">
        <v>1.29E-2</v>
      </c>
      <c r="L1063" s="80">
        <v>0</v>
      </c>
      <c r="M1063" s="75" t="s">
        <v>143</v>
      </c>
      <c r="N1063" s="75" t="b">
        <v>1</v>
      </c>
      <c r="O1063" s="75" t="s">
        <v>144</v>
      </c>
      <c r="P1063" s="75">
        <v>1994</v>
      </c>
      <c r="Q1063" s="75">
        <v>2020</v>
      </c>
      <c r="R1063" s="75">
        <v>1</v>
      </c>
      <c r="S1063" s="100">
        <v>210056</v>
      </c>
      <c r="T1063" s="101">
        <v>40420</v>
      </c>
      <c r="U1063" s="83"/>
    </row>
    <row r="1064" spans="1:21" s="84" customFormat="1" x14ac:dyDescent="0.3">
      <c r="A1064" s="68">
        <v>40501</v>
      </c>
      <c r="B1064" s="69">
        <f t="shared" si="18"/>
        <v>20101119</v>
      </c>
      <c r="C1064" s="70">
        <v>3.56E-2</v>
      </c>
      <c r="D1064" s="77">
        <v>1.0999999999999999E-2</v>
      </c>
      <c r="E1064" s="77">
        <v>1.0999999999999999E-2</v>
      </c>
      <c r="F1064" s="77">
        <v>1.0999999999999999E-2</v>
      </c>
      <c r="G1064" s="78">
        <v>0</v>
      </c>
      <c r="H1064" s="79"/>
      <c r="I1064" s="79"/>
      <c r="J1064" s="79"/>
      <c r="K1064" s="80">
        <v>1.3100000000000001E-2</v>
      </c>
      <c r="L1064" s="80">
        <v>0</v>
      </c>
      <c r="M1064" s="75" t="s">
        <v>143</v>
      </c>
      <c r="N1064" s="75" t="b">
        <v>1</v>
      </c>
      <c r="O1064" s="75" t="s">
        <v>144</v>
      </c>
      <c r="P1064" s="75">
        <v>1994</v>
      </c>
      <c r="Q1064" s="75">
        <v>2020</v>
      </c>
      <c r="R1064" s="75">
        <v>1</v>
      </c>
      <c r="S1064" s="100">
        <v>210056</v>
      </c>
      <c r="T1064" s="101">
        <v>40420</v>
      </c>
      <c r="U1064" s="83"/>
    </row>
    <row r="1065" spans="1:21" s="84" customFormat="1" x14ac:dyDescent="0.3">
      <c r="A1065" s="68">
        <v>40502</v>
      </c>
      <c r="B1065" s="69">
        <f t="shared" si="18"/>
        <v>20101120</v>
      </c>
      <c r="C1065" s="70">
        <v>3.56E-2</v>
      </c>
      <c r="D1065" s="77">
        <v>1.0999999999999999E-2</v>
      </c>
      <c r="E1065" s="77">
        <v>1.0999999999999999E-2</v>
      </c>
      <c r="F1065" s="77">
        <v>1.0999999999999999E-2</v>
      </c>
      <c r="G1065" s="78">
        <v>0</v>
      </c>
      <c r="H1065" s="79"/>
      <c r="I1065" s="79"/>
      <c r="J1065" s="79"/>
      <c r="K1065" s="80">
        <v>1.3100000000000001E-2</v>
      </c>
      <c r="L1065" s="80">
        <v>0</v>
      </c>
      <c r="M1065" s="75" t="s">
        <v>143</v>
      </c>
      <c r="N1065" s="75" t="b">
        <v>1</v>
      </c>
      <c r="O1065" s="75" t="s">
        <v>144</v>
      </c>
      <c r="P1065" s="75">
        <v>1994</v>
      </c>
      <c r="Q1065" s="75">
        <v>2020</v>
      </c>
      <c r="R1065" s="75">
        <v>1</v>
      </c>
      <c r="S1065" s="100">
        <v>210056</v>
      </c>
      <c r="T1065" s="101">
        <v>40420</v>
      </c>
      <c r="U1065" s="83"/>
    </row>
    <row r="1066" spans="1:21" s="84" customFormat="1" x14ac:dyDescent="0.3">
      <c r="A1066" s="68">
        <v>40503</v>
      </c>
      <c r="B1066" s="69">
        <f t="shared" si="18"/>
        <v>20101121</v>
      </c>
      <c r="C1066" s="70">
        <v>3.56E-2</v>
      </c>
      <c r="D1066" s="77">
        <v>1.0999999999999999E-2</v>
      </c>
      <c r="E1066" s="77">
        <v>1.0999999999999999E-2</v>
      </c>
      <c r="F1066" s="77">
        <v>1.0999999999999999E-2</v>
      </c>
      <c r="G1066" s="78">
        <v>0</v>
      </c>
      <c r="H1066" s="79"/>
      <c r="I1066" s="79"/>
      <c r="J1066" s="79"/>
      <c r="K1066" s="80">
        <v>1.3100000000000001E-2</v>
      </c>
      <c r="L1066" s="80">
        <v>0</v>
      </c>
      <c r="M1066" s="75" t="s">
        <v>143</v>
      </c>
      <c r="N1066" s="75" t="b">
        <v>1</v>
      </c>
      <c r="O1066" s="75" t="s">
        <v>144</v>
      </c>
      <c r="P1066" s="75">
        <v>1994</v>
      </c>
      <c r="Q1066" s="75">
        <v>2020</v>
      </c>
      <c r="R1066" s="75">
        <v>1</v>
      </c>
      <c r="S1066" s="100">
        <v>210056</v>
      </c>
      <c r="T1066" s="101">
        <v>40420</v>
      </c>
      <c r="U1066" s="83"/>
    </row>
    <row r="1067" spans="1:21" s="84" customFormat="1" x14ac:dyDescent="0.3">
      <c r="A1067" s="68">
        <v>40504</v>
      </c>
      <c r="B1067" s="69">
        <f t="shared" si="18"/>
        <v>20101122</v>
      </c>
      <c r="C1067" s="70">
        <v>3.5200000000000002E-2</v>
      </c>
      <c r="D1067" s="77">
        <v>1.0999999999999999E-2</v>
      </c>
      <c r="E1067" s="77">
        <v>1.0999999999999999E-2</v>
      </c>
      <c r="F1067" s="77">
        <v>1.0999999999999999E-2</v>
      </c>
      <c r="G1067" s="78">
        <v>0</v>
      </c>
      <c r="H1067" s="79"/>
      <c r="I1067" s="79"/>
      <c r="J1067" s="79"/>
      <c r="K1067" s="80">
        <v>1.2699999999999999E-2</v>
      </c>
      <c r="L1067" s="80">
        <v>0</v>
      </c>
      <c r="M1067" s="75" t="s">
        <v>143</v>
      </c>
      <c r="N1067" s="75" t="b">
        <v>1</v>
      </c>
      <c r="O1067" s="75" t="s">
        <v>144</v>
      </c>
      <c r="P1067" s="75">
        <v>1994</v>
      </c>
      <c r="Q1067" s="75">
        <v>2020</v>
      </c>
      <c r="R1067" s="75">
        <v>1</v>
      </c>
      <c r="S1067" s="100">
        <v>210056</v>
      </c>
      <c r="T1067" s="101">
        <v>40420</v>
      </c>
      <c r="U1067" s="83"/>
    </row>
    <row r="1068" spans="1:21" s="84" customFormat="1" x14ac:dyDescent="0.3">
      <c r="A1068" s="68">
        <v>40505</v>
      </c>
      <c r="B1068" s="69">
        <f t="shared" si="18"/>
        <v>20101123</v>
      </c>
      <c r="C1068" s="70">
        <v>3.5400000000000001E-2</v>
      </c>
      <c r="D1068" s="77">
        <v>1.0999999999999999E-2</v>
      </c>
      <c r="E1068" s="77">
        <v>1.0999999999999999E-2</v>
      </c>
      <c r="F1068" s="77">
        <v>1.0999999999999999E-2</v>
      </c>
      <c r="G1068" s="78">
        <v>0</v>
      </c>
      <c r="H1068" s="79"/>
      <c r="I1068" s="79"/>
      <c r="J1068" s="79"/>
      <c r="K1068" s="80">
        <v>1.2500000000000001E-2</v>
      </c>
      <c r="L1068" s="80">
        <v>0</v>
      </c>
      <c r="M1068" s="75" t="s">
        <v>143</v>
      </c>
      <c r="N1068" s="75" t="b">
        <v>1</v>
      </c>
      <c r="O1068" s="75" t="s">
        <v>144</v>
      </c>
      <c r="P1068" s="75">
        <v>1994</v>
      </c>
      <c r="Q1068" s="75">
        <v>2020</v>
      </c>
      <c r="R1068" s="75">
        <v>1</v>
      </c>
      <c r="S1068" s="100">
        <v>210056</v>
      </c>
      <c r="T1068" s="101">
        <v>40420</v>
      </c>
      <c r="U1068" s="83"/>
    </row>
    <row r="1069" spans="1:21" s="84" customFormat="1" x14ac:dyDescent="0.3">
      <c r="A1069" s="68">
        <v>40506</v>
      </c>
      <c r="B1069" s="69">
        <f t="shared" si="18"/>
        <v>20101124</v>
      </c>
      <c r="C1069" s="70">
        <v>3.6000000000000004E-2</v>
      </c>
      <c r="D1069" s="77">
        <v>1.0999999999999999E-2</v>
      </c>
      <c r="E1069" s="77">
        <v>1.0999999999999999E-2</v>
      </c>
      <c r="F1069" s="77">
        <v>1.0999999999999999E-2</v>
      </c>
      <c r="G1069" s="78">
        <v>0</v>
      </c>
      <c r="H1069" s="79"/>
      <c r="I1069" s="79"/>
      <c r="J1069" s="79"/>
      <c r="K1069" s="80">
        <v>1.3000000000000001E-2</v>
      </c>
      <c r="L1069" s="80">
        <v>0</v>
      </c>
      <c r="M1069" s="75" t="s">
        <v>143</v>
      </c>
      <c r="N1069" s="75" t="b">
        <v>1</v>
      </c>
      <c r="O1069" s="75" t="s">
        <v>144</v>
      </c>
      <c r="P1069" s="75">
        <v>1994</v>
      </c>
      <c r="Q1069" s="75">
        <v>2020</v>
      </c>
      <c r="R1069" s="75">
        <v>1</v>
      </c>
      <c r="S1069" s="100">
        <v>210056</v>
      </c>
      <c r="T1069" s="101">
        <v>40420</v>
      </c>
      <c r="U1069" s="83"/>
    </row>
    <row r="1070" spans="1:21" s="84" customFormat="1" x14ac:dyDescent="0.3">
      <c r="A1070" s="68">
        <v>40507</v>
      </c>
      <c r="B1070" s="69">
        <f t="shared" si="18"/>
        <v>20101125</v>
      </c>
      <c r="C1070" s="70">
        <v>3.5799999999999998E-2</v>
      </c>
      <c r="D1070" s="77">
        <v>1.0999999999999999E-2</v>
      </c>
      <c r="E1070" s="77">
        <v>1.0999999999999999E-2</v>
      </c>
      <c r="F1070" s="77">
        <v>1.0999999999999999E-2</v>
      </c>
      <c r="G1070" s="78">
        <v>0</v>
      </c>
      <c r="H1070" s="79"/>
      <c r="I1070" s="79"/>
      <c r="J1070" s="79"/>
      <c r="K1070" s="80">
        <v>1.2699999999999999E-2</v>
      </c>
      <c r="L1070" s="80">
        <v>0</v>
      </c>
      <c r="M1070" s="75" t="s">
        <v>143</v>
      </c>
      <c r="N1070" s="75" t="b">
        <v>1</v>
      </c>
      <c r="O1070" s="75" t="s">
        <v>144</v>
      </c>
      <c r="P1070" s="75">
        <v>1994</v>
      </c>
      <c r="Q1070" s="75">
        <v>2020</v>
      </c>
      <c r="R1070" s="75">
        <v>1</v>
      </c>
      <c r="S1070" s="100">
        <v>210056</v>
      </c>
      <c r="T1070" s="101">
        <v>40420</v>
      </c>
      <c r="U1070" s="83"/>
    </row>
    <row r="1071" spans="1:21" s="84" customFormat="1" x14ac:dyDescent="0.3">
      <c r="A1071" s="68">
        <v>40508</v>
      </c>
      <c r="B1071" s="69">
        <f t="shared" si="18"/>
        <v>20101126</v>
      </c>
      <c r="C1071" s="70">
        <v>3.5200000000000002E-2</v>
      </c>
      <c r="D1071" s="77">
        <v>1.0999999999999999E-2</v>
      </c>
      <c r="E1071" s="77">
        <v>1.0999999999999999E-2</v>
      </c>
      <c r="F1071" s="77">
        <v>1.0999999999999999E-2</v>
      </c>
      <c r="G1071" s="78">
        <v>0</v>
      </c>
      <c r="H1071" s="79"/>
      <c r="I1071" s="79"/>
      <c r="J1071" s="79"/>
      <c r="K1071" s="80">
        <v>1.2E-2</v>
      </c>
      <c r="L1071" s="80">
        <v>0</v>
      </c>
      <c r="M1071" s="75" t="s">
        <v>143</v>
      </c>
      <c r="N1071" s="75" t="b">
        <v>1</v>
      </c>
      <c r="O1071" s="75" t="s">
        <v>144</v>
      </c>
      <c r="P1071" s="75">
        <v>1994</v>
      </c>
      <c r="Q1071" s="75">
        <v>2020</v>
      </c>
      <c r="R1071" s="75">
        <v>1</v>
      </c>
      <c r="S1071" s="100">
        <v>210056</v>
      </c>
      <c r="T1071" s="101">
        <v>40420</v>
      </c>
      <c r="U1071" s="83"/>
    </row>
    <row r="1072" spans="1:21" s="84" customFormat="1" x14ac:dyDescent="0.3">
      <c r="A1072" s="68">
        <v>40509</v>
      </c>
      <c r="B1072" s="69">
        <f t="shared" si="18"/>
        <v>20101127</v>
      </c>
      <c r="C1072" s="70">
        <v>3.5200000000000002E-2</v>
      </c>
      <c r="D1072" s="77">
        <v>1.0999999999999999E-2</v>
      </c>
      <c r="E1072" s="77">
        <v>1.0999999999999999E-2</v>
      </c>
      <c r="F1072" s="77">
        <v>1.0999999999999999E-2</v>
      </c>
      <c r="G1072" s="78">
        <v>0</v>
      </c>
      <c r="H1072" s="79"/>
      <c r="I1072" s="79"/>
      <c r="J1072" s="79"/>
      <c r="K1072" s="80">
        <v>1.2E-2</v>
      </c>
      <c r="L1072" s="80">
        <v>0</v>
      </c>
      <c r="M1072" s="75" t="s">
        <v>143</v>
      </c>
      <c r="N1072" s="75" t="b">
        <v>1</v>
      </c>
      <c r="O1072" s="75" t="s">
        <v>144</v>
      </c>
      <c r="P1072" s="75">
        <v>1994</v>
      </c>
      <c r="Q1072" s="75">
        <v>2020</v>
      </c>
      <c r="R1072" s="75">
        <v>1</v>
      </c>
      <c r="S1072" s="100">
        <v>210056</v>
      </c>
      <c r="T1072" s="101">
        <v>40420</v>
      </c>
      <c r="U1072" s="83"/>
    </row>
    <row r="1073" spans="1:21" s="84" customFormat="1" x14ac:dyDescent="0.3">
      <c r="A1073" s="68">
        <v>40510</v>
      </c>
      <c r="B1073" s="69">
        <f t="shared" si="18"/>
        <v>20101128</v>
      </c>
      <c r="C1073" s="70">
        <v>3.5200000000000002E-2</v>
      </c>
      <c r="D1073" s="77">
        <v>1.0999999999999999E-2</v>
      </c>
      <c r="E1073" s="77">
        <v>1.0999999999999999E-2</v>
      </c>
      <c r="F1073" s="77">
        <v>1.0999999999999999E-2</v>
      </c>
      <c r="G1073" s="78">
        <v>0</v>
      </c>
      <c r="H1073" s="79"/>
      <c r="I1073" s="79"/>
      <c r="J1073" s="79"/>
      <c r="K1073" s="80">
        <v>1.2E-2</v>
      </c>
      <c r="L1073" s="80">
        <v>0</v>
      </c>
      <c r="M1073" s="75" t="s">
        <v>143</v>
      </c>
      <c r="N1073" s="75" t="b">
        <v>1</v>
      </c>
      <c r="O1073" s="75" t="s">
        <v>144</v>
      </c>
      <c r="P1073" s="75">
        <v>1994</v>
      </c>
      <c r="Q1073" s="75">
        <v>2020</v>
      </c>
      <c r="R1073" s="75">
        <v>1</v>
      </c>
      <c r="S1073" s="100">
        <v>210056</v>
      </c>
      <c r="T1073" s="101">
        <v>40420</v>
      </c>
      <c r="U1073" s="83"/>
    </row>
    <row r="1074" spans="1:21" s="84" customFormat="1" x14ac:dyDescent="0.3">
      <c r="A1074" s="68">
        <v>40511</v>
      </c>
      <c r="B1074" s="69">
        <f t="shared" si="18"/>
        <v>20101129</v>
      </c>
      <c r="C1074" s="70">
        <v>3.4799999999999998E-2</v>
      </c>
      <c r="D1074" s="77">
        <v>1.0999999999999999E-2</v>
      </c>
      <c r="E1074" s="77">
        <v>1.0999999999999999E-2</v>
      </c>
      <c r="F1074" s="77">
        <v>1.0999999999999999E-2</v>
      </c>
      <c r="G1074" s="78">
        <v>0</v>
      </c>
      <c r="H1074" s="79"/>
      <c r="I1074" s="79"/>
      <c r="J1074" s="79"/>
      <c r="K1074" s="80">
        <v>1.15E-2</v>
      </c>
      <c r="L1074" s="80">
        <v>0</v>
      </c>
      <c r="M1074" s="75" t="s">
        <v>143</v>
      </c>
      <c r="N1074" s="75" t="b">
        <v>1</v>
      </c>
      <c r="O1074" s="75" t="s">
        <v>144</v>
      </c>
      <c r="P1074" s="75">
        <v>1994</v>
      </c>
      <c r="Q1074" s="75">
        <v>2020</v>
      </c>
      <c r="R1074" s="75">
        <v>1</v>
      </c>
      <c r="S1074" s="100">
        <v>210056</v>
      </c>
      <c r="T1074" s="101">
        <v>40420</v>
      </c>
      <c r="U1074" s="83"/>
    </row>
    <row r="1075" spans="1:21" s="84" customFormat="1" x14ac:dyDescent="0.3">
      <c r="A1075" s="68">
        <v>40512</v>
      </c>
      <c r="B1075" s="69">
        <f t="shared" si="18"/>
        <v>20101130</v>
      </c>
      <c r="C1075" s="70">
        <v>3.4500000000000003E-2</v>
      </c>
      <c r="D1075" s="77">
        <v>1.0999999999999999E-2</v>
      </c>
      <c r="E1075" s="77">
        <v>1.0999999999999999E-2</v>
      </c>
      <c r="F1075" s="77">
        <v>1.0999999999999999E-2</v>
      </c>
      <c r="G1075" s="78">
        <v>0</v>
      </c>
      <c r="H1075" s="79"/>
      <c r="I1075" s="79"/>
      <c r="J1075" s="79"/>
      <c r="K1075" s="80">
        <v>1.1200000000000002E-2</v>
      </c>
      <c r="L1075" s="80">
        <v>0</v>
      </c>
      <c r="M1075" s="75" t="s">
        <v>143</v>
      </c>
      <c r="N1075" s="75" t="b">
        <v>1</v>
      </c>
      <c r="O1075" s="75" t="s">
        <v>144</v>
      </c>
      <c r="P1075" s="75">
        <v>1994</v>
      </c>
      <c r="Q1075" s="75">
        <v>2020</v>
      </c>
      <c r="R1075" s="75">
        <v>1</v>
      </c>
      <c r="S1075" s="100">
        <v>210056</v>
      </c>
      <c r="T1075" s="101">
        <v>40420</v>
      </c>
      <c r="U1075" s="83"/>
    </row>
    <row r="1076" spans="1:21" s="84" customFormat="1" x14ac:dyDescent="0.3">
      <c r="A1076" s="68">
        <v>40513</v>
      </c>
      <c r="B1076" s="69">
        <f t="shared" si="18"/>
        <v>20101201</v>
      </c>
      <c r="C1076" s="70">
        <v>3.5400000000000001E-2</v>
      </c>
      <c r="D1076" s="77">
        <v>1.0999999999999999E-2</v>
      </c>
      <c r="E1076" s="77">
        <v>1.0999999999999999E-2</v>
      </c>
      <c r="F1076" s="77">
        <v>1.0999999999999999E-2</v>
      </c>
      <c r="G1076" s="78">
        <v>0</v>
      </c>
      <c r="H1076" s="79"/>
      <c r="I1076" s="79"/>
      <c r="J1076" s="79"/>
      <c r="K1076" s="80">
        <v>1.1699999999999999E-2</v>
      </c>
      <c r="L1076" s="80">
        <v>0</v>
      </c>
      <c r="M1076" s="75" t="s">
        <v>143</v>
      </c>
      <c r="N1076" s="75" t="b">
        <v>1</v>
      </c>
      <c r="O1076" s="75" t="s">
        <v>144</v>
      </c>
      <c r="P1076" s="75">
        <v>1994</v>
      </c>
      <c r="Q1076" s="75">
        <v>2020</v>
      </c>
      <c r="R1076" s="75">
        <v>1</v>
      </c>
      <c r="S1076" s="100">
        <v>210056</v>
      </c>
      <c r="T1076" s="101">
        <v>40420</v>
      </c>
      <c r="U1076" s="83"/>
    </row>
    <row r="1077" spans="1:21" s="84" customFormat="1" x14ac:dyDescent="0.3">
      <c r="A1077" s="68">
        <v>40514</v>
      </c>
      <c r="B1077" s="69">
        <f t="shared" si="18"/>
        <v>20101202</v>
      </c>
      <c r="C1077" s="70">
        <v>3.5699999999999996E-2</v>
      </c>
      <c r="D1077" s="77">
        <v>1.0999999999999999E-2</v>
      </c>
      <c r="E1077" s="77">
        <v>1.0999999999999999E-2</v>
      </c>
      <c r="F1077" s="77">
        <v>1.0999999999999999E-2</v>
      </c>
      <c r="G1077" s="78">
        <v>0</v>
      </c>
      <c r="H1077" s="79"/>
      <c r="I1077" s="79"/>
      <c r="J1077" s="79"/>
      <c r="K1077" s="80">
        <v>1.1899999999999999E-2</v>
      </c>
      <c r="L1077" s="80">
        <v>0</v>
      </c>
      <c r="M1077" s="75" t="s">
        <v>143</v>
      </c>
      <c r="N1077" s="75" t="b">
        <v>1</v>
      </c>
      <c r="O1077" s="75" t="s">
        <v>144</v>
      </c>
      <c r="P1077" s="75">
        <v>1994</v>
      </c>
      <c r="Q1077" s="75">
        <v>2020</v>
      </c>
      <c r="R1077" s="75">
        <v>1</v>
      </c>
      <c r="S1077" s="100">
        <v>210056</v>
      </c>
      <c r="T1077" s="101">
        <v>40420</v>
      </c>
      <c r="U1077" s="83"/>
    </row>
    <row r="1078" spans="1:21" s="84" customFormat="1" x14ac:dyDescent="0.3">
      <c r="A1078" s="68">
        <v>40515</v>
      </c>
      <c r="B1078" s="69">
        <f t="shared" si="18"/>
        <v>20101203</v>
      </c>
      <c r="C1078" s="70">
        <v>3.5900000000000001E-2</v>
      </c>
      <c r="D1078" s="77">
        <v>1.0999999999999999E-2</v>
      </c>
      <c r="E1078" s="77">
        <v>1.0999999999999999E-2</v>
      </c>
      <c r="F1078" s="77">
        <v>1.0999999999999999E-2</v>
      </c>
      <c r="G1078" s="78">
        <v>0</v>
      </c>
      <c r="H1078" s="79"/>
      <c r="I1078" s="79"/>
      <c r="J1078" s="79"/>
      <c r="K1078" s="80">
        <v>1.24E-2</v>
      </c>
      <c r="L1078" s="80">
        <v>0</v>
      </c>
      <c r="M1078" s="75" t="s">
        <v>143</v>
      </c>
      <c r="N1078" s="75" t="b">
        <v>1</v>
      </c>
      <c r="O1078" s="75" t="s">
        <v>144</v>
      </c>
      <c r="P1078" s="75">
        <v>1994</v>
      </c>
      <c r="Q1078" s="75">
        <v>2020</v>
      </c>
      <c r="R1078" s="75">
        <v>1</v>
      </c>
      <c r="S1078" s="100">
        <v>210056</v>
      </c>
      <c r="T1078" s="101">
        <v>40420</v>
      </c>
      <c r="U1078" s="83"/>
    </row>
    <row r="1079" spans="1:21" s="84" customFormat="1" x14ac:dyDescent="0.3">
      <c r="A1079" s="68">
        <v>40516</v>
      </c>
      <c r="B1079" s="69">
        <f>YEAR(A1079)*10000+MONTH(A1079)*100+DAY(A1079)</f>
        <v>20101204</v>
      </c>
      <c r="C1079" s="70">
        <v>3.5900000000000001E-2</v>
      </c>
      <c r="D1079" s="77">
        <v>1.0999999999999999E-2</v>
      </c>
      <c r="E1079" s="77">
        <v>1.0999999999999999E-2</v>
      </c>
      <c r="F1079" s="77">
        <v>1.0999999999999999E-2</v>
      </c>
      <c r="G1079" s="78">
        <v>0</v>
      </c>
      <c r="H1079" s="79"/>
      <c r="I1079" s="79"/>
      <c r="J1079" s="79"/>
      <c r="K1079" s="80">
        <v>1.24E-2</v>
      </c>
      <c r="L1079" s="80">
        <v>0</v>
      </c>
      <c r="M1079" s="75" t="s">
        <v>143</v>
      </c>
      <c r="N1079" s="75" t="b">
        <v>1</v>
      </c>
      <c r="O1079" s="75" t="s">
        <v>144</v>
      </c>
      <c r="P1079" s="75">
        <v>1994</v>
      </c>
      <c r="Q1079" s="75">
        <v>2020</v>
      </c>
      <c r="R1079" s="75">
        <v>1</v>
      </c>
      <c r="S1079" s="100">
        <v>210056</v>
      </c>
      <c r="T1079" s="101">
        <v>40420</v>
      </c>
      <c r="U1079" s="83"/>
    </row>
    <row r="1080" spans="1:21" s="84" customFormat="1" x14ac:dyDescent="0.3">
      <c r="A1080" s="68">
        <v>40517</v>
      </c>
      <c r="B1080" s="69">
        <f>YEAR(A1080)*10000+MONTH(A1080)*100+DAY(A1080)</f>
        <v>20101205</v>
      </c>
      <c r="C1080" s="70">
        <v>3.5900000000000001E-2</v>
      </c>
      <c r="D1080" s="77">
        <v>1.0999999999999999E-2</v>
      </c>
      <c r="E1080" s="77">
        <v>1.0999999999999999E-2</v>
      </c>
      <c r="F1080" s="77">
        <v>1.0999999999999999E-2</v>
      </c>
      <c r="G1080" s="78">
        <v>0</v>
      </c>
      <c r="H1080" s="79"/>
      <c r="I1080" s="79"/>
      <c r="J1080" s="79"/>
      <c r="K1080" s="80">
        <v>1.24E-2</v>
      </c>
      <c r="L1080" s="80">
        <v>0</v>
      </c>
      <c r="M1080" s="75" t="s">
        <v>143</v>
      </c>
      <c r="N1080" s="75" t="b">
        <v>1</v>
      </c>
      <c r="O1080" s="75" t="s">
        <v>144</v>
      </c>
      <c r="P1080" s="75">
        <v>1994</v>
      </c>
      <c r="Q1080" s="75">
        <v>2020</v>
      </c>
      <c r="R1080" s="75">
        <v>1</v>
      </c>
      <c r="S1080" s="100">
        <v>210056</v>
      </c>
      <c r="T1080" s="101">
        <v>40420</v>
      </c>
      <c r="U1080" s="83"/>
    </row>
    <row r="1081" spans="1:21" s="84" customFormat="1" x14ac:dyDescent="0.3">
      <c r="A1081" s="68">
        <v>40518</v>
      </c>
      <c r="B1081" s="69">
        <f t="shared" si="18"/>
        <v>20101206</v>
      </c>
      <c r="C1081" s="70">
        <v>3.5499999999999997E-2</v>
      </c>
      <c r="D1081" s="77">
        <v>1.0999999999999999E-2</v>
      </c>
      <c r="E1081" s="77">
        <v>1.0999999999999999E-2</v>
      </c>
      <c r="F1081" s="77">
        <v>1.0999999999999999E-2</v>
      </c>
      <c r="G1081" s="78">
        <v>0</v>
      </c>
      <c r="H1081" s="79"/>
      <c r="I1081" s="79"/>
      <c r="J1081" s="79"/>
      <c r="K1081" s="80">
        <v>1.21E-2</v>
      </c>
      <c r="L1081" s="80">
        <v>0</v>
      </c>
      <c r="M1081" s="75" t="s">
        <v>143</v>
      </c>
      <c r="N1081" s="75" t="b">
        <v>1</v>
      </c>
      <c r="O1081" s="75" t="s">
        <v>144</v>
      </c>
      <c r="P1081" s="75">
        <v>1994</v>
      </c>
      <c r="Q1081" s="75">
        <v>2020</v>
      </c>
      <c r="R1081" s="75">
        <v>1</v>
      </c>
      <c r="S1081" s="100">
        <v>210056</v>
      </c>
      <c r="T1081" s="101">
        <v>40420</v>
      </c>
      <c r="U1081" s="83"/>
    </row>
    <row r="1082" spans="1:21" s="84" customFormat="1" x14ac:dyDescent="0.3">
      <c r="A1082" s="68">
        <v>40519</v>
      </c>
      <c r="B1082" s="69">
        <f t="shared" si="18"/>
        <v>20101207</v>
      </c>
      <c r="C1082" s="70">
        <v>3.6400000000000002E-2</v>
      </c>
      <c r="D1082" s="77">
        <v>1.0999999999999999E-2</v>
      </c>
      <c r="E1082" s="77">
        <v>1.0999999999999999E-2</v>
      </c>
      <c r="F1082" s="77">
        <v>1.0999999999999999E-2</v>
      </c>
      <c r="G1082" s="78">
        <v>0</v>
      </c>
      <c r="H1082" s="79"/>
      <c r="I1082" s="79"/>
      <c r="J1082" s="79"/>
      <c r="K1082" s="80">
        <v>1.2699999999999999E-2</v>
      </c>
      <c r="L1082" s="80">
        <v>0</v>
      </c>
      <c r="M1082" s="75" t="s">
        <v>143</v>
      </c>
      <c r="N1082" s="75" t="b">
        <v>1</v>
      </c>
      <c r="O1082" s="75" t="s">
        <v>144</v>
      </c>
      <c r="P1082" s="75">
        <v>1994</v>
      </c>
      <c r="Q1082" s="75">
        <v>2020</v>
      </c>
      <c r="R1082" s="75">
        <v>1</v>
      </c>
      <c r="S1082" s="100">
        <v>210056</v>
      </c>
      <c r="T1082" s="101">
        <v>40420</v>
      </c>
      <c r="U1082" s="83"/>
    </row>
    <row r="1083" spans="1:21" s="84" customFormat="1" x14ac:dyDescent="0.3">
      <c r="A1083" s="68">
        <v>40520</v>
      </c>
      <c r="B1083" s="69">
        <f t="shared" si="18"/>
        <v>20101208</v>
      </c>
      <c r="C1083" s="70">
        <v>3.6400000000000002E-2</v>
      </c>
      <c r="D1083" s="77">
        <v>1.0999999999999999E-2</v>
      </c>
      <c r="E1083" s="77">
        <v>1.0999999999999999E-2</v>
      </c>
      <c r="F1083" s="77">
        <v>1.0999999999999999E-2</v>
      </c>
      <c r="G1083" s="78">
        <v>0</v>
      </c>
      <c r="H1083" s="79"/>
      <c r="I1083" s="79"/>
      <c r="J1083" s="79"/>
      <c r="K1083" s="80">
        <v>1.2800000000000001E-2</v>
      </c>
      <c r="L1083" s="80">
        <v>0</v>
      </c>
      <c r="M1083" s="75" t="s">
        <v>143</v>
      </c>
      <c r="N1083" s="75" t="b">
        <v>1</v>
      </c>
      <c r="O1083" s="75" t="s">
        <v>144</v>
      </c>
      <c r="P1083" s="75">
        <v>1994</v>
      </c>
      <c r="Q1083" s="75">
        <v>2020</v>
      </c>
      <c r="R1083" s="75">
        <v>1</v>
      </c>
      <c r="S1083" s="100">
        <v>210056</v>
      </c>
      <c r="T1083" s="101">
        <v>40420</v>
      </c>
      <c r="U1083" s="83"/>
    </row>
    <row r="1084" spans="1:21" s="84" customFormat="1" x14ac:dyDescent="0.3">
      <c r="A1084" s="68">
        <v>40521</v>
      </c>
      <c r="B1084" s="69">
        <f t="shared" si="18"/>
        <v>20101209</v>
      </c>
      <c r="C1084" s="70">
        <v>3.6400000000000002E-2</v>
      </c>
      <c r="D1084" s="77">
        <v>1.0999999999999999E-2</v>
      </c>
      <c r="E1084" s="77">
        <v>1.0999999999999999E-2</v>
      </c>
      <c r="F1084" s="77">
        <v>1.0999999999999999E-2</v>
      </c>
      <c r="G1084" s="78">
        <v>0</v>
      </c>
      <c r="H1084" s="79"/>
      <c r="I1084" s="79"/>
      <c r="J1084" s="79"/>
      <c r="K1084" s="80">
        <v>1.3100000000000001E-2</v>
      </c>
      <c r="L1084" s="80">
        <v>0</v>
      </c>
      <c r="M1084" s="75" t="s">
        <v>143</v>
      </c>
      <c r="N1084" s="75" t="b">
        <v>1</v>
      </c>
      <c r="O1084" s="75" t="s">
        <v>144</v>
      </c>
      <c r="P1084" s="75">
        <v>1994</v>
      </c>
      <c r="Q1084" s="75">
        <v>2020</v>
      </c>
      <c r="R1084" s="75">
        <v>1</v>
      </c>
      <c r="S1084" s="100">
        <v>210056</v>
      </c>
      <c r="T1084" s="101">
        <v>40420</v>
      </c>
      <c r="U1084" s="83"/>
    </row>
    <row r="1085" spans="1:21" s="84" customFormat="1" x14ac:dyDescent="0.3">
      <c r="A1085" s="68">
        <v>40522</v>
      </c>
      <c r="B1085" s="69">
        <f t="shared" si="18"/>
        <v>20101210</v>
      </c>
      <c r="C1085" s="70">
        <v>3.6799999999999999E-2</v>
      </c>
      <c r="D1085" s="77">
        <v>1.0999999999999999E-2</v>
      </c>
      <c r="E1085" s="77">
        <v>1.0999999999999999E-2</v>
      </c>
      <c r="F1085" s="77">
        <v>1.0999999999999999E-2</v>
      </c>
      <c r="G1085" s="78">
        <v>0</v>
      </c>
      <c r="H1085" s="79"/>
      <c r="I1085" s="79"/>
      <c r="J1085" s="79"/>
      <c r="K1085" s="80">
        <v>1.3300000000000001E-2</v>
      </c>
      <c r="L1085" s="80">
        <v>0</v>
      </c>
      <c r="M1085" s="75" t="s">
        <v>143</v>
      </c>
      <c r="N1085" s="75" t="b">
        <v>1</v>
      </c>
      <c r="O1085" s="75" t="s">
        <v>144</v>
      </c>
      <c r="P1085" s="75">
        <v>1994</v>
      </c>
      <c r="Q1085" s="75">
        <v>2020</v>
      </c>
      <c r="R1085" s="75">
        <v>1</v>
      </c>
      <c r="S1085" s="100">
        <v>210056</v>
      </c>
      <c r="T1085" s="101">
        <v>40420</v>
      </c>
      <c r="U1085" s="83"/>
    </row>
    <row r="1086" spans="1:21" s="84" customFormat="1" x14ac:dyDescent="0.3">
      <c r="A1086" s="68">
        <v>40523</v>
      </c>
      <c r="B1086" s="69">
        <f>YEAR(A1086)*10000+MONTH(A1086)*100+DAY(A1086)</f>
        <v>20101211</v>
      </c>
      <c r="C1086" s="70">
        <v>3.6799999999999999E-2</v>
      </c>
      <c r="D1086" s="77">
        <v>1.0999999999999999E-2</v>
      </c>
      <c r="E1086" s="77">
        <v>1.0999999999999999E-2</v>
      </c>
      <c r="F1086" s="77">
        <v>1.0999999999999999E-2</v>
      </c>
      <c r="G1086" s="78">
        <v>0</v>
      </c>
      <c r="H1086" s="79"/>
      <c r="I1086" s="79"/>
      <c r="J1086" s="79"/>
      <c r="K1086" s="80">
        <v>1.3300000000000001E-2</v>
      </c>
      <c r="L1086" s="80">
        <v>0</v>
      </c>
      <c r="M1086" s="75" t="s">
        <v>143</v>
      </c>
      <c r="N1086" s="75" t="b">
        <v>1</v>
      </c>
      <c r="O1086" s="75" t="s">
        <v>144</v>
      </c>
      <c r="P1086" s="75">
        <v>1994</v>
      </c>
      <c r="Q1086" s="75">
        <v>2020</v>
      </c>
      <c r="R1086" s="75">
        <v>1</v>
      </c>
      <c r="S1086" s="100">
        <v>210056</v>
      </c>
      <c r="T1086" s="101">
        <v>40420</v>
      </c>
      <c r="U1086" s="83"/>
    </row>
    <row r="1087" spans="1:21" s="84" customFormat="1" x14ac:dyDescent="0.3">
      <c r="A1087" s="68">
        <v>40524</v>
      </c>
      <c r="B1087" s="69">
        <f>YEAR(A1087)*10000+MONTH(A1087)*100+DAY(A1087)</f>
        <v>20101212</v>
      </c>
      <c r="C1087" s="70">
        <v>3.6799999999999999E-2</v>
      </c>
      <c r="D1087" s="77">
        <v>1.0999999999999999E-2</v>
      </c>
      <c r="E1087" s="77">
        <v>1.0999999999999999E-2</v>
      </c>
      <c r="F1087" s="77">
        <v>1.0999999999999999E-2</v>
      </c>
      <c r="G1087" s="78">
        <v>0</v>
      </c>
      <c r="H1087" s="79"/>
      <c r="I1087" s="79"/>
      <c r="J1087" s="79"/>
      <c r="K1087" s="80">
        <v>1.3300000000000001E-2</v>
      </c>
      <c r="L1087" s="80">
        <v>0</v>
      </c>
      <c r="M1087" s="75" t="s">
        <v>143</v>
      </c>
      <c r="N1087" s="75" t="b">
        <v>1</v>
      </c>
      <c r="O1087" s="75" t="s">
        <v>144</v>
      </c>
      <c r="P1087" s="75">
        <v>1994</v>
      </c>
      <c r="Q1087" s="75">
        <v>2020</v>
      </c>
      <c r="R1087" s="75">
        <v>1</v>
      </c>
      <c r="S1087" s="100">
        <v>210056</v>
      </c>
      <c r="T1087" s="101">
        <v>40420</v>
      </c>
      <c r="U1087" s="83"/>
    </row>
    <row r="1088" spans="1:21" s="84" customFormat="1" x14ac:dyDescent="0.3">
      <c r="A1088" s="68">
        <v>40525</v>
      </c>
      <c r="B1088" s="69">
        <f t="shared" si="18"/>
        <v>20101213</v>
      </c>
      <c r="C1088" s="70">
        <v>3.6200000000000003E-2</v>
      </c>
      <c r="D1088" s="77">
        <v>1.0999999999999999E-2</v>
      </c>
      <c r="E1088" s="77">
        <v>1.0999999999999999E-2</v>
      </c>
      <c r="F1088" s="77">
        <v>1.0999999999999999E-2</v>
      </c>
      <c r="G1088" s="78">
        <v>0</v>
      </c>
      <c r="H1088" s="79"/>
      <c r="I1088" s="79"/>
      <c r="J1088" s="79"/>
      <c r="K1088" s="80">
        <v>1.2800000000000001E-2</v>
      </c>
      <c r="L1088" s="80">
        <v>0</v>
      </c>
      <c r="M1088" s="75" t="s">
        <v>143</v>
      </c>
      <c r="N1088" s="75" t="b">
        <v>1</v>
      </c>
      <c r="O1088" s="75" t="s">
        <v>144</v>
      </c>
      <c r="P1088" s="75">
        <v>1994</v>
      </c>
      <c r="Q1088" s="75">
        <v>2020</v>
      </c>
      <c r="R1088" s="75">
        <v>1</v>
      </c>
      <c r="S1088" s="100">
        <v>210056</v>
      </c>
      <c r="T1088" s="101">
        <v>40420</v>
      </c>
      <c r="U1088" s="83"/>
    </row>
    <row r="1089" spans="1:21" s="84" customFormat="1" x14ac:dyDescent="0.3">
      <c r="A1089" s="68">
        <v>40526</v>
      </c>
      <c r="B1089" s="69">
        <f t="shared" si="18"/>
        <v>20101214</v>
      </c>
      <c r="C1089" s="70">
        <v>3.7200000000000004E-2</v>
      </c>
      <c r="D1089" s="77">
        <v>1.0999999999999999E-2</v>
      </c>
      <c r="E1089" s="77">
        <v>1.0999999999999999E-2</v>
      </c>
      <c r="F1089" s="77">
        <v>1.0999999999999999E-2</v>
      </c>
      <c r="G1089" s="78">
        <v>0</v>
      </c>
      <c r="H1089" s="79"/>
      <c r="I1089" s="79"/>
      <c r="J1089" s="79"/>
      <c r="K1089" s="80">
        <v>1.3600000000000001E-2</v>
      </c>
      <c r="L1089" s="80">
        <v>0</v>
      </c>
      <c r="M1089" s="75" t="s">
        <v>143</v>
      </c>
      <c r="N1089" s="75" t="b">
        <v>1</v>
      </c>
      <c r="O1089" s="75" t="s">
        <v>144</v>
      </c>
      <c r="P1089" s="75">
        <v>1994</v>
      </c>
      <c r="Q1089" s="75">
        <v>2020</v>
      </c>
      <c r="R1089" s="75">
        <v>1</v>
      </c>
      <c r="S1089" s="100">
        <v>210056</v>
      </c>
      <c r="T1089" s="101">
        <v>40420</v>
      </c>
      <c r="U1089" s="83"/>
    </row>
    <row r="1090" spans="1:21" s="84" customFormat="1" x14ac:dyDescent="0.3">
      <c r="A1090" s="68">
        <v>40527</v>
      </c>
      <c r="B1090" s="69">
        <f t="shared" si="18"/>
        <v>20101215</v>
      </c>
      <c r="C1090" s="70">
        <v>3.7000000000000005E-2</v>
      </c>
      <c r="D1090" s="77">
        <v>1.0999999999999999E-2</v>
      </c>
      <c r="E1090" s="77">
        <v>1.0999999999999999E-2</v>
      </c>
      <c r="F1090" s="77">
        <v>1.0999999999999999E-2</v>
      </c>
      <c r="G1090" s="78">
        <v>0</v>
      </c>
      <c r="H1090" s="79"/>
      <c r="I1090" s="79"/>
      <c r="J1090" s="79"/>
      <c r="K1090" s="80">
        <v>1.32E-2</v>
      </c>
      <c r="L1090" s="80">
        <v>0</v>
      </c>
      <c r="M1090" s="75" t="s">
        <v>143</v>
      </c>
      <c r="N1090" s="75" t="b">
        <v>1</v>
      </c>
      <c r="O1090" s="75" t="s">
        <v>144</v>
      </c>
      <c r="P1090" s="75">
        <v>1994</v>
      </c>
      <c r="Q1090" s="75">
        <v>2020</v>
      </c>
      <c r="R1090" s="75">
        <v>1</v>
      </c>
      <c r="S1090" s="100">
        <v>210056</v>
      </c>
      <c r="T1090" s="101">
        <v>40420</v>
      </c>
      <c r="U1090" s="83"/>
    </row>
    <row r="1091" spans="1:21" s="84" customFormat="1" x14ac:dyDescent="0.3">
      <c r="A1091" s="68">
        <v>40528</v>
      </c>
      <c r="B1091" s="69">
        <f t="shared" si="18"/>
        <v>20101216</v>
      </c>
      <c r="C1091" s="70">
        <v>3.6400000000000002E-2</v>
      </c>
      <c r="D1091" s="77">
        <v>1.0999999999999999E-2</v>
      </c>
      <c r="E1091" s="77">
        <v>1.0999999999999999E-2</v>
      </c>
      <c r="F1091" s="77">
        <v>1.0999999999999999E-2</v>
      </c>
      <c r="G1091" s="78">
        <v>0</v>
      </c>
      <c r="H1091" s="79"/>
      <c r="I1091" s="79"/>
      <c r="J1091" s="79"/>
      <c r="K1091" s="80">
        <v>1.2500000000000001E-2</v>
      </c>
      <c r="L1091" s="80">
        <v>0</v>
      </c>
      <c r="M1091" s="75" t="s">
        <v>143</v>
      </c>
      <c r="N1091" s="75" t="b">
        <v>1</v>
      </c>
      <c r="O1091" s="75" t="s">
        <v>144</v>
      </c>
      <c r="P1091" s="75">
        <v>1994</v>
      </c>
      <c r="Q1091" s="75">
        <v>2020</v>
      </c>
      <c r="R1091" s="75">
        <v>1</v>
      </c>
      <c r="S1091" s="100">
        <v>210056</v>
      </c>
      <c r="T1091" s="101">
        <v>40420</v>
      </c>
      <c r="U1091" s="83"/>
    </row>
    <row r="1092" spans="1:21" s="84" customFormat="1" x14ac:dyDescent="0.3">
      <c r="A1092" s="68">
        <v>40529</v>
      </c>
      <c r="B1092" s="69">
        <f t="shared" si="18"/>
        <v>20101217</v>
      </c>
      <c r="C1092" s="70">
        <v>3.56E-2</v>
      </c>
      <c r="D1092" s="77">
        <v>1.0999999999999999E-2</v>
      </c>
      <c r="E1092" s="77">
        <v>1.0999999999999999E-2</v>
      </c>
      <c r="F1092" s="77">
        <v>1.0999999999999999E-2</v>
      </c>
      <c r="G1092" s="78">
        <v>0</v>
      </c>
      <c r="H1092" s="79"/>
      <c r="I1092" s="79"/>
      <c r="J1092" s="79"/>
      <c r="K1092" s="80">
        <v>1.18E-2</v>
      </c>
      <c r="L1092" s="80">
        <v>0</v>
      </c>
      <c r="M1092" s="75" t="s">
        <v>143</v>
      </c>
      <c r="N1092" s="75" t="b">
        <v>1</v>
      </c>
      <c r="O1092" s="75" t="s">
        <v>144</v>
      </c>
      <c r="P1092" s="75">
        <v>1994</v>
      </c>
      <c r="Q1092" s="75">
        <v>2020</v>
      </c>
      <c r="R1092" s="75">
        <v>1</v>
      </c>
      <c r="S1092" s="100">
        <v>210056</v>
      </c>
      <c r="T1092" s="101">
        <v>40420</v>
      </c>
      <c r="U1092" s="83"/>
    </row>
    <row r="1093" spans="1:21" s="84" customFormat="1" x14ac:dyDescent="0.3">
      <c r="A1093" s="68">
        <v>40530</v>
      </c>
      <c r="B1093" s="69">
        <f>YEAR(A1093)*10000+MONTH(A1093)*100+DAY(A1093)</f>
        <v>20101218</v>
      </c>
      <c r="C1093" s="70">
        <v>3.56E-2</v>
      </c>
      <c r="D1093" s="77">
        <v>1.0999999999999999E-2</v>
      </c>
      <c r="E1093" s="77">
        <v>1.0999999999999999E-2</v>
      </c>
      <c r="F1093" s="77">
        <v>1.0999999999999999E-2</v>
      </c>
      <c r="G1093" s="78">
        <v>0</v>
      </c>
      <c r="H1093" s="79"/>
      <c r="I1093" s="79"/>
      <c r="J1093" s="79"/>
      <c r="K1093" s="80">
        <v>1.18E-2</v>
      </c>
      <c r="L1093" s="80">
        <v>0</v>
      </c>
      <c r="M1093" s="75" t="s">
        <v>143</v>
      </c>
      <c r="N1093" s="75" t="b">
        <v>1</v>
      </c>
      <c r="O1093" s="75" t="s">
        <v>144</v>
      </c>
      <c r="P1093" s="75">
        <v>1994</v>
      </c>
      <c r="Q1093" s="75">
        <v>2020</v>
      </c>
      <c r="R1093" s="75">
        <v>1</v>
      </c>
      <c r="S1093" s="100">
        <v>210056</v>
      </c>
      <c r="T1093" s="101">
        <v>40420</v>
      </c>
      <c r="U1093" s="83"/>
    </row>
    <row r="1094" spans="1:21" s="84" customFormat="1" x14ac:dyDescent="0.3">
      <c r="A1094" s="68">
        <v>40531</v>
      </c>
      <c r="B1094" s="69">
        <f>YEAR(A1094)*10000+MONTH(A1094)*100+DAY(A1094)</f>
        <v>20101219</v>
      </c>
      <c r="C1094" s="70">
        <v>3.56E-2</v>
      </c>
      <c r="D1094" s="77">
        <v>1.0999999999999999E-2</v>
      </c>
      <c r="E1094" s="77">
        <v>1.0999999999999999E-2</v>
      </c>
      <c r="F1094" s="77">
        <v>1.0999999999999999E-2</v>
      </c>
      <c r="G1094" s="78">
        <v>0</v>
      </c>
      <c r="H1094" s="79"/>
      <c r="I1094" s="79"/>
      <c r="J1094" s="79"/>
      <c r="K1094" s="80">
        <v>1.18E-2</v>
      </c>
      <c r="L1094" s="80">
        <v>0</v>
      </c>
      <c r="M1094" s="75" t="s">
        <v>143</v>
      </c>
      <c r="N1094" s="75" t="b">
        <v>1</v>
      </c>
      <c r="O1094" s="75" t="s">
        <v>144</v>
      </c>
      <c r="P1094" s="75">
        <v>1994</v>
      </c>
      <c r="Q1094" s="75">
        <v>2020</v>
      </c>
      <c r="R1094" s="75">
        <v>1</v>
      </c>
      <c r="S1094" s="100">
        <v>210056</v>
      </c>
      <c r="T1094" s="101">
        <v>40420</v>
      </c>
      <c r="U1094" s="83"/>
    </row>
    <row r="1095" spans="1:21" s="84" customFormat="1" x14ac:dyDescent="0.3">
      <c r="A1095" s="68">
        <v>40532</v>
      </c>
      <c r="B1095" s="69">
        <f t="shared" si="18"/>
        <v>20101220</v>
      </c>
      <c r="C1095" s="70">
        <v>3.5400000000000001E-2</v>
      </c>
      <c r="D1095" s="77">
        <v>1.0999999999999999E-2</v>
      </c>
      <c r="E1095" s="77">
        <v>1.0999999999999999E-2</v>
      </c>
      <c r="F1095" s="77">
        <v>1.0999999999999999E-2</v>
      </c>
      <c r="G1095" s="78">
        <v>0</v>
      </c>
      <c r="H1095" s="79"/>
      <c r="I1095" s="79"/>
      <c r="J1095" s="79"/>
      <c r="K1095" s="80">
        <v>1.1599999999999999E-2</v>
      </c>
      <c r="L1095" s="80">
        <v>0</v>
      </c>
      <c r="M1095" s="75" t="s">
        <v>143</v>
      </c>
      <c r="N1095" s="75" t="b">
        <v>1</v>
      </c>
      <c r="O1095" s="75" t="s">
        <v>144</v>
      </c>
      <c r="P1095" s="75">
        <v>1994</v>
      </c>
      <c r="Q1095" s="75">
        <v>2020</v>
      </c>
      <c r="R1095" s="75">
        <v>1</v>
      </c>
      <c r="S1095" s="100">
        <v>210056</v>
      </c>
      <c r="T1095" s="101">
        <v>40420</v>
      </c>
      <c r="U1095" s="83"/>
    </row>
    <row r="1096" spans="1:21" s="84" customFormat="1" x14ac:dyDescent="0.3">
      <c r="A1096" s="68">
        <v>40533</v>
      </c>
      <c r="B1096" s="69">
        <f t="shared" si="18"/>
        <v>20101221</v>
      </c>
      <c r="C1096" s="70">
        <v>3.5099999999999999E-2</v>
      </c>
      <c r="D1096" s="77">
        <v>1.0999999999999999E-2</v>
      </c>
      <c r="E1096" s="77">
        <v>1.0999999999999999E-2</v>
      </c>
      <c r="F1096" s="77">
        <v>1.0999999999999999E-2</v>
      </c>
      <c r="G1096" s="78">
        <v>0</v>
      </c>
      <c r="H1096" s="79"/>
      <c r="I1096" s="79"/>
      <c r="J1096" s="79"/>
      <c r="K1096" s="80">
        <v>1.1299999999999999E-2</v>
      </c>
      <c r="L1096" s="80">
        <v>0</v>
      </c>
      <c r="M1096" s="75" t="s">
        <v>143</v>
      </c>
      <c r="N1096" s="75" t="b">
        <v>1</v>
      </c>
      <c r="O1096" s="75" t="s">
        <v>144</v>
      </c>
      <c r="P1096" s="75">
        <v>1994</v>
      </c>
      <c r="Q1096" s="75">
        <v>2020</v>
      </c>
      <c r="R1096" s="75">
        <v>1</v>
      </c>
      <c r="S1096" s="100">
        <v>210056</v>
      </c>
      <c r="T1096" s="101">
        <v>40420</v>
      </c>
      <c r="U1096" s="83"/>
    </row>
    <row r="1097" spans="1:21" s="84" customFormat="1" x14ac:dyDescent="0.3">
      <c r="A1097" s="68">
        <v>40534</v>
      </c>
      <c r="B1097" s="69">
        <f t="shared" si="18"/>
        <v>20101222</v>
      </c>
      <c r="C1097" s="70">
        <v>3.5299999999999998E-2</v>
      </c>
      <c r="D1097" s="77">
        <v>1.0999999999999999E-2</v>
      </c>
      <c r="E1097" s="77">
        <v>1.0999999999999999E-2</v>
      </c>
      <c r="F1097" s="77">
        <v>1.0999999999999999E-2</v>
      </c>
      <c r="G1097" s="78">
        <v>0</v>
      </c>
      <c r="H1097" s="79"/>
      <c r="I1097" s="79"/>
      <c r="J1097" s="79"/>
      <c r="K1097" s="80">
        <v>1.1399999999999999E-2</v>
      </c>
      <c r="L1097" s="80">
        <v>0</v>
      </c>
      <c r="M1097" s="75" t="s">
        <v>143</v>
      </c>
      <c r="N1097" s="75" t="b">
        <v>1</v>
      </c>
      <c r="O1097" s="75" t="s">
        <v>144</v>
      </c>
      <c r="P1097" s="75">
        <v>1994</v>
      </c>
      <c r="Q1097" s="75">
        <v>2020</v>
      </c>
      <c r="R1097" s="75">
        <v>1</v>
      </c>
      <c r="S1097" s="100">
        <v>210056</v>
      </c>
      <c r="T1097" s="101">
        <v>40420</v>
      </c>
      <c r="U1097" s="83"/>
    </row>
    <row r="1098" spans="1:21" s="84" customFormat="1" x14ac:dyDescent="0.3">
      <c r="A1098" s="68">
        <v>40535</v>
      </c>
      <c r="B1098" s="69">
        <f t="shared" si="18"/>
        <v>20101223</v>
      </c>
      <c r="C1098" s="70">
        <v>3.5299999999999998E-2</v>
      </c>
      <c r="D1098" s="77">
        <v>1.0999999999999999E-2</v>
      </c>
      <c r="E1098" s="77">
        <v>1.0999999999999999E-2</v>
      </c>
      <c r="F1098" s="77">
        <v>1.0999999999999999E-2</v>
      </c>
      <c r="G1098" s="78">
        <v>0</v>
      </c>
      <c r="H1098" s="79"/>
      <c r="I1098" s="79"/>
      <c r="J1098" s="79"/>
      <c r="K1098" s="80">
        <v>1.1399999999999999E-2</v>
      </c>
      <c r="L1098" s="80">
        <v>0</v>
      </c>
      <c r="M1098" s="75" t="s">
        <v>143</v>
      </c>
      <c r="N1098" s="75" t="b">
        <v>1</v>
      </c>
      <c r="O1098" s="75" t="s">
        <v>144</v>
      </c>
      <c r="P1098" s="75">
        <v>1994</v>
      </c>
      <c r="Q1098" s="75">
        <v>2020</v>
      </c>
      <c r="R1098" s="75">
        <v>1</v>
      </c>
      <c r="S1098" s="100">
        <v>210056</v>
      </c>
      <c r="T1098" s="101">
        <v>40420</v>
      </c>
      <c r="U1098" s="83"/>
    </row>
    <row r="1099" spans="1:21" s="84" customFormat="1" x14ac:dyDescent="0.3">
      <c r="A1099" s="68">
        <v>40536</v>
      </c>
      <c r="B1099" s="69">
        <f t="shared" si="18"/>
        <v>20101224</v>
      </c>
      <c r="C1099" s="70">
        <v>3.5200000000000002E-2</v>
      </c>
      <c r="D1099" s="77">
        <v>1.0999999999999999E-2</v>
      </c>
      <c r="E1099" s="77">
        <v>1.0999999999999999E-2</v>
      </c>
      <c r="F1099" s="77">
        <v>1.0999999999999999E-2</v>
      </c>
      <c r="G1099" s="78">
        <v>0</v>
      </c>
      <c r="H1099" s="79"/>
      <c r="I1099" s="79"/>
      <c r="J1099" s="79"/>
      <c r="K1099" s="80">
        <v>1.1399999999999999E-2</v>
      </c>
      <c r="L1099" s="80">
        <v>0</v>
      </c>
      <c r="M1099" s="75" t="s">
        <v>143</v>
      </c>
      <c r="N1099" s="75" t="b">
        <v>1</v>
      </c>
      <c r="O1099" s="75" t="s">
        <v>144</v>
      </c>
      <c r="P1099" s="75">
        <v>1994</v>
      </c>
      <c r="Q1099" s="75">
        <v>2020</v>
      </c>
      <c r="R1099" s="75">
        <v>1</v>
      </c>
      <c r="S1099" s="100">
        <v>210056</v>
      </c>
      <c r="T1099" s="101">
        <v>40420</v>
      </c>
      <c r="U1099" s="83"/>
    </row>
    <row r="1100" spans="1:21" s="84" customFormat="1" x14ac:dyDescent="0.3">
      <c r="A1100" s="68">
        <v>40537</v>
      </c>
      <c r="B1100" s="69">
        <f>YEAR(A1100)*10000+MONTH(A1100)*100+DAY(A1100)</f>
        <v>20101225</v>
      </c>
      <c r="C1100" s="70">
        <v>3.5200000000000002E-2</v>
      </c>
      <c r="D1100" s="77">
        <v>1.0999999999999999E-2</v>
      </c>
      <c r="E1100" s="77">
        <v>1.0999999999999999E-2</v>
      </c>
      <c r="F1100" s="77">
        <v>1.0999999999999999E-2</v>
      </c>
      <c r="G1100" s="78">
        <v>0</v>
      </c>
      <c r="H1100" s="79"/>
      <c r="I1100" s="79"/>
      <c r="J1100" s="79"/>
      <c r="K1100" s="80">
        <v>1.1399999999999999E-2</v>
      </c>
      <c r="L1100" s="80">
        <v>0</v>
      </c>
      <c r="M1100" s="75" t="s">
        <v>143</v>
      </c>
      <c r="N1100" s="75" t="b">
        <v>1</v>
      </c>
      <c r="O1100" s="75" t="s">
        <v>144</v>
      </c>
      <c r="P1100" s="75">
        <v>1994</v>
      </c>
      <c r="Q1100" s="75">
        <v>2020</v>
      </c>
      <c r="R1100" s="75">
        <v>1</v>
      </c>
      <c r="S1100" s="100">
        <v>210056</v>
      </c>
      <c r="T1100" s="101">
        <v>40420</v>
      </c>
      <c r="U1100" s="83"/>
    </row>
    <row r="1101" spans="1:21" s="84" customFormat="1" x14ac:dyDescent="0.3">
      <c r="A1101" s="68">
        <v>40538</v>
      </c>
      <c r="B1101" s="69">
        <f>YEAR(A1101)*10000+MONTH(A1101)*100+DAY(A1101)</f>
        <v>20101226</v>
      </c>
      <c r="C1101" s="70">
        <v>3.5200000000000002E-2</v>
      </c>
      <c r="D1101" s="77">
        <v>1.0999999999999999E-2</v>
      </c>
      <c r="E1101" s="77">
        <v>1.0999999999999999E-2</v>
      </c>
      <c r="F1101" s="77">
        <v>1.0999999999999999E-2</v>
      </c>
      <c r="G1101" s="78">
        <v>0</v>
      </c>
      <c r="H1101" s="79"/>
      <c r="I1101" s="79"/>
      <c r="J1101" s="79"/>
      <c r="K1101" s="80">
        <v>1.1399999999999999E-2</v>
      </c>
      <c r="L1101" s="80">
        <v>0</v>
      </c>
      <c r="M1101" s="75" t="s">
        <v>143</v>
      </c>
      <c r="N1101" s="75" t="b">
        <v>1</v>
      </c>
      <c r="O1101" s="75" t="s">
        <v>144</v>
      </c>
      <c r="P1101" s="75">
        <v>1994</v>
      </c>
      <c r="Q1101" s="75">
        <v>2020</v>
      </c>
      <c r="R1101" s="75">
        <v>1</v>
      </c>
      <c r="S1101" s="100">
        <v>210056</v>
      </c>
      <c r="T1101" s="101">
        <v>40420</v>
      </c>
      <c r="U1101" s="83"/>
    </row>
    <row r="1102" spans="1:21" s="84" customFormat="1" x14ac:dyDescent="0.3">
      <c r="A1102" s="68">
        <v>40539</v>
      </c>
      <c r="B1102" s="69">
        <f t="shared" si="18"/>
        <v>20101227</v>
      </c>
      <c r="C1102" s="70">
        <v>3.5200000000000002E-2</v>
      </c>
      <c r="D1102" s="77">
        <v>1.0999999999999999E-2</v>
      </c>
      <c r="E1102" s="77">
        <v>1.0999999999999999E-2</v>
      </c>
      <c r="F1102" s="77">
        <v>1.0999999999999999E-2</v>
      </c>
      <c r="G1102" s="78">
        <v>0</v>
      </c>
      <c r="H1102" s="79"/>
      <c r="I1102" s="79"/>
      <c r="J1102" s="79"/>
      <c r="K1102" s="80">
        <v>1.1399999999999999E-2</v>
      </c>
      <c r="L1102" s="80">
        <v>0</v>
      </c>
      <c r="M1102" s="75" t="s">
        <v>143</v>
      </c>
      <c r="N1102" s="75" t="b">
        <v>1</v>
      </c>
      <c r="O1102" s="75" t="s">
        <v>144</v>
      </c>
      <c r="P1102" s="75">
        <v>1994</v>
      </c>
      <c r="Q1102" s="75">
        <v>2020</v>
      </c>
      <c r="R1102" s="75">
        <v>1</v>
      </c>
      <c r="S1102" s="100">
        <v>210056</v>
      </c>
      <c r="T1102" s="101">
        <v>40420</v>
      </c>
      <c r="U1102" s="83"/>
    </row>
    <row r="1103" spans="1:21" s="84" customFormat="1" x14ac:dyDescent="0.3">
      <c r="A1103" s="68">
        <v>40540</v>
      </c>
      <c r="B1103" s="69">
        <f t="shared" si="18"/>
        <v>20101228</v>
      </c>
      <c r="C1103" s="70">
        <v>3.5200000000000002E-2</v>
      </c>
      <c r="D1103" s="77">
        <v>1.0999999999999999E-2</v>
      </c>
      <c r="E1103" s="77">
        <v>1.0999999999999999E-2</v>
      </c>
      <c r="F1103" s="77">
        <v>1.0999999999999999E-2</v>
      </c>
      <c r="G1103" s="78">
        <v>0</v>
      </c>
      <c r="H1103" s="79"/>
      <c r="I1103" s="79"/>
      <c r="J1103" s="79"/>
      <c r="K1103" s="80">
        <v>1.1399999999999999E-2</v>
      </c>
      <c r="L1103" s="80">
        <v>0</v>
      </c>
      <c r="M1103" s="75" t="s">
        <v>143</v>
      </c>
      <c r="N1103" s="75" t="b">
        <v>1</v>
      </c>
      <c r="O1103" s="75" t="s">
        <v>144</v>
      </c>
      <c r="P1103" s="75">
        <v>1994</v>
      </c>
      <c r="Q1103" s="75">
        <v>2020</v>
      </c>
      <c r="R1103" s="75">
        <v>1</v>
      </c>
      <c r="S1103" s="100">
        <v>210056</v>
      </c>
      <c r="T1103" s="101">
        <v>40420</v>
      </c>
      <c r="U1103" s="83"/>
    </row>
    <row r="1104" spans="1:21" s="84" customFormat="1" x14ac:dyDescent="0.3">
      <c r="A1104" s="68">
        <v>40541</v>
      </c>
      <c r="B1104" s="69">
        <f t="shared" si="18"/>
        <v>20101229</v>
      </c>
      <c r="C1104" s="70">
        <v>3.5099999999999999E-2</v>
      </c>
      <c r="D1104" s="77">
        <v>1.0999999999999999E-2</v>
      </c>
      <c r="E1104" s="77">
        <v>1.0999999999999999E-2</v>
      </c>
      <c r="F1104" s="77">
        <v>1.0999999999999999E-2</v>
      </c>
      <c r="G1104" s="78">
        <v>0</v>
      </c>
      <c r="H1104" s="79"/>
      <c r="I1104" s="79"/>
      <c r="J1104" s="79"/>
      <c r="K1104" s="80">
        <v>1.1200000000000002E-2</v>
      </c>
      <c r="L1104" s="80">
        <v>0</v>
      </c>
      <c r="M1104" s="75" t="s">
        <v>143</v>
      </c>
      <c r="N1104" s="75" t="b">
        <v>1</v>
      </c>
      <c r="O1104" s="75" t="s">
        <v>144</v>
      </c>
      <c r="P1104" s="75">
        <v>1994</v>
      </c>
      <c r="Q1104" s="75">
        <v>2020</v>
      </c>
      <c r="R1104" s="75">
        <v>1</v>
      </c>
      <c r="S1104" s="100">
        <v>210056</v>
      </c>
      <c r="T1104" s="101">
        <v>40420</v>
      </c>
      <c r="U1104" s="83"/>
    </row>
    <row r="1105" spans="1:21" s="84" customFormat="1" x14ac:dyDescent="0.3">
      <c r="A1105" s="68">
        <v>40542</v>
      </c>
      <c r="B1105" s="69">
        <f t="shared" si="18"/>
        <v>20101230</v>
      </c>
      <c r="C1105" s="70">
        <v>3.5099999999999999E-2</v>
      </c>
      <c r="D1105" s="77">
        <v>1.0999999999999999E-2</v>
      </c>
      <c r="E1105" s="77">
        <v>1.0999999999999999E-2</v>
      </c>
      <c r="F1105" s="77">
        <v>1.0999999999999999E-2</v>
      </c>
      <c r="G1105" s="78">
        <v>0</v>
      </c>
      <c r="H1105" s="79"/>
      <c r="I1105" s="79"/>
      <c r="J1105" s="79"/>
      <c r="K1105" s="80">
        <v>1.1299999999999999E-2</v>
      </c>
      <c r="L1105" s="80">
        <v>0</v>
      </c>
      <c r="M1105" s="75" t="s">
        <v>143</v>
      </c>
      <c r="N1105" s="75" t="b">
        <v>1</v>
      </c>
      <c r="O1105" s="75" t="s">
        <v>144</v>
      </c>
      <c r="P1105" s="75">
        <v>1994</v>
      </c>
      <c r="Q1105" s="75">
        <v>2020</v>
      </c>
      <c r="R1105" s="75">
        <v>1</v>
      </c>
      <c r="S1105" s="100">
        <v>210056</v>
      </c>
      <c r="T1105" s="101">
        <v>40420</v>
      </c>
      <c r="U1105" s="83"/>
    </row>
    <row r="1106" spans="1:21" s="99" customFormat="1" x14ac:dyDescent="0.3">
      <c r="A1106" s="85">
        <v>40543</v>
      </c>
      <c r="B1106" s="86">
        <f>YEAR(A1106)*10000+MONTH(A1106)*100+DAY(A1106)</f>
        <v>20101231</v>
      </c>
      <c r="C1106" s="87">
        <v>3.4799999999999998E-2</v>
      </c>
      <c r="D1106" s="89">
        <v>0.01</v>
      </c>
      <c r="E1106" s="89">
        <v>0.01</v>
      </c>
      <c r="F1106" s="89">
        <v>0.01</v>
      </c>
      <c r="G1106" s="103">
        <v>0</v>
      </c>
      <c r="H1106" s="91"/>
      <c r="I1106" s="91"/>
      <c r="J1106" s="91"/>
      <c r="K1106" s="92">
        <v>1.11E-2</v>
      </c>
      <c r="L1106" s="92">
        <v>0</v>
      </c>
      <c r="M1106" s="98" t="s">
        <v>143</v>
      </c>
      <c r="N1106" s="98" t="b">
        <v>1</v>
      </c>
      <c r="O1106" s="98" t="s">
        <v>144</v>
      </c>
      <c r="P1106" s="98">
        <v>1994</v>
      </c>
      <c r="Q1106" s="98">
        <v>2020</v>
      </c>
      <c r="R1106" s="98">
        <v>1</v>
      </c>
      <c r="S1106" s="93">
        <v>211044</v>
      </c>
      <c r="T1106" s="94">
        <v>40673</v>
      </c>
      <c r="U1106" s="95" t="s">
        <v>176</v>
      </c>
    </row>
    <row r="1107" spans="1:21" s="84" customFormat="1" x14ac:dyDescent="0.3">
      <c r="A1107" s="68">
        <v>40544</v>
      </c>
      <c r="B1107" s="69">
        <f>YEAR(A1107)*10000+MONTH(A1107)*100+DAY(A1107)</f>
        <v>20110101</v>
      </c>
      <c r="C1107" s="70">
        <v>3.4799999999999998E-2</v>
      </c>
      <c r="D1107" s="77">
        <v>0.01</v>
      </c>
      <c r="E1107" s="77">
        <v>0.01</v>
      </c>
      <c r="F1107" s="77">
        <v>0.01</v>
      </c>
      <c r="G1107" s="78">
        <v>0</v>
      </c>
      <c r="H1107" s="79"/>
      <c r="I1107" s="79"/>
      <c r="J1107" s="79"/>
      <c r="K1107" s="80">
        <v>1.11E-2</v>
      </c>
      <c r="L1107" s="80">
        <v>0</v>
      </c>
      <c r="M1107" s="75" t="s">
        <v>143</v>
      </c>
      <c r="N1107" s="75" t="b">
        <v>1</v>
      </c>
      <c r="O1107" s="75" t="s">
        <v>144</v>
      </c>
      <c r="P1107" s="75">
        <v>1994</v>
      </c>
      <c r="Q1107" s="75">
        <v>2020</v>
      </c>
      <c r="R1107" s="75">
        <v>1</v>
      </c>
      <c r="S1107" s="100">
        <v>211044</v>
      </c>
      <c r="T1107" s="101">
        <v>40673</v>
      </c>
      <c r="U1107" s="83"/>
    </row>
    <row r="1108" spans="1:21" s="84" customFormat="1" x14ac:dyDescent="0.3">
      <c r="A1108" s="68">
        <v>40545</v>
      </c>
      <c r="B1108" s="69">
        <f>YEAR(A1108)*10000+MONTH(A1108)*100+DAY(A1108)</f>
        <v>20110102</v>
      </c>
      <c r="C1108" s="70">
        <v>3.4799999999999998E-2</v>
      </c>
      <c r="D1108" s="77">
        <v>0.01</v>
      </c>
      <c r="E1108" s="77">
        <v>0.01</v>
      </c>
      <c r="F1108" s="77">
        <v>0.01</v>
      </c>
      <c r="G1108" s="78">
        <v>0</v>
      </c>
      <c r="H1108" s="79"/>
      <c r="I1108" s="79"/>
      <c r="J1108" s="79"/>
      <c r="K1108" s="80">
        <v>1.11E-2</v>
      </c>
      <c r="L1108" s="80">
        <v>0</v>
      </c>
      <c r="M1108" s="75" t="s">
        <v>143</v>
      </c>
      <c r="N1108" s="75" t="b">
        <v>1</v>
      </c>
      <c r="O1108" s="75" t="s">
        <v>144</v>
      </c>
      <c r="P1108" s="75">
        <v>1994</v>
      </c>
      <c r="Q1108" s="75">
        <v>2020</v>
      </c>
      <c r="R1108" s="75">
        <v>1</v>
      </c>
      <c r="S1108" s="100">
        <v>211044</v>
      </c>
      <c r="T1108" s="101">
        <v>40673</v>
      </c>
      <c r="U1108" s="83"/>
    </row>
    <row r="1109" spans="1:21" s="84" customFormat="1" x14ac:dyDescent="0.3">
      <c r="A1109" s="68">
        <v>40546</v>
      </c>
      <c r="B1109" s="69">
        <f t="shared" ref="B1109:B1174" si="19">YEAR(A1109)*10000+MONTH(A1109)*100+DAY(A1109)</f>
        <v>20110103</v>
      </c>
      <c r="C1109" s="70">
        <v>3.4799999999999998E-2</v>
      </c>
      <c r="D1109" s="77">
        <v>0.01</v>
      </c>
      <c r="E1109" s="77">
        <v>0.01</v>
      </c>
      <c r="F1109" s="77">
        <v>0.01</v>
      </c>
      <c r="G1109" s="78">
        <v>0</v>
      </c>
      <c r="H1109" s="79"/>
      <c r="I1109" s="79"/>
      <c r="J1109" s="79"/>
      <c r="K1109" s="80">
        <v>1.11E-2</v>
      </c>
      <c r="L1109" s="80">
        <v>0</v>
      </c>
      <c r="M1109" s="75" t="s">
        <v>143</v>
      </c>
      <c r="N1109" s="75" t="b">
        <v>1</v>
      </c>
      <c r="O1109" s="75" t="s">
        <v>144</v>
      </c>
      <c r="P1109" s="75">
        <v>1994</v>
      </c>
      <c r="Q1109" s="75">
        <v>2020</v>
      </c>
      <c r="R1109" s="75">
        <v>1</v>
      </c>
      <c r="S1109" s="100">
        <v>211044</v>
      </c>
      <c r="T1109" s="101">
        <v>40673</v>
      </c>
      <c r="U1109" s="83"/>
    </row>
    <row r="1110" spans="1:21" s="84" customFormat="1" x14ac:dyDescent="0.3">
      <c r="A1110" s="68">
        <v>40547</v>
      </c>
      <c r="B1110" s="69">
        <f t="shared" si="19"/>
        <v>20110104</v>
      </c>
      <c r="C1110" s="70">
        <v>3.5299999999999998E-2</v>
      </c>
      <c r="D1110" s="77">
        <v>0.01</v>
      </c>
      <c r="E1110" s="77">
        <v>0.01</v>
      </c>
      <c r="F1110" s="77">
        <v>0.01</v>
      </c>
      <c r="G1110" s="78">
        <v>0</v>
      </c>
      <c r="H1110" s="79"/>
      <c r="I1110" s="79"/>
      <c r="J1110" s="79"/>
      <c r="K1110" s="80">
        <v>1.1699999999999999E-2</v>
      </c>
      <c r="L1110" s="80">
        <v>0</v>
      </c>
      <c r="M1110" s="75" t="s">
        <v>143</v>
      </c>
      <c r="N1110" s="75" t="b">
        <v>1</v>
      </c>
      <c r="O1110" s="75" t="s">
        <v>144</v>
      </c>
      <c r="P1110" s="75">
        <v>1994</v>
      </c>
      <c r="Q1110" s="75">
        <v>2020</v>
      </c>
      <c r="R1110" s="75">
        <v>1</v>
      </c>
      <c r="S1110" s="100">
        <v>211044</v>
      </c>
      <c r="T1110" s="101">
        <v>40673</v>
      </c>
      <c r="U1110" s="83"/>
    </row>
    <row r="1111" spans="1:21" s="84" customFormat="1" x14ac:dyDescent="0.3">
      <c r="A1111" s="68">
        <v>40548</v>
      </c>
      <c r="B1111" s="69">
        <f t="shared" si="19"/>
        <v>20110105</v>
      </c>
      <c r="C1111" s="70">
        <v>3.6200000000000003E-2</v>
      </c>
      <c r="D1111" s="77">
        <v>0.01</v>
      </c>
      <c r="E1111" s="77">
        <v>0.01</v>
      </c>
      <c r="F1111" s="77">
        <v>0.01</v>
      </c>
      <c r="G1111" s="78">
        <v>0</v>
      </c>
      <c r="H1111" s="79"/>
      <c r="I1111" s="79"/>
      <c r="J1111" s="79"/>
      <c r="K1111" s="80">
        <v>1.23E-2</v>
      </c>
      <c r="L1111" s="80">
        <v>0</v>
      </c>
      <c r="M1111" s="75" t="s">
        <v>143</v>
      </c>
      <c r="N1111" s="75" t="b">
        <v>1</v>
      </c>
      <c r="O1111" s="75" t="s">
        <v>144</v>
      </c>
      <c r="P1111" s="75">
        <v>1994</v>
      </c>
      <c r="Q1111" s="75">
        <v>2020</v>
      </c>
      <c r="R1111" s="75">
        <v>1</v>
      </c>
      <c r="S1111" s="100">
        <v>211044</v>
      </c>
      <c r="T1111" s="101">
        <v>40673</v>
      </c>
      <c r="U1111" s="83"/>
    </row>
    <row r="1112" spans="1:21" s="84" customFormat="1" x14ac:dyDescent="0.3">
      <c r="A1112" s="68">
        <v>40549</v>
      </c>
      <c r="B1112" s="69">
        <f t="shared" si="19"/>
        <v>20110106</v>
      </c>
      <c r="C1112" s="70">
        <v>3.6000000000000004E-2</v>
      </c>
      <c r="D1112" s="77">
        <v>0.01</v>
      </c>
      <c r="E1112" s="77">
        <v>0.01</v>
      </c>
      <c r="F1112" s="77">
        <v>0.01</v>
      </c>
      <c r="G1112" s="78">
        <v>0</v>
      </c>
      <c r="H1112" s="79"/>
      <c r="I1112" s="79"/>
      <c r="J1112" s="79"/>
      <c r="K1112" s="80">
        <v>1.2E-2</v>
      </c>
      <c r="L1112" s="80">
        <v>0</v>
      </c>
      <c r="M1112" s="75" t="s">
        <v>143</v>
      </c>
      <c r="N1112" s="75" t="b">
        <v>1</v>
      </c>
      <c r="O1112" s="75" t="s">
        <v>144</v>
      </c>
      <c r="P1112" s="75">
        <v>1994</v>
      </c>
      <c r="Q1112" s="75">
        <v>2020</v>
      </c>
      <c r="R1112" s="75">
        <v>1</v>
      </c>
      <c r="S1112" s="100">
        <v>211044</v>
      </c>
      <c r="T1112" s="101">
        <v>40673</v>
      </c>
      <c r="U1112" s="83"/>
    </row>
    <row r="1113" spans="1:21" s="84" customFormat="1" x14ac:dyDescent="0.3">
      <c r="A1113" s="68">
        <v>40550</v>
      </c>
      <c r="B1113" s="69">
        <f t="shared" si="19"/>
        <v>20110107</v>
      </c>
      <c r="C1113" s="70">
        <v>3.56E-2</v>
      </c>
      <c r="D1113" s="77">
        <v>0.01</v>
      </c>
      <c r="E1113" s="77">
        <v>0.01</v>
      </c>
      <c r="F1113" s="77">
        <v>0.01</v>
      </c>
      <c r="G1113" s="78">
        <v>0</v>
      </c>
      <c r="H1113" s="79"/>
      <c r="I1113" s="79"/>
      <c r="J1113" s="79"/>
      <c r="K1113" s="80">
        <v>1.1699999999999999E-2</v>
      </c>
      <c r="L1113" s="80">
        <v>0</v>
      </c>
      <c r="M1113" s="75" t="s">
        <v>143</v>
      </c>
      <c r="N1113" s="75" t="b">
        <v>1</v>
      </c>
      <c r="O1113" s="75" t="s">
        <v>144</v>
      </c>
      <c r="P1113" s="75">
        <v>1994</v>
      </c>
      <c r="Q1113" s="75">
        <v>2020</v>
      </c>
      <c r="R1113" s="75">
        <v>1</v>
      </c>
      <c r="S1113" s="100">
        <v>211044</v>
      </c>
      <c r="T1113" s="101">
        <v>40673</v>
      </c>
      <c r="U1113" s="83"/>
    </row>
    <row r="1114" spans="1:21" s="84" customFormat="1" x14ac:dyDescent="0.3">
      <c r="A1114" s="68">
        <v>40551</v>
      </c>
      <c r="B1114" s="69">
        <f t="shared" si="19"/>
        <v>20110108</v>
      </c>
      <c r="C1114" s="70">
        <v>3.56E-2</v>
      </c>
      <c r="D1114" s="77">
        <v>0.01</v>
      </c>
      <c r="E1114" s="77">
        <v>0.01</v>
      </c>
      <c r="F1114" s="77">
        <v>0.01</v>
      </c>
      <c r="G1114" s="78">
        <v>0</v>
      </c>
      <c r="H1114" s="79"/>
      <c r="I1114" s="79"/>
      <c r="J1114" s="79"/>
      <c r="K1114" s="80">
        <v>1.1699999999999999E-2</v>
      </c>
      <c r="L1114" s="80">
        <v>0</v>
      </c>
      <c r="M1114" s="75" t="s">
        <v>143</v>
      </c>
      <c r="N1114" s="75" t="b">
        <v>1</v>
      </c>
      <c r="O1114" s="75" t="s">
        <v>144</v>
      </c>
      <c r="P1114" s="75">
        <v>1994</v>
      </c>
      <c r="Q1114" s="75">
        <v>2020</v>
      </c>
      <c r="R1114" s="75">
        <v>1</v>
      </c>
      <c r="S1114" s="100">
        <v>211044</v>
      </c>
      <c r="T1114" s="101">
        <v>40673</v>
      </c>
      <c r="U1114" s="83"/>
    </row>
    <row r="1115" spans="1:21" s="84" customFormat="1" x14ac:dyDescent="0.3">
      <c r="A1115" s="68">
        <v>40552</v>
      </c>
      <c r="B1115" s="69">
        <f t="shared" si="19"/>
        <v>20110109</v>
      </c>
      <c r="C1115" s="70">
        <v>3.56E-2</v>
      </c>
      <c r="D1115" s="77">
        <v>0.01</v>
      </c>
      <c r="E1115" s="77">
        <v>0.01</v>
      </c>
      <c r="F1115" s="77">
        <v>0.01</v>
      </c>
      <c r="G1115" s="78">
        <v>0</v>
      </c>
      <c r="H1115" s="79"/>
      <c r="I1115" s="79"/>
      <c r="J1115" s="79"/>
      <c r="K1115" s="80">
        <v>1.1699999999999999E-2</v>
      </c>
      <c r="L1115" s="80">
        <v>0</v>
      </c>
      <c r="M1115" s="75" t="s">
        <v>143</v>
      </c>
      <c r="N1115" s="75" t="b">
        <v>1</v>
      </c>
      <c r="O1115" s="75" t="s">
        <v>144</v>
      </c>
      <c r="P1115" s="75">
        <v>1994</v>
      </c>
      <c r="Q1115" s="75">
        <v>2020</v>
      </c>
      <c r="R1115" s="75">
        <v>1</v>
      </c>
      <c r="S1115" s="100">
        <v>211044</v>
      </c>
      <c r="T1115" s="101">
        <v>40673</v>
      </c>
      <c r="U1115" s="83"/>
    </row>
    <row r="1116" spans="1:21" s="84" customFormat="1" x14ac:dyDescent="0.3">
      <c r="A1116" s="68">
        <v>40553</v>
      </c>
      <c r="B1116" s="69">
        <f t="shared" si="19"/>
        <v>20110110</v>
      </c>
      <c r="C1116" s="70">
        <v>3.5499999999999997E-2</v>
      </c>
      <c r="D1116" s="77">
        <v>0.01</v>
      </c>
      <c r="E1116" s="77">
        <v>0.01</v>
      </c>
      <c r="F1116" s="77">
        <v>0.01</v>
      </c>
      <c r="G1116" s="78">
        <v>0</v>
      </c>
      <c r="H1116" s="79"/>
      <c r="I1116" s="79"/>
      <c r="J1116" s="79"/>
      <c r="K1116" s="80">
        <v>1.1699999999999999E-2</v>
      </c>
      <c r="L1116" s="80">
        <v>0</v>
      </c>
      <c r="M1116" s="75" t="s">
        <v>143</v>
      </c>
      <c r="N1116" s="75" t="b">
        <v>1</v>
      </c>
      <c r="O1116" s="75" t="s">
        <v>144</v>
      </c>
      <c r="P1116" s="75">
        <v>1994</v>
      </c>
      <c r="Q1116" s="75">
        <v>2020</v>
      </c>
      <c r="R1116" s="75">
        <v>1</v>
      </c>
      <c r="S1116" s="100">
        <v>211044</v>
      </c>
      <c r="T1116" s="101">
        <v>40673</v>
      </c>
      <c r="U1116" s="83"/>
    </row>
    <row r="1117" spans="1:21" s="84" customFormat="1" x14ac:dyDescent="0.3">
      <c r="A1117" s="68">
        <v>40554</v>
      </c>
      <c r="B1117" s="69">
        <f t="shared" si="19"/>
        <v>20110111</v>
      </c>
      <c r="C1117" s="70">
        <v>3.6000000000000004E-2</v>
      </c>
      <c r="D1117" s="77">
        <v>0.01</v>
      </c>
      <c r="E1117" s="77">
        <v>0.01</v>
      </c>
      <c r="F1117" s="77">
        <v>0.01</v>
      </c>
      <c r="G1117" s="78">
        <v>0</v>
      </c>
      <c r="H1117" s="79"/>
      <c r="I1117" s="79"/>
      <c r="J1117" s="79"/>
      <c r="K1117" s="80">
        <v>1.1899999999999999E-2</v>
      </c>
      <c r="L1117" s="80">
        <v>0</v>
      </c>
      <c r="M1117" s="75" t="s">
        <v>143</v>
      </c>
      <c r="N1117" s="75" t="b">
        <v>1</v>
      </c>
      <c r="O1117" s="75" t="s">
        <v>144</v>
      </c>
      <c r="P1117" s="75">
        <v>1994</v>
      </c>
      <c r="Q1117" s="75">
        <v>2020</v>
      </c>
      <c r="R1117" s="75">
        <v>1</v>
      </c>
      <c r="S1117" s="100">
        <v>211044</v>
      </c>
      <c r="T1117" s="101">
        <v>40673</v>
      </c>
      <c r="U1117" s="83"/>
    </row>
    <row r="1118" spans="1:21" s="84" customFormat="1" x14ac:dyDescent="0.3">
      <c r="A1118" s="68">
        <v>40555</v>
      </c>
      <c r="B1118" s="69">
        <f t="shared" si="19"/>
        <v>20110112</v>
      </c>
      <c r="C1118" s="70">
        <v>3.6400000000000002E-2</v>
      </c>
      <c r="D1118" s="77">
        <v>0.01</v>
      </c>
      <c r="E1118" s="77">
        <v>0.01</v>
      </c>
      <c r="F1118" s="77">
        <v>0.01</v>
      </c>
      <c r="G1118" s="78">
        <v>0</v>
      </c>
      <c r="H1118" s="79"/>
      <c r="I1118" s="79"/>
      <c r="J1118" s="79"/>
      <c r="K1118" s="80">
        <v>1.2199999999999999E-2</v>
      </c>
      <c r="L1118" s="80">
        <v>0</v>
      </c>
      <c r="M1118" s="75" t="s">
        <v>143</v>
      </c>
      <c r="N1118" s="75" t="b">
        <v>1</v>
      </c>
      <c r="O1118" s="75" t="s">
        <v>144</v>
      </c>
      <c r="P1118" s="75">
        <v>1994</v>
      </c>
      <c r="Q1118" s="75">
        <v>2020</v>
      </c>
      <c r="R1118" s="75">
        <v>1</v>
      </c>
      <c r="S1118" s="100">
        <v>211044</v>
      </c>
      <c r="T1118" s="101">
        <v>40673</v>
      </c>
      <c r="U1118" s="83"/>
    </row>
    <row r="1119" spans="1:21" s="84" customFormat="1" x14ac:dyDescent="0.3">
      <c r="A1119" s="68">
        <v>40556</v>
      </c>
      <c r="B1119" s="69">
        <f t="shared" si="19"/>
        <v>20110113</v>
      </c>
      <c r="C1119" s="70">
        <v>3.6299999999999999E-2</v>
      </c>
      <c r="D1119" s="77">
        <v>0.01</v>
      </c>
      <c r="E1119" s="77">
        <v>0.01</v>
      </c>
      <c r="F1119" s="77">
        <v>0.01</v>
      </c>
      <c r="G1119" s="78">
        <v>0</v>
      </c>
      <c r="H1119" s="79"/>
      <c r="I1119" s="79"/>
      <c r="J1119" s="79"/>
      <c r="K1119" s="80">
        <v>1.2199999999999999E-2</v>
      </c>
      <c r="L1119" s="80">
        <v>0</v>
      </c>
      <c r="M1119" s="75" t="s">
        <v>143</v>
      </c>
      <c r="N1119" s="75" t="b">
        <v>1</v>
      </c>
      <c r="O1119" s="75" t="s">
        <v>144</v>
      </c>
      <c r="P1119" s="75">
        <v>1994</v>
      </c>
      <c r="Q1119" s="75">
        <v>2020</v>
      </c>
      <c r="R1119" s="75">
        <v>1</v>
      </c>
      <c r="S1119" s="100">
        <v>211044</v>
      </c>
      <c r="T1119" s="101">
        <v>40673</v>
      </c>
      <c r="U1119" s="83"/>
    </row>
    <row r="1120" spans="1:21" s="84" customFormat="1" x14ac:dyDescent="0.3">
      <c r="A1120" s="68">
        <v>40557</v>
      </c>
      <c r="B1120" s="69">
        <f t="shared" si="19"/>
        <v>20110114</v>
      </c>
      <c r="C1120" s="70">
        <v>3.6499999999999998E-2</v>
      </c>
      <c r="D1120" s="77">
        <v>0.01</v>
      </c>
      <c r="E1120" s="77">
        <v>0.01</v>
      </c>
      <c r="F1120" s="77">
        <v>0.01</v>
      </c>
      <c r="G1120" s="78">
        <v>0</v>
      </c>
      <c r="H1120" s="79"/>
      <c r="I1120" s="79"/>
      <c r="J1120" s="79"/>
      <c r="K1120" s="80">
        <v>1.2500000000000001E-2</v>
      </c>
      <c r="L1120" s="80">
        <v>0</v>
      </c>
      <c r="M1120" s="75" t="s">
        <v>143</v>
      </c>
      <c r="N1120" s="75" t="b">
        <v>1</v>
      </c>
      <c r="O1120" s="75" t="s">
        <v>144</v>
      </c>
      <c r="P1120" s="75">
        <v>1994</v>
      </c>
      <c r="Q1120" s="75">
        <v>2020</v>
      </c>
      <c r="R1120" s="75">
        <v>1</v>
      </c>
      <c r="S1120" s="100">
        <v>211044</v>
      </c>
      <c r="T1120" s="101">
        <v>40673</v>
      </c>
      <c r="U1120" s="83"/>
    </row>
    <row r="1121" spans="1:21" s="84" customFormat="1" x14ac:dyDescent="0.3">
      <c r="A1121" s="68">
        <v>40558</v>
      </c>
      <c r="B1121" s="69">
        <f>YEAR(A1121)*10000+MONTH(A1121)*100+DAY(A1121)</f>
        <v>20110115</v>
      </c>
      <c r="C1121" s="70">
        <v>3.6499999999999998E-2</v>
      </c>
      <c r="D1121" s="77">
        <v>0.01</v>
      </c>
      <c r="E1121" s="77">
        <v>0.01</v>
      </c>
      <c r="F1121" s="77">
        <v>0.01</v>
      </c>
      <c r="G1121" s="78">
        <v>0</v>
      </c>
      <c r="H1121" s="79"/>
      <c r="I1121" s="79"/>
      <c r="J1121" s="79"/>
      <c r="K1121" s="80">
        <v>1.2500000000000001E-2</v>
      </c>
      <c r="L1121" s="80">
        <v>0</v>
      </c>
      <c r="M1121" s="75" t="s">
        <v>143</v>
      </c>
      <c r="N1121" s="75" t="b">
        <v>1</v>
      </c>
      <c r="O1121" s="75" t="s">
        <v>144</v>
      </c>
      <c r="P1121" s="75">
        <v>1994</v>
      </c>
      <c r="Q1121" s="75">
        <v>2020</v>
      </c>
      <c r="R1121" s="75">
        <v>1</v>
      </c>
      <c r="S1121" s="100">
        <v>211044</v>
      </c>
      <c r="T1121" s="101">
        <v>40673</v>
      </c>
      <c r="U1121" s="83"/>
    </row>
    <row r="1122" spans="1:21" s="84" customFormat="1" x14ac:dyDescent="0.3">
      <c r="A1122" s="68">
        <v>40559</v>
      </c>
      <c r="B1122" s="69">
        <f>YEAR(A1122)*10000+MONTH(A1122)*100+DAY(A1122)</f>
        <v>20110116</v>
      </c>
      <c r="C1122" s="70">
        <v>3.6499999999999998E-2</v>
      </c>
      <c r="D1122" s="77">
        <v>0.01</v>
      </c>
      <c r="E1122" s="77">
        <v>0.01</v>
      </c>
      <c r="F1122" s="77">
        <v>0.01</v>
      </c>
      <c r="G1122" s="78">
        <v>0</v>
      </c>
      <c r="H1122" s="79"/>
      <c r="I1122" s="79"/>
      <c r="J1122" s="79"/>
      <c r="K1122" s="80">
        <v>1.2500000000000001E-2</v>
      </c>
      <c r="L1122" s="80">
        <v>0</v>
      </c>
      <c r="M1122" s="75" t="s">
        <v>143</v>
      </c>
      <c r="N1122" s="75" t="b">
        <v>1</v>
      </c>
      <c r="O1122" s="75" t="s">
        <v>144</v>
      </c>
      <c r="P1122" s="75">
        <v>1994</v>
      </c>
      <c r="Q1122" s="75">
        <v>2020</v>
      </c>
      <c r="R1122" s="75">
        <v>1</v>
      </c>
      <c r="S1122" s="100">
        <v>211044</v>
      </c>
      <c r="T1122" s="101">
        <v>40673</v>
      </c>
      <c r="U1122" s="83"/>
    </row>
    <row r="1123" spans="1:21" s="84" customFormat="1" x14ac:dyDescent="0.3">
      <c r="A1123" s="68">
        <v>40560</v>
      </c>
      <c r="B1123" s="69">
        <f t="shared" si="19"/>
        <v>20110117</v>
      </c>
      <c r="C1123" s="70">
        <v>3.6400000000000002E-2</v>
      </c>
      <c r="D1123" s="77">
        <v>0.01</v>
      </c>
      <c r="E1123" s="77">
        <v>0.01</v>
      </c>
      <c r="F1123" s="77">
        <v>0.01</v>
      </c>
      <c r="G1123" s="78">
        <v>0</v>
      </c>
      <c r="H1123" s="79"/>
      <c r="I1123" s="79"/>
      <c r="J1123" s="79"/>
      <c r="K1123" s="80">
        <v>1.24E-2</v>
      </c>
      <c r="L1123" s="80">
        <v>0</v>
      </c>
      <c r="M1123" s="75" t="s">
        <v>143</v>
      </c>
      <c r="N1123" s="75" t="b">
        <v>1</v>
      </c>
      <c r="O1123" s="75" t="s">
        <v>144</v>
      </c>
      <c r="P1123" s="75">
        <v>1994</v>
      </c>
      <c r="Q1123" s="75">
        <v>2020</v>
      </c>
      <c r="R1123" s="75">
        <v>1</v>
      </c>
      <c r="S1123" s="100">
        <v>211044</v>
      </c>
      <c r="T1123" s="101">
        <v>40673</v>
      </c>
      <c r="U1123" s="83"/>
    </row>
    <row r="1124" spans="1:21" s="84" customFormat="1" x14ac:dyDescent="0.3">
      <c r="A1124" s="68">
        <v>40561</v>
      </c>
      <c r="B1124" s="69">
        <f t="shared" si="19"/>
        <v>20110118</v>
      </c>
      <c r="C1124" s="70">
        <v>3.6600000000000001E-2</v>
      </c>
      <c r="D1124" s="77">
        <v>0.01</v>
      </c>
      <c r="E1124" s="77">
        <v>0.01</v>
      </c>
      <c r="F1124" s="77">
        <v>0.01</v>
      </c>
      <c r="G1124" s="78">
        <v>0</v>
      </c>
      <c r="H1124" s="79"/>
      <c r="I1124" s="79"/>
      <c r="J1124" s="79"/>
      <c r="K1124" s="80">
        <v>1.26E-2</v>
      </c>
      <c r="L1124" s="80">
        <v>0</v>
      </c>
      <c r="M1124" s="75" t="s">
        <v>143</v>
      </c>
      <c r="N1124" s="75" t="b">
        <v>1</v>
      </c>
      <c r="O1124" s="75" t="s">
        <v>144</v>
      </c>
      <c r="P1124" s="75">
        <v>1994</v>
      </c>
      <c r="Q1124" s="75">
        <v>2020</v>
      </c>
      <c r="R1124" s="75">
        <v>1</v>
      </c>
      <c r="S1124" s="100">
        <v>211044</v>
      </c>
      <c r="T1124" s="101">
        <v>40673</v>
      </c>
      <c r="U1124" s="83"/>
    </row>
    <row r="1125" spans="1:21" s="84" customFormat="1" x14ac:dyDescent="0.3">
      <c r="A1125" s="68">
        <v>40562</v>
      </c>
      <c r="B1125" s="69">
        <f t="shared" si="19"/>
        <v>20110119</v>
      </c>
      <c r="C1125" s="70">
        <v>3.6400000000000002E-2</v>
      </c>
      <c r="D1125" s="77">
        <v>0.01</v>
      </c>
      <c r="E1125" s="77">
        <v>0.01</v>
      </c>
      <c r="F1125" s="77">
        <v>0.01</v>
      </c>
      <c r="G1125" s="78">
        <v>0</v>
      </c>
      <c r="H1125" s="79"/>
      <c r="I1125" s="79"/>
      <c r="J1125" s="79"/>
      <c r="K1125" s="80">
        <v>1.24E-2</v>
      </c>
      <c r="L1125" s="80">
        <v>0</v>
      </c>
      <c r="M1125" s="75" t="s">
        <v>143</v>
      </c>
      <c r="N1125" s="75" t="b">
        <v>1</v>
      </c>
      <c r="O1125" s="75" t="s">
        <v>144</v>
      </c>
      <c r="P1125" s="75">
        <v>1994</v>
      </c>
      <c r="Q1125" s="75">
        <v>2020</v>
      </c>
      <c r="R1125" s="75">
        <v>1</v>
      </c>
      <c r="S1125" s="100">
        <v>211044</v>
      </c>
      <c r="T1125" s="101">
        <v>40673</v>
      </c>
      <c r="U1125" s="83"/>
    </row>
    <row r="1126" spans="1:21" s="84" customFormat="1" x14ac:dyDescent="0.3">
      <c r="A1126" s="68">
        <v>40563</v>
      </c>
      <c r="B1126" s="69">
        <f t="shared" si="19"/>
        <v>20110120</v>
      </c>
      <c r="C1126" s="70">
        <v>3.7000000000000005E-2</v>
      </c>
      <c r="D1126" s="77">
        <v>0.01</v>
      </c>
      <c r="E1126" s="77">
        <v>0.01</v>
      </c>
      <c r="F1126" s="77">
        <v>0.01</v>
      </c>
      <c r="G1126" s="78">
        <v>0</v>
      </c>
      <c r="H1126" s="79"/>
      <c r="I1126" s="79"/>
      <c r="J1126" s="79"/>
      <c r="K1126" s="80">
        <v>1.29E-2</v>
      </c>
      <c r="L1126" s="80">
        <v>0</v>
      </c>
      <c r="M1126" s="75" t="s">
        <v>143</v>
      </c>
      <c r="N1126" s="75" t="b">
        <v>1</v>
      </c>
      <c r="O1126" s="75" t="s">
        <v>144</v>
      </c>
      <c r="P1126" s="75">
        <v>1994</v>
      </c>
      <c r="Q1126" s="75">
        <v>2020</v>
      </c>
      <c r="R1126" s="75">
        <v>1</v>
      </c>
      <c r="S1126" s="100">
        <v>211044</v>
      </c>
      <c r="T1126" s="101">
        <v>40673</v>
      </c>
      <c r="U1126" s="83"/>
    </row>
    <row r="1127" spans="1:21" s="84" customFormat="1" x14ac:dyDescent="0.3">
      <c r="A1127" s="68">
        <v>40564</v>
      </c>
      <c r="B1127" s="69">
        <f t="shared" si="19"/>
        <v>20110121</v>
      </c>
      <c r="C1127" s="70">
        <v>3.7100000000000001E-2</v>
      </c>
      <c r="D1127" s="77">
        <v>0.01</v>
      </c>
      <c r="E1127" s="77">
        <v>0.01</v>
      </c>
      <c r="F1127" s="77">
        <v>0.01</v>
      </c>
      <c r="G1127" s="78">
        <v>0</v>
      </c>
      <c r="H1127" s="79"/>
      <c r="I1127" s="79"/>
      <c r="J1127" s="79"/>
      <c r="K1127" s="80">
        <v>1.3000000000000001E-2</v>
      </c>
      <c r="L1127" s="80">
        <v>0</v>
      </c>
      <c r="M1127" s="75" t="s">
        <v>143</v>
      </c>
      <c r="N1127" s="75" t="b">
        <v>1</v>
      </c>
      <c r="O1127" s="75" t="s">
        <v>144</v>
      </c>
      <c r="P1127" s="75">
        <v>1994</v>
      </c>
      <c r="Q1127" s="75">
        <v>2020</v>
      </c>
      <c r="R1127" s="75">
        <v>1</v>
      </c>
      <c r="S1127" s="100">
        <v>211044</v>
      </c>
      <c r="T1127" s="101">
        <v>40673</v>
      </c>
      <c r="U1127" s="83"/>
    </row>
    <row r="1128" spans="1:21" s="84" customFormat="1" x14ac:dyDescent="0.3">
      <c r="A1128" s="68">
        <v>40565</v>
      </c>
      <c r="B1128" s="69">
        <f>YEAR(A1128)*10000+MONTH(A1128)*100+DAY(A1128)</f>
        <v>20110122</v>
      </c>
      <c r="C1128" s="70">
        <v>3.7100000000000001E-2</v>
      </c>
      <c r="D1128" s="77">
        <v>0.01</v>
      </c>
      <c r="E1128" s="77">
        <v>0.01</v>
      </c>
      <c r="F1128" s="77">
        <v>0.01</v>
      </c>
      <c r="G1128" s="78">
        <v>0</v>
      </c>
      <c r="H1128" s="79"/>
      <c r="I1128" s="79"/>
      <c r="J1128" s="79"/>
      <c r="K1128" s="80">
        <v>1.3000000000000001E-2</v>
      </c>
      <c r="L1128" s="80">
        <v>0</v>
      </c>
      <c r="M1128" s="75" t="s">
        <v>143</v>
      </c>
      <c r="N1128" s="75" t="b">
        <v>1</v>
      </c>
      <c r="O1128" s="75" t="s">
        <v>144</v>
      </c>
      <c r="P1128" s="75">
        <v>1994</v>
      </c>
      <c r="Q1128" s="75">
        <v>2020</v>
      </c>
      <c r="R1128" s="75">
        <v>1</v>
      </c>
      <c r="S1128" s="100">
        <v>211044</v>
      </c>
      <c r="T1128" s="101">
        <v>40673</v>
      </c>
      <c r="U1128" s="83"/>
    </row>
    <row r="1129" spans="1:21" s="84" customFormat="1" x14ac:dyDescent="0.3">
      <c r="A1129" s="68">
        <v>40566</v>
      </c>
      <c r="B1129" s="69">
        <f>YEAR(A1129)*10000+MONTH(A1129)*100+DAY(A1129)</f>
        <v>20110123</v>
      </c>
      <c r="C1129" s="70">
        <v>3.7100000000000001E-2</v>
      </c>
      <c r="D1129" s="77">
        <v>0.01</v>
      </c>
      <c r="E1129" s="77">
        <v>0.01</v>
      </c>
      <c r="F1129" s="77">
        <v>0.01</v>
      </c>
      <c r="G1129" s="78">
        <v>0</v>
      </c>
      <c r="H1129" s="79"/>
      <c r="I1129" s="79"/>
      <c r="J1129" s="79"/>
      <c r="K1129" s="80">
        <v>1.3000000000000001E-2</v>
      </c>
      <c r="L1129" s="80">
        <v>0</v>
      </c>
      <c r="M1129" s="75" t="s">
        <v>143</v>
      </c>
      <c r="N1129" s="75" t="b">
        <v>1</v>
      </c>
      <c r="O1129" s="75" t="s">
        <v>144</v>
      </c>
      <c r="P1129" s="75">
        <v>1994</v>
      </c>
      <c r="Q1129" s="75">
        <v>2020</v>
      </c>
      <c r="R1129" s="75">
        <v>1</v>
      </c>
      <c r="S1129" s="100">
        <v>211044</v>
      </c>
      <c r="T1129" s="101">
        <v>40673</v>
      </c>
      <c r="U1129" s="83"/>
    </row>
    <row r="1130" spans="1:21" s="84" customFormat="1" x14ac:dyDescent="0.3">
      <c r="A1130" s="68">
        <v>40567</v>
      </c>
      <c r="B1130" s="69">
        <f t="shared" si="19"/>
        <v>20110124</v>
      </c>
      <c r="C1130" s="70">
        <v>3.7100000000000001E-2</v>
      </c>
      <c r="D1130" s="77">
        <v>0.01</v>
      </c>
      <c r="E1130" s="77">
        <v>0.01</v>
      </c>
      <c r="F1130" s="77">
        <v>0.01</v>
      </c>
      <c r="G1130" s="78">
        <v>0</v>
      </c>
      <c r="H1130" s="79"/>
      <c r="I1130" s="79"/>
      <c r="J1130" s="79"/>
      <c r="K1130" s="80">
        <v>1.3100000000000001E-2</v>
      </c>
      <c r="L1130" s="80">
        <v>0</v>
      </c>
      <c r="M1130" s="75" t="s">
        <v>143</v>
      </c>
      <c r="N1130" s="75" t="b">
        <v>1</v>
      </c>
      <c r="O1130" s="75" t="s">
        <v>144</v>
      </c>
      <c r="P1130" s="75">
        <v>1994</v>
      </c>
      <c r="Q1130" s="75">
        <v>2020</v>
      </c>
      <c r="R1130" s="75">
        <v>1</v>
      </c>
      <c r="S1130" s="100">
        <v>211044</v>
      </c>
      <c r="T1130" s="101">
        <v>40673</v>
      </c>
      <c r="U1130" s="83"/>
    </row>
    <row r="1131" spans="1:21" s="84" customFormat="1" x14ac:dyDescent="0.3">
      <c r="A1131" s="68">
        <v>40568</v>
      </c>
      <c r="B1131" s="69">
        <f t="shared" si="19"/>
        <v>20110125</v>
      </c>
      <c r="C1131" s="70">
        <v>3.6799999999999999E-2</v>
      </c>
      <c r="D1131" s="77">
        <v>0.01</v>
      </c>
      <c r="E1131" s="77">
        <v>0.01</v>
      </c>
      <c r="F1131" s="77">
        <v>0.01</v>
      </c>
      <c r="G1131" s="78">
        <v>0</v>
      </c>
      <c r="H1131" s="79"/>
      <c r="I1131" s="79"/>
      <c r="J1131" s="79"/>
      <c r="K1131" s="80">
        <v>1.32E-2</v>
      </c>
      <c r="L1131" s="80">
        <v>0</v>
      </c>
      <c r="M1131" s="75" t="s">
        <v>143</v>
      </c>
      <c r="N1131" s="75" t="b">
        <v>1</v>
      </c>
      <c r="O1131" s="75" t="s">
        <v>144</v>
      </c>
      <c r="P1131" s="75">
        <v>1994</v>
      </c>
      <c r="Q1131" s="75">
        <v>2020</v>
      </c>
      <c r="R1131" s="75">
        <v>1</v>
      </c>
      <c r="S1131" s="100">
        <v>211044</v>
      </c>
      <c r="T1131" s="101">
        <v>40673</v>
      </c>
      <c r="U1131" s="83"/>
    </row>
    <row r="1132" spans="1:21" s="84" customFormat="1" x14ac:dyDescent="0.3">
      <c r="A1132" s="68">
        <v>40569</v>
      </c>
      <c r="B1132" s="69">
        <f t="shared" si="19"/>
        <v>20110126</v>
      </c>
      <c r="C1132" s="70">
        <v>3.7100000000000001E-2</v>
      </c>
      <c r="D1132" s="77">
        <v>0.01</v>
      </c>
      <c r="E1132" s="77">
        <v>0.01</v>
      </c>
      <c r="F1132" s="77">
        <v>0.01</v>
      </c>
      <c r="G1132" s="78">
        <v>0</v>
      </c>
      <c r="H1132" s="79"/>
      <c r="I1132" s="79"/>
      <c r="J1132" s="79"/>
      <c r="K1132" s="80">
        <v>1.3500000000000002E-2</v>
      </c>
      <c r="L1132" s="80">
        <v>0</v>
      </c>
      <c r="M1132" s="75" t="s">
        <v>143</v>
      </c>
      <c r="N1132" s="75" t="b">
        <v>1</v>
      </c>
      <c r="O1132" s="75" t="s">
        <v>144</v>
      </c>
      <c r="P1132" s="75">
        <v>1994</v>
      </c>
      <c r="Q1132" s="75">
        <v>2020</v>
      </c>
      <c r="R1132" s="75">
        <v>1</v>
      </c>
      <c r="S1132" s="100">
        <v>211044</v>
      </c>
      <c r="T1132" s="101">
        <v>40673</v>
      </c>
      <c r="U1132" s="83"/>
    </row>
    <row r="1133" spans="1:21" s="84" customFormat="1" x14ac:dyDescent="0.3">
      <c r="A1133" s="68">
        <v>40570</v>
      </c>
      <c r="B1133" s="69">
        <f t="shared" si="19"/>
        <v>20110127</v>
      </c>
      <c r="C1133" s="70">
        <v>3.6799999999999999E-2</v>
      </c>
      <c r="D1133" s="77">
        <v>0.01</v>
      </c>
      <c r="E1133" s="77">
        <v>0.01</v>
      </c>
      <c r="F1133" s="77">
        <v>0.01</v>
      </c>
      <c r="G1133" s="78">
        <v>0</v>
      </c>
      <c r="H1133" s="79"/>
      <c r="I1133" s="79"/>
      <c r="J1133" s="79"/>
      <c r="K1133" s="80">
        <v>1.3500000000000002E-2</v>
      </c>
      <c r="L1133" s="80">
        <v>0</v>
      </c>
      <c r="M1133" s="75" t="s">
        <v>143</v>
      </c>
      <c r="N1133" s="75" t="b">
        <v>1</v>
      </c>
      <c r="O1133" s="75" t="s">
        <v>144</v>
      </c>
      <c r="P1133" s="75">
        <v>1994</v>
      </c>
      <c r="Q1133" s="75">
        <v>2020</v>
      </c>
      <c r="R1133" s="75">
        <v>1</v>
      </c>
      <c r="S1133" s="100">
        <v>211044</v>
      </c>
      <c r="T1133" s="101">
        <v>40673</v>
      </c>
      <c r="U1133" s="83"/>
    </row>
    <row r="1134" spans="1:21" s="84" customFormat="1" x14ac:dyDescent="0.3">
      <c r="A1134" s="68">
        <v>40571</v>
      </c>
      <c r="B1134" s="69">
        <f t="shared" si="19"/>
        <v>20110128</v>
      </c>
      <c r="C1134" s="70">
        <v>3.6600000000000001E-2</v>
      </c>
      <c r="D1134" s="77">
        <v>0.01</v>
      </c>
      <c r="E1134" s="77">
        <v>0.01</v>
      </c>
      <c r="F1134" s="77">
        <v>0.01</v>
      </c>
      <c r="G1134" s="78">
        <v>0</v>
      </c>
      <c r="H1134" s="79"/>
      <c r="I1134" s="79"/>
      <c r="J1134" s="79"/>
      <c r="K1134" s="80">
        <v>1.3600000000000001E-2</v>
      </c>
      <c r="L1134" s="80">
        <v>0</v>
      </c>
      <c r="M1134" s="75" t="s">
        <v>143</v>
      </c>
      <c r="N1134" s="75" t="b">
        <v>1</v>
      </c>
      <c r="O1134" s="75" t="s">
        <v>144</v>
      </c>
      <c r="P1134" s="75">
        <v>1994</v>
      </c>
      <c r="Q1134" s="75">
        <v>2020</v>
      </c>
      <c r="R1134" s="75">
        <v>1</v>
      </c>
      <c r="S1134" s="100">
        <v>211044</v>
      </c>
      <c r="T1134" s="101">
        <v>40673</v>
      </c>
      <c r="U1134" s="83"/>
    </row>
    <row r="1135" spans="1:21" s="84" customFormat="1" x14ac:dyDescent="0.3">
      <c r="A1135" s="68">
        <v>40572</v>
      </c>
      <c r="B1135" s="69">
        <f>YEAR(A1135)*10000+MONTH(A1135)*100+DAY(A1135)</f>
        <v>20110129</v>
      </c>
      <c r="C1135" s="70">
        <v>3.6600000000000001E-2</v>
      </c>
      <c r="D1135" s="77">
        <v>0.01</v>
      </c>
      <c r="E1135" s="77">
        <v>0.01</v>
      </c>
      <c r="F1135" s="77">
        <v>0.01</v>
      </c>
      <c r="G1135" s="78">
        <v>0</v>
      </c>
      <c r="H1135" s="79"/>
      <c r="I1135" s="79"/>
      <c r="J1135" s="79"/>
      <c r="K1135" s="80">
        <v>1.3600000000000001E-2</v>
      </c>
      <c r="L1135" s="80">
        <v>0</v>
      </c>
      <c r="M1135" s="75" t="s">
        <v>143</v>
      </c>
      <c r="N1135" s="75" t="b">
        <v>1</v>
      </c>
      <c r="O1135" s="75" t="s">
        <v>144</v>
      </c>
      <c r="P1135" s="75">
        <v>1994</v>
      </c>
      <c r="Q1135" s="75">
        <v>2020</v>
      </c>
      <c r="R1135" s="75">
        <v>1</v>
      </c>
      <c r="S1135" s="100">
        <v>211044</v>
      </c>
      <c r="T1135" s="101">
        <v>40673</v>
      </c>
      <c r="U1135" s="83"/>
    </row>
    <row r="1136" spans="1:21" s="84" customFormat="1" x14ac:dyDescent="0.3">
      <c r="A1136" s="68">
        <v>40573</v>
      </c>
      <c r="B1136" s="69">
        <f>YEAR(A1136)*10000+MONTH(A1136)*100+DAY(A1136)</f>
        <v>20110130</v>
      </c>
      <c r="C1136" s="70">
        <v>3.6600000000000001E-2</v>
      </c>
      <c r="D1136" s="77">
        <v>0.01</v>
      </c>
      <c r="E1136" s="77">
        <v>0.01</v>
      </c>
      <c r="F1136" s="77">
        <v>0.01</v>
      </c>
      <c r="G1136" s="78">
        <v>0</v>
      </c>
      <c r="H1136" s="79"/>
      <c r="I1136" s="79"/>
      <c r="J1136" s="79"/>
      <c r="K1136" s="80">
        <v>1.3600000000000001E-2</v>
      </c>
      <c r="L1136" s="80">
        <v>0</v>
      </c>
      <c r="M1136" s="75" t="s">
        <v>143</v>
      </c>
      <c r="N1136" s="75" t="b">
        <v>1</v>
      </c>
      <c r="O1136" s="75" t="s">
        <v>144</v>
      </c>
      <c r="P1136" s="75">
        <v>1994</v>
      </c>
      <c r="Q1136" s="75">
        <v>2020</v>
      </c>
      <c r="R1136" s="75">
        <v>1</v>
      </c>
      <c r="S1136" s="100">
        <v>211044</v>
      </c>
      <c r="T1136" s="101">
        <v>40673</v>
      </c>
      <c r="U1136" s="83"/>
    </row>
    <row r="1137" spans="1:21" s="84" customFormat="1" x14ac:dyDescent="0.3">
      <c r="A1137" s="68">
        <v>40574</v>
      </c>
      <c r="B1137" s="69">
        <f t="shared" si="19"/>
        <v>20110131</v>
      </c>
      <c r="C1137" s="70">
        <v>3.6799999999999999E-2</v>
      </c>
      <c r="D1137" s="77">
        <v>0.01</v>
      </c>
      <c r="E1137" s="77">
        <v>0.01</v>
      </c>
      <c r="F1137" s="77">
        <v>0.01</v>
      </c>
      <c r="G1137" s="78">
        <v>0</v>
      </c>
      <c r="H1137" s="79"/>
      <c r="I1137" s="79"/>
      <c r="J1137" s="79"/>
      <c r="K1137" s="80">
        <v>1.38E-2</v>
      </c>
      <c r="L1137" s="80">
        <v>0</v>
      </c>
      <c r="M1137" s="75" t="s">
        <v>143</v>
      </c>
      <c r="N1137" s="75" t="b">
        <v>1</v>
      </c>
      <c r="O1137" s="75" t="s">
        <v>144</v>
      </c>
      <c r="P1137" s="75">
        <v>1994</v>
      </c>
      <c r="Q1137" s="75">
        <v>2020</v>
      </c>
      <c r="R1137" s="75">
        <v>1</v>
      </c>
      <c r="S1137" s="100">
        <v>211044</v>
      </c>
      <c r="T1137" s="101">
        <v>40673</v>
      </c>
      <c r="U1137" s="83"/>
    </row>
    <row r="1138" spans="1:21" s="84" customFormat="1" x14ac:dyDescent="0.3">
      <c r="A1138" s="68">
        <v>40575</v>
      </c>
      <c r="B1138" s="69">
        <f t="shared" si="19"/>
        <v>20110201</v>
      </c>
      <c r="C1138" s="70">
        <v>3.73E-2</v>
      </c>
      <c r="D1138" s="77">
        <v>0.01</v>
      </c>
      <c r="E1138" s="77">
        <v>0.01</v>
      </c>
      <c r="F1138" s="77">
        <v>0.01</v>
      </c>
      <c r="G1138" s="78">
        <v>0</v>
      </c>
      <c r="H1138" s="79"/>
      <c r="I1138" s="79"/>
      <c r="J1138" s="79"/>
      <c r="K1138" s="80">
        <v>1.3899999999999999E-2</v>
      </c>
      <c r="L1138" s="80">
        <v>0</v>
      </c>
      <c r="M1138" s="75" t="s">
        <v>143</v>
      </c>
      <c r="N1138" s="75" t="b">
        <v>1</v>
      </c>
      <c r="O1138" s="75" t="s">
        <v>144</v>
      </c>
      <c r="P1138" s="75">
        <v>1994</v>
      </c>
      <c r="Q1138" s="75">
        <v>2020</v>
      </c>
      <c r="R1138" s="75">
        <v>1</v>
      </c>
      <c r="S1138" s="100">
        <v>211044</v>
      </c>
      <c r="T1138" s="101">
        <v>40673</v>
      </c>
      <c r="U1138" s="83"/>
    </row>
    <row r="1139" spans="1:21" s="84" customFormat="1" x14ac:dyDescent="0.3">
      <c r="A1139" s="68">
        <v>40576</v>
      </c>
      <c r="B1139" s="69">
        <f t="shared" si="19"/>
        <v>20110202</v>
      </c>
      <c r="C1139" s="70">
        <v>3.7499999999999999E-2</v>
      </c>
      <c r="D1139" s="77">
        <v>0.01</v>
      </c>
      <c r="E1139" s="77">
        <v>0.01</v>
      </c>
      <c r="F1139" s="77">
        <v>0.01</v>
      </c>
      <c r="G1139" s="78">
        <v>0</v>
      </c>
      <c r="H1139" s="79"/>
      <c r="I1139" s="79"/>
      <c r="J1139" s="79"/>
      <c r="K1139" s="80">
        <v>1.41E-2</v>
      </c>
      <c r="L1139" s="80">
        <v>0</v>
      </c>
      <c r="M1139" s="75" t="s">
        <v>143</v>
      </c>
      <c r="N1139" s="75" t="b">
        <v>1</v>
      </c>
      <c r="O1139" s="75" t="s">
        <v>144</v>
      </c>
      <c r="P1139" s="75">
        <v>1994</v>
      </c>
      <c r="Q1139" s="75">
        <v>2020</v>
      </c>
      <c r="R1139" s="75">
        <v>1</v>
      </c>
      <c r="S1139" s="100">
        <v>211044</v>
      </c>
      <c r="T1139" s="101">
        <v>40673</v>
      </c>
      <c r="U1139" s="83"/>
    </row>
    <row r="1140" spans="1:21" s="84" customFormat="1" x14ac:dyDescent="0.3">
      <c r="A1140" s="68">
        <v>40577</v>
      </c>
      <c r="B1140" s="69">
        <f t="shared" si="19"/>
        <v>20110203</v>
      </c>
      <c r="C1140" s="70">
        <v>3.7699999999999997E-2</v>
      </c>
      <c r="D1140" s="77">
        <v>0.01</v>
      </c>
      <c r="E1140" s="77">
        <v>0.01</v>
      </c>
      <c r="F1140" s="77">
        <v>0.01</v>
      </c>
      <c r="G1140" s="78">
        <v>0</v>
      </c>
      <c r="H1140" s="79"/>
      <c r="I1140" s="79"/>
      <c r="J1140" s="79"/>
      <c r="K1140" s="80">
        <v>1.4199999999999999E-2</v>
      </c>
      <c r="L1140" s="80">
        <v>0</v>
      </c>
      <c r="M1140" s="75" t="s">
        <v>143</v>
      </c>
      <c r="N1140" s="75" t="b">
        <v>1</v>
      </c>
      <c r="O1140" s="75" t="s">
        <v>144</v>
      </c>
      <c r="P1140" s="75">
        <v>1994</v>
      </c>
      <c r="Q1140" s="75">
        <v>2020</v>
      </c>
      <c r="R1140" s="75">
        <v>1</v>
      </c>
      <c r="S1140" s="100">
        <v>211044</v>
      </c>
      <c r="T1140" s="101">
        <v>40673</v>
      </c>
      <c r="U1140" s="83"/>
    </row>
    <row r="1141" spans="1:21" s="84" customFormat="1" x14ac:dyDescent="0.3">
      <c r="A1141" s="68">
        <v>40578</v>
      </c>
      <c r="B1141" s="69">
        <f t="shared" si="19"/>
        <v>20110204</v>
      </c>
      <c r="C1141" s="70">
        <v>3.7900000000000003E-2</v>
      </c>
      <c r="D1141" s="77">
        <v>0.01</v>
      </c>
      <c r="E1141" s="77">
        <v>0.01</v>
      </c>
      <c r="F1141" s="77">
        <v>0.01</v>
      </c>
      <c r="G1141" s="78">
        <v>0</v>
      </c>
      <c r="H1141" s="79"/>
      <c r="I1141" s="79"/>
      <c r="J1141" s="79"/>
      <c r="K1141" s="80">
        <v>1.44E-2</v>
      </c>
      <c r="L1141" s="80">
        <v>0</v>
      </c>
      <c r="M1141" s="75" t="s">
        <v>143</v>
      </c>
      <c r="N1141" s="75" t="b">
        <v>1</v>
      </c>
      <c r="O1141" s="75" t="s">
        <v>144</v>
      </c>
      <c r="P1141" s="75">
        <v>1994</v>
      </c>
      <c r="Q1141" s="75">
        <v>2020</v>
      </c>
      <c r="R1141" s="75">
        <v>1</v>
      </c>
      <c r="S1141" s="100">
        <v>211044</v>
      </c>
      <c r="T1141" s="101">
        <v>40673</v>
      </c>
      <c r="U1141" s="83"/>
    </row>
    <row r="1142" spans="1:21" s="84" customFormat="1" x14ac:dyDescent="0.3">
      <c r="A1142" s="68">
        <v>40579</v>
      </c>
      <c r="B1142" s="69">
        <f t="shared" si="19"/>
        <v>20110205</v>
      </c>
      <c r="C1142" s="70">
        <v>3.7900000000000003E-2</v>
      </c>
      <c r="D1142" s="77">
        <v>0.01</v>
      </c>
      <c r="E1142" s="77">
        <v>0.01</v>
      </c>
      <c r="F1142" s="77">
        <v>0.01</v>
      </c>
      <c r="G1142" s="78">
        <v>0</v>
      </c>
      <c r="H1142" s="79"/>
      <c r="I1142" s="79"/>
      <c r="J1142" s="79"/>
      <c r="K1142" s="80">
        <v>1.44E-2</v>
      </c>
      <c r="L1142" s="80">
        <v>0</v>
      </c>
      <c r="M1142" s="75" t="s">
        <v>143</v>
      </c>
      <c r="N1142" s="75" t="b">
        <v>1</v>
      </c>
      <c r="O1142" s="75" t="s">
        <v>144</v>
      </c>
      <c r="P1142" s="75">
        <v>1994</v>
      </c>
      <c r="Q1142" s="75">
        <v>2020</v>
      </c>
      <c r="R1142" s="75">
        <v>1</v>
      </c>
      <c r="S1142" s="100">
        <v>211044</v>
      </c>
      <c r="T1142" s="101">
        <v>40673</v>
      </c>
      <c r="U1142" s="83"/>
    </row>
    <row r="1143" spans="1:21" s="84" customFormat="1" x14ac:dyDescent="0.3">
      <c r="A1143" s="68">
        <v>40580</v>
      </c>
      <c r="B1143" s="69">
        <f t="shared" si="19"/>
        <v>20110206</v>
      </c>
      <c r="C1143" s="70">
        <v>3.7900000000000003E-2</v>
      </c>
      <c r="D1143" s="77">
        <v>0.01</v>
      </c>
      <c r="E1143" s="77">
        <v>0.01</v>
      </c>
      <c r="F1143" s="77">
        <v>0.01</v>
      </c>
      <c r="G1143" s="78">
        <v>0</v>
      </c>
      <c r="H1143" s="79"/>
      <c r="I1143" s="79"/>
      <c r="J1143" s="79"/>
      <c r="K1143" s="80">
        <v>1.44E-2</v>
      </c>
      <c r="L1143" s="80">
        <v>0</v>
      </c>
      <c r="M1143" s="75" t="s">
        <v>143</v>
      </c>
      <c r="N1143" s="75" t="b">
        <v>1</v>
      </c>
      <c r="O1143" s="75" t="s">
        <v>144</v>
      </c>
      <c r="P1143" s="75">
        <v>1994</v>
      </c>
      <c r="Q1143" s="75">
        <v>2020</v>
      </c>
      <c r="R1143" s="75">
        <v>1</v>
      </c>
      <c r="S1143" s="100">
        <v>211044</v>
      </c>
      <c r="T1143" s="101">
        <v>40673</v>
      </c>
      <c r="U1143" s="83"/>
    </row>
    <row r="1144" spans="1:21" s="84" customFormat="1" x14ac:dyDescent="0.3">
      <c r="A1144" s="68">
        <v>40581</v>
      </c>
      <c r="B1144" s="69">
        <f t="shared" si="19"/>
        <v>20110207</v>
      </c>
      <c r="C1144" s="70">
        <v>3.7599999999999995E-2</v>
      </c>
      <c r="D1144" s="77">
        <v>0.01</v>
      </c>
      <c r="E1144" s="77">
        <v>0.01</v>
      </c>
      <c r="F1144" s="77">
        <v>0.01</v>
      </c>
      <c r="G1144" s="78">
        <v>0</v>
      </c>
      <c r="H1144" s="79"/>
      <c r="I1144" s="79"/>
      <c r="J1144" s="79"/>
      <c r="K1144" s="80">
        <v>1.43E-2</v>
      </c>
      <c r="L1144" s="80">
        <v>0</v>
      </c>
      <c r="M1144" s="75" t="s">
        <v>143</v>
      </c>
      <c r="N1144" s="75" t="b">
        <v>1</v>
      </c>
      <c r="O1144" s="75" t="s">
        <v>144</v>
      </c>
      <c r="P1144" s="75">
        <v>1994</v>
      </c>
      <c r="Q1144" s="75">
        <v>2020</v>
      </c>
      <c r="R1144" s="75">
        <v>1</v>
      </c>
      <c r="S1144" s="100">
        <v>211044</v>
      </c>
      <c r="T1144" s="101">
        <v>40673</v>
      </c>
      <c r="U1144" s="83"/>
    </row>
    <row r="1145" spans="1:21" s="84" customFormat="1" x14ac:dyDescent="0.3">
      <c r="A1145" s="68">
        <v>40582</v>
      </c>
      <c r="B1145" s="69">
        <f t="shared" si="19"/>
        <v>20110208</v>
      </c>
      <c r="C1145" s="70">
        <v>3.7999999999999999E-2</v>
      </c>
      <c r="D1145" s="77">
        <v>0.01</v>
      </c>
      <c r="E1145" s="77">
        <v>0.01</v>
      </c>
      <c r="F1145" s="77">
        <v>0.01</v>
      </c>
      <c r="G1145" s="78">
        <v>0</v>
      </c>
      <c r="H1145" s="79"/>
      <c r="I1145" s="79"/>
      <c r="J1145" s="79"/>
      <c r="K1145" s="80">
        <v>1.47E-2</v>
      </c>
      <c r="L1145" s="80">
        <v>0</v>
      </c>
      <c r="M1145" s="75" t="s">
        <v>143</v>
      </c>
      <c r="N1145" s="75" t="b">
        <v>1</v>
      </c>
      <c r="O1145" s="75" t="s">
        <v>144</v>
      </c>
      <c r="P1145" s="75">
        <v>1994</v>
      </c>
      <c r="Q1145" s="75">
        <v>2020</v>
      </c>
      <c r="R1145" s="75">
        <v>1</v>
      </c>
      <c r="S1145" s="100">
        <v>211044</v>
      </c>
      <c r="T1145" s="101">
        <v>40673</v>
      </c>
      <c r="U1145" s="83"/>
    </row>
    <row r="1146" spans="1:21" s="84" customFormat="1" x14ac:dyDescent="0.3">
      <c r="A1146" s="68">
        <v>40583</v>
      </c>
      <c r="B1146" s="69">
        <f t="shared" si="19"/>
        <v>20110209</v>
      </c>
      <c r="C1146" s="70">
        <v>3.7699999999999997E-2</v>
      </c>
      <c r="D1146" s="77">
        <v>0.01</v>
      </c>
      <c r="E1146" s="77">
        <v>0.01</v>
      </c>
      <c r="F1146" s="77">
        <v>0.01</v>
      </c>
      <c r="G1146" s="78">
        <v>0</v>
      </c>
      <c r="H1146" s="79"/>
      <c r="I1146" s="79"/>
      <c r="J1146" s="79"/>
      <c r="K1146" s="80">
        <v>1.43E-2</v>
      </c>
      <c r="L1146" s="80">
        <v>0</v>
      </c>
      <c r="M1146" s="75" t="s">
        <v>143</v>
      </c>
      <c r="N1146" s="75" t="b">
        <v>1</v>
      </c>
      <c r="O1146" s="75" t="s">
        <v>144</v>
      </c>
      <c r="P1146" s="75">
        <v>1994</v>
      </c>
      <c r="Q1146" s="75">
        <v>2020</v>
      </c>
      <c r="R1146" s="75">
        <v>1</v>
      </c>
      <c r="S1146" s="100">
        <v>211044</v>
      </c>
      <c r="T1146" s="101">
        <v>40673</v>
      </c>
      <c r="U1146" s="83"/>
    </row>
    <row r="1147" spans="1:21" s="84" customFormat="1" x14ac:dyDescent="0.3">
      <c r="A1147" s="68">
        <v>40584</v>
      </c>
      <c r="B1147" s="69">
        <f t="shared" si="19"/>
        <v>20110210</v>
      </c>
      <c r="C1147" s="70">
        <v>3.7900000000000003E-2</v>
      </c>
      <c r="D1147" s="77">
        <v>0.01</v>
      </c>
      <c r="E1147" s="77">
        <v>0.01</v>
      </c>
      <c r="F1147" s="77">
        <v>0.01</v>
      </c>
      <c r="G1147" s="78">
        <v>0</v>
      </c>
      <c r="H1147" s="79"/>
      <c r="I1147" s="79"/>
      <c r="J1147" s="79"/>
      <c r="K1147" s="80">
        <v>1.4499999999999999E-2</v>
      </c>
      <c r="L1147" s="80">
        <v>0</v>
      </c>
      <c r="M1147" s="75" t="s">
        <v>143</v>
      </c>
      <c r="N1147" s="75" t="b">
        <v>1</v>
      </c>
      <c r="O1147" s="75" t="s">
        <v>144</v>
      </c>
      <c r="P1147" s="75">
        <v>1994</v>
      </c>
      <c r="Q1147" s="75">
        <v>2020</v>
      </c>
      <c r="R1147" s="75">
        <v>1</v>
      </c>
      <c r="S1147" s="100">
        <v>211044</v>
      </c>
      <c r="T1147" s="101">
        <v>40673</v>
      </c>
      <c r="U1147" s="83"/>
    </row>
    <row r="1148" spans="1:21" s="84" customFormat="1" x14ac:dyDescent="0.3">
      <c r="A1148" s="68">
        <v>40585</v>
      </c>
      <c r="B1148" s="69">
        <f t="shared" si="19"/>
        <v>20110211</v>
      </c>
      <c r="C1148" s="70">
        <v>3.7900000000000003E-2</v>
      </c>
      <c r="D1148" s="77">
        <v>0.01</v>
      </c>
      <c r="E1148" s="77">
        <v>0.01</v>
      </c>
      <c r="F1148" s="77">
        <v>0.01</v>
      </c>
      <c r="G1148" s="78">
        <v>0</v>
      </c>
      <c r="H1148" s="79"/>
      <c r="I1148" s="79"/>
      <c r="J1148" s="79"/>
      <c r="K1148" s="80">
        <v>1.44E-2</v>
      </c>
      <c r="L1148" s="80">
        <v>0</v>
      </c>
      <c r="M1148" s="75" t="s">
        <v>143</v>
      </c>
      <c r="N1148" s="75" t="b">
        <v>1</v>
      </c>
      <c r="O1148" s="75" t="s">
        <v>144</v>
      </c>
      <c r="P1148" s="75">
        <v>1994</v>
      </c>
      <c r="Q1148" s="75">
        <v>2020</v>
      </c>
      <c r="R1148" s="75">
        <v>1</v>
      </c>
      <c r="S1148" s="100">
        <v>211044</v>
      </c>
      <c r="T1148" s="101">
        <v>40673</v>
      </c>
      <c r="U1148" s="83"/>
    </row>
    <row r="1149" spans="1:21" s="84" customFormat="1" x14ac:dyDescent="0.3">
      <c r="A1149" s="68">
        <v>40586</v>
      </c>
      <c r="B1149" s="69">
        <f t="shared" si="19"/>
        <v>20110212</v>
      </c>
      <c r="C1149" s="70">
        <v>3.7900000000000003E-2</v>
      </c>
      <c r="D1149" s="77">
        <v>0.01</v>
      </c>
      <c r="E1149" s="77">
        <v>0.01</v>
      </c>
      <c r="F1149" s="77">
        <v>0.01</v>
      </c>
      <c r="G1149" s="78">
        <v>0</v>
      </c>
      <c r="H1149" s="79"/>
      <c r="I1149" s="79"/>
      <c r="J1149" s="79"/>
      <c r="K1149" s="80">
        <v>1.44E-2</v>
      </c>
      <c r="L1149" s="80">
        <v>0</v>
      </c>
      <c r="M1149" s="75" t="s">
        <v>143</v>
      </c>
      <c r="N1149" s="75" t="b">
        <v>1</v>
      </c>
      <c r="O1149" s="75" t="s">
        <v>144</v>
      </c>
      <c r="P1149" s="75">
        <v>1994</v>
      </c>
      <c r="Q1149" s="75">
        <v>2020</v>
      </c>
      <c r="R1149" s="75">
        <v>1</v>
      </c>
      <c r="S1149" s="100">
        <v>211044</v>
      </c>
      <c r="T1149" s="101">
        <v>40673</v>
      </c>
      <c r="U1149" s="83"/>
    </row>
    <row r="1150" spans="1:21" s="84" customFormat="1" x14ac:dyDescent="0.3">
      <c r="A1150" s="68">
        <v>40587</v>
      </c>
      <c r="B1150" s="69">
        <f t="shared" si="19"/>
        <v>20110213</v>
      </c>
      <c r="C1150" s="70">
        <v>3.7900000000000003E-2</v>
      </c>
      <c r="D1150" s="77">
        <v>0.01</v>
      </c>
      <c r="E1150" s="77">
        <v>0.01</v>
      </c>
      <c r="F1150" s="77">
        <v>0.01</v>
      </c>
      <c r="G1150" s="78">
        <v>0</v>
      </c>
      <c r="H1150" s="79"/>
      <c r="I1150" s="79"/>
      <c r="J1150" s="79"/>
      <c r="K1150" s="80">
        <v>1.44E-2</v>
      </c>
      <c r="L1150" s="80">
        <v>0</v>
      </c>
      <c r="M1150" s="75" t="s">
        <v>143</v>
      </c>
      <c r="N1150" s="75" t="b">
        <v>1</v>
      </c>
      <c r="O1150" s="75" t="s">
        <v>144</v>
      </c>
      <c r="P1150" s="75">
        <v>1994</v>
      </c>
      <c r="Q1150" s="75">
        <v>2020</v>
      </c>
      <c r="R1150" s="75">
        <v>1</v>
      </c>
      <c r="S1150" s="100">
        <v>211044</v>
      </c>
      <c r="T1150" s="101">
        <v>40673</v>
      </c>
      <c r="U1150" s="83"/>
    </row>
    <row r="1151" spans="1:21" s="84" customFormat="1" x14ac:dyDescent="0.3">
      <c r="A1151" s="68">
        <v>40588</v>
      </c>
      <c r="B1151" s="69">
        <f t="shared" si="19"/>
        <v>20110214</v>
      </c>
      <c r="C1151" s="70">
        <v>3.7999999999999999E-2</v>
      </c>
      <c r="D1151" s="77">
        <v>0.01</v>
      </c>
      <c r="E1151" s="77">
        <v>0.01</v>
      </c>
      <c r="F1151" s="77">
        <v>0.01</v>
      </c>
      <c r="G1151" s="78">
        <v>0</v>
      </c>
      <c r="H1151" s="79"/>
      <c r="I1151" s="79"/>
      <c r="J1151" s="79"/>
      <c r="K1151" s="80">
        <v>1.46E-2</v>
      </c>
      <c r="L1151" s="80">
        <v>0</v>
      </c>
      <c r="M1151" s="75" t="s">
        <v>143</v>
      </c>
      <c r="N1151" s="75" t="b">
        <v>1</v>
      </c>
      <c r="O1151" s="75" t="s">
        <v>144</v>
      </c>
      <c r="P1151" s="75">
        <v>1994</v>
      </c>
      <c r="Q1151" s="75">
        <v>2020</v>
      </c>
      <c r="R1151" s="75">
        <v>1</v>
      </c>
      <c r="S1151" s="100">
        <v>211044</v>
      </c>
      <c r="T1151" s="101">
        <v>40673</v>
      </c>
      <c r="U1151" s="83"/>
    </row>
    <row r="1152" spans="1:21" s="84" customFormat="1" x14ac:dyDescent="0.3">
      <c r="A1152" s="68">
        <v>40589</v>
      </c>
      <c r="B1152" s="69">
        <f t="shared" si="19"/>
        <v>20110215</v>
      </c>
      <c r="C1152" s="70">
        <v>3.7999999999999999E-2</v>
      </c>
      <c r="D1152" s="77">
        <v>0.01</v>
      </c>
      <c r="E1152" s="77">
        <v>0.01</v>
      </c>
      <c r="F1152" s="77">
        <v>0.01</v>
      </c>
      <c r="G1152" s="78">
        <v>0</v>
      </c>
      <c r="H1152" s="79"/>
      <c r="I1152" s="79"/>
      <c r="J1152" s="79"/>
      <c r="K1152" s="80">
        <v>1.4499999999999999E-2</v>
      </c>
      <c r="L1152" s="80">
        <v>0</v>
      </c>
      <c r="M1152" s="75" t="s">
        <v>143</v>
      </c>
      <c r="N1152" s="75" t="b">
        <v>1</v>
      </c>
      <c r="O1152" s="75" t="s">
        <v>144</v>
      </c>
      <c r="P1152" s="75">
        <v>1994</v>
      </c>
      <c r="Q1152" s="75">
        <v>2020</v>
      </c>
      <c r="R1152" s="75">
        <v>1</v>
      </c>
      <c r="S1152" s="100">
        <v>211044</v>
      </c>
      <c r="T1152" s="101">
        <v>40673</v>
      </c>
      <c r="U1152" s="83"/>
    </row>
    <row r="1153" spans="1:21" s="84" customFormat="1" x14ac:dyDescent="0.3">
      <c r="A1153" s="68">
        <v>40590</v>
      </c>
      <c r="B1153" s="69">
        <f t="shared" si="19"/>
        <v>20110216</v>
      </c>
      <c r="C1153" s="70">
        <v>3.8199999999999998E-2</v>
      </c>
      <c r="D1153" s="77">
        <v>0.01</v>
      </c>
      <c r="E1153" s="77">
        <v>0.01</v>
      </c>
      <c r="F1153" s="77">
        <v>0.01</v>
      </c>
      <c r="G1153" s="78">
        <v>0</v>
      </c>
      <c r="H1153" s="79"/>
      <c r="I1153" s="79"/>
      <c r="J1153" s="79"/>
      <c r="K1153" s="80">
        <v>1.47E-2</v>
      </c>
      <c r="L1153" s="80">
        <v>0</v>
      </c>
      <c r="M1153" s="75" t="s">
        <v>143</v>
      </c>
      <c r="N1153" s="75" t="b">
        <v>1</v>
      </c>
      <c r="O1153" s="75" t="s">
        <v>144</v>
      </c>
      <c r="P1153" s="75">
        <v>1994</v>
      </c>
      <c r="Q1153" s="75">
        <v>2020</v>
      </c>
      <c r="R1153" s="75">
        <v>1</v>
      </c>
      <c r="S1153" s="100">
        <v>211044</v>
      </c>
      <c r="T1153" s="101">
        <v>40673</v>
      </c>
      <c r="U1153" s="83"/>
    </row>
    <row r="1154" spans="1:21" s="84" customFormat="1" x14ac:dyDescent="0.3">
      <c r="A1154" s="68">
        <v>40591</v>
      </c>
      <c r="B1154" s="69">
        <f t="shared" si="19"/>
        <v>20110217</v>
      </c>
      <c r="C1154" s="70">
        <v>3.8100000000000002E-2</v>
      </c>
      <c r="D1154" s="77">
        <v>0.01</v>
      </c>
      <c r="E1154" s="77">
        <v>0.01</v>
      </c>
      <c r="F1154" s="77">
        <v>0.01</v>
      </c>
      <c r="G1154" s="78">
        <v>0</v>
      </c>
      <c r="H1154" s="79"/>
      <c r="I1154" s="79"/>
      <c r="J1154" s="79"/>
      <c r="K1154" s="80">
        <v>1.46E-2</v>
      </c>
      <c r="L1154" s="80">
        <v>0</v>
      </c>
      <c r="M1154" s="75" t="s">
        <v>143</v>
      </c>
      <c r="N1154" s="75" t="b">
        <v>1</v>
      </c>
      <c r="O1154" s="75" t="s">
        <v>144</v>
      </c>
      <c r="P1154" s="75">
        <v>1994</v>
      </c>
      <c r="Q1154" s="75">
        <v>2020</v>
      </c>
      <c r="R1154" s="75">
        <v>1</v>
      </c>
      <c r="S1154" s="100">
        <v>211044</v>
      </c>
      <c r="T1154" s="101">
        <v>40673</v>
      </c>
      <c r="U1154" s="83"/>
    </row>
    <row r="1155" spans="1:21" s="84" customFormat="1" x14ac:dyDescent="0.3">
      <c r="A1155" s="68">
        <v>40592</v>
      </c>
      <c r="B1155" s="69">
        <f t="shared" si="19"/>
        <v>20110218</v>
      </c>
      <c r="C1155" s="70">
        <v>3.8100000000000002E-2</v>
      </c>
      <c r="D1155" s="77">
        <v>0.01</v>
      </c>
      <c r="E1155" s="77">
        <v>0.01</v>
      </c>
      <c r="F1155" s="77">
        <v>0.01</v>
      </c>
      <c r="G1155" s="78">
        <v>0</v>
      </c>
      <c r="H1155" s="79"/>
      <c r="I1155" s="79"/>
      <c r="J1155" s="79"/>
      <c r="K1155" s="80">
        <v>1.47E-2</v>
      </c>
      <c r="L1155" s="80">
        <v>0</v>
      </c>
      <c r="M1155" s="75" t="s">
        <v>143</v>
      </c>
      <c r="N1155" s="75" t="b">
        <v>1</v>
      </c>
      <c r="O1155" s="75" t="s">
        <v>144</v>
      </c>
      <c r="P1155" s="75">
        <v>1994</v>
      </c>
      <c r="Q1155" s="75">
        <v>2020</v>
      </c>
      <c r="R1155" s="75">
        <v>1</v>
      </c>
      <c r="S1155" s="100">
        <v>211044</v>
      </c>
      <c r="T1155" s="101">
        <v>40673</v>
      </c>
      <c r="U1155" s="83"/>
    </row>
    <row r="1156" spans="1:21" s="84" customFormat="1" x14ac:dyDescent="0.3">
      <c r="A1156" s="68">
        <v>40593</v>
      </c>
      <c r="B1156" s="69">
        <f t="shared" si="19"/>
        <v>20110219</v>
      </c>
      <c r="C1156" s="70">
        <v>3.8100000000000002E-2</v>
      </c>
      <c r="D1156" s="77">
        <v>0.01</v>
      </c>
      <c r="E1156" s="77">
        <v>0.01</v>
      </c>
      <c r="F1156" s="77">
        <v>0.01</v>
      </c>
      <c r="G1156" s="78">
        <v>0</v>
      </c>
      <c r="H1156" s="79"/>
      <c r="I1156" s="79"/>
      <c r="J1156" s="79"/>
      <c r="K1156" s="80">
        <v>1.47E-2</v>
      </c>
      <c r="L1156" s="80">
        <v>0</v>
      </c>
      <c r="M1156" s="75" t="s">
        <v>143</v>
      </c>
      <c r="N1156" s="75" t="b">
        <v>1</v>
      </c>
      <c r="O1156" s="75" t="s">
        <v>144</v>
      </c>
      <c r="P1156" s="75">
        <v>1994</v>
      </c>
      <c r="Q1156" s="75">
        <v>2020</v>
      </c>
      <c r="R1156" s="75">
        <v>1</v>
      </c>
      <c r="S1156" s="100">
        <v>211044</v>
      </c>
      <c r="T1156" s="101">
        <v>40673</v>
      </c>
      <c r="U1156" s="83"/>
    </row>
    <row r="1157" spans="1:21" s="84" customFormat="1" x14ac:dyDescent="0.3">
      <c r="A1157" s="68">
        <v>40594</v>
      </c>
      <c r="B1157" s="69">
        <f t="shared" si="19"/>
        <v>20110220</v>
      </c>
      <c r="C1157" s="70">
        <v>3.8100000000000002E-2</v>
      </c>
      <c r="D1157" s="77">
        <v>0.01</v>
      </c>
      <c r="E1157" s="77">
        <v>0.01</v>
      </c>
      <c r="F1157" s="77">
        <v>0.01</v>
      </c>
      <c r="G1157" s="78">
        <v>0</v>
      </c>
      <c r="H1157" s="79"/>
      <c r="I1157" s="79"/>
      <c r="J1157" s="79"/>
      <c r="K1157" s="80">
        <v>1.47E-2</v>
      </c>
      <c r="L1157" s="80">
        <v>0</v>
      </c>
      <c r="M1157" s="75" t="s">
        <v>143</v>
      </c>
      <c r="N1157" s="75" t="b">
        <v>1</v>
      </c>
      <c r="O1157" s="75" t="s">
        <v>144</v>
      </c>
      <c r="P1157" s="75">
        <v>1994</v>
      </c>
      <c r="Q1157" s="75">
        <v>2020</v>
      </c>
      <c r="R1157" s="75">
        <v>1</v>
      </c>
      <c r="S1157" s="100">
        <v>211044</v>
      </c>
      <c r="T1157" s="101">
        <v>40673</v>
      </c>
      <c r="U1157" s="83"/>
    </row>
    <row r="1158" spans="1:21" s="84" customFormat="1" x14ac:dyDescent="0.3">
      <c r="A1158" s="68">
        <v>40595</v>
      </c>
      <c r="B1158" s="69">
        <f t="shared" si="19"/>
        <v>20110221</v>
      </c>
      <c r="C1158" s="70">
        <v>3.8100000000000002E-2</v>
      </c>
      <c r="D1158" s="77">
        <v>0.01</v>
      </c>
      <c r="E1158" s="77">
        <v>0.01</v>
      </c>
      <c r="F1158" s="77">
        <v>0.01</v>
      </c>
      <c r="G1158" s="78">
        <v>0</v>
      </c>
      <c r="H1158" s="79"/>
      <c r="I1158" s="79"/>
      <c r="J1158" s="79"/>
      <c r="K1158" s="80">
        <v>1.47E-2</v>
      </c>
      <c r="L1158" s="80">
        <v>0</v>
      </c>
      <c r="M1158" s="75" t="s">
        <v>143</v>
      </c>
      <c r="N1158" s="75" t="b">
        <v>1</v>
      </c>
      <c r="O1158" s="75" t="s">
        <v>144</v>
      </c>
      <c r="P1158" s="75">
        <v>1994</v>
      </c>
      <c r="Q1158" s="75">
        <v>2020</v>
      </c>
      <c r="R1158" s="75">
        <v>1</v>
      </c>
      <c r="S1158" s="100">
        <v>211044</v>
      </c>
      <c r="T1158" s="101">
        <v>40673</v>
      </c>
      <c r="U1158" s="83"/>
    </row>
    <row r="1159" spans="1:21" s="84" customFormat="1" x14ac:dyDescent="0.3">
      <c r="A1159" s="68">
        <v>40596</v>
      </c>
      <c r="B1159" s="69">
        <f t="shared" si="19"/>
        <v>20110222</v>
      </c>
      <c r="C1159" s="70">
        <v>3.73E-2</v>
      </c>
      <c r="D1159" s="77">
        <v>0.01</v>
      </c>
      <c r="E1159" s="77">
        <v>0.01</v>
      </c>
      <c r="F1159" s="77">
        <v>0.01</v>
      </c>
      <c r="G1159" s="78">
        <v>0</v>
      </c>
      <c r="H1159" s="79"/>
      <c r="I1159" s="79"/>
      <c r="J1159" s="79"/>
      <c r="K1159" s="80">
        <v>1.3999999999999999E-2</v>
      </c>
      <c r="L1159" s="80">
        <v>0</v>
      </c>
      <c r="M1159" s="75" t="s">
        <v>143</v>
      </c>
      <c r="N1159" s="75" t="b">
        <v>1</v>
      </c>
      <c r="O1159" s="75" t="s">
        <v>144</v>
      </c>
      <c r="P1159" s="75">
        <v>1994</v>
      </c>
      <c r="Q1159" s="75">
        <v>2020</v>
      </c>
      <c r="R1159" s="75">
        <v>1</v>
      </c>
      <c r="S1159" s="100">
        <v>211044</v>
      </c>
      <c r="T1159" s="101">
        <v>40673</v>
      </c>
      <c r="U1159" s="83"/>
    </row>
    <row r="1160" spans="1:21" s="84" customFormat="1" x14ac:dyDescent="0.3">
      <c r="A1160" s="68">
        <v>40597</v>
      </c>
      <c r="B1160" s="69">
        <f t="shared" si="19"/>
        <v>20110223</v>
      </c>
      <c r="C1160" s="70">
        <v>3.6900000000000002E-2</v>
      </c>
      <c r="D1160" s="77">
        <v>0.01</v>
      </c>
      <c r="E1160" s="77">
        <v>0.01</v>
      </c>
      <c r="F1160" s="77">
        <v>0.01</v>
      </c>
      <c r="G1160" s="78">
        <v>0</v>
      </c>
      <c r="H1160" s="79"/>
      <c r="I1160" s="79"/>
      <c r="J1160" s="79"/>
      <c r="K1160" s="80">
        <v>1.3100000000000001E-2</v>
      </c>
      <c r="L1160" s="80">
        <v>0</v>
      </c>
      <c r="M1160" s="75" t="s">
        <v>143</v>
      </c>
      <c r="N1160" s="75" t="b">
        <v>1</v>
      </c>
      <c r="O1160" s="75" t="s">
        <v>144</v>
      </c>
      <c r="P1160" s="75">
        <v>1994</v>
      </c>
      <c r="Q1160" s="75">
        <v>2020</v>
      </c>
      <c r="R1160" s="75">
        <v>1</v>
      </c>
      <c r="S1160" s="100">
        <v>211044</v>
      </c>
      <c r="T1160" s="101">
        <v>40673</v>
      </c>
      <c r="U1160" s="83"/>
    </row>
    <row r="1161" spans="1:21" s="84" customFormat="1" x14ac:dyDescent="0.3">
      <c r="A1161" s="68">
        <v>40598</v>
      </c>
      <c r="B1161" s="69">
        <f t="shared" si="19"/>
        <v>20110224</v>
      </c>
      <c r="C1161" s="70">
        <v>3.6699999999999997E-2</v>
      </c>
      <c r="D1161" s="77">
        <v>0.01</v>
      </c>
      <c r="E1161" s="77">
        <v>0.01</v>
      </c>
      <c r="F1161" s="77">
        <v>0.01</v>
      </c>
      <c r="G1161" s="78">
        <v>0</v>
      </c>
      <c r="H1161" s="79"/>
      <c r="I1161" s="79"/>
      <c r="J1161" s="79"/>
      <c r="K1161" s="80">
        <v>1.2699999999999999E-2</v>
      </c>
      <c r="L1161" s="80">
        <v>0</v>
      </c>
      <c r="M1161" s="75" t="s">
        <v>143</v>
      </c>
      <c r="N1161" s="75" t="b">
        <v>1</v>
      </c>
      <c r="O1161" s="75" t="s">
        <v>144</v>
      </c>
      <c r="P1161" s="75">
        <v>1994</v>
      </c>
      <c r="Q1161" s="75">
        <v>2020</v>
      </c>
      <c r="R1161" s="75">
        <v>1</v>
      </c>
      <c r="S1161" s="100">
        <v>211044</v>
      </c>
      <c r="T1161" s="101">
        <v>40673</v>
      </c>
      <c r="U1161" s="83"/>
    </row>
    <row r="1162" spans="1:21" s="84" customFormat="1" x14ac:dyDescent="0.3">
      <c r="A1162" s="68">
        <v>40599</v>
      </c>
      <c r="B1162" s="69">
        <f t="shared" si="19"/>
        <v>20110225</v>
      </c>
      <c r="C1162" s="70">
        <v>3.6499999999999998E-2</v>
      </c>
      <c r="D1162" s="77">
        <v>0.01</v>
      </c>
      <c r="E1162" s="77">
        <v>0.01</v>
      </c>
      <c r="F1162" s="77">
        <v>0.01</v>
      </c>
      <c r="G1162" s="78">
        <v>0</v>
      </c>
      <c r="H1162" s="79"/>
      <c r="I1162" s="79"/>
      <c r="J1162" s="79"/>
      <c r="K1162" s="80">
        <v>1.24E-2</v>
      </c>
      <c r="L1162" s="80">
        <v>0</v>
      </c>
      <c r="M1162" s="75" t="s">
        <v>143</v>
      </c>
      <c r="N1162" s="75" t="b">
        <v>1</v>
      </c>
      <c r="O1162" s="75" t="s">
        <v>144</v>
      </c>
      <c r="P1162" s="75">
        <v>1994</v>
      </c>
      <c r="Q1162" s="75">
        <v>2020</v>
      </c>
      <c r="R1162" s="75">
        <v>1</v>
      </c>
      <c r="S1162" s="100">
        <v>211044</v>
      </c>
      <c r="T1162" s="101">
        <v>40673</v>
      </c>
      <c r="U1162" s="83"/>
    </row>
    <row r="1163" spans="1:21" s="84" customFormat="1" x14ac:dyDescent="0.3">
      <c r="A1163" s="68">
        <v>40600</v>
      </c>
      <c r="B1163" s="69">
        <f t="shared" si="19"/>
        <v>20110226</v>
      </c>
      <c r="C1163" s="70">
        <v>3.6499999999999998E-2</v>
      </c>
      <c r="D1163" s="77">
        <v>0.01</v>
      </c>
      <c r="E1163" s="77">
        <v>0.01</v>
      </c>
      <c r="F1163" s="77">
        <v>0.01</v>
      </c>
      <c r="G1163" s="78">
        <v>0</v>
      </c>
      <c r="H1163" s="79"/>
      <c r="I1163" s="79"/>
      <c r="J1163" s="79"/>
      <c r="K1163" s="80">
        <v>1.24E-2</v>
      </c>
      <c r="L1163" s="80">
        <v>0</v>
      </c>
      <c r="M1163" s="75" t="s">
        <v>143</v>
      </c>
      <c r="N1163" s="75" t="b">
        <v>1</v>
      </c>
      <c r="O1163" s="75" t="s">
        <v>144</v>
      </c>
      <c r="P1163" s="75">
        <v>1994</v>
      </c>
      <c r="Q1163" s="75">
        <v>2020</v>
      </c>
      <c r="R1163" s="75">
        <v>1</v>
      </c>
      <c r="S1163" s="100">
        <v>211044</v>
      </c>
      <c r="T1163" s="101">
        <v>40673</v>
      </c>
      <c r="U1163" s="83"/>
    </row>
    <row r="1164" spans="1:21" s="84" customFormat="1" x14ac:dyDescent="0.3">
      <c r="A1164" s="68">
        <v>40601</v>
      </c>
      <c r="B1164" s="69">
        <f t="shared" si="19"/>
        <v>20110227</v>
      </c>
      <c r="C1164" s="70">
        <v>3.6499999999999998E-2</v>
      </c>
      <c r="D1164" s="77">
        <v>0.01</v>
      </c>
      <c r="E1164" s="77">
        <v>0.01</v>
      </c>
      <c r="F1164" s="77">
        <v>0.01</v>
      </c>
      <c r="G1164" s="78">
        <v>0</v>
      </c>
      <c r="H1164" s="79"/>
      <c r="I1164" s="79"/>
      <c r="J1164" s="79"/>
      <c r="K1164" s="80">
        <v>1.24E-2</v>
      </c>
      <c r="L1164" s="80">
        <v>0</v>
      </c>
      <c r="M1164" s="75" t="s">
        <v>143</v>
      </c>
      <c r="N1164" s="75" t="b">
        <v>1</v>
      </c>
      <c r="O1164" s="75" t="s">
        <v>144</v>
      </c>
      <c r="P1164" s="75">
        <v>1994</v>
      </c>
      <c r="Q1164" s="75">
        <v>2020</v>
      </c>
      <c r="R1164" s="75">
        <v>1</v>
      </c>
      <c r="S1164" s="100">
        <v>211044</v>
      </c>
      <c r="T1164" s="101">
        <v>40673</v>
      </c>
      <c r="U1164" s="83"/>
    </row>
    <row r="1165" spans="1:21" s="84" customFormat="1" x14ac:dyDescent="0.3">
      <c r="A1165" s="68">
        <v>40602</v>
      </c>
      <c r="B1165" s="69">
        <f t="shared" si="19"/>
        <v>20110228</v>
      </c>
      <c r="C1165" s="70">
        <v>3.6499999999999998E-2</v>
      </c>
      <c r="D1165" s="77">
        <v>0.01</v>
      </c>
      <c r="E1165" s="77">
        <v>0.01</v>
      </c>
      <c r="F1165" s="77">
        <v>0.01</v>
      </c>
      <c r="G1165" s="78">
        <v>0</v>
      </c>
      <c r="H1165" s="79"/>
      <c r="I1165" s="79"/>
      <c r="J1165" s="79"/>
      <c r="K1165" s="80">
        <v>1.2199999999999999E-2</v>
      </c>
      <c r="L1165" s="80">
        <v>0</v>
      </c>
      <c r="M1165" s="75" t="s">
        <v>143</v>
      </c>
      <c r="N1165" s="75" t="b">
        <v>1</v>
      </c>
      <c r="O1165" s="75" t="s">
        <v>144</v>
      </c>
      <c r="P1165" s="75">
        <v>1994</v>
      </c>
      <c r="Q1165" s="75">
        <v>2020</v>
      </c>
      <c r="R1165" s="75">
        <v>1</v>
      </c>
      <c r="S1165" s="100">
        <v>211044</v>
      </c>
      <c r="T1165" s="101">
        <v>40673</v>
      </c>
      <c r="U1165" s="83"/>
    </row>
    <row r="1166" spans="1:21" s="84" customFormat="1" x14ac:dyDescent="0.3">
      <c r="A1166" s="68">
        <v>40603</v>
      </c>
      <c r="B1166" s="69">
        <f t="shared" si="19"/>
        <v>20110301</v>
      </c>
      <c r="C1166" s="70">
        <v>3.6499999999999998E-2</v>
      </c>
      <c r="D1166" s="77">
        <v>0.01</v>
      </c>
      <c r="E1166" s="77">
        <v>0.01</v>
      </c>
      <c r="F1166" s="77">
        <v>0.01</v>
      </c>
      <c r="G1166" s="78">
        <v>0</v>
      </c>
      <c r="H1166" s="79"/>
      <c r="I1166" s="79"/>
      <c r="J1166" s="79"/>
      <c r="K1166" s="80">
        <v>1.23E-2</v>
      </c>
      <c r="L1166" s="80">
        <v>0</v>
      </c>
      <c r="M1166" s="75" t="s">
        <v>143</v>
      </c>
      <c r="N1166" s="75" t="b">
        <v>1</v>
      </c>
      <c r="O1166" s="75" t="s">
        <v>144</v>
      </c>
      <c r="P1166" s="75">
        <v>1994</v>
      </c>
      <c r="Q1166" s="75">
        <v>2020</v>
      </c>
      <c r="R1166" s="75">
        <v>1</v>
      </c>
      <c r="S1166" s="100">
        <v>211044</v>
      </c>
      <c r="T1166" s="101">
        <v>40673</v>
      </c>
      <c r="U1166" s="83"/>
    </row>
    <row r="1167" spans="1:21" s="84" customFormat="1" x14ac:dyDescent="0.3">
      <c r="A1167" s="68">
        <v>40604</v>
      </c>
      <c r="B1167" s="69">
        <f t="shared" si="19"/>
        <v>20110302</v>
      </c>
      <c r="C1167" s="70">
        <v>3.6900000000000002E-2</v>
      </c>
      <c r="D1167" s="77">
        <v>0.01</v>
      </c>
      <c r="E1167" s="77">
        <v>0.01</v>
      </c>
      <c r="F1167" s="77">
        <v>0.01</v>
      </c>
      <c r="G1167" s="78">
        <v>0</v>
      </c>
      <c r="H1167" s="79"/>
      <c r="I1167" s="79"/>
      <c r="J1167" s="79"/>
      <c r="K1167" s="80">
        <v>1.2500000000000001E-2</v>
      </c>
      <c r="L1167" s="80">
        <v>0</v>
      </c>
      <c r="M1167" s="75" t="s">
        <v>143</v>
      </c>
      <c r="N1167" s="75" t="b">
        <v>1</v>
      </c>
      <c r="O1167" s="75" t="s">
        <v>144</v>
      </c>
      <c r="P1167" s="75">
        <v>1994</v>
      </c>
      <c r="Q1167" s="75">
        <v>2020</v>
      </c>
      <c r="R1167" s="75">
        <v>1</v>
      </c>
      <c r="S1167" s="100">
        <v>211044</v>
      </c>
      <c r="T1167" s="101">
        <v>40673</v>
      </c>
      <c r="U1167" s="83"/>
    </row>
    <row r="1168" spans="1:21" s="84" customFormat="1" x14ac:dyDescent="0.3">
      <c r="A1168" s="68">
        <v>40605</v>
      </c>
      <c r="B1168" s="69">
        <f t="shared" si="19"/>
        <v>20110303</v>
      </c>
      <c r="C1168" s="70">
        <v>3.7499999999999999E-2</v>
      </c>
      <c r="D1168" s="77">
        <v>0.01</v>
      </c>
      <c r="E1168" s="77">
        <v>0.01</v>
      </c>
      <c r="F1168" s="77">
        <v>0.01</v>
      </c>
      <c r="G1168" s="78">
        <v>0</v>
      </c>
      <c r="H1168" s="79"/>
      <c r="I1168" s="79"/>
      <c r="J1168" s="79"/>
      <c r="K1168" s="80">
        <v>1.2500000000000001E-2</v>
      </c>
      <c r="L1168" s="80">
        <v>0</v>
      </c>
      <c r="M1168" s="75" t="s">
        <v>143</v>
      </c>
      <c r="N1168" s="75" t="b">
        <v>1</v>
      </c>
      <c r="O1168" s="75" t="s">
        <v>144</v>
      </c>
      <c r="P1168" s="75">
        <v>1994</v>
      </c>
      <c r="Q1168" s="75">
        <v>2020</v>
      </c>
      <c r="R1168" s="75">
        <v>1</v>
      </c>
      <c r="S1168" s="100">
        <v>211044</v>
      </c>
      <c r="T1168" s="101">
        <v>40673</v>
      </c>
      <c r="U1168" s="83"/>
    </row>
    <row r="1169" spans="1:21" s="84" customFormat="1" x14ac:dyDescent="0.3">
      <c r="A1169" s="68">
        <v>40606</v>
      </c>
      <c r="B1169" s="69">
        <f t="shared" si="19"/>
        <v>20110304</v>
      </c>
      <c r="C1169" s="70">
        <v>3.7100000000000001E-2</v>
      </c>
      <c r="D1169" s="77">
        <v>0.01</v>
      </c>
      <c r="E1169" s="77">
        <v>0.01</v>
      </c>
      <c r="F1169" s="77">
        <v>0.01</v>
      </c>
      <c r="G1169" s="78">
        <v>0</v>
      </c>
      <c r="H1169" s="79"/>
      <c r="I1169" s="79"/>
      <c r="J1169" s="79"/>
      <c r="K1169" s="80">
        <v>1.23E-2</v>
      </c>
      <c r="L1169" s="80">
        <v>0</v>
      </c>
      <c r="M1169" s="75" t="s">
        <v>143</v>
      </c>
      <c r="N1169" s="75" t="b">
        <v>1</v>
      </c>
      <c r="O1169" s="75" t="s">
        <v>144</v>
      </c>
      <c r="P1169" s="75">
        <v>1994</v>
      </c>
      <c r="Q1169" s="75">
        <v>2020</v>
      </c>
      <c r="R1169" s="75">
        <v>1</v>
      </c>
      <c r="S1169" s="100">
        <v>211044</v>
      </c>
      <c r="T1169" s="101">
        <v>40673</v>
      </c>
      <c r="U1169" s="83"/>
    </row>
    <row r="1170" spans="1:21" s="84" customFormat="1" x14ac:dyDescent="0.3">
      <c r="A1170" s="68">
        <v>40607</v>
      </c>
      <c r="B1170" s="69">
        <f>YEAR(A1170)*10000+MONTH(A1170)*100+DAY(A1170)</f>
        <v>20110305</v>
      </c>
      <c r="C1170" s="70">
        <v>3.7100000000000001E-2</v>
      </c>
      <c r="D1170" s="77">
        <v>0.01</v>
      </c>
      <c r="E1170" s="77">
        <v>0.01</v>
      </c>
      <c r="F1170" s="77">
        <v>0.01</v>
      </c>
      <c r="G1170" s="78">
        <v>0</v>
      </c>
      <c r="H1170" s="79"/>
      <c r="I1170" s="79"/>
      <c r="J1170" s="79"/>
      <c r="K1170" s="80">
        <v>1.23E-2</v>
      </c>
      <c r="L1170" s="80">
        <v>0</v>
      </c>
      <c r="M1170" s="75" t="s">
        <v>143</v>
      </c>
      <c r="N1170" s="75" t="b">
        <v>1</v>
      </c>
      <c r="O1170" s="75" t="s">
        <v>144</v>
      </c>
      <c r="P1170" s="75">
        <v>1994</v>
      </c>
      <c r="Q1170" s="75">
        <v>2020</v>
      </c>
      <c r="R1170" s="75">
        <v>1</v>
      </c>
      <c r="S1170" s="100">
        <v>211044</v>
      </c>
      <c r="T1170" s="101">
        <v>40673</v>
      </c>
      <c r="U1170" s="83"/>
    </row>
    <row r="1171" spans="1:21" s="84" customFormat="1" x14ac:dyDescent="0.3">
      <c r="A1171" s="68">
        <v>40608</v>
      </c>
      <c r="B1171" s="69">
        <f>YEAR(A1171)*10000+MONTH(A1171)*100+DAY(A1171)</f>
        <v>20110306</v>
      </c>
      <c r="C1171" s="70">
        <v>3.7100000000000001E-2</v>
      </c>
      <c r="D1171" s="77">
        <v>0.01</v>
      </c>
      <c r="E1171" s="77">
        <v>0.01</v>
      </c>
      <c r="F1171" s="77">
        <v>0.01</v>
      </c>
      <c r="G1171" s="78">
        <v>0</v>
      </c>
      <c r="H1171" s="79"/>
      <c r="I1171" s="79"/>
      <c r="J1171" s="79"/>
      <c r="K1171" s="80">
        <v>1.23E-2</v>
      </c>
      <c r="L1171" s="80">
        <v>0</v>
      </c>
      <c r="M1171" s="75" t="s">
        <v>143</v>
      </c>
      <c r="N1171" s="75" t="b">
        <v>1</v>
      </c>
      <c r="O1171" s="75" t="s">
        <v>144</v>
      </c>
      <c r="P1171" s="75">
        <v>1994</v>
      </c>
      <c r="Q1171" s="75">
        <v>2020</v>
      </c>
      <c r="R1171" s="75">
        <v>1</v>
      </c>
      <c r="S1171" s="100">
        <v>211044</v>
      </c>
      <c r="T1171" s="101">
        <v>40673</v>
      </c>
      <c r="U1171" s="83"/>
    </row>
    <row r="1172" spans="1:21" s="84" customFormat="1" x14ac:dyDescent="0.3">
      <c r="A1172" s="68">
        <v>40609</v>
      </c>
      <c r="B1172" s="69">
        <f t="shared" si="19"/>
        <v>20110307</v>
      </c>
      <c r="C1172" s="70">
        <v>3.73E-2</v>
      </c>
      <c r="D1172" s="77">
        <v>0.01</v>
      </c>
      <c r="E1172" s="77">
        <v>0.01</v>
      </c>
      <c r="F1172" s="77">
        <v>0.01</v>
      </c>
      <c r="G1172" s="78">
        <v>0</v>
      </c>
      <c r="H1172" s="79"/>
      <c r="I1172" s="79"/>
      <c r="J1172" s="79"/>
      <c r="K1172" s="80">
        <v>1.24E-2</v>
      </c>
      <c r="L1172" s="80">
        <v>0</v>
      </c>
      <c r="M1172" s="75" t="s">
        <v>143</v>
      </c>
      <c r="N1172" s="75" t="b">
        <v>1</v>
      </c>
      <c r="O1172" s="75" t="s">
        <v>144</v>
      </c>
      <c r="P1172" s="75">
        <v>1994</v>
      </c>
      <c r="Q1172" s="75">
        <v>2020</v>
      </c>
      <c r="R1172" s="75">
        <v>1</v>
      </c>
      <c r="S1172" s="100">
        <v>211044</v>
      </c>
      <c r="T1172" s="101">
        <v>40673</v>
      </c>
      <c r="U1172" s="83"/>
    </row>
    <row r="1173" spans="1:21" s="84" customFormat="1" x14ac:dyDescent="0.3">
      <c r="A1173" s="68">
        <v>40610</v>
      </c>
      <c r="B1173" s="69">
        <f t="shared" si="19"/>
        <v>20110308</v>
      </c>
      <c r="C1173" s="70">
        <v>3.78E-2</v>
      </c>
      <c r="D1173" s="77">
        <v>0.01</v>
      </c>
      <c r="E1173" s="77">
        <v>0.01</v>
      </c>
      <c r="F1173" s="77">
        <v>0.01</v>
      </c>
      <c r="G1173" s="78">
        <v>0</v>
      </c>
      <c r="H1173" s="79"/>
      <c r="I1173" s="79"/>
      <c r="J1173" s="79"/>
      <c r="K1173" s="80">
        <v>1.3000000000000001E-2</v>
      </c>
      <c r="L1173" s="80">
        <v>0</v>
      </c>
      <c r="M1173" s="75" t="s">
        <v>143</v>
      </c>
      <c r="N1173" s="75" t="b">
        <v>1</v>
      </c>
      <c r="O1173" s="75" t="s">
        <v>144</v>
      </c>
      <c r="P1173" s="75">
        <v>1994</v>
      </c>
      <c r="Q1173" s="75">
        <v>2020</v>
      </c>
      <c r="R1173" s="75">
        <v>1</v>
      </c>
      <c r="S1173" s="100">
        <v>211044</v>
      </c>
      <c r="T1173" s="101">
        <v>40673</v>
      </c>
      <c r="U1173" s="83"/>
    </row>
    <row r="1174" spans="1:21" s="84" customFormat="1" x14ac:dyDescent="0.3">
      <c r="A1174" s="68">
        <v>40611</v>
      </c>
      <c r="B1174" s="69">
        <f t="shared" si="19"/>
        <v>20110309</v>
      </c>
      <c r="C1174" s="70">
        <v>3.73E-2</v>
      </c>
      <c r="D1174" s="77">
        <v>0.01</v>
      </c>
      <c r="E1174" s="77">
        <v>0.01</v>
      </c>
      <c r="F1174" s="77">
        <v>0.01</v>
      </c>
      <c r="G1174" s="78">
        <v>0</v>
      </c>
      <c r="H1174" s="79"/>
      <c r="I1174" s="79"/>
      <c r="J1174" s="79"/>
      <c r="K1174" s="80">
        <v>1.26E-2</v>
      </c>
      <c r="L1174" s="80">
        <v>0</v>
      </c>
      <c r="M1174" s="75" t="s">
        <v>143</v>
      </c>
      <c r="N1174" s="75" t="b">
        <v>1</v>
      </c>
      <c r="O1174" s="75" t="s">
        <v>144</v>
      </c>
      <c r="P1174" s="75">
        <v>1994</v>
      </c>
      <c r="Q1174" s="75">
        <v>2020</v>
      </c>
      <c r="R1174" s="75">
        <v>1</v>
      </c>
      <c r="S1174" s="100">
        <v>211044</v>
      </c>
      <c r="T1174" s="101">
        <v>40673</v>
      </c>
      <c r="U1174" s="83"/>
    </row>
    <row r="1175" spans="1:21" s="84" customFormat="1" x14ac:dyDescent="0.3">
      <c r="A1175" s="68">
        <v>40612</v>
      </c>
      <c r="B1175" s="69">
        <f t="shared" ref="B1175:B1244" si="20">YEAR(A1175)*10000+MONTH(A1175)*100+DAY(A1175)</f>
        <v>20110310</v>
      </c>
      <c r="C1175" s="70">
        <v>3.6699999999999997E-2</v>
      </c>
      <c r="D1175" s="77">
        <v>0.01</v>
      </c>
      <c r="E1175" s="77">
        <v>0.01</v>
      </c>
      <c r="F1175" s="77">
        <v>0.01</v>
      </c>
      <c r="G1175" s="78">
        <v>0</v>
      </c>
      <c r="H1175" s="79"/>
      <c r="I1175" s="79"/>
      <c r="J1175" s="79"/>
      <c r="K1175" s="80">
        <v>1.2199999999999999E-2</v>
      </c>
      <c r="L1175" s="80">
        <v>0</v>
      </c>
      <c r="M1175" s="75" t="s">
        <v>143</v>
      </c>
      <c r="N1175" s="75" t="b">
        <v>1</v>
      </c>
      <c r="O1175" s="75" t="s">
        <v>144</v>
      </c>
      <c r="P1175" s="75">
        <v>1994</v>
      </c>
      <c r="Q1175" s="75">
        <v>2020</v>
      </c>
      <c r="R1175" s="75">
        <v>1</v>
      </c>
      <c r="S1175" s="100">
        <v>211044</v>
      </c>
      <c r="T1175" s="101">
        <v>40673</v>
      </c>
      <c r="U1175" s="83"/>
    </row>
    <row r="1176" spans="1:21" s="84" customFormat="1" x14ac:dyDescent="0.3">
      <c r="A1176" s="68">
        <v>40613</v>
      </c>
      <c r="B1176" s="69">
        <f t="shared" si="20"/>
        <v>20110311</v>
      </c>
      <c r="C1176" s="70">
        <v>3.6799999999999999E-2</v>
      </c>
      <c r="D1176" s="77">
        <v>0.01</v>
      </c>
      <c r="E1176" s="77">
        <v>0.01</v>
      </c>
      <c r="F1176" s="77">
        <v>0.01</v>
      </c>
      <c r="G1176" s="78">
        <v>0</v>
      </c>
      <c r="H1176" s="79"/>
      <c r="I1176" s="79"/>
      <c r="J1176" s="79"/>
      <c r="K1176" s="80">
        <v>1.23E-2</v>
      </c>
      <c r="L1176" s="80">
        <v>0</v>
      </c>
      <c r="M1176" s="75" t="s">
        <v>143</v>
      </c>
      <c r="N1176" s="75" t="b">
        <v>1</v>
      </c>
      <c r="O1176" s="75" t="s">
        <v>144</v>
      </c>
      <c r="P1176" s="75">
        <v>1994</v>
      </c>
      <c r="Q1176" s="75">
        <v>2020</v>
      </c>
      <c r="R1176" s="75">
        <v>1</v>
      </c>
      <c r="S1176" s="100">
        <v>211044</v>
      </c>
      <c r="T1176" s="101">
        <v>40673</v>
      </c>
      <c r="U1176" s="83"/>
    </row>
    <row r="1177" spans="1:21" s="84" customFormat="1" x14ac:dyDescent="0.3">
      <c r="A1177" s="68">
        <v>40614</v>
      </c>
      <c r="B1177" s="69">
        <f>YEAR(A1177)*10000+MONTH(A1177)*100+DAY(A1177)</f>
        <v>20110312</v>
      </c>
      <c r="C1177" s="70">
        <v>3.6799999999999999E-2</v>
      </c>
      <c r="D1177" s="77">
        <v>0.01</v>
      </c>
      <c r="E1177" s="77">
        <v>0.01</v>
      </c>
      <c r="F1177" s="77">
        <v>0.01</v>
      </c>
      <c r="G1177" s="78">
        <v>0</v>
      </c>
      <c r="H1177" s="79"/>
      <c r="I1177" s="79"/>
      <c r="J1177" s="79"/>
      <c r="K1177" s="80">
        <v>1.23E-2</v>
      </c>
      <c r="L1177" s="80">
        <v>0</v>
      </c>
      <c r="M1177" s="75" t="s">
        <v>143</v>
      </c>
      <c r="N1177" s="75" t="b">
        <v>1</v>
      </c>
      <c r="O1177" s="75" t="s">
        <v>144</v>
      </c>
      <c r="P1177" s="75">
        <v>1994</v>
      </c>
      <c r="Q1177" s="75">
        <v>2020</v>
      </c>
      <c r="R1177" s="75">
        <v>1</v>
      </c>
      <c r="S1177" s="100">
        <v>211044</v>
      </c>
      <c r="T1177" s="101">
        <v>40673</v>
      </c>
      <c r="U1177" s="83"/>
    </row>
    <row r="1178" spans="1:21" s="84" customFormat="1" x14ac:dyDescent="0.3">
      <c r="A1178" s="68">
        <v>40615</v>
      </c>
      <c r="B1178" s="69">
        <f>YEAR(A1178)*10000+MONTH(A1178)*100+DAY(A1178)</f>
        <v>20110313</v>
      </c>
      <c r="C1178" s="70">
        <v>3.6799999999999999E-2</v>
      </c>
      <c r="D1178" s="77">
        <v>0.01</v>
      </c>
      <c r="E1178" s="77">
        <v>0.01</v>
      </c>
      <c r="F1178" s="77">
        <v>0.01</v>
      </c>
      <c r="G1178" s="78">
        <v>0</v>
      </c>
      <c r="H1178" s="79"/>
      <c r="I1178" s="79"/>
      <c r="J1178" s="79"/>
      <c r="K1178" s="80">
        <v>1.23E-2</v>
      </c>
      <c r="L1178" s="80">
        <v>0</v>
      </c>
      <c r="M1178" s="75" t="s">
        <v>143</v>
      </c>
      <c r="N1178" s="75" t="b">
        <v>1</v>
      </c>
      <c r="O1178" s="75" t="s">
        <v>144</v>
      </c>
      <c r="P1178" s="75">
        <v>1994</v>
      </c>
      <c r="Q1178" s="75">
        <v>2020</v>
      </c>
      <c r="R1178" s="75">
        <v>1</v>
      </c>
      <c r="S1178" s="100">
        <v>211044</v>
      </c>
      <c r="T1178" s="101">
        <v>40673</v>
      </c>
      <c r="U1178" s="83"/>
    </row>
    <row r="1179" spans="1:21" s="84" customFormat="1" x14ac:dyDescent="0.3">
      <c r="A1179" s="68">
        <v>40616</v>
      </c>
      <c r="B1179" s="69">
        <f t="shared" si="20"/>
        <v>20110314</v>
      </c>
      <c r="C1179" s="70">
        <v>3.6499999999999998E-2</v>
      </c>
      <c r="D1179" s="77">
        <v>0.01</v>
      </c>
      <c r="E1179" s="77">
        <v>0.01</v>
      </c>
      <c r="F1179" s="77">
        <v>0.01</v>
      </c>
      <c r="G1179" s="78">
        <v>0</v>
      </c>
      <c r="H1179" s="79"/>
      <c r="I1179" s="79"/>
      <c r="J1179" s="79"/>
      <c r="K1179" s="80">
        <v>1.21E-2</v>
      </c>
      <c r="L1179" s="80">
        <v>0</v>
      </c>
      <c r="M1179" s="75" t="s">
        <v>143</v>
      </c>
      <c r="N1179" s="75" t="b">
        <v>1</v>
      </c>
      <c r="O1179" s="75" t="s">
        <v>144</v>
      </c>
      <c r="P1179" s="75">
        <v>1994</v>
      </c>
      <c r="Q1179" s="75">
        <v>2020</v>
      </c>
      <c r="R1179" s="75">
        <v>1</v>
      </c>
      <c r="S1179" s="100">
        <v>211044</v>
      </c>
      <c r="T1179" s="101">
        <v>40673</v>
      </c>
      <c r="U1179" s="83"/>
    </row>
    <row r="1180" spans="1:21" s="84" customFormat="1" x14ac:dyDescent="0.3">
      <c r="A1180" s="68">
        <v>40617</v>
      </c>
      <c r="B1180" s="69">
        <f t="shared" si="20"/>
        <v>20110315</v>
      </c>
      <c r="C1180" s="70">
        <v>3.6400000000000002E-2</v>
      </c>
      <c r="D1180" s="77">
        <v>0.01</v>
      </c>
      <c r="E1180" s="77">
        <v>0.01</v>
      </c>
      <c r="F1180" s="77">
        <v>0.01</v>
      </c>
      <c r="G1180" s="78">
        <v>0</v>
      </c>
      <c r="H1180" s="79"/>
      <c r="I1180" s="79"/>
      <c r="J1180" s="79"/>
      <c r="K1180" s="80">
        <v>1.2E-2</v>
      </c>
      <c r="L1180" s="80">
        <v>0</v>
      </c>
      <c r="M1180" s="75" t="s">
        <v>143</v>
      </c>
      <c r="N1180" s="75" t="b">
        <v>1</v>
      </c>
      <c r="O1180" s="75" t="s">
        <v>144</v>
      </c>
      <c r="P1180" s="75">
        <v>1994</v>
      </c>
      <c r="Q1180" s="75">
        <v>2020</v>
      </c>
      <c r="R1180" s="75">
        <v>1</v>
      </c>
      <c r="S1180" s="100">
        <v>211044</v>
      </c>
      <c r="T1180" s="101">
        <v>40673</v>
      </c>
      <c r="U1180" s="83"/>
    </row>
    <row r="1181" spans="1:21" s="84" customFormat="1" x14ac:dyDescent="0.3">
      <c r="A1181" s="68">
        <v>40618</v>
      </c>
      <c r="B1181" s="69">
        <f t="shared" si="20"/>
        <v>20110316</v>
      </c>
      <c r="C1181" s="70">
        <v>3.5900000000000001E-2</v>
      </c>
      <c r="D1181" s="77">
        <v>0.01</v>
      </c>
      <c r="E1181" s="77">
        <v>0.01</v>
      </c>
      <c r="F1181" s="77">
        <v>0.01</v>
      </c>
      <c r="G1181" s="78">
        <v>0</v>
      </c>
      <c r="H1181" s="79"/>
      <c r="I1181" s="79"/>
      <c r="J1181" s="79"/>
      <c r="K1181" s="80">
        <v>1.1599999999999999E-2</v>
      </c>
      <c r="L1181" s="80">
        <v>0</v>
      </c>
      <c r="M1181" s="75" t="s">
        <v>143</v>
      </c>
      <c r="N1181" s="75" t="b">
        <v>1</v>
      </c>
      <c r="O1181" s="75" t="s">
        <v>144</v>
      </c>
      <c r="P1181" s="75">
        <v>1994</v>
      </c>
      <c r="Q1181" s="75">
        <v>2020</v>
      </c>
      <c r="R1181" s="75">
        <v>1</v>
      </c>
      <c r="S1181" s="100">
        <v>211044</v>
      </c>
      <c r="T1181" s="101">
        <v>40673</v>
      </c>
      <c r="U1181" s="83"/>
    </row>
    <row r="1182" spans="1:21" s="84" customFormat="1" x14ac:dyDescent="0.3">
      <c r="A1182" s="68">
        <v>40619</v>
      </c>
      <c r="B1182" s="69">
        <f t="shared" si="20"/>
        <v>20110317</v>
      </c>
      <c r="C1182" s="70">
        <v>3.6400000000000002E-2</v>
      </c>
      <c r="D1182" s="77">
        <v>0.01</v>
      </c>
      <c r="E1182" s="77">
        <v>0.01</v>
      </c>
      <c r="F1182" s="77">
        <v>0.01</v>
      </c>
      <c r="G1182" s="78">
        <v>0</v>
      </c>
      <c r="H1182" s="79"/>
      <c r="I1182" s="79"/>
      <c r="J1182" s="79"/>
      <c r="K1182" s="80">
        <v>1.15E-2</v>
      </c>
      <c r="L1182" s="80">
        <v>0</v>
      </c>
      <c r="M1182" s="75" t="s">
        <v>143</v>
      </c>
      <c r="N1182" s="75" t="b">
        <v>1</v>
      </c>
      <c r="O1182" s="75" t="s">
        <v>144</v>
      </c>
      <c r="P1182" s="75">
        <v>1994</v>
      </c>
      <c r="Q1182" s="75">
        <v>2020</v>
      </c>
      <c r="R1182" s="75">
        <v>1</v>
      </c>
      <c r="S1182" s="100">
        <v>211044</v>
      </c>
      <c r="T1182" s="101">
        <v>40673</v>
      </c>
      <c r="U1182" s="83"/>
    </row>
    <row r="1183" spans="1:21" s="84" customFormat="1" x14ac:dyDescent="0.3">
      <c r="A1183" s="68">
        <v>40620</v>
      </c>
      <c r="B1183" s="69">
        <f t="shared" si="20"/>
        <v>20110318</v>
      </c>
      <c r="C1183" s="70">
        <v>3.6299999999999999E-2</v>
      </c>
      <c r="D1183" s="77">
        <v>0.01</v>
      </c>
      <c r="E1183" s="77">
        <v>0.01</v>
      </c>
      <c r="F1183" s="77">
        <v>0.01</v>
      </c>
      <c r="G1183" s="78">
        <v>0</v>
      </c>
      <c r="H1183" s="79"/>
      <c r="I1183" s="79"/>
      <c r="J1183" s="79"/>
      <c r="K1183" s="80">
        <v>1.1299999999999999E-2</v>
      </c>
      <c r="L1183" s="80">
        <v>0</v>
      </c>
      <c r="M1183" s="75" t="s">
        <v>143</v>
      </c>
      <c r="N1183" s="75" t="b">
        <v>1</v>
      </c>
      <c r="O1183" s="75" t="s">
        <v>144</v>
      </c>
      <c r="P1183" s="75">
        <v>1994</v>
      </c>
      <c r="Q1183" s="75">
        <v>2020</v>
      </c>
      <c r="R1183" s="75">
        <v>1</v>
      </c>
      <c r="S1183" s="100">
        <v>211044</v>
      </c>
      <c r="T1183" s="101">
        <v>40673</v>
      </c>
      <c r="U1183" s="83"/>
    </row>
    <row r="1184" spans="1:21" s="84" customFormat="1" x14ac:dyDescent="0.3">
      <c r="A1184" s="68">
        <v>40621</v>
      </c>
      <c r="B1184" s="69">
        <f>YEAR(A1184)*10000+MONTH(A1184)*100+DAY(A1184)</f>
        <v>20110319</v>
      </c>
      <c r="C1184" s="70">
        <v>3.6299999999999999E-2</v>
      </c>
      <c r="D1184" s="77">
        <v>0.01</v>
      </c>
      <c r="E1184" s="77">
        <v>0.01</v>
      </c>
      <c r="F1184" s="77">
        <v>0.01</v>
      </c>
      <c r="G1184" s="78">
        <v>0</v>
      </c>
      <c r="H1184" s="79"/>
      <c r="I1184" s="79"/>
      <c r="J1184" s="79"/>
      <c r="K1184" s="80">
        <v>1.1299999999999999E-2</v>
      </c>
      <c r="L1184" s="80">
        <v>0</v>
      </c>
      <c r="M1184" s="75" t="s">
        <v>143</v>
      </c>
      <c r="N1184" s="75" t="b">
        <v>1</v>
      </c>
      <c r="O1184" s="75" t="s">
        <v>144</v>
      </c>
      <c r="P1184" s="75">
        <v>1994</v>
      </c>
      <c r="Q1184" s="75">
        <v>2020</v>
      </c>
      <c r="R1184" s="75">
        <v>1</v>
      </c>
      <c r="S1184" s="100">
        <v>211044</v>
      </c>
      <c r="T1184" s="101">
        <v>40673</v>
      </c>
      <c r="U1184" s="83"/>
    </row>
    <row r="1185" spans="1:21" s="84" customFormat="1" x14ac:dyDescent="0.3">
      <c r="A1185" s="68">
        <v>40622</v>
      </c>
      <c r="B1185" s="69">
        <f>YEAR(A1185)*10000+MONTH(A1185)*100+DAY(A1185)</f>
        <v>20110320</v>
      </c>
      <c r="C1185" s="70">
        <v>3.6299999999999999E-2</v>
      </c>
      <c r="D1185" s="77">
        <v>0.01</v>
      </c>
      <c r="E1185" s="77">
        <v>0.01</v>
      </c>
      <c r="F1185" s="77">
        <v>0.01</v>
      </c>
      <c r="G1185" s="78">
        <v>0</v>
      </c>
      <c r="H1185" s="79"/>
      <c r="I1185" s="79"/>
      <c r="J1185" s="79"/>
      <c r="K1185" s="80">
        <v>1.1299999999999999E-2</v>
      </c>
      <c r="L1185" s="80">
        <v>0</v>
      </c>
      <c r="M1185" s="75" t="s">
        <v>143</v>
      </c>
      <c r="N1185" s="75" t="b">
        <v>1</v>
      </c>
      <c r="O1185" s="75" t="s">
        <v>144</v>
      </c>
      <c r="P1185" s="75">
        <v>1994</v>
      </c>
      <c r="Q1185" s="75">
        <v>2020</v>
      </c>
      <c r="R1185" s="75">
        <v>1</v>
      </c>
      <c r="S1185" s="100">
        <v>211044</v>
      </c>
      <c r="T1185" s="101">
        <v>40673</v>
      </c>
      <c r="U1185" s="83"/>
    </row>
    <row r="1186" spans="1:21" s="84" customFormat="1" x14ac:dyDescent="0.3">
      <c r="A1186" s="68">
        <v>40623</v>
      </c>
      <c r="B1186" s="69">
        <f t="shared" si="20"/>
        <v>20110321</v>
      </c>
      <c r="C1186" s="70">
        <v>3.6600000000000001E-2</v>
      </c>
      <c r="D1186" s="77">
        <v>0.01</v>
      </c>
      <c r="E1186" s="77">
        <v>0.01</v>
      </c>
      <c r="F1186" s="77">
        <v>0.01</v>
      </c>
      <c r="G1186" s="78">
        <v>0</v>
      </c>
      <c r="H1186" s="79"/>
      <c r="I1186" s="79"/>
      <c r="J1186" s="79"/>
      <c r="K1186" s="80">
        <v>1.15E-2</v>
      </c>
      <c r="L1186" s="80">
        <v>0</v>
      </c>
      <c r="M1186" s="75" t="s">
        <v>143</v>
      </c>
      <c r="N1186" s="75" t="b">
        <v>1</v>
      </c>
      <c r="O1186" s="75" t="s">
        <v>144</v>
      </c>
      <c r="P1186" s="75">
        <v>1994</v>
      </c>
      <c r="Q1186" s="75">
        <v>2020</v>
      </c>
      <c r="R1186" s="75">
        <v>1</v>
      </c>
      <c r="S1186" s="100">
        <v>211044</v>
      </c>
      <c r="T1186" s="101">
        <v>40673</v>
      </c>
      <c r="U1186" s="83"/>
    </row>
    <row r="1187" spans="1:21" s="84" customFormat="1" x14ac:dyDescent="0.3">
      <c r="A1187" s="68">
        <v>40624</v>
      </c>
      <c r="B1187" s="69">
        <f t="shared" si="20"/>
        <v>20110322</v>
      </c>
      <c r="C1187" s="70">
        <v>3.6200000000000003E-2</v>
      </c>
      <c r="D1187" s="77">
        <v>0.01</v>
      </c>
      <c r="E1187" s="77">
        <v>0.01</v>
      </c>
      <c r="F1187" s="77">
        <v>0.01</v>
      </c>
      <c r="G1187" s="78">
        <v>0</v>
      </c>
      <c r="H1187" s="79"/>
      <c r="I1187" s="79"/>
      <c r="J1187" s="79"/>
      <c r="K1187" s="80">
        <v>1.1399999999999999E-2</v>
      </c>
      <c r="L1187" s="80">
        <v>0</v>
      </c>
      <c r="M1187" s="75" t="s">
        <v>143</v>
      </c>
      <c r="N1187" s="75" t="b">
        <v>1</v>
      </c>
      <c r="O1187" s="75" t="s">
        <v>144</v>
      </c>
      <c r="P1187" s="75">
        <v>1994</v>
      </c>
      <c r="Q1187" s="75">
        <v>2020</v>
      </c>
      <c r="R1187" s="75">
        <v>1</v>
      </c>
      <c r="S1187" s="100">
        <v>211044</v>
      </c>
      <c r="T1187" s="101">
        <v>40673</v>
      </c>
      <c r="U1187" s="83"/>
    </row>
    <row r="1188" spans="1:21" s="84" customFormat="1" x14ac:dyDescent="0.3">
      <c r="A1188" s="68">
        <v>40625</v>
      </c>
      <c r="B1188" s="69">
        <f t="shared" si="20"/>
        <v>20110323</v>
      </c>
      <c r="C1188" s="70">
        <v>3.6299999999999999E-2</v>
      </c>
      <c r="D1188" s="77">
        <v>0.01</v>
      </c>
      <c r="E1188" s="77">
        <v>0.01</v>
      </c>
      <c r="F1188" s="77">
        <v>0.01</v>
      </c>
      <c r="G1188" s="78">
        <v>0</v>
      </c>
      <c r="H1188" s="79"/>
      <c r="I1188" s="79"/>
      <c r="J1188" s="79"/>
      <c r="K1188" s="80">
        <v>1.15E-2</v>
      </c>
      <c r="L1188" s="80">
        <v>0</v>
      </c>
      <c r="M1188" s="75" t="s">
        <v>143</v>
      </c>
      <c r="N1188" s="75" t="b">
        <v>1</v>
      </c>
      <c r="O1188" s="75" t="s">
        <v>144</v>
      </c>
      <c r="P1188" s="75">
        <v>1994</v>
      </c>
      <c r="Q1188" s="75">
        <v>2020</v>
      </c>
      <c r="R1188" s="75">
        <v>1</v>
      </c>
      <c r="S1188" s="100">
        <v>211044</v>
      </c>
      <c r="T1188" s="101">
        <v>40673</v>
      </c>
      <c r="U1188" s="83"/>
    </row>
    <row r="1189" spans="1:21" s="84" customFormat="1" x14ac:dyDescent="0.3">
      <c r="A1189" s="68">
        <v>40626</v>
      </c>
      <c r="B1189" s="69">
        <f t="shared" si="20"/>
        <v>20110324</v>
      </c>
      <c r="C1189" s="70">
        <v>3.6299999999999999E-2</v>
      </c>
      <c r="D1189" s="77">
        <v>0.01</v>
      </c>
      <c r="E1189" s="77">
        <v>0.01</v>
      </c>
      <c r="F1189" s="77">
        <v>0.01</v>
      </c>
      <c r="G1189" s="78">
        <v>0</v>
      </c>
      <c r="H1189" s="79"/>
      <c r="I1189" s="79"/>
      <c r="J1189" s="79"/>
      <c r="K1189" s="80">
        <v>1.11E-2</v>
      </c>
      <c r="L1189" s="80">
        <v>0</v>
      </c>
      <c r="M1189" s="75" t="s">
        <v>143</v>
      </c>
      <c r="N1189" s="75" t="b">
        <v>1</v>
      </c>
      <c r="O1189" s="75" t="s">
        <v>144</v>
      </c>
      <c r="P1189" s="75">
        <v>1994</v>
      </c>
      <c r="Q1189" s="75">
        <v>2020</v>
      </c>
      <c r="R1189" s="75">
        <v>1</v>
      </c>
      <c r="S1189" s="100">
        <v>211044</v>
      </c>
      <c r="T1189" s="101">
        <v>40673</v>
      </c>
      <c r="U1189" s="83"/>
    </row>
    <row r="1190" spans="1:21" s="84" customFormat="1" x14ac:dyDescent="0.3">
      <c r="A1190" s="68">
        <v>40627</v>
      </c>
      <c r="B1190" s="69">
        <f t="shared" si="20"/>
        <v>20110325</v>
      </c>
      <c r="C1190" s="70">
        <v>3.6400000000000002E-2</v>
      </c>
      <c r="D1190" s="77">
        <v>0.01</v>
      </c>
      <c r="E1190" s="77">
        <v>0.01</v>
      </c>
      <c r="F1190" s="77">
        <v>0.01</v>
      </c>
      <c r="G1190" s="78">
        <v>0</v>
      </c>
      <c r="H1190" s="79"/>
      <c r="I1190" s="79"/>
      <c r="J1190" s="79"/>
      <c r="K1190" s="80">
        <v>1.11E-2</v>
      </c>
      <c r="L1190" s="80">
        <v>0</v>
      </c>
      <c r="M1190" s="75" t="s">
        <v>143</v>
      </c>
      <c r="N1190" s="75" t="b">
        <v>1</v>
      </c>
      <c r="O1190" s="75" t="s">
        <v>144</v>
      </c>
      <c r="P1190" s="75">
        <v>1994</v>
      </c>
      <c r="Q1190" s="75">
        <v>2020</v>
      </c>
      <c r="R1190" s="75">
        <v>1</v>
      </c>
      <c r="S1190" s="100">
        <v>211044</v>
      </c>
      <c r="T1190" s="101">
        <v>40673</v>
      </c>
      <c r="U1190" s="83"/>
    </row>
    <row r="1191" spans="1:21" s="84" customFormat="1" x14ac:dyDescent="0.3">
      <c r="A1191" s="68">
        <v>40628</v>
      </c>
      <c r="B1191" s="69">
        <f>YEAR(A1191)*10000+MONTH(A1191)*100+DAY(A1191)</f>
        <v>20110326</v>
      </c>
      <c r="C1191" s="70">
        <v>3.6400000000000002E-2</v>
      </c>
      <c r="D1191" s="77">
        <v>0.01</v>
      </c>
      <c r="E1191" s="77">
        <v>0.01</v>
      </c>
      <c r="F1191" s="77">
        <v>0.01</v>
      </c>
      <c r="G1191" s="78">
        <v>0</v>
      </c>
      <c r="H1191" s="79"/>
      <c r="I1191" s="79"/>
      <c r="J1191" s="79"/>
      <c r="K1191" s="80">
        <v>1.11E-2</v>
      </c>
      <c r="L1191" s="80">
        <v>0</v>
      </c>
      <c r="M1191" s="75" t="s">
        <v>143</v>
      </c>
      <c r="N1191" s="75" t="b">
        <v>1</v>
      </c>
      <c r="O1191" s="75" t="s">
        <v>144</v>
      </c>
      <c r="P1191" s="75">
        <v>1994</v>
      </c>
      <c r="Q1191" s="75">
        <v>2020</v>
      </c>
      <c r="R1191" s="75">
        <v>1</v>
      </c>
      <c r="S1191" s="100">
        <v>211044</v>
      </c>
      <c r="T1191" s="101">
        <v>40673</v>
      </c>
      <c r="U1191" s="83"/>
    </row>
    <row r="1192" spans="1:21" s="84" customFormat="1" x14ac:dyDescent="0.3">
      <c r="A1192" s="68">
        <v>40629</v>
      </c>
      <c r="B1192" s="69">
        <f>YEAR(A1192)*10000+MONTH(A1192)*100+DAY(A1192)</f>
        <v>20110327</v>
      </c>
      <c r="C1192" s="70">
        <v>3.6400000000000002E-2</v>
      </c>
      <c r="D1192" s="77">
        <v>0.01</v>
      </c>
      <c r="E1192" s="77">
        <v>0.01</v>
      </c>
      <c r="F1192" s="77">
        <v>0.01</v>
      </c>
      <c r="G1192" s="78">
        <v>0</v>
      </c>
      <c r="H1192" s="79"/>
      <c r="I1192" s="79"/>
      <c r="J1192" s="79"/>
      <c r="K1192" s="80">
        <v>1.11E-2</v>
      </c>
      <c r="L1192" s="80">
        <v>0</v>
      </c>
      <c r="M1192" s="75" t="s">
        <v>143</v>
      </c>
      <c r="N1192" s="75" t="b">
        <v>1</v>
      </c>
      <c r="O1192" s="75" t="s">
        <v>144</v>
      </c>
      <c r="P1192" s="75">
        <v>1994</v>
      </c>
      <c r="Q1192" s="75">
        <v>2020</v>
      </c>
      <c r="R1192" s="75">
        <v>1</v>
      </c>
      <c r="S1192" s="100">
        <v>211044</v>
      </c>
      <c r="T1192" s="101">
        <v>40673</v>
      </c>
      <c r="U1192" s="83"/>
    </row>
    <row r="1193" spans="1:21" s="84" customFormat="1" x14ac:dyDescent="0.3">
      <c r="A1193" s="68">
        <v>40630</v>
      </c>
      <c r="B1193" s="69">
        <f t="shared" si="20"/>
        <v>20110328</v>
      </c>
      <c r="C1193" s="70">
        <v>3.6400000000000002E-2</v>
      </c>
      <c r="D1193" s="77">
        <v>0.01</v>
      </c>
      <c r="E1193" s="77">
        <v>0.01</v>
      </c>
      <c r="F1193" s="77">
        <v>0.01</v>
      </c>
      <c r="G1193" s="78">
        <v>0</v>
      </c>
      <c r="H1193" s="79"/>
      <c r="I1193" s="79"/>
      <c r="J1193" s="79"/>
      <c r="K1193" s="80">
        <v>1.1200000000000002E-2</v>
      </c>
      <c r="L1193" s="80">
        <v>0</v>
      </c>
      <c r="M1193" s="75" t="s">
        <v>143</v>
      </c>
      <c r="N1193" s="75" t="b">
        <v>1</v>
      </c>
      <c r="O1193" s="75" t="s">
        <v>144</v>
      </c>
      <c r="P1193" s="75">
        <v>1994</v>
      </c>
      <c r="Q1193" s="75">
        <v>2020</v>
      </c>
      <c r="R1193" s="75">
        <v>1</v>
      </c>
      <c r="S1193" s="100">
        <v>211044</v>
      </c>
      <c r="T1193" s="101">
        <v>40673</v>
      </c>
      <c r="U1193" s="83"/>
    </row>
    <row r="1194" spans="1:21" s="84" customFormat="1" x14ac:dyDescent="0.3">
      <c r="A1194" s="68">
        <v>40631</v>
      </c>
      <c r="B1194" s="69">
        <f t="shared" si="20"/>
        <v>20110329</v>
      </c>
      <c r="C1194" s="70">
        <v>3.6799999999999999E-2</v>
      </c>
      <c r="D1194" s="77">
        <v>0.01</v>
      </c>
      <c r="E1194" s="77">
        <v>0.01</v>
      </c>
      <c r="F1194" s="77">
        <v>0.01</v>
      </c>
      <c r="G1194" s="78">
        <v>0</v>
      </c>
      <c r="H1194" s="79"/>
      <c r="I1194" s="79"/>
      <c r="J1194" s="79"/>
      <c r="K1194" s="80">
        <v>1.15E-2</v>
      </c>
      <c r="L1194" s="80">
        <v>0</v>
      </c>
      <c r="M1194" s="75" t="s">
        <v>143</v>
      </c>
      <c r="N1194" s="75" t="b">
        <v>1</v>
      </c>
      <c r="O1194" s="75" t="s">
        <v>144</v>
      </c>
      <c r="P1194" s="75">
        <v>1994</v>
      </c>
      <c r="Q1194" s="75">
        <v>2020</v>
      </c>
      <c r="R1194" s="75">
        <v>1</v>
      </c>
      <c r="S1194" s="100">
        <v>211044</v>
      </c>
      <c r="T1194" s="101">
        <v>40673</v>
      </c>
      <c r="U1194" s="83"/>
    </row>
    <row r="1195" spans="1:21" s="84" customFormat="1" x14ac:dyDescent="0.3">
      <c r="A1195" s="68">
        <v>40632</v>
      </c>
      <c r="B1195" s="69">
        <f t="shared" si="20"/>
        <v>20110330</v>
      </c>
      <c r="C1195" s="70">
        <v>3.6600000000000001E-2</v>
      </c>
      <c r="D1195" s="77">
        <v>0.01</v>
      </c>
      <c r="E1195" s="77">
        <v>0.01</v>
      </c>
      <c r="F1195" s="77">
        <v>0.01</v>
      </c>
      <c r="G1195" s="78">
        <v>0</v>
      </c>
      <c r="H1195" s="79"/>
      <c r="I1195" s="79"/>
      <c r="J1195" s="79"/>
      <c r="K1195" s="80">
        <v>1.1299999999999999E-2</v>
      </c>
      <c r="L1195" s="80">
        <v>0</v>
      </c>
      <c r="M1195" s="75" t="s">
        <v>143</v>
      </c>
      <c r="N1195" s="75" t="b">
        <v>1</v>
      </c>
      <c r="O1195" s="75" t="s">
        <v>144</v>
      </c>
      <c r="P1195" s="75">
        <v>1994</v>
      </c>
      <c r="Q1195" s="75">
        <v>2020</v>
      </c>
      <c r="R1195" s="75">
        <v>1</v>
      </c>
      <c r="S1195" s="100">
        <v>211044</v>
      </c>
      <c r="T1195" s="101">
        <v>40673</v>
      </c>
      <c r="U1195" s="83"/>
    </row>
    <row r="1196" spans="1:21" s="99" customFormat="1" x14ac:dyDescent="0.3">
      <c r="A1196" s="85">
        <v>40633</v>
      </c>
      <c r="B1196" s="86">
        <f t="shared" si="20"/>
        <v>20110331</v>
      </c>
      <c r="C1196" s="87">
        <v>3.7000000000000005E-2</v>
      </c>
      <c r="D1196" s="89">
        <v>7.0000000000000001E-3</v>
      </c>
      <c r="E1196" s="89">
        <v>7.0000000000000001E-3</v>
      </c>
      <c r="F1196" s="89">
        <v>7.0000000000000001E-3</v>
      </c>
      <c r="G1196" s="103">
        <v>0</v>
      </c>
      <c r="H1196" s="91"/>
      <c r="I1196" s="91"/>
      <c r="J1196" s="91"/>
      <c r="K1196" s="92">
        <v>1.15E-2</v>
      </c>
      <c r="L1196" s="92">
        <v>0</v>
      </c>
      <c r="M1196" s="104" t="s">
        <v>143</v>
      </c>
      <c r="N1196" s="104" t="s">
        <v>182</v>
      </c>
      <c r="O1196" s="104" t="s">
        <v>144</v>
      </c>
      <c r="P1196" s="104">
        <v>1994</v>
      </c>
      <c r="Q1196" s="105">
        <f>YEAR(A1196)</f>
        <v>2011</v>
      </c>
      <c r="R1196" s="104">
        <v>2</v>
      </c>
      <c r="S1196" s="93">
        <v>211061</v>
      </c>
      <c r="T1196" s="94">
        <v>40701</v>
      </c>
      <c r="U1196" s="95" t="s">
        <v>176</v>
      </c>
    </row>
    <row r="1197" spans="1:21" s="84" customFormat="1" x14ac:dyDescent="0.3">
      <c r="A1197" s="68">
        <v>40634</v>
      </c>
      <c r="B1197" s="69">
        <f t="shared" si="20"/>
        <v>20110401</v>
      </c>
      <c r="C1197" s="70">
        <v>3.7200000000000004E-2</v>
      </c>
      <c r="D1197" s="77">
        <v>7.0000000000000001E-3</v>
      </c>
      <c r="E1197" s="77">
        <v>7.0000000000000001E-3</v>
      </c>
      <c r="F1197" s="77">
        <v>7.0000000000000001E-3</v>
      </c>
      <c r="G1197" s="78">
        <v>0</v>
      </c>
      <c r="H1197" s="79"/>
      <c r="I1197" s="79"/>
      <c r="J1197" s="79"/>
      <c r="K1197" s="106">
        <v>1.15E-2</v>
      </c>
      <c r="L1197" s="80">
        <v>0</v>
      </c>
      <c r="M1197" s="75" t="s">
        <v>143</v>
      </c>
      <c r="N1197" s="75" t="b">
        <v>1</v>
      </c>
      <c r="O1197" s="75" t="s">
        <v>144</v>
      </c>
      <c r="P1197" s="75">
        <v>1994</v>
      </c>
      <c r="Q1197" s="107">
        <f>YEAR(A1197)</f>
        <v>2011</v>
      </c>
      <c r="R1197" s="107">
        <v>2</v>
      </c>
      <c r="S1197" s="100">
        <v>211061</v>
      </c>
      <c r="T1197" s="101">
        <v>40701</v>
      </c>
      <c r="U1197" s="83"/>
    </row>
    <row r="1198" spans="1:21" s="84" customFormat="1" x14ac:dyDescent="0.3">
      <c r="A1198" s="68">
        <v>40635</v>
      </c>
      <c r="B1198" s="69">
        <f>YEAR(A1198)*10000+MONTH(A1198)*100+DAY(A1198)</f>
        <v>20110402</v>
      </c>
      <c r="C1198" s="70">
        <v>3.7199999999999997E-2</v>
      </c>
      <c r="D1198" s="77">
        <v>7.0000000000000001E-3</v>
      </c>
      <c r="E1198" s="77">
        <v>7.0000000000000001E-3</v>
      </c>
      <c r="F1198" s="77">
        <v>7.0000000000000001E-3</v>
      </c>
      <c r="G1198" s="78">
        <v>0</v>
      </c>
      <c r="H1198" s="79"/>
      <c r="I1198" s="79"/>
      <c r="J1198" s="79"/>
      <c r="K1198" s="106">
        <v>1.15E-2</v>
      </c>
      <c r="L1198" s="80">
        <v>0</v>
      </c>
      <c r="M1198" s="75" t="s">
        <v>143</v>
      </c>
      <c r="N1198" s="75" t="b">
        <v>1</v>
      </c>
      <c r="O1198" s="75" t="s">
        <v>144</v>
      </c>
      <c r="P1198" s="75">
        <v>1994</v>
      </c>
      <c r="Q1198" s="107">
        <f t="shared" ref="Q1198:Q1261" si="21">YEAR(A1198)</f>
        <v>2011</v>
      </c>
      <c r="R1198" s="107">
        <v>2</v>
      </c>
      <c r="S1198" s="100">
        <v>211061</v>
      </c>
      <c r="T1198" s="101">
        <v>40701</v>
      </c>
      <c r="U1198" s="83"/>
    </row>
    <row r="1199" spans="1:21" s="84" customFormat="1" x14ac:dyDescent="0.3">
      <c r="A1199" s="68">
        <v>40636</v>
      </c>
      <c r="B1199" s="69">
        <f>YEAR(A1199)*10000+MONTH(A1199)*100+DAY(A1199)</f>
        <v>20110403</v>
      </c>
      <c r="C1199" s="70">
        <v>3.7199999999999997E-2</v>
      </c>
      <c r="D1199" s="77">
        <v>7.0000000000000001E-3</v>
      </c>
      <c r="E1199" s="77">
        <v>7.0000000000000001E-3</v>
      </c>
      <c r="F1199" s="77">
        <v>7.0000000000000001E-3</v>
      </c>
      <c r="G1199" s="78">
        <v>0</v>
      </c>
      <c r="H1199" s="79"/>
      <c r="I1199" s="79"/>
      <c r="J1199" s="79"/>
      <c r="K1199" s="106">
        <v>1.15E-2</v>
      </c>
      <c r="L1199" s="80">
        <v>0</v>
      </c>
      <c r="M1199" s="75" t="s">
        <v>143</v>
      </c>
      <c r="N1199" s="75" t="b">
        <v>1</v>
      </c>
      <c r="O1199" s="75" t="s">
        <v>144</v>
      </c>
      <c r="P1199" s="75">
        <v>1994</v>
      </c>
      <c r="Q1199" s="107">
        <f t="shared" si="21"/>
        <v>2011</v>
      </c>
      <c r="R1199" s="107">
        <v>2</v>
      </c>
      <c r="S1199" s="100">
        <v>211061</v>
      </c>
      <c r="T1199" s="101">
        <v>40701</v>
      </c>
      <c r="U1199" s="83"/>
    </row>
    <row r="1200" spans="1:21" s="84" customFormat="1" x14ac:dyDescent="0.3">
      <c r="A1200" s="68">
        <v>40637</v>
      </c>
      <c r="B1200" s="69">
        <f t="shared" si="20"/>
        <v>20110404</v>
      </c>
      <c r="C1200" s="70">
        <v>3.7100000000000001E-2</v>
      </c>
      <c r="D1200" s="77">
        <v>7.0000000000000001E-3</v>
      </c>
      <c r="E1200" s="77">
        <v>7.0000000000000001E-3</v>
      </c>
      <c r="F1200" s="77">
        <v>7.0000000000000001E-3</v>
      </c>
      <c r="G1200" s="78">
        <v>0</v>
      </c>
      <c r="H1200" s="79"/>
      <c r="I1200" s="79"/>
      <c r="J1200" s="79"/>
      <c r="K1200" s="106">
        <v>1.1299999999999999E-2</v>
      </c>
      <c r="L1200" s="80">
        <v>0</v>
      </c>
      <c r="M1200" s="75" t="s">
        <v>143</v>
      </c>
      <c r="N1200" s="75" t="b">
        <v>1</v>
      </c>
      <c r="O1200" s="75" t="s">
        <v>144</v>
      </c>
      <c r="P1200" s="75">
        <v>1994</v>
      </c>
      <c r="Q1200" s="107">
        <f t="shared" si="21"/>
        <v>2011</v>
      </c>
      <c r="R1200" s="107">
        <v>2</v>
      </c>
      <c r="S1200" s="100">
        <v>211061</v>
      </c>
      <c r="T1200" s="101">
        <v>40701</v>
      </c>
      <c r="U1200" s="83"/>
    </row>
    <row r="1201" spans="1:21" s="84" customFormat="1" x14ac:dyDescent="0.3">
      <c r="A1201" s="68">
        <v>40638</v>
      </c>
      <c r="B1201" s="69">
        <f t="shared" si="20"/>
        <v>20110405</v>
      </c>
      <c r="C1201" s="70">
        <v>3.7200000000000004E-2</v>
      </c>
      <c r="D1201" s="77">
        <v>7.0000000000000001E-3</v>
      </c>
      <c r="E1201" s="77">
        <v>7.0000000000000001E-3</v>
      </c>
      <c r="F1201" s="77">
        <v>7.0000000000000001E-3</v>
      </c>
      <c r="G1201" s="78">
        <v>0</v>
      </c>
      <c r="H1201" s="79"/>
      <c r="I1201" s="79"/>
      <c r="J1201" s="79"/>
      <c r="K1201" s="106">
        <v>1.1200000000000002E-2</v>
      </c>
      <c r="L1201" s="80">
        <v>0</v>
      </c>
      <c r="M1201" s="75" t="s">
        <v>143</v>
      </c>
      <c r="N1201" s="75" t="b">
        <v>1</v>
      </c>
      <c r="O1201" s="75" t="s">
        <v>144</v>
      </c>
      <c r="P1201" s="75">
        <v>1994</v>
      </c>
      <c r="Q1201" s="107">
        <f t="shared" si="21"/>
        <v>2011</v>
      </c>
      <c r="R1201" s="107">
        <v>2</v>
      </c>
      <c r="S1201" s="100">
        <v>211061</v>
      </c>
      <c r="T1201" s="101">
        <v>40701</v>
      </c>
      <c r="U1201" s="83"/>
    </row>
    <row r="1202" spans="1:21" s="84" customFormat="1" x14ac:dyDescent="0.3">
      <c r="A1202" s="68">
        <v>40639</v>
      </c>
      <c r="B1202" s="69">
        <f t="shared" si="20"/>
        <v>20110406</v>
      </c>
      <c r="C1202" s="70">
        <v>3.7599999999999995E-2</v>
      </c>
      <c r="D1202" s="77">
        <v>7.0000000000000001E-3</v>
      </c>
      <c r="E1202" s="77">
        <v>7.0000000000000001E-3</v>
      </c>
      <c r="F1202" s="77">
        <v>7.0000000000000001E-3</v>
      </c>
      <c r="G1202" s="78">
        <v>0</v>
      </c>
      <c r="H1202" s="79"/>
      <c r="I1202" s="79"/>
      <c r="J1202" s="79"/>
      <c r="K1202" s="106">
        <v>1.1699999999999999E-2</v>
      </c>
      <c r="L1202" s="80">
        <v>0</v>
      </c>
      <c r="M1202" s="75" t="s">
        <v>143</v>
      </c>
      <c r="N1202" s="75" t="b">
        <v>1</v>
      </c>
      <c r="O1202" s="75" t="s">
        <v>144</v>
      </c>
      <c r="P1202" s="75">
        <v>1994</v>
      </c>
      <c r="Q1202" s="107">
        <f t="shared" si="21"/>
        <v>2011</v>
      </c>
      <c r="R1202" s="107">
        <v>2</v>
      </c>
      <c r="S1202" s="100">
        <v>211061</v>
      </c>
      <c r="T1202" s="101">
        <v>40701</v>
      </c>
      <c r="U1202" s="83"/>
    </row>
    <row r="1203" spans="1:21" s="84" customFormat="1" x14ac:dyDescent="0.3">
      <c r="A1203" s="68">
        <v>40640</v>
      </c>
      <c r="B1203" s="69">
        <f t="shared" si="20"/>
        <v>20110407</v>
      </c>
      <c r="C1203" s="70">
        <v>3.7900000000000003E-2</v>
      </c>
      <c r="D1203" s="77">
        <v>7.0000000000000001E-3</v>
      </c>
      <c r="E1203" s="77">
        <v>7.0000000000000001E-3</v>
      </c>
      <c r="F1203" s="77">
        <v>7.0000000000000001E-3</v>
      </c>
      <c r="G1203" s="78">
        <v>0</v>
      </c>
      <c r="H1203" s="79"/>
      <c r="I1203" s="79"/>
      <c r="J1203" s="79"/>
      <c r="K1203" s="106">
        <v>1.1599999999999999E-2</v>
      </c>
      <c r="L1203" s="80">
        <v>0</v>
      </c>
      <c r="M1203" s="75" t="s">
        <v>143</v>
      </c>
      <c r="N1203" s="75" t="b">
        <v>1</v>
      </c>
      <c r="O1203" s="75" t="s">
        <v>144</v>
      </c>
      <c r="P1203" s="75">
        <v>1994</v>
      </c>
      <c r="Q1203" s="107">
        <f t="shared" si="21"/>
        <v>2011</v>
      </c>
      <c r="R1203" s="107">
        <v>2</v>
      </c>
      <c r="S1203" s="100">
        <v>211061</v>
      </c>
      <c r="T1203" s="101">
        <v>40701</v>
      </c>
      <c r="U1203" s="83"/>
    </row>
    <row r="1204" spans="1:21" s="84" customFormat="1" x14ac:dyDescent="0.3">
      <c r="A1204" s="68">
        <v>40641</v>
      </c>
      <c r="B1204" s="69">
        <f t="shared" si="20"/>
        <v>20110408</v>
      </c>
      <c r="C1204" s="70">
        <v>3.7900000000000003E-2</v>
      </c>
      <c r="D1204" s="77">
        <v>7.0000000000000001E-3</v>
      </c>
      <c r="E1204" s="77">
        <v>7.0000000000000001E-3</v>
      </c>
      <c r="F1204" s="77">
        <v>7.0000000000000001E-3</v>
      </c>
      <c r="G1204" s="78">
        <v>0</v>
      </c>
      <c r="H1204" s="79"/>
      <c r="I1204" s="79"/>
      <c r="J1204" s="79"/>
      <c r="K1204" s="106">
        <v>1.15E-2</v>
      </c>
      <c r="L1204" s="80">
        <v>0</v>
      </c>
      <c r="M1204" s="75" t="s">
        <v>143</v>
      </c>
      <c r="N1204" s="75" t="b">
        <v>1</v>
      </c>
      <c r="O1204" s="75" t="s">
        <v>144</v>
      </c>
      <c r="P1204" s="75">
        <v>1994</v>
      </c>
      <c r="Q1204" s="107">
        <f t="shared" si="21"/>
        <v>2011</v>
      </c>
      <c r="R1204" s="107">
        <v>2</v>
      </c>
      <c r="S1204" s="100">
        <v>211061</v>
      </c>
      <c r="T1204" s="101">
        <v>40701</v>
      </c>
      <c r="U1204" s="83"/>
    </row>
    <row r="1205" spans="1:21" s="84" customFormat="1" x14ac:dyDescent="0.3">
      <c r="A1205" s="68">
        <v>40642</v>
      </c>
      <c r="B1205" s="69">
        <f>YEAR(A1205)*10000+MONTH(A1205)*100+DAY(A1205)</f>
        <v>20110409</v>
      </c>
      <c r="C1205" s="70">
        <v>3.7900000000000003E-2</v>
      </c>
      <c r="D1205" s="77">
        <v>7.0000000000000001E-3</v>
      </c>
      <c r="E1205" s="77">
        <v>7.0000000000000001E-3</v>
      </c>
      <c r="F1205" s="77">
        <v>7.0000000000000001E-3</v>
      </c>
      <c r="G1205" s="78">
        <v>0</v>
      </c>
      <c r="H1205" s="79"/>
      <c r="I1205" s="79"/>
      <c r="J1205" s="79"/>
      <c r="K1205" s="106">
        <v>1.15E-2</v>
      </c>
      <c r="L1205" s="80">
        <v>0</v>
      </c>
      <c r="M1205" s="75" t="s">
        <v>143</v>
      </c>
      <c r="N1205" s="75" t="b">
        <v>1</v>
      </c>
      <c r="O1205" s="75" t="s">
        <v>144</v>
      </c>
      <c r="P1205" s="75">
        <v>1994</v>
      </c>
      <c r="Q1205" s="107">
        <f t="shared" si="21"/>
        <v>2011</v>
      </c>
      <c r="R1205" s="107">
        <v>2</v>
      </c>
      <c r="S1205" s="100">
        <v>211061</v>
      </c>
      <c r="T1205" s="101">
        <v>40701</v>
      </c>
      <c r="U1205" s="83"/>
    </row>
    <row r="1206" spans="1:21" s="84" customFormat="1" x14ac:dyDescent="0.3">
      <c r="A1206" s="68">
        <v>40643</v>
      </c>
      <c r="B1206" s="69">
        <f>YEAR(A1206)*10000+MONTH(A1206)*100+DAY(A1206)</f>
        <v>20110410</v>
      </c>
      <c r="C1206" s="70">
        <v>3.7900000000000003E-2</v>
      </c>
      <c r="D1206" s="77">
        <v>7.0000000000000001E-3</v>
      </c>
      <c r="E1206" s="77">
        <v>7.0000000000000001E-3</v>
      </c>
      <c r="F1206" s="77">
        <v>7.0000000000000001E-3</v>
      </c>
      <c r="G1206" s="78">
        <v>0</v>
      </c>
      <c r="H1206" s="79"/>
      <c r="I1206" s="79"/>
      <c r="J1206" s="79"/>
      <c r="K1206" s="106">
        <v>1.15E-2</v>
      </c>
      <c r="L1206" s="80">
        <v>0</v>
      </c>
      <c r="M1206" s="75" t="s">
        <v>143</v>
      </c>
      <c r="N1206" s="75" t="b">
        <v>1</v>
      </c>
      <c r="O1206" s="75" t="s">
        <v>144</v>
      </c>
      <c r="P1206" s="75">
        <v>1994</v>
      </c>
      <c r="Q1206" s="107">
        <f t="shared" si="21"/>
        <v>2011</v>
      </c>
      <c r="R1206" s="107">
        <v>2</v>
      </c>
      <c r="S1206" s="100">
        <v>211061</v>
      </c>
      <c r="T1206" s="101">
        <v>40701</v>
      </c>
      <c r="U1206" s="83"/>
    </row>
    <row r="1207" spans="1:21" s="84" customFormat="1" x14ac:dyDescent="0.3">
      <c r="A1207" s="68">
        <v>40644</v>
      </c>
      <c r="B1207" s="69">
        <f t="shared" si="20"/>
        <v>20110411</v>
      </c>
      <c r="C1207" s="70">
        <v>3.8199999999999998E-2</v>
      </c>
      <c r="D1207" s="77">
        <v>7.0000000000000001E-3</v>
      </c>
      <c r="E1207" s="77">
        <v>7.0000000000000001E-3</v>
      </c>
      <c r="F1207" s="77">
        <v>7.0000000000000001E-3</v>
      </c>
      <c r="G1207" s="78">
        <v>0</v>
      </c>
      <c r="H1207" s="79"/>
      <c r="I1207" s="79"/>
      <c r="J1207" s="79"/>
      <c r="K1207" s="106">
        <v>1.18E-2</v>
      </c>
      <c r="L1207" s="80">
        <v>0</v>
      </c>
      <c r="M1207" s="75" t="s">
        <v>143</v>
      </c>
      <c r="N1207" s="75" t="b">
        <v>1</v>
      </c>
      <c r="O1207" s="75" t="s">
        <v>144</v>
      </c>
      <c r="P1207" s="75">
        <v>1994</v>
      </c>
      <c r="Q1207" s="107">
        <f t="shared" si="21"/>
        <v>2011</v>
      </c>
      <c r="R1207" s="107">
        <v>2</v>
      </c>
      <c r="S1207" s="100">
        <v>211061</v>
      </c>
      <c r="T1207" s="101">
        <v>40701</v>
      </c>
      <c r="U1207" s="83"/>
    </row>
    <row r="1208" spans="1:21" s="84" customFormat="1" x14ac:dyDescent="0.3">
      <c r="A1208" s="68">
        <v>40645</v>
      </c>
      <c r="B1208" s="69">
        <f t="shared" si="20"/>
        <v>20110412</v>
      </c>
      <c r="C1208" s="70">
        <v>3.7699999999999997E-2</v>
      </c>
      <c r="D1208" s="77">
        <v>7.0000000000000001E-3</v>
      </c>
      <c r="E1208" s="77">
        <v>7.0000000000000001E-3</v>
      </c>
      <c r="F1208" s="77">
        <v>7.0000000000000001E-3</v>
      </c>
      <c r="G1208" s="78">
        <v>0</v>
      </c>
      <c r="H1208" s="79"/>
      <c r="I1208" s="79"/>
      <c r="J1208" s="79"/>
      <c r="K1208" s="106">
        <v>1.15E-2</v>
      </c>
      <c r="L1208" s="80">
        <v>0</v>
      </c>
      <c r="M1208" s="75" t="s">
        <v>143</v>
      </c>
      <c r="N1208" s="75" t="b">
        <v>1</v>
      </c>
      <c r="O1208" s="75" t="s">
        <v>144</v>
      </c>
      <c r="P1208" s="75">
        <v>1994</v>
      </c>
      <c r="Q1208" s="107">
        <f t="shared" si="21"/>
        <v>2011</v>
      </c>
      <c r="R1208" s="107">
        <v>2</v>
      </c>
      <c r="S1208" s="100">
        <v>211061</v>
      </c>
      <c r="T1208" s="101">
        <v>40701</v>
      </c>
      <c r="U1208" s="83"/>
    </row>
    <row r="1209" spans="1:21" s="84" customFormat="1" x14ac:dyDescent="0.3">
      <c r="A1209" s="68">
        <v>40646</v>
      </c>
      <c r="B1209" s="69">
        <f t="shared" si="20"/>
        <v>20110413</v>
      </c>
      <c r="C1209" s="70">
        <v>3.73E-2</v>
      </c>
      <c r="D1209" s="77">
        <v>7.0000000000000001E-3</v>
      </c>
      <c r="E1209" s="77">
        <v>7.0000000000000001E-3</v>
      </c>
      <c r="F1209" s="77">
        <v>7.0000000000000001E-3</v>
      </c>
      <c r="G1209" s="78">
        <v>0</v>
      </c>
      <c r="H1209" s="79"/>
      <c r="I1209" s="79"/>
      <c r="J1209" s="79"/>
      <c r="K1209" s="106">
        <v>1.1299999999999999E-2</v>
      </c>
      <c r="L1209" s="80">
        <v>0</v>
      </c>
      <c r="M1209" s="75" t="s">
        <v>143</v>
      </c>
      <c r="N1209" s="75" t="b">
        <v>1</v>
      </c>
      <c r="O1209" s="75" t="s">
        <v>144</v>
      </c>
      <c r="P1209" s="75">
        <v>1994</v>
      </c>
      <c r="Q1209" s="107">
        <f t="shared" si="21"/>
        <v>2011</v>
      </c>
      <c r="R1209" s="107">
        <v>2</v>
      </c>
      <c r="S1209" s="100">
        <v>211061</v>
      </c>
      <c r="T1209" s="101">
        <v>40701</v>
      </c>
      <c r="U1209" s="83"/>
    </row>
    <row r="1210" spans="1:21" s="84" customFormat="1" x14ac:dyDescent="0.3">
      <c r="A1210" s="68">
        <v>40647</v>
      </c>
      <c r="B1210" s="69">
        <f t="shared" si="20"/>
        <v>20110414</v>
      </c>
      <c r="C1210" s="70">
        <v>3.7200000000000004E-2</v>
      </c>
      <c r="D1210" s="77">
        <v>7.0000000000000001E-3</v>
      </c>
      <c r="E1210" s="77">
        <v>7.0000000000000001E-3</v>
      </c>
      <c r="F1210" s="77">
        <v>7.0000000000000001E-3</v>
      </c>
      <c r="G1210" s="78">
        <v>0</v>
      </c>
      <c r="H1210" s="79"/>
      <c r="I1210" s="79"/>
      <c r="J1210" s="79"/>
      <c r="K1210" s="106">
        <v>1.11E-2</v>
      </c>
      <c r="L1210" s="80">
        <v>0</v>
      </c>
      <c r="M1210" s="75" t="s">
        <v>143</v>
      </c>
      <c r="N1210" s="75" t="b">
        <v>1</v>
      </c>
      <c r="O1210" s="75" t="s">
        <v>144</v>
      </c>
      <c r="P1210" s="75">
        <v>1994</v>
      </c>
      <c r="Q1210" s="107">
        <f t="shared" si="21"/>
        <v>2011</v>
      </c>
      <c r="R1210" s="107">
        <v>2</v>
      </c>
      <c r="S1210" s="100">
        <v>211061</v>
      </c>
      <c r="T1210" s="101">
        <v>40701</v>
      </c>
      <c r="U1210" s="83"/>
    </row>
    <row r="1211" spans="1:21" s="84" customFormat="1" x14ac:dyDescent="0.3">
      <c r="A1211" s="68">
        <v>40648</v>
      </c>
      <c r="B1211" s="69">
        <f t="shared" si="20"/>
        <v>20110415</v>
      </c>
      <c r="C1211" s="70">
        <v>3.6699999999999997E-2</v>
      </c>
      <c r="D1211" s="77">
        <v>7.0000000000000001E-3</v>
      </c>
      <c r="E1211" s="77">
        <v>7.0000000000000001E-3</v>
      </c>
      <c r="F1211" s="77">
        <v>7.0000000000000001E-3</v>
      </c>
      <c r="G1211" s="78">
        <v>0</v>
      </c>
      <c r="H1211" s="79"/>
      <c r="I1211" s="79"/>
      <c r="J1211" s="79"/>
      <c r="K1211" s="106">
        <v>1.0500000000000001E-2</v>
      </c>
      <c r="L1211" s="80">
        <v>0</v>
      </c>
      <c r="M1211" s="75" t="s">
        <v>143</v>
      </c>
      <c r="N1211" s="75" t="b">
        <v>1</v>
      </c>
      <c r="O1211" s="75" t="s">
        <v>144</v>
      </c>
      <c r="P1211" s="75">
        <v>1994</v>
      </c>
      <c r="Q1211" s="107">
        <f t="shared" si="21"/>
        <v>2011</v>
      </c>
      <c r="R1211" s="107">
        <v>2</v>
      </c>
      <c r="S1211" s="100">
        <v>211061</v>
      </c>
      <c r="T1211" s="101">
        <v>40701</v>
      </c>
      <c r="U1211" s="83"/>
    </row>
    <row r="1212" spans="1:21" s="84" customFormat="1" x14ac:dyDescent="0.3">
      <c r="A1212" s="68">
        <v>40649</v>
      </c>
      <c r="B1212" s="69">
        <f>YEAR(A1212)*10000+MONTH(A1212)*100+DAY(A1212)</f>
        <v>20110416</v>
      </c>
      <c r="C1212" s="70">
        <v>3.6699999999999997E-2</v>
      </c>
      <c r="D1212" s="77">
        <v>7.0000000000000001E-3</v>
      </c>
      <c r="E1212" s="77">
        <v>7.0000000000000001E-3</v>
      </c>
      <c r="F1212" s="77">
        <v>7.0000000000000001E-3</v>
      </c>
      <c r="G1212" s="78">
        <v>0</v>
      </c>
      <c r="H1212" s="79"/>
      <c r="I1212" s="79"/>
      <c r="J1212" s="79"/>
      <c r="K1212" s="106">
        <v>1.0500000000000001E-2</v>
      </c>
      <c r="L1212" s="80">
        <v>0</v>
      </c>
      <c r="M1212" s="75" t="s">
        <v>143</v>
      </c>
      <c r="N1212" s="75" t="b">
        <v>1</v>
      </c>
      <c r="O1212" s="75" t="s">
        <v>144</v>
      </c>
      <c r="P1212" s="75">
        <v>1994</v>
      </c>
      <c r="Q1212" s="107">
        <f t="shared" si="21"/>
        <v>2011</v>
      </c>
      <c r="R1212" s="107">
        <v>2</v>
      </c>
      <c r="S1212" s="100">
        <v>211061</v>
      </c>
      <c r="T1212" s="101">
        <v>40701</v>
      </c>
      <c r="U1212" s="83"/>
    </row>
    <row r="1213" spans="1:21" s="84" customFormat="1" x14ac:dyDescent="0.3">
      <c r="A1213" s="68">
        <v>40650</v>
      </c>
      <c r="B1213" s="69">
        <f>YEAR(A1213)*10000+MONTH(A1213)*100+DAY(A1213)</f>
        <v>20110417</v>
      </c>
      <c r="C1213" s="70">
        <v>3.6699999999999997E-2</v>
      </c>
      <c r="D1213" s="77">
        <v>7.0000000000000001E-3</v>
      </c>
      <c r="E1213" s="77">
        <v>7.0000000000000001E-3</v>
      </c>
      <c r="F1213" s="77">
        <v>7.0000000000000001E-3</v>
      </c>
      <c r="G1213" s="78">
        <v>0</v>
      </c>
      <c r="H1213" s="79"/>
      <c r="I1213" s="79"/>
      <c r="J1213" s="79"/>
      <c r="K1213" s="106">
        <v>1.0500000000000001E-2</v>
      </c>
      <c r="L1213" s="80">
        <v>0</v>
      </c>
      <c r="M1213" s="75" t="s">
        <v>143</v>
      </c>
      <c r="N1213" s="75" t="b">
        <v>1</v>
      </c>
      <c r="O1213" s="75" t="s">
        <v>144</v>
      </c>
      <c r="P1213" s="75">
        <v>1994</v>
      </c>
      <c r="Q1213" s="107">
        <f t="shared" si="21"/>
        <v>2011</v>
      </c>
      <c r="R1213" s="107">
        <v>2</v>
      </c>
      <c r="S1213" s="100">
        <v>211061</v>
      </c>
      <c r="T1213" s="101">
        <v>40701</v>
      </c>
      <c r="U1213" s="83"/>
    </row>
    <row r="1214" spans="1:21" s="84" customFormat="1" x14ac:dyDescent="0.3">
      <c r="A1214" s="68">
        <v>40651</v>
      </c>
      <c r="B1214" s="69">
        <f t="shared" si="20"/>
        <v>20110418</v>
      </c>
      <c r="C1214" s="70">
        <v>3.6200000000000003E-2</v>
      </c>
      <c r="D1214" s="77">
        <v>7.0000000000000001E-3</v>
      </c>
      <c r="E1214" s="77">
        <v>7.0000000000000001E-3</v>
      </c>
      <c r="F1214" s="77">
        <v>7.0000000000000001E-3</v>
      </c>
      <c r="G1214" s="78">
        <v>0</v>
      </c>
      <c r="H1214" s="79"/>
      <c r="I1214" s="79"/>
      <c r="J1214" s="79"/>
      <c r="K1214" s="106">
        <v>1.03E-2</v>
      </c>
      <c r="L1214" s="80">
        <v>0</v>
      </c>
      <c r="M1214" s="75" t="s">
        <v>143</v>
      </c>
      <c r="N1214" s="75" t="b">
        <v>1</v>
      </c>
      <c r="O1214" s="75" t="s">
        <v>144</v>
      </c>
      <c r="P1214" s="75">
        <v>1994</v>
      </c>
      <c r="Q1214" s="107">
        <f t="shared" si="21"/>
        <v>2011</v>
      </c>
      <c r="R1214" s="107">
        <v>2</v>
      </c>
      <c r="S1214" s="100">
        <v>211061</v>
      </c>
      <c r="T1214" s="101">
        <v>40701</v>
      </c>
      <c r="U1214" s="83"/>
    </row>
    <row r="1215" spans="1:21" s="84" customFormat="1" x14ac:dyDescent="0.3">
      <c r="A1215" s="68">
        <v>40652</v>
      </c>
      <c r="B1215" s="69">
        <f t="shared" si="20"/>
        <v>20110419</v>
      </c>
      <c r="C1215" s="70">
        <v>3.6499999999999998E-2</v>
      </c>
      <c r="D1215" s="77">
        <v>7.0000000000000001E-3</v>
      </c>
      <c r="E1215" s="77">
        <v>7.0000000000000001E-3</v>
      </c>
      <c r="F1215" s="77">
        <v>7.0000000000000001E-3</v>
      </c>
      <c r="G1215" s="78">
        <v>0</v>
      </c>
      <c r="H1215" s="79"/>
      <c r="I1215" s="79"/>
      <c r="J1215" s="79"/>
      <c r="K1215" s="106">
        <v>1.01E-2</v>
      </c>
      <c r="L1215" s="80">
        <v>0</v>
      </c>
      <c r="M1215" s="75" t="s">
        <v>143</v>
      </c>
      <c r="N1215" s="75" t="b">
        <v>1</v>
      </c>
      <c r="O1215" s="75" t="s">
        <v>144</v>
      </c>
      <c r="P1215" s="75">
        <v>1994</v>
      </c>
      <c r="Q1215" s="107">
        <f t="shared" si="21"/>
        <v>2011</v>
      </c>
      <c r="R1215" s="107">
        <v>2</v>
      </c>
      <c r="S1215" s="100">
        <v>211061</v>
      </c>
      <c r="T1215" s="101">
        <v>40701</v>
      </c>
      <c r="U1215" s="83"/>
    </row>
    <row r="1216" spans="1:21" s="84" customFormat="1" x14ac:dyDescent="0.3">
      <c r="A1216" s="68">
        <v>40653</v>
      </c>
      <c r="B1216" s="69">
        <f t="shared" si="20"/>
        <v>20110420</v>
      </c>
      <c r="C1216" s="70">
        <v>3.7000000000000005E-2</v>
      </c>
      <c r="D1216" s="77">
        <v>7.0000000000000001E-3</v>
      </c>
      <c r="E1216" s="77">
        <v>7.0000000000000001E-3</v>
      </c>
      <c r="F1216" s="77">
        <v>7.0000000000000001E-3</v>
      </c>
      <c r="G1216" s="78">
        <v>0</v>
      </c>
      <c r="H1216" s="79"/>
      <c r="I1216" s="79"/>
      <c r="J1216" s="79"/>
      <c r="K1216" s="106">
        <v>1.06E-2</v>
      </c>
      <c r="L1216" s="80">
        <v>0</v>
      </c>
      <c r="M1216" s="75" t="s">
        <v>143</v>
      </c>
      <c r="N1216" s="75" t="b">
        <v>1</v>
      </c>
      <c r="O1216" s="75" t="s">
        <v>144</v>
      </c>
      <c r="P1216" s="75">
        <v>1994</v>
      </c>
      <c r="Q1216" s="107">
        <f t="shared" si="21"/>
        <v>2011</v>
      </c>
      <c r="R1216" s="107">
        <v>2</v>
      </c>
      <c r="S1216" s="100">
        <v>211061</v>
      </c>
      <c r="T1216" s="101">
        <v>40701</v>
      </c>
      <c r="U1216" s="83"/>
    </row>
    <row r="1217" spans="1:21" s="84" customFormat="1" x14ac:dyDescent="0.3">
      <c r="A1217" s="68">
        <v>40654</v>
      </c>
      <c r="B1217" s="69">
        <f t="shared" si="20"/>
        <v>20110421</v>
      </c>
      <c r="C1217" s="70">
        <v>3.6699999999999997E-2</v>
      </c>
      <c r="D1217" s="77">
        <v>7.0000000000000001E-3</v>
      </c>
      <c r="E1217" s="77">
        <v>7.0000000000000001E-3</v>
      </c>
      <c r="F1217" s="77">
        <v>7.0000000000000001E-3</v>
      </c>
      <c r="G1217" s="78">
        <v>0</v>
      </c>
      <c r="H1217" s="79"/>
      <c r="I1217" s="79"/>
      <c r="J1217" s="79"/>
      <c r="K1217" s="106">
        <v>1.04E-2</v>
      </c>
      <c r="L1217" s="80">
        <v>0</v>
      </c>
      <c r="M1217" s="75" t="s">
        <v>143</v>
      </c>
      <c r="N1217" s="75" t="b">
        <v>1</v>
      </c>
      <c r="O1217" s="75" t="s">
        <v>144</v>
      </c>
      <c r="P1217" s="75">
        <v>1994</v>
      </c>
      <c r="Q1217" s="107">
        <f t="shared" si="21"/>
        <v>2011</v>
      </c>
      <c r="R1217" s="107">
        <v>2</v>
      </c>
      <c r="S1217" s="100">
        <v>211061</v>
      </c>
      <c r="T1217" s="101">
        <v>40701</v>
      </c>
      <c r="U1217" s="83"/>
    </row>
    <row r="1218" spans="1:21" s="84" customFormat="1" x14ac:dyDescent="0.3">
      <c r="A1218" s="68">
        <v>40655</v>
      </c>
      <c r="B1218" s="69">
        <f t="shared" si="20"/>
        <v>20110422</v>
      </c>
      <c r="C1218" s="70">
        <v>3.6699999999999997E-2</v>
      </c>
      <c r="D1218" s="77">
        <v>7.0000000000000001E-3</v>
      </c>
      <c r="E1218" s="77">
        <v>7.0000000000000001E-3</v>
      </c>
      <c r="F1218" s="77">
        <v>7.0000000000000001E-3</v>
      </c>
      <c r="G1218" s="78">
        <v>0</v>
      </c>
      <c r="H1218" s="79"/>
      <c r="I1218" s="79"/>
      <c r="J1218" s="79"/>
      <c r="K1218" s="106">
        <v>1.04E-2</v>
      </c>
      <c r="L1218" s="80">
        <v>0</v>
      </c>
      <c r="M1218" s="75" t="s">
        <v>143</v>
      </c>
      <c r="N1218" s="75" t="b">
        <v>1</v>
      </c>
      <c r="O1218" s="75" t="s">
        <v>144</v>
      </c>
      <c r="P1218" s="75">
        <v>1994</v>
      </c>
      <c r="Q1218" s="107">
        <f t="shared" si="21"/>
        <v>2011</v>
      </c>
      <c r="R1218" s="107">
        <v>2</v>
      </c>
      <c r="S1218" s="100">
        <v>211061</v>
      </c>
      <c r="T1218" s="101">
        <v>40701</v>
      </c>
      <c r="U1218" s="83"/>
    </row>
    <row r="1219" spans="1:21" s="84" customFormat="1" x14ac:dyDescent="0.3">
      <c r="A1219" s="68">
        <v>40656</v>
      </c>
      <c r="B1219" s="69">
        <f>YEAR(A1219)*10000+MONTH(A1219)*100+DAY(A1219)</f>
        <v>20110423</v>
      </c>
      <c r="C1219" s="70">
        <v>3.6699999999999997E-2</v>
      </c>
      <c r="D1219" s="77">
        <v>7.0000000000000001E-3</v>
      </c>
      <c r="E1219" s="77">
        <v>7.0000000000000001E-3</v>
      </c>
      <c r="F1219" s="77">
        <v>7.0000000000000001E-3</v>
      </c>
      <c r="G1219" s="78">
        <v>0</v>
      </c>
      <c r="H1219" s="79"/>
      <c r="I1219" s="79"/>
      <c r="J1219" s="79"/>
      <c r="K1219" s="106">
        <v>1.04E-2</v>
      </c>
      <c r="L1219" s="80">
        <v>0</v>
      </c>
      <c r="M1219" s="75" t="s">
        <v>143</v>
      </c>
      <c r="N1219" s="75" t="b">
        <v>1</v>
      </c>
      <c r="O1219" s="75" t="s">
        <v>144</v>
      </c>
      <c r="P1219" s="75">
        <v>1994</v>
      </c>
      <c r="Q1219" s="107">
        <f t="shared" si="21"/>
        <v>2011</v>
      </c>
      <c r="R1219" s="107">
        <v>2</v>
      </c>
      <c r="S1219" s="100">
        <v>211061</v>
      </c>
      <c r="T1219" s="101">
        <v>40701</v>
      </c>
      <c r="U1219" s="83"/>
    </row>
    <row r="1220" spans="1:21" s="84" customFormat="1" x14ac:dyDescent="0.3">
      <c r="A1220" s="68">
        <v>40657</v>
      </c>
      <c r="B1220" s="69">
        <f>YEAR(A1220)*10000+MONTH(A1220)*100+DAY(A1220)</f>
        <v>20110424</v>
      </c>
      <c r="C1220" s="70">
        <v>3.6699999999999997E-2</v>
      </c>
      <c r="D1220" s="77">
        <v>7.0000000000000001E-3</v>
      </c>
      <c r="E1220" s="77">
        <v>7.0000000000000001E-3</v>
      </c>
      <c r="F1220" s="77">
        <v>7.0000000000000001E-3</v>
      </c>
      <c r="G1220" s="78">
        <v>0</v>
      </c>
      <c r="H1220" s="79"/>
      <c r="I1220" s="79"/>
      <c r="J1220" s="79"/>
      <c r="K1220" s="106">
        <v>1.04E-2</v>
      </c>
      <c r="L1220" s="80">
        <v>0</v>
      </c>
      <c r="M1220" s="75" t="s">
        <v>143</v>
      </c>
      <c r="N1220" s="75" t="b">
        <v>1</v>
      </c>
      <c r="O1220" s="75" t="s">
        <v>144</v>
      </c>
      <c r="P1220" s="75">
        <v>1994</v>
      </c>
      <c r="Q1220" s="107">
        <f t="shared" si="21"/>
        <v>2011</v>
      </c>
      <c r="R1220" s="107">
        <v>2</v>
      </c>
      <c r="S1220" s="100">
        <v>211061</v>
      </c>
      <c r="T1220" s="101">
        <v>40701</v>
      </c>
      <c r="U1220" s="83"/>
    </row>
    <row r="1221" spans="1:21" s="84" customFormat="1" x14ac:dyDescent="0.3">
      <c r="A1221" s="68">
        <v>40658</v>
      </c>
      <c r="B1221" s="69">
        <f t="shared" si="20"/>
        <v>20110425</v>
      </c>
      <c r="C1221" s="70">
        <v>3.6400000000000002E-2</v>
      </c>
      <c r="D1221" s="77">
        <v>7.0000000000000001E-3</v>
      </c>
      <c r="E1221" s="77">
        <v>7.0000000000000001E-3</v>
      </c>
      <c r="F1221" s="77">
        <v>7.0000000000000001E-3</v>
      </c>
      <c r="G1221" s="78">
        <v>0</v>
      </c>
      <c r="H1221" s="79"/>
      <c r="I1221" s="79"/>
      <c r="J1221" s="79"/>
      <c r="K1221" s="106">
        <v>1.01E-2</v>
      </c>
      <c r="L1221" s="80">
        <v>0</v>
      </c>
      <c r="M1221" s="75" t="s">
        <v>143</v>
      </c>
      <c r="N1221" s="75" t="b">
        <v>1</v>
      </c>
      <c r="O1221" s="75" t="s">
        <v>144</v>
      </c>
      <c r="P1221" s="75">
        <v>1994</v>
      </c>
      <c r="Q1221" s="107">
        <f t="shared" si="21"/>
        <v>2011</v>
      </c>
      <c r="R1221" s="107">
        <v>2</v>
      </c>
      <c r="S1221" s="100">
        <v>211061</v>
      </c>
      <c r="T1221" s="101">
        <v>40701</v>
      </c>
      <c r="U1221" s="83"/>
    </row>
    <row r="1222" spans="1:21" s="84" customFormat="1" x14ac:dyDescent="0.3">
      <c r="A1222" s="68">
        <v>40659</v>
      </c>
      <c r="B1222" s="69">
        <f t="shared" si="20"/>
        <v>20110426</v>
      </c>
      <c r="C1222" s="70">
        <v>3.61E-2</v>
      </c>
      <c r="D1222" s="77">
        <v>7.0000000000000001E-3</v>
      </c>
      <c r="E1222" s="77">
        <v>7.0000000000000001E-3</v>
      </c>
      <c r="F1222" s="77">
        <v>7.0000000000000001E-3</v>
      </c>
      <c r="G1222" s="78">
        <v>0</v>
      </c>
      <c r="H1222" s="79"/>
      <c r="I1222" s="79"/>
      <c r="J1222" s="79"/>
      <c r="K1222" s="106">
        <v>0.01</v>
      </c>
      <c r="L1222" s="80">
        <v>0</v>
      </c>
      <c r="M1222" s="75" t="s">
        <v>143</v>
      </c>
      <c r="N1222" s="75" t="b">
        <v>1</v>
      </c>
      <c r="O1222" s="75" t="s">
        <v>144</v>
      </c>
      <c r="P1222" s="75">
        <v>1994</v>
      </c>
      <c r="Q1222" s="107">
        <f t="shared" si="21"/>
        <v>2011</v>
      </c>
      <c r="R1222" s="107">
        <v>2</v>
      </c>
      <c r="S1222" s="100">
        <v>211061</v>
      </c>
      <c r="T1222" s="101">
        <v>40701</v>
      </c>
      <c r="U1222" s="83"/>
    </row>
    <row r="1223" spans="1:21" s="84" customFormat="1" x14ac:dyDescent="0.3">
      <c r="A1223" s="68">
        <v>40660</v>
      </c>
      <c r="B1223" s="69">
        <f t="shared" si="20"/>
        <v>20110427</v>
      </c>
      <c r="C1223" s="70">
        <v>3.6699999999999997E-2</v>
      </c>
      <c r="D1223" s="77">
        <v>7.0000000000000001E-3</v>
      </c>
      <c r="E1223" s="77">
        <v>7.0000000000000001E-3</v>
      </c>
      <c r="F1223" s="77">
        <v>7.0000000000000001E-3</v>
      </c>
      <c r="G1223" s="78">
        <v>0</v>
      </c>
      <c r="H1223" s="79"/>
      <c r="I1223" s="79"/>
      <c r="J1223" s="79"/>
      <c r="K1223" s="106">
        <v>1.0500000000000001E-2</v>
      </c>
      <c r="L1223" s="80">
        <v>0</v>
      </c>
      <c r="M1223" s="75" t="s">
        <v>143</v>
      </c>
      <c r="N1223" s="75" t="b">
        <v>1</v>
      </c>
      <c r="O1223" s="75" t="s">
        <v>144</v>
      </c>
      <c r="P1223" s="75">
        <v>1994</v>
      </c>
      <c r="Q1223" s="107">
        <f t="shared" si="21"/>
        <v>2011</v>
      </c>
      <c r="R1223" s="107">
        <v>2</v>
      </c>
      <c r="S1223" s="100">
        <v>211061</v>
      </c>
      <c r="T1223" s="101">
        <v>40701</v>
      </c>
      <c r="U1223" s="83"/>
    </row>
    <row r="1224" spans="1:21" s="84" customFormat="1" x14ac:dyDescent="0.3">
      <c r="A1224" s="68">
        <v>40661</v>
      </c>
      <c r="B1224" s="69">
        <f t="shared" si="20"/>
        <v>20110428</v>
      </c>
      <c r="C1224" s="70">
        <v>3.6400000000000002E-2</v>
      </c>
      <c r="D1224" s="77">
        <v>7.0000000000000001E-3</v>
      </c>
      <c r="E1224" s="77">
        <v>7.0000000000000001E-3</v>
      </c>
      <c r="F1224" s="77">
        <v>7.0000000000000001E-3</v>
      </c>
      <c r="G1224" s="78">
        <v>0</v>
      </c>
      <c r="H1224" s="79"/>
      <c r="I1224" s="79"/>
      <c r="J1224" s="79"/>
      <c r="K1224" s="106">
        <v>1.0200000000000001E-2</v>
      </c>
      <c r="L1224" s="80">
        <v>0</v>
      </c>
      <c r="M1224" s="75" t="s">
        <v>143</v>
      </c>
      <c r="N1224" s="75" t="b">
        <v>1</v>
      </c>
      <c r="O1224" s="75" t="s">
        <v>144</v>
      </c>
      <c r="P1224" s="75">
        <v>1994</v>
      </c>
      <c r="Q1224" s="107">
        <f t="shared" si="21"/>
        <v>2011</v>
      </c>
      <c r="R1224" s="107">
        <v>2</v>
      </c>
      <c r="S1224" s="100">
        <v>211061</v>
      </c>
      <c r="T1224" s="101">
        <v>40701</v>
      </c>
      <c r="U1224" s="83"/>
    </row>
    <row r="1225" spans="1:21" s="84" customFormat="1" x14ac:dyDescent="0.3">
      <c r="A1225" s="68">
        <v>40662</v>
      </c>
      <c r="B1225" s="69">
        <f t="shared" si="20"/>
        <v>20110429</v>
      </c>
      <c r="C1225" s="70">
        <v>3.6200000000000003E-2</v>
      </c>
      <c r="D1225" s="77">
        <v>7.0000000000000001E-3</v>
      </c>
      <c r="E1225" s="77">
        <v>7.0000000000000001E-3</v>
      </c>
      <c r="F1225" s="77">
        <v>7.0000000000000001E-3</v>
      </c>
      <c r="G1225" s="78">
        <v>0</v>
      </c>
      <c r="H1225" s="79"/>
      <c r="I1225" s="79"/>
      <c r="J1225" s="79"/>
      <c r="K1225" s="106">
        <v>0.01</v>
      </c>
      <c r="L1225" s="80">
        <v>0</v>
      </c>
      <c r="M1225" s="75" t="s">
        <v>143</v>
      </c>
      <c r="N1225" s="75" t="b">
        <v>1</v>
      </c>
      <c r="O1225" s="75" t="s">
        <v>144</v>
      </c>
      <c r="P1225" s="75">
        <v>1994</v>
      </c>
      <c r="Q1225" s="107">
        <f t="shared" si="21"/>
        <v>2011</v>
      </c>
      <c r="R1225" s="107">
        <v>2</v>
      </c>
      <c r="S1225" s="100">
        <v>211061</v>
      </c>
      <c r="T1225" s="101">
        <v>40701</v>
      </c>
      <c r="U1225" s="83"/>
    </row>
    <row r="1226" spans="1:21" s="84" customFormat="1" x14ac:dyDescent="0.3">
      <c r="A1226" s="68">
        <v>40663</v>
      </c>
      <c r="B1226" s="69">
        <f>YEAR(A1226)*10000+MONTH(A1226)*100+DAY(A1226)</f>
        <v>20110430</v>
      </c>
      <c r="C1226" s="70">
        <v>3.6200000000000003E-2</v>
      </c>
      <c r="D1226" s="77">
        <v>7.0000000000000001E-3</v>
      </c>
      <c r="E1226" s="77">
        <v>7.0000000000000001E-3</v>
      </c>
      <c r="F1226" s="77">
        <v>7.0000000000000001E-3</v>
      </c>
      <c r="G1226" s="78">
        <v>0</v>
      </c>
      <c r="H1226" s="79"/>
      <c r="I1226" s="79"/>
      <c r="J1226" s="79"/>
      <c r="K1226" s="106">
        <v>0.01</v>
      </c>
      <c r="L1226" s="80">
        <v>0</v>
      </c>
      <c r="M1226" s="75" t="s">
        <v>143</v>
      </c>
      <c r="N1226" s="75" t="b">
        <v>1</v>
      </c>
      <c r="O1226" s="75" t="s">
        <v>144</v>
      </c>
      <c r="P1226" s="75">
        <v>1994</v>
      </c>
      <c r="Q1226" s="107">
        <f t="shared" si="21"/>
        <v>2011</v>
      </c>
      <c r="R1226" s="107">
        <v>2</v>
      </c>
      <c r="S1226" s="100">
        <v>211061</v>
      </c>
      <c r="T1226" s="101">
        <v>40701</v>
      </c>
      <c r="U1226" s="83"/>
    </row>
    <row r="1227" spans="1:21" s="84" customFormat="1" x14ac:dyDescent="0.3">
      <c r="A1227" s="68">
        <v>40664</v>
      </c>
      <c r="B1227" s="69">
        <f>YEAR(A1227)*10000+MONTH(A1227)*100+DAY(A1227)</f>
        <v>20110501</v>
      </c>
      <c r="C1227" s="70">
        <v>3.6200000000000003E-2</v>
      </c>
      <c r="D1227" s="77">
        <v>7.0000000000000001E-3</v>
      </c>
      <c r="E1227" s="77">
        <v>7.0000000000000001E-3</v>
      </c>
      <c r="F1227" s="77">
        <v>7.0000000000000001E-3</v>
      </c>
      <c r="G1227" s="78">
        <v>0</v>
      </c>
      <c r="H1227" s="79"/>
      <c r="I1227" s="79"/>
      <c r="J1227" s="79"/>
      <c r="K1227" s="106">
        <v>0.01</v>
      </c>
      <c r="L1227" s="80">
        <v>0</v>
      </c>
      <c r="M1227" s="75" t="s">
        <v>143</v>
      </c>
      <c r="N1227" s="75" t="b">
        <v>1</v>
      </c>
      <c r="O1227" s="75" t="s">
        <v>144</v>
      </c>
      <c r="P1227" s="75">
        <v>1994</v>
      </c>
      <c r="Q1227" s="107">
        <f t="shared" si="21"/>
        <v>2011</v>
      </c>
      <c r="R1227" s="107">
        <v>2</v>
      </c>
      <c r="S1227" s="100">
        <v>211061</v>
      </c>
      <c r="T1227" s="101">
        <v>40701</v>
      </c>
      <c r="U1227" s="83"/>
    </row>
    <row r="1228" spans="1:21" s="84" customFormat="1" x14ac:dyDescent="0.3">
      <c r="A1228" s="68">
        <v>40665</v>
      </c>
      <c r="B1228" s="69">
        <f t="shared" si="20"/>
        <v>20110502</v>
      </c>
      <c r="C1228" s="70">
        <v>3.61E-2</v>
      </c>
      <c r="D1228" s="77">
        <v>7.0000000000000001E-3</v>
      </c>
      <c r="E1228" s="77">
        <v>7.0000000000000001E-3</v>
      </c>
      <c r="F1228" s="77">
        <v>7.0000000000000001E-3</v>
      </c>
      <c r="G1228" s="78">
        <v>0</v>
      </c>
      <c r="H1228" s="79"/>
      <c r="I1228" s="79"/>
      <c r="J1228" s="79"/>
      <c r="K1228" s="106">
        <v>0.01</v>
      </c>
      <c r="L1228" s="80">
        <v>0</v>
      </c>
      <c r="M1228" s="75" t="s">
        <v>143</v>
      </c>
      <c r="N1228" s="75" t="b">
        <v>1</v>
      </c>
      <c r="O1228" s="75" t="s">
        <v>144</v>
      </c>
      <c r="P1228" s="75">
        <v>1994</v>
      </c>
      <c r="Q1228" s="107">
        <f t="shared" si="21"/>
        <v>2011</v>
      </c>
      <c r="R1228" s="107">
        <v>2</v>
      </c>
      <c r="S1228" s="100">
        <v>211061</v>
      </c>
      <c r="T1228" s="101">
        <v>40701</v>
      </c>
      <c r="U1228" s="83"/>
    </row>
    <row r="1229" spans="1:21" s="84" customFormat="1" x14ac:dyDescent="0.3">
      <c r="A1229" s="68">
        <v>40666</v>
      </c>
      <c r="B1229" s="69">
        <f t="shared" si="20"/>
        <v>20110503</v>
      </c>
      <c r="C1229" s="70">
        <v>3.56E-2</v>
      </c>
      <c r="D1229" s="77">
        <v>7.0000000000000001E-3</v>
      </c>
      <c r="E1229" s="77">
        <v>7.0000000000000001E-3</v>
      </c>
      <c r="F1229" s="77">
        <v>7.0000000000000001E-3</v>
      </c>
      <c r="G1229" s="78">
        <v>0</v>
      </c>
      <c r="H1229" s="79"/>
      <c r="I1229" s="79"/>
      <c r="J1229" s="79"/>
      <c r="K1229" s="106">
        <v>9.5999999999999992E-3</v>
      </c>
      <c r="L1229" s="80">
        <v>0</v>
      </c>
      <c r="M1229" s="75" t="s">
        <v>143</v>
      </c>
      <c r="N1229" s="75" t="b">
        <v>1</v>
      </c>
      <c r="O1229" s="75" t="s">
        <v>144</v>
      </c>
      <c r="P1229" s="75">
        <v>1994</v>
      </c>
      <c r="Q1229" s="107">
        <f t="shared" si="21"/>
        <v>2011</v>
      </c>
      <c r="R1229" s="107">
        <v>2</v>
      </c>
      <c r="S1229" s="100">
        <v>211061</v>
      </c>
      <c r="T1229" s="101">
        <v>40701</v>
      </c>
      <c r="U1229" s="83"/>
    </row>
    <row r="1230" spans="1:21" s="84" customFormat="1" x14ac:dyDescent="0.3">
      <c r="A1230" s="68">
        <v>40667</v>
      </c>
      <c r="B1230" s="69">
        <f t="shared" si="20"/>
        <v>20110504</v>
      </c>
      <c r="C1230" s="70">
        <v>3.5200000000000002E-2</v>
      </c>
      <c r="D1230" s="77">
        <v>7.0000000000000001E-3</v>
      </c>
      <c r="E1230" s="77">
        <v>7.0000000000000001E-3</v>
      </c>
      <c r="F1230" s="77">
        <v>7.0000000000000001E-3</v>
      </c>
      <c r="G1230" s="78">
        <v>0</v>
      </c>
      <c r="H1230" s="79"/>
      <c r="I1230" s="79"/>
      <c r="J1230" s="79"/>
      <c r="K1230" s="106">
        <v>9.1999999999999998E-3</v>
      </c>
      <c r="L1230" s="80">
        <v>0</v>
      </c>
      <c r="M1230" s="75" t="s">
        <v>143</v>
      </c>
      <c r="N1230" s="75" t="b">
        <v>1</v>
      </c>
      <c r="O1230" s="75" t="s">
        <v>144</v>
      </c>
      <c r="P1230" s="75">
        <v>1994</v>
      </c>
      <c r="Q1230" s="107">
        <f t="shared" si="21"/>
        <v>2011</v>
      </c>
      <c r="R1230" s="107">
        <v>2</v>
      </c>
      <c r="S1230" s="100">
        <v>211061</v>
      </c>
      <c r="T1230" s="101">
        <v>40701</v>
      </c>
      <c r="U1230" s="83"/>
    </row>
    <row r="1231" spans="1:21" s="84" customFormat="1" x14ac:dyDescent="0.3">
      <c r="A1231" s="68">
        <v>40668</v>
      </c>
      <c r="B1231" s="69">
        <f t="shared" si="20"/>
        <v>20110505</v>
      </c>
      <c r="C1231" s="70">
        <v>3.49E-2</v>
      </c>
      <c r="D1231" s="77">
        <v>7.0000000000000001E-3</v>
      </c>
      <c r="E1231" s="77">
        <v>7.0000000000000001E-3</v>
      </c>
      <c r="F1231" s="77">
        <v>7.0000000000000001E-3</v>
      </c>
      <c r="G1231" s="78">
        <v>0</v>
      </c>
      <c r="H1231" s="79"/>
      <c r="I1231" s="79"/>
      <c r="J1231" s="79"/>
      <c r="K1231" s="106">
        <v>9.300000000000001E-3</v>
      </c>
      <c r="L1231" s="80">
        <v>0</v>
      </c>
      <c r="M1231" s="75" t="s">
        <v>143</v>
      </c>
      <c r="N1231" s="75" t="b">
        <v>1</v>
      </c>
      <c r="O1231" s="75" t="s">
        <v>144</v>
      </c>
      <c r="P1231" s="75">
        <v>1994</v>
      </c>
      <c r="Q1231" s="107">
        <f t="shared" si="21"/>
        <v>2011</v>
      </c>
      <c r="R1231" s="107">
        <v>2</v>
      </c>
      <c r="S1231" s="100">
        <v>211061</v>
      </c>
      <c r="T1231" s="101">
        <v>40701</v>
      </c>
      <c r="U1231" s="83"/>
    </row>
    <row r="1232" spans="1:21" s="84" customFormat="1" x14ac:dyDescent="0.3">
      <c r="A1232" s="68">
        <v>40669</v>
      </c>
      <c r="B1232" s="69">
        <f t="shared" si="20"/>
        <v>20110506</v>
      </c>
      <c r="C1232" s="70">
        <v>3.5099999999999999E-2</v>
      </c>
      <c r="D1232" s="77">
        <v>7.0000000000000001E-3</v>
      </c>
      <c r="E1232" s="77">
        <v>7.0000000000000001E-3</v>
      </c>
      <c r="F1232" s="77">
        <v>7.0000000000000001E-3</v>
      </c>
      <c r="G1232" s="78">
        <v>0</v>
      </c>
      <c r="H1232" s="79"/>
      <c r="I1232" s="79"/>
      <c r="J1232" s="79"/>
      <c r="K1232" s="106">
        <v>9.4999999999999998E-3</v>
      </c>
      <c r="L1232" s="80">
        <v>0</v>
      </c>
      <c r="M1232" s="75" t="s">
        <v>143</v>
      </c>
      <c r="N1232" s="75" t="b">
        <v>1</v>
      </c>
      <c r="O1232" s="75" t="s">
        <v>144</v>
      </c>
      <c r="P1232" s="75">
        <v>1994</v>
      </c>
      <c r="Q1232" s="107">
        <f t="shared" si="21"/>
        <v>2011</v>
      </c>
      <c r="R1232" s="107">
        <v>2</v>
      </c>
      <c r="S1232" s="100">
        <v>211061</v>
      </c>
      <c r="T1232" s="101">
        <v>40701</v>
      </c>
      <c r="U1232" s="83"/>
    </row>
    <row r="1233" spans="1:21" s="84" customFormat="1" x14ac:dyDescent="0.3">
      <c r="A1233" s="68">
        <v>40670</v>
      </c>
      <c r="B1233" s="69">
        <f>YEAR(A1233)*10000+MONTH(A1233)*100+DAY(A1233)</f>
        <v>20110507</v>
      </c>
      <c r="C1233" s="70">
        <v>3.5099999999999999E-2</v>
      </c>
      <c r="D1233" s="77">
        <v>7.0000000000000001E-3</v>
      </c>
      <c r="E1233" s="77">
        <v>7.0000000000000001E-3</v>
      </c>
      <c r="F1233" s="77">
        <v>7.0000000000000001E-3</v>
      </c>
      <c r="G1233" s="78">
        <v>0</v>
      </c>
      <c r="H1233" s="79"/>
      <c r="I1233" s="79"/>
      <c r="J1233" s="79"/>
      <c r="K1233" s="106">
        <v>9.4999999999999998E-3</v>
      </c>
      <c r="L1233" s="80">
        <v>0</v>
      </c>
      <c r="M1233" s="75" t="s">
        <v>143</v>
      </c>
      <c r="N1233" s="75" t="b">
        <v>1</v>
      </c>
      <c r="O1233" s="75" t="s">
        <v>144</v>
      </c>
      <c r="P1233" s="75">
        <v>1994</v>
      </c>
      <c r="Q1233" s="107">
        <f t="shared" si="21"/>
        <v>2011</v>
      </c>
      <c r="R1233" s="107">
        <v>2</v>
      </c>
      <c r="S1233" s="100">
        <v>211061</v>
      </c>
      <c r="T1233" s="101">
        <v>40701</v>
      </c>
      <c r="U1233" s="83"/>
    </row>
    <row r="1234" spans="1:21" s="84" customFormat="1" x14ac:dyDescent="0.3">
      <c r="A1234" s="68">
        <v>40671</v>
      </c>
      <c r="B1234" s="69">
        <f>YEAR(A1234)*10000+MONTH(A1234)*100+DAY(A1234)</f>
        <v>20110508</v>
      </c>
      <c r="C1234" s="70">
        <v>3.5099999999999999E-2</v>
      </c>
      <c r="D1234" s="77">
        <v>7.0000000000000001E-3</v>
      </c>
      <c r="E1234" s="77">
        <v>7.0000000000000001E-3</v>
      </c>
      <c r="F1234" s="77">
        <v>7.0000000000000001E-3</v>
      </c>
      <c r="G1234" s="78">
        <v>0</v>
      </c>
      <c r="H1234" s="79"/>
      <c r="I1234" s="79"/>
      <c r="J1234" s="79"/>
      <c r="K1234" s="106">
        <v>9.4999999999999998E-3</v>
      </c>
      <c r="L1234" s="80">
        <v>0</v>
      </c>
      <c r="M1234" s="75" t="s">
        <v>143</v>
      </c>
      <c r="N1234" s="75" t="b">
        <v>1</v>
      </c>
      <c r="O1234" s="75" t="s">
        <v>144</v>
      </c>
      <c r="P1234" s="75">
        <v>1994</v>
      </c>
      <c r="Q1234" s="107">
        <f t="shared" si="21"/>
        <v>2011</v>
      </c>
      <c r="R1234" s="107">
        <v>2</v>
      </c>
      <c r="S1234" s="100">
        <v>211061</v>
      </c>
      <c r="T1234" s="101">
        <v>40701</v>
      </c>
      <c r="U1234" s="83"/>
    </row>
    <row r="1235" spans="1:21" s="84" customFormat="1" x14ac:dyDescent="0.3">
      <c r="A1235" s="68">
        <v>40672</v>
      </c>
      <c r="B1235" s="69">
        <f t="shared" si="20"/>
        <v>20110509</v>
      </c>
      <c r="C1235" s="70">
        <v>3.5000000000000003E-2</v>
      </c>
      <c r="D1235" s="77">
        <v>7.0000000000000001E-3</v>
      </c>
      <c r="E1235" s="77">
        <v>7.0000000000000001E-3</v>
      </c>
      <c r="F1235" s="77">
        <v>7.0000000000000001E-3</v>
      </c>
      <c r="G1235" s="78">
        <v>0</v>
      </c>
      <c r="H1235" s="79"/>
      <c r="I1235" s="79"/>
      <c r="J1235" s="79"/>
      <c r="K1235" s="106">
        <v>9.4999999999999998E-3</v>
      </c>
      <c r="L1235" s="80">
        <v>0</v>
      </c>
      <c r="M1235" s="75" t="s">
        <v>143</v>
      </c>
      <c r="N1235" s="75" t="b">
        <v>1</v>
      </c>
      <c r="O1235" s="75" t="s">
        <v>144</v>
      </c>
      <c r="P1235" s="75">
        <v>1994</v>
      </c>
      <c r="Q1235" s="107">
        <f t="shared" si="21"/>
        <v>2011</v>
      </c>
      <c r="R1235" s="107">
        <v>2</v>
      </c>
      <c r="S1235" s="100">
        <v>211061</v>
      </c>
      <c r="T1235" s="101">
        <v>40701</v>
      </c>
      <c r="U1235" s="83"/>
    </row>
    <row r="1236" spans="1:21" s="84" customFormat="1" x14ac:dyDescent="0.3">
      <c r="A1236" s="68">
        <v>40673</v>
      </c>
      <c r="B1236" s="69">
        <f t="shared" si="20"/>
        <v>20110510</v>
      </c>
      <c r="C1236" s="70">
        <v>3.5499999999999997E-2</v>
      </c>
      <c r="D1236" s="77">
        <v>7.0000000000000001E-3</v>
      </c>
      <c r="E1236" s="77">
        <v>7.0000000000000001E-3</v>
      </c>
      <c r="F1236" s="77">
        <v>7.0000000000000001E-3</v>
      </c>
      <c r="G1236" s="78">
        <v>0</v>
      </c>
      <c r="H1236" s="79"/>
      <c r="I1236" s="79"/>
      <c r="J1236" s="79"/>
      <c r="K1236" s="106">
        <v>9.7999999999999997E-3</v>
      </c>
      <c r="L1236" s="80">
        <v>0</v>
      </c>
      <c r="M1236" s="75" t="s">
        <v>143</v>
      </c>
      <c r="N1236" s="75" t="b">
        <v>1</v>
      </c>
      <c r="O1236" s="75" t="s">
        <v>144</v>
      </c>
      <c r="P1236" s="75">
        <v>1994</v>
      </c>
      <c r="Q1236" s="107">
        <f t="shared" si="21"/>
        <v>2011</v>
      </c>
      <c r="R1236" s="107">
        <v>2</v>
      </c>
      <c r="S1236" s="100">
        <v>211061</v>
      </c>
      <c r="T1236" s="101">
        <v>40701</v>
      </c>
      <c r="U1236" s="83"/>
    </row>
    <row r="1237" spans="1:21" s="84" customFormat="1" x14ac:dyDescent="0.3">
      <c r="A1237" s="68">
        <v>40674</v>
      </c>
      <c r="B1237" s="69">
        <f t="shared" si="20"/>
        <v>20110511</v>
      </c>
      <c r="C1237" s="70">
        <v>3.5299999999999998E-2</v>
      </c>
      <c r="D1237" s="77">
        <v>7.0000000000000001E-3</v>
      </c>
      <c r="E1237" s="77">
        <v>7.0000000000000001E-3</v>
      </c>
      <c r="F1237" s="77">
        <v>7.0000000000000001E-3</v>
      </c>
      <c r="G1237" s="78">
        <v>0</v>
      </c>
      <c r="H1237" s="79"/>
      <c r="I1237" s="79"/>
      <c r="J1237" s="79"/>
      <c r="K1237" s="106">
        <v>9.8999999999999991E-3</v>
      </c>
      <c r="L1237" s="80">
        <v>0</v>
      </c>
      <c r="M1237" s="75" t="s">
        <v>143</v>
      </c>
      <c r="N1237" s="75" t="b">
        <v>1</v>
      </c>
      <c r="O1237" s="75" t="s">
        <v>144</v>
      </c>
      <c r="P1237" s="75">
        <v>1994</v>
      </c>
      <c r="Q1237" s="107">
        <f t="shared" si="21"/>
        <v>2011</v>
      </c>
      <c r="R1237" s="107">
        <v>2</v>
      </c>
      <c r="S1237" s="100">
        <v>211061</v>
      </c>
      <c r="T1237" s="101">
        <v>40701</v>
      </c>
      <c r="U1237" s="83"/>
    </row>
    <row r="1238" spans="1:21" s="84" customFormat="1" x14ac:dyDescent="0.3">
      <c r="A1238" s="68">
        <v>40675</v>
      </c>
      <c r="B1238" s="69">
        <f t="shared" si="20"/>
        <v>20110512</v>
      </c>
      <c r="C1238" s="70">
        <v>3.5400000000000001E-2</v>
      </c>
      <c r="D1238" s="77">
        <v>7.0000000000000001E-3</v>
      </c>
      <c r="E1238" s="77">
        <v>7.0000000000000001E-3</v>
      </c>
      <c r="F1238" s="77">
        <v>7.0000000000000001E-3</v>
      </c>
      <c r="G1238" s="78">
        <v>0</v>
      </c>
      <c r="H1238" s="79"/>
      <c r="I1238" s="79"/>
      <c r="J1238" s="79"/>
      <c r="K1238" s="106">
        <v>0.01</v>
      </c>
      <c r="L1238" s="80">
        <v>0</v>
      </c>
      <c r="M1238" s="75" t="s">
        <v>143</v>
      </c>
      <c r="N1238" s="75" t="b">
        <v>1</v>
      </c>
      <c r="O1238" s="75" t="s">
        <v>144</v>
      </c>
      <c r="P1238" s="75">
        <v>1994</v>
      </c>
      <c r="Q1238" s="107">
        <f t="shared" si="21"/>
        <v>2011</v>
      </c>
      <c r="R1238" s="107">
        <v>2</v>
      </c>
      <c r="S1238" s="100">
        <v>211061</v>
      </c>
      <c r="T1238" s="101">
        <v>40701</v>
      </c>
      <c r="U1238" s="83"/>
    </row>
    <row r="1239" spans="1:21" s="84" customFormat="1" x14ac:dyDescent="0.3">
      <c r="A1239" s="68">
        <v>40676</v>
      </c>
      <c r="B1239" s="69">
        <f t="shared" si="20"/>
        <v>20110513</v>
      </c>
      <c r="C1239" s="70">
        <v>3.5000000000000003E-2</v>
      </c>
      <c r="D1239" s="77">
        <v>7.0000000000000001E-3</v>
      </c>
      <c r="E1239" s="77">
        <v>7.0000000000000001E-3</v>
      </c>
      <c r="F1239" s="77">
        <v>7.0000000000000001E-3</v>
      </c>
      <c r="G1239" s="78">
        <v>0</v>
      </c>
      <c r="H1239" s="79"/>
      <c r="I1239" s="79"/>
      <c r="J1239" s="79"/>
      <c r="K1239" s="106">
        <v>9.8999999999999991E-3</v>
      </c>
      <c r="L1239" s="80">
        <v>0</v>
      </c>
      <c r="M1239" s="75" t="s">
        <v>143</v>
      </c>
      <c r="N1239" s="75" t="b">
        <v>1</v>
      </c>
      <c r="O1239" s="75" t="s">
        <v>144</v>
      </c>
      <c r="P1239" s="75">
        <v>1994</v>
      </c>
      <c r="Q1239" s="107">
        <f t="shared" si="21"/>
        <v>2011</v>
      </c>
      <c r="R1239" s="107">
        <v>2</v>
      </c>
      <c r="S1239" s="100">
        <v>211061</v>
      </c>
      <c r="T1239" s="101">
        <v>40701</v>
      </c>
      <c r="U1239" s="83"/>
    </row>
    <row r="1240" spans="1:21" s="84" customFormat="1" x14ac:dyDescent="0.3">
      <c r="A1240" s="68">
        <v>40677</v>
      </c>
      <c r="B1240" s="69">
        <f>YEAR(A1240)*10000+MONTH(A1240)*100+DAY(A1240)</f>
        <v>20110514</v>
      </c>
      <c r="C1240" s="70">
        <v>3.5000000000000003E-2</v>
      </c>
      <c r="D1240" s="77">
        <v>7.0000000000000001E-3</v>
      </c>
      <c r="E1240" s="77">
        <v>7.0000000000000001E-3</v>
      </c>
      <c r="F1240" s="77">
        <v>7.0000000000000001E-3</v>
      </c>
      <c r="G1240" s="78">
        <v>0</v>
      </c>
      <c r="H1240" s="79"/>
      <c r="I1240" s="79"/>
      <c r="J1240" s="79"/>
      <c r="K1240" s="106">
        <v>9.8999999999999991E-3</v>
      </c>
      <c r="L1240" s="80">
        <v>0</v>
      </c>
      <c r="M1240" s="75" t="s">
        <v>143</v>
      </c>
      <c r="N1240" s="75" t="b">
        <v>1</v>
      </c>
      <c r="O1240" s="75" t="s">
        <v>144</v>
      </c>
      <c r="P1240" s="75">
        <v>1994</v>
      </c>
      <c r="Q1240" s="107">
        <f t="shared" si="21"/>
        <v>2011</v>
      </c>
      <c r="R1240" s="107">
        <v>2</v>
      </c>
      <c r="S1240" s="100">
        <v>211061</v>
      </c>
      <c r="T1240" s="101">
        <v>40701</v>
      </c>
      <c r="U1240" s="83"/>
    </row>
    <row r="1241" spans="1:21" s="84" customFormat="1" x14ac:dyDescent="0.3">
      <c r="A1241" s="68">
        <v>40678</v>
      </c>
      <c r="B1241" s="69">
        <f>YEAR(A1241)*10000+MONTH(A1241)*100+DAY(A1241)</f>
        <v>20110515</v>
      </c>
      <c r="C1241" s="70">
        <v>3.5000000000000003E-2</v>
      </c>
      <c r="D1241" s="77">
        <v>7.0000000000000001E-3</v>
      </c>
      <c r="E1241" s="77">
        <v>7.0000000000000001E-3</v>
      </c>
      <c r="F1241" s="77">
        <v>7.0000000000000001E-3</v>
      </c>
      <c r="G1241" s="78">
        <v>0</v>
      </c>
      <c r="H1241" s="79"/>
      <c r="I1241" s="79"/>
      <c r="J1241" s="79"/>
      <c r="K1241" s="106">
        <v>9.8999999999999991E-3</v>
      </c>
      <c r="L1241" s="80">
        <v>0</v>
      </c>
      <c r="M1241" s="75" t="s">
        <v>143</v>
      </c>
      <c r="N1241" s="75" t="b">
        <v>1</v>
      </c>
      <c r="O1241" s="75" t="s">
        <v>144</v>
      </c>
      <c r="P1241" s="75">
        <v>1994</v>
      </c>
      <c r="Q1241" s="107">
        <f t="shared" si="21"/>
        <v>2011</v>
      </c>
      <c r="R1241" s="107">
        <v>2</v>
      </c>
      <c r="S1241" s="100">
        <v>211061</v>
      </c>
      <c r="T1241" s="101">
        <v>40701</v>
      </c>
      <c r="U1241" s="83"/>
    </row>
    <row r="1242" spans="1:21" s="84" customFormat="1" x14ac:dyDescent="0.3">
      <c r="A1242" s="68">
        <v>40679</v>
      </c>
      <c r="B1242" s="69">
        <f t="shared" si="20"/>
        <v>20110516</v>
      </c>
      <c r="C1242" s="70">
        <v>3.49E-2</v>
      </c>
      <c r="D1242" s="77">
        <v>7.0000000000000001E-3</v>
      </c>
      <c r="E1242" s="77">
        <v>7.0000000000000001E-3</v>
      </c>
      <c r="F1242" s="77">
        <v>7.0000000000000001E-3</v>
      </c>
      <c r="G1242" s="78">
        <v>0</v>
      </c>
      <c r="H1242" s="79"/>
      <c r="I1242" s="79"/>
      <c r="J1242" s="79"/>
      <c r="K1242" s="106">
        <v>9.7999999999999997E-3</v>
      </c>
      <c r="L1242" s="80">
        <v>0</v>
      </c>
      <c r="M1242" s="75" t="s">
        <v>143</v>
      </c>
      <c r="N1242" s="75" t="b">
        <v>1</v>
      </c>
      <c r="O1242" s="75" t="s">
        <v>144</v>
      </c>
      <c r="P1242" s="75">
        <v>1994</v>
      </c>
      <c r="Q1242" s="107">
        <f t="shared" si="21"/>
        <v>2011</v>
      </c>
      <c r="R1242" s="107">
        <v>2</v>
      </c>
      <c r="S1242" s="100">
        <v>211061</v>
      </c>
      <c r="T1242" s="101">
        <v>40701</v>
      </c>
      <c r="U1242" s="83"/>
    </row>
    <row r="1243" spans="1:21" s="84" customFormat="1" x14ac:dyDescent="0.3">
      <c r="A1243" s="68">
        <v>40680</v>
      </c>
      <c r="B1243" s="69">
        <f t="shared" si="20"/>
        <v>20110517</v>
      </c>
      <c r="C1243" s="70">
        <v>3.4700000000000002E-2</v>
      </c>
      <c r="D1243" s="77">
        <v>7.0000000000000001E-3</v>
      </c>
      <c r="E1243" s="77">
        <v>7.0000000000000001E-3</v>
      </c>
      <c r="F1243" s="77">
        <v>7.0000000000000001E-3</v>
      </c>
      <c r="G1243" s="78">
        <v>0</v>
      </c>
      <c r="H1243" s="79"/>
      <c r="I1243" s="79"/>
      <c r="J1243" s="79"/>
      <c r="K1243" s="106">
        <v>9.8999999999999991E-3</v>
      </c>
      <c r="L1243" s="80">
        <v>0</v>
      </c>
      <c r="M1243" s="75" t="s">
        <v>143</v>
      </c>
      <c r="N1243" s="75" t="b">
        <v>1</v>
      </c>
      <c r="O1243" s="75" t="s">
        <v>144</v>
      </c>
      <c r="P1243" s="75">
        <v>1994</v>
      </c>
      <c r="Q1243" s="107">
        <f t="shared" si="21"/>
        <v>2011</v>
      </c>
      <c r="R1243" s="107">
        <v>2</v>
      </c>
      <c r="S1243" s="100">
        <v>211061</v>
      </c>
      <c r="T1243" s="101">
        <v>40701</v>
      </c>
      <c r="U1243" s="83"/>
    </row>
    <row r="1244" spans="1:21" s="84" customFormat="1" x14ac:dyDescent="0.3">
      <c r="A1244" s="68">
        <v>40681</v>
      </c>
      <c r="B1244" s="69">
        <f t="shared" si="20"/>
        <v>20110518</v>
      </c>
      <c r="C1244" s="70">
        <v>3.5200000000000002E-2</v>
      </c>
      <c r="D1244" s="77">
        <v>7.0000000000000001E-3</v>
      </c>
      <c r="E1244" s="77">
        <v>7.0000000000000001E-3</v>
      </c>
      <c r="F1244" s="77">
        <v>7.0000000000000001E-3</v>
      </c>
      <c r="G1244" s="78">
        <v>0</v>
      </c>
      <c r="H1244" s="79"/>
      <c r="I1244" s="79"/>
      <c r="J1244" s="79"/>
      <c r="K1244" s="106">
        <v>1.01E-2</v>
      </c>
      <c r="L1244" s="80">
        <v>0</v>
      </c>
      <c r="M1244" s="75" t="s">
        <v>143</v>
      </c>
      <c r="N1244" s="75" t="b">
        <v>1</v>
      </c>
      <c r="O1244" s="75" t="s">
        <v>144</v>
      </c>
      <c r="P1244" s="75">
        <v>1994</v>
      </c>
      <c r="Q1244" s="107">
        <f t="shared" si="21"/>
        <v>2011</v>
      </c>
      <c r="R1244" s="107">
        <v>2</v>
      </c>
      <c r="S1244" s="100">
        <v>211061</v>
      </c>
      <c r="T1244" s="101">
        <v>40701</v>
      </c>
      <c r="U1244" s="83"/>
    </row>
    <row r="1245" spans="1:21" s="84" customFormat="1" x14ac:dyDescent="0.3">
      <c r="A1245" s="68">
        <v>40682</v>
      </c>
      <c r="B1245" s="69">
        <f t="shared" ref="B1245:B1316" si="22">YEAR(A1245)*10000+MONTH(A1245)*100+DAY(A1245)</f>
        <v>20110519</v>
      </c>
      <c r="C1245" s="70">
        <v>3.5099999999999999E-2</v>
      </c>
      <c r="D1245" s="77">
        <v>7.0000000000000001E-3</v>
      </c>
      <c r="E1245" s="77">
        <v>7.0000000000000001E-3</v>
      </c>
      <c r="F1245" s="77">
        <v>7.0000000000000001E-3</v>
      </c>
      <c r="G1245" s="78">
        <v>0</v>
      </c>
      <c r="H1245" s="79"/>
      <c r="I1245" s="79"/>
      <c r="J1245" s="79"/>
      <c r="K1245" s="106">
        <v>1.04E-2</v>
      </c>
      <c r="L1245" s="80">
        <v>0</v>
      </c>
      <c r="M1245" s="75" t="s">
        <v>143</v>
      </c>
      <c r="N1245" s="75" t="b">
        <v>1</v>
      </c>
      <c r="O1245" s="75" t="s">
        <v>144</v>
      </c>
      <c r="P1245" s="75">
        <v>1994</v>
      </c>
      <c r="Q1245" s="107">
        <f t="shared" si="21"/>
        <v>2011</v>
      </c>
      <c r="R1245" s="107">
        <v>2</v>
      </c>
      <c r="S1245" s="100">
        <v>211061</v>
      </c>
      <c r="T1245" s="101">
        <v>40701</v>
      </c>
      <c r="U1245" s="83"/>
    </row>
    <row r="1246" spans="1:21" s="84" customFormat="1" x14ac:dyDescent="0.3">
      <c r="A1246" s="68">
        <v>40683</v>
      </c>
      <c r="B1246" s="69">
        <f t="shared" si="22"/>
        <v>20110520</v>
      </c>
      <c r="C1246" s="70">
        <v>3.4700000000000002E-2</v>
      </c>
      <c r="D1246" s="77">
        <v>7.0000000000000001E-3</v>
      </c>
      <c r="E1246" s="77">
        <v>7.0000000000000001E-3</v>
      </c>
      <c r="F1246" s="77">
        <v>7.0000000000000001E-3</v>
      </c>
      <c r="G1246" s="78">
        <v>0</v>
      </c>
      <c r="H1246" s="79"/>
      <c r="I1246" s="79"/>
      <c r="J1246" s="79"/>
      <c r="K1246" s="106">
        <v>1.04E-2</v>
      </c>
      <c r="L1246" s="80">
        <v>0</v>
      </c>
      <c r="M1246" s="75" t="s">
        <v>143</v>
      </c>
      <c r="N1246" s="75" t="b">
        <v>1</v>
      </c>
      <c r="O1246" s="75" t="s">
        <v>144</v>
      </c>
      <c r="P1246" s="75">
        <v>1994</v>
      </c>
      <c r="Q1246" s="107">
        <f t="shared" si="21"/>
        <v>2011</v>
      </c>
      <c r="R1246" s="107">
        <v>2</v>
      </c>
      <c r="S1246" s="100">
        <v>211061</v>
      </c>
      <c r="T1246" s="101">
        <v>40701</v>
      </c>
      <c r="U1246" s="83"/>
    </row>
    <row r="1247" spans="1:21" s="84" customFormat="1" x14ac:dyDescent="0.3">
      <c r="A1247" s="68">
        <v>40684</v>
      </c>
      <c r="B1247" s="69">
        <f>YEAR(A1247)*10000+MONTH(A1247)*100+DAY(A1247)</f>
        <v>20110521</v>
      </c>
      <c r="C1247" s="70">
        <v>3.4700000000000002E-2</v>
      </c>
      <c r="D1247" s="77">
        <v>7.0000000000000001E-3</v>
      </c>
      <c r="E1247" s="77">
        <v>7.0000000000000001E-3</v>
      </c>
      <c r="F1247" s="77">
        <v>7.0000000000000001E-3</v>
      </c>
      <c r="G1247" s="78">
        <v>0</v>
      </c>
      <c r="H1247" s="79"/>
      <c r="I1247" s="79"/>
      <c r="J1247" s="79"/>
      <c r="K1247" s="106">
        <v>1.04E-2</v>
      </c>
      <c r="L1247" s="80">
        <v>0</v>
      </c>
      <c r="M1247" s="75" t="s">
        <v>143</v>
      </c>
      <c r="N1247" s="75" t="b">
        <v>1</v>
      </c>
      <c r="O1247" s="75" t="s">
        <v>144</v>
      </c>
      <c r="P1247" s="75">
        <v>1994</v>
      </c>
      <c r="Q1247" s="107">
        <f t="shared" si="21"/>
        <v>2011</v>
      </c>
      <c r="R1247" s="107">
        <v>2</v>
      </c>
      <c r="S1247" s="100">
        <v>211061</v>
      </c>
      <c r="T1247" s="101">
        <v>40701</v>
      </c>
      <c r="U1247" s="83"/>
    </row>
    <row r="1248" spans="1:21" s="84" customFormat="1" x14ac:dyDescent="0.3">
      <c r="A1248" s="68">
        <v>40685</v>
      </c>
      <c r="B1248" s="69">
        <f>YEAR(A1248)*10000+MONTH(A1248)*100+DAY(A1248)</f>
        <v>20110522</v>
      </c>
      <c r="C1248" s="70">
        <v>3.4700000000000002E-2</v>
      </c>
      <c r="D1248" s="77">
        <v>7.0000000000000001E-3</v>
      </c>
      <c r="E1248" s="77">
        <v>7.0000000000000001E-3</v>
      </c>
      <c r="F1248" s="77">
        <v>7.0000000000000001E-3</v>
      </c>
      <c r="G1248" s="78">
        <v>0</v>
      </c>
      <c r="H1248" s="79"/>
      <c r="I1248" s="79"/>
      <c r="J1248" s="79"/>
      <c r="K1248" s="106">
        <v>1.04E-2</v>
      </c>
      <c r="L1248" s="80">
        <v>0</v>
      </c>
      <c r="M1248" s="75" t="s">
        <v>143</v>
      </c>
      <c r="N1248" s="75" t="b">
        <v>1</v>
      </c>
      <c r="O1248" s="75" t="s">
        <v>144</v>
      </c>
      <c r="P1248" s="75">
        <v>1994</v>
      </c>
      <c r="Q1248" s="107">
        <f t="shared" si="21"/>
        <v>2011</v>
      </c>
      <c r="R1248" s="107">
        <v>2</v>
      </c>
      <c r="S1248" s="100">
        <v>211061</v>
      </c>
      <c r="T1248" s="101">
        <v>40701</v>
      </c>
      <c r="U1248" s="83"/>
    </row>
    <row r="1249" spans="1:21" s="84" customFormat="1" x14ac:dyDescent="0.3">
      <c r="A1249" s="68">
        <v>40686</v>
      </c>
      <c r="B1249" s="69">
        <f t="shared" si="22"/>
        <v>20110523</v>
      </c>
      <c r="C1249" s="70">
        <v>3.4700000000000002E-2</v>
      </c>
      <c r="D1249" s="77">
        <v>7.0000000000000001E-3</v>
      </c>
      <c r="E1249" s="77">
        <v>7.0000000000000001E-3</v>
      </c>
      <c r="F1249" s="77">
        <v>7.0000000000000001E-3</v>
      </c>
      <c r="G1249" s="78">
        <v>0</v>
      </c>
      <c r="H1249" s="79"/>
      <c r="I1249" s="79"/>
      <c r="J1249" s="79"/>
      <c r="K1249" s="106">
        <v>1.04E-2</v>
      </c>
      <c r="L1249" s="80">
        <v>0</v>
      </c>
      <c r="M1249" s="75" t="s">
        <v>143</v>
      </c>
      <c r="N1249" s="75" t="b">
        <v>1</v>
      </c>
      <c r="O1249" s="75" t="s">
        <v>144</v>
      </c>
      <c r="P1249" s="75">
        <v>1994</v>
      </c>
      <c r="Q1249" s="107">
        <f t="shared" si="21"/>
        <v>2011</v>
      </c>
      <c r="R1249" s="107">
        <v>2</v>
      </c>
      <c r="S1249" s="100">
        <v>211061</v>
      </c>
      <c r="T1249" s="101">
        <v>40701</v>
      </c>
      <c r="U1249" s="83"/>
    </row>
    <row r="1250" spans="1:21" s="84" customFormat="1" x14ac:dyDescent="0.3">
      <c r="A1250" s="68">
        <v>40687</v>
      </c>
      <c r="B1250" s="69">
        <f t="shared" si="22"/>
        <v>20110524</v>
      </c>
      <c r="C1250" s="70">
        <v>3.4300000000000004E-2</v>
      </c>
      <c r="D1250" s="77">
        <v>7.0000000000000001E-3</v>
      </c>
      <c r="E1250" s="77">
        <v>7.0000000000000001E-3</v>
      </c>
      <c r="F1250" s="77">
        <v>7.0000000000000001E-3</v>
      </c>
      <c r="G1250" s="78">
        <v>0</v>
      </c>
      <c r="H1250" s="79"/>
      <c r="I1250" s="79"/>
      <c r="J1250" s="79"/>
      <c r="K1250" s="106">
        <v>1.01E-2</v>
      </c>
      <c r="L1250" s="80">
        <v>0</v>
      </c>
      <c r="M1250" s="75" t="s">
        <v>143</v>
      </c>
      <c r="N1250" s="75" t="b">
        <v>1</v>
      </c>
      <c r="O1250" s="75" t="s">
        <v>144</v>
      </c>
      <c r="P1250" s="75">
        <v>1994</v>
      </c>
      <c r="Q1250" s="107">
        <f t="shared" si="21"/>
        <v>2011</v>
      </c>
      <c r="R1250" s="107">
        <v>2</v>
      </c>
      <c r="S1250" s="100">
        <v>211061</v>
      </c>
      <c r="T1250" s="101">
        <v>40701</v>
      </c>
      <c r="U1250" s="83"/>
    </row>
    <row r="1251" spans="1:21" s="84" customFormat="1" x14ac:dyDescent="0.3">
      <c r="A1251" s="68">
        <v>40688</v>
      </c>
      <c r="B1251" s="69">
        <f t="shared" si="22"/>
        <v>20110525</v>
      </c>
      <c r="C1251" s="70">
        <v>3.4099999999999998E-2</v>
      </c>
      <c r="D1251" s="77">
        <v>7.0000000000000001E-3</v>
      </c>
      <c r="E1251" s="77">
        <v>7.0000000000000001E-3</v>
      </c>
      <c r="F1251" s="77">
        <v>7.0000000000000001E-3</v>
      </c>
      <c r="G1251" s="78">
        <v>0</v>
      </c>
      <c r="H1251" s="79"/>
      <c r="I1251" s="79"/>
      <c r="J1251" s="79"/>
      <c r="K1251" s="106">
        <v>9.8999999999999991E-3</v>
      </c>
      <c r="L1251" s="80">
        <v>0</v>
      </c>
      <c r="M1251" s="75" t="s">
        <v>143</v>
      </c>
      <c r="N1251" s="75" t="b">
        <v>1</v>
      </c>
      <c r="O1251" s="75" t="s">
        <v>144</v>
      </c>
      <c r="P1251" s="75">
        <v>1994</v>
      </c>
      <c r="Q1251" s="107">
        <f t="shared" si="21"/>
        <v>2011</v>
      </c>
      <c r="R1251" s="107">
        <v>2</v>
      </c>
      <c r="S1251" s="100">
        <v>211061</v>
      </c>
      <c r="T1251" s="101">
        <v>40701</v>
      </c>
      <c r="U1251" s="83"/>
    </row>
    <row r="1252" spans="1:21" s="84" customFormat="1" x14ac:dyDescent="0.3">
      <c r="A1252" s="68">
        <v>40689</v>
      </c>
      <c r="B1252" s="69">
        <f t="shared" si="22"/>
        <v>20110526</v>
      </c>
      <c r="C1252" s="70">
        <v>3.3700000000000001E-2</v>
      </c>
      <c r="D1252" s="77">
        <v>7.0000000000000001E-3</v>
      </c>
      <c r="E1252" s="77">
        <v>7.0000000000000001E-3</v>
      </c>
      <c r="F1252" s="77">
        <v>7.0000000000000001E-3</v>
      </c>
      <c r="G1252" s="78">
        <v>0</v>
      </c>
      <c r="H1252" s="79"/>
      <c r="I1252" s="79"/>
      <c r="J1252" s="79"/>
      <c r="K1252" s="106">
        <v>9.7999999999999997E-3</v>
      </c>
      <c r="L1252" s="80">
        <v>0</v>
      </c>
      <c r="M1252" s="75" t="s">
        <v>143</v>
      </c>
      <c r="N1252" s="75" t="b">
        <v>1</v>
      </c>
      <c r="O1252" s="75" t="s">
        <v>144</v>
      </c>
      <c r="P1252" s="75">
        <v>1994</v>
      </c>
      <c r="Q1252" s="107">
        <f t="shared" si="21"/>
        <v>2011</v>
      </c>
      <c r="R1252" s="107">
        <v>2</v>
      </c>
      <c r="S1252" s="100">
        <v>211061</v>
      </c>
      <c r="T1252" s="101">
        <v>40701</v>
      </c>
      <c r="U1252" s="83"/>
    </row>
    <row r="1253" spans="1:21" s="84" customFormat="1" x14ac:dyDescent="0.3">
      <c r="A1253" s="68">
        <v>40690</v>
      </c>
      <c r="B1253" s="69">
        <f t="shared" si="22"/>
        <v>20110527</v>
      </c>
      <c r="C1253" s="70">
        <v>3.39E-2</v>
      </c>
      <c r="D1253" s="77">
        <v>7.0000000000000001E-3</v>
      </c>
      <c r="E1253" s="77">
        <v>7.0000000000000001E-3</v>
      </c>
      <c r="F1253" s="77">
        <v>7.0000000000000001E-3</v>
      </c>
      <c r="G1253" s="78">
        <v>0</v>
      </c>
      <c r="H1253" s="79"/>
      <c r="I1253" s="79"/>
      <c r="J1253" s="79"/>
      <c r="K1253" s="106">
        <v>0.01</v>
      </c>
      <c r="L1253" s="80">
        <v>0</v>
      </c>
      <c r="M1253" s="75" t="s">
        <v>143</v>
      </c>
      <c r="N1253" s="75" t="b">
        <v>1</v>
      </c>
      <c r="O1253" s="75" t="s">
        <v>144</v>
      </c>
      <c r="P1253" s="75">
        <v>1994</v>
      </c>
      <c r="Q1253" s="107">
        <f t="shared" si="21"/>
        <v>2011</v>
      </c>
      <c r="R1253" s="107">
        <v>2</v>
      </c>
      <c r="S1253" s="100">
        <v>211061</v>
      </c>
      <c r="T1253" s="101">
        <v>40701</v>
      </c>
      <c r="U1253" s="83"/>
    </row>
    <row r="1254" spans="1:21" s="84" customFormat="1" x14ac:dyDescent="0.3">
      <c r="A1254" s="68">
        <v>40691</v>
      </c>
      <c r="B1254" s="69">
        <f>YEAR(A1254)*10000+MONTH(A1254)*100+DAY(A1254)</f>
        <v>20110528</v>
      </c>
      <c r="C1254" s="70">
        <v>3.39E-2</v>
      </c>
      <c r="D1254" s="77">
        <v>7.0000000000000001E-3</v>
      </c>
      <c r="E1254" s="77">
        <v>7.0000000000000001E-3</v>
      </c>
      <c r="F1254" s="77">
        <v>7.0000000000000001E-3</v>
      </c>
      <c r="G1254" s="78">
        <v>0</v>
      </c>
      <c r="H1254" s="79"/>
      <c r="I1254" s="79"/>
      <c r="J1254" s="79"/>
      <c r="K1254" s="106">
        <v>0.01</v>
      </c>
      <c r="L1254" s="80">
        <v>0</v>
      </c>
      <c r="M1254" s="75" t="s">
        <v>143</v>
      </c>
      <c r="N1254" s="75" t="b">
        <v>1</v>
      </c>
      <c r="O1254" s="75" t="s">
        <v>144</v>
      </c>
      <c r="P1254" s="75">
        <v>1994</v>
      </c>
      <c r="Q1254" s="107">
        <f t="shared" si="21"/>
        <v>2011</v>
      </c>
      <c r="R1254" s="107">
        <v>2</v>
      </c>
      <c r="S1254" s="100">
        <v>211061</v>
      </c>
      <c r="T1254" s="101">
        <v>40701</v>
      </c>
      <c r="U1254" s="83"/>
    </row>
    <row r="1255" spans="1:21" s="84" customFormat="1" x14ac:dyDescent="0.3">
      <c r="A1255" s="68">
        <v>40692</v>
      </c>
      <c r="B1255" s="69">
        <f>YEAR(A1255)*10000+MONTH(A1255)*100+DAY(A1255)</f>
        <v>20110529</v>
      </c>
      <c r="C1255" s="70">
        <v>3.39E-2</v>
      </c>
      <c r="D1255" s="77">
        <v>7.0000000000000001E-3</v>
      </c>
      <c r="E1255" s="77">
        <v>7.0000000000000001E-3</v>
      </c>
      <c r="F1255" s="77">
        <v>7.0000000000000001E-3</v>
      </c>
      <c r="G1255" s="78">
        <v>0</v>
      </c>
      <c r="H1255" s="79"/>
      <c r="I1255" s="79"/>
      <c r="J1255" s="79"/>
      <c r="K1255" s="106">
        <v>0.01</v>
      </c>
      <c r="L1255" s="80">
        <v>0</v>
      </c>
      <c r="M1255" s="75" t="s">
        <v>143</v>
      </c>
      <c r="N1255" s="75" t="b">
        <v>1</v>
      </c>
      <c r="O1255" s="75" t="s">
        <v>144</v>
      </c>
      <c r="P1255" s="75">
        <v>1994</v>
      </c>
      <c r="Q1255" s="107">
        <f t="shared" si="21"/>
        <v>2011</v>
      </c>
      <c r="R1255" s="107">
        <v>2</v>
      </c>
      <c r="S1255" s="100">
        <v>211061</v>
      </c>
      <c r="T1255" s="101">
        <v>40701</v>
      </c>
      <c r="U1255" s="83"/>
    </row>
    <row r="1256" spans="1:21" s="84" customFormat="1" x14ac:dyDescent="0.3">
      <c r="A1256" s="68">
        <v>40693</v>
      </c>
      <c r="B1256" s="69">
        <f t="shared" si="22"/>
        <v>20110530</v>
      </c>
      <c r="C1256" s="70">
        <v>3.39E-2</v>
      </c>
      <c r="D1256" s="77">
        <v>7.0000000000000001E-3</v>
      </c>
      <c r="E1256" s="77">
        <v>7.0000000000000001E-3</v>
      </c>
      <c r="F1256" s="77">
        <v>7.0000000000000001E-3</v>
      </c>
      <c r="G1256" s="78">
        <v>0</v>
      </c>
      <c r="H1256" s="79"/>
      <c r="I1256" s="79"/>
      <c r="J1256" s="79"/>
      <c r="K1256" s="106">
        <v>1.01E-2</v>
      </c>
      <c r="L1256" s="80">
        <v>0</v>
      </c>
      <c r="M1256" s="75" t="s">
        <v>143</v>
      </c>
      <c r="N1256" s="75" t="b">
        <v>1</v>
      </c>
      <c r="O1256" s="75" t="s">
        <v>144</v>
      </c>
      <c r="P1256" s="75">
        <v>1994</v>
      </c>
      <c r="Q1256" s="107">
        <f t="shared" si="21"/>
        <v>2011</v>
      </c>
      <c r="R1256" s="107">
        <v>2</v>
      </c>
      <c r="S1256" s="100">
        <v>211061</v>
      </c>
      <c r="T1256" s="101">
        <v>40701</v>
      </c>
      <c r="U1256" s="83"/>
    </row>
    <row r="1257" spans="1:21" s="84" customFormat="1" x14ac:dyDescent="0.3">
      <c r="A1257" s="68">
        <v>40694</v>
      </c>
      <c r="B1257" s="69">
        <f t="shared" si="22"/>
        <v>20110531</v>
      </c>
      <c r="C1257" s="70">
        <v>3.3799999999999997E-2</v>
      </c>
      <c r="D1257" s="77">
        <v>7.0000000000000001E-3</v>
      </c>
      <c r="E1257" s="77">
        <v>7.0000000000000001E-3</v>
      </c>
      <c r="F1257" s="77">
        <v>7.0000000000000001E-3</v>
      </c>
      <c r="G1257" s="78">
        <v>0</v>
      </c>
      <c r="H1257" s="79"/>
      <c r="I1257" s="79"/>
      <c r="J1257" s="79"/>
      <c r="K1257" s="106">
        <v>9.7999999999999997E-3</v>
      </c>
      <c r="L1257" s="80">
        <v>0</v>
      </c>
      <c r="M1257" s="75" t="s">
        <v>143</v>
      </c>
      <c r="N1257" s="75" t="b">
        <v>1</v>
      </c>
      <c r="O1257" s="75" t="s">
        <v>144</v>
      </c>
      <c r="P1257" s="75">
        <v>1994</v>
      </c>
      <c r="Q1257" s="107">
        <f t="shared" si="21"/>
        <v>2011</v>
      </c>
      <c r="R1257" s="107">
        <v>2</v>
      </c>
      <c r="S1257" s="100">
        <v>211061</v>
      </c>
      <c r="T1257" s="101">
        <v>40701</v>
      </c>
      <c r="U1257" s="83"/>
    </row>
    <row r="1258" spans="1:21" s="84" customFormat="1" x14ac:dyDescent="0.3">
      <c r="A1258" s="68">
        <v>40695</v>
      </c>
      <c r="B1258" s="69">
        <f t="shared" si="22"/>
        <v>20110601</v>
      </c>
      <c r="C1258" s="70">
        <v>3.3300000000000003E-2</v>
      </c>
      <c r="D1258" s="77">
        <v>7.0000000000000001E-3</v>
      </c>
      <c r="E1258" s="77">
        <v>7.0000000000000001E-3</v>
      </c>
      <c r="F1258" s="77">
        <v>7.0000000000000001E-3</v>
      </c>
      <c r="G1258" s="78">
        <v>0</v>
      </c>
      <c r="H1258" s="79"/>
      <c r="I1258" s="79"/>
      <c r="J1258" s="79"/>
      <c r="K1258" s="106">
        <v>1.0200000000000001E-2</v>
      </c>
      <c r="L1258" s="80">
        <v>0</v>
      </c>
      <c r="M1258" s="75" t="s">
        <v>143</v>
      </c>
      <c r="N1258" s="75" t="b">
        <v>1</v>
      </c>
      <c r="O1258" s="75" t="s">
        <v>144</v>
      </c>
      <c r="P1258" s="75">
        <v>1994</v>
      </c>
      <c r="Q1258" s="107">
        <f t="shared" si="21"/>
        <v>2011</v>
      </c>
      <c r="R1258" s="107">
        <v>2</v>
      </c>
      <c r="S1258" s="100">
        <v>211061</v>
      </c>
      <c r="T1258" s="101">
        <v>40701</v>
      </c>
      <c r="U1258" s="83"/>
    </row>
    <row r="1259" spans="1:21" s="84" customFormat="1" x14ac:dyDescent="0.3">
      <c r="A1259" s="68">
        <v>40696</v>
      </c>
      <c r="B1259" s="69">
        <f t="shared" si="22"/>
        <v>20110602</v>
      </c>
      <c r="C1259" s="70">
        <v>3.4300000000000004E-2</v>
      </c>
      <c r="D1259" s="77">
        <v>7.0000000000000001E-3</v>
      </c>
      <c r="E1259" s="77">
        <v>7.0000000000000001E-3</v>
      </c>
      <c r="F1259" s="77">
        <v>7.0000000000000001E-3</v>
      </c>
      <c r="G1259" s="78">
        <v>0</v>
      </c>
      <c r="H1259" s="79"/>
      <c r="I1259" s="79"/>
      <c r="J1259" s="79"/>
      <c r="K1259" s="106">
        <v>1.06E-2</v>
      </c>
      <c r="L1259" s="80">
        <v>0</v>
      </c>
      <c r="M1259" s="75" t="s">
        <v>143</v>
      </c>
      <c r="N1259" s="75" t="b">
        <v>1</v>
      </c>
      <c r="O1259" s="75" t="s">
        <v>144</v>
      </c>
      <c r="P1259" s="75">
        <v>1994</v>
      </c>
      <c r="Q1259" s="107">
        <f t="shared" si="21"/>
        <v>2011</v>
      </c>
      <c r="R1259" s="107">
        <v>2</v>
      </c>
      <c r="S1259" s="100">
        <v>211061</v>
      </c>
      <c r="T1259" s="101">
        <v>40701</v>
      </c>
      <c r="U1259" s="83"/>
    </row>
    <row r="1260" spans="1:21" s="84" customFormat="1" x14ac:dyDescent="0.3">
      <c r="A1260" s="68">
        <v>40697</v>
      </c>
      <c r="B1260" s="69">
        <f t="shared" si="22"/>
        <v>20110603</v>
      </c>
      <c r="C1260" s="70">
        <v>3.4099999999999998E-2</v>
      </c>
      <c r="D1260" s="77">
        <v>7.0000000000000001E-3</v>
      </c>
      <c r="E1260" s="77">
        <v>7.0000000000000001E-3</v>
      </c>
      <c r="F1260" s="77">
        <v>7.0000000000000001E-3</v>
      </c>
      <c r="G1260" s="78">
        <v>0</v>
      </c>
      <c r="H1260" s="79"/>
      <c r="I1260" s="79"/>
      <c r="J1260" s="79"/>
      <c r="K1260" s="106">
        <v>1.0500000000000001E-2</v>
      </c>
      <c r="L1260" s="80">
        <v>0</v>
      </c>
      <c r="M1260" s="75" t="s">
        <v>143</v>
      </c>
      <c r="N1260" s="75" t="b">
        <v>1</v>
      </c>
      <c r="O1260" s="75" t="s">
        <v>144</v>
      </c>
      <c r="P1260" s="75">
        <v>1994</v>
      </c>
      <c r="Q1260" s="107">
        <f t="shared" si="21"/>
        <v>2011</v>
      </c>
      <c r="R1260" s="107">
        <v>2</v>
      </c>
      <c r="S1260" s="100">
        <v>211061</v>
      </c>
      <c r="T1260" s="101">
        <v>40701</v>
      </c>
      <c r="U1260" s="83"/>
    </row>
    <row r="1261" spans="1:21" s="84" customFormat="1" x14ac:dyDescent="0.3">
      <c r="A1261" s="68">
        <v>40698</v>
      </c>
      <c r="B1261" s="69">
        <f>YEAR(A1261)*10000+MONTH(A1261)*100+DAY(A1261)</f>
        <v>20110604</v>
      </c>
      <c r="C1261" s="70">
        <v>3.4099999999999998E-2</v>
      </c>
      <c r="D1261" s="77">
        <v>7.0000000000000001E-3</v>
      </c>
      <c r="E1261" s="77">
        <v>7.0000000000000001E-3</v>
      </c>
      <c r="F1261" s="77">
        <v>7.0000000000000001E-3</v>
      </c>
      <c r="G1261" s="78">
        <v>0</v>
      </c>
      <c r="H1261" s="79"/>
      <c r="I1261" s="79"/>
      <c r="J1261" s="79"/>
      <c r="K1261" s="106">
        <v>1.0500000000000001E-2</v>
      </c>
      <c r="L1261" s="80">
        <v>0</v>
      </c>
      <c r="M1261" s="75" t="s">
        <v>143</v>
      </c>
      <c r="N1261" s="75" t="b">
        <v>1</v>
      </c>
      <c r="O1261" s="75" t="s">
        <v>144</v>
      </c>
      <c r="P1261" s="75">
        <v>1994</v>
      </c>
      <c r="Q1261" s="107">
        <f t="shared" si="21"/>
        <v>2011</v>
      </c>
      <c r="R1261" s="107">
        <v>2</v>
      </c>
      <c r="S1261" s="100">
        <v>211061</v>
      </c>
      <c r="T1261" s="101">
        <v>40701</v>
      </c>
      <c r="U1261" s="83"/>
    </row>
    <row r="1262" spans="1:21" s="84" customFormat="1" x14ac:dyDescent="0.3">
      <c r="A1262" s="68">
        <v>40699</v>
      </c>
      <c r="B1262" s="69">
        <f>YEAR(A1262)*10000+MONTH(A1262)*100+DAY(A1262)</f>
        <v>20110605</v>
      </c>
      <c r="C1262" s="70">
        <v>3.4099999999999998E-2</v>
      </c>
      <c r="D1262" s="77">
        <v>7.0000000000000001E-3</v>
      </c>
      <c r="E1262" s="77">
        <v>7.0000000000000001E-3</v>
      </c>
      <c r="F1262" s="77">
        <v>7.0000000000000001E-3</v>
      </c>
      <c r="G1262" s="78">
        <v>0</v>
      </c>
      <c r="H1262" s="79"/>
      <c r="I1262" s="79"/>
      <c r="J1262" s="79"/>
      <c r="K1262" s="106">
        <v>1.0500000000000001E-2</v>
      </c>
      <c r="L1262" s="80">
        <v>0</v>
      </c>
      <c r="M1262" s="75" t="s">
        <v>143</v>
      </c>
      <c r="N1262" s="75" t="b">
        <v>1</v>
      </c>
      <c r="O1262" s="75" t="s">
        <v>144</v>
      </c>
      <c r="P1262" s="75">
        <v>1994</v>
      </c>
      <c r="Q1262" s="107">
        <f t="shared" ref="Q1262:Q1325" si="23">YEAR(A1262)</f>
        <v>2011</v>
      </c>
      <c r="R1262" s="107">
        <v>2</v>
      </c>
      <c r="S1262" s="100">
        <v>211061</v>
      </c>
      <c r="T1262" s="101">
        <v>40701</v>
      </c>
      <c r="U1262" s="83"/>
    </row>
    <row r="1263" spans="1:21" s="84" customFormat="1" x14ac:dyDescent="0.3">
      <c r="A1263" s="68">
        <v>40700</v>
      </c>
      <c r="B1263" s="69">
        <f t="shared" si="22"/>
        <v>20110606</v>
      </c>
      <c r="C1263" s="70">
        <v>3.4300000000000004E-2</v>
      </c>
      <c r="D1263" s="77">
        <v>7.0000000000000001E-3</v>
      </c>
      <c r="E1263" s="77">
        <v>7.0000000000000001E-3</v>
      </c>
      <c r="F1263" s="77">
        <v>7.0000000000000001E-3</v>
      </c>
      <c r="G1263" s="78">
        <v>0</v>
      </c>
      <c r="H1263" s="79"/>
      <c r="I1263" s="79"/>
      <c r="J1263" s="79"/>
      <c r="K1263" s="106">
        <v>1.04E-2</v>
      </c>
      <c r="L1263" s="80">
        <v>0</v>
      </c>
      <c r="M1263" s="75" t="s">
        <v>143</v>
      </c>
      <c r="N1263" s="75" t="b">
        <v>1</v>
      </c>
      <c r="O1263" s="75" t="s">
        <v>144</v>
      </c>
      <c r="P1263" s="75">
        <v>1994</v>
      </c>
      <c r="Q1263" s="107">
        <f t="shared" si="23"/>
        <v>2011</v>
      </c>
      <c r="R1263" s="107">
        <v>2</v>
      </c>
      <c r="S1263" s="100">
        <v>211061</v>
      </c>
      <c r="T1263" s="101">
        <v>40701</v>
      </c>
      <c r="U1263" s="83"/>
    </row>
    <row r="1264" spans="1:21" s="84" customFormat="1" x14ac:dyDescent="0.3">
      <c r="A1264" s="68">
        <v>40701</v>
      </c>
      <c r="B1264" s="69">
        <f t="shared" si="22"/>
        <v>20110607</v>
      </c>
      <c r="C1264" s="70">
        <v>3.4500000000000003E-2</v>
      </c>
      <c r="D1264" s="77">
        <v>7.0000000000000001E-3</v>
      </c>
      <c r="E1264" s="77">
        <v>7.0000000000000001E-3</v>
      </c>
      <c r="F1264" s="77">
        <v>7.0000000000000001E-3</v>
      </c>
      <c r="G1264" s="78">
        <v>0</v>
      </c>
      <c r="H1264" s="79"/>
      <c r="I1264" s="79"/>
      <c r="J1264" s="79"/>
      <c r="K1264" s="106">
        <v>1.0500000000000001E-2</v>
      </c>
      <c r="L1264" s="80">
        <v>0</v>
      </c>
      <c r="M1264" s="75" t="s">
        <v>143</v>
      </c>
      <c r="N1264" s="75" t="b">
        <v>1</v>
      </c>
      <c r="O1264" s="75" t="s">
        <v>144</v>
      </c>
      <c r="P1264" s="75">
        <v>1994</v>
      </c>
      <c r="Q1264" s="107">
        <f t="shared" si="23"/>
        <v>2011</v>
      </c>
      <c r="R1264" s="107">
        <v>2</v>
      </c>
      <c r="S1264" s="100">
        <v>211061</v>
      </c>
      <c r="T1264" s="101">
        <v>40701</v>
      </c>
      <c r="U1264" s="83"/>
    </row>
    <row r="1265" spans="1:21" s="84" customFormat="1" x14ac:dyDescent="0.3">
      <c r="A1265" s="68">
        <v>40702</v>
      </c>
      <c r="B1265" s="69">
        <f t="shared" si="22"/>
        <v>20110608</v>
      </c>
      <c r="C1265" s="70">
        <v>3.4300000000000004E-2</v>
      </c>
      <c r="D1265" s="77">
        <v>7.0000000000000001E-3</v>
      </c>
      <c r="E1265" s="77">
        <v>7.0000000000000001E-3</v>
      </c>
      <c r="F1265" s="77">
        <v>7.0000000000000001E-3</v>
      </c>
      <c r="G1265" s="78">
        <v>0</v>
      </c>
      <c r="H1265" s="79"/>
      <c r="I1265" s="79"/>
      <c r="J1265" s="79"/>
      <c r="K1265" s="106">
        <v>1.0200000000000001E-2</v>
      </c>
      <c r="L1265" s="80">
        <v>0</v>
      </c>
      <c r="M1265" s="75" t="s">
        <v>143</v>
      </c>
      <c r="N1265" s="75" t="b">
        <v>1</v>
      </c>
      <c r="O1265" s="75" t="s">
        <v>144</v>
      </c>
      <c r="P1265" s="75">
        <v>1994</v>
      </c>
      <c r="Q1265" s="107">
        <f t="shared" si="23"/>
        <v>2011</v>
      </c>
      <c r="R1265" s="107">
        <v>2</v>
      </c>
      <c r="S1265" s="100">
        <v>211061</v>
      </c>
      <c r="T1265" s="101">
        <v>40701</v>
      </c>
      <c r="U1265" s="83"/>
    </row>
    <row r="1266" spans="1:21" s="84" customFormat="1" x14ac:dyDescent="0.3">
      <c r="A1266" s="68">
        <v>40703</v>
      </c>
      <c r="B1266" s="69">
        <f t="shared" si="22"/>
        <v>20110609</v>
      </c>
      <c r="C1266" s="70">
        <v>3.4500000000000003E-2</v>
      </c>
      <c r="D1266" s="77">
        <v>7.0000000000000001E-3</v>
      </c>
      <c r="E1266" s="77">
        <v>7.0000000000000001E-3</v>
      </c>
      <c r="F1266" s="77">
        <v>7.0000000000000001E-3</v>
      </c>
      <c r="G1266" s="78">
        <v>0</v>
      </c>
      <c r="H1266" s="79"/>
      <c r="I1266" s="79"/>
      <c r="J1266" s="79"/>
      <c r="K1266" s="106">
        <v>1.0500000000000001E-2</v>
      </c>
      <c r="L1266" s="80">
        <v>0</v>
      </c>
      <c r="M1266" s="75" t="s">
        <v>143</v>
      </c>
      <c r="N1266" s="75" t="b">
        <v>1</v>
      </c>
      <c r="O1266" s="75" t="s">
        <v>144</v>
      </c>
      <c r="P1266" s="75">
        <v>1994</v>
      </c>
      <c r="Q1266" s="107">
        <f t="shared" si="23"/>
        <v>2011</v>
      </c>
      <c r="R1266" s="107">
        <v>2</v>
      </c>
      <c r="S1266" s="100">
        <v>211061</v>
      </c>
      <c r="T1266" s="101">
        <v>40701</v>
      </c>
      <c r="U1266" s="83"/>
    </row>
    <row r="1267" spans="1:21" s="84" customFormat="1" x14ac:dyDescent="0.3">
      <c r="A1267" s="68">
        <v>40704</v>
      </c>
      <c r="B1267" s="69">
        <f t="shared" si="22"/>
        <v>20110610</v>
      </c>
      <c r="C1267" s="70">
        <v>3.4099999999999998E-2</v>
      </c>
      <c r="D1267" s="77">
        <v>7.0000000000000001E-3</v>
      </c>
      <c r="E1267" s="77">
        <v>7.0000000000000001E-3</v>
      </c>
      <c r="F1267" s="77">
        <v>7.0000000000000001E-3</v>
      </c>
      <c r="G1267" s="78">
        <v>0</v>
      </c>
      <c r="H1267" s="79"/>
      <c r="I1267" s="79"/>
      <c r="J1267" s="79"/>
      <c r="K1267" s="106">
        <v>1.03E-2</v>
      </c>
      <c r="L1267" s="80">
        <v>0</v>
      </c>
      <c r="M1267" s="75" t="s">
        <v>143</v>
      </c>
      <c r="N1267" s="75" t="b">
        <v>1</v>
      </c>
      <c r="O1267" s="75" t="s">
        <v>144</v>
      </c>
      <c r="P1267" s="75">
        <v>1994</v>
      </c>
      <c r="Q1267" s="107">
        <f t="shared" si="23"/>
        <v>2011</v>
      </c>
      <c r="R1267" s="107">
        <v>2</v>
      </c>
      <c r="S1267" s="100">
        <v>211061</v>
      </c>
      <c r="T1267" s="101">
        <v>40701</v>
      </c>
      <c r="U1267" s="83"/>
    </row>
    <row r="1268" spans="1:21" s="84" customFormat="1" x14ac:dyDescent="0.3">
      <c r="A1268" s="68">
        <v>40705</v>
      </c>
      <c r="B1268" s="69">
        <f>YEAR(A1268)*10000+MONTH(A1268)*100+DAY(A1268)</f>
        <v>20110611</v>
      </c>
      <c r="C1268" s="70">
        <v>3.4099999999999998E-2</v>
      </c>
      <c r="D1268" s="77">
        <v>7.0000000000000001E-3</v>
      </c>
      <c r="E1268" s="77">
        <v>7.0000000000000001E-3</v>
      </c>
      <c r="F1268" s="77">
        <v>7.0000000000000001E-3</v>
      </c>
      <c r="G1268" s="78">
        <v>0</v>
      </c>
      <c r="H1268" s="79"/>
      <c r="I1268" s="79"/>
      <c r="J1268" s="79"/>
      <c r="K1268" s="106">
        <v>1.03E-2</v>
      </c>
      <c r="L1268" s="80">
        <v>0</v>
      </c>
      <c r="M1268" s="75" t="s">
        <v>143</v>
      </c>
      <c r="N1268" s="75" t="b">
        <v>1</v>
      </c>
      <c r="O1268" s="75" t="s">
        <v>144</v>
      </c>
      <c r="P1268" s="75">
        <v>1994</v>
      </c>
      <c r="Q1268" s="107">
        <f t="shared" si="23"/>
        <v>2011</v>
      </c>
      <c r="R1268" s="107">
        <v>2</v>
      </c>
      <c r="S1268" s="100">
        <v>211061</v>
      </c>
      <c r="T1268" s="101">
        <v>40701</v>
      </c>
      <c r="U1268" s="83"/>
    </row>
    <row r="1269" spans="1:21" s="84" customFormat="1" x14ac:dyDescent="0.3">
      <c r="A1269" s="68">
        <v>40706</v>
      </c>
      <c r="B1269" s="69">
        <f>YEAR(A1269)*10000+MONTH(A1269)*100+DAY(A1269)</f>
        <v>20110612</v>
      </c>
      <c r="C1269" s="70">
        <v>3.4099999999999998E-2</v>
      </c>
      <c r="D1269" s="77">
        <v>7.0000000000000001E-3</v>
      </c>
      <c r="E1269" s="77">
        <v>7.0000000000000001E-3</v>
      </c>
      <c r="F1269" s="77">
        <v>7.0000000000000001E-3</v>
      </c>
      <c r="G1269" s="78">
        <v>0</v>
      </c>
      <c r="H1269" s="79"/>
      <c r="I1269" s="79"/>
      <c r="J1269" s="79"/>
      <c r="K1269" s="106">
        <v>1.03E-2</v>
      </c>
      <c r="L1269" s="80">
        <v>0</v>
      </c>
      <c r="M1269" s="75" t="s">
        <v>143</v>
      </c>
      <c r="N1269" s="75" t="b">
        <v>1</v>
      </c>
      <c r="O1269" s="75" t="s">
        <v>144</v>
      </c>
      <c r="P1269" s="75">
        <v>1994</v>
      </c>
      <c r="Q1269" s="107">
        <f t="shared" si="23"/>
        <v>2011</v>
      </c>
      <c r="R1269" s="107">
        <v>2</v>
      </c>
      <c r="S1269" s="100">
        <v>211061</v>
      </c>
      <c r="T1269" s="101">
        <v>40701</v>
      </c>
      <c r="U1269" s="83"/>
    </row>
    <row r="1270" spans="1:21" s="84" customFormat="1" x14ac:dyDescent="0.3">
      <c r="A1270" s="68">
        <v>40707</v>
      </c>
      <c r="B1270" s="69">
        <f t="shared" si="22"/>
        <v>20110613</v>
      </c>
      <c r="C1270" s="70">
        <v>3.4000000000000002E-2</v>
      </c>
      <c r="D1270" s="77">
        <v>7.0000000000000001E-3</v>
      </c>
      <c r="E1270" s="77">
        <v>7.0000000000000001E-3</v>
      </c>
      <c r="F1270" s="77">
        <v>7.0000000000000001E-3</v>
      </c>
      <c r="G1270" s="78">
        <v>0</v>
      </c>
      <c r="H1270" s="79"/>
      <c r="I1270" s="79"/>
      <c r="J1270" s="79"/>
      <c r="K1270" s="106">
        <v>1.0200000000000001E-2</v>
      </c>
      <c r="L1270" s="80">
        <v>0</v>
      </c>
      <c r="M1270" s="75" t="s">
        <v>143</v>
      </c>
      <c r="N1270" s="75" t="b">
        <v>1</v>
      </c>
      <c r="O1270" s="75" t="s">
        <v>144</v>
      </c>
      <c r="P1270" s="75">
        <v>1994</v>
      </c>
      <c r="Q1270" s="107">
        <f t="shared" si="23"/>
        <v>2011</v>
      </c>
      <c r="R1270" s="107">
        <v>2</v>
      </c>
      <c r="S1270" s="100">
        <v>211061</v>
      </c>
      <c r="T1270" s="101">
        <v>40701</v>
      </c>
      <c r="U1270" s="83"/>
    </row>
    <row r="1271" spans="1:21" s="84" customFormat="1" x14ac:dyDescent="0.3">
      <c r="A1271" s="68">
        <v>40708</v>
      </c>
      <c r="B1271" s="69">
        <f t="shared" si="22"/>
        <v>20110614</v>
      </c>
      <c r="C1271" s="70">
        <v>3.4500000000000003E-2</v>
      </c>
      <c r="D1271" s="77">
        <v>7.0000000000000001E-3</v>
      </c>
      <c r="E1271" s="77">
        <v>7.0000000000000001E-3</v>
      </c>
      <c r="F1271" s="77">
        <v>7.0000000000000001E-3</v>
      </c>
      <c r="G1271" s="78">
        <v>0</v>
      </c>
      <c r="H1271" s="79"/>
      <c r="I1271" s="79"/>
      <c r="J1271" s="79"/>
      <c r="K1271" s="106">
        <v>1.06E-2</v>
      </c>
      <c r="L1271" s="80">
        <v>0</v>
      </c>
      <c r="M1271" s="75" t="s">
        <v>143</v>
      </c>
      <c r="N1271" s="75" t="b">
        <v>1</v>
      </c>
      <c r="O1271" s="75" t="s">
        <v>144</v>
      </c>
      <c r="P1271" s="75">
        <v>1994</v>
      </c>
      <c r="Q1271" s="107">
        <f t="shared" si="23"/>
        <v>2011</v>
      </c>
      <c r="R1271" s="107">
        <v>2</v>
      </c>
      <c r="S1271" s="100">
        <v>211061</v>
      </c>
      <c r="T1271" s="101">
        <v>40701</v>
      </c>
      <c r="U1271" s="83"/>
    </row>
    <row r="1272" spans="1:21" s="84" customFormat="1" x14ac:dyDescent="0.3">
      <c r="A1272" s="68">
        <v>40709</v>
      </c>
      <c r="B1272" s="69">
        <f t="shared" si="22"/>
        <v>20110615</v>
      </c>
      <c r="C1272" s="70">
        <v>3.3599999999999998E-2</v>
      </c>
      <c r="D1272" s="77">
        <v>7.0000000000000001E-3</v>
      </c>
      <c r="E1272" s="77">
        <v>7.0000000000000001E-3</v>
      </c>
      <c r="F1272" s="77">
        <v>7.0000000000000001E-3</v>
      </c>
      <c r="G1272" s="78">
        <v>0</v>
      </c>
      <c r="H1272" s="79"/>
      <c r="I1272" s="79"/>
      <c r="J1272" s="79"/>
      <c r="K1272" s="106">
        <v>0.01</v>
      </c>
      <c r="L1272" s="80">
        <v>0</v>
      </c>
      <c r="M1272" s="75" t="s">
        <v>143</v>
      </c>
      <c r="N1272" s="75" t="b">
        <v>1</v>
      </c>
      <c r="O1272" s="75" t="s">
        <v>144</v>
      </c>
      <c r="P1272" s="75">
        <v>1994</v>
      </c>
      <c r="Q1272" s="107">
        <f t="shared" si="23"/>
        <v>2011</v>
      </c>
      <c r="R1272" s="107">
        <v>2</v>
      </c>
      <c r="S1272" s="100">
        <v>211061</v>
      </c>
      <c r="T1272" s="101">
        <v>40701</v>
      </c>
      <c r="U1272" s="83"/>
    </row>
    <row r="1273" spans="1:21" s="84" customFormat="1" x14ac:dyDescent="0.3">
      <c r="A1273" s="68">
        <v>40710</v>
      </c>
      <c r="B1273" s="69">
        <f t="shared" si="22"/>
        <v>20110616</v>
      </c>
      <c r="C1273" s="70">
        <v>3.32E-2</v>
      </c>
      <c r="D1273" s="77">
        <v>7.0000000000000001E-3</v>
      </c>
      <c r="E1273" s="77">
        <v>7.0000000000000001E-3</v>
      </c>
      <c r="F1273" s="77">
        <v>7.0000000000000001E-3</v>
      </c>
      <c r="G1273" s="78">
        <v>0</v>
      </c>
      <c r="H1273" s="79"/>
      <c r="I1273" s="79"/>
      <c r="J1273" s="79"/>
      <c r="K1273" s="106">
        <v>9.7999999999999997E-3</v>
      </c>
      <c r="L1273" s="80">
        <v>0</v>
      </c>
      <c r="M1273" s="75" t="s">
        <v>143</v>
      </c>
      <c r="N1273" s="75" t="b">
        <v>1</v>
      </c>
      <c r="O1273" s="75" t="s">
        <v>144</v>
      </c>
      <c r="P1273" s="75">
        <v>1994</v>
      </c>
      <c r="Q1273" s="107">
        <f t="shared" si="23"/>
        <v>2011</v>
      </c>
      <c r="R1273" s="107">
        <v>2</v>
      </c>
      <c r="S1273" s="100">
        <v>211061</v>
      </c>
      <c r="T1273" s="101">
        <v>40701</v>
      </c>
      <c r="U1273" s="83"/>
    </row>
    <row r="1274" spans="1:21" s="84" customFormat="1" x14ac:dyDescent="0.3">
      <c r="A1274" s="68">
        <v>40711</v>
      </c>
      <c r="B1274" s="69">
        <f t="shared" si="22"/>
        <v>20110617</v>
      </c>
      <c r="C1274" s="70">
        <v>3.3300000000000003E-2</v>
      </c>
      <c r="D1274" s="77">
        <v>7.0000000000000001E-3</v>
      </c>
      <c r="E1274" s="77">
        <v>7.0000000000000001E-3</v>
      </c>
      <c r="F1274" s="77">
        <v>7.0000000000000001E-3</v>
      </c>
      <c r="G1274" s="78">
        <v>0</v>
      </c>
      <c r="H1274" s="79"/>
      <c r="I1274" s="79"/>
      <c r="J1274" s="79"/>
      <c r="K1274" s="106">
        <v>9.7999999999999997E-3</v>
      </c>
      <c r="L1274" s="80">
        <v>0</v>
      </c>
      <c r="M1274" s="75" t="s">
        <v>143</v>
      </c>
      <c r="N1274" s="75" t="b">
        <v>1</v>
      </c>
      <c r="O1274" s="75" t="s">
        <v>144</v>
      </c>
      <c r="P1274" s="75">
        <v>1994</v>
      </c>
      <c r="Q1274" s="107">
        <f t="shared" si="23"/>
        <v>2011</v>
      </c>
      <c r="R1274" s="107">
        <v>2</v>
      </c>
      <c r="S1274" s="100">
        <v>211061</v>
      </c>
      <c r="T1274" s="101">
        <v>40701</v>
      </c>
      <c r="U1274" s="83"/>
    </row>
    <row r="1275" spans="1:21" s="84" customFormat="1" x14ac:dyDescent="0.3">
      <c r="A1275" s="68">
        <v>40712</v>
      </c>
      <c r="B1275" s="69">
        <f>YEAR(A1275)*10000+MONTH(A1275)*100+DAY(A1275)</f>
        <v>20110618</v>
      </c>
      <c r="C1275" s="70">
        <v>3.3300000000000003E-2</v>
      </c>
      <c r="D1275" s="77">
        <v>7.0000000000000001E-3</v>
      </c>
      <c r="E1275" s="77">
        <v>7.0000000000000001E-3</v>
      </c>
      <c r="F1275" s="77">
        <v>7.0000000000000001E-3</v>
      </c>
      <c r="G1275" s="78">
        <v>0</v>
      </c>
      <c r="H1275" s="79"/>
      <c r="I1275" s="79"/>
      <c r="J1275" s="79"/>
      <c r="K1275" s="106">
        <v>9.7999999999999997E-3</v>
      </c>
      <c r="L1275" s="80">
        <v>0</v>
      </c>
      <c r="M1275" s="75" t="s">
        <v>143</v>
      </c>
      <c r="N1275" s="75" t="b">
        <v>1</v>
      </c>
      <c r="O1275" s="75" t="s">
        <v>144</v>
      </c>
      <c r="P1275" s="75">
        <v>1994</v>
      </c>
      <c r="Q1275" s="107">
        <f t="shared" si="23"/>
        <v>2011</v>
      </c>
      <c r="R1275" s="107">
        <v>2</v>
      </c>
      <c r="S1275" s="100">
        <v>211061</v>
      </c>
      <c r="T1275" s="101">
        <v>40701</v>
      </c>
      <c r="U1275" s="83"/>
    </row>
    <row r="1276" spans="1:21" s="84" customFormat="1" x14ac:dyDescent="0.3">
      <c r="A1276" s="68">
        <v>40713</v>
      </c>
      <c r="B1276" s="69">
        <f>YEAR(A1276)*10000+MONTH(A1276)*100+DAY(A1276)</f>
        <v>20110619</v>
      </c>
      <c r="C1276" s="70">
        <v>3.3300000000000003E-2</v>
      </c>
      <c r="D1276" s="77">
        <v>7.0000000000000001E-3</v>
      </c>
      <c r="E1276" s="77">
        <v>7.0000000000000001E-3</v>
      </c>
      <c r="F1276" s="77">
        <v>7.0000000000000001E-3</v>
      </c>
      <c r="G1276" s="78">
        <v>0</v>
      </c>
      <c r="H1276" s="79"/>
      <c r="I1276" s="79"/>
      <c r="J1276" s="79"/>
      <c r="K1276" s="106">
        <v>9.7999999999999997E-3</v>
      </c>
      <c r="L1276" s="80">
        <v>0</v>
      </c>
      <c r="M1276" s="75" t="s">
        <v>143</v>
      </c>
      <c r="N1276" s="75" t="b">
        <v>1</v>
      </c>
      <c r="O1276" s="75" t="s">
        <v>144</v>
      </c>
      <c r="P1276" s="75">
        <v>1994</v>
      </c>
      <c r="Q1276" s="107">
        <f t="shared" si="23"/>
        <v>2011</v>
      </c>
      <c r="R1276" s="107">
        <v>2</v>
      </c>
      <c r="S1276" s="100">
        <v>211061</v>
      </c>
      <c r="T1276" s="101">
        <v>40701</v>
      </c>
      <c r="U1276" s="83"/>
    </row>
    <row r="1277" spans="1:21" s="84" customFormat="1" x14ac:dyDescent="0.3">
      <c r="A1277" s="68">
        <v>40714</v>
      </c>
      <c r="B1277" s="69">
        <f t="shared" si="22"/>
        <v>20110620</v>
      </c>
      <c r="C1277" s="70">
        <v>3.3500000000000002E-2</v>
      </c>
      <c r="D1277" s="77">
        <v>7.0000000000000001E-3</v>
      </c>
      <c r="E1277" s="77">
        <v>7.0000000000000001E-3</v>
      </c>
      <c r="F1277" s="77">
        <v>7.0000000000000001E-3</v>
      </c>
      <c r="G1277" s="78">
        <v>0</v>
      </c>
      <c r="H1277" s="79"/>
      <c r="I1277" s="79"/>
      <c r="J1277" s="79"/>
      <c r="K1277" s="106">
        <v>1.04E-2</v>
      </c>
      <c r="L1277" s="80">
        <v>0</v>
      </c>
      <c r="M1277" s="75" t="s">
        <v>143</v>
      </c>
      <c r="N1277" s="75" t="b">
        <v>1</v>
      </c>
      <c r="O1277" s="75" t="s">
        <v>144</v>
      </c>
      <c r="P1277" s="75">
        <v>1994</v>
      </c>
      <c r="Q1277" s="107">
        <f t="shared" si="23"/>
        <v>2011</v>
      </c>
      <c r="R1277" s="107">
        <v>2</v>
      </c>
      <c r="S1277" s="100">
        <v>211061</v>
      </c>
      <c r="T1277" s="101">
        <v>40701</v>
      </c>
      <c r="U1277" s="83"/>
    </row>
    <row r="1278" spans="1:21" s="84" customFormat="1" x14ac:dyDescent="0.3">
      <c r="A1278" s="68">
        <v>40715</v>
      </c>
      <c r="B1278" s="69">
        <f t="shared" si="22"/>
        <v>20110621</v>
      </c>
      <c r="C1278" s="70">
        <v>3.3599999999999998E-2</v>
      </c>
      <c r="D1278" s="77">
        <v>7.0000000000000001E-3</v>
      </c>
      <c r="E1278" s="77">
        <v>7.0000000000000001E-3</v>
      </c>
      <c r="F1278" s="77">
        <v>7.0000000000000001E-3</v>
      </c>
      <c r="G1278" s="78">
        <v>0</v>
      </c>
      <c r="H1278" s="79"/>
      <c r="I1278" s="79"/>
      <c r="J1278" s="79"/>
      <c r="K1278" s="106">
        <v>1.03E-2</v>
      </c>
      <c r="L1278" s="80">
        <v>0</v>
      </c>
      <c r="M1278" s="75" t="s">
        <v>143</v>
      </c>
      <c r="N1278" s="75" t="b">
        <v>1</v>
      </c>
      <c r="O1278" s="75" t="s">
        <v>144</v>
      </c>
      <c r="P1278" s="75">
        <v>1994</v>
      </c>
      <c r="Q1278" s="107">
        <f t="shared" si="23"/>
        <v>2011</v>
      </c>
      <c r="R1278" s="107">
        <v>2</v>
      </c>
      <c r="S1278" s="100">
        <v>211061</v>
      </c>
      <c r="T1278" s="101">
        <v>40701</v>
      </c>
      <c r="U1278" s="83"/>
    </row>
    <row r="1279" spans="1:21" s="84" customFormat="1" x14ac:dyDescent="0.3">
      <c r="A1279" s="68">
        <v>40716</v>
      </c>
      <c r="B1279" s="69">
        <f t="shared" si="22"/>
        <v>20110622</v>
      </c>
      <c r="C1279" s="70">
        <v>3.3599999999999998E-2</v>
      </c>
      <c r="D1279" s="77">
        <v>7.0000000000000001E-3</v>
      </c>
      <c r="E1279" s="77">
        <v>7.0000000000000001E-3</v>
      </c>
      <c r="F1279" s="77">
        <v>7.0000000000000001E-3</v>
      </c>
      <c r="G1279" s="78">
        <v>0</v>
      </c>
      <c r="H1279" s="79"/>
      <c r="I1279" s="79"/>
      <c r="J1279" s="79"/>
      <c r="K1279" s="106">
        <v>1.04E-2</v>
      </c>
      <c r="L1279" s="80">
        <v>0</v>
      </c>
      <c r="M1279" s="75" t="s">
        <v>143</v>
      </c>
      <c r="N1279" s="75" t="b">
        <v>1</v>
      </c>
      <c r="O1279" s="75" t="s">
        <v>144</v>
      </c>
      <c r="P1279" s="75">
        <v>1994</v>
      </c>
      <c r="Q1279" s="107">
        <f t="shared" si="23"/>
        <v>2011</v>
      </c>
      <c r="R1279" s="107">
        <v>2</v>
      </c>
      <c r="S1279" s="100">
        <v>211061</v>
      </c>
      <c r="T1279" s="101">
        <v>40701</v>
      </c>
      <c r="U1279" s="83"/>
    </row>
    <row r="1280" spans="1:21" s="84" customFormat="1" x14ac:dyDescent="0.3">
      <c r="A1280" s="68">
        <v>40717</v>
      </c>
      <c r="B1280" s="69">
        <f>YEAR(A1280)*10000+MONTH(A1280)*100+DAY(A1280)</f>
        <v>20110623</v>
      </c>
      <c r="C1280" s="70">
        <v>3.3099999999999997E-2</v>
      </c>
      <c r="D1280" s="77">
        <v>7.0000000000000001E-3</v>
      </c>
      <c r="E1280" s="77">
        <v>7.0000000000000001E-3</v>
      </c>
      <c r="F1280" s="77">
        <v>7.0000000000000001E-3</v>
      </c>
      <c r="G1280" s="78">
        <v>0</v>
      </c>
      <c r="H1280" s="79"/>
      <c r="I1280" s="79"/>
      <c r="J1280" s="79"/>
      <c r="K1280" s="106">
        <v>1.04E-2</v>
      </c>
      <c r="L1280" s="80">
        <v>0</v>
      </c>
      <c r="M1280" s="75" t="s">
        <v>143</v>
      </c>
      <c r="N1280" s="75" t="b">
        <v>1</v>
      </c>
      <c r="O1280" s="75" t="s">
        <v>144</v>
      </c>
      <c r="P1280" s="75">
        <v>1994</v>
      </c>
      <c r="Q1280" s="107">
        <f t="shared" si="23"/>
        <v>2011</v>
      </c>
      <c r="R1280" s="107">
        <v>2</v>
      </c>
      <c r="S1280" s="100">
        <v>211061</v>
      </c>
      <c r="T1280" s="101">
        <v>40701</v>
      </c>
      <c r="U1280" s="83"/>
    </row>
    <row r="1281" spans="1:21" s="84" customFormat="1" x14ac:dyDescent="0.3">
      <c r="A1281" s="68">
        <v>40718</v>
      </c>
      <c r="B1281" s="69">
        <f>YEAR(A1281)*10000+MONTH(A1281)*100+DAY(A1281)</f>
        <v>20110624</v>
      </c>
      <c r="C1281" s="70">
        <v>3.2899999999999999E-2</v>
      </c>
      <c r="D1281" s="77">
        <v>7.0000000000000001E-3</v>
      </c>
      <c r="E1281" s="77">
        <v>7.0000000000000001E-3</v>
      </c>
      <c r="F1281" s="77">
        <v>7.0000000000000001E-3</v>
      </c>
      <c r="G1281" s="78">
        <v>0</v>
      </c>
      <c r="H1281" s="79"/>
      <c r="I1281" s="79"/>
      <c r="J1281" s="79"/>
      <c r="K1281" s="106">
        <v>1.03E-2</v>
      </c>
      <c r="L1281" s="80">
        <v>0</v>
      </c>
      <c r="M1281" s="75" t="s">
        <v>143</v>
      </c>
      <c r="N1281" s="75" t="b">
        <v>1</v>
      </c>
      <c r="O1281" s="75" t="s">
        <v>144</v>
      </c>
      <c r="P1281" s="75">
        <v>1994</v>
      </c>
      <c r="Q1281" s="107">
        <f t="shared" si="23"/>
        <v>2011</v>
      </c>
      <c r="R1281" s="107">
        <v>2</v>
      </c>
      <c r="S1281" s="100">
        <v>211061</v>
      </c>
      <c r="T1281" s="101">
        <v>40701</v>
      </c>
      <c r="U1281" s="83"/>
    </row>
    <row r="1282" spans="1:21" s="84" customFormat="1" x14ac:dyDescent="0.3">
      <c r="A1282" s="68">
        <v>40719</v>
      </c>
      <c r="B1282" s="69">
        <f>YEAR(A1282)*10000+MONTH(A1282)*100+DAY(A1282)</f>
        <v>20110625</v>
      </c>
      <c r="C1282" s="70">
        <v>3.2899999999999999E-2</v>
      </c>
      <c r="D1282" s="77">
        <v>7.0000000000000001E-3</v>
      </c>
      <c r="E1282" s="77">
        <v>7.0000000000000001E-3</v>
      </c>
      <c r="F1282" s="77">
        <v>7.0000000000000001E-3</v>
      </c>
      <c r="G1282" s="78">
        <v>0</v>
      </c>
      <c r="H1282" s="79"/>
      <c r="I1282" s="79"/>
      <c r="J1282" s="79"/>
      <c r="K1282" s="106">
        <v>1.03E-2</v>
      </c>
      <c r="L1282" s="80">
        <v>0</v>
      </c>
      <c r="M1282" s="75" t="s">
        <v>143</v>
      </c>
      <c r="N1282" s="75" t="b">
        <v>1</v>
      </c>
      <c r="O1282" s="75" t="s">
        <v>144</v>
      </c>
      <c r="P1282" s="75">
        <v>1994</v>
      </c>
      <c r="Q1282" s="107">
        <f t="shared" si="23"/>
        <v>2011</v>
      </c>
      <c r="R1282" s="107">
        <v>2</v>
      </c>
      <c r="S1282" s="100">
        <v>211061</v>
      </c>
      <c r="T1282" s="101">
        <v>40701</v>
      </c>
      <c r="U1282" s="83"/>
    </row>
    <row r="1283" spans="1:21" s="84" customFormat="1" x14ac:dyDescent="0.3">
      <c r="A1283" s="68">
        <v>40720</v>
      </c>
      <c r="B1283" s="69">
        <f>YEAR(A1283)*10000+MONTH(A1283)*100+DAY(A1283)</f>
        <v>20110626</v>
      </c>
      <c r="C1283" s="70">
        <v>3.2899999999999999E-2</v>
      </c>
      <c r="D1283" s="77">
        <v>7.0000000000000001E-3</v>
      </c>
      <c r="E1283" s="77">
        <v>7.0000000000000001E-3</v>
      </c>
      <c r="F1283" s="77">
        <v>7.0000000000000001E-3</v>
      </c>
      <c r="G1283" s="78">
        <v>0</v>
      </c>
      <c r="H1283" s="79"/>
      <c r="I1283" s="79"/>
      <c r="J1283" s="79"/>
      <c r="K1283" s="106">
        <v>1.03E-2</v>
      </c>
      <c r="L1283" s="80">
        <v>0</v>
      </c>
      <c r="M1283" s="75" t="s">
        <v>143</v>
      </c>
      <c r="N1283" s="75" t="b">
        <v>1</v>
      </c>
      <c r="O1283" s="75" t="s">
        <v>144</v>
      </c>
      <c r="P1283" s="75">
        <v>1994</v>
      </c>
      <c r="Q1283" s="107">
        <f t="shared" si="23"/>
        <v>2011</v>
      </c>
      <c r="R1283" s="107">
        <v>2</v>
      </c>
      <c r="S1283" s="100">
        <v>211061</v>
      </c>
      <c r="T1283" s="101">
        <v>40701</v>
      </c>
      <c r="U1283" s="83"/>
    </row>
    <row r="1284" spans="1:21" s="84" customFormat="1" x14ac:dyDescent="0.3">
      <c r="A1284" s="68">
        <v>40721</v>
      </c>
      <c r="B1284" s="69">
        <f t="shared" si="22"/>
        <v>20110627</v>
      </c>
      <c r="C1284" s="70">
        <v>3.3399999999999999E-2</v>
      </c>
      <c r="D1284" s="77">
        <v>7.0000000000000001E-3</v>
      </c>
      <c r="E1284" s="77">
        <v>7.0000000000000001E-3</v>
      </c>
      <c r="F1284" s="77">
        <v>7.0000000000000001E-3</v>
      </c>
      <c r="G1284" s="78">
        <v>0</v>
      </c>
      <c r="H1284" s="79"/>
      <c r="I1284" s="79"/>
      <c r="J1284" s="79"/>
      <c r="K1284" s="106">
        <v>1.0500000000000001E-2</v>
      </c>
      <c r="L1284" s="80">
        <v>0</v>
      </c>
      <c r="M1284" s="75" t="s">
        <v>143</v>
      </c>
      <c r="N1284" s="75" t="b">
        <v>1</v>
      </c>
      <c r="O1284" s="75" t="s">
        <v>144</v>
      </c>
      <c r="P1284" s="75">
        <v>1994</v>
      </c>
      <c r="Q1284" s="107">
        <f t="shared" si="23"/>
        <v>2011</v>
      </c>
      <c r="R1284" s="107">
        <v>2</v>
      </c>
      <c r="S1284" s="100">
        <v>211061</v>
      </c>
      <c r="T1284" s="101">
        <v>40701</v>
      </c>
      <c r="U1284" s="83"/>
    </row>
    <row r="1285" spans="1:21" s="84" customFormat="1" x14ac:dyDescent="0.3">
      <c r="A1285" s="68">
        <v>40722</v>
      </c>
      <c r="B1285" s="69">
        <f t="shared" si="22"/>
        <v>20110628</v>
      </c>
      <c r="C1285" s="70">
        <v>3.4000000000000002E-2</v>
      </c>
      <c r="D1285" s="77">
        <v>7.0000000000000001E-3</v>
      </c>
      <c r="E1285" s="77">
        <v>7.0000000000000001E-3</v>
      </c>
      <c r="F1285" s="77">
        <v>7.0000000000000001E-3</v>
      </c>
      <c r="G1285" s="78">
        <v>0</v>
      </c>
      <c r="H1285" s="79"/>
      <c r="I1285" s="79"/>
      <c r="J1285" s="79"/>
      <c r="K1285" s="106">
        <v>1.0500000000000001E-2</v>
      </c>
      <c r="L1285" s="80">
        <v>0</v>
      </c>
      <c r="M1285" s="75" t="s">
        <v>143</v>
      </c>
      <c r="N1285" s="75" t="b">
        <v>1</v>
      </c>
      <c r="O1285" s="75" t="s">
        <v>144</v>
      </c>
      <c r="P1285" s="75">
        <v>1994</v>
      </c>
      <c r="Q1285" s="107">
        <f t="shared" si="23"/>
        <v>2011</v>
      </c>
      <c r="R1285" s="107">
        <v>2</v>
      </c>
      <c r="S1285" s="100">
        <v>211061</v>
      </c>
      <c r="T1285" s="101">
        <v>40701</v>
      </c>
      <c r="U1285" s="83"/>
    </row>
    <row r="1286" spans="1:21" s="84" customFormat="1" x14ac:dyDescent="0.3">
      <c r="A1286" s="68">
        <v>40723</v>
      </c>
      <c r="B1286" s="69">
        <f t="shared" si="22"/>
        <v>20110629</v>
      </c>
      <c r="C1286" s="70">
        <v>3.4700000000000002E-2</v>
      </c>
      <c r="D1286" s="77">
        <v>7.0000000000000001E-3</v>
      </c>
      <c r="E1286" s="77">
        <v>7.0000000000000001E-3</v>
      </c>
      <c r="F1286" s="77">
        <v>7.0000000000000001E-3</v>
      </c>
      <c r="G1286" s="78">
        <v>0</v>
      </c>
      <c r="H1286" s="79"/>
      <c r="I1286" s="79"/>
      <c r="J1286" s="79"/>
      <c r="K1286" s="106">
        <v>1.04E-2</v>
      </c>
      <c r="L1286" s="80">
        <v>0</v>
      </c>
      <c r="M1286" s="75" t="s">
        <v>143</v>
      </c>
      <c r="N1286" s="75" t="b">
        <v>1</v>
      </c>
      <c r="O1286" s="75" t="s">
        <v>144</v>
      </c>
      <c r="P1286" s="75">
        <v>1994</v>
      </c>
      <c r="Q1286" s="107">
        <f t="shared" si="23"/>
        <v>2011</v>
      </c>
      <c r="R1286" s="107">
        <v>2</v>
      </c>
      <c r="S1286" s="100">
        <v>211061</v>
      </c>
      <c r="T1286" s="101">
        <v>40701</v>
      </c>
      <c r="U1286" s="83"/>
    </row>
    <row r="1287" spans="1:21" s="84" customFormat="1" x14ac:dyDescent="0.3">
      <c r="A1287" s="68">
        <v>40724</v>
      </c>
      <c r="B1287" s="69">
        <f>YEAR(A1287)*10000+MONTH(A1287)*100+DAY(A1287)</f>
        <v>20110630</v>
      </c>
      <c r="C1287" s="70">
        <v>3.49E-2</v>
      </c>
      <c r="D1287" s="77">
        <v>7.0000000000000001E-3</v>
      </c>
      <c r="E1287" s="77">
        <v>7.0000000000000001E-3</v>
      </c>
      <c r="F1287" s="77">
        <v>7.0000000000000001E-3</v>
      </c>
      <c r="G1287" s="78">
        <v>0</v>
      </c>
      <c r="H1287" s="79"/>
      <c r="I1287" s="79"/>
      <c r="J1287" s="79"/>
      <c r="K1287" s="106">
        <v>1.03E-2</v>
      </c>
      <c r="L1287" s="80">
        <v>0</v>
      </c>
      <c r="M1287" s="75" t="s">
        <v>143</v>
      </c>
      <c r="N1287" s="75" t="b">
        <v>1</v>
      </c>
      <c r="O1287" s="75" t="s">
        <v>144</v>
      </c>
      <c r="P1287" s="75">
        <v>1994</v>
      </c>
      <c r="Q1287" s="107">
        <f t="shared" si="23"/>
        <v>2011</v>
      </c>
      <c r="R1287" s="107">
        <v>2</v>
      </c>
      <c r="S1287" s="100">
        <v>211061</v>
      </c>
      <c r="T1287" s="101">
        <v>40701</v>
      </c>
      <c r="U1287" s="83"/>
    </row>
    <row r="1288" spans="1:21" s="84" customFormat="1" x14ac:dyDescent="0.3">
      <c r="A1288" s="68">
        <v>40725</v>
      </c>
      <c r="B1288" s="69">
        <f t="shared" si="22"/>
        <v>20110701</v>
      </c>
      <c r="C1288" s="70">
        <v>3.49E-2</v>
      </c>
      <c r="D1288" s="77">
        <v>7.0000000000000001E-3</v>
      </c>
      <c r="E1288" s="77">
        <v>7.0000000000000001E-3</v>
      </c>
      <c r="F1288" s="77">
        <v>7.0000000000000001E-3</v>
      </c>
      <c r="G1288" s="78">
        <v>0</v>
      </c>
      <c r="H1288" s="79"/>
      <c r="I1288" s="79"/>
      <c r="J1288" s="79"/>
      <c r="K1288" s="106">
        <v>1.03E-2</v>
      </c>
      <c r="L1288" s="80">
        <v>0</v>
      </c>
      <c r="M1288" s="75" t="s">
        <v>143</v>
      </c>
      <c r="N1288" s="75" t="b">
        <v>1</v>
      </c>
      <c r="O1288" s="75" t="s">
        <v>144</v>
      </c>
      <c r="P1288" s="75">
        <v>1994</v>
      </c>
      <c r="Q1288" s="107">
        <f t="shared" si="23"/>
        <v>2011</v>
      </c>
      <c r="R1288" s="107">
        <v>2</v>
      </c>
      <c r="S1288" s="100">
        <v>211061</v>
      </c>
      <c r="T1288" s="101">
        <v>40701</v>
      </c>
      <c r="U1288" s="83"/>
    </row>
    <row r="1289" spans="1:21" s="84" customFormat="1" x14ac:dyDescent="0.3">
      <c r="A1289" s="68">
        <v>40726</v>
      </c>
      <c r="B1289" s="69">
        <f>YEAR(A1289)*10000+MONTH(A1289)*100+DAY(A1289)</f>
        <v>20110702</v>
      </c>
      <c r="C1289" s="70">
        <v>3.49E-2</v>
      </c>
      <c r="D1289" s="77">
        <v>7.0000000000000001E-3</v>
      </c>
      <c r="E1289" s="77">
        <v>7.0000000000000001E-3</v>
      </c>
      <c r="F1289" s="77">
        <v>7.0000000000000001E-3</v>
      </c>
      <c r="G1289" s="78">
        <v>0</v>
      </c>
      <c r="H1289" s="79"/>
      <c r="I1289" s="79"/>
      <c r="J1289" s="79"/>
      <c r="K1289" s="106">
        <v>1.03E-2</v>
      </c>
      <c r="L1289" s="80">
        <v>0</v>
      </c>
      <c r="M1289" s="75" t="s">
        <v>143</v>
      </c>
      <c r="N1289" s="75" t="b">
        <v>1</v>
      </c>
      <c r="O1289" s="75" t="s">
        <v>144</v>
      </c>
      <c r="P1289" s="75">
        <v>1994</v>
      </c>
      <c r="Q1289" s="107">
        <f t="shared" si="23"/>
        <v>2011</v>
      </c>
      <c r="R1289" s="107">
        <v>2</v>
      </c>
      <c r="S1289" s="100">
        <v>211061</v>
      </c>
      <c r="T1289" s="101">
        <v>40701</v>
      </c>
      <c r="U1289" s="83"/>
    </row>
    <row r="1290" spans="1:21" s="84" customFormat="1" x14ac:dyDescent="0.3">
      <c r="A1290" s="68">
        <v>40727</v>
      </c>
      <c r="B1290" s="69">
        <f>YEAR(A1290)*10000+MONTH(A1290)*100+DAY(A1290)</f>
        <v>20110703</v>
      </c>
      <c r="C1290" s="70">
        <v>3.49E-2</v>
      </c>
      <c r="D1290" s="77">
        <v>7.0000000000000001E-3</v>
      </c>
      <c r="E1290" s="77">
        <v>7.0000000000000001E-3</v>
      </c>
      <c r="F1290" s="77">
        <v>7.0000000000000001E-3</v>
      </c>
      <c r="G1290" s="78">
        <v>0</v>
      </c>
      <c r="H1290" s="79"/>
      <c r="I1290" s="79"/>
      <c r="J1290" s="79"/>
      <c r="K1290" s="106">
        <v>1.03E-2</v>
      </c>
      <c r="L1290" s="80">
        <v>0</v>
      </c>
      <c r="M1290" s="75" t="s">
        <v>143</v>
      </c>
      <c r="N1290" s="75" t="b">
        <v>1</v>
      </c>
      <c r="O1290" s="75" t="s">
        <v>144</v>
      </c>
      <c r="P1290" s="75">
        <v>1994</v>
      </c>
      <c r="Q1290" s="107">
        <f t="shared" si="23"/>
        <v>2011</v>
      </c>
      <c r="R1290" s="107">
        <v>2</v>
      </c>
      <c r="S1290" s="100">
        <v>211061</v>
      </c>
      <c r="T1290" s="101">
        <v>40701</v>
      </c>
      <c r="U1290" s="83"/>
    </row>
    <row r="1291" spans="1:21" s="84" customFormat="1" x14ac:dyDescent="0.3">
      <c r="A1291" s="68">
        <v>40728</v>
      </c>
      <c r="B1291" s="69">
        <f t="shared" si="22"/>
        <v>20110704</v>
      </c>
      <c r="C1291" s="70">
        <v>3.4700000000000002E-2</v>
      </c>
      <c r="D1291" s="77">
        <v>7.0000000000000001E-3</v>
      </c>
      <c r="E1291" s="77">
        <v>7.0000000000000001E-3</v>
      </c>
      <c r="F1291" s="77">
        <v>7.0000000000000001E-3</v>
      </c>
      <c r="G1291" s="78">
        <v>0</v>
      </c>
      <c r="H1291" s="79"/>
      <c r="I1291" s="79"/>
      <c r="J1291" s="79"/>
      <c r="K1291" s="106">
        <v>1.0200000000000001E-2</v>
      </c>
      <c r="L1291" s="80">
        <v>0</v>
      </c>
      <c r="M1291" s="75" t="s">
        <v>143</v>
      </c>
      <c r="N1291" s="75" t="b">
        <v>1</v>
      </c>
      <c r="O1291" s="75" t="s">
        <v>144</v>
      </c>
      <c r="P1291" s="75">
        <v>1994</v>
      </c>
      <c r="Q1291" s="107">
        <f t="shared" si="23"/>
        <v>2011</v>
      </c>
      <c r="R1291" s="107">
        <v>2</v>
      </c>
      <c r="S1291" s="100">
        <v>211061</v>
      </c>
      <c r="T1291" s="101">
        <v>40701</v>
      </c>
      <c r="U1291" s="83"/>
    </row>
    <row r="1292" spans="1:21" s="84" customFormat="1" x14ac:dyDescent="0.3">
      <c r="A1292" s="68">
        <v>40729</v>
      </c>
      <c r="B1292" s="69">
        <f t="shared" si="22"/>
        <v>20110705</v>
      </c>
      <c r="C1292" s="70">
        <v>3.4599999999999999E-2</v>
      </c>
      <c r="D1292" s="77">
        <v>7.0000000000000001E-3</v>
      </c>
      <c r="E1292" s="77">
        <v>7.0000000000000001E-3</v>
      </c>
      <c r="F1292" s="77">
        <v>7.0000000000000001E-3</v>
      </c>
      <c r="G1292" s="78">
        <v>0</v>
      </c>
      <c r="H1292" s="79"/>
      <c r="I1292" s="79"/>
      <c r="J1292" s="79"/>
      <c r="K1292" s="106">
        <v>1.03E-2</v>
      </c>
      <c r="L1292" s="80">
        <v>0</v>
      </c>
      <c r="M1292" s="75" t="s">
        <v>143</v>
      </c>
      <c r="N1292" s="75" t="b">
        <v>1</v>
      </c>
      <c r="O1292" s="75" t="s">
        <v>144</v>
      </c>
      <c r="P1292" s="75">
        <v>1994</v>
      </c>
      <c r="Q1292" s="107">
        <f t="shared" si="23"/>
        <v>2011</v>
      </c>
      <c r="R1292" s="107">
        <v>2</v>
      </c>
      <c r="S1292" s="100">
        <v>211061</v>
      </c>
      <c r="T1292" s="101">
        <v>40701</v>
      </c>
      <c r="U1292" s="83"/>
    </row>
    <row r="1293" spans="1:21" s="84" customFormat="1" x14ac:dyDescent="0.3">
      <c r="A1293" s="68">
        <v>40730</v>
      </c>
      <c r="B1293" s="69">
        <f t="shared" si="22"/>
        <v>20110706</v>
      </c>
      <c r="C1293" s="70">
        <v>3.44E-2</v>
      </c>
      <c r="D1293" s="77">
        <v>7.0000000000000001E-3</v>
      </c>
      <c r="E1293" s="77">
        <v>7.0000000000000001E-3</v>
      </c>
      <c r="F1293" s="77">
        <v>7.0000000000000001E-3</v>
      </c>
      <c r="G1293" s="78">
        <v>0</v>
      </c>
      <c r="H1293" s="79"/>
      <c r="I1293" s="79"/>
      <c r="J1293" s="79"/>
      <c r="K1293" s="106">
        <v>1.0200000000000001E-2</v>
      </c>
      <c r="L1293" s="80">
        <v>0</v>
      </c>
      <c r="M1293" s="75" t="s">
        <v>143</v>
      </c>
      <c r="N1293" s="75" t="b">
        <v>1</v>
      </c>
      <c r="O1293" s="75" t="s">
        <v>144</v>
      </c>
      <c r="P1293" s="75">
        <v>1994</v>
      </c>
      <c r="Q1293" s="107">
        <f t="shared" si="23"/>
        <v>2011</v>
      </c>
      <c r="R1293" s="107">
        <v>2</v>
      </c>
      <c r="S1293" s="100">
        <v>211061</v>
      </c>
      <c r="T1293" s="101">
        <v>40701</v>
      </c>
      <c r="U1293" s="83"/>
    </row>
    <row r="1294" spans="1:21" s="84" customFormat="1" x14ac:dyDescent="0.3">
      <c r="A1294" s="68">
        <v>40731</v>
      </c>
      <c r="B1294" s="69">
        <f t="shared" si="22"/>
        <v>20110707</v>
      </c>
      <c r="C1294" s="70">
        <v>3.44E-2</v>
      </c>
      <c r="D1294" s="77">
        <v>7.0000000000000001E-3</v>
      </c>
      <c r="E1294" s="77">
        <v>7.0000000000000001E-3</v>
      </c>
      <c r="F1294" s="77">
        <v>7.0000000000000001E-3</v>
      </c>
      <c r="G1294" s="78">
        <v>0</v>
      </c>
      <c r="H1294" s="79"/>
      <c r="I1294" s="79"/>
      <c r="J1294" s="79"/>
      <c r="K1294" s="106">
        <v>0.01</v>
      </c>
      <c r="L1294" s="80">
        <v>0</v>
      </c>
      <c r="M1294" s="75" t="s">
        <v>143</v>
      </c>
      <c r="N1294" s="75" t="b">
        <v>1</v>
      </c>
      <c r="O1294" s="75" t="s">
        <v>144</v>
      </c>
      <c r="P1294" s="75">
        <v>1994</v>
      </c>
      <c r="Q1294" s="107">
        <f t="shared" si="23"/>
        <v>2011</v>
      </c>
      <c r="R1294" s="107">
        <v>2</v>
      </c>
      <c r="S1294" s="100">
        <v>211061</v>
      </c>
      <c r="T1294" s="101">
        <v>40701</v>
      </c>
      <c r="U1294" s="83"/>
    </row>
    <row r="1295" spans="1:21" s="84" customFormat="1" x14ac:dyDescent="0.3">
      <c r="A1295" s="68">
        <v>40732</v>
      </c>
      <c r="B1295" s="69">
        <f t="shared" si="22"/>
        <v>20110708</v>
      </c>
      <c r="C1295" s="70">
        <v>3.3500000000000002E-2</v>
      </c>
      <c r="D1295" s="77">
        <v>7.0000000000000001E-3</v>
      </c>
      <c r="E1295" s="77">
        <v>7.0000000000000001E-3</v>
      </c>
      <c r="F1295" s="77">
        <v>7.0000000000000001E-3</v>
      </c>
      <c r="G1295" s="78">
        <v>0</v>
      </c>
      <c r="H1295" s="79"/>
      <c r="I1295" s="79"/>
      <c r="J1295" s="79"/>
      <c r="K1295" s="106">
        <v>9.3999999999999986E-3</v>
      </c>
      <c r="L1295" s="80">
        <v>0</v>
      </c>
      <c r="M1295" s="75" t="s">
        <v>143</v>
      </c>
      <c r="N1295" s="75" t="b">
        <v>1</v>
      </c>
      <c r="O1295" s="75" t="s">
        <v>144</v>
      </c>
      <c r="P1295" s="75">
        <v>1994</v>
      </c>
      <c r="Q1295" s="107">
        <f t="shared" si="23"/>
        <v>2011</v>
      </c>
      <c r="R1295" s="107">
        <v>2</v>
      </c>
      <c r="S1295" s="100">
        <v>211061</v>
      </c>
      <c r="T1295" s="101">
        <v>40701</v>
      </c>
      <c r="U1295" s="83"/>
    </row>
    <row r="1296" spans="1:21" s="84" customFormat="1" x14ac:dyDescent="0.3">
      <c r="A1296" s="68">
        <v>40733</v>
      </c>
      <c r="B1296" s="69">
        <f>YEAR(A1296)*10000+MONTH(A1296)*100+DAY(A1296)</f>
        <v>20110709</v>
      </c>
      <c r="C1296" s="70">
        <v>3.3500000000000002E-2</v>
      </c>
      <c r="D1296" s="77">
        <v>7.0000000000000001E-3</v>
      </c>
      <c r="E1296" s="77">
        <v>7.0000000000000001E-3</v>
      </c>
      <c r="F1296" s="77">
        <v>7.0000000000000001E-3</v>
      </c>
      <c r="G1296" s="78">
        <v>0</v>
      </c>
      <c r="H1296" s="79"/>
      <c r="I1296" s="79"/>
      <c r="J1296" s="79"/>
      <c r="K1296" s="106">
        <v>9.3999999999999986E-3</v>
      </c>
      <c r="L1296" s="80">
        <v>0</v>
      </c>
      <c r="M1296" s="75" t="s">
        <v>143</v>
      </c>
      <c r="N1296" s="75" t="b">
        <v>1</v>
      </c>
      <c r="O1296" s="75" t="s">
        <v>144</v>
      </c>
      <c r="P1296" s="75">
        <v>1994</v>
      </c>
      <c r="Q1296" s="107">
        <f t="shared" si="23"/>
        <v>2011</v>
      </c>
      <c r="R1296" s="107">
        <v>2</v>
      </c>
      <c r="S1296" s="100">
        <v>211061</v>
      </c>
      <c r="T1296" s="101">
        <v>40701</v>
      </c>
      <c r="U1296" s="83"/>
    </row>
    <row r="1297" spans="1:21" s="84" customFormat="1" x14ac:dyDescent="0.3">
      <c r="A1297" s="68">
        <v>40734</v>
      </c>
      <c r="B1297" s="69">
        <f>YEAR(A1297)*10000+MONTH(A1297)*100+DAY(A1297)</f>
        <v>20110710</v>
      </c>
      <c r="C1297" s="70">
        <v>3.3500000000000002E-2</v>
      </c>
      <c r="D1297" s="77">
        <v>7.0000000000000001E-3</v>
      </c>
      <c r="E1297" s="77">
        <v>7.0000000000000001E-3</v>
      </c>
      <c r="F1297" s="77">
        <v>7.0000000000000001E-3</v>
      </c>
      <c r="G1297" s="78">
        <v>0</v>
      </c>
      <c r="H1297" s="79"/>
      <c r="I1297" s="79"/>
      <c r="J1297" s="79"/>
      <c r="K1297" s="106">
        <v>9.3999999999999986E-3</v>
      </c>
      <c r="L1297" s="80">
        <v>0</v>
      </c>
      <c r="M1297" s="75" t="s">
        <v>143</v>
      </c>
      <c r="N1297" s="75" t="b">
        <v>1</v>
      </c>
      <c r="O1297" s="75" t="s">
        <v>144</v>
      </c>
      <c r="P1297" s="75">
        <v>1994</v>
      </c>
      <c r="Q1297" s="107">
        <f t="shared" si="23"/>
        <v>2011</v>
      </c>
      <c r="R1297" s="107">
        <v>2</v>
      </c>
      <c r="S1297" s="100">
        <v>211061</v>
      </c>
      <c r="T1297" s="101">
        <v>40701</v>
      </c>
      <c r="U1297" s="83"/>
    </row>
    <row r="1298" spans="1:21" s="84" customFormat="1" x14ac:dyDescent="0.3">
      <c r="A1298" s="68">
        <v>40735</v>
      </c>
      <c r="B1298" s="69">
        <f t="shared" si="22"/>
        <v>20110711</v>
      </c>
      <c r="C1298" s="70">
        <v>3.3000000000000002E-2</v>
      </c>
      <c r="D1298" s="77">
        <v>7.0000000000000001E-3</v>
      </c>
      <c r="E1298" s="77">
        <v>7.0000000000000001E-3</v>
      </c>
      <c r="F1298" s="77">
        <v>7.0000000000000001E-3</v>
      </c>
      <c r="G1298" s="78">
        <v>0</v>
      </c>
      <c r="H1298" s="79"/>
      <c r="I1298" s="79"/>
      <c r="J1298" s="79"/>
      <c r="K1298" s="106">
        <v>8.8000000000000005E-3</v>
      </c>
      <c r="L1298" s="80">
        <v>0</v>
      </c>
      <c r="M1298" s="75" t="s">
        <v>143</v>
      </c>
      <c r="N1298" s="75" t="b">
        <v>1</v>
      </c>
      <c r="O1298" s="75" t="s">
        <v>144</v>
      </c>
      <c r="P1298" s="75">
        <v>1994</v>
      </c>
      <c r="Q1298" s="107">
        <f t="shared" si="23"/>
        <v>2011</v>
      </c>
      <c r="R1298" s="107">
        <v>2</v>
      </c>
      <c r="S1298" s="100">
        <v>211061</v>
      </c>
      <c r="T1298" s="101">
        <v>40701</v>
      </c>
      <c r="U1298" s="83"/>
    </row>
    <row r="1299" spans="1:21" s="84" customFormat="1" x14ac:dyDescent="0.3">
      <c r="A1299" s="68">
        <v>40736</v>
      </c>
      <c r="B1299" s="69">
        <f t="shared" si="22"/>
        <v>20110712</v>
      </c>
      <c r="C1299" s="70">
        <v>3.2899999999999999E-2</v>
      </c>
      <c r="D1299" s="77">
        <v>7.0000000000000001E-3</v>
      </c>
      <c r="E1299" s="77">
        <v>7.0000000000000001E-3</v>
      </c>
      <c r="F1299" s="77">
        <v>7.0000000000000001E-3</v>
      </c>
      <c r="G1299" s="78">
        <v>0</v>
      </c>
      <c r="H1299" s="79"/>
      <c r="I1299" s="79"/>
      <c r="J1299" s="79"/>
      <c r="K1299" s="106">
        <v>8.8000000000000005E-3</v>
      </c>
      <c r="L1299" s="80">
        <v>0</v>
      </c>
      <c r="M1299" s="75" t="s">
        <v>143</v>
      </c>
      <c r="N1299" s="75" t="b">
        <v>1</v>
      </c>
      <c r="O1299" s="75" t="s">
        <v>144</v>
      </c>
      <c r="P1299" s="75">
        <v>1994</v>
      </c>
      <c r="Q1299" s="107">
        <f t="shared" si="23"/>
        <v>2011</v>
      </c>
      <c r="R1299" s="107">
        <v>2</v>
      </c>
      <c r="S1299" s="100">
        <v>211061</v>
      </c>
      <c r="T1299" s="101">
        <v>40701</v>
      </c>
      <c r="U1299" s="83"/>
    </row>
    <row r="1300" spans="1:21" s="84" customFormat="1" x14ac:dyDescent="0.3">
      <c r="A1300" s="68">
        <v>40737</v>
      </c>
      <c r="B1300" s="69">
        <f t="shared" si="22"/>
        <v>20110713</v>
      </c>
      <c r="C1300" s="70">
        <v>3.3099999999999997E-2</v>
      </c>
      <c r="D1300" s="77">
        <v>7.0000000000000001E-3</v>
      </c>
      <c r="E1300" s="77">
        <v>7.0000000000000001E-3</v>
      </c>
      <c r="F1300" s="77">
        <v>7.0000000000000001E-3</v>
      </c>
      <c r="G1300" s="78">
        <v>0</v>
      </c>
      <c r="H1300" s="79"/>
      <c r="I1300" s="79"/>
      <c r="J1300" s="79"/>
      <c r="K1300" s="106">
        <v>8.8999999999999999E-3</v>
      </c>
      <c r="L1300" s="80">
        <v>0</v>
      </c>
      <c r="M1300" s="75" t="s">
        <v>143</v>
      </c>
      <c r="N1300" s="75" t="b">
        <v>1</v>
      </c>
      <c r="O1300" s="75" t="s">
        <v>144</v>
      </c>
      <c r="P1300" s="75">
        <v>1994</v>
      </c>
      <c r="Q1300" s="107">
        <f t="shared" si="23"/>
        <v>2011</v>
      </c>
      <c r="R1300" s="107">
        <v>2</v>
      </c>
      <c r="S1300" s="100">
        <v>211061</v>
      </c>
      <c r="T1300" s="101">
        <v>40701</v>
      </c>
      <c r="U1300" s="83"/>
    </row>
    <row r="1301" spans="1:21" s="84" customFormat="1" x14ac:dyDescent="0.3">
      <c r="A1301" s="68">
        <v>40738</v>
      </c>
      <c r="B1301" s="69">
        <f t="shared" si="22"/>
        <v>20110714</v>
      </c>
      <c r="C1301" s="70">
        <v>3.3399999999999999E-2</v>
      </c>
      <c r="D1301" s="77">
        <v>7.0000000000000001E-3</v>
      </c>
      <c r="E1301" s="77">
        <v>7.0000000000000001E-3</v>
      </c>
      <c r="F1301" s="77">
        <v>7.0000000000000001E-3</v>
      </c>
      <c r="G1301" s="78">
        <v>0</v>
      </c>
      <c r="H1301" s="79"/>
      <c r="I1301" s="79"/>
      <c r="J1301" s="79"/>
      <c r="K1301" s="106">
        <v>9.1000000000000004E-3</v>
      </c>
      <c r="L1301" s="80">
        <v>0</v>
      </c>
      <c r="M1301" s="75" t="s">
        <v>143</v>
      </c>
      <c r="N1301" s="75" t="b">
        <v>1</v>
      </c>
      <c r="O1301" s="75" t="s">
        <v>144</v>
      </c>
      <c r="P1301" s="75">
        <v>1994</v>
      </c>
      <c r="Q1301" s="107">
        <f t="shared" si="23"/>
        <v>2011</v>
      </c>
      <c r="R1301" s="107">
        <v>2</v>
      </c>
      <c r="S1301" s="100">
        <v>211061</v>
      </c>
      <c r="T1301" s="101">
        <v>40701</v>
      </c>
      <c r="U1301" s="83"/>
    </row>
    <row r="1302" spans="1:21" s="84" customFormat="1" x14ac:dyDescent="0.3">
      <c r="A1302" s="68">
        <v>40739</v>
      </c>
      <c r="B1302" s="69">
        <f t="shared" si="22"/>
        <v>20110715</v>
      </c>
      <c r="C1302" s="70">
        <v>3.2799999999999996E-2</v>
      </c>
      <c r="D1302" s="77">
        <v>7.0000000000000001E-3</v>
      </c>
      <c r="E1302" s="77">
        <v>7.0000000000000001E-3</v>
      </c>
      <c r="F1302" s="77">
        <v>7.0000000000000001E-3</v>
      </c>
      <c r="G1302" s="78">
        <v>0</v>
      </c>
      <c r="H1302" s="79"/>
      <c r="I1302" s="79"/>
      <c r="J1302" s="79"/>
      <c r="K1302" s="106">
        <v>8.3999999999999995E-3</v>
      </c>
      <c r="L1302" s="80">
        <v>0</v>
      </c>
      <c r="M1302" s="75" t="s">
        <v>143</v>
      </c>
      <c r="N1302" s="75" t="b">
        <v>1</v>
      </c>
      <c r="O1302" s="75" t="s">
        <v>144</v>
      </c>
      <c r="P1302" s="75">
        <v>1994</v>
      </c>
      <c r="Q1302" s="107">
        <f t="shared" si="23"/>
        <v>2011</v>
      </c>
      <c r="R1302" s="107">
        <v>2</v>
      </c>
      <c r="S1302" s="100">
        <v>211061</v>
      </c>
      <c r="T1302" s="101">
        <v>40701</v>
      </c>
      <c r="U1302" s="83"/>
    </row>
    <row r="1303" spans="1:21" s="84" customFormat="1" x14ac:dyDescent="0.3">
      <c r="A1303" s="68">
        <v>40740</v>
      </c>
      <c r="B1303" s="69">
        <f>YEAR(A1303)*10000+MONTH(A1303)*100+DAY(A1303)</f>
        <v>20110716</v>
      </c>
      <c r="C1303" s="70">
        <v>3.2799999999999996E-2</v>
      </c>
      <c r="D1303" s="77">
        <v>7.0000000000000001E-3</v>
      </c>
      <c r="E1303" s="77">
        <v>7.0000000000000001E-3</v>
      </c>
      <c r="F1303" s="77">
        <v>7.0000000000000001E-3</v>
      </c>
      <c r="G1303" s="78">
        <v>0</v>
      </c>
      <c r="H1303" s="79"/>
      <c r="I1303" s="79"/>
      <c r="J1303" s="79"/>
      <c r="K1303" s="106">
        <v>8.3999999999999995E-3</v>
      </c>
      <c r="L1303" s="80">
        <v>0</v>
      </c>
      <c r="M1303" s="75" t="s">
        <v>143</v>
      </c>
      <c r="N1303" s="75" t="b">
        <v>1</v>
      </c>
      <c r="O1303" s="75" t="s">
        <v>144</v>
      </c>
      <c r="P1303" s="75">
        <v>1994</v>
      </c>
      <c r="Q1303" s="107">
        <f t="shared" si="23"/>
        <v>2011</v>
      </c>
      <c r="R1303" s="107">
        <v>2</v>
      </c>
      <c r="S1303" s="100">
        <v>211061</v>
      </c>
      <c r="T1303" s="101">
        <v>40701</v>
      </c>
      <c r="U1303" s="83"/>
    </row>
    <row r="1304" spans="1:21" s="84" customFormat="1" x14ac:dyDescent="0.3">
      <c r="A1304" s="68">
        <v>40741</v>
      </c>
      <c r="B1304" s="69">
        <f>YEAR(A1304)*10000+MONTH(A1304)*100+DAY(A1304)</f>
        <v>20110717</v>
      </c>
      <c r="C1304" s="70">
        <v>3.2799999999999996E-2</v>
      </c>
      <c r="D1304" s="77">
        <v>7.0000000000000001E-3</v>
      </c>
      <c r="E1304" s="77">
        <v>7.0000000000000001E-3</v>
      </c>
      <c r="F1304" s="77">
        <v>7.0000000000000001E-3</v>
      </c>
      <c r="G1304" s="78">
        <v>0</v>
      </c>
      <c r="H1304" s="79"/>
      <c r="I1304" s="79"/>
      <c r="J1304" s="79"/>
      <c r="K1304" s="106">
        <v>8.3999999999999995E-3</v>
      </c>
      <c r="L1304" s="80">
        <v>0</v>
      </c>
      <c r="M1304" s="75" t="s">
        <v>143</v>
      </c>
      <c r="N1304" s="75" t="b">
        <v>1</v>
      </c>
      <c r="O1304" s="75" t="s">
        <v>144</v>
      </c>
      <c r="P1304" s="75">
        <v>1994</v>
      </c>
      <c r="Q1304" s="107">
        <f t="shared" si="23"/>
        <v>2011</v>
      </c>
      <c r="R1304" s="107">
        <v>2</v>
      </c>
      <c r="S1304" s="100">
        <v>211061</v>
      </c>
      <c r="T1304" s="101">
        <v>40701</v>
      </c>
      <c r="U1304" s="83"/>
    </row>
    <row r="1305" spans="1:21" s="84" customFormat="1" x14ac:dyDescent="0.3">
      <c r="A1305" s="68">
        <v>40742</v>
      </c>
      <c r="B1305" s="69">
        <f t="shared" si="22"/>
        <v>20110718</v>
      </c>
      <c r="C1305" s="70">
        <v>3.2899999999999999E-2</v>
      </c>
      <c r="D1305" s="77">
        <v>7.0000000000000001E-3</v>
      </c>
      <c r="E1305" s="77">
        <v>7.0000000000000001E-3</v>
      </c>
      <c r="F1305" s="77">
        <v>7.0000000000000001E-3</v>
      </c>
      <c r="G1305" s="78">
        <v>0</v>
      </c>
      <c r="H1305" s="79"/>
      <c r="I1305" s="79"/>
      <c r="J1305" s="79"/>
      <c r="K1305" s="106">
        <v>8.5000000000000006E-3</v>
      </c>
      <c r="L1305" s="80">
        <v>0</v>
      </c>
      <c r="M1305" s="75" t="s">
        <v>143</v>
      </c>
      <c r="N1305" s="75" t="b">
        <v>1</v>
      </c>
      <c r="O1305" s="75" t="s">
        <v>144</v>
      </c>
      <c r="P1305" s="75">
        <v>1994</v>
      </c>
      <c r="Q1305" s="107">
        <f t="shared" si="23"/>
        <v>2011</v>
      </c>
      <c r="R1305" s="107">
        <v>2</v>
      </c>
      <c r="S1305" s="100">
        <v>211061</v>
      </c>
      <c r="T1305" s="101">
        <v>40701</v>
      </c>
      <c r="U1305" s="83"/>
    </row>
    <row r="1306" spans="1:21" s="84" customFormat="1" x14ac:dyDescent="0.3">
      <c r="A1306" s="68">
        <v>40743</v>
      </c>
      <c r="B1306" s="69">
        <f t="shared" si="22"/>
        <v>20110719</v>
      </c>
      <c r="C1306" s="70">
        <v>3.2799999999999996E-2</v>
      </c>
      <c r="D1306" s="77">
        <v>7.0000000000000001E-3</v>
      </c>
      <c r="E1306" s="77">
        <v>7.0000000000000001E-3</v>
      </c>
      <c r="F1306" s="77">
        <v>7.0000000000000001E-3</v>
      </c>
      <c r="G1306" s="78">
        <v>0</v>
      </c>
      <c r="H1306" s="79"/>
      <c r="I1306" s="79"/>
      <c r="J1306" s="79"/>
      <c r="K1306" s="106">
        <v>8.199999999999999E-3</v>
      </c>
      <c r="L1306" s="80">
        <v>0</v>
      </c>
      <c r="M1306" s="75" t="s">
        <v>143</v>
      </c>
      <c r="N1306" s="75" t="b">
        <v>1</v>
      </c>
      <c r="O1306" s="75" t="s">
        <v>144</v>
      </c>
      <c r="P1306" s="75">
        <v>1994</v>
      </c>
      <c r="Q1306" s="107">
        <f t="shared" si="23"/>
        <v>2011</v>
      </c>
      <c r="R1306" s="107">
        <v>2</v>
      </c>
      <c r="S1306" s="100">
        <v>211061</v>
      </c>
      <c r="T1306" s="101">
        <v>40701</v>
      </c>
      <c r="U1306" s="83"/>
    </row>
    <row r="1307" spans="1:21" s="84" customFormat="1" x14ac:dyDescent="0.3">
      <c r="A1307" s="68">
        <v>40744</v>
      </c>
      <c r="B1307" s="69">
        <f t="shared" si="22"/>
        <v>20110720</v>
      </c>
      <c r="C1307" s="70">
        <v>3.3300000000000003E-2</v>
      </c>
      <c r="D1307" s="77">
        <v>7.0000000000000001E-3</v>
      </c>
      <c r="E1307" s="77">
        <v>7.0000000000000001E-3</v>
      </c>
      <c r="F1307" s="77">
        <v>7.0000000000000001E-3</v>
      </c>
      <c r="G1307" s="78">
        <v>0</v>
      </c>
      <c r="H1307" s="79"/>
      <c r="I1307" s="79"/>
      <c r="J1307" s="79"/>
      <c r="K1307" s="106">
        <v>8.6E-3</v>
      </c>
      <c r="L1307" s="80">
        <v>0</v>
      </c>
      <c r="M1307" s="75" t="s">
        <v>143</v>
      </c>
      <c r="N1307" s="75" t="b">
        <v>1</v>
      </c>
      <c r="O1307" s="75" t="s">
        <v>144</v>
      </c>
      <c r="P1307" s="75">
        <v>1994</v>
      </c>
      <c r="Q1307" s="107">
        <f t="shared" si="23"/>
        <v>2011</v>
      </c>
      <c r="R1307" s="107">
        <v>2</v>
      </c>
      <c r="S1307" s="100">
        <v>211061</v>
      </c>
      <c r="T1307" s="101">
        <v>40701</v>
      </c>
      <c r="U1307" s="83"/>
    </row>
    <row r="1308" spans="1:21" s="84" customFormat="1" x14ac:dyDescent="0.3">
      <c r="A1308" s="68">
        <v>40745</v>
      </c>
      <c r="B1308" s="69">
        <f t="shared" si="22"/>
        <v>20110721</v>
      </c>
      <c r="C1308" s="70">
        <v>3.3799999999999997E-2</v>
      </c>
      <c r="D1308" s="77">
        <v>7.0000000000000001E-3</v>
      </c>
      <c r="E1308" s="77">
        <v>7.0000000000000001E-3</v>
      </c>
      <c r="F1308" s="77">
        <v>7.0000000000000001E-3</v>
      </c>
      <c r="G1308" s="78">
        <v>0</v>
      </c>
      <c r="H1308" s="79"/>
      <c r="I1308" s="79"/>
      <c r="J1308" s="79"/>
      <c r="K1308" s="106">
        <v>8.8999999999999999E-3</v>
      </c>
      <c r="L1308" s="80">
        <v>0</v>
      </c>
      <c r="M1308" s="75" t="s">
        <v>143</v>
      </c>
      <c r="N1308" s="75" t="b">
        <v>1</v>
      </c>
      <c r="O1308" s="75" t="s">
        <v>144</v>
      </c>
      <c r="P1308" s="75">
        <v>1994</v>
      </c>
      <c r="Q1308" s="107">
        <f t="shared" si="23"/>
        <v>2011</v>
      </c>
      <c r="R1308" s="107">
        <v>2</v>
      </c>
      <c r="S1308" s="100">
        <v>211061</v>
      </c>
      <c r="T1308" s="101">
        <v>40701</v>
      </c>
      <c r="U1308" s="83"/>
    </row>
    <row r="1309" spans="1:21" s="84" customFormat="1" x14ac:dyDescent="0.3">
      <c r="A1309" s="68">
        <v>40746</v>
      </c>
      <c r="B1309" s="69">
        <f t="shared" si="22"/>
        <v>20110722</v>
      </c>
      <c r="C1309" s="70">
        <v>3.3300000000000003E-2</v>
      </c>
      <c r="D1309" s="77">
        <v>7.0000000000000001E-3</v>
      </c>
      <c r="E1309" s="77">
        <v>7.0000000000000001E-3</v>
      </c>
      <c r="F1309" s="77">
        <v>7.0000000000000001E-3</v>
      </c>
      <c r="G1309" s="78">
        <v>0</v>
      </c>
      <c r="H1309" s="79"/>
      <c r="I1309" s="79"/>
      <c r="J1309" s="79"/>
      <c r="K1309" s="106">
        <v>8.8999999999999999E-3</v>
      </c>
      <c r="L1309" s="80">
        <v>0</v>
      </c>
      <c r="M1309" s="75" t="s">
        <v>143</v>
      </c>
      <c r="N1309" s="75" t="b">
        <v>1</v>
      </c>
      <c r="O1309" s="75" t="s">
        <v>144</v>
      </c>
      <c r="P1309" s="75">
        <v>1994</v>
      </c>
      <c r="Q1309" s="107">
        <f t="shared" si="23"/>
        <v>2011</v>
      </c>
      <c r="R1309" s="107">
        <v>2</v>
      </c>
      <c r="S1309" s="100">
        <v>211061</v>
      </c>
      <c r="T1309" s="101">
        <v>40701</v>
      </c>
      <c r="U1309" s="83"/>
    </row>
    <row r="1310" spans="1:21" s="84" customFormat="1" x14ac:dyDescent="0.3">
      <c r="A1310" s="68">
        <v>40747</v>
      </c>
      <c r="B1310" s="69">
        <f>YEAR(A1310)*10000+MONTH(A1310)*100+DAY(A1310)</f>
        <v>20110723</v>
      </c>
      <c r="C1310" s="70">
        <v>3.3300000000000003E-2</v>
      </c>
      <c r="D1310" s="77">
        <v>7.0000000000000001E-3</v>
      </c>
      <c r="E1310" s="77">
        <v>7.0000000000000001E-3</v>
      </c>
      <c r="F1310" s="77">
        <v>7.0000000000000001E-3</v>
      </c>
      <c r="G1310" s="78">
        <v>0</v>
      </c>
      <c r="H1310" s="79"/>
      <c r="I1310" s="79"/>
      <c r="J1310" s="79"/>
      <c r="K1310" s="106">
        <v>8.8999999999999999E-3</v>
      </c>
      <c r="L1310" s="80">
        <v>0</v>
      </c>
      <c r="M1310" s="75" t="s">
        <v>143</v>
      </c>
      <c r="N1310" s="75" t="b">
        <v>1</v>
      </c>
      <c r="O1310" s="75" t="s">
        <v>144</v>
      </c>
      <c r="P1310" s="75">
        <v>1994</v>
      </c>
      <c r="Q1310" s="107">
        <f t="shared" si="23"/>
        <v>2011</v>
      </c>
      <c r="R1310" s="107">
        <v>2</v>
      </c>
      <c r="S1310" s="100">
        <v>211061</v>
      </c>
      <c r="T1310" s="101">
        <v>40701</v>
      </c>
      <c r="U1310" s="83"/>
    </row>
    <row r="1311" spans="1:21" s="84" customFormat="1" x14ac:dyDescent="0.3">
      <c r="A1311" s="68">
        <v>40748</v>
      </c>
      <c r="B1311" s="69">
        <f>YEAR(A1311)*10000+MONTH(A1311)*100+DAY(A1311)</f>
        <v>20110724</v>
      </c>
      <c r="C1311" s="70">
        <v>3.3300000000000003E-2</v>
      </c>
      <c r="D1311" s="77">
        <v>7.0000000000000001E-3</v>
      </c>
      <c r="E1311" s="77">
        <v>7.0000000000000001E-3</v>
      </c>
      <c r="F1311" s="77">
        <v>7.0000000000000001E-3</v>
      </c>
      <c r="G1311" s="78">
        <v>0</v>
      </c>
      <c r="H1311" s="79"/>
      <c r="I1311" s="79"/>
      <c r="J1311" s="79"/>
      <c r="K1311" s="106">
        <v>8.8999999999999999E-3</v>
      </c>
      <c r="L1311" s="80">
        <v>0</v>
      </c>
      <c r="M1311" s="75" t="s">
        <v>143</v>
      </c>
      <c r="N1311" s="75" t="b">
        <v>1</v>
      </c>
      <c r="O1311" s="75" t="s">
        <v>144</v>
      </c>
      <c r="P1311" s="75">
        <v>1994</v>
      </c>
      <c r="Q1311" s="107">
        <f t="shared" si="23"/>
        <v>2011</v>
      </c>
      <c r="R1311" s="107">
        <v>2</v>
      </c>
      <c r="S1311" s="100">
        <v>211061</v>
      </c>
      <c r="T1311" s="101">
        <v>40701</v>
      </c>
      <c r="U1311" s="83"/>
    </row>
    <row r="1312" spans="1:21" s="84" customFormat="1" x14ac:dyDescent="0.3">
      <c r="A1312" s="68">
        <v>40749</v>
      </c>
      <c r="B1312" s="69">
        <f t="shared" si="22"/>
        <v>20110725</v>
      </c>
      <c r="C1312" s="70">
        <v>3.3300000000000003E-2</v>
      </c>
      <c r="D1312" s="77">
        <v>7.0000000000000001E-3</v>
      </c>
      <c r="E1312" s="77">
        <v>7.0000000000000001E-3</v>
      </c>
      <c r="F1312" s="77">
        <v>7.0000000000000001E-3</v>
      </c>
      <c r="G1312" s="78">
        <v>0</v>
      </c>
      <c r="H1312" s="79"/>
      <c r="I1312" s="79"/>
      <c r="J1312" s="79"/>
      <c r="K1312" s="106">
        <v>9.0000000000000011E-3</v>
      </c>
      <c r="L1312" s="80">
        <v>0</v>
      </c>
      <c r="M1312" s="75" t="s">
        <v>143</v>
      </c>
      <c r="N1312" s="75" t="b">
        <v>1</v>
      </c>
      <c r="O1312" s="75" t="s">
        <v>144</v>
      </c>
      <c r="P1312" s="75">
        <v>1994</v>
      </c>
      <c r="Q1312" s="107">
        <f t="shared" si="23"/>
        <v>2011</v>
      </c>
      <c r="R1312" s="107">
        <v>2</v>
      </c>
      <c r="S1312" s="100">
        <v>211061</v>
      </c>
      <c r="T1312" s="101">
        <v>40701</v>
      </c>
      <c r="U1312" s="83"/>
    </row>
    <row r="1313" spans="1:21" s="84" customFormat="1" x14ac:dyDescent="0.3">
      <c r="A1313" s="68">
        <v>40750</v>
      </c>
      <c r="B1313" s="69">
        <f t="shared" si="22"/>
        <v>20110726</v>
      </c>
      <c r="C1313" s="70">
        <v>3.3000000000000002E-2</v>
      </c>
      <c r="D1313" s="77">
        <v>7.0000000000000001E-3</v>
      </c>
      <c r="E1313" s="77">
        <v>7.0000000000000001E-3</v>
      </c>
      <c r="F1313" s="77">
        <v>7.0000000000000001E-3</v>
      </c>
      <c r="G1313" s="78">
        <v>0</v>
      </c>
      <c r="H1313" s="79"/>
      <c r="I1313" s="79"/>
      <c r="J1313" s="79"/>
      <c r="K1313" s="106">
        <v>8.6999999999999994E-3</v>
      </c>
      <c r="L1313" s="80">
        <v>0</v>
      </c>
      <c r="M1313" s="75" t="s">
        <v>143</v>
      </c>
      <c r="N1313" s="75" t="b">
        <v>1</v>
      </c>
      <c r="O1313" s="75" t="s">
        <v>144</v>
      </c>
      <c r="P1313" s="75">
        <v>1994</v>
      </c>
      <c r="Q1313" s="107">
        <f t="shared" si="23"/>
        <v>2011</v>
      </c>
      <c r="R1313" s="107">
        <v>2</v>
      </c>
      <c r="S1313" s="100">
        <v>211061</v>
      </c>
      <c r="T1313" s="101">
        <v>40701</v>
      </c>
      <c r="U1313" s="83"/>
    </row>
    <row r="1314" spans="1:21" s="84" customFormat="1" x14ac:dyDescent="0.3">
      <c r="A1314" s="68">
        <v>40751</v>
      </c>
      <c r="B1314" s="69">
        <f t="shared" si="22"/>
        <v>20110727</v>
      </c>
      <c r="C1314" s="70">
        <v>3.2799999999999996E-2</v>
      </c>
      <c r="D1314" s="77">
        <v>7.0000000000000001E-3</v>
      </c>
      <c r="E1314" s="77">
        <v>7.0000000000000001E-3</v>
      </c>
      <c r="F1314" s="77">
        <v>7.0000000000000001E-3</v>
      </c>
      <c r="G1314" s="78">
        <v>0</v>
      </c>
      <c r="H1314" s="79"/>
      <c r="I1314" s="79"/>
      <c r="J1314" s="79"/>
      <c r="K1314" s="106">
        <v>8.3999999999999995E-3</v>
      </c>
      <c r="L1314" s="80">
        <v>0</v>
      </c>
      <c r="M1314" s="75" t="s">
        <v>143</v>
      </c>
      <c r="N1314" s="75" t="b">
        <v>1</v>
      </c>
      <c r="O1314" s="75" t="s">
        <v>144</v>
      </c>
      <c r="P1314" s="75">
        <v>1994</v>
      </c>
      <c r="Q1314" s="107">
        <f t="shared" si="23"/>
        <v>2011</v>
      </c>
      <c r="R1314" s="107">
        <v>2</v>
      </c>
      <c r="S1314" s="100">
        <v>211061</v>
      </c>
      <c r="T1314" s="101">
        <v>40701</v>
      </c>
      <c r="U1314" s="83"/>
    </row>
    <row r="1315" spans="1:21" s="84" customFormat="1" x14ac:dyDescent="0.3">
      <c r="A1315" s="68">
        <v>40752</v>
      </c>
      <c r="B1315" s="69">
        <f t="shared" si="22"/>
        <v>20110728</v>
      </c>
      <c r="C1315" s="70">
        <v>3.2799999999999996E-2</v>
      </c>
      <c r="D1315" s="77">
        <v>7.0000000000000001E-3</v>
      </c>
      <c r="E1315" s="77">
        <v>7.0000000000000001E-3</v>
      </c>
      <c r="F1315" s="77">
        <v>7.0000000000000001E-3</v>
      </c>
      <c r="G1315" s="78">
        <v>0</v>
      </c>
      <c r="H1315" s="79"/>
      <c r="I1315" s="79"/>
      <c r="J1315" s="79"/>
      <c r="K1315" s="106">
        <v>8.3999999999999995E-3</v>
      </c>
      <c r="L1315" s="80">
        <v>0</v>
      </c>
      <c r="M1315" s="75" t="s">
        <v>143</v>
      </c>
      <c r="N1315" s="75" t="b">
        <v>1</v>
      </c>
      <c r="O1315" s="75" t="s">
        <v>144</v>
      </c>
      <c r="P1315" s="75">
        <v>1994</v>
      </c>
      <c r="Q1315" s="107">
        <f t="shared" si="23"/>
        <v>2011</v>
      </c>
      <c r="R1315" s="107">
        <v>2</v>
      </c>
      <c r="S1315" s="100">
        <v>211061</v>
      </c>
      <c r="T1315" s="101">
        <v>40701</v>
      </c>
      <c r="U1315" s="83"/>
    </row>
    <row r="1316" spans="1:21" s="84" customFormat="1" x14ac:dyDescent="0.3">
      <c r="A1316" s="68">
        <v>40753</v>
      </c>
      <c r="B1316" s="69">
        <f t="shared" si="22"/>
        <v>20110729</v>
      </c>
      <c r="C1316" s="70">
        <v>3.2099999999999997E-2</v>
      </c>
      <c r="D1316" s="77">
        <v>7.0000000000000001E-3</v>
      </c>
      <c r="E1316" s="77">
        <v>7.0000000000000001E-3</v>
      </c>
      <c r="F1316" s="77">
        <v>7.0000000000000001E-3</v>
      </c>
      <c r="G1316" s="78">
        <v>0</v>
      </c>
      <c r="H1316" s="79"/>
      <c r="I1316" s="79"/>
      <c r="J1316" s="79"/>
      <c r="K1316" s="106">
        <v>7.9000000000000008E-3</v>
      </c>
      <c r="L1316" s="80">
        <v>0</v>
      </c>
      <c r="M1316" s="75" t="s">
        <v>143</v>
      </c>
      <c r="N1316" s="75" t="b">
        <v>1</v>
      </c>
      <c r="O1316" s="75" t="s">
        <v>144</v>
      </c>
      <c r="P1316" s="75">
        <v>1994</v>
      </c>
      <c r="Q1316" s="107">
        <f t="shared" si="23"/>
        <v>2011</v>
      </c>
      <c r="R1316" s="107">
        <v>2</v>
      </c>
      <c r="S1316" s="100">
        <v>211061</v>
      </c>
      <c r="T1316" s="101">
        <v>40701</v>
      </c>
      <c r="U1316" s="83"/>
    </row>
    <row r="1317" spans="1:21" s="84" customFormat="1" x14ac:dyDescent="0.3">
      <c r="A1317" s="68">
        <v>40754</v>
      </c>
      <c r="B1317" s="69">
        <f>YEAR(A1317)*10000+MONTH(A1317)*100+DAY(A1317)</f>
        <v>20110730</v>
      </c>
      <c r="C1317" s="70">
        <v>3.2099999999999997E-2</v>
      </c>
      <c r="D1317" s="77">
        <v>7.0000000000000001E-3</v>
      </c>
      <c r="E1317" s="77">
        <v>7.0000000000000001E-3</v>
      </c>
      <c r="F1317" s="77">
        <v>7.0000000000000001E-3</v>
      </c>
      <c r="G1317" s="78">
        <v>0</v>
      </c>
      <c r="H1317" s="79"/>
      <c r="I1317" s="79"/>
      <c r="J1317" s="79"/>
      <c r="K1317" s="106">
        <v>7.9000000000000008E-3</v>
      </c>
      <c r="L1317" s="80">
        <v>0</v>
      </c>
      <c r="M1317" s="75" t="s">
        <v>143</v>
      </c>
      <c r="N1317" s="75" t="b">
        <v>1</v>
      </c>
      <c r="O1317" s="75" t="s">
        <v>144</v>
      </c>
      <c r="P1317" s="75">
        <v>1994</v>
      </c>
      <c r="Q1317" s="107">
        <f t="shared" si="23"/>
        <v>2011</v>
      </c>
      <c r="R1317" s="107">
        <v>2</v>
      </c>
      <c r="S1317" s="100">
        <v>211061</v>
      </c>
      <c r="T1317" s="101">
        <v>40701</v>
      </c>
      <c r="U1317" s="83"/>
    </row>
    <row r="1318" spans="1:21" s="84" customFormat="1" x14ac:dyDescent="0.3">
      <c r="A1318" s="68">
        <v>40755</v>
      </c>
      <c r="B1318" s="69">
        <f>YEAR(A1318)*10000+MONTH(A1318)*100+DAY(A1318)</f>
        <v>20110731</v>
      </c>
      <c r="C1318" s="70">
        <v>3.2099999999999997E-2</v>
      </c>
      <c r="D1318" s="77">
        <v>7.0000000000000001E-3</v>
      </c>
      <c r="E1318" s="77">
        <v>7.0000000000000001E-3</v>
      </c>
      <c r="F1318" s="77">
        <v>7.0000000000000001E-3</v>
      </c>
      <c r="G1318" s="78">
        <v>0</v>
      </c>
      <c r="H1318" s="79"/>
      <c r="I1318" s="79"/>
      <c r="J1318" s="79"/>
      <c r="K1318" s="106">
        <v>7.9000000000000008E-3</v>
      </c>
      <c r="L1318" s="80">
        <v>0</v>
      </c>
      <c r="M1318" s="75" t="s">
        <v>143</v>
      </c>
      <c r="N1318" s="75" t="b">
        <v>1</v>
      </c>
      <c r="O1318" s="75" t="s">
        <v>144</v>
      </c>
      <c r="P1318" s="75">
        <v>1994</v>
      </c>
      <c r="Q1318" s="107">
        <f t="shared" si="23"/>
        <v>2011</v>
      </c>
      <c r="R1318" s="107">
        <v>2</v>
      </c>
      <c r="S1318" s="100">
        <v>211061</v>
      </c>
      <c r="T1318" s="101">
        <v>40701</v>
      </c>
      <c r="U1318" s="83"/>
    </row>
    <row r="1319" spans="1:21" s="84" customFormat="1" x14ac:dyDescent="0.3">
      <c r="A1319" s="68">
        <v>40756</v>
      </c>
      <c r="B1319" s="69">
        <f t="shared" ref="B1319:B1384" si="24">YEAR(A1319)*10000+MONTH(A1319)*100+DAY(A1319)</f>
        <v>20110801</v>
      </c>
      <c r="C1319" s="70">
        <v>3.2099999999999997E-2</v>
      </c>
      <c r="D1319" s="77">
        <v>7.0000000000000001E-3</v>
      </c>
      <c r="E1319" s="77">
        <v>7.0000000000000001E-3</v>
      </c>
      <c r="F1319" s="77">
        <v>7.0000000000000001E-3</v>
      </c>
      <c r="G1319" s="78">
        <v>0</v>
      </c>
      <c r="H1319" s="79"/>
      <c r="I1319" s="79"/>
      <c r="J1319" s="79"/>
      <c r="K1319" s="106">
        <v>7.9000000000000008E-3</v>
      </c>
      <c r="L1319" s="80">
        <v>0</v>
      </c>
      <c r="M1319" s="75" t="s">
        <v>143</v>
      </c>
      <c r="N1319" s="75" t="b">
        <v>1</v>
      </c>
      <c r="O1319" s="75" t="s">
        <v>144</v>
      </c>
      <c r="P1319" s="75">
        <v>1994</v>
      </c>
      <c r="Q1319" s="107">
        <f t="shared" si="23"/>
        <v>2011</v>
      </c>
      <c r="R1319" s="107">
        <v>2</v>
      </c>
      <c r="S1319" s="100">
        <v>211061</v>
      </c>
      <c r="T1319" s="101">
        <v>40701</v>
      </c>
      <c r="U1319" s="83"/>
    </row>
    <row r="1320" spans="1:21" s="84" customFormat="1" x14ac:dyDescent="0.3">
      <c r="A1320" s="68">
        <v>40757</v>
      </c>
      <c r="B1320" s="69">
        <f t="shared" si="24"/>
        <v>20110802</v>
      </c>
      <c r="C1320" s="70">
        <v>3.0699999999999998E-2</v>
      </c>
      <c r="D1320" s="77">
        <v>7.0000000000000001E-3</v>
      </c>
      <c r="E1320" s="77">
        <v>7.0000000000000001E-3</v>
      </c>
      <c r="F1320" s="77">
        <v>7.0000000000000001E-3</v>
      </c>
      <c r="G1320" s="78">
        <v>0</v>
      </c>
      <c r="H1320" s="79"/>
      <c r="I1320" s="79"/>
      <c r="J1320" s="79"/>
      <c r="K1320" s="106">
        <v>7.1999999999999998E-3</v>
      </c>
      <c r="L1320" s="80">
        <v>0</v>
      </c>
      <c r="M1320" s="75" t="s">
        <v>143</v>
      </c>
      <c r="N1320" s="75" t="b">
        <v>1</v>
      </c>
      <c r="O1320" s="75" t="s">
        <v>144</v>
      </c>
      <c r="P1320" s="75">
        <v>1994</v>
      </c>
      <c r="Q1320" s="107">
        <f t="shared" si="23"/>
        <v>2011</v>
      </c>
      <c r="R1320" s="107">
        <v>2</v>
      </c>
      <c r="S1320" s="100">
        <v>211061</v>
      </c>
      <c r="T1320" s="101">
        <v>40701</v>
      </c>
      <c r="U1320" s="83"/>
    </row>
    <row r="1321" spans="1:21" s="84" customFormat="1" x14ac:dyDescent="0.3">
      <c r="A1321" s="68">
        <v>40758</v>
      </c>
      <c r="B1321" s="69">
        <f t="shared" si="24"/>
        <v>20110803</v>
      </c>
      <c r="C1321" s="70">
        <v>3.1E-2</v>
      </c>
      <c r="D1321" s="77">
        <v>7.0000000000000001E-3</v>
      </c>
      <c r="E1321" s="77">
        <v>7.0000000000000001E-3</v>
      </c>
      <c r="F1321" s="77">
        <v>7.0000000000000001E-3</v>
      </c>
      <c r="G1321" s="78">
        <v>0</v>
      </c>
      <c r="H1321" s="79"/>
      <c r="I1321" s="79"/>
      <c r="J1321" s="79"/>
      <c r="K1321" s="106">
        <v>7.4999999999999997E-3</v>
      </c>
      <c r="L1321" s="80">
        <v>0</v>
      </c>
      <c r="M1321" s="75" t="s">
        <v>143</v>
      </c>
      <c r="N1321" s="75" t="b">
        <v>1</v>
      </c>
      <c r="O1321" s="75" t="s">
        <v>144</v>
      </c>
      <c r="P1321" s="75">
        <v>1994</v>
      </c>
      <c r="Q1321" s="107">
        <f t="shared" si="23"/>
        <v>2011</v>
      </c>
      <c r="R1321" s="107">
        <v>2</v>
      </c>
      <c r="S1321" s="100">
        <v>211061</v>
      </c>
      <c r="T1321" s="101">
        <v>40701</v>
      </c>
      <c r="U1321" s="83"/>
    </row>
    <row r="1322" spans="1:21" s="84" customFormat="1" x14ac:dyDescent="0.3">
      <c r="A1322" s="68">
        <v>40759</v>
      </c>
      <c r="B1322" s="69">
        <f t="shared" si="24"/>
        <v>20110804</v>
      </c>
      <c r="C1322" s="70">
        <v>2.9900000000000003E-2</v>
      </c>
      <c r="D1322" s="77">
        <v>7.0000000000000001E-3</v>
      </c>
      <c r="E1322" s="77">
        <v>7.0000000000000001E-3</v>
      </c>
      <c r="F1322" s="77">
        <v>7.0000000000000001E-3</v>
      </c>
      <c r="G1322" s="78">
        <v>0</v>
      </c>
      <c r="H1322" s="79"/>
      <c r="I1322" s="79"/>
      <c r="J1322" s="79"/>
      <c r="K1322" s="106">
        <v>7.1999999999999998E-3</v>
      </c>
      <c r="L1322" s="80">
        <v>0</v>
      </c>
      <c r="M1322" s="75" t="s">
        <v>143</v>
      </c>
      <c r="N1322" s="75" t="b">
        <v>1</v>
      </c>
      <c r="O1322" s="75" t="s">
        <v>144</v>
      </c>
      <c r="P1322" s="75">
        <v>1994</v>
      </c>
      <c r="Q1322" s="107">
        <f t="shared" si="23"/>
        <v>2011</v>
      </c>
      <c r="R1322" s="107">
        <v>2</v>
      </c>
      <c r="S1322" s="100">
        <v>211061</v>
      </c>
      <c r="T1322" s="101">
        <v>40701</v>
      </c>
      <c r="U1322" s="83"/>
    </row>
    <row r="1323" spans="1:21" s="84" customFormat="1" x14ac:dyDescent="0.3">
      <c r="A1323" s="68">
        <v>40760</v>
      </c>
      <c r="B1323" s="69">
        <f t="shared" si="24"/>
        <v>20110805</v>
      </c>
      <c r="C1323" s="70">
        <v>3.1099999999999999E-2</v>
      </c>
      <c r="D1323" s="77">
        <v>7.0000000000000001E-3</v>
      </c>
      <c r="E1323" s="77">
        <v>7.0000000000000001E-3</v>
      </c>
      <c r="F1323" s="77">
        <v>7.0000000000000001E-3</v>
      </c>
      <c r="G1323" s="78">
        <v>0</v>
      </c>
      <c r="H1323" s="79"/>
      <c r="I1323" s="79"/>
      <c r="J1323" s="79"/>
      <c r="K1323" s="106">
        <v>8.3000000000000001E-3</v>
      </c>
      <c r="L1323" s="80">
        <v>0</v>
      </c>
      <c r="M1323" s="75" t="s">
        <v>143</v>
      </c>
      <c r="N1323" s="75" t="b">
        <v>1</v>
      </c>
      <c r="O1323" s="75" t="s">
        <v>144</v>
      </c>
      <c r="P1323" s="75">
        <v>1994</v>
      </c>
      <c r="Q1323" s="107">
        <f t="shared" si="23"/>
        <v>2011</v>
      </c>
      <c r="R1323" s="107">
        <v>2</v>
      </c>
      <c r="S1323" s="100">
        <v>211061</v>
      </c>
      <c r="T1323" s="101">
        <v>40701</v>
      </c>
      <c r="U1323" s="83"/>
    </row>
    <row r="1324" spans="1:21" s="84" customFormat="1" x14ac:dyDescent="0.3">
      <c r="A1324" s="68">
        <v>40761</v>
      </c>
      <c r="B1324" s="69">
        <f t="shared" si="24"/>
        <v>20110806</v>
      </c>
      <c r="C1324" s="70">
        <v>3.1099999999999999E-2</v>
      </c>
      <c r="D1324" s="77">
        <v>7.0000000000000001E-3</v>
      </c>
      <c r="E1324" s="77">
        <v>7.0000000000000001E-3</v>
      </c>
      <c r="F1324" s="77">
        <v>7.0000000000000001E-3</v>
      </c>
      <c r="G1324" s="78">
        <v>0</v>
      </c>
      <c r="H1324" s="79"/>
      <c r="I1324" s="79"/>
      <c r="J1324" s="79"/>
      <c r="K1324" s="106">
        <v>8.3000000000000001E-3</v>
      </c>
      <c r="L1324" s="80">
        <v>0</v>
      </c>
      <c r="M1324" s="75" t="s">
        <v>143</v>
      </c>
      <c r="N1324" s="75" t="b">
        <v>1</v>
      </c>
      <c r="O1324" s="75" t="s">
        <v>144</v>
      </c>
      <c r="P1324" s="75">
        <v>1994</v>
      </c>
      <c r="Q1324" s="107">
        <f t="shared" si="23"/>
        <v>2011</v>
      </c>
      <c r="R1324" s="107">
        <v>2</v>
      </c>
      <c r="S1324" s="100">
        <v>211061</v>
      </c>
      <c r="T1324" s="101">
        <v>40701</v>
      </c>
      <c r="U1324" s="83"/>
    </row>
    <row r="1325" spans="1:21" s="84" customFormat="1" x14ac:dyDescent="0.3">
      <c r="A1325" s="68">
        <v>40762</v>
      </c>
      <c r="B1325" s="69">
        <f t="shared" si="24"/>
        <v>20110807</v>
      </c>
      <c r="C1325" s="70">
        <v>3.1099999999999999E-2</v>
      </c>
      <c r="D1325" s="77">
        <v>7.0000000000000001E-3</v>
      </c>
      <c r="E1325" s="77">
        <v>7.0000000000000001E-3</v>
      </c>
      <c r="F1325" s="77">
        <v>7.0000000000000001E-3</v>
      </c>
      <c r="G1325" s="78">
        <v>0</v>
      </c>
      <c r="H1325" s="79"/>
      <c r="I1325" s="79"/>
      <c r="J1325" s="79"/>
      <c r="K1325" s="106">
        <v>8.3000000000000001E-3</v>
      </c>
      <c r="L1325" s="80">
        <v>0</v>
      </c>
      <c r="M1325" s="75" t="s">
        <v>143</v>
      </c>
      <c r="N1325" s="75" t="b">
        <v>1</v>
      </c>
      <c r="O1325" s="75" t="s">
        <v>144</v>
      </c>
      <c r="P1325" s="75">
        <v>1994</v>
      </c>
      <c r="Q1325" s="107">
        <f t="shared" si="23"/>
        <v>2011</v>
      </c>
      <c r="R1325" s="107">
        <v>2</v>
      </c>
      <c r="S1325" s="100">
        <v>211061</v>
      </c>
      <c r="T1325" s="101">
        <v>40701</v>
      </c>
      <c r="U1325" s="83"/>
    </row>
    <row r="1326" spans="1:21" s="84" customFormat="1" x14ac:dyDescent="0.3">
      <c r="A1326" s="68">
        <v>40763</v>
      </c>
      <c r="B1326" s="69">
        <f t="shared" si="24"/>
        <v>20110808</v>
      </c>
      <c r="C1326" s="70">
        <v>0.03</v>
      </c>
      <c r="D1326" s="77">
        <v>7.0000000000000001E-3</v>
      </c>
      <c r="E1326" s="77">
        <v>7.0000000000000001E-3</v>
      </c>
      <c r="F1326" s="77">
        <v>7.0000000000000001E-3</v>
      </c>
      <c r="G1326" s="78">
        <v>0</v>
      </c>
      <c r="H1326" s="79"/>
      <c r="I1326" s="79"/>
      <c r="J1326" s="79"/>
      <c r="K1326" s="106">
        <v>6.1999999999999998E-3</v>
      </c>
      <c r="L1326" s="80">
        <v>0</v>
      </c>
      <c r="M1326" s="75" t="s">
        <v>143</v>
      </c>
      <c r="N1326" s="75" t="b">
        <v>1</v>
      </c>
      <c r="O1326" s="75" t="s">
        <v>144</v>
      </c>
      <c r="P1326" s="75">
        <v>1994</v>
      </c>
      <c r="Q1326" s="107">
        <f t="shared" ref="Q1326:Q1389" si="25">YEAR(A1326)</f>
        <v>2011</v>
      </c>
      <c r="R1326" s="107">
        <v>2</v>
      </c>
      <c r="S1326" s="100">
        <v>211061</v>
      </c>
      <c r="T1326" s="101">
        <v>40701</v>
      </c>
      <c r="U1326" s="83"/>
    </row>
    <row r="1327" spans="1:21" s="84" customFormat="1" x14ac:dyDescent="0.3">
      <c r="A1327" s="68">
        <v>40764</v>
      </c>
      <c r="B1327" s="69">
        <f t="shared" si="24"/>
        <v>20110809</v>
      </c>
      <c r="C1327" s="70">
        <v>2.9700000000000001E-2</v>
      </c>
      <c r="D1327" s="77">
        <v>7.0000000000000001E-3</v>
      </c>
      <c r="E1327" s="77">
        <v>7.0000000000000001E-3</v>
      </c>
      <c r="F1327" s="77">
        <v>7.0000000000000001E-3</v>
      </c>
      <c r="G1327" s="78">
        <v>0</v>
      </c>
      <c r="H1327" s="79"/>
      <c r="I1327" s="79"/>
      <c r="J1327" s="79"/>
      <c r="K1327" s="106">
        <v>8.1000000000000013E-3</v>
      </c>
      <c r="L1327" s="80">
        <v>0</v>
      </c>
      <c r="M1327" s="75" t="s">
        <v>143</v>
      </c>
      <c r="N1327" s="75" t="b">
        <v>1</v>
      </c>
      <c r="O1327" s="75" t="s">
        <v>144</v>
      </c>
      <c r="P1327" s="75">
        <v>1994</v>
      </c>
      <c r="Q1327" s="107">
        <f t="shared" si="25"/>
        <v>2011</v>
      </c>
      <c r="R1327" s="107">
        <v>2</v>
      </c>
      <c r="S1327" s="100">
        <v>211061</v>
      </c>
      <c r="T1327" s="101">
        <v>40701</v>
      </c>
      <c r="U1327" s="83"/>
    </row>
    <row r="1328" spans="1:21" s="84" customFormat="1" x14ac:dyDescent="0.3">
      <c r="A1328" s="68">
        <v>40765</v>
      </c>
      <c r="B1328" s="69">
        <f t="shared" si="24"/>
        <v>20110810</v>
      </c>
      <c r="C1328" s="70">
        <v>2.8799999999999999E-2</v>
      </c>
      <c r="D1328" s="77">
        <v>7.0000000000000001E-3</v>
      </c>
      <c r="E1328" s="77">
        <v>7.0000000000000001E-3</v>
      </c>
      <c r="F1328" s="77">
        <v>7.0000000000000001E-3</v>
      </c>
      <c r="G1328" s="78">
        <v>0</v>
      </c>
      <c r="H1328" s="79"/>
      <c r="I1328" s="79"/>
      <c r="J1328" s="79"/>
      <c r="K1328" s="106">
        <v>6.3E-3</v>
      </c>
      <c r="L1328" s="80">
        <v>0</v>
      </c>
      <c r="M1328" s="75" t="s">
        <v>143</v>
      </c>
      <c r="N1328" s="75" t="b">
        <v>1</v>
      </c>
      <c r="O1328" s="75" t="s">
        <v>144</v>
      </c>
      <c r="P1328" s="75">
        <v>1994</v>
      </c>
      <c r="Q1328" s="107">
        <f t="shared" si="25"/>
        <v>2011</v>
      </c>
      <c r="R1328" s="107">
        <v>2</v>
      </c>
      <c r="S1328" s="100">
        <v>211061</v>
      </c>
      <c r="T1328" s="101">
        <v>40701</v>
      </c>
      <c r="U1328" s="83"/>
    </row>
    <row r="1329" spans="1:21" s="84" customFormat="1" x14ac:dyDescent="0.3">
      <c r="A1329" s="68">
        <v>40766</v>
      </c>
      <c r="B1329" s="69">
        <f t="shared" si="24"/>
        <v>20110811</v>
      </c>
      <c r="C1329" s="70">
        <v>2.9700000000000001E-2</v>
      </c>
      <c r="D1329" s="77">
        <v>7.0000000000000001E-3</v>
      </c>
      <c r="E1329" s="77">
        <v>7.0000000000000001E-3</v>
      </c>
      <c r="F1329" s="77">
        <v>7.0000000000000001E-3</v>
      </c>
      <c r="G1329" s="78">
        <v>0</v>
      </c>
      <c r="H1329" s="79"/>
      <c r="I1329" s="79"/>
      <c r="J1329" s="79"/>
      <c r="K1329" s="106">
        <v>6.9999999999999993E-3</v>
      </c>
      <c r="L1329" s="80">
        <v>0</v>
      </c>
      <c r="M1329" s="75" t="s">
        <v>143</v>
      </c>
      <c r="N1329" s="75" t="b">
        <v>1</v>
      </c>
      <c r="O1329" s="75" t="s">
        <v>144</v>
      </c>
      <c r="P1329" s="75">
        <v>1994</v>
      </c>
      <c r="Q1329" s="107">
        <f t="shared" si="25"/>
        <v>2011</v>
      </c>
      <c r="R1329" s="107">
        <v>2</v>
      </c>
      <c r="S1329" s="100">
        <v>211061</v>
      </c>
      <c r="T1329" s="101">
        <v>40701</v>
      </c>
      <c r="U1329" s="83"/>
    </row>
    <row r="1330" spans="1:21" s="84" customFormat="1" x14ac:dyDescent="0.3">
      <c r="A1330" s="68">
        <v>40767</v>
      </c>
      <c r="B1330" s="69">
        <f t="shared" si="24"/>
        <v>20110812</v>
      </c>
      <c r="C1330" s="70">
        <v>2.98E-2</v>
      </c>
      <c r="D1330" s="77">
        <v>7.0000000000000001E-3</v>
      </c>
      <c r="E1330" s="77">
        <v>7.0000000000000001E-3</v>
      </c>
      <c r="F1330" s="77">
        <v>7.0000000000000001E-3</v>
      </c>
      <c r="G1330" s="78">
        <v>0</v>
      </c>
      <c r="H1330" s="79"/>
      <c r="I1330" s="79"/>
      <c r="J1330" s="79"/>
      <c r="K1330" s="106">
        <v>6.9999999999999993E-3</v>
      </c>
      <c r="L1330" s="80">
        <v>0</v>
      </c>
      <c r="M1330" s="75" t="s">
        <v>143</v>
      </c>
      <c r="N1330" s="75" t="b">
        <v>1</v>
      </c>
      <c r="O1330" s="75" t="s">
        <v>144</v>
      </c>
      <c r="P1330" s="75">
        <v>1994</v>
      </c>
      <c r="Q1330" s="107">
        <f t="shared" si="25"/>
        <v>2011</v>
      </c>
      <c r="R1330" s="107">
        <v>2</v>
      </c>
      <c r="S1330" s="100">
        <v>211061</v>
      </c>
      <c r="T1330" s="101">
        <v>40701</v>
      </c>
      <c r="U1330" s="83"/>
    </row>
    <row r="1331" spans="1:21" s="84" customFormat="1" x14ac:dyDescent="0.3">
      <c r="A1331" s="68">
        <v>40768</v>
      </c>
      <c r="B1331" s="69">
        <f t="shared" si="24"/>
        <v>20110813</v>
      </c>
      <c r="C1331" s="70">
        <v>2.98E-2</v>
      </c>
      <c r="D1331" s="77">
        <v>7.0000000000000001E-3</v>
      </c>
      <c r="E1331" s="77">
        <v>7.0000000000000001E-3</v>
      </c>
      <c r="F1331" s="77">
        <v>7.0000000000000001E-3</v>
      </c>
      <c r="G1331" s="78">
        <v>0</v>
      </c>
      <c r="H1331" s="79"/>
      <c r="I1331" s="79"/>
      <c r="J1331" s="79"/>
      <c r="K1331" s="106">
        <v>6.9999999999999993E-3</v>
      </c>
      <c r="L1331" s="80">
        <v>0</v>
      </c>
      <c r="M1331" s="75" t="s">
        <v>143</v>
      </c>
      <c r="N1331" s="75" t="b">
        <v>1</v>
      </c>
      <c r="O1331" s="75" t="s">
        <v>144</v>
      </c>
      <c r="P1331" s="75">
        <v>1994</v>
      </c>
      <c r="Q1331" s="107">
        <f t="shared" si="25"/>
        <v>2011</v>
      </c>
      <c r="R1331" s="107">
        <v>2</v>
      </c>
      <c r="S1331" s="100">
        <v>211061</v>
      </c>
      <c r="T1331" s="101">
        <v>40701</v>
      </c>
      <c r="U1331" s="83"/>
    </row>
    <row r="1332" spans="1:21" s="84" customFormat="1" x14ac:dyDescent="0.3">
      <c r="A1332" s="68">
        <v>40769</v>
      </c>
      <c r="B1332" s="69">
        <f t="shared" si="24"/>
        <v>20110814</v>
      </c>
      <c r="C1332" s="70">
        <v>2.98E-2</v>
      </c>
      <c r="D1332" s="77">
        <v>7.0000000000000001E-3</v>
      </c>
      <c r="E1332" s="77">
        <v>7.0000000000000001E-3</v>
      </c>
      <c r="F1332" s="77">
        <v>7.0000000000000001E-3</v>
      </c>
      <c r="G1332" s="78">
        <v>0</v>
      </c>
      <c r="H1332" s="79"/>
      <c r="I1332" s="79"/>
      <c r="J1332" s="79"/>
      <c r="K1332" s="106">
        <v>6.9999999999999993E-3</v>
      </c>
      <c r="L1332" s="80">
        <v>0</v>
      </c>
      <c r="M1332" s="75" t="s">
        <v>143</v>
      </c>
      <c r="N1332" s="75" t="b">
        <v>1</v>
      </c>
      <c r="O1332" s="75" t="s">
        <v>144</v>
      </c>
      <c r="P1332" s="75">
        <v>1994</v>
      </c>
      <c r="Q1332" s="107">
        <f t="shared" si="25"/>
        <v>2011</v>
      </c>
      <c r="R1332" s="107">
        <v>2</v>
      </c>
      <c r="S1332" s="100">
        <v>211061</v>
      </c>
      <c r="T1332" s="101">
        <v>40701</v>
      </c>
      <c r="U1332" s="83"/>
    </row>
    <row r="1333" spans="1:21" s="84" customFormat="1" x14ac:dyDescent="0.3">
      <c r="A1333" s="68">
        <v>40770</v>
      </c>
      <c r="B1333" s="69">
        <f t="shared" si="24"/>
        <v>20110815</v>
      </c>
      <c r="C1333" s="70">
        <v>3.0299999999999997E-2</v>
      </c>
      <c r="D1333" s="77">
        <v>7.0000000000000001E-3</v>
      </c>
      <c r="E1333" s="77">
        <v>7.0000000000000001E-3</v>
      </c>
      <c r="F1333" s="77">
        <v>7.0000000000000001E-3</v>
      </c>
      <c r="G1333" s="78">
        <v>0</v>
      </c>
      <c r="H1333" s="79"/>
      <c r="I1333" s="79"/>
      <c r="J1333" s="79"/>
      <c r="K1333" s="106">
        <v>7.0999999999999995E-3</v>
      </c>
      <c r="L1333" s="80">
        <v>0</v>
      </c>
      <c r="M1333" s="75" t="s">
        <v>143</v>
      </c>
      <c r="N1333" s="75" t="b">
        <v>1</v>
      </c>
      <c r="O1333" s="75" t="s">
        <v>144</v>
      </c>
      <c r="P1333" s="75">
        <v>1994</v>
      </c>
      <c r="Q1333" s="107">
        <f t="shared" si="25"/>
        <v>2011</v>
      </c>
      <c r="R1333" s="107">
        <v>2</v>
      </c>
      <c r="S1333" s="100">
        <v>211061</v>
      </c>
      <c r="T1333" s="101">
        <v>40701</v>
      </c>
      <c r="U1333" s="83"/>
    </row>
    <row r="1334" spans="1:21" s="84" customFormat="1" x14ac:dyDescent="0.3">
      <c r="A1334" s="68">
        <v>40771</v>
      </c>
      <c r="B1334" s="69">
        <f t="shared" si="24"/>
        <v>20110816</v>
      </c>
      <c r="C1334" s="70">
        <v>0.03</v>
      </c>
      <c r="D1334" s="77">
        <v>7.0000000000000001E-3</v>
      </c>
      <c r="E1334" s="77">
        <v>7.0000000000000001E-3</v>
      </c>
      <c r="F1334" s="77">
        <v>7.0000000000000001E-3</v>
      </c>
      <c r="G1334" s="78">
        <v>0</v>
      </c>
      <c r="H1334" s="79"/>
      <c r="I1334" s="79"/>
      <c r="J1334" s="79"/>
      <c r="K1334" s="106">
        <v>6.9999999999999993E-3</v>
      </c>
      <c r="L1334" s="80">
        <v>0</v>
      </c>
      <c r="M1334" s="75" t="s">
        <v>143</v>
      </c>
      <c r="N1334" s="75" t="b">
        <v>1</v>
      </c>
      <c r="O1334" s="75" t="s">
        <v>144</v>
      </c>
      <c r="P1334" s="75">
        <v>1994</v>
      </c>
      <c r="Q1334" s="107">
        <f t="shared" si="25"/>
        <v>2011</v>
      </c>
      <c r="R1334" s="107">
        <v>2</v>
      </c>
      <c r="S1334" s="100">
        <v>211061</v>
      </c>
      <c r="T1334" s="101">
        <v>40701</v>
      </c>
      <c r="U1334" s="83"/>
    </row>
    <row r="1335" spans="1:21" s="84" customFormat="1" x14ac:dyDescent="0.3">
      <c r="A1335" s="68">
        <v>40772</v>
      </c>
      <c r="B1335" s="69">
        <f t="shared" si="24"/>
        <v>20110817</v>
      </c>
      <c r="C1335" s="70">
        <v>2.9300000000000003E-2</v>
      </c>
      <c r="D1335" s="77">
        <v>7.0000000000000001E-3</v>
      </c>
      <c r="E1335" s="77">
        <v>7.0000000000000001E-3</v>
      </c>
      <c r="F1335" s="77">
        <v>7.0000000000000001E-3</v>
      </c>
      <c r="G1335" s="78">
        <v>0</v>
      </c>
      <c r="H1335" s="79"/>
      <c r="I1335" s="79"/>
      <c r="J1335" s="79"/>
      <c r="K1335" s="106">
        <v>6.4000000000000003E-3</v>
      </c>
      <c r="L1335" s="80">
        <v>0</v>
      </c>
      <c r="M1335" s="75" t="s">
        <v>143</v>
      </c>
      <c r="N1335" s="75" t="b">
        <v>1</v>
      </c>
      <c r="O1335" s="75" t="s">
        <v>144</v>
      </c>
      <c r="P1335" s="75">
        <v>1994</v>
      </c>
      <c r="Q1335" s="107">
        <f t="shared" si="25"/>
        <v>2011</v>
      </c>
      <c r="R1335" s="107">
        <v>2</v>
      </c>
      <c r="S1335" s="100">
        <v>211061</v>
      </c>
      <c r="T1335" s="101">
        <v>40701</v>
      </c>
      <c r="U1335" s="83"/>
    </row>
    <row r="1336" spans="1:21" s="84" customFormat="1" x14ac:dyDescent="0.3">
      <c r="A1336" s="68">
        <v>40773</v>
      </c>
      <c r="B1336" s="69">
        <f t="shared" si="24"/>
        <v>20110818</v>
      </c>
      <c r="C1336" s="70">
        <v>2.8399999999999998E-2</v>
      </c>
      <c r="D1336" s="77">
        <v>7.0000000000000001E-3</v>
      </c>
      <c r="E1336" s="77">
        <v>7.0000000000000001E-3</v>
      </c>
      <c r="F1336" s="77">
        <v>7.0000000000000001E-3</v>
      </c>
      <c r="G1336" s="78">
        <v>0</v>
      </c>
      <c r="H1336" s="79"/>
      <c r="I1336" s="79"/>
      <c r="J1336" s="79"/>
      <c r="K1336" s="106">
        <v>6.4000000000000003E-3</v>
      </c>
      <c r="L1336" s="80">
        <v>0</v>
      </c>
      <c r="M1336" s="75" t="s">
        <v>143</v>
      </c>
      <c r="N1336" s="75" t="b">
        <v>1</v>
      </c>
      <c r="O1336" s="75" t="s">
        <v>144</v>
      </c>
      <c r="P1336" s="75">
        <v>1994</v>
      </c>
      <c r="Q1336" s="107">
        <f t="shared" si="25"/>
        <v>2011</v>
      </c>
      <c r="R1336" s="107">
        <v>2</v>
      </c>
      <c r="S1336" s="100">
        <v>211061</v>
      </c>
      <c r="T1336" s="101">
        <v>40701</v>
      </c>
      <c r="U1336" s="83"/>
    </row>
    <row r="1337" spans="1:21" s="84" customFormat="1" x14ac:dyDescent="0.3">
      <c r="A1337" s="68">
        <v>40774</v>
      </c>
      <c r="B1337" s="69">
        <f t="shared" si="24"/>
        <v>20110819</v>
      </c>
      <c r="C1337" s="70">
        <v>2.8500000000000001E-2</v>
      </c>
      <c r="D1337" s="77">
        <v>7.0000000000000001E-3</v>
      </c>
      <c r="E1337" s="77">
        <v>7.0000000000000001E-3</v>
      </c>
      <c r="F1337" s="77">
        <v>7.0000000000000001E-3</v>
      </c>
      <c r="G1337" s="78">
        <v>0</v>
      </c>
      <c r="H1337" s="79"/>
      <c r="I1337" s="79"/>
      <c r="J1337" s="79"/>
      <c r="K1337" s="106">
        <v>6.4000000000000003E-3</v>
      </c>
      <c r="L1337" s="80">
        <v>0</v>
      </c>
      <c r="M1337" s="75" t="s">
        <v>143</v>
      </c>
      <c r="N1337" s="75" t="b">
        <v>1</v>
      </c>
      <c r="O1337" s="75" t="s">
        <v>144</v>
      </c>
      <c r="P1337" s="75">
        <v>1994</v>
      </c>
      <c r="Q1337" s="107">
        <f t="shared" si="25"/>
        <v>2011</v>
      </c>
      <c r="R1337" s="107">
        <v>2</v>
      </c>
      <c r="S1337" s="100">
        <v>211061</v>
      </c>
      <c r="T1337" s="101">
        <v>40701</v>
      </c>
      <c r="U1337" s="83"/>
    </row>
    <row r="1338" spans="1:21" s="84" customFormat="1" x14ac:dyDescent="0.3">
      <c r="A1338" s="68">
        <v>40775</v>
      </c>
      <c r="B1338" s="69">
        <f t="shared" si="24"/>
        <v>20110820</v>
      </c>
      <c r="C1338" s="70">
        <v>2.8500000000000001E-2</v>
      </c>
      <c r="D1338" s="77">
        <v>7.0000000000000001E-3</v>
      </c>
      <c r="E1338" s="77">
        <v>7.0000000000000001E-3</v>
      </c>
      <c r="F1338" s="77">
        <v>7.0000000000000001E-3</v>
      </c>
      <c r="G1338" s="78">
        <v>0</v>
      </c>
      <c r="H1338" s="79"/>
      <c r="I1338" s="79"/>
      <c r="J1338" s="79"/>
      <c r="K1338" s="106">
        <v>6.4000000000000003E-3</v>
      </c>
      <c r="L1338" s="80">
        <v>0</v>
      </c>
      <c r="M1338" s="75" t="s">
        <v>143</v>
      </c>
      <c r="N1338" s="75" t="b">
        <v>1</v>
      </c>
      <c r="O1338" s="75" t="s">
        <v>144</v>
      </c>
      <c r="P1338" s="75">
        <v>1994</v>
      </c>
      <c r="Q1338" s="107">
        <f t="shared" si="25"/>
        <v>2011</v>
      </c>
      <c r="R1338" s="107">
        <v>2</v>
      </c>
      <c r="S1338" s="100">
        <v>211061</v>
      </c>
      <c r="T1338" s="101">
        <v>40701</v>
      </c>
      <c r="U1338" s="83"/>
    </row>
    <row r="1339" spans="1:21" s="84" customFormat="1" x14ac:dyDescent="0.3">
      <c r="A1339" s="68">
        <v>40776</v>
      </c>
      <c r="B1339" s="69">
        <f t="shared" si="24"/>
        <v>20110821</v>
      </c>
      <c r="C1339" s="70">
        <v>2.8500000000000001E-2</v>
      </c>
      <c r="D1339" s="77">
        <v>7.0000000000000001E-3</v>
      </c>
      <c r="E1339" s="77">
        <v>7.0000000000000001E-3</v>
      </c>
      <c r="F1339" s="77">
        <v>7.0000000000000001E-3</v>
      </c>
      <c r="G1339" s="78">
        <v>0</v>
      </c>
      <c r="H1339" s="79"/>
      <c r="I1339" s="79"/>
      <c r="J1339" s="79"/>
      <c r="K1339" s="106">
        <v>6.4000000000000003E-3</v>
      </c>
      <c r="L1339" s="80">
        <v>0</v>
      </c>
      <c r="M1339" s="75" t="s">
        <v>143</v>
      </c>
      <c r="N1339" s="75" t="b">
        <v>1</v>
      </c>
      <c r="O1339" s="75" t="s">
        <v>144</v>
      </c>
      <c r="P1339" s="75">
        <v>1994</v>
      </c>
      <c r="Q1339" s="107">
        <f t="shared" si="25"/>
        <v>2011</v>
      </c>
      <c r="R1339" s="107">
        <v>2</v>
      </c>
      <c r="S1339" s="100">
        <v>211061</v>
      </c>
      <c r="T1339" s="101">
        <v>40701</v>
      </c>
      <c r="U1339" s="83"/>
    </row>
    <row r="1340" spans="1:21" s="84" customFormat="1" x14ac:dyDescent="0.3">
      <c r="A1340" s="68">
        <v>40777</v>
      </c>
      <c r="B1340" s="69">
        <f t="shared" si="24"/>
        <v>20110822</v>
      </c>
      <c r="C1340" s="70">
        <v>2.8399999999999998E-2</v>
      </c>
      <c r="D1340" s="77">
        <v>7.0000000000000001E-3</v>
      </c>
      <c r="E1340" s="77">
        <v>7.0000000000000001E-3</v>
      </c>
      <c r="F1340" s="77">
        <v>7.0000000000000001E-3</v>
      </c>
      <c r="G1340" s="78">
        <v>0</v>
      </c>
      <c r="H1340" s="79"/>
      <c r="I1340" s="79"/>
      <c r="J1340" s="79"/>
      <c r="K1340" s="106">
        <v>6.7000000000000002E-3</v>
      </c>
      <c r="L1340" s="80">
        <v>0</v>
      </c>
      <c r="M1340" s="75" t="s">
        <v>143</v>
      </c>
      <c r="N1340" s="75" t="b">
        <v>1</v>
      </c>
      <c r="O1340" s="75" t="s">
        <v>144</v>
      </c>
      <c r="P1340" s="75">
        <v>1994</v>
      </c>
      <c r="Q1340" s="107">
        <f t="shared" si="25"/>
        <v>2011</v>
      </c>
      <c r="R1340" s="107">
        <v>2</v>
      </c>
      <c r="S1340" s="100">
        <v>211061</v>
      </c>
      <c r="T1340" s="101">
        <v>40701</v>
      </c>
      <c r="U1340" s="83"/>
    </row>
    <row r="1341" spans="1:21" s="84" customFormat="1" x14ac:dyDescent="0.3">
      <c r="A1341" s="68">
        <v>40778</v>
      </c>
      <c r="B1341" s="69">
        <f t="shared" si="24"/>
        <v>20110823</v>
      </c>
      <c r="C1341" s="70">
        <v>2.8999999999999998E-2</v>
      </c>
      <c r="D1341" s="77">
        <v>7.0000000000000001E-3</v>
      </c>
      <c r="E1341" s="77">
        <v>7.0000000000000001E-3</v>
      </c>
      <c r="F1341" s="77">
        <v>7.0000000000000001E-3</v>
      </c>
      <c r="G1341" s="78">
        <v>0</v>
      </c>
      <c r="H1341" s="79"/>
      <c r="I1341" s="79"/>
      <c r="J1341" s="79"/>
      <c r="K1341" s="106">
        <v>7.4000000000000003E-3</v>
      </c>
      <c r="L1341" s="80">
        <v>0</v>
      </c>
      <c r="M1341" s="75" t="s">
        <v>143</v>
      </c>
      <c r="N1341" s="75" t="b">
        <v>1</v>
      </c>
      <c r="O1341" s="75" t="s">
        <v>144</v>
      </c>
      <c r="P1341" s="75">
        <v>1994</v>
      </c>
      <c r="Q1341" s="107">
        <f t="shared" si="25"/>
        <v>2011</v>
      </c>
      <c r="R1341" s="107">
        <v>2</v>
      </c>
      <c r="S1341" s="100">
        <v>211061</v>
      </c>
      <c r="T1341" s="101">
        <v>40701</v>
      </c>
      <c r="U1341" s="83"/>
    </row>
    <row r="1342" spans="1:21" s="84" customFormat="1" x14ac:dyDescent="0.3">
      <c r="A1342" s="68">
        <v>40779</v>
      </c>
      <c r="B1342" s="69">
        <f t="shared" si="24"/>
        <v>20110824</v>
      </c>
      <c r="C1342" s="70">
        <v>2.98E-2</v>
      </c>
      <c r="D1342" s="77">
        <v>7.0000000000000001E-3</v>
      </c>
      <c r="E1342" s="77">
        <v>7.0000000000000001E-3</v>
      </c>
      <c r="F1342" s="77">
        <v>7.0000000000000001E-3</v>
      </c>
      <c r="G1342" s="78">
        <v>0</v>
      </c>
      <c r="H1342" s="79"/>
      <c r="I1342" s="79"/>
      <c r="J1342" s="79"/>
      <c r="K1342" s="106">
        <v>8.1000000000000013E-3</v>
      </c>
      <c r="L1342" s="80">
        <v>0</v>
      </c>
      <c r="M1342" s="75" t="s">
        <v>143</v>
      </c>
      <c r="N1342" s="75" t="b">
        <v>1</v>
      </c>
      <c r="O1342" s="75" t="s">
        <v>144</v>
      </c>
      <c r="P1342" s="75">
        <v>1994</v>
      </c>
      <c r="Q1342" s="107">
        <f t="shared" si="25"/>
        <v>2011</v>
      </c>
      <c r="R1342" s="107">
        <v>2</v>
      </c>
      <c r="S1342" s="100">
        <v>211061</v>
      </c>
      <c r="T1342" s="101">
        <v>40701</v>
      </c>
      <c r="U1342" s="83"/>
    </row>
    <row r="1343" spans="1:21" s="84" customFormat="1" x14ac:dyDescent="0.3">
      <c r="A1343" s="68">
        <v>40780</v>
      </c>
      <c r="B1343" s="69">
        <f t="shared" si="24"/>
        <v>20110825</v>
      </c>
      <c r="C1343" s="70">
        <v>2.9300000000000003E-2</v>
      </c>
      <c r="D1343" s="77">
        <v>7.0000000000000001E-3</v>
      </c>
      <c r="E1343" s="77">
        <v>7.0000000000000001E-3</v>
      </c>
      <c r="F1343" s="77">
        <v>7.0000000000000001E-3</v>
      </c>
      <c r="G1343" s="78">
        <v>0</v>
      </c>
      <c r="H1343" s="79"/>
      <c r="I1343" s="79"/>
      <c r="J1343" s="79"/>
      <c r="K1343" s="106">
        <v>7.8000000000000005E-3</v>
      </c>
      <c r="L1343" s="80">
        <v>0</v>
      </c>
      <c r="M1343" s="75" t="s">
        <v>143</v>
      </c>
      <c r="N1343" s="75" t="b">
        <v>1</v>
      </c>
      <c r="O1343" s="75" t="s">
        <v>144</v>
      </c>
      <c r="P1343" s="75">
        <v>1994</v>
      </c>
      <c r="Q1343" s="107">
        <f t="shared" si="25"/>
        <v>2011</v>
      </c>
      <c r="R1343" s="107">
        <v>2</v>
      </c>
      <c r="S1343" s="100">
        <v>211061</v>
      </c>
      <c r="T1343" s="101">
        <v>40701</v>
      </c>
      <c r="U1343" s="83"/>
    </row>
    <row r="1344" spans="1:21" s="84" customFormat="1" x14ac:dyDescent="0.3">
      <c r="A1344" s="68">
        <v>40781</v>
      </c>
      <c r="B1344" s="69">
        <f t="shared" si="24"/>
        <v>20110826</v>
      </c>
      <c r="C1344" s="70">
        <v>2.9100000000000001E-2</v>
      </c>
      <c r="D1344" s="77">
        <v>7.0000000000000001E-3</v>
      </c>
      <c r="E1344" s="77">
        <v>7.0000000000000001E-3</v>
      </c>
      <c r="F1344" s="77">
        <v>7.0000000000000001E-3</v>
      </c>
      <c r="G1344" s="78">
        <v>0</v>
      </c>
      <c r="H1344" s="79"/>
      <c r="I1344" s="79"/>
      <c r="J1344" s="79"/>
      <c r="K1344" s="106">
        <v>7.7000000000000002E-3</v>
      </c>
      <c r="L1344" s="80">
        <v>0</v>
      </c>
      <c r="M1344" s="75" t="s">
        <v>143</v>
      </c>
      <c r="N1344" s="75" t="b">
        <v>1</v>
      </c>
      <c r="O1344" s="75" t="s">
        <v>144</v>
      </c>
      <c r="P1344" s="75">
        <v>1994</v>
      </c>
      <c r="Q1344" s="107">
        <f t="shared" si="25"/>
        <v>2011</v>
      </c>
      <c r="R1344" s="107">
        <v>2</v>
      </c>
      <c r="S1344" s="100">
        <v>211061</v>
      </c>
      <c r="T1344" s="101">
        <v>40701</v>
      </c>
      <c r="U1344" s="83"/>
    </row>
    <row r="1345" spans="1:21" s="84" customFormat="1" x14ac:dyDescent="0.3">
      <c r="A1345" s="68">
        <v>40782</v>
      </c>
      <c r="B1345" s="69">
        <f t="shared" si="24"/>
        <v>20110827</v>
      </c>
      <c r="C1345" s="70">
        <v>2.9100000000000001E-2</v>
      </c>
      <c r="D1345" s="77">
        <v>7.0000000000000001E-3</v>
      </c>
      <c r="E1345" s="77">
        <v>7.0000000000000001E-3</v>
      </c>
      <c r="F1345" s="77">
        <v>7.0000000000000001E-3</v>
      </c>
      <c r="G1345" s="78">
        <v>0</v>
      </c>
      <c r="H1345" s="79"/>
      <c r="I1345" s="79"/>
      <c r="J1345" s="79"/>
      <c r="K1345" s="106">
        <v>7.7000000000000002E-3</v>
      </c>
      <c r="L1345" s="80">
        <v>0</v>
      </c>
      <c r="M1345" s="75" t="s">
        <v>143</v>
      </c>
      <c r="N1345" s="75" t="b">
        <v>1</v>
      </c>
      <c r="O1345" s="75" t="s">
        <v>144</v>
      </c>
      <c r="P1345" s="75">
        <v>1994</v>
      </c>
      <c r="Q1345" s="107">
        <f t="shared" si="25"/>
        <v>2011</v>
      </c>
      <c r="R1345" s="107">
        <v>2</v>
      </c>
      <c r="S1345" s="100">
        <v>211061</v>
      </c>
      <c r="T1345" s="101">
        <v>40701</v>
      </c>
      <c r="U1345" s="83"/>
    </row>
    <row r="1346" spans="1:21" s="84" customFormat="1" x14ac:dyDescent="0.3">
      <c r="A1346" s="68">
        <v>40783</v>
      </c>
      <c r="B1346" s="69">
        <f t="shared" si="24"/>
        <v>20110828</v>
      </c>
      <c r="C1346" s="70">
        <v>2.9100000000000001E-2</v>
      </c>
      <c r="D1346" s="77">
        <v>7.0000000000000001E-3</v>
      </c>
      <c r="E1346" s="77">
        <v>7.0000000000000001E-3</v>
      </c>
      <c r="F1346" s="77">
        <v>7.0000000000000001E-3</v>
      </c>
      <c r="G1346" s="78">
        <v>0</v>
      </c>
      <c r="H1346" s="79"/>
      <c r="I1346" s="79"/>
      <c r="J1346" s="79"/>
      <c r="K1346" s="106">
        <v>7.7000000000000002E-3</v>
      </c>
      <c r="L1346" s="80">
        <v>0</v>
      </c>
      <c r="M1346" s="75" t="s">
        <v>143</v>
      </c>
      <c r="N1346" s="75" t="b">
        <v>1</v>
      </c>
      <c r="O1346" s="75" t="s">
        <v>144</v>
      </c>
      <c r="P1346" s="75">
        <v>1994</v>
      </c>
      <c r="Q1346" s="107">
        <f t="shared" si="25"/>
        <v>2011</v>
      </c>
      <c r="R1346" s="107">
        <v>2</v>
      </c>
      <c r="S1346" s="100">
        <v>211061</v>
      </c>
      <c r="T1346" s="101">
        <v>40701</v>
      </c>
      <c r="U1346" s="83"/>
    </row>
    <row r="1347" spans="1:21" s="84" customFormat="1" x14ac:dyDescent="0.3">
      <c r="A1347" s="68">
        <v>40784</v>
      </c>
      <c r="B1347" s="69">
        <f t="shared" si="24"/>
        <v>20110829</v>
      </c>
      <c r="C1347" s="70">
        <v>2.9700000000000001E-2</v>
      </c>
      <c r="D1347" s="77">
        <v>7.0000000000000001E-3</v>
      </c>
      <c r="E1347" s="77">
        <v>7.0000000000000001E-3</v>
      </c>
      <c r="F1347" s="77">
        <v>7.0000000000000001E-3</v>
      </c>
      <c r="G1347" s="78">
        <v>0</v>
      </c>
      <c r="H1347" s="79"/>
      <c r="I1347" s="79"/>
      <c r="J1347" s="79"/>
      <c r="K1347" s="106">
        <v>8.199999999999999E-3</v>
      </c>
      <c r="L1347" s="80">
        <v>0</v>
      </c>
      <c r="M1347" s="75" t="s">
        <v>143</v>
      </c>
      <c r="N1347" s="75" t="b">
        <v>1</v>
      </c>
      <c r="O1347" s="75" t="s">
        <v>144</v>
      </c>
      <c r="P1347" s="75">
        <v>1994</v>
      </c>
      <c r="Q1347" s="107">
        <f t="shared" si="25"/>
        <v>2011</v>
      </c>
      <c r="R1347" s="107">
        <v>2</v>
      </c>
      <c r="S1347" s="100">
        <v>211061</v>
      </c>
      <c r="T1347" s="101">
        <v>40701</v>
      </c>
      <c r="U1347" s="83"/>
    </row>
    <row r="1348" spans="1:21" s="84" customFormat="1" x14ac:dyDescent="0.3">
      <c r="A1348" s="68">
        <v>40785</v>
      </c>
      <c r="B1348" s="69">
        <f t="shared" si="24"/>
        <v>20110830</v>
      </c>
      <c r="C1348" s="70">
        <v>2.92E-2</v>
      </c>
      <c r="D1348" s="77">
        <v>7.0000000000000001E-3</v>
      </c>
      <c r="E1348" s="77">
        <v>7.0000000000000001E-3</v>
      </c>
      <c r="F1348" s="77">
        <v>7.0000000000000001E-3</v>
      </c>
      <c r="G1348" s="78">
        <v>0</v>
      </c>
      <c r="H1348" s="79"/>
      <c r="I1348" s="79"/>
      <c r="J1348" s="79"/>
      <c r="K1348" s="106">
        <v>8.1000000000000013E-3</v>
      </c>
      <c r="L1348" s="80">
        <v>0</v>
      </c>
      <c r="M1348" s="75" t="s">
        <v>143</v>
      </c>
      <c r="N1348" s="75" t="b">
        <v>1</v>
      </c>
      <c r="O1348" s="75" t="s">
        <v>144</v>
      </c>
      <c r="P1348" s="75">
        <v>1994</v>
      </c>
      <c r="Q1348" s="107">
        <f t="shared" si="25"/>
        <v>2011</v>
      </c>
      <c r="R1348" s="107">
        <v>2</v>
      </c>
      <c r="S1348" s="100">
        <v>211061</v>
      </c>
      <c r="T1348" s="101">
        <v>40701</v>
      </c>
      <c r="U1348" s="83"/>
    </row>
    <row r="1349" spans="1:21" s="84" customFormat="1" x14ac:dyDescent="0.3">
      <c r="A1349" s="68">
        <v>40786</v>
      </c>
      <c r="B1349" s="69">
        <f t="shared" si="24"/>
        <v>20110831</v>
      </c>
      <c r="C1349" s="70">
        <v>0.03</v>
      </c>
      <c r="D1349" s="77">
        <v>7.0000000000000001E-3</v>
      </c>
      <c r="E1349" s="77">
        <v>7.0000000000000001E-3</v>
      </c>
      <c r="F1349" s="77">
        <v>7.0000000000000001E-3</v>
      </c>
      <c r="G1349" s="78">
        <v>0</v>
      </c>
      <c r="H1349" s="79"/>
      <c r="I1349" s="79"/>
      <c r="J1349" s="79"/>
      <c r="K1349" s="106">
        <v>8.8000000000000005E-3</v>
      </c>
      <c r="L1349" s="80">
        <v>0</v>
      </c>
      <c r="M1349" s="75" t="s">
        <v>143</v>
      </c>
      <c r="N1349" s="75" t="b">
        <v>1</v>
      </c>
      <c r="O1349" s="75" t="s">
        <v>144</v>
      </c>
      <c r="P1349" s="75">
        <v>1994</v>
      </c>
      <c r="Q1349" s="107">
        <f t="shared" si="25"/>
        <v>2011</v>
      </c>
      <c r="R1349" s="107">
        <v>2</v>
      </c>
      <c r="S1349" s="100">
        <v>211061</v>
      </c>
      <c r="T1349" s="101">
        <v>40701</v>
      </c>
      <c r="U1349" s="83"/>
    </row>
    <row r="1350" spans="1:21" s="84" customFormat="1" x14ac:dyDescent="0.3">
      <c r="A1350" s="68">
        <v>40787</v>
      </c>
      <c r="B1350" s="69">
        <f t="shared" si="24"/>
        <v>20110901</v>
      </c>
      <c r="C1350" s="70">
        <v>2.9399999999999999E-2</v>
      </c>
      <c r="D1350" s="77">
        <v>7.0000000000000001E-3</v>
      </c>
      <c r="E1350" s="77">
        <v>7.0000000000000001E-3</v>
      </c>
      <c r="F1350" s="77">
        <v>7.0000000000000001E-3</v>
      </c>
      <c r="G1350" s="78">
        <v>0</v>
      </c>
      <c r="H1350" s="79"/>
      <c r="I1350" s="79"/>
      <c r="J1350" s="79"/>
      <c r="K1350" s="106">
        <v>8.199999999999999E-3</v>
      </c>
      <c r="L1350" s="80">
        <v>0</v>
      </c>
      <c r="M1350" s="75" t="s">
        <v>143</v>
      </c>
      <c r="N1350" s="75" t="b">
        <v>1</v>
      </c>
      <c r="O1350" s="75" t="s">
        <v>144</v>
      </c>
      <c r="P1350" s="75">
        <v>1994</v>
      </c>
      <c r="Q1350" s="107">
        <f t="shared" si="25"/>
        <v>2011</v>
      </c>
      <c r="R1350" s="107">
        <v>2</v>
      </c>
      <c r="S1350" s="100">
        <v>211061</v>
      </c>
      <c r="T1350" s="101">
        <v>40701</v>
      </c>
      <c r="U1350" s="83"/>
    </row>
    <row r="1351" spans="1:21" s="84" customFormat="1" x14ac:dyDescent="0.3">
      <c r="A1351" s="68">
        <v>40788</v>
      </c>
      <c r="B1351" s="69">
        <f t="shared" si="24"/>
        <v>20110902</v>
      </c>
      <c r="C1351" s="70">
        <v>2.8500000000000001E-2</v>
      </c>
      <c r="D1351" s="77">
        <v>7.0000000000000001E-3</v>
      </c>
      <c r="E1351" s="77">
        <v>7.0000000000000001E-3</v>
      </c>
      <c r="F1351" s="77">
        <v>7.0000000000000001E-3</v>
      </c>
      <c r="G1351" s="78">
        <v>0</v>
      </c>
      <c r="H1351" s="79"/>
      <c r="I1351" s="79"/>
      <c r="J1351" s="79"/>
      <c r="K1351" s="106">
        <v>7.7000000000000002E-3</v>
      </c>
      <c r="L1351" s="80">
        <v>0</v>
      </c>
      <c r="M1351" s="75" t="s">
        <v>143</v>
      </c>
      <c r="N1351" s="75" t="b">
        <v>1</v>
      </c>
      <c r="O1351" s="75" t="s">
        <v>144</v>
      </c>
      <c r="P1351" s="75">
        <v>1994</v>
      </c>
      <c r="Q1351" s="107">
        <f t="shared" si="25"/>
        <v>2011</v>
      </c>
      <c r="R1351" s="107">
        <v>2</v>
      </c>
      <c r="S1351" s="100">
        <v>211061</v>
      </c>
      <c r="T1351" s="101">
        <v>40701</v>
      </c>
      <c r="U1351" s="83"/>
    </row>
    <row r="1352" spans="1:21" s="84" customFormat="1" x14ac:dyDescent="0.3">
      <c r="A1352" s="68">
        <v>40789</v>
      </c>
      <c r="B1352" s="69">
        <f>YEAR(A1352)*10000+MONTH(A1352)*100+DAY(A1352)</f>
        <v>20110903</v>
      </c>
      <c r="C1352" s="70">
        <v>2.8500000000000001E-2</v>
      </c>
      <c r="D1352" s="77">
        <v>7.0000000000000001E-3</v>
      </c>
      <c r="E1352" s="77">
        <v>7.0000000000000001E-3</v>
      </c>
      <c r="F1352" s="77">
        <v>7.0000000000000001E-3</v>
      </c>
      <c r="G1352" s="78">
        <v>0</v>
      </c>
      <c r="H1352" s="79"/>
      <c r="I1352" s="79"/>
      <c r="J1352" s="79"/>
      <c r="K1352" s="106">
        <v>7.7000000000000002E-3</v>
      </c>
      <c r="L1352" s="80">
        <v>0</v>
      </c>
      <c r="M1352" s="75" t="s">
        <v>143</v>
      </c>
      <c r="N1352" s="75" t="b">
        <v>1</v>
      </c>
      <c r="O1352" s="75" t="s">
        <v>144</v>
      </c>
      <c r="P1352" s="75">
        <v>1994</v>
      </c>
      <c r="Q1352" s="107">
        <f t="shared" si="25"/>
        <v>2011</v>
      </c>
      <c r="R1352" s="107">
        <v>2</v>
      </c>
      <c r="S1352" s="100">
        <v>211061</v>
      </c>
      <c r="T1352" s="101">
        <v>40701</v>
      </c>
      <c r="U1352" s="83"/>
    </row>
    <row r="1353" spans="1:21" s="84" customFormat="1" x14ac:dyDescent="0.3">
      <c r="A1353" s="68">
        <v>40790</v>
      </c>
      <c r="B1353" s="69">
        <f>YEAR(A1353)*10000+MONTH(A1353)*100+DAY(A1353)</f>
        <v>20110904</v>
      </c>
      <c r="C1353" s="70">
        <v>2.8500000000000001E-2</v>
      </c>
      <c r="D1353" s="77">
        <v>7.0000000000000001E-3</v>
      </c>
      <c r="E1353" s="77">
        <v>7.0000000000000001E-3</v>
      </c>
      <c r="F1353" s="77">
        <v>7.0000000000000001E-3</v>
      </c>
      <c r="G1353" s="78">
        <v>0</v>
      </c>
      <c r="H1353" s="79"/>
      <c r="I1353" s="79"/>
      <c r="J1353" s="79"/>
      <c r="K1353" s="106">
        <v>7.7000000000000002E-3</v>
      </c>
      <c r="L1353" s="80">
        <v>0</v>
      </c>
      <c r="M1353" s="75" t="s">
        <v>143</v>
      </c>
      <c r="N1353" s="75" t="b">
        <v>1</v>
      </c>
      <c r="O1353" s="75" t="s">
        <v>144</v>
      </c>
      <c r="P1353" s="75">
        <v>1994</v>
      </c>
      <c r="Q1353" s="107">
        <f t="shared" si="25"/>
        <v>2011</v>
      </c>
      <c r="R1353" s="107">
        <v>2</v>
      </c>
      <c r="S1353" s="100">
        <v>211061</v>
      </c>
      <c r="T1353" s="101">
        <v>40701</v>
      </c>
      <c r="U1353" s="83"/>
    </row>
    <row r="1354" spans="1:21" s="84" customFormat="1" x14ac:dyDescent="0.3">
      <c r="A1354" s="68">
        <v>40791</v>
      </c>
      <c r="B1354" s="69">
        <f t="shared" si="24"/>
        <v>20110905</v>
      </c>
      <c r="C1354" s="70">
        <v>2.8500000000000001E-2</v>
      </c>
      <c r="D1354" s="77">
        <v>7.0000000000000001E-3</v>
      </c>
      <c r="E1354" s="77">
        <v>7.0000000000000001E-3</v>
      </c>
      <c r="F1354" s="77">
        <v>7.0000000000000001E-3</v>
      </c>
      <c r="G1354" s="78">
        <v>0</v>
      </c>
      <c r="H1354" s="79"/>
      <c r="I1354" s="79"/>
      <c r="J1354" s="79"/>
      <c r="K1354" s="106">
        <v>7.7000000000000002E-3</v>
      </c>
      <c r="L1354" s="80">
        <v>0</v>
      </c>
      <c r="M1354" s="75" t="s">
        <v>143</v>
      </c>
      <c r="N1354" s="75" t="b">
        <v>1</v>
      </c>
      <c r="O1354" s="75" t="s">
        <v>144</v>
      </c>
      <c r="P1354" s="75">
        <v>1994</v>
      </c>
      <c r="Q1354" s="107">
        <f t="shared" si="25"/>
        <v>2011</v>
      </c>
      <c r="R1354" s="107">
        <v>2</v>
      </c>
      <c r="S1354" s="100">
        <v>211061</v>
      </c>
      <c r="T1354" s="101">
        <v>40701</v>
      </c>
      <c r="U1354" s="83"/>
    </row>
    <row r="1355" spans="1:21" s="84" customFormat="1" x14ac:dyDescent="0.3">
      <c r="A1355" s="68">
        <v>40792</v>
      </c>
      <c r="B1355" s="69">
        <f t="shared" si="24"/>
        <v>20110906</v>
      </c>
      <c r="C1355" s="70">
        <v>2.81E-2</v>
      </c>
      <c r="D1355" s="77">
        <v>7.0000000000000001E-3</v>
      </c>
      <c r="E1355" s="77">
        <v>7.0000000000000001E-3</v>
      </c>
      <c r="F1355" s="77">
        <v>7.0000000000000001E-3</v>
      </c>
      <c r="G1355" s="78">
        <v>0</v>
      </c>
      <c r="H1355" s="79"/>
      <c r="I1355" s="79"/>
      <c r="J1355" s="79"/>
      <c r="K1355" s="106">
        <v>7.6E-3</v>
      </c>
      <c r="L1355" s="80">
        <v>0</v>
      </c>
      <c r="M1355" s="75" t="s">
        <v>143</v>
      </c>
      <c r="N1355" s="75" t="b">
        <v>1</v>
      </c>
      <c r="O1355" s="75" t="s">
        <v>144</v>
      </c>
      <c r="P1355" s="75">
        <v>1994</v>
      </c>
      <c r="Q1355" s="107">
        <f t="shared" si="25"/>
        <v>2011</v>
      </c>
      <c r="R1355" s="107">
        <v>2</v>
      </c>
      <c r="S1355" s="100">
        <v>211061</v>
      </c>
      <c r="T1355" s="101">
        <v>40701</v>
      </c>
      <c r="U1355" s="83"/>
    </row>
    <row r="1356" spans="1:21" s="84" customFormat="1" x14ac:dyDescent="0.3">
      <c r="A1356" s="68">
        <v>40793</v>
      </c>
      <c r="B1356" s="69">
        <f t="shared" si="24"/>
        <v>20110907</v>
      </c>
      <c r="C1356" s="70">
        <v>2.8399999999999998E-2</v>
      </c>
      <c r="D1356" s="77">
        <v>7.0000000000000001E-3</v>
      </c>
      <c r="E1356" s="77">
        <v>7.0000000000000001E-3</v>
      </c>
      <c r="F1356" s="77">
        <v>7.0000000000000001E-3</v>
      </c>
      <c r="G1356" s="78">
        <v>0</v>
      </c>
      <c r="H1356" s="79"/>
      <c r="I1356" s="79"/>
      <c r="J1356" s="79"/>
      <c r="K1356" s="106">
        <v>7.9000000000000008E-3</v>
      </c>
      <c r="L1356" s="80">
        <v>0</v>
      </c>
      <c r="M1356" s="75" t="s">
        <v>143</v>
      </c>
      <c r="N1356" s="75" t="b">
        <v>1</v>
      </c>
      <c r="O1356" s="75" t="s">
        <v>144</v>
      </c>
      <c r="P1356" s="75">
        <v>1994</v>
      </c>
      <c r="Q1356" s="107">
        <f t="shared" si="25"/>
        <v>2011</v>
      </c>
      <c r="R1356" s="107">
        <v>2</v>
      </c>
      <c r="S1356" s="100">
        <v>211061</v>
      </c>
      <c r="T1356" s="101">
        <v>40701</v>
      </c>
      <c r="U1356" s="83"/>
    </row>
    <row r="1357" spans="1:21" s="84" customFormat="1" x14ac:dyDescent="0.3">
      <c r="A1357" s="68">
        <v>40794</v>
      </c>
      <c r="B1357" s="69">
        <f t="shared" si="24"/>
        <v>20110908</v>
      </c>
      <c r="C1357" s="70">
        <v>2.7900000000000001E-2</v>
      </c>
      <c r="D1357" s="77">
        <v>7.0000000000000001E-3</v>
      </c>
      <c r="E1357" s="77">
        <v>7.0000000000000001E-3</v>
      </c>
      <c r="F1357" s="77">
        <v>7.0000000000000001E-3</v>
      </c>
      <c r="G1357" s="78">
        <v>0</v>
      </c>
      <c r="H1357" s="79"/>
      <c r="I1357" s="79"/>
      <c r="J1357" s="79"/>
      <c r="K1357" s="106">
        <v>7.4000000000000003E-3</v>
      </c>
      <c r="L1357" s="80">
        <v>0</v>
      </c>
      <c r="M1357" s="75" t="s">
        <v>143</v>
      </c>
      <c r="N1357" s="75" t="b">
        <v>1</v>
      </c>
      <c r="O1357" s="75" t="s">
        <v>144</v>
      </c>
      <c r="P1357" s="75">
        <v>1994</v>
      </c>
      <c r="Q1357" s="107">
        <f t="shared" si="25"/>
        <v>2011</v>
      </c>
      <c r="R1357" s="107">
        <v>2</v>
      </c>
      <c r="S1357" s="100">
        <v>211061</v>
      </c>
      <c r="T1357" s="101">
        <v>40701</v>
      </c>
      <c r="U1357" s="83"/>
    </row>
    <row r="1358" spans="1:21" s="84" customFormat="1" x14ac:dyDescent="0.3">
      <c r="A1358" s="68">
        <v>40795</v>
      </c>
      <c r="B1358" s="69">
        <f t="shared" si="24"/>
        <v>20110909</v>
      </c>
      <c r="C1358" s="70">
        <v>2.7000000000000003E-2</v>
      </c>
      <c r="D1358" s="77">
        <v>7.0000000000000001E-3</v>
      </c>
      <c r="E1358" s="77">
        <v>7.0000000000000001E-3</v>
      </c>
      <c r="F1358" s="77">
        <v>7.0000000000000001E-3</v>
      </c>
      <c r="G1358" s="78">
        <v>0</v>
      </c>
      <c r="H1358" s="79"/>
      <c r="I1358" s="79"/>
      <c r="J1358" s="79"/>
      <c r="K1358" s="106">
        <v>7.0999999999999995E-3</v>
      </c>
      <c r="L1358" s="80">
        <v>0</v>
      </c>
      <c r="M1358" s="75" t="s">
        <v>143</v>
      </c>
      <c r="N1358" s="75" t="b">
        <v>1</v>
      </c>
      <c r="O1358" s="75" t="s">
        <v>144</v>
      </c>
      <c r="P1358" s="75">
        <v>1994</v>
      </c>
      <c r="Q1358" s="107">
        <f t="shared" si="25"/>
        <v>2011</v>
      </c>
      <c r="R1358" s="107">
        <v>2</v>
      </c>
      <c r="S1358" s="100">
        <v>211061</v>
      </c>
      <c r="T1358" s="101">
        <v>40701</v>
      </c>
      <c r="U1358" s="83"/>
    </row>
    <row r="1359" spans="1:21" s="84" customFormat="1" x14ac:dyDescent="0.3">
      <c r="A1359" s="68">
        <v>40796</v>
      </c>
      <c r="B1359" s="69">
        <f>YEAR(A1359)*10000+MONTH(A1359)*100+DAY(A1359)</f>
        <v>20110910</v>
      </c>
      <c r="C1359" s="70">
        <v>2.7000000000000003E-2</v>
      </c>
      <c r="D1359" s="77">
        <v>7.0000000000000001E-3</v>
      </c>
      <c r="E1359" s="77">
        <v>7.0000000000000001E-3</v>
      </c>
      <c r="F1359" s="77">
        <v>7.0000000000000001E-3</v>
      </c>
      <c r="G1359" s="78">
        <v>0</v>
      </c>
      <c r="H1359" s="79"/>
      <c r="I1359" s="79"/>
      <c r="J1359" s="79"/>
      <c r="K1359" s="106">
        <v>7.0999999999999995E-3</v>
      </c>
      <c r="L1359" s="80">
        <v>0</v>
      </c>
      <c r="M1359" s="75" t="s">
        <v>143</v>
      </c>
      <c r="N1359" s="75" t="b">
        <v>1</v>
      </c>
      <c r="O1359" s="75" t="s">
        <v>144</v>
      </c>
      <c r="P1359" s="75">
        <v>1994</v>
      </c>
      <c r="Q1359" s="107">
        <f t="shared" si="25"/>
        <v>2011</v>
      </c>
      <c r="R1359" s="107">
        <v>2</v>
      </c>
      <c r="S1359" s="100">
        <v>211061</v>
      </c>
      <c r="T1359" s="101">
        <v>40701</v>
      </c>
      <c r="U1359" s="83"/>
    </row>
    <row r="1360" spans="1:21" s="84" customFormat="1" x14ac:dyDescent="0.3">
      <c r="A1360" s="68">
        <v>40797</v>
      </c>
      <c r="B1360" s="69">
        <f>YEAR(A1360)*10000+MONTH(A1360)*100+DAY(A1360)</f>
        <v>20110911</v>
      </c>
      <c r="C1360" s="70">
        <v>2.7000000000000003E-2</v>
      </c>
      <c r="D1360" s="77">
        <v>7.0000000000000001E-3</v>
      </c>
      <c r="E1360" s="77">
        <v>7.0000000000000001E-3</v>
      </c>
      <c r="F1360" s="77">
        <v>7.0000000000000001E-3</v>
      </c>
      <c r="G1360" s="78">
        <v>0</v>
      </c>
      <c r="H1360" s="79"/>
      <c r="I1360" s="79"/>
      <c r="J1360" s="79"/>
      <c r="K1360" s="106">
        <v>7.0999999999999995E-3</v>
      </c>
      <c r="L1360" s="80">
        <v>0</v>
      </c>
      <c r="M1360" s="75" t="s">
        <v>143</v>
      </c>
      <c r="N1360" s="75" t="b">
        <v>1</v>
      </c>
      <c r="O1360" s="75" t="s">
        <v>144</v>
      </c>
      <c r="P1360" s="75">
        <v>1994</v>
      </c>
      <c r="Q1360" s="107">
        <f t="shared" si="25"/>
        <v>2011</v>
      </c>
      <c r="R1360" s="107">
        <v>2</v>
      </c>
      <c r="S1360" s="100">
        <v>211061</v>
      </c>
      <c r="T1360" s="101">
        <v>40701</v>
      </c>
      <c r="U1360" s="83"/>
    </row>
    <row r="1361" spans="1:21" s="84" customFormat="1" x14ac:dyDescent="0.3">
      <c r="A1361" s="68">
        <v>40798</v>
      </c>
      <c r="B1361" s="69">
        <f t="shared" si="24"/>
        <v>20110912</v>
      </c>
      <c r="C1361" s="70">
        <v>2.7099999999999999E-2</v>
      </c>
      <c r="D1361" s="77">
        <v>7.0000000000000001E-3</v>
      </c>
      <c r="E1361" s="77">
        <v>7.0000000000000001E-3</v>
      </c>
      <c r="F1361" s="77">
        <v>7.0000000000000001E-3</v>
      </c>
      <c r="G1361" s="78">
        <v>0</v>
      </c>
      <c r="H1361" s="79"/>
      <c r="I1361" s="79"/>
      <c r="J1361" s="79"/>
      <c r="K1361" s="106">
        <v>7.3000000000000001E-3</v>
      </c>
      <c r="L1361" s="80">
        <v>0</v>
      </c>
      <c r="M1361" s="75" t="s">
        <v>143</v>
      </c>
      <c r="N1361" s="75" t="b">
        <v>1</v>
      </c>
      <c r="O1361" s="75" t="s">
        <v>144</v>
      </c>
      <c r="P1361" s="75">
        <v>1994</v>
      </c>
      <c r="Q1361" s="107">
        <f t="shared" si="25"/>
        <v>2011</v>
      </c>
      <c r="R1361" s="107">
        <v>2</v>
      </c>
      <c r="S1361" s="100">
        <v>211061</v>
      </c>
      <c r="T1361" s="101">
        <v>40701</v>
      </c>
      <c r="U1361" s="83"/>
    </row>
    <row r="1362" spans="1:21" s="84" customFormat="1" x14ac:dyDescent="0.3">
      <c r="A1362" s="68">
        <v>40799</v>
      </c>
      <c r="B1362" s="69">
        <f t="shared" si="24"/>
        <v>20110913</v>
      </c>
      <c r="C1362" s="70">
        <v>2.7400000000000001E-2</v>
      </c>
      <c r="D1362" s="77">
        <v>7.0000000000000001E-3</v>
      </c>
      <c r="E1362" s="77">
        <v>7.0000000000000001E-3</v>
      </c>
      <c r="F1362" s="77">
        <v>7.0000000000000001E-3</v>
      </c>
      <c r="G1362" s="78">
        <v>0</v>
      </c>
      <c r="H1362" s="79"/>
      <c r="I1362" s="79"/>
      <c r="J1362" s="79"/>
      <c r="K1362" s="106">
        <v>7.4000000000000003E-3</v>
      </c>
      <c r="L1362" s="80">
        <v>0</v>
      </c>
      <c r="M1362" s="75" t="s">
        <v>143</v>
      </c>
      <c r="N1362" s="75" t="b">
        <v>1</v>
      </c>
      <c r="O1362" s="75" t="s">
        <v>144</v>
      </c>
      <c r="P1362" s="75">
        <v>1994</v>
      </c>
      <c r="Q1362" s="107">
        <f t="shared" si="25"/>
        <v>2011</v>
      </c>
      <c r="R1362" s="107">
        <v>2</v>
      </c>
      <c r="S1362" s="100">
        <v>211061</v>
      </c>
      <c r="T1362" s="101">
        <v>40701</v>
      </c>
      <c r="U1362" s="83"/>
    </row>
    <row r="1363" spans="1:21" s="84" customFormat="1" x14ac:dyDescent="0.3">
      <c r="A1363" s="68">
        <v>40800</v>
      </c>
      <c r="B1363" s="69">
        <f t="shared" si="24"/>
        <v>20110914</v>
      </c>
      <c r="C1363" s="70">
        <v>2.75E-2</v>
      </c>
      <c r="D1363" s="77">
        <v>7.0000000000000001E-3</v>
      </c>
      <c r="E1363" s="77">
        <v>7.0000000000000001E-3</v>
      </c>
      <c r="F1363" s="77">
        <v>7.0000000000000001E-3</v>
      </c>
      <c r="G1363" s="78">
        <v>0</v>
      </c>
      <c r="H1363" s="79"/>
      <c r="I1363" s="79"/>
      <c r="J1363" s="79"/>
      <c r="K1363" s="106">
        <v>7.6E-3</v>
      </c>
      <c r="L1363" s="80">
        <v>0</v>
      </c>
      <c r="M1363" s="75" t="s">
        <v>143</v>
      </c>
      <c r="N1363" s="75" t="b">
        <v>1</v>
      </c>
      <c r="O1363" s="75" t="s">
        <v>144</v>
      </c>
      <c r="P1363" s="75">
        <v>1994</v>
      </c>
      <c r="Q1363" s="107">
        <f t="shared" si="25"/>
        <v>2011</v>
      </c>
      <c r="R1363" s="107">
        <v>2</v>
      </c>
      <c r="S1363" s="100">
        <v>211061</v>
      </c>
      <c r="T1363" s="101">
        <v>40701</v>
      </c>
      <c r="U1363" s="83"/>
    </row>
    <row r="1364" spans="1:21" s="84" customFormat="1" x14ac:dyDescent="0.3">
      <c r="A1364" s="68">
        <v>40801</v>
      </c>
      <c r="B1364" s="69">
        <f t="shared" si="24"/>
        <v>20110915</v>
      </c>
      <c r="C1364" s="70">
        <v>2.8300000000000002E-2</v>
      </c>
      <c r="D1364" s="77">
        <v>7.0000000000000001E-3</v>
      </c>
      <c r="E1364" s="77">
        <v>7.0000000000000001E-3</v>
      </c>
      <c r="F1364" s="77">
        <v>7.0000000000000001E-3</v>
      </c>
      <c r="G1364" s="78">
        <v>0</v>
      </c>
      <c r="H1364" s="79"/>
      <c r="I1364" s="79"/>
      <c r="J1364" s="79"/>
      <c r="K1364" s="106">
        <v>8.1000000000000013E-3</v>
      </c>
      <c r="L1364" s="80">
        <v>0</v>
      </c>
      <c r="M1364" s="75" t="s">
        <v>143</v>
      </c>
      <c r="N1364" s="75" t="b">
        <v>1</v>
      </c>
      <c r="O1364" s="75" t="s">
        <v>144</v>
      </c>
      <c r="P1364" s="75">
        <v>1994</v>
      </c>
      <c r="Q1364" s="107">
        <f t="shared" si="25"/>
        <v>2011</v>
      </c>
      <c r="R1364" s="107">
        <v>2</v>
      </c>
      <c r="S1364" s="100">
        <v>211061</v>
      </c>
      <c r="T1364" s="101">
        <v>40701</v>
      </c>
      <c r="U1364" s="83"/>
    </row>
    <row r="1365" spans="1:21" s="84" customFormat="1" x14ac:dyDescent="0.3">
      <c r="A1365" s="68">
        <v>40802</v>
      </c>
      <c r="B1365" s="69">
        <f t="shared" si="24"/>
        <v>20110916</v>
      </c>
      <c r="C1365" s="70">
        <v>2.8300000000000002E-2</v>
      </c>
      <c r="D1365" s="77">
        <v>7.0000000000000001E-3</v>
      </c>
      <c r="E1365" s="77">
        <v>7.0000000000000001E-3</v>
      </c>
      <c r="F1365" s="77">
        <v>7.0000000000000001E-3</v>
      </c>
      <c r="G1365" s="78">
        <v>0</v>
      </c>
      <c r="H1365" s="79"/>
      <c r="I1365" s="79"/>
      <c r="J1365" s="79"/>
      <c r="K1365" s="106">
        <v>8.1000000000000013E-3</v>
      </c>
      <c r="L1365" s="80">
        <v>0</v>
      </c>
      <c r="M1365" s="75" t="s">
        <v>143</v>
      </c>
      <c r="N1365" s="75" t="b">
        <v>1</v>
      </c>
      <c r="O1365" s="75" t="s">
        <v>144</v>
      </c>
      <c r="P1365" s="75">
        <v>1994</v>
      </c>
      <c r="Q1365" s="107">
        <f t="shared" si="25"/>
        <v>2011</v>
      </c>
      <c r="R1365" s="107">
        <v>2</v>
      </c>
      <c r="S1365" s="100">
        <v>211061</v>
      </c>
      <c r="T1365" s="101">
        <v>40701</v>
      </c>
      <c r="U1365" s="83"/>
    </row>
    <row r="1366" spans="1:21" s="84" customFormat="1" x14ac:dyDescent="0.3">
      <c r="A1366" s="68">
        <v>40803</v>
      </c>
      <c r="B1366" s="69">
        <f>YEAR(A1366)*10000+MONTH(A1366)*100+DAY(A1366)</f>
        <v>20110917</v>
      </c>
      <c r="C1366" s="70">
        <v>2.8300000000000002E-2</v>
      </c>
      <c r="D1366" s="77">
        <v>7.0000000000000001E-3</v>
      </c>
      <c r="E1366" s="77">
        <v>7.0000000000000001E-3</v>
      </c>
      <c r="F1366" s="77">
        <v>7.0000000000000001E-3</v>
      </c>
      <c r="G1366" s="78">
        <v>0</v>
      </c>
      <c r="H1366" s="79"/>
      <c r="I1366" s="79"/>
      <c r="J1366" s="79"/>
      <c r="K1366" s="106">
        <v>8.1000000000000013E-3</v>
      </c>
      <c r="L1366" s="80">
        <v>0</v>
      </c>
      <c r="M1366" s="75" t="s">
        <v>143</v>
      </c>
      <c r="N1366" s="75" t="b">
        <v>1</v>
      </c>
      <c r="O1366" s="75" t="s">
        <v>144</v>
      </c>
      <c r="P1366" s="75">
        <v>1994</v>
      </c>
      <c r="Q1366" s="107">
        <f t="shared" si="25"/>
        <v>2011</v>
      </c>
      <c r="R1366" s="107">
        <v>2</v>
      </c>
      <c r="S1366" s="100">
        <v>211061</v>
      </c>
      <c r="T1366" s="101">
        <v>40701</v>
      </c>
      <c r="U1366" s="83"/>
    </row>
    <row r="1367" spans="1:21" s="84" customFormat="1" x14ac:dyDescent="0.3">
      <c r="A1367" s="68">
        <v>40804</v>
      </c>
      <c r="B1367" s="69">
        <f>YEAR(A1367)*10000+MONTH(A1367)*100+DAY(A1367)</f>
        <v>20110918</v>
      </c>
      <c r="C1367" s="70">
        <v>2.8300000000000002E-2</v>
      </c>
      <c r="D1367" s="77">
        <v>7.0000000000000001E-3</v>
      </c>
      <c r="E1367" s="77">
        <v>7.0000000000000001E-3</v>
      </c>
      <c r="F1367" s="77">
        <v>7.0000000000000001E-3</v>
      </c>
      <c r="G1367" s="78">
        <v>0</v>
      </c>
      <c r="H1367" s="79"/>
      <c r="I1367" s="79"/>
      <c r="J1367" s="79"/>
      <c r="K1367" s="106">
        <v>8.1000000000000013E-3</v>
      </c>
      <c r="L1367" s="80">
        <v>0</v>
      </c>
      <c r="M1367" s="75" t="s">
        <v>143</v>
      </c>
      <c r="N1367" s="75" t="b">
        <v>1</v>
      </c>
      <c r="O1367" s="75" t="s">
        <v>144</v>
      </c>
      <c r="P1367" s="75">
        <v>1994</v>
      </c>
      <c r="Q1367" s="107">
        <f t="shared" si="25"/>
        <v>2011</v>
      </c>
      <c r="R1367" s="107">
        <v>2</v>
      </c>
      <c r="S1367" s="100">
        <v>211061</v>
      </c>
      <c r="T1367" s="101">
        <v>40701</v>
      </c>
      <c r="U1367" s="83"/>
    </row>
    <row r="1368" spans="1:21" s="84" customFormat="1" x14ac:dyDescent="0.3">
      <c r="A1368" s="68">
        <v>40805</v>
      </c>
      <c r="B1368" s="69">
        <f t="shared" si="24"/>
        <v>20110919</v>
      </c>
      <c r="C1368" s="70">
        <v>2.7799999999999998E-2</v>
      </c>
      <c r="D1368" s="77">
        <v>7.0000000000000001E-3</v>
      </c>
      <c r="E1368" s="77">
        <v>7.0000000000000001E-3</v>
      </c>
      <c r="F1368" s="77">
        <v>7.0000000000000001E-3</v>
      </c>
      <c r="G1368" s="78">
        <v>0</v>
      </c>
      <c r="H1368" s="79"/>
      <c r="I1368" s="79"/>
      <c r="J1368" s="79"/>
      <c r="K1368" s="106">
        <v>8.199999999999999E-3</v>
      </c>
      <c r="L1368" s="80">
        <v>0</v>
      </c>
      <c r="M1368" s="75" t="s">
        <v>143</v>
      </c>
      <c r="N1368" s="75" t="b">
        <v>1</v>
      </c>
      <c r="O1368" s="75" t="s">
        <v>144</v>
      </c>
      <c r="P1368" s="75">
        <v>1994</v>
      </c>
      <c r="Q1368" s="107">
        <f t="shared" si="25"/>
        <v>2011</v>
      </c>
      <c r="R1368" s="107">
        <v>2</v>
      </c>
      <c r="S1368" s="100">
        <v>211061</v>
      </c>
      <c r="T1368" s="101">
        <v>40701</v>
      </c>
      <c r="U1368" s="83"/>
    </row>
    <row r="1369" spans="1:21" s="84" customFormat="1" x14ac:dyDescent="0.3">
      <c r="A1369" s="68">
        <v>40806</v>
      </c>
      <c r="B1369" s="69">
        <f t="shared" si="24"/>
        <v>20110920</v>
      </c>
      <c r="C1369" s="70">
        <v>2.7799999999999998E-2</v>
      </c>
      <c r="D1369" s="77">
        <v>7.0000000000000001E-3</v>
      </c>
      <c r="E1369" s="77">
        <v>7.0000000000000001E-3</v>
      </c>
      <c r="F1369" s="77">
        <v>7.0000000000000001E-3</v>
      </c>
      <c r="G1369" s="78">
        <v>0</v>
      </c>
      <c r="H1369" s="79"/>
      <c r="I1369" s="79"/>
      <c r="J1369" s="79"/>
      <c r="K1369" s="106">
        <v>8.1000000000000013E-3</v>
      </c>
      <c r="L1369" s="80">
        <v>0</v>
      </c>
      <c r="M1369" s="75" t="s">
        <v>143</v>
      </c>
      <c r="N1369" s="75" t="b">
        <v>1</v>
      </c>
      <c r="O1369" s="75" t="s">
        <v>144</v>
      </c>
      <c r="P1369" s="75">
        <v>1994</v>
      </c>
      <c r="Q1369" s="107">
        <f t="shared" si="25"/>
        <v>2011</v>
      </c>
      <c r="R1369" s="107">
        <v>2</v>
      </c>
      <c r="S1369" s="100">
        <v>211061</v>
      </c>
      <c r="T1369" s="101">
        <v>40701</v>
      </c>
      <c r="U1369" s="83"/>
    </row>
    <row r="1370" spans="1:21" s="84" customFormat="1" x14ac:dyDescent="0.3">
      <c r="A1370" s="68">
        <v>40807</v>
      </c>
      <c r="B1370" s="69">
        <f t="shared" si="24"/>
        <v>20110921</v>
      </c>
      <c r="C1370" s="70">
        <v>2.6800000000000001E-2</v>
      </c>
      <c r="D1370" s="77">
        <v>7.0000000000000001E-3</v>
      </c>
      <c r="E1370" s="77">
        <v>7.0000000000000001E-3</v>
      </c>
      <c r="F1370" s="77">
        <v>7.0000000000000001E-3</v>
      </c>
      <c r="G1370" s="78">
        <v>0</v>
      </c>
      <c r="H1370" s="79"/>
      <c r="I1370" s="79"/>
      <c r="J1370" s="79"/>
      <c r="K1370" s="106">
        <v>7.4999999999999997E-3</v>
      </c>
      <c r="L1370" s="80">
        <v>0</v>
      </c>
      <c r="M1370" s="75" t="s">
        <v>143</v>
      </c>
      <c r="N1370" s="75" t="b">
        <v>1</v>
      </c>
      <c r="O1370" s="75" t="s">
        <v>144</v>
      </c>
      <c r="P1370" s="75">
        <v>1994</v>
      </c>
      <c r="Q1370" s="107">
        <f t="shared" si="25"/>
        <v>2011</v>
      </c>
      <c r="R1370" s="107">
        <v>2</v>
      </c>
      <c r="S1370" s="100">
        <v>211061</v>
      </c>
      <c r="T1370" s="101">
        <v>40701</v>
      </c>
      <c r="U1370" s="83"/>
    </row>
    <row r="1371" spans="1:21" s="84" customFormat="1" x14ac:dyDescent="0.3">
      <c r="A1371" s="68">
        <v>40808</v>
      </c>
      <c r="B1371" s="69">
        <f t="shared" si="24"/>
        <v>20110922</v>
      </c>
      <c r="C1371" s="70">
        <v>2.5899999999999999E-2</v>
      </c>
      <c r="D1371" s="77">
        <v>7.0000000000000001E-3</v>
      </c>
      <c r="E1371" s="77">
        <v>7.0000000000000001E-3</v>
      </c>
      <c r="F1371" s="77">
        <v>7.0000000000000001E-3</v>
      </c>
      <c r="G1371" s="78">
        <v>0</v>
      </c>
      <c r="H1371" s="79"/>
      <c r="I1371" s="79"/>
      <c r="J1371" s="79"/>
      <c r="K1371" s="106">
        <v>7.4999999999999997E-3</v>
      </c>
      <c r="L1371" s="80">
        <v>0</v>
      </c>
      <c r="M1371" s="75" t="s">
        <v>143</v>
      </c>
      <c r="N1371" s="75" t="b">
        <v>1</v>
      </c>
      <c r="O1371" s="75" t="s">
        <v>144</v>
      </c>
      <c r="P1371" s="75">
        <v>1994</v>
      </c>
      <c r="Q1371" s="107">
        <f t="shared" si="25"/>
        <v>2011</v>
      </c>
      <c r="R1371" s="107">
        <v>2</v>
      </c>
      <c r="S1371" s="100">
        <v>211061</v>
      </c>
      <c r="T1371" s="101">
        <v>40701</v>
      </c>
      <c r="U1371" s="83"/>
    </row>
    <row r="1372" spans="1:21" s="84" customFormat="1" x14ac:dyDescent="0.3">
      <c r="A1372" s="68">
        <v>40809</v>
      </c>
      <c r="B1372" s="69">
        <f t="shared" si="24"/>
        <v>20110923</v>
      </c>
      <c r="C1372" s="70">
        <v>2.6200000000000001E-2</v>
      </c>
      <c r="D1372" s="77">
        <v>7.0000000000000001E-3</v>
      </c>
      <c r="E1372" s="77">
        <v>7.0000000000000001E-3</v>
      </c>
      <c r="F1372" s="77">
        <v>7.0000000000000001E-3</v>
      </c>
      <c r="G1372" s="78">
        <v>0</v>
      </c>
      <c r="H1372" s="79"/>
      <c r="I1372" s="79"/>
      <c r="J1372" s="79"/>
      <c r="K1372" s="106">
        <v>7.8000000000000005E-3</v>
      </c>
      <c r="L1372" s="80">
        <v>0</v>
      </c>
      <c r="M1372" s="75" t="s">
        <v>143</v>
      </c>
      <c r="N1372" s="75" t="b">
        <v>1</v>
      </c>
      <c r="O1372" s="75" t="s">
        <v>144</v>
      </c>
      <c r="P1372" s="75">
        <v>1994</v>
      </c>
      <c r="Q1372" s="107">
        <f t="shared" si="25"/>
        <v>2011</v>
      </c>
      <c r="R1372" s="107">
        <v>2</v>
      </c>
      <c r="S1372" s="100">
        <v>211061</v>
      </c>
      <c r="T1372" s="101">
        <v>40701</v>
      </c>
      <c r="U1372" s="83"/>
    </row>
    <row r="1373" spans="1:21" s="84" customFormat="1" x14ac:dyDescent="0.3">
      <c r="A1373" s="68">
        <v>40810</v>
      </c>
      <c r="B1373" s="69">
        <f>YEAR(A1373)*10000+MONTH(A1373)*100+DAY(A1373)</f>
        <v>20110924</v>
      </c>
      <c r="C1373" s="70">
        <v>2.6200000000000001E-2</v>
      </c>
      <c r="D1373" s="77">
        <v>7.0000000000000001E-3</v>
      </c>
      <c r="E1373" s="77">
        <v>7.0000000000000001E-3</v>
      </c>
      <c r="F1373" s="77">
        <v>7.0000000000000001E-3</v>
      </c>
      <c r="G1373" s="78">
        <v>0</v>
      </c>
      <c r="H1373" s="79"/>
      <c r="I1373" s="79"/>
      <c r="J1373" s="79"/>
      <c r="K1373" s="106">
        <v>7.8000000000000005E-3</v>
      </c>
      <c r="L1373" s="80">
        <v>0</v>
      </c>
      <c r="M1373" s="75" t="s">
        <v>143</v>
      </c>
      <c r="N1373" s="75" t="b">
        <v>1</v>
      </c>
      <c r="O1373" s="75" t="s">
        <v>144</v>
      </c>
      <c r="P1373" s="75">
        <v>1994</v>
      </c>
      <c r="Q1373" s="107">
        <f t="shared" si="25"/>
        <v>2011</v>
      </c>
      <c r="R1373" s="107">
        <v>2</v>
      </c>
      <c r="S1373" s="100">
        <v>211061</v>
      </c>
      <c r="T1373" s="101">
        <v>40701</v>
      </c>
      <c r="U1373" s="83"/>
    </row>
    <row r="1374" spans="1:21" s="84" customFormat="1" x14ac:dyDescent="0.3">
      <c r="A1374" s="68">
        <v>40811</v>
      </c>
      <c r="B1374" s="69">
        <f>YEAR(A1374)*10000+MONTH(A1374)*100+DAY(A1374)</f>
        <v>20110925</v>
      </c>
      <c r="C1374" s="70">
        <v>2.6200000000000001E-2</v>
      </c>
      <c r="D1374" s="77">
        <v>7.0000000000000001E-3</v>
      </c>
      <c r="E1374" s="77">
        <v>7.0000000000000001E-3</v>
      </c>
      <c r="F1374" s="77">
        <v>7.0000000000000001E-3</v>
      </c>
      <c r="G1374" s="78">
        <v>0</v>
      </c>
      <c r="H1374" s="79"/>
      <c r="I1374" s="79"/>
      <c r="J1374" s="79"/>
      <c r="K1374" s="106">
        <v>7.8000000000000005E-3</v>
      </c>
      <c r="L1374" s="80">
        <v>0</v>
      </c>
      <c r="M1374" s="75" t="s">
        <v>143</v>
      </c>
      <c r="N1374" s="75" t="b">
        <v>1</v>
      </c>
      <c r="O1374" s="75" t="s">
        <v>144</v>
      </c>
      <c r="P1374" s="75">
        <v>1994</v>
      </c>
      <c r="Q1374" s="107">
        <f t="shared" si="25"/>
        <v>2011</v>
      </c>
      <c r="R1374" s="107">
        <v>2</v>
      </c>
      <c r="S1374" s="100">
        <v>211061</v>
      </c>
      <c r="T1374" s="101">
        <v>40701</v>
      </c>
      <c r="U1374" s="83"/>
    </row>
    <row r="1375" spans="1:21" s="84" customFormat="1" x14ac:dyDescent="0.3">
      <c r="A1375" s="68">
        <v>40812</v>
      </c>
      <c r="B1375" s="69">
        <f t="shared" si="24"/>
        <v>20110926</v>
      </c>
      <c r="C1375" s="70">
        <v>2.69E-2</v>
      </c>
      <c r="D1375" s="77">
        <v>7.0000000000000001E-3</v>
      </c>
      <c r="E1375" s="77">
        <v>7.0000000000000001E-3</v>
      </c>
      <c r="F1375" s="77">
        <v>7.0000000000000001E-3</v>
      </c>
      <c r="G1375" s="78">
        <v>0</v>
      </c>
      <c r="H1375" s="79"/>
      <c r="I1375" s="79"/>
      <c r="J1375" s="79"/>
      <c r="K1375" s="106">
        <v>8.6E-3</v>
      </c>
      <c r="L1375" s="80">
        <v>0</v>
      </c>
      <c r="M1375" s="75" t="s">
        <v>143</v>
      </c>
      <c r="N1375" s="75" t="b">
        <v>1</v>
      </c>
      <c r="O1375" s="75" t="s">
        <v>144</v>
      </c>
      <c r="P1375" s="75">
        <v>1994</v>
      </c>
      <c r="Q1375" s="107">
        <f t="shared" si="25"/>
        <v>2011</v>
      </c>
      <c r="R1375" s="107">
        <v>2</v>
      </c>
      <c r="S1375" s="100">
        <v>211061</v>
      </c>
      <c r="T1375" s="101">
        <v>40701</v>
      </c>
      <c r="U1375" s="83"/>
    </row>
    <row r="1376" spans="1:21" s="84" customFormat="1" x14ac:dyDescent="0.3">
      <c r="A1376" s="68">
        <v>40813</v>
      </c>
      <c r="B1376" s="69">
        <f t="shared" si="24"/>
        <v>20110927</v>
      </c>
      <c r="C1376" s="70">
        <v>2.7400000000000001E-2</v>
      </c>
      <c r="D1376" s="77">
        <v>7.0000000000000001E-3</v>
      </c>
      <c r="E1376" s="77">
        <v>7.0000000000000001E-3</v>
      </c>
      <c r="F1376" s="77">
        <v>7.0000000000000001E-3</v>
      </c>
      <c r="G1376" s="78">
        <v>0</v>
      </c>
      <c r="H1376" s="79"/>
      <c r="I1376" s="79"/>
      <c r="J1376" s="79"/>
      <c r="K1376" s="106">
        <v>8.8000000000000005E-3</v>
      </c>
      <c r="L1376" s="80">
        <v>0</v>
      </c>
      <c r="M1376" s="75" t="s">
        <v>143</v>
      </c>
      <c r="N1376" s="75" t="b">
        <v>1</v>
      </c>
      <c r="O1376" s="75" t="s">
        <v>144</v>
      </c>
      <c r="P1376" s="75">
        <v>1994</v>
      </c>
      <c r="Q1376" s="107">
        <f t="shared" si="25"/>
        <v>2011</v>
      </c>
      <c r="R1376" s="107">
        <v>2</v>
      </c>
      <c r="S1376" s="100">
        <v>211061</v>
      </c>
      <c r="T1376" s="101">
        <v>40701</v>
      </c>
      <c r="U1376" s="83"/>
    </row>
    <row r="1377" spans="1:21" s="84" customFormat="1" x14ac:dyDescent="0.3">
      <c r="A1377" s="68">
        <v>40814</v>
      </c>
      <c r="B1377" s="69">
        <f t="shared" si="24"/>
        <v>20110928</v>
      </c>
      <c r="C1377" s="70">
        <v>2.7400000000000001E-2</v>
      </c>
      <c r="D1377" s="77">
        <v>7.0000000000000001E-3</v>
      </c>
      <c r="E1377" s="77">
        <v>7.0000000000000001E-3</v>
      </c>
      <c r="F1377" s="77">
        <v>7.0000000000000001E-3</v>
      </c>
      <c r="G1377" s="78">
        <v>0</v>
      </c>
      <c r="H1377" s="79"/>
      <c r="I1377" s="79"/>
      <c r="J1377" s="79"/>
      <c r="K1377" s="106">
        <v>8.8000000000000005E-3</v>
      </c>
      <c r="L1377" s="80">
        <v>0</v>
      </c>
      <c r="M1377" s="75" t="s">
        <v>143</v>
      </c>
      <c r="N1377" s="75" t="b">
        <v>1</v>
      </c>
      <c r="O1377" s="75" t="s">
        <v>144</v>
      </c>
      <c r="P1377" s="75">
        <v>1994</v>
      </c>
      <c r="Q1377" s="107">
        <f t="shared" si="25"/>
        <v>2011</v>
      </c>
      <c r="R1377" s="107">
        <v>2</v>
      </c>
      <c r="S1377" s="100">
        <v>211061</v>
      </c>
      <c r="T1377" s="101">
        <v>40701</v>
      </c>
      <c r="U1377" s="83"/>
    </row>
    <row r="1378" spans="1:21" s="84" customFormat="1" x14ac:dyDescent="0.3">
      <c r="A1378" s="68">
        <v>40815</v>
      </c>
      <c r="B1378" s="69">
        <f t="shared" si="24"/>
        <v>20110929</v>
      </c>
      <c r="C1378" s="70">
        <v>2.75E-2</v>
      </c>
      <c r="D1378" s="77">
        <v>7.0000000000000001E-3</v>
      </c>
      <c r="E1378" s="77">
        <v>7.0000000000000001E-3</v>
      </c>
      <c r="F1378" s="77">
        <v>7.0000000000000001E-3</v>
      </c>
      <c r="G1378" s="78">
        <v>0</v>
      </c>
      <c r="H1378" s="79"/>
      <c r="I1378" s="79"/>
      <c r="J1378" s="79"/>
      <c r="K1378" s="106">
        <v>8.8000000000000005E-3</v>
      </c>
      <c r="L1378" s="80">
        <v>0</v>
      </c>
      <c r="M1378" s="75" t="s">
        <v>143</v>
      </c>
      <c r="N1378" s="75" t="b">
        <v>1</v>
      </c>
      <c r="O1378" s="75" t="s">
        <v>144</v>
      </c>
      <c r="P1378" s="75">
        <v>1994</v>
      </c>
      <c r="Q1378" s="107">
        <f t="shared" si="25"/>
        <v>2011</v>
      </c>
      <c r="R1378" s="107">
        <v>2</v>
      </c>
      <c r="S1378" s="100">
        <v>211061</v>
      </c>
      <c r="T1378" s="101">
        <v>40701</v>
      </c>
      <c r="U1378" s="83"/>
    </row>
    <row r="1379" spans="1:21" s="99" customFormat="1" x14ac:dyDescent="0.3">
      <c r="A1379" s="85">
        <v>40816</v>
      </c>
      <c r="B1379" s="86">
        <f t="shared" si="24"/>
        <v>20110930</v>
      </c>
      <c r="C1379" s="87">
        <v>2.6800000000000001E-2</v>
      </c>
      <c r="D1379" s="89">
        <v>8.9999999999999993E-3</v>
      </c>
      <c r="E1379" s="89">
        <v>8.9999999999999993E-3</v>
      </c>
      <c r="F1379" s="89">
        <v>8.9999999999999993E-3</v>
      </c>
      <c r="G1379" s="103">
        <v>0</v>
      </c>
      <c r="H1379" s="91"/>
      <c r="I1379" s="91"/>
      <c r="J1379" s="91"/>
      <c r="K1379" s="92">
        <v>8.199999999999999E-3</v>
      </c>
      <c r="L1379" s="92">
        <v>0</v>
      </c>
      <c r="M1379" s="98" t="s">
        <v>143</v>
      </c>
      <c r="N1379" s="98" t="b">
        <v>1</v>
      </c>
      <c r="O1379" s="98" t="s">
        <v>144</v>
      </c>
      <c r="P1379" s="98">
        <v>1994</v>
      </c>
      <c r="Q1379" s="105">
        <f t="shared" si="25"/>
        <v>2011</v>
      </c>
      <c r="R1379" s="105">
        <v>2</v>
      </c>
      <c r="S1379" s="93">
        <v>211115</v>
      </c>
      <c r="T1379" s="94">
        <v>40864</v>
      </c>
      <c r="U1379" s="95" t="s">
        <v>176</v>
      </c>
    </row>
    <row r="1380" spans="1:21" s="84" customFormat="1" x14ac:dyDescent="0.3">
      <c r="A1380" s="68">
        <v>40817</v>
      </c>
      <c r="B1380" s="69">
        <f>YEAR(A1380)*10000+MONTH(A1380)*100+DAY(A1380)</f>
        <v>20111001</v>
      </c>
      <c r="C1380" s="70">
        <v>2.6800000000000001E-2</v>
      </c>
      <c r="D1380" s="77">
        <v>8.9999999999999993E-3</v>
      </c>
      <c r="E1380" s="77">
        <v>8.9999999999999993E-3</v>
      </c>
      <c r="F1380" s="77">
        <v>8.9999999999999993E-3</v>
      </c>
      <c r="G1380" s="78">
        <v>0</v>
      </c>
      <c r="H1380" s="79"/>
      <c r="I1380" s="79"/>
      <c r="J1380" s="79"/>
      <c r="K1380" s="106">
        <v>8.199999999999999E-3</v>
      </c>
      <c r="L1380" s="80">
        <v>0</v>
      </c>
      <c r="M1380" s="75" t="s">
        <v>143</v>
      </c>
      <c r="N1380" s="75" t="b">
        <v>1</v>
      </c>
      <c r="O1380" s="75" t="s">
        <v>144</v>
      </c>
      <c r="P1380" s="75">
        <v>1994</v>
      </c>
      <c r="Q1380" s="107">
        <f t="shared" si="25"/>
        <v>2011</v>
      </c>
      <c r="R1380" s="107">
        <v>2</v>
      </c>
      <c r="S1380" s="100">
        <v>211115</v>
      </c>
      <c r="T1380" s="101">
        <v>40864</v>
      </c>
      <c r="U1380" s="83"/>
    </row>
    <row r="1381" spans="1:21" s="84" customFormat="1" x14ac:dyDescent="0.3">
      <c r="A1381" s="68">
        <v>40818</v>
      </c>
      <c r="B1381" s="69">
        <f>YEAR(A1381)*10000+MONTH(A1381)*100+DAY(A1381)</f>
        <v>20111002</v>
      </c>
      <c r="C1381" s="70">
        <v>2.6800000000000001E-2</v>
      </c>
      <c r="D1381" s="77">
        <v>8.9999999999999993E-3</v>
      </c>
      <c r="E1381" s="77">
        <v>8.9999999999999993E-3</v>
      </c>
      <c r="F1381" s="77">
        <v>8.9999999999999993E-3</v>
      </c>
      <c r="G1381" s="78">
        <v>0</v>
      </c>
      <c r="H1381" s="79"/>
      <c r="I1381" s="79"/>
      <c r="J1381" s="79"/>
      <c r="K1381" s="106">
        <v>8.199999999999999E-3</v>
      </c>
      <c r="L1381" s="80">
        <v>0</v>
      </c>
      <c r="M1381" s="75" t="s">
        <v>143</v>
      </c>
      <c r="N1381" s="75" t="b">
        <v>1</v>
      </c>
      <c r="O1381" s="75" t="s">
        <v>144</v>
      </c>
      <c r="P1381" s="75">
        <v>1994</v>
      </c>
      <c r="Q1381" s="107">
        <f t="shared" si="25"/>
        <v>2011</v>
      </c>
      <c r="R1381" s="107">
        <v>2</v>
      </c>
      <c r="S1381" s="100">
        <v>211115</v>
      </c>
      <c r="T1381" s="101">
        <v>40864</v>
      </c>
      <c r="U1381" s="83"/>
    </row>
    <row r="1382" spans="1:21" s="84" customFormat="1" x14ac:dyDescent="0.3">
      <c r="A1382" s="68">
        <v>40819</v>
      </c>
      <c r="B1382" s="69">
        <f t="shared" si="24"/>
        <v>20111003</v>
      </c>
      <c r="C1382" s="70">
        <v>2.6000000000000002E-2</v>
      </c>
      <c r="D1382" s="77">
        <v>8.9999999999999993E-3</v>
      </c>
      <c r="E1382" s="77">
        <v>8.9999999999999993E-3</v>
      </c>
      <c r="F1382" s="77">
        <v>8.9999999999999993E-3</v>
      </c>
      <c r="G1382" s="78">
        <v>0</v>
      </c>
      <c r="H1382" s="79"/>
      <c r="I1382" s="79"/>
      <c r="J1382" s="79"/>
      <c r="K1382" s="106">
        <v>7.4000000000000003E-3</v>
      </c>
      <c r="L1382" s="80">
        <v>0</v>
      </c>
      <c r="M1382" s="75" t="s">
        <v>143</v>
      </c>
      <c r="N1382" s="75" t="b">
        <v>1</v>
      </c>
      <c r="O1382" s="75" t="s">
        <v>144</v>
      </c>
      <c r="P1382" s="75">
        <v>1994</v>
      </c>
      <c r="Q1382" s="107">
        <f t="shared" si="25"/>
        <v>2011</v>
      </c>
      <c r="R1382" s="107">
        <v>2</v>
      </c>
      <c r="S1382" s="100">
        <v>211115</v>
      </c>
      <c r="T1382" s="101">
        <v>40864</v>
      </c>
      <c r="U1382" s="83"/>
    </row>
    <row r="1383" spans="1:21" s="84" customFormat="1" x14ac:dyDescent="0.3">
      <c r="A1383" s="68">
        <v>40820</v>
      </c>
      <c r="B1383" s="69">
        <f t="shared" si="24"/>
        <v>20111004</v>
      </c>
      <c r="C1383" s="70">
        <v>2.6200000000000001E-2</v>
      </c>
      <c r="D1383" s="77">
        <v>8.9999999999999993E-3</v>
      </c>
      <c r="E1383" s="77">
        <v>8.9999999999999993E-3</v>
      </c>
      <c r="F1383" s="77">
        <v>8.9999999999999993E-3</v>
      </c>
      <c r="G1383" s="78">
        <v>0</v>
      </c>
      <c r="H1383" s="79"/>
      <c r="I1383" s="79"/>
      <c r="J1383" s="79"/>
      <c r="K1383" s="106">
        <v>7.1999999999999998E-3</v>
      </c>
      <c r="L1383" s="80">
        <v>0</v>
      </c>
      <c r="M1383" s="75" t="s">
        <v>143</v>
      </c>
      <c r="N1383" s="75" t="b">
        <v>1</v>
      </c>
      <c r="O1383" s="75" t="s">
        <v>144</v>
      </c>
      <c r="P1383" s="75">
        <v>1994</v>
      </c>
      <c r="Q1383" s="107">
        <f t="shared" si="25"/>
        <v>2011</v>
      </c>
      <c r="R1383" s="107">
        <v>2</v>
      </c>
      <c r="S1383" s="100">
        <v>211115</v>
      </c>
      <c r="T1383" s="101">
        <v>40864</v>
      </c>
      <c r="U1383" s="83"/>
    </row>
    <row r="1384" spans="1:21" s="84" customFormat="1" x14ac:dyDescent="0.3">
      <c r="A1384" s="68">
        <v>40821</v>
      </c>
      <c r="B1384" s="69">
        <f t="shared" si="24"/>
        <v>20111005</v>
      </c>
      <c r="C1384" s="70">
        <v>2.64E-2</v>
      </c>
      <c r="D1384" s="77">
        <v>8.9999999999999993E-3</v>
      </c>
      <c r="E1384" s="77">
        <v>8.9999999999999993E-3</v>
      </c>
      <c r="F1384" s="77">
        <v>8.9999999999999993E-3</v>
      </c>
      <c r="G1384" s="78">
        <v>0</v>
      </c>
      <c r="H1384" s="79"/>
      <c r="I1384" s="79"/>
      <c r="J1384" s="79"/>
      <c r="K1384" s="106">
        <v>6.9999999999999993E-3</v>
      </c>
      <c r="L1384" s="80">
        <v>0</v>
      </c>
      <c r="M1384" s="75" t="s">
        <v>143</v>
      </c>
      <c r="N1384" s="75" t="b">
        <v>1</v>
      </c>
      <c r="O1384" s="75" t="s">
        <v>144</v>
      </c>
      <c r="P1384" s="75">
        <v>1994</v>
      </c>
      <c r="Q1384" s="107">
        <f t="shared" si="25"/>
        <v>2011</v>
      </c>
      <c r="R1384" s="107">
        <v>2</v>
      </c>
      <c r="S1384" s="100">
        <v>211115</v>
      </c>
      <c r="T1384" s="101">
        <v>40864</v>
      </c>
      <c r="U1384" s="83"/>
    </row>
    <row r="1385" spans="1:21" s="84" customFormat="1" x14ac:dyDescent="0.3">
      <c r="A1385" s="68">
        <v>40822</v>
      </c>
      <c r="B1385" s="69">
        <f t="shared" ref="B1385:B1425" si="26">YEAR(A1385)*10000+MONTH(A1385)*100+DAY(A1385)</f>
        <v>20111006</v>
      </c>
      <c r="C1385" s="70">
        <v>2.7200000000000002E-2</v>
      </c>
      <c r="D1385" s="77">
        <v>8.9999999999999993E-3</v>
      </c>
      <c r="E1385" s="77">
        <v>8.9999999999999993E-3</v>
      </c>
      <c r="F1385" s="77">
        <v>8.9999999999999993E-3</v>
      </c>
      <c r="G1385" s="78">
        <v>0</v>
      </c>
      <c r="H1385" s="79"/>
      <c r="I1385" s="79"/>
      <c r="J1385" s="79"/>
      <c r="K1385" s="106">
        <v>7.6E-3</v>
      </c>
      <c r="L1385" s="80">
        <v>0</v>
      </c>
      <c r="M1385" s="75" t="s">
        <v>143</v>
      </c>
      <c r="N1385" s="75" t="b">
        <v>1</v>
      </c>
      <c r="O1385" s="75" t="s">
        <v>144</v>
      </c>
      <c r="P1385" s="75">
        <v>1994</v>
      </c>
      <c r="Q1385" s="107">
        <f t="shared" si="25"/>
        <v>2011</v>
      </c>
      <c r="R1385" s="107">
        <v>2</v>
      </c>
      <c r="S1385" s="100">
        <v>211115</v>
      </c>
      <c r="T1385" s="101">
        <v>40864</v>
      </c>
      <c r="U1385" s="83"/>
    </row>
    <row r="1386" spans="1:21" s="84" customFormat="1" x14ac:dyDescent="0.3">
      <c r="A1386" s="68">
        <v>40823</v>
      </c>
      <c r="B1386" s="69">
        <f t="shared" si="26"/>
        <v>20111007</v>
      </c>
      <c r="C1386" s="70">
        <v>2.7400000000000001E-2</v>
      </c>
      <c r="D1386" s="77">
        <v>8.9999999999999993E-3</v>
      </c>
      <c r="E1386" s="77">
        <v>8.9999999999999993E-3</v>
      </c>
      <c r="F1386" s="77">
        <v>8.9999999999999993E-3</v>
      </c>
      <c r="G1386" s="78">
        <v>0</v>
      </c>
      <c r="H1386" s="79"/>
      <c r="I1386" s="79"/>
      <c r="J1386" s="79"/>
      <c r="K1386" s="106">
        <v>6.9999999999999993E-3</v>
      </c>
      <c r="L1386" s="80">
        <v>0</v>
      </c>
      <c r="M1386" s="75" t="s">
        <v>143</v>
      </c>
      <c r="N1386" s="75" t="b">
        <v>1</v>
      </c>
      <c r="O1386" s="75" t="s">
        <v>144</v>
      </c>
      <c r="P1386" s="75">
        <v>1994</v>
      </c>
      <c r="Q1386" s="107">
        <f t="shared" si="25"/>
        <v>2011</v>
      </c>
      <c r="R1386" s="107">
        <v>2</v>
      </c>
      <c r="S1386" s="100">
        <v>211115</v>
      </c>
      <c r="T1386" s="101">
        <v>40864</v>
      </c>
      <c r="U1386" s="83"/>
    </row>
    <row r="1387" spans="1:21" s="84" customFormat="1" x14ac:dyDescent="0.3">
      <c r="A1387" s="68">
        <v>40824</v>
      </c>
      <c r="B1387" s="69">
        <f>YEAR(A1387)*10000+MONTH(A1387)*100+DAY(A1387)</f>
        <v>20111008</v>
      </c>
      <c r="C1387" s="70">
        <v>2.7400000000000001E-2</v>
      </c>
      <c r="D1387" s="77">
        <v>8.9999999999999993E-3</v>
      </c>
      <c r="E1387" s="77">
        <v>8.9999999999999993E-3</v>
      </c>
      <c r="F1387" s="77">
        <v>8.9999999999999993E-3</v>
      </c>
      <c r="G1387" s="78">
        <v>0</v>
      </c>
      <c r="H1387" s="79"/>
      <c r="I1387" s="79"/>
      <c r="J1387" s="79"/>
      <c r="K1387" s="106">
        <v>6.9999999999999993E-3</v>
      </c>
      <c r="L1387" s="80">
        <v>0</v>
      </c>
      <c r="M1387" s="75" t="s">
        <v>143</v>
      </c>
      <c r="N1387" s="75" t="b">
        <v>1</v>
      </c>
      <c r="O1387" s="75" t="s">
        <v>144</v>
      </c>
      <c r="P1387" s="75">
        <v>1994</v>
      </c>
      <c r="Q1387" s="107">
        <f t="shared" si="25"/>
        <v>2011</v>
      </c>
      <c r="R1387" s="107">
        <v>2</v>
      </c>
      <c r="S1387" s="100">
        <v>211115</v>
      </c>
      <c r="T1387" s="101">
        <v>40864</v>
      </c>
      <c r="U1387" s="83"/>
    </row>
    <row r="1388" spans="1:21" s="84" customFormat="1" x14ac:dyDescent="0.3">
      <c r="A1388" s="68">
        <v>40825</v>
      </c>
      <c r="B1388" s="69">
        <f>YEAR(A1388)*10000+MONTH(A1388)*100+DAY(A1388)</f>
        <v>20111009</v>
      </c>
      <c r="C1388" s="70">
        <v>2.7400000000000001E-2</v>
      </c>
      <c r="D1388" s="77">
        <v>8.9999999999999993E-3</v>
      </c>
      <c r="E1388" s="77">
        <v>8.9999999999999993E-3</v>
      </c>
      <c r="F1388" s="77">
        <v>8.9999999999999993E-3</v>
      </c>
      <c r="G1388" s="78">
        <v>0</v>
      </c>
      <c r="H1388" s="79"/>
      <c r="I1388" s="79"/>
      <c r="J1388" s="79"/>
      <c r="K1388" s="106">
        <v>6.9999999999999993E-3</v>
      </c>
      <c r="L1388" s="80">
        <v>0</v>
      </c>
      <c r="M1388" s="75" t="s">
        <v>143</v>
      </c>
      <c r="N1388" s="75" t="b">
        <v>1</v>
      </c>
      <c r="O1388" s="75" t="s">
        <v>144</v>
      </c>
      <c r="P1388" s="75">
        <v>1994</v>
      </c>
      <c r="Q1388" s="107">
        <f t="shared" si="25"/>
        <v>2011</v>
      </c>
      <c r="R1388" s="107">
        <v>2</v>
      </c>
      <c r="S1388" s="100">
        <v>211115</v>
      </c>
      <c r="T1388" s="101">
        <v>40864</v>
      </c>
      <c r="U1388" s="83"/>
    </row>
    <row r="1389" spans="1:21" s="84" customFormat="1" x14ac:dyDescent="0.3">
      <c r="A1389" s="68">
        <v>40826</v>
      </c>
      <c r="B1389" s="69">
        <f t="shared" si="26"/>
        <v>20111010</v>
      </c>
      <c r="C1389" s="70">
        <v>2.7400000000000001E-2</v>
      </c>
      <c r="D1389" s="77">
        <v>8.9999999999999993E-3</v>
      </c>
      <c r="E1389" s="77">
        <v>8.9999999999999993E-3</v>
      </c>
      <c r="F1389" s="77">
        <v>8.9999999999999993E-3</v>
      </c>
      <c r="G1389" s="78">
        <v>0</v>
      </c>
      <c r="H1389" s="79"/>
      <c r="I1389" s="79"/>
      <c r="J1389" s="79"/>
      <c r="K1389" s="106">
        <v>6.9999999999999993E-3</v>
      </c>
      <c r="L1389" s="80">
        <v>0</v>
      </c>
      <c r="M1389" s="75" t="s">
        <v>143</v>
      </c>
      <c r="N1389" s="75" t="b">
        <v>1</v>
      </c>
      <c r="O1389" s="75" t="s">
        <v>144</v>
      </c>
      <c r="P1389" s="75">
        <v>1994</v>
      </c>
      <c r="Q1389" s="107">
        <f t="shared" si="25"/>
        <v>2011</v>
      </c>
      <c r="R1389" s="107">
        <v>2</v>
      </c>
      <c r="S1389" s="100">
        <v>211115</v>
      </c>
      <c r="T1389" s="101">
        <v>40864</v>
      </c>
      <c r="U1389" s="83"/>
    </row>
    <row r="1390" spans="1:21" s="84" customFormat="1" x14ac:dyDescent="0.3">
      <c r="A1390" s="68">
        <v>40827</v>
      </c>
      <c r="B1390" s="69">
        <f t="shared" si="26"/>
        <v>20111011</v>
      </c>
      <c r="C1390" s="70">
        <v>2.7799999999999998E-2</v>
      </c>
      <c r="D1390" s="77">
        <v>8.9999999999999993E-3</v>
      </c>
      <c r="E1390" s="77">
        <v>8.9999999999999993E-3</v>
      </c>
      <c r="F1390" s="77">
        <v>8.9999999999999993E-3</v>
      </c>
      <c r="G1390" s="78">
        <v>0</v>
      </c>
      <c r="H1390" s="79"/>
      <c r="I1390" s="79"/>
      <c r="J1390" s="79"/>
      <c r="K1390" s="106">
        <v>7.1999999999999998E-3</v>
      </c>
      <c r="L1390" s="80">
        <v>0</v>
      </c>
      <c r="M1390" s="75" t="s">
        <v>143</v>
      </c>
      <c r="N1390" s="75" t="b">
        <v>1</v>
      </c>
      <c r="O1390" s="75" t="s">
        <v>144</v>
      </c>
      <c r="P1390" s="75">
        <v>1994</v>
      </c>
      <c r="Q1390" s="107">
        <f t="shared" ref="Q1390:Q1453" si="27">YEAR(A1390)</f>
        <v>2011</v>
      </c>
      <c r="R1390" s="107">
        <v>2</v>
      </c>
      <c r="S1390" s="100">
        <v>211115</v>
      </c>
      <c r="T1390" s="101">
        <v>40864</v>
      </c>
      <c r="U1390" s="83"/>
    </row>
    <row r="1391" spans="1:21" s="84" customFormat="1" x14ac:dyDescent="0.3">
      <c r="A1391" s="68">
        <v>40828</v>
      </c>
      <c r="B1391" s="69">
        <f t="shared" si="26"/>
        <v>20111012</v>
      </c>
      <c r="C1391" s="70">
        <v>2.8500000000000001E-2</v>
      </c>
      <c r="D1391" s="77">
        <v>8.9999999999999993E-3</v>
      </c>
      <c r="E1391" s="77">
        <v>8.9999999999999993E-3</v>
      </c>
      <c r="F1391" s="77">
        <v>8.9999999999999993E-3</v>
      </c>
      <c r="G1391" s="78">
        <v>0</v>
      </c>
      <c r="H1391" s="79"/>
      <c r="I1391" s="79"/>
      <c r="J1391" s="79"/>
      <c r="K1391" s="106">
        <v>7.9000000000000008E-3</v>
      </c>
      <c r="L1391" s="80">
        <v>0</v>
      </c>
      <c r="M1391" s="75" t="s">
        <v>143</v>
      </c>
      <c r="N1391" s="75" t="b">
        <v>1</v>
      </c>
      <c r="O1391" s="75" t="s">
        <v>144</v>
      </c>
      <c r="P1391" s="75">
        <v>1994</v>
      </c>
      <c r="Q1391" s="107">
        <f t="shared" si="27"/>
        <v>2011</v>
      </c>
      <c r="R1391" s="107">
        <v>2</v>
      </c>
      <c r="S1391" s="100">
        <v>211115</v>
      </c>
      <c r="T1391" s="101">
        <v>40864</v>
      </c>
      <c r="U1391" s="83"/>
    </row>
    <row r="1392" spans="1:21" s="84" customFormat="1" x14ac:dyDescent="0.3">
      <c r="A1392" s="68">
        <v>40829</v>
      </c>
      <c r="B1392" s="69">
        <f t="shared" si="26"/>
        <v>20111013</v>
      </c>
      <c r="C1392" s="70">
        <v>2.7900000000000001E-2</v>
      </c>
      <c r="D1392" s="77">
        <v>8.9999999999999993E-3</v>
      </c>
      <c r="E1392" s="77">
        <v>8.9999999999999993E-3</v>
      </c>
      <c r="F1392" s="77">
        <v>8.9999999999999993E-3</v>
      </c>
      <c r="G1392" s="78">
        <v>0</v>
      </c>
      <c r="H1392" s="79"/>
      <c r="I1392" s="79"/>
      <c r="J1392" s="79"/>
      <c r="K1392" s="106">
        <v>8.0000000000000002E-3</v>
      </c>
      <c r="L1392" s="80">
        <v>0</v>
      </c>
      <c r="M1392" s="75" t="s">
        <v>143</v>
      </c>
      <c r="N1392" s="75" t="b">
        <v>1</v>
      </c>
      <c r="O1392" s="75" t="s">
        <v>144</v>
      </c>
      <c r="P1392" s="75">
        <v>1994</v>
      </c>
      <c r="Q1392" s="107">
        <f t="shared" si="27"/>
        <v>2011</v>
      </c>
      <c r="R1392" s="107">
        <v>2</v>
      </c>
      <c r="S1392" s="100">
        <v>211115</v>
      </c>
      <c r="T1392" s="101">
        <v>40864</v>
      </c>
      <c r="U1392" s="83"/>
    </row>
    <row r="1393" spans="1:21" s="84" customFormat="1" x14ac:dyDescent="0.3">
      <c r="A1393" s="68">
        <v>40830</v>
      </c>
      <c r="B1393" s="69">
        <f t="shared" si="26"/>
        <v>20111014</v>
      </c>
      <c r="C1393" s="70">
        <v>2.8799999999999999E-2</v>
      </c>
      <c r="D1393" s="77">
        <v>8.9999999999999993E-3</v>
      </c>
      <c r="E1393" s="77">
        <v>8.9999999999999993E-3</v>
      </c>
      <c r="F1393" s="77">
        <v>8.9999999999999993E-3</v>
      </c>
      <c r="G1393" s="78">
        <v>0</v>
      </c>
      <c r="H1393" s="79"/>
      <c r="I1393" s="79"/>
      <c r="J1393" s="79"/>
      <c r="K1393" s="106">
        <v>8.8000000000000005E-3</v>
      </c>
      <c r="L1393" s="80">
        <v>0</v>
      </c>
      <c r="M1393" s="75" t="s">
        <v>143</v>
      </c>
      <c r="N1393" s="75" t="b">
        <v>1</v>
      </c>
      <c r="O1393" s="75" t="s">
        <v>144</v>
      </c>
      <c r="P1393" s="75">
        <v>1994</v>
      </c>
      <c r="Q1393" s="107">
        <f t="shared" si="27"/>
        <v>2011</v>
      </c>
      <c r="R1393" s="107">
        <v>2</v>
      </c>
      <c r="S1393" s="100">
        <v>211115</v>
      </c>
      <c r="T1393" s="101">
        <v>40864</v>
      </c>
      <c r="U1393" s="83"/>
    </row>
    <row r="1394" spans="1:21" s="84" customFormat="1" x14ac:dyDescent="0.3">
      <c r="A1394" s="68">
        <v>40831</v>
      </c>
      <c r="B1394" s="69">
        <f>YEAR(A1394)*10000+MONTH(A1394)*100+DAY(A1394)</f>
        <v>20111015</v>
      </c>
      <c r="C1394" s="70">
        <v>2.8799999999999999E-2</v>
      </c>
      <c r="D1394" s="77">
        <v>8.9999999999999993E-3</v>
      </c>
      <c r="E1394" s="77">
        <v>8.9999999999999993E-3</v>
      </c>
      <c r="F1394" s="77">
        <v>8.9999999999999993E-3</v>
      </c>
      <c r="G1394" s="78">
        <v>0</v>
      </c>
      <c r="H1394" s="79"/>
      <c r="I1394" s="79"/>
      <c r="J1394" s="79"/>
      <c r="K1394" s="106">
        <v>8.8000000000000005E-3</v>
      </c>
      <c r="L1394" s="80">
        <v>0</v>
      </c>
      <c r="M1394" s="75" t="s">
        <v>143</v>
      </c>
      <c r="N1394" s="75" t="b">
        <v>1</v>
      </c>
      <c r="O1394" s="75" t="s">
        <v>144</v>
      </c>
      <c r="P1394" s="75">
        <v>1994</v>
      </c>
      <c r="Q1394" s="107">
        <f t="shared" si="27"/>
        <v>2011</v>
      </c>
      <c r="R1394" s="107">
        <v>2</v>
      </c>
      <c r="S1394" s="100">
        <v>211115</v>
      </c>
      <c r="T1394" s="101">
        <v>40864</v>
      </c>
      <c r="U1394" s="83"/>
    </row>
    <row r="1395" spans="1:21" s="84" customFormat="1" x14ac:dyDescent="0.3">
      <c r="A1395" s="68">
        <v>40832</v>
      </c>
      <c r="B1395" s="69">
        <f>YEAR(A1395)*10000+MONTH(A1395)*100+DAY(A1395)</f>
        <v>20111016</v>
      </c>
      <c r="C1395" s="70">
        <v>2.8799999999999999E-2</v>
      </c>
      <c r="D1395" s="77">
        <v>8.9999999999999993E-3</v>
      </c>
      <c r="E1395" s="77">
        <v>8.9999999999999993E-3</v>
      </c>
      <c r="F1395" s="77">
        <v>8.9999999999999993E-3</v>
      </c>
      <c r="G1395" s="78">
        <v>0</v>
      </c>
      <c r="H1395" s="79"/>
      <c r="I1395" s="79"/>
      <c r="J1395" s="79"/>
      <c r="K1395" s="106">
        <v>8.8000000000000005E-3</v>
      </c>
      <c r="L1395" s="80">
        <v>0</v>
      </c>
      <c r="M1395" s="75" t="s">
        <v>143</v>
      </c>
      <c r="N1395" s="75" t="b">
        <v>1</v>
      </c>
      <c r="O1395" s="75" t="s">
        <v>144</v>
      </c>
      <c r="P1395" s="75">
        <v>1994</v>
      </c>
      <c r="Q1395" s="107">
        <f t="shared" si="27"/>
        <v>2011</v>
      </c>
      <c r="R1395" s="107">
        <v>2</v>
      </c>
      <c r="S1395" s="100">
        <v>211115</v>
      </c>
      <c r="T1395" s="101">
        <v>40864</v>
      </c>
      <c r="U1395" s="83"/>
    </row>
    <row r="1396" spans="1:21" s="84" customFormat="1" x14ac:dyDescent="0.3">
      <c r="A1396" s="68">
        <v>40833</v>
      </c>
      <c r="B1396" s="69">
        <f t="shared" si="26"/>
        <v>20111017</v>
      </c>
      <c r="C1396" s="70">
        <v>2.7900000000000001E-2</v>
      </c>
      <c r="D1396" s="77">
        <v>8.9999999999999993E-3</v>
      </c>
      <c r="E1396" s="77">
        <v>8.9999999999999993E-3</v>
      </c>
      <c r="F1396" s="77">
        <v>8.9999999999999993E-3</v>
      </c>
      <c r="G1396" s="78">
        <v>0</v>
      </c>
      <c r="H1396" s="79"/>
      <c r="I1396" s="79"/>
      <c r="J1396" s="79"/>
      <c r="K1396" s="106">
        <v>7.9000000000000008E-3</v>
      </c>
      <c r="L1396" s="80">
        <v>0</v>
      </c>
      <c r="M1396" s="75" t="s">
        <v>143</v>
      </c>
      <c r="N1396" s="75" t="b">
        <v>1</v>
      </c>
      <c r="O1396" s="75" t="s">
        <v>144</v>
      </c>
      <c r="P1396" s="75">
        <v>1994</v>
      </c>
      <c r="Q1396" s="107">
        <f t="shared" si="27"/>
        <v>2011</v>
      </c>
      <c r="R1396" s="107">
        <v>2</v>
      </c>
      <c r="S1396" s="100">
        <v>211115</v>
      </c>
      <c r="T1396" s="101">
        <v>40864</v>
      </c>
      <c r="U1396" s="83"/>
    </row>
    <row r="1397" spans="1:21" s="84" customFormat="1" x14ac:dyDescent="0.3">
      <c r="A1397" s="68">
        <v>40834</v>
      </c>
      <c r="B1397" s="69">
        <f t="shared" si="26"/>
        <v>20111018</v>
      </c>
      <c r="C1397" s="70">
        <v>2.81E-2</v>
      </c>
      <c r="D1397" s="77">
        <v>8.9999999999999993E-3</v>
      </c>
      <c r="E1397" s="77">
        <v>8.9999999999999993E-3</v>
      </c>
      <c r="F1397" s="77">
        <v>8.9999999999999993E-3</v>
      </c>
      <c r="G1397" s="78">
        <v>0</v>
      </c>
      <c r="H1397" s="79"/>
      <c r="I1397" s="79"/>
      <c r="J1397" s="79"/>
      <c r="K1397" s="106">
        <v>8.1000000000000013E-3</v>
      </c>
      <c r="L1397" s="80">
        <v>0</v>
      </c>
      <c r="M1397" s="75" t="s">
        <v>143</v>
      </c>
      <c r="N1397" s="75" t="b">
        <v>1</v>
      </c>
      <c r="O1397" s="75" t="s">
        <v>144</v>
      </c>
      <c r="P1397" s="75">
        <v>1994</v>
      </c>
      <c r="Q1397" s="107">
        <f t="shared" si="27"/>
        <v>2011</v>
      </c>
      <c r="R1397" s="107">
        <v>2</v>
      </c>
      <c r="S1397" s="100">
        <v>211115</v>
      </c>
      <c r="T1397" s="101">
        <v>40864</v>
      </c>
      <c r="U1397" s="83"/>
    </row>
    <row r="1398" spans="1:21" s="84" customFormat="1" x14ac:dyDescent="0.3">
      <c r="A1398" s="68">
        <v>40835</v>
      </c>
      <c r="B1398" s="69">
        <f t="shared" si="26"/>
        <v>20111019</v>
      </c>
      <c r="C1398" s="70">
        <v>2.8399999999999998E-2</v>
      </c>
      <c r="D1398" s="77">
        <v>8.9999999999999993E-3</v>
      </c>
      <c r="E1398" s="77">
        <v>8.9999999999999993E-3</v>
      </c>
      <c r="F1398" s="77">
        <v>8.9999999999999993E-3</v>
      </c>
      <c r="G1398" s="78">
        <v>0</v>
      </c>
      <c r="H1398" s="79"/>
      <c r="I1398" s="79"/>
      <c r="J1398" s="79"/>
      <c r="K1398" s="106">
        <v>8.3000000000000001E-3</v>
      </c>
      <c r="L1398" s="80">
        <v>0</v>
      </c>
      <c r="M1398" s="75" t="s">
        <v>143</v>
      </c>
      <c r="N1398" s="75" t="b">
        <v>1</v>
      </c>
      <c r="O1398" s="75" t="s">
        <v>144</v>
      </c>
      <c r="P1398" s="75">
        <v>1994</v>
      </c>
      <c r="Q1398" s="107">
        <f t="shared" si="27"/>
        <v>2011</v>
      </c>
      <c r="R1398" s="107">
        <v>2</v>
      </c>
      <c r="S1398" s="100">
        <v>211115</v>
      </c>
      <c r="T1398" s="101">
        <v>40864</v>
      </c>
      <c r="U1398" s="83"/>
    </row>
    <row r="1399" spans="1:21" s="84" customFormat="1" x14ac:dyDescent="0.3">
      <c r="A1399" s="68">
        <v>40836</v>
      </c>
      <c r="B1399" s="69">
        <f t="shared" si="26"/>
        <v>20111020</v>
      </c>
      <c r="C1399" s="70">
        <v>2.8300000000000002E-2</v>
      </c>
      <c r="D1399" s="77">
        <v>8.9999999999999993E-3</v>
      </c>
      <c r="E1399" s="77">
        <v>8.9999999999999993E-3</v>
      </c>
      <c r="F1399" s="77">
        <v>8.9999999999999993E-3</v>
      </c>
      <c r="G1399" s="78">
        <v>0</v>
      </c>
      <c r="H1399" s="79"/>
      <c r="I1399" s="79"/>
      <c r="J1399" s="79"/>
      <c r="K1399" s="106">
        <v>8.199999999999999E-3</v>
      </c>
      <c r="L1399" s="80">
        <v>0</v>
      </c>
      <c r="M1399" s="75" t="s">
        <v>143</v>
      </c>
      <c r="N1399" s="75" t="b">
        <v>1</v>
      </c>
      <c r="O1399" s="75" t="s">
        <v>144</v>
      </c>
      <c r="P1399" s="75">
        <v>1994</v>
      </c>
      <c r="Q1399" s="107">
        <f t="shared" si="27"/>
        <v>2011</v>
      </c>
      <c r="R1399" s="107">
        <v>2</v>
      </c>
      <c r="S1399" s="100">
        <v>211115</v>
      </c>
      <c r="T1399" s="101">
        <v>40864</v>
      </c>
      <c r="U1399" s="83"/>
    </row>
    <row r="1400" spans="1:21" s="84" customFormat="1" x14ac:dyDescent="0.3">
      <c r="A1400" s="68">
        <v>40837</v>
      </c>
      <c r="B1400" s="69">
        <f t="shared" si="26"/>
        <v>20111021</v>
      </c>
      <c r="C1400" s="70">
        <v>2.8799999999999999E-2</v>
      </c>
      <c r="D1400" s="77">
        <v>8.9999999999999993E-3</v>
      </c>
      <c r="E1400" s="77">
        <v>8.9999999999999993E-3</v>
      </c>
      <c r="F1400" s="77">
        <v>8.9999999999999993E-3</v>
      </c>
      <c r="G1400" s="78">
        <v>0</v>
      </c>
      <c r="H1400" s="79"/>
      <c r="I1400" s="79"/>
      <c r="J1400" s="79"/>
      <c r="K1400" s="106">
        <v>8.3999999999999995E-3</v>
      </c>
      <c r="L1400" s="80">
        <v>0</v>
      </c>
      <c r="M1400" s="75" t="s">
        <v>143</v>
      </c>
      <c r="N1400" s="75" t="b">
        <v>1</v>
      </c>
      <c r="O1400" s="75" t="s">
        <v>144</v>
      </c>
      <c r="P1400" s="75">
        <v>1994</v>
      </c>
      <c r="Q1400" s="107">
        <f t="shared" si="27"/>
        <v>2011</v>
      </c>
      <c r="R1400" s="107">
        <v>2</v>
      </c>
      <c r="S1400" s="100">
        <v>211115</v>
      </c>
      <c r="T1400" s="101">
        <v>40864</v>
      </c>
      <c r="U1400" s="83"/>
    </row>
    <row r="1401" spans="1:21" s="84" customFormat="1" x14ac:dyDescent="0.3">
      <c r="A1401" s="68">
        <v>40838</v>
      </c>
      <c r="B1401" s="69">
        <f>YEAR(A1401)*10000+MONTH(A1401)*100+DAY(A1401)</f>
        <v>20111022</v>
      </c>
      <c r="C1401" s="70">
        <v>2.8799999999999999E-2</v>
      </c>
      <c r="D1401" s="77">
        <v>8.9999999999999993E-3</v>
      </c>
      <c r="E1401" s="77">
        <v>8.9999999999999993E-3</v>
      </c>
      <c r="F1401" s="77">
        <v>8.9999999999999993E-3</v>
      </c>
      <c r="G1401" s="78">
        <v>0</v>
      </c>
      <c r="H1401" s="79"/>
      <c r="I1401" s="79"/>
      <c r="J1401" s="79"/>
      <c r="K1401" s="106">
        <v>8.3999999999999995E-3</v>
      </c>
      <c r="L1401" s="80">
        <v>0</v>
      </c>
      <c r="M1401" s="75" t="s">
        <v>143</v>
      </c>
      <c r="N1401" s="75" t="b">
        <v>1</v>
      </c>
      <c r="O1401" s="75" t="s">
        <v>144</v>
      </c>
      <c r="P1401" s="75">
        <v>1994</v>
      </c>
      <c r="Q1401" s="107">
        <f t="shared" si="27"/>
        <v>2011</v>
      </c>
      <c r="R1401" s="107">
        <v>2</v>
      </c>
      <c r="S1401" s="100">
        <v>211115</v>
      </c>
      <c r="T1401" s="101">
        <v>40864</v>
      </c>
      <c r="U1401" s="83"/>
    </row>
    <row r="1402" spans="1:21" s="84" customFormat="1" x14ac:dyDescent="0.3">
      <c r="A1402" s="68">
        <v>40839</v>
      </c>
      <c r="B1402" s="69">
        <f>YEAR(A1402)*10000+MONTH(A1402)*100+DAY(A1402)</f>
        <v>20111023</v>
      </c>
      <c r="C1402" s="70">
        <v>2.8799999999999999E-2</v>
      </c>
      <c r="D1402" s="77">
        <v>8.9999999999999993E-3</v>
      </c>
      <c r="E1402" s="77">
        <v>8.9999999999999993E-3</v>
      </c>
      <c r="F1402" s="77">
        <v>8.9999999999999993E-3</v>
      </c>
      <c r="G1402" s="78">
        <v>0</v>
      </c>
      <c r="H1402" s="79"/>
      <c r="I1402" s="79"/>
      <c r="J1402" s="79"/>
      <c r="K1402" s="106">
        <v>8.3999999999999995E-3</v>
      </c>
      <c r="L1402" s="80">
        <v>0</v>
      </c>
      <c r="M1402" s="75" t="s">
        <v>143</v>
      </c>
      <c r="N1402" s="75" t="b">
        <v>1</v>
      </c>
      <c r="O1402" s="75" t="s">
        <v>144</v>
      </c>
      <c r="P1402" s="75">
        <v>1994</v>
      </c>
      <c r="Q1402" s="107">
        <f t="shared" si="27"/>
        <v>2011</v>
      </c>
      <c r="R1402" s="107">
        <v>2</v>
      </c>
      <c r="S1402" s="100">
        <v>211115</v>
      </c>
      <c r="T1402" s="101">
        <v>40864</v>
      </c>
      <c r="U1402" s="83"/>
    </row>
    <row r="1403" spans="1:21" s="84" customFormat="1" x14ac:dyDescent="0.3">
      <c r="A1403" s="68">
        <v>40840</v>
      </c>
      <c r="B1403" s="69">
        <f t="shared" si="26"/>
        <v>20111024</v>
      </c>
      <c r="C1403" s="70">
        <v>2.8799999999999999E-2</v>
      </c>
      <c r="D1403" s="77">
        <v>8.9999999999999993E-3</v>
      </c>
      <c r="E1403" s="77">
        <v>8.9999999999999993E-3</v>
      </c>
      <c r="F1403" s="77">
        <v>8.9999999999999993E-3</v>
      </c>
      <c r="G1403" s="78">
        <v>0</v>
      </c>
      <c r="H1403" s="79"/>
      <c r="I1403" s="79"/>
      <c r="J1403" s="79"/>
      <c r="K1403" s="106">
        <v>8.3999999999999995E-3</v>
      </c>
      <c r="L1403" s="80">
        <v>0</v>
      </c>
      <c r="M1403" s="75" t="s">
        <v>143</v>
      </c>
      <c r="N1403" s="75" t="b">
        <v>1</v>
      </c>
      <c r="O1403" s="75" t="s">
        <v>144</v>
      </c>
      <c r="P1403" s="75">
        <v>1994</v>
      </c>
      <c r="Q1403" s="107">
        <f t="shared" si="27"/>
        <v>2011</v>
      </c>
      <c r="R1403" s="107">
        <v>2</v>
      </c>
      <c r="S1403" s="100">
        <v>211115</v>
      </c>
      <c r="T1403" s="101">
        <v>40864</v>
      </c>
      <c r="U1403" s="83"/>
    </row>
    <row r="1404" spans="1:21" s="84" customFormat="1" x14ac:dyDescent="0.3">
      <c r="A1404" s="68">
        <v>40841</v>
      </c>
      <c r="B1404" s="69">
        <f t="shared" si="26"/>
        <v>20111025</v>
      </c>
      <c r="C1404" s="70">
        <v>2.81E-2</v>
      </c>
      <c r="D1404" s="77">
        <v>8.9999999999999993E-3</v>
      </c>
      <c r="E1404" s="77">
        <v>8.9999999999999993E-3</v>
      </c>
      <c r="F1404" s="77">
        <v>8.9999999999999993E-3</v>
      </c>
      <c r="G1404" s="78">
        <v>0</v>
      </c>
      <c r="H1404" s="79"/>
      <c r="I1404" s="79"/>
      <c r="J1404" s="79"/>
      <c r="K1404" s="106">
        <v>7.8000000000000005E-3</v>
      </c>
      <c r="L1404" s="80">
        <v>0</v>
      </c>
      <c r="M1404" s="75" t="s">
        <v>143</v>
      </c>
      <c r="N1404" s="75" t="b">
        <v>1</v>
      </c>
      <c r="O1404" s="75" t="s">
        <v>144</v>
      </c>
      <c r="P1404" s="75">
        <v>1994</v>
      </c>
      <c r="Q1404" s="107">
        <f t="shared" si="27"/>
        <v>2011</v>
      </c>
      <c r="R1404" s="107">
        <v>2</v>
      </c>
      <c r="S1404" s="100">
        <v>211115</v>
      </c>
      <c r="T1404" s="101">
        <v>40864</v>
      </c>
      <c r="U1404" s="83"/>
    </row>
    <row r="1405" spans="1:21" s="84" customFormat="1" x14ac:dyDescent="0.3">
      <c r="A1405" s="68">
        <v>40842</v>
      </c>
      <c r="B1405" s="69">
        <f t="shared" si="26"/>
        <v>20111026</v>
      </c>
      <c r="C1405" s="70">
        <v>2.9100000000000001E-2</v>
      </c>
      <c r="D1405" s="77">
        <v>8.9999999999999993E-3</v>
      </c>
      <c r="E1405" s="77">
        <v>8.9999999999999993E-3</v>
      </c>
      <c r="F1405" s="77">
        <v>8.9999999999999993E-3</v>
      </c>
      <c r="G1405" s="78">
        <v>0</v>
      </c>
      <c r="H1405" s="79"/>
      <c r="I1405" s="79"/>
      <c r="J1405" s="79"/>
      <c r="K1405" s="106">
        <v>8.5000000000000006E-3</v>
      </c>
      <c r="L1405" s="80">
        <v>0</v>
      </c>
      <c r="M1405" s="75" t="s">
        <v>143</v>
      </c>
      <c r="N1405" s="75" t="b">
        <v>1</v>
      </c>
      <c r="O1405" s="75" t="s">
        <v>144</v>
      </c>
      <c r="P1405" s="75">
        <v>1994</v>
      </c>
      <c r="Q1405" s="107">
        <f t="shared" si="27"/>
        <v>2011</v>
      </c>
      <c r="R1405" s="107">
        <v>2</v>
      </c>
      <c r="S1405" s="100">
        <v>211115</v>
      </c>
      <c r="T1405" s="101">
        <v>40864</v>
      </c>
      <c r="U1405" s="83"/>
    </row>
    <row r="1406" spans="1:21" s="84" customFormat="1" x14ac:dyDescent="0.3">
      <c r="A1406" s="68">
        <v>40843</v>
      </c>
      <c r="B1406" s="69">
        <f t="shared" si="26"/>
        <v>20111027</v>
      </c>
      <c r="C1406" s="70">
        <v>3.0200000000000001E-2</v>
      </c>
      <c r="D1406" s="77">
        <v>8.9999999999999993E-3</v>
      </c>
      <c r="E1406" s="77">
        <v>8.9999999999999993E-3</v>
      </c>
      <c r="F1406" s="77">
        <v>8.9999999999999993E-3</v>
      </c>
      <c r="G1406" s="78">
        <v>0</v>
      </c>
      <c r="H1406" s="79"/>
      <c r="I1406" s="79"/>
      <c r="J1406" s="79"/>
      <c r="K1406" s="106">
        <v>9.0000000000000011E-3</v>
      </c>
      <c r="L1406" s="80">
        <v>0</v>
      </c>
      <c r="M1406" s="75" t="s">
        <v>143</v>
      </c>
      <c r="N1406" s="75" t="b">
        <v>1</v>
      </c>
      <c r="O1406" s="75" t="s">
        <v>144</v>
      </c>
      <c r="P1406" s="75">
        <v>1994</v>
      </c>
      <c r="Q1406" s="107">
        <f t="shared" si="27"/>
        <v>2011</v>
      </c>
      <c r="R1406" s="107">
        <v>2</v>
      </c>
      <c r="S1406" s="100">
        <v>211115</v>
      </c>
      <c r="T1406" s="101">
        <v>40864</v>
      </c>
      <c r="U1406" s="83"/>
    </row>
    <row r="1407" spans="1:21" s="84" customFormat="1" x14ac:dyDescent="0.3">
      <c r="A1407" s="68">
        <v>40844</v>
      </c>
      <c r="B1407" s="69">
        <f t="shared" si="26"/>
        <v>20111028</v>
      </c>
      <c r="C1407" s="70">
        <v>2.9399999999999999E-2</v>
      </c>
      <c r="D1407" s="77">
        <v>8.9999999999999993E-3</v>
      </c>
      <c r="E1407" s="77">
        <v>8.9999999999999993E-3</v>
      </c>
      <c r="F1407" s="77">
        <v>8.9999999999999993E-3</v>
      </c>
      <c r="G1407" s="78">
        <v>0</v>
      </c>
      <c r="H1407" s="79"/>
      <c r="I1407" s="79"/>
      <c r="J1407" s="79"/>
      <c r="K1407" s="106">
        <v>8.199999999999999E-3</v>
      </c>
      <c r="L1407" s="80">
        <v>0</v>
      </c>
      <c r="M1407" s="75" t="s">
        <v>143</v>
      </c>
      <c r="N1407" s="75" t="b">
        <v>1</v>
      </c>
      <c r="O1407" s="75" t="s">
        <v>144</v>
      </c>
      <c r="P1407" s="75">
        <v>1994</v>
      </c>
      <c r="Q1407" s="107">
        <f t="shared" si="27"/>
        <v>2011</v>
      </c>
      <c r="R1407" s="107">
        <v>2</v>
      </c>
      <c r="S1407" s="100">
        <v>211115</v>
      </c>
      <c r="T1407" s="101">
        <v>40864</v>
      </c>
      <c r="U1407" s="83"/>
    </row>
    <row r="1408" spans="1:21" s="84" customFormat="1" x14ac:dyDescent="0.3">
      <c r="A1408" s="68">
        <v>40847</v>
      </c>
      <c r="B1408" s="69">
        <f t="shared" si="26"/>
        <v>20111031</v>
      </c>
      <c r="C1408" s="70">
        <v>2.81E-2</v>
      </c>
      <c r="D1408" s="77">
        <v>8.9999999999999993E-3</v>
      </c>
      <c r="E1408" s="77">
        <v>8.9999999999999993E-3</v>
      </c>
      <c r="F1408" s="77">
        <v>8.9999999999999993E-3</v>
      </c>
      <c r="G1408" s="78">
        <v>0</v>
      </c>
      <c r="H1408" s="79"/>
      <c r="I1408" s="79"/>
      <c r="J1408" s="79"/>
      <c r="K1408" s="106">
        <v>6.7000000000000002E-3</v>
      </c>
      <c r="L1408" s="80">
        <v>0</v>
      </c>
      <c r="M1408" s="75" t="s">
        <v>143</v>
      </c>
      <c r="N1408" s="75" t="b">
        <v>1</v>
      </c>
      <c r="O1408" s="75" t="s">
        <v>144</v>
      </c>
      <c r="P1408" s="75">
        <v>1994</v>
      </c>
      <c r="Q1408" s="107">
        <f t="shared" si="27"/>
        <v>2011</v>
      </c>
      <c r="R1408" s="107">
        <v>2</v>
      </c>
      <c r="S1408" s="100">
        <v>211115</v>
      </c>
      <c r="T1408" s="101">
        <v>40864</v>
      </c>
      <c r="U1408" s="83"/>
    </row>
    <row r="1409" spans="1:21" s="84" customFormat="1" x14ac:dyDescent="0.3">
      <c r="A1409" s="68">
        <v>40848</v>
      </c>
      <c r="B1409" s="69">
        <f t="shared" si="26"/>
        <v>20111101</v>
      </c>
      <c r="C1409" s="70">
        <v>2.6699999999999998E-2</v>
      </c>
      <c r="D1409" s="77">
        <v>8.9999999999999993E-3</v>
      </c>
      <c r="E1409" s="77">
        <v>8.9999999999999993E-3</v>
      </c>
      <c r="F1409" s="77">
        <v>8.9999999999999993E-3</v>
      </c>
      <c r="G1409" s="78">
        <v>0</v>
      </c>
      <c r="H1409" s="79"/>
      <c r="I1409" s="79"/>
      <c r="J1409" s="79"/>
      <c r="K1409" s="106">
        <v>5.6000000000000008E-3</v>
      </c>
      <c r="L1409" s="80">
        <v>0</v>
      </c>
      <c r="M1409" s="75" t="s">
        <v>143</v>
      </c>
      <c r="N1409" s="75" t="b">
        <v>1</v>
      </c>
      <c r="O1409" s="75" t="s">
        <v>144</v>
      </c>
      <c r="P1409" s="75">
        <v>1994</v>
      </c>
      <c r="Q1409" s="107">
        <f t="shared" si="27"/>
        <v>2011</v>
      </c>
      <c r="R1409" s="107">
        <v>2</v>
      </c>
      <c r="S1409" s="100">
        <v>211115</v>
      </c>
      <c r="T1409" s="101">
        <v>40864</v>
      </c>
      <c r="U1409" s="83"/>
    </row>
    <row r="1410" spans="1:21" s="84" customFormat="1" x14ac:dyDescent="0.3">
      <c r="A1410" s="68">
        <v>40849</v>
      </c>
      <c r="B1410" s="69">
        <f t="shared" si="26"/>
        <v>20111102</v>
      </c>
      <c r="C1410" s="70">
        <v>2.7000000000000003E-2</v>
      </c>
      <c r="D1410" s="77">
        <v>8.9999999999999993E-3</v>
      </c>
      <c r="E1410" s="77">
        <v>8.9999999999999993E-3</v>
      </c>
      <c r="F1410" s="77">
        <v>8.9999999999999993E-3</v>
      </c>
      <c r="G1410" s="78">
        <v>0</v>
      </c>
      <c r="H1410" s="79"/>
      <c r="I1410" s="79"/>
      <c r="J1410" s="79"/>
      <c r="K1410" s="106">
        <v>5.7999999999999996E-3</v>
      </c>
      <c r="L1410" s="80">
        <v>0</v>
      </c>
      <c r="M1410" s="75" t="s">
        <v>143</v>
      </c>
      <c r="N1410" s="75" t="b">
        <v>1</v>
      </c>
      <c r="O1410" s="75" t="s">
        <v>144</v>
      </c>
      <c r="P1410" s="75">
        <v>1994</v>
      </c>
      <c r="Q1410" s="107">
        <f t="shared" si="27"/>
        <v>2011</v>
      </c>
      <c r="R1410" s="107">
        <v>2</v>
      </c>
      <c r="S1410" s="100">
        <v>211115</v>
      </c>
      <c r="T1410" s="101">
        <v>40864</v>
      </c>
      <c r="U1410" s="83"/>
    </row>
    <row r="1411" spans="1:21" s="84" customFormat="1" x14ac:dyDescent="0.3">
      <c r="A1411" s="68">
        <v>40850</v>
      </c>
      <c r="B1411" s="69">
        <f t="shared" si="26"/>
        <v>20111103</v>
      </c>
      <c r="C1411" s="70">
        <v>2.7400000000000001E-2</v>
      </c>
      <c r="D1411" s="77">
        <v>8.9999999999999993E-3</v>
      </c>
      <c r="E1411" s="77">
        <v>8.9999999999999993E-3</v>
      </c>
      <c r="F1411" s="77">
        <v>8.9999999999999993E-3</v>
      </c>
      <c r="G1411" s="78">
        <v>0</v>
      </c>
      <c r="H1411" s="79"/>
      <c r="I1411" s="79"/>
      <c r="J1411" s="79"/>
      <c r="K1411" s="106">
        <v>6.0999999999999995E-3</v>
      </c>
      <c r="L1411" s="80">
        <v>0</v>
      </c>
      <c r="M1411" s="75" t="s">
        <v>143</v>
      </c>
      <c r="N1411" s="75" t="b">
        <v>1</v>
      </c>
      <c r="O1411" s="75" t="s">
        <v>144</v>
      </c>
      <c r="P1411" s="75">
        <v>1994</v>
      </c>
      <c r="Q1411" s="107">
        <f t="shared" si="27"/>
        <v>2011</v>
      </c>
      <c r="R1411" s="107">
        <v>2</v>
      </c>
      <c r="S1411" s="100">
        <v>211115</v>
      </c>
      <c r="T1411" s="101">
        <v>40864</v>
      </c>
      <c r="U1411" s="83"/>
    </row>
    <row r="1412" spans="1:21" s="84" customFormat="1" x14ac:dyDescent="0.3">
      <c r="A1412" s="68">
        <v>40851</v>
      </c>
      <c r="B1412" s="69">
        <f t="shared" si="26"/>
        <v>20111104</v>
      </c>
      <c r="C1412" s="70">
        <v>2.7000000000000003E-2</v>
      </c>
      <c r="D1412" s="77">
        <v>8.9999999999999993E-3</v>
      </c>
      <c r="E1412" s="77">
        <v>8.9999999999999993E-3</v>
      </c>
      <c r="F1412" s="77">
        <v>8.9999999999999993E-3</v>
      </c>
      <c r="G1412" s="78">
        <v>0</v>
      </c>
      <c r="H1412" s="79"/>
      <c r="I1412" s="79"/>
      <c r="J1412" s="79"/>
      <c r="K1412" s="106">
        <v>5.8999999999999999E-3</v>
      </c>
      <c r="L1412" s="80">
        <v>0</v>
      </c>
      <c r="M1412" s="75" t="s">
        <v>143</v>
      </c>
      <c r="N1412" s="75" t="b">
        <v>1</v>
      </c>
      <c r="O1412" s="75" t="s">
        <v>144</v>
      </c>
      <c r="P1412" s="75">
        <v>1994</v>
      </c>
      <c r="Q1412" s="107">
        <f t="shared" si="27"/>
        <v>2011</v>
      </c>
      <c r="R1412" s="107">
        <v>2</v>
      </c>
      <c r="S1412" s="100">
        <v>211115</v>
      </c>
      <c r="T1412" s="101">
        <v>40864</v>
      </c>
      <c r="U1412" s="83"/>
    </row>
    <row r="1413" spans="1:21" s="84" customFormat="1" x14ac:dyDescent="0.3">
      <c r="A1413" s="68">
        <v>40852</v>
      </c>
      <c r="B1413" s="69">
        <f>YEAR(A1413)*10000+MONTH(A1413)*100+DAY(A1413)</f>
        <v>20111105</v>
      </c>
      <c r="C1413" s="70">
        <v>2.7000000000000003E-2</v>
      </c>
      <c r="D1413" s="77">
        <v>8.9999999999999993E-3</v>
      </c>
      <c r="E1413" s="77">
        <v>8.9999999999999993E-3</v>
      </c>
      <c r="F1413" s="77">
        <v>8.9999999999999993E-3</v>
      </c>
      <c r="G1413" s="78">
        <v>0</v>
      </c>
      <c r="H1413" s="79"/>
      <c r="I1413" s="79"/>
      <c r="J1413" s="79"/>
      <c r="K1413" s="106">
        <v>5.8999999999999999E-3</v>
      </c>
      <c r="L1413" s="80">
        <v>0</v>
      </c>
      <c r="M1413" s="75" t="s">
        <v>143</v>
      </c>
      <c r="N1413" s="75" t="b">
        <v>1</v>
      </c>
      <c r="O1413" s="75" t="s">
        <v>144</v>
      </c>
      <c r="P1413" s="75">
        <v>1994</v>
      </c>
      <c r="Q1413" s="107">
        <f t="shared" si="27"/>
        <v>2011</v>
      </c>
      <c r="R1413" s="107">
        <v>2</v>
      </c>
      <c r="S1413" s="100">
        <v>211115</v>
      </c>
      <c r="T1413" s="101">
        <v>40864</v>
      </c>
      <c r="U1413" s="83"/>
    </row>
    <row r="1414" spans="1:21" s="84" customFormat="1" x14ac:dyDescent="0.3">
      <c r="A1414" s="68">
        <v>40853</v>
      </c>
      <c r="B1414" s="69">
        <f>YEAR(A1414)*10000+MONTH(A1414)*100+DAY(A1414)</f>
        <v>20111106</v>
      </c>
      <c r="C1414" s="70">
        <v>2.7000000000000003E-2</v>
      </c>
      <c r="D1414" s="77">
        <v>8.9999999999999993E-3</v>
      </c>
      <c r="E1414" s="77">
        <v>8.9999999999999993E-3</v>
      </c>
      <c r="F1414" s="77">
        <v>8.9999999999999993E-3</v>
      </c>
      <c r="G1414" s="78">
        <v>0</v>
      </c>
      <c r="H1414" s="79"/>
      <c r="I1414" s="79"/>
      <c r="J1414" s="79"/>
      <c r="K1414" s="106">
        <v>5.8999999999999999E-3</v>
      </c>
      <c r="L1414" s="80">
        <v>0</v>
      </c>
      <c r="M1414" s="75" t="s">
        <v>143</v>
      </c>
      <c r="N1414" s="75" t="b">
        <v>1</v>
      </c>
      <c r="O1414" s="75" t="s">
        <v>144</v>
      </c>
      <c r="P1414" s="75">
        <v>1994</v>
      </c>
      <c r="Q1414" s="107">
        <f t="shared" si="27"/>
        <v>2011</v>
      </c>
      <c r="R1414" s="107">
        <v>2</v>
      </c>
      <c r="S1414" s="100">
        <v>211115</v>
      </c>
      <c r="T1414" s="101">
        <v>40864</v>
      </c>
      <c r="U1414" s="83"/>
    </row>
    <row r="1415" spans="1:21" s="84" customFormat="1" x14ac:dyDescent="0.3">
      <c r="A1415" s="68">
        <v>40854</v>
      </c>
      <c r="B1415" s="69">
        <f t="shared" si="26"/>
        <v>20111107</v>
      </c>
      <c r="C1415" s="70">
        <v>2.69E-2</v>
      </c>
      <c r="D1415" s="77">
        <v>8.9999999999999993E-3</v>
      </c>
      <c r="E1415" s="77">
        <v>8.9999999999999993E-3</v>
      </c>
      <c r="F1415" s="77">
        <v>8.9999999999999993E-3</v>
      </c>
      <c r="G1415" s="78">
        <v>0</v>
      </c>
      <c r="H1415" s="79"/>
      <c r="I1415" s="79"/>
      <c r="J1415" s="79"/>
      <c r="K1415" s="106">
        <v>5.7999999999999996E-3</v>
      </c>
      <c r="L1415" s="80">
        <v>0</v>
      </c>
      <c r="M1415" s="75" t="s">
        <v>143</v>
      </c>
      <c r="N1415" s="75" t="b">
        <v>1</v>
      </c>
      <c r="O1415" s="75" t="s">
        <v>144</v>
      </c>
      <c r="P1415" s="75">
        <v>1994</v>
      </c>
      <c r="Q1415" s="107">
        <f t="shared" si="27"/>
        <v>2011</v>
      </c>
      <c r="R1415" s="107">
        <v>2</v>
      </c>
      <c r="S1415" s="100">
        <v>211115</v>
      </c>
      <c r="T1415" s="101">
        <v>40864</v>
      </c>
      <c r="U1415" s="83"/>
    </row>
    <row r="1416" spans="1:21" s="84" customFormat="1" x14ac:dyDescent="0.3">
      <c r="A1416" s="68">
        <v>40855</v>
      </c>
      <c r="B1416" s="69">
        <f t="shared" si="26"/>
        <v>20111108</v>
      </c>
      <c r="C1416" s="70">
        <v>2.69E-2</v>
      </c>
      <c r="D1416" s="77">
        <v>8.9999999999999993E-3</v>
      </c>
      <c r="E1416" s="77">
        <v>8.9999999999999993E-3</v>
      </c>
      <c r="F1416" s="77">
        <v>8.9999999999999993E-3</v>
      </c>
      <c r="G1416" s="78">
        <v>0</v>
      </c>
      <c r="H1416" s="79"/>
      <c r="I1416" s="79"/>
      <c r="J1416" s="79"/>
      <c r="K1416" s="106">
        <v>5.7999999999999996E-3</v>
      </c>
      <c r="L1416" s="80">
        <v>0</v>
      </c>
      <c r="M1416" s="75" t="s">
        <v>143</v>
      </c>
      <c r="N1416" s="75" t="b">
        <v>1</v>
      </c>
      <c r="O1416" s="75" t="s">
        <v>144</v>
      </c>
      <c r="P1416" s="75">
        <v>1994</v>
      </c>
      <c r="Q1416" s="107">
        <f t="shared" si="27"/>
        <v>2011</v>
      </c>
      <c r="R1416" s="107">
        <v>2</v>
      </c>
      <c r="S1416" s="100">
        <v>211115</v>
      </c>
      <c r="T1416" s="101">
        <v>40864</v>
      </c>
      <c r="U1416" s="83"/>
    </row>
    <row r="1417" spans="1:21" s="84" customFormat="1" x14ac:dyDescent="0.3">
      <c r="A1417" s="68">
        <v>40856</v>
      </c>
      <c r="B1417" s="69">
        <f t="shared" si="26"/>
        <v>20111109</v>
      </c>
      <c r="C1417" s="70">
        <v>2.6099999999999998E-2</v>
      </c>
      <c r="D1417" s="77">
        <v>8.9999999999999993E-3</v>
      </c>
      <c r="E1417" s="77">
        <v>8.9999999999999993E-3</v>
      </c>
      <c r="F1417" s="77">
        <v>8.9999999999999993E-3</v>
      </c>
      <c r="G1417" s="78">
        <v>0</v>
      </c>
      <c r="H1417" s="79"/>
      <c r="I1417" s="79"/>
      <c r="J1417" s="79"/>
      <c r="K1417" s="106">
        <v>5.4000000000000003E-3</v>
      </c>
      <c r="L1417" s="80">
        <v>0</v>
      </c>
      <c r="M1417" s="75" t="s">
        <v>143</v>
      </c>
      <c r="N1417" s="75" t="b">
        <v>1</v>
      </c>
      <c r="O1417" s="75" t="s">
        <v>144</v>
      </c>
      <c r="P1417" s="75">
        <v>1994</v>
      </c>
      <c r="Q1417" s="107">
        <f t="shared" si="27"/>
        <v>2011</v>
      </c>
      <c r="R1417" s="107">
        <v>2</v>
      </c>
      <c r="S1417" s="100">
        <v>211115</v>
      </c>
      <c r="T1417" s="101">
        <v>40864</v>
      </c>
      <c r="U1417" s="83"/>
    </row>
    <row r="1418" spans="1:21" s="84" customFormat="1" x14ac:dyDescent="0.3">
      <c r="A1418" s="68">
        <v>40857</v>
      </c>
      <c r="B1418" s="69">
        <f t="shared" si="26"/>
        <v>20111110</v>
      </c>
      <c r="C1418" s="70">
        <v>2.64E-2</v>
      </c>
      <c r="D1418" s="77">
        <v>8.9999999999999993E-3</v>
      </c>
      <c r="E1418" s="77">
        <v>8.9999999999999993E-3</v>
      </c>
      <c r="F1418" s="77">
        <v>8.9999999999999993E-3</v>
      </c>
      <c r="G1418" s="78">
        <v>0</v>
      </c>
      <c r="H1418" s="79"/>
      <c r="I1418" s="79"/>
      <c r="J1418" s="79"/>
      <c r="K1418" s="106">
        <v>5.6999999999999993E-3</v>
      </c>
      <c r="L1418" s="80">
        <v>0</v>
      </c>
      <c r="M1418" s="75" t="s">
        <v>143</v>
      </c>
      <c r="N1418" s="75" t="b">
        <v>1</v>
      </c>
      <c r="O1418" s="75" t="s">
        <v>144</v>
      </c>
      <c r="P1418" s="75">
        <v>1994</v>
      </c>
      <c r="Q1418" s="107">
        <f t="shared" si="27"/>
        <v>2011</v>
      </c>
      <c r="R1418" s="107">
        <v>2</v>
      </c>
      <c r="S1418" s="100">
        <v>211115</v>
      </c>
      <c r="T1418" s="101">
        <v>40864</v>
      </c>
      <c r="U1418" s="83"/>
    </row>
    <row r="1419" spans="1:21" s="84" customFormat="1" x14ac:dyDescent="0.3">
      <c r="A1419" s="68">
        <v>40858</v>
      </c>
      <c r="B1419" s="69">
        <f t="shared" si="26"/>
        <v>20111111</v>
      </c>
      <c r="C1419" s="70">
        <v>2.64E-2</v>
      </c>
      <c r="D1419" s="77">
        <v>8.9999999999999993E-3</v>
      </c>
      <c r="E1419" s="77">
        <v>8.9999999999999993E-3</v>
      </c>
      <c r="F1419" s="77">
        <v>8.9999999999999993E-3</v>
      </c>
      <c r="G1419" s="78">
        <v>0</v>
      </c>
      <c r="H1419" s="79"/>
      <c r="I1419" s="79"/>
      <c r="J1419" s="79"/>
      <c r="K1419" s="106">
        <v>5.6999999999999993E-3</v>
      </c>
      <c r="L1419" s="80">
        <v>0</v>
      </c>
      <c r="M1419" s="75" t="s">
        <v>143</v>
      </c>
      <c r="N1419" s="75" t="b">
        <v>1</v>
      </c>
      <c r="O1419" s="75" t="s">
        <v>144</v>
      </c>
      <c r="P1419" s="75">
        <v>1994</v>
      </c>
      <c r="Q1419" s="107">
        <f t="shared" si="27"/>
        <v>2011</v>
      </c>
      <c r="R1419" s="107">
        <v>2</v>
      </c>
      <c r="S1419" s="100">
        <v>211115</v>
      </c>
      <c r="T1419" s="101">
        <v>40864</v>
      </c>
      <c r="U1419" s="83"/>
    </row>
    <row r="1420" spans="1:21" s="84" customFormat="1" x14ac:dyDescent="0.3">
      <c r="A1420" s="68">
        <v>40859</v>
      </c>
      <c r="B1420" s="69">
        <f>YEAR(A1420)*10000+MONTH(A1420)*100+DAY(A1420)</f>
        <v>20111112</v>
      </c>
      <c r="C1420" s="70">
        <v>2.64E-2</v>
      </c>
      <c r="D1420" s="77">
        <v>8.9999999999999993E-3</v>
      </c>
      <c r="E1420" s="77">
        <v>8.9999999999999993E-3</v>
      </c>
      <c r="F1420" s="77">
        <v>8.9999999999999993E-3</v>
      </c>
      <c r="G1420" s="78">
        <v>0</v>
      </c>
      <c r="H1420" s="79"/>
      <c r="I1420" s="79"/>
      <c r="J1420" s="79"/>
      <c r="K1420" s="106">
        <v>5.6999999999999993E-3</v>
      </c>
      <c r="L1420" s="80">
        <v>0</v>
      </c>
      <c r="M1420" s="75" t="s">
        <v>143</v>
      </c>
      <c r="N1420" s="75" t="b">
        <v>1</v>
      </c>
      <c r="O1420" s="75" t="s">
        <v>144</v>
      </c>
      <c r="P1420" s="75">
        <v>1994</v>
      </c>
      <c r="Q1420" s="107">
        <f t="shared" si="27"/>
        <v>2011</v>
      </c>
      <c r="R1420" s="107">
        <v>2</v>
      </c>
      <c r="S1420" s="100">
        <v>211115</v>
      </c>
      <c r="T1420" s="101">
        <v>40864</v>
      </c>
      <c r="U1420" s="83"/>
    </row>
    <row r="1421" spans="1:21" s="84" customFormat="1" x14ac:dyDescent="0.3">
      <c r="A1421" s="68">
        <v>40860</v>
      </c>
      <c r="B1421" s="69">
        <f>YEAR(A1421)*10000+MONTH(A1421)*100+DAY(A1421)</f>
        <v>20111113</v>
      </c>
      <c r="C1421" s="70">
        <v>2.64E-2</v>
      </c>
      <c r="D1421" s="77">
        <v>8.9999999999999993E-3</v>
      </c>
      <c r="E1421" s="77">
        <v>8.9999999999999993E-3</v>
      </c>
      <c r="F1421" s="77">
        <v>8.9999999999999993E-3</v>
      </c>
      <c r="G1421" s="78">
        <v>0</v>
      </c>
      <c r="H1421" s="79"/>
      <c r="I1421" s="79"/>
      <c r="J1421" s="79"/>
      <c r="K1421" s="106">
        <v>5.6999999999999993E-3</v>
      </c>
      <c r="L1421" s="80">
        <v>0</v>
      </c>
      <c r="M1421" s="75" t="s">
        <v>143</v>
      </c>
      <c r="N1421" s="75" t="b">
        <v>1</v>
      </c>
      <c r="O1421" s="75" t="s">
        <v>144</v>
      </c>
      <c r="P1421" s="75">
        <v>1994</v>
      </c>
      <c r="Q1421" s="107">
        <f t="shared" si="27"/>
        <v>2011</v>
      </c>
      <c r="R1421" s="107">
        <v>2</v>
      </c>
      <c r="S1421" s="100">
        <v>211115</v>
      </c>
      <c r="T1421" s="101">
        <v>40864</v>
      </c>
      <c r="U1421" s="83"/>
    </row>
    <row r="1422" spans="1:21" s="84" customFormat="1" x14ac:dyDescent="0.3">
      <c r="A1422" s="68">
        <v>40861</v>
      </c>
      <c r="B1422" s="69">
        <f t="shared" si="26"/>
        <v>20111114</v>
      </c>
      <c r="C1422" s="70">
        <v>2.6200000000000001E-2</v>
      </c>
      <c r="D1422" s="77">
        <v>8.9999999999999993E-3</v>
      </c>
      <c r="E1422" s="77">
        <v>8.9999999999999993E-3</v>
      </c>
      <c r="F1422" s="77">
        <v>8.9999999999999993E-3</v>
      </c>
      <c r="G1422" s="78">
        <v>0</v>
      </c>
      <c r="H1422" s="79"/>
      <c r="I1422" s="79"/>
      <c r="J1422" s="79"/>
      <c r="K1422" s="106">
        <v>5.5000000000000005E-3</v>
      </c>
      <c r="L1422" s="80">
        <v>0</v>
      </c>
      <c r="M1422" s="75" t="s">
        <v>143</v>
      </c>
      <c r="N1422" s="75" t="b">
        <v>1</v>
      </c>
      <c r="O1422" s="75" t="s">
        <v>144</v>
      </c>
      <c r="P1422" s="75">
        <v>1994</v>
      </c>
      <c r="Q1422" s="107">
        <f t="shared" si="27"/>
        <v>2011</v>
      </c>
      <c r="R1422" s="107">
        <v>2</v>
      </c>
      <c r="S1422" s="100">
        <v>211115</v>
      </c>
      <c r="T1422" s="101">
        <v>40864</v>
      </c>
      <c r="U1422" s="83"/>
    </row>
    <row r="1423" spans="1:21" s="84" customFormat="1" x14ac:dyDescent="0.3">
      <c r="A1423" s="68">
        <v>40862</v>
      </c>
      <c r="B1423" s="69">
        <f t="shared" si="26"/>
        <v>20111115</v>
      </c>
      <c r="C1423" s="70">
        <v>2.63E-2</v>
      </c>
      <c r="D1423" s="77">
        <v>8.9999999999999993E-3</v>
      </c>
      <c r="E1423" s="77">
        <v>8.9999999999999993E-3</v>
      </c>
      <c r="F1423" s="77">
        <v>8.9999999999999993E-3</v>
      </c>
      <c r="G1423" s="78">
        <v>0</v>
      </c>
      <c r="H1423" s="79"/>
      <c r="I1423" s="79"/>
      <c r="J1423" s="79"/>
      <c r="K1423" s="106">
        <v>5.7999999999999996E-3</v>
      </c>
      <c r="L1423" s="80">
        <v>0</v>
      </c>
      <c r="M1423" s="75" t="s">
        <v>143</v>
      </c>
      <c r="N1423" s="75" t="b">
        <v>1</v>
      </c>
      <c r="O1423" s="75" t="s">
        <v>144</v>
      </c>
      <c r="P1423" s="75">
        <v>1994</v>
      </c>
      <c r="Q1423" s="107">
        <f t="shared" si="27"/>
        <v>2011</v>
      </c>
      <c r="R1423" s="107">
        <v>2</v>
      </c>
      <c r="S1423" s="100">
        <v>211115</v>
      </c>
      <c r="T1423" s="101">
        <v>40864</v>
      </c>
      <c r="U1423" s="83"/>
    </row>
    <row r="1424" spans="1:21" s="84" customFormat="1" x14ac:dyDescent="0.3">
      <c r="A1424" s="68">
        <v>40863</v>
      </c>
      <c r="B1424" s="69">
        <f t="shared" si="26"/>
        <v>20111116</v>
      </c>
      <c r="C1424" s="70">
        <v>2.6000000000000002E-2</v>
      </c>
      <c r="D1424" s="77">
        <v>8.9999999999999993E-3</v>
      </c>
      <c r="E1424" s="77">
        <v>8.9999999999999993E-3</v>
      </c>
      <c r="F1424" s="77">
        <v>8.9999999999999993E-3</v>
      </c>
      <c r="G1424" s="78">
        <v>0</v>
      </c>
      <c r="H1424" s="79"/>
      <c r="I1424" s="79"/>
      <c r="J1424" s="79"/>
      <c r="K1424" s="106">
        <v>5.6000000000000008E-3</v>
      </c>
      <c r="L1424" s="80">
        <v>0</v>
      </c>
      <c r="M1424" s="75" t="s">
        <v>143</v>
      </c>
      <c r="N1424" s="75" t="b">
        <v>1</v>
      </c>
      <c r="O1424" s="75" t="s">
        <v>144</v>
      </c>
      <c r="P1424" s="75">
        <v>1994</v>
      </c>
      <c r="Q1424" s="107">
        <f t="shared" si="27"/>
        <v>2011</v>
      </c>
      <c r="R1424" s="107">
        <v>2</v>
      </c>
      <c r="S1424" s="100">
        <v>211115</v>
      </c>
      <c r="T1424" s="101">
        <v>40864</v>
      </c>
      <c r="U1424" s="83"/>
    </row>
    <row r="1425" spans="1:21" s="84" customFormat="1" x14ac:dyDescent="0.3">
      <c r="A1425" s="68">
        <v>40864</v>
      </c>
      <c r="B1425" s="69">
        <f t="shared" si="26"/>
        <v>20111117</v>
      </c>
      <c r="C1425" s="70">
        <v>2.6000000000000002E-2</v>
      </c>
      <c r="D1425" s="77">
        <v>8.9999999999999993E-3</v>
      </c>
      <c r="E1425" s="77">
        <v>8.9999999999999993E-3</v>
      </c>
      <c r="F1425" s="77">
        <v>8.9999999999999993E-3</v>
      </c>
      <c r="G1425" s="78">
        <v>0</v>
      </c>
      <c r="H1425" s="79"/>
      <c r="I1425" s="79"/>
      <c r="J1425" s="79"/>
      <c r="K1425" s="106">
        <v>5.7999999999999996E-3</v>
      </c>
      <c r="L1425" s="80">
        <v>0</v>
      </c>
      <c r="M1425" s="75" t="s">
        <v>143</v>
      </c>
      <c r="N1425" s="75" t="b">
        <v>1</v>
      </c>
      <c r="O1425" s="75" t="s">
        <v>144</v>
      </c>
      <c r="P1425" s="75">
        <v>1994</v>
      </c>
      <c r="Q1425" s="107">
        <f t="shared" si="27"/>
        <v>2011</v>
      </c>
      <c r="R1425" s="107">
        <v>2</v>
      </c>
      <c r="S1425" s="100">
        <v>211115</v>
      </c>
      <c r="T1425" s="101">
        <v>40864</v>
      </c>
      <c r="U1425" s="83"/>
    </row>
    <row r="1426" spans="1:21" s="84" customFormat="1" x14ac:dyDescent="0.3">
      <c r="A1426" s="68">
        <v>40865</v>
      </c>
      <c r="B1426" s="69">
        <f>YEAR(A1426)*10000+MONTH(A1426)*100+DAY(A1426)</f>
        <v>20111118</v>
      </c>
      <c r="C1426" s="70">
        <v>2.63E-2</v>
      </c>
      <c r="D1426" s="77">
        <v>8.9999999999999993E-3</v>
      </c>
      <c r="E1426" s="77">
        <v>8.9999999999999993E-3</v>
      </c>
      <c r="F1426" s="77">
        <v>8.9999999999999993E-3</v>
      </c>
      <c r="G1426" s="78">
        <v>0</v>
      </c>
      <c r="H1426" s="79"/>
      <c r="I1426" s="79"/>
      <c r="J1426" s="79"/>
      <c r="K1426" s="106">
        <v>6.0000000000000001E-3</v>
      </c>
      <c r="L1426" s="80">
        <v>0</v>
      </c>
      <c r="M1426" s="75" t="s">
        <v>143</v>
      </c>
      <c r="N1426" s="75" t="b">
        <v>1</v>
      </c>
      <c r="O1426" s="75" t="s">
        <v>144</v>
      </c>
      <c r="P1426" s="75">
        <v>1994</v>
      </c>
      <c r="Q1426" s="107">
        <f t="shared" si="27"/>
        <v>2011</v>
      </c>
      <c r="R1426" s="107">
        <v>2</v>
      </c>
      <c r="S1426" s="100">
        <v>211115</v>
      </c>
      <c r="T1426" s="101">
        <v>40864</v>
      </c>
      <c r="U1426" s="83"/>
    </row>
    <row r="1427" spans="1:21" s="84" customFormat="1" x14ac:dyDescent="0.3">
      <c r="A1427" s="68">
        <v>40866</v>
      </c>
      <c r="B1427" s="69">
        <f>YEAR(A1427)*10000+MONTH(A1427)*100+DAY(A1427)</f>
        <v>20111119</v>
      </c>
      <c r="C1427" s="70">
        <v>2.63E-2</v>
      </c>
      <c r="D1427" s="77">
        <v>8.9999999999999993E-3</v>
      </c>
      <c r="E1427" s="77">
        <v>8.9999999999999993E-3</v>
      </c>
      <c r="F1427" s="77">
        <v>8.9999999999999993E-3</v>
      </c>
      <c r="G1427" s="78">
        <v>0</v>
      </c>
      <c r="H1427" s="79"/>
      <c r="I1427" s="79"/>
      <c r="J1427" s="79"/>
      <c r="K1427" s="106">
        <v>6.0000000000000001E-3</v>
      </c>
      <c r="L1427" s="80">
        <v>0</v>
      </c>
      <c r="M1427" s="75" t="s">
        <v>143</v>
      </c>
      <c r="N1427" s="75" t="b">
        <v>1</v>
      </c>
      <c r="O1427" s="75" t="s">
        <v>144</v>
      </c>
      <c r="P1427" s="75">
        <v>1994</v>
      </c>
      <c r="Q1427" s="107">
        <f t="shared" si="27"/>
        <v>2011</v>
      </c>
      <c r="R1427" s="107">
        <v>2</v>
      </c>
      <c r="S1427" s="100">
        <v>211115</v>
      </c>
      <c r="T1427" s="101">
        <v>40864</v>
      </c>
      <c r="U1427" s="83"/>
    </row>
    <row r="1428" spans="1:21" s="84" customFormat="1" x14ac:dyDescent="0.3">
      <c r="A1428" s="68">
        <v>40867</v>
      </c>
      <c r="B1428" s="69">
        <f>YEAR(A1428)*10000+MONTH(A1428)*100+DAY(A1428)</f>
        <v>20111120</v>
      </c>
      <c r="C1428" s="70">
        <v>2.63E-2</v>
      </c>
      <c r="D1428" s="77">
        <v>8.9999999999999993E-3</v>
      </c>
      <c r="E1428" s="77">
        <v>8.9999999999999993E-3</v>
      </c>
      <c r="F1428" s="77">
        <v>8.9999999999999993E-3</v>
      </c>
      <c r="G1428" s="78">
        <v>0</v>
      </c>
      <c r="H1428" s="79"/>
      <c r="I1428" s="79"/>
      <c r="J1428" s="79"/>
      <c r="K1428" s="106">
        <v>6.0000000000000001E-3</v>
      </c>
      <c r="L1428" s="80">
        <v>0</v>
      </c>
      <c r="M1428" s="75" t="s">
        <v>143</v>
      </c>
      <c r="N1428" s="75" t="b">
        <v>1</v>
      </c>
      <c r="O1428" s="75" t="s">
        <v>144</v>
      </c>
      <c r="P1428" s="75">
        <v>1994</v>
      </c>
      <c r="Q1428" s="107">
        <f t="shared" si="27"/>
        <v>2011</v>
      </c>
      <c r="R1428" s="107">
        <v>2</v>
      </c>
      <c r="S1428" s="100">
        <v>211115</v>
      </c>
      <c r="T1428" s="101">
        <v>40864</v>
      </c>
      <c r="U1428" s="83"/>
    </row>
    <row r="1429" spans="1:21" s="84" customFormat="1" x14ac:dyDescent="0.3">
      <c r="A1429" s="68">
        <v>40868</v>
      </c>
      <c r="B1429" s="69">
        <f t="shared" ref="B1429:B1465" si="28">YEAR(A1429)*10000+MONTH(A1429)*100+DAY(A1429)</f>
        <v>20111121</v>
      </c>
      <c r="C1429" s="70">
        <v>2.6099999999999998E-2</v>
      </c>
      <c r="D1429" s="77">
        <v>8.9999999999999993E-3</v>
      </c>
      <c r="E1429" s="77">
        <v>8.9999999999999993E-3</v>
      </c>
      <c r="F1429" s="77">
        <v>8.9999999999999993E-3</v>
      </c>
      <c r="G1429" s="78">
        <v>0</v>
      </c>
      <c r="H1429" s="79"/>
      <c r="I1429" s="79"/>
      <c r="J1429" s="79"/>
      <c r="K1429" s="106">
        <v>5.7999999999999996E-3</v>
      </c>
      <c r="L1429" s="80">
        <v>0</v>
      </c>
      <c r="M1429" s="75" t="s">
        <v>143</v>
      </c>
      <c r="N1429" s="75" t="b">
        <v>1</v>
      </c>
      <c r="O1429" s="75" t="s">
        <v>144</v>
      </c>
      <c r="P1429" s="75">
        <v>1994</v>
      </c>
      <c r="Q1429" s="107">
        <f t="shared" si="27"/>
        <v>2011</v>
      </c>
      <c r="R1429" s="107">
        <v>2</v>
      </c>
      <c r="S1429" s="100">
        <v>211115</v>
      </c>
      <c r="T1429" s="101">
        <v>40864</v>
      </c>
      <c r="U1429" s="83"/>
    </row>
    <row r="1430" spans="1:21" s="84" customFormat="1" x14ac:dyDescent="0.3">
      <c r="A1430" s="68">
        <v>40869</v>
      </c>
      <c r="B1430" s="69">
        <f t="shared" si="28"/>
        <v>20111122</v>
      </c>
      <c r="C1430" s="70">
        <v>2.58E-2</v>
      </c>
      <c r="D1430" s="77">
        <v>8.9999999999999993E-3</v>
      </c>
      <c r="E1430" s="77">
        <v>8.9999999999999993E-3</v>
      </c>
      <c r="F1430" s="77">
        <v>8.9999999999999993E-3</v>
      </c>
      <c r="G1430" s="78">
        <v>0</v>
      </c>
      <c r="H1430" s="79"/>
      <c r="I1430" s="79"/>
      <c r="J1430" s="79"/>
      <c r="K1430" s="106">
        <v>5.6999999999999993E-3</v>
      </c>
      <c r="L1430" s="80">
        <v>0</v>
      </c>
      <c r="M1430" s="75" t="s">
        <v>143</v>
      </c>
      <c r="N1430" s="75" t="b">
        <v>1</v>
      </c>
      <c r="O1430" s="75" t="s">
        <v>144</v>
      </c>
      <c r="P1430" s="75">
        <v>1994</v>
      </c>
      <c r="Q1430" s="107">
        <f t="shared" si="27"/>
        <v>2011</v>
      </c>
      <c r="R1430" s="107">
        <v>2</v>
      </c>
      <c r="S1430" s="100">
        <v>211115</v>
      </c>
      <c r="T1430" s="101">
        <v>40864</v>
      </c>
      <c r="U1430" s="83"/>
    </row>
    <row r="1431" spans="1:21" s="84" customFormat="1" x14ac:dyDescent="0.3">
      <c r="A1431" s="68">
        <v>40870</v>
      </c>
      <c r="B1431" s="69">
        <f t="shared" si="28"/>
        <v>20111123</v>
      </c>
      <c r="C1431" s="70">
        <v>2.53E-2</v>
      </c>
      <c r="D1431" s="77">
        <v>8.9999999999999993E-3</v>
      </c>
      <c r="E1431" s="77">
        <v>8.9999999999999993E-3</v>
      </c>
      <c r="F1431" s="77">
        <v>8.9999999999999993E-3</v>
      </c>
      <c r="G1431" s="78">
        <v>0</v>
      </c>
      <c r="H1431" s="79"/>
      <c r="I1431" s="79"/>
      <c r="J1431" s="79"/>
      <c r="K1431" s="106">
        <v>5.5000000000000005E-3</v>
      </c>
      <c r="L1431" s="80">
        <v>0</v>
      </c>
      <c r="M1431" s="75" t="s">
        <v>143</v>
      </c>
      <c r="N1431" s="75" t="b">
        <v>1</v>
      </c>
      <c r="O1431" s="75" t="s">
        <v>144</v>
      </c>
      <c r="P1431" s="75">
        <v>1994</v>
      </c>
      <c r="Q1431" s="107">
        <f t="shared" si="27"/>
        <v>2011</v>
      </c>
      <c r="R1431" s="107">
        <v>2</v>
      </c>
      <c r="S1431" s="100">
        <v>211115</v>
      </c>
      <c r="T1431" s="101">
        <v>40864</v>
      </c>
      <c r="U1431" s="83"/>
    </row>
    <row r="1432" spans="1:21" s="84" customFormat="1" x14ac:dyDescent="0.3">
      <c r="A1432" s="68">
        <v>40871</v>
      </c>
      <c r="B1432" s="69">
        <f t="shared" si="28"/>
        <v>20111124</v>
      </c>
      <c r="C1432" s="70">
        <v>2.5399999999999999E-2</v>
      </c>
      <c r="D1432" s="77">
        <v>8.9999999999999993E-3</v>
      </c>
      <c r="E1432" s="77">
        <v>8.9999999999999993E-3</v>
      </c>
      <c r="F1432" s="77">
        <v>8.9999999999999993E-3</v>
      </c>
      <c r="G1432" s="78">
        <v>0</v>
      </c>
      <c r="H1432" s="79"/>
      <c r="I1432" s="79"/>
      <c r="J1432" s="79"/>
      <c r="K1432" s="106">
        <v>5.5000000000000005E-3</v>
      </c>
      <c r="L1432" s="80">
        <v>0</v>
      </c>
      <c r="M1432" s="75" t="s">
        <v>143</v>
      </c>
      <c r="N1432" s="75" t="b">
        <v>1</v>
      </c>
      <c r="O1432" s="75" t="s">
        <v>144</v>
      </c>
      <c r="P1432" s="75">
        <v>1994</v>
      </c>
      <c r="Q1432" s="107">
        <f t="shared" si="27"/>
        <v>2011</v>
      </c>
      <c r="R1432" s="107">
        <v>2</v>
      </c>
      <c r="S1432" s="100">
        <v>211115</v>
      </c>
      <c r="T1432" s="101">
        <v>40864</v>
      </c>
      <c r="U1432" s="83"/>
    </row>
    <row r="1433" spans="1:21" s="84" customFormat="1" x14ac:dyDescent="0.3">
      <c r="A1433" s="68">
        <v>40872</v>
      </c>
      <c r="B1433" s="69">
        <f t="shared" si="28"/>
        <v>20111125</v>
      </c>
      <c r="C1433" s="70">
        <v>2.5699999999999997E-2</v>
      </c>
      <c r="D1433" s="77">
        <v>8.9999999999999993E-3</v>
      </c>
      <c r="E1433" s="77">
        <v>8.9999999999999993E-3</v>
      </c>
      <c r="F1433" s="77">
        <v>8.9999999999999993E-3</v>
      </c>
      <c r="G1433" s="78">
        <v>0</v>
      </c>
      <c r="H1433" s="79"/>
      <c r="I1433" s="79"/>
      <c r="J1433" s="79"/>
      <c r="K1433" s="106">
        <v>5.6999999999999993E-3</v>
      </c>
      <c r="L1433" s="80">
        <v>0</v>
      </c>
      <c r="M1433" s="75" t="s">
        <v>143</v>
      </c>
      <c r="N1433" s="75" t="b">
        <v>1</v>
      </c>
      <c r="O1433" s="75" t="s">
        <v>144</v>
      </c>
      <c r="P1433" s="75">
        <v>1994</v>
      </c>
      <c r="Q1433" s="107">
        <f t="shared" si="27"/>
        <v>2011</v>
      </c>
      <c r="R1433" s="107">
        <v>2</v>
      </c>
      <c r="S1433" s="100">
        <v>211115</v>
      </c>
      <c r="T1433" s="101">
        <v>40864</v>
      </c>
      <c r="U1433" s="83"/>
    </row>
    <row r="1434" spans="1:21" s="84" customFormat="1" x14ac:dyDescent="0.3">
      <c r="A1434" s="68">
        <v>40873</v>
      </c>
      <c r="B1434" s="69">
        <f t="shared" si="28"/>
        <v>20111126</v>
      </c>
      <c r="C1434" s="70">
        <v>2.5699999999999997E-2</v>
      </c>
      <c r="D1434" s="77">
        <v>8.9999999999999993E-3</v>
      </c>
      <c r="E1434" s="77">
        <v>8.9999999999999993E-3</v>
      </c>
      <c r="F1434" s="77">
        <v>8.9999999999999993E-3</v>
      </c>
      <c r="G1434" s="78">
        <v>0</v>
      </c>
      <c r="H1434" s="79"/>
      <c r="I1434" s="79"/>
      <c r="J1434" s="79"/>
      <c r="K1434" s="106">
        <v>5.6999999999999993E-3</v>
      </c>
      <c r="L1434" s="80">
        <v>0</v>
      </c>
      <c r="M1434" s="75" t="s">
        <v>143</v>
      </c>
      <c r="N1434" s="75" t="b">
        <v>1</v>
      </c>
      <c r="O1434" s="75" t="s">
        <v>144</v>
      </c>
      <c r="P1434" s="75">
        <v>1994</v>
      </c>
      <c r="Q1434" s="107">
        <f t="shared" si="27"/>
        <v>2011</v>
      </c>
      <c r="R1434" s="107">
        <v>2</v>
      </c>
      <c r="S1434" s="100">
        <v>211115</v>
      </c>
      <c r="T1434" s="101">
        <v>40864</v>
      </c>
      <c r="U1434" s="83"/>
    </row>
    <row r="1435" spans="1:21" s="84" customFormat="1" x14ac:dyDescent="0.3">
      <c r="A1435" s="68">
        <v>40874</v>
      </c>
      <c r="B1435" s="69">
        <f t="shared" si="28"/>
        <v>20111127</v>
      </c>
      <c r="C1435" s="70">
        <v>2.5699999999999997E-2</v>
      </c>
      <c r="D1435" s="77">
        <v>8.9999999999999993E-3</v>
      </c>
      <c r="E1435" s="77">
        <v>8.9999999999999993E-3</v>
      </c>
      <c r="F1435" s="77">
        <v>8.9999999999999993E-3</v>
      </c>
      <c r="G1435" s="78">
        <v>0</v>
      </c>
      <c r="H1435" s="79"/>
      <c r="I1435" s="79"/>
      <c r="J1435" s="79"/>
      <c r="K1435" s="106">
        <v>5.6999999999999993E-3</v>
      </c>
      <c r="L1435" s="80">
        <v>0</v>
      </c>
      <c r="M1435" s="75" t="s">
        <v>143</v>
      </c>
      <c r="N1435" s="75" t="b">
        <v>1</v>
      </c>
      <c r="O1435" s="75" t="s">
        <v>144</v>
      </c>
      <c r="P1435" s="75">
        <v>1994</v>
      </c>
      <c r="Q1435" s="107">
        <f t="shared" si="27"/>
        <v>2011</v>
      </c>
      <c r="R1435" s="107">
        <v>2</v>
      </c>
      <c r="S1435" s="100">
        <v>211115</v>
      </c>
      <c r="T1435" s="101">
        <v>40864</v>
      </c>
      <c r="U1435" s="83"/>
    </row>
    <row r="1436" spans="1:21" s="84" customFormat="1" x14ac:dyDescent="0.3">
      <c r="A1436" s="68">
        <v>40875</v>
      </c>
      <c r="B1436" s="69">
        <f t="shared" si="28"/>
        <v>20111128</v>
      </c>
      <c r="C1436" s="70">
        <v>2.5899999999999999E-2</v>
      </c>
      <c r="D1436" s="77">
        <v>8.9999999999999993E-3</v>
      </c>
      <c r="E1436" s="77">
        <v>8.9999999999999993E-3</v>
      </c>
      <c r="F1436" s="77">
        <v>8.9999999999999993E-3</v>
      </c>
      <c r="G1436" s="78">
        <v>0</v>
      </c>
      <c r="H1436" s="79"/>
      <c r="I1436" s="79"/>
      <c r="J1436" s="79"/>
      <c r="K1436" s="106">
        <v>6.0000000000000001E-3</v>
      </c>
      <c r="L1436" s="80">
        <v>0</v>
      </c>
      <c r="M1436" s="75" t="s">
        <v>143</v>
      </c>
      <c r="N1436" s="75" t="b">
        <v>1</v>
      </c>
      <c r="O1436" s="75" t="s">
        <v>144</v>
      </c>
      <c r="P1436" s="75">
        <v>1994</v>
      </c>
      <c r="Q1436" s="107">
        <f t="shared" si="27"/>
        <v>2011</v>
      </c>
      <c r="R1436" s="107">
        <v>2</v>
      </c>
      <c r="S1436" s="100">
        <v>211115</v>
      </c>
      <c r="T1436" s="101">
        <v>40864</v>
      </c>
      <c r="U1436" s="83"/>
    </row>
    <row r="1437" spans="1:21" s="84" customFormat="1" x14ac:dyDescent="0.3">
      <c r="A1437" s="68">
        <v>40876</v>
      </c>
      <c r="B1437" s="69">
        <f t="shared" si="28"/>
        <v>20111129</v>
      </c>
      <c r="C1437" s="70">
        <v>2.5899999999999999E-2</v>
      </c>
      <c r="D1437" s="77">
        <v>8.9999999999999993E-3</v>
      </c>
      <c r="E1437" s="77">
        <v>8.9999999999999993E-3</v>
      </c>
      <c r="F1437" s="77">
        <v>8.9999999999999993E-3</v>
      </c>
      <c r="G1437" s="78">
        <v>0</v>
      </c>
      <c r="H1437" s="79"/>
      <c r="I1437" s="79"/>
      <c r="J1437" s="79"/>
      <c r="K1437" s="106">
        <v>5.8999999999999999E-3</v>
      </c>
      <c r="L1437" s="80">
        <v>0</v>
      </c>
      <c r="M1437" s="75" t="s">
        <v>143</v>
      </c>
      <c r="N1437" s="75" t="b">
        <v>1</v>
      </c>
      <c r="O1437" s="75" t="s">
        <v>144</v>
      </c>
      <c r="P1437" s="75">
        <v>1994</v>
      </c>
      <c r="Q1437" s="107">
        <f t="shared" si="27"/>
        <v>2011</v>
      </c>
      <c r="R1437" s="107">
        <v>2</v>
      </c>
      <c r="S1437" s="100">
        <v>211115</v>
      </c>
      <c r="T1437" s="101">
        <v>40864</v>
      </c>
      <c r="U1437" s="83"/>
    </row>
    <row r="1438" spans="1:21" s="84" customFormat="1" x14ac:dyDescent="0.3">
      <c r="A1438" s="68">
        <v>40877</v>
      </c>
      <c r="B1438" s="69">
        <f t="shared" si="28"/>
        <v>20111130</v>
      </c>
      <c r="C1438" s="70">
        <v>2.6099999999999998E-2</v>
      </c>
      <c r="D1438" s="77">
        <v>8.9999999999999993E-3</v>
      </c>
      <c r="E1438" s="77">
        <v>8.9999999999999993E-3</v>
      </c>
      <c r="F1438" s="77">
        <v>8.9999999999999993E-3</v>
      </c>
      <c r="G1438" s="78">
        <v>0</v>
      </c>
      <c r="H1438" s="79"/>
      <c r="I1438" s="79"/>
      <c r="J1438" s="79"/>
      <c r="K1438" s="106">
        <v>6.0999999999999995E-3</v>
      </c>
      <c r="L1438" s="80">
        <v>0</v>
      </c>
      <c r="M1438" s="75" t="s">
        <v>143</v>
      </c>
      <c r="N1438" s="75" t="b">
        <v>1</v>
      </c>
      <c r="O1438" s="75" t="s">
        <v>144</v>
      </c>
      <c r="P1438" s="75">
        <v>1994</v>
      </c>
      <c r="Q1438" s="107">
        <f t="shared" si="27"/>
        <v>2011</v>
      </c>
      <c r="R1438" s="107">
        <v>2</v>
      </c>
      <c r="S1438" s="100">
        <v>211115</v>
      </c>
      <c r="T1438" s="101">
        <v>40864</v>
      </c>
      <c r="U1438" s="83"/>
    </row>
    <row r="1439" spans="1:21" s="84" customFormat="1" x14ac:dyDescent="0.3">
      <c r="A1439" s="68">
        <v>40878</v>
      </c>
      <c r="B1439" s="69">
        <f t="shared" si="28"/>
        <v>20111201</v>
      </c>
      <c r="C1439" s="70">
        <v>2.6099999999999998E-2</v>
      </c>
      <c r="D1439" s="77">
        <v>8.9999999999999993E-3</v>
      </c>
      <c r="E1439" s="77">
        <v>8.9999999999999993E-3</v>
      </c>
      <c r="F1439" s="77">
        <v>8.9999999999999993E-3</v>
      </c>
      <c r="G1439" s="78">
        <v>0</v>
      </c>
      <c r="H1439" s="79"/>
      <c r="I1439" s="79"/>
      <c r="J1439" s="79"/>
      <c r="K1439" s="106">
        <v>5.8999999999999999E-3</v>
      </c>
      <c r="L1439" s="80">
        <v>0</v>
      </c>
      <c r="M1439" s="75" t="s">
        <v>143</v>
      </c>
      <c r="N1439" s="75" t="b">
        <v>1</v>
      </c>
      <c r="O1439" s="75" t="s">
        <v>144</v>
      </c>
      <c r="P1439" s="75">
        <v>1994</v>
      </c>
      <c r="Q1439" s="107">
        <f t="shared" si="27"/>
        <v>2011</v>
      </c>
      <c r="R1439" s="107">
        <v>2</v>
      </c>
      <c r="S1439" s="100">
        <v>211115</v>
      </c>
      <c r="T1439" s="101">
        <v>40864</v>
      </c>
      <c r="U1439" s="83"/>
    </row>
    <row r="1440" spans="1:21" s="84" customFormat="1" x14ac:dyDescent="0.3">
      <c r="A1440" s="68">
        <v>40879</v>
      </c>
      <c r="B1440" s="69">
        <f t="shared" si="28"/>
        <v>20111202</v>
      </c>
      <c r="C1440" s="70">
        <v>2.6000000000000002E-2</v>
      </c>
      <c r="D1440" s="77">
        <v>8.9999999999999993E-3</v>
      </c>
      <c r="E1440" s="77">
        <v>8.9999999999999993E-3</v>
      </c>
      <c r="F1440" s="77">
        <v>8.9999999999999993E-3</v>
      </c>
      <c r="G1440" s="78">
        <v>0</v>
      </c>
      <c r="H1440" s="79"/>
      <c r="I1440" s="79"/>
      <c r="J1440" s="79"/>
      <c r="K1440" s="106">
        <v>5.6999999999999993E-3</v>
      </c>
      <c r="L1440" s="80">
        <v>0</v>
      </c>
      <c r="M1440" s="75" t="s">
        <v>143</v>
      </c>
      <c r="N1440" s="75" t="b">
        <v>1</v>
      </c>
      <c r="O1440" s="75" t="s">
        <v>144</v>
      </c>
      <c r="P1440" s="75">
        <v>1994</v>
      </c>
      <c r="Q1440" s="107">
        <f t="shared" si="27"/>
        <v>2011</v>
      </c>
      <c r="R1440" s="107">
        <v>2</v>
      </c>
      <c r="S1440" s="100">
        <v>211115</v>
      </c>
      <c r="T1440" s="101">
        <v>40864</v>
      </c>
      <c r="U1440" s="83"/>
    </row>
    <row r="1441" spans="1:21" s="84" customFormat="1" x14ac:dyDescent="0.3">
      <c r="A1441" s="68">
        <v>40880</v>
      </c>
      <c r="B1441" s="69">
        <f>YEAR(A1441)*10000+MONTH(A1441)*100+DAY(A1441)</f>
        <v>20111203</v>
      </c>
      <c r="C1441" s="70">
        <v>2.6000000000000002E-2</v>
      </c>
      <c r="D1441" s="77">
        <v>8.9999999999999993E-3</v>
      </c>
      <c r="E1441" s="77">
        <v>8.9999999999999993E-3</v>
      </c>
      <c r="F1441" s="77">
        <v>8.9999999999999993E-3</v>
      </c>
      <c r="G1441" s="78">
        <v>0</v>
      </c>
      <c r="H1441" s="79"/>
      <c r="I1441" s="79"/>
      <c r="J1441" s="79"/>
      <c r="K1441" s="106">
        <v>5.6999999999999993E-3</v>
      </c>
      <c r="L1441" s="80">
        <v>0</v>
      </c>
      <c r="M1441" s="75" t="s">
        <v>143</v>
      </c>
      <c r="N1441" s="75" t="b">
        <v>1</v>
      </c>
      <c r="O1441" s="75" t="s">
        <v>144</v>
      </c>
      <c r="P1441" s="75">
        <v>1994</v>
      </c>
      <c r="Q1441" s="107">
        <f t="shared" si="27"/>
        <v>2011</v>
      </c>
      <c r="R1441" s="107">
        <v>2</v>
      </c>
      <c r="S1441" s="100">
        <v>211115</v>
      </c>
      <c r="T1441" s="101">
        <v>40864</v>
      </c>
      <c r="U1441" s="83"/>
    </row>
    <row r="1442" spans="1:21" s="84" customFormat="1" x14ac:dyDescent="0.3">
      <c r="A1442" s="68">
        <v>40881</v>
      </c>
      <c r="B1442" s="69">
        <f>YEAR(A1442)*10000+MONTH(A1442)*100+DAY(A1442)</f>
        <v>20111204</v>
      </c>
      <c r="C1442" s="70">
        <v>2.6000000000000002E-2</v>
      </c>
      <c r="D1442" s="77">
        <v>8.9999999999999993E-3</v>
      </c>
      <c r="E1442" s="77">
        <v>8.9999999999999993E-3</v>
      </c>
      <c r="F1442" s="77">
        <v>8.9999999999999993E-3</v>
      </c>
      <c r="G1442" s="78">
        <v>0</v>
      </c>
      <c r="H1442" s="79"/>
      <c r="I1442" s="79"/>
      <c r="J1442" s="79"/>
      <c r="K1442" s="106">
        <v>5.6999999999999993E-3</v>
      </c>
      <c r="L1442" s="80">
        <v>0</v>
      </c>
      <c r="M1442" s="75" t="s">
        <v>143</v>
      </c>
      <c r="N1442" s="75" t="b">
        <v>1</v>
      </c>
      <c r="O1442" s="75" t="s">
        <v>144</v>
      </c>
      <c r="P1442" s="75">
        <v>1994</v>
      </c>
      <c r="Q1442" s="107">
        <f t="shared" si="27"/>
        <v>2011</v>
      </c>
      <c r="R1442" s="107">
        <v>2</v>
      </c>
      <c r="S1442" s="100">
        <v>211115</v>
      </c>
      <c r="T1442" s="101">
        <v>40864</v>
      </c>
      <c r="U1442" s="83"/>
    </row>
    <row r="1443" spans="1:21" s="84" customFormat="1" x14ac:dyDescent="0.3">
      <c r="A1443" s="68">
        <v>40882</v>
      </c>
      <c r="B1443" s="69">
        <f t="shared" si="28"/>
        <v>20111205</v>
      </c>
      <c r="C1443" s="70">
        <v>2.5699999999999997E-2</v>
      </c>
      <c r="D1443" s="77">
        <v>8.9999999999999993E-3</v>
      </c>
      <c r="E1443" s="77">
        <v>8.9999999999999993E-3</v>
      </c>
      <c r="F1443" s="77">
        <v>8.9999999999999993E-3</v>
      </c>
      <c r="G1443" s="78">
        <v>0</v>
      </c>
      <c r="H1443" s="79"/>
      <c r="I1443" s="79"/>
      <c r="J1443" s="79"/>
      <c r="K1443" s="106">
        <v>5.6999999999999993E-3</v>
      </c>
      <c r="L1443" s="80">
        <v>0</v>
      </c>
      <c r="M1443" s="75" t="s">
        <v>143</v>
      </c>
      <c r="N1443" s="75" t="b">
        <v>1</v>
      </c>
      <c r="O1443" s="75" t="s">
        <v>144</v>
      </c>
      <c r="P1443" s="75">
        <v>1994</v>
      </c>
      <c r="Q1443" s="107">
        <f t="shared" si="27"/>
        <v>2011</v>
      </c>
      <c r="R1443" s="107">
        <v>2</v>
      </c>
      <c r="S1443" s="100">
        <v>211115</v>
      </c>
      <c r="T1443" s="101">
        <v>40864</v>
      </c>
      <c r="U1443" s="83"/>
    </row>
    <row r="1444" spans="1:21" s="84" customFormat="1" x14ac:dyDescent="0.3">
      <c r="A1444" s="68">
        <v>40883</v>
      </c>
      <c r="B1444" s="69">
        <f t="shared" si="28"/>
        <v>20111206</v>
      </c>
      <c r="C1444" s="70">
        <v>2.6000000000000002E-2</v>
      </c>
      <c r="D1444" s="77">
        <v>8.9999999999999993E-3</v>
      </c>
      <c r="E1444" s="77">
        <v>8.9999999999999993E-3</v>
      </c>
      <c r="F1444" s="77">
        <v>8.9999999999999993E-3</v>
      </c>
      <c r="G1444" s="78">
        <v>0</v>
      </c>
      <c r="H1444" s="79"/>
      <c r="I1444" s="79"/>
      <c r="J1444" s="79"/>
      <c r="K1444" s="106">
        <v>5.6999999999999993E-3</v>
      </c>
      <c r="L1444" s="80">
        <v>0</v>
      </c>
      <c r="M1444" s="75" t="s">
        <v>143</v>
      </c>
      <c r="N1444" s="75" t="b">
        <v>1</v>
      </c>
      <c r="O1444" s="75" t="s">
        <v>144</v>
      </c>
      <c r="P1444" s="75">
        <v>1994</v>
      </c>
      <c r="Q1444" s="107">
        <f t="shared" si="27"/>
        <v>2011</v>
      </c>
      <c r="R1444" s="107">
        <v>2</v>
      </c>
      <c r="S1444" s="100">
        <v>211115</v>
      </c>
      <c r="T1444" s="101">
        <v>40864</v>
      </c>
      <c r="U1444" s="83"/>
    </row>
    <row r="1445" spans="1:21" s="84" customFormat="1" x14ac:dyDescent="0.3">
      <c r="A1445" s="68">
        <v>40884</v>
      </c>
      <c r="B1445" s="69">
        <f t="shared" si="28"/>
        <v>20111207</v>
      </c>
      <c r="C1445" s="70">
        <v>2.5499999999999998E-2</v>
      </c>
      <c r="D1445" s="77">
        <v>8.9999999999999993E-3</v>
      </c>
      <c r="E1445" s="77">
        <v>8.9999999999999993E-3</v>
      </c>
      <c r="F1445" s="77">
        <v>8.9999999999999993E-3</v>
      </c>
      <c r="G1445" s="78">
        <v>0</v>
      </c>
      <c r="H1445" s="79"/>
      <c r="I1445" s="79"/>
      <c r="J1445" s="79"/>
      <c r="K1445" s="106">
        <v>5.3E-3</v>
      </c>
      <c r="L1445" s="80">
        <v>0</v>
      </c>
      <c r="M1445" s="75" t="s">
        <v>143</v>
      </c>
      <c r="N1445" s="75" t="b">
        <v>1</v>
      </c>
      <c r="O1445" s="75" t="s">
        <v>144</v>
      </c>
      <c r="P1445" s="75">
        <v>1994</v>
      </c>
      <c r="Q1445" s="107">
        <f t="shared" si="27"/>
        <v>2011</v>
      </c>
      <c r="R1445" s="107">
        <v>2</v>
      </c>
      <c r="S1445" s="100">
        <v>211115</v>
      </c>
      <c r="T1445" s="101">
        <v>40864</v>
      </c>
      <c r="U1445" s="83"/>
    </row>
    <row r="1446" spans="1:21" s="84" customFormat="1" x14ac:dyDescent="0.3">
      <c r="A1446" s="68">
        <v>40885</v>
      </c>
      <c r="B1446" s="69">
        <f t="shared" si="28"/>
        <v>20111208</v>
      </c>
      <c r="C1446" s="70">
        <v>2.4900000000000002E-2</v>
      </c>
      <c r="D1446" s="77">
        <v>8.9999999999999993E-3</v>
      </c>
      <c r="E1446" s="77">
        <v>8.9999999999999993E-3</v>
      </c>
      <c r="F1446" s="77">
        <v>8.9999999999999993E-3</v>
      </c>
      <c r="G1446" s="78">
        <v>0</v>
      </c>
      <c r="H1446" s="79"/>
      <c r="I1446" s="79"/>
      <c r="J1446" s="79"/>
      <c r="K1446" s="106">
        <v>5.1000000000000004E-3</v>
      </c>
      <c r="L1446" s="80">
        <v>0</v>
      </c>
      <c r="M1446" s="75" t="s">
        <v>143</v>
      </c>
      <c r="N1446" s="75" t="b">
        <v>1</v>
      </c>
      <c r="O1446" s="75" t="s">
        <v>144</v>
      </c>
      <c r="P1446" s="75">
        <v>1994</v>
      </c>
      <c r="Q1446" s="107">
        <f t="shared" si="27"/>
        <v>2011</v>
      </c>
      <c r="R1446" s="107">
        <v>2</v>
      </c>
      <c r="S1446" s="100">
        <v>211115</v>
      </c>
      <c r="T1446" s="101">
        <v>40864</v>
      </c>
      <c r="U1446" s="83"/>
    </row>
    <row r="1447" spans="1:21" s="84" customFormat="1" x14ac:dyDescent="0.3">
      <c r="A1447" s="68">
        <v>40886</v>
      </c>
      <c r="B1447" s="69">
        <f t="shared" si="28"/>
        <v>20111209</v>
      </c>
      <c r="C1447" s="70">
        <v>2.5699999999999997E-2</v>
      </c>
      <c r="D1447" s="77">
        <v>8.9999999999999993E-3</v>
      </c>
      <c r="E1447" s="77">
        <v>8.9999999999999993E-3</v>
      </c>
      <c r="F1447" s="77">
        <v>8.9999999999999993E-3</v>
      </c>
      <c r="G1447" s="78">
        <v>0</v>
      </c>
      <c r="H1447" s="79"/>
      <c r="I1447" s="79"/>
      <c r="J1447" s="79"/>
      <c r="K1447" s="106">
        <v>5.8999999999999999E-3</v>
      </c>
      <c r="L1447" s="80">
        <v>0</v>
      </c>
      <c r="M1447" s="75" t="s">
        <v>143</v>
      </c>
      <c r="N1447" s="75" t="b">
        <v>1</v>
      </c>
      <c r="O1447" s="75" t="s">
        <v>144</v>
      </c>
      <c r="P1447" s="75">
        <v>1994</v>
      </c>
      <c r="Q1447" s="107">
        <f t="shared" si="27"/>
        <v>2011</v>
      </c>
      <c r="R1447" s="107">
        <v>2</v>
      </c>
      <c r="S1447" s="100">
        <v>211115</v>
      </c>
      <c r="T1447" s="101">
        <v>40864</v>
      </c>
      <c r="U1447" s="83"/>
    </row>
    <row r="1448" spans="1:21" s="84" customFormat="1" x14ac:dyDescent="0.3">
      <c r="A1448" s="68">
        <v>40887</v>
      </c>
      <c r="B1448" s="69">
        <f>YEAR(A1448)*10000+MONTH(A1448)*100+DAY(A1448)</f>
        <v>20111210</v>
      </c>
      <c r="C1448" s="70">
        <v>2.5699999999999997E-2</v>
      </c>
      <c r="D1448" s="77">
        <v>8.9999999999999993E-3</v>
      </c>
      <c r="E1448" s="77">
        <v>8.9999999999999993E-3</v>
      </c>
      <c r="F1448" s="77">
        <v>8.9999999999999993E-3</v>
      </c>
      <c r="G1448" s="78">
        <v>0</v>
      </c>
      <c r="H1448" s="79"/>
      <c r="I1448" s="79"/>
      <c r="J1448" s="79"/>
      <c r="K1448" s="106">
        <v>5.8999999999999999E-3</v>
      </c>
      <c r="L1448" s="80">
        <v>0</v>
      </c>
      <c r="M1448" s="75" t="s">
        <v>143</v>
      </c>
      <c r="N1448" s="75" t="b">
        <v>1</v>
      </c>
      <c r="O1448" s="75" t="s">
        <v>144</v>
      </c>
      <c r="P1448" s="75">
        <v>1994</v>
      </c>
      <c r="Q1448" s="107">
        <f t="shared" si="27"/>
        <v>2011</v>
      </c>
      <c r="R1448" s="107">
        <v>2</v>
      </c>
      <c r="S1448" s="100">
        <v>211115</v>
      </c>
      <c r="T1448" s="101">
        <v>40864</v>
      </c>
      <c r="U1448" s="83"/>
    </row>
    <row r="1449" spans="1:21" s="84" customFormat="1" x14ac:dyDescent="0.3">
      <c r="A1449" s="68">
        <v>40888</v>
      </c>
      <c r="B1449" s="69">
        <f>YEAR(A1449)*10000+MONTH(A1449)*100+DAY(A1449)</f>
        <v>20111211</v>
      </c>
      <c r="C1449" s="70">
        <v>2.5699999999999997E-2</v>
      </c>
      <c r="D1449" s="77">
        <v>8.9999999999999993E-3</v>
      </c>
      <c r="E1449" s="77">
        <v>8.9999999999999993E-3</v>
      </c>
      <c r="F1449" s="77">
        <v>8.9999999999999993E-3</v>
      </c>
      <c r="G1449" s="78">
        <v>0</v>
      </c>
      <c r="H1449" s="79"/>
      <c r="I1449" s="79"/>
      <c r="J1449" s="79"/>
      <c r="K1449" s="106">
        <v>5.8999999999999999E-3</v>
      </c>
      <c r="L1449" s="80">
        <v>0</v>
      </c>
      <c r="M1449" s="75" t="s">
        <v>143</v>
      </c>
      <c r="N1449" s="75" t="b">
        <v>1</v>
      </c>
      <c r="O1449" s="75" t="s">
        <v>144</v>
      </c>
      <c r="P1449" s="75">
        <v>1994</v>
      </c>
      <c r="Q1449" s="107">
        <f t="shared" si="27"/>
        <v>2011</v>
      </c>
      <c r="R1449" s="107">
        <v>2</v>
      </c>
      <c r="S1449" s="100">
        <v>211115</v>
      </c>
      <c r="T1449" s="101">
        <v>40864</v>
      </c>
      <c r="U1449" s="83"/>
    </row>
    <row r="1450" spans="1:21" s="84" customFormat="1" x14ac:dyDescent="0.3">
      <c r="A1450" s="68">
        <v>40889</v>
      </c>
      <c r="B1450" s="69">
        <f t="shared" si="28"/>
        <v>20111212</v>
      </c>
      <c r="C1450" s="70">
        <v>2.53E-2</v>
      </c>
      <c r="D1450" s="77">
        <v>8.9999999999999993E-3</v>
      </c>
      <c r="E1450" s="77">
        <v>8.9999999999999993E-3</v>
      </c>
      <c r="F1450" s="77">
        <v>8.9999999999999993E-3</v>
      </c>
      <c r="G1450" s="78">
        <v>0</v>
      </c>
      <c r="H1450" s="79"/>
      <c r="I1450" s="79"/>
      <c r="J1450" s="79"/>
      <c r="K1450" s="106">
        <v>5.5000000000000005E-3</v>
      </c>
      <c r="L1450" s="80">
        <v>0</v>
      </c>
      <c r="M1450" s="75" t="s">
        <v>143</v>
      </c>
      <c r="N1450" s="75" t="b">
        <v>1</v>
      </c>
      <c r="O1450" s="75" t="s">
        <v>144</v>
      </c>
      <c r="P1450" s="75">
        <v>1994</v>
      </c>
      <c r="Q1450" s="107">
        <f t="shared" si="27"/>
        <v>2011</v>
      </c>
      <c r="R1450" s="107">
        <v>2</v>
      </c>
      <c r="S1450" s="100">
        <v>211115</v>
      </c>
      <c r="T1450" s="101">
        <v>40864</v>
      </c>
      <c r="U1450" s="83"/>
    </row>
    <row r="1451" spans="1:21" s="84" customFormat="1" x14ac:dyDescent="0.3">
      <c r="A1451" s="68">
        <v>40890</v>
      </c>
      <c r="B1451" s="69">
        <f t="shared" si="28"/>
        <v>20111213</v>
      </c>
      <c r="C1451" s="70">
        <v>2.4799999999999999E-2</v>
      </c>
      <c r="D1451" s="77">
        <v>8.9999999999999993E-3</v>
      </c>
      <c r="E1451" s="77">
        <v>8.9999999999999993E-3</v>
      </c>
      <c r="F1451" s="77">
        <v>8.9999999999999993E-3</v>
      </c>
      <c r="G1451" s="78">
        <v>0</v>
      </c>
      <c r="H1451" s="79"/>
      <c r="I1451" s="79"/>
      <c r="J1451" s="79"/>
      <c r="K1451" s="106">
        <v>5.1999999999999998E-3</v>
      </c>
      <c r="L1451" s="80">
        <v>0</v>
      </c>
      <c r="M1451" s="75" t="s">
        <v>143</v>
      </c>
      <c r="N1451" s="75" t="b">
        <v>1</v>
      </c>
      <c r="O1451" s="75" t="s">
        <v>144</v>
      </c>
      <c r="P1451" s="75">
        <v>1994</v>
      </c>
      <c r="Q1451" s="107">
        <f t="shared" si="27"/>
        <v>2011</v>
      </c>
      <c r="R1451" s="107">
        <v>2</v>
      </c>
      <c r="S1451" s="100">
        <v>211115</v>
      </c>
      <c r="T1451" s="101">
        <v>40864</v>
      </c>
      <c r="U1451" s="83"/>
    </row>
    <row r="1452" spans="1:21" s="84" customFormat="1" x14ac:dyDescent="0.3">
      <c r="A1452" s="68">
        <v>40891</v>
      </c>
      <c r="B1452" s="69">
        <f t="shared" si="28"/>
        <v>20111214</v>
      </c>
      <c r="C1452" s="70">
        <v>2.4500000000000001E-2</v>
      </c>
      <c r="D1452" s="77">
        <v>8.9999999999999993E-3</v>
      </c>
      <c r="E1452" s="77">
        <v>8.9999999999999993E-3</v>
      </c>
      <c r="F1452" s="77">
        <v>8.9999999999999993E-3</v>
      </c>
      <c r="G1452" s="78">
        <v>0</v>
      </c>
      <c r="H1452" s="79"/>
      <c r="I1452" s="79"/>
      <c r="J1452" s="79"/>
      <c r="K1452" s="106">
        <v>5.1999999999999998E-3</v>
      </c>
      <c r="L1452" s="80">
        <v>0</v>
      </c>
      <c r="M1452" s="75" t="s">
        <v>143</v>
      </c>
      <c r="N1452" s="75" t="b">
        <v>1</v>
      </c>
      <c r="O1452" s="75" t="s">
        <v>144</v>
      </c>
      <c r="P1452" s="75">
        <v>1994</v>
      </c>
      <c r="Q1452" s="107">
        <f t="shared" si="27"/>
        <v>2011</v>
      </c>
      <c r="R1452" s="107">
        <v>2</v>
      </c>
      <c r="S1452" s="100">
        <v>211115</v>
      </c>
      <c r="T1452" s="101">
        <v>40864</v>
      </c>
      <c r="U1452" s="83"/>
    </row>
    <row r="1453" spans="1:21" s="84" customFormat="1" x14ac:dyDescent="0.3">
      <c r="A1453" s="68">
        <v>40892</v>
      </c>
      <c r="B1453" s="69">
        <f t="shared" si="28"/>
        <v>20111215</v>
      </c>
      <c r="C1453" s="70">
        <v>2.4399999999999998E-2</v>
      </c>
      <c r="D1453" s="77">
        <v>8.9999999999999993E-3</v>
      </c>
      <c r="E1453" s="77">
        <v>8.9999999999999993E-3</v>
      </c>
      <c r="F1453" s="77">
        <v>8.9999999999999993E-3</v>
      </c>
      <c r="G1453" s="78">
        <v>0</v>
      </c>
      <c r="H1453" s="79"/>
      <c r="I1453" s="79"/>
      <c r="J1453" s="79"/>
      <c r="K1453" s="106">
        <v>5.1999999999999998E-3</v>
      </c>
      <c r="L1453" s="80">
        <v>0</v>
      </c>
      <c r="M1453" s="75" t="s">
        <v>143</v>
      </c>
      <c r="N1453" s="75" t="b">
        <v>1</v>
      </c>
      <c r="O1453" s="75" t="s">
        <v>144</v>
      </c>
      <c r="P1453" s="75">
        <v>1994</v>
      </c>
      <c r="Q1453" s="107">
        <f t="shared" si="27"/>
        <v>2011</v>
      </c>
      <c r="R1453" s="107">
        <v>2</v>
      </c>
      <c r="S1453" s="100">
        <v>211115</v>
      </c>
      <c r="T1453" s="101">
        <v>40864</v>
      </c>
      <c r="U1453" s="83"/>
    </row>
    <row r="1454" spans="1:21" s="84" customFormat="1" x14ac:dyDescent="0.3">
      <c r="A1454" s="68">
        <v>40893</v>
      </c>
      <c r="B1454" s="69">
        <f t="shared" si="28"/>
        <v>20111216</v>
      </c>
      <c r="C1454" s="70">
        <v>2.3700000000000002E-2</v>
      </c>
      <c r="D1454" s="77">
        <v>8.9999999999999993E-3</v>
      </c>
      <c r="E1454" s="77">
        <v>8.9999999999999993E-3</v>
      </c>
      <c r="F1454" s="77">
        <v>8.9999999999999993E-3</v>
      </c>
      <c r="G1454" s="78">
        <v>0</v>
      </c>
      <c r="H1454" s="79"/>
      <c r="I1454" s="79"/>
      <c r="J1454" s="79"/>
      <c r="K1454" s="106">
        <v>4.5000000000000005E-3</v>
      </c>
      <c r="L1454" s="80">
        <v>0</v>
      </c>
      <c r="M1454" s="75" t="s">
        <v>143</v>
      </c>
      <c r="N1454" s="75" t="b">
        <v>1</v>
      </c>
      <c r="O1454" s="75" t="s">
        <v>144</v>
      </c>
      <c r="P1454" s="75">
        <v>1994</v>
      </c>
      <c r="Q1454" s="107">
        <f t="shared" ref="Q1454:Q1517" si="29">YEAR(A1454)</f>
        <v>2011</v>
      </c>
      <c r="R1454" s="107">
        <v>2</v>
      </c>
      <c r="S1454" s="100">
        <v>211115</v>
      </c>
      <c r="T1454" s="101">
        <v>40864</v>
      </c>
      <c r="U1454" s="83"/>
    </row>
    <row r="1455" spans="1:21" s="84" customFormat="1" x14ac:dyDescent="0.3">
      <c r="A1455" s="68">
        <v>40896</v>
      </c>
      <c r="B1455" s="69">
        <f t="shared" si="28"/>
        <v>20111219</v>
      </c>
      <c r="C1455" s="70">
        <v>2.3300000000000001E-2</v>
      </c>
      <c r="D1455" s="77">
        <v>8.9999999999999993E-3</v>
      </c>
      <c r="E1455" s="77">
        <v>8.9999999999999993E-3</v>
      </c>
      <c r="F1455" s="77">
        <v>8.9999999999999993E-3</v>
      </c>
      <c r="G1455" s="78">
        <v>0</v>
      </c>
      <c r="H1455" s="79"/>
      <c r="I1455" s="79"/>
      <c r="J1455" s="79"/>
      <c r="K1455" s="106">
        <v>4.0999999999999995E-3</v>
      </c>
      <c r="L1455" s="80">
        <v>0</v>
      </c>
      <c r="M1455" s="75" t="s">
        <v>143</v>
      </c>
      <c r="N1455" s="75" t="b">
        <v>1</v>
      </c>
      <c r="O1455" s="75" t="s">
        <v>144</v>
      </c>
      <c r="P1455" s="75">
        <v>1994</v>
      </c>
      <c r="Q1455" s="107">
        <f t="shared" si="29"/>
        <v>2011</v>
      </c>
      <c r="R1455" s="107">
        <v>2</v>
      </c>
      <c r="S1455" s="100">
        <v>211115</v>
      </c>
      <c r="T1455" s="101">
        <v>40864</v>
      </c>
      <c r="U1455" s="83"/>
    </row>
    <row r="1456" spans="1:21" s="84" customFormat="1" x14ac:dyDescent="0.3">
      <c r="A1456" s="68">
        <v>40897</v>
      </c>
      <c r="B1456" s="69">
        <f t="shared" si="28"/>
        <v>20111220</v>
      </c>
      <c r="C1456" s="70">
        <v>2.3799999999999998E-2</v>
      </c>
      <c r="D1456" s="77">
        <v>8.9999999999999993E-3</v>
      </c>
      <c r="E1456" s="77">
        <v>8.9999999999999993E-3</v>
      </c>
      <c r="F1456" s="77">
        <v>8.9999999999999993E-3</v>
      </c>
      <c r="G1456" s="78">
        <v>0</v>
      </c>
      <c r="H1456" s="79"/>
      <c r="I1456" s="79"/>
      <c r="J1456" s="79"/>
      <c r="K1456" s="106">
        <v>4.5000000000000005E-3</v>
      </c>
      <c r="L1456" s="80">
        <v>0</v>
      </c>
      <c r="M1456" s="75" t="s">
        <v>143</v>
      </c>
      <c r="N1456" s="75" t="b">
        <v>1</v>
      </c>
      <c r="O1456" s="75" t="s">
        <v>144</v>
      </c>
      <c r="P1456" s="75">
        <v>1994</v>
      </c>
      <c r="Q1456" s="107">
        <f t="shared" si="29"/>
        <v>2011</v>
      </c>
      <c r="R1456" s="107">
        <v>2</v>
      </c>
      <c r="S1456" s="100">
        <v>211115</v>
      </c>
      <c r="T1456" s="101">
        <v>40864</v>
      </c>
      <c r="U1456" s="83"/>
    </row>
    <row r="1457" spans="1:21" s="84" customFormat="1" x14ac:dyDescent="0.3">
      <c r="A1457" s="68">
        <v>40898</v>
      </c>
      <c r="B1457" s="69">
        <f t="shared" si="28"/>
        <v>20111221</v>
      </c>
      <c r="C1457" s="70">
        <v>2.41E-2</v>
      </c>
      <c r="D1457" s="77">
        <v>8.9999999999999993E-3</v>
      </c>
      <c r="E1457" s="77">
        <v>8.9999999999999993E-3</v>
      </c>
      <c r="F1457" s="77">
        <v>8.9999999999999993E-3</v>
      </c>
      <c r="G1457" s="78">
        <v>0</v>
      </c>
      <c r="H1457" s="79"/>
      <c r="I1457" s="79"/>
      <c r="J1457" s="79"/>
      <c r="K1457" s="106">
        <v>4.7999999999999996E-3</v>
      </c>
      <c r="L1457" s="80">
        <v>0</v>
      </c>
      <c r="M1457" s="75" t="s">
        <v>143</v>
      </c>
      <c r="N1457" s="75" t="b">
        <v>1</v>
      </c>
      <c r="O1457" s="75" t="s">
        <v>144</v>
      </c>
      <c r="P1457" s="75">
        <v>1994</v>
      </c>
      <c r="Q1457" s="107">
        <f t="shared" si="29"/>
        <v>2011</v>
      </c>
      <c r="R1457" s="107">
        <v>2</v>
      </c>
      <c r="S1457" s="100">
        <v>211115</v>
      </c>
      <c r="T1457" s="101">
        <v>40864</v>
      </c>
      <c r="U1457" s="83"/>
    </row>
    <row r="1458" spans="1:21" s="84" customFormat="1" x14ac:dyDescent="0.3">
      <c r="A1458" s="68">
        <v>40899</v>
      </c>
      <c r="B1458" s="69">
        <f t="shared" si="28"/>
        <v>20111222</v>
      </c>
      <c r="C1458" s="70">
        <v>2.41E-2</v>
      </c>
      <c r="D1458" s="77">
        <v>8.9999999999999993E-3</v>
      </c>
      <c r="E1458" s="77">
        <v>8.9999999999999993E-3</v>
      </c>
      <c r="F1458" s="77">
        <v>8.9999999999999993E-3</v>
      </c>
      <c r="G1458" s="78">
        <v>0</v>
      </c>
      <c r="H1458" s="79"/>
      <c r="I1458" s="79"/>
      <c r="J1458" s="79"/>
      <c r="K1458" s="106">
        <v>4.7999999999999996E-3</v>
      </c>
      <c r="L1458" s="80">
        <v>0</v>
      </c>
      <c r="M1458" s="75" t="s">
        <v>143</v>
      </c>
      <c r="N1458" s="75" t="b">
        <v>1</v>
      </c>
      <c r="O1458" s="75" t="s">
        <v>144</v>
      </c>
      <c r="P1458" s="75">
        <v>1994</v>
      </c>
      <c r="Q1458" s="107">
        <f t="shared" si="29"/>
        <v>2011</v>
      </c>
      <c r="R1458" s="107">
        <v>2</v>
      </c>
      <c r="S1458" s="100">
        <v>211115</v>
      </c>
      <c r="T1458" s="101">
        <v>40864</v>
      </c>
      <c r="U1458" s="83"/>
    </row>
    <row r="1459" spans="1:21" s="84" customFormat="1" x14ac:dyDescent="0.3">
      <c r="A1459" s="68">
        <v>40900</v>
      </c>
      <c r="B1459" s="69">
        <f t="shared" si="28"/>
        <v>20111223</v>
      </c>
      <c r="C1459" s="70">
        <v>2.4700000000000003E-2</v>
      </c>
      <c r="D1459" s="77">
        <v>8.9999999999999993E-3</v>
      </c>
      <c r="E1459" s="77">
        <v>8.9999999999999993E-3</v>
      </c>
      <c r="F1459" s="77">
        <v>8.9999999999999993E-3</v>
      </c>
      <c r="G1459" s="78">
        <v>0</v>
      </c>
      <c r="H1459" s="79"/>
      <c r="I1459" s="79"/>
      <c r="J1459" s="79"/>
      <c r="K1459" s="106">
        <v>5.1999999999999998E-3</v>
      </c>
      <c r="L1459" s="80">
        <v>0</v>
      </c>
      <c r="M1459" s="75" t="s">
        <v>143</v>
      </c>
      <c r="N1459" s="75" t="b">
        <v>1</v>
      </c>
      <c r="O1459" s="75" t="s">
        <v>144</v>
      </c>
      <c r="P1459" s="75">
        <v>1994</v>
      </c>
      <c r="Q1459" s="107">
        <f t="shared" si="29"/>
        <v>2011</v>
      </c>
      <c r="R1459" s="107">
        <v>2</v>
      </c>
      <c r="S1459" s="100">
        <v>211115</v>
      </c>
      <c r="T1459" s="101">
        <v>40864</v>
      </c>
      <c r="U1459" s="83"/>
    </row>
    <row r="1460" spans="1:21" s="84" customFormat="1" x14ac:dyDescent="0.3">
      <c r="A1460" s="68">
        <v>40901</v>
      </c>
      <c r="B1460" s="69">
        <f>YEAR(A1460)*10000+MONTH(A1460)*100+DAY(A1460)</f>
        <v>20111224</v>
      </c>
      <c r="C1460" s="70">
        <v>2.4700000000000003E-2</v>
      </c>
      <c r="D1460" s="77">
        <v>8.9999999999999993E-3</v>
      </c>
      <c r="E1460" s="77">
        <v>8.9999999999999993E-3</v>
      </c>
      <c r="F1460" s="77">
        <v>8.9999999999999993E-3</v>
      </c>
      <c r="G1460" s="78">
        <v>0</v>
      </c>
      <c r="H1460" s="79"/>
      <c r="I1460" s="79"/>
      <c r="J1460" s="79"/>
      <c r="K1460" s="106">
        <v>5.1999999999999998E-3</v>
      </c>
      <c r="L1460" s="80">
        <v>0</v>
      </c>
      <c r="M1460" s="75" t="s">
        <v>143</v>
      </c>
      <c r="N1460" s="75" t="b">
        <v>1</v>
      </c>
      <c r="O1460" s="75" t="s">
        <v>144</v>
      </c>
      <c r="P1460" s="75">
        <v>1994</v>
      </c>
      <c r="Q1460" s="107">
        <f t="shared" si="29"/>
        <v>2011</v>
      </c>
      <c r="R1460" s="107">
        <v>2</v>
      </c>
      <c r="S1460" s="100">
        <v>211115</v>
      </c>
      <c r="T1460" s="101">
        <v>40864</v>
      </c>
      <c r="U1460" s="83"/>
    </row>
    <row r="1461" spans="1:21" s="84" customFormat="1" x14ac:dyDescent="0.3">
      <c r="A1461" s="68">
        <v>40902</v>
      </c>
      <c r="B1461" s="69">
        <f>YEAR(A1461)*10000+MONTH(A1461)*100+DAY(A1461)</f>
        <v>20111225</v>
      </c>
      <c r="C1461" s="70">
        <v>2.4700000000000003E-2</v>
      </c>
      <c r="D1461" s="77">
        <v>8.9999999999999993E-3</v>
      </c>
      <c r="E1461" s="77">
        <v>8.9999999999999993E-3</v>
      </c>
      <c r="F1461" s="77">
        <v>8.9999999999999993E-3</v>
      </c>
      <c r="G1461" s="78">
        <v>0</v>
      </c>
      <c r="H1461" s="79"/>
      <c r="I1461" s="79"/>
      <c r="J1461" s="79"/>
      <c r="K1461" s="106">
        <v>5.1999999999999998E-3</v>
      </c>
      <c r="L1461" s="80">
        <v>0</v>
      </c>
      <c r="M1461" s="75" t="s">
        <v>143</v>
      </c>
      <c r="N1461" s="75" t="b">
        <v>1</v>
      </c>
      <c r="O1461" s="75" t="s">
        <v>144</v>
      </c>
      <c r="P1461" s="75">
        <v>1994</v>
      </c>
      <c r="Q1461" s="107">
        <f t="shared" si="29"/>
        <v>2011</v>
      </c>
      <c r="R1461" s="107">
        <v>2</v>
      </c>
      <c r="S1461" s="100">
        <v>211115</v>
      </c>
      <c r="T1461" s="101">
        <v>40864</v>
      </c>
      <c r="U1461" s="83"/>
    </row>
    <row r="1462" spans="1:21" s="84" customFormat="1" x14ac:dyDescent="0.3">
      <c r="A1462" s="68">
        <v>40903</v>
      </c>
      <c r="B1462" s="69">
        <f t="shared" si="28"/>
        <v>20111226</v>
      </c>
      <c r="C1462" s="70">
        <v>2.4700000000000003E-2</v>
      </c>
      <c r="D1462" s="77">
        <v>8.9999999999999993E-3</v>
      </c>
      <c r="E1462" s="77">
        <v>8.9999999999999993E-3</v>
      </c>
      <c r="F1462" s="77">
        <v>8.9999999999999993E-3</v>
      </c>
      <c r="G1462" s="78">
        <v>0</v>
      </c>
      <c r="H1462" s="79"/>
      <c r="I1462" s="79"/>
      <c r="J1462" s="79"/>
      <c r="K1462" s="106">
        <v>5.1999999999999998E-3</v>
      </c>
      <c r="L1462" s="80">
        <v>0</v>
      </c>
      <c r="M1462" s="75" t="s">
        <v>143</v>
      </c>
      <c r="N1462" s="75" t="b">
        <v>1</v>
      </c>
      <c r="O1462" s="75" t="s">
        <v>144</v>
      </c>
      <c r="P1462" s="75">
        <v>1994</v>
      </c>
      <c r="Q1462" s="107">
        <f t="shared" si="29"/>
        <v>2011</v>
      </c>
      <c r="R1462" s="107">
        <v>2</v>
      </c>
      <c r="S1462" s="100">
        <v>211115</v>
      </c>
      <c r="T1462" s="101">
        <v>40864</v>
      </c>
      <c r="U1462" s="83"/>
    </row>
    <row r="1463" spans="1:21" s="84" customFormat="1" x14ac:dyDescent="0.3">
      <c r="A1463" s="68">
        <v>40904</v>
      </c>
      <c r="B1463" s="69">
        <f t="shared" si="28"/>
        <v>20111227</v>
      </c>
      <c r="C1463" s="70">
        <v>2.4700000000000003E-2</v>
      </c>
      <c r="D1463" s="77">
        <v>8.9999999999999993E-3</v>
      </c>
      <c r="E1463" s="77">
        <v>8.9999999999999993E-3</v>
      </c>
      <c r="F1463" s="77">
        <v>8.9999999999999993E-3</v>
      </c>
      <c r="G1463" s="78">
        <v>0</v>
      </c>
      <c r="H1463" s="79"/>
      <c r="I1463" s="79"/>
      <c r="J1463" s="79"/>
      <c r="K1463" s="106">
        <v>5.1999999999999998E-3</v>
      </c>
      <c r="L1463" s="80">
        <v>0</v>
      </c>
      <c r="M1463" s="75" t="s">
        <v>143</v>
      </c>
      <c r="N1463" s="75" t="b">
        <v>1</v>
      </c>
      <c r="O1463" s="75" t="s">
        <v>144</v>
      </c>
      <c r="P1463" s="75">
        <v>1994</v>
      </c>
      <c r="Q1463" s="107">
        <f t="shared" si="29"/>
        <v>2011</v>
      </c>
      <c r="R1463" s="107">
        <v>2</v>
      </c>
      <c r="S1463" s="100">
        <v>211115</v>
      </c>
      <c r="T1463" s="101">
        <v>40864</v>
      </c>
      <c r="U1463" s="83"/>
    </row>
    <row r="1464" spans="1:21" s="84" customFormat="1" x14ac:dyDescent="0.3">
      <c r="A1464" s="68">
        <v>40905</v>
      </c>
      <c r="B1464" s="69">
        <f t="shared" si="28"/>
        <v>20111228</v>
      </c>
      <c r="C1464" s="70">
        <v>2.4199999999999999E-2</v>
      </c>
      <c r="D1464" s="77">
        <v>8.9999999999999993E-3</v>
      </c>
      <c r="E1464" s="77">
        <v>8.9999999999999993E-3</v>
      </c>
      <c r="F1464" s="77">
        <v>8.9999999999999993E-3</v>
      </c>
      <c r="G1464" s="78">
        <v>0</v>
      </c>
      <c r="H1464" s="79"/>
      <c r="I1464" s="79"/>
      <c r="J1464" s="79"/>
      <c r="K1464" s="106">
        <v>4.6999999999999993E-3</v>
      </c>
      <c r="L1464" s="80">
        <v>0</v>
      </c>
      <c r="M1464" s="75" t="s">
        <v>143</v>
      </c>
      <c r="N1464" s="75" t="b">
        <v>1</v>
      </c>
      <c r="O1464" s="75" t="s">
        <v>144</v>
      </c>
      <c r="P1464" s="75">
        <v>1994</v>
      </c>
      <c r="Q1464" s="107">
        <f t="shared" si="29"/>
        <v>2011</v>
      </c>
      <c r="R1464" s="107">
        <v>2</v>
      </c>
      <c r="S1464" s="100">
        <v>211115</v>
      </c>
      <c r="T1464" s="101">
        <v>40864</v>
      </c>
      <c r="U1464" s="83"/>
    </row>
    <row r="1465" spans="1:21" s="84" customFormat="1" x14ac:dyDescent="0.3">
      <c r="A1465" s="68">
        <v>40906</v>
      </c>
      <c r="B1465" s="69">
        <f t="shared" si="28"/>
        <v>20111229</v>
      </c>
      <c r="C1465" s="70">
        <v>2.41E-2</v>
      </c>
      <c r="D1465" s="77">
        <v>8.9999999999999993E-3</v>
      </c>
      <c r="E1465" s="77">
        <v>8.9999999999999993E-3</v>
      </c>
      <c r="F1465" s="77">
        <v>8.9999999999999993E-3</v>
      </c>
      <c r="G1465" s="78">
        <v>0</v>
      </c>
      <c r="H1465" s="79"/>
      <c r="I1465" s="79"/>
      <c r="J1465" s="79"/>
      <c r="K1465" s="106">
        <v>4.6999999999999993E-3</v>
      </c>
      <c r="L1465" s="80">
        <v>0</v>
      </c>
      <c r="M1465" s="75" t="s">
        <v>143</v>
      </c>
      <c r="N1465" s="75" t="b">
        <v>1</v>
      </c>
      <c r="O1465" s="75" t="s">
        <v>144</v>
      </c>
      <c r="P1465" s="75">
        <v>1994</v>
      </c>
      <c r="Q1465" s="107">
        <f t="shared" si="29"/>
        <v>2011</v>
      </c>
      <c r="R1465" s="107">
        <v>2</v>
      </c>
      <c r="S1465" s="100">
        <v>211115</v>
      </c>
      <c r="T1465" s="101">
        <v>40864</v>
      </c>
      <c r="U1465" s="83"/>
    </row>
    <row r="1466" spans="1:21" s="84" customFormat="1" x14ac:dyDescent="0.3">
      <c r="A1466" s="68">
        <v>40907</v>
      </c>
      <c r="B1466" s="69">
        <f>YEAR(A1466)*10000+MONTH(A1466)*100+DAY(A1466)</f>
        <v>20111230</v>
      </c>
      <c r="C1466" s="70">
        <v>2.41E-2</v>
      </c>
      <c r="D1466" s="77">
        <v>8.9999999999999993E-3</v>
      </c>
      <c r="E1466" s="77">
        <v>8.9999999999999993E-3</v>
      </c>
      <c r="F1466" s="77">
        <v>8.9999999999999993E-3</v>
      </c>
      <c r="G1466" s="78">
        <v>0</v>
      </c>
      <c r="H1466" s="79"/>
      <c r="I1466" s="79"/>
      <c r="J1466" s="79"/>
      <c r="K1466" s="106">
        <v>4.5000000000000005E-3</v>
      </c>
      <c r="L1466" s="80">
        <v>0</v>
      </c>
      <c r="M1466" s="75" t="s">
        <v>143</v>
      </c>
      <c r="N1466" s="75" t="b">
        <v>1</v>
      </c>
      <c r="O1466" s="75" t="s">
        <v>144</v>
      </c>
      <c r="P1466" s="75">
        <v>1994</v>
      </c>
      <c r="Q1466" s="107">
        <f t="shared" si="29"/>
        <v>2011</v>
      </c>
      <c r="R1466" s="107">
        <v>2</v>
      </c>
      <c r="S1466" s="100">
        <v>211115</v>
      </c>
      <c r="T1466" s="101">
        <v>40864</v>
      </c>
      <c r="U1466" s="83"/>
    </row>
    <row r="1467" spans="1:21" s="99" customFormat="1" x14ac:dyDescent="0.3">
      <c r="A1467" s="85">
        <v>40908</v>
      </c>
      <c r="B1467" s="86">
        <f>YEAR(A1467)*10000+MONTH(A1467)*100+DAY(A1467)</f>
        <v>20111231</v>
      </c>
      <c r="C1467" s="87">
        <v>2.41E-2</v>
      </c>
      <c r="D1467" s="108">
        <v>8.9999999999999993E-3</v>
      </c>
      <c r="E1467" s="108">
        <v>8.9999999999999993E-3</v>
      </c>
      <c r="F1467" s="108">
        <v>8.9999999999999993E-3</v>
      </c>
      <c r="G1467" s="103">
        <v>0</v>
      </c>
      <c r="H1467" s="91"/>
      <c r="I1467" s="91"/>
      <c r="J1467" s="91"/>
      <c r="K1467" s="92">
        <v>4.5000000000000005E-3</v>
      </c>
      <c r="L1467" s="92">
        <v>0</v>
      </c>
      <c r="M1467" s="98" t="s">
        <v>143</v>
      </c>
      <c r="N1467" s="98" t="b">
        <v>1</v>
      </c>
      <c r="O1467" s="98" t="s">
        <v>144</v>
      </c>
      <c r="P1467" s="98">
        <v>1994</v>
      </c>
      <c r="Q1467" s="105">
        <f t="shared" si="29"/>
        <v>2011</v>
      </c>
      <c r="R1467" s="105">
        <v>2</v>
      </c>
      <c r="S1467" s="93">
        <v>212032</v>
      </c>
      <c r="T1467" s="94">
        <v>41053</v>
      </c>
      <c r="U1467" s="95" t="s">
        <v>176</v>
      </c>
    </row>
    <row r="1468" spans="1:21" s="84" customFormat="1" x14ac:dyDescent="0.3">
      <c r="A1468" s="68">
        <v>40909</v>
      </c>
      <c r="B1468" s="69">
        <f>YEAR(A1468)*10000+MONTH(A1468)*100+DAY(A1468)</f>
        <v>20120101</v>
      </c>
      <c r="C1468" s="70">
        <v>2.41E-2</v>
      </c>
      <c r="D1468" s="77">
        <v>8.9999999999999993E-3</v>
      </c>
      <c r="E1468" s="77">
        <v>8.9999999999999993E-3</v>
      </c>
      <c r="F1468" s="77">
        <v>8.9999999999999993E-3</v>
      </c>
      <c r="G1468" s="78">
        <v>0</v>
      </c>
      <c r="H1468" s="79"/>
      <c r="I1468" s="79"/>
      <c r="J1468" s="79"/>
      <c r="K1468" s="106">
        <v>4.5000000000000005E-3</v>
      </c>
      <c r="L1468" s="80">
        <v>0</v>
      </c>
      <c r="M1468" s="75" t="s">
        <v>143</v>
      </c>
      <c r="N1468" s="75" t="b">
        <v>1</v>
      </c>
      <c r="O1468" s="75" t="s">
        <v>144</v>
      </c>
      <c r="P1468" s="75">
        <v>1994</v>
      </c>
      <c r="Q1468" s="107">
        <f t="shared" si="29"/>
        <v>2012</v>
      </c>
      <c r="R1468" s="107">
        <v>2</v>
      </c>
      <c r="S1468" s="100">
        <v>212032</v>
      </c>
      <c r="T1468" s="101">
        <v>41053</v>
      </c>
      <c r="U1468" s="83"/>
    </row>
    <row r="1469" spans="1:21" s="84" customFormat="1" x14ac:dyDescent="0.3">
      <c r="A1469" s="68">
        <v>40910</v>
      </c>
      <c r="B1469" s="69">
        <f>YEAR(A1469)*10000+MONTH(A1469)*100+DAY(A1469)</f>
        <v>20120102</v>
      </c>
      <c r="C1469" s="70">
        <v>2.41E-2</v>
      </c>
      <c r="D1469" s="77">
        <v>8.9999999999999993E-3</v>
      </c>
      <c r="E1469" s="77">
        <v>8.9999999999999993E-3</v>
      </c>
      <c r="F1469" s="77">
        <v>8.9999999999999993E-3</v>
      </c>
      <c r="G1469" s="78">
        <v>0</v>
      </c>
      <c r="H1469" s="79"/>
      <c r="I1469" s="79"/>
      <c r="J1469" s="79"/>
      <c r="K1469" s="106">
        <v>4.5000000000000005E-3</v>
      </c>
      <c r="L1469" s="80">
        <v>0</v>
      </c>
      <c r="M1469" s="75" t="s">
        <v>143</v>
      </c>
      <c r="N1469" s="75" t="b">
        <v>1</v>
      </c>
      <c r="O1469" s="75" t="s">
        <v>144</v>
      </c>
      <c r="P1469" s="75">
        <v>1994</v>
      </c>
      <c r="Q1469" s="107">
        <f t="shared" si="29"/>
        <v>2012</v>
      </c>
      <c r="R1469" s="107">
        <v>2</v>
      </c>
      <c r="S1469" s="100">
        <v>212032</v>
      </c>
      <c r="T1469" s="101">
        <v>41053</v>
      </c>
      <c r="U1469" s="83"/>
    </row>
    <row r="1470" spans="1:21" s="84" customFormat="1" x14ac:dyDescent="0.3">
      <c r="A1470" s="68">
        <v>40911</v>
      </c>
      <c r="B1470" s="69">
        <f t="shared" ref="B1470:B1526" si="30">YEAR(A1470)*10000+MONTH(A1470)*100+DAY(A1470)</f>
        <v>20120103</v>
      </c>
      <c r="C1470" s="70">
        <v>2.4700000000000003E-2</v>
      </c>
      <c r="D1470" s="77">
        <v>8.9999999999999993E-3</v>
      </c>
      <c r="E1470" s="77">
        <v>8.9999999999999993E-3</v>
      </c>
      <c r="F1470" s="77">
        <v>8.9999999999999993E-3</v>
      </c>
      <c r="G1470" s="78">
        <v>0</v>
      </c>
      <c r="H1470" s="79"/>
      <c r="I1470" s="79"/>
      <c r="J1470" s="79"/>
      <c r="K1470" s="106">
        <v>5.1000000000000004E-3</v>
      </c>
      <c r="L1470" s="80">
        <v>0</v>
      </c>
      <c r="M1470" s="75" t="s">
        <v>143</v>
      </c>
      <c r="N1470" s="75" t="b">
        <v>1</v>
      </c>
      <c r="O1470" s="75" t="s">
        <v>144</v>
      </c>
      <c r="P1470" s="75">
        <v>1994</v>
      </c>
      <c r="Q1470" s="107">
        <f t="shared" si="29"/>
        <v>2012</v>
      </c>
      <c r="R1470" s="107">
        <v>2</v>
      </c>
      <c r="S1470" s="100">
        <v>212032</v>
      </c>
      <c r="T1470" s="101">
        <v>41053</v>
      </c>
      <c r="U1470" s="83"/>
    </row>
    <row r="1471" spans="1:21" x14ac:dyDescent="0.3">
      <c r="A1471" s="68">
        <v>40912</v>
      </c>
      <c r="B1471" s="69">
        <f t="shared" si="30"/>
        <v>20120104</v>
      </c>
      <c r="C1471" s="70">
        <v>2.4799999999999999E-2</v>
      </c>
      <c r="D1471" s="77">
        <v>8.9999999999999993E-3</v>
      </c>
      <c r="E1471" s="77">
        <v>8.9999999999999993E-3</v>
      </c>
      <c r="F1471" s="77">
        <v>8.9999999999999993E-3</v>
      </c>
      <c r="G1471" s="78">
        <v>0</v>
      </c>
      <c r="K1471" s="106">
        <v>4.8999999999999998E-3</v>
      </c>
      <c r="L1471" s="80">
        <v>0</v>
      </c>
      <c r="M1471" s="75" t="s">
        <v>143</v>
      </c>
      <c r="N1471" s="75" t="b">
        <v>1</v>
      </c>
      <c r="O1471" s="75" t="s">
        <v>144</v>
      </c>
      <c r="P1471" s="75">
        <v>1994</v>
      </c>
      <c r="Q1471" s="107">
        <f t="shared" si="29"/>
        <v>2012</v>
      </c>
      <c r="R1471" s="107">
        <v>2</v>
      </c>
      <c r="S1471" s="100">
        <v>212032</v>
      </c>
      <c r="T1471" s="101">
        <v>41053</v>
      </c>
    </row>
    <row r="1472" spans="1:21" x14ac:dyDescent="0.3">
      <c r="A1472" s="68">
        <v>40913</v>
      </c>
      <c r="B1472" s="69">
        <f t="shared" si="30"/>
        <v>20120105</v>
      </c>
      <c r="C1472" s="70">
        <v>2.46E-2</v>
      </c>
      <c r="D1472" s="77">
        <v>8.9999999999999993E-3</v>
      </c>
      <c r="E1472" s="77">
        <v>8.9999999999999993E-3</v>
      </c>
      <c r="F1472" s="77">
        <v>8.9999999999999993E-3</v>
      </c>
      <c r="G1472" s="78">
        <v>0</v>
      </c>
      <c r="K1472" s="106">
        <v>4.6999999999999993E-3</v>
      </c>
      <c r="L1472" s="80">
        <v>0</v>
      </c>
      <c r="M1472" s="75" t="s">
        <v>143</v>
      </c>
      <c r="N1472" s="75" t="b">
        <v>1</v>
      </c>
      <c r="O1472" s="75" t="s">
        <v>144</v>
      </c>
      <c r="P1472" s="75">
        <v>1994</v>
      </c>
      <c r="Q1472" s="107">
        <f t="shared" si="29"/>
        <v>2012</v>
      </c>
      <c r="R1472" s="107">
        <v>2</v>
      </c>
      <c r="S1472" s="100">
        <v>212032</v>
      </c>
      <c r="T1472" s="101">
        <v>41053</v>
      </c>
    </row>
    <row r="1473" spans="1:20" x14ac:dyDescent="0.3">
      <c r="A1473" s="68">
        <v>40914</v>
      </c>
      <c r="B1473" s="69">
        <f t="shared" si="30"/>
        <v>20120106</v>
      </c>
      <c r="C1473" s="70">
        <v>2.4300000000000002E-2</v>
      </c>
      <c r="D1473" s="77">
        <v>8.9999999999999993E-3</v>
      </c>
      <c r="E1473" s="77">
        <v>8.9999999999999993E-3</v>
      </c>
      <c r="F1473" s="77">
        <v>8.9999999999999993E-3</v>
      </c>
      <c r="G1473" s="78">
        <v>0</v>
      </c>
      <c r="K1473" s="106">
        <v>4.1999999999999997E-3</v>
      </c>
      <c r="L1473" s="80">
        <v>0</v>
      </c>
      <c r="M1473" s="75" t="s">
        <v>143</v>
      </c>
      <c r="N1473" s="75" t="b">
        <v>1</v>
      </c>
      <c r="O1473" s="75" t="s">
        <v>144</v>
      </c>
      <c r="P1473" s="75">
        <v>1994</v>
      </c>
      <c r="Q1473" s="107">
        <f t="shared" si="29"/>
        <v>2012</v>
      </c>
      <c r="R1473" s="107">
        <v>2</v>
      </c>
      <c r="S1473" s="100">
        <v>212032</v>
      </c>
      <c r="T1473" s="101">
        <v>41053</v>
      </c>
    </row>
    <row r="1474" spans="1:20" x14ac:dyDescent="0.3">
      <c r="A1474" s="68">
        <v>40915</v>
      </c>
      <c r="B1474" s="69">
        <f t="shared" si="30"/>
        <v>20120107</v>
      </c>
      <c r="C1474" s="70">
        <v>2.4300000000000002E-2</v>
      </c>
      <c r="D1474" s="77">
        <v>8.9999999999999993E-3</v>
      </c>
      <c r="E1474" s="77">
        <v>8.9999999999999993E-3</v>
      </c>
      <c r="F1474" s="77">
        <v>8.9999999999999993E-3</v>
      </c>
      <c r="G1474" s="78">
        <v>0</v>
      </c>
      <c r="K1474" s="106">
        <v>4.1999999999999997E-3</v>
      </c>
      <c r="L1474" s="80">
        <v>0</v>
      </c>
      <c r="M1474" s="75" t="s">
        <v>143</v>
      </c>
      <c r="N1474" s="75" t="b">
        <v>1</v>
      </c>
      <c r="O1474" s="75" t="s">
        <v>144</v>
      </c>
      <c r="P1474" s="75">
        <v>1994</v>
      </c>
      <c r="Q1474" s="107">
        <f t="shared" si="29"/>
        <v>2012</v>
      </c>
      <c r="R1474" s="107">
        <v>2</v>
      </c>
      <c r="S1474" s="100">
        <v>212032</v>
      </c>
      <c r="T1474" s="101">
        <v>41053</v>
      </c>
    </row>
    <row r="1475" spans="1:20" x14ac:dyDescent="0.3">
      <c r="A1475" s="68">
        <v>40916</v>
      </c>
      <c r="B1475" s="69">
        <f t="shared" si="30"/>
        <v>20120108</v>
      </c>
      <c r="C1475" s="70">
        <v>2.4300000000000002E-2</v>
      </c>
      <c r="D1475" s="77">
        <v>8.9999999999999993E-3</v>
      </c>
      <c r="E1475" s="77">
        <v>8.9999999999999993E-3</v>
      </c>
      <c r="F1475" s="77">
        <v>8.9999999999999993E-3</v>
      </c>
      <c r="G1475" s="78">
        <v>0</v>
      </c>
      <c r="K1475" s="106">
        <v>4.1999999999999997E-3</v>
      </c>
      <c r="L1475" s="80">
        <v>0</v>
      </c>
      <c r="M1475" s="75" t="s">
        <v>143</v>
      </c>
      <c r="N1475" s="75" t="b">
        <v>1</v>
      </c>
      <c r="O1475" s="75" t="s">
        <v>144</v>
      </c>
      <c r="P1475" s="75">
        <v>1994</v>
      </c>
      <c r="Q1475" s="107">
        <f t="shared" si="29"/>
        <v>2012</v>
      </c>
      <c r="R1475" s="107">
        <v>2</v>
      </c>
      <c r="S1475" s="100">
        <v>212032</v>
      </c>
      <c r="T1475" s="101">
        <v>41053</v>
      </c>
    </row>
    <row r="1476" spans="1:20" x14ac:dyDescent="0.3">
      <c r="A1476" s="68">
        <v>40917</v>
      </c>
      <c r="B1476" s="69">
        <f t="shared" si="30"/>
        <v>20120109</v>
      </c>
      <c r="C1476" s="70">
        <v>2.4300000000000002E-2</v>
      </c>
      <c r="D1476" s="77">
        <v>8.9999999999999993E-3</v>
      </c>
      <c r="E1476" s="77">
        <v>8.9999999999999993E-3</v>
      </c>
      <c r="F1476" s="77">
        <v>8.9999999999999993E-3</v>
      </c>
      <c r="G1476" s="78">
        <v>0</v>
      </c>
      <c r="K1476" s="106">
        <v>3.8E-3</v>
      </c>
      <c r="L1476" s="80">
        <v>0</v>
      </c>
      <c r="M1476" s="75" t="s">
        <v>143</v>
      </c>
      <c r="N1476" s="75" t="b">
        <v>1</v>
      </c>
      <c r="O1476" s="75" t="s">
        <v>144</v>
      </c>
      <c r="P1476" s="75">
        <v>1994</v>
      </c>
      <c r="Q1476" s="107">
        <f t="shared" si="29"/>
        <v>2012</v>
      </c>
      <c r="R1476" s="107">
        <v>2</v>
      </c>
      <c r="S1476" s="100">
        <v>212032</v>
      </c>
      <c r="T1476" s="101">
        <v>41053</v>
      </c>
    </row>
    <row r="1477" spans="1:20" x14ac:dyDescent="0.3">
      <c r="A1477" s="68">
        <v>40918</v>
      </c>
      <c r="B1477" s="69">
        <f t="shared" si="30"/>
        <v>20120110</v>
      </c>
      <c r="C1477" s="70">
        <v>2.46E-2</v>
      </c>
      <c r="D1477" s="77">
        <v>8.9999999999999993E-3</v>
      </c>
      <c r="E1477" s="77">
        <v>8.9999999999999993E-3</v>
      </c>
      <c r="F1477" s="77">
        <v>8.9999999999999993E-3</v>
      </c>
      <c r="G1477" s="78">
        <v>0</v>
      </c>
      <c r="K1477" s="106">
        <v>4.0000000000000001E-3</v>
      </c>
      <c r="L1477" s="80">
        <v>0</v>
      </c>
      <c r="M1477" s="75" t="s">
        <v>143</v>
      </c>
      <c r="N1477" s="75" t="b">
        <v>1</v>
      </c>
      <c r="O1477" s="75" t="s">
        <v>144</v>
      </c>
      <c r="P1477" s="75">
        <v>1994</v>
      </c>
      <c r="Q1477" s="107">
        <f t="shared" si="29"/>
        <v>2012</v>
      </c>
      <c r="R1477" s="107">
        <v>2</v>
      </c>
      <c r="S1477" s="100">
        <v>212032</v>
      </c>
      <c r="T1477" s="101">
        <v>41053</v>
      </c>
    </row>
    <row r="1478" spans="1:20" x14ac:dyDescent="0.3">
      <c r="A1478" s="68">
        <v>40919</v>
      </c>
      <c r="B1478" s="69">
        <f t="shared" si="30"/>
        <v>20120111</v>
      </c>
      <c r="C1478" s="70">
        <v>2.4199999999999999E-2</v>
      </c>
      <c r="D1478" s="77">
        <v>8.9999999999999993E-3</v>
      </c>
      <c r="E1478" s="77">
        <v>8.9999999999999993E-3</v>
      </c>
      <c r="F1478" s="77">
        <v>8.9999999999999993E-3</v>
      </c>
      <c r="G1478" s="78">
        <v>0</v>
      </c>
      <c r="K1478" s="106">
        <v>3.5999999999999999E-3</v>
      </c>
      <c r="L1478" s="80">
        <v>0</v>
      </c>
      <c r="M1478" s="75" t="s">
        <v>143</v>
      </c>
      <c r="N1478" s="75" t="b">
        <v>1</v>
      </c>
      <c r="O1478" s="75" t="s">
        <v>144</v>
      </c>
      <c r="P1478" s="75">
        <v>1994</v>
      </c>
      <c r="Q1478" s="107">
        <f t="shared" si="29"/>
        <v>2012</v>
      </c>
      <c r="R1478" s="107">
        <v>2</v>
      </c>
      <c r="S1478" s="100">
        <v>212032</v>
      </c>
      <c r="T1478" s="101">
        <v>41053</v>
      </c>
    </row>
    <row r="1479" spans="1:20" x14ac:dyDescent="0.3">
      <c r="A1479" s="68">
        <v>40920</v>
      </c>
      <c r="B1479" s="69">
        <f t="shared" si="30"/>
        <v>20120112</v>
      </c>
      <c r="C1479" s="70">
        <v>2.46E-2</v>
      </c>
      <c r="D1479" s="77">
        <v>8.9999999999999993E-3</v>
      </c>
      <c r="E1479" s="77">
        <v>8.9999999999999993E-3</v>
      </c>
      <c r="F1479" s="77">
        <v>8.9999999999999993E-3</v>
      </c>
      <c r="G1479" s="78">
        <v>0</v>
      </c>
      <c r="K1479" s="106">
        <v>4.0000000000000001E-3</v>
      </c>
      <c r="L1479" s="80">
        <v>0</v>
      </c>
      <c r="M1479" s="75" t="s">
        <v>143</v>
      </c>
      <c r="N1479" s="75" t="b">
        <v>1</v>
      </c>
      <c r="O1479" s="75" t="s">
        <v>144</v>
      </c>
      <c r="P1479" s="75">
        <v>1994</v>
      </c>
      <c r="Q1479" s="107">
        <f t="shared" si="29"/>
        <v>2012</v>
      </c>
      <c r="R1479" s="107">
        <v>2</v>
      </c>
      <c r="S1479" s="100">
        <v>212032</v>
      </c>
      <c r="T1479" s="101">
        <v>41053</v>
      </c>
    </row>
    <row r="1480" spans="1:20" x14ac:dyDescent="0.3">
      <c r="A1480" s="68">
        <v>40921</v>
      </c>
      <c r="B1480" s="69">
        <f t="shared" si="30"/>
        <v>20120113</v>
      </c>
      <c r="C1480" s="70">
        <v>2.41E-2</v>
      </c>
      <c r="D1480" s="77">
        <v>8.9999999999999993E-3</v>
      </c>
      <c r="E1480" s="77">
        <v>8.9999999999999993E-3</v>
      </c>
      <c r="F1480" s="77">
        <v>8.9999999999999993E-3</v>
      </c>
      <c r="G1480" s="78">
        <v>0</v>
      </c>
      <c r="K1480" s="106">
        <v>3.8E-3</v>
      </c>
      <c r="L1480" s="80">
        <v>0</v>
      </c>
      <c r="M1480" s="75" t="s">
        <v>143</v>
      </c>
      <c r="N1480" s="75" t="b">
        <v>1</v>
      </c>
      <c r="O1480" s="75" t="s">
        <v>144</v>
      </c>
      <c r="P1480" s="75">
        <v>1994</v>
      </c>
      <c r="Q1480" s="107">
        <f t="shared" si="29"/>
        <v>2012</v>
      </c>
      <c r="R1480" s="107">
        <v>2</v>
      </c>
      <c r="S1480" s="100">
        <v>212032</v>
      </c>
      <c r="T1480" s="101">
        <v>41053</v>
      </c>
    </row>
    <row r="1481" spans="1:20" x14ac:dyDescent="0.3">
      <c r="A1481" s="68">
        <v>40922</v>
      </c>
      <c r="B1481" s="69">
        <f t="shared" si="30"/>
        <v>20120114</v>
      </c>
      <c r="C1481" s="70">
        <v>2.41E-2</v>
      </c>
      <c r="D1481" s="77">
        <v>8.9999999999999993E-3</v>
      </c>
      <c r="E1481" s="77">
        <v>8.9999999999999993E-3</v>
      </c>
      <c r="F1481" s="77">
        <v>8.9999999999999993E-3</v>
      </c>
      <c r="G1481" s="78">
        <v>0</v>
      </c>
      <c r="K1481" s="106">
        <v>3.8E-3</v>
      </c>
      <c r="L1481" s="80">
        <v>0</v>
      </c>
      <c r="M1481" s="75" t="s">
        <v>143</v>
      </c>
      <c r="N1481" s="75" t="b">
        <v>1</v>
      </c>
      <c r="O1481" s="75" t="s">
        <v>144</v>
      </c>
      <c r="P1481" s="75">
        <v>1994</v>
      </c>
      <c r="Q1481" s="107">
        <f t="shared" si="29"/>
        <v>2012</v>
      </c>
      <c r="R1481" s="107">
        <v>2</v>
      </c>
      <c r="S1481" s="100">
        <v>212032</v>
      </c>
      <c r="T1481" s="101">
        <v>41053</v>
      </c>
    </row>
    <row r="1482" spans="1:20" x14ac:dyDescent="0.3">
      <c r="A1482" s="68">
        <v>40923</v>
      </c>
      <c r="B1482" s="69">
        <f t="shared" si="30"/>
        <v>20120115</v>
      </c>
      <c r="C1482" s="70">
        <v>2.41E-2</v>
      </c>
      <c r="D1482" s="77">
        <v>8.9999999999999993E-3</v>
      </c>
      <c r="E1482" s="77">
        <v>8.9999999999999993E-3</v>
      </c>
      <c r="F1482" s="77">
        <v>8.9999999999999993E-3</v>
      </c>
      <c r="G1482" s="78">
        <v>0</v>
      </c>
      <c r="K1482" s="106">
        <v>3.8E-3</v>
      </c>
      <c r="L1482" s="80">
        <v>0</v>
      </c>
      <c r="M1482" s="75" t="s">
        <v>143</v>
      </c>
      <c r="N1482" s="75" t="b">
        <v>1</v>
      </c>
      <c r="O1482" s="75" t="s">
        <v>144</v>
      </c>
      <c r="P1482" s="75">
        <v>1994</v>
      </c>
      <c r="Q1482" s="107">
        <f t="shared" si="29"/>
        <v>2012</v>
      </c>
      <c r="R1482" s="107">
        <v>2</v>
      </c>
      <c r="S1482" s="100">
        <v>212032</v>
      </c>
      <c r="T1482" s="101">
        <v>41053</v>
      </c>
    </row>
    <row r="1483" spans="1:20" x14ac:dyDescent="0.3">
      <c r="A1483" s="68">
        <v>40924</v>
      </c>
      <c r="B1483" s="69">
        <f t="shared" si="30"/>
        <v>20120116</v>
      </c>
      <c r="C1483" s="70">
        <v>2.4199999999999999E-2</v>
      </c>
      <c r="D1483" s="77">
        <v>8.9999999999999993E-3</v>
      </c>
      <c r="E1483" s="77">
        <v>8.9999999999999993E-3</v>
      </c>
      <c r="F1483" s="77">
        <v>8.9999999999999993E-3</v>
      </c>
      <c r="G1483" s="78">
        <v>0</v>
      </c>
      <c r="K1483" s="106">
        <v>3.8E-3</v>
      </c>
      <c r="L1483" s="80">
        <v>0</v>
      </c>
      <c r="M1483" s="75" t="s">
        <v>143</v>
      </c>
      <c r="N1483" s="75" t="b">
        <v>1</v>
      </c>
      <c r="O1483" s="75" t="s">
        <v>144</v>
      </c>
      <c r="P1483" s="75">
        <v>1994</v>
      </c>
      <c r="Q1483" s="107">
        <f t="shared" si="29"/>
        <v>2012</v>
      </c>
      <c r="R1483" s="107">
        <v>2</v>
      </c>
      <c r="S1483" s="100">
        <v>212032</v>
      </c>
      <c r="T1483" s="101">
        <v>41053</v>
      </c>
    </row>
    <row r="1484" spans="1:20" x14ac:dyDescent="0.3">
      <c r="A1484" s="68">
        <v>40925</v>
      </c>
      <c r="B1484" s="69">
        <f t="shared" si="30"/>
        <v>20120117</v>
      </c>
      <c r="C1484" s="70">
        <v>2.41E-2</v>
      </c>
      <c r="D1484" s="77">
        <v>8.9999999999999993E-3</v>
      </c>
      <c r="E1484" s="77">
        <v>8.9999999999999993E-3</v>
      </c>
      <c r="F1484" s="77">
        <v>8.9999999999999993E-3</v>
      </c>
      <c r="G1484" s="78">
        <v>0</v>
      </c>
      <c r="K1484" s="106">
        <v>3.7000000000000002E-3</v>
      </c>
      <c r="L1484" s="80">
        <v>0</v>
      </c>
      <c r="M1484" s="75" t="s">
        <v>143</v>
      </c>
      <c r="N1484" s="75" t="b">
        <v>1</v>
      </c>
      <c r="O1484" s="75" t="s">
        <v>144</v>
      </c>
      <c r="P1484" s="75">
        <v>1994</v>
      </c>
      <c r="Q1484" s="107">
        <f t="shared" si="29"/>
        <v>2012</v>
      </c>
      <c r="R1484" s="107">
        <v>2</v>
      </c>
      <c r="S1484" s="100">
        <v>212032</v>
      </c>
      <c r="T1484" s="101">
        <v>41053</v>
      </c>
    </row>
    <row r="1485" spans="1:20" x14ac:dyDescent="0.3">
      <c r="A1485" s="68">
        <v>40926</v>
      </c>
      <c r="B1485" s="69">
        <f t="shared" si="30"/>
        <v>20120118</v>
      </c>
      <c r="C1485" s="70">
        <v>2.4399999999999998E-2</v>
      </c>
      <c r="D1485" s="77">
        <v>8.9999999999999993E-3</v>
      </c>
      <c r="E1485" s="77">
        <v>8.9999999999999993E-3</v>
      </c>
      <c r="F1485" s="77">
        <v>8.9999999999999993E-3</v>
      </c>
      <c r="G1485" s="78">
        <v>0</v>
      </c>
      <c r="K1485" s="106">
        <v>4.0000000000000001E-3</v>
      </c>
      <c r="L1485" s="80">
        <v>0</v>
      </c>
      <c r="M1485" s="75" t="s">
        <v>143</v>
      </c>
      <c r="N1485" s="75" t="b">
        <v>1</v>
      </c>
      <c r="O1485" s="75" t="s">
        <v>144</v>
      </c>
      <c r="P1485" s="75">
        <v>1994</v>
      </c>
      <c r="Q1485" s="107">
        <f t="shared" si="29"/>
        <v>2012</v>
      </c>
      <c r="R1485" s="107">
        <v>2</v>
      </c>
      <c r="S1485" s="100">
        <v>212032</v>
      </c>
      <c r="T1485" s="101">
        <v>41053</v>
      </c>
    </row>
    <row r="1486" spans="1:20" x14ac:dyDescent="0.3">
      <c r="A1486" s="68">
        <v>40927</v>
      </c>
      <c r="B1486" s="69">
        <f t="shared" si="30"/>
        <v>20120119</v>
      </c>
      <c r="C1486" s="70">
        <v>2.4799999999999999E-2</v>
      </c>
      <c r="D1486" s="77">
        <v>8.9999999999999993E-3</v>
      </c>
      <c r="E1486" s="77">
        <v>8.9999999999999993E-3</v>
      </c>
      <c r="F1486" s="77">
        <v>8.9999999999999993E-3</v>
      </c>
      <c r="G1486" s="78">
        <v>0</v>
      </c>
      <c r="K1486" s="106">
        <v>4.4000000000000003E-3</v>
      </c>
      <c r="L1486" s="80">
        <v>0</v>
      </c>
      <c r="M1486" s="75" t="s">
        <v>143</v>
      </c>
      <c r="N1486" s="75" t="b">
        <v>1</v>
      </c>
      <c r="O1486" s="75" t="s">
        <v>144</v>
      </c>
      <c r="P1486" s="75">
        <v>1994</v>
      </c>
      <c r="Q1486" s="107">
        <f t="shared" si="29"/>
        <v>2012</v>
      </c>
      <c r="R1486" s="107">
        <v>2</v>
      </c>
      <c r="S1486" s="100">
        <v>212032</v>
      </c>
      <c r="T1486" s="101">
        <v>41053</v>
      </c>
    </row>
    <row r="1487" spans="1:20" x14ac:dyDescent="0.3">
      <c r="A1487" s="68">
        <v>40928</v>
      </c>
      <c r="B1487" s="69">
        <f t="shared" si="30"/>
        <v>20120120</v>
      </c>
      <c r="C1487" s="70">
        <v>2.5399999999999999E-2</v>
      </c>
      <c r="D1487" s="77">
        <v>8.9999999999999993E-3</v>
      </c>
      <c r="E1487" s="77">
        <v>8.9999999999999993E-3</v>
      </c>
      <c r="F1487" s="77">
        <v>8.9999999999999993E-3</v>
      </c>
      <c r="G1487" s="78">
        <v>0</v>
      </c>
      <c r="K1487" s="106">
        <v>5.1999999999999998E-3</v>
      </c>
      <c r="L1487" s="80">
        <v>0</v>
      </c>
      <c r="M1487" s="75" t="s">
        <v>143</v>
      </c>
      <c r="N1487" s="75" t="b">
        <v>1</v>
      </c>
      <c r="O1487" s="75" t="s">
        <v>144</v>
      </c>
      <c r="P1487" s="75">
        <v>1994</v>
      </c>
      <c r="Q1487" s="107">
        <f t="shared" si="29"/>
        <v>2012</v>
      </c>
      <c r="R1487" s="107">
        <v>2</v>
      </c>
      <c r="S1487" s="100">
        <v>212032</v>
      </c>
      <c r="T1487" s="101">
        <v>41053</v>
      </c>
    </row>
    <row r="1488" spans="1:20" x14ac:dyDescent="0.3">
      <c r="A1488" s="68">
        <v>40929</v>
      </c>
      <c r="B1488" s="69">
        <f t="shared" si="30"/>
        <v>20120121</v>
      </c>
      <c r="C1488" s="70">
        <v>2.5399999999999999E-2</v>
      </c>
      <c r="D1488" s="77">
        <v>8.9999999999999993E-3</v>
      </c>
      <c r="E1488" s="77">
        <v>8.9999999999999993E-3</v>
      </c>
      <c r="F1488" s="77">
        <v>8.9999999999999993E-3</v>
      </c>
      <c r="G1488" s="78">
        <v>0</v>
      </c>
      <c r="K1488" s="106">
        <v>5.1999999999999998E-3</v>
      </c>
      <c r="L1488" s="80">
        <v>0</v>
      </c>
      <c r="M1488" s="75" t="s">
        <v>143</v>
      </c>
      <c r="N1488" s="75" t="b">
        <v>1</v>
      </c>
      <c r="O1488" s="75" t="s">
        <v>144</v>
      </c>
      <c r="P1488" s="75">
        <v>1994</v>
      </c>
      <c r="Q1488" s="107">
        <f t="shared" si="29"/>
        <v>2012</v>
      </c>
      <c r="R1488" s="107">
        <v>2</v>
      </c>
      <c r="S1488" s="100">
        <v>212032</v>
      </c>
      <c r="T1488" s="101">
        <v>41053</v>
      </c>
    </row>
    <row r="1489" spans="1:20" x14ac:dyDescent="0.3">
      <c r="A1489" s="68">
        <v>40930</v>
      </c>
      <c r="B1489" s="69">
        <f t="shared" si="30"/>
        <v>20120122</v>
      </c>
      <c r="C1489" s="70">
        <v>2.5399999999999999E-2</v>
      </c>
      <c r="D1489" s="77">
        <v>8.9999999999999993E-3</v>
      </c>
      <c r="E1489" s="77">
        <v>8.9999999999999993E-3</v>
      </c>
      <c r="F1489" s="77">
        <v>8.9999999999999993E-3</v>
      </c>
      <c r="G1489" s="78">
        <v>0</v>
      </c>
      <c r="K1489" s="106">
        <v>5.1999999999999998E-3</v>
      </c>
      <c r="L1489" s="80">
        <v>0</v>
      </c>
      <c r="M1489" s="75" t="s">
        <v>143</v>
      </c>
      <c r="N1489" s="75" t="b">
        <v>1</v>
      </c>
      <c r="O1489" s="75" t="s">
        <v>144</v>
      </c>
      <c r="P1489" s="75">
        <v>1994</v>
      </c>
      <c r="Q1489" s="107">
        <f t="shared" si="29"/>
        <v>2012</v>
      </c>
      <c r="R1489" s="107">
        <v>2</v>
      </c>
      <c r="S1489" s="100">
        <v>212032</v>
      </c>
      <c r="T1489" s="101">
        <v>41053</v>
      </c>
    </row>
    <row r="1490" spans="1:20" x14ac:dyDescent="0.3">
      <c r="A1490" s="68">
        <v>40931</v>
      </c>
      <c r="B1490" s="69">
        <f t="shared" si="30"/>
        <v>20120123</v>
      </c>
      <c r="C1490" s="70">
        <v>2.5699999999999997E-2</v>
      </c>
      <c r="D1490" s="77">
        <v>8.9999999999999993E-3</v>
      </c>
      <c r="E1490" s="77">
        <v>8.9999999999999993E-3</v>
      </c>
      <c r="F1490" s="77">
        <v>8.9999999999999993E-3</v>
      </c>
      <c r="G1490" s="78">
        <v>0</v>
      </c>
      <c r="K1490" s="106">
        <v>5.5000000000000005E-3</v>
      </c>
      <c r="L1490" s="80">
        <v>0</v>
      </c>
      <c r="M1490" s="75" t="s">
        <v>143</v>
      </c>
      <c r="N1490" s="75" t="b">
        <v>1</v>
      </c>
      <c r="O1490" s="75" t="s">
        <v>144</v>
      </c>
      <c r="P1490" s="75">
        <v>1994</v>
      </c>
      <c r="Q1490" s="107">
        <f t="shared" si="29"/>
        <v>2012</v>
      </c>
      <c r="R1490" s="107">
        <v>2</v>
      </c>
      <c r="S1490" s="100">
        <v>212032</v>
      </c>
      <c r="T1490" s="101">
        <v>41053</v>
      </c>
    </row>
    <row r="1491" spans="1:20" x14ac:dyDescent="0.3">
      <c r="A1491" s="68">
        <v>40932</v>
      </c>
      <c r="B1491" s="69">
        <f t="shared" si="30"/>
        <v>20120124</v>
      </c>
      <c r="C1491" s="70">
        <v>2.58E-2</v>
      </c>
      <c r="D1491" s="77">
        <v>8.9999999999999993E-3</v>
      </c>
      <c r="E1491" s="77">
        <v>8.9999999999999993E-3</v>
      </c>
      <c r="F1491" s="77">
        <v>8.9999999999999993E-3</v>
      </c>
      <c r="G1491" s="78">
        <v>0</v>
      </c>
      <c r="K1491" s="106">
        <v>5.5000000000000005E-3</v>
      </c>
      <c r="L1491" s="80">
        <v>0</v>
      </c>
      <c r="M1491" s="75" t="s">
        <v>143</v>
      </c>
      <c r="N1491" s="75" t="b">
        <v>1</v>
      </c>
      <c r="O1491" s="75" t="s">
        <v>144</v>
      </c>
      <c r="P1491" s="75">
        <v>1994</v>
      </c>
      <c r="Q1491" s="107">
        <f t="shared" si="29"/>
        <v>2012</v>
      </c>
      <c r="R1491" s="107">
        <v>2</v>
      </c>
      <c r="S1491" s="100">
        <v>212032</v>
      </c>
      <c r="T1491" s="101">
        <v>41053</v>
      </c>
    </row>
    <row r="1492" spans="1:20" x14ac:dyDescent="0.3">
      <c r="A1492" s="68">
        <v>40933</v>
      </c>
      <c r="B1492" s="69">
        <f t="shared" si="30"/>
        <v>20120125</v>
      </c>
      <c r="C1492" s="70">
        <v>2.5499999999999998E-2</v>
      </c>
      <c r="D1492" s="77">
        <v>8.9999999999999993E-3</v>
      </c>
      <c r="E1492" s="77">
        <v>8.9999999999999993E-3</v>
      </c>
      <c r="F1492" s="77">
        <v>8.9999999999999993E-3</v>
      </c>
      <c r="G1492" s="78">
        <v>0</v>
      </c>
      <c r="K1492" s="106">
        <v>5.3E-3</v>
      </c>
      <c r="L1492" s="80">
        <v>0</v>
      </c>
      <c r="M1492" s="75" t="s">
        <v>143</v>
      </c>
      <c r="N1492" s="75" t="b">
        <v>1</v>
      </c>
      <c r="O1492" s="75" t="s">
        <v>144</v>
      </c>
      <c r="P1492" s="75">
        <v>1994</v>
      </c>
      <c r="Q1492" s="107">
        <f t="shared" si="29"/>
        <v>2012</v>
      </c>
      <c r="R1492" s="107">
        <v>2</v>
      </c>
      <c r="S1492" s="100">
        <v>212032</v>
      </c>
      <c r="T1492" s="101">
        <v>41053</v>
      </c>
    </row>
    <row r="1493" spans="1:20" x14ac:dyDescent="0.3">
      <c r="A1493" s="68">
        <v>40934</v>
      </c>
      <c r="B1493" s="69">
        <f t="shared" si="30"/>
        <v>20120126</v>
      </c>
      <c r="C1493" s="70">
        <v>2.53E-2</v>
      </c>
      <c r="D1493" s="77">
        <v>8.9999999999999993E-3</v>
      </c>
      <c r="E1493" s="77">
        <v>8.9999999999999993E-3</v>
      </c>
      <c r="F1493" s="77">
        <v>8.9999999999999993E-3</v>
      </c>
      <c r="G1493" s="78">
        <v>0</v>
      </c>
      <c r="K1493" s="106">
        <v>4.8999999999999998E-3</v>
      </c>
      <c r="L1493" s="80">
        <v>0</v>
      </c>
      <c r="M1493" s="75" t="s">
        <v>143</v>
      </c>
      <c r="N1493" s="75" t="b">
        <v>1</v>
      </c>
      <c r="O1493" s="75" t="s">
        <v>144</v>
      </c>
      <c r="P1493" s="75">
        <v>1994</v>
      </c>
      <c r="Q1493" s="107">
        <f t="shared" si="29"/>
        <v>2012</v>
      </c>
      <c r="R1493" s="107">
        <v>2</v>
      </c>
      <c r="S1493" s="100">
        <v>212032</v>
      </c>
      <c r="T1493" s="101">
        <v>41053</v>
      </c>
    </row>
    <row r="1494" spans="1:20" x14ac:dyDescent="0.3">
      <c r="A1494" s="68">
        <v>40935</v>
      </c>
      <c r="B1494" s="69">
        <f t="shared" si="30"/>
        <v>20120127</v>
      </c>
      <c r="C1494" s="70">
        <v>2.5000000000000001E-2</v>
      </c>
      <c r="D1494" s="77">
        <v>8.9999999999999993E-3</v>
      </c>
      <c r="E1494" s="77">
        <v>8.9999999999999993E-3</v>
      </c>
      <c r="F1494" s="77">
        <v>8.9999999999999993E-3</v>
      </c>
      <c r="G1494" s="78">
        <v>0</v>
      </c>
      <c r="K1494" s="106">
        <v>4.6999999999999993E-3</v>
      </c>
      <c r="L1494" s="80">
        <v>0</v>
      </c>
      <c r="M1494" s="75" t="s">
        <v>143</v>
      </c>
      <c r="N1494" s="75" t="b">
        <v>1</v>
      </c>
      <c r="O1494" s="75" t="s">
        <v>144</v>
      </c>
      <c r="P1494" s="75">
        <v>1994</v>
      </c>
      <c r="Q1494" s="107">
        <f t="shared" si="29"/>
        <v>2012</v>
      </c>
      <c r="R1494" s="107">
        <v>2</v>
      </c>
      <c r="S1494" s="100">
        <v>212032</v>
      </c>
      <c r="T1494" s="101">
        <v>41053</v>
      </c>
    </row>
    <row r="1495" spans="1:20" x14ac:dyDescent="0.3">
      <c r="A1495" s="68">
        <v>40936</v>
      </c>
      <c r="B1495" s="69">
        <f t="shared" si="30"/>
        <v>20120128</v>
      </c>
      <c r="C1495" s="70">
        <v>2.5000000000000001E-2</v>
      </c>
      <c r="D1495" s="77">
        <v>8.9999999999999993E-3</v>
      </c>
      <c r="E1495" s="77">
        <v>8.9999999999999993E-3</v>
      </c>
      <c r="F1495" s="77">
        <v>8.9999999999999993E-3</v>
      </c>
      <c r="G1495" s="78">
        <v>0</v>
      </c>
      <c r="K1495" s="106">
        <v>4.6999999999999993E-3</v>
      </c>
      <c r="L1495" s="80">
        <v>0</v>
      </c>
      <c r="M1495" s="75" t="s">
        <v>143</v>
      </c>
      <c r="N1495" s="75" t="b">
        <v>1</v>
      </c>
      <c r="O1495" s="75" t="s">
        <v>144</v>
      </c>
      <c r="P1495" s="75">
        <v>1994</v>
      </c>
      <c r="Q1495" s="107">
        <f t="shared" si="29"/>
        <v>2012</v>
      </c>
      <c r="R1495" s="107">
        <v>2</v>
      </c>
      <c r="S1495" s="100">
        <v>212032</v>
      </c>
      <c r="T1495" s="101">
        <v>41053</v>
      </c>
    </row>
    <row r="1496" spans="1:20" x14ac:dyDescent="0.3">
      <c r="A1496" s="68">
        <v>40937</v>
      </c>
      <c r="B1496" s="69">
        <f t="shared" si="30"/>
        <v>20120129</v>
      </c>
      <c r="C1496" s="70">
        <v>2.5000000000000001E-2</v>
      </c>
      <c r="D1496" s="77">
        <v>8.9999999999999993E-3</v>
      </c>
      <c r="E1496" s="77">
        <v>8.9999999999999993E-3</v>
      </c>
      <c r="F1496" s="77">
        <v>8.9999999999999993E-3</v>
      </c>
      <c r="G1496" s="78">
        <v>0</v>
      </c>
      <c r="K1496" s="106">
        <v>4.6999999999999993E-3</v>
      </c>
      <c r="L1496" s="80">
        <v>0</v>
      </c>
      <c r="M1496" s="75" t="s">
        <v>143</v>
      </c>
      <c r="N1496" s="75" t="b">
        <v>1</v>
      </c>
      <c r="O1496" s="75" t="s">
        <v>144</v>
      </c>
      <c r="P1496" s="75">
        <v>1994</v>
      </c>
      <c r="Q1496" s="107">
        <f t="shared" si="29"/>
        <v>2012</v>
      </c>
      <c r="R1496" s="107">
        <v>2</v>
      </c>
      <c r="S1496" s="100">
        <v>212032</v>
      </c>
      <c r="T1496" s="101">
        <v>41053</v>
      </c>
    </row>
    <row r="1497" spans="1:20" x14ac:dyDescent="0.3">
      <c r="A1497" s="68">
        <v>40938</v>
      </c>
      <c r="B1497" s="69">
        <f t="shared" si="30"/>
        <v>20120130</v>
      </c>
      <c r="C1497" s="70">
        <v>2.4500000000000001E-2</v>
      </c>
      <c r="D1497" s="77">
        <v>8.9999999999999993E-3</v>
      </c>
      <c r="E1497" s="77">
        <v>8.9999999999999993E-3</v>
      </c>
      <c r="F1497" s="77">
        <v>8.9999999999999993E-3</v>
      </c>
      <c r="G1497" s="78">
        <v>0</v>
      </c>
      <c r="K1497" s="106">
        <v>4.1999999999999997E-3</v>
      </c>
      <c r="L1497" s="80">
        <v>0</v>
      </c>
      <c r="M1497" s="75" t="s">
        <v>143</v>
      </c>
      <c r="N1497" s="75" t="b">
        <v>1</v>
      </c>
      <c r="O1497" s="75" t="s">
        <v>144</v>
      </c>
      <c r="P1497" s="75">
        <v>1994</v>
      </c>
      <c r="Q1497" s="107">
        <f t="shared" si="29"/>
        <v>2012</v>
      </c>
      <c r="R1497" s="107">
        <v>2</v>
      </c>
      <c r="S1497" s="100">
        <v>212032</v>
      </c>
      <c r="T1497" s="101">
        <v>41053</v>
      </c>
    </row>
    <row r="1498" spans="1:20" x14ac:dyDescent="0.3">
      <c r="A1498" s="68">
        <v>40939</v>
      </c>
      <c r="B1498" s="69">
        <f t="shared" si="30"/>
        <v>20120131</v>
      </c>
      <c r="C1498" s="70">
        <v>2.4E-2</v>
      </c>
      <c r="D1498" s="77">
        <v>8.9999999999999993E-3</v>
      </c>
      <c r="E1498" s="77">
        <v>8.9999999999999993E-3</v>
      </c>
      <c r="F1498" s="77">
        <v>8.9999999999999993E-3</v>
      </c>
      <c r="G1498" s="78">
        <v>0</v>
      </c>
      <c r="K1498" s="106">
        <v>3.8E-3</v>
      </c>
      <c r="L1498" s="80">
        <v>0</v>
      </c>
      <c r="M1498" s="75" t="s">
        <v>143</v>
      </c>
      <c r="N1498" s="75" t="b">
        <v>1</v>
      </c>
      <c r="O1498" s="75" t="s">
        <v>144</v>
      </c>
      <c r="P1498" s="75">
        <v>1994</v>
      </c>
      <c r="Q1498" s="107">
        <f t="shared" si="29"/>
        <v>2012</v>
      </c>
      <c r="R1498" s="107">
        <v>2</v>
      </c>
      <c r="S1498" s="100">
        <v>212032</v>
      </c>
      <c r="T1498" s="101">
        <v>41053</v>
      </c>
    </row>
    <row r="1499" spans="1:20" x14ac:dyDescent="0.3">
      <c r="A1499" s="68">
        <v>40940</v>
      </c>
      <c r="B1499" s="69">
        <f t="shared" si="30"/>
        <v>20120201</v>
      </c>
      <c r="C1499" s="70">
        <v>2.4199999999999999E-2</v>
      </c>
      <c r="D1499" s="77">
        <v>8.9999999999999993E-3</v>
      </c>
      <c r="E1499" s="77">
        <v>8.9999999999999993E-3</v>
      </c>
      <c r="F1499" s="77">
        <v>8.9999999999999993E-3</v>
      </c>
      <c r="G1499" s="78">
        <v>0</v>
      </c>
      <c r="K1499" s="106">
        <v>3.9000000000000003E-3</v>
      </c>
      <c r="L1499" s="80">
        <v>0</v>
      </c>
      <c r="M1499" s="75" t="s">
        <v>143</v>
      </c>
      <c r="N1499" s="75" t="b">
        <v>1</v>
      </c>
      <c r="O1499" s="75" t="s">
        <v>144</v>
      </c>
      <c r="P1499" s="75">
        <v>1994</v>
      </c>
      <c r="Q1499" s="107">
        <f t="shared" si="29"/>
        <v>2012</v>
      </c>
      <c r="R1499" s="107">
        <v>2</v>
      </c>
      <c r="S1499" s="100">
        <v>212032</v>
      </c>
      <c r="T1499" s="101">
        <v>41053</v>
      </c>
    </row>
    <row r="1500" spans="1:20" x14ac:dyDescent="0.3">
      <c r="A1500" s="68">
        <v>40941</v>
      </c>
      <c r="B1500" s="69">
        <f t="shared" si="30"/>
        <v>20120202</v>
      </c>
      <c r="C1500" s="70">
        <v>2.46E-2</v>
      </c>
      <c r="D1500" s="77">
        <v>8.9999999999999993E-3</v>
      </c>
      <c r="E1500" s="77">
        <v>8.9999999999999993E-3</v>
      </c>
      <c r="F1500" s="77">
        <v>8.9999999999999993E-3</v>
      </c>
      <c r="G1500" s="78">
        <v>0</v>
      </c>
      <c r="K1500" s="106">
        <v>4.3E-3</v>
      </c>
      <c r="L1500" s="80">
        <v>0</v>
      </c>
      <c r="M1500" s="75" t="s">
        <v>143</v>
      </c>
      <c r="N1500" s="75" t="b">
        <v>1</v>
      </c>
      <c r="O1500" s="75" t="s">
        <v>144</v>
      </c>
      <c r="P1500" s="75">
        <v>1994</v>
      </c>
      <c r="Q1500" s="107">
        <f t="shared" si="29"/>
        <v>2012</v>
      </c>
      <c r="R1500" s="107">
        <v>2</v>
      </c>
      <c r="S1500" s="100">
        <v>212032</v>
      </c>
      <c r="T1500" s="101">
        <v>41053</v>
      </c>
    </row>
    <row r="1501" spans="1:20" x14ac:dyDescent="0.3">
      <c r="A1501" s="68">
        <v>40942</v>
      </c>
      <c r="B1501" s="69">
        <f t="shared" si="30"/>
        <v>20120203</v>
      </c>
      <c r="C1501" s="70">
        <v>2.5099999999999997E-2</v>
      </c>
      <c r="D1501" s="77">
        <v>8.9999999999999993E-3</v>
      </c>
      <c r="E1501" s="77">
        <v>8.9999999999999993E-3</v>
      </c>
      <c r="F1501" s="77">
        <v>8.9999999999999993E-3</v>
      </c>
      <c r="G1501" s="78">
        <v>0</v>
      </c>
      <c r="K1501" s="106">
        <v>4.4000000000000003E-3</v>
      </c>
      <c r="L1501" s="80">
        <v>0</v>
      </c>
      <c r="M1501" s="75" t="s">
        <v>143</v>
      </c>
      <c r="N1501" s="75" t="b">
        <v>1</v>
      </c>
      <c r="O1501" s="75" t="s">
        <v>144</v>
      </c>
      <c r="P1501" s="75">
        <v>1994</v>
      </c>
      <c r="Q1501" s="107">
        <f t="shared" si="29"/>
        <v>2012</v>
      </c>
      <c r="R1501" s="107">
        <v>2</v>
      </c>
      <c r="S1501" s="100">
        <v>212032</v>
      </c>
      <c r="T1501" s="101">
        <v>41053</v>
      </c>
    </row>
    <row r="1502" spans="1:20" x14ac:dyDescent="0.3">
      <c r="A1502" s="68">
        <v>40943</v>
      </c>
      <c r="B1502" s="69">
        <f>YEAR(A1502)*10000+MONTH(A1502)*100+DAY(A1502)</f>
        <v>20120204</v>
      </c>
      <c r="C1502" s="70">
        <v>2.5099999999999997E-2</v>
      </c>
      <c r="D1502" s="77">
        <v>8.9999999999999993E-3</v>
      </c>
      <c r="E1502" s="77">
        <v>8.9999999999999993E-3</v>
      </c>
      <c r="F1502" s="77">
        <v>8.9999999999999993E-3</v>
      </c>
      <c r="G1502" s="78">
        <v>0</v>
      </c>
      <c r="K1502" s="106">
        <v>4.4000000000000003E-3</v>
      </c>
      <c r="L1502" s="80">
        <v>0</v>
      </c>
      <c r="M1502" s="75" t="s">
        <v>143</v>
      </c>
      <c r="N1502" s="75" t="b">
        <v>1</v>
      </c>
      <c r="O1502" s="75" t="s">
        <v>144</v>
      </c>
      <c r="P1502" s="75">
        <v>1994</v>
      </c>
      <c r="Q1502" s="107">
        <f t="shared" si="29"/>
        <v>2012</v>
      </c>
      <c r="R1502" s="107">
        <v>2</v>
      </c>
      <c r="S1502" s="100">
        <v>212032</v>
      </c>
      <c r="T1502" s="101">
        <v>41053</v>
      </c>
    </row>
    <row r="1503" spans="1:20" x14ac:dyDescent="0.3">
      <c r="A1503" s="68">
        <v>40944</v>
      </c>
      <c r="B1503" s="69">
        <f>YEAR(A1503)*10000+MONTH(A1503)*100+DAY(A1503)</f>
        <v>20120205</v>
      </c>
      <c r="C1503" s="70">
        <v>2.5099999999999997E-2</v>
      </c>
      <c r="D1503" s="77">
        <v>8.9999999999999993E-3</v>
      </c>
      <c r="E1503" s="77">
        <v>8.9999999999999993E-3</v>
      </c>
      <c r="F1503" s="77">
        <v>8.9999999999999993E-3</v>
      </c>
      <c r="G1503" s="78">
        <v>0</v>
      </c>
      <c r="K1503" s="106">
        <v>4.4000000000000003E-3</v>
      </c>
      <c r="L1503" s="80">
        <v>0</v>
      </c>
      <c r="M1503" s="75" t="s">
        <v>143</v>
      </c>
      <c r="N1503" s="75" t="b">
        <v>1</v>
      </c>
      <c r="O1503" s="75" t="s">
        <v>144</v>
      </c>
      <c r="P1503" s="75">
        <v>1994</v>
      </c>
      <c r="Q1503" s="107">
        <f t="shared" si="29"/>
        <v>2012</v>
      </c>
      <c r="R1503" s="107">
        <v>2</v>
      </c>
      <c r="S1503" s="100">
        <v>212032</v>
      </c>
      <c r="T1503" s="101">
        <v>41053</v>
      </c>
    </row>
    <row r="1504" spans="1:20" x14ac:dyDescent="0.3">
      <c r="A1504" s="68">
        <v>40945</v>
      </c>
      <c r="B1504" s="69">
        <f t="shared" si="30"/>
        <v>20120206</v>
      </c>
      <c r="C1504" s="70">
        <v>2.4700000000000003E-2</v>
      </c>
      <c r="D1504" s="77">
        <v>8.9999999999999993E-3</v>
      </c>
      <c r="E1504" s="77">
        <v>8.9999999999999993E-3</v>
      </c>
      <c r="F1504" s="77">
        <v>8.9999999999999993E-3</v>
      </c>
      <c r="G1504" s="78">
        <v>0</v>
      </c>
      <c r="K1504" s="106">
        <v>4.1999999999999997E-3</v>
      </c>
      <c r="L1504" s="80">
        <v>0</v>
      </c>
      <c r="M1504" s="75" t="s">
        <v>143</v>
      </c>
      <c r="N1504" s="75" t="b">
        <v>1</v>
      </c>
      <c r="O1504" s="75" t="s">
        <v>144</v>
      </c>
      <c r="P1504" s="75">
        <v>1994</v>
      </c>
      <c r="Q1504" s="107">
        <f t="shared" si="29"/>
        <v>2012</v>
      </c>
      <c r="R1504" s="107">
        <v>2</v>
      </c>
      <c r="S1504" s="100">
        <v>212032</v>
      </c>
      <c r="T1504" s="101">
        <v>41053</v>
      </c>
    </row>
    <row r="1505" spans="1:20" x14ac:dyDescent="0.3">
      <c r="A1505" s="68">
        <v>40946</v>
      </c>
      <c r="B1505" s="69">
        <f t="shared" si="30"/>
        <v>20120207</v>
      </c>
      <c r="C1505" s="70">
        <v>2.52E-2</v>
      </c>
      <c r="D1505" s="77">
        <v>8.9999999999999993E-3</v>
      </c>
      <c r="E1505" s="77">
        <v>8.9999999999999993E-3</v>
      </c>
      <c r="F1505" s="77">
        <v>8.9999999999999993E-3</v>
      </c>
      <c r="G1505" s="78">
        <v>0</v>
      </c>
      <c r="K1505" s="106">
        <v>4.6999999999999993E-3</v>
      </c>
      <c r="L1505" s="80">
        <v>0</v>
      </c>
      <c r="M1505" s="75" t="s">
        <v>143</v>
      </c>
      <c r="N1505" s="75" t="b">
        <v>1</v>
      </c>
      <c r="O1505" s="75" t="s">
        <v>144</v>
      </c>
      <c r="P1505" s="75">
        <v>1994</v>
      </c>
      <c r="Q1505" s="107">
        <f t="shared" si="29"/>
        <v>2012</v>
      </c>
      <c r="R1505" s="107">
        <v>2</v>
      </c>
      <c r="S1505" s="100">
        <v>212032</v>
      </c>
      <c r="T1505" s="101">
        <v>41053</v>
      </c>
    </row>
    <row r="1506" spans="1:20" x14ac:dyDescent="0.3">
      <c r="A1506" s="68">
        <v>40947</v>
      </c>
      <c r="B1506" s="69">
        <f t="shared" si="30"/>
        <v>20120208</v>
      </c>
      <c r="C1506" s="70">
        <v>2.53E-2</v>
      </c>
      <c r="D1506" s="77">
        <v>8.9999999999999993E-3</v>
      </c>
      <c r="E1506" s="77">
        <v>8.9999999999999993E-3</v>
      </c>
      <c r="F1506" s="77">
        <v>8.9999999999999993E-3</v>
      </c>
      <c r="G1506" s="78">
        <v>0</v>
      </c>
      <c r="K1506" s="106">
        <v>5.0000000000000001E-3</v>
      </c>
      <c r="L1506" s="80">
        <v>0</v>
      </c>
      <c r="M1506" s="75" t="s">
        <v>143</v>
      </c>
      <c r="N1506" s="75" t="b">
        <v>1</v>
      </c>
      <c r="O1506" s="75" t="s">
        <v>144</v>
      </c>
      <c r="P1506" s="75">
        <v>1994</v>
      </c>
      <c r="Q1506" s="107">
        <f t="shared" si="29"/>
        <v>2012</v>
      </c>
      <c r="R1506" s="107">
        <v>2</v>
      </c>
      <c r="S1506" s="100">
        <v>212032</v>
      </c>
      <c r="T1506" s="101">
        <v>41053</v>
      </c>
    </row>
    <row r="1507" spans="1:20" x14ac:dyDescent="0.3">
      <c r="A1507" s="68">
        <v>40948</v>
      </c>
      <c r="B1507" s="69">
        <f t="shared" si="30"/>
        <v>20120209</v>
      </c>
      <c r="C1507" s="70">
        <v>2.5499999999999998E-2</v>
      </c>
      <c r="D1507" s="77">
        <v>8.9999999999999993E-3</v>
      </c>
      <c r="E1507" s="77">
        <v>8.9999999999999993E-3</v>
      </c>
      <c r="F1507" s="77">
        <v>8.9999999999999993E-3</v>
      </c>
      <c r="G1507" s="78">
        <v>0</v>
      </c>
      <c r="K1507" s="106">
        <v>5.1999999999999998E-3</v>
      </c>
      <c r="L1507" s="80">
        <v>0</v>
      </c>
      <c r="M1507" s="75" t="s">
        <v>143</v>
      </c>
      <c r="N1507" s="75" t="b">
        <v>1</v>
      </c>
      <c r="O1507" s="75" t="s">
        <v>144</v>
      </c>
      <c r="P1507" s="75">
        <v>1994</v>
      </c>
      <c r="Q1507" s="107">
        <f t="shared" si="29"/>
        <v>2012</v>
      </c>
      <c r="R1507" s="107">
        <v>2</v>
      </c>
      <c r="S1507" s="100">
        <v>212032</v>
      </c>
      <c r="T1507" s="101">
        <v>41053</v>
      </c>
    </row>
    <row r="1508" spans="1:20" x14ac:dyDescent="0.3">
      <c r="A1508" s="68">
        <v>40949</v>
      </c>
      <c r="B1508" s="69">
        <f t="shared" si="30"/>
        <v>20120210</v>
      </c>
      <c r="C1508" s="70">
        <v>2.52E-2</v>
      </c>
      <c r="D1508" s="77">
        <v>8.9999999999999993E-3</v>
      </c>
      <c r="E1508" s="77">
        <v>8.9999999999999993E-3</v>
      </c>
      <c r="F1508" s="77">
        <v>8.9999999999999993E-3</v>
      </c>
      <c r="G1508" s="78">
        <v>0</v>
      </c>
      <c r="K1508" s="106">
        <v>4.8999999999999998E-3</v>
      </c>
      <c r="L1508" s="80">
        <v>0</v>
      </c>
      <c r="M1508" s="75" t="s">
        <v>143</v>
      </c>
      <c r="N1508" s="75" t="b">
        <v>1</v>
      </c>
      <c r="O1508" s="75" t="s">
        <v>144</v>
      </c>
      <c r="P1508" s="75">
        <v>1994</v>
      </c>
      <c r="Q1508" s="107">
        <f t="shared" si="29"/>
        <v>2012</v>
      </c>
      <c r="R1508" s="107">
        <v>2</v>
      </c>
      <c r="S1508" s="100">
        <v>212032</v>
      </c>
      <c r="T1508" s="101">
        <v>41053</v>
      </c>
    </row>
    <row r="1509" spans="1:20" x14ac:dyDescent="0.3">
      <c r="A1509" s="68">
        <v>40950</v>
      </c>
      <c r="B1509" s="69">
        <f>YEAR(A1509)*10000+MONTH(A1509)*100+DAY(A1509)</f>
        <v>20120211</v>
      </c>
      <c r="C1509" s="70">
        <v>2.52E-2</v>
      </c>
      <c r="D1509" s="77">
        <v>8.9999999999999993E-3</v>
      </c>
      <c r="E1509" s="77">
        <v>8.9999999999999993E-3</v>
      </c>
      <c r="F1509" s="77">
        <v>8.9999999999999993E-3</v>
      </c>
      <c r="G1509" s="78">
        <v>0</v>
      </c>
      <c r="K1509" s="106">
        <v>4.8999999999999998E-3</v>
      </c>
      <c r="L1509" s="80">
        <v>0</v>
      </c>
      <c r="M1509" s="75" t="s">
        <v>143</v>
      </c>
      <c r="N1509" s="75" t="b">
        <v>1</v>
      </c>
      <c r="O1509" s="75" t="s">
        <v>144</v>
      </c>
      <c r="P1509" s="75">
        <v>1994</v>
      </c>
      <c r="Q1509" s="107">
        <f t="shared" si="29"/>
        <v>2012</v>
      </c>
      <c r="R1509" s="107">
        <v>2</v>
      </c>
      <c r="S1509" s="100">
        <v>212032</v>
      </c>
      <c r="T1509" s="101">
        <v>41053</v>
      </c>
    </row>
    <row r="1510" spans="1:20" x14ac:dyDescent="0.3">
      <c r="A1510" s="68">
        <v>40951</v>
      </c>
      <c r="B1510" s="69">
        <f>YEAR(A1510)*10000+MONTH(A1510)*100+DAY(A1510)</f>
        <v>20120212</v>
      </c>
      <c r="C1510" s="70">
        <v>2.52E-2</v>
      </c>
      <c r="D1510" s="77">
        <v>8.9999999999999993E-3</v>
      </c>
      <c r="E1510" s="77">
        <v>8.9999999999999993E-3</v>
      </c>
      <c r="F1510" s="77">
        <v>8.9999999999999993E-3</v>
      </c>
      <c r="G1510" s="78">
        <v>0</v>
      </c>
      <c r="K1510" s="106">
        <v>4.8999999999999998E-3</v>
      </c>
      <c r="L1510" s="80">
        <v>0</v>
      </c>
      <c r="M1510" s="75" t="s">
        <v>143</v>
      </c>
      <c r="N1510" s="75" t="b">
        <v>1</v>
      </c>
      <c r="O1510" s="75" t="s">
        <v>144</v>
      </c>
      <c r="P1510" s="75">
        <v>1994</v>
      </c>
      <c r="Q1510" s="107">
        <f t="shared" si="29"/>
        <v>2012</v>
      </c>
      <c r="R1510" s="107">
        <v>2</v>
      </c>
      <c r="S1510" s="100">
        <v>212032</v>
      </c>
      <c r="T1510" s="101">
        <v>41053</v>
      </c>
    </row>
    <row r="1511" spans="1:20" x14ac:dyDescent="0.3">
      <c r="A1511" s="68">
        <v>40952</v>
      </c>
      <c r="B1511" s="69">
        <f t="shared" si="30"/>
        <v>20120213</v>
      </c>
      <c r="C1511" s="70">
        <v>2.5399999999999999E-2</v>
      </c>
      <c r="D1511" s="77">
        <v>8.9999999999999993E-3</v>
      </c>
      <c r="E1511" s="77">
        <v>8.9999999999999993E-3</v>
      </c>
      <c r="F1511" s="77">
        <v>8.9999999999999993E-3</v>
      </c>
      <c r="G1511" s="78">
        <v>0</v>
      </c>
      <c r="K1511" s="106">
        <v>5.0000000000000001E-3</v>
      </c>
      <c r="L1511" s="80">
        <v>0</v>
      </c>
      <c r="M1511" s="75" t="s">
        <v>143</v>
      </c>
      <c r="N1511" s="75" t="b">
        <v>1</v>
      </c>
      <c r="O1511" s="75" t="s">
        <v>144</v>
      </c>
      <c r="P1511" s="75">
        <v>1994</v>
      </c>
      <c r="Q1511" s="107">
        <f t="shared" si="29"/>
        <v>2012</v>
      </c>
      <c r="R1511" s="107">
        <v>2</v>
      </c>
      <c r="S1511" s="100">
        <v>212032</v>
      </c>
      <c r="T1511" s="101">
        <v>41053</v>
      </c>
    </row>
    <row r="1512" spans="1:20" x14ac:dyDescent="0.3">
      <c r="A1512" s="68">
        <v>40953</v>
      </c>
      <c r="B1512" s="69">
        <f t="shared" si="30"/>
        <v>20120214</v>
      </c>
      <c r="C1512" s="70">
        <v>2.5000000000000001E-2</v>
      </c>
      <c r="D1512" s="77">
        <v>8.9999999999999993E-3</v>
      </c>
      <c r="E1512" s="77">
        <v>8.9999999999999993E-3</v>
      </c>
      <c r="F1512" s="77">
        <v>8.9999999999999993E-3</v>
      </c>
      <c r="G1512" s="78">
        <v>0</v>
      </c>
      <c r="K1512" s="106">
        <v>4.6999999999999993E-3</v>
      </c>
      <c r="L1512" s="80">
        <v>0</v>
      </c>
      <c r="M1512" s="75" t="s">
        <v>143</v>
      </c>
      <c r="N1512" s="75" t="b">
        <v>1</v>
      </c>
      <c r="O1512" s="75" t="s">
        <v>144</v>
      </c>
      <c r="P1512" s="75">
        <v>1994</v>
      </c>
      <c r="Q1512" s="107">
        <f t="shared" si="29"/>
        <v>2012</v>
      </c>
      <c r="R1512" s="107">
        <v>2</v>
      </c>
      <c r="S1512" s="100">
        <v>212032</v>
      </c>
      <c r="T1512" s="101">
        <v>41053</v>
      </c>
    </row>
    <row r="1513" spans="1:20" x14ac:dyDescent="0.3">
      <c r="A1513" s="68">
        <v>40954</v>
      </c>
      <c r="B1513" s="69">
        <f t="shared" si="30"/>
        <v>20120215</v>
      </c>
      <c r="C1513" s="70">
        <v>2.4900000000000002E-2</v>
      </c>
      <c r="D1513" s="77">
        <v>8.9999999999999993E-3</v>
      </c>
      <c r="E1513" s="77">
        <v>8.9999999999999993E-3</v>
      </c>
      <c r="F1513" s="77">
        <v>8.9999999999999993E-3</v>
      </c>
      <c r="G1513" s="78">
        <v>0</v>
      </c>
      <c r="K1513" s="106">
        <v>4.7999999999999996E-3</v>
      </c>
      <c r="L1513" s="80">
        <v>0</v>
      </c>
      <c r="M1513" s="75" t="s">
        <v>143</v>
      </c>
      <c r="N1513" s="75" t="b">
        <v>1</v>
      </c>
      <c r="O1513" s="75" t="s">
        <v>144</v>
      </c>
      <c r="P1513" s="75">
        <v>1994</v>
      </c>
      <c r="Q1513" s="107">
        <f t="shared" si="29"/>
        <v>2012</v>
      </c>
      <c r="R1513" s="107">
        <v>2</v>
      </c>
      <c r="S1513" s="100">
        <v>212032</v>
      </c>
      <c r="T1513" s="101">
        <v>41053</v>
      </c>
    </row>
    <row r="1514" spans="1:20" x14ac:dyDescent="0.3">
      <c r="A1514" s="68">
        <v>40955</v>
      </c>
      <c r="B1514" s="69">
        <f t="shared" si="30"/>
        <v>20120216</v>
      </c>
      <c r="C1514" s="70">
        <v>2.5099999999999997E-2</v>
      </c>
      <c r="D1514" s="77">
        <v>8.9999999999999993E-3</v>
      </c>
      <c r="E1514" s="77">
        <v>8.9999999999999993E-3</v>
      </c>
      <c r="F1514" s="77">
        <v>8.9999999999999993E-3</v>
      </c>
      <c r="G1514" s="78">
        <v>0</v>
      </c>
      <c r="K1514" s="106">
        <v>5.1000000000000004E-3</v>
      </c>
      <c r="L1514" s="80">
        <v>0</v>
      </c>
      <c r="M1514" s="75" t="s">
        <v>143</v>
      </c>
      <c r="N1514" s="75" t="b">
        <v>1</v>
      </c>
      <c r="O1514" s="75" t="s">
        <v>144</v>
      </c>
      <c r="P1514" s="75">
        <v>1994</v>
      </c>
      <c r="Q1514" s="107">
        <f t="shared" si="29"/>
        <v>2012</v>
      </c>
      <c r="R1514" s="107">
        <v>2</v>
      </c>
      <c r="S1514" s="100">
        <v>212032</v>
      </c>
      <c r="T1514" s="101">
        <v>41053</v>
      </c>
    </row>
    <row r="1515" spans="1:20" x14ac:dyDescent="0.3">
      <c r="A1515" s="68">
        <v>40956</v>
      </c>
      <c r="B1515" s="69">
        <f t="shared" si="30"/>
        <v>20120217</v>
      </c>
      <c r="C1515" s="70">
        <v>2.53E-2</v>
      </c>
      <c r="D1515" s="77">
        <v>8.9999999999999993E-3</v>
      </c>
      <c r="E1515" s="77">
        <v>8.9999999999999993E-3</v>
      </c>
      <c r="F1515" s="77">
        <v>8.9999999999999993E-3</v>
      </c>
      <c r="G1515" s="78">
        <v>0</v>
      </c>
      <c r="K1515" s="106">
        <v>5.3E-3</v>
      </c>
      <c r="L1515" s="80">
        <v>0</v>
      </c>
      <c r="M1515" s="75" t="s">
        <v>143</v>
      </c>
      <c r="N1515" s="75" t="b">
        <v>1</v>
      </c>
      <c r="O1515" s="75" t="s">
        <v>144</v>
      </c>
      <c r="P1515" s="75">
        <v>1994</v>
      </c>
      <c r="Q1515" s="107">
        <f t="shared" si="29"/>
        <v>2012</v>
      </c>
      <c r="R1515" s="107">
        <v>2</v>
      </c>
      <c r="S1515" s="100">
        <v>212032</v>
      </c>
      <c r="T1515" s="101">
        <v>41053</v>
      </c>
    </row>
    <row r="1516" spans="1:20" x14ac:dyDescent="0.3">
      <c r="A1516" s="68">
        <v>40957</v>
      </c>
      <c r="B1516" s="69">
        <f>YEAR(A1516)*10000+MONTH(A1516)*100+DAY(A1516)</f>
        <v>20120218</v>
      </c>
      <c r="C1516" s="70">
        <v>2.53E-2</v>
      </c>
      <c r="D1516" s="77">
        <v>8.9999999999999993E-3</v>
      </c>
      <c r="E1516" s="77">
        <v>8.9999999999999993E-3</v>
      </c>
      <c r="F1516" s="77">
        <v>8.9999999999999993E-3</v>
      </c>
      <c r="G1516" s="78">
        <v>0</v>
      </c>
      <c r="K1516" s="106">
        <v>5.3E-3</v>
      </c>
      <c r="L1516" s="80">
        <v>0</v>
      </c>
      <c r="M1516" s="75" t="s">
        <v>143</v>
      </c>
      <c r="N1516" s="75" t="b">
        <v>1</v>
      </c>
      <c r="O1516" s="75" t="s">
        <v>144</v>
      </c>
      <c r="P1516" s="75">
        <v>1994</v>
      </c>
      <c r="Q1516" s="107">
        <f t="shared" si="29"/>
        <v>2012</v>
      </c>
      <c r="R1516" s="107">
        <v>2</v>
      </c>
      <c r="S1516" s="100">
        <v>212032</v>
      </c>
      <c r="T1516" s="101">
        <v>41053</v>
      </c>
    </row>
    <row r="1517" spans="1:20" x14ac:dyDescent="0.3">
      <c r="A1517" s="68">
        <v>40958</v>
      </c>
      <c r="B1517" s="69">
        <f>YEAR(A1517)*10000+MONTH(A1517)*100+DAY(A1517)</f>
        <v>20120219</v>
      </c>
      <c r="C1517" s="70">
        <v>2.53E-2</v>
      </c>
      <c r="D1517" s="77">
        <v>8.9999999999999993E-3</v>
      </c>
      <c r="E1517" s="77">
        <v>8.9999999999999993E-3</v>
      </c>
      <c r="F1517" s="77">
        <v>8.9999999999999993E-3</v>
      </c>
      <c r="G1517" s="78">
        <v>0</v>
      </c>
      <c r="K1517" s="106">
        <v>5.3E-3</v>
      </c>
      <c r="L1517" s="80">
        <v>0</v>
      </c>
      <c r="M1517" s="75" t="s">
        <v>143</v>
      </c>
      <c r="N1517" s="75" t="b">
        <v>1</v>
      </c>
      <c r="O1517" s="75" t="s">
        <v>144</v>
      </c>
      <c r="P1517" s="75">
        <v>1994</v>
      </c>
      <c r="Q1517" s="107">
        <f t="shared" si="29"/>
        <v>2012</v>
      </c>
      <c r="R1517" s="107">
        <v>2</v>
      </c>
      <c r="S1517" s="100">
        <v>212032</v>
      </c>
      <c r="T1517" s="101">
        <v>41053</v>
      </c>
    </row>
    <row r="1518" spans="1:20" x14ac:dyDescent="0.3">
      <c r="A1518" s="68">
        <v>40959</v>
      </c>
      <c r="B1518" s="69">
        <f t="shared" si="30"/>
        <v>20120220</v>
      </c>
      <c r="C1518" s="70">
        <v>2.53E-2</v>
      </c>
      <c r="D1518" s="77">
        <v>8.9999999999999993E-3</v>
      </c>
      <c r="E1518" s="77">
        <v>8.9999999999999993E-3</v>
      </c>
      <c r="F1518" s="77">
        <v>8.9999999999999993E-3</v>
      </c>
      <c r="G1518" s="78">
        <v>0</v>
      </c>
      <c r="K1518" s="106">
        <v>5.3E-3</v>
      </c>
      <c r="L1518" s="80">
        <v>0</v>
      </c>
      <c r="M1518" s="75" t="s">
        <v>143</v>
      </c>
      <c r="N1518" s="75" t="b">
        <v>1</v>
      </c>
      <c r="O1518" s="75" t="s">
        <v>144</v>
      </c>
      <c r="P1518" s="75">
        <v>1994</v>
      </c>
      <c r="Q1518" s="107">
        <f t="shared" ref="Q1518:Q1581" si="31">YEAR(A1518)</f>
        <v>2012</v>
      </c>
      <c r="R1518" s="107">
        <v>2</v>
      </c>
      <c r="S1518" s="100">
        <v>212032</v>
      </c>
      <c r="T1518" s="101">
        <v>41053</v>
      </c>
    </row>
    <row r="1519" spans="1:20" x14ac:dyDescent="0.3">
      <c r="A1519" s="68">
        <v>40960</v>
      </c>
      <c r="B1519" s="69">
        <f t="shared" si="30"/>
        <v>20120221</v>
      </c>
      <c r="C1519" s="70">
        <v>2.5600000000000001E-2</v>
      </c>
      <c r="D1519" s="77">
        <v>8.9999999999999993E-3</v>
      </c>
      <c r="E1519" s="77">
        <v>8.9999999999999993E-3</v>
      </c>
      <c r="F1519" s="77">
        <v>8.9999999999999993E-3</v>
      </c>
      <c r="G1519" s="78">
        <v>0</v>
      </c>
      <c r="K1519" s="106">
        <v>5.5000000000000005E-3</v>
      </c>
      <c r="L1519" s="80">
        <v>0</v>
      </c>
      <c r="M1519" s="75" t="s">
        <v>143</v>
      </c>
      <c r="N1519" s="75" t="b">
        <v>1</v>
      </c>
      <c r="O1519" s="75" t="s">
        <v>144</v>
      </c>
      <c r="P1519" s="75">
        <v>1994</v>
      </c>
      <c r="Q1519" s="107">
        <f t="shared" si="31"/>
        <v>2012</v>
      </c>
      <c r="R1519" s="107">
        <v>2</v>
      </c>
      <c r="S1519" s="100">
        <v>212032</v>
      </c>
      <c r="T1519" s="101">
        <v>41053</v>
      </c>
    </row>
    <row r="1520" spans="1:20" x14ac:dyDescent="0.3">
      <c r="A1520" s="68">
        <v>40961</v>
      </c>
      <c r="B1520" s="69">
        <f t="shared" si="30"/>
        <v>20120222</v>
      </c>
      <c r="C1520" s="70">
        <v>2.53E-2</v>
      </c>
      <c r="D1520" s="77">
        <v>8.9999999999999993E-3</v>
      </c>
      <c r="E1520" s="77">
        <v>8.9999999999999993E-3</v>
      </c>
      <c r="F1520" s="77">
        <v>8.9999999999999993E-3</v>
      </c>
      <c r="G1520" s="78">
        <v>0</v>
      </c>
      <c r="K1520" s="106">
        <v>4.8999999999999998E-3</v>
      </c>
      <c r="L1520" s="80">
        <v>0</v>
      </c>
      <c r="M1520" s="75" t="s">
        <v>143</v>
      </c>
      <c r="N1520" s="75" t="b">
        <v>1</v>
      </c>
      <c r="O1520" s="75" t="s">
        <v>144</v>
      </c>
      <c r="P1520" s="75">
        <v>1994</v>
      </c>
      <c r="Q1520" s="107">
        <f t="shared" si="31"/>
        <v>2012</v>
      </c>
      <c r="R1520" s="107">
        <v>2</v>
      </c>
      <c r="S1520" s="100">
        <v>212032</v>
      </c>
      <c r="T1520" s="101">
        <v>41053</v>
      </c>
    </row>
    <row r="1521" spans="1:20" x14ac:dyDescent="0.3">
      <c r="A1521" s="68">
        <v>40962</v>
      </c>
      <c r="B1521" s="69">
        <f t="shared" si="30"/>
        <v>20120223</v>
      </c>
      <c r="C1521" s="70">
        <v>2.5399999999999999E-2</v>
      </c>
      <c r="D1521" s="77">
        <v>8.9999999999999993E-3</v>
      </c>
      <c r="E1521" s="77">
        <v>8.9999999999999993E-3</v>
      </c>
      <c r="F1521" s="77">
        <v>8.9999999999999993E-3</v>
      </c>
      <c r="G1521" s="78">
        <v>0</v>
      </c>
      <c r="K1521" s="106">
        <v>4.8999999999999998E-3</v>
      </c>
      <c r="L1521" s="80">
        <v>0</v>
      </c>
      <c r="M1521" s="75" t="s">
        <v>143</v>
      </c>
      <c r="N1521" s="75" t="b">
        <v>1</v>
      </c>
      <c r="O1521" s="75" t="s">
        <v>144</v>
      </c>
      <c r="P1521" s="75">
        <v>1994</v>
      </c>
      <c r="Q1521" s="107">
        <f t="shared" si="31"/>
        <v>2012</v>
      </c>
      <c r="R1521" s="107">
        <v>2</v>
      </c>
      <c r="S1521" s="100">
        <v>212032</v>
      </c>
      <c r="T1521" s="101">
        <v>41053</v>
      </c>
    </row>
    <row r="1522" spans="1:20" x14ac:dyDescent="0.3">
      <c r="A1522" s="68">
        <v>40963</v>
      </c>
      <c r="B1522" s="69">
        <f t="shared" si="30"/>
        <v>20120224</v>
      </c>
      <c r="C1522" s="70">
        <v>2.53E-2</v>
      </c>
      <c r="D1522" s="77">
        <v>8.9999999999999993E-3</v>
      </c>
      <c r="E1522" s="77">
        <v>8.9999999999999993E-3</v>
      </c>
      <c r="F1522" s="77">
        <v>8.9999999999999993E-3</v>
      </c>
      <c r="G1522" s="78">
        <v>0</v>
      </c>
      <c r="K1522" s="106">
        <v>4.7999999999999996E-3</v>
      </c>
      <c r="L1522" s="80">
        <v>0</v>
      </c>
      <c r="M1522" s="75" t="s">
        <v>143</v>
      </c>
      <c r="N1522" s="75" t="b">
        <v>1</v>
      </c>
      <c r="O1522" s="75" t="s">
        <v>144</v>
      </c>
      <c r="P1522" s="75">
        <v>1994</v>
      </c>
      <c r="Q1522" s="107">
        <f t="shared" si="31"/>
        <v>2012</v>
      </c>
      <c r="R1522" s="107">
        <v>2</v>
      </c>
      <c r="S1522" s="100">
        <v>212032</v>
      </c>
      <c r="T1522" s="101">
        <v>41053</v>
      </c>
    </row>
    <row r="1523" spans="1:20" x14ac:dyDescent="0.3">
      <c r="A1523" s="68">
        <v>40964</v>
      </c>
      <c r="B1523" s="69">
        <f>YEAR(A1523)*10000+MONTH(A1523)*100+DAY(A1523)</f>
        <v>20120225</v>
      </c>
      <c r="C1523" s="70">
        <v>2.53E-2</v>
      </c>
      <c r="D1523" s="77">
        <v>8.9999999999999993E-3</v>
      </c>
      <c r="E1523" s="77">
        <v>8.9999999999999993E-3</v>
      </c>
      <c r="F1523" s="77">
        <v>8.9999999999999993E-3</v>
      </c>
      <c r="G1523" s="78">
        <v>0</v>
      </c>
      <c r="K1523" s="106">
        <v>4.7999999999999996E-3</v>
      </c>
      <c r="L1523" s="80">
        <v>0</v>
      </c>
      <c r="M1523" s="75" t="s">
        <v>143</v>
      </c>
      <c r="N1523" s="75" t="b">
        <v>1</v>
      </c>
      <c r="O1523" s="75" t="s">
        <v>144</v>
      </c>
      <c r="P1523" s="75">
        <v>1994</v>
      </c>
      <c r="Q1523" s="107">
        <f t="shared" si="31"/>
        <v>2012</v>
      </c>
      <c r="R1523" s="107">
        <v>2</v>
      </c>
      <c r="S1523" s="100">
        <v>212032</v>
      </c>
      <c r="T1523" s="101">
        <v>41053</v>
      </c>
    </row>
    <row r="1524" spans="1:20" x14ac:dyDescent="0.3">
      <c r="A1524" s="68">
        <v>40965</v>
      </c>
      <c r="B1524" s="69">
        <f>YEAR(A1524)*10000+MONTH(A1524)*100+DAY(A1524)</f>
        <v>20120226</v>
      </c>
      <c r="C1524" s="70">
        <v>2.53E-2</v>
      </c>
      <c r="D1524" s="77">
        <v>8.9999999999999993E-3</v>
      </c>
      <c r="E1524" s="77">
        <v>8.9999999999999993E-3</v>
      </c>
      <c r="F1524" s="77">
        <v>8.9999999999999993E-3</v>
      </c>
      <c r="G1524" s="78">
        <v>0</v>
      </c>
      <c r="K1524" s="106">
        <v>4.7999999999999996E-3</v>
      </c>
      <c r="L1524" s="80">
        <v>0</v>
      </c>
      <c r="M1524" s="75" t="s">
        <v>143</v>
      </c>
      <c r="N1524" s="75" t="b">
        <v>1</v>
      </c>
      <c r="O1524" s="75" t="s">
        <v>144</v>
      </c>
      <c r="P1524" s="75">
        <v>1994</v>
      </c>
      <c r="Q1524" s="107">
        <f t="shared" si="31"/>
        <v>2012</v>
      </c>
      <c r="R1524" s="107">
        <v>2</v>
      </c>
      <c r="S1524" s="100">
        <v>212032</v>
      </c>
      <c r="T1524" s="101">
        <v>41053</v>
      </c>
    </row>
    <row r="1525" spans="1:20" x14ac:dyDescent="0.3">
      <c r="A1525" s="68">
        <v>40966</v>
      </c>
      <c r="B1525" s="69">
        <f t="shared" si="30"/>
        <v>20120227</v>
      </c>
      <c r="C1525" s="70">
        <v>2.5099999999999997E-2</v>
      </c>
      <c r="D1525" s="77">
        <v>8.9999999999999993E-3</v>
      </c>
      <c r="E1525" s="77">
        <v>8.9999999999999993E-3</v>
      </c>
      <c r="F1525" s="77">
        <v>8.9999999999999993E-3</v>
      </c>
      <c r="G1525" s="78">
        <v>0</v>
      </c>
      <c r="K1525" s="106">
        <v>4.7999999999999996E-3</v>
      </c>
      <c r="L1525" s="80">
        <v>0</v>
      </c>
      <c r="M1525" s="75" t="s">
        <v>143</v>
      </c>
      <c r="N1525" s="75" t="b">
        <v>1</v>
      </c>
      <c r="O1525" s="75" t="s">
        <v>144</v>
      </c>
      <c r="P1525" s="75">
        <v>1994</v>
      </c>
      <c r="Q1525" s="107">
        <f t="shared" si="31"/>
        <v>2012</v>
      </c>
      <c r="R1525" s="107">
        <v>2</v>
      </c>
      <c r="S1525" s="100">
        <v>212032</v>
      </c>
      <c r="T1525" s="101">
        <v>41053</v>
      </c>
    </row>
    <row r="1526" spans="1:20" x14ac:dyDescent="0.3">
      <c r="A1526" s="68">
        <v>40967</v>
      </c>
      <c r="B1526" s="69">
        <f t="shared" si="30"/>
        <v>20120228</v>
      </c>
      <c r="C1526" s="70">
        <v>2.4799999999999999E-2</v>
      </c>
      <c r="D1526" s="77">
        <v>8.9999999999999993E-3</v>
      </c>
      <c r="E1526" s="77">
        <v>8.9999999999999993E-3</v>
      </c>
      <c r="F1526" s="77">
        <v>8.9999999999999993E-3</v>
      </c>
      <c r="G1526" s="78">
        <v>0</v>
      </c>
      <c r="K1526" s="106">
        <v>4.5000000000000005E-3</v>
      </c>
      <c r="L1526" s="80">
        <v>0</v>
      </c>
      <c r="M1526" s="75" t="s">
        <v>143</v>
      </c>
      <c r="N1526" s="75" t="b">
        <v>1</v>
      </c>
      <c r="O1526" s="75" t="s">
        <v>144</v>
      </c>
      <c r="P1526" s="75">
        <v>1994</v>
      </c>
      <c r="Q1526" s="107">
        <f t="shared" si="31"/>
        <v>2012</v>
      </c>
      <c r="R1526" s="107">
        <v>2</v>
      </c>
      <c r="S1526" s="100">
        <v>212032</v>
      </c>
      <c r="T1526" s="101">
        <v>41053</v>
      </c>
    </row>
    <row r="1527" spans="1:20" x14ac:dyDescent="0.3">
      <c r="A1527" s="68">
        <v>40968</v>
      </c>
      <c r="B1527" s="69">
        <f>YEAR(A1527)*10000+MONTH(A1527)*100+DAY(A1527)</f>
        <v>20120229</v>
      </c>
      <c r="C1527" s="70">
        <v>2.4799999999999999E-2</v>
      </c>
      <c r="D1527" s="77">
        <v>8.9999999999999993E-3</v>
      </c>
      <c r="E1527" s="77">
        <v>8.9999999999999993E-3</v>
      </c>
      <c r="F1527" s="77">
        <v>8.9999999999999993E-3</v>
      </c>
      <c r="G1527" s="78">
        <v>0</v>
      </c>
      <c r="K1527" s="106">
        <v>4.4000000000000003E-3</v>
      </c>
      <c r="L1527" s="80">
        <v>0</v>
      </c>
      <c r="M1527" s="75" t="s">
        <v>143</v>
      </c>
      <c r="N1527" s="75" t="b">
        <v>1</v>
      </c>
      <c r="O1527" s="75" t="s">
        <v>144</v>
      </c>
      <c r="P1527" s="75">
        <v>1994</v>
      </c>
      <c r="Q1527" s="107">
        <f t="shared" si="31"/>
        <v>2012</v>
      </c>
      <c r="R1527" s="107">
        <v>2</v>
      </c>
      <c r="S1527" s="100">
        <v>212032</v>
      </c>
      <c r="T1527" s="101">
        <v>41053</v>
      </c>
    </row>
    <row r="1528" spans="1:20" x14ac:dyDescent="0.3">
      <c r="A1528" s="68">
        <v>40969</v>
      </c>
      <c r="B1528" s="69">
        <f t="shared" ref="B1528:B1592" si="32">YEAR(A1528)*10000+MONTH(A1528)*100+DAY(A1528)</f>
        <v>20120301</v>
      </c>
      <c r="C1528" s="70">
        <v>2.5000000000000001E-2</v>
      </c>
      <c r="D1528" s="77">
        <v>8.9999999999999993E-3</v>
      </c>
      <c r="E1528" s="77">
        <v>8.9999999999999993E-3</v>
      </c>
      <c r="F1528" s="77">
        <v>8.9999999999999993E-3</v>
      </c>
      <c r="G1528" s="78">
        <v>0</v>
      </c>
      <c r="K1528" s="106">
        <v>4.5000000000000005E-3</v>
      </c>
      <c r="L1528" s="80">
        <v>0</v>
      </c>
      <c r="M1528" s="75" t="s">
        <v>143</v>
      </c>
      <c r="N1528" s="75" t="b">
        <v>1</v>
      </c>
      <c r="O1528" s="75" t="s">
        <v>144</v>
      </c>
      <c r="P1528" s="75">
        <v>1994</v>
      </c>
      <c r="Q1528" s="107">
        <f t="shared" si="31"/>
        <v>2012</v>
      </c>
      <c r="R1528" s="107">
        <v>2</v>
      </c>
      <c r="S1528" s="100">
        <v>212032</v>
      </c>
      <c r="T1528" s="101">
        <v>41053</v>
      </c>
    </row>
    <row r="1529" spans="1:20" x14ac:dyDescent="0.3">
      <c r="A1529" s="68">
        <v>40970</v>
      </c>
      <c r="B1529" s="69">
        <f t="shared" si="32"/>
        <v>20120302</v>
      </c>
      <c r="C1529" s="70">
        <v>2.46E-2</v>
      </c>
      <c r="D1529" s="77">
        <v>8.9999999999999993E-3</v>
      </c>
      <c r="E1529" s="77">
        <v>8.9999999999999993E-3</v>
      </c>
      <c r="F1529" s="77">
        <v>8.9999999999999993E-3</v>
      </c>
      <c r="G1529" s="78">
        <v>0</v>
      </c>
      <c r="K1529" s="106">
        <v>4.3E-3</v>
      </c>
      <c r="L1529" s="80">
        <v>0</v>
      </c>
      <c r="M1529" s="75" t="s">
        <v>143</v>
      </c>
      <c r="N1529" s="75" t="b">
        <v>1</v>
      </c>
      <c r="O1529" s="75" t="s">
        <v>144</v>
      </c>
      <c r="P1529" s="75">
        <v>1994</v>
      </c>
      <c r="Q1529" s="107">
        <f t="shared" si="31"/>
        <v>2012</v>
      </c>
      <c r="R1529" s="107">
        <v>2</v>
      </c>
      <c r="S1529" s="100">
        <v>212032</v>
      </c>
      <c r="T1529" s="101">
        <v>41053</v>
      </c>
    </row>
    <row r="1530" spans="1:20" x14ac:dyDescent="0.3">
      <c r="A1530" s="68">
        <v>40971</v>
      </c>
      <c r="B1530" s="69">
        <f t="shared" si="32"/>
        <v>20120303</v>
      </c>
      <c r="C1530" s="70">
        <v>2.46E-2</v>
      </c>
      <c r="D1530" s="77">
        <v>8.9999999999999993E-3</v>
      </c>
      <c r="E1530" s="77">
        <v>8.9999999999999993E-3</v>
      </c>
      <c r="F1530" s="77">
        <v>8.9999999999999993E-3</v>
      </c>
      <c r="G1530" s="78">
        <v>0</v>
      </c>
      <c r="K1530" s="106">
        <v>4.3E-3</v>
      </c>
      <c r="L1530" s="80">
        <v>0</v>
      </c>
      <c r="M1530" s="75" t="s">
        <v>143</v>
      </c>
      <c r="N1530" s="75" t="b">
        <v>1</v>
      </c>
      <c r="O1530" s="75" t="s">
        <v>144</v>
      </c>
      <c r="P1530" s="75">
        <v>1994</v>
      </c>
      <c r="Q1530" s="107">
        <f t="shared" si="31"/>
        <v>2012</v>
      </c>
      <c r="R1530" s="107">
        <v>2</v>
      </c>
      <c r="S1530" s="100">
        <v>212032</v>
      </c>
      <c r="T1530" s="101">
        <v>41053</v>
      </c>
    </row>
    <row r="1531" spans="1:20" x14ac:dyDescent="0.3">
      <c r="A1531" s="68">
        <v>40972</v>
      </c>
      <c r="B1531" s="69">
        <f t="shared" si="32"/>
        <v>20120304</v>
      </c>
      <c r="C1531" s="70">
        <v>2.46E-2</v>
      </c>
      <c r="D1531" s="77">
        <v>8.9999999999999993E-3</v>
      </c>
      <c r="E1531" s="77">
        <v>8.9999999999999993E-3</v>
      </c>
      <c r="F1531" s="77">
        <v>8.9999999999999993E-3</v>
      </c>
      <c r="G1531" s="78">
        <v>0</v>
      </c>
      <c r="K1531" s="106">
        <v>4.3E-3</v>
      </c>
      <c r="L1531" s="80">
        <v>0</v>
      </c>
      <c r="M1531" s="75" t="s">
        <v>143</v>
      </c>
      <c r="N1531" s="75" t="b">
        <v>1</v>
      </c>
      <c r="O1531" s="75" t="s">
        <v>144</v>
      </c>
      <c r="P1531" s="75">
        <v>1994</v>
      </c>
      <c r="Q1531" s="107">
        <f t="shared" si="31"/>
        <v>2012</v>
      </c>
      <c r="R1531" s="107">
        <v>2</v>
      </c>
      <c r="S1531" s="100">
        <v>212032</v>
      </c>
      <c r="T1531" s="101">
        <v>41053</v>
      </c>
    </row>
    <row r="1532" spans="1:20" x14ac:dyDescent="0.3">
      <c r="A1532" s="68">
        <v>40973</v>
      </c>
      <c r="B1532" s="69">
        <f t="shared" si="32"/>
        <v>20120305</v>
      </c>
      <c r="C1532" s="70">
        <v>2.4700000000000003E-2</v>
      </c>
      <c r="D1532" s="77">
        <v>8.9999999999999993E-3</v>
      </c>
      <c r="E1532" s="77">
        <v>8.9999999999999993E-3</v>
      </c>
      <c r="F1532" s="77">
        <v>8.9999999999999993E-3</v>
      </c>
      <c r="G1532" s="78">
        <v>0</v>
      </c>
      <c r="K1532" s="106">
        <v>4.5000000000000005E-3</v>
      </c>
      <c r="L1532" s="80">
        <v>0</v>
      </c>
      <c r="M1532" s="75" t="s">
        <v>143</v>
      </c>
      <c r="N1532" s="75" t="b">
        <v>1</v>
      </c>
      <c r="O1532" s="75" t="s">
        <v>144</v>
      </c>
      <c r="P1532" s="75">
        <v>1994</v>
      </c>
      <c r="Q1532" s="107">
        <f t="shared" si="31"/>
        <v>2012</v>
      </c>
      <c r="R1532" s="107">
        <v>2</v>
      </c>
      <c r="S1532" s="100">
        <v>212032</v>
      </c>
      <c r="T1532" s="101">
        <v>41053</v>
      </c>
    </row>
    <row r="1533" spans="1:20" x14ac:dyDescent="0.3">
      <c r="A1533" s="68">
        <v>40974</v>
      </c>
      <c r="B1533" s="69">
        <f t="shared" si="32"/>
        <v>20120306</v>
      </c>
      <c r="C1533" s="70">
        <v>2.4399999999999998E-2</v>
      </c>
      <c r="D1533" s="77">
        <v>8.9999999999999993E-3</v>
      </c>
      <c r="E1533" s="77">
        <v>8.9999999999999993E-3</v>
      </c>
      <c r="F1533" s="77">
        <v>8.9999999999999993E-3</v>
      </c>
      <c r="G1533" s="78">
        <v>0</v>
      </c>
      <c r="K1533" s="106">
        <v>4.3E-3</v>
      </c>
      <c r="L1533" s="80">
        <v>0</v>
      </c>
      <c r="M1533" s="75" t="s">
        <v>143</v>
      </c>
      <c r="N1533" s="75" t="b">
        <v>1</v>
      </c>
      <c r="O1533" s="75" t="s">
        <v>144</v>
      </c>
      <c r="P1533" s="75">
        <v>1994</v>
      </c>
      <c r="Q1533" s="107">
        <f t="shared" si="31"/>
        <v>2012</v>
      </c>
      <c r="R1533" s="107">
        <v>2</v>
      </c>
      <c r="S1533" s="100">
        <v>212032</v>
      </c>
      <c r="T1533" s="101">
        <v>41053</v>
      </c>
    </row>
    <row r="1534" spans="1:20" x14ac:dyDescent="0.3">
      <c r="A1534" s="68">
        <v>40975</v>
      </c>
      <c r="B1534" s="69">
        <f t="shared" si="32"/>
        <v>20120307</v>
      </c>
      <c r="C1534" s="70">
        <v>2.46E-2</v>
      </c>
      <c r="D1534" s="77">
        <v>8.9999999999999993E-3</v>
      </c>
      <c r="E1534" s="77">
        <v>8.9999999999999993E-3</v>
      </c>
      <c r="F1534" s="77">
        <v>8.9999999999999993E-3</v>
      </c>
      <c r="G1534" s="78">
        <v>0</v>
      </c>
      <c r="K1534" s="106">
        <v>4.5000000000000005E-3</v>
      </c>
      <c r="L1534" s="80">
        <v>0</v>
      </c>
      <c r="M1534" s="75" t="s">
        <v>143</v>
      </c>
      <c r="N1534" s="75" t="b">
        <v>1</v>
      </c>
      <c r="O1534" s="75" t="s">
        <v>144</v>
      </c>
      <c r="P1534" s="75">
        <v>1994</v>
      </c>
      <c r="Q1534" s="107">
        <f t="shared" si="31"/>
        <v>2012</v>
      </c>
      <c r="R1534" s="107">
        <v>2</v>
      </c>
      <c r="S1534" s="100">
        <v>212032</v>
      </c>
      <c r="T1534" s="101">
        <v>41053</v>
      </c>
    </row>
    <row r="1535" spans="1:20" x14ac:dyDescent="0.3">
      <c r="A1535" s="68">
        <v>40976</v>
      </c>
      <c r="B1535" s="69">
        <f t="shared" si="32"/>
        <v>20120308</v>
      </c>
      <c r="C1535" s="70">
        <v>2.4799999999999999E-2</v>
      </c>
      <c r="D1535" s="77">
        <v>8.9999999999999993E-3</v>
      </c>
      <c r="E1535" s="77">
        <v>8.9999999999999993E-3</v>
      </c>
      <c r="F1535" s="77">
        <v>8.9999999999999993E-3</v>
      </c>
      <c r="G1535" s="78">
        <v>0</v>
      </c>
      <c r="K1535" s="106">
        <v>4.6999999999999993E-3</v>
      </c>
      <c r="L1535" s="80">
        <v>0</v>
      </c>
      <c r="M1535" s="75" t="s">
        <v>143</v>
      </c>
      <c r="N1535" s="75" t="b">
        <v>1</v>
      </c>
      <c r="O1535" s="75" t="s">
        <v>144</v>
      </c>
      <c r="P1535" s="75">
        <v>1994</v>
      </c>
      <c r="Q1535" s="107">
        <f t="shared" si="31"/>
        <v>2012</v>
      </c>
      <c r="R1535" s="107">
        <v>2</v>
      </c>
      <c r="S1535" s="100">
        <v>212032</v>
      </c>
      <c r="T1535" s="101">
        <v>41053</v>
      </c>
    </row>
    <row r="1536" spans="1:20" x14ac:dyDescent="0.3">
      <c r="A1536" s="68">
        <v>40977</v>
      </c>
      <c r="B1536" s="69">
        <f t="shared" si="32"/>
        <v>20120309</v>
      </c>
      <c r="C1536" s="70">
        <v>2.4799999999999999E-2</v>
      </c>
      <c r="D1536" s="77">
        <v>8.9999999999999993E-3</v>
      </c>
      <c r="E1536" s="77">
        <v>8.9999999999999993E-3</v>
      </c>
      <c r="F1536" s="77">
        <v>8.9999999999999993E-3</v>
      </c>
      <c r="G1536" s="78">
        <v>0</v>
      </c>
      <c r="K1536" s="106">
        <v>4.5999999999999999E-3</v>
      </c>
      <c r="L1536" s="80">
        <v>0</v>
      </c>
      <c r="M1536" s="75" t="s">
        <v>143</v>
      </c>
      <c r="N1536" s="75" t="b">
        <v>1</v>
      </c>
      <c r="O1536" s="75" t="s">
        <v>144</v>
      </c>
      <c r="P1536" s="75">
        <v>1994</v>
      </c>
      <c r="Q1536" s="107">
        <f t="shared" si="31"/>
        <v>2012</v>
      </c>
      <c r="R1536" s="107">
        <v>2</v>
      </c>
      <c r="S1536" s="100">
        <v>212032</v>
      </c>
      <c r="T1536" s="101">
        <v>41053</v>
      </c>
    </row>
    <row r="1537" spans="1:20" x14ac:dyDescent="0.3">
      <c r="A1537" s="68">
        <v>40978</v>
      </c>
      <c r="B1537" s="69">
        <f t="shared" si="32"/>
        <v>20120310</v>
      </c>
      <c r="C1537" s="70">
        <v>2.4799999999999999E-2</v>
      </c>
      <c r="D1537" s="77">
        <v>8.9999999999999993E-3</v>
      </c>
      <c r="E1537" s="77">
        <v>8.9999999999999993E-3</v>
      </c>
      <c r="F1537" s="77">
        <v>8.9999999999999993E-3</v>
      </c>
      <c r="G1537" s="78">
        <v>0</v>
      </c>
      <c r="K1537" s="106">
        <v>4.5999999999999999E-3</v>
      </c>
      <c r="L1537" s="80">
        <v>0</v>
      </c>
      <c r="M1537" s="75" t="s">
        <v>143</v>
      </c>
      <c r="N1537" s="75" t="b">
        <v>1</v>
      </c>
      <c r="O1537" s="75" t="s">
        <v>144</v>
      </c>
      <c r="P1537" s="75">
        <v>1994</v>
      </c>
      <c r="Q1537" s="107">
        <f t="shared" si="31"/>
        <v>2012</v>
      </c>
      <c r="R1537" s="107">
        <v>2</v>
      </c>
      <c r="S1537" s="100">
        <v>212032</v>
      </c>
      <c r="T1537" s="101">
        <v>41053</v>
      </c>
    </row>
    <row r="1538" spans="1:20" x14ac:dyDescent="0.3">
      <c r="A1538" s="68">
        <v>40979</v>
      </c>
      <c r="B1538" s="69">
        <f t="shared" si="32"/>
        <v>20120311</v>
      </c>
      <c r="C1538" s="70">
        <v>2.4799999999999999E-2</v>
      </c>
      <c r="D1538" s="77">
        <v>8.9999999999999993E-3</v>
      </c>
      <c r="E1538" s="77">
        <v>8.9999999999999993E-3</v>
      </c>
      <c r="F1538" s="77">
        <v>8.9999999999999993E-3</v>
      </c>
      <c r="G1538" s="78">
        <v>0</v>
      </c>
      <c r="K1538" s="106">
        <v>4.5999999999999999E-3</v>
      </c>
      <c r="L1538" s="80">
        <v>0</v>
      </c>
      <c r="M1538" s="75" t="s">
        <v>143</v>
      </c>
      <c r="N1538" s="75" t="b">
        <v>1</v>
      </c>
      <c r="O1538" s="75" t="s">
        <v>144</v>
      </c>
      <c r="P1538" s="75">
        <v>1994</v>
      </c>
      <c r="Q1538" s="107">
        <f t="shared" si="31"/>
        <v>2012</v>
      </c>
      <c r="R1538" s="107">
        <v>2</v>
      </c>
      <c r="S1538" s="100">
        <v>212032</v>
      </c>
      <c r="T1538" s="101">
        <v>41053</v>
      </c>
    </row>
    <row r="1539" spans="1:20" x14ac:dyDescent="0.3">
      <c r="A1539" s="68">
        <v>40980</v>
      </c>
      <c r="B1539" s="69">
        <f t="shared" si="32"/>
        <v>20120312</v>
      </c>
      <c r="C1539" s="70">
        <v>2.4700000000000003E-2</v>
      </c>
      <c r="D1539" s="77">
        <v>8.9999999999999993E-3</v>
      </c>
      <c r="E1539" s="77">
        <v>8.9999999999999993E-3</v>
      </c>
      <c r="F1539" s="77">
        <v>8.9999999999999993E-3</v>
      </c>
      <c r="G1539" s="78">
        <v>0</v>
      </c>
      <c r="K1539" s="106">
        <v>4.5000000000000005E-3</v>
      </c>
      <c r="L1539" s="80">
        <v>0</v>
      </c>
      <c r="M1539" s="75" t="s">
        <v>143</v>
      </c>
      <c r="N1539" s="75" t="b">
        <v>1</v>
      </c>
      <c r="O1539" s="75" t="s">
        <v>144</v>
      </c>
      <c r="P1539" s="75">
        <v>1994</v>
      </c>
      <c r="Q1539" s="107">
        <f t="shared" si="31"/>
        <v>2012</v>
      </c>
      <c r="R1539" s="107">
        <v>2</v>
      </c>
      <c r="S1539" s="100">
        <v>212032</v>
      </c>
      <c r="T1539" s="101">
        <v>41053</v>
      </c>
    </row>
    <row r="1540" spans="1:20" x14ac:dyDescent="0.3">
      <c r="A1540" s="68">
        <v>40981</v>
      </c>
      <c r="B1540" s="69">
        <f t="shared" si="32"/>
        <v>20120313</v>
      </c>
      <c r="C1540" s="70">
        <v>2.52E-2</v>
      </c>
      <c r="D1540" s="77">
        <v>8.9999999999999993E-3</v>
      </c>
      <c r="E1540" s="77">
        <v>8.9999999999999993E-3</v>
      </c>
      <c r="F1540" s="77">
        <v>8.9999999999999993E-3</v>
      </c>
      <c r="G1540" s="78">
        <v>0</v>
      </c>
      <c r="K1540" s="106">
        <v>4.7999999999999996E-3</v>
      </c>
      <c r="L1540" s="80">
        <v>0</v>
      </c>
      <c r="M1540" s="75" t="s">
        <v>143</v>
      </c>
      <c r="N1540" s="75" t="b">
        <v>1</v>
      </c>
      <c r="O1540" s="75" t="s">
        <v>144</v>
      </c>
      <c r="P1540" s="75">
        <v>1994</v>
      </c>
      <c r="Q1540" s="107">
        <f t="shared" si="31"/>
        <v>2012</v>
      </c>
      <c r="R1540" s="107">
        <v>2</v>
      </c>
      <c r="S1540" s="100">
        <v>212032</v>
      </c>
      <c r="T1540" s="101">
        <v>41053</v>
      </c>
    </row>
    <row r="1541" spans="1:20" x14ac:dyDescent="0.3">
      <c r="A1541" s="68">
        <v>40982</v>
      </c>
      <c r="B1541" s="69">
        <f t="shared" si="32"/>
        <v>20120314</v>
      </c>
      <c r="C1541" s="70">
        <v>2.6000000000000002E-2</v>
      </c>
      <c r="D1541" s="77">
        <v>8.9999999999999993E-3</v>
      </c>
      <c r="E1541" s="77">
        <v>8.9999999999999993E-3</v>
      </c>
      <c r="F1541" s="77">
        <v>8.9999999999999993E-3</v>
      </c>
      <c r="G1541" s="78">
        <v>0</v>
      </c>
      <c r="K1541" s="106">
        <v>5.1999999999999998E-3</v>
      </c>
      <c r="L1541" s="80">
        <v>0</v>
      </c>
      <c r="M1541" s="75" t="s">
        <v>143</v>
      </c>
      <c r="N1541" s="75" t="b">
        <v>1</v>
      </c>
      <c r="O1541" s="75" t="s">
        <v>144</v>
      </c>
      <c r="P1541" s="75">
        <v>1994</v>
      </c>
      <c r="Q1541" s="107">
        <f t="shared" si="31"/>
        <v>2012</v>
      </c>
      <c r="R1541" s="107">
        <v>2</v>
      </c>
      <c r="S1541" s="100">
        <v>212032</v>
      </c>
      <c r="T1541" s="101">
        <v>41053</v>
      </c>
    </row>
    <row r="1542" spans="1:20" x14ac:dyDescent="0.3">
      <c r="A1542" s="68">
        <v>40983</v>
      </c>
      <c r="B1542" s="69">
        <f t="shared" si="32"/>
        <v>20120315</v>
      </c>
      <c r="C1542" s="70">
        <v>2.64E-2</v>
      </c>
      <c r="D1542" s="77">
        <v>8.9999999999999993E-3</v>
      </c>
      <c r="E1542" s="77">
        <v>8.9999999999999993E-3</v>
      </c>
      <c r="F1542" s="77">
        <v>8.9999999999999993E-3</v>
      </c>
      <c r="G1542" s="78">
        <v>0</v>
      </c>
      <c r="K1542" s="106">
        <v>5.6000000000000008E-3</v>
      </c>
      <c r="L1542" s="80">
        <v>0</v>
      </c>
      <c r="M1542" s="75" t="s">
        <v>143</v>
      </c>
      <c r="N1542" s="75" t="b">
        <v>1</v>
      </c>
      <c r="O1542" s="75" t="s">
        <v>144</v>
      </c>
      <c r="P1542" s="75">
        <v>1994</v>
      </c>
      <c r="Q1542" s="107">
        <f t="shared" si="31"/>
        <v>2012</v>
      </c>
      <c r="R1542" s="107">
        <v>2</v>
      </c>
      <c r="S1542" s="100">
        <v>212032</v>
      </c>
      <c r="T1542" s="101">
        <v>41053</v>
      </c>
    </row>
    <row r="1543" spans="1:20" x14ac:dyDescent="0.3">
      <c r="A1543" s="68">
        <v>40984</v>
      </c>
      <c r="B1543" s="69">
        <f t="shared" si="32"/>
        <v>20120316</v>
      </c>
      <c r="C1543" s="70">
        <v>2.6699999999999998E-2</v>
      </c>
      <c r="D1543" s="77">
        <v>8.9999999999999993E-3</v>
      </c>
      <c r="E1543" s="77">
        <v>8.9999999999999993E-3</v>
      </c>
      <c r="F1543" s="77">
        <v>8.9999999999999993E-3</v>
      </c>
      <c r="G1543" s="78">
        <v>0</v>
      </c>
      <c r="K1543" s="106">
        <v>5.8999999999999999E-3</v>
      </c>
      <c r="L1543" s="80">
        <v>0</v>
      </c>
      <c r="M1543" s="75" t="s">
        <v>143</v>
      </c>
      <c r="N1543" s="75" t="b">
        <v>1</v>
      </c>
      <c r="O1543" s="75" t="s">
        <v>144</v>
      </c>
      <c r="P1543" s="75">
        <v>1994</v>
      </c>
      <c r="Q1543" s="107">
        <f t="shared" si="31"/>
        <v>2012</v>
      </c>
      <c r="R1543" s="107">
        <v>2</v>
      </c>
      <c r="S1543" s="100">
        <v>212032</v>
      </c>
      <c r="T1543" s="101">
        <v>41053</v>
      </c>
    </row>
    <row r="1544" spans="1:20" x14ac:dyDescent="0.3">
      <c r="A1544" s="68">
        <v>40985</v>
      </c>
      <c r="B1544" s="69">
        <f t="shared" si="32"/>
        <v>20120317</v>
      </c>
      <c r="C1544" s="70">
        <v>2.6699999999999998E-2</v>
      </c>
      <c r="D1544" s="77">
        <v>8.9999999999999993E-3</v>
      </c>
      <c r="E1544" s="77">
        <v>8.9999999999999993E-3</v>
      </c>
      <c r="F1544" s="77">
        <v>8.9999999999999993E-3</v>
      </c>
      <c r="G1544" s="78">
        <v>0</v>
      </c>
      <c r="K1544" s="106">
        <v>5.8999999999999999E-3</v>
      </c>
      <c r="L1544" s="80">
        <v>0</v>
      </c>
      <c r="M1544" s="75" t="s">
        <v>143</v>
      </c>
      <c r="N1544" s="75" t="b">
        <v>1</v>
      </c>
      <c r="O1544" s="75" t="s">
        <v>144</v>
      </c>
      <c r="P1544" s="75">
        <v>1994</v>
      </c>
      <c r="Q1544" s="107">
        <f t="shared" si="31"/>
        <v>2012</v>
      </c>
      <c r="R1544" s="107">
        <v>2</v>
      </c>
      <c r="S1544" s="100">
        <v>212032</v>
      </c>
      <c r="T1544" s="101">
        <v>41053</v>
      </c>
    </row>
    <row r="1545" spans="1:20" x14ac:dyDescent="0.3">
      <c r="A1545" s="68">
        <v>40986</v>
      </c>
      <c r="B1545" s="69">
        <f t="shared" si="32"/>
        <v>20120318</v>
      </c>
      <c r="C1545" s="70">
        <v>2.6699999999999998E-2</v>
      </c>
      <c r="D1545" s="77">
        <v>8.9999999999999993E-3</v>
      </c>
      <c r="E1545" s="77">
        <v>8.9999999999999993E-3</v>
      </c>
      <c r="F1545" s="77">
        <v>8.9999999999999993E-3</v>
      </c>
      <c r="G1545" s="78">
        <v>0</v>
      </c>
      <c r="K1545" s="106">
        <v>5.8999999999999999E-3</v>
      </c>
      <c r="L1545" s="80">
        <v>0</v>
      </c>
      <c r="M1545" s="75" t="s">
        <v>143</v>
      </c>
      <c r="N1545" s="75" t="b">
        <v>1</v>
      </c>
      <c r="O1545" s="75" t="s">
        <v>144</v>
      </c>
      <c r="P1545" s="75">
        <v>1994</v>
      </c>
      <c r="Q1545" s="107">
        <f t="shared" si="31"/>
        <v>2012</v>
      </c>
      <c r="R1545" s="107">
        <v>2</v>
      </c>
      <c r="S1545" s="100">
        <v>212032</v>
      </c>
      <c r="T1545" s="101">
        <v>41053</v>
      </c>
    </row>
    <row r="1546" spans="1:20" x14ac:dyDescent="0.3">
      <c r="A1546" s="68">
        <v>40987</v>
      </c>
      <c r="B1546" s="69">
        <f t="shared" si="32"/>
        <v>20120319</v>
      </c>
      <c r="C1546" s="70">
        <v>2.7099999999999999E-2</v>
      </c>
      <c r="D1546" s="77">
        <v>8.9999999999999993E-3</v>
      </c>
      <c r="E1546" s="77">
        <v>8.9999999999999993E-3</v>
      </c>
      <c r="F1546" s="77">
        <v>8.9999999999999993E-3</v>
      </c>
      <c r="G1546" s="78">
        <v>0</v>
      </c>
      <c r="K1546" s="106">
        <v>6.1999999999999998E-3</v>
      </c>
      <c r="L1546" s="80">
        <v>0</v>
      </c>
      <c r="M1546" s="75" t="s">
        <v>143</v>
      </c>
      <c r="N1546" s="75" t="b">
        <v>1</v>
      </c>
      <c r="O1546" s="75" t="s">
        <v>144</v>
      </c>
      <c r="P1546" s="75">
        <v>1994</v>
      </c>
      <c r="Q1546" s="107">
        <f t="shared" si="31"/>
        <v>2012</v>
      </c>
      <c r="R1546" s="107">
        <v>2</v>
      </c>
      <c r="S1546" s="100">
        <v>212032</v>
      </c>
      <c r="T1546" s="101">
        <v>41053</v>
      </c>
    </row>
    <row r="1547" spans="1:20" x14ac:dyDescent="0.3">
      <c r="A1547" s="68">
        <v>40988</v>
      </c>
      <c r="B1547" s="69">
        <f t="shared" si="32"/>
        <v>20120320</v>
      </c>
      <c r="C1547" s="70">
        <v>2.7099999999999999E-2</v>
      </c>
      <c r="D1547" s="77">
        <v>8.9999999999999993E-3</v>
      </c>
      <c r="E1547" s="77">
        <v>8.9999999999999993E-3</v>
      </c>
      <c r="F1547" s="77">
        <v>8.9999999999999993E-3</v>
      </c>
      <c r="G1547" s="78">
        <v>0</v>
      </c>
      <c r="K1547" s="106">
        <v>6.0999999999999995E-3</v>
      </c>
      <c r="L1547" s="80">
        <v>0</v>
      </c>
      <c r="M1547" s="75" t="s">
        <v>143</v>
      </c>
      <c r="N1547" s="75" t="b">
        <v>1</v>
      </c>
      <c r="O1547" s="75" t="s">
        <v>144</v>
      </c>
      <c r="P1547" s="75">
        <v>1994</v>
      </c>
      <c r="Q1547" s="107">
        <f t="shared" si="31"/>
        <v>2012</v>
      </c>
      <c r="R1547" s="107">
        <v>2</v>
      </c>
      <c r="S1547" s="100">
        <v>212032</v>
      </c>
      <c r="T1547" s="101">
        <v>41053</v>
      </c>
    </row>
    <row r="1548" spans="1:20" x14ac:dyDescent="0.3">
      <c r="A1548" s="68">
        <v>40989</v>
      </c>
      <c r="B1548" s="69">
        <f t="shared" si="32"/>
        <v>20120321</v>
      </c>
      <c r="C1548" s="70">
        <v>2.6699999999999998E-2</v>
      </c>
      <c r="D1548" s="77">
        <v>8.9999999999999993E-3</v>
      </c>
      <c r="E1548" s="77">
        <v>8.9999999999999993E-3</v>
      </c>
      <c r="F1548" s="77">
        <v>8.9999999999999993E-3</v>
      </c>
      <c r="G1548" s="78">
        <v>0</v>
      </c>
      <c r="K1548" s="106">
        <v>5.6999999999999993E-3</v>
      </c>
      <c r="L1548" s="80">
        <v>0</v>
      </c>
      <c r="M1548" s="75" t="s">
        <v>143</v>
      </c>
      <c r="N1548" s="75" t="b">
        <v>1</v>
      </c>
      <c r="O1548" s="75" t="s">
        <v>144</v>
      </c>
      <c r="P1548" s="75">
        <v>1994</v>
      </c>
      <c r="Q1548" s="107">
        <f t="shared" si="31"/>
        <v>2012</v>
      </c>
      <c r="R1548" s="107">
        <v>2</v>
      </c>
      <c r="S1548" s="100">
        <v>212032</v>
      </c>
      <c r="T1548" s="101">
        <v>41053</v>
      </c>
    </row>
    <row r="1549" spans="1:20" x14ac:dyDescent="0.3">
      <c r="A1549" s="68">
        <v>40990</v>
      </c>
      <c r="B1549" s="69">
        <f t="shared" si="32"/>
        <v>20120322</v>
      </c>
      <c r="C1549" s="70">
        <v>2.63E-2</v>
      </c>
      <c r="D1549" s="77">
        <v>8.9999999999999993E-3</v>
      </c>
      <c r="E1549" s="77">
        <v>8.9999999999999993E-3</v>
      </c>
      <c r="F1549" s="77">
        <v>8.9999999999999993E-3</v>
      </c>
      <c r="G1549" s="78">
        <v>0</v>
      </c>
      <c r="K1549" s="106">
        <v>5.4000000000000003E-3</v>
      </c>
      <c r="L1549" s="80">
        <v>0</v>
      </c>
      <c r="M1549" s="75" t="s">
        <v>143</v>
      </c>
      <c r="N1549" s="75" t="b">
        <v>1</v>
      </c>
      <c r="O1549" s="75" t="s">
        <v>144</v>
      </c>
      <c r="P1549" s="75">
        <v>1994</v>
      </c>
      <c r="Q1549" s="107">
        <f t="shared" si="31"/>
        <v>2012</v>
      </c>
      <c r="R1549" s="107">
        <v>2</v>
      </c>
      <c r="S1549" s="100">
        <v>212032</v>
      </c>
      <c r="T1549" s="101">
        <v>41053</v>
      </c>
    </row>
    <row r="1550" spans="1:20" x14ac:dyDescent="0.3">
      <c r="A1550" s="68">
        <v>40991</v>
      </c>
      <c r="B1550" s="69">
        <f t="shared" si="32"/>
        <v>20120323</v>
      </c>
      <c r="C1550" s="70">
        <v>2.6099999999999998E-2</v>
      </c>
      <c r="D1550" s="77">
        <v>8.9999999999999993E-3</v>
      </c>
      <c r="E1550" s="77">
        <v>8.9999999999999993E-3</v>
      </c>
      <c r="F1550" s="77">
        <v>8.9999999999999993E-3</v>
      </c>
      <c r="G1550" s="78">
        <v>0</v>
      </c>
      <c r="K1550" s="106">
        <v>5.3E-3</v>
      </c>
      <c r="L1550" s="80">
        <v>0</v>
      </c>
      <c r="M1550" s="75" t="s">
        <v>143</v>
      </c>
      <c r="N1550" s="75" t="b">
        <v>1</v>
      </c>
      <c r="O1550" s="75" t="s">
        <v>144</v>
      </c>
      <c r="P1550" s="75">
        <v>1994</v>
      </c>
      <c r="Q1550" s="107">
        <f t="shared" si="31"/>
        <v>2012</v>
      </c>
      <c r="R1550" s="107">
        <v>2</v>
      </c>
      <c r="S1550" s="100">
        <v>212032</v>
      </c>
      <c r="T1550" s="101">
        <v>41053</v>
      </c>
    </row>
    <row r="1551" spans="1:20" x14ac:dyDescent="0.3">
      <c r="A1551" s="68">
        <v>40992</v>
      </c>
      <c r="B1551" s="69">
        <f t="shared" si="32"/>
        <v>20120324</v>
      </c>
      <c r="C1551" s="70">
        <v>2.6099999999999998E-2</v>
      </c>
      <c r="D1551" s="77">
        <v>8.9999999999999993E-3</v>
      </c>
      <c r="E1551" s="77">
        <v>8.9999999999999993E-3</v>
      </c>
      <c r="F1551" s="77">
        <v>8.9999999999999993E-3</v>
      </c>
      <c r="G1551" s="78">
        <v>0</v>
      </c>
      <c r="K1551" s="106">
        <v>5.3E-3</v>
      </c>
      <c r="L1551" s="80">
        <v>0</v>
      </c>
      <c r="M1551" s="75" t="s">
        <v>143</v>
      </c>
      <c r="N1551" s="75" t="b">
        <v>1</v>
      </c>
      <c r="O1551" s="75" t="s">
        <v>144</v>
      </c>
      <c r="P1551" s="75">
        <v>1994</v>
      </c>
      <c r="Q1551" s="107">
        <f t="shared" si="31"/>
        <v>2012</v>
      </c>
      <c r="R1551" s="107">
        <v>2</v>
      </c>
      <c r="S1551" s="100">
        <v>212032</v>
      </c>
      <c r="T1551" s="101">
        <v>41053</v>
      </c>
    </row>
    <row r="1552" spans="1:20" x14ac:dyDescent="0.3">
      <c r="A1552" s="68">
        <v>40993</v>
      </c>
      <c r="B1552" s="69">
        <f t="shared" si="32"/>
        <v>20120325</v>
      </c>
      <c r="C1552" s="70">
        <v>2.6099999999999998E-2</v>
      </c>
      <c r="D1552" s="77">
        <v>8.9999999999999993E-3</v>
      </c>
      <c r="E1552" s="77">
        <v>8.9999999999999993E-3</v>
      </c>
      <c r="F1552" s="77">
        <v>8.9999999999999993E-3</v>
      </c>
      <c r="G1552" s="78">
        <v>0</v>
      </c>
      <c r="K1552" s="106">
        <v>5.3E-3</v>
      </c>
      <c r="L1552" s="80">
        <v>0</v>
      </c>
      <c r="M1552" s="75" t="s">
        <v>143</v>
      </c>
      <c r="N1552" s="75" t="b">
        <v>1</v>
      </c>
      <c r="O1552" s="75" t="s">
        <v>144</v>
      </c>
      <c r="P1552" s="75">
        <v>1994</v>
      </c>
      <c r="Q1552" s="107">
        <f t="shared" si="31"/>
        <v>2012</v>
      </c>
      <c r="R1552" s="107">
        <v>2</v>
      </c>
      <c r="S1552" s="100">
        <v>212032</v>
      </c>
      <c r="T1552" s="101">
        <v>41053</v>
      </c>
    </row>
    <row r="1553" spans="1:21" x14ac:dyDescent="0.3">
      <c r="A1553" s="68">
        <v>40994</v>
      </c>
      <c r="B1553" s="69">
        <f t="shared" si="32"/>
        <v>20120326</v>
      </c>
      <c r="C1553" s="70">
        <v>2.6200000000000001E-2</v>
      </c>
      <c r="D1553" s="77">
        <v>8.9999999999999993E-3</v>
      </c>
      <c r="E1553" s="77">
        <v>8.9999999999999993E-3</v>
      </c>
      <c r="F1553" s="77">
        <v>8.9999999999999993E-3</v>
      </c>
      <c r="G1553" s="78">
        <v>0</v>
      </c>
      <c r="K1553" s="106">
        <v>5.4000000000000003E-3</v>
      </c>
      <c r="L1553" s="80">
        <v>0</v>
      </c>
      <c r="M1553" s="75" t="s">
        <v>143</v>
      </c>
      <c r="N1553" s="75" t="b">
        <v>1</v>
      </c>
      <c r="O1553" s="75" t="s">
        <v>144</v>
      </c>
      <c r="P1553" s="75">
        <v>1994</v>
      </c>
      <c r="Q1553" s="107">
        <f t="shared" si="31"/>
        <v>2012</v>
      </c>
      <c r="R1553" s="107">
        <v>2</v>
      </c>
      <c r="S1553" s="100">
        <v>212032</v>
      </c>
      <c r="T1553" s="101">
        <v>41053</v>
      </c>
    </row>
    <row r="1554" spans="1:21" x14ac:dyDescent="0.3">
      <c r="A1554" s="68">
        <v>40995</v>
      </c>
      <c r="B1554" s="69">
        <f t="shared" si="32"/>
        <v>20120327</v>
      </c>
      <c r="C1554" s="70">
        <v>2.5699999999999997E-2</v>
      </c>
      <c r="D1554" s="77">
        <v>8.9999999999999993E-3</v>
      </c>
      <c r="E1554" s="77">
        <v>8.9999999999999993E-3</v>
      </c>
      <c r="F1554" s="77">
        <v>8.9999999999999993E-3</v>
      </c>
      <c r="G1554" s="78">
        <v>0</v>
      </c>
      <c r="K1554" s="106">
        <v>5.1000000000000004E-3</v>
      </c>
      <c r="L1554" s="80">
        <v>0</v>
      </c>
      <c r="M1554" s="75" t="s">
        <v>143</v>
      </c>
      <c r="N1554" s="75" t="b">
        <v>1</v>
      </c>
      <c r="O1554" s="75" t="s">
        <v>144</v>
      </c>
      <c r="P1554" s="75">
        <v>1994</v>
      </c>
      <c r="Q1554" s="107">
        <f t="shared" si="31"/>
        <v>2012</v>
      </c>
      <c r="R1554" s="107">
        <v>2</v>
      </c>
      <c r="S1554" s="100">
        <v>212032</v>
      </c>
      <c r="T1554" s="101">
        <v>41053</v>
      </c>
    </row>
    <row r="1555" spans="1:21" x14ac:dyDescent="0.3">
      <c r="A1555" s="68">
        <v>40996</v>
      </c>
      <c r="B1555" s="69">
        <f t="shared" si="32"/>
        <v>20120328</v>
      </c>
      <c r="C1555" s="70">
        <v>2.5600000000000001E-2</v>
      </c>
      <c r="D1555" s="77">
        <v>8.9999999999999993E-3</v>
      </c>
      <c r="E1555" s="77">
        <v>8.9999999999999993E-3</v>
      </c>
      <c r="F1555" s="77">
        <v>8.9999999999999993E-3</v>
      </c>
      <c r="G1555" s="78">
        <v>0</v>
      </c>
      <c r="K1555" s="106">
        <v>5.1999999999999998E-3</v>
      </c>
      <c r="L1555" s="80">
        <v>0</v>
      </c>
      <c r="M1555" s="75" t="s">
        <v>143</v>
      </c>
      <c r="N1555" s="75" t="b">
        <v>1</v>
      </c>
      <c r="O1555" s="75" t="s">
        <v>144</v>
      </c>
      <c r="P1555" s="75">
        <v>1994</v>
      </c>
      <c r="Q1555" s="107">
        <f t="shared" si="31"/>
        <v>2012</v>
      </c>
      <c r="R1555" s="107">
        <v>2</v>
      </c>
      <c r="S1555" s="100">
        <v>212032</v>
      </c>
      <c r="T1555" s="101">
        <v>41053</v>
      </c>
    </row>
    <row r="1556" spans="1:21" x14ac:dyDescent="0.3">
      <c r="A1556" s="68">
        <v>40997</v>
      </c>
      <c r="B1556" s="69">
        <f t="shared" si="32"/>
        <v>20120329</v>
      </c>
      <c r="C1556" s="70">
        <v>2.53E-2</v>
      </c>
      <c r="D1556" s="77">
        <v>8.9999999999999993E-3</v>
      </c>
      <c r="E1556" s="77">
        <v>8.9999999999999993E-3</v>
      </c>
      <c r="F1556" s="77">
        <v>8.9999999999999993E-3</v>
      </c>
      <c r="G1556" s="78">
        <v>0</v>
      </c>
      <c r="K1556" s="106">
        <v>5.1000000000000004E-3</v>
      </c>
      <c r="L1556" s="80">
        <v>0</v>
      </c>
      <c r="M1556" s="75" t="s">
        <v>143</v>
      </c>
      <c r="N1556" s="75" t="b">
        <v>1</v>
      </c>
      <c r="O1556" s="75" t="s">
        <v>144</v>
      </c>
      <c r="P1556" s="75">
        <v>1994</v>
      </c>
      <c r="Q1556" s="107">
        <f t="shared" si="31"/>
        <v>2012</v>
      </c>
      <c r="R1556" s="107">
        <v>2</v>
      </c>
      <c r="S1556" s="100">
        <v>212032</v>
      </c>
      <c r="T1556" s="101">
        <v>41053</v>
      </c>
    </row>
    <row r="1557" spans="1:21" x14ac:dyDescent="0.3">
      <c r="A1557" s="68">
        <v>40998</v>
      </c>
      <c r="B1557" s="69">
        <f t="shared" si="32"/>
        <v>20120330</v>
      </c>
      <c r="C1557" s="70">
        <v>2.5499999999999998E-2</v>
      </c>
      <c r="D1557" s="77">
        <v>8.9999999999999993E-3</v>
      </c>
      <c r="E1557" s="77">
        <v>8.9999999999999993E-3</v>
      </c>
      <c r="F1557" s="77">
        <v>8.9999999999999993E-3</v>
      </c>
      <c r="G1557" s="78">
        <v>0</v>
      </c>
      <c r="K1557" s="106">
        <v>5.1000000000000004E-3</v>
      </c>
      <c r="L1557" s="80">
        <v>0</v>
      </c>
      <c r="M1557" s="75" t="s">
        <v>143</v>
      </c>
      <c r="N1557" s="75" t="b">
        <v>1</v>
      </c>
      <c r="O1557" s="75" t="s">
        <v>144</v>
      </c>
      <c r="P1557" s="75">
        <v>1994</v>
      </c>
      <c r="Q1557" s="107">
        <f t="shared" si="31"/>
        <v>2012</v>
      </c>
      <c r="R1557" s="107">
        <v>2</v>
      </c>
      <c r="S1557" s="100">
        <v>212032</v>
      </c>
      <c r="T1557" s="101">
        <v>41053</v>
      </c>
    </row>
    <row r="1558" spans="1:21" s="99" customFormat="1" x14ac:dyDescent="0.3">
      <c r="A1558" s="85">
        <v>40999</v>
      </c>
      <c r="B1558" s="86">
        <f t="shared" si="32"/>
        <v>20120331</v>
      </c>
      <c r="C1558" s="87">
        <v>2.5499999999999998E-2</v>
      </c>
      <c r="D1558" s="108">
        <v>8.9999999999999993E-3</v>
      </c>
      <c r="E1558" s="108">
        <v>8.9999999999999993E-3</v>
      </c>
      <c r="F1558" s="108">
        <v>8.9999999999999993E-3</v>
      </c>
      <c r="G1558" s="103">
        <v>0</v>
      </c>
      <c r="H1558" s="91"/>
      <c r="I1558" s="91"/>
      <c r="J1558" s="91"/>
      <c r="K1558" s="92">
        <v>5.1000000000000004E-3</v>
      </c>
      <c r="L1558" s="92">
        <v>0</v>
      </c>
      <c r="M1558" s="98" t="s">
        <v>143</v>
      </c>
      <c r="N1558" s="98" t="b">
        <v>1</v>
      </c>
      <c r="O1558" s="98" t="s">
        <v>144</v>
      </c>
      <c r="P1558" s="98">
        <v>1994</v>
      </c>
      <c r="Q1558" s="105">
        <f t="shared" si="31"/>
        <v>2012</v>
      </c>
      <c r="R1558" s="105">
        <v>2</v>
      </c>
      <c r="S1558" s="93">
        <v>212056</v>
      </c>
      <c r="T1558" s="94">
        <v>41119</v>
      </c>
      <c r="U1558" s="95" t="s">
        <v>176</v>
      </c>
    </row>
    <row r="1559" spans="1:21" x14ac:dyDescent="0.3">
      <c r="A1559" s="68">
        <v>41000</v>
      </c>
      <c r="B1559" s="69">
        <f>YEAR(A1559)*10000+MONTH(A1559)*100+DAY(A1559)</f>
        <v>20120401</v>
      </c>
      <c r="C1559" s="70">
        <v>2.5499999999999998E-2</v>
      </c>
      <c r="D1559" s="77">
        <v>8.9999999999999993E-3</v>
      </c>
      <c r="E1559" s="77">
        <v>8.9999999999999993E-3</v>
      </c>
      <c r="F1559" s="77">
        <v>8.9999999999999993E-3</v>
      </c>
      <c r="G1559" s="78">
        <v>0</v>
      </c>
      <c r="K1559" s="106">
        <v>5.1000000000000004E-3</v>
      </c>
      <c r="L1559" s="80">
        <v>0</v>
      </c>
      <c r="M1559" s="75" t="s">
        <v>143</v>
      </c>
      <c r="N1559" s="75" t="b">
        <v>1</v>
      </c>
      <c r="O1559" s="75" t="s">
        <v>144</v>
      </c>
      <c r="P1559" s="75">
        <v>1994</v>
      </c>
      <c r="Q1559" s="107">
        <f t="shared" si="31"/>
        <v>2012</v>
      </c>
      <c r="R1559" s="107">
        <v>2</v>
      </c>
      <c r="S1559" s="100">
        <v>212056</v>
      </c>
      <c r="T1559" s="101">
        <v>41119</v>
      </c>
    </row>
    <row r="1560" spans="1:21" x14ac:dyDescent="0.3">
      <c r="A1560" s="68">
        <v>41001</v>
      </c>
      <c r="B1560" s="69">
        <f t="shared" si="32"/>
        <v>20120402</v>
      </c>
      <c r="C1560" s="70">
        <v>2.5600000000000001E-2</v>
      </c>
      <c r="D1560" s="77">
        <v>8.9999999999999993E-3</v>
      </c>
      <c r="E1560" s="77">
        <v>8.9999999999999993E-3</v>
      </c>
      <c r="F1560" s="77">
        <v>8.9999999999999993E-3</v>
      </c>
      <c r="G1560" s="78">
        <v>0</v>
      </c>
      <c r="K1560" s="106">
        <v>5.1999999999999998E-3</v>
      </c>
      <c r="L1560" s="80">
        <v>0</v>
      </c>
      <c r="M1560" s="75" t="s">
        <v>143</v>
      </c>
      <c r="N1560" s="75" t="b">
        <v>1</v>
      </c>
      <c r="O1560" s="75" t="s">
        <v>144</v>
      </c>
      <c r="P1560" s="75">
        <v>1994</v>
      </c>
      <c r="Q1560" s="107">
        <f t="shared" si="31"/>
        <v>2012</v>
      </c>
      <c r="R1560" s="107">
        <v>2</v>
      </c>
      <c r="S1560" s="100">
        <v>212056</v>
      </c>
      <c r="T1560" s="101">
        <v>41119</v>
      </c>
    </row>
    <row r="1561" spans="1:21" x14ac:dyDescent="0.3">
      <c r="A1561" s="68">
        <v>41002</v>
      </c>
      <c r="B1561" s="69">
        <f t="shared" si="32"/>
        <v>20120403</v>
      </c>
      <c r="C1561" s="70">
        <v>2.63E-2</v>
      </c>
      <c r="D1561" s="77">
        <v>8.9999999999999993E-3</v>
      </c>
      <c r="E1561" s="77">
        <v>8.9999999999999993E-3</v>
      </c>
      <c r="F1561" s="77">
        <v>8.9999999999999993E-3</v>
      </c>
      <c r="G1561" s="78">
        <v>0</v>
      </c>
      <c r="K1561" s="106">
        <v>5.8999999999999999E-3</v>
      </c>
      <c r="L1561" s="80">
        <v>0</v>
      </c>
      <c r="M1561" s="75" t="s">
        <v>143</v>
      </c>
      <c r="N1561" s="75" t="b">
        <v>1</v>
      </c>
      <c r="O1561" s="75" t="s">
        <v>144</v>
      </c>
      <c r="P1561" s="75">
        <v>1994</v>
      </c>
      <c r="Q1561" s="107">
        <f t="shared" si="31"/>
        <v>2012</v>
      </c>
      <c r="R1561" s="107">
        <v>2</v>
      </c>
      <c r="S1561" s="100">
        <v>212056</v>
      </c>
      <c r="T1561" s="101">
        <v>41119</v>
      </c>
    </row>
    <row r="1562" spans="1:21" x14ac:dyDescent="0.3">
      <c r="A1562" s="68">
        <v>41003</v>
      </c>
      <c r="B1562" s="69">
        <f t="shared" si="32"/>
        <v>20120404</v>
      </c>
      <c r="C1562" s="70">
        <v>2.58E-2</v>
      </c>
      <c r="D1562" s="77">
        <v>8.9999999999999993E-3</v>
      </c>
      <c r="E1562" s="77">
        <v>8.9999999999999993E-3</v>
      </c>
      <c r="F1562" s="77">
        <v>8.9999999999999993E-3</v>
      </c>
      <c r="G1562" s="78">
        <v>0</v>
      </c>
      <c r="K1562" s="106">
        <v>5.4000000000000003E-3</v>
      </c>
      <c r="L1562" s="80">
        <v>0</v>
      </c>
      <c r="M1562" s="75" t="s">
        <v>143</v>
      </c>
      <c r="N1562" s="75" t="b">
        <v>1</v>
      </c>
      <c r="O1562" s="75" t="s">
        <v>144</v>
      </c>
      <c r="P1562" s="75">
        <v>1994</v>
      </c>
      <c r="Q1562" s="107">
        <f t="shared" si="31"/>
        <v>2012</v>
      </c>
      <c r="R1562" s="107">
        <v>2</v>
      </c>
      <c r="S1562" s="100">
        <v>212056</v>
      </c>
      <c r="T1562" s="101">
        <v>41119</v>
      </c>
    </row>
    <row r="1563" spans="1:21" x14ac:dyDescent="0.3">
      <c r="A1563" s="68">
        <v>41004</v>
      </c>
      <c r="B1563" s="69">
        <f t="shared" si="32"/>
        <v>20120405</v>
      </c>
      <c r="C1563" s="70">
        <v>2.5699999999999997E-2</v>
      </c>
      <c r="D1563" s="77">
        <v>8.9999999999999993E-3</v>
      </c>
      <c r="E1563" s="77">
        <v>8.9999999999999993E-3</v>
      </c>
      <c r="F1563" s="77">
        <v>8.9999999999999993E-3</v>
      </c>
      <c r="G1563" s="78">
        <v>0</v>
      </c>
      <c r="K1563" s="106">
        <v>5.4000000000000003E-3</v>
      </c>
      <c r="L1563" s="80">
        <v>0</v>
      </c>
      <c r="M1563" s="75" t="s">
        <v>143</v>
      </c>
      <c r="N1563" s="75" t="b">
        <v>1</v>
      </c>
      <c r="O1563" s="75" t="s">
        <v>144</v>
      </c>
      <c r="P1563" s="75">
        <v>1994</v>
      </c>
      <c r="Q1563" s="107">
        <f t="shared" si="31"/>
        <v>2012</v>
      </c>
      <c r="R1563" s="107">
        <v>2</v>
      </c>
      <c r="S1563" s="100">
        <v>212056</v>
      </c>
      <c r="T1563" s="101">
        <v>41119</v>
      </c>
    </row>
    <row r="1564" spans="1:21" x14ac:dyDescent="0.3">
      <c r="A1564" s="68">
        <v>41005</v>
      </c>
      <c r="B1564" s="69">
        <f t="shared" si="32"/>
        <v>20120406</v>
      </c>
      <c r="C1564" s="70">
        <v>2.5699999999999997E-2</v>
      </c>
      <c r="D1564" s="77">
        <v>8.9999999999999993E-3</v>
      </c>
      <c r="E1564" s="77">
        <v>8.9999999999999993E-3</v>
      </c>
      <c r="F1564" s="77">
        <v>8.9999999999999993E-3</v>
      </c>
      <c r="G1564" s="78">
        <v>0</v>
      </c>
      <c r="K1564" s="106">
        <v>5.4000000000000003E-3</v>
      </c>
      <c r="L1564" s="80">
        <v>0</v>
      </c>
      <c r="M1564" s="75" t="s">
        <v>143</v>
      </c>
      <c r="N1564" s="75" t="b">
        <v>1</v>
      </c>
      <c r="O1564" s="75" t="s">
        <v>144</v>
      </c>
      <c r="P1564" s="75">
        <v>1994</v>
      </c>
      <c r="Q1564" s="107">
        <f t="shared" si="31"/>
        <v>2012</v>
      </c>
      <c r="R1564" s="107">
        <v>2</v>
      </c>
      <c r="S1564" s="100">
        <v>212056</v>
      </c>
      <c r="T1564" s="101">
        <v>41119</v>
      </c>
    </row>
    <row r="1565" spans="1:21" x14ac:dyDescent="0.3">
      <c r="A1565" s="68">
        <v>41006</v>
      </c>
      <c r="B1565" s="69">
        <f>YEAR(A1565)*10000+MONTH(A1565)*100+DAY(A1565)</f>
        <v>20120407</v>
      </c>
      <c r="C1565" s="70">
        <v>2.5699999999999997E-2</v>
      </c>
      <c r="D1565" s="77">
        <v>8.9999999999999993E-3</v>
      </c>
      <c r="E1565" s="77">
        <v>8.9999999999999993E-3</v>
      </c>
      <c r="F1565" s="77">
        <v>8.9999999999999993E-3</v>
      </c>
      <c r="G1565" s="78">
        <v>0</v>
      </c>
      <c r="K1565" s="106">
        <v>5.4000000000000003E-3</v>
      </c>
      <c r="L1565" s="80">
        <v>0</v>
      </c>
      <c r="M1565" s="75" t="s">
        <v>143</v>
      </c>
      <c r="N1565" s="75" t="b">
        <v>1</v>
      </c>
      <c r="O1565" s="75" t="s">
        <v>144</v>
      </c>
      <c r="P1565" s="75">
        <v>1994</v>
      </c>
      <c r="Q1565" s="107">
        <f t="shared" si="31"/>
        <v>2012</v>
      </c>
      <c r="R1565" s="107">
        <v>2</v>
      </c>
      <c r="S1565" s="100">
        <v>212056</v>
      </c>
      <c r="T1565" s="101">
        <v>41119</v>
      </c>
    </row>
    <row r="1566" spans="1:21" x14ac:dyDescent="0.3">
      <c r="A1566" s="68">
        <v>41007</v>
      </c>
      <c r="B1566" s="69">
        <f>YEAR(A1566)*10000+MONTH(A1566)*100+DAY(A1566)</f>
        <v>20120408</v>
      </c>
      <c r="C1566" s="70">
        <v>2.5699999999999997E-2</v>
      </c>
      <c r="D1566" s="77">
        <v>8.9999999999999993E-3</v>
      </c>
      <c r="E1566" s="77">
        <v>8.9999999999999993E-3</v>
      </c>
      <c r="F1566" s="77">
        <v>8.9999999999999993E-3</v>
      </c>
      <c r="G1566" s="78">
        <v>0</v>
      </c>
      <c r="K1566" s="106">
        <v>5.4000000000000003E-3</v>
      </c>
      <c r="L1566" s="80">
        <v>0</v>
      </c>
      <c r="M1566" s="75" t="s">
        <v>143</v>
      </c>
      <c r="N1566" s="75" t="b">
        <v>1</v>
      </c>
      <c r="O1566" s="75" t="s">
        <v>144</v>
      </c>
      <c r="P1566" s="75">
        <v>1994</v>
      </c>
      <c r="Q1566" s="107">
        <f t="shared" si="31"/>
        <v>2012</v>
      </c>
      <c r="R1566" s="107">
        <v>2</v>
      </c>
      <c r="S1566" s="100">
        <v>212056</v>
      </c>
      <c r="T1566" s="101">
        <v>41119</v>
      </c>
    </row>
    <row r="1567" spans="1:21" x14ac:dyDescent="0.3">
      <c r="A1567" s="68">
        <v>41008</v>
      </c>
      <c r="B1567" s="69">
        <f t="shared" si="32"/>
        <v>20120409</v>
      </c>
      <c r="C1567" s="70">
        <v>2.52E-2</v>
      </c>
      <c r="D1567" s="77">
        <v>8.9999999999999993E-3</v>
      </c>
      <c r="E1567" s="77">
        <v>8.9999999999999993E-3</v>
      </c>
      <c r="F1567" s="77">
        <v>8.9999999999999993E-3</v>
      </c>
      <c r="G1567" s="78">
        <v>0</v>
      </c>
      <c r="K1567" s="106">
        <v>5.1000000000000004E-3</v>
      </c>
      <c r="L1567" s="80">
        <v>0</v>
      </c>
      <c r="M1567" s="75" t="s">
        <v>143</v>
      </c>
      <c r="N1567" s="75" t="b">
        <v>1</v>
      </c>
      <c r="O1567" s="75" t="s">
        <v>144</v>
      </c>
      <c r="P1567" s="75">
        <v>1994</v>
      </c>
      <c r="Q1567" s="107">
        <f t="shared" si="31"/>
        <v>2012</v>
      </c>
      <c r="R1567" s="107">
        <v>2</v>
      </c>
      <c r="S1567" s="100">
        <v>212056</v>
      </c>
      <c r="T1567" s="101">
        <v>41119</v>
      </c>
    </row>
    <row r="1568" spans="1:21" x14ac:dyDescent="0.3">
      <c r="A1568" s="68">
        <v>41009</v>
      </c>
      <c r="B1568" s="69">
        <f t="shared" si="32"/>
        <v>20120410</v>
      </c>
      <c r="C1568" s="70">
        <v>2.4500000000000001E-2</v>
      </c>
      <c r="D1568" s="77">
        <v>8.9999999999999993E-3</v>
      </c>
      <c r="E1568" s="77">
        <v>8.9999999999999993E-3</v>
      </c>
      <c r="F1568" s="77">
        <v>8.9999999999999993E-3</v>
      </c>
      <c r="G1568" s="78">
        <v>0</v>
      </c>
      <c r="K1568" s="106">
        <v>4.4000000000000003E-3</v>
      </c>
      <c r="L1568" s="80">
        <v>0</v>
      </c>
      <c r="M1568" s="75" t="s">
        <v>143</v>
      </c>
      <c r="N1568" s="75" t="b">
        <v>1</v>
      </c>
      <c r="O1568" s="75" t="s">
        <v>144</v>
      </c>
      <c r="P1568" s="75">
        <v>1994</v>
      </c>
      <c r="Q1568" s="107">
        <f t="shared" si="31"/>
        <v>2012</v>
      </c>
      <c r="R1568" s="107">
        <v>2</v>
      </c>
      <c r="S1568" s="100">
        <v>212056</v>
      </c>
      <c r="T1568" s="101">
        <v>41119</v>
      </c>
    </row>
    <row r="1569" spans="1:20" x14ac:dyDescent="0.3">
      <c r="A1569" s="68">
        <v>41010</v>
      </c>
      <c r="B1569" s="69">
        <f t="shared" si="32"/>
        <v>20120411</v>
      </c>
      <c r="C1569" s="70">
        <v>2.4799999999999999E-2</v>
      </c>
      <c r="D1569" s="77">
        <v>8.9999999999999993E-3</v>
      </c>
      <c r="E1569" s="77">
        <v>8.9999999999999993E-3</v>
      </c>
      <c r="F1569" s="77">
        <v>8.9999999999999993E-3</v>
      </c>
      <c r="G1569" s="78">
        <v>0</v>
      </c>
      <c r="K1569" s="106">
        <v>4.6999999999999993E-3</v>
      </c>
      <c r="L1569" s="80">
        <v>0</v>
      </c>
      <c r="M1569" s="75" t="s">
        <v>143</v>
      </c>
      <c r="N1569" s="75" t="b">
        <v>1</v>
      </c>
      <c r="O1569" s="75" t="s">
        <v>144</v>
      </c>
      <c r="P1569" s="75">
        <v>1994</v>
      </c>
      <c r="Q1569" s="107">
        <f t="shared" si="31"/>
        <v>2012</v>
      </c>
      <c r="R1569" s="107">
        <v>2</v>
      </c>
      <c r="S1569" s="100">
        <v>212056</v>
      </c>
      <c r="T1569" s="101">
        <v>41119</v>
      </c>
    </row>
    <row r="1570" spans="1:20" x14ac:dyDescent="0.3">
      <c r="A1570" s="68">
        <v>41011</v>
      </c>
      <c r="B1570" s="69">
        <f t="shared" si="32"/>
        <v>20120412</v>
      </c>
      <c r="C1570" s="70">
        <v>2.5000000000000001E-2</v>
      </c>
      <c r="D1570" s="77">
        <v>8.9999999999999993E-3</v>
      </c>
      <c r="E1570" s="77">
        <v>8.9999999999999993E-3</v>
      </c>
      <c r="F1570" s="77">
        <v>8.9999999999999993E-3</v>
      </c>
      <c r="G1570" s="78">
        <v>0</v>
      </c>
      <c r="K1570" s="106">
        <v>4.7999999999999996E-3</v>
      </c>
      <c r="L1570" s="80">
        <v>0</v>
      </c>
      <c r="M1570" s="75" t="s">
        <v>143</v>
      </c>
      <c r="N1570" s="75" t="b">
        <v>1</v>
      </c>
      <c r="O1570" s="75" t="s">
        <v>144</v>
      </c>
      <c r="P1570" s="75">
        <v>1994</v>
      </c>
      <c r="Q1570" s="107">
        <f t="shared" si="31"/>
        <v>2012</v>
      </c>
      <c r="R1570" s="107">
        <v>2</v>
      </c>
      <c r="S1570" s="100">
        <v>212056</v>
      </c>
      <c r="T1570" s="101">
        <v>41119</v>
      </c>
    </row>
    <row r="1571" spans="1:20" x14ac:dyDescent="0.3">
      <c r="A1571" s="68">
        <v>41012</v>
      </c>
      <c r="B1571" s="69">
        <f t="shared" si="32"/>
        <v>20120413</v>
      </c>
      <c r="C1571" s="70">
        <v>2.4500000000000001E-2</v>
      </c>
      <c r="D1571" s="77">
        <v>8.9999999999999993E-3</v>
      </c>
      <c r="E1571" s="77">
        <v>8.9999999999999993E-3</v>
      </c>
      <c r="F1571" s="77">
        <v>8.9999999999999993E-3</v>
      </c>
      <c r="G1571" s="78">
        <v>0</v>
      </c>
      <c r="K1571" s="106">
        <v>4.3E-3</v>
      </c>
      <c r="L1571" s="80">
        <v>0</v>
      </c>
      <c r="M1571" s="75" t="s">
        <v>143</v>
      </c>
      <c r="N1571" s="75" t="b">
        <v>1</v>
      </c>
      <c r="O1571" s="75" t="s">
        <v>144</v>
      </c>
      <c r="P1571" s="75">
        <v>1994</v>
      </c>
      <c r="Q1571" s="107">
        <f t="shared" si="31"/>
        <v>2012</v>
      </c>
      <c r="R1571" s="107">
        <v>2</v>
      </c>
      <c r="S1571" s="100">
        <v>212056</v>
      </c>
      <c r="T1571" s="101">
        <v>41119</v>
      </c>
    </row>
    <row r="1572" spans="1:20" x14ac:dyDescent="0.3">
      <c r="A1572" s="68">
        <v>41013</v>
      </c>
      <c r="B1572" s="69">
        <f>YEAR(A1572)*10000+MONTH(A1572)*100+DAY(A1572)</f>
        <v>20120414</v>
      </c>
      <c r="C1572" s="70">
        <v>2.4500000000000001E-2</v>
      </c>
      <c r="D1572" s="77">
        <v>8.9999999999999993E-3</v>
      </c>
      <c r="E1572" s="77">
        <v>8.9999999999999993E-3</v>
      </c>
      <c r="F1572" s="77">
        <v>8.9999999999999993E-3</v>
      </c>
      <c r="G1572" s="78">
        <v>0</v>
      </c>
      <c r="K1572" s="106">
        <v>4.3E-3</v>
      </c>
      <c r="L1572" s="80">
        <v>0</v>
      </c>
      <c r="M1572" s="75" t="s">
        <v>143</v>
      </c>
      <c r="N1572" s="75" t="b">
        <v>1</v>
      </c>
      <c r="O1572" s="75" t="s">
        <v>144</v>
      </c>
      <c r="P1572" s="75">
        <v>1994</v>
      </c>
      <c r="Q1572" s="107">
        <f t="shared" si="31"/>
        <v>2012</v>
      </c>
      <c r="R1572" s="107">
        <v>2</v>
      </c>
      <c r="S1572" s="100">
        <v>212056</v>
      </c>
      <c r="T1572" s="101">
        <v>41119</v>
      </c>
    </row>
    <row r="1573" spans="1:20" x14ac:dyDescent="0.3">
      <c r="A1573" s="68">
        <v>41014</v>
      </c>
      <c r="B1573" s="69">
        <f>YEAR(A1573)*10000+MONTH(A1573)*100+DAY(A1573)</f>
        <v>20120415</v>
      </c>
      <c r="C1573" s="70">
        <v>2.4500000000000001E-2</v>
      </c>
      <c r="D1573" s="77">
        <v>8.9999999999999993E-3</v>
      </c>
      <c r="E1573" s="77">
        <v>8.9999999999999993E-3</v>
      </c>
      <c r="F1573" s="77">
        <v>8.9999999999999993E-3</v>
      </c>
      <c r="G1573" s="78">
        <v>0</v>
      </c>
      <c r="K1573" s="106">
        <v>4.3E-3</v>
      </c>
      <c r="L1573" s="80">
        <v>0</v>
      </c>
      <c r="M1573" s="75" t="s">
        <v>143</v>
      </c>
      <c r="N1573" s="75" t="b">
        <v>1</v>
      </c>
      <c r="O1573" s="75" t="s">
        <v>144</v>
      </c>
      <c r="P1573" s="75">
        <v>1994</v>
      </c>
      <c r="Q1573" s="107">
        <f t="shared" si="31"/>
        <v>2012</v>
      </c>
      <c r="R1573" s="107">
        <v>2</v>
      </c>
      <c r="S1573" s="100">
        <v>212056</v>
      </c>
      <c r="T1573" s="101">
        <v>41119</v>
      </c>
    </row>
    <row r="1574" spans="1:20" x14ac:dyDescent="0.3">
      <c r="A1574" s="68">
        <v>41015</v>
      </c>
      <c r="B1574" s="69">
        <f t="shared" si="32"/>
        <v>20120416</v>
      </c>
      <c r="C1574" s="70">
        <v>2.4700000000000003E-2</v>
      </c>
      <c r="D1574" s="77">
        <v>8.9999999999999993E-3</v>
      </c>
      <c r="E1574" s="77">
        <v>8.9999999999999993E-3</v>
      </c>
      <c r="F1574" s="77">
        <v>8.9999999999999993E-3</v>
      </c>
      <c r="G1574" s="78">
        <v>0</v>
      </c>
      <c r="K1574" s="106">
        <v>4.5999999999999999E-3</v>
      </c>
      <c r="L1574" s="80">
        <v>0</v>
      </c>
      <c r="M1574" s="75" t="s">
        <v>143</v>
      </c>
      <c r="N1574" s="75" t="b">
        <v>1</v>
      </c>
      <c r="O1574" s="75" t="s">
        <v>144</v>
      </c>
      <c r="P1574" s="75">
        <v>1994</v>
      </c>
      <c r="Q1574" s="107">
        <f t="shared" si="31"/>
        <v>2012</v>
      </c>
      <c r="R1574" s="107">
        <v>2</v>
      </c>
      <c r="S1574" s="100">
        <v>212056</v>
      </c>
      <c r="T1574" s="101">
        <v>41119</v>
      </c>
    </row>
    <row r="1575" spans="1:20" x14ac:dyDescent="0.3">
      <c r="A1575" s="68">
        <v>41016</v>
      </c>
      <c r="B1575" s="69">
        <f t="shared" si="32"/>
        <v>20120417</v>
      </c>
      <c r="C1575" s="70">
        <v>2.5099999999999997E-2</v>
      </c>
      <c r="D1575" s="77">
        <v>8.9999999999999993E-3</v>
      </c>
      <c r="E1575" s="77">
        <v>8.9999999999999993E-3</v>
      </c>
      <c r="F1575" s="77">
        <v>8.9999999999999993E-3</v>
      </c>
      <c r="G1575" s="78">
        <v>0</v>
      </c>
      <c r="K1575" s="106">
        <v>4.8999999999999998E-3</v>
      </c>
      <c r="L1575" s="80">
        <v>0</v>
      </c>
      <c r="M1575" s="75" t="s">
        <v>143</v>
      </c>
      <c r="N1575" s="75" t="b">
        <v>1</v>
      </c>
      <c r="O1575" s="75" t="s">
        <v>144</v>
      </c>
      <c r="P1575" s="75">
        <v>1994</v>
      </c>
      <c r="Q1575" s="107">
        <f t="shared" si="31"/>
        <v>2012</v>
      </c>
      <c r="R1575" s="107">
        <v>2</v>
      </c>
      <c r="S1575" s="100">
        <v>212056</v>
      </c>
      <c r="T1575" s="101">
        <v>41119</v>
      </c>
    </row>
    <row r="1576" spans="1:20" x14ac:dyDescent="0.3">
      <c r="A1576" s="68">
        <v>41017</v>
      </c>
      <c r="B1576" s="69">
        <f t="shared" si="32"/>
        <v>20120418</v>
      </c>
      <c r="C1576" s="70">
        <v>2.4900000000000002E-2</v>
      </c>
      <c r="D1576" s="77">
        <v>8.9999999999999993E-3</v>
      </c>
      <c r="E1576" s="77">
        <v>8.9999999999999993E-3</v>
      </c>
      <c r="F1576" s="77">
        <v>8.9999999999999993E-3</v>
      </c>
      <c r="G1576" s="78">
        <v>0</v>
      </c>
      <c r="K1576" s="106">
        <v>4.6999999999999993E-3</v>
      </c>
      <c r="L1576" s="80">
        <v>0</v>
      </c>
      <c r="M1576" s="75" t="s">
        <v>143</v>
      </c>
      <c r="N1576" s="75" t="b">
        <v>1</v>
      </c>
      <c r="O1576" s="75" t="s">
        <v>144</v>
      </c>
      <c r="P1576" s="75">
        <v>1994</v>
      </c>
      <c r="Q1576" s="107">
        <f t="shared" si="31"/>
        <v>2012</v>
      </c>
      <c r="R1576" s="107">
        <v>2</v>
      </c>
      <c r="S1576" s="100">
        <v>212056</v>
      </c>
      <c r="T1576" s="101">
        <v>41119</v>
      </c>
    </row>
    <row r="1577" spans="1:20" x14ac:dyDescent="0.3">
      <c r="A1577" s="68">
        <v>41018</v>
      </c>
      <c r="B1577" s="69">
        <f t="shared" si="32"/>
        <v>20120419</v>
      </c>
      <c r="C1577" s="70">
        <v>2.4900000000000002E-2</v>
      </c>
      <c r="D1577" s="77">
        <v>8.9999999999999993E-3</v>
      </c>
      <c r="E1577" s="77">
        <v>8.9999999999999993E-3</v>
      </c>
      <c r="F1577" s="77">
        <v>8.9999999999999993E-3</v>
      </c>
      <c r="G1577" s="78">
        <v>0</v>
      </c>
      <c r="K1577" s="106">
        <v>4.7999999999999996E-3</v>
      </c>
      <c r="L1577" s="80">
        <v>0</v>
      </c>
      <c r="M1577" s="75" t="s">
        <v>143</v>
      </c>
      <c r="N1577" s="75" t="b">
        <v>1</v>
      </c>
      <c r="O1577" s="75" t="s">
        <v>144</v>
      </c>
      <c r="P1577" s="75">
        <v>1994</v>
      </c>
      <c r="Q1577" s="107">
        <f t="shared" si="31"/>
        <v>2012</v>
      </c>
      <c r="R1577" s="107">
        <v>2</v>
      </c>
      <c r="S1577" s="100">
        <v>212056</v>
      </c>
      <c r="T1577" s="101">
        <v>41119</v>
      </c>
    </row>
    <row r="1578" spans="1:20" x14ac:dyDescent="0.3">
      <c r="A1578" s="68">
        <v>41019</v>
      </c>
      <c r="B1578" s="69">
        <f t="shared" si="32"/>
        <v>20120420</v>
      </c>
      <c r="C1578" s="70">
        <v>2.52E-2</v>
      </c>
      <c r="D1578" s="77">
        <v>8.9999999999999993E-3</v>
      </c>
      <c r="E1578" s="77">
        <v>8.9999999999999993E-3</v>
      </c>
      <c r="F1578" s="77">
        <v>8.9999999999999993E-3</v>
      </c>
      <c r="G1578" s="78">
        <v>0</v>
      </c>
      <c r="K1578" s="106">
        <v>5.4000000000000003E-3</v>
      </c>
      <c r="L1578" s="80">
        <v>0</v>
      </c>
      <c r="M1578" s="75" t="s">
        <v>143</v>
      </c>
      <c r="N1578" s="75" t="b">
        <v>1</v>
      </c>
      <c r="O1578" s="75" t="s">
        <v>144</v>
      </c>
      <c r="P1578" s="75">
        <v>1994</v>
      </c>
      <c r="Q1578" s="107">
        <f t="shared" si="31"/>
        <v>2012</v>
      </c>
      <c r="R1578" s="107">
        <v>2</v>
      </c>
      <c r="S1578" s="100">
        <v>212056</v>
      </c>
      <c r="T1578" s="101">
        <v>41119</v>
      </c>
    </row>
    <row r="1579" spans="1:20" x14ac:dyDescent="0.3">
      <c r="A1579" s="68">
        <v>41020</v>
      </c>
      <c r="B1579" s="69">
        <f>YEAR(A1579)*10000+MONTH(A1579)*100+DAY(A1579)</f>
        <v>20120421</v>
      </c>
      <c r="C1579" s="70">
        <v>2.52E-2</v>
      </c>
      <c r="D1579" s="77">
        <v>8.9999999999999993E-3</v>
      </c>
      <c r="E1579" s="77">
        <v>8.9999999999999993E-3</v>
      </c>
      <c r="F1579" s="77">
        <v>8.9999999999999993E-3</v>
      </c>
      <c r="G1579" s="78">
        <v>0</v>
      </c>
      <c r="K1579" s="106">
        <v>5.4000000000000003E-3</v>
      </c>
      <c r="L1579" s="80">
        <v>0</v>
      </c>
      <c r="M1579" s="75" t="s">
        <v>143</v>
      </c>
      <c r="N1579" s="75" t="b">
        <v>1</v>
      </c>
      <c r="O1579" s="75" t="s">
        <v>144</v>
      </c>
      <c r="P1579" s="75">
        <v>1994</v>
      </c>
      <c r="Q1579" s="107">
        <f t="shared" si="31"/>
        <v>2012</v>
      </c>
      <c r="R1579" s="107">
        <v>2</v>
      </c>
      <c r="S1579" s="100">
        <v>212056</v>
      </c>
      <c r="T1579" s="101">
        <v>41119</v>
      </c>
    </row>
    <row r="1580" spans="1:20" x14ac:dyDescent="0.3">
      <c r="A1580" s="68">
        <v>41021</v>
      </c>
      <c r="B1580" s="69">
        <f>YEAR(A1580)*10000+MONTH(A1580)*100+DAY(A1580)</f>
        <v>20120422</v>
      </c>
      <c r="C1580" s="70">
        <v>2.52E-2</v>
      </c>
      <c r="D1580" s="77">
        <v>8.9999999999999993E-3</v>
      </c>
      <c r="E1580" s="77">
        <v>8.9999999999999993E-3</v>
      </c>
      <c r="F1580" s="77">
        <v>8.9999999999999993E-3</v>
      </c>
      <c r="G1580" s="78">
        <v>0</v>
      </c>
      <c r="K1580" s="106">
        <v>5.4000000000000003E-3</v>
      </c>
      <c r="L1580" s="80">
        <v>0</v>
      </c>
      <c r="M1580" s="75" t="s">
        <v>143</v>
      </c>
      <c r="N1580" s="75" t="b">
        <v>1</v>
      </c>
      <c r="O1580" s="75" t="s">
        <v>144</v>
      </c>
      <c r="P1580" s="75">
        <v>1994</v>
      </c>
      <c r="Q1580" s="107">
        <f t="shared" si="31"/>
        <v>2012</v>
      </c>
      <c r="R1580" s="107">
        <v>2</v>
      </c>
      <c r="S1580" s="100">
        <v>212056</v>
      </c>
      <c r="T1580" s="101">
        <v>41119</v>
      </c>
    </row>
    <row r="1581" spans="1:20" x14ac:dyDescent="0.3">
      <c r="A1581" s="68">
        <v>41022</v>
      </c>
      <c r="B1581" s="69">
        <f t="shared" si="32"/>
        <v>20120423</v>
      </c>
      <c r="C1581" s="70">
        <v>2.4900000000000002E-2</v>
      </c>
      <c r="D1581" s="77">
        <v>8.9999999999999993E-3</v>
      </c>
      <c r="E1581" s="77">
        <v>8.9999999999999993E-3</v>
      </c>
      <c r="F1581" s="77">
        <v>8.9999999999999993E-3</v>
      </c>
      <c r="G1581" s="78">
        <v>0</v>
      </c>
      <c r="K1581" s="106">
        <v>5.4000000000000003E-3</v>
      </c>
      <c r="L1581" s="80">
        <v>0</v>
      </c>
      <c r="M1581" s="75" t="s">
        <v>143</v>
      </c>
      <c r="N1581" s="75" t="b">
        <v>1</v>
      </c>
      <c r="O1581" s="75" t="s">
        <v>144</v>
      </c>
      <c r="P1581" s="75">
        <v>1994</v>
      </c>
      <c r="Q1581" s="107">
        <f t="shared" si="31"/>
        <v>2012</v>
      </c>
      <c r="R1581" s="107">
        <v>2</v>
      </c>
      <c r="S1581" s="100">
        <v>212056</v>
      </c>
      <c r="T1581" s="101">
        <v>41119</v>
      </c>
    </row>
    <row r="1582" spans="1:20" x14ac:dyDescent="0.3">
      <c r="A1582" s="68">
        <v>41023</v>
      </c>
      <c r="B1582" s="69">
        <f t="shared" si="32"/>
        <v>20120424</v>
      </c>
      <c r="C1582" s="70">
        <v>2.53E-2</v>
      </c>
      <c r="D1582" s="77">
        <v>8.9999999999999993E-3</v>
      </c>
      <c r="E1582" s="77">
        <v>8.9999999999999993E-3</v>
      </c>
      <c r="F1582" s="77">
        <v>8.9999999999999993E-3</v>
      </c>
      <c r="G1582" s="78">
        <v>0</v>
      </c>
      <c r="K1582" s="106">
        <v>5.6999999999999993E-3</v>
      </c>
      <c r="L1582" s="80">
        <v>0</v>
      </c>
      <c r="M1582" s="75" t="s">
        <v>143</v>
      </c>
      <c r="N1582" s="75" t="b">
        <v>1</v>
      </c>
      <c r="O1582" s="75" t="s">
        <v>144</v>
      </c>
      <c r="P1582" s="75">
        <v>1994</v>
      </c>
      <c r="Q1582" s="107">
        <f t="shared" ref="Q1582:Q1645" si="33">YEAR(A1582)</f>
        <v>2012</v>
      </c>
      <c r="R1582" s="107">
        <v>2</v>
      </c>
      <c r="S1582" s="100">
        <v>212056</v>
      </c>
      <c r="T1582" s="101">
        <v>41119</v>
      </c>
    </row>
    <row r="1583" spans="1:20" x14ac:dyDescent="0.3">
      <c r="A1583" s="68">
        <v>41024</v>
      </c>
      <c r="B1583" s="69">
        <f t="shared" si="32"/>
        <v>20120425</v>
      </c>
      <c r="C1583" s="70">
        <v>2.5499999999999998E-2</v>
      </c>
      <c r="D1583" s="77">
        <v>8.9999999999999993E-3</v>
      </c>
      <c r="E1583" s="77">
        <v>8.9999999999999993E-3</v>
      </c>
      <c r="F1583" s="77">
        <v>8.9999999999999993E-3</v>
      </c>
      <c r="G1583" s="78">
        <v>0</v>
      </c>
      <c r="K1583" s="106">
        <v>5.8999999999999999E-3</v>
      </c>
      <c r="L1583" s="80">
        <v>0</v>
      </c>
      <c r="M1583" s="75" t="s">
        <v>143</v>
      </c>
      <c r="N1583" s="75" t="b">
        <v>1</v>
      </c>
      <c r="O1583" s="75" t="s">
        <v>144</v>
      </c>
      <c r="P1583" s="75">
        <v>1994</v>
      </c>
      <c r="Q1583" s="107">
        <f t="shared" si="33"/>
        <v>2012</v>
      </c>
      <c r="R1583" s="107">
        <v>2</v>
      </c>
      <c r="S1583" s="100">
        <v>212056</v>
      </c>
      <c r="T1583" s="101">
        <v>41119</v>
      </c>
    </row>
    <row r="1584" spans="1:20" x14ac:dyDescent="0.3">
      <c r="A1584" s="68">
        <v>41025</v>
      </c>
      <c r="B1584" s="69">
        <f t="shared" si="32"/>
        <v>20120426</v>
      </c>
      <c r="C1584" s="70">
        <v>2.5099999999999997E-2</v>
      </c>
      <c r="D1584" s="77">
        <v>8.9999999999999993E-3</v>
      </c>
      <c r="E1584" s="77">
        <v>8.9999999999999993E-3</v>
      </c>
      <c r="F1584" s="77">
        <v>8.9999999999999993E-3</v>
      </c>
      <c r="G1584" s="78">
        <v>0</v>
      </c>
      <c r="K1584" s="106">
        <v>5.6999999999999993E-3</v>
      </c>
      <c r="L1584" s="80">
        <v>0</v>
      </c>
      <c r="M1584" s="75" t="s">
        <v>143</v>
      </c>
      <c r="N1584" s="75" t="b">
        <v>1</v>
      </c>
      <c r="O1584" s="75" t="s">
        <v>144</v>
      </c>
      <c r="P1584" s="75">
        <v>1994</v>
      </c>
      <c r="Q1584" s="107">
        <f t="shared" si="33"/>
        <v>2012</v>
      </c>
      <c r="R1584" s="107">
        <v>2</v>
      </c>
      <c r="S1584" s="100">
        <v>212056</v>
      </c>
      <c r="T1584" s="101">
        <v>41119</v>
      </c>
    </row>
    <row r="1585" spans="1:20" x14ac:dyDescent="0.3">
      <c r="A1585" s="68">
        <v>41026</v>
      </c>
      <c r="B1585" s="69">
        <f t="shared" si="32"/>
        <v>20120427</v>
      </c>
      <c r="C1585" s="70">
        <v>2.5399999999999999E-2</v>
      </c>
      <c r="D1585" s="77">
        <v>8.9999999999999993E-3</v>
      </c>
      <c r="E1585" s="77">
        <v>8.9999999999999993E-3</v>
      </c>
      <c r="F1585" s="77">
        <v>8.9999999999999993E-3</v>
      </c>
      <c r="G1585" s="78">
        <v>0</v>
      </c>
      <c r="K1585" s="106">
        <v>5.8999999999999999E-3</v>
      </c>
      <c r="L1585" s="80">
        <v>0</v>
      </c>
      <c r="M1585" s="75" t="s">
        <v>143</v>
      </c>
      <c r="N1585" s="75" t="b">
        <v>1</v>
      </c>
      <c r="O1585" s="75" t="s">
        <v>144</v>
      </c>
      <c r="P1585" s="75">
        <v>1994</v>
      </c>
      <c r="Q1585" s="107">
        <f t="shared" si="33"/>
        <v>2012</v>
      </c>
      <c r="R1585" s="107">
        <v>2</v>
      </c>
      <c r="S1585" s="100">
        <v>212056</v>
      </c>
      <c r="T1585" s="101">
        <v>41119</v>
      </c>
    </row>
    <row r="1586" spans="1:20" x14ac:dyDescent="0.3">
      <c r="A1586" s="68">
        <v>41027</v>
      </c>
      <c r="B1586" s="69">
        <f>YEAR(A1586)*10000+MONTH(A1586)*100+DAY(A1586)</f>
        <v>20120428</v>
      </c>
      <c r="C1586" s="70">
        <v>2.5399999999999999E-2</v>
      </c>
      <c r="D1586" s="77">
        <v>8.9999999999999993E-3</v>
      </c>
      <c r="E1586" s="77">
        <v>8.9999999999999993E-3</v>
      </c>
      <c r="F1586" s="77">
        <v>8.9999999999999993E-3</v>
      </c>
      <c r="G1586" s="78">
        <v>0</v>
      </c>
      <c r="K1586" s="106">
        <v>5.8999999999999999E-3</v>
      </c>
      <c r="L1586" s="80">
        <v>0</v>
      </c>
      <c r="M1586" s="75" t="s">
        <v>143</v>
      </c>
      <c r="N1586" s="75" t="b">
        <v>1</v>
      </c>
      <c r="O1586" s="75" t="s">
        <v>144</v>
      </c>
      <c r="P1586" s="75">
        <v>1994</v>
      </c>
      <c r="Q1586" s="107">
        <f t="shared" si="33"/>
        <v>2012</v>
      </c>
      <c r="R1586" s="107">
        <v>2</v>
      </c>
      <c r="S1586" s="100">
        <v>212056</v>
      </c>
      <c r="T1586" s="101">
        <v>41119</v>
      </c>
    </row>
    <row r="1587" spans="1:20" x14ac:dyDescent="0.3">
      <c r="A1587" s="68">
        <v>41028</v>
      </c>
      <c r="B1587" s="69">
        <f>YEAR(A1587)*10000+MONTH(A1587)*100+DAY(A1587)</f>
        <v>20120429</v>
      </c>
      <c r="C1587" s="70">
        <v>2.5399999999999999E-2</v>
      </c>
      <c r="D1587" s="77">
        <v>8.9999999999999993E-3</v>
      </c>
      <c r="E1587" s="77">
        <v>8.9999999999999993E-3</v>
      </c>
      <c r="F1587" s="77">
        <v>8.9999999999999993E-3</v>
      </c>
      <c r="G1587" s="78">
        <v>0</v>
      </c>
      <c r="K1587" s="106">
        <v>5.8999999999999999E-3</v>
      </c>
      <c r="L1587" s="80">
        <v>0</v>
      </c>
      <c r="M1587" s="75" t="s">
        <v>143</v>
      </c>
      <c r="N1587" s="75" t="b">
        <v>1</v>
      </c>
      <c r="O1587" s="75" t="s">
        <v>144</v>
      </c>
      <c r="P1587" s="75">
        <v>1994</v>
      </c>
      <c r="Q1587" s="107">
        <f t="shared" si="33"/>
        <v>2012</v>
      </c>
      <c r="R1587" s="107">
        <v>2</v>
      </c>
      <c r="S1587" s="100">
        <v>212056</v>
      </c>
      <c r="T1587" s="101">
        <v>41119</v>
      </c>
    </row>
    <row r="1588" spans="1:20" x14ac:dyDescent="0.3">
      <c r="A1588" s="68">
        <v>41029</v>
      </c>
      <c r="B1588" s="69">
        <f t="shared" si="32"/>
        <v>20120430</v>
      </c>
      <c r="C1588" s="70">
        <v>2.5099999999999997E-2</v>
      </c>
      <c r="D1588" s="77">
        <v>8.9999999999999993E-3</v>
      </c>
      <c r="E1588" s="77">
        <v>8.9999999999999993E-3</v>
      </c>
      <c r="F1588" s="77">
        <v>8.9999999999999993E-3</v>
      </c>
      <c r="G1588" s="78">
        <v>0</v>
      </c>
      <c r="K1588" s="106">
        <v>5.6999999999999993E-3</v>
      </c>
      <c r="L1588" s="80">
        <v>0</v>
      </c>
      <c r="M1588" s="75" t="s">
        <v>143</v>
      </c>
      <c r="N1588" s="75" t="b">
        <v>1</v>
      </c>
      <c r="O1588" s="75" t="s">
        <v>144</v>
      </c>
      <c r="P1588" s="75">
        <v>1994</v>
      </c>
      <c r="Q1588" s="107">
        <f t="shared" si="33"/>
        <v>2012</v>
      </c>
      <c r="R1588" s="107">
        <v>2</v>
      </c>
      <c r="S1588" s="100">
        <v>212056</v>
      </c>
      <c r="T1588" s="101">
        <v>41119</v>
      </c>
    </row>
    <row r="1589" spans="1:20" x14ac:dyDescent="0.3">
      <c r="A1589" s="68">
        <v>41030</v>
      </c>
      <c r="B1589" s="69">
        <f t="shared" si="32"/>
        <v>20120501</v>
      </c>
      <c r="C1589" s="70">
        <v>2.5099999999999997E-2</v>
      </c>
      <c r="D1589" s="77">
        <v>8.9999999999999993E-3</v>
      </c>
      <c r="E1589" s="77">
        <v>8.9999999999999993E-3</v>
      </c>
      <c r="F1589" s="77">
        <v>8.9999999999999993E-3</v>
      </c>
      <c r="G1589" s="78">
        <v>0</v>
      </c>
      <c r="K1589" s="106">
        <v>5.6999999999999993E-3</v>
      </c>
      <c r="L1589" s="80">
        <v>0</v>
      </c>
      <c r="M1589" s="75" t="s">
        <v>143</v>
      </c>
      <c r="N1589" s="75" t="b">
        <v>1</v>
      </c>
      <c r="O1589" s="75" t="s">
        <v>144</v>
      </c>
      <c r="P1589" s="75">
        <v>1994</v>
      </c>
      <c r="Q1589" s="107">
        <f t="shared" si="33"/>
        <v>2012</v>
      </c>
      <c r="R1589" s="107">
        <v>2</v>
      </c>
      <c r="S1589" s="100">
        <v>212056</v>
      </c>
      <c r="T1589" s="101">
        <v>41119</v>
      </c>
    </row>
    <row r="1590" spans="1:20" x14ac:dyDescent="0.3">
      <c r="A1590" s="68">
        <v>41031</v>
      </c>
      <c r="B1590" s="69">
        <f t="shared" si="32"/>
        <v>20120502</v>
      </c>
      <c r="C1590" s="70">
        <v>2.4900000000000002E-2</v>
      </c>
      <c r="D1590" s="77">
        <v>8.9999999999999993E-3</v>
      </c>
      <c r="E1590" s="77">
        <v>8.9999999999999993E-3</v>
      </c>
      <c r="F1590" s="77">
        <v>8.9999999999999993E-3</v>
      </c>
      <c r="G1590" s="78">
        <v>0</v>
      </c>
      <c r="K1590" s="106">
        <v>5.5000000000000005E-3</v>
      </c>
      <c r="L1590" s="80">
        <v>0</v>
      </c>
      <c r="M1590" s="75" t="s">
        <v>143</v>
      </c>
      <c r="N1590" s="75" t="b">
        <v>1</v>
      </c>
      <c r="O1590" s="75" t="s">
        <v>144</v>
      </c>
      <c r="P1590" s="75">
        <v>1994</v>
      </c>
      <c r="Q1590" s="107">
        <f t="shared" si="33"/>
        <v>2012</v>
      </c>
      <c r="R1590" s="107">
        <v>2</v>
      </c>
      <c r="S1590" s="100">
        <v>212056</v>
      </c>
      <c r="T1590" s="101">
        <v>41119</v>
      </c>
    </row>
    <row r="1591" spans="1:20" x14ac:dyDescent="0.3">
      <c r="A1591" s="68">
        <v>41032</v>
      </c>
      <c r="B1591" s="69">
        <f t="shared" si="32"/>
        <v>20120503</v>
      </c>
      <c r="C1591" s="70">
        <v>2.4799999999999999E-2</v>
      </c>
      <c r="D1591" s="77">
        <v>8.9999999999999993E-3</v>
      </c>
      <c r="E1591" s="77">
        <v>8.9999999999999993E-3</v>
      </c>
      <c r="F1591" s="77">
        <v>8.9999999999999993E-3</v>
      </c>
      <c r="G1591" s="78">
        <v>0</v>
      </c>
      <c r="K1591" s="106">
        <v>5.5000000000000005E-3</v>
      </c>
      <c r="L1591" s="80">
        <v>0</v>
      </c>
      <c r="M1591" s="75" t="s">
        <v>143</v>
      </c>
      <c r="N1591" s="75" t="b">
        <v>1</v>
      </c>
      <c r="O1591" s="75" t="s">
        <v>144</v>
      </c>
      <c r="P1591" s="75">
        <v>1994</v>
      </c>
      <c r="Q1591" s="107">
        <f t="shared" si="33"/>
        <v>2012</v>
      </c>
      <c r="R1591" s="107">
        <v>2</v>
      </c>
      <c r="S1591" s="100">
        <v>212056</v>
      </c>
      <c r="T1591" s="101">
        <v>41119</v>
      </c>
    </row>
    <row r="1592" spans="1:20" x14ac:dyDescent="0.3">
      <c r="A1592" s="68">
        <v>41033</v>
      </c>
      <c r="B1592" s="69">
        <f t="shared" si="32"/>
        <v>20120504</v>
      </c>
      <c r="C1592" s="70">
        <v>2.4300000000000002E-2</v>
      </c>
      <c r="D1592" s="77">
        <v>8.9999999999999993E-3</v>
      </c>
      <c r="E1592" s="77">
        <v>8.9999999999999993E-3</v>
      </c>
      <c r="F1592" s="77">
        <v>8.9999999999999993E-3</v>
      </c>
      <c r="G1592" s="78">
        <v>0</v>
      </c>
      <c r="K1592" s="106">
        <v>5.1999999999999998E-3</v>
      </c>
      <c r="L1592" s="80">
        <v>0</v>
      </c>
      <c r="M1592" s="75" t="s">
        <v>143</v>
      </c>
      <c r="N1592" s="75" t="b">
        <v>1</v>
      </c>
      <c r="O1592" s="75" t="s">
        <v>144</v>
      </c>
      <c r="P1592" s="75">
        <v>1994</v>
      </c>
      <c r="Q1592" s="107">
        <f t="shared" si="33"/>
        <v>2012</v>
      </c>
      <c r="R1592" s="107">
        <v>2</v>
      </c>
      <c r="S1592" s="100">
        <v>212056</v>
      </c>
      <c r="T1592" s="101">
        <v>41119</v>
      </c>
    </row>
    <row r="1593" spans="1:20" x14ac:dyDescent="0.3">
      <c r="A1593" s="68">
        <v>41034</v>
      </c>
      <c r="B1593" s="69">
        <f>YEAR(A1593)*10000+MONTH(A1593)*100+DAY(A1593)</f>
        <v>20120505</v>
      </c>
      <c r="C1593" s="70">
        <v>2.4300000000000002E-2</v>
      </c>
      <c r="D1593" s="77">
        <v>8.9999999999999993E-3</v>
      </c>
      <c r="E1593" s="77">
        <v>8.9999999999999993E-3</v>
      </c>
      <c r="F1593" s="77">
        <v>8.9999999999999993E-3</v>
      </c>
      <c r="G1593" s="78">
        <v>0</v>
      </c>
      <c r="K1593" s="106">
        <v>5.1999999999999998E-3</v>
      </c>
      <c r="L1593" s="80">
        <v>0</v>
      </c>
      <c r="M1593" s="75" t="s">
        <v>143</v>
      </c>
      <c r="N1593" s="75" t="b">
        <v>1</v>
      </c>
      <c r="O1593" s="75" t="s">
        <v>144</v>
      </c>
      <c r="P1593" s="75">
        <v>1994</v>
      </c>
      <c r="Q1593" s="107">
        <f t="shared" si="33"/>
        <v>2012</v>
      </c>
      <c r="R1593" s="107">
        <v>2</v>
      </c>
      <c r="S1593" s="100">
        <v>212056</v>
      </c>
      <c r="T1593" s="101">
        <v>41119</v>
      </c>
    </row>
    <row r="1594" spans="1:20" x14ac:dyDescent="0.3">
      <c r="A1594" s="68">
        <v>41035</v>
      </c>
      <c r="B1594" s="69">
        <f>YEAR(A1594)*10000+MONTH(A1594)*100+DAY(A1594)</f>
        <v>20120506</v>
      </c>
      <c r="C1594" s="70">
        <v>2.4300000000000002E-2</v>
      </c>
      <c r="D1594" s="77">
        <v>8.9999999999999993E-3</v>
      </c>
      <c r="E1594" s="77">
        <v>8.9999999999999993E-3</v>
      </c>
      <c r="F1594" s="77">
        <v>8.9999999999999993E-3</v>
      </c>
      <c r="G1594" s="78">
        <v>0</v>
      </c>
      <c r="K1594" s="106">
        <v>5.1999999999999998E-3</v>
      </c>
      <c r="L1594" s="80">
        <v>0</v>
      </c>
      <c r="M1594" s="75" t="s">
        <v>143</v>
      </c>
      <c r="N1594" s="75" t="b">
        <v>1</v>
      </c>
      <c r="O1594" s="75" t="s">
        <v>144</v>
      </c>
      <c r="P1594" s="75">
        <v>1994</v>
      </c>
      <c r="Q1594" s="107">
        <f t="shared" si="33"/>
        <v>2012</v>
      </c>
      <c r="R1594" s="107">
        <v>2</v>
      </c>
      <c r="S1594" s="100">
        <v>212056</v>
      </c>
      <c r="T1594" s="101">
        <v>41119</v>
      </c>
    </row>
    <row r="1595" spans="1:20" x14ac:dyDescent="0.3">
      <c r="A1595" s="68">
        <v>41036</v>
      </c>
      <c r="B1595" s="69">
        <f t="shared" ref="B1595:B1617" si="34">YEAR(A1595)*10000+MONTH(A1595)*100+DAY(A1595)</f>
        <v>20120507</v>
      </c>
      <c r="C1595" s="70">
        <v>2.41E-2</v>
      </c>
      <c r="D1595" s="77">
        <v>8.9999999999999993E-3</v>
      </c>
      <c r="E1595" s="77">
        <v>8.9999999999999993E-3</v>
      </c>
      <c r="F1595" s="77">
        <v>8.9999999999999993E-3</v>
      </c>
      <c r="G1595" s="78">
        <v>0</v>
      </c>
      <c r="K1595" s="106">
        <v>5.3E-3</v>
      </c>
      <c r="L1595" s="80">
        <v>0</v>
      </c>
      <c r="M1595" s="75" t="s">
        <v>143</v>
      </c>
      <c r="N1595" s="75" t="b">
        <v>1</v>
      </c>
      <c r="O1595" s="75" t="s">
        <v>144</v>
      </c>
      <c r="P1595" s="75">
        <v>1994</v>
      </c>
      <c r="Q1595" s="107">
        <f t="shared" si="33"/>
        <v>2012</v>
      </c>
      <c r="R1595" s="107">
        <v>2</v>
      </c>
      <c r="S1595" s="100">
        <v>212056</v>
      </c>
      <c r="T1595" s="101">
        <v>41119</v>
      </c>
    </row>
    <row r="1596" spans="1:20" x14ac:dyDescent="0.3">
      <c r="A1596" s="68">
        <v>41037</v>
      </c>
      <c r="B1596" s="69">
        <f t="shared" si="34"/>
        <v>20120508</v>
      </c>
      <c r="C1596" s="70">
        <v>2.3700000000000002E-2</v>
      </c>
      <c r="D1596" s="77">
        <v>8.9999999999999993E-3</v>
      </c>
      <c r="E1596" s="77">
        <v>8.9999999999999993E-3</v>
      </c>
      <c r="F1596" s="77">
        <v>8.9999999999999993E-3</v>
      </c>
      <c r="G1596" s="78">
        <v>0</v>
      </c>
      <c r="K1596" s="106">
        <v>4.8999999999999998E-3</v>
      </c>
      <c r="L1596" s="80">
        <v>0</v>
      </c>
      <c r="M1596" s="75" t="s">
        <v>143</v>
      </c>
      <c r="N1596" s="75" t="b">
        <v>1</v>
      </c>
      <c r="O1596" s="75" t="s">
        <v>144</v>
      </c>
      <c r="P1596" s="75">
        <v>1994</v>
      </c>
      <c r="Q1596" s="107">
        <f t="shared" si="33"/>
        <v>2012</v>
      </c>
      <c r="R1596" s="107">
        <v>2</v>
      </c>
      <c r="S1596" s="100">
        <v>212056</v>
      </c>
      <c r="T1596" s="101">
        <v>41119</v>
      </c>
    </row>
    <row r="1597" spans="1:20" x14ac:dyDescent="0.3">
      <c r="A1597" s="68">
        <v>41038</v>
      </c>
      <c r="B1597" s="69">
        <f t="shared" si="34"/>
        <v>20120509</v>
      </c>
      <c r="C1597" s="70">
        <v>2.3799999999999998E-2</v>
      </c>
      <c r="D1597" s="77">
        <v>8.9999999999999993E-3</v>
      </c>
      <c r="E1597" s="77">
        <v>8.9999999999999993E-3</v>
      </c>
      <c r="F1597" s="77">
        <v>8.9999999999999993E-3</v>
      </c>
      <c r="G1597" s="78">
        <v>0</v>
      </c>
      <c r="K1597" s="106">
        <v>4.8999999999999998E-3</v>
      </c>
      <c r="L1597" s="80">
        <v>0</v>
      </c>
      <c r="M1597" s="75" t="s">
        <v>143</v>
      </c>
      <c r="N1597" s="75" t="b">
        <v>1</v>
      </c>
      <c r="O1597" s="75" t="s">
        <v>144</v>
      </c>
      <c r="P1597" s="75">
        <v>1994</v>
      </c>
      <c r="Q1597" s="107">
        <f t="shared" si="33"/>
        <v>2012</v>
      </c>
      <c r="R1597" s="107">
        <v>2</v>
      </c>
      <c r="S1597" s="100">
        <v>212056</v>
      </c>
      <c r="T1597" s="101">
        <v>41119</v>
      </c>
    </row>
    <row r="1598" spans="1:20" x14ac:dyDescent="0.3">
      <c r="A1598" s="68">
        <v>41039</v>
      </c>
      <c r="B1598" s="69">
        <f t="shared" si="34"/>
        <v>20120510</v>
      </c>
      <c r="C1598" s="70">
        <v>2.3700000000000002E-2</v>
      </c>
      <c r="D1598" s="77">
        <v>8.9999999999999993E-3</v>
      </c>
      <c r="E1598" s="77">
        <v>8.9999999999999993E-3</v>
      </c>
      <c r="F1598" s="77">
        <v>8.9999999999999993E-3</v>
      </c>
      <c r="G1598" s="78">
        <v>0</v>
      </c>
      <c r="K1598" s="106">
        <v>4.6999999999999993E-3</v>
      </c>
      <c r="L1598" s="80">
        <v>0</v>
      </c>
      <c r="M1598" s="75" t="s">
        <v>143</v>
      </c>
      <c r="N1598" s="75" t="b">
        <v>1</v>
      </c>
      <c r="O1598" s="75" t="s">
        <v>144</v>
      </c>
      <c r="P1598" s="75">
        <v>1994</v>
      </c>
      <c r="Q1598" s="107">
        <f t="shared" si="33"/>
        <v>2012</v>
      </c>
      <c r="R1598" s="107">
        <v>2</v>
      </c>
      <c r="S1598" s="100">
        <v>212056</v>
      </c>
      <c r="T1598" s="101">
        <v>41119</v>
      </c>
    </row>
    <row r="1599" spans="1:20" x14ac:dyDescent="0.3">
      <c r="A1599" s="68">
        <v>41040</v>
      </c>
      <c r="B1599" s="69">
        <f t="shared" si="34"/>
        <v>20120511</v>
      </c>
      <c r="C1599" s="70">
        <v>2.3399999999999997E-2</v>
      </c>
      <c r="D1599" s="77">
        <v>8.9999999999999993E-3</v>
      </c>
      <c r="E1599" s="77">
        <v>8.9999999999999993E-3</v>
      </c>
      <c r="F1599" s="77">
        <v>8.9999999999999993E-3</v>
      </c>
      <c r="G1599" s="78">
        <v>0</v>
      </c>
      <c r="K1599" s="106">
        <v>4.4000000000000003E-3</v>
      </c>
      <c r="L1599" s="80">
        <v>0</v>
      </c>
      <c r="M1599" s="75" t="s">
        <v>143</v>
      </c>
      <c r="N1599" s="75" t="b">
        <v>1</v>
      </c>
      <c r="O1599" s="75" t="s">
        <v>144</v>
      </c>
      <c r="P1599" s="75">
        <v>1994</v>
      </c>
      <c r="Q1599" s="107">
        <f t="shared" si="33"/>
        <v>2012</v>
      </c>
      <c r="R1599" s="107">
        <v>2</v>
      </c>
      <c r="S1599" s="100">
        <v>212056</v>
      </c>
      <c r="T1599" s="101">
        <v>41119</v>
      </c>
    </row>
    <row r="1600" spans="1:20" x14ac:dyDescent="0.3">
      <c r="A1600" s="68">
        <v>41041</v>
      </c>
      <c r="B1600" s="69">
        <f t="shared" si="34"/>
        <v>20120512</v>
      </c>
      <c r="C1600" s="70">
        <v>2.3399999999999997E-2</v>
      </c>
      <c r="D1600" s="77">
        <v>8.9999999999999993E-3</v>
      </c>
      <c r="E1600" s="77">
        <v>8.9999999999999993E-3</v>
      </c>
      <c r="F1600" s="77">
        <v>8.9999999999999993E-3</v>
      </c>
      <c r="G1600" s="78">
        <v>0</v>
      </c>
      <c r="K1600" s="106">
        <v>4.4000000000000003E-3</v>
      </c>
      <c r="L1600" s="80">
        <v>0</v>
      </c>
      <c r="M1600" s="75" t="s">
        <v>143</v>
      </c>
      <c r="N1600" s="75" t="b">
        <v>1</v>
      </c>
      <c r="O1600" s="75" t="s">
        <v>144</v>
      </c>
      <c r="P1600" s="75">
        <v>1994</v>
      </c>
      <c r="Q1600" s="107">
        <f t="shared" si="33"/>
        <v>2012</v>
      </c>
      <c r="R1600" s="107">
        <v>2</v>
      </c>
      <c r="S1600" s="100">
        <v>212056</v>
      </c>
      <c r="T1600" s="101">
        <v>41119</v>
      </c>
    </row>
    <row r="1601" spans="1:20" x14ac:dyDescent="0.3">
      <c r="A1601" s="68">
        <v>41042</v>
      </c>
      <c r="B1601" s="69">
        <f t="shared" si="34"/>
        <v>20120513</v>
      </c>
      <c r="C1601" s="70">
        <v>2.3399999999999997E-2</v>
      </c>
      <c r="D1601" s="77">
        <v>8.9999999999999993E-3</v>
      </c>
      <c r="E1601" s="77">
        <v>8.9999999999999993E-3</v>
      </c>
      <c r="F1601" s="77">
        <v>8.9999999999999993E-3</v>
      </c>
      <c r="G1601" s="78">
        <v>0</v>
      </c>
      <c r="K1601" s="106">
        <v>4.4000000000000003E-3</v>
      </c>
      <c r="L1601" s="80">
        <v>0</v>
      </c>
      <c r="M1601" s="75" t="s">
        <v>143</v>
      </c>
      <c r="N1601" s="75" t="b">
        <v>1</v>
      </c>
      <c r="O1601" s="75" t="s">
        <v>144</v>
      </c>
      <c r="P1601" s="75">
        <v>1994</v>
      </c>
      <c r="Q1601" s="107">
        <f t="shared" si="33"/>
        <v>2012</v>
      </c>
      <c r="R1601" s="107">
        <v>2</v>
      </c>
      <c r="S1601" s="100">
        <v>212056</v>
      </c>
      <c r="T1601" s="101">
        <v>41119</v>
      </c>
    </row>
    <row r="1602" spans="1:20" x14ac:dyDescent="0.3">
      <c r="A1602" s="68">
        <v>41043</v>
      </c>
      <c r="B1602" s="69">
        <f t="shared" si="34"/>
        <v>20120514</v>
      </c>
      <c r="C1602" s="70">
        <v>2.3199999999999998E-2</v>
      </c>
      <c r="D1602" s="77">
        <v>8.9999999999999993E-3</v>
      </c>
      <c r="E1602" s="77">
        <v>8.9999999999999993E-3</v>
      </c>
      <c r="F1602" s="77">
        <v>8.9999999999999993E-3</v>
      </c>
      <c r="G1602" s="78">
        <v>0</v>
      </c>
      <c r="K1602" s="106">
        <v>4.1999999999999997E-3</v>
      </c>
      <c r="L1602" s="80">
        <v>0</v>
      </c>
      <c r="M1602" s="75" t="s">
        <v>143</v>
      </c>
      <c r="N1602" s="75" t="b">
        <v>1</v>
      </c>
      <c r="O1602" s="75" t="s">
        <v>144</v>
      </c>
      <c r="P1602" s="75">
        <v>1994</v>
      </c>
      <c r="Q1602" s="107">
        <f t="shared" si="33"/>
        <v>2012</v>
      </c>
      <c r="R1602" s="107">
        <v>2</v>
      </c>
      <c r="S1602" s="100">
        <v>212056</v>
      </c>
      <c r="T1602" s="101">
        <v>41119</v>
      </c>
    </row>
    <row r="1603" spans="1:20" x14ac:dyDescent="0.3">
      <c r="A1603" s="68">
        <v>41044</v>
      </c>
      <c r="B1603" s="69">
        <f t="shared" si="34"/>
        <v>20120515</v>
      </c>
      <c r="C1603" s="70">
        <v>2.3199999999999998E-2</v>
      </c>
      <c r="D1603" s="77">
        <v>8.9999999999999993E-3</v>
      </c>
      <c r="E1603" s="77">
        <v>8.9999999999999993E-3</v>
      </c>
      <c r="F1603" s="77">
        <v>8.9999999999999993E-3</v>
      </c>
      <c r="G1603" s="78">
        <v>0</v>
      </c>
      <c r="K1603" s="106">
        <v>4.5000000000000005E-3</v>
      </c>
      <c r="L1603" s="80">
        <v>0</v>
      </c>
      <c r="M1603" s="75" t="s">
        <v>143</v>
      </c>
      <c r="N1603" s="75" t="b">
        <v>1</v>
      </c>
      <c r="O1603" s="75" t="s">
        <v>144</v>
      </c>
      <c r="P1603" s="75">
        <v>1994</v>
      </c>
      <c r="Q1603" s="107">
        <f t="shared" si="33"/>
        <v>2012</v>
      </c>
      <c r="R1603" s="107">
        <v>2</v>
      </c>
      <c r="S1603" s="100">
        <v>212056</v>
      </c>
      <c r="T1603" s="101">
        <v>41119</v>
      </c>
    </row>
    <row r="1604" spans="1:20" x14ac:dyDescent="0.3">
      <c r="A1604" s="68">
        <v>41045</v>
      </c>
      <c r="B1604" s="69">
        <f t="shared" si="34"/>
        <v>20120516</v>
      </c>
      <c r="C1604" s="70">
        <v>2.3199999999999998E-2</v>
      </c>
      <c r="D1604" s="77">
        <v>8.9999999999999993E-3</v>
      </c>
      <c r="E1604" s="77">
        <v>8.9999999999999993E-3</v>
      </c>
      <c r="F1604" s="77">
        <v>8.9999999999999993E-3</v>
      </c>
      <c r="G1604" s="78">
        <v>0</v>
      </c>
      <c r="K1604" s="106">
        <v>4.6999999999999993E-3</v>
      </c>
      <c r="L1604" s="80">
        <v>0</v>
      </c>
      <c r="M1604" s="75" t="s">
        <v>143</v>
      </c>
      <c r="N1604" s="75" t="b">
        <v>1</v>
      </c>
      <c r="O1604" s="75" t="s">
        <v>144</v>
      </c>
      <c r="P1604" s="75">
        <v>1994</v>
      </c>
      <c r="Q1604" s="107">
        <f t="shared" si="33"/>
        <v>2012</v>
      </c>
      <c r="R1604" s="107">
        <v>2</v>
      </c>
      <c r="S1604" s="100">
        <v>212056</v>
      </c>
      <c r="T1604" s="101">
        <v>41119</v>
      </c>
    </row>
    <row r="1605" spans="1:20" x14ac:dyDescent="0.3">
      <c r="A1605" s="68">
        <v>41046</v>
      </c>
      <c r="B1605" s="69">
        <f t="shared" si="34"/>
        <v>20120517</v>
      </c>
      <c r="C1605" s="70">
        <v>2.2799999999999997E-2</v>
      </c>
      <c r="D1605" s="77">
        <v>8.9999999999999993E-3</v>
      </c>
      <c r="E1605" s="77">
        <v>8.9999999999999993E-3</v>
      </c>
      <c r="F1605" s="77">
        <v>8.9999999999999993E-3</v>
      </c>
      <c r="G1605" s="78">
        <v>0</v>
      </c>
      <c r="K1605" s="106">
        <v>4.4000000000000003E-3</v>
      </c>
      <c r="L1605" s="80">
        <v>0</v>
      </c>
      <c r="M1605" s="75" t="s">
        <v>143</v>
      </c>
      <c r="N1605" s="75" t="b">
        <v>1</v>
      </c>
      <c r="O1605" s="75" t="s">
        <v>144</v>
      </c>
      <c r="P1605" s="75">
        <v>1994</v>
      </c>
      <c r="Q1605" s="107">
        <f t="shared" si="33"/>
        <v>2012</v>
      </c>
      <c r="R1605" s="107">
        <v>2</v>
      </c>
      <c r="S1605" s="100">
        <v>212056</v>
      </c>
      <c r="T1605" s="101">
        <v>41119</v>
      </c>
    </row>
    <row r="1606" spans="1:20" x14ac:dyDescent="0.3">
      <c r="A1606" s="68">
        <v>41047</v>
      </c>
      <c r="B1606" s="69">
        <f t="shared" si="34"/>
        <v>20120518</v>
      </c>
      <c r="C1606" s="70">
        <v>2.29E-2</v>
      </c>
      <c r="D1606" s="77">
        <v>8.9999999999999993E-3</v>
      </c>
      <c r="E1606" s="77">
        <v>8.9999999999999993E-3</v>
      </c>
      <c r="F1606" s="77">
        <v>8.9999999999999993E-3</v>
      </c>
      <c r="G1606" s="78">
        <v>0</v>
      </c>
      <c r="K1606" s="106">
        <v>4.3E-3</v>
      </c>
      <c r="L1606" s="80">
        <v>0</v>
      </c>
      <c r="M1606" s="75" t="s">
        <v>143</v>
      </c>
      <c r="N1606" s="75" t="b">
        <v>1</v>
      </c>
      <c r="O1606" s="75" t="s">
        <v>144</v>
      </c>
      <c r="P1606" s="75">
        <v>1994</v>
      </c>
      <c r="Q1606" s="107">
        <f t="shared" si="33"/>
        <v>2012</v>
      </c>
      <c r="R1606" s="107">
        <v>2</v>
      </c>
      <c r="S1606" s="100">
        <v>212056</v>
      </c>
      <c r="T1606" s="101">
        <v>41119</v>
      </c>
    </row>
    <row r="1607" spans="1:20" x14ac:dyDescent="0.3">
      <c r="A1607" s="68">
        <v>41048</v>
      </c>
      <c r="B1607" s="69">
        <f t="shared" si="34"/>
        <v>20120519</v>
      </c>
      <c r="C1607" s="70">
        <v>2.29E-2</v>
      </c>
      <c r="D1607" s="77">
        <v>8.9999999999999993E-3</v>
      </c>
      <c r="E1607" s="77">
        <v>8.9999999999999993E-3</v>
      </c>
      <c r="F1607" s="77">
        <v>8.9999999999999993E-3</v>
      </c>
      <c r="G1607" s="78">
        <v>0</v>
      </c>
      <c r="K1607" s="106">
        <v>4.3E-3</v>
      </c>
      <c r="L1607" s="80">
        <v>0</v>
      </c>
      <c r="M1607" s="75" t="s">
        <v>143</v>
      </c>
      <c r="N1607" s="75" t="b">
        <v>1</v>
      </c>
      <c r="O1607" s="75" t="s">
        <v>144</v>
      </c>
      <c r="P1607" s="75">
        <v>1994</v>
      </c>
      <c r="Q1607" s="107">
        <f t="shared" si="33"/>
        <v>2012</v>
      </c>
      <c r="R1607" s="107">
        <v>2</v>
      </c>
      <c r="S1607" s="100">
        <v>212056</v>
      </c>
      <c r="T1607" s="101">
        <v>41119</v>
      </c>
    </row>
    <row r="1608" spans="1:20" x14ac:dyDescent="0.3">
      <c r="A1608" s="68">
        <v>41049</v>
      </c>
      <c r="B1608" s="69">
        <f t="shared" si="34"/>
        <v>20120520</v>
      </c>
      <c r="C1608" s="70">
        <v>2.29E-2</v>
      </c>
      <c r="D1608" s="77">
        <v>8.9999999999999993E-3</v>
      </c>
      <c r="E1608" s="77">
        <v>8.9999999999999993E-3</v>
      </c>
      <c r="F1608" s="77">
        <v>8.9999999999999993E-3</v>
      </c>
      <c r="G1608" s="78">
        <v>0</v>
      </c>
      <c r="K1608" s="106">
        <v>4.3E-3</v>
      </c>
      <c r="L1608" s="80">
        <v>0</v>
      </c>
      <c r="M1608" s="75" t="s">
        <v>143</v>
      </c>
      <c r="N1608" s="75" t="b">
        <v>1</v>
      </c>
      <c r="O1608" s="75" t="s">
        <v>144</v>
      </c>
      <c r="P1608" s="75">
        <v>1994</v>
      </c>
      <c r="Q1608" s="107">
        <f t="shared" si="33"/>
        <v>2012</v>
      </c>
      <c r="R1608" s="107">
        <v>2</v>
      </c>
      <c r="S1608" s="100">
        <v>212056</v>
      </c>
      <c r="T1608" s="101">
        <v>41119</v>
      </c>
    </row>
    <row r="1609" spans="1:20" x14ac:dyDescent="0.3">
      <c r="A1609" s="68">
        <v>41050</v>
      </c>
      <c r="B1609" s="69">
        <f t="shared" si="34"/>
        <v>20120521</v>
      </c>
      <c r="C1609" s="70">
        <v>2.29E-2</v>
      </c>
      <c r="D1609" s="77">
        <v>8.9999999999999993E-3</v>
      </c>
      <c r="E1609" s="77">
        <v>8.9999999999999993E-3</v>
      </c>
      <c r="F1609" s="77">
        <v>8.9999999999999993E-3</v>
      </c>
      <c r="G1609" s="78">
        <v>0</v>
      </c>
      <c r="K1609" s="106">
        <v>4.3E-3</v>
      </c>
      <c r="L1609" s="80">
        <v>0</v>
      </c>
      <c r="M1609" s="75" t="s">
        <v>143</v>
      </c>
      <c r="N1609" s="75" t="b">
        <v>1</v>
      </c>
      <c r="O1609" s="75" t="s">
        <v>144</v>
      </c>
      <c r="P1609" s="75">
        <v>1994</v>
      </c>
      <c r="Q1609" s="107">
        <f t="shared" si="33"/>
        <v>2012</v>
      </c>
      <c r="R1609" s="107">
        <v>2</v>
      </c>
      <c r="S1609" s="100">
        <v>212056</v>
      </c>
      <c r="T1609" s="101">
        <v>41119</v>
      </c>
    </row>
    <row r="1610" spans="1:20" x14ac:dyDescent="0.3">
      <c r="A1610" s="68">
        <v>41051</v>
      </c>
      <c r="B1610" s="69">
        <f t="shared" si="34"/>
        <v>20120522</v>
      </c>
      <c r="C1610" s="70">
        <v>2.3099999999999999E-2</v>
      </c>
      <c r="D1610" s="77">
        <v>8.9999999999999993E-3</v>
      </c>
      <c r="E1610" s="77">
        <v>8.9999999999999993E-3</v>
      </c>
      <c r="F1610" s="77">
        <v>8.9999999999999993E-3</v>
      </c>
      <c r="G1610" s="78">
        <v>0</v>
      </c>
      <c r="K1610" s="106">
        <v>4.3E-3</v>
      </c>
      <c r="L1610" s="80">
        <v>0</v>
      </c>
      <c r="M1610" s="75" t="s">
        <v>143</v>
      </c>
      <c r="N1610" s="75" t="b">
        <v>1</v>
      </c>
      <c r="O1610" s="75" t="s">
        <v>144</v>
      </c>
      <c r="P1610" s="75">
        <v>1994</v>
      </c>
      <c r="Q1610" s="107">
        <f t="shared" si="33"/>
        <v>2012</v>
      </c>
      <c r="R1610" s="107">
        <v>2</v>
      </c>
      <c r="S1610" s="100">
        <v>212056</v>
      </c>
      <c r="T1610" s="101">
        <v>41119</v>
      </c>
    </row>
    <row r="1611" spans="1:20" x14ac:dyDescent="0.3">
      <c r="A1611" s="68">
        <v>41052</v>
      </c>
      <c r="B1611" s="69">
        <f t="shared" si="34"/>
        <v>20120523</v>
      </c>
      <c r="C1611" s="70">
        <v>2.2700000000000001E-2</v>
      </c>
      <c r="D1611" s="77">
        <v>8.9999999999999993E-3</v>
      </c>
      <c r="E1611" s="77">
        <v>8.9999999999999993E-3</v>
      </c>
      <c r="F1611" s="77">
        <v>8.9999999999999993E-3</v>
      </c>
      <c r="G1611" s="78">
        <v>0</v>
      </c>
      <c r="K1611" s="106">
        <v>3.9000000000000003E-3</v>
      </c>
      <c r="L1611" s="80">
        <v>0</v>
      </c>
      <c r="M1611" s="75" t="s">
        <v>143</v>
      </c>
      <c r="N1611" s="75" t="b">
        <v>1</v>
      </c>
      <c r="O1611" s="75" t="s">
        <v>144</v>
      </c>
      <c r="P1611" s="75">
        <v>1994</v>
      </c>
      <c r="Q1611" s="107">
        <f t="shared" si="33"/>
        <v>2012</v>
      </c>
      <c r="R1611" s="107">
        <v>2</v>
      </c>
      <c r="S1611" s="100">
        <v>212056</v>
      </c>
      <c r="T1611" s="101">
        <v>41119</v>
      </c>
    </row>
    <row r="1612" spans="1:20" x14ac:dyDescent="0.3">
      <c r="A1612" s="68">
        <v>41053</v>
      </c>
      <c r="B1612" s="69">
        <f t="shared" si="34"/>
        <v>20120524</v>
      </c>
      <c r="C1612" s="70">
        <v>2.2700000000000001E-2</v>
      </c>
      <c r="D1612" s="77">
        <v>8.9999999999999993E-3</v>
      </c>
      <c r="E1612" s="77">
        <v>8.9999999999999993E-3</v>
      </c>
      <c r="F1612" s="77">
        <v>8.9999999999999993E-3</v>
      </c>
      <c r="G1612" s="78">
        <v>0</v>
      </c>
      <c r="K1612" s="106">
        <v>3.8E-3</v>
      </c>
      <c r="L1612" s="80">
        <v>0</v>
      </c>
      <c r="M1612" s="75" t="s">
        <v>143</v>
      </c>
      <c r="N1612" s="75" t="b">
        <v>1</v>
      </c>
      <c r="O1612" s="75" t="s">
        <v>144</v>
      </c>
      <c r="P1612" s="75">
        <v>1994</v>
      </c>
      <c r="Q1612" s="107">
        <f t="shared" si="33"/>
        <v>2012</v>
      </c>
      <c r="R1612" s="107">
        <v>2</v>
      </c>
      <c r="S1612" s="100">
        <v>212056</v>
      </c>
      <c r="T1612" s="101">
        <v>41119</v>
      </c>
    </row>
    <row r="1613" spans="1:20" x14ac:dyDescent="0.3">
      <c r="A1613" s="68">
        <v>41054</v>
      </c>
      <c r="B1613" s="69">
        <f t="shared" si="34"/>
        <v>20120525</v>
      </c>
      <c r="C1613" s="70">
        <v>2.2200000000000001E-2</v>
      </c>
      <c r="D1613" s="77">
        <v>8.9999999999999993E-3</v>
      </c>
      <c r="E1613" s="77">
        <v>8.9999999999999993E-3</v>
      </c>
      <c r="F1613" s="77">
        <v>8.9999999999999993E-3</v>
      </c>
      <c r="G1613" s="78">
        <v>0</v>
      </c>
      <c r="K1613" s="106">
        <v>3.4999999999999996E-3</v>
      </c>
      <c r="L1613" s="80">
        <v>0</v>
      </c>
      <c r="M1613" s="75" t="s">
        <v>143</v>
      </c>
      <c r="N1613" s="75" t="b">
        <v>1</v>
      </c>
      <c r="O1613" s="75" t="s">
        <v>144</v>
      </c>
      <c r="P1613" s="75">
        <v>1994</v>
      </c>
      <c r="Q1613" s="107">
        <f t="shared" si="33"/>
        <v>2012</v>
      </c>
      <c r="R1613" s="107">
        <v>2</v>
      </c>
      <c r="S1613" s="100">
        <v>212056</v>
      </c>
      <c r="T1613" s="101">
        <v>41119</v>
      </c>
    </row>
    <row r="1614" spans="1:20" x14ac:dyDescent="0.3">
      <c r="A1614" s="68">
        <v>41055</v>
      </c>
      <c r="B1614" s="69">
        <f>YEAR(A1614)*10000+MONTH(A1614)*100+DAY(A1614)</f>
        <v>20120526</v>
      </c>
      <c r="C1614" s="70">
        <v>2.2200000000000001E-2</v>
      </c>
      <c r="D1614" s="77">
        <v>8.9999999999999993E-3</v>
      </c>
      <c r="E1614" s="77">
        <v>8.9999999999999993E-3</v>
      </c>
      <c r="F1614" s="77">
        <v>8.9999999999999993E-3</v>
      </c>
      <c r="G1614" s="78">
        <v>0</v>
      </c>
      <c r="K1614" s="106">
        <v>3.4999999999999996E-3</v>
      </c>
      <c r="L1614" s="80">
        <v>0</v>
      </c>
      <c r="M1614" s="75" t="s">
        <v>143</v>
      </c>
      <c r="N1614" s="75" t="b">
        <v>1</v>
      </c>
      <c r="O1614" s="75" t="s">
        <v>144</v>
      </c>
      <c r="P1614" s="75">
        <v>1994</v>
      </c>
      <c r="Q1614" s="107">
        <f t="shared" si="33"/>
        <v>2012</v>
      </c>
      <c r="R1614" s="107">
        <v>2</v>
      </c>
      <c r="S1614" s="100">
        <v>212056</v>
      </c>
      <c r="T1614" s="101">
        <v>41119</v>
      </c>
    </row>
    <row r="1615" spans="1:20" x14ac:dyDescent="0.3">
      <c r="A1615" s="68">
        <v>41056</v>
      </c>
      <c r="B1615" s="69">
        <f>YEAR(A1615)*10000+MONTH(A1615)*100+DAY(A1615)</f>
        <v>20120527</v>
      </c>
      <c r="C1615" s="70">
        <v>2.2200000000000001E-2</v>
      </c>
      <c r="D1615" s="77">
        <v>8.9999999999999993E-3</v>
      </c>
      <c r="E1615" s="77">
        <v>8.9999999999999993E-3</v>
      </c>
      <c r="F1615" s="77">
        <v>8.9999999999999993E-3</v>
      </c>
      <c r="G1615" s="78">
        <v>0</v>
      </c>
      <c r="K1615" s="106">
        <v>3.4999999999999996E-3</v>
      </c>
      <c r="L1615" s="80">
        <v>0</v>
      </c>
      <c r="M1615" s="75" t="s">
        <v>143</v>
      </c>
      <c r="N1615" s="75" t="b">
        <v>1</v>
      </c>
      <c r="O1615" s="75" t="s">
        <v>144</v>
      </c>
      <c r="P1615" s="75">
        <v>1994</v>
      </c>
      <c r="Q1615" s="107">
        <f t="shared" si="33"/>
        <v>2012</v>
      </c>
      <c r="R1615" s="107">
        <v>2</v>
      </c>
      <c r="S1615" s="100">
        <v>212056</v>
      </c>
      <c r="T1615" s="101">
        <v>41119</v>
      </c>
    </row>
    <row r="1616" spans="1:20" x14ac:dyDescent="0.3">
      <c r="A1616" s="68">
        <v>41057</v>
      </c>
      <c r="B1616" s="69">
        <f t="shared" si="34"/>
        <v>20120528</v>
      </c>
      <c r="C1616" s="70">
        <v>2.2499999999999999E-2</v>
      </c>
      <c r="D1616" s="77">
        <v>8.9999999999999993E-3</v>
      </c>
      <c r="E1616" s="77">
        <v>8.9999999999999993E-3</v>
      </c>
      <c r="F1616" s="77">
        <v>8.9999999999999993E-3</v>
      </c>
      <c r="G1616" s="78">
        <v>0</v>
      </c>
      <c r="K1616" s="106">
        <v>3.7000000000000002E-3</v>
      </c>
      <c r="L1616" s="80">
        <v>0</v>
      </c>
      <c r="M1616" s="75" t="s">
        <v>143</v>
      </c>
      <c r="N1616" s="75" t="b">
        <v>1</v>
      </c>
      <c r="O1616" s="75" t="s">
        <v>144</v>
      </c>
      <c r="P1616" s="75">
        <v>1994</v>
      </c>
      <c r="Q1616" s="107">
        <f t="shared" si="33"/>
        <v>2012</v>
      </c>
      <c r="R1616" s="107">
        <v>2</v>
      </c>
      <c r="S1616" s="100">
        <v>212056</v>
      </c>
      <c r="T1616" s="101">
        <v>41119</v>
      </c>
    </row>
    <row r="1617" spans="1:20" x14ac:dyDescent="0.3">
      <c r="A1617" s="68">
        <v>41058</v>
      </c>
      <c r="B1617" s="69">
        <f t="shared" si="34"/>
        <v>20120529</v>
      </c>
      <c r="C1617" s="70">
        <v>2.2599999999999999E-2</v>
      </c>
      <c r="D1617" s="77">
        <v>8.9999999999999993E-3</v>
      </c>
      <c r="E1617" s="77">
        <v>8.9999999999999993E-3</v>
      </c>
      <c r="F1617" s="77">
        <v>8.9999999999999993E-3</v>
      </c>
      <c r="G1617" s="78">
        <v>0</v>
      </c>
      <c r="K1617" s="106">
        <v>4.0000000000000001E-3</v>
      </c>
      <c r="L1617" s="80">
        <v>0</v>
      </c>
      <c r="M1617" s="75" t="s">
        <v>143</v>
      </c>
      <c r="N1617" s="75" t="b">
        <v>1</v>
      </c>
      <c r="O1617" s="75" t="s">
        <v>144</v>
      </c>
      <c r="P1617" s="75">
        <v>1994</v>
      </c>
      <c r="Q1617" s="107">
        <f t="shared" si="33"/>
        <v>2012</v>
      </c>
      <c r="R1617" s="107">
        <v>2</v>
      </c>
      <c r="S1617" s="100">
        <v>212056</v>
      </c>
      <c r="T1617" s="101">
        <v>41119</v>
      </c>
    </row>
    <row r="1618" spans="1:20" x14ac:dyDescent="0.3">
      <c r="A1618" s="68">
        <v>41059</v>
      </c>
      <c r="B1618" s="69">
        <f>YEAR(A1618)*10000+MONTH(A1618)*100+DAY(A1618)</f>
        <v>20120530</v>
      </c>
      <c r="C1618" s="70">
        <v>2.1999999999999999E-2</v>
      </c>
      <c r="D1618" s="77">
        <v>8.9999999999999993E-3</v>
      </c>
      <c r="E1618" s="77">
        <v>8.9999999999999993E-3</v>
      </c>
      <c r="F1618" s="77">
        <v>8.9999999999999993E-3</v>
      </c>
      <c r="G1618" s="78">
        <v>0</v>
      </c>
      <c r="K1618" s="106">
        <v>3.7000000000000002E-3</v>
      </c>
      <c r="L1618" s="80">
        <v>0</v>
      </c>
      <c r="M1618" s="75" t="s">
        <v>143</v>
      </c>
      <c r="N1618" s="75" t="b">
        <v>1</v>
      </c>
      <c r="O1618" s="75" t="s">
        <v>144</v>
      </c>
      <c r="P1618" s="75">
        <v>1994</v>
      </c>
      <c r="Q1618" s="107">
        <f t="shared" si="33"/>
        <v>2012</v>
      </c>
      <c r="R1618" s="107">
        <v>2</v>
      </c>
      <c r="S1618" s="100">
        <v>212056</v>
      </c>
      <c r="T1618" s="101">
        <v>41119</v>
      </c>
    </row>
    <row r="1619" spans="1:20" x14ac:dyDescent="0.3">
      <c r="A1619" s="68">
        <v>41060</v>
      </c>
      <c r="B1619" s="69">
        <f>YEAR(A1619)*10000+MONTH(A1619)*100+DAY(A1619)</f>
        <v>20120531</v>
      </c>
      <c r="C1619" s="70">
        <v>2.1600000000000001E-2</v>
      </c>
      <c r="D1619" s="77">
        <v>8.9999999999999993E-3</v>
      </c>
      <c r="E1619" s="77">
        <v>8.9999999999999993E-3</v>
      </c>
      <c r="F1619" s="77">
        <v>8.9999999999999993E-3</v>
      </c>
      <c r="G1619" s="78">
        <v>0</v>
      </c>
      <c r="K1619" s="106">
        <v>3.4000000000000002E-3</v>
      </c>
      <c r="L1619" s="80">
        <v>0</v>
      </c>
      <c r="M1619" s="75" t="s">
        <v>143</v>
      </c>
      <c r="N1619" s="75" t="b">
        <v>1</v>
      </c>
      <c r="O1619" s="75" t="s">
        <v>144</v>
      </c>
      <c r="P1619" s="75">
        <v>1994</v>
      </c>
      <c r="Q1619" s="107">
        <f t="shared" si="33"/>
        <v>2012</v>
      </c>
      <c r="R1619" s="107">
        <v>2</v>
      </c>
      <c r="S1619" s="100">
        <v>212056</v>
      </c>
      <c r="T1619" s="101">
        <v>41119</v>
      </c>
    </row>
    <row r="1620" spans="1:20" x14ac:dyDescent="0.3">
      <c r="A1620" s="68">
        <v>41061</v>
      </c>
      <c r="B1620" s="69">
        <f t="shared" ref="B1620:B1683" si="35">YEAR(A1620)*10000+MONTH(A1620)*100+DAY(A1620)</f>
        <v>20120601</v>
      </c>
      <c r="C1620" s="70">
        <v>2.07E-2</v>
      </c>
      <c r="D1620" s="77">
        <v>8.9999999999999993E-3</v>
      </c>
      <c r="E1620" s="77">
        <v>8.9999999999999993E-3</v>
      </c>
      <c r="F1620" s="77">
        <v>8.9999999999999993E-3</v>
      </c>
      <c r="G1620" s="78">
        <v>0</v>
      </c>
      <c r="K1620" s="106">
        <v>3.0000000000000001E-3</v>
      </c>
      <c r="L1620" s="80">
        <v>0</v>
      </c>
      <c r="M1620" s="75" t="s">
        <v>143</v>
      </c>
      <c r="N1620" s="75" t="b">
        <v>1</v>
      </c>
      <c r="O1620" s="75" t="s">
        <v>144</v>
      </c>
      <c r="P1620" s="75">
        <v>1994</v>
      </c>
      <c r="Q1620" s="107">
        <f t="shared" si="33"/>
        <v>2012</v>
      </c>
      <c r="R1620" s="107">
        <v>2</v>
      </c>
      <c r="S1620" s="100">
        <v>212056</v>
      </c>
      <c r="T1620" s="101">
        <v>41119</v>
      </c>
    </row>
    <row r="1621" spans="1:20" x14ac:dyDescent="0.3">
      <c r="A1621" s="68">
        <v>41062</v>
      </c>
      <c r="B1621" s="69">
        <f>YEAR(A1621)*10000+MONTH(A1621)*100+DAY(A1621)</f>
        <v>20120602</v>
      </c>
      <c r="C1621" s="70">
        <v>2.07E-2</v>
      </c>
      <c r="D1621" s="77">
        <v>8.9999999999999993E-3</v>
      </c>
      <c r="E1621" s="77">
        <v>8.9999999999999993E-3</v>
      </c>
      <c r="F1621" s="77">
        <v>8.9999999999999993E-3</v>
      </c>
      <c r="G1621" s="78">
        <v>0</v>
      </c>
      <c r="K1621" s="106">
        <v>3.0000000000000001E-3</v>
      </c>
      <c r="L1621" s="80">
        <v>0</v>
      </c>
      <c r="M1621" s="75" t="s">
        <v>143</v>
      </c>
      <c r="N1621" s="75" t="b">
        <v>1</v>
      </c>
      <c r="O1621" s="75" t="s">
        <v>144</v>
      </c>
      <c r="P1621" s="75">
        <v>1994</v>
      </c>
      <c r="Q1621" s="107">
        <f t="shared" si="33"/>
        <v>2012</v>
      </c>
      <c r="R1621" s="107">
        <v>2</v>
      </c>
      <c r="S1621" s="100">
        <v>212056</v>
      </c>
      <c r="T1621" s="101">
        <v>41119</v>
      </c>
    </row>
    <row r="1622" spans="1:20" x14ac:dyDescent="0.3">
      <c r="A1622" s="68">
        <v>41063</v>
      </c>
      <c r="B1622" s="69">
        <f t="shared" si="35"/>
        <v>20120603</v>
      </c>
      <c r="C1622" s="70">
        <v>2.07E-2</v>
      </c>
      <c r="D1622" s="77">
        <v>8.9999999999999993E-3</v>
      </c>
      <c r="E1622" s="77">
        <v>8.9999999999999993E-3</v>
      </c>
      <c r="F1622" s="77">
        <v>8.9999999999999993E-3</v>
      </c>
      <c r="G1622" s="78">
        <v>0</v>
      </c>
      <c r="K1622" s="106">
        <v>3.0000000000000001E-3</v>
      </c>
      <c r="L1622" s="80">
        <v>0</v>
      </c>
      <c r="M1622" s="75" t="s">
        <v>143</v>
      </c>
      <c r="N1622" s="75" t="b">
        <v>1</v>
      </c>
      <c r="O1622" s="75" t="s">
        <v>144</v>
      </c>
      <c r="P1622" s="75">
        <v>1994</v>
      </c>
      <c r="Q1622" s="107">
        <f t="shared" si="33"/>
        <v>2012</v>
      </c>
      <c r="R1622" s="107">
        <v>2</v>
      </c>
      <c r="S1622" s="100">
        <v>212056</v>
      </c>
      <c r="T1622" s="101">
        <v>41119</v>
      </c>
    </row>
    <row r="1623" spans="1:20" x14ac:dyDescent="0.3">
      <c r="A1623" s="68">
        <v>41064</v>
      </c>
      <c r="B1623" s="69">
        <f t="shared" si="35"/>
        <v>20120604</v>
      </c>
      <c r="C1623" s="70">
        <v>2.1600000000000001E-2</v>
      </c>
      <c r="D1623" s="77">
        <v>8.9999999999999993E-3</v>
      </c>
      <c r="E1623" s="77">
        <v>8.9999999999999993E-3</v>
      </c>
      <c r="F1623" s="77">
        <v>8.9999999999999993E-3</v>
      </c>
      <c r="G1623" s="78">
        <v>0</v>
      </c>
      <c r="K1623" s="106">
        <v>3.0000000000000001E-3</v>
      </c>
      <c r="L1623" s="80">
        <v>0</v>
      </c>
      <c r="M1623" s="75" t="s">
        <v>143</v>
      </c>
      <c r="N1623" s="75" t="b">
        <v>1</v>
      </c>
      <c r="O1623" s="75" t="s">
        <v>144</v>
      </c>
      <c r="P1623" s="75">
        <v>1994</v>
      </c>
      <c r="Q1623" s="107">
        <f t="shared" si="33"/>
        <v>2012</v>
      </c>
      <c r="R1623" s="107">
        <v>2</v>
      </c>
      <c r="S1623" s="100">
        <v>212056</v>
      </c>
      <c r="T1623" s="101">
        <v>41119</v>
      </c>
    </row>
    <row r="1624" spans="1:20" x14ac:dyDescent="0.3">
      <c r="A1624" s="68">
        <v>41065</v>
      </c>
      <c r="B1624" s="69">
        <f t="shared" si="35"/>
        <v>20120605</v>
      </c>
      <c r="C1624" s="70">
        <v>2.2099999999999998E-2</v>
      </c>
      <c r="D1624" s="77">
        <v>8.9999999999999993E-3</v>
      </c>
      <c r="E1624" s="77">
        <v>8.9999999999999993E-3</v>
      </c>
      <c r="F1624" s="77">
        <v>8.9999999999999993E-3</v>
      </c>
      <c r="G1624" s="78">
        <v>0</v>
      </c>
      <c r="K1624" s="106">
        <v>3.7000000000000002E-3</v>
      </c>
      <c r="L1624" s="80">
        <v>0</v>
      </c>
      <c r="M1624" s="75" t="s">
        <v>143</v>
      </c>
      <c r="N1624" s="75" t="b">
        <v>1</v>
      </c>
      <c r="O1624" s="75" t="s">
        <v>144</v>
      </c>
      <c r="P1624" s="75">
        <v>1994</v>
      </c>
      <c r="Q1624" s="107">
        <f t="shared" si="33"/>
        <v>2012</v>
      </c>
      <c r="R1624" s="107">
        <v>2</v>
      </c>
      <c r="S1624" s="100">
        <v>212056</v>
      </c>
      <c r="T1624" s="101">
        <v>41119</v>
      </c>
    </row>
    <row r="1625" spans="1:20" x14ac:dyDescent="0.3">
      <c r="A1625" s="68">
        <v>41066</v>
      </c>
      <c r="B1625" s="69">
        <f t="shared" si="35"/>
        <v>20120606</v>
      </c>
      <c r="C1625" s="70">
        <v>2.2799999999999997E-2</v>
      </c>
      <c r="D1625" s="77">
        <v>8.9999999999999993E-3</v>
      </c>
      <c r="E1625" s="77">
        <v>8.9999999999999993E-3</v>
      </c>
      <c r="F1625" s="77">
        <v>8.9999999999999993E-3</v>
      </c>
      <c r="G1625" s="78">
        <v>0</v>
      </c>
      <c r="K1625" s="106">
        <v>4.1999999999999997E-3</v>
      </c>
      <c r="L1625" s="80">
        <v>0</v>
      </c>
      <c r="M1625" s="75" t="s">
        <v>143</v>
      </c>
      <c r="N1625" s="75" t="b">
        <v>1</v>
      </c>
      <c r="O1625" s="75" t="s">
        <v>144</v>
      </c>
      <c r="P1625" s="75">
        <v>1994</v>
      </c>
      <c r="Q1625" s="107">
        <f t="shared" si="33"/>
        <v>2012</v>
      </c>
      <c r="R1625" s="107">
        <v>2</v>
      </c>
      <c r="S1625" s="100">
        <v>212056</v>
      </c>
      <c r="T1625" s="101">
        <v>41119</v>
      </c>
    </row>
    <row r="1626" spans="1:20" x14ac:dyDescent="0.3">
      <c r="A1626" s="68">
        <v>41067</v>
      </c>
      <c r="B1626" s="69">
        <f t="shared" si="35"/>
        <v>20120607</v>
      </c>
      <c r="C1626" s="70">
        <v>2.29E-2</v>
      </c>
      <c r="D1626" s="77">
        <v>8.9999999999999993E-3</v>
      </c>
      <c r="E1626" s="77">
        <v>8.9999999999999993E-3</v>
      </c>
      <c r="F1626" s="77">
        <v>8.9999999999999993E-3</v>
      </c>
      <c r="G1626" s="78">
        <v>0</v>
      </c>
      <c r="K1626" s="106">
        <v>3.9000000000000003E-3</v>
      </c>
      <c r="L1626" s="80">
        <v>0</v>
      </c>
      <c r="M1626" s="75" t="s">
        <v>143</v>
      </c>
      <c r="N1626" s="75" t="b">
        <v>1</v>
      </c>
      <c r="O1626" s="75" t="s">
        <v>144</v>
      </c>
      <c r="P1626" s="75">
        <v>1994</v>
      </c>
      <c r="Q1626" s="107">
        <f t="shared" si="33"/>
        <v>2012</v>
      </c>
      <c r="R1626" s="107">
        <v>2</v>
      </c>
      <c r="S1626" s="100">
        <v>212056</v>
      </c>
      <c r="T1626" s="101">
        <v>41119</v>
      </c>
    </row>
    <row r="1627" spans="1:20" x14ac:dyDescent="0.3">
      <c r="A1627" s="68">
        <v>41068</v>
      </c>
      <c r="B1627" s="69">
        <f t="shared" si="35"/>
        <v>20120608</v>
      </c>
      <c r="C1627" s="70">
        <v>2.29E-2</v>
      </c>
      <c r="D1627" s="77">
        <v>8.9999999999999993E-3</v>
      </c>
      <c r="E1627" s="77">
        <v>8.9999999999999993E-3</v>
      </c>
      <c r="F1627" s="77">
        <v>8.9999999999999993E-3</v>
      </c>
      <c r="G1627" s="78">
        <v>0</v>
      </c>
      <c r="K1627" s="106">
        <v>3.9000000000000003E-3</v>
      </c>
      <c r="L1627" s="80">
        <v>0</v>
      </c>
      <c r="M1627" s="75" t="s">
        <v>143</v>
      </c>
      <c r="N1627" s="75" t="b">
        <v>1</v>
      </c>
      <c r="O1627" s="75" t="s">
        <v>144</v>
      </c>
      <c r="P1627" s="75">
        <v>1994</v>
      </c>
      <c r="Q1627" s="107">
        <f t="shared" si="33"/>
        <v>2012</v>
      </c>
      <c r="R1627" s="107">
        <v>2</v>
      </c>
      <c r="S1627" s="100">
        <v>212056</v>
      </c>
      <c r="T1627" s="101">
        <v>41119</v>
      </c>
    </row>
    <row r="1628" spans="1:20" x14ac:dyDescent="0.3">
      <c r="A1628" s="68">
        <v>41069</v>
      </c>
      <c r="B1628" s="69">
        <f t="shared" si="35"/>
        <v>20120609</v>
      </c>
      <c r="C1628" s="70">
        <v>2.29E-2</v>
      </c>
      <c r="D1628" s="77">
        <v>8.9999999999999993E-3</v>
      </c>
      <c r="E1628" s="77">
        <v>8.9999999999999993E-3</v>
      </c>
      <c r="F1628" s="77">
        <v>8.9999999999999993E-3</v>
      </c>
      <c r="G1628" s="78">
        <v>0</v>
      </c>
      <c r="K1628" s="106">
        <v>3.9000000000000003E-3</v>
      </c>
      <c r="L1628" s="80">
        <v>0</v>
      </c>
      <c r="M1628" s="75" t="s">
        <v>143</v>
      </c>
      <c r="N1628" s="75" t="b">
        <v>1</v>
      </c>
      <c r="O1628" s="75" t="s">
        <v>144</v>
      </c>
      <c r="P1628" s="75">
        <v>1994</v>
      </c>
      <c r="Q1628" s="107">
        <f t="shared" si="33"/>
        <v>2012</v>
      </c>
      <c r="R1628" s="107">
        <v>2</v>
      </c>
      <c r="S1628" s="100">
        <v>212056</v>
      </c>
      <c r="T1628" s="101">
        <v>41119</v>
      </c>
    </row>
    <row r="1629" spans="1:20" x14ac:dyDescent="0.3">
      <c r="A1629" s="68">
        <v>41070</v>
      </c>
      <c r="B1629" s="69">
        <f t="shared" si="35"/>
        <v>20120610</v>
      </c>
      <c r="C1629" s="70">
        <v>2.29E-2</v>
      </c>
      <c r="D1629" s="77">
        <v>8.9999999999999993E-3</v>
      </c>
      <c r="E1629" s="77">
        <v>8.9999999999999993E-3</v>
      </c>
      <c r="F1629" s="77">
        <v>8.9999999999999993E-3</v>
      </c>
      <c r="G1629" s="78">
        <v>0</v>
      </c>
      <c r="K1629" s="106">
        <v>3.9000000000000003E-3</v>
      </c>
      <c r="L1629" s="80">
        <v>0</v>
      </c>
      <c r="M1629" s="75" t="s">
        <v>143</v>
      </c>
      <c r="N1629" s="75" t="b">
        <v>1</v>
      </c>
      <c r="O1629" s="75" t="s">
        <v>144</v>
      </c>
      <c r="P1629" s="75">
        <v>1994</v>
      </c>
      <c r="Q1629" s="107">
        <f t="shared" si="33"/>
        <v>2012</v>
      </c>
      <c r="R1629" s="107">
        <v>2</v>
      </c>
      <c r="S1629" s="100">
        <v>212056</v>
      </c>
      <c r="T1629" s="101">
        <v>41119</v>
      </c>
    </row>
    <row r="1630" spans="1:20" x14ac:dyDescent="0.3">
      <c r="A1630" s="68">
        <v>41071</v>
      </c>
      <c r="B1630" s="69">
        <f t="shared" si="35"/>
        <v>20120611</v>
      </c>
      <c r="C1630" s="70">
        <v>2.2599999999999999E-2</v>
      </c>
      <c r="D1630" s="77">
        <v>8.9999999999999993E-3</v>
      </c>
      <c r="E1630" s="77">
        <v>8.9999999999999993E-3</v>
      </c>
      <c r="F1630" s="77">
        <v>8.9999999999999993E-3</v>
      </c>
      <c r="G1630" s="78">
        <v>0</v>
      </c>
      <c r="K1630" s="106">
        <v>3.5999999999999999E-3</v>
      </c>
      <c r="L1630" s="80">
        <v>0</v>
      </c>
      <c r="M1630" s="75" t="s">
        <v>143</v>
      </c>
      <c r="N1630" s="75" t="b">
        <v>1</v>
      </c>
      <c r="O1630" s="75" t="s">
        <v>144</v>
      </c>
      <c r="P1630" s="75">
        <v>1994</v>
      </c>
      <c r="Q1630" s="107">
        <f t="shared" si="33"/>
        <v>2012</v>
      </c>
      <c r="R1630" s="107">
        <v>2</v>
      </c>
      <c r="S1630" s="100">
        <v>212056</v>
      </c>
      <c r="T1630" s="101">
        <v>41119</v>
      </c>
    </row>
    <row r="1631" spans="1:20" x14ac:dyDescent="0.3">
      <c r="A1631" s="68">
        <v>41072</v>
      </c>
      <c r="B1631" s="69">
        <f t="shared" si="35"/>
        <v>20120612</v>
      </c>
      <c r="C1631" s="70">
        <v>2.3E-2</v>
      </c>
      <c r="D1631" s="77">
        <v>8.9999999999999993E-3</v>
      </c>
      <c r="E1631" s="77">
        <v>8.9999999999999993E-3</v>
      </c>
      <c r="F1631" s="77">
        <v>8.9999999999999993E-3</v>
      </c>
      <c r="G1631" s="78">
        <v>0</v>
      </c>
      <c r="K1631" s="106">
        <v>3.9000000000000003E-3</v>
      </c>
      <c r="L1631" s="80">
        <v>0</v>
      </c>
      <c r="M1631" s="75" t="s">
        <v>143</v>
      </c>
      <c r="N1631" s="75" t="b">
        <v>1</v>
      </c>
      <c r="O1631" s="75" t="s">
        <v>144</v>
      </c>
      <c r="P1631" s="75">
        <v>1994</v>
      </c>
      <c r="Q1631" s="107">
        <f t="shared" si="33"/>
        <v>2012</v>
      </c>
      <c r="R1631" s="107">
        <v>2</v>
      </c>
      <c r="S1631" s="100">
        <v>212056</v>
      </c>
      <c r="T1631" s="101">
        <v>41119</v>
      </c>
    </row>
    <row r="1632" spans="1:20" x14ac:dyDescent="0.3">
      <c r="A1632" s="68">
        <v>41073</v>
      </c>
      <c r="B1632" s="69">
        <f t="shared" si="35"/>
        <v>20120613</v>
      </c>
      <c r="C1632" s="70">
        <v>2.2700000000000001E-2</v>
      </c>
      <c r="D1632" s="77">
        <v>8.9999999999999993E-3</v>
      </c>
      <c r="E1632" s="77">
        <v>8.9999999999999993E-3</v>
      </c>
      <c r="F1632" s="77">
        <v>8.9999999999999993E-3</v>
      </c>
      <c r="G1632" s="78">
        <v>0</v>
      </c>
      <c r="K1632" s="106">
        <v>3.8E-3</v>
      </c>
      <c r="L1632" s="80">
        <v>0</v>
      </c>
      <c r="M1632" s="75" t="s">
        <v>143</v>
      </c>
      <c r="N1632" s="75" t="b">
        <v>1</v>
      </c>
      <c r="O1632" s="75" t="s">
        <v>144</v>
      </c>
      <c r="P1632" s="75">
        <v>1994</v>
      </c>
      <c r="Q1632" s="107">
        <f t="shared" si="33"/>
        <v>2012</v>
      </c>
      <c r="R1632" s="107">
        <v>2</v>
      </c>
      <c r="S1632" s="100">
        <v>212056</v>
      </c>
      <c r="T1632" s="101">
        <v>41119</v>
      </c>
    </row>
    <row r="1633" spans="1:20" x14ac:dyDescent="0.3">
      <c r="A1633" s="68">
        <v>41074</v>
      </c>
      <c r="B1633" s="69">
        <f t="shared" si="35"/>
        <v>20120614</v>
      </c>
      <c r="C1633" s="70">
        <v>2.3E-2</v>
      </c>
      <c r="D1633" s="77">
        <v>8.9999999999999993E-3</v>
      </c>
      <c r="E1633" s="77">
        <v>8.9999999999999993E-3</v>
      </c>
      <c r="F1633" s="77">
        <v>8.9999999999999993E-3</v>
      </c>
      <c r="G1633" s="78">
        <v>0</v>
      </c>
      <c r="K1633" s="106">
        <v>4.0999999999999995E-3</v>
      </c>
      <c r="L1633" s="80">
        <v>0</v>
      </c>
      <c r="M1633" s="75" t="s">
        <v>143</v>
      </c>
      <c r="N1633" s="75" t="b">
        <v>1</v>
      </c>
      <c r="O1633" s="75" t="s">
        <v>144</v>
      </c>
      <c r="P1633" s="75">
        <v>1994</v>
      </c>
      <c r="Q1633" s="107">
        <f t="shared" si="33"/>
        <v>2012</v>
      </c>
      <c r="R1633" s="107">
        <v>2</v>
      </c>
      <c r="S1633" s="100">
        <v>212056</v>
      </c>
      <c r="T1633" s="101">
        <v>41119</v>
      </c>
    </row>
    <row r="1634" spans="1:20" x14ac:dyDescent="0.3">
      <c r="A1634" s="68">
        <v>41075</v>
      </c>
      <c r="B1634" s="69">
        <f t="shared" si="35"/>
        <v>20120615</v>
      </c>
      <c r="C1634" s="70">
        <v>2.2499999999999999E-2</v>
      </c>
      <c r="D1634" s="77">
        <v>8.9999999999999993E-3</v>
      </c>
      <c r="E1634" s="77">
        <v>8.9999999999999993E-3</v>
      </c>
      <c r="F1634" s="77">
        <v>8.9999999999999993E-3</v>
      </c>
      <c r="G1634" s="78">
        <v>0</v>
      </c>
      <c r="K1634" s="106">
        <v>3.8E-3</v>
      </c>
      <c r="L1634" s="80">
        <v>0</v>
      </c>
      <c r="M1634" s="75" t="s">
        <v>143</v>
      </c>
      <c r="N1634" s="75" t="b">
        <v>1</v>
      </c>
      <c r="O1634" s="75" t="s">
        <v>144</v>
      </c>
      <c r="P1634" s="75">
        <v>1994</v>
      </c>
      <c r="Q1634" s="107">
        <f t="shared" si="33"/>
        <v>2012</v>
      </c>
      <c r="R1634" s="107">
        <v>2</v>
      </c>
      <c r="S1634" s="100">
        <v>212056</v>
      </c>
      <c r="T1634" s="101">
        <v>41119</v>
      </c>
    </row>
    <row r="1635" spans="1:20" x14ac:dyDescent="0.3">
      <c r="A1635" s="68">
        <v>41076</v>
      </c>
      <c r="B1635" s="69">
        <f t="shared" si="35"/>
        <v>20120616</v>
      </c>
      <c r="C1635" s="70">
        <v>2.2499999999999999E-2</v>
      </c>
      <c r="D1635" s="77">
        <v>8.9999999999999993E-3</v>
      </c>
      <c r="E1635" s="77">
        <v>8.9999999999999993E-3</v>
      </c>
      <c r="F1635" s="77">
        <v>8.9999999999999993E-3</v>
      </c>
      <c r="G1635" s="78">
        <v>0</v>
      </c>
      <c r="K1635" s="106">
        <v>3.8E-3</v>
      </c>
      <c r="L1635" s="80">
        <v>0</v>
      </c>
      <c r="M1635" s="75" t="s">
        <v>143</v>
      </c>
      <c r="N1635" s="75" t="b">
        <v>1</v>
      </c>
      <c r="O1635" s="75" t="s">
        <v>144</v>
      </c>
      <c r="P1635" s="75">
        <v>1994</v>
      </c>
      <c r="Q1635" s="107">
        <f t="shared" si="33"/>
        <v>2012</v>
      </c>
      <c r="R1635" s="107">
        <v>2</v>
      </c>
      <c r="S1635" s="100">
        <v>212056</v>
      </c>
      <c r="T1635" s="101">
        <v>41119</v>
      </c>
    </row>
    <row r="1636" spans="1:20" x14ac:dyDescent="0.3">
      <c r="A1636" s="68">
        <v>41077</v>
      </c>
      <c r="B1636" s="69">
        <f t="shared" si="35"/>
        <v>20120617</v>
      </c>
      <c r="C1636" s="70">
        <v>2.2499999999999999E-2</v>
      </c>
      <c r="D1636" s="77">
        <v>8.9999999999999993E-3</v>
      </c>
      <c r="E1636" s="77">
        <v>8.9999999999999993E-3</v>
      </c>
      <c r="F1636" s="77">
        <v>8.9999999999999993E-3</v>
      </c>
      <c r="G1636" s="78">
        <v>0</v>
      </c>
      <c r="K1636" s="106">
        <v>3.8E-3</v>
      </c>
      <c r="L1636" s="80">
        <v>0</v>
      </c>
      <c r="M1636" s="75" t="s">
        <v>143</v>
      </c>
      <c r="N1636" s="75" t="b">
        <v>1</v>
      </c>
      <c r="O1636" s="75" t="s">
        <v>144</v>
      </c>
      <c r="P1636" s="75">
        <v>1994</v>
      </c>
      <c r="Q1636" s="107">
        <f t="shared" si="33"/>
        <v>2012</v>
      </c>
      <c r="R1636" s="107">
        <v>2</v>
      </c>
      <c r="S1636" s="100">
        <v>212056</v>
      </c>
      <c r="T1636" s="101">
        <v>41119</v>
      </c>
    </row>
    <row r="1637" spans="1:20" x14ac:dyDescent="0.3">
      <c r="A1637" s="68">
        <v>41078</v>
      </c>
      <c r="B1637" s="69">
        <f t="shared" si="35"/>
        <v>20120618</v>
      </c>
      <c r="C1637" s="70">
        <v>2.2599999999999999E-2</v>
      </c>
      <c r="D1637" s="77">
        <v>8.9999999999999993E-3</v>
      </c>
      <c r="E1637" s="77">
        <v>8.9999999999999993E-3</v>
      </c>
      <c r="F1637" s="77">
        <v>8.9999999999999993E-3</v>
      </c>
      <c r="G1637" s="78">
        <v>0</v>
      </c>
      <c r="K1637" s="106">
        <v>3.9000000000000003E-3</v>
      </c>
      <c r="L1637" s="80">
        <v>0</v>
      </c>
      <c r="M1637" s="75" t="s">
        <v>143</v>
      </c>
      <c r="N1637" s="75" t="b">
        <v>1</v>
      </c>
      <c r="O1637" s="75" t="s">
        <v>144</v>
      </c>
      <c r="P1637" s="75">
        <v>1994</v>
      </c>
      <c r="Q1637" s="107">
        <f t="shared" si="33"/>
        <v>2012</v>
      </c>
      <c r="R1637" s="107">
        <v>2</v>
      </c>
      <c r="S1637" s="100">
        <v>212056</v>
      </c>
      <c r="T1637" s="101">
        <v>41119</v>
      </c>
    </row>
    <row r="1638" spans="1:20" x14ac:dyDescent="0.3">
      <c r="A1638" s="68">
        <v>41079</v>
      </c>
      <c r="B1638" s="69">
        <f t="shared" si="35"/>
        <v>20120619</v>
      </c>
      <c r="C1638" s="70">
        <v>2.29E-2</v>
      </c>
      <c r="D1638" s="77">
        <v>8.9999999999999993E-3</v>
      </c>
      <c r="E1638" s="77">
        <v>8.9999999999999993E-3</v>
      </c>
      <c r="F1638" s="77">
        <v>8.9999999999999993E-3</v>
      </c>
      <c r="G1638" s="78">
        <v>0</v>
      </c>
      <c r="K1638" s="106">
        <v>4.0000000000000001E-3</v>
      </c>
      <c r="L1638" s="80">
        <v>0</v>
      </c>
      <c r="M1638" s="75" t="s">
        <v>143</v>
      </c>
      <c r="N1638" s="75" t="b">
        <v>1</v>
      </c>
      <c r="O1638" s="75" t="s">
        <v>144</v>
      </c>
      <c r="P1638" s="75">
        <v>1994</v>
      </c>
      <c r="Q1638" s="107">
        <f t="shared" si="33"/>
        <v>2012</v>
      </c>
      <c r="R1638" s="107">
        <v>2</v>
      </c>
      <c r="S1638" s="100">
        <v>212056</v>
      </c>
      <c r="T1638" s="101">
        <v>41119</v>
      </c>
    </row>
    <row r="1639" spans="1:20" x14ac:dyDescent="0.3">
      <c r="A1639" s="68">
        <v>41080</v>
      </c>
      <c r="B1639" s="69">
        <f t="shared" si="35"/>
        <v>20120620</v>
      </c>
      <c r="C1639" s="70">
        <v>2.2799999999999997E-2</v>
      </c>
      <c r="D1639" s="77">
        <v>8.9999999999999993E-3</v>
      </c>
      <c r="E1639" s="77">
        <v>8.9999999999999993E-3</v>
      </c>
      <c r="F1639" s="77">
        <v>8.9999999999999993E-3</v>
      </c>
      <c r="G1639" s="78">
        <v>0</v>
      </c>
      <c r="K1639" s="106">
        <v>3.9000000000000003E-3</v>
      </c>
      <c r="L1639" s="80">
        <v>0</v>
      </c>
      <c r="M1639" s="75" t="s">
        <v>143</v>
      </c>
      <c r="N1639" s="75" t="b">
        <v>1</v>
      </c>
      <c r="O1639" s="75" t="s">
        <v>144</v>
      </c>
      <c r="P1639" s="75">
        <v>1994</v>
      </c>
      <c r="Q1639" s="107">
        <f t="shared" si="33"/>
        <v>2012</v>
      </c>
      <c r="R1639" s="107">
        <v>2</v>
      </c>
      <c r="S1639" s="100">
        <v>212056</v>
      </c>
      <c r="T1639" s="101">
        <v>41119</v>
      </c>
    </row>
    <row r="1640" spans="1:20" x14ac:dyDescent="0.3">
      <c r="A1640" s="68">
        <v>41081</v>
      </c>
      <c r="B1640" s="69">
        <f t="shared" si="35"/>
        <v>20120621</v>
      </c>
      <c r="C1640" s="70">
        <v>2.2400000000000003E-2</v>
      </c>
      <c r="D1640" s="77">
        <v>8.9999999999999993E-3</v>
      </c>
      <c r="E1640" s="77">
        <v>8.9999999999999993E-3</v>
      </c>
      <c r="F1640" s="77">
        <v>8.9999999999999993E-3</v>
      </c>
      <c r="G1640" s="78">
        <v>0</v>
      </c>
      <c r="K1640" s="106">
        <v>3.8E-3</v>
      </c>
      <c r="L1640" s="80">
        <v>0</v>
      </c>
      <c r="M1640" s="75" t="s">
        <v>143</v>
      </c>
      <c r="N1640" s="75" t="b">
        <v>1</v>
      </c>
      <c r="O1640" s="75" t="s">
        <v>144</v>
      </c>
      <c r="P1640" s="75">
        <v>1994</v>
      </c>
      <c r="Q1640" s="107">
        <f t="shared" si="33"/>
        <v>2012</v>
      </c>
      <c r="R1640" s="107">
        <v>2</v>
      </c>
      <c r="S1640" s="100">
        <v>212056</v>
      </c>
      <c r="T1640" s="101">
        <v>41119</v>
      </c>
    </row>
    <row r="1641" spans="1:20" x14ac:dyDescent="0.3">
      <c r="A1641" s="68">
        <v>41082</v>
      </c>
      <c r="B1641" s="69">
        <f t="shared" si="35"/>
        <v>20120622</v>
      </c>
      <c r="C1641" s="70">
        <v>2.2799999999999997E-2</v>
      </c>
      <c r="D1641" s="77">
        <v>8.9999999999999993E-3</v>
      </c>
      <c r="E1641" s="77">
        <v>8.9999999999999993E-3</v>
      </c>
      <c r="F1641" s="77">
        <v>8.9999999999999993E-3</v>
      </c>
      <c r="G1641" s="78">
        <v>0</v>
      </c>
      <c r="K1641" s="106">
        <v>4.4000000000000003E-3</v>
      </c>
      <c r="L1641" s="80">
        <v>0</v>
      </c>
      <c r="M1641" s="75" t="s">
        <v>143</v>
      </c>
      <c r="N1641" s="75" t="b">
        <v>1</v>
      </c>
      <c r="O1641" s="75" t="s">
        <v>144</v>
      </c>
      <c r="P1641" s="75">
        <v>1994</v>
      </c>
      <c r="Q1641" s="107">
        <f t="shared" si="33"/>
        <v>2012</v>
      </c>
      <c r="R1641" s="107">
        <v>2</v>
      </c>
      <c r="S1641" s="100">
        <v>212056</v>
      </c>
      <c r="T1641" s="101">
        <v>41119</v>
      </c>
    </row>
    <row r="1642" spans="1:20" x14ac:dyDescent="0.3">
      <c r="A1642" s="68">
        <v>41083</v>
      </c>
      <c r="B1642" s="69">
        <f t="shared" si="35"/>
        <v>20120623</v>
      </c>
      <c r="C1642" s="70">
        <v>2.2799999999999997E-2</v>
      </c>
      <c r="D1642" s="77">
        <v>8.9999999999999993E-3</v>
      </c>
      <c r="E1642" s="77">
        <v>8.9999999999999993E-3</v>
      </c>
      <c r="F1642" s="77">
        <v>8.9999999999999993E-3</v>
      </c>
      <c r="G1642" s="78">
        <v>0</v>
      </c>
      <c r="K1642" s="106">
        <v>4.4000000000000003E-3</v>
      </c>
      <c r="L1642" s="80">
        <v>0</v>
      </c>
      <c r="M1642" s="75" t="s">
        <v>143</v>
      </c>
      <c r="N1642" s="75" t="b">
        <v>1</v>
      </c>
      <c r="O1642" s="75" t="s">
        <v>144</v>
      </c>
      <c r="P1642" s="75">
        <v>1994</v>
      </c>
      <c r="Q1642" s="107">
        <f t="shared" si="33"/>
        <v>2012</v>
      </c>
      <c r="R1642" s="107">
        <v>2</v>
      </c>
      <c r="S1642" s="100">
        <v>212056</v>
      </c>
      <c r="T1642" s="101">
        <v>41119</v>
      </c>
    </row>
    <row r="1643" spans="1:20" x14ac:dyDescent="0.3">
      <c r="A1643" s="68">
        <v>41084</v>
      </c>
      <c r="B1643" s="69">
        <f t="shared" si="35"/>
        <v>20120624</v>
      </c>
      <c r="C1643" s="70">
        <v>2.2799999999999997E-2</v>
      </c>
      <c r="D1643" s="77">
        <v>8.9999999999999993E-3</v>
      </c>
      <c r="E1643" s="77">
        <v>8.9999999999999993E-3</v>
      </c>
      <c r="F1643" s="77">
        <v>8.9999999999999993E-3</v>
      </c>
      <c r="G1643" s="78">
        <v>0</v>
      </c>
      <c r="K1643" s="106">
        <v>4.4000000000000003E-3</v>
      </c>
      <c r="L1643" s="80">
        <v>0</v>
      </c>
      <c r="M1643" s="75" t="s">
        <v>143</v>
      </c>
      <c r="N1643" s="75" t="b">
        <v>1</v>
      </c>
      <c r="O1643" s="75" t="s">
        <v>144</v>
      </c>
      <c r="P1643" s="75">
        <v>1994</v>
      </c>
      <c r="Q1643" s="107">
        <f t="shared" si="33"/>
        <v>2012</v>
      </c>
      <c r="R1643" s="107">
        <v>2</v>
      </c>
      <c r="S1643" s="100">
        <v>212056</v>
      </c>
      <c r="T1643" s="101">
        <v>41119</v>
      </c>
    </row>
    <row r="1644" spans="1:20" x14ac:dyDescent="0.3">
      <c r="A1644" s="68">
        <v>41085</v>
      </c>
      <c r="B1644" s="69">
        <f t="shared" si="35"/>
        <v>20120625</v>
      </c>
      <c r="C1644" s="70">
        <v>2.2200000000000001E-2</v>
      </c>
      <c r="D1644" s="77">
        <v>8.9999999999999993E-3</v>
      </c>
      <c r="E1644" s="77">
        <v>8.9999999999999993E-3</v>
      </c>
      <c r="F1644" s="77">
        <v>8.9999999999999993E-3</v>
      </c>
      <c r="G1644" s="78">
        <v>0</v>
      </c>
      <c r="K1644" s="106">
        <v>4.0000000000000001E-3</v>
      </c>
      <c r="L1644" s="80">
        <v>0</v>
      </c>
      <c r="M1644" s="75" t="s">
        <v>143</v>
      </c>
      <c r="N1644" s="75" t="b">
        <v>1</v>
      </c>
      <c r="O1644" s="75" t="s">
        <v>144</v>
      </c>
      <c r="P1644" s="75">
        <v>1994</v>
      </c>
      <c r="Q1644" s="107">
        <f t="shared" si="33"/>
        <v>2012</v>
      </c>
      <c r="R1644" s="107">
        <v>2</v>
      </c>
      <c r="S1644" s="100">
        <v>212056</v>
      </c>
      <c r="T1644" s="101">
        <v>41119</v>
      </c>
    </row>
    <row r="1645" spans="1:20" x14ac:dyDescent="0.3">
      <c r="A1645" s="68">
        <v>41086</v>
      </c>
      <c r="B1645" s="69">
        <f t="shared" si="35"/>
        <v>20120626</v>
      </c>
      <c r="C1645" s="70">
        <v>2.2499999999999999E-2</v>
      </c>
      <c r="D1645" s="77">
        <v>8.9999999999999993E-3</v>
      </c>
      <c r="E1645" s="77">
        <v>8.9999999999999993E-3</v>
      </c>
      <c r="F1645" s="77">
        <v>8.9999999999999993E-3</v>
      </c>
      <c r="G1645" s="78">
        <v>0</v>
      </c>
      <c r="K1645" s="106">
        <v>4.1999999999999997E-3</v>
      </c>
      <c r="L1645" s="80">
        <v>0</v>
      </c>
      <c r="M1645" s="75" t="s">
        <v>143</v>
      </c>
      <c r="N1645" s="75" t="b">
        <v>1</v>
      </c>
      <c r="O1645" s="75" t="s">
        <v>144</v>
      </c>
      <c r="P1645" s="75">
        <v>1994</v>
      </c>
      <c r="Q1645" s="107">
        <f t="shared" si="33"/>
        <v>2012</v>
      </c>
      <c r="R1645" s="107">
        <v>2</v>
      </c>
      <c r="S1645" s="100">
        <v>212056</v>
      </c>
      <c r="T1645" s="101">
        <v>41119</v>
      </c>
    </row>
    <row r="1646" spans="1:20" x14ac:dyDescent="0.3">
      <c r="A1646" s="68">
        <v>41087</v>
      </c>
      <c r="B1646" s="69">
        <f t="shared" si="35"/>
        <v>20120627</v>
      </c>
      <c r="C1646" s="70">
        <v>2.2400000000000003E-2</v>
      </c>
      <c r="D1646" s="77">
        <v>8.9999999999999993E-3</v>
      </c>
      <c r="E1646" s="77">
        <v>8.9999999999999993E-3</v>
      </c>
      <c r="F1646" s="77">
        <v>8.9999999999999993E-3</v>
      </c>
      <c r="G1646" s="78">
        <v>0</v>
      </c>
      <c r="K1646" s="106">
        <v>4.1999999999999997E-3</v>
      </c>
      <c r="L1646" s="80">
        <v>0</v>
      </c>
      <c r="M1646" s="75" t="s">
        <v>143</v>
      </c>
      <c r="N1646" s="75" t="b">
        <v>1</v>
      </c>
      <c r="O1646" s="75" t="s">
        <v>144</v>
      </c>
      <c r="P1646" s="75">
        <v>1994</v>
      </c>
      <c r="Q1646" s="107">
        <f t="shared" ref="Q1646:Q1709" si="36">YEAR(A1646)</f>
        <v>2012</v>
      </c>
      <c r="R1646" s="107">
        <v>2</v>
      </c>
      <c r="S1646" s="100">
        <v>212056</v>
      </c>
      <c r="T1646" s="101">
        <v>41119</v>
      </c>
    </row>
    <row r="1647" spans="1:20" x14ac:dyDescent="0.3">
      <c r="A1647" s="68">
        <v>41088</v>
      </c>
      <c r="B1647" s="69">
        <f t="shared" si="35"/>
        <v>20120628</v>
      </c>
      <c r="C1647" s="70">
        <v>2.2099999999999998E-2</v>
      </c>
      <c r="D1647" s="77">
        <v>8.9999999999999993E-3</v>
      </c>
      <c r="E1647" s="77">
        <v>8.9999999999999993E-3</v>
      </c>
      <c r="F1647" s="77">
        <v>8.9999999999999993E-3</v>
      </c>
      <c r="G1647" s="78">
        <v>0</v>
      </c>
      <c r="K1647" s="106">
        <v>4.1999999999999997E-3</v>
      </c>
      <c r="L1647" s="80">
        <v>0</v>
      </c>
      <c r="M1647" s="75" t="s">
        <v>143</v>
      </c>
      <c r="N1647" s="75" t="b">
        <v>1</v>
      </c>
      <c r="O1647" s="75" t="s">
        <v>144</v>
      </c>
      <c r="P1647" s="75">
        <v>1994</v>
      </c>
      <c r="Q1647" s="107">
        <f t="shared" si="36"/>
        <v>2012</v>
      </c>
      <c r="R1647" s="107">
        <v>2</v>
      </c>
      <c r="S1647" s="100">
        <v>212056</v>
      </c>
      <c r="T1647" s="101">
        <v>41119</v>
      </c>
    </row>
    <row r="1648" spans="1:20" x14ac:dyDescent="0.3">
      <c r="A1648" s="68">
        <v>41089</v>
      </c>
      <c r="B1648" s="69">
        <f t="shared" si="35"/>
        <v>20120629</v>
      </c>
      <c r="C1648" s="70">
        <v>2.2499999999999999E-2</v>
      </c>
      <c r="D1648" s="77">
        <v>8.9999999999999993E-3</v>
      </c>
      <c r="E1648" s="77">
        <v>8.9999999999999993E-3</v>
      </c>
      <c r="F1648" s="77">
        <v>8.9999999999999993E-3</v>
      </c>
      <c r="G1648" s="78">
        <v>0</v>
      </c>
      <c r="K1648" s="106">
        <v>4.4000000000000003E-3</v>
      </c>
      <c r="L1648" s="80">
        <v>0</v>
      </c>
      <c r="M1648" s="75" t="s">
        <v>143</v>
      </c>
      <c r="N1648" s="75" t="b">
        <v>1</v>
      </c>
      <c r="O1648" s="75" t="s">
        <v>144</v>
      </c>
      <c r="P1648" s="75">
        <v>1994</v>
      </c>
      <c r="Q1648" s="107">
        <f t="shared" si="36"/>
        <v>2012</v>
      </c>
      <c r="R1648" s="107">
        <v>2</v>
      </c>
      <c r="S1648" s="100">
        <v>212056</v>
      </c>
      <c r="T1648" s="101">
        <v>41119</v>
      </c>
    </row>
    <row r="1649" spans="1:21" s="99" customFormat="1" x14ac:dyDescent="0.3">
      <c r="A1649" s="85">
        <v>41090</v>
      </c>
      <c r="B1649" s="86">
        <f t="shared" si="35"/>
        <v>20120630</v>
      </c>
      <c r="C1649" s="87">
        <v>2.2499999999999999E-2</v>
      </c>
      <c r="D1649" s="89">
        <v>8.0000000000000002E-3</v>
      </c>
      <c r="E1649" s="89">
        <v>8.0000000000000002E-3</v>
      </c>
      <c r="F1649" s="89">
        <v>8.0000000000000002E-3</v>
      </c>
      <c r="G1649" s="103">
        <v>0</v>
      </c>
      <c r="H1649" s="91"/>
      <c r="I1649" s="91"/>
      <c r="J1649" s="91"/>
      <c r="K1649" s="92">
        <v>4.4000000000000003E-3</v>
      </c>
      <c r="L1649" s="92">
        <v>0</v>
      </c>
      <c r="M1649" s="98" t="s">
        <v>143</v>
      </c>
      <c r="N1649" s="98" t="b">
        <v>1</v>
      </c>
      <c r="O1649" s="98" t="s">
        <v>144</v>
      </c>
      <c r="P1649" s="98">
        <v>1994</v>
      </c>
      <c r="Q1649" s="105">
        <f t="shared" si="36"/>
        <v>2012</v>
      </c>
      <c r="R1649" s="105">
        <v>2</v>
      </c>
      <c r="S1649" s="93">
        <v>212066</v>
      </c>
      <c r="T1649" s="94">
        <v>41137</v>
      </c>
      <c r="U1649" s="95" t="s">
        <v>176</v>
      </c>
    </row>
    <row r="1650" spans="1:21" x14ac:dyDescent="0.3">
      <c r="A1650" s="68">
        <v>41091</v>
      </c>
      <c r="B1650" s="69">
        <f>YEAR(A1650)*10000+MONTH(A1650)*100+DAY(A1650)</f>
        <v>20120701</v>
      </c>
      <c r="C1650" s="70">
        <v>2.2499999999999999E-2</v>
      </c>
      <c r="D1650" s="77">
        <v>8.0000000000000002E-3</v>
      </c>
      <c r="E1650" s="77">
        <v>8.0000000000000002E-3</v>
      </c>
      <c r="F1650" s="77">
        <v>8.0000000000000002E-3</v>
      </c>
      <c r="G1650" s="78">
        <v>0</v>
      </c>
      <c r="K1650" s="106">
        <v>4.4000000000000003E-3</v>
      </c>
      <c r="L1650" s="80">
        <v>0</v>
      </c>
      <c r="M1650" s="75" t="s">
        <v>143</v>
      </c>
      <c r="N1650" s="75" t="b">
        <v>1</v>
      </c>
      <c r="O1650" s="75" t="s">
        <v>144</v>
      </c>
      <c r="P1650" s="75">
        <v>1994</v>
      </c>
      <c r="Q1650" s="107">
        <f t="shared" si="36"/>
        <v>2012</v>
      </c>
      <c r="R1650" s="107">
        <v>2</v>
      </c>
      <c r="S1650" s="100">
        <v>212066</v>
      </c>
      <c r="T1650" s="101">
        <v>41137</v>
      </c>
    </row>
    <row r="1651" spans="1:21" x14ac:dyDescent="0.3">
      <c r="A1651" s="68">
        <v>41092</v>
      </c>
      <c r="B1651" s="69">
        <f t="shared" si="35"/>
        <v>20120702</v>
      </c>
      <c r="C1651" s="70">
        <v>2.2499999999999999E-2</v>
      </c>
      <c r="D1651" s="77">
        <v>8.0000000000000002E-3</v>
      </c>
      <c r="E1651" s="77">
        <v>8.0000000000000002E-3</v>
      </c>
      <c r="F1651" s="77">
        <v>8.0000000000000002E-3</v>
      </c>
      <c r="G1651" s="78">
        <v>0</v>
      </c>
      <c r="K1651" s="106">
        <v>4.4000000000000003E-3</v>
      </c>
      <c r="L1651" s="80">
        <v>0</v>
      </c>
      <c r="M1651" s="75" t="s">
        <v>143</v>
      </c>
      <c r="N1651" s="75" t="b">
        <v>1</v>
      </c>
      <c r="O1651" s="75" t="s">
        <v>144</v>
      </c>
      <c r="P1651" s="75">
        <v>1994</v>
      </c>
      <c r="Q1651" s="107">
        <f t="shared" si="36"/>
        <v>2012</v>
      </c>
      <c r="R1651" s="107">
        <v>2</v>
      </c>
      <c r="S1651" s="100">
        <v>212066</v>
      </c>
      <c r="T1651" s="101">
        <v>41137</v>
      </c>
    </row>
    <row r="1652" spans="1:21" x14ac:dyDescent="0.3">
      <c r="A1652" s="68">
        <v>41093</v>
      </c>
      <c r="B1652" s="69">
        <f t="shared" si="35"/>
        <v>20120703</v>
      </c>
      <c r="C1652" s="70">
        <v>2.2499999999999999E-2</v>
      </c>
      <c r="D1652" s="77">
        <v>8.0000000000000002E-3</v>
      </c>
      <c r="E1652" s="77">
        <v>8.0000000000000002E-3</v>
      </c>
      <c r="F1652" s="77">
        <v>8.0000000000000002E-3</v>
      </c>
      <c r="G1652" s="78">
        <v>0</v>
      </c>
      <c r="K1652" s="106">
        <v>4.3E-3</v>
      </c>
      <c r="L1652" s="80">
        <v>0</v>
      </c>
      <c r="M1652" s="75" t="s">
        <v>143</v>
      </c>
      <c r="N1652" s="75" t="b">
        <v>1</v>
      </c>
      <c r="O1652" s="75" t="s">
        <v>144</v>
      </c>
      <c r="P1652" s="75">
        <v>1994</v>
      </c>
      <c r="Q1652" s="107">
        <f t="shared" si="36"/>
        <v>2012</v>
      </c>
      <c r="R1652" s="107">
        <v>2</v>
      </c>
      <c r="S1652" s="100">
        <v>212066</v>
      </c>
      <c r="T1652" s="101">
        <v>41137</v>
      </c>
    </row>
    <row r="1653" spans="1:21" x14ac:dyDescent="0.3">
      <c r="A1653" s="68">
        <v>41094</v>
      </c>
      <c r="B1653" s="69">
        <f t="shared" si="35"/>
        <v>20120704</v>
      </c>
      <c r="C1653" s="70">
        <v>2.2200000000000001E-2</v>
      </c>
      <c r="D1653" s="77">
        <v>8.0000000000000002E-3</v>
      </c>
      <c r="E1653" s="77">
        <v>8.0000000000000002E-3</v>
      </c>
      <c r="F1653" s="77">
        <v>8.0000000000000002E-3</v>
      </c>
      <c r="G1653" s="78">
        <v>0</v>
      </c>
      <c r="K1653" s="106">
        <v>4.0000000000000001E-3</v>
      </c>
      <c r="L1653" s="80">
        <v>0</v>
      </c>
      <c r="M1653" s="75" t="s">
        <v>143</v>
      </c>
      <c r="N1653" s="75" t="b">
        <v>1</v>
      </c>
      <c r="O1653" s="75" t="s">
        <v>144</v>
      </c>
      <c r="P1653" s="75">
        <v>1994</v>
      </c>
      <c r="Q1653" s="107">
        <f t="shared" si="36"/>
        <v>2012</v>
      </c>
      <c r="R1653" s="107">
        <v>2</v>
      </c>
      <c r="S1653" s="100">
        <v>212066</v>
      </c>
      <c r="T1653" s="101">
        <v>41137</v>
      </c>
    </row>
    <row r="1654" spans="1:21" x14ac:dyDescent="0.3">
      <c r="A1654" s="68">
        <v>41095</v>
      </c>
      <c r="B1654" s="69">
        <f t="shared" si="35"/>
        <v>20120705</v>
      </c>
      <c r="C1654" s="70">
        <v>2.23E-2</v>
      </c>
      <c r="D1654" s="77">
        <v>8.0000000000000002E-3</v>
      </c>
      <c r="E1654" s="77">
        <v>8.0000000000000002E-3</v>
      </c>
      <c r="F1654" s="77">
        <v>8.0000000000000002E-3</v>
      </c>
      <c r="G1654" s="78">
        <v>0</v>
      </c>
      <c r="K1654" s="106">
        <v>4.0999999999999995E-3</v>
      </c>
      <c r="L1654" s="80">
        <v>0</v>
      </c>
      <c r="M1654" s="75" t="s">
        <v>143</v>
      </c>
      <c r="N1654" s="75" t="b">
        <v>1</v>
      </c>
      <c r="O1654" s="75" t="s">
        <v>144</v>
      </c>
      <c r="P1654" s="75">
        <v>1994</v>
      </c>
      <c r="Q1654" s="107">
        <f t="shared" si="36"/>
        <v>2012</v>
      </c>
      <c r="R1654" s="107">
        <v>2</v>
      </c>
      <c r="S1654" s="100">
        <v>212066</v>
      </c>
      <c r="T1654" s="101">
        <v>41137</v>
      </c>
    </row>
    <row r="1655" spans="1:21" x14ac:dyDescent="0.3">
      <c r="A1655" s="68">
        <v>41096</v>
      </c>
      <c r="B1655" s="69">
        <f t="shared" si="35"/>
        <v>20120706</v>
      </c>
      <c r="C1655" s="70">
        <v>2.2099999999999998E-2</v>
      </c>
      <c r="D1655" s="77">
        <v>8.0000000000000002E-3</v>
      </c>
      <c r="E1655" s="77">
        <v>8.0000000000000002E-3</v>
      </c>
      <c r="F1655" s="77">
        <v>8.0000000000000002E-3</v>
      </c>
      <c r="G1655" s="78">
        <v>0</v>
      </c>
      <c r="K1655" s="106">
        <v>4.0999999999999995E-3</v>
      </c>
      <c r="L1655" s="80">
        <v>0</v>
      </c>
      <c r="M1655" s="75" t="s">
        <v>143</v>
      </c>
      <c r="N1655" s="75" t="b">
        <v>1</v>
      </c>
      <c r="O1655" s="75" t="s">
        <v>144</v>
      </c>
      <c r="P1655" s="75">
        <v>1994</v>
      </c>
      <c r="Q1655" s="107">
        <f t="shared" si="36"/>
        <v>2012</v>
      </c>
      <c r="R1655" s="107">
        <v>2</v>
      </c>
      <c r="S1655" s="100">
        <v>212066</v>
      </c>
      <c r="T1655" s="101">
        <v>41137</v>
      </c>
    </row>
    <row r="1656" spans="1:21" x14ac:dyDescent="0.3">
      <c r="A1656" s="68">
        <v>41097</v>
      </c>
      <c r="B1656" s="69">
        <f>YEAR(A1656)*10000+MONTH(A1656)*100+DAY(A1656)</f>
        <v>20120707</v>
      </c>
      <c r="C1656" s="70">
        <v>2.2099999999999998E-2</v>
      </c>
      <c r="D1656" s="77">
        <v>8.0000000000000002E-3</v>
      </c>
      <c r="E1656" s="77">
        <v>8.0000000000000002E-3</v>
      </c>
      <c r="F1656" s="77">
        <v>8.0000000000000002E-3</v>
      </c>
      <c r="G1656" s="78">
        <v>0</v>
      </c>
      <c r="K1656" s="106">
        <v>4.0999999999999995E-3</v>
      </c>
      <c r="L1656" s="80">
        <v>0</v>
      </c>
      <c r="M1656" s="75" t="s">
        <v>143</v>
      </c>
      <c r="N1656" s="75" t="b">
        <v>1</v>
      </c>
      <c r="O1656" s="75" t="s">
        <v>144</v>
      </c>
      <c r="P1656" s="75">
        <v>1994</v>
      </c>
      <c r="Q1656" s="107">
        <f t="shared" si="36"/>
        <v>2012</v>
      </c>
      <c r="R1656" s="107">
        <v>2</v>
      </c>
      <c r="S1656" s="100">
        <v>212066</v>
      </c>
      <c r="T1656" s="101">
        <v>41137</v>
      </c>
    </row>
    <row r="1657" spans="1:21" x14ac:dyDescent="0.3">
      <c r="A1657" s="68">
        <v>41098</v>
      </c>
      <c r="B1657" s="69">
        <f>YEAR(A1657)*10000+MONTH(A1657)*100+DAY(A1657)</f>
        <v>20120708</v>
      </c>
      <c r="C1657" s="70">
        <v>2.2099999999999998E-2</v>
      </c>
      <c r="D1657" s="77">
        <v>8.0000000000000002E-3</v>
      </c>
      <c r="E1657" s="77">
        <v>8.0000000000000002E-3</v>
      </c>
      <c r="F1657" s="77">
        <v>8.0000000000000002E-3</v>
      </c>
      <c r="G1657" s="78">
        <v>0</v>
      </c>
      <c r="K1657" s="106">
        <v>4.0999999999999995E-3</v>
      </c>
      <c r="L1657" s="80">
        <v>0</v>
      </c>
      <c r="M1657" s="75" t="s">
        <v>143</v>
      </c>
      <c r="N1657" s="75" t="b">
        <v>1</v>
      </c>
      <c r="O1657" s="75" t="s">
        <v>144</v>
      </c>
      <c r="P1657" s="75">
        <v>1994</v>
      </c>
      <c r="Q1657" s="107">
        <f t="shared" si="36"/>
        <v>2012</v>
      </c>
      <c r="R1657" s="107">
        <v>2</v>
      </c>
      <c r="S1657" s="100">
        <v>212066</v>
      </c>
      <c r="T1657" s="101">
        <v>41137</v>
      </c>
    </row>
    <row r="1658" spans="1:21" x14ac:dyDescent="0.3">
      <c r="A1658" s="68">
        <v>41099</v>
      </c>
      <c r="B1658" s="69">
        <f t="shared" si="35"/>
        <v>20120709</v>
      </c>
      <c r="C1658" s="70">
        <v>2.1899999999999999E-2</v>
      </c>
      <c r="D1658" s="77">
        <v>8.0000000000000002E-3</v>
      </c>
      <c r="E1658" s="77">
        <v>8.0000000000000002E-3</v>
      </c>
      <c r="F1658" s="77">
        <v>8.0000000000000002E-3</v>
      </c>
      <c r="G1658" s="78">
        <v>0</v>
      </c>
      <c r="K1658" s="106">
        <v>3.9000000000000003E-3</v>
      </c>
      <c r="L1658" s="80">
        <v>0</v>
      </c>
      <c r="M1658" s="75" t="s">
        <v>143</v>
      </c>
      <c r="N1658" s="75" t="b">
        <v>1</v>
      </c>
      <c r="O1658" s="75" t="s">
        <v>144</v>
      </c>
      <c r="P1658" s="75">
        <v>1994</v>
      </c>
      <c r="Q1658" s="107">
        <f t="shared" si="36"/>
        <v>2012</v>
      </c>
      <c r="R1658" s="107">
        <v>2</v>
      </c>
      <c r="S1658" s="100">
        <v>212066</v>
      </c>
      <c r="T1658" s="101">
        <v>41137</v>
      </c>
    </row>
    <row r="1659" spans="1:21" x14ac:dyDescent="0.3">
      <c r="A1659" s="68">
        <v>41100</v>
      </c>
      <c r="B1659" s="69">
        <f t="shared" si="35"/>
        <v>20120710</v>
      </c>
      <c r="C1659" s="70">
        <v>2.18E-2</v>
      </c>
      <c r="D1659" s="77">
        <v>8.0000000000000002E-3</v>
      </c>
      <c r="E1659" s="77">
        <v>8.0000000000000002E-3</v>
      </c>
      <c r="F1659" s="77">
        <v>8.0000000000000002E-3</v>
      </c>
      <c r="G1659" s="78">
        <v>0</v>
      </c>
      <c r="K1659" s="106">
        <v>3.7000000000000002E-3</v>
      </c>
      <c r="L1659" s="80">
        <v>0</v>
      </c>
      <c r="M1659" s="75" t="s">
        <v>143</v>
      </c>
      <c r="N1659" s="75" t="b">
        <v>1</v>
      </c>
      <c r="O1659" s="75" t="s">
        <v>144</v>
      </c>
      <c r="P1659" s="75">
        <v>1994</v>
      </c>
      <c r="Q1659" s="107">
        <f t="shared" si="36"/>
        <v>2012</v>
      </c>
      <c r="R1659" s="107">
        <v>2</v>
      </c>
      <c r="S1659" s="100">
        <v>212066</v>
      </c>
      <c r="T1659" s="101">
        <v>41137</v>
      </c>
    </row>
    <row r="1660" spans="1:21" x14ac:dyDescent="0.3">
      <c r="A1660" s="68">
        <v>41101</v>
      </c>
      <c r="B1660" s="69">
        <f t="shared" si="35"/>
        <v>20120711</v>
      </c>
      <c r="C1660" s="70">
        <v>2.1899999999999999E-2</v>
      </c>
      <c r="D1660" s="77">
        <v>8.0000000000000002E-3</v>
      </c>
      <c r="E1660" s="77">
        <v>8.0000000000000002E-3</v>
      </c>
      <c r="F1660" s="77">
        <v>8.0000000000000002E-3</v>
      </c>
      <c r="G1660" s="78">
        <v>0</v>
      </c>
      <c r="K1660" s="106">
        <v>3.7000000000000002E-3</v>
      </c>
      <c r="L1660" s="80">
        <v>0</v>
      </c>
      <c r="M1660" s="75" t="s">
        <v>143</v>
      </c>
      <c r="N1660" s="75" t="b">
        <v>1</v>
      </c>
      <c r="O1660" s="75" t="s">
        <v>144</v>
      </c>
      <c r="P1660" s="75">
        <v>1994</v>
      </c>
      <c r="Q1660" s="107">
        <f t="shared" si="36"/>
        <v>2012</v>
      </c>
      <c r="R1660" s="107">
        <v>2</v>
      </c>
      <c r="S1660" s="100">
        <v>212066</v>
      </c>
      <c r="T1660" s="101">
        <v>41137</v>
      </c>
    </row>
    <row r="1661" spans="1:21" x14ac:dyDescent="0.3">
      <c r="A1661" s="68">
        <v>41102</v>
      </c>
      <c r="B1661" s="69">
        <f t="shared" si="35"/>
        <v>20120712</v>
      </c>
      <c r="C1661" s="70">
        <v>2.1600000000000001E-2</v>
      </c>
      <c r="D1661" s="77">
        <v>8.0000000000000002E-3</v>
      </c>
      <c r="E1661" s="77">
        <v>8.0000000000000002E-3</v>
      </c>
      <c r="F1661" s="77">
        <v>8.0000000000000002E-3</v>
      </c>
      <c r="G1661" s="78">
        <v>0</v>
      </c>
      <c r="K1661" s="106">
        <v>3.4999999999999996E-3</v>
      </c>
      <c r="L1661" s="80">
        <v>0</v>
      </c>
      <c r="M1661" s="75" t="s">
        <v>143</v>
      </c>
      <c r="N1661" s="75" t="b">
        <v>1</v>
      </c>
      <c r="O1661" s="75" t="s">
        <v>144</v>
      </c>
      <c r="P1661" s="75">
        <v>1994</v>
      </c>
      <c r="Q1661" s="107">
        <f t="shared" si="36"/>
        <v>2012</v>
      </c>
      <c r="R1661" s="107">
        <v>2</v>
      </c>
      <c r="S1661" s="100">
        <v>212066</v>
      </c>
      <c r="T1661" s="101">
        <v>41137</v>
      </c>
    </row>
    <row r="1662" spans="1:21" x14ac:dyDescent="0.3">
      <c r="A1662" s="68">
        <v>41103</v>
      </c>
      <c r="B1662" s="69">
        <f t="shared" si="35"/>
        <v>20120713</v>
      </c>
      <c r="C1662" s="70">
        <v>2.1700000000000001E-2</v>
      </c>
      <c r="D1662" s="77">
        <v>8.0000000000000002E-3</v>
      </c>
      <c r="E1662" s="77">
        <v>8.0000000000000002E-3</v>
      </c>
      <c r="F1662" s="77">
        <v>8.0000000000000002E-3</v>
      </c>
      <c r="G1662" s="78">
        <v>0</v>
      </c>
      <c r="K1662" s="106">
        <v>3.5999999999999999E-3</v>
      </c>
      <c r="L1662" s="80">
        <v>0</v>
      </c>
      <c r="M1662" s="75" t="s">
        <v>143</v>
      </c>
      <c r="N1662" s="75" t="b">
        <v>1</v>
      </c>
      <c r="O1662" s="75" t="s">
        <v>144</v>
      </c>
      <c r="P1662" s="75">
        <v>1994</v>
      </c>
      <c r="Q1662" s="107">
        <f t="shared" si="36"/>
        <v>2012</v>
      </c>
      <c r="R1662" s="107">
        <v>2</v>
      </c>
      <c r="S1662" s="100">
        <v>212066</v>
      </c>
      <c r="T1662" s="101">
        <v>41137</v>
      </c>
    </row>
    <row r="1663" spans="1:21" x14ac:dyDescent="0.3">
      <c r="A1663" s="68">
        <v>41104</v>
      </c>
      <c r="B1663" s="69">
        <f>YEAR(A1663)*10000+MONTH(A1663)*100+DAY(A1663)</f>
        <v>20120714</v>
      </c>
      <c r="C1663" s="70">
        <v>2.1700000000000001E-2</v>
      </c>
      <c r="D1663" s="77">
        <v>8.0000000000000002E-3</v>
      </c>
      <c r="E1663" s="77">
        <v>8.0000000000000002E-3</v>
      </c>
      <c r="F1663" s="77">
        <v>8.0000000000000002E-3</v>
      </c>
      <c r="G1663" s="78">
        <v>0</v>
      </c>
      <c r="K1663" s="106">
        <v>3.5999999999999999E-3</v>
      </c>
      <c r="L1663" s="80">
        <v>0</v>
      </c>
      <c r="M1663" s="75" t="s">
        <v>143</v>
      </c>
      <c r="N1663" s="75" t="b">
        <v>1</v>
      </c>
      <c r="O1663" s="75" t="s">
        <v>144</v>
      </c>
      <c r="P1663" s="75">
        <v>1994</v>
      </c>
      <c r="Q1663" s="107">
        <f t="shared" si="36"/>
        <v>2012</v>
      </c>
      <c r="R1663" s="107">
        <v>2</v>
      </c>
      <c r="S1663" s="100">
        <v>212066</v>
      </c>
      <c r="T1663" s="101">
        <v>41137</v>
      </c>
    </row>
    <row r="1664" spans="1:21" x14ac:dyDescent="0.3">
      <c r="A1664" s="68">
        <v>41105</v>
      </c>
      <c r="B1664" s="69">
        <f>YEAR(A1664)*10000+MONTH(A1664)*100+DAY(A1664)</f>
        <v>20120715</v>
      </c>
      <c r="C1664" s="70">
        <v>2.1700000000000001E-2</v>
      </c>
      <c r="D1664" s="77">
        <v>8.0000000000000002E-3</v>
      </c>
      <c r="E1664" s="77">
        <v>8.0000000000000002E-3</v>
      </c>
      <c r="F1664" s="77">
        <v>8.0000000000000002E-3</v>
      </c>
      <c r="G1664" s="78">
        <v>0</v>
      </c>
      <c r="K1664" s="106">
        <v>3.5999999999999999E-3</v>
      </c>
      <c r="L1664" s="80">
        <v>0</v>
      </c>
      <c r="M1664" s="75" t="s">
        <v>143</v>
      </c>
      <c r="N1664" s="75" t="b">
        <v>1</v>
      </c>
      <c r="O1664" s="75" t="s">
        <v>144</v>
      </c>
      <c r="P1664" s="75">
        <v>1994</v>
      </c>
      <c r="Q1664" s="107">
        <f t="shared" si="36"/>
        <v>2012</v>
      </c>
      <c r="R1664" s="107">
        <v>2</v>
      </c>
      <c r="S1664" s="100">
        <v>212066</v>
      </c>
      <c r="T1664" s="101">
        <v>41137</v>
      </c>
    </row>
    <row r="1665" spans="1:20" x14ac:dyDescent="0.3">
      <c r="A1665" s="68">
        <v>41106</v>
      </c>
      <c r="B1665" s="69">
        <f t="shared" si="35"/>
        <v>20120716</v>
      </c>
      <c r="C1665" s="70">
        <v>2.1600000000000001E-2</v>
      </c>
      <c r="D1665" s="77">
        <v>8.0000000000000002E-3</v>
      </c>
      <c r="E1665" s="77">
        <v>8.0000000000000002E-3</v>
      </c>
      <c r="F1665" s="77">
        <v>8.0000000000000002E-3</v>
      </c>
      <c r="G1665" s="78">
        <v>0</v>
      </c>
      <c r="K1665" s="106">
        <v>3.4999999999999996E-3</v>
      </c>
      <c r="L1665" s="80">
        <v>0</v>
      </c>
      <c r="M1665" s="75" t="s">
        <v>143</v>
      </c>
      <c r="N1665" s="75" t="b">
        <v>1</v>
      </c>
      <c r="O1665" s="75" t="s">
        <v>144</v>
      </c>
      <c r="P1665" s="75">
        <v>1994</v>
      </c>
      <c r="Q1665" s="107">
        <f t="shared" si="36"/>
        <v>2012</v>
      </c>
      <c r="R1665" s="107">
        <v>2</v>
      </c>
      <c r="S1665" s="100">
        <v>212066</v>
      </c>
      <c r="T1665" s="101">
        <v>41137</v>
      </c>
    </row>
    <row r="1666" spans="1:20" x14ac:dyDescent="0.3">
      <c r="A1666" s="68">
        <v>41107</v>
      </c>
      <c r="B1666" s="69">
        <f t="shared" si="35"/>
        <v>20120717</v>
      </c>
      <c r="C1666" s="70">
        <v>2.1700000000000001E-2</v>
      </c>
      <c r="D1666" s="77">
        <v>8.0000000000000002E-3</v>
      </c>
      <c r="E1666" s="77">
        <v>8.0000000000000002E-3</v>
      </c>
      <c r="F1666" s="77">
        <v>8.0000000000000002E-3</v>
      </c>
      <c r="G1666" s="78">
        <v>0</v>
      </c>
      <c r="K1666" s="106">
        <v>3.7000000000000002E-3</v>
      </c>
      <c r="L1666" s="80">
        <v>0</v>
      </c>
      <c r="M1666" s="75" t="s">
        <v>143</v>
      </c>
      <c r="N1666" s="75" t="b">
        <v>1</v>
      </c>
      <c r="O1666" s="75" t="s">
        <v>144</v>
      </c>
      <c r="P1666" s="75">
        <v>1994</v>
      </c>
      <c r="Q1666" s="107">
        <f t="shared" si="36"/>
        <v>2012</v>
      </c>
      <c r="R1666" s="107">
        <v>2</v>
      </c>
      <c r="S1666" s="100">
        <v>212066</v>
      </c>
      <c r="T1666" s="101">
        <v>41137</v>
      </c>
    </row>
    <row r="1667" spans="1:20" x14ac:dyDescent="0.3">
      <c r="A1667" s="68">
        <v>41108</v>
      </c>
      <c r="B1667" s="69">
        <f t="shared" si="35"/>
        <v>20120718</v>
      </c>
      <c r="C1667" s="70">
        <v>2.1600000000000001E-2</v>
      </c>
      <c r="D1667" s="77">
        <v>8.0000000000000002E-3</v>
      </c>
      <c r="E1667" s="77">
        <v>8.0000000000000002E-3</v>
      </c>
      <c r="F1667" s="77">
        <v>8.0000000000000002E-3</v>
      </c>
      <c r="G1667" s="78">
        <v>0</v>
      </c>
      <c r="K1667" s="106">
        <v>3.4999999999999996E-3</v>
      </c>
      <c r="L1667" s="80">
        <v>0</v>
      </c>
      <c r="M1667" s="75" t="s">
        <v>143</v>
      </c>
      <c r="N1667" s="75" t="b">
        <v>1</v>
      </c>
      <c r="O1667" s="75" t="s">
        <v>144</v>
      </c>
      <c r="P1667" s="75">
        <v>1994</v>
      </c>
      <c r="Q1667" s="107">
        <f t="shared" si="36"/>
        <v>2012</v>
      </c>
      <c r="R1667" s="107">
        <v>2</v>
      </c>
      <c r="S1667" s="100">
        <v>212066</v>
      </c>
      <c r="T1667" s="101">
        <v>41137</v>
      </c>
    </row>
    <row r="1668" spans="1:20" x14ac:dyDescent="0.3">
      <c r="A1668" s="68">
        <v>41109</v>
      </c>
      <c r="B1668" s="69">
        <f t="shared" si="35"/>
        <v>20120719</v>
      </c>
      <c r="C1668" s="70">
        <v>2.1899999999999999E-2</v>
      </c>
      <c r="D1668" s="77">
        <v>8.0000000000000002E-3</v>
      </c>
      <c r="E1668" s="77">
        <v>8.0000000000000002E-3</v>
      </c>
      <c r="F1668" s="77">
        <v>8.0000000000000002E-3</v>
      </c>
      <c r="G1668" s="78">
        <v>0</v>
      </c>
      <c r="K1668" s="106">
        <v>3.7000000000000002E-3</v>
      </c>
      <c r="L1668" s="80">
        <v>0</v>
      </c>
      <c r="M1668" s="75" t="s">
        <v>143</v>
      </c>
      <c r="N1668" s="75" t="b">
        <v>1</v>
      </c>
      <c r="O1668" s="75" t="s">
        <v>144</v>
      </c>
      <c r="P1668" s="75">
        <v>1994</v>
      </c>
      <c r="Q1668" s="107">
        <f t="shared" si="36"/>
        <v>2012</v>
      </c>
      <c r="R1668" s="107">
        <v>2</v>
      </c>
      <c r="S1668" s="100">
        <v>212066</v>
      </c>
      <c r="T1668" s="101">
        <v>41137</v>
      </c>
    </row>
    <row r="1669" spans="1:20" x14ac:dyDescent="0.3">
      <c r="A1669" s="68">
        <v>41110</v>
      </c>
      <c r="B1669" s="69">
        <f t="shared" si="35"/>
        <v>20120720</v>
      </c>
      <c r="C1669" s="70">
        <v>2.1499999999999998E-2</v>
      </c>
      <c r="D1669" s="77">
        <v>8.0000000000000002E-3</v>
      </c>
      <c r="E1669" s="77">
        <v>8.0000000000000002E-3</v>
      </c>
      <c r="F1669" s="77">
        <v>8.0000000000000002E-3</v>
      </c>
      <c r="G1669" s="78">
        <v>0</v>
      </c>
      <c r="K1669" s="106">
        <v>3.4999999999999996E-3</v>
      </c>
      <c r="L1669" s="80">
        <v>0</v>
      </c>
      <c r="M1669" s="75" t="s">
        <v>143</v>
      </c>
      <c r="N1669" s="75" t="b">
        <v>1</v>
      </c>
      <c r="O1669" s="75" t="s">
        <v>144</v>
      </c>
      <c r="P1669" s="75">
        <v>1994</v>
      </c>
      <c r="Q1669" s="107">
        <f t="shared" si="36"/>
        <v>2012</v>
      </c>
      <c r="R1669" s="107">
        <v>2</v>
      </c>
      <c r="S1669" s="100">
        <v>212066</v>
      </c>
      <c r="T1669" s="101">
        <v>41137</v>
      </c>
    </row>
    <row r="1670" spans="1:20" x14ac:dyDescent="0.3">
      <c r="A1670" s="68">
        <v>41111</v>
      </c>
      <c r="B1670" s="69">
        <f>YEAR(A1670)*10000+MONTH(A1670)*100+DAY(A1670)</f>
        <v>20120721</v>
      </c>
      <c r="C1670" s="70">
        <v>2.1499999999999998E-2</v>
      </c>
      <c r="D1670" s="77">
        <v>8.0000000000000002E-3</v>
      </c>
      <c r="E1670" s="77">
        <v>8.0000000000000002E-3</v>
      </c>
      <c r="F1670" s="77">
        <v>8.0000000000000002E-3</v>
      </c>
      <c r="G1670" s="78">
        <v>0</v>
      </c>
      <c r="K1670" s="106">
        <v>3.4999999999999996E-3</v>
      </c>
      <c r="L1670" s="80">
        <v>0</v>
      </c>
      <c r="M1670" s="75" t="s">
        <v>143</v>
      </c>
      <c r="N1670" s="75" t="b">
        <v>1</v>
      </c>
      <c r="O1670" s="75" t="s">
        <v>144</v>
      </c>
      <c r="P1670" s="75">
        <v>1994</v>
      </c>
      <c r="Q1670" s="107">
        <f t="shared" si="36"/>
        <v>2012</v>
      </c>
      <c r="R1670" s="107">
        <v>2</v>
      </c>
      <c r="S1670" s="100">
        <v>212066</v>
      </c>
      <c r="T1670" s="101">
        <v>41137</v>
      </c>
    </row>
    <row r="1671" spans="1:20" x14ac:dyDescent="0.3">
      <c r="A1671" s="68">
        <v>41112</v>
      </c>
      <c r="B1671" s="69">
        <f>YEAR(A1671)*10000+MONTH(A1671)*100+DAY(A1671)</f>
        <v>20120722</v>
      </c>
      <c r="C1671" s="70">
        <v>2.1499999999999998E-2</v>
      </c>
      <c r="D1671" s="77">
        <v>8.0000000000000002E-3</v>
      </c>
      <c r="E1671" s="77">
        <v>8.0000000000000002E-3</v>
      </c>
      <c r="F1671" s="77">
        <v>8.0000000000000002E-3</v>
      </c>
      <c r="G1671" s="78">
        <v>0</v>
      </c>
      <c r="K1671" s="106">
        <v>3.4999999999999996E-3</v>
      </c>
      <c r="L1671" s="80">
        <v>0</v>
      </c>
      <c r="M1671" s="75" t="s">
        <v>143</v>
      </c>
      <c r="N1671" s="75" t="b">
        <v>1</v>
      </c>
      <c r="O1671" s="75" t="s">
        <v>144</v>
      </c>
      <c r="P1671" s="75">
        <v>1994</v>
      </c>
      <c r="Q1671" s="107">
        <f t="shared" si="36"/>
        <v>2012</v>
      </c>
      <c r="R1671" s="107">
        <v>2</v>
      </c>
      <c r="S1671" s="100">
        <v>212066</v>
      </c>
      <c r="T1671" s="101">
        <v>41137</v>
      </c>
    </row>
    <row r="1672" spans="1:20" x14ac:dyDescent="0.3">
      <c r="A1672" s="68">
        <v>41113</v>
      </c>
      <c r="B1672" s="69">
        <f t="shared" si="35"/>
        <v>20120723</v>
      </c>
      <c r="C1672" s="70">
        <v>2.12E-2</v>
      </c>
      <c r="D1672" s="77">
        <v>8.0000000000000002E-3</v>
      </c>
      <c r="E1672" s="77">
        <v>8.0000000000000002E-3</v>
      </c>
      <c r="F1672" s="77">
        <v>8.0000000000000002E-3</v>
      </c>
      <c r="G1672" s="78">
        <v>0</v>
      </c>
      <c r="K1672" s="106">
        <v>3.3E-3</v>
      </c>
      <c r="L1672" s="80">
        <v>0</v>
      </c>
      <c r="M1672" s="75" t="s">
        <v>143</v>
      </c>
      <c r="N1672" s="75" t="b">
        <v>1</v>
      </c>
      <c r="O1672" s="75" t="s">
        <v>144</v>
      </c>
      <c r="P1672" s="75">
        <v>1994</v>
      </c>
      <c r="Q1672" s="107">
        <f t="shared" si="36"/>
        <v>2012</v>
      </c>
      <c r="R1672" s="107">
        <v>2</v>
      </c>
      <c r="S1672" s="100">
        <v>212066</v>
      </c>
      <c r="T1672" s="101">
        <v>41137</v>
      </c>
    </row>
    <row r="1673" spans="1:20" x14ac:dyDescent="0.3">
      <c r="A1673" s="68">
        <v>41114</v>
      </c>
      <c r="B1673" s="69">
        <f t="shared" si="35"/>
        <v>20120724</v>
      </c>
      <c r="C1673" s="70">
        <v>2.12E-2</v>
      </c>
      <c r="D1673" s="77">
        <v>8.0000000000000002E-3</v>
      </c>
      <c r="E1673" s="77">
        <v>8.0000000000000002E-3</v>
      </c>
      <c r="F1673" s="77">
        <v>8.0000000000000002E-3</v>
      </c>
      <c r="G1673" s="78">
        <v>0</v>
      </c>
      <c r="K1673" s="106">
        <v>3.0999999999999999E-3</v>
      </c>
      <c r="L1673" s="80">
        <v>0</v>
      </c>
      <c r="M1673" s="75" t="s">
        <v>143</v>
      </c>
      <c r="N1673" s="75" t="b">
        <v>1</v>
      </c>
      <c r="O1673" s="75" t="s">
        <v>144</v>
      </c>
      <c r="P1673" s="75">
        <v>1994</v>
      </c>
      <c r="Q1673" s="107">
        <f t="shared" si="36"/>
        <v>2012</v>
      </c>
      <c r="R1673" s="107">
        <v>2</v>
      </c>
      <c r="S1673" s="100">
        <v>212066</v>
      </c>
      <c r="T1673" s="101">
        <v>41137</v>
      </c>
    </row>
    <row r="1674" spans="1:20" x14ac:dyDescent="0.3">
      <c r="A1674" s="68">
        <v>41115</v>
      </c>
      <c r="B1674" s="69">
        <f t="shared" si="35"/>
        <v>20120725</v>
      </c>
      <c r="C1674" s="70">
        <v>2.1400000000000002E-2</v>
      </c>
      <c r="D1674" s="77">
        <v>8.0000000000000002E-3</v>
      </c>
      <c r="E1674" s="77">
        <v>8.0000000000000002E-3</v>
      </c>
      <c r="F1674" s="77">
        <v>8.0000000000000002E-3</v>
      </c>
      <c r="G1674" s="78">
        <v>0</v>
      </c>
      <c r="K1674" s="106">
        <v>3.3E-3</v>
      </c>
      <c r="L1674" s="80">
        <v>0</v>
      </c>
      <c r="M1674" s="75" t="s">
        <v>143</v>
      </c>
      <c r="N1674" s="75" t="b">
        <v>1</v>
      </c>
      <c r="O1674" s="75" t="s">
        <v>144</v>
      </c>
      <c r="P1674" s="75">
        <v>1994</v>
      </c>
      <c r="Q1674" s="107">
        <f t="shared" si="36"/>
        <v>2012</v>
      </c>
      <c r="R1674" s="107">
        <v>2</v>
      </c>
      <c r="S1674" s="100">
        <v>212066</v>
      </c>
      <c r="T1674" s="101">
        <v>41137</v>
      </c>
    </row>
    <row r="1675" spans="1:20" x14ac:dyDescent="0.3">
      <c r="A1675" s="68">
        <v>41116</v>
      </c>
      <c r="B1675" s="69">
        <f t="shared" si="35"/>
        <v>20120726</v>
      </c>
      <c r="C1675" s="70">
        <v>2.18E-2</v>
      </c>
      <c r="D1675" s="77">
        <v>8.0000000000000002E-3</v>
      </c>
      <c r="E1675" s="77">
        <v>8.0000000000000002E-3</v>
      </c>
      <c r="F1675" s="77">
        <v>8.0000000000000002E-3</v>
      </c>
      <c r="G1675" s="78">
        <v>0</v>
      </c>
      <c r="K1675" s="106">
        <v>3.5999999999999999E-3</v>
      </c>
      <c r="L1675" s="80">
        <v>0</v>
      </c>
      <c r="M1675" s="75" t="s">
        <v>143</v>
      </c>
      <c r="N1675" s="75" t="b">
        <v>1</v>
      </c>
      <c r="O1675" s="75" t="s">
        <v>144</v>
      </c>
      <c r="P1675" s="75">
        <v>1994</v>
      </c>
      <c r="Q1675" s="107">
        <f t="shared" si="36"/>
        <v>2012</v>
      </c>
      <c r="R1675" s="107">
        <v>2</v>
      </c>
      <c r="S1675" s="100">
        <v>212066</v>
      </c>
      <c r="T1675" s="101">
        <v>41137</v>
      </c>
    </row>
    <row r="1676" spans="1:20" x14ac:dyDescent="0.3">
      <c r="A1676" s="68">
        <v>41117</v>
      </c>
      <c r="B1676" s="69">
        <f t="shared" si="35"/>
        <v>20120727</v>
      </c>
      <c r="C1676" s="70">
        <v>2.2499999999999999E-2</v>
      </c>
      <c r="D1676" s="77">
        <v>8.0000000000000002E-3</v>
      </c>
      <c r="E1676" s="77">
        <v>8.0000000000000002E-3</v>
      </c>
      <c r="F1676" s="77">
        <v>8.0000000000000002E-3</v>
      </c>
      <c r="G1676" s="78">
        <v>0</v>
      </c>
      <c r="K1676" s="106">
        <v>3.9000000000000003E-3</v>
      </c>
      <c r="L1676" s="80">
        <v>0</v>
      </c>
      <c r="M1676" s="75" t="s">
        <v>143</v>
      </c>
      <c r="N1676" s="75" t="b">
        <v>1</v>
      </c>
      <c r="O1676" s="75" t="s">
        <v>144</v>
      </c>
      <c r="P1676" s="75">
        <v>1994</v>
      </c>
      <c r="Q1676" s="107">
        <f t="shared" si="36"/>
        <v>2012</v>
      </c>
      <c r="R1676" s="107">
        <v>2</v>
      </c>
      <c r="S1676" s="100">
        <v>212066</v>
      </c>
      <c r="T1676" s="101">
        <v>41137</v>
      </c>
    </row>
    <row r="1677" spans="1:20" x14ac:dyDescent="0.3">
      <c r="A1677" s="68">
        <v>41118</v>
      </c>
      <c r="B1677" s="69">
        <f>YEAR(A1677)*10000+MONTH(A1677)*100+DAY(A1677)</f>
        <v>20120728</v>
      </c>
      <c r="C1677" s="70">
        <v>2.2499999999999999E-2</v>
      </c>
      <c r="D1677" s="77">
        <v>8.0000000000000002E-3</v>
      </c>
      <c r="E1677" s="77">
        <v>8.0000000000000002E-3</v>
      </c>
      <c r="F1677" s="77">
        <v>8.0000000000000002E-3</v>
      </c>
      <c r="G1677" s="78">
        <v>0</v>
      </c>
      <c r="K1677" s="106">
        <v>3.9000000000000003E-3</v>
      </c>
      <c r="L1677" s="80">
        <v>0</v>
      </c>
      <c r="M1677" s="75" t="s">
        <v>143</v>
      </c>
      <c r="N1677" s="75" t="b">
        <v>1</v>
      </c>
      <c r="O1677" s="75" t="s">
        <v>144</v>
      </c>
      <c r="P1677" s="75">
        <v>1994</v>
      </c>
      <c r="Q1677" s="107">
        <f t="shared" si="36"/>
        <v>2012</v>
      </c>
      <c r="R1677" s="107">
        <v>2</v>
      </c>
      <c r="S1677" s="100">
        <v>212066</v>
      </c>
      <c r="T1677" s="101">
        <v>41137</v>
      </c>
    </row>
    <row r="1678" spans="1:20" x14ac:dyDescent="0.3">
      <c r="A1678" s="68">
        <v>41119</v>
      </c>
      <c r="B1678" s="69">
        <f>YEAR(A1678)*10000+MONTH(A1678)*100+DAY(A1678)</f>
        <v>20120729</v>
      </c>
      <c r="C1678" s="70">
        <v>2.2499999999999999E-2</v>
      </c>
      <c r="D1678" s="77">
        <v>8.0000000000000002E-3</v>
      </c>
      <c r="E1678" s="77">
        <v>8.0000000000000002E-3</v>
      </c>
      <c r="F1678" s="77">
        <v>8.0000000000000002E-3</v>
      </c>
      <c r="G1678" s="78">
        <v>0</v>
      </c>
      <c r="K1678" s="106">
        <v>3.9000000000000003E-3</v>
      </c>
      <c r="L1678" s="80">
        <v>0</v>
      </c>
      <c r="M1678" s="75" t="s">
        <v>143</v>
      </c>
      <c r="N1678" s="75" t="b">
        <v>1</v>
      </c>
      <c r="O1678" s="75" t="s">
        <v>144</v>
      </c>
      <c r="P1678" s="75">
        <v>1994</v>
      </c>
      <c r="Q1678" s="107">
        <f t="shared" si="36"/>
        <v>2012</v>
      </c>
      <c r="R1678" s="107">
        <v>2</v>
      </c>
      <c r="S1678" s="100">
        <v>212066</v>
      </c>
      <c r="T1678" s="101">
        <v>41137</v>
      </c>
    </row>
    <row r="1679" spans="1:20" x14ac:dyDescent="0.3">
      <c r="A1679" s="68">
        <v>41120</v>
      </c>
      <c r="B1679" s="69">
        <f t="shared" si="35"/>
        <v>20120730</v>
      </c>
      <c r="C1679" s="70">
        <v>2.2000000000000002E-2</v>
      </c>
      <c r="D1679" s="77">
        <v>8.0000000000000002E-3</v>
      </c>
      <c r="E1679" s="77">
        <v>8.0000000000000002E-3</v>
      </c>
      <c r="F1679" s="77">
        <v>8.0000000000000002E-3</v>
      </c>
      <c r="G1679" s="78">
        <v>0</v>
      </c>
      <c r="K1679" s="106">
        <v>3.4999999999999996E-3</v>
      </c>
      <c r="L1679" s="80">
        <v>0</v>
      </c>
      <c r="M1679" s="75" t="s">
        <v>143</v>
      </c>
      <c r="N1679" s="75" t="b">
        <v>1</v>
      </c>
      <c r="O1679" s="75" t="s">
        <v>144</v>
      </c>
      <c r="P1679" s="75">
        <v>1994</v>
      </c>
      <c r="Q1679" s="107">
        <f t="shared" si="36"/>
        <v>2012</v>
      </c>
      <c r="R1679" s="107">
        <v>2</v>
      </c>
      <c r="S1679" s="100">
        <v>212066</v>
      </c>
      <c r="T1679" s="101">
        <v>41137</v>
      </c>
    </row>
    <row r="1680" spans="1:20" x14ac:dyDescent="0.3">
      <c r="A1680" s="68">
        <v>41121</v>
      </c>
      <c r="B1680" s="69">
        <f t="shared" si="35"/>
        <v>20120731</v>
      </c>
      <c r="C1680" s="70">
        <v>2.1700000000000001E-2</v>
      </c>
      <c r="D1680" s="77">
        <v>8.0000000000000002E-3</v>
      </c>
      <c r="E1680" s="77">
        <v>8.0000000000000002E-3</v>
      </c>
      <c r="F1680" s="77">
        <v>8.0000000000000002E-3</v>
      </c>
      <c r="G1680" s="78">
        <v>0</v>
      </c>
      <c r="K1680" s="106">
        <v>3.3E-3</v>
      </c>
      <c r="L1680" s="80">
        <v>0</v>
      </c>
      <c r="M1680" s="75" t="s">
        <v>143</v>
      </c>
      <c r="N1680" s="75" t="b">
        <v>1</v>
      </c>
      <c r="O1680" s="75" t="s">
        <v>144</v>
      </c>
      <c r="P1680" s="75">
        <v>1994</v>
      </c>
      <c r="Q1680" s="107">
        <f t="shared" si="36"/>
        <v>2012</v>
      </c>
      <c r="R1680" s="107">
        <v>2</v>
      </c>
      <c r="S1680" s="100">
        <v>212066</v>
      </c>
      <c r="T1680" s="101">
        <v>41137</v>
      </c>
    </row>
    <row r="1681" spans="1:20" x14ac:dyDescent="0.3">
      <c r="A1681" s="68">
        <v>41122</v>
      </c>
      <c r="B1681" s="69">
        <f t="shared" si="35"/>
        <v>20120801</v>
      </c>
      <c r="C1681" s="70">
        <v>2.2000000000000002E-2</v>
      </c>
      <c r="D1681" s="77">
        <v>8.0000000000000002E-3</v>
      </c>
      <c r="E1681" s="77">
        <v>8.0000000000000002E-3</v>
      </c>
      <c r="F1681" s="77">
        <v>8.0000000000000002E-3</v>
      </c>
      <c r="G1681" s="78">
        <v>0</v>
      </c>
      <c r="K1681" s="106">
        <v>3.4000000000000002E-3</v>
      </c>
      <c r="L1681" s="80">
        <v>0</v>
      </c>
      <c r="M1681" s="75" t="s">
        <v>143</v>
      </c>
      <c r="N1681" s="75" t="b">
        <v>1</v>
      </c>
      <c r="O1681" s="75" t="s">
        <v>144</v>
      </c>
      <c r="P1681" s="75">
        <v>1994</v>
      </c>
      <c r="Q1681" s="107">
        <f t="shared" si="36"/>
        <v>2012</v>
      </c>
      <c r="R1681" s="107">
        <v>2</v>
      </c>
      <c r="S1681" s="100">
        <v>212066</v>
      </c>
      <c r="T1681" s="101">
        <v>41137</v>
      </c>
    </row>
    <row r="1682" spans="1:20" x14ac:dyDescent="0.3">
      <c r="A1682" s="68">
        <v>41123</v>
      </c>
      <c r="B1682" s="69">
        <f t="shared" si="35"/>
        <v>20120802</v>
      </c>
      <c r="C1682" s="70">
        <v>2.1600000000000001E-2</v>
      </c>
      <c r="D1682" s="77">
        <v>8.0000000000000002E-3</v>
      </c>
      <c r="E1682" s="77">
        <v>8.0000000000000002E-3</v>
      </c>
      <c r="F1682" s="77">
        <v>8.0000000000000002E-3</v>
      </c>
      <c r="G1682" s="78">
        <v>0</v>
      </c>
      <c r="K1682" s="106">
        <v>3.0999999999999999E-3</v>
      </c>
      <c r="L1682" s="80">
        <v>0</v>
      </c>
      <c r="M1682" s="75" t="s">
        <v>143</v>
      </c>
      <c r="N1682" s="75" t="b">
        <v>1</v>
      </c>
      <c r="O1682" s="75" t="s">
        <v>144</v>
      </c>
      <c r="P1682" s="75">
        <v>1994</v>
      </c>
      <c r="Q1682" s="107">
        <f t="shared" si="36"/>
        <v>2012</v>
      </c>
      <c r="R1682" s="107">
        <v>2</v>
      </c>
      <c r="S1682" s="100">
        <v>212066</v>
      </c>
      <c r="T1682" s="101">
        <v>41137</v>
      </c>
    </row>
    <row r="1683" spans="1:20" x14ac:dyDescent="0.3">
      <c r="A1683" s="68">
        <v>41124</v>
      </c>
      <c r="B1683" s="69">
        <f t="shared" si="35"/>
        <v>20120803</v>
      </c>
      <c r="C1683" s="70">
        <v>2.2200000000000001E-2</v>
      </c>
      <c r="D1683" s="77">
        <v>8.0000000000000002E-3</v>
      </c>
      <c r="E1683" s="77">
        <v>8.0000000000000002E-3</v>
      </c>
      <c r="F1683" s="77">
        <v>8.0000000000000002E-3</v>
      </c>
      <c r="G1683" s="78">
        <v>0</v>
      </c>
      <c r="K1683" s="106">
        <v>3.5999999999999999E-3</v>
      </c>
      <c r="L1683" s="80">
        <v>0</v>
      </c>
      <c r="M1683" s="75" t="s">
        <v>143</v>
      </c>
      <c r="N1683" s="75" t="b">
        <v>1</v>
      </c>
      <c r="O1683" s="75" t="s">
        <v>144</v>
      </c>
      <c r="P1683" s="75">
        <v>1994</v>
      </c>
      <c r="Q1683" s="107">
        <f t="shared" si="36"/>
        <v>2012</v>
      </c>
      <c r="R1683" s="107">
        <v>2</v>
      </c>
      <c r="S1683" s="100">
        <v>212066</v>
      </c>
      <c r="T1683" s="101">
        <v>41137</v>
      </c>
    </row>
    <row r="1684" spans="1:20" x14ac:dyDescent="0.3">
      <c r="A1684" s="68">
        <v>41125</v>
      </c>
      <c r="B1684" s="69">
        <f>YEAR(A1684)*10000+MONTH(A1684)*100+DAY(A1684)</f>
        <v>20120804</v>
      </c>
      <c r="C1684" s="70">
        <v>2.2200000000000001E-2</v>
      </c>
      <c r="D1684" s="77">
        <v>8.0000000000000002E-3</v>
      </c>
      <c r="E1684" s="77">
        <v>8.0000000000000002E-3</v>
      </c>
      <c r="F1684" s="77">
        <v>8.0000000000000002E-3</v>
      </c>
      <c r="G1684" s="78">
        <v>0</v>
      </c>
      <c r="K1684" s="106">
        <v>3.5999999999999999E-3</v>
      </c>
      <c r="L1684" s="80">
        <v>0</v>
      </c>
      <c r="M1684" s="75" t="s">
        <v>143</v>
      </c>
      <c r="N1684" s="75" t="b">
        <v>1</v>
      </c>
      <c r="O1684" s="75" t="s">
        <v>144</v>
      </c>
      <c r="P1684" s="75">
        <v>1994</v>
      </c>
      <c r="Q1684" s="107">
        <f t="shared" si="36"/>
        <v>2012</v>
      </c>
      <c r="R1684" s="107">
        <v>2</v>
      </c>
      <c r="S1684" s="100">
        <v>212066</v>
      </c>
      <c r="T1684" s="101">
        <v>41137</v>
      </c>
    </row>
    <row r="1685" spans="1:20" x14ac:dyDescent="0.3">
      <c r="A1685" s="68">
        <v>41126</v>
      </c>
      <c r="B1685" s="69">
        <f>YEAR(A1685)*10000+MONTH(A1685)*100+DAY(A1685)</f>
        <v>20120805</v>
      </c>
      <c r="C1685" s="70">
        <v>2.2200000000000001E-2</v>
      </c>
      <c r="D1685" s="77">
        <v>8.0000000000000002E-3</v>
      </c>
      <c r="E1685" s="77">
        <v>8.0000000000000002E-3</v>
      </c>
      <c r="F1685" s="77">
        <v>8.0000000000000002E-3</v>
      </c>
      <c r="G1685" s="78">
        <v>0</v>
      </c>
      <c r="K1685" s="106">
        <v>3.5999999999999999E-3</v>
      </c>
      <c r="L1685" s="80">
        <v>0</v>
      </c>
      <c r="M1685" s="75" t="s">
        <v>143</v>
      </c>
      <c r="N1685" s="75" t="b">
        <v>1</v>
      </c>
      <c r="O1685" s="75" t="s">
        <v>144</v>
      </c>
      <c r="P1685" s="75">
        <v>1994</v>
      </c>
      <c r="Q1685" s="107">
        <f t="shared" si="36"/>
        <v>2012</v>
      </c>
      <c r="R1685" s="107">
        <v>2</v>
      </c>
      <c r="S1685" s="100">
        <v>212066</v>
      </c>
      <c r="T1685" s="101">
        <v>41137</v>
      </c>
    </row>
    <row r="1686" spans="1:20" x14ac:dyDescent="0.3">
      <c r="A1686" s="68">
        <v>41127</v>
      </c>
      <c r="B1686" s="69">
        <f t="shared" ref="B1686:B1729" si="37">YEAR(A1686)*10000+MONTH(A1686)*100+DAY(A1686)</f>
        <v>20120806</v>
      </c>
      <c r="C1686" s="70">
        <v>2.2200000000000001E-2</v>
      </c>
      <c r="D1686" s="77">
        <v>8.0000000000000002E-3</v>
      </c>
      <c r="E1686" s="77">
        <v>8.0000000000000002E-3</v>
      </c>
      <c r="F1686" s="77">
        <v>8.0000000000000002E-3</v>
      </c>
      <c r="G1686" s="78">
        <v>0</v>
      </c>
      <c r="K1686" s="106">
        <v>3.5999999999999999E-3</v>
      </c>
      <c r="L1686" s="80">
        <v>0</v>
      </c>
      <c r="M1686" s="75" t="s">
        <v>143</v>
      </c>
      <c r="N1686" s="75" t="b">
        <v>1</v>
      </c>
      <c r="O1686" s="75" t="s">
        <v>144</v>
      </c>
      <c r="P1686" s="75">
        <v>1994</v>
      </c>
      <c r="Q1686" s="107">
        <f t="shared" si="36"/>
        <v>2012</v>
      </c>
      <c r="R1686" s="107">
        <v>2</v>
      </c>
      <c r="S1686" s="100">
        <v>212066</v>
      </c>
      <c r="T1686" s="101">
        <v>41137</v>
      </c>
    </row>
    <row r="1687" spans="1:20" x14ac:dyDescent="0.3">
      <c r="A1687" s="68">
        <v>41128</v>
      </c>
      <c r="B1687" s="69">
        <f t="shared" si="37"/>
        <v>20120807</v>
      </c>
      <c r="C1687" s="70">
        <v>2.29E-2</v>
      </c>
      <c r="D1687" s="77">
        <v>8.0000000000000002E-3</v>
      </c>
      <c r="E1687" s="77">
        <v>8.0000000000000002E-3</v>
      </c>
      <c r="F1687" s="77">
        <v>8.0000000000000002E-3</v>
      </c>
      <c r="G1687" s="78">
        <v>0</v>
      </c>
      <c r="K1687" s="106">
        <v>4.0000000000000001E-3</v>
      </c>
      <c r="L1687" s="80">
        <v>0</v>
      </c>
      <c r="M1687" s="75" t="s">
        <v>143</v>
      </c>
      <c r="N1687" s="75" t="b">
        <v>1</v>
      </c>
      <c r="O1687" s="75" t="s">
        <v>144</v>
      </c>
      <c r="P1687" s="75">
        <v>1994</v>
      </c>
      <c r="Q1687" s="107">
        <f t="shared" si="36"/>
        <v>2012</v>
      </c>
      <c r="R1687" s="107">
        <v>2</v>
      </c>
      <c r="S1687" s="100">
        <v>212066</v>
      </c>
      <c r="T1687" s="101">
        <v>41137</v>
      </c>
    </row>
    <row r="1688" spans="1:20" x14ac:dyDescent="0.3">
      <c r="A1688" s="68">
        <v>41129</v>
      </c>
      <c r="B1688" s="69">
        <f t="shared" si="37"/>
        <v>20120808</v>
      </c>
      <c r="C1688" s="70">
        <v>2.2700000000000001E-2</v>
      </c>
      <c r="D1688" s="77">
        <v>8.0000000000000002E-3</v>
      </c>
      <c r="E1688" s="77">
        <v>8.0000000000000002E-3</v>
      </c>
      <c r="F1688" s="77">
        <v>8.0000000000000002E-3</v>
      </c>
      <c r="G1688" s="78">
        <v>0</v>
      </c>
      <c r="K1688" s="106">
        <v>3.8E-3</v>
      </c>
      <c r="L1688" s="80">
        <v>0</v>
      </c>
      <c r="M1688" s="75" t="s">
        <v>143</v>
      </c>
      <c r="N1688" s="75" t="b">
        <v>1</v>
      </c>
      <c r="O1688" s="75" t="s">
        <v>144</v>
      </c>
      <c r="P1688" s="75">
        <v>1994</v>
      </c>
      <c r="Q1688" s="107">
        <f t="shared" si="36"/>
        <v>2012</v>
      </c>
      <c r="R1688" s="107">
        <v>2</v>
      </c>
      <c r="S1688" s="100">
        <v>212066</v>
      </c>
      <c r="T1688" s="101">
        <v>41137</v>
      </c>
    </row>
    <row r="1689" spans="1:20" x14ac:dyDescent="0.3">
      <c r="A1689" s="68">
        <v>41130</v>
      </c>
      <c r="B1689" s="69">
        <f t="shared" si="37"/>
        <v>20120809</v>
      </c>
      <c r="C1689" s="70">
        <v>2.2499999999999999E-2</v>
      </c>
      <c r="D1689" s="77">
        <v>8.0000000000000002E-3</v>
      </c>
      <c r="E1689" s="77">
        <v>8.0000000000000002E-3</v>
      </c>
      <c r="F1689" s="77">
        <v>8.0000000000000002E-3</v>
      </c>
      <c r="G1689" s="78">
        <v>0</v>
      </c>
      <c r="K1689" s="106">
        <v>3.7000000000000002E-3</v>
      </c>
      <c r="L1689" s="80">
        <v>0</v>
      </c>
      <c r="M1689" s="75" t="s">
        <v>143</v>
      </c>
      <c r="N1689" s="75" t="b">
        <v>1</v>
      </c>
      <c r="O1689" s="75" t="s">
        <v>144</v>
      </c>
      <c r="P1689" s="75">
        <v>1994</v>
      </c>
      <c r="Q1689" s="107">
        <f t="shared" si="36"/>
        <v>2012</v>
      </c>
      <c r="R1689" s="107">
        <v>2</v>
      </c>
      <c r="S1689" s="100">
        <v>212066</v>
      </c>
      <c r="T1689" s="101">
        <v>41137</v>
      </c>
    </row>
    <row r="1690" spans="1:20" x14ac:dyDescent="0.3">
      <c r="A1690" s="68">
        <v>41131</v>
      </c>
      <c r="B1690" s="69">
        <f t="shared" si="37"/>
        <v>20120810</v>
      </c>
      <c r="C1690" s="70">
        <v>2.23E-2</v>
      </c>
      <c r="D1690" s="77">
        <v>8.0000000000000002E-3</v>
      </c>
      <c r="E1690" s="77">
        <v>8.0000000000000002E-3</v>
      </c>
      <c r="F1690" s="77">
        <v>8.0000000000000002E-3</v>
      </c>
      <c r="G1690" s="78">
        <v>0</v>
      </c>
      <c r="K1690" s="106">
        <v>3.7000000000000002E-3</v>
      </c>
      <c r="L1690" s="80">
        <v>0</v>
      </c>
      <c r="M1690" s="75" t="s">
        <v>143</v>
      </c>
      <c r="N1690" s="75" t="b">
        <v>1</v>
      </c>
      <c r="O1690" s="75" t="s">
        <v>144</v>
      </c>
      <c r="P1690" s="75">
        <v>1994</v>
      </c>
      <c r="Q1690" s="107">
        <f t="shared" si="36"/>
        <v>2012</v>
      </c>
      <c r="R1690" s="107">
        <v>2</v>
      </c>
      <c r="S1690" s="100">
        <v>212066</v>
      </c>
      <c r="T1690" s="101">
        <v>41137</v>
      </c>
    </row>
    <row r="1691" spans="1:20" x14ac:dyDescent="0.3">
      <c r="A1691" s="68">
        <v>41132</v>
      </c>
      <c r="B1691" s="69">
        <f>YEAR(A1691)*10000+MONTH(A1691)*100+DAY(A1691)</f>
        <v>20120811</v>
      </c>
      <c r="C1691" s="70">
        <v>2.23E-2</v>
      </c>
      <c r="D1691" s="77">
        <v>8.0000000000000002E-3</v>
      </c>
      <c r="E1691" s="77">
        <v>8.0000000000000002E-3</v>
      </c>
      <c r="F1691" s="77">
        <v>8.0000000000000002E-3</v>
      </c>
      <c r="G1691" s="78">
        <v>0</v>
      </c>
      <c r="K1691" s="106">
        <v>3.7000000000000002E-3</v>
      </c>
      <c r="L1691" s="80">
        <v>0</v>
      </c>
      <c r="M1691" s="75" t="s">
        <v>143</v>
      </c>
      <c r="N1691" s="75" t="b">
        <v>1</v>
      </c>
      <c r="O1691" s="75" t="s">
        <v>144</v>
      </c>
      <c r="P1691" s="75">
        <v>1994</v>
      </c>
      <c r="Q1691" s="107">
        <f t="shared" si="36"/>
        <v>2012</v>
      </c>
      <c r="R1691" s="107">
        <v>2</v>
      </c>
      <c r="S1691" s="100">
        <v>212066</v>
      </c>
      <c r="T1691" s="101">
        <v>41137</v>
      </c>
    </row>
    <row r="1692" spans="1:20" x14ac:dyDescent="0.3">
      <c r="A1692" s="68">
        <v>41133</v>
      </c>
      <c r="B1692" s="69">
        <f>YEAR(A1692)*10000+MONTH(A1692)*100+DAY(A1692)</f>
        <v>20120812</v>
      </c>
      <c r="C1692" s="70">
        <v>2.23E-2</v>
      </c>
      <c r="D1692" s="77">
        <v>8.0000000000000002E-3</v>
      </c>
      <c r="E1692" s="77">
        <v>8.0000000000000002E-3</v>
      </c>
      <c r="F1692" s="77">
        <v>8.0000000000000002E-3</v>
      </c>
      <c r="G1692" s="78">
        <v>0</v>
      </c>
      <c r="K1692" s="106">
        <v>3.7000000000000002E-3</v>
      </c>
      <c r="L1692" s="80">
        <v>0</v>
      </c>
      <c r="M1692" s="75" t="s">
        <v>143</v>
      </c>
      <c r="N1692" s="75" t="b">
        <v>1</v>
      </c>
      <c r="O1692" s="75" t="s">
        <v>144</v>
      </c>
      <c r="P1692" s="75">
        <v>1994</v>
      </c>
      <c r="Q1692" s="107">
        <f t="shared" si="36"/>
        <v>2012</v>
      </c>
      <c r="R1692" s="107">
        <v>2</v>
      </c>
      <c r="S1692" s="100">
        <v>212066</v>
      </c>
      <c r="T1692" s="101">
        <v>41137</v>
      </c>
    </row>
    <row r="1693" spans="1:20" x14ac:dyDescent="0.3">
      <c r="A1693" s="68">
        <v>41134</v>
      </c>
      <c r="B1693" s="69">
        <f t="shared" si="37"/>
        <v>20120813</v>
      </c>
      <c r="C1693" s="70">
        <v>2.2400000000000003E-2</v>
      </c>
      <c r="D1693" s="77">
        <v>8.0000000000000002E-3</v>
      </c>
      <c r="E1693" s="77">
        <v>8.0000000000000002E-3</v>
      </c>
      <c r="F1693" s="77">
        <v>8.0000000000000002E-3</v>
      </c>
      <c r="G1693" s="78">
        <v>0</v>
      </c>
      <c r="K1693" s="106">
        <v>3.9000000000000003E-3</v>
      </c>
      <c r="L1693" s="80">
        <v>0</v>
      </c>
      <c r="M1693" s="75" t="s">
        <v>143</v>
      </c>
      <c r="N1693" s="75" t="b">
        <v>1</v>
      </c>
      <c r="O1693" s="75" t="s">
        <v>144</v>
      </c>
      <c r="P1693" s="75">
        <v>1994</v>
      </c>
      <c r="Q1693" s="107">
        <f t="shared" si="36"/>
        <v>2012</v>
      </c>
      <c r="R1693" s="107">
        <v>2</v>
      </c>
      <c r="S1693" s="100">
        <v>212066</v>
      </c>
      <c r="T1693" s="101">
        <v>41137</v>
      </c>
    </row>
    <row r="1694" spans="1:20" x14ac:dyDescent="0.3">
      <c r="A1694" s="68">
        <v>41135</v>
      </c>
      <c r="B1694" s="69">
        <f t="shared" si="37"/>
        <v>20120814</v>
      </c>
      <c r="C1694" s="70">
        <v>2.29E-2</v>
      </c>
      <c r="D1694" s="77">
        <v>8.0000000000000002E-3</v>
      </c>
      <c r="E1694" s="77">
        <v>8.0000000000000002E-3</v>
      </c>
      <c r="F1694" s="77">
        <v>8.0000000000000002E-3</v>
      </c>
      <c r="G1694" s="78">
        <v>0</v>
      </c>
      <c r="K1694" s="106">
        <v>4.0999999999999995E-3</v>
      </c>
      <c r="L1694" s="80">
        <v>0</v>
      </c>
      <c r="M1694" s="75" t="s">
        <v>143</v>
      </c>
      <c r="N1694" s="75" t="b">
        <v>1</v>
      </c>
      <c r="O1694" s="75" t="s">
        <v>144</v>
      </c>
      <c r="P1694" s="75">
        <v>1994</v>
      </c>
      <c r="Q1694" s="107">
        <f t="shared" si="36"/>
        <v>2012</v>
      </c>
      <c r="R1694" s="107">
        <v>2</v>
      </c>
      <c r="S1694" s="100">
        <v>212066</v>
      </c>
      <c r="T1694" s="101">
        <v>41137</v>
      </c>
    </row>
    <row r="1695" spans="1:20" x14ac:dyDescent="0.3">
      <c r="A1695" s="68">
        <v>41136</v>
      </c>
      <c r="B1695" s="69">
        <f t="shared" si="37"/>
        <v>20120815</v>
      </c>
      <c r="C1695" s="70">
        <v>2.3799999999999998E-2</v>
      </c>
      <c r="D1695" s="77">
        <v>8.0000000000000002E-3</v>
      </c>
      <c r="E1695" s="77">
        <v>8.0000000000000002E-3</v>
      </c>
      <c r="F1695" s="77">
        <v>8.0000000000000002E-3</v>
      </c>
      <c r="G1695" s="78">
        <v>0</v>
      </c>
      <c r="K1695" s="106">
        <v>5.0000000000000001E-3</v>
      </c>
      <c r="L1695" s="80">
        <v>0</v>
      </c>
      <c r="M1695" s="75" t="s">
        <v>143</v>
      </c>
      <c r="N1695" s="75" t="b">
        <v>1</v>
      </c>
      <c r="O1695" s="75" t="s">
        <v>144</v>
      </c>
      <c r="P1695" s="75">
        <v>1994</v>
      </c>
      <c r="Q1695" s="107">
        <f t="shared" si="36"/>
        <v>2012</v>
      </c>
      <c r="R1695" s="107">
        <v>2</v>
      </c>
      <c r="S1695" s="100">
        <v>212066</v>
      </c>
      <c r="T1695" s="101">
        <v>41137</v>
      </c>
    </row>
    <row r="1696" spans="1:20" x14ac:dyDescent="0.3">
      <c r="A1696" s="68">
        <v>41137</v>
      </c>
      <c r="B1696" s="69">
        <f t="shared" si="37"/>
        <v>20120816</v>
      </c>
      <c r="C1696" s="70">
        <v>2.4E-2</v>
      </c>
      <c r="D1696" s="77">
        <v>8.0000000000000002E-3</v>
      </c>
      <c r="E1696" s="77">
        <v>8.0000000000000002E-3</v>
      </c>
      <c r="F1696" s="77">
        <v>8.0000000000000002E-3</v>
      </c>
      <c r="G1696" s="78">
        <v>0</v>
      </c>
      <c r="K1696" s="106">
        <v>5.1000000000000004E-3</v>
      </c>
      <c r="L1696" s="80">
        <v>0</v>
      </c>
      <c r="M1696" s="75" t="s">
        <v>143</v>
      </c>
      <c r="N1696" s="75" t="b">
        <v>1</v>
      </c>
      <c r="O1696" s="75" t="s">
        <v>144</v>
      </c>
      <c r="P1696" s="75">
        <v>1994</v>
      </c>
      <c r="Q1696" s="107">
        <f t="shared" si="36"/>
        <v>2012</v>
      </c>
      <c r="R1696" s="107">
        <v>2</v>
      </c>
      <c r="S1696" s="100">
        <v>212066</v>
      </c>
      <c r="T1696" s="101">
        <v>41137</v>
      </c>
    </row>
    <row r="1697" spans="1:20" x14ac:dyDescent="0.3">
      <c r="A1697" s="68">
        <v>41138</v>
      </c>
      <c r="B1697" s="69">
        <f t="shared" si="37"/>
        <v>20120817</v>
      </c>
      <c r="C1697" s="70">
        <v>2.3900000000000001E-2</v>
      </c>
      <c r="D1697" s="77">
        <v>8.0000000000000002E-3</v>
      </c>
      <c r="E1697" s="77">
        <v>8.0000000000000002E-3</v>
      </c>
      <c r="F1697" s="77">
        <v>8.0000000000000002E-3</v>
      </c>
      <c r="G1697" s="78">
        <v>0</v>
      </c>
      <c r="K1697" s="106">
        <v>5.1000000000000004E-3</v>
      </c>
      <c r="L1697" s="80">
        <v>0</v>
      </c>
      <c r="M1697" s="75" t="s">
        <v>143</v>
      </c>
      <c r="N1697" s="75" t="b">
        <v>1</v>
      </c>
      <c r="O1697" s="75" t="s">
        <v>144</v>
      </c>
      <c r="P1697" s="75">
        <v>1994</v>
      </c>
      <c r="Q1697" s="107">
        <f t="shared" si="36"/>
        <v>2012</v>
      </c>
      <c r="R1697" s="107">
        <v>2</v>
      </c>
      <c r="S1697" s="100">
        <v>212066</v>
      </c>
      <c r="T1697" s="101">
        <v>41137</v>
      </c>
    </row>
    <row r="1698" spans="1:20" x14ac:dyDescent="0.3">
      <c r="A1698" s="68">
        <v>41139</v>
      </c>
      <c r="B1698" s="69">
        <f>YEAR(A1698)*10000+MONTH(A1698)*100+DAY(A1698)</f>
        <v>20120818</v>
      </c>
      <c r="C1698" s="70">
        <v>2.3900000000000001E-2</v>
      </c>
      <c r="D1698" s="77">
        <v>8.0000000000000002E-3</v>
      </c>
      <c r="E1698" s="77">
        <v>8.0000000000000002E-3</v>
      </c>
      <c r="F1698" s="77">
        <v>8.0000000000000002E-3</v>
      </c>
      <c r="G1698" s="78">
        <v>0</v>
      </c>
      <c r="K1698" s="106">
        <v>5.1000000000000004E-3</v>
      </c>
      <c r="L1698" s="80">
        <v>0</v>
      </c>
      <c r="M1698" s="75" t="s">
        <v>143</v>
      </c>
      <c r="N1698" s="75" t="b">
        <v>1</v>
      </c>
      <c r="O1698" s="75" t="s">
        <v>144</v>
      </c>
      <c r="P1698" s="75">
        <v>1994</v>
      </c>
      <c r="Q1698" s="107">
        <f t="shared" si="36"/>
        <v>2012</v>
      </c>
      <c r="R1698" s="107">
        <v>2</v>
      </c>
      <c r="S1698" s="100">
        <v>212066</v>
      </c>
      <c r="T1698" s="101">
        <v>41137</v>
      </c>
    </row>
    <row r="1699" spans="1:20" x14ac:dyDescent="0.3">
      <c r="A1699" s="68">
        <v>41140</v>
      </c>
      <c r="B1699" s="69">
        <f>YEAR(A1699)*10000+MONTH(A1699)*100+DAY(A1699)</f>
        <v>20120819</v>
      </c>
      <c r="C1699" s="70">
        <v>2.3900000000000001E-2</v>
      </c>
      <c r="D1699" s="77">
        <v>8.0000000000000002E-3</v>
      </c>
      <c r="E1699" s="77">
        <v>8.0000000000000002E-3</v>
      </c>
      <c r="F1699" s="77">
        <v>8.0000000000000002E-3</v>
      </c>
      <c r="G1699" s="78">
        <v>0</v>
      </c>
      <c r="K1699" s="106">
        <v>5.1000000000000004E-3</v>
      </c>
      <c r="L1699" s="80">
        <v>0</v>
      </c>
      <c r="M1699" s="75" t="s">
        <v>143</v>
      </c>
      <c r="N1699" s="75" t="b">
        <v>1</v>
      </c>
      <c r="O1699" s="75" t="s">
        <v>144</v>
      </c>
      <c r="P1699" s="75">
        <v>1994</v>
      </c>
      <c r="Q1699" s="107">
        <f t="shared" si="36"/>
        <v>2012</v>
      </c>
      <c r="R1699" s="107">
        <v>2</v>
      </c>
      <c r="S1699" s="100">
        <v>212066</v>
      </c>
      <c r="T1699" s="101">
        <v>41137</v>
      </c>
    </row>
    <row r="1700" spans="1:20" x14ac:dyDescent="0.3">
      <c r="A1700" s="68">
        <v>41141</v>
      </c>
      <c r="B1700" s="69">
        <f t="shared" si="37"/>
        <v>20120820</v>
      </c>
      <c r="C1700" s="70">
        <v>2.3900000000000001E-2</v>
      </c>
      <c r="D1700" s="77">
        <v>8.0000000000000002E-3</v>
      </c>
      <c r="E1700" s="77">
        <v>8.0000000000000002E-3</v>
      </c>
      <c r="F1700" s="77">
        <v>8.0000000000000002E-3</v>
      </c>
      <c r="G1700" s="78">
        <v>0</v>
      </c>
      <c r="K1700" s="106">
        <v>5.1000000000000004E-3</v>
      </c>
      <c r="L1700" s="80">
        <v>0</v>
      </c>
      <c r="M1700" s="75" t="s">
        <v>143</v>
      </c>
      <c r="N1700" s="75" t="b">
        <v>1</v>
      </c>
      <c r="O1700" s="75" t="s">
        <v>144</v>
      </c>
      <c r="P1700" s="75">
        <v>1994</v>
      </c>
      <c r="Q1700" s="107">
        <f t="shared" si="36"/>
        <v>2012</v>
      </c>
      <c r="R1700" s="107">
        <v>2</v>
      </c>
      <c r="S1700" s="100">
        <v>212066</v>
      </c>
      <c r="T1700" s="101">
        <v>41137</v>
      </c>
    </row>
    <row r="1701" spans="1:20" x14ac:dyDescent="0.3">
      <c r="A1701" s="68">
        <v>41142</v>
      </c>
      <c r="B1701" s="69">
        <f t="shared" si="37"/>
        <v>20120821</v>
      </c>
      <c r="C1701" s="70">
        <v>2.3799999999999998E-2</v>
      </c>
      <c r="D1701" s="77">
        <v>8.0000000000000002E-3</v>
      </c>
      <c r="E1701" s="77">
        <v>8.0000000000000002E-3</v>
      </c>
      <c r="F1701" s="77">
        <v>8.0000000000000002E-3</v>
      </c>
      <c r="G1701" s="78">
        <v>0</v>
      </c>
      <c r="K1701" s="106">
        <v>5.0000000000000001E-3</v>
      </c>
      <c r="L1701" s="80">
        <v>0</v>
      </c>
      <c r="M1701" s="75" t="s">
        <v>143</v>
      </c>
      <c r="N1701" s="75" t="b">
        <v>1</v>
      </c>
      <c r="O1701" s="75" t="s">
        <v>144</v>
      </c>
      <c r="P1701" s="75">
        <v>1994</v>
      </c>
      <c r="Q1701" s="107">
        <f t="shared" si="36"/>
        <v>2012</v>
      </c>
      <c r="R1701" s="107">
        <v>2</v>
      </c>
      <c r="S1701" s="100">
        <v>212066</v>
      </c>
      <c r="T1701" s="101">
        <v>41137</v>
      </c>
    </row>
    <row r="1702" spans="1:20" x14ac:dyDescent="0.3">
      <c r="A1702" s="68">
        <v>41143</v>
      </c>
      <c r="B1702" s="69">
        <f t="shared" si="37"/>
        <v>20120822</v>
      </c>
      <c r="C1702" s="70">
        <v>2.3099999999999999E-2</v>
      </c>
      <c r="D1702" s="77">
        <v>8.0000000000000002E-3</v>
      </c>
      <c r="E1702" s="77">
        <v>8.0000000000000002E-3</v>
      </c>
      <c r="F1702" s="77">
        <v>8.0000000000000002E-3</v>
      </c>
      <c r="G1702" s="78">
        <v>0</v>
      </c>
      <c r="K1702" s="106">
        <v>4.5000000000000005E-3</v>
      </c>
      <c r="L1702" s="80">
        <v>0</v>
      </c>
      <c r="M1702" s="75" t="s">
        <v>143</v>
      </c>
      <c r="N1702" s="75" t="b">
        <v>1</v>
      </c>
      <c r="O1702" s="75" t="s">
        <v>144</v>
      </c>
      <c r="P1702" s="75">
        <v>1994</v>
      </c>
      <c r="Q1702" s="107">
        <f t="shared" si="36"/>
        <v>2012</v>
      </c>
      <c r="R1702" s="107">
        <v>2</v>
      </c>
      <c r="S1702" s="100">
        <v>212066</v>
      </c>
      <c r="T1702" s="101">
        <v>41137</v>
      </c>
    </row>
    <row r="1703" spans="1:20" x14ac:dyDescent="0.3">
      <c r="A1703" s="68">
        <v>41144</v>
      </c>
      <c r="B1703" s="69">
        <f t="shared" si="37"/>
        <v>20120823</v>
      </c>
      <c r="C1703" s="70">
        <v>2.3099999999999999E-2</v>
      </c>
      <c r="D1703" s="77">
        <v>8.0000000000000002E-3</v>
      </c>
      <c r="E1703" s="77">
        <v>8.0000000000000002E-3</v>
      </c>
      <c r="F1703" s="77">
        <v>8.0000000000000002E-3</v>
      </c>
      <c r="G1703" s="78">
        <v>0</v>
      </c>
      <c r="K1703" s="106">
        <v>4.4000000000000003E-3</v>
      </c>
      <c r="L1703" s="80">
        <v>0</v>
      </c>
      <c r="M1703" s="75" t="s">
        <v>143</v>
      </c>
      <c r="N1703" s="75" t="b">
        <v>1</v>
      </c>
      <c r="O1703" s="75" t="s">
        <v>144</v>
      </c>
      <c r="P1703" s="75">
        <v>1994</v>
      </c>
      <c r="Q1703" s="107">
        <f t="shared" si="36"/>
        <v>2012</v>
      </c>
      <c r="R1703" s="107">
        <v>2</v>
      </c>
      <c r="S1703" s="100">
        <v>212066</v>
      </c>
      <c r="T1703" s="101">
        <v>41137</v>
      </c>
    </row>
    <row r="1704" spans="1:20" x14ac:dyDescent="0.3">
      <c r="A1704" s="68">
        <v>41145</v>
      </c>
      <c r="B1704" s="69">
        <f t="shared" si="37"/>
        <v>20120824</v>
      </c>
      <c r="C1704" s="70">
        <v>2.3099999999999999E-2</v>
      </c>
      <c r="D1704" s="77">
        <v>8.0000000000000002E-3</v>
      </c>
      <c r="E1704" s="77">
        <v>8.0000000000000002E-3</v>
      </c>
      <c r="F1704" s="77">
        <v>8.0000000000000002E-3</v>
      </c>
      <c r="G1704" s="78">
        <v>0</v>
      </c>
      <c r="K1704" s="106">
        <v>4.5000000000000005E-3</v>
      </c>
      <c r="L1704" s="80">
        <v>0</v>
      </c>
      <c r="M1704" s="75" t="s">
        <v>143</v>
      </c>
      <c r="N1704" s="75" t="b">
        <v>1</v>
      </c>
      <c r="O1704" s="75" t="s">
        <v>144</v>
      </c>
      <c r="P1704" s="75">
        <v>1994</v>
      </c>
      <c r="Q1704" s="107">
        <f t="shared" si="36"/>
        <v>2012</v>
      </c>
      <c r="R1704" s="107">
        <v>2</v>
      </c>
      <c r="S1704" s="100">
        <v>212066</v>
      </c>
      <c r="T1704" s="101">
        <v>41137</v>
      </c>
    </row>
    <row r="1705" spans="1:20" x14ac:dyDescent="0.3">
      <c r="A1705" s="68">
        <v>41146</v>
      </c>
      <c r="B1705" s="69">
        <f>YEAR(A1705)*10000+MONTH(A1705)*100+DAY(A1705)</f>
        <v>20120825</v>
      </c>
      <c r="C1705" s="70">
        <v>2.3099999999999999E-2</v>
      </c>
      <c r="D1705" s="77">
        <v>8.0000000000000002E-3</v>
      </c>
      <c r="E1705" s="77">
        <v>8.0000000000000002E-3</v>
      </c>
      <c r="F1705" s="77">
        <v>8.0000000000000002E-3</v>
      </c>
      <c r="G1705" s="78">
        <v>0</v>
      </c>
      <c r="K1705" s="106">
        <v>4.5000000000000005E-3</v>
      </c>
      <c r="L1705" s="80">
        <v>0</v>
      </c>
      <c r="M1705" s="75" t="s">
        <v>143</v>
      </c>
      <c r="N1705" s="75" t="b">
        <v>1</v>
      </c>
      <c r="O1705" s="75" t="s">
        <v>144</v>
      </c>
      <c r="P1705" s="75">
        <v>1994</v>
      </c>
      <c r="Q1705" s="107">
        <f t="shared" si="36"/>
        <v>2012</v>
      </c>
      <c r="R1705" s="107">
        <v>2</v>
      </c>
      <c r="S1705" s="100">
        <v>212066</v>
      </c>
      <c r="T1705" s="101">
        <v>41137</v>
      </c>
    </row>
    <row r="1706" spans="1:20" x14ac:dyDescent="0.3">
      <c r="A1706" s="68">
        <v>41147</v>
      </c>
      <c r="B1706" s="69">
        <f>YEAR(A1706)*10000+MONTH(A1706)*100+DAY(A1706)</f>
        <v>20120826</v>
      </c>
      <c r="C1706" s="70">
        <v>2.3099999999999999E-2</v>
      </c>
      <c r="D1706" s="77">
        <v>8.0000000000000002E-3</v>
      </c>
      <c r="E1706" s="77">
        <v>8.0000000000000002E-3</v>
      </c>
      <c r="F1706" s="77">
        <v>8.0000000000000002E-3</v>
      </c>
      <c r="G1706" s="78">
        <v>0</v>
      </c>
      <c r="K1706" s="106">
        <v>4.5000000000000005E-3</v>
      </c>
      <c r="L1706" s="80">
        <v>0</v>
      </c>
      <c r="M1706" s="75" t="s">
        <v>143</v>
      </c>
      <c r="N1706" s="75" t="b">
        <v>1</v>
      </c>
      <c r="O1706" s="75" t="s">
        <v>144</v>
      </c>
      <c r="P1706" s="75">
        <v>1994</v>
      </c>
      <c r="Q1706" s="107">
        <f t="shared" si="36"/>
        <v>2012</v>
      </c>
      <c r="R1706" s="107">
        <v>2</v>
      </c>
      <c r="S1706" s="100">
        <v>212066</v>
      </c>
      <c r="T1706" s="101">
        <v>41137</v>
      </c>
    </row>
    <row r="1707" spans="1:20" x14ac:dyDescent="0.3">
      <c r="A1707" s="68">
        <v>41148</v>
      </c>
      <c r="B1707" s="69">
        <f t="shared" si="37"/>
        <v>20120827</v>
      </c>
      <c r="C1707" s="70">
        <v>2.29E-2</v>
      </c>
      <c r="D1707" s="77">
        <v>8.0000000000000002E-3</v>
      </c>
      <c r="E1707" s="77">
        <v>8.0000000000000002E-3</v>
      </c>
      <c r="F1707" s="77">
        <v>8.0000000000000002E-3</v>
      </c>
      <c r="G1707" s="78">
        <v>0</v>
      </c>
      <c r="K1707" s="106">
        <v>4.1999999999999997E-3</v>
      </c>
      <c r="L1707" s="80">
        <v>0</v>
      </c>
      <c r="M1707" s="75" t="s">
        <v>143</v>
      </c>
      <c r="N1707" s="75" t="b">
        <v>1</v>
      </c>
      <c r="O1707" s="75" t="s">
        <v>144</v>
      </c>
      <c r="P1707" s="75">
        <v>1994</v>
      </c>
      <c r="Q1707" s="107">
        <f t="shared" si="36"/>
        <v>2012</v>
      </c>
      <c r="R1707" s="107">
        <v>2</v>
      </c>
      <c r="S1707" s="100">
        <v>212066</v>
      </c>
      <c r="T1707" s="101">
        <v>41137</v>
      </c>
    </row>
    <row r="1708" spans="1:20" x14ac:dyDescent="0.3">
      <c r="A1708" s="68">
        <v>41149</v>
      </c>
      <c r="B1708" s="69">
        <f t="shared" si="37"/>
        <v>20120828</v>
      </c>
      <c r="C1708" s="70">
        <v>2.2700000000000001E-2</v>
      </c>
      <c r="D1708" s="77">
        <v>8.0000000000000002E-3</v>
      </c>
      <c r="E1708" s="77">
        <v>8.0000000000000002E-3</v>
      </c>
      <c r="F1708" s="77">
        <v>8.0000000000000002E-3</v>
      </c>
      <c r="G1708" s="78">
        <v>0</v>
      </c>
      <c r="K1708" s="106">
        <v>4.0000000000000001E-3</v>
      </c>
      <c r="L1708" s="80">
        <v>0</v>
      </c>
      <c r="M1708" s="75" t="s">
        <v>143</v>
      </c>
      <c r="N1708" s="75" t="b">
        <v>1</v>
      </c>
      <c r="O1708" s="75" t="s">
        <v>144</v>
      </c>
      <c r="P1708" s="75">
        <v>1994</v>
      </c>
      <c r="Q1708" s="107">
        <f t="shared" si="36"/>
        <v>2012</v>
      </c>
      <c r="R1708" s="107">
        <v>2</v>
      </c>
      <c r="S1708" s="100">
        <v>212066</v>
      </c>
      <c r="T1708" s="101">
        <v>41137</v>
      </c>
    </row>
    <row r="1709" spans="1:20" x14ac:dyDescent="0.3">
      <c r="A1709" s="68">
        <v>41150</v>
      </c>
      <c r="B1709" s="69">
        <f t="shared" si="37"/>
        <v>20120829</v>
      </c>
      <c r="C1709" s="70">
        <v>2.2799999999999997E-2</v>
      </c>
      <c r="D1709" s="77">
        <v>8.0000000000000002E-3</v>
      </c>
      <c r="E1709" s="77">
        <v>8.0000000000000002E-3</v>
      </c>
      <c r="F1709" s="77">
        <v>8.0000000000000002E-3</v>
      </c>
      <c r="G1709" s="78">
        <v>0</v>
      </c>
      <c r="K1709" s="106">
        <v>4.0000000000000001E-3</v>
      </c>
      <c r="L1709" s="80">
        <v>0</v>
      </c>
      <c r="M1709" s="75" t="s">
        <v>143</v>
      </c>
      <c r="N1709" s="75" t="b">
        <v>1</v>
      </c>
      <c r="O1709" s="75" t="s">
        <v>144</v>
      </c>
      <c r="P1709" s="75">
        <v>1994</v>
      </c>
      <c r="Q1709" s="107">
        <f t="shared" si="36"/>
        <v>2012</v>
      </c>
      <c r="R1709" s="107">
        <v>2</v>
      </c>
      <c r="S1709" s="100">
        <v>212066</v>
      </c>
      <c r="T1709" s="101">
        <v>41137</v>
      </c>
    </row>
    <row r="1710" spans="1:20" x14ac:dyDescent="0.3">
      <c r="A1710" s="68">
        <v>41151</v>
      </c>
      <c r="B1710" s="69">
        <f t="shared" si="37"/>
        <v>20120830</v>
      </c>
      <c r="C1710" s="70">
        <v>2.2499999999999999E-2</v>
      </c>
      <c r="D1710" s="77">
        <v>8.0000000000000002E-3</v>
      </c>
      <c r="E1710" s="77">
        <v>8.0000000000000002E-3</v>
      </c>
      <c r="F1710" s="77">
        <v>8.0000000000000002E-3</v>
      </c>
      <c r="G1710" s="78">
        <v>0</v>
      </c>
      <c r="K1710" s="106">
        <v>4.0000000000000001E-3</v>
      </c>
      <c r="L1710" s="80">
        <v>0</v>
      </c>
      <c r="M1710" s="75" t="s">
        <v>143</v>
      </c>
      <c r="N1710" s="75" t="b">
        <v>1</v>
      </c>
      <c r="O1710" s="75" t="s">
        <v>144</v>
      </c>
      <c r="P1710" s="75">
        <v>1994</v>
      </c>
      <c r="Q1710" s="107">
        <f t="shared" ref="Q1710:Q1773" si="38">YEAR(A1710)</f>
        <v>2012</v>
      </c>
      <c r="R1710" s="107">
        <v>2</v>
      </c>
      <c r="S1710" s="100">
        <v>212066</v>
      </c>
      <c r="T1710" s="101">
        <v>41137</v>
      </c>
    </row>
    <row r="1711" spans="1:20" x14ac:dyDescent="0.3">
      <c r="A1711" s="68">
        <v>41152</v>
      </c>
      <c r="B1711" s="69">
        <f t="shared" si="37"/>
        <v>20120831</v>
      </c>
      <c r="C1711" s="70">
        <v>2.2400000000000003E-2</v>
      </c>
      <c r="D1711" s="77">
        <v>8.0000000000000002E-3</v>
      </c>
      <c r="E1711" s="77">
        <v>8.0000000000000002E-3</v>
      </c>
      <c r="F1711" s="77">
        <v>8.0000000000000002E-3</v>
      </c>
      <c r="G1711" s="78">
        <v>0</v>
      </c>
      <c r="K1711" s="106">
        <v>4.0000000000000001E-3</v>
      </c>
      <c r="L1711" s="80">
        <v>0</v>
      </c>
      <c r="M1711" s="75" t="s">
        <v>143</v>
      </c>
      <c r="N1711" s="75" t="b">
        <v>1</v>
      </c>
      <c r="O1711" s="75" t="s">
        <v>144</v>
      </c>
      <c r="P1711" s="75">
        <v>1994</v>
      </c>
      <c r="Q1711" s="107">
        <f t="shared" si="38"/>
        <v>2012</v>
      </c>
      <c r="R1711" s="107">
        <v>2</v>
      </c>
      <c r="S1711" s="100">
        <v>212066</v>
      </c>
      <c r="T1711" s="101">
        <v>41137</v>
      </c>
    </row>
    <row r="1712" spans="1:20" x14ac:dyDescent="0.3">
      <c r="A1712" s="68">
        <v>41153</v>
      </c>
      <c r="B1712" s="69">
        <f>YEAR(A1712)*10000+MONTH(A1712)*100+DAY(A1712)</f>
        <v>20120901</v>
      </c>
      <c r="C1712" s="70">
        <v>2.2400000000000003E-2</v>
      </c>
      <c r="D1712" s="77">
        <v>8.0000000000000002E-3</v>
      </c>
      <c r="E1712" s="77">
        <v>8.0000000000000002E-3</v>
      </c>
      <c r="F1712" s="77">
        <v>8.0000000000000002E-3</v>
      </c>
      <c r="G1712" s="78">
        <v>0</v>
      </c>
      <c r="K1712" s="106">
        <v>4.0000000000000001E-3</v>
      </c>
      <c r="L1712" s="80">
        <v>0</v>
      </c>
      <c r="M1712" s="75" t="s">
        <v>143</v>
      </c>
      <c r="N1712" s="75" t="b">
        <v>1</v>
      </c>
      <c r="O1712" s="75" t="s">
        <v>144</v>
      </c>
      <c r="P1712" s="75">
        <v>1994</v>
      </c>
      <c r="Q1712" s="107">
        <f t="shared" si="38"/>
        <v>2012</v>
      </c>
      <c r="R1712" s="107">
        <v>2</v>
      </c>
      <c r="S1712" s="100">
        <v>212066</v>
      </c>
      <c r="T1712" s="101">
        <v>41137</v>
      </c>
    </row>
    <row r="1713" spans="1:20" x14ac:dyDescent="0.3">
      <c r="A1713" s="68">
        <v>41154</v>
      </c>
      <c r="B1713" s="69">
        <f>YEAR(A1713)*10000+MONTH(A1713)*100+DAY(A1713)</f>
        <v>20120902</v>
      </c>
      <c r="C1713" s="70">
        <v>2.2400000000000003E-2</v>
      </c>
      <c r="D1713" s="77">
        <v>8.0000000000000002E-3</v>
      </c>
      <c r="E1713" s="77">
        <v>8.0000000000000002E-3</v>
      </c>
      <c r="F1713" s="77">
        <v>8.0000000000000002E-3</v>
      </c>
      <c r="G1713" s="78">
        <v>0</v>
      </c>
      <c r="K1713" s="106">
        <v>4.0000000000000001E-3</v>
      </c>
      <c r="L1713" s="80">
        <v>0</v>
      </c>
      <c r="M1713" s="75" t="s">
        <v>143</v>
      </c>
      <c r="N1713" s="75" t="b">
        <v>1</v>
      </c>
      <c r="O1713" s="75" t="s">
        <v>144</v>
      </c>
      <c r="P1713" s="75">
        <v>1994</v>
      </c>
      <c r="Q1713" s="107">
        <f t="shared" si="38"/>
        <v>2012</v>
      </c>
      <c r="R1713" s="107">
        <v>2</v>
      </c>
      <c r="S1713" s="100">
        <v>212066</v>
      </c>
      <c r="T1713" s="101">
        <v>41137</v>
      </c>
    </row>
    <row r="1714" spans="1:20" x14ac:dyDescent="0.3">
      <c r="A1714" s="68">
        <v>41155</v>
      </c>
      <c r="B1714" s="69">
        <f t="shared" si="37"/>
        <v>20120903</v>
      </c>
      <c r="C1714" s="70">
        <v>2.2400000000000003E-2</v>
      </c>
      <c r="D1714" s="77">
        <v>8.0000000000000002E-3</v>
      </c>
      <c r="E1714" s="77">
        <v>8.0000000000000002E-3</v>
      </c>
      <c r="F1714" s="77">
        <v>8.0000000000000002E-3</v>
      </c>
      <c r="G1714" s="78">
        <v>0</v>
      </c>
      <c r="K1714" s="106">
        <v>4.0000000000000001E-3</v>
      </c>
      <c r="L1714" s="80">
        <v>0</v>
      </c>
      <c r="M1714" s="75" t="s">
        <v>143</v>
      </c>
      <c r="N1714" s="75" t="b">
        <v>1</v>
      </c>
      <c r="O1714" s="75" t="s">
        <v>144</v>
      </c>
      <c r="P1714" s="75">
        <v>1994</v>
      </c>
      <c r="Q1714" s="107">
        <f t="shared" si="38"/>
        <v>2012</v>
      </c>
      <c r="R1714" s="107">
        <v>2</v>
      </c>
      <c r="S1714" s="100">
        <v>212066</v>
      </c>
      <c r="T1714" s="101">
        <v>41137</v>
      </c>
    </row>
    <row r="1715" spans="1:20" x14ac:dyDescent="0.3">
      <c r="A1715" s="68">
        <v>41156</v>
      </c>
      <c r="B1715" s="69">
        <f t="shared" si="37"/>
        <v>20120904</v>
      </c>
      <c r="C1715" s="70">
        <v>2.2200000000000001E-2</v>
      </c>
      <c r="D1715" s="77">
        <v>8.0000000000000002E-3</v>
      </c>
      <c r="E1715" s="77">
        <v>8.0000000000000002E-3</v>
      </c>
      <c r="F1715" s="77">
        <v>8.0000000000000002E-3</v>
      </c>
      <c r="G1715" s="78">
        <v>0</v>
      </c>
      <c r="K1715" s="106">
        <v>3.9000000000000003E-3</v>
      </c>
      <c r="L1715" s="80">
        <v>0</v>
      </c>
      <c r="M1715" s="75" t="s">
        <v>143</v>
      </c>
      <c r="N1715" s="75" t="b">
        <v>1</v>
      </c>
      <c r="O1715" s="75" t="s">
        <v>144</v>
      </c>
      <c r="P1715" s="75">
        <v>1994</v>
      </c>
      <c r="Q1715" s="107">
        <f t="shared" si="38"/>
        <v>2012</v>
      </c>
      <c r="R1715" s="107">
        <v>2</v>
      </c>
      <c r="S1715" s="100">
        <v>212066</v>
      </c>
      <c r="T1715" s="101">
        <v>41137</v>
      </c>
    </row>
    <row r="1716" spans="1:20" x14ac:dyDescent="0.3">
      <c r="A1716" s="68">
        <v>41157</v>
      </c>
      <c r="B1716" s="69">
        <f t="shared" si="37"/>
        <v>20120905</v>
      </c>
      <c r="C1716" s="70">
        <v>2.23E-2</v>
      </c>
      <c r="D1716" s="77">
        <v>8.0000000000000002E-3</v>
      </c>
      <c r="E1716" s="77">
        <v>8.0000000000000002E-3</v>
      </c>
      <c r="F1716" s="77">
        <v>8.0000000000000002E-3</v>
      </c>
      <c r="G1716" s="78">
        <v>0</v>
      </c>
      <c r="K1716" s="106">
        <v>4.1999999999999997E-3</v>
      </c>
      <c r="L1716" s="80">
        <v>0</v>
      </c>
      <c r="M1716" s="75" t="s">
        <v>143</v>
      </c>
      <c r="N1716" s="75" t="b">
        <v>1</v>
      </c>
      <c r="O1716" s="75" t="s">
        <v>144</v>
      </c>
      <c r="P1716" s="75">
        <v>1994</v>
      </c>
      <c r="Q1716" s="107">
        <f t="shared" si="38"/>
        <v>2012</v>
      </c>
      <c r="R1716" s="107">
        <v>2</v>
      </c>
      <c r="S1716" s="100">
        <v>212066</v>
      </c>
      <c r="T1716" s="101">
        <v>41137</v>
      </c>
    </row>
    <row r="1717" spans="1:20" x14ac:dyDescent="0.3">
      <c r="A1717" s="68">
        <v>41158</v>
      </c>
      <c r="B1717" s="69">
        <f t="shared" si="37"/>
        <v>20120906</v>
      </c>
      <c r="C1717" s="70">
        <v>2.3099999999999999E-2</v>
      </c>
      <c r="D1717" s="77">
        <v>8.0000000000000002E-3</v>
      </c>
      <c r="E1717" s="77">
        <v>8.0000000000000002E-3</v>
      </c>
      <c r="F1717" s="77">
        <v>8.0000000000000002E-3</v>
      </c>
      <c r="G1717" s="78">
        <v>0</v>
      </c>
      <c r="K1717" s="106">
        <v>4.7999999999999996E-3</v>
      </c>
      <c r="L1717" s="80">
        <v>0</v>
      </c>
      <c r="M1717" s="75" t="s">
        <v>143</v>
      </c>
      <c r="N1717" s="75" t="b">
        <v>1</v>
      </c>
      <c r="O1717" s="75" t="s">
        <v>144</v>
      </c>
      <c r="P1717" s="75">
        <v>1994</v>
      </c>
      <c r="Q1717" s="107">
        <f t="shared" si="38"/>
        <v>2012</v>
      </c>
      <c r="R1717" s="107">
        <v>2</v>
      </c>
      <c r="S1717" s="100">
        <v>212066</v>
      </c>
      <c r="T1717" s="101">
        <v>41137</v>
      </c>
    </row>
    <row r="1718" spans="1:20" x14ac:dyDescent="0.3">
      <c r="A1718" s="68">
        <v>41159</v>
      </c>
      <c r="B1718" s="69">
        <f t="shared" si="37"/>
        <v>20120907</v>
      </c>
      <c r="C1718" s="70">
        <v>2.3300000000000001E-2</v>
      </c>
      <c r="D1718" s="77">
        <v>8.0000000000000002E-3</v>
      </c>
      <c r="E1718" s="77">
        <v>8.0000000000000002E-3</v>
      </c>
      <c r="F1718" s="77">
        <v>8.0000000000000002E-3</v>
      </c>
      <c r="G1718" s="78">
        <v>0</v>
      </c>
      <c r="K1718" s="106">
        <v>5.1000000000000004E-3</v>
      </c>
      <c r="L1718" s="80">
        <v>0</v>
      </c>
      <c r="M1718" s="75" t="s">
        <v>143</v>
      </c>
      <c r="N1718" s="75" t="b">
        <v>1</v>
      </c>
      <c r="O1718" s="75" t="s">
        <v>144</v>
      </c>
      <c r="P1718" s="75">
        <v>1994</v>
      </c>
      <c r="Q1718" s="107">
        <f t="shared" si="38"/>
        <v>2012</v>
      </c>
      <c r="R1718" s="107">
        <v>2</v>
      </c>
      <c r="S1718" s="100">
        <v>212066</v>
      </c>
      <c r="T1718" s="101">
        <v>41137</v>
      </c>
    </row>
    <row r="1719" spans="1:20" x14ac:dyDescent="0.3">
      <c r="A1719" s="68">
        <v>41160</v>
      </c>
      <c r="B1719" s="69">
        <f>YEAR(A1719)*10000+MONTH(A1719)*100+DAY(A1719)</f>
        <v>20120908</v>
      </c>
      <c r="C1719" s="70">
        <v>2.3300000000000001E-2</v>
      </c>
      <c r="D1719" s="77">
        <v>8.0000000000000002E-3</v>
      </c>
      <c r="E1719" s="77">
        <v>8.0000000000000002E-3</v>
      </c>
      <c r="F1719" s="77">
        <v>8.0000000000000002E-3</v>
      </c>
      <c r="G1719" s="78">
        <v>0</v>
      </c>
      <c r="K1719" s="106">
        <v>5.1000000000000004E-3</v>
      </c>
      <c r="L1719" s="80">
        <v>0</v>
      </c>
      <c r="M1719" s="75" t="s">
        <v>143</v>
      </c>
      <c r="N1719" s="75" t="b">
        <v>1</v>
      </c>
      <c r="O1719" s="75" t="s">
        <v>144</v>
      </c>
      <c r="P1719" s="75">
        <v>1994</v>
      </c>
      <c r="Q1719" s="107">
        <f t="shared" si="38"/>
        <v>2012</v>
      </c>
      <c r="R1719" s="107">
        <v>2</v>
      </c>
      <c r="S1719" s="100">
        <v>212066</v>
      </c>
      <c r="T1719" s="101">
        <v>41137</v>
      </c>
    </row>
    <row r="1720" spans="1:20" x14ac:dyDescent="0.3">
      <c r="A1720" s="68">
        <v>41161</v>
      </c>
      <c r="B1720" s="69">
        <f>YEAR(A1720)*10000+MONTH(A1720)*100+DAY(A1720)</f>
        <v>20120909</v>
      </c>
      <c r="C1720" s="70">
        <v>2.3300000000000001E-2</v>
      </c>
      <c r="D1720" s="77">
        <v>8.0000000000000002E-3</v>
      </c>
      <c r="E1720" s="77">
        <v>8.0000000000000002E-3</v>
      </c>
      <c r="F1720" s="77">
        <v>8.0000000000000002E-3</v>
      </c>
      <c r="G1720" s="78">
        <v>0</v>
      </c>
      <c r="K1720" s="106">
        <v>5.1000000000000004E-3</v>
      </c>
      <c r="L1720" s="80">
        <v>0</v>
      </c>
      <c r="M1720" s="75" t="s">
        <v>143</v>
      </c>
      <c r="N1720" s="75" t="b">
        <v>1</v>
      </c>
      <c r="O1720" s="75" t="s">
        <v>144</v>
      </c>
      <c r="P1720" s="75">
        <v>1994</v>
      </c>
      <c r="Q1720" s="107">
        <f t="shared" si="38"/>
        <v>2012</v>
      </c>
      <c r="R1720" s="107">
        <v>2</v>
      </c>
      <c r="S1720" s="100">
        <v>212066</v>
      </c>
      <c r="T1720" s="101">
        <v>41137</v>
      </c>
    </row>
    <row r="1721" spans="1:20" x14ac:dyDescent="0.3">
      <c r="A1721" s="68">
        <v>41162</v>
      </c>
      <c r="B1721" s="69">
        <f t="shared" si="37"/>
        <v>20120910</v>
      </c>
      <c r="C1721" s="70">
        <v>2.3199999999999998E-2</v>
      </c>
      <c r="D1721" s="77">
        <v>8.0000000000000002E-3</v>
      </c>
      <c r="E1721" s="77">
        <v>8.0000000000000002E-3</v>
      </c>
      <c r="F1721" s="77">
        <v>8.0000000000000002E-3</v>
      </c>
      <c r="G1721" s="78">
        <v>0</v>
      </c>
      <c r="K1721" s="106">
        <v>5.0000000000000001E-3</v>
      </c>
      <c r="L1721" s="80">
        <v>0</v>
      </c>
      <c r="M1721" s="75" t="s">
        <v>143</v>
      </c>
      <c r="N1721" s="75" t="b">
        <v>1</v>
      </c>
      <c r="O1721" s="75" t="s">
        <v>144</v>
      </c>
      <c r="P1721" s="75">
        <v>1994</v>
      </c>
      <c r="Q1721" s="107">
        <f t="shared" si="38"/>
        <v>2012</v>
      </c>
      <c r="R1721" s="107">
        <v>2</v>
      </c>
      <c r="S1721" s="100">
        <v>212066</v>
      </c>
      <c r="T1721" s="101">
        <v>41137</v>
      </c>
    </row>
    <row r="1722" spans="1:20" x14ac:dyDescent="0.3">
      <c r="A1722" s="68">
        <v>41163</v>
      </c>
      <c r="B1722" s="69">
        <f t="shared" si="37"/>
        <v>20120911</v>
      </c>
      <c r="C1722" s="70">
        <v>2.3399999999999997E-2</v>
      </c>
      <c r="D1722" s="77">
        <v>8.0000000000000002E-3</v>
      </c>
      <c r="E1722" s="77">
        <v>8.0000000000000002E-3</v>
      </c>
      <c r="F1722" s="77">
        <v>8.0000000000000002E-3</v>
      </c>
      <c r="G1722" s="78">
        <v>0</v>
      </c>
      <c r="K1722" s="106">
        <v>5.1000000000000004E-3</v>
      </c>
      <c r="L1722" s="80">
        <v>0</v>
      </c>
      <c r="M1722" s="75" t="s">
        <v>143</v>
      </c>
      <c r="N1722" s="75" t="b">
        <v>1</v>
      </c>
      <c r="O1722" s="75" t="s">
        <v>144</v>
      </c>
      <c r="P1722" s="75">
        <v>1994</v>
      </c>
      <c r="Q1722" s="107">
        <f t="shared" si="38"/>
        <v>2012</v>
      </c>
      <c r="R1722" s="107">
        <v>2</v>
      </c>
      <c r="S1722" s="100">
        <v>212066</v>
      </c>
      <c r="T1722" s="101">
        <v>41137</v>
      </c>
    </row>
    <row r="1723" spans="1:20" x14ac:dyDescent="0.3">
      <c r="A1723" s="68">
        <v>41164</v>
      </c>
      <c r="B1723" s="69">
        <f t="shared" si="37"/>
        <v>20120912</v>
      </c>
      <c r="C1723" s="70">
        <v>2.3900000000000001E-2</v>
      </c>
      <c r="D1723" s="77">
        <v>8.0000000000000002E-3</v>
      </c>
      <c r="E1723" s="77">
        <v>8.0000000000000002E-3</v>
      </c>
      <c r="F1723" s="77">
        <v>8.0000000000000002E-3</v>
      </c>
      <c r="G1723" s="78">
        <v>0</v>
      </c>
      <c r="K1723" s="106">
        <v>4.6999999999999993E-3</v>
      </c>
      <c r="L1723" s="80">
        <v>0</v>
      </c>
      <c r="M1723" s="75" t="s">
        <v>143</v>
      </c>
      <c r="N1723" s="75" t="b">
        <v>1</v>
      </c>
      <c r="O1723" s="75" t="s">
        <v>144</v>
      </c>
      <c r="P1723" s="75">
        <v>1994</v>
      </c>
      <c r="Q1723" s="107">
        <f t="shared" si="38"/>
        <v>2012</v>
      </c>
      <c r="R1723" s="107">
        <v>2</v>
      </c>
      <c r="S1723" s="100">
        <v>212066</v>
      </c>
      <c r="T1723" s="101">
        <v>41137</v>
      </c>
    </row>
    <row r="1724" spans="1:20" x14ac:dyDescent="0.3">
      <c r="A1724" s="68">
        <v>41165</v>
      </c>
      <c r="B1724" s="69">
        <f t="shared" si="37"/>
        <v>20120913</v>
      </c>
      <c r="C1724" s="70">
        <v>2.3799999999999998E-2</v>
      </c>
      <c r="D1724" s="77">
        <v>8.0000000000000002E-3</v>
      </c>
      <c r="E1724" s="77">
        <v>8.0000000000000002E-3</v>
      </c>
      <c r="F1724" s="77">
        <v>8.0000000000000002E-3</v>
      </c>
      <c r="G1724" s="78">
        <v>0</v>
      </c>
      <c r="K1724" s="106">
        <v>4.0999999999999995E-3</v>
      </c>
      <c r="L1724" s="80">
        <v>0</v>
      </c>
      <c r="M1724" s="75" t="s">
        <v>143</v>
      </c>
      <c r="N1724" s="75" t="b">
        <v>1</v>
      </c>
      <c r="O1724" s="75" t="s">
        <v>144</v>
      </c>
      <c r="P1724" s="75">
        <v>1994</v>
      </c>
      <c r="Q1724" s="107">
        <f t="shared" si="38"/>
        <v>2012</v>
      </c>
      <c r="R1724" s="107">
        <v>2</v>
      </c>
      <c r="S1724" s="100">
        <v>212066</v>
      </c>
      <c r="T1724" s="101">
        <v>41137</v>
      </c>
    </row>
    <row r="1725" spans="1:20" x14ac:dyDescent="0.3">
      <c r="A1725" s="68">
        <v>41166</v>
      </c>
      <c r="B1725" s="69">
        <f t="shared" si="37"/>
        <v>20120914</v>
      </c>
      <c r="C1725" s="70">
        <v>2.4500000000000001E-2</v>
      </c>
      <c r="D1725" s="77">
        <v>8.0000000000000002E-3</v>
      </c>
      <c r="E1725" s="77">
        <v>8.0000000000000002E-3</v>
      </c>
      <c r="F1725" s="77">
        <v>8.0000000000000002E-3</v>
      </c>
      <c r="G1725" s="78">
        <v>0</v>
      </c>
      <c r="K1725" s="106">
        <v>4.0000000000000001E-3</v>
      </c>
      <c r="L1725" s="80">
        <v>0</v>
      </c>
      <c r="M1725" s="75" t="s">
        <v>143</v>
      </c>
      <c r="N1725" s="75" t="b">
        <v>1</v>
      </c>
      <c r="O1725" s="75" t="s">
        <v>144</v>
      </c>
      <c r="P1725" s="75">
        <v>1994</v>
      </c>
      <c r="Q1725" s="107">
        <f t="shared" si="38"/>
        <v>2012</v>
      </c>
      <c r="R1725" s="107">
        <v>2</v>
      </c>
      <c r="S1725" s="100">
        <v>212066</v>
      </c>
      <c r="T1725" s="101">
        <v>41137</v>
      </c>
    </row>
    <row r="1726" spans="1:20" x14ac:dyDescent="0.3">
      <c r="A1726" s="68">
        <v>41167</v>
      </c>
      <c r="B1726" s="69">
        <f>YEAR(A1726)*10000+MONTH(A1726)*100+DAY(A1726)</f>
        <v>20120915</v>
      </c>
      <c r="C1726" s="70">
        <v>2.4500000000000001E-2</v>
      </c>
      <c r="D1726" s="77">
        <v>8.0000000000000002E-3</v>
      </c>
      <c r="E1726" s="77">
        <v>8.0000000000000002E-3</v>
      </c>
      <c r="F1726" s="77">
        <v>8.0000000000000002E-3</v>
      </c>
      <c r="G1726" s="78">
        <v>0</v>
      </c>
      <c r="K1726" s="106">
        <v>4.0000000000000001E-3</v>
      </c>
      <c r="L1726" s="80">
        <v>0</v>
      </c>
      <c r="M1726" s="75" t="s">
        <v>143</v>
      </c>
      <c r="N1726" s="75" t="b">
        <v>1</v>
      </c>
      <c r="O1726" s="75" t="s">
        <v>144</v>
      </c>
      <c r="P1726" s="75">
        <v>1994</v>
      </c>
      <c r="Q1726" s="107">
        <f t="shared" si="38"/>
        <v>2012</v>
      </c>
      <c r="R1726" s="107">
        <v>2</v>
      </c>
      <c r="S1726" s="100">
        <v>212066</v>
      </c>
      <c r="T1726" s="101">
        <v>41137</v>
      </c>
    </row>
    <row r="1727" spans="1:20" x14ac:dyDescent="0.3">
      <c r="A1727" s="68">
        <v>41168</v>
      </c>
      <c r="B1727" s="69">
        <f>YEAR(A1727)*10000+MONTH(A1727)*100+DAY(A1727)</f>
        <v>20120916</v>
      </c>
      <c r="C1727" s="70">
        <v>2.4500000000000001E-2</v>
      </c>
      <c r="D1727" s="77">
        <v>8.0000000000000002E-3</v>
      </c>
      <c r="E1727" s="77">
        <v>8.0000000000000002E-3</v>
      </c>
      <c r="F1727" s="77">
        <v>8.0000000000000002E-3</v>
      </c>
      <c r="G1727" s="78">
        <v>0</v>
      </c>
      <c r="K1727" s="106">
        <v>4.0000000000000001E-3</v>
      </c>
      <c r="L1727" s="80">
        <v>0</v>
      </c>
      <c r="M1727" s="75" t="s">
        <v>143</v>
      </c>
      <c r="N1727" s="75" t="b">
        <v>1</v>
      </c>
      <c r="O1727" s="75" t="s">
        <v>144</v>
      </c>
      <c r="P1727" s="75">
        <v>1994</v>
      </c>
      <c r="Q1727" s="107">
        <f t="shared" si="38"/>
        <v>2012</v>
      </c>
      <c r="R1727" s="107">
        <v>2</v>
      </c>
      <c r="S1727" s="100">
        <v>212066</v>
      </c>
      <c r="T1727" s="101">
        <v>41137</v>
      </c>
    </row>
    <row r="1728" spans="1:20" x14ac:dyDescent="0.3">
      <c r="A1728" s="68">
        <v>41169</v>
      </c>
      <c r="B1728" s="69">
        <f t="shared" si="37"/>
        <v>20120917</v>
      </c>
      <c r="C1728" s="70">
        <v>2.4199999999999999E-2</v>
      </c>
      <c r="D1728" s="77">
        <v>8.0000000000000002E-3</v>
      </c>
      <c r="E1728" s="77">
        <v>8.0000000000000002E-3</v>
      </c>
      <c r="F1728" s="77">
        <v>8.0000000000000002E-3</v>
      </c>
      <c r="G1728" s="78">
        <v>0</v>
      </c>
      <c r="K1728" s="106">
        <v>3.9000000000000003E-3</v>
      </c>
      <c r="L1728" s="80">
        <v>0</v>
      </c>
      <c r="M1728" s="75" t="s">
        <v>143</v>
      </c>
      <c r="N1728" s="75" t="b">
        <v>1</v>
      </c>
      <c r="O1728" s="75" t="s">
        <v>144</v>
      </c>
      <c r="P1728" s="75">
        <v>1994</v>
      </c>
      <c r="Q1728" s="107">
        <f t="shared" si="38"/>
        <v>2012</v>
      </c>
      <c r="R1728" s="107">
        <v>2</v>
      </c>
      <c r="S1728" s="100">
        <v>212066</v>
      </c>
      <c r="T1728" s="101">
        <v>41137</v>
      </c>
    </row>
    <row r="1729" spans="1:20" x14ac:dyDescent="0.3">
      <c r="A1729" s="68">
        <v>41170</v>
      </c>
      <c r="B1729" s="69">
        <f t="shared" si="37"/>
        <v>20120918</v>
      </c>
      <c r="C1729" s="70">
        <v>2.4E-2</v>
      </c>
      <c r="D1729" s="77">
        <v>8.0000000000000002E-3</v>
      </c>
      <c r="E1729" s="77">
        <v>8.0000000000000002E-3</v>
      </c>
      <c r="F1729" s="77">
        <v>8.0000000000000002E-3</v>
      </c>
      <c r="G1729" s="78">
        <v>0</v>
      </c>
      <c r="K1729" s="106">
        <v>3.9000000000000003E-3</v>
      </c>
      <c r="L1729" s="80">
        <v>0</v>
      </c>
      <c r="M1729" s="75" t="s">
        <v>143</v>
      </c>
      <c r="N1729" s="75" t="b">
        <v>1</v>
      </c>
      <c r="O1729" s="75" t="s">
        <v>144</v>
      </c>
      <c r="P1729" s="75">
        <v>1994</v>
      </c>
      <c r="Q1729" s="107">
        <f t="shared" si="38"/>
        <v>2012</v>
      </c>
      <c r="R1729" s="107">
        <v>2</v>
      </c>
      <c r="S1729" s="100">
        <v>212066</v>
      </c>
      <c r="T1729" s="101">
        <v>41137</v>
      </c>
    </row>
    <row r="1730" spans="1:20" x14ac:dyDescent="0.3">
      <c r="A1730" s="68">
        <v>41171</v>
      </c>
      <c r="B1730" s="69">
        <f>YEAR(A1730)*10000+MONTH(A1730)*100+DAY(A1730)</f>
        <v>20120919</v>
      </c>
      <c r="C1730" s="109">
        <v>2.3599999999999999E-2</v>
      </c>
      <c r="D1730" s="77">
        <v>8.0000000000000002E-3</v>
      </c>
      <c r="E1730" s="77">
        <v>8.0000000000000002E-3</v>
      </c>
      <c r="F1730" s="77">
        <v>8.0000000000000002E-3</v>
      </c>
      <c r="G1730" s="78">
        <v>0</v>
      </c>
      <c r="K1730" s="106">
        <v>3.7000000000000002E-3</v>
      </c>
      <c r="L1730" s="80">
        <v>0</v>
      </c>
      <c r="M1730" s="75" t="s">
        <v>143</v>
      </c>
      <c r="N1730" s="75" t="b">
        <v>1</v>
      </c>
      <c r="O1730" s="75" t="s">
        <v>144</v>
      </c>
      <c r="P1730" s="75">
        <v>1994</v>
      </c>
      <c r="Q1730" s="107">
        <f t="shared" si="38"/>
        <v>2012</v>
      </c>
      <c r="R1730" s="107">
        <v>2</v>
      </c>
      <c r="S1730" s="100">
        <v>212066</v>
      </c>
      <c r="T1730" s="101">
        <v>41137</v>
      </c>
    </row>
    <row r="1731" spans="1:20" x14ac:dyDescent="0.3">
      <c r="A1731" s="68">
        <v>41172</v>
      </c>
      <c r="B1731" s="69">
        <f>YEAR(A1731)*10000+MONTH(A1731)*100+DAY(A1731)</f>
        <v>20120920</v>
      </c>
      <c r="C1731" s="109">
        <v>2.3300000000000001E-2</v>
      </c>
      <c r="D1731" s="77">
        <v>8.0000000000000002E-3</v>
      </c>
      <c r="E1731" s="77">
        <v>8.0000000000000002E-3</v>
      </c>
      <c r="F1731" s="77">
        <v>8.0000000000000002E-3</v>
      </c>
      <c r="G1731" s="78">
        <v>0</v>
      </c>
      <c r="K1731" s="106">
        <v>3.8E-3</v>
      </c>
      <c r="L1731" s="80">
        <v>0</v>
      </c>
      <c r="M1731" s="75" t="s">
        <v>143</v>
      </c>
      <c r="N1731" s="75" t="b">
        <v>1</v>
      </c>
      <c r="O1731" s="75" t="s">
        <v>144</v>
      </c>
      <c r="P1731" s="75">
        <v>1994</v>
      </c>
      <c r="Q1731" s="107">
        <f t="shared" si="38"/>
        <v>2012</v>
      </c>
      <c r="R1731" s="107">
        <v>2</v>
      </c>
      <c r="S1731" s="100">
        <v>212066</v>
      </c>
      <c r="T1731" s="101">
        <v>41137</v>
      </c>
    </row>
    <row r="1732" spans="1:20" x14ac:dyDescent="0.3">
      <c r="A1732" s="68">
        <v>41173</v>
      </c>
      <c r="B1732" s="69">
        <f>YEAR(A1732)*10000+MONTH(A1732)*100+DAY(A1732)</f>
        <v>20120921</v>
      </c>
      <c r="C1732" s="70">
        <v>2.3199999999999998E-2</v>
      </c>
      <c r="D1732" s="77">
        <v>8.0000000000000002E-3</v>
      </c>
      <c r="E1732" s="77">
        <v>8.0000000000000002E-3</v>
      </c>
      <c r="F1732" s="77">
        <v>8.0000000000000002E-3</v>
      </c>
      <c r="G1732" s="78">
        <v>0</v>
      </c>
      <c r="K1732" s="106">
        <v>4.0999999999999995E-3</v>
      </c>
      <c r="L1732" s="80">
        <v>0</v>
      </c>
      <c r="M1732" s="75" t="s">
        <v>143</v>
      </c>
      <c r="N1732" s="75" t="b">
        <v>1</v>
      </c>
      <c r="O1732" s="75" t="s">
        <v>144</v>
      </c>
      <c r="P1732" s="75">
        <v>1994</v>
      </c>
      <c r="Q1732" s="107">
        <f t="shared" si="38"/>
        <v>2012</v>
      </c>
      <c r="R1732" s="107">
        <v>2</v>
      </c>
      <c r="S1732" s="100">
        <v>212066</v>
      </c>
      <c r="T1732" s="101">
        <v>41137</v>
      </c>
    </row>
    <row r="1733" spans="1:20" x14ac:dyDescent="0.3">
      <c r="A1733" s="68">
        <v>41174</v>
      </c>
      <c r="B1733" s="69">
        <f t="shared" ref="B1733:B1798" si="39">YEAR(A1733)*10000+MONTH(A1733)*100+DAY(A1733)</f>
        <v>20120922</v>
      </c>
      <c r="C1733" s="70">
        <v>2.3199999999999998E-2</v>
      </c>
      <c r="D1733" s="77">
        <v>8.0000000000000002E-3</v>
      </c>
      <c r="E1733" s="77">
        <v>8.0000000000000002E-3</v>
      </c>
      <c r="F1733" s="77">
        <v>8.0000000000000002E-3</v>
      </c>
      <c r="G1733" s="78">
        <v>0</v>
      </c>
      <c r="K1733" s="106">
        <v>4.0999999999999995E-3</v>
      </c>
      <c r="L1733" s="80">
        <v>0</v>
      </c>
      <c r="M1733" s="75" t="s">
        <v>143</v>
      </c>
      <c r="N1733" s="75" t="b">
        <v>1</v>
      </c>
      <c r="O1733" s="75" t="s">
        <v>144</v>
      </c>
      <c r="P1733" s="75">
        <v>1994</v>
      </c>
      <c r="Q1733" s="107">
        <f t="shared" si="38"/>
        <v>2012</v>
      </c>
      <c r="R1733" s="107">
        <v>2</v>
      </c>
      <c r="S1733" s="100">
        <v>212066</v>
      </c>
      <c r="T1733" s="101">
        <v>41137</v>
      </c>
    </row>
    <row r="1734" spans="1:20" x14ac:dyDescent="0.3">
      <c r="A1734" s="68">
        <v>41175</v>
      </c>
      <c r="B1734" s="69">
        <f t="shared" si="39"/>
        <v>20120923</v>
      </c>
      <c r="C1734" s="70">
        <v>2.3199999999999998E-2</v>
      </c>
      <c r="D1734" s="77">
        <v>8.0000000000000002E-3</v>
      </c>
      <c r="E1734" s="77">
        <v>8.0000000000000002E-3</v>
      </c>
      <c r="F1734" s="77">
        <v>8.0000000000000002E-3</v>
      </c>
      <c r="G1734" s="78">
        <v>0</v>
      </c>
      <c r="K1734" s="106">
        <v>4.0999999999999995E-3</v>
      </c>
      <c r="L1734" s="80">
        <v>0</v>
      </c>
      <c r="M1734" s="75" t="s">
        <v>143</v>
      </c>
      <c r="N1734" s="75" t="b">
        <v>1</v>
      </c>
      <c r="O1734" s="75" t="s">
        <v>144</v>
      </c>
      <c r="P1734" s="75">
        <v>1994</v>
      </c>
      <c r="Q1734" s="107">
        <f t="shared" si="38"/>
        <v>2012</v>
      </c>
      <c r="R1734" s="107">
        <v>2</v>
      </c>
      <c r="S1734" s="100">
        <v>212066</v>
      </c>
      <c r="T1734" s="101">
        <v>41137</v>
      </c>
    </row>
    <row r="1735" spans="1:20" x14ac:dyDescent="0.3">
      <c r="A1735" s="68">
        <v>41176</v>
      </c>
      <c r="B1735" s="69">
        <f t="shared" si="39"/>
        <v>20120924</v>
      </c>
      <c r="C1735" s="70">
        <v>2.3E-2</v>
      </c>
      <c r="D1735" s="77">
        <v>8.0000000000000002E-3</v>
      </c>
      <c r="E1735" s="77">
        <v>8.0000000000000002E-3</v>
      </c>
      <c r="F1735" s="77">
        <v>8.0000000000000002E-3</v>
      </c>
      <c r="G1735" s="78">
        <v>0</v>
      </c>
      <c r="K1735" s="106">
        <v>3.9000000000000003E-3</v>
      </c>
      <c r="L1735" s="80">
        <v>0</v>
      </c>
      <c r="M1735" s="75" t="s">
        <v>143</v>
      </c>
      <c r="N1735" s="75" t="b">
        <v>1</v>
      </c>
      <c r="O1735" s="75" t="s">
        <v>144</v>
      </c>
      <c r="P1735" s="75">
        <v>1994</v>
      </c>
      <c r="Q1735" s="107">
        <f t="shared" si="38"/>
        <v>2012</v>
      </c>
      <c r="R1735" s="107">
        <v>2</v>
      </c>
      <c r="S1735" s="100">
        <v>212066</v>
      </c>
      <c r="T1735" s="101">
        <v>41137</v>
      </c>
    </row>
    <row r="1736" spans="1:20" x14ac:dyDescent="0.3">
      <c r="A1736" s="68">
        <v>41177</v>
      </c>
      <c r="B1736" s="69">
        <f t="shared" si="39"/>
        <v>20120925</v>
      </c>
      <c r="C1736" s="70">
        <v>2.29E-2</v>
      </c>
      <c r="D1736" s="77">
        <v>8.0000000000000002E-3</v>
      </c>
      <c r="E1736" s="77">
        <v>8.0000000000000002E-3</v>
      </c>
      <c r="F1736" s="77">
        <v>8.0000000000000002E-3</v>
      </c>
      <c r="G1736" s="78">
        <v>0</v>
      </c>
      <c r="K1736" s="106">
        <v>3.8E-3</v>
      </c>
      <c r="L1736" s="80">
        <v>0</v>
      </c>
      <c r="M1736" s="75" t="s">
        <v>143</v>
      </c>
      <c r="N1736" s="75" t="b">
        <v>1</v>
      </c>
      <c r="O1736" s="75" t="s">
        <v>144</v>
      </c>
      <c r="P1736" s="75">
        <v>1994</v>
      </c>
      <c r="Q1736" s="107">
        <f t="shared" si="38"/>
        <v>2012</v>
      </c>
      <c r="R1736" s="107">
        <v>2</v>
      </c>
      <c r="S1736" s="100">
        <v>212066</v>
      </c>
      <c r="T1736" s="101">
        <v>41137</v>
      </c>
    </row>
    <row r="1737" spans="1:20" x14ac:dyDescent="0.3">
      <c r="A1737" s="68">
        <v>41178</v>
      </c>
      <c r="B1737" s="69">
        <f t="shared" si="39"/>
        <v>20120926</v>
      </c>
      <c r="C1737" s="70">
        <v>2.24E-2</v>
      </c>
      <c r="D1737" s="77">
        <v>8.0000000000000002E-3</v>
      </c>
      <c r="E1737" s="77">
        <v>8.0000000000000002E-3</v>
      </c>
      <c r="F1737" s="77">
        <v>8.0000000000000002E-3</v>
      </c>
      <c r="G1737" s="78">
        <v>0</v>
      </c>
      <c r="K1737" s="106">
        <v>3.4999999999999996E-3</v>
      </c>
      <c r="L1737" s="80">
        <v>0</v>
      </c>
      <c r="M1737" s="75" t="s">
        <v>143</v>
      </c>
      <c r="N1737" s="75" t="b">
        <v>1</v>
      </c>
      <c r="O1737" s="75" t="s">
        <v>144</v>
      </c>
      <c r="P1737" s="75">
        <v>1994</v>
      </c>
      <c r="Q1737" s="107">
        <f t="shared" si="38"/>
        <v>2012</v>
      </c>
      <c r="R1737" s="107">
        <v>2</v>
      </c>
      <c r="S1737" s="100">
        <v>212066</v>
      </c>
      <c r="T1737" s="101">
        <v>41137</v>
      </c>
    </row>
    <row r="1738" spans="1:20" x14ac:dyDescent="0.3">
      <c r="A1738" s="68">
        <v>41179</v>
      </c>
      <c r="B1738" s="69">
        <f t="shared" si="39"/>
        <v>20120927</v>
      </c>
      <c r="C1738" s="109">
        <v>2.2499999999999999E-2</v>
      </c>
      <c r="D1738" s="77">
        <v>8.0000000000000002E-3</v>
      </c>
      <c r="E1738" s="77">
        <v>8.0000000000000002E-3</v>
      </c>
      <c r="F1738" s="77">
        <v>8.0000000000000002E-3</v>
      </c>
      <c r="G1738" s="78">
        <v>0</v>
      </c>
      <c r="K1738" s="106">
        <v>3.7000000000000002E-3</v>
      </c>
      <c r="L1738" s="80">
        <v>0</v>
      </c>
      <c r="M1738" s="75" t="s">
        <v>143</v>
      </c>
      <c r="N1738" s="75" t="b">
        <v>1</v>
      </c>
      <c r="O1738" s="75" t="s">
        <v>144</v>
      </c>
      <c r="P1738" s="75">
        <v>1994</v>
      </c>
      <c r="Q1738" s="107">
        <f t="shared" si="38"/>
        <v>2012</v>
      </c>
      <c r="R1738" s="107">
        <v>2</v>
      </c>
      <c r="S1738" s="100">
        <v>212066</v>
      </c>
      <c r="T1738" s="101">
        <v>41137</v>
      </c>
    </row>
    <row r="1739" spans="1:20" x14ac:dyDescent="0.3">
      <c r="A1739" s="68">
        <v>41180</v>
      </c>
      <c r="B1739" s="69">
        <f t="shared" si="39"/>
        <v>20120928</v>
      </c>
      <c r="C1739" s="109">
        <v>2.2200000000000001E-2</v>
      </c>
      <c r="D1739" s="77">
        <v>8.0000000000000002E-3</v>
      </c>
      <c r="E1739" s="77">
        <v>8.0000000000000002E-3</v>
      </c>
      <c r="F1739" s="77">
        <v>8.0000000000000002E-3</v>
      </c>
      <c r="G1739" s="78">
        <v>0</v>
      </c>
      <c r="K1739" s="106">
        <v>3.5999999999999999E-3</v>
      </c>
      <c r="L1739" s="80">
        <v>0</v>
      </c>
      <c r="M1739" s="75" t="s">
        <v>143</v>
      </c>
      <c r="N1739" s="75" t="b">
        <v>1</v>
      </c>
      <c r="O1739" s="75" t="s">
        <v>144</v>
      </c>
      <c r="P1739" s="75">
        <v>1994</v>
      </c>
      <c r="Q1739" s="107">
        <f t="shared" si="38"/>
        <v>2012</v>
      </c>
      <c r="R1739" s="107">
        <v>2</v>
      </c>
      <c r="S1739" s="100">
        <v>212066</v>
      </c>
      <c r="T1739" s="101">
        <v>41137</v>
      </c>
    </row>
    <row r="1740" spans="1:20" x14ac:dyDescent="0.3">
      <c r="A1740" s="68">
        <v>41181</v>
      </c>
      <c r="B1740" s="69">
        <f t="shared" si="39"/>
        <v>20120929</v>
      </c>
      <c r="C1740" s="109">
        <v>2.2200000000000001E-2</v>
      </c>
      <c r="D1740" s="77">
        <v>8.0000000000000002E-3</v>
      </c>
      <c r="E1740" s="77">
        <v>8.0000000000000002E-3</v>
      </c>
      <c r="F1740" s="77">
        <v>8.0000000000000002E-3</v>
      </c>
      <c r="G1740" s="78">
        <v>0</v>
      </c>
      <c r="K1740" s="106">
        <v>3.5999999999999999E-3</v>
      </c>
      <c r="L1740" s="80">
        <v>0</v>
      </c>
      <c r="M1740" s="75" t="s">
        <v>143</v>
      </c>
      <c r="N1740" s="75" t="b">
        <v>1</v>
      </c>
      <c r="O1740" s="75" t="s">
        <v>144</v>
      </c>
      <c r="P1740" s="75">
        <v>1994</v>
      </c>
      <c r="Q1740" s="107">
        <f t="shared" si="38"/>
        <v>2012</v>
      </c>
      <c r="R1740" s="107">
        <v>2</v>
      </c>
      <c r="S1740" s="100">
        <v>212066</v>
      </c>
      <c r="T1740" s="101">
        <v>41137</v>
      </c>
    </row>
    <row r="1741" spans="1:20" x14ac:dyDescent="0.3">
      <c r="A1741" s="68">
        <v>41182</v>
      </c>
      <c r="B1741" s="69">
        <f t="shared" si="39"/>
        <v>20120930</v>
      </c>
      <c r="C1741" s="109">
        <v>2.2200000000000001E-2</v>
      </c>
      <c r="D1741" s="77">
        <v>8.0000000000000002E-3</v>
      </c>
      <c r="E1741" s="77">
        <v>8.0000000000000002E-3</v>
      </c>
      <c r="F1741" s="77">
        <v>8.0000000000000002E-3</v>
      </c>
      <c r="G1741" s="78">
        <v>0</v>
      </c>
      <c r="K1741" s="106">
        <v>3.5999999999999999E-3</v>
      </c>
      <c r="L1741" s="80">
        <v>0</v>
      </c>
      <c r="M1741" s="75" t="s">
        <v>143</v>
      </c>
      <c r="N1741" s="75" t="b">
        <v>1</v>
      </c>
      <c r="O1741" s="75" t="s">
        <v>144</v>
      </c>
      <c r="P1741" s="75">
        <v>1994</v>
      </c>
      <c r="Q1741" s="107">
        <f t="shared" si="38"/>
        <v>2012</v>
      </c>
      <c r="R1741" s="107">
        <v>2</v>
      </c>
      <c r="S1741" s="100">
        <v>212066</v>
      </c>
      <c r="T1741" s="101">
        <v>41137</v>
      </c>
    </row>
    <row r="1742" spans="1:20" x14ac:dyDescent="0.3">
      <c r="A1742" s="68">
        <v>41183</v>
      </c>
      <c r="B1742" s="69">
        <f t="shared" si="39"/>
        <v>20121001</v>
      </c>
      <c r="C1742" s="70">
        <v>2.2200000000000001E-2</v>
      </c>
      <c r="D1742" s="77">
        <v>8.0000000000000002E-3</v>
      </c>
      <c r="E1742" s="77">
        <v>8.0000000000000002E-3</v>
      </c>
      <c r="F1742" s="77">
        <v>8.0000000000000002E-3</v>
      </c>
      <c r="G1742" s="78">
        <v>0</v>
      </c>
      <c r="K1742" s="106">
        <v>3.4999999999999996E-3</v>
      </c>
      <c r="L1742" s="80">
        <v>0</v>
      </c>
      <c r="M1742" s="75" t="s">
        <v>143</v>
      </c>
      <c r="N1742" s="75" t="b">
        <v>1</v>
      </c>
      <c r="O1742" s="75" t="s">
        <v>144</v>
      </c>
      <c r="P1742" s="75">
        <v>1994</v>
      </c>
      <c r="Q1742" s="107">
        <f t="shared" si="38"/>
        <v>2012</v>
      </c>
      <c r="R1742" s="107">
        <v>2</v>
      </c>
      <c r="S1742" s="100">
        <v>212066</v>
      </c>
      <c r="T1742" s="101">
        <v>41137</v>
      </c>
    </row>
    <row r="1743" spans="1:20" x14ac:dyDescent="0.3">
      <c r="A1743" s="68">
        <v>41184</v>
      </c>
      <c r="B1743" s="69">
        <f t="shared" si="39"/>
        <v>20121002</v>
      </c>
      <c r="C1743" s="70">
        <v>2.2200000000000001E-2</v>
      </c>
      <c r="D1743" s="77">
        <v>8.0000000000000002E-3</v>
      </c>
      <c r="E1743" s="77">
        <v>8.0000000000000002E-3</v>
      </c>
      <c r="F1743" s="77">
        <v>8.0000000000000002E-3</v>
      </c>
      <c r="G1743" s="78">
        <v>0</v>
      </c>
      <c r="K1743" s="106">
        <v>3.4000000000000002E-3</v>
      </c>
      <c r="L1743" s="80">
        <v>0</v>
      </c>
      <c r="M1743" s="75" t="s">
        <v>143</v>
      </c>
      <c r="N1743" s="75" t="b">
        <v>1</v>
      </c>
      <c r="O1743" s="75" t="s">
        <v>144</v>
      </c>
      <c r="P1743" s="75">
        <v>1994</v>
      </c>
      <c r="Q1743" s="107">
        <f t="shared" si="38"/>
        <v>2012</v>
      </c>
      <c r="R1743" s="107">
        <v>2</v>
      </c>
      <c r="S1743" s="100">
        <v>212066</v>
      </c>
      <c r="T1743" s="101">
        <v>41137</v>
      </c>
    </row>
    <row r="1744" spans="1:20" x14ac:dyDescent="0.3">
      <c r="A1744" s="68">
        <v>41185</v>
      </c>
      <c r="B1744" s="69">
        <f t="shared" si="39"/>
        <v>20121003</v>
      </c>
      <c r="C1744" s="70">
        <v>2.2200000000000001E-2</v>
      </c>
      <c r="D1744" s="77">
        <v>8.0000000000000002E-3</v>
      </c>
      <c r="E1744" s="77">
        <v>8.0000000000000002E-3</v>
      </c>
      <c r="F1744" s="77">
        <v>8.0000000000000002E-3</v>
      </c>
      <c r="G1744" s="78">
        <v>0</v>
      </c>
      <c r="K1744" s="106">
        <v>3.4000000000000002E-3</v>
      </c>
      <c r="L1744" s="80">
        <v>0</v>
      </c>
      <c r="M1744" s="75" t="s">
        <v>143</v>
      </c>
      <c r="N1744" s="75" t="b">
        <v>1</v>
      </c>
      <c r="O1744" s="75" t="s">
        <v>144</v>
      </c>
      <c r="P1744" s="75">
        <v>1994</v>
      </c>
      <c r="Q1744" s="107">
        <f t="shared" si="38"/>
        <v>2012</v>
      </c>
      <c r="R1744" s="107">
        <v>2</v>
      </c>
      <c r="S1744" s="100">
        <v>212066</v>
      </c>
      <c r="T1744" s="101">
        <v>41137</v>
      </c>
    </row>
    <row r="1745" spans="1:20" x14ac:dyDescent="0.3">
      <c r="A1745" s="68">
        <v>41186</v>
      </c>
      <c r="B1745" s="69">
        <f t="shared" si="39"/>
        <v>20121004</v>
      </c>
      <c r="C1745" s="70">
        <v>2.2700000000000001E-2</v>
      </c>
      <c r="D1745" s="77">
        <v>8.0000000000000002E-3</v>
      </c>
      <c r="E1745" s="77">
        <v>8.0000000000000002E-3</v>
      </c>
      <c r="F1745" s="77">
        <v>8.0000000000000002E-3</v>
      </c>
      <c r="G1745" s="78">
        <v>0</v>
      </c>
      <c r="K1745" s="106">
        <v>3.4999999999999996E-3</v>
      </c>
      <c r="L1745" s="80">
        <v>0</v>
      </c>
      <c r="M1745" s="75" t="s">
        <v>143</v>
      </c>
      <c r="N1745" s="75" t="b">
        <v>1</v>
      </c>
      <c r="O1745" s="75" t="s">
        <v>144</v>
      </c>
      <c r="P1745" s="75">
        <v>1994</v>
      </c>
      <c r="Q1745" s="107">
        <f t="shared" si="38"/>
        <v>2012</v>
      </c>
      <c r="R1745" s="107">
        <v>2</v>
      </c>
      <c r="S1745" s="100">
        <v>212066</v>
      </c>
      <c r="T1745" s="101">
        <v>41137</v>
      </c>
    </row>
    <row r="1746" spans="1:20" x14ac:dyDescent="0.3">
      <c r="A1746" s="68">
        <v>41187</v>
      </c>
      <c r="B1746" s="69">
        <f t="shared" si="39"/>
        <v>20121005</v>
      </c>
      <c r="C1746" s="70">
        <v>2.3E-2</v>
      </c>
      <c r="D1746" s="77">
        <v>8.0000000000000002E-3</v>
      </c>
      <c r="E1746" s="77">
        <v>8.0000000000000002E-3</v>
      </c>
      <c r="F1746" s="77">
        <v>8.0000000000000002E-3</v>
      </c>
      <c r="G1746" s="78">
        <v>0</v>
      </c>
      <c r="K1746" s="106">
        <v>3.5999999999999999E-3</v>
      </c>
      <c r="L1746" s="80">
        <v>0</v>
      </c>
      <c r="M1746" s="75" t="s">
        <v>143</v>
      </c>
      <c r="N1746" s="75" t="b">
        <v>1</v>
      </c>
      <c r="O1746" s="75" t="s">
        <v>144</v>
      </c>
      <c r="P1746" s="75">
        <v>1994</v>
      </c>
      <c r="Q1746" s="107">
        <f t="shared" si="38"/>
        <v>2012</v>
      </c>
      <c r="R1746" s="107">
        <v>2</v>
      </c>
      <c r="S1746" s="100">
        <v>212066</v>
      </c>
      <c r="T1746" s="101">
        <v>41137</v>
      </c>
    </row>
    <row r="1747" spans="1:20" x14ac:dyDescent="0.3">
      <c r="A1747" s="68">
        <v>41188</v>
      </c>
      <c r="B1747" s="69">
        <f>YEAR(A1747)*10000+MONTH(A1747)*100+DAY(A1747)</f>
        <v>20121006</v>
      </c>
      <c r="C1747" s="70">
        <v>2.3E-2</v>
      </c>
      <c r="D1747" s="77">
        <v>8.0000000000000002E-3</v>
      </c>
      <c r="E1747" s="77">
        <v>8.0000000000000002E-3</v>
      </c>
      <c r="F1747" s="77">
        <v>8.0000000000000002E-3</v>
      </c>
      <c r="G1747" s="78">
        <v>0</v>
      </c>
      <c r="K1747" s="106">
        <v>3.5999999999999999E-3</v>
      </c>
      <c r="L1747" s="80">
        <v>0</v>
      </c>
      <c r="M1747" s="75" t="s">
        <v>143</v>
      </c>
      <c r="N1747" s="75" t="b">
        <v>1</v>
      </c>
      <c r="O1747" s="75" t="s">
        <v>144</v>
      </c>
      <c r="P1747" s="75">
        <v>1994</v>
      </c>
      <c r="Q1747" s="107">
        <f t="shared" si="38"/>
        <v>2012</v>
      </c>
      <c r="R1747" s="107">
        <v>2</v>
      </c>
      <c r="S1747" s="100">
        <v>212066</v>
      </c>
      <c r="T1747" s="101">
        <v>41137</v>
      </c>
    </row>
    <row r="1748" spans="1:20" x14ac:dyDescent="0.3">
      <c r="A1748" s="68">
        <v>41189</v>
      </c>
      <c r="B1748" s="69">
        <f>YEAR(A1748)*10000+MONTH(A1748)*100+DAY(A1748)</f>
        <v>20121007</v>
      </c>
      <c r="C1748" s="70">
        <v>2.3E-2</v>
      </c>
      <c r="D1748" s="77">
        <v>8.0000000000000002E-3</v>
      </c>
      <c r="E1748" s="77">
        <v>8.0000000000000002E-3</v>
      </c>
      <c r="F1748" s="77">
        <v>8.0000000000000002E-3</v>
      </c>
      <c r="G1748" s="78">
        <v>0</v>
      </c>
      <c r="K1748" s="106">
        <v>3.5999999999999999E-3</v>
      </c>
      <c r="L1748" s="80">
        <v>0</v>
      </c>
      <c r="M1748" s="75" t="s">
        <v>143</v>
      </c>
      <c r="N1748" s="75" t="b">
        <v>1</v>
      </c>
      <c r="O1748" s="75" t="s">
        <v>144</v>
      </c>
      <c r="P1748" s="75">
        <v>1994</v>
      </c>
      <c r="Q1748" s="107">
        <f t="shared" si="38"/>
        <v>2012</v>
      </c>
      <c r="R1748" s="107">
        <v>2</v>
      </c>
      <c r="S1748" s="100">
        <v>212066</v>
      </c>
      <c r="T1748" s="101">
        <v>41137</v>
      </c>
    </row>
    <row r="1749" spans="1:20" x14ac:dyDescent="0.3">
      <c r="A1749" s="68">
        <v>41190</v>
      </c>
      <c r="B1749" s="69">
        <f t="shared" si="39"/>
        <v>20121008</v>
      </c>
      <c r="C1749" s="70">
        <v>2.3E-2</v>
      </c>
      <c r="D1749" s="77">
        <v>8.0000000000000002E-3</v>
      </c>
      <c r="E1749" s="77">
        <v>8.0000000000000002E-3</v>
      </c>
      <c r="F1749" s="77">
        <v>8.0000000000000002E-3</v>
      </c>
      <c r="G1749" s="78">
        <v>0</v>
      </c>
      <c r="K1749" s="106">
        <v>3.5999999999999999E-3</v>
      </c>
      <c r="L1749" s="80">
        <v>0</v>
      </c>
      <c r="M1749" s="75" t="s">
        <v>143</v>
      </c>
      <c r="N1749" s="75" t="b">
        <v>1</v>
      </c>
      <c r="O1749" s="75" t="s">
        <v>144</v>
      </c>
      <c r="P1749" s="75">
        <v>1994</v>
      </c>
      <c r="Q1749" s="107">
        <f t="shared" si="38"/>
        <v>2012</v>
      </c>
      <c r="R1749" s="107">
        <v>2</v>
      </c>
      <c r="S1749" s="100">
        <v>212066</v>
      </c>
      <c r="T1749" s="101">
        <v>41137</v>
      </c>
    </row>
    <row r="1750" spans="1:20" x14ac:dyDescent="0.3">
      <c r="A1750" s="68">
        <v>41191</v>
      </c>
      <c r="B1750" s="69">
        <f t="shared" si="39"/>
        <v>20121009</v>
      </c>
      <c r="C1750" s="70">
        <v>2.3E-2</v>
      </c>
      <c r="D1750" s="77">
        <v>8.0000000000000002E-3</v>
      </c>
      <c r="E1750" s="77">
        <v>8.0000000000000002E-3</v>
      </c>
      <c r="F1750" s="77">
        <v>8.0000000000000002E-3</v>
      </c>
      <c r="G1750" s="78">
        <v>0</v>
      </c>
      <c r="K1750" s="106">
        <v>3.5999999999999999E-3</v>
      </c>
      <c r="L1750" s="80">
        <v>0</v>
      </c>
      <c r="M1750" s="75" t="s">
        <v>143</v>
      </c>
      <c r="N1750" s="75" t="b">
        <v>1</v>
      </c>
      <c r="O1750" s="75" t="s">
        <v>144</v>
      </c>
      <c r="P1750" s="75">
        <v>1994</v>
      </c>
      <c r="Q1750" s="107">
        <f t="shared" si="38"/>
        <v>2012</v>
      </c>
      <c r="R1750" s="107">
        <v>2</v>
      </c>
      <c r="S1750" s="100">
        <v>212066</v>
      </c>
      <c r="T1750" s="101">
        <v>41137</v>
      </c>
    </row>
    <row r="1751" spans="1:20" x14ac:dyDescent="0.3">
      <c r="A1751" s="68">
        <v>41192</v>
      </c>
      <c r="B1751" s="69">
        <f t="shared" si="39"/>
        <v>20121010</v>
      </c>
      <c r="C1751" s="70">
        <v>2.3E-2</v>
      </c>
      <c r="D1751" s="77">
        <v>8.0000000000000002E-3</v>
      </c>
      <c r="E1751" s="77">
        <v>8.0000000000000002E-3</v>
      </c>
      <c r="F1751" s="77">
        <v>8.0000000000000002E-3</v>
      </c>
      <c r="G1751" s="78">
        <v>0</v>
      </c>
      <c r="K1751" s="106">
        <v>3.5999999999999999E-3</v>
      </c>
      <c r="L1751" s="80">
        <v>0</v>
      </c>
      <c r="M1751" s="75" t="s">
        <v>143</v>
      </c>
      <c r="N1751" s="75" t="b">
        <v>1</v>
      </c>
      <c r="O1751" s="75" t="s">
        <v>144</v>
      </c>
      <c r="P1751" s="75">
        <v>1994</v>
      </c>
      <c r="Q1751" s="107">
        <f t="shared" si="38"/>
        <v>2012</v>
      </c>
      <c r="R1751" s="107">
        <v>2</v>
      </c>
      <c r="S1751" s="100">
        <v>212066</v>
      </c>
      <c r="T1751" s="101">
        <v>41137</v>
      </c>
    </row>
    <row r="1752" spans="1:20" x14ac:dyDescent="0.3">
      <c r="A1752" s="68">
        <v>41193</v>
      </c>
      <c r="B1752" s="69">
        <f t="shared" si="39"/>
        <v>20121011</v>
      </c>
      <c r="C1752" s="70">
        <v>2.3E-2</v>
      </c>
      <c r="D1752" s="77">
        <v>8.0000000000000002E-3</v>
      </c>
      <c r="E1752" s="77">
        <v>8.0000000000000002E-3</v>
      </c>
      <c r="F1752" s="77">
        <v>8.0000000000000002E-3</v>
      </c>
      <c r="G1752" s="78">
        <v>0</v>
      </c>
      <c r="K1752" s="106">
        <v>3.7000000000000002E-3</v>
      </c>
      <c r="L1752" s="80">
        <v>0</v>
      </c>
      <c r="M1752" s="75" t="s">
        <v>143</v>
      </c>
      <c r="N1752" s="75" t="b">
        <v>1</v>
      </c>
      <c r="O1752" s="75" t="s">
        <v>144</v>
      </c>
      <c r="P1752" s="75">
        <v>1994</v>
      </c>
      <c r="Q1752" s="107">
        <f t="shared" si="38"/>
        <v>2012</v>
      </c>
      <c r="R1752" s="107">
        <v>2</v>
      </c>
      <c r="S1752" s="100">
        <v>212066</v>
      </c>
      <c r="T1752" s="101">
        <v>41137</v>
      </c>
    </row>
    <row r="1753" spans="1:20" x14ac:dyDescent="0.3">
      <c r="A1753" s="68">
        <v>41194</v>
      </c>
      <c r="B1753" s="69">
        <f t="shared" si="39"/>
        <v>20121012</v>
      </c>
      <c r="C1753" s="70">
        <v>2.3E-2</v>
      </c>
      <c r="D1753" s="77">
        <v>8.0000000000000002E-3</v>
      </c>
      <c r="E1753" s="77">
        <v>8.0000000000000002E-3</v>
      </c>
      <c r="F1753" s="77">
        <v>8.0000000000000002E-3</v>
      </c>
      <c r="G1753" s="78">
        <v>0</v>
      </c>
      <c r="K1753" s="106">
        <v>3.9000000000000003E-3</v>
      </c>
      <c r="L1753" s="80">
        <v>0</v>
      </c>
      <c r="M1753" s="75" t="s">
        <v>143</v>
      </c>
      <c r="N1753" s="75" t="b">
        <v>1</v>
      </c>
      <c r="O1753" s="75" t="s">
        <v>144</v>
      </c>
      <c r="P1753" s="75">
        <v>1994</v>
      </c>
      <c r="Q1753" s="107">
        <f t="shared" si="38"/>
        <v>2012</v>
      </c>
      <c r="R1753" s="107">
        <v>2</v>
      </c>
      <c r="S1753" s="100">
        <v>212066</v>
      </c>
      <c r="T1753" s="101">
        <v>41137</v>
      </c>
    </row>
    <row r="1754" spans="1:20" x14ac:dyDescent="0.3">
      <c r="A1754" s="68">
        <v>41195</v>
      </c>
      <c r="B1754" s="69">
        <f>YEAR(A1754)*10000+MONTH(A1754)*100+DAY(A1754)</f>
        <v>20121013</v>
      </c>
      <c r="C1754" s="70">
        <v>2.3E-2</v>
      </c>
      <c r="D1754" s="77">
        <v>8.0000000000000002E-3</v>
      </c>
      <c r="E1754" s="77">
        <v>8.0000000000000002E-3</v>
      </c>
      <c r="F1754" s="77">
        <v>8.0000000000000002E-3</v>
      </c>
      <c r="G1754" s="78">
        <v>0</v>
      </c>
      <c r="K1754" s="106">
        <v>3.9000000000000003E-3</v>
      </c>
      <c r="L1754" s="80">
        <v>0</v>
      </c>
      <c r="M1754" s="75" t="s">
        <v>143</v>
      </c>
      <c r="N1754" s="75" t="b">
        <v>1</v>
      </c>
      <c r="O1754" s="75" t="s">
        <v>144</v>
      </c>
      <c r="P1754" s="75">
        <v>1994</v>
      </c>
      <c r="Q1754" s="107">
        <f t="shared" si="38"/>
        <v>2012</v>
      </c>
      <c r="R1754" s="107">
        <v>2</v>
      </c>
      <c r="S1754" s="100">
        <v>212066</v>
      </c>
      <c r="T1754" s="101">
        <v>41137</v>
      </c>
    </row>
    <row r="1755" spans="1:20" x14ac:dyDescent="0.3">
      <c r="A1755" s="68">
        <v>41196</v>
      </c>
      <c r="B1755" s="69">
        <f>YEAR(A1755)*10000+MONTH(A1755)*100+DAY(A1755)</f>
        <v>20121014</v>
      </c>
      <c r="C1755" s="70">
        <v>2.3E-2</v>
      </c>
      <c r="D1755" s="77">
        <v>8.0000000000000002E-3</v>
      </c>
      <c r="E1755" s="77">
        <v>8.0000000000000002E-3</v>
      </c>
      <c r="F1755" s="77">
        <v>8.0000000000000002E-3</v>
      </c>
      <c r="G1755" s="78">
        <v>0</v>
      </c>
      <c r="K1755" s="106">
        <v>3.9000000000000003E-3</v>
      </c>
      <c r="L1755" s="80">
        <v>0</v>
      </c>
      <c r="M1755" s="75" t="s">
        <v>143</v>
      </c>
      <c r="N1755" s="75" t="b">
        <v>1</v>
      </c>
      <c r="O1755" s="75" t="s">
        <v>144</v>
      </c>
      <c r="P1755" s="75">
        <v>1994</v>
      </c>
      <c r="Q1755" s="107">
        <f t="shared" si="38"/>
        <v>2012</v>
      </c>
      <c r="R1755" s="107">
        <v>2</v>
      </c>
      <c r="S1755" s="100">
        <v>212066</v>
      </c>
      <c r="T1755" s="101">
        <v>41137</v>
      </c>
    </row>
    <row r="1756" spans="1:20" x14ac:dyDescent="0.3">
      <c r="A1756" s="68">
        <v>41197</v>
      </c>
      <c r="B1756" s="69">
        <f t="shared" si="39"/>
        <v>20121015</v>
      </c>
      <c r="C1756" s="70">
        <v>2.3099999999999999E-2</v>
      </c>
      <c r="D1756" s="77">
        <v>8.0000000000000002E-3</v>
      </c>
      <c r="E1756" s="77">
        <v>8.0000000000000002E-3</v>
      </c>
      <c r="F1756" s="77">
        <v>8.0000000000000002E-3</v>
      </c>
      <c r="G1756" s="78">
        <v>0</v>
      </c>
      <c r="K1756" s="106">
        <v>4.0000000000000001E-3</v>
      </c>
      <c r="L1756" s="80">
        <v>0</v>
      </c>
      <c r="M1756" s="75" t="s">
        <v>143</v>
      </c>
      <c r="N1756" s="75" t="b">
        <v>1</v>
      </c>
      <c r="O1756" s="75" t="s">
        <v>144</v>
      </c>
      <c r="P1756" s="75">
        <v>1994</v>
      </c>
      <c r="Q1756" s="107">
        <f t="shared" si="38"/>
        <v>2012</v>
      </c>
      <c r="R1756" s="107">
        <v>2</v>
      </c>
      <c r="S1756" s="100">
        <v>212066</v>
      </c>
      <c r="T1756" s="101">
        <v>41137</v>
      </c>
    </row>
    <row r="1757" spans="1:20" x14ac:dyDescent="0.3">
      <c r="A1757" s="68">
        <v>41198</v>
      </c>
      <c r="B1757" s="69">
        <f t="shared" si="39"/>
        <v>20121016</v>
      </c>
      <c r="C1757" s="70">
        <v>2.3399999999999997E-2</v>
      </c>
      <c r="D1757" s="77">
        <v>8.0000000000000002E-3</v>
      </c>
      <c r="E1757" s="77">
        <v>8.0000000000000002E-3</v>
      </c>
      <c r="F1757" s="77">
        <v>8.0000000000000002E-3</v>
      </c>
      <c r="G1757" s="78">
        <v>0</v>
      </c>
      <c r="K1757" s="106">
        <v>4.3E-3</v>
      </c>
      <c r="L1757" s="80">
        <v>0</v>
      </c>
      <c r="M1757" s="75" t="s">
        <v>143</v>
      </c>
      <c r="N1757" s="75" t="b">
        <v>1</v>
      </c>
      <c r="O1757" s="75" t="s">
        <v>144</v>
      </c>
      <c r="P1757" s="75">
        <v>1994</v>
      </c>
      <c r="Q1757" s="107">
        <f t="shared" si="38"/>
        <v>2012</v>
      </c>
      <c r="R1757" s="107">
        <v>2</v>
      </c>
      <c r="S1757" s="100">
        <v>212066</v>
      </c>
      <c r="T1757" s="101">
        <v>41137</v>
      </c>
    </row>
    <row r="1758" spans="1:20" x14ac:dyDescent="0.3">
      <c r="A1758" s="68">
        <v>41199</v>
      </c>
      <c r="B1758" s="69">
        <f t="shared" si="39"/>
        <v>20121017</v>
      </c>
      <c r="C1758" s="70">
        <v>2.41E-2</v>
      </c>
      <c r="D1758" s="77">
        <v>8.0000000000000002E-3</v>
      </c>
      <c r="E1758" s="77">
        <v>8.0000000000000002E-3</v>
      </c>
      <c r="F1758" s="77">
        <v>8.0000000000000002E-3</v>
      </c>
      <c r="G1758" s="78">
        <v>0</v>
      </c>
      <c r="K1758" s="106">
        <v>4.7999999999999996E-3</v>
      </c>
      <c r="L1758" s="80">
        <v>0</v>
      </c>
      <c r="M1758" s="75" t="s">
        <v>143</v>
      </c>
      <c r="N1758" s="75" t="b">
        <v>1</v>
      </c>
      <c r="O1758" s="75" t="s">
        <v>144</v>
      </c>
      <c r="P1758" s="75">
        <v>1994</v>
      </c>
      <c r="Q1758" s="107">
        <f t="shared" si="38"/>
        <v>2012</v>
      </c>
      <c r="R1758" s="107">
        <v>2</v>
      </c>
      <c r="S1758" s="100">
        <v>212066</v>
      </c>
      <c r="T1758" s="101">
        <v>41137</v>
      </c>
    </row>
    <row r="1759" spans="1:20" x14ac:dyDescent="0.3">
      <c r="A1759" s="68">
        <v>41200</v>
      </c>
      <c r="B1759" s="69">
        <f t="shared" si="39"/>
        <v>20121018</v>
      </c>
      <c r="C1759" s="70">
        <v>2.3900000000000001E-2</v>
      </c>
      <c r="D1759" s="77">
        <v>8.0000000000000002E-3</v>
      </c>
      <c r="E1759" s="77">
        <v>8.0000000000000002E-3</v>
      </c>
      <c r="F1759" s="77">
        <v>8.0000000000000002E-3</v>
      </c>
      <c r="G1759" s="78">
        <v>0</v>
      </c>
      <c r="K1759" s="106">
        <v>4.5000000000000005E-3</v>
      </c>
      <c r="L1759" s="80">
        <v>0</v>
      </c>
      <c r="M1759" s="75" t="s">
        <v>143</v>
      </c>
      <c r="N1759" s="75" t="b">
        <v>1</v>
      </c>
      <c r="O1759" s="75" t="s">
        <v>144</v>
      </c>
      <c r="P1759" s="75">
        <v>1994</v>
      </c>
      <c r="Q1759" s="107">
        <f t="shared" si="38"/>
        <v>2012</v>
      </c>
      <c r="R1759" s="107">
        <v>2</v>
      </c>
      <c r="S1759" s="100">
        <v>212066</v>
      </c>
      <c r="T1759" s="101">
        <v>41137</v>
      </c>
    </row>
    <row r="1760" spans="1:20" x14ac:dyDescent="0.3">
      <c r="A1760" s="68">
        <v>41201</v>
      </c>
      <c r="B1760" s="69">
        <f t="shared" si="39"/>
        <v>20121019</v>
      </c>
      <c r="C1760" s="70">
        <v>2.3399999999999997E-2</v>
      </c>
      <c r="D1760" s="77">
        <v>8.0000000000000002E-3</v>
      </c>
      <c r="E1760" s="77">
        <v>8.0000000000000002E-3</v>
      </c>
      <c r="F1760" s="77">
        <v>8.0000000000000002E-3</v>
      </c>
      <c r="G1760" s="78">
        <v>0</v>
      </c>
      <c r="K1760" s="106">
        <v>4.1999999999999997E-3</v>
      </c>
      <c r="L1760" s="80">
        <v>0</v>
      </c>
      <c r="M1760" s="75" t="s">
        <v>143</v>
      </c>
      <c r="N1760" s="75" t="b">
        <v>1</v>
      </c>
      <c r="O1760" s="75" t="s">
        <v>144</v>
      </c>
      <c r="P1760" s="75">
        <v>1994</v>
      </c>
      <c r="Q1760" s="107">
        <f t="shared" si="38"/>
        <v>2012</v>
      </c>
      <c r="R1760" s="107">
        <v>2</v>
      </c>
      <c r="S1760" s="100">
        <v>212066</v>
      </c>
      <c r="T1760" s="101">
        <v>41137</v>
      </c>
    </row>
    <row r="1761" spans="1:20" x14ac:dyDescent="0.3">
      <c r="A1761" s="68">
        <v>41202</v>
      </c>
      <c r="B1761" s="69">
        <f>YEAR(A1761)*10000+MONTH(A1761)*100+DAY(A1761)</f>
        <v>20121020</v>
      </c>
      <c r="C1761" s="70">
        <v>2.3399999999999997E-2</v>
      </c>
      <c r="D1761" s="77">
        <v>8.0000000000000002E-3</v>
      </c>
      <c r="E1761" s="77">
        <v>8.0000000000000002E-3</v>
      </c>
      <c r="F1761" s="77">
        <v>8.0000000000000002E-3</v>
      </c>
      <c r="G1761" s="78">
        <v>0</v>
      </c>
      <c r="K1761" s="106">
        <v>4.1999999999999997E-3</v>
      </c>
      <c r="L1761" s="80">
        <v>0</v>
      </c>
      <c r="M1761" s="75" t="s">
        <v>143</v>
      </c>
      <c r="N1761" s="75" t="b">
        <v>1</v>
      </c>
      <c r="O1761" s="75" t="s">
        <v>144</v>
      </c>
      <c r="P1761" s="75">
        <v>1994</v>
      </c>
      <c r="Q1761" s="107">
        <f t="shared" si="38"/>
        <v>2012</v>
      </c>
      <c r="R1761" s="107">
        <v>2</v>
      </c>
      <c r="S1761" s="100">
        <v>212066</v>
      </c>
      <c r="T1761" s="101">
        <v>41137</v>
      </c>
    </row>
    <row r="1762" spans="1:20" x14ac:dyDescent="0.3">
      <c r="A1762" s="68">
        <v>41203</v>
      </c>
      <c r="B1762" s="69">
        <f>YEAR(A1762)*10000+MONTH(A1762)*100+DAY(A1762)</f>
        <v>20121021</v>
      </c>
      <c r="C1762" s="70">
        <v>2.3399999999999997E-2</v>
      </c>
      <c r="D1762" s="77">
        <v>8.0000000000000002E-3</v>
      </c>
      <c r="E1762" s="77">
        <v>8.0000000000000002E-3</v>
      </c>
      <c r="F1762" s="77">
        <v>8.0000000000000002E-3</v>
      </c>
      <c r="G1762" s="78">
        <v>0</v>
      </c>
      <c r="K1762" s="106">
        <v>4.1999999999999997E-3</v>
      </c>
      <c r="L1762" s="80">
        <v>0</v>
      </c>
      <c r="M1762" s="75" t="s">
        <v>143</v>
      </c>
      <c r="N1762" s="75" t="b">
        <v>1</v>
      </c>
      <c r="O1762" s="75" t="s">
        <v>144</v>
      </c>
      <c r="P1762" s="75">
        <v>1994</v>
      </c>
      <c r="Q1762" s="107">
        <f t="shared" si="38"/>
        <v>2012</v>
      </c>
      <c r="R1762" s="107">
        <v>2</v>
      </c>
      <c r="S1762" s="100">
        <v>212066</v>
      </c>
      <c r="T1762" s="101">
        <v>41137</v>
      </c>
    </row>
    <row r="1763" spans="1:20" x14ac:dyDescent="0.3">
      <c r="A1763" s="68">
        <v>41204</v>
      </c>
      <c r="B1763" s="69">
        <f t="shared" si="39"/>
        <v>20121022</v>
      </c>
      <c r="C1763" s="70">
        <v>2.3399999999999997E-2</v>
      </c>
      <c r="D1763" s="77">
        <v>8.0000000000000002E-3</v>
      </c>
      <c r="E1763" s="77">
        <v>8.0000000000000002E-3</v>
      </c>
      <c r="F1763" s="77">
        <v>8.0000000000000002E-3</v>
      </c>
      <c r="G1763" s="78">
        <v>0</v>
      </c>
      <c r="K1763" s="106">
        <v>4.1999999999999997E-3</v>
      </c>
      <c r="L1763" s="80">
        <v>0</v>
      </c>
      <c r="M1763" s="75" t="s">
        <v>143</v>
      </c>
      <c r="N1763" s="75" t="b">
        <v>1</v>
      </c>
      <c r="O1763" s="75" t="s">
        <v>144</v>
      </c>
      <c r="P1763" s="75">
        <v>1994</v>
      </c>
      <c r="Q1763" s="107">
        <f t="shared" si="38"/>
        <v>2012</v>
      </c>
      <c r="R1763" s="107">
        <v>2</v>
      </c>
      <c r="S1763" s="100">
        <v>212066</v>
      </c>
      <c r="T1763" s="101">
        <v>41137</v>
      </c>
    </row>
    <row r="1764" spans="1:20" x14ac:dyDescent="0.3">
      <c r="A1764" s="68">
        <v>41205</v>
      </c>
      <c r="B1764" s="69">
        <f t="shared" si="39"/>
        <v>20121023</v>
      </c>
      <c r="C1764" s="70">
        <v>2.3099999999999999E-2</v>
      </c>
      <c r="D1764" s="77">
        <v>8.0000000000000002E-3</v>
      </c>
      <c r="E1764" s="77">
        <v>8.0000000000000002E-3</v>
      </c>
      <c r="F1764" s="77">
        <v>8.0000000000000002E-3</v>
      </c>
      <c r="G1764" s="78">
        <v>0</v>
      </c>
      <c r="K1764" s="106">
        <v>4.0000000000000001E-3</v>
      </c>
      <c r="L1764" s="80">
        <v>0</v>
      </c>
      <c r="M1764" s="75" t="s">
        <v>143</v>
      </c>
      <c r="N1764" s="75" t="b">
        <v>1</v>
      </c>
      <c r="O1764" s="75" t="s">
        <v>144</v>
      </c>
      <c r="P1764" s="75">
        <v>1994</v>
      </c>
      <c r="Q1764" s="107">
        <f t="shared" si="38"/>
        <v>2012</v>
      </c>
      <c r="R1764" s="107">
        <v>2</v>
      </c>
      <c r="S1764" s="100">
        <v>212066</v>
      </c>
      <c r="T1764" s="101">
        <v>41137</v>
      </c>
    </row>
    <row r="1765" spans="1:20" x14ac:dyDescent="0.3">
      <c r="A1765" s="68">
        <v>41206</v>
      </c>
      <c r="B1765" s="69">
        <f t="shared" si="39"/>
        <v>20121024</v>
      </c>
      <c r="C1765" s="70">
        <v>2.3199999999999998E-2</v>
      </c>
      <c r="D1765" s="77">
        <v>8.0000000000000002E-3</v>
      </c>
      <c r="E1765" s="77">
        <v>8.0000000000000002E-3</v>
      </c>
      <c r="F1765" s="77">
        <v>8.0000000000000002E-3</v>
      </c>
      <c r="G1765" s="78">
        <v>0</v>
      </c>
      <c r="K1765" s="106">
        <v>4.0999999999999995E-3</v>
      </c>
      <c r="L1765" s="80">
        <v>0</v>
      </c>
      <c r="M1765" s="75" t="s">
        <v>143</v>
      </c>
      <c r="N1765" s="75" t="b">
        <v>1</v>
      </c>
      <c r="O1765" s="75" t="s">
        <v>144</v>
      </c>
      <c r="P1765" s="75">
        <v>1994</v>
      </c>
      <c r="Q1765" s="107">
        <f t="shared" si="38"/>
        <v>2012</v>
      </c>
      <c r="R1765" s="107">
        <v>2</v>
      </c>
      <c r="S1765" s="100">
        <v>212066</v>
      </c>
      <c r="T1765" s="101">
        <v>41137</v>
      </c>
    </row>
    <row r="1766" spans="1:20" x14ac:dyDescent="0.3">
      <c r="A1766" s="68">
        <v>41207</v>
      </c>
      <c r="B1766" s="69">
        <f t="shared" si="39"/>
        <v>20121025</v>
      </c>
      <c r="C1766" s="70">
        <v>2.3599999999999999E-2</v>
      </c>
      <c r="D1766" s="77">
        <v>8.0000000000000002E-3</v>
      </c>
      <c r="E1766" s="77">
        <v>8.0000000000000002E-3</v>
      </c>
      <c r="F1766" s="77">
        <v>8.0000000000000002E-3</v>
      </c>
      <c r="G1766" s="78">
        <v>0</v>
      </c>
      <c r="K1766" s="106">
        <v>4.3E-3</v>
      </c>
      <c r="L1766" s="80">
        <v>0</v>
      </c>
      <c r="M1766" s="75" t="s">
        <v>143</v>
      </c>
      <c r="N1766" s="75" t="b">
        <v>1</v>
      </c>
      <c r="O1766" s="75" t="s">
        <v>144</v>
      </c>
      <c r="P1766" s="75">
        <v>1994</v>
      </c>
      <c r="Q1766" s="107">
        <f t="shared" si="38"/>
        <v>2012</v>
      </c>
      <c r="R1766" s="107">
        <v>2</v>
      </c>
      <c r="S1766" s="100">
        <v>212066</v>
      </c>
      <c r="T1766" s="101">
        <v>41137</v>
      </c>
    </row>
    <row r="1767" spans="1:20" x14ac:dyDescent="0.3">
      <c r="A1767" s="68">
        <v>41208</v>
      </c>
      <c r="B1767" s="69">
        <f t="shared" si="39"/>
        <v>20121026</v>
      </c>
      <c r="C1767" s="70">
        <v>2.3099999999999999E-2</v>
      </c>
      <c r="D1767" s="77">
        <v>8.0000000000000002E-3</v>
      </c>
      <c r="E1767" s="77">
        <v>8.0000000000000002E-3</v>
      </c>
      <c r="F1767" s="77">
        <v>8.0000000000000002E-3</v>
      </c>
      <c r="G1767" s="78">
        <v>0</v>
      </c>
      <c r="K1767" s="106">
        <v>3.9000000000000003E-3</v>
      </c>
      <c r="L1767" s="80">
        <v>0</v>
      </c>
      <c r="M1767" s="75" t="s">
        <v>143</v>
      </c>
      <c r="N1767" s="75" t="b">
        <v>1</v>
      </c>
      <c r="O1767" s="75" t="s">
        <v>144</v>
      </c>
      <c r="P1767" s="75">
        <v>1994</v>
      </c>
      <c r="Q1767" s="107">
        <f t="shared" si="38"/>
        <v>2012</v>
      </c>
      <c r="R1767" s="107">
        <v>2</v>
      </c>
      <c r="S1767" s="100">
        <v>212066</v>
      </c>
      <c r="T1767" s="101">
        <v>41137</v>
      </c>
    </row>
    <row r="1768" spans="1:20" x14ac:dyDescent="0.3">
      <c r="A1768" s="68">
        <v>41209</v>
      </c>
      <c r="B1768" s="69">
        <f>YEAR(A1768)*10000+MONTH(A1768)*100+DAY(A1768)</f>
        <v>20121027</v>
      </c>
      <c r="C1768" s="70">
        <v>2.3099999999999999E-2</v>
      </c>
      <c r="D1768" s="77">
        <v>8.0000000000000002E-3</v>
      </c>
      <c r="E1768" s="77">
        <v>8.0000000000000002E-3</v>
      </c>
      <c r="F1768" s="77">
        <v>8.0000000000000002E-3</v>
      </c>
      <c r="G1768" s="78">
        <v>0</v>
      </c>
      <c r="K1768" s="106">
        <v>3.9000000000000003E-3</v>
      </c>
      <c r="L1768" s="80">
        <v>0</v>
      </c>
      <c r="M1768" s="75" t="s">
        <v>143</v>
      </c>
      <c r="N1768" s="75" t="b">
        <v>1</v>
      </c>
      <c r="O1768" s="75" t="s">
        <v>144</v>
      </c>
      <c r="P1768" s="75">
        <v>1994</v>
      </c>
      <c r="Q1768" s="107">
        <f t="shared" si="38"/>
        <v>2012</v>
      </c>
      <c r="R1768" s="107">
        <v>2</v>
      </c>
      <c r="S1768" s="100">
        <v>212066</v>
      </c>
      <c r="T1768" s="101">
        <v>41137</v>
      </c>
    </row>
    <row r="1769" spans="1:20" x14ac:dyDescent="0.3">
      <c r="A1769" s="68">
        <v>41210</v>
      </c>
      <c r="B1769" s="69">
        <f>YEAR(A1769)*10000+MONTH(A1769)*100+DAY(A1769)</f>
        <v>20121028</v>
      </c>
      <c r="C1769" s="70">
        <v>2.3099999999999999E-2</v>
      </c>
      <c r="D1769" s="77">
        <v>8.0000000000000002E-3</v>
      </c>
      <c r="E1769" s="77">
        <v>8.0000000000000002E-3</v>
      </c>
      <c r="F1769" s="77">
        <v>8.0000000000000002E-3</v>
      </c>
      <c r="G1769" s="78">
        <v>0</v>
      </c>
      <c r="K1769" s="106">
        <v>3.9000000000000003E-3</v>
      </c>
      <c r="L1769" s="80">
        <v>0</v>
      </c>
      <c r="M1769" s="75" t="s">
        <v>143</v>
      </c>
      <c r="N1769" s="75" t="b">
        <v>1</v>
      </c>
      <c r="O1769" s="75" t="s">
        <v>144</v>
      </c>
      <c r="P1769" s="75">
        <v>1994</v>
      </c>
      <c r="Q1769" s="107">
        <f t="shared" si="38"/>
        <v>2012</v>
      </c>
      <c r="R1769" s="107">
        <v>2</v>
      </c>
      <c r="S1769" s="100">
        <v>212066</v>
      </c>
      <c r="T1769" s="101">
        <v>41137</v>
      </c>
    </row>
    <row r="1770" spans="1:20" x14ac:dyDescent="0.3">
      <c r="A1770" s="68">
        <v>41211</v>
      </c>
      <c r="B1770" s="69">
        <f t="shared" si="39"/>
        <v>20121029</v>
      </c>
      <c r="C1770" s="109">
        <v>2.2799999999999997E-2</v>
      </c>
      <c r="D1770" s="77">
        <v>8.0000000000000002E-3</v>
      </c>
      <c r="E1770" s="77">
        <v>8.0000000000000002E-3</v>
      </c>
      <c r="F1770" s="77">
        <v>8.0000000000000002E-3</v>
      </c>
      <c r="G1770" s="78">
        <v>0</v>
      </c>
      <c r="K1770" s="106">
        <v>3.5999999999999999E-3</v>
      </c>
      <c r="L1770" s="80">
        <v>0</v>
      </c>
      <c r="M1770" s="75" t="s">
        <v>143</v>
      </c>
      <c r="N1770" s="75" t="b">
        <v>1</v>
      </c>
      <c r="O1770" s="75" t="s">
        <v>144</v>
      </c>
      <c r="P1770" s="75">
        <v>1994</v>
      </c>
      <c r="Q1770" s="107">
        <f t="shared" si="38"/>
        <v>2012</v>
      </c>
      <c r="R1770" s="107">
        <v>2</v>
      </c>
      <c r="S1770" s="100">
        <v>212066</v>
      </c>
      <c r="T1770" s="101">
        <v>41137</v>
      </c>
    </row>
    <row r="1771" spans="1:20" x14ac:dyDescent="0.3">
      <c r="A1771" s="68">
        <v>41212</v>
      </c>
      <c r="B1771" s="69">
        <f t="shared" si="39"/>
        <v>20121030</v>
      </c>
      <c r="C1771" s="109">
        <v>2.29E-2</v>
      </c>
      <c r="D1771" s="77">
        <v>8.0000000000000002E-3</v>
      </c>
      <c r="E1771" s="77">
        <v>8.0000000000000002E-3</v>
      </c>
      <c r="F1771" s="77">
        <v>8.0000000000000002E-3</v>
      </c>
      <c r="G1771" s="78">
        <v>0</v>
      </c>
      <c r="K1771" s="106">
        <v>3.8E-3</v>
      </c>
      <c r="L1771" s="80">
        <v>0</v>
      </c>
      <c r="M1771" s="75" t="s">
        <v>143</v>
      </c>
      <c r="N1771" s="75" t="b">
        <v>1</v>
      </c>
      <c r="O1771" s="75" t="s">
        <v>144</v>
      </c>
      <c r="P1771" s="75">
        <v>1994</v>
      </c>
      <c r="Q1771" s="107">
        <f t="shared" si="38"/>
        <v>2012</v>
      </c>
      <c r="R1771" s="107">
        <v>2</v>
      </c>
      <c r="S1771" s="100">
        <v>212066</v>
      </c>
      <c r="T1771" s="101">
        <v>41137</v>
      </c>
    </row>
    <row r="1772" spans="1:20" x14ac:dyDescent="0.3">
      <c r="A1772" s="68">
        <v>41213</v>
      </c>
      <c r="B1772" s="69">
        <f t="shared" si="39"/>
        <v>20121031</v>
      </c>
      <c r="C1772" s="70">
        <v>2.2700000000000001E-2</v>
      </c>
      <c r="D1772" s="77">
        <v>8.0000000000000002E-3</v>
      </c>
      <c r="E1772" s="77">
        <v>8.0000000000000002E-3</v>
      </c>
      <c r="F1772" s="77">
        <v>8.0000000000000002E-3</v>
      </c>
      <c r="G1772" s="78">
        <v>0</v>
      </c>
      <c r="K1772" s="106">
        <v>3.8E-3</v>
      </c>
      <c r="L1772" s="80">
        <v>0</v>
      </c>
      <c r="M1772" s="75" t="s">
        <v>143</v>
      </c>
      <c r="N1772" s="75" t="b">
        <v>1</v>
      </c>
      <c r="O1772" s="75" t="s">
        <v>144</v>
      </c>
      <c r="P1772" s="75">
        <v>1994</v>
      </c>
      <c r="Q1772" s="107">
        <f t="shared" si="38"/>
        <v>2012</v>
      </c>
      <c r="R1772" s="107">
        <v>2</v>
      </c>
      <c r="S1772" s="100">
        <v>212066</v>
      </c>
      <c r="T1772" s="101">
        <v>41137</v>
      </c>
    </row>
    <row r="1773" spans="1:20" x14ac:dyDescent="0.3">
      <c r="A1773" s="68">
        <v>41214</v>
      </c>
      <c r="B1773" s="69">
        <f t="shared" si="39"/>
        <v>20121101</v>
      </c>
      <c r="C1773" s="70">
        <v>2.2700000000000001E-2</v>
      </c>
      <c r="D1773" s="77">
        <v>8.0000000000000002E-3</v>
      </c>
      <c r="E1773" s="77">
        <v>8.0000000000000002E-3</v>
      </c>
      <c r="F1773" s="77">
        <v>8.0000000000000002E-3</v>
      </c>
      <c r="G1773" s="78">
        <v>0</v>
      </c>
      <c r="K1773" s="106">
        <v>3.5999999999999999E-3</v>
      </c>
      <c r="L1773" s="80">
        <v>0</v>
      </c>
      <c r="M1773" s="75" t="s">
        <v>143</v>
      </c>
      <c r="N1773" s="75" t="b">
        <v>1</v>
      </c>
      <c r="O1773" s="75" t="s">
        <v>144</v>
      </c>
      <c r="P1773" s="75">
        <v>1994</v>
      </c>
      <c r="Q1773" s="107">
        <f t="shared" si="38"/>
        <v>2012</v>
      </c>
      <c r="R1773" s="107">
        <v>2</v>
      </c>
      <c r="S1773" s="100">
        <v>212066</v>
      </c>
      <c r="T1773" s="101">
        <v>41137</v>
      </c>
    </row>
    <row r="1774" spans="1:20" x14ac:dyDescent="0.3">
      <c r="A1774" s="68">
        <v>41215</v>
      </c>
      <c r="B1774" s="69">
        <f t="shared" si="39"/>
        <v>20121102</v>
      </c>
      <c r="C1774" s="70">
        <v>2.2599999999999999E-2</v>
      </c>
      <c r="D1774" s="77">
        <v>8.0000000000000002E-3</v>
      </c>
      <c r="E1774" s="77">
        <v>8.0000000000000002E-3</v>
      </c>
      <c r="F1774" s="77">
        <v>8.0000000000000002E-3</v>
      </c>
      <c r="G1774" s="78">
        <v>0</v>
      </c>
      <c r="K1774" s="106">
        <v>3.5999999999999999E-3</v>
      </c>
      <c r="L1774" s="80">
        <v>0</v>
      </c>
      <c r="M1774" s="75" t="s">
        <v>143</v>
      </c>
      <c r="N1774" s="75" t="b">
        <v>1</v>
      </c>
      <c r="O1774" s="75" t="s">
        <v>144</v>
      </c>
      <c r="P1774" s="75">
        <v>1994</v>
      </c>
      <c r="Q1774" s="107">
        <f t="shared" ref="Q1774:Q1837" si="40">YEAR(A1774)</f>
        <v>2012</v>
      </c>
      <c r="R1774" s="107">
        <v>2</v>
      </c>
      <c r="S1774" s="100">
        <v>212066</v>
      </c>
      <c r="T1774" s="101">
        <v>41137</v>
      </c>
    </row>
    <row r="1775" spans="1:20" x14ac:dyDescent="0.3">
      <c r="A1775" s="68">
        <v>41216</v>
      </c>
      <c r="B1775" s="69">
        <f>YEAR(A1775)*10000+MONTH(A1775)*100+DAY(A1775)</f>
        <v>20121103</v>
      </c>
      <c r="C1775" s="70">
        <v>2.2599999999999999E-2</v>
      </c>
      <c r="D1775" s="77">
        <v>8.0000000000000002E-3</v>
      </c>
      <c r="E1775" s="77">
        <v>8.0000000000000002E-3</v>
      </c>
      <c r="F1775" s="77">
        <v>8.0000000000000002E-3</v>
      </c>
      <c r="G1775" s="78">
        <v>0</v>
      </c>
      <c r="K1775" s="106">
        <v>3.5999999999999999E-3</v>
      </c>
      <c r="L1775" s="80">
        <v>0</v>
      </c>
      <c r="M1775" s="75" t="s">
        <v>143</v>
      </c>
      <c r="N1775" s="75" t="b">
        <v>1</v>
      </c>
      <c r="O1775" s="75" t="s">
        <v>144</v>
      </c>
      <c r="P1775" s="75">
        <v>1994</v>
      </c>
      <c r="Q1775" s="107">
        <f t="shared" si="40"/>
        <v>2012</v>
      </c>
      <c r="R1775" s="107">
        <v>2</v>
      </c>
      <c r="S1775" s="100">
        <v>212066</v>
      </c>
      <c r="T1775" s="101">
        <v>41137</v>
      </c>
    </row>
    <row r="1776" spans="1:20" x14ac:dyDescent="0.3">
      <c r="A1776" s="68">
        <v>41217</v>
      </c>
      <c r="B1776" s="69">
        <f>YEAR(A1776)*10000+MONTH(A1776)*100+DAY(A1776)</f>
        <v>20121104</v>
      </c>
      <c r="C1776" s="70">
        <v>2.2599999999999999E-2</v>
      </c>
      <c r="D1776" s="77">
        <v>8.0000000000000002E-3</v>
      </c>
      <c r="E1776" s="77">
        <v>8.0000000000000002E-3</v>
      </c>
      <c r="F1776" s="77">
        <v>8.0000000000000002E-3</v>
      </c>
      <c r="G1776" s="78">
        <v>0</v>
      </c>
      <c r="K1776" s="106">
        <v>3.5999999999999999E-3</v>
      </c>
      <c r="L1776" s="80">
        <v>0</v>
      </c>
      <c r="M1776" s="75" t="s">
        <v>143</v>
      </c>
      <c r="N1776" s="75" t="b">
        <v>1</v>
      </c>
      <c r="O1776" s="75" t="s">
        <v>144</v>
      </c>
      <c r="P1776" s="75">
        <v>1994</v>
      </c>
      <c r="Q1776" s="107">
        <f t="shared" si="40"/>
        <v>2012</v>
      </c>
      <c r="R1776" s="107">
        <v>2</v>
      </c>
      <c r="S1776" s="100">
        <v>212066</v>
      </c>
      <c r="T1776" s="101">
        <v>41137</v>
      </c>
    </row>
    <row r="1777" spans="1:20" x14ac:dyDescent="0.3">
      <c r="A1777" s="68">
        <v>41218</v>
      </c>
      <c r="B1777" s="69">
        <f t="shared" si="39"/>
        <v>20121105</v>
      </c>
      <c r="C1777" s="70">
        <v>2.2400000000000003E-2</v>
      </c>
      <c r="D1777" s="77">
        <v>8.0000000000000002E-3</v>
      </c>
      <c r="E1777" s="77">
        <v>8.0000000000000002E-3</v>
      </c>
      <c r="F1777" s="77">
        <v>8.0000000000000002E-3</v>
      </c>
      <c r="G1777" s="78">
        <v>0</v>
      </c>
      <c r="K1777" s="106">
        <v>3.5999999999999999E-3</v>
      </c>
      <c r="L1777" s="80">
        <v>0</v>
      </c>
      <c r="M1777" s="75" t="s">
        <v>143</v>
      </c>
      <c r="N1777" s="75" t="b">
        <v>1</v>
      </c>
      <c r="O1777" s="75" t="s">
        <v>144</v>
      </c>
      <c r="P1777" s="75">
        <v>1994</v>
      </c>
      <c r="Q1777" s="107">
        <f t="shared" si="40"/>
        <v>2012</v>
      </c>
      <c r="R1777" s="107">
        <v>2</v>
      </c>
      <c r="S1777" s="100">
        <v>212066</v>
      </c>
      <c r="T1777" s="101">
        <v>41137</v>
      </c>
    </row>
    <row r="1778" spans="1:20" x14ac:dyDescent="0.3">
      <c r="A1778" s="68">
        <v>41219</v>
      </c>
      <c r="B1778" s="69">
        <f t="shared" si="39"/>
        <v>20121106</v>
      </c>
      <c r="C1778" s="70">
        <v>2.2799999999999997E-2</v>
      </c>
      <c r="D1778" s="77">
        <v>8.0000000000000002E-3</v>
      </c>
      <c r="E1778" s="77">
        <v>8.0000000000000002E-3</v>
      </c>
      <c r="F1778" s="77">
        <v>8.0000000000000002E-3</v>
      </c>
      <c r="G1778" s="78">
        <v>0</v>
      </c>
      <c r="K1778" s="106">
        <v>3.9000000000000003E-3</v>
      </c>
      <c r="L1778" s="80">
        <v>0</v>
      </c>
      <c r="M1778" s="75" t="s">
        <v>143</v>
      </c>
      <c r="N1778" s="75" t="b">
        <v>1</v>
      </c>
      <c r="O1778" s="75" t="s">
        <v>144</v>
      </c>
      <c r="P1778" s="75">
        <v>1994</v>
      </c>
      <c r="Q1778" s="107">
        <f t="shared" si="40"/>
        <v>2012</v>
      </c>
      <c r="R1778" s="107">
        <v>2</v>
      </c>
      <c r="S1778" s="100">
        <v>212066</v>
      </c>
      <c r="T1778" s="101">
        <v>41137</v>
      </c>
    </row>
    <row r="1779" spans="1:20" x14ac:dyDescent="0.3">
      <c r="A1779" s="68">
        <v>41220</v>
      </c>
      <c r="B1779" s="69">
        <f t="shared" si="39"/>
        <v>20121107</v>
      </c>
      <c r="C1779" s="70">
        <v>2.23E-2</v>
      </c>
      <c r="D1779" s="77">
        <v>8.0000000000000002E-3</v>
      </c>
      <c r="E1779" s="77">
        <v>8.0000000000000002E-3</v>
      </c>
      <c r="F1779" s="77">
        <v>8.0000000000000002E-3</v>
      </c>
      <c r="G1779" s="78">
        <v>0</v>
      </c>
      <c r="K1779" s="106">
        <v>3.7000000000000002E-3</v>
      </c>
      <c r="L1779" s="80">
        <v>0</v>
      </c>
      <c r="M1779" s="75" t="s">
        <v>143</v>
      </c>
      <c r="N1779" s="75" t="b">
        <v>1</v>
      </c>
      <c r="O1779" s="75" t="s">
        <v>144</v>
      </c>
      <c r="P1779" s="75">
        <v>1994</v>
      </c>
      <c r="Q1779" s="107">
        <f t="shared" si="40"/>
        <v>2012</v>
      </c>
      <c r="R1779" s="107">
        <v>2</v>
      </c>
      <c r="S1779" s="100">
        <v>212066</v>
      </c>
      <c r="T1779" s="101">
        <v>41137</v>
      </c>
    </row>
    <row r="1780" spans="1:20" x14ac:dyDescent="0.3">
      <c r="A1780" s="68">
        <v>41221</v>
      </c>
      <c r="B1780" s="69">
        <f t="shared" si="39"/>
        <v>20121108</v>
      </c>
      <c r="C1780" s="70">
        <v>2.2000000000000002E-2</v>
      </c>
      <c r="D1780" s="77">
        <v>8.0000000000000002E-3</v>
      </c>
      <c r="E1780" s="77">
        <v>8.0000000000000002E-3</v>
      </c>
      <c r="F1780" s="77">
        <v>8.0000000000000002E-3</v>
      </c>
      <c r="G1780" s="78">
        <v>0</v>
      </c>
      <c r="K1780" s="106">
        <v>3.4000000000000002E-3</v>
      </c>
      <c r="L1780" s="80">
        <v>0</v>
      </c>
      <c r="M1780" s="75" t="s">
        <v>143</v>
      </c>
      <c r="N1780" s="75" t="b">
        <v>1</v>
      </c>
      <c r="O1780" s="75" t="s">
        <v>144</v>
      </c>
      <c r="P1780" s="75">
        <v>1994</v>
      </c>
      <c r="Q1780" s="107">
        <f t="shared" si="40"/>
        <v>2012</v>
      </c>
      <c r="R1780" s="107">
        <v>2</v>
      </c>
      <c r="S1780" s="100">
        <v>212066</v>
      </c>
      <c r="T1780" s="101">
        <v>41137</v>
      </c>
    </row>
    <row r="1781" spans="1:20" x14ac:dyDescent="0.3">
      <c r="A1781" s="68">
        <v>41222</v>
      </c>
      <c r="B1781" s="69">
        <f t="shared" si="39"/>
        <v>20121109</v>
      </c>
      <c r="C1781" s="70">
        <v>2.2000000000000002E-2</v>
      </c>
      <c r="D1781" s="77">
        <v>8.0000000000000002E-3</v>
      </c>
      <c r="E1781" s="77">
        <v>8.0000000000000002E-3</v>
      </c>
      <c r="F1781" s="77">
        <v>8.0000000000000002E-3</v>
      </c>
      <c r="G1781" s="78">
        <v>0</v>
      </c>
      <c r="K1781" s="106">
        <v>3.4999999999999996E-3</v>
      </c>
      <c r="L1781" s="80">
        <v>0</v>
      </c>
      <c r="M1781" s="75" t="s">
        <v>143</v>
      </c>
      <c r="N1781" s="75" t="b">
        <v>1</v>
      </c>
      <c r="O1781" s="75" t="s">
        <v>144</v>
      </c>
      <c r="P1781" s="75">
        <v>1994</v>
      </c>
      <c r="Q1781" s="107">
        <f t="shared" si="40"/>
        <v>2012</v>
      </c>
      <c r="R1781" s="107">
        <v>2</v>
      </c>
      <c r="S1781" s="100">
        <v>212066</v>
      </c>
      <c r="T1781" s="101">
        <v>41137</v>
      </c>
    </row>
    <row r="1782" spans="1:20" x14ac:dyDescent="0.3">
      <c r="A1782" s="68">
        <v>41223</v>
      </c>
      <c r="B1782" s="69">
        <f>YEAR(A1782)*10000+MONTH(A1782)*100+DAY(A1782)</f>
        <v>20121110</v>
      </c>
      <c r="C1782" s="70">
        <v>2.2000000000000002E-2</v>
      </c>
      <c r="D1782" s="77">
        <v>8.0000000000000002E-3</v>
      </c>
      <c r="E1782" s="77">
        <v>8.0000000000000002E-3</v>
      </c>
      <c r="F1782" s="77">
        <v>8.0000000000000002E-3</v>
      </c>
      <c r="G1782" s="78">
        <v>0</v>
      </c>
      <c r="K1782" s="106">
        <v>3.4999999999999996E-3</v>
      </c>
      <c r="L1782" s="80">
        <v>0</v>
      </c>
      <c r="M1782" s="75" t="s">
        <v>143</v>
      </c>
      <c r="N1782" s="75" t="b">
        <v>1</v>
      </c>
      <c r="O1782" s="75" t="s">
        <v>144</v>
      </c>
      <c r="P1782" s="75">
        <v>1994</v>
      </c>
      <c r="Q1782" s="107">
        <f t="shared" si="40"/>
        <v>2012</v>
      </c>
      <c r="R1782" s="107">
        <v>2</v>
      </c>
      <c r="S1782" s="100">
        <v>212066</v>
      </c>
      <c r="T1782" s="101">
        <v>41137</v>
      </c>
    </row>
    <row r="1783" spans="1:20" x14ac:dyDescent="0.3">
      <c r="A1783" s="68">
        <v>41224</v>
      </c>
      <c r="B1783" s="69">
        <f>YEAR(A1783)*10000+MONTH(A1783)*100+DAY(A1783)</f>
        <v>20121111</v>
      </c>
      <c r="C1783" s="70">
        <v>2.2000000000000002E-2</v>
      </c>
      <c r="D1783" s="77">
        <v>8.0000000000000002E-3</v>
      </c>
      <c r="E1783" s="77">
        <v>8.0000000000000002E-3</v>
      </c>
      <c r="F1783" s="77">
        <v>8.0000000000000002E-3</v>
      </c>
      <c r="G1783" s="78">
        <v>0</v>
      </c>
      <c r="K1783" s="106">
        <v>3.4999999999999996E-3</v>
      </c>
      <c r="L1783" s="80">
        <v>0</v>
      </c>
      <c r="M1783" s="75" t="s">
        <v>143</v>
      </c>
      <c r="N1783" s="75" t="b">
        <v>1</v>
      </c>
      <c r="O1783" s="75" t="s">
        <v>144</v>
      </c>
      <c r="P1783" s="75">
        <v>1994</v>
      </c>
      <c r="Q1783" s="107">
        <f t="shared" si="40"/>
        <v>2012</v>
      </c>
      <c r="R1783" s="107">
        <v>2</v>
      </c>
      <c r="S1783" s="100">
        <v>212066</v>
      </c>
      <c r="T1783" s="101">
        <v>41137</v>
      </c>
    </row>
    <row r="1784" spans="1:20" x14ac:dyDescent="0.3">
      <c r="A1784" s="68">
        <v>41225</v>
      </c>
      <c r="B1784" s="69">
        <f t="shared" si="39"/>
        <v>20121112</v>
      </c>
      <c r="C1784" s="70">
        <v>2.2000000000000002E-2</v>
      </c>
      <c r="D1784" s="77">
        <v>8.0000000000000002E-3</v>
      </c>
      <c r="E1784" s="77">
        <v>8.0000000000000002E-3</v>
      </c>
      <c r="F1784" s="77">
        <v>8.0000000000000002E-3</v>
      </c>
      <c r="G1784" s="78">
        <v>0</v>
      </c>
      <c r="K1784" s="106">
        <v>3.4999999999999996E-3</v>
      </c>
      <c r="L1784" s="80">
        <v>0</v>
      </c>
      <c r="M1784" s="75" t="s">
        <v>143</v>
      </c>
      <c r="N1784" s="75" t="b">
        <v>1</v>
      </c>
      <c r="O1784" s="75" t="s">
        <v>144</v>
      </c>
      <c r="P1784" s="75">
        <v>1994</v>
      </c>
      <c r="Q1784" s="107">
        <f t="shared" si="40"/>
        <v>2012</v>
      </c>
      <c r="R1784" s="107">
        <v>2</v>
      </c>
      <c r="S1784" s="100">
        <v>212066</v>
      </c>
      <c r="T1784" s="101">
        <v>41137</v>
      </c>
    </row>
    <row r="1785" spans="1:20" x14ac:dyDescent="0.3">
      <c r="A1785" s="68">
        <v>41226</v>
      </c>
      <c r="B1785" s="69">
        <f t="shared" si="39"/>
        <v>20121113</v>
      </c>
      <c r="C1785" s="70">
        <v>2.18E-2</v>
      </c>
      <c r="D1785" s="77">
        <v>8.0000000000000002E-3</v>
      </c>
      <c r="E1785" s="77">
        <v>8.0000000000000002E-3</v>
      </c>
      <c r="F1785" s="77">
        <v>8.0000000000000002E-3</v>
      </c>
      <c r="G1785" s="78">
        <v>0</v>
      </c>
      <c r="K1785" s="106">
        <v>3.3E-3</v>
      </c>
      <c r="L1785" s="80">
        <v>0</v>
      </c>
      <c r="M1785" s="75" t="s">
        <v>143</v>
      </c>
      <c r="N1785" s="75" t="b">
        <v>1</v>
      </c>
      <c r="O1785" s="75" t="s">
        <v>144</v>
      </c>
      <c r="P1785" s="75">
        <v>1994</v>
      </c>
      <c r="Q1785" s="107">
        <f t="shared" si="40"/>
        <v>2012</v>
      </c>
      <c r="R1785" s="107">
        <v>2</v>
      </c>
      <c r="S1785" s="100">
        <v>212066</v>
      </c>
      <c r="T1785" s="101">
        <v>41137</v>
      </c>
    </row>
    <row r="1786" spans="1:20" x14ac:dyDescent="0.3">
      <c r="A1786" s="68">
        <v>41227</v>
      </c>
      <c r="B1786" s="69">
        <f t="shared" si="39"/>
        <v>20121114</v>
      </c>
      <c r="C1786" s="70">
        <v>2.1899999999999999E-2</v>
      </c>
      <c r="D1786" s="77">
        <v>8.0000000000000002E-3</v>
      </c>
      <c r="E1786" s="77">
        <v>8.0000000000000002E-3</v>
      </c>
      <c r="F1786" s="77">
        <v>8.0000000000000002E-3</v>
      </c>
      <c r="G1786" s="78">
        <v>0</v>
      </c>
      <c r="K1786" s="106">
        <v>3.4999999999999996E-3</v>
      </c>
      <c r="L1786" s="80">
        <v>0</v>
      </c>
      <c r="M1786" s="75" t="s">
        <v>143</v>
      </c>
      <c r="N1786" s="75" t="b">
        <v>1</v>
      </c>
      <c r="O1786" s="75" t="s">
        <v>144</v>
      </c>
      <c r="P1786" s="75">
        <v>1994</v>
      </c>
      <c r="Q1786" s="107">
        <f t="shared" si="40"/>
        <v>2012</v>
      </c>
      <c r="R1786" s="107">
        <v>2</v>
      </c>
      <c r="S1786" s="100">
        <v>212066</v>
      </c>
      <c r="T1786" s="101">
        <v>41137</v>
      </c>
    </row>
    <row r="1787" spans="1:20" x14ac:dyDescent="0.3">
      <c r="A1787" s="68">
        <v>41228</v>
      </c>
      <c r="B1787" s="69">
        <f t="shared" si="39"/>
        <v>20121115</v>
      </c>
      <c r="C1787" s="70">
        <v>2.2000000000000002E-2</v>
      </c>
      <c r="D1787" s="77">
        <v>8.0000000000000002E-3</v>
      </c>
      <c r="E1787" s="77">
        <v>8.0000000000000002E-3</v>
      </c>
      <c r="F1787" s="77">
        <v>8.0000000000000002E-3</v>
      </c>
      <c r="G1787" s="78">
        <v>0</v>
      </c>
      <c r="K1787" s="106">
        <v>3.7000000000000002E-3</v>
      </c>
      <c r="L1787" s="80">
        <v>0</v>
      </c>
      <c r="M1787" s="75" t="s">
        <v>143</v>
      </c>
      <c r="N1787" s="75" t="b">
        <v>1</v>
      </c>
      <c r="O1787" s="75" t="s">
        <v>144</v>
      </c>
      <c r="P1787" s="75">
        <v>1994</v>
      </c>
      <c r="Q1787" s="107">
        <f t="shared" si="40"/>
        <v>2012</v>
      </c>
      <c r="R1787" s="107">
        <v>2</v>
      </c>
      <c r="S1787" s="100">
        <v>212066</v>
      </c>
      <c r="T1787" s="101">
        <v>41137</v>
      </c>
    </row>
    <row r="1788" spans="1:20" x14ac:dyDescent="0.3">
      <c r="A1788" s="68">
        <v>41229</v>
      </c>
      <c r="B1788" s="69">
        <f t="shared" si="39"/>
        <v>20121116</v>
      </c>
      <c r="C1788" s="70">
        <v>2.18E-2</v>
      </c>
      <c r="D1788" s="77">
        <v>8.0000000000000002E-3</v>
      </c>
      <c r="E1788" s="77">
        <v>8.0000000000000002E-3</v>
      </c>
      <c r="F1788" s="77">
        <v>8.0000000000000002E-3</v>
      </c>
      <c r="G1788" s="78">
        <v>0</v>
      </c>
      <c r="K1788" s="106">
        <v>3.4999999999999996E-3</v>
      </c>
      <c r="L1788" s="80">
        <v>0</v>
      </c>
      <c r="M1788" s="75" t="s">
        <v>143</v>
      </c>
      <c r="N1788" s="75" t="b">
        <v>1</v>
      </c>
      <c r="O1788" s="75" t="s">
        <v>144</v>
      </c>
      <c r="P1788" s="75">
        <v>1994</v>
      </c>
      <c r="Q1788" s="107">
        <f t="shared" si="40"/>
        <v>2012</v>
      </c>
      <c r="R1788" s="107">
        <v>2</v>
      </c>
      <c r="S1788" s="100">
        <v>212066</v>
      </c>
      <c r="T1788" s="101">
        <v>41137</v>
      </c>
    </row>
    <row r="1789" spans="1:20" x14ac:dyDescent="0.3">
      <c r="A1789" s="68">
        <v>41230</v>
      </c>
      <c r="B1789" s="69">
        <f>YEAR(A1789)*10000+MONTH(A1789)*100+DAY(A1789)</f>
        <v>20121117</v>
      </c>
      <c r="C1789" s="70">
        <v>2.18E-2</v>
      </c>
      <c r="D1789" s="77">
        <v>8.0000000000000002E-3</v>
      </c>
      <c r="E1789" s="77">
        <v>8.0000000000000002E-3</v>
      </c>
      <c r="F1789" s="77">
        <v>8.0000000000000002E-3</v>
      </c>
      <c r="G1789" s="78">
        <v>0</v>
      </c>
      <c r="K1789" s="106">
        <v>3.4999999999999996E-3</v>
      </c>
      <c r="L1789" s="80">
        <v>0</v>
      </c>
      <c r="M1789" s="75" t="s">
        <v>143</v>
      </c>
      <c r="N1789" s="75" t="b">
        <v>1</v>
      </c>
      <c r="O1789" s="75" t="s">
        <v>144</v>
      </c>
      <c r="P1789" s="75">
        <v>1994</v>
      </c>
      <c r="Q1789" s="107">
        <f t="shared" si="40"/>
        <v>2012</v>
      </c>
      <c r="R1789" s="107">
        <v>2</v>
      </c>
      <c r="S1789" s="100">
        <v>212066</v>
      </c>
      <c r="T1789" s="101">
        <v>41137</v>
      </c>
    </row>
    <row r="1790" spans="1:20" x14ac:dyDescent="0.3">
      <c r="A1790" s="68">
        <v>41231</v>
      </c>
      <c r="B1790" s="69">
        <f>YEAR(A1790)*10000+MONTH(A1790)*100+DAY(A1790)</f>
        <v>20121118</v>
      </c>
      <c r="C1790" s="70">
        <v>2.18E-2</v>
      </c>
      <c r="D1790" s="77">
        <v>8.0000000000000002E-3</v>
      </c>
      <c r="E1790" s="77">
        <v>8.0000000000000002E-3</v>
      </c>
      <c r="F1790" s="77">
        <v>8.0000000000000002E-3</v>
      </c>
      <c r="G1790" s="78">
        <v>0</v>
      </c>
      <c r="K1790" s="106">
        <v>3.4999999999999996E-3</v>
      </c>
      <c r="L1790" s="80">
        <v>0</v>
      </c>
      <c r="M1790" s="75" t="s">
        <v>143</v>
      </c>
      <c r="N1790" s="75" t="b">
        <v>1</v>
      </c>
      <c r="O1790" s="75" t="s">
        <v>144</v>
      </c>
      <c r="P1790" s="75">
        <v>1994</v>
      </c>
      <c r="Q1790" s="107">
        <f t="shared" si="40"/>
        <v>2012</v>
      </c>
      <c r="R1790" s="107">
        <v>2</v>
      </c>
      <c r="S1790" s="100">
        <v>212066</v>
      </c>
      <c r="T1790" s="101">
        <v>41137</v>
      </c>
    </row>
    <row r="1791" spans="1:20" x14ac:dyDescent="0.3">
      <c r="A1791" s="68">
        <v>41232</v>
      </c>
      <c r="B1791" s="69">
        <f t="shared" si="39"/>
        <v>20121119</v>
      </c>
      <c r="C1791" s="70">
        <v>2.2200000000000001E-2</v>
      </c>
      <c r="D1791" s="77">
        <v>8.0000000000000002E-3</v>
      </c>
      <c r="E1791" s="77">
        <v>8.0000000000000002E-3</v>
      </c>
      <c r="F1791" s="77">
        <v>8.0000000000000002E-3</v>
      </c>
      <c r="G1791" s="78">
        <v>0</v>
      </c>
      <c r="K1791" s="106">
        <v>3.8E-3</v>
      </c>
      <c r="L1791" s="80">
        <v>0</v>
      </c>
      <c r="M1791" s="75" t="s">
        <v>143</v>
      </c>
      <c r="N1791" s="75" t="b">
        <v>1</v>
      </c>
      <c r="O1791" s="75" t="s">
        <v>144</v>
      </c>
      <c r="P1791" s="75">
        <v>1994</v>
      </c>
      <c r="Q1791" s="107">
        <f t="shared" si="40"/>
        <v>2012</v>
      </c>
      <c r="R1791" s="107">
        <v>2</v>
      </c>
      <c r="S1791" s="100">
        <v>212066</v>
      </c>
      <c r="T1791" s="101">
        <v>41137</v>
      </c>
    </row>
    <row r="1792" spans="1:20" x14ac:dyDescent="0.3">
      <c r="A1792" s="68">
        <v>41233</v>
      </c>
      <c r="B1792" s="69">
        <f t="shared" si="39"/>
        <v>20121120</v>
      </c>
      <c r="C1792" s="70">
        <v>2.2400000000000003E-2</v>
      </c>
      <c r="D1792" s="77">
        <v>8.0000000000000002E-3</v>
      </c>
      <c r="E1792" s="77">
        <v>8.0000000000000002E-3</v>
      </c>
      <c r="F1792" s="77">
        <v>8.0000000000000002E-3</v>
      </c>
      <c r="G1792" s="78">
        <v>0</v>
      </c>
      <c r="K1792" s="106">
        <v>4.0000000000000001E-3</v>
      </c>
      <c r="L1792" s="80">
        <v>0</v>
      </c>
      <c r="M1792" s="75" t="s">
        <v>143</v>
      </c>
      <c r="N1792" s="75" t="b">
        <v>1</v>
      </c>
      <c r="O1792" s="75" t="s">
        <v>144</v>
      </c>
      <c r="P1792" s="75">
        <v>1994</v>
      </c>
      <c r="Q1792" s="107">
        <f t="shared" si="40"/>
        <v>2012</v>
      </c>
      <c r="R1792" s="107">
        <v>2</v>
      </c>
      <c r="S1792" s="100">
        <v>212066</v>
      </c>
      <c r="T1792" s="101">
        <v>41137</v>
      </c>
    </row>
    <row r="1793" spans="1:20" x14ac:dyDescent="0.3">
      <c r="A1793" s="68">
        <v>41234</v>
      </c>
      <c r="B1793" s="69">
        <f t="shared" si="39"/>
        <v>20121121</v>
      </c>
      <c r="C1793" s="70">
        <v>2.2400000000000003E-2</v>
      </c>
      <c r="D1793" s="77">
        <v>8.0000000000000002E-3</v>
      </c>
      <c r="E1793" s="77">
        <v>8.0000000000000002E-3</v>
      </c>
      <c r="F1793" s="77">
        <v>8.0000000000000002E-3</v>
      </c>
      <c r="G1793" s="78">
        <v>0</v>
      </c>
      <c r="K1793" s="106">
        <v>4.0000000000000001E-3</v>
      </c>
      <c r="L1793" s="80">
        <v>0</v>
      </c>
      <c r="M1793" s="75" t="s">
        <v>143</v>
      </c>
      <c r="N1793" s="75" t="b">
        <v>1</v>
      </c>
      <c r="O1793" s="75" t="s">
        <v>144</v>
      </c>
      <c r="P1793" s="75">
        <v>1994</v>
      </c>
      <c r="Q1793" s="107">
        <f t="shared" si="40"/>
        <v>2012</v>
      </c>
      <c r="R1793" s="107">
        <v>2</v>
      </c>
      <c r="S1793" s="100">
        <v>212066</v>
      </c>
      <c r="T1793" s="101">
        <v>41137</v>
      </c>
    </row>
    <row r="1794" spans="1:20" x14ac:dyDescent="0.3">
      <c r="A1794" s="68">
        <v>41235</v>
      </c>
      <c r="B1794" s="69">
        <f t="shared" si="39"/>
        <v>20121122</v>
      </c>
      <c r="C1794" s="70">
        <v>2.2499999999999999E-2</v>
      </c>
      <c r="D1794" s="77">
        <v>8.0000000000000002E-3</v>
      </c>
      <c r="E1794" s="77">
        <v>8.0000000000000002E-3</v>
      </c>
      <c r="F1794" s="77">
        <v>8.0000000000000002E-3</v>
      </c>
      <c r="G1794" s="78">
        <v>0</v>
      </c>
      <c r="K1794" s="106">
        <v>4.0999999999999995E-3</v>
      </c>
      <c r="L1794" s="80">
        <v>0</v>
      </c>
      <c r="M1794" s="75" t="s">
        <v>143</v>
      </c>
      <c r="N1794" s="75" t="b">
        <v>1</v>
      </c>
      <c r="O1794" s="75" t="s">
        <v>144</v>
      </c>
      <c r="P1794" s="75">
        <v>1994</v>
      </c>
      <c r="Q1794" s="107">
        <f t="shared" si="40"/>
        <v>2012</v>
      </c>
      <c r="R1794" s="107">
        <v>2</v>
      </c>
      <c r="S1794" s="100">
        <v>212066</v>
      </c>
      <c r="T1794" s="101">
        <v>41137</v>
      </c>
    </row>
    <row r="1795" spans="1:20" x14ac:dyDescent="0.3">
      <c r="A1795" s="68">
        <v>41236</v>
      </c>
      <c r="B1795" s="69">
        <f t="shared" si="39"/>
        <v>20121123</v>
      </c>
      <c r="C1795" s="70">
        <v>2.2599999999999999E-2</v>
      </c>
      <c r="D1795" s="77">
        <v>8.0000000000000002E-3</v>
      </c>
      <c r="E1795" s="77">
        <v>8.0000000000000002E-3</v>
      </c>
      <c r="F1795" s="77">
        <v>8.0000000000000002E-3</v>
      </c>
      <c r="G1795" s="78">
        <v>0</v>
      </c>
      <c r="K1795" s="106">
        <v>4.0999999999999995E-3</v>
      </c>
      <c r="L1795" s="80">
        <v>0</v>
      </c>
      <c r="M1795" s="75" t="s">
        <v>143</v>
      </c>
      <c r="N1795" s="75" t="b">
        <v>1</v>
      </c>
      <c r="O1795" s="75" t="s">
        <v>144</v>
      </c>
      <c r="P1795" s="75">
        <v>1994</v>
      </c>
      <c r="Q1795" s="107">
        <f t="shared" si="40"/>
        <v>2012</v>
      </c>
      <c r="R1795" s="107">
        <v>2</v>
      </c>
      <c r="S1795" s="100">
        <v>212066</v>
      </c>
      <c r="T1795" s="101">
        <v>41137</v>
      </c>
    </row>
    <row r="1796" spans="1:20" x14ac:dyDescent="0.3">
      <c r="A1796" s="68">
        <v>41237</v>
      </c>
      <c r="B1796" s="69">
        <f>YEAR(A1796)*10000+MONTH(A1796)*100+DAY(A1796)</f>
        <v>20121124</v>
      </c>
      <c r="C1796" s="70">
        <v>2.2599999999999999E-2</v>
      </c>
      <c r="D1796" s="77">
        <v>8.0000000000000002E-3</v>
      </c>
      <c r="E1796" s="77">
        <v>8.0000000000000002E-3</v>
      </c>
      <c r="F1796" s="77">
        <v>8.0000000000000002E-3</v>
      </c>
      <c r="G1796" s="78">
        <v>0</v>
      </c>
      <c r="K1796" s="106">
        <v>4.0999999999999995E-3</v>
      </c>
      <c r="L1796" s="80">
        <v>0</v>
      </c>
      <c r="M1796" s="75" t="s">
        <v>143</v>
      </c>
      <c r="N1796" s="75" t="b">
        <v>1</v>
      </c>
      <c r="O1796" s="75" t="s">
        <v>144</v>
      </c>
      <c r="P1796" s="75">
        <v>1994</v>
      </c>
      <c r="Q1796" s="107">
        <f t="shared" si="40"/>
        <v>2012</v>
      </c>
      <c r="R1796" s="107">
        <v>2</v>
      </c>
      <c r="S1796" s="100">
        <v>212066</v>
      </c>
      <c r="T1796" s="101">
        <v>41137</v>
      </c>
    </row>
    <row r="1797" spans="1:20" x14ac:dyDescent="0.3">
      <c r="A1797" s="68">
        <v>41238</v>
      </c>
      <c r="B1797" s="69">
        <f>YEAR(A1797)*10000+MONTH(A1797)*100+DAY(A1797)</f>
        <v>20121125</v>
      </c>
      <c r="C1797" s="70">
        <v>2.2599999999999999E-2</v>
      </c>
      <c r="D1797" s="77">
        <v>8.0000000000000002E-3</v>
      </c>
      <c r="E1797" s="77">
        <v>8.0000000000000002E-3</v>
      </c>
      <c r="F1797" s="77">
        <v>8.0000000000000002E-3</v>
      </c>
      <c r="G1797" s="78">
        <v>0</v>
      </c>
      <c r="K1797" s="106">
        <v>4.0999999999999995E-3</v>
      </c>
      <c r="L1797" s="80">
        <v>0</v>
      </c>
      <c r="M1797" s="75" t="s">
        <v>143</v>
      </c>
      <c r="N1797" s="75" t="b">
        <v>1</v>
      </c>
      <c r="O1797" s="75" t="s">
        <v>144</v>
      </c>
      <c r="P1797" s="75">
        <v>1994</v>
      </c>
      <c r="Q1797" s="107">
        <f t="shared" si="40"/>
        <v>2012</v>
      </c>
      <c r="R1797" s="107">
        <v>2</v>
      </c>
      <c r="S1797" s="100">
        <v>212066</v>
      </c>
      <c r="T1797" s="101">
        <v>41137</v>
      </c>
    </row>
    <row r="1798" spans="1:20" x14ac:dyDescent="0.3">
      <c r="A1798" s="68">
        <v>41239</v>
      </c>
      <c r="B1798" s="69">
        <f t="shared" si="39"/>
        <v>20121126</v>
      </c>
      <c r="C1798" s="70">
        <v>2.2400000000000003E-2</v>
      </c>
      <c r="D1798" s="77">
        <v>8.0000000000000002E-3</v>
      </c>
      <c r="E1798" s="77">
        <v>8.0000000000000002E-3</v>
      </c>
      <c r="F1798" s="77">
        <v>8.0000000000000002E-3</v>
      </c>
      <c r="G1798" s="78">
        <v>0</v>
      </c>
      <c r="K1798" s="106">
        <v>3.9000000000000003E-3</v>
      </c>
      <c r="L1798" s="80">
        <v>0</v>
      </c>
      <c r="M1798" s="75" t="s">
        <v>143</v>
      </c>
      <c r="N1798" s="75" t="b">
        <v>1</v>
      </c>
      <c r="O1798" s="75" t="s">
        <v>144</v>
      </c>
      <c r="P1798" s="75">
        <v>1994</v>
      </c>
      <c r="Q1798" s="107">
        <f t="shared" si="40"/>
        <v>2012</v>
      </c>
      <c r="R1798" s="107">
        <v>2</v>
      </c>
      <c r="S1798" s="100">
        <v>212066</v>
      </c>
      <c r="T1798" s="101">
        <v>41137</v>
      </c>
    </row>
    <row r="1799" spans="1:20" x14ac:dyDescent="0.3">
      <c r="A1799" s="68">
        <v>41240</v>
      </c>
      <c r="B1799" s="69">
        <f t="shared" ref="B1799:B1804" si="41">YEAR(A1799)*10000+MONTH(A1799)*100+DAY(A1799)</f>
        <v>20121127</v>
      </c>
      <c r="C1799" s="70">
        <v>2.2000000000000002E-2</v>
      </c>
      <c r="D1799" s="77">
        <v>8.0000000000000002E-3</v>
      </c>
      <c r="E1799" s="77">
        <v>8.0000000000000002E-3</v>
      </c>
      <c r="F1799" s="77">
        <v>8.0000000000000002E-3</v>
      </c>
      <c r="G1799" s="78">
        <v>0</v>
      </c>
      <c r="K1799" s="106">
        <v>3.5999999999999999E-3</v>
      </c>
      <c r="L1799" s="80">
        <v>0</v>
      </c>
      <c r="M1799" s="75" t="s">
        <v>143</v>
      </c>
      <c r="N1799" s="75" t="b">
        <v>1</v>
      </c>
      <c r="O1799" s="75" t="s">
        <v>144</v>
      </c>
      <c r="P1799" s="75">
        <v>1994</v>
      </c>
      <c r="Q1799" s="107">
        <f t="shared" si="40"/>
        <v>2012</v>
      </c>
      <c r="R1799" s="107">
        <v>2</v>
      </c>
      <c r="S1799" s="100">
        <v>212066</v>
      </c>
      <c r="T1799" s="101">
        <v>41137</v>
      </c>
    </row>
    <row r="1800" spans="1:20" x14ac:dyDescent="0.3">
      <c r="A1800" s="68">
        <v>41241</v>
      </c>
      <c r="B1800" s="69">
        <f t="shared" si="41"/>
        <v>20121128</v>
      </c>
      <c r="C1800" s="70">
        <v>2.2000000000000002E-2</v>
      </c>
      <c r="D1800" s="77">
        <v>8.0000000000000002E-3</v>
      </c>
      <c r="E1800" s="77">
        <v>8.0000000000000002E-3</v>
      </c>
      <c r="F1800" s="77">
        <v>8.0000000000000002E-3</v>
      </c>
      <c r="G1800" s="78">
        <v>0</v>
      </c>
      <c r="K1800" s="106">
        <v>3.4000000000000002E-3</v>
      </c>
      <c r="L1800" s="80">
        <v>0</v>
      </c>
      <c r="M1800" s="75" t="s">
        <v>143</v>
      </c>
      <c r="N1800" s="75" t="b">
        <v>1</v>
      </c>
      <c r="O1800" s="75" t="s">
        <v>144</v>
      </c>
      <c r="P1800" s="75">
        <v>1994</v>
      </c>
      <c r="Q1800" s="107">
        <f t="shared" si="40"/>
        <v>2012</v>
      </c>
      <c r="R1800" s="107">
        <v>2</v>
      </c>
      <c r="S1800" s="100">
        <v>212066</v>
      </c>
      <c r="T1800" s="101">
        <v>41137</v>
      </c>
    </row>
    <row r="1801" spans="1:20" x14ac:dyDescent="0.3">
      <c r="A1801" s="68">
        <v>41242</v>
      </c>
      <c r="B1801" s="69">
        <f t="shared" si="41"/>
        <v>20121129</v>
      </c>
      <c r="C1801" s="70">
        <v>2.1899999999999999E-2</v>
      </c>
      <c r="D1801" s="77">
        <v>8.0000000000000002E-3</v>
      </c>
      <c r="E1801" s="77">
        <v>8.0000000000000002E-3</v>
      </c>
      <c r="F1801" s="77">
        <v>8.0000000000000002E-3</v>
      </c>
      <c r="G1801" s="78">
        <v>0</v>
      </c>
      <c r="K1801" s="106">
        <v>3.4000000000000002E-3</v>
      </c>
      <c r="L1801" s="80">
        <v>0</v>
      </c>
      <c r="M1801" s="75" t="s">
        <v>143</v>
      </c>
      <c r="N1801" s="75" t="b">
        <v>1</v>
      </c>
      <c r="O1801" s="75" t="s">
        <v>144</v>
      </c>
      <c r="P1801" s="75">
        <v>1994</v>
      </c>
      <c r="Q1801" s="107">
        <f t="shared" si="40"/>
        <v>2012</v>
      </c>
      <c r="R1801" s="107">
        <v>2</v>
      </c>
      <c r="S1801" s="100">
        <v>212066</v>
      </c>
      <c r="T1801" s="101">
        <v>41137</v>
      </c>
    </row>
    <row r="1802" spans="1:20" x14ac:dyDescent="0.3">
      <c r="A1802" s="68">
        <v>41243</v>
      </c>
      <c r="B1802" s="69">
        <f t="shared" si="41"/>
        <v>20121130</v>
      </c>
      <c r="C1802" s="70">
        <v>2.18E-2</v>
      </c>
      <c r="D1802" s="77">
        <v>8.0000000000000002E-3</v>
      </c>
      <c r="E1802" s="77">
        <v>8.0000000000000002E-3</v>
      </c>
      <c r="F1802" s="77">
        <v>8.0000000000000002E-3</v>
      </c>
      <c r="G1802" s="78">
        <v>0</v>
      </c>
      <c r="K1802" s="106">
        <v>3.3E-3</v>
      </c>
      <c r="L1802" s="80">
        <v>0</v>
      </c>
      <c r="M1802" s="75" t="s">
        <v>143</v>
      </c>
      <c r="N1802" s="75" t="b">
        <v>1</v>
      </c>
      <c r="O1802" s="75" t="s">
        <v>144</v>
      </c>
      <c r="P1802" s="75">
        <v>1994</v>
      </c>
      <c r="Q1802" s="107">
        <f t="shared" si="40"/>
        <v>2012</v>
      </c>
      <c r="R1802" s="107">
        <v>2</v>
      </c>
      <c r="S1802" s="100">
        <v>212066</v>
      </c>
      <c r="T1802" s="101">
        <v>41137</v>
      </c>
    </row>
    <row r="1803" spans="1:20" x14ac:dyDescent="0.3">
      <c r="A1803" s="68">
        <v>41244</v>
      </c>
      <c r="B1803" s="69">
        <f t="shared" si="41"/>
        <v>20121201</v>
      </c>
      <c r="C1803" s="70">
        <v>2.18E-2</v>
      </c>
      <c r="D1803" s="77">
        <v>8.0000000000000002E-3</v>
      </c>
      <c r="E1803" s="77">
        <v>8.0000000000000002E-3</v>
      </c>
      <c r="F1803" s="77">
        <v>8.0000000000000002E-3</v>
      </c>
      <c r="G1803" s="78">
        <v>0</v>
      </c>
      <c r="K1803" s="106">
        <v>3.3E-3</v>
      </c>
      <c r="L1803" s="80">
        <v>0</v>
      </c>
      <c r="M1803" s="75" t="s">
        <v>143</v>
      </c>
      <c r="N1803" s="75" t="b">
        <v>1</v>
      </c>
      <c r="O1803" s="75" t="s">
        <v>144</v>
      </c>
      <c r="P1803" s="75">
        <v>1994</v>
      </c>
      <c r="Q1803" s="107">
        <f t="shared" si="40"/>
        <v>2012</v>
      </c>
      <c r="R1803" s="107">
        <v>2</v>
      </c>
      <c r="S1803" s="100">
        <v>212066</v>
      </c>
      <c r="T1803" s="101">
        <v>41137</v>
      </c>
    </row>
    <row r="1804" spans="1:20" x14ac:dyDescent="0.3">
      <c r="A1804" s="68">
        <v>41245</v>
      </c>
      <c r="B1804" s="69">
        <f t="shared" si="41"/>
        <v>20121202</v>
      </c>
      <c r="C1804" s="70">
        <v>2.18E-2</v>
      </c>
      <c r="D1804" s="77">
        <v>8.0000000000000002E-3</v>
      </c>
      <c r="E1804" s="77">
        <v>8.0000000000000002E-3</v>
      </c>
      <c r="F1804" s="77">
        <v>8.0000000000000002E-3</v>
      </c>
      <c r="G1804" s="78">
        <v>0</v>
      </c>
      <c r="K1804" s="106">
        <v>3.3E-3</v>
      </c>
      <c r="L1804" s="80">
        <v>0</v>
      </c>
      <c r="M1804" s="75" t="s">
        <v>143</v>
      </c>
      <c r="N1804" s="75" t="b">
        <v>1</v>
      </c>
      <c r="O1804" s="75" t="s">
        <v>144</v>
      </c>
      <c r="P1804" s="75">
        <v>1994</v>
      </c>
      <c r="Q1804" s="107">
        <f t="shared" si="40"/>
        <v>2012</v>
      </c>
      <c r="R1804" s="107">
        <v>2</v>
      </c>
      <c r="S1804" s="100">
        <v>212066</v>
      </c>
      <c r="T1804" s="101">
        <v>41137</v>
      </c>
    </row>
    <row r="1805" spans="1:20" x14ac:dyDescent="0.3">
      <c r="A1805" s="68">
        <v>41246</v>
      </c>
      <c r="B1805" s="69">
        <f t="shared" ref="B1805:B1863" si="42">YEAR(A1805)*10000+MONTH(A1805)*100+DAY(A1805)</f>
        <v>20121203</v>
      </c>
      <c r="C1805" s="70">
        <v>2.1899999999999999E-2</v>
      </c>
      <c r="D1805" s="77">
        <v>8.0000000000000002E-3</v>
      </c>
      <c r="E1805" s="77">
        <v>8.0000000000000002E-3</v>
      </c>
      <c r="F1805" s="77">
        <v>8.0000000000000002E-3</v>
      </c>
      <c r="G1805" s="78">
        <v>0</v>
      </c>
      <c r="K1805" s="106">
        <v>3.3E-3</v>
      </c>
      <c r="L1805" s="80">
        <v>0</v>
      </c>
      <c r="M1805" s="75" t="s">
        <v>143</v>
      </c>
      <c r="N1805" s="75" t="b">
        <v>1</v>
      </c>
      <c r="O1805" s="75" t="s">
        <v>144</v>
      </c>
      <c r="P1805" s="75">
        <v>1994</v>
      </c>
      <c r="Q1805" s="107">
        <f t="shared" si="40"/>
        <v>2012</v>
      </c>
      <c r="R1805" s="107">
        <v>2</v>
      </c>
      <c r="S1805" s="100">
        <v>212066</v>
      </c>
      <c r="T1805" s="101">
        <v>41137</v>
      </c>
    </row>
    <row r="1806" spans="1:20" x14ac:dyDescent="0.3">
      <c r="A1806" s="68">
        <v>41247</v>
      </c>
      <c r="B1806" s="69">
        <f t="shared" si="42"/>
        <v>20121204</v>
      </c>
      <c r="C1806" s="70">
        <v>2.1899999999999999E-2</v>
      </c>
      <c r="D1806" s="77">
        <v>8.0000000000000002E-3</v>
      </c>
      <c r="E1806" s="77">
        <v>8.0000000000000002E-3</v>
      </c>
      <c r="F1806" s="77">
        <v>8.0000000000000002E-3</v>
      </c>
      <c r="G1806" s="78">
        <v>0</v>
      </c>
      <c r="K1806" s="106">
        <v>3.3E-3</v>
      </c>
      <c r="L1806" s="80">
        <v>0</v>
      </c>
      <c r="M1806" s="75" t="s">
        <v>143</v>
      </c>
      <c r="N1806" s="75" t="b">
        <v>1</v>
      </c>
      <c r="O1806" s="75" t="s">
        <v>144</v>
      </c>
      <c r="P1806" s="75">
        <v>1994</v>
      </c>
      <c r="Q1806" s="107">
        <f t="shared" si="40"/>
        <v>2012</v>
      </c>
      <c r="R1806" s="107">
        <v>2</v>
      </c>
      <c r="S1806" s="100">
        <v>212066</v>
      </c>
      <c r="T1806" s="101">
        <v>41137</v>
      </c>
    </row>
    <row r="1807" spans="1:20" x14ac:dyDescent="0.3">
      <c r="A1807" s="68">
        <v>41248</v>
      </c>
      <c r="B1807" s="69">
        <f t="shared" si="42"/>
        <v>20121205</v>
      </c>
      <c r="C1807" s="70">
        <v>2.18E-2</v>
      </c>
      <c r="D1807" s="77">
        <v>8.0000000000000002E-3</v>
      </c>
      <c r="E1807" s="77">
        <v>8.0000000000000002E-3</v>
      </c>
      <c r="F1807" s="77">
        <v>8.0000000000000002E-3</v>
      </c>
      <c r="G1807" s="78">
        <v>0</v>
      </c>
      <c r="K1807" s="106">
        <v>3.2000000000000002E-3</v>
      </c>
      <c r="L1807" s="80">
        <v>0</v>
      </c>
      <c r="M1807" s="75" t="s">
        <v>143</v>
      </c>
      <c r="N1807" s="75" t="b">
        <v>1</v>
      </c>
      <c r="O1807" s="75" t="s">
        <v>144</v>
      </c>
      <c r="P1807" s="75">
        <v>1994</v>
      </c>
      <c r="Q1807" s="107">
        <f t="shared" si="40"/>
        <v>2012</v>
      </c>
      <c r="R1807" s="107">
        <v>2</v>
      </c>
      <c r="S1807" s="100">
        <v>212066</v>
      </c>
      <c r="T1807" s="101">
        <v>41137</v>
      </c>
    </row>
    <row r="1808" spans="1:20" x14ac:dyDescent="0.3">
      <c r="A1808" s="68">
        <v>41249</v>
      </c>
      <c r="B1808" s="69">
        <f t="shared" si="42"/>
        <v>20121206</v>
      </c>
      <c r="C1808" s="70">
        <v>2.1899999999999999E-2</v>
      </c>
      <c r="D1808" s="77">
        <v>8.0000000000000002E-3</v>
      </c>
      <c r="E1808" s="77">
        <v>8.0000000000000002E-3</v>
      </c>
      <c r="F1808" s="77">
        <v>8.0000000000000002E-3</v>
      </c>
      <c r="G1808" s="78">
        <v>0</v>
      </c>
      <c r="K1808" s="106">
        <v>3.3E-3</v>
      </c>
      <c r="L1808" s="80">
        <v>0</v>
      </c>
      <c r="M1808" s="75" t="s">
        <v>143</v>
      </c>
      <c r="N1808" s="75" t="b">
        <v>1</v>
      </c>
      <c r="O1808" s="75" t="s">
        <v>144</v>
      </c>
      <c r="P1808" s="75">
        <v>1994</v>
      </c>
      <c r="Q1808" s="107">
        <f t="shared" si="40"/>
        <v>2012</v>
      </c>
      <c r="R1808" s="107">
        <v>2</v>
      </c>
      <c r="S1808" s="100">
        <v>212066</v>
      </c>
      <c r="T1808" s="101">
        <v>41137</v>
      </c>
    </row>
    <row r="1809" spans="1:20" x14ac:dyDescent="0.3">
      <c r="A1809" s="68">
        <v>41250</v>
      </c>
      <c r="B1809" s="69">
        <f t="shared" si="42"/>
        <v>20121207</v>
      </c>
      <c r="C1809" s="70">
        <v>2.2000000000000002E-2</v>
      </c>
      <c r="D1809" s="77">
        <v>8.0000000000000002E-3</v>
      </c>
      <c r="E1809" s="77">
        <v>8.0000000000000002E-3</v>
      </c>
      <c r="F1809" s="77">
        <v>8.0000000000000002E-3</v>
      </c>
      <c r="G1809" s="78">
        <v>0</v>
      </c>
      <c r="K1809" s="106">
        <v>3.3E-3</v>
      </c>
      <c r="L1809" s="80">
        <v>0</v>
      </c>
      <c r="M1809" s="75" t="s">
        <v>143</v>
      </c>
      <c r="N1809" s="75" t="b">
        <v>1</v>
      </c>
      <c r="O1809" s="75" t="s">
        <v>144</v>
      </c>
      <c r="P1809" s="75">
        <v>1994</v>
      </c>
      <c r="Q1809" s="107">
        <f t="shared" si="40"/>
        <v>2012</v>
      </c>
      <c r="R1809" s="107">
        <v>2</v>
      </c>
      <c r="S1809" s="100">
        <v>212066</v>
      </c>
      <c r="T1809" s="101">
        <v>41137</v>
      </c>
    </row>
    <row r="1810" spans="1:20" x14ac:dyDescent="0.3">
      <c r="A1810" s="68">
        <v>41251</v>
      </c>
      <c r="B1810" s="69">
        <f t="shared" si="42"/>
        <v>20121208</v>
      </c>
      <c r="C1810" s="70">
        <v>2.2000000000000002E-2</v>
      </c>
      <c r="D1810" s="77">
        <v>8.0000000000000002E-3</v>
      </c>
      <c r="E1810" s="77">
        <v>8.0000000000000002E-3</v>
      </c>
      <c r="F1810" s="77">
        <v>8.0000000000000002E-3</v>
      </c>
      <c r="G1810" s="78">
        <v>0</v>
      </c>
      <c r="K1810" s="106">
        <v>3.3E-3</v>
      </c>
      <c r="L1810" s="80">
        <v>0</v>
      </c>
      <c r="M1810" s="75" t="s">
        <v>143</v>
      </c>
      <c r="N1810" s="75" t="b">
        <v>1</v>
      </c>
      <c r="O1810" s="75" t="s">
        <v>144</v>
      </c>
      <c r="P1810" s="75">
        <v>1994</v>
      </c>
      <c r="Q1810" s="107">
        <f t="shared" si="40"/>
        <v>2012</v>
      </c>
      <c r="R1810" s="107">
        <v>2</v>
      </c>
      <c r="S1810" s="100">
        <v>212066</v>
      </c>
      <c r="T1810" s="101">
        <v>41137</v>
      </c>
    </row>
    <row r="1811" spans="1:20" x14ac:dyDescent="0.3">
      <c r="A1811" s="68">
        <v>41252</v>
      </c>
      <c r="B1811" s="69">
        <f t="shared" si="42"/>
        <v>20121209</v>
      </c>
      <c r="C1811" s="70">
        <v>2.2000000000000002E-2</v>
      </c>
      <c r="D1811" s="77">
        <v>8.0000000000000002E-3</v>
      </c>
      <c r="E1811" s="77">
        <v>8.0000000000000002E-3</v>
      </c>
      <c r="F1811" s="77">
        <v>8.0000000000000002E-3</v>
      </c>
      <c r="G1811" s="78">
        <v>0</v>
      </c>
      <c r="K1811" s="106">
        <v>3.3E-3</v>
      </c>
      <c r="L1811" s="80">
        <v>0</v>
      </c>
      <c r="M1811" s="75" t="s">
        <v>143</v>
      </c>
      <c r="N1811" s="75" t="b">
        <v>1</v>
      </c>
      <c r="O1811" s="75" t="s">
        <v>144</v>
      </c>
      <c r="P1811" s="75">
        <v>1994</v>
      </c>
      <c r="Q1811" s="107">
        <f t="shared" si="40"/>
        <v>2012</v>
      </c>
      <c r="R1811" s="107">
        <v>2</v>
      </c>
      <c r="S1811" s="100">
        <v>212066</v>
      </c>
      <c r="T1811" s="101">
        <v>41137</v>
      </c>
    </row>
    <row r="1812" spans="1:20" x14ac:dyDescent="0.3">
      <c r="A1812" s="68">
        <v>41253</v>
      </c>
      <c r="B1812" s="69">
        <f t="shared" si="42"/>
        <v>20121210</v>
      </c>
      <c r="C1812" s="70">
        <v>2.2000000000000002E-2</v>
      </c>
      <c r="D1812" s="77">
        <v>8.0000000000000002E-3</v>
      </c>
      <c r="E1812" s="77">
        <v>8.0000000000000002E-3</v>
      </c>
      <c r="F1812" s="77">
        <v>8.0000000000000002E-3</v>
      </c>
      <c r="G1812" s="78">
        <v>0</v>
      </c>
      <c r="K1812" s="106">
        <v>3.2000000000000002E-3</v>
      </c>
      <c r="L1812" s="80">
        <v>0</v>
      </c>
      <c r="M1812" s="75" t="s">
        <v>143</v>
      </c>
      <c r="N1812" s="75" t="b">
        <v>1</v>
      </c>
      <c r="O1812" s="75" t="s">
        <v>144</v>
      </c>
      <c r="P1812" s="75">
        <v>1994</v>
      </c>
      <c r="Q1812" s="107">
        <f t="shared" si="40"/>
        <v>2012</v>
      </c>
      <c r="R1812" s="107">
        <v>2</v>
      </c>
      <c r="S1812" s="100">
        <v>212066</v>
      </c>
      <c r="T1812" s="101">
        <v>41137</v>
      </c>
    </row>
    <row r="1813" spans="1:20" x14ac:dyDescent="0.3">
      <c r="A1813" s="68">
        <v>41254</v>
      </c>
      <c r="B1813" s="69">
        <f t="shared" si="42"/>
        <v>20121211</v>
      </c>
      <c r="C1813" s="70">
        <v>2.2200000000000001E-2</v>
      </c>
      <c r="D1813" s="77">
        <v>8.0000000000000002E-3</v>
      </c>
      <c r="E1813" s="77">
        <v>8.0000000000000002E-3</v>
      </c>
      <c r="F1813" s="77">
        <v>8.0000000000000002E-3</v>
      </c>
      <c r="G1813" s="78">
        <v>0</v>
      </c>
      <c r="K1813" s="106">
        <v>3.4999999999999996E-3</v>
      </c>
      <c r="L1813" s="80">
        <v>0</v>
      </c>
      <c r="M1813" s="75" t="s">
        <v>143</v>
      </c>
      <c r="N1813" s="75" t="b">
        <v>1</v>
      </c>
      <c r="O1813" s="75" t="s">
        <v>144</v>
      </c>
      <c r="P1813" s="75">
        <v>1994</v>
      </c>
      <c r="Q1813" s="107">
        <f t="shared" si="40"/>
        <v>2012</v>
      </c>
      <c r="R1813" s="107">
        <v>2</v>
      </c>
      <c r="S1813" s="100">
        <v>212066</v>
      </c>
      <c r="T1813" s="101">
        <v>41137</v>
      </c>
    </row>
    <row r="1814" spans="1:20" x14ac:dyDescent="0.3">
      <c r="A1814" s="68">
        <v>41255</v>
      </c>
      <c r="B1814" s="69">
        <f t="shared" si="42"/>
        <v>20121212</v>
      </c>
      <c r="C1814" s="70">
        <v>2.2599999999999999E-2</v>
      </c>
      <c r="D1814" s="77">
        <v>8.0000000000000002E-3</v>
      </c>
      <c r="E1814" s="77">
        <v>8.0000000000000002E-3</v>
      </c>
      <c r="F1814" s="77">
        <v>8.0000000000000002E-3</v>
      </c>
      <c r="G1814" s="78">
        <v>0</v>
      </c>
      <c r="K1814" s="106">
        <v>3.8E-3</v>
      </c>
      <c r="L1814" s="80">
        <v>0</v>
      </c>
      <c r="M1814" s="75" t="s">
        <v>143</v>
      </c>
      <c r="N1814" s="75" t="b">
        <v>1</v>
      </c>
      <c r="O1814" s="75" t="s">
        <v>144</v>
      </c>
      <c r="P1814" s="75">
        <v>1994</v>
      </c>
      <c r="Q1814" s="107">
        <f t="shared" si="40"/>
        <v>2012</v>
      </c>
      <c r="R1814" s="107">
        <v>2</v>
      </c>
      <c r="S1814" s="100">
        <v>212066</v>
      </c>
      <c r="T1814" s="101">
        <v>41137</v>
      </c>
    </row>
    <row r="1815" spans="1:20" x14ac:dyDescent="0.3">
      <c r="A1815" s="68">
        <v>41256</v>
      </c>
      <c r="B1815" s="69">
        <f t="shared" si="42"/>
        <v>20121213</v>
      </c>
      <c r="C1815" s="70">
        <v>2.29E-2</v>
      </c>
      <c r="D1815" s="77">
        <v>8.0000000000000002E-3</v>
      </c>
      <c r="E1815" s="77">
        <v>8.0000000000000002E-3</v>
      </c>
      <c r="F1815" s="77">
        <v>8.0000000000000002E-3</v>
      </c>
      <c r="G1815" s="78">
        <v>0</v>
      </c>
      <c r="K1815" s="106">
        <v>4.0999999999999995E-3</v>
      </c>
      <c r="L1815" s="80">
        <v>0</v>
      </c>
      <c r="M1815" s="75" t="s">
        <v>143</v>
      </c>
      <c r="N1815" s="75" t="b">
        <v>1</v>
      </c>
      <c r="O1815" s="75" t="s">
        <v>144</v>
      </c>
      <c r="P1815" s="75">
        <v>1994</v>
      </c>
      <c r="Q1815" s="107">
        <f t="shared" si="40"/>
        <v>2012</v>
      </c>
      <c r="R1815" s="107">
        <v>2</v>
      </c>
      <c r="S1815" s="100">
        <v>212066</v>
      </c>
      <c r="T1815" s="101">
        <v>41137</v>
      </c>
    </row>
    <row r="1816" spans="1:20" x14ac:dyDescent="0.3">
      <c r="A1816" s="68">
        <v>41257</v>
      </c>
      <c r="B1816" s="69">
        <f t="shared" si="42"/>
        <v>20121214</v>
      </c>
      <c r="C1816" s="70">
        <v>2.2700000000000001E-2</v>
      </c>
      <c r="D1816" s="77">
        <v>8.0000000000000002E-3</v>
      </c>
      <c r="E1816" s="77">
        <v>8.0000000000000002E-3</v>
      </c>
      <c r="F1816" s="77">
        <v>8.0000000000000002E-3</v>
      </c>
      <c r="G1816" s="78">
        <v>0</v>
      </c>
      <c r="K1816" s="106">
        <v>3.9000000000000003E-3</v>
      </c>
      <c r="L1816" s="80">
        <v>0</v>
      </c>
      <c r="M1816" s="75" t="s">
        <v>143</v>
      </c>
      <c r="N1816" s="75" t="b">
        <v>1</v>
      </c>
      <c r="O1816" s="75" t="s">
        <v>144</v>
      </c>
      <c r="P1816" s="75">
        <v>1994</v>
      </c>
      <c r="Q1816" s="107">
        <f t="shared" si="40"/>
        <v>2012</v>
      </c>
      <c r="R1816" s="107">
        <v>2</v>
      </c>
      <c r="S1816" s="100">
        <v>212066</v>
      </c>
      <c r="T1816" s="101">
        <v>41137</v>
      </c>
    </row>
    <row r="1817" spans="1:20" x14ac:dyDescent="0.3">
      <c r="A1817" s="68">
        <v>41258</v>
      </c>
      <c r="B1817" s="69">
        <f t="shared" si="42"/>
        <v>20121215</v>
      </c>
      <c r="C1817" s="70">
        <v>2.2700000000000001E-2</v>
      </c>
      <c r="D1817" s="77">
        <v>8.0000000000000002E-3</v>
      </c>
      <c r="E1817" s="77">
        <v>8.0000000000000002E-3</v>
      </c>
      <c r="F1817" s="77">
        <v>8.0000000000000002E-3</v>
      </c>
      <c r="G1817" s="78">
        <v>0</v>
      </c>
      <c r="K1817" s="106">
        <v>3.9000000000000003E-3</v>
      </c>
      <c r="L1817" s="80">
        <v>0</v>
      </c>
      <c r="M1817" s="75" t="s">
        <v>143</v>
      </c>
      <c r="N1817" s="75" t="b">
        <v>1</v>
      </c>
      <c r="O1817" s="75" t="s">
        <v>144</v>
      </c>
      <c r="P1817" s="75">
        <v>1994</v>
      </c>
      <c r="Q1817" s="107">
        <f t="shared" si="40"/>
        <v>2012</v>
      </c>
      <c r="R1817" s="107">
        <v>2</v>
      </c>
      <c r="S1817" s="100">
        <v>212066</v>
      </c>
      <c r="T1817" s="101">
        <v>41137</v>
      </c>
    </row>
    <row r="1818" spans="1:20" x14ac:dyDescent="0.3">
      <c r="A1818" s="68">
        <v>41259</v>
      </c>
      <c r="B1818" s="69">
        <f t="shared" si="42"/>
        <v>20121216</v>
      </c>
      <c r="C1818" s="70">
        <v>2.2700000000000001E-2</v>
      </c>
      <c r="D1818" s="77">
        <v>8.0000000000000002E-3</v>
      </c>
      <c r="E1818" s="77">
        <v>8.0000000000000002E-3</v>
      </c>
      <c r="F1818" s="77">
        <v>8.0000000000000002E-3</v>
      </c>
      <c r="G1818" s="78">
        <v>0</v>
      </c>
      <c r="K1818" s="106">
        <v>3.9000000000000003E-3</v>
      </c>
      <c r="L1818" s="80">
        <v>0</v>
      </c>
      <c r="M1818" s="75" t="s">
        <v>143</v>
      </c>
      <c r="N1818" s="75" t="b">
        <v>1</v>
      </c>
      <c r="O1818" s="75" t="s">
        <v>144</v>
      </c>
      <c r="P1818" s="75">
        <v>1994</v>
      </c>
      <c r="Q1818" s="107">
        <f t="shared" si="40"/>
        <v>2012</v>
      </c>
      <c r="R1818" s="107">
        <v>2</v>
      </c>
      <c r="S1818" s="100">
        <v>212066</v>
      </c>
      <c r="T1818" s="101">
        <v>41137</v>
      </c>
    </row>
    <row r="1819" spans="1:20" x14ac:dyDescent="0.3">
      <c r="A1819" s="68">
        <v>41260</v>
      </c>
      <c r="B1819" s="69">
        <f t="shared" si="42"/>
        <v>20121217</v>
      </c>
      <c r="C1819" s="70">
        <v>2.3E-2</v>
      </c>
      <c r="D1819" s="77">
        <v>8.0000000000000002E-3</v>
      </c>
      <c r="E1819" s="77">
        <v>8.0000000000000002E-3</v>
      </c>
      <c r="F1819" s="77">
        <v>8.0000000000000002E-3</v>
      </c>
      <c r="G1819" s="78">
        <v>0</v>
      </c>
      <c r="K1819" s="106">
        <v>4.0999999999999995E-3</v>
      </c>
      <c r="L1819" s="80">
        <v>0</v>
      </c>
      <c r="M1819" s="75" t="s">
        <v>143</v>
      </c>
      <c r="N1819" s="75" t="b">
        <v>1</v>
      </c>
      <c r="O1819" s="75" t="s">
        <v>144</v>
      </c>
      <c r="P1819" s="75">
        <v>1994</v>
      </c>
      <c r="Q1819" s="107">
        <f t="shared" si="40"/>
        <v>2012</v>
      </c>
      <c r="R1819" s="107">
        <v>2</v>
      </c>
      <c r="S1819" s="100">
        <v>212066</v>
      </c>
      <c r="T1819" s="101">
        <v>41137</v>
      </c>
    </row>
    <row r="1820" spans="1:20" x14ac:dyDescent="0.3">
      <c r="A1820" s="68">
        <v>41261</v>
      </c>
      <c r="B1820" s="69">
        <f t="shared" si="42"/>
        <v>20121218</v>
      </c>
      <c r="C1820" s="70">
        <v>2.3099999999999999E-2</v>
      </c>
      <c r="D1820" s="77">
        <v>8.0000000000000002E-3</v>
      </c>
      <c r="E1820" s="77">
        <v>8.0000000000000002E-3</v>
      </c>
      <c r="F1820" s="77">
        <v>8.0000000000000002E-3</v>
      </c>
      <c r="G1820" s="78">
        <v>0</v>
      </c>
      <c r="K1820" s="106">
        <v>4.0999999999999995E-3</v>
      </c>
      <c r="L1820" s="80">
        <v>0</v>
      </c>
      <c r="M1820" s="75" t="s">
        <v>143</v>
      </c>
      <c r="N1820" s="75" t="b">
        <v>1</v>
      </c>
      <c r="O1820" s="75" t="s">
        <v>144</v>
      </c>
      <c r="P1820" s="75">
        <v>1994</v>
      </c>
      <c r="Q1820" s="107">
        <f t="shared" si="40"/>
        <v>2012</v>
      </c>
      <c r="R1820" s="107">
        <v>2</v>
      </c>
      <c r="S1820" s="100">
        <v>212066</v>
      </c>
      <c r="T1820" s="101">
        <v>41137</v>
      </c>
    </row>
    <row r="1821" spans="1:20" x14ac:dyDescent="0.3">
      <c r="A1821" s="68">
        <v>41262</v>
      </c>
      <c r="B1821" s="69">
        <f t="shared" si="42"/>
        <v>20121219</v>
      </c>
      <c r="C1821" s="70">
        <v>2.3099999999999999E-2</v>
      </c>
      <c r="D1821" s="77">
        <v>8.0000000000000002E-3</v>
      </c>
      <c r="E1821" s="77">
        <v>8.0000000000000002E-3</v>
      </c>
      <c r="F1821" s="77">
        <v>8.0000000000000002E-3</v>
      </c>
      <c r="G1821" s="78">
        <v>0</v>
      </c>
      <c r="K1821" s="106">
        <v>4.0999999999999995E-3</v>
      </c>
      <c r="L1821" s="80">
        <v>0</v>
      </c>
      <c r="M1821" s="75" t="s">
        <v>143</v>
      </c>
      <c r="N1821" s="75" t="b">
        <v>1</v>
      </c>
      <c r="O1821" s="75" t="s">
        <v>144</v>
      </c>
      <c r="P1821" s="75">
        <v>1994</v>
      </c>
      <c r="Q1821" s="107">
        <f t="shared" si="40"/>
        <v>2012</v>
      </c>
      <c r="R1821" s="107">
        <v>2</v>
      </c>
      <c r="S1821" s="100">
        <v>212066</v>
      </c>
      <c r="T1821" s="101">
        <v>41137</v>
      </c>
    </row>
    <row r="1822" spans="1:20" x14ac:dyDescent="0.3">
      <c r="A1822" s="68">
        <v>41263</v>
      </c>
      <c r="B1822" s="69">
        <f t="shared" si="42"/>
        <v>20121220</v>
      </c>
      <c r="C1822" s="70">
        <v>2.3099999999999999E-2</v>
      </c>
      <c r="D1822" s="77">
        <v>8.0000000000000002E-3</v>
      </c>
      <c r="E1822" s="77">
        <v>8.0000000000000002E-3</v>
      </c>
      <c r="F1822" s="77">
        <v>8.0000000000000002E-3</v>
      </c>
      <c r="G1822" s="78">
        <v>0</v>
      </c>
      <c r="K1822" s="106">
        <v>4.0000000000000001E-3</v>
      </c>
      <c r="L1822" s="80">
        <v>0</v>
      </c>
      <c r="M1822" s="75" t="s">
        <v>143</v>
      </c>
      <c r="N1822" s="75" t="b">
        <v>1</v>
      </c>
      <c r="O1822" s="75" t="s">
        <v>144</v>
      </c>
      <c r="P1822" s="75">
        <v>1994</v>
      </c>
      <c r="Q1822" s="107">
        <f t="shared" si="40"/>
        <v>2012</v>
      </c>
      <c r="R1822" s="107">
        <v>2</v>
      </c>
      <c r="S1822" s="100">
        <v>212066</v>
      </c>
      <c r="T1822" s="101">
        <v>41137</v>
      </c>
    </row>
    <row r="1823" spans="1:20" x14ac:dyDescent="0.3">
      <c r="A1823" s="68">
        <v>41264</v>
      </c>
      <c r="B1823" s="69">
        <f t="shared" si="42"/>
        <v>20121221</v>
      </c>
      <c r="C1823" s="70">
        <v>2.2700000000000001E-2</v>
      </c>
      <c r="D1823" s="77">
        <v>8.0000000000000002E-3</v>
      </c>
      <c r="E1823" s="77">
        <v>8.0000000000000002E-3</v>
      </c>
      <c r="F1823" s="77">
        <v>8.0000000000000002E-3</v>
      </c>
      <c r="G1823" s="78">
        <v>0</v>
      </c>
      <c r="K1823" s="106">
        <v>3.8E-3</v>
      </c>
      <c r="L1823" s="80">
        <v>0</v>
      </c>
      <c r="M1823" s="75" t="s">
        <v>143</v>
      </c>
      <c r="N1823" s="75" t="b">
        <v>1</v>
      </c>
      <c r="O1823" s="75" t="s">
        <v>144</v>
      </c>
      <c r="P1823" s="75">
        <v>1994</v>
      </c>
      <c r="Q1823" s="107">
        <f t="shared" si="40"/>
        <v>2012</v>
      </c>
      <c r="R1823" s="107">
        <v>2</v>
      </c>
      <c r="S1823" s="100">
        <v>212066</v>
      </c>
      <c r="T1823" s="101">
        <v>41137</v>
      </c>
    </row>
    <row r="1824" spans="1:20" x14ac:dyDescent="0.3">
      <c r="A1824" s="68">
        <v>41265</v>
      </c>
      <c r="B1824" s="69">
        <f t="shared" si="42"/>
        <v>20121222</v>
      </c>
      <c r="C1824" s="70">
        <v>2.2700000000000001E-2</v>
      </c>
      <c r="D1824" s="77">
        <v>8.0000000000000002E-3</v>
      </c>
      <c r="E1824" s="77">
        <v>8.0000000000000002E-3</v>
      </c>
      <c r="F1824" s="77">
        <v>8.0000000000000002E-3</v>
      </c>
      <c r="G1824" s="78">
        <v>0</v>
      </c>
      <c r="K1824" s="106">
        <v>3.8E-3</v>
      </c>
      <c r="L1824" s="80">
        <v>0</v>
      </c>
      <c r="M1824" s="75" t="s">
        <v>143</v>
      </c>
      <c r="N1824" s="75" t="b">
        <v>1</v>
      </c>
      <c r="O1824" s="75" t="s">
        <v>144</v>
      </c>
      <c r="P1824" s="75">
        <v>1994</v>
      </c>
      <c r="Q1824" s="107">
        <f t="shared" si="40"/>
        <v>2012</v>
      </c>
      <c r="R1824" s="107">
        <v>2</v>
      </c>
      <c r="S1824" s="100">
        <v>212066</v>
      </c>
      <c r="T1824" s="101">
        <v>41137</v>
      </c>
    </row>
    <row r="1825" spans="1:21" x14ac:dyDescent="0.3">
      <c r="A1825" s="68">
        <v>41266</v>
      </c>
      <c r="B1825" s="69">
        <f t="shared" si="42"/>
        <v>20121223</v>
      </c>
      <c r="C1825" s="70">
        <v>2.2700000000000001E-2</v>
      </c>
      <c r="D1825" s="77">
        <v>8.0000000000000002E-3</v>
      </c>
      <c r="E1825" s="77">
        <v>8.0000000000000002E-3</v>
      </c>
      <c r="F1825" s="77">
        <v>8.0000000000000002E-3</v>
      </c>
      <c r="G1825" s="78">
        <v>0</v>
      </c>
      <c r="K1825" s="106">
        <v>3.8E-3</v>
      </c>
      <c r="L1825" s="80">
        <v>0</v>
      </c>
      <c r="M1825" s="75" t="s">
        <v>143</v>
      </c>
      <c r="N1825" s="75" t="b">
        <v>1</v>
      </c>
      <c r="O1825" s="75" t="s">
        <v>144</v>
      </c>
      <c r="P1825" s="75">
        <v>1994</v>
      </c>
      <c r="Q1825" s="107">
        <f t="shared" si="40"/>
        <v>2012</v>
      </c>
      <c r="R1825" s="107">
        <v>2</v>
      </c>
      <c r="S1825" s="100">
        <v>212066</v>
      </c>
      <c r="T1825" s="101">
        <v>41137</v>
      </c>
    </row>
    <row r="1826" spans="1:21" x14ac:dyDescent="0.3">
      <c r="A1826" s="68">
        <v>41267</v>
      </c>
      <c r="B1826" s="69">
        <f t="shared" si="42"/>
        <v>20121224</v>
      </c>
      <c r="C1826" s="70">
        <v>2.2700000000000001E-2</v>
      </c>
      <c r="D1826" s="77">
        <v>8.0000000000000002E-3</v>
      </c>
      <c r="E1826" s="77">
        <v>8.0000000000000002E-3</v>
      </c>
      <c r="F1826" s="77">
        <v>8.0000000000000002E-3</v>
      </c>
      <c r="G1826" s="78">
        <v>0</v>
      </c>
      <c r="K1826" s="106">
        <v>3.8E-3</v>
      </c>
      <c r="L1826" s="80">
        <v>0</v>
      </c>
      <c r="M1826" s="75" t="s">
        <v>143</v>
      </c>
      <c r="N1826" s="75" t="b">
        <v>1</v>
      </c>
      <c r="O1826" s="75" t="s">
        <v>144</v>
      </c>
      <c r="P1826" s="75">
        <v>1994</v>
      </c>
      <c r="Q1826" s="107">
        <f t="shared" si="40"/>
        <v>2012</v>
      </c>
      <c r="R1826" s="107">
        <v>2</v>
      </c>
      <c r="S1826" s="100">
        <v>212066</v>
      </c>
      <c r="T1826" s="101">
        <v>41137</v>
      </c>
    </row>
    <row r="1827" spans="1:21" x14ac:dyDescent="0.3">
      <c r="A1827" s="68">
        <v>41268</v>
      </c>
      <c r="B1827" s="69">
        <f t="shared" si="42"/>
        <v>20121225</v>
      </c>
      <c r="C1827" s="70">
        <v>2.2700000000000001E-2</v>
      </c>
      <c r="D1827" s="77">
        <v>8.0000000000000002E-3</v>
      </c>
      <c r="E1827" s="77">
        <v>8.0000000000000002E-3</v>
      </c>
      <c r="F1827" s="77">
        <v>8.0000000000000002E-3</v>
      </c>
      <c r="G1827" s="78">
        <v>0</v>
      </c>
      <c r="K1827" s="106">
        <v>3.8E-3</v>
      </c>
      <c r="L1827" s="80">
        <v>0</v>
      </c>
      <c r="M1827" s="75" t="s">
        <v>143</v>
      </c>
      <c r="N1827" s="75" t="b">
        <v>1</v>
      </c>
      <c r="O1827" s="75" t="s">
        <v>144</v>
      </c>
      <c r="P1827" s="75">
        <v>1994</v>
      </c>
      <c r="Q1827" s="107">
        <f t="shared" si="40"/>
        <v>2012</v>
      </c>
      <c r="R1827" s="107">
        <v>2</v>
      </c>
      <c r="S1827" s="100">
        <v>212066</v>
      </c>
      <c r="T1827" s="101">
        <v>41137</v>
      </c>
    </row>
    <row r="1828" spans="1:21" x14ac:dyDescent="0.3">
      <c r="A1828" s="68">
        <v>41269</v>
      </c>
      <c r="B1828" s="69">
        <f t="shared" si="42"/>
        <v>20121226</v>
      </c>
      <c r="C1828" s="70">
        <v>2.2700000000000001E-2</v>
      </c>
      <c r="D1828" s="77">
        <v>8.0000000000000002E-3</v>
      </c>
      <c r="E1828" s="77">
        <v>8.0000000000000002E-3</v>
      </c>
      <c r="F1828" s="77">
        <v>8.0000000000000002E-3</v>
      </c>
      <c r="G1828" s="78">
        <v>0</v>
      </c>
      <c r="K1828" s="106">
        <v>3.8E-3</v>
      </c>
      <c r="L1828" s="80">
        <v>0</v>
      </c>
      <c r="M1828" s="75" t="s">
        <v>143</v>
      </c>
      <c r="N1828" s="75" t="b">
        <v>1</v>
      </c>
      <c r="O1828" s="75" t="s">
        <v>144</v>
      </c>
      <c r="P1828" s="75">
        <v>1994</v>
      </c>
      <c r="Q1828" s="107">
        <f t="shared" si="40"/>
        <v>2012</v>
      </c>
      <c r="R1828" s="107">
        <v>2</v>
      </c>
      <c r="S1828" s="100">
        <v>212066</v>
      </c>
      <c r="T1828" s="101">
        <v>41137</v>
      </c>
    </row>
    <row r="1829" spans="1:21" x14ac:dyDescent="0.3">
      <c r="A1829" s="68">
        <v>41270</v>
      </c>
      <c r="B1829" s="69">
        <f t="shared" si="42"/>
        <v>20121227</v>
      </c>
      <c r="C1829" s="70">
        <v>2.2499999999999999E-2</v>
      </c>
      <c r="D1829" s="77">
        <v>8.0000000000000002E-3</v>
      </c>
      <c r="E1829" s="77">
        <v>8.0000000000000002E-3</v>
      </c>
      <c r="F1829" s="77">
        <v>8.0000000000000002E-3</v>
      </c>
      <c r="G1829" s="78">
        <v>0</v>
      </c>
      <c r="K1829" s="106">
        <v>3.7000000000000002E-3</v>
      </c>
      <c r="L1829" s="80">
        <v>0</v>
      </c>
      <c r="M1829" s="75" t="s">
        <v>143</v>
      </c>
      <c r="N1829" s="75" t="b">
        <v>1</v>
      </c>
      <c r="O1829" s="75" t="s">
        <v>144</v>
      </c>
      <c r="P1829" s="75">
        <v>1994</v>
      </c>
      <c r="Q1829" s="107">
        <f t="shared" si="40"/>
        <v>2012</v>
      </c>
      <c r="R1829" s="107">
        <v>2</v>
      </c>
      <c r="S1829" s="100">
        <v>212066</v>
      </c>
      <c r="T1829" s="101">
        <v>41137</v>
      </c>
    </row>
    <row r="1830" spans="1:21" x14ac:dyDescent="0.3">
      <c r="A1830" s="68">
        <v>41271</v>
      </c>
      <c r="B1830" s="69">
        <f t="shared" si="42"/>
        <v>20121228</v>
      </c>
      <c r="C1830" s="70">
        <v>2.2400000000000003E-2</v>
      </c>
      <c r="D1830" s="77">
        <v>8.0000000000000002E-3</v>
      </c>
      <c r="E1830" s="77">
        <v>8.0000000000000002E-3</v>
      </c>
      <c r="F1830" s="77">
        <v>8.0000000000000002E-3</v>
      </c>
      <c r="G1830" s="78">
        <v>0</v>
      </c>
      <c r="K1830" s="106">
        <v>3.5999999999999999E-3</v>
      </c>
      <c r="L1830" s="80">
        <v>0</v>
      </c>
      <c r="M1830" s="75" t="s">
        <v>143</v>
      </c>
      <c r="N1830" s="75" t="b">
        <v>1</v>
      </c>
      <c r="O1830" s="75" t="s">
        <v>144</v>
      </c>
      <c r="P1830" s="75">
        <v>1994</v>
      </c>
      <c r="Q1830" s="107">
        <f t="shared" si="40"/>
        <v>2012</v>
      </c>
      <c r="R1830" s="107">
        <v>2</v>
      </c>
      <c r="S1830" s="100">
        <v>212066</v>
      </c>
      <c r="T1830" s="101">
        <v>41137</v>
      </c>
    </row>
    <row r="1831" spans="1:21" x14ac:dyDescent="0.3">
      <c r="A1831" s="68">
        <v>41272</v>
      </c>
      <c r="B1831" s="69">
        <f t="shared" si="42"/>
        <v>20121229</v>
      </c>
      <c r="C1831" s="70">
        <v>2.2400000000000003E-2</v>
      </c>
      <c r="D1831" s="77">
        <v>8.0000000000000002E-3</v>
      </c>
      <c r="E1831" s="77">
        <v>8.0000000000000002E-3</v>
      </c>
      <c r="F1831" s="77">
        <v>8.0000000000000002E-3</v>
      </c>
      <c r="G1831" s="78">
        <v>0</v>
      </c>
      <c r="K1831" s="106">
        <v>3.5999999999999999E-3</v>
      </c>
      <c r="L1831" s="80">
        <v>0</v>
      </c>
      <c r="M1831" s="75" t="s">
        <v>143</v>
      </c>
      <c r="N1831" s="75" t="b">
        <v>1</v>
      </c>
      <c r="O1831" s="75" t="s">
        <v>144</v>
      </c>
      <c r="P1831" s="75">
        <v>1994</v>
      </c>
      <c r="Q1831" s="107">
        <f t="shared" si="40"/>
        <v>2012</v>
      </c>
      <c r="R1831" s="107">
        <v>2</v>
      </c>
      <c r="S1831" s="100">
        <v>212066</v>
      </c>
      <c r="T1831" s="101">
        <v>41137</v>
      </c>
    </row>
    <row r="1832" spans="1:21" x14ac:dyDescent="0.3">
      <c r="A1832" s="68">
        <v>41273</v>
      </c>
      <c r="B1832" s="69">
        <f t="shared" si="42"/>
        <v>20121230</v>
      </c>
      <c r="C1832" s="70">
        <v>2.2400000000000003E-2</v>
      </c>
      <c r="D1832" s="77">
        <v>8.0000000000000002E-3</v>
      </c>
      <c r="E1832" s="77">
        <v>8.0000000000000002E-3</v>
      </c>
      <c r="F1832" s="77">
        <v>8.0000000000000002E-3</v>
      </c>
      <c r="G1832" s="78">
        <v>0</v>
      </c>
      <c r="K1832" s="106">
        <v>3.5999999999999999E-3</v>
      </c>
      <c r="L1832" s="80">
        <v>0</v>
      </c>
      <c r="M1832" s="75" t="s">
        <v>143</v>
      </c>
      <c r="N1832" s="75" t="b">
        <v>1</v>
      </c>
      <c r="O1832" s="75" t="s">
        <v>144</v>
      </c>
      <c r="P1832" s="75">
        <v>1994</v>
      </c>
      <c r="Q1832" s="107">
        <f t="shared" si="40"/>
        <v>2012</v>
      </c>
      <c r="R1832" s="107">
        <v>2</v>
      </c>
      <c r="S1832" s="100">
        <v>212066</v>
      </c>
      <c r="T1832" s="101">
        <v>41137</v>
      </c>
    </row>
    <row r="1833" spans="1:21" s="99" customFormat="1" x14ac:dyDescent="0.3">
      <c r="A1833" s="85">
        <v>41274</v>
      </c>
      <c r="B1833" s="86">
        <f t="shared" si="42"/>
        <v>20121231</v>
      </c>
      <c r="C1833" s="87">
        <v>2.2599999999999999E-2</v>
      </c>
      <c r="D1833" s="89">
        <v>7.0000000000000001E-3</v>
      </c>
      <c r="E1833" s="89">
        <v>7.0000000000000001E-3</v>
      </c>
      <c r="F1833" s="89">
        <v>7.0000000000000001E-3</v>
      </c>
      <c r="G1833" s="103">
        <v>0</v>
      </c>
      <c r="H1833" s="91"/>
      <c r="I1833" s="91"/>
      <c r="J1833" s="91"/>
      <c r="K1833" s="92">
        <v>3.8E-3</v>
      </c>
      <c r="L1833" s="92">
        <v>0</v>
      </c>
      <c r="M1833" s="98" t="s">
        <v>143</v>
      </c>
      <c r="N1833" s="98" t="b">
        <v>1</v>
      </c>
      <c r="O1833" s="98" t="s">
        <v>144</v>
      </c>
      <c r="P1833" s="98">
        <v>1994</v>
      </c>
      <c r="Q1833" s="105">
        <f t="shared" si="40"/>
        <v>2012</v>
      </c>
      <c r="R1833" s="105">
        <v>2</v>
      </c>
      <c r="S1833" s="93">
        <v>213043</v>
      </c>
      <c r="T1833" s="94">
        <v>41436</v>
      </c>
      <c r="U1833" s="95" t="s">
        <v>176</v>
      </c>
    </row>
    <row r="1834" spans="1:21" x14ac:dyDescent="0.3">
      <c r="A1834" s="68">
        <v>41275</v>
      </c>
      <c r="B1834" s="69">
        <f t="shared" si="42"/>
        <v>20130101</v>
      </c>
      <c r="C1834" s="70">
        <v>2.2599999999999999E-2</v>
      </c>
      <c r="D1834" s="77">
        <v>7.0000000000000001E-3</v>
      </c>
      <c r="E1834" s="77">
        <v>7.0000000000000001E-3</v>
      </c>
      <c r="F1834" s="77">
        <v>7.0000000000000001E-3</v>
      </c>
      <c r="G1834" s="78">
        <v>0</v>
      </c>
      <c r="K1834" s="106">
        <v>3.8E-3</v>
      </c>
      <c r="L1834" s="80">
        <v>0</v>
      </c>
      <c r="M1834" s="75" t="s">
        <v>143</v>
      </c>
      <c r="N1834" s="75" t="b">
        <v>1</v>
      </c>
      <c r="O1834" s="75" t="s">
        <v>144</v>
      </c>
      <c r="P1834" s="75">
        <v>1994</v>
      </c>
      <c r="Q1834" s="107">
        <f t="shared" si="40"/>
        <v>2013</v>
      </c>
      <c r="R1834" s="107">
        <v>2</v>
      </c>
      <c r="S1834" s="100">
        <v>213043</v>
      </c>
      <c r="T1834" s="101">
        <v>41436</v>
      </c>
    </row>
    <row r="1835" spans="1:21" x14ac:dyDescent="0.3">
      <c r="A1835" s="68">
        <v>41276</v>
      </c>
      <c r="B1835" s="69">
        <f t="shared" si="42"/>
        <v>20130102</v>
      </c>
      <c r="C1835" s="70">
        <v>2.3199999999999998E-2</v>
      </c>
      <c r="D1835" s="77">
        <v>7.0000000000000001E-3</v>
      </c>
      <c r="E1835" s="77">
        <v>7.0000000000000001E-3</v>
      </c>
      <c r="F1835" s="77">
        <v>7.0000000000000001E-3</v>
      </c>
      <c r="G1835" s="78">
        <v>0</v>
      </c>
      <c r="K1835" s="106">
        <v>4.1999999999999997E-3</v>
      </c>
      <c r="L1835" s="80">
        <v>0</v>
      </c>
      <c r="M1835" s="75" t="s">
        <v>143</v>
      </c>
      <c r="N1835" s="75" t="b">
        <v>1</v>
      </c>
      <c r="O1835" s="75" t="s">
        <v>144</v>
      </c>
      <c r="P1835" s="75">
        <v>1994</v>
      </c>
      <c r="Q1835" s="107">
        <f t="shared" si="40"/>
        <v>2013</v>
      </c>
      <c r="R1835" s="107">
        <v>2</v>
      </c>
      <c r="S1835" s="100">
        <v>213043</v>
      </c>
      <c r="T1835" s="101">
        <v>41436</v>
      </c>
    </row>
    <row r="1836" spans="1:21" x14ac:dyDescent="0.3">
      <c r="A1836" s="68">
        <v>41277</v>
      </c>
      <c r="B1836" s="69">
        <f t="shared" si="42"/>
        <v>20130103</v>
      </c>
      <c r="C1836" s="70">
        <v>2.3799999999999998E-2</v>
      </c>
      <c r="D1836" s="77">
        <v>7.0000000000000001E-3</v>
      </c>
      <c r="E1836" s="77">
        <v>7.0000000000000001E-3</v>
      </c>
      <c r="F1836" s="77">
        <v>7.0000000000000001E-3</v>
      </c>
      <c r="G1836" s="78">
        <v>0</v>
      </c>
      <c r="K1836" s="106">
        <v>4.7999999999999996E-3</v>
      </c>
      <c r="L1836" s="80">
        <v>0</v>
      </c>
      <c r="M1836" s="75" t="s">
        <v>143</v>
      </c>
      <c r="N1836" s="75" t="b">
        <v>1</v>
      </c>
      <c r="O1836" s="75" t="s">
        <v>144</v>
      </c>
      <c r="P1836" s="75">
        <v>1994</v>
      </c>
      <c r="Q1836" s="107">
        <f t="shared" si="40"/>
        <v>2013</v>
      </c>
      <c r="R1836" s="107">
        <v>2</v>
      </c>
      <c r="S1836" s="100">
        <v>213043</v>
      </c>
      <c r="T1836" s="101">
        <v>41436</v>
      </c>
    </row>
    <row r="1837" spans="1:21" x14ac:dyDescent="0.3">
      <c r="A1837" s="68">
        <v>41278</v>
      </c>
      <c r="B1837" s="69">
        <f t="shared" si="42"/>
        <v>20130104</v>
      </c>
      <c r="C1837" s="70">
        <v>2.3900000000000001E-2</v>
      </c>
      <c r="D1837" s="77">
        <v>7.0000000000000001E-3</v>
      </c>
      <c r="E1837" s="77">
        <v>7.0000000000000001E-3</v>
      </c>
      <c r="F1837" s="77">
        <v>7.0000000000000001E-3</v>
      </c>
      <c r="G1837" s="78">
        <v>0</v>
      </c>
      <c r="K1837" s="106">
        <v>4.7999999999999996E-3</v>
      </c>
      <c r="L1837" s="80">
        <v>0</v>
      </c>
      <c r="M1837" s="75" t="s">
        <v>143</v>
      </c>
      <c r="N1837" s="75" t="b">
        <v>1</v>
      </c>
      <c r="O1837" s="75" t="s">
        <v>144</v>
      </c>
      <c r="P1837" s="75">
        <v>1994</v>
      </c>
      <c r="Q1837" s="107">
        <f t="shared" si="40"/>
        <v>2013</v>
      </c>
      <c r="R1837" s="107">
        <v>2</v>
      </c>
      <c r="S1837" s="100">
        <v>213043</v>
      </c>
      <c r="T1837" s="101">
        <v>41436</v>
      </c>
    </row>
    <row r="1838" spans="1:21" x14ac:dyDescent="0.3">
      <c r="A1838" s="68">
        <v>41279</v>
      </c>
      <c r="B1838" s="69">
        <f>YEAR(A1838)*10000+MONTH(A1838)*100+DAY(A1838)</f>
        <v>20130105</v>
      </c>
      <c r="C1838" s="70">
        <v>2.3900000000000001E-2</v>
      </c>
      <c r="D1838" s="77">
        <v>7.0000000000000001E-3</v>
      </c>
      <c r="E1838" s="77">
        <v>7.0000000000000001E-3</v>
      </c>
      <c r="F1838" s="77">
        <v>7.0000000000000001E-3</v>
      </c>
      <c r="G1838" s="78">
        <v>0</v>
      </c>
      <c r="K1838" s="106">
        <v>4.7999999999999996E-3</v>
      </c>
      <c r="L1838" s="80">
        <v>0</v>
      </c>
      <c r="M1838" s="75" t="s">
        <v>143</v>
      </c>
      <c r="N1838" s="75" t="b">
        <v>1</v>
      </c>
      <c r="O1838" s="75" t="s">
        <v>144</v>
      </c>
      <c r="P1838" s="75">
        <v>1994</v>
      </c>
      <c r="Q1838" s="107">
        <f t="shared" ref="Q1838:Q1901" si="43">YEAR(A1838)</f>
        <v>2013</v>
      </c>
      <c r="R1838" s="107">
        <v>2</v>
      </c>
      <c r="S1838" s="100">
        <v>213043</v>
      </c>
      <c r="T1838" s="101">
        <v>41436</v>
      </c>
    </row>
    <row r="1839" spans="1:21" x14ac:dyDescent="0.3">
      <c r="A1839" s="68">
        <v>41280</v>
      </c>
      <c r="B1839" s="69">
        <f>YEAR(A1839)*10000+MONTH(A1839)*100+DAY(A1839)</f>
        <v>20130106</v>
      </c>
      <c r="C1839" s="70">
        <v>2.3900000000000001E-2</v>
      </c>
      <c r="D1839" s="77">
        <v>7.0000000000000001E-3</v>
      </c>
      <c r="E1839" s="77">
        <v>7.0000000000000001E-3</v>
      </c>
      <c r="F1839" s="77">
        <v>7.0000000000000001E-3</v>
      </c>
      <c r="G1839" s="78">
        <v>0</v>
      </c>
      <c r="K1839" s="106">
        <v>4.7999999999999996E-3</v>
      </c>
      <c r="L1839" s="80">
        <v>0</v>
      </c>
      <c r="M1839" s="75" t="s">
        <v>143</v>
      </c>
      <c r="N1839" s="75" t="b">
        <v>1</v>
      </c>
      <c r="O1839" s="75" t="s">
        <v>144</v>
      </c>
      <c r="P1839" s="75">
        <v>1994</v>
      </c>
      <c r="Q1839" s="107">
        <f t="shared" si="43"/>
        <v>2013</v>
      </c>
      <c r="R1839" s="107">
        <v>2</v>
      </c>
      <c r="S1839" s="100">
        <v>213043</v>
      </c>
      <c r="T1839" s="101">
        <v>41436</v>
      </c>
    </row>
    <row r="1840" spans="1:21" x14ac:dyDescent="0.3">
      <c r="A1840" s="68">
        <v>41281</v>
      </c>
      <c r="B1840" s="69">
        <f t="shared" si="42"/>
        <v>20130107</v>
      </c>
      <c r="C1840" s="70">
        <v>2.4E-2</v>
      </c>
      <c r="D1840" s="77">
        <v>7.0000000000000001E-3</v>
      </c>
      <c r="E1840" s="77">
        <v>7.0000000000000001E-3</v>
      </c>
      <c r="F1840" s="77">
        <v>7.0000000000000001E-3</v>
      </c>
      <c r="G1840" s="78">
        <v>0</v>
      </c>
      <c r="K1840" s="106">
        <v>5.1000000000000004E-3</v>
      </c>
      <c r="L1840" s="80">
        <v>0</v>
      </c>
      <c r="M1840" s="75" t="s">
        <v>143</v>
      </c>
      <c r="N1840" s="75" t="b">
        <v>1</v>
      </c>
      <c r="O1840" s="75" t="s">
        <v>144</v>
      </c>
      <c r="P1840" s="75">
        <v>1994</v>
      </c>
      <c r="Q1840" s="107">
        <f t="shared" si="43"/>
        <v>2013</v>
      </c>
      <c r="R1840" s="107">
        <v>2</v>
      </c>
      <c r="S1840" s="100">
        <v>213043</v>
      </c>
      <c r="T1840" s="101">
        <v>41436</v>
      </c>
    </row>
    <row r="1841" spans="1:20" x14ac:dyDescent="0.3">
      <c r="A1841" s="68">
        <v>41282</v>
      </c>
      <c r="B1841" s="69">
        <f t="shared" si="42"/>
        <v>20130108</v>
      </c>
      <c r="C1841" s="70">
        <v>2.3799999999999998E-2</v>
      </c>
      <c r="D1841" s="77">
        <v>7.0000000000000001E-3</v>
      </c>
      <c r="E1841" s="77">
        <v>7.0000000000000001E-3</v>
      </c>
      <c r="F1841" s="77">
        <v>7.0000000000000001E-3</v>
      </c>
      <c r="G1841" s="78">
        <v>0</v>
      </c>
      <c r="K1841" s="106">
        <v>4.6999999999999993E-3</v>
      </c>
      <c r="L1841" s="80">
        <v>0</v>
      </c>
      <c r="M1841" s="75" t="s">
        <v>143</v>
      </c>
      <c r="N1841" s="75" t="b">
        <v>1</v>
      </c>
      <c r="O1841" s="75" t="s">
        <v>144</v>
      </c>
      <c r="P1841" s="75">
        <v>1994</v>
      </c>
      <c r="Q1841" s="107">
        <f t="shared" si="43"/>
        <v>2013</v>
      </c>
      <c r="R1841" s="107">
        <v>2</v>
      </c>
      <c r="S1841" s="100">
        <v>213043</v>
      </c>
      <c r="T1841" s="101">
        <v>41436</v>
      </c>
    </row>
    <row r="1842" spans="1:20" x14ac:dyDescent="0.3">
      <c r="A1842" s="68">
        <v>41283</v>
      </c>
      <c r="B1842" s="69">
        <f t="shared" si="42"/>
        <v>20130109</v>
      </c>
      <c r="C1842" s="70">
        <v>2.3799999999999998E-2</v>
      </c>
      <c r="D1842" s="77">
        <v>7.0000000000000001E-3</v>
      </c>
      <c r="E1842" s="77">
        <v>7.0000000000000001E-3</v>
      </c>
      <c r="F1842" s="77">
        <v>7.0000000000000001E-3</v>
      </c>
      <c r="G1842" s="78">
        <v>0</v>
      </c>
      <c r="K1842" s="106">
        <v>4.6999999999999993E-3</v>
      </c>
      <c r="L1842" s="80">
        <v>0</v>
      </c>
      <c r="M1842" s="75" t="s">
        <v>143</v>
      </c>
      <c r="N1842" s="75" t="b">
        <v>1</v>
      </c>
      <c r="O1842" s="75" t="s">
        <v>144</v>
      </c>
      <c r="P1842" s="75">
        <v>1994</v>
      </c>
      <c r="Q1842" s="107">
        <f t="shared" si="43"/>
        <v>2013</v>
      </c>
      <c r="R1842" s="107">
        <v>2</v>
      </c>
      <c r="S1842" s="100">
        <v>213043</v>
      </c>
      <c r="T1842" s="101">
        <v>41436</v>
      </c>
    </row>
    <row r="1843" spans="1:20" x14ac:dyDescent="0.3">
      <c r="A1843" s="68">
        <v>41284</v>
      </c>
      <c r="B1843" s="69">
        <f t="shared" si="42"/>
        <v>20130110</v>
      </c>
      <c r="C1843" s="70">
        <v>2.4199999999999999E-2</v>
      </c>
      <c r="D1843" s="77">
        <v>7.0000000000000001E-3</v>
      </c>
      <c r="E1843" s="77">
        <v>7.0000000000000001E-3</v>
      </c>
      <c r="F1843" s="77">
        <v>7.0000000000000001E-3</v>
      </c>
      <c r="G1843" s="78">
        <v>0</v>
      </c>
      <c r="K1843" s="106">
        <v>5.0000000000000001E-3</v>
      </c>
      <c r="L1843" s="80">
        <v>0</v>
      </c>
      <c r="M1843" s="75" t="s">
        <v>143</v>
      </c>
      <c r="N1843" s="75" t="b">
        <v>1</v>
      </c>
      <c r="O1843" s="75" t="s">
        <v>144</v>
      </c>
      <c r="P1843" s="75">
        <v>1994</v>
      </c>
      <c r="Q1843" s="107">
        <f t="shared" si="43"/>
        <v>2013</v>
      </c>
      <c r="R1843" s="107">
        <v>2</v>
      </c>
      <c r="S1843" s="100">
        <v>213043</v>
      </c>
      <c r="T1843" s="101">
        <v>41436</v>
      </c>
    </row>
    <row r="1844" spans="1:20" x14ac:dyDescent="0.3">
      <c r="A1844" s="68">
        <v>41285</v>
      </c>
      <c r="B1844" s="69">
        <f t="shared" si="42"/>
        <v>20130111</v>
      </c>
      <c r="C1844" s="70">
        <v>2.41E-2</v>
      </c>
      <c r="D1844" s="77">
        <v>7.0000000000000001E-3</v>
      </c>
      <c r="E1844" s="77">
        <v>7.0000000000000001E-3</v>
      </c>
      <c r="F1844" s="77">
        <v>7.0000000000000001E-3</v>
      </c>
      <c r="G1844" s="78">
        <v>0</v>
      </c>
      <c r="K1844" s="106">
        <v>4.8999999999999998E-3</v>
      </c>
      <c r="L1844" s="80">
        <v>0</v>
      </c>
      <c r="M1844" s="75" t="s">
        <v>143</v>
      </c>
      <c r="N1844" s="75" t="b">
        <v>1</v>
      </c>
      <c r="O1844" s="75" t="s">
        <v>144</v>
      </c>
      <c r="P1844" s="75">
        <v>1994</v>
      </c>
      <c r="Q1844" s="107">
        <f t="shared" si="43"/>
        <v>2013</v>
      </c>
      <c r="R1844" s="107">
        <v>2</v>
      </c>
      <c r="S1844" s="100">
        <v>213043</v>
      </c>
      <c r="T1844" s="101">
        <v>41436</v>
      </c>
    </row>
    <row r="1845" spans="1:20" x14ac:dyDescent="0.3">
      <c r="A1845" s="68">
        <v>41286</v>
      </c>
      <c r="B1845" s="69">
        <f>YEAR(A1845)*10000+MONTH(A1845)*100+DAY(A1845)</f>
        <v>20130112</v>
      </c>
      <c r="C1845" s="70">
        <v>2.41E-2</v>
      </c>
      <c r="D1845" s="77">
        <v>7.0000000000000001E-3</v>
      </c>
      <c r="E1845" s="77">
        <v>7.0000000000000001E-3</v>
      </c>
      <c r="F1845" s="77">
        <v>7.0000000000000001E-3</v>
      </c>
      <c r="G1845" s="78">
        <v>0</v>
      </c>
      <c r="K1845" s="106">
        <v>4.8999999999999998E-3</v>
      </c>
      <c r="L1845" s="80">
        <v>0</v>
      </c>
      <c r="M1845" s="75" t="s">
        <v>143</v>
      </c>
      <c r="N1845" s="75" t="b">
        <v>1</v>
      </c>
      <c r="O1845" s="75" t="s">
        <v>144</v>
      </c>
      <c r="P1845" s="75">
        <v>1994</v>
      </c>
      <c r="Q1845" s="107">
        <f t="shared" si="43"/>
        <v>2013</v>
      </c>
      <c r="R1845" s="107">
        <v>2</v>
      </c>
      <c r="S1845" s="100">
        <v>213043</v>
      </c>
      <c r="T1845" s="101">
        <v>41436</v>
      </c>
    </row>
    <row r="1846" spans="1:20" x14ac:dyDescent="0.3">
      <c r="A1846" s="68">
        <v>41287</v>
      </c>
      <c r="B1846" s="69">
        <f>YEAR(A1846)*10000+MONTH(A1846)*100+DAY(A1846)</f>
        <v>20130113</v>
      </c>
      <c r="C1846" s="70">
        <v>2.41E-2</v>
      </c>
      <c r="D1846" s="77">
        <v>7.0000000000000001E-3</v>
      </c>
      <c r="E1846" s="77">
        <v>7.0000000000000001E-3</v>
      </c>
      <c r="F1846" s="77">
        <v>7.0000000000000001E-3</v>
      </c>
      <c r="G1846" s="78">
        <v>0</v>
      </c>
      <c r="K1846" s="106">
        <v>4.8999999999999998E-3</v>
      </c>
      <c r="L1846" s="80">
        <v>0</v>
      </c>
      <c r="M1846" s="75" t="s">
        <v>143</v>
      </c>
      <c r="N1846" s="75" t="b">
        <v>1</v>
      </c>
      <c r="O1846" s="75" t="s">
        <v>144</v>
      </c>
      <c r="P1846" s="75">
        <v>1994</v>
      </c>
      <c r="Q1846" s="107">
        <f t="shared" si="43"/>
        <v>2013</v>
      </c>
      <c r="R1846" s="107">
        <v>2</v>
      </c>
      <c r="S1846" s="100">
        <v>213043</v>
      </c>
      <c r="T1846" s="101">
        <v>41436</v>
      </c>
    </row>
    <row r="1847" spans="1:20" x14ac:dyDescent="0.3">
      <c r="A1847" s="68">
        <v>41288</v>
      </c>
      <c r="B1847" s="69">
        <f t="shared" si="42"/>
        <v>20130114</v>
      </c>
      <c r="C1847" s="70">
        <v>2.41E-2</v>
      </c>
      <c r="D1847" s="77">
        <v>7.0000000000000001E-3</v>
      </c>
      <c r="E1847" s="77">
        <v>7.0000000000000001E-3</v>
      </c>
      <c r="F1847" s="77">
        <v>7.0000000000000001E-3</v>
      </c>
      <c r="G1847" s="78">
        <v>0</v>
      </c>
      <c r="K1847" s="106">
        <v>4.7999999999999996E-3</v>
      </c>
      <c r="L1847" s="80">
        <v>0</v>
      </c>
      <c r="M1847" s="75" t="s">
        <v>143</v>
      </c>
      <c r="N1847" s="75" t="b">
        <v>1</v>
      </c>
      <c r="O1847" s="75" t="s">
        <v>144</v>
      </c>
      <c r="P1847" s="75">
        <v>1994</v>
      </c>
      <c r="Q1847" s="107">
        <f t="shared" si="43"/>
        <v>2013</v>
      </c>
      <c r="R1847" s="107">
        <v>2</v>
      </c>
      <c r="S1847" s="100">
        <v>213043</v>
      </c>
      <c r="T1847" s="101">
        <v>41436</v>
      </c>
    </row>
    <row r="1848" spans="1:20" x14ac:dyDescent="0.3">
      <c r="A1848" s="68">
        <v>41289</v>
      </c>
      <c r="B1848" s="69">
        <f t="shared" si="42"/>
        <v>20130115</v>
      </c>
      <c r="C1848" s="70">
        <v>2.3799999999999998E-2</v>
      </c>
      <c r="D1848" s="77">
        <v>7.0000000000000001E-3</v>
      </c>
      <c r="E1848" s="77">
        <v>7.0000000000000001E-3</v>
      </c>
      <c r="F1848" s="77">
        <v>7.0000000000000001E-3</v>
      </c>
      <c r="G1848" s="78">
        <v>0</v>
      </c>
      <c r="K1848" s="106">
        <v>4.5999999999999999E-3</v>
      </c>
      <c r="L1848" s="80">
        <v>0</v>
      </c>
      <c r="M1848" s="75" t="s">
        <v>143</v>
      </c>
      <c r="N1848" s="75" t="b">
        <v>1</v>
      </c>
      <c r="O1848" s="75" t="s">
        <v>144</v>
      </c>
      <c r="P1848" s="75">
        <v>1994</v>
      </c>
      <c r="Q1848" s="107">
        <f t="shared" si="43"/>
        <v>2013</v>
      </c>
      <c r="R1848" s="107">
        <v>2</v>
      </c>
      <c r="S1848" s="100">
        <v>213043</v>
      </c>
      <c r="T1848" s="101">
        <v>41436</v>
      </c>
    </row>
    <row r="1849" spans="1:20" x14ac:dyDescent="0.3">
      <c r="A1849" s="68">
        <v>41290</v>
      </c>
      <c r="B1849" s="69">
        <f t="shared" si="42"/>
        <v>20130116</v>
      </c>
      <c r="C1849" s="70">
        <v>2.3599999999999999E-2</v>
      </c>
      <c r="D1849" s="77">
        <v>7.0000000000000001E-3</v>
      </c>
      <c r="E1849" s="77">
        <v>7.0000000000000001E-3</v>
      </c>
      <c r="F1849" s="77">
        <v>7.0000000000000001E-3</v>
      </c>
      <c r="G1849" s="78">
        <v>0</v>
      </c>
      <c r="K1849" s="106">
        <v>4.4000000000000003E-3</v>
      </c>
      <c r="L1849" s="80">
        <v>0</v>
      </c>
      <c r="M1849" s="75" t="s">
        <v>143</v>
      </c>
      <c r="N1849" s="75" t="b">
        <v>1</v>
      </c>
      <c r="O1849" s="75" t="s">
        <v>144</v>
      </c>
      <c r="P1849" s="75">
        <v>1994</v>
      </c>
      <c r="Q1849" s="107">
        <f t="shared" si="43"/>
        <v>2013</v>
      </c>
      <c r="R1849" s="107">
        <v>2</v>
      </c>
      <c r="S1849" s="100">
        <v>213043</v>
      </c>
      <c r="T1849" s="101">
        <v>41436</v>
      </c>
    </row>
    <row r="1850" spans="1:20" x14ac:dyDescent="0.3">
      <c r="A1850" s="68">
        <v>41291</v>
      </c>
      <c r="B1850" s="69">
        <f t="shared" si="42"/>
        <v>20130117</v>
      </c>
      <c r="C1850" s="70">
        <v>2.41E-2</v>
      </c>
      <c r="D1850" s="77">
        <v>7.0000000000000001E-3</v>
      </c>
      <c r="E1850" s="77">
        <v>7.0000000000000001E-3</v>
      </c>
      <c r="F1850" s="77">
        <v>7.0000000000000001E-3</v>
      </c>
      <c r="G1850" s="78">
        <v>0</v>
      </c>
      <c r="K1850" s="106">
        <v>4.7999999999999996E-3</v>
      </c>
      <c r="L1850" s="80">
        <v>0</v>
      </c>
      <c r="M1850" s="75" t="s">
        <v>143</v>
      </c>
      <c r="N1850" s="75" t="b">
        <v>1</v>
      </c>
      <c r="O1850" s="75" t="s">
        <v>144</v>
      </c>
      <c r="P1850" s="75">
        <v>1994</v>
      </c>
      <c r="Q1850" s="107">
        <f t="shared" si="43"/>
        <v>2013</v>
      </c>
      <c r="R1850" s="107">
        <v>2</v>
      </c>
      <c r="S1850" s="100">
        <v>213043</v>
      </c>
      <c r="T1850" s="101">
        <v>41436</v>
      </c>
    </row>
    <row r="1851" spans="1:20" x14ac:dyDescent="0.3">
      <c r="A1851" s="68">
        <v>41292</v>
      </c>
      <c r="B1851" s="69">
        <f t="shared" si="42"/>
        <v>20130118</v>
      </c>
      <c r="C1851" s="70">
        <v>2.4E-2</v>
      </c>
      <c r="D1851" s="77">
        <v>7.0000000000000001E-3</v>
      </c>
      <c r="E1851" s="77">
        <v>7.0000000000000001E-3</v>
      </c>
      <c r="F1851" s="77">
        <v>7.0000000000000001E-3</v>
      </c>
      <c r="G1851" s="78">
        <v>0</v>
      </c>
      <c r="K1851" s="106">
        <v>4.5999999999999999E-3</v>
      </c>
      <c r="L1851" s="80">
        <v>0</v>
      </c>
      <c r="M1851" s="75" t="s">
        <v>143</v>
      </c>
      <c r="N1851" s="75" t="b">
        <v>1</v>
      </c>
      <c r="O1851" s="75" t="s">
        <v>144</v>
      </c>
      <c r="P1851" s="75">
        <v>1994</v>
      </c>
      <c r="Q1851" s="107">
        <f t="shared" si="43"/>
        <v>2013</v>
      </c>
      <c r="R1851" s="107">
        <v>2</v>
      </c>
      <c r="S1851" s="100">
        <v>213043</v>
      </c>
      <c r="T1851" s="101">
        <v>41436</v>
      </c>
    </row>
    <row r="1852" spans="1:20" x14ac:dyDescent="0.3">
      <c r="A1852" s="68">
        <v>41293</v>
      </c>
      <c r="B1852" s="69">
        <f>YEAR(A1852)*10000+MONTH(A1852)*100+DAY(A1852)</f>
        <v>20130119</v>
      </c>
      <c r="C1852" s="70">
        <v>2.4E-2</v>
      </c>
      <c r="D1852" s="77">
        <v>7.0000000000000001E-3</v>
      </c>
      <c r="E1852" s="77">
        <v>7.0000000000000001E-3</v>
      </c>
      <c r="F1852" s="77">
        <v>7.0000000000000001E-3</v>
      </c>
      <c r="G1852" s="78">
        <v>0</v>
      </c>
      <c r="K1852" s="106">
        <v>4.5999999999999999E-3</v>
      </c>
      <c r="L1852" s="80">
        <v>0</v>
      </c>
      <c r="M1852" s="75" t="s">
        <v>143</v>
      </c>
      <c r="N1852" s="75" t="b">
        <v>1</v>
      </c>
      <c r="O1852" s="75" t="s">
        <v>144</v>
      </c>
      <c r="P1852" s="75">
        <v>1994</v>
      </c>
      <c r="Q1852" s="107">
        <f t="shared" si="43"/>
        <v>2013</v>
      </c>
      <c r="R1852" s="107">
        <v>2</v>
      </c>
      <c r="S1852" s="100">
        <v>213043</v>
      </c>
      <c r="T1852" s="101">
        <v>41436</v>
      </c>
    </row>
    <row r="1853" spans="1:20" x14ac:dyDescent="0.3">
      <c r="A1853" s="68">
        <v>41294</v>
      </c>
      <c r="B1853" s="69">
        <f>YEAR(A1853)*10000+MONTH(A1853)*100+DAY(A1853)</f>
        <v>20130120</v>
      </c>
      <c r="C1853" s="70">
        <v>2.4E-2</v>
      </c>
      <c r="D1853" s="77">
        <v>7.0000000000000001E-3</v>
      </c>
      <c r="E1853" s="77">
        <v>7.0000000000000001E-3</v>
      </c>
      <c r="F1853" s="77">
        <v>7.0000000000000001E-3</v>
      </c>
      <c r="G1853" s="78">
        <v>0</v>
      </c>
      <c r="K1853" s="106">
        <v>4.5999999999999999E-3</v>
      </c>
      <c r="L1853" s="80">
        <v>0</v>
      </c>
      <c r="M1853" s="75" t="s">
        <v>143</v>
      </c>
      <c r="N1853" s="75" t="b">
        <v>1</v>
      </c>
      <c r="O1853" s="75" t="s">
        <v>144</v>
      </c>
      <c r="P1853" s="75">
        <v>1994</v>
      </c>
      <c r="Q1853" s="107">
        <f t="shared" si="43"/>
        <v>2013</v>
      </c>
      <c r="R1853" s="107">
        <v>2</v>
      </c>
      <c r="S1853" s="100">
        <v>213043</v>
      </c>
      <c r="T1853" s="101">
        <v>41436</v>
      </c>
    </row>
    <row r="1854" spans="1:20" x14ac:dyDescent="0.3">
      <c r="A1854" s="68">
        <v>41295</v>
      </c>
      <c r="B1854" s="69">
        <f t="shared" si="42"/>
        <v>20130121</v>
      </c>
      <c r="C1854" s="70">
        <v>2.41E-2</v>
      </c>
      <c r="D1854" s="77">
        <v>7.0000000000000001E-3</v>
      </c>
      <c r="E1854" s="77">
        <v>7.0000000000000001E-3</v>
      </c>
      <c r="F1854" s="77">
        <v>7.0000000000000001E-3</v>
      </c>
      <c r="G1854" s="78">
        <v>0</v>
      </c>
      <c r="K1854" s="106">
        <v>4.7999999999999996E-3</v>
      </c>
      <c r="L1854" s="80">
        <v>0</v>
      </c>
      <c r="M1854" s="75" t="s">
        <v>143</v>
      </c>
      <c r="N1854" s="75" t="b">
        <v>1</v>
      </c>
      <c r="O1854" s="75" t="s">
        <v>144</v>
      </c>
      <c r="P1854" s="75">
        <v>1994</v>
      </c>
      <c r="Q1854" s="107">
        <f t="shared" si="43"/>
        <v>2013</v>
      </c>
      <c r="R1854" s="107">
        <v>2</v>
      </c>
      <c r="S1854" s="100">
        <v>213043</v>
      </c>
      <c r="T1854" s="101">
        <v>41436</v>
      </c>
    </row>
    <row r="1855" spans="1:20" x14ac:dyDescent="0.3">
      <c r="A1855" s="68">
        <v>41296</v>
      </c>
      <c r="B1855" s="69">
        <f t="shared" si="42"/>
        <v>20130122</v>
      </c>
      <c r="C1855" s="70">
        <v>2.3900000000000001E-2</v>
      </c>
      <c r="D1855" s="77">
        <v>7.0000000000000001E-3</v>
      </c>
      <c r="E1855" s="77">
        <v>7.0000000000000001E-3</v>
      </c>
      <c r="F1855" s="77">
        <v>7.0000000000000001E-3</v>
      </c>
      <c r="G1855" s="78">
        <v>0</v>
      </c>
      <c r="K1855" s="106">
        <v>4.6999999999999993E-3</v>
      </c>
      <c r="L1855" s="80">
        <v>0</v>
      </c>
      <c r="M1855" s="75" t="s">
        <v>143</v>
      </c>
      <c r="N1855" s="75" t="b">
        <v>1</v>
      </c>
      <c r="O1855" s="75" t="s">
        <v>144</v>
      </c>
      <c r="P1855" s="75">
        <v>1994</v>
      </c>
      <c r="Q1855" s="107">
        <f t="shared" si="43"/>
        <v>2013</v>
      </c>
      <c r="R1855" s="107">
        <v>2</v>
      </c>
      <c r="S1855" s="100">
        <v>213043</v>
      </c>
      <c r="T1855" s="101">
        <v>41436</v>
      </c>
    </row>
    <row r="1856" spans="1:20" x14ac:dyDescent="0.3">
      <c r="A1856" s="68">
        <v>41297</v>
      </c>
      <c r="B1856" s="69">
        <f t="shared" si="42"/>
        <v>20130123</v>
      </c>
      <c r="C1856" s="70">
        <v>2.3700000000000002E-2</v>
      </c>
      <c r="D1856" s="77">
        <v>7.0000000000000001E-3</v>
      </c>
      <c r="E1856" s="77">
        <v>7.0000000000000001E-3</v>
      </c>
      <c r="F1856" s="77">
        <v>7.0000000000000001E-3</v>
      </c>
      <c r="G1856" s="78">
        <v>0</v>
      </c>
      <c r="K1856" s="106">
        <v>4.5000000000000005E-3</v>
      </c>
      <c r="L1856" s="80">
        <v>0</v>
      </c>
      <c r="M1856" s="75" t="s">
        <v>143</v>
      </c>
      <c r="N1856" s="75" t="b">
        <v>1</v>
      </c>
      <c r="O1856" s="75" t="s">
        <v>144</v>
      </c>
      <c r="P1856" s="75">
        <v>1994</v>
      </c>
      <c r="Q1856" s="107">
        <f t="shared" si="43"/>
        <v>2013</v>
      </c>
      <c r="R1856" s="107">
        <v>2</v>
      </c>
      <c r="S1856" s="100">
        <v>213043</v>
      </c>
      <c r="T1856" s="101">
        <v>41436</v>
      </c>
    </row>
    <row r="1857" spans="1:20" x14ac:dyDescent="0.3">
      <c r="A1857" s="68">
        <v>41298</v>
      </c>
      <c r="B1857" s="69">
        <f t="shared" si="42"/>
        <v>20130124</v>
      </c>
      <c r="C1857" s="70">
        <v>2.3799999999999998E-2</v>
      </c>
      <c r="D1857" s="77">
        <v>7.0000000000000001E-3</v>
      </c>
      <c r="E1857" s="77">
        <v>7.0000000000000001E-3</v>
      </c>
      <c r="F1857" s="77">
        <v>7.0000000000000001E-3</v>
      </c>
      <c r="G1857" s="78">
        <v>0</v>
      </c>
      <c r="K1857" s="106">
        <v>4.6999999999999993E-3</v>
      </c>
      <c r="L1857" s="80">
        <v>0</v>
      </c>
      <c r="M1857" s="75" t="s">
        <v>143</v>
      </c>
      <c r="N1857" s="75" t="b">
        <v>1</v>
      </c>
      <c r="O1857" s="75" t="s">
        <v>144</v>
      </c>
      <c r="P1857" s="75">
        <v>1994</v>
      </c>
      <c r="Q1857" s="107">
        <f t="shared" si="43"/>
        <v>2013</v>
      </c>
      <c r="R1857" s="107">
        <v>2</v>
      </c>
      <c r="S1857" s="100">
        <v>213043</v>
      </c>
      <c r="T1857" s="101">
        <v>41436</v>
      </c>
    </row>
    <row r="1858" spans="1:20" x14ac:dyDescent="0.3">
      <c r="A1858" s="68">
        <v>41299</v>
      </c>
      <c r="B1858" s="69">
        <f t="shared" si="42"/>
        <v>20130125</v>
      </c>
      <c r="C1858" s="70">
        <v>2.4300000000000002E-2</v>
      </c>
      <c r="D1858" s="77">
        <v>7.0000000000000001E-3</v>
      </c>
      <c r="E1858" s="77">
        <v>7.0000000000000001E-3</v>
      </c>
      <c r="F1858" s="77">
        <v>7.0000000000000001E-3</v>
      </c>
      <c r="G1858" s="78">
        <v>0</v>
      </c>
      <c r="K1858" s="106">
        <v>5.1999999999999998E-3</v>
      </c>
      <c r="L1858" s="80">
        <v>0</v>
      </c>
      <c r="M1858" s="75" t="s">
        <v>143</v>
      </c>
      <c r="N1858" s="75" t="b">
        <v>1</v>
      </c>
      <c r="O1858" s="75" t="s">
        <v>144</v>
      </c>
      <c r="P1858" s="75">
        <v>1994</v>
      </c>
      <c r="Q1858" s="107">
        <f t="shared" si="43"/>
        <v>2013</v>
      </c>
      <c r="R1858" s="107">
        <v>2</v>
      </c>
      <c r="S1858" s="100">
        <v>213043</v>
      </c>
      <c r="T1858" s="101">
        <v>41436</v>
      </c>
    </row>
    <row r="1859" spans="1:20" x14ac:dyDescent="0.3">
      <c r="A1859" s="68">
        <v>41300</v>
      </c>
      <c r="B1859" s="69">
        <f>YEAR(A1859)*10000+MONTH(A1859)*100+DAY(A1859)</f>
        <v>20130126</v>
      </c>
      <c r="C1859" s="70">
        <v>2.4300000000000002E-2</v>
      </c>
      <c r="D1859" s="77">
        <v>7.0000000000000001E-3</v>
      </c>
      <c r="E1859" s="77">
        <v>7.0000000000000001E-3</v>
      </c>
      <c r="F1859" s="77">
        <v>7.0000000000000001E-3</v>
      </c>
      <c r="G1859" s="78">
        <v>0</v>
      </c>
      <c r="K1859" s="106">
        <v>5.1999999999999998E-3</v>
      </c>
      <c r="L1859" s="80">
        <v>0</v>
      </c>
      <c r="M1859" s="75" t="s">
        <v>143</v>
      </c>
      <c r="N1859" s="75" t="b">
        <v>1</v>
      </c>
      <c r="O1859" s="75" t="s">
        <v>144</v>
      </c>
      <c r="P1859" s="75">
        <v>1994</v>
      </c>
      <c r="Q1859" s="107">
        <f t="shared" si="43"/>
        <v>2013</v>
      </c>
      <c r="R1859" s="107">
        <v>2</v>
      </c>
      <c r="S1859" s="100">
        <v>213043</v>
      </c>
      <c r="T1859" s="101">
        <v>41436</v>
      </c>
    </row>
    <row r="1860" spans="1:20" x14ac:dyDescent="0.3">
      <c r="A1860" s="68">
        <v>41301</v>
      </c>
      <c r="B1860" s="69">
        <f>YEAR(A1860)*10000+MONTH(A1860)*100+DAY(A1860)</f>
        <v>20130127</v>
      </c>
      <c r="C1860" s="70">
        <v>2.4300000000000002E-2</v>
      </c>
      <c r="D1860" s="77">
        <v>7.0000000000000001E-3</v>
      </c>
      <c r="E1860" s="77">
        <v>7.0000000000000001E-3</v>
      </c>
      <c r="F1860" s="77">
        <v>7.0000000000000001E-3</v>
      </c>
      <c r="G1860" s="78">
        <v>0</v>
      </c>
      <c r="K1860" s="106">
        <v>5.1999999999999998E-3</v>
      </c>
      <c r="L1860" s="80">
        <v>0</v>
      </c>
      <c r="M1860" s="75" t="s">
        <v>143</v>
      </c>
      <c r="N1860" s="75" t="b">
        <v>1</v>
      </c>
      <c r="O1860" s="75" t="s">
        <v>144</v>
      </c>
      <c r="P1860" s="75">
        <v>1994</v>
      </c>
      <c r="Q1860" s="107">
        <f t="shared" si="43"/>
        <v>2013</v>
      </c>
      <c r="R1860" s="107">
        <v>2</v>
      </c>
      <c r="S1860" s="100">
        <v>213043</v>
      </c>
      <c r="T1860" s="101">
        <v>41436</v>
      </c>
    </row>
    <row r="1861" spans="1:20" x14ac:dyDescent="0.3">
      <c r="A1861" s="68">
        <v>41302</v>
      </c>
      <c r="B1861" s="69">
        <f t="shared" si="42"/>
        <v>20130128</v>
      </c>
      <c r="C1861" s="70">
        <v>2.4399999999999998E-2</v>
      </c>
      <c r="D1861" s="77">
        <v>7.0000000000000001E-3</v>
      </c>
      <c r="E1861" s="77">
        <v>7.0000000000000001E-3</v>
      </c>
      <c r="F1861" s="77">
        <v>7.0000000000000001E-3</v>
      </c>
      <c r="G1861" s="78">
        <v>0</v>
      </c>
      <c r="K1861" s="106">
        <v>5.1999999999999998E-3</v>
      </c>
      <c r="L1861" s="80">
        <v>0</v>
      </c>
      <c r="M1861" s="75" t="s">
        <v>143</v>
      </c>
      <c r="N1861" s="75" t="b">
        <v>1</v>
      </c>
      <c r="O1861" s="75" t="s">
        <v>144</v>
      </c>
      <c r="P1861" s="75">
        <v>1994</v>
      </c>
      <c r="Q1861" s="107">
        <f t="shared" si="43"/>
        <v>2013</v>
      </c>
      <c r="R1861" s="107">
        <v>2</v>
      </c>
      <c r="S1861" s="100">
        <v>213043</v>
      </c>
      <c r="T1861" s="101">
        <v>41436</v>
      </c>
    </row>
    <row r="1862" spans="1:20" x14ac:dyDescent="0.3">
      <c r="A1862" s="68">
        <v>41303</v>
      </c>
      <c r="B1862" s="69">
        <f t="shared" si="42"/>
        <v>20130129</v>
      </c>
      <c r="C1862" s="70">
        <v>2.4700000000000003E-2</v>
      </c>
      <c r="D1862" s="77">
        <v>7.0000000000000001E-3</v>
      </c>
      <c r="E1862" s="77">
        <v>7.0000000000000001E-3</v>
      </c>
      <c r="F1862" s="77">
        <v>7.0000000000000001E-3</v>
      </c>
      <c r="G1862" s="78">
        <v>0</v>
      </c>
      <c r="K1862" s="106">
        <v>5.4000000000000003E-3</v>
      </c>
      <c r="L1862" s="80">
        <v>0</v>
      </c>
      <c r="M1862" s="75" t="s">
        <v>143</v>
      </c>
      <c r="N1862" s="75" t="b">
        <v>1</v>
      </c>
      <c r="O1862" s="75" t="s">
        <v>144</v>
      </c>
      <c r="P1862" s="75">
        <v>1994</v>
      </c>
      <c r="Q1862" s="107">
        <f t="shared" si="43"/>
        <v>2013</v>
      </c>
      <c r="R1862" s="107">
        <v>2</v>
      </c>
      <c r="S1862" s="100">
        <v>213043</v>
      </c>
      <c r="T1862" s="101">
        <v>41436</v>
      </c>
    </row>
    <row r="1863" spans="1:20" x14ac:dyDescent="0.3">
      <c r="A1863" s="68">
        <v>41304</v>
      </c>
      <c r="B1863" s="69">
        <f t="shared" si="42"/>
        <v>20130130</v>
      </c>
      <c r="C1863" s="70">
        <v>2.4700000000000003E-2</v>
      </c>
      <c r="D1863" s="77">
        <v>7.0000000000000001E-3</v>
      </c>
      <c r="E1863" s="77">
        <v>7.0000000000000001E-3</v>
      </c>
      <c r="F1863" s="77">
        <v>7.0000000000000001E-3</v>
      </c>
      <c r="G1863" s="78">
        <v>0</v>
      </c>
      <c r="K1863" s="106">
        <v>5.4000000000000003E-3</v>
      </c>
      <c r="L1863" s="80">
        <v>0</v>
      </c>
      <c r="M1863" s="75" t="s">
        <v>143</v>
      </c>
      <c r="N1863" s="75" t="b">
        <v>1</v>
      </c>
      <c r="O1863" s="75" t="s">
        <v>144</v>
      </c>
      <c r="P1863" s="75">
        <v>1994</v>
      </c>
      <c r="Q1863" s="107">
        <f t="shared" si="43"/>
        <v>2013</v>
      </c>
      <c r="R1863" s="107">
        <v>2</v>
      </c>
      <c r="S1863" s="100">
        <v>213043</v>
      </c>
      <c r="T1863" s="101">
        <v>41436</v>
      </c>
    </row>
    <row r="1864" spans="1:20" x14ac:dyDescent="0.3">
      <c r="A1864" s="68">
        <v>41305</v>
      </c>
      <c r="B1864" s="69">
        <f>YEAR(A1864)*10000+MONTH(A1864)*100+DAY(A1864)</f>
        <v>20130131</v>
      </c>
      <c r="C1864" s="70">
        <v>2.47E-2</v>
      </c>
      <c r="D1864" s="77">
        <v>7.0000000000000001E-3</v>
      </c>
      <c r="E1864" s="77">
        <v>7.0000000000000001E-3</v>
      </c>
      <c r="F1864" s="77">
        <v>7.0000000000000001E-3</v>
      </c>
      <c r="G1864" s="78">
        <v>0</v>
      </c>
      <c r="K1864" s="106">
        <v>5.4000000000000003E-3</v>
      </c>
      <c r="L1864" s="80">
        <v>0</v>
      </c>
      <c r="M1864" s="75" t="s">
        <v>143</v>
      </c>
      <c r="N1864" s="75" t="b">
        <v>1</v>
      </c>
      <c r="O1864" s="75" t="s">
        <v>144</v>
      </c>
      <c r="P1864" s="75">
        <v>1994</v>
      </c>
      <c r="Q1864" s="107">
        <f t="shared" si="43"/>
        <v>2013</v>
      </c>
      <c r="R1864" s="107">
        <v>2</v>
      </c>
      <c r="S1864" s="100">
        <v>213043</v>
      </c>
      <c r="T1864" s="101">
        <v>41436</v>
      </c>
    </row>
    <row r="1865" spans="1:20" x14ac:dyDescent="0.3">
      <c r="A1865" s="68">
        <v>41306</v>
      </c>
      <c r="B1865" s="69">
        <f t="shared" ref="B1865:B1918" si="44">YEAR(A1865)*10000+MONTH(A1865)*100+DAY(A1865)</f>
        <v>20130201</v>
      </c>
      <c r="C1865" s="70">
        <v>2.53E-2</v>
      </c>
      <c r="D1865" s="77">
        <v>7.0000000000000001E-3</v>
      </c>
      <c r="E1865" s="77">
        <v>7.0000000000000001E-3</v>
      </c>
      <c r="F1865" s="77">
        <v>7.0000000000000001E-3</v>
      </c>
      <c r="G1865" s="78">
        <v>0</v>
      </c>
      <c r="K1865" s="106">
        <v>5.6999999999999993E-3</v>
      </c>
      <c r="L1865" s="80">
        <v>0</v>
      </c>
      <c r="M1865" s="75" t="s">
        <v>143</v>
      </c>
      <c r="N1865" s="75" t="b">
        <v>1</v>
      </c>
      <c r="O1865" s="75" t="s">
        <v>144</v>
      </c>
      <c r="P1865" s="75">
        <v>1994</v>
      </c>
      <c r="Q1865" s="107">
        <f t="shared" si="43"/>
        <v>2013</v>
      </c>
      <c r="R1865" s="107">
        <v>2</v>
      </c>
      <c r="S1865" s="100">
        <v>213043</v>
      </c>
      <c r="T1865" s="101">
        <v>41436</v>
      </c>
    </row>
    <row r="1866" spans="1:20" x14ac:dyDescent="0.3">
      <c r="A1866" s="68">
        <v>41307</v>
      </c>
      <c r="B1866" s="69">
        <f>YEAR(A1866)*10000+MONTH(A1866)*100+DAY(A1866)</f>
        <v>20130202</v>
      </c>
      <c r="C1866" s="70">
        <v>2.53E-2</v>
      </c>
      <c r="D1866" s="77">
        <v>7.0000000000000001E-3</v>
      </c>
      <c r="E1866" s="77">
        <v>7.0000000000000001E-3</v>
      </c>
      <c r="F1866" s="77">
        <v>7.0000000000000001E-3</v>
      </c>
      <c r="G1866" s="78">
        <v>0</v>
      </c>
      <c r="K1866" s="106">
        <v>5.6999999999999993E-3</v>
      </c>
      <c r="L1866" s="80">
        <v>0</v>
      </c>
      <c r="M1866" s="75" t="s">
        <v>143</v>
      </c>
      <c r="N1866" s="75" t="b">
        <v>1</v>
      </c>
      <c r="O1866" s="75" t="s">
        <v>144</v>
      </c>
      <c r="P1866" s="75">
        <v>1994</v>
      </c>
      <c r="Q1866" s="107">
        <f t="shared" si="43"/>
        <v>2013</v>
      </c>
      <c r="R1866" s="107">
        <v>2</v>
      </c>
      <c r="S1866" s="100">
        <v>213043</v>
      </c>
      <c r="T1866" s="101">
        <v>41436</v>
      </c>
    </row>
    <row r="1867" spans="1:20" x14ac:dyDescent="0.3">
      <c r="A1867" s="68">
        <v>41308</v>
      </c>
      <c r="B1867" s="69">
        <f t="shared" si="44"/>
        <v>20130203</v>
      </c>
      <c r="C1867" s="70">
        <v>2.53E-2</v>
      </c>
      <c r="D1867" s="77">
        <v>7.0000000000000001E-3</v>
      </c>
      <c r="E1867" s="77">
        <v>7.0000000000000001E-3</v>
      </c>
      <c r="F1867" s="77">
        <v>7.0000000000000001E-3</v>
      </c>
      <c r="G1867" s="78">
        <v>0</v>
      </c>
      <c r="K1867" s="106">
        <v>5.6999999999999993E-3</v>
      </c>
      <c r="L1867" s="80">
        <v>0</v>
      </c>
      <c r="M1867" s="75" t="s">
        <v>143</v>
      </c>
      <c r="N1867" s="75" t="b">
        <v>1</v>
      </c>
      <c r="O1867" s="75" t="s">
        <v>144</v>
      </c>
      <c r="P1867" s="75">
        <v>1994</v>
      </c>
      <c r="Q1867" s="107">
        <f t="shared" si="43"/>
        <v>2013</v>
      </c>
      <c r="R1867" s="107">
        <v>2</v>
      </c>
      <c r="S1867" s="100">
        <v>213043</v>
      </c>
      <c r="T1867" s="101">
        <v>41436</v>
      </c>
    </row>
    <row r="1868" spans="1:20" x14ac:dyDescent="0.3">
      <c r="A1868" s="68">
        <v>41309</v>
      </c>
      <c r="B1868" s="69">
        <f t="shared" si="44"/>
        <v>20130204</v>
      </c>
      <c r="C1868" s="70">
        <v>2.4700000000000003E-2</v>
      </c>
      <c r="D1868" s="77">
        <v>7.0000000000000001E-3</v>
      </c>
      <c r="E1868" s="77">
        <v>7.0000000000000001E-3</v>
      </c>
      <c r="F1868" s="77">
        <v>7.0000000000000001E-3</v>
      </c>
      <c r="G1868" s="78">
        <v>0</v>
      </c>
      <c r="K1868" s="106">
        <v>5.4000000000000003E-3</v>
      </c>
      <c r="L1868" s="80">
        <v>0</v>
      </c>
      <c r="M1868" s="75" t="s">
        <v>143</v>
      </c>
      <c r="N1868" s="75" t="b">
        <v>1</v>
      </c>
      <c r="O1868" s="75" t="s">
        <v>144</v>
      </c>
      <c r="P1868" s="75">
        <v>1994</v>
      </c>
      <c r="Q1868" s="107">
        <f t="shared" si="43"/>
        <v>2013</v>
      </c>
      <c r="R1868" s="107">
        <v>2</v>
      </c>
      <c r="S1868" s="100">
        <v>213043</v>
      </c>
      <c r="T1868" s="101">
        <v>41436</v>
      </c>
    </row>
    <row r="1869" spans="1:20" x14ac:dyDescent="0.3">
      <c r="A1869" s="68">
        <v>41310</v>
      </c>
      <c r="B1869" s="69">
        <f t="shared" si="44"/>
        <v>20130205</v>
      </c>
      <c r="C1869" s="70">
        <v>2.5000000000000001E-2</v>
      </c>
      <c r="D1869" s="77">
        <v>7.0000000000000001E-3</v>
      </c>
      <c r="E1869" s="77">
        <v>7.0000000000000001E-3</v>
      </c>
      <c r="F1869" s="77">
        <v>7.0000000000000001E-3</v>
      </c>
      <c r="G1869" s="78">
        <v>0</v>
      </c>
      <c r="K1869" s="106">
        <v>5.4000000000000003E-3</v>
      </c>
      <c r="L1869" s="80">
        <v>0</v>
      </c>
      <c r="M1869" s="75" t="s">
        <v>143</v>
      </c>
      <c r="N1869" s="75" t="b">
        <v>1</v>
      </c>
      <c r="O1869" s="75" t="s">
        <v>144</v>
      </c>
      <c r="P1869" s="75">
        <v>1994</v>
      </c>
      <c r="Q1869" s="107">
        <f t="shared" si="43"/>
        <v>2013</v>
      </c>
      <c r="R1869" s="107">
        <v>2</v>
      </c>
      <c r="S1869" s="100">
        <v>213043</v>
      </c>
      <c r="T1869" s="101">
        <v>41436</v>
      </c>
    </row>
    <row r="1870" spans="1:20" x14ac:dyDescent="0.3">
      <c r="A1870" s="68">
        <v>41311</v>
      </c>
      <c r="B1870" s="69">
        <f t="shared" si="44"/>
        <v>20130206</v>
      </c>
      <c r="C1870" s="70">
        <v>2.4799999999999999E-2</v>
      </c>
      <c r="D1870" s="77">
        <v>7.0000000000000001E-3</v>
      </c>
      <c r="E1870" s="77">
        <v>7.0000000000000001E-3</v>
      </c>
      <c r="F1870" s="77">
        <v>7.0000000000000001E-3</v>
      </c>
      <c r="G1870" s="78">
        <v>0</v>
      </c>
      <c r="K1870" s="106">
        <v>5.3E-3</v>
      </c>
      <c r="L1870" s="80">
        <v>0</v>
      </c>
      <c r="M1870" s="75" t="s">
        <v>143</v>
      </c>
      <c r="N1870" s="75" t="b">
        <v>1</v>
      </c>
      <c r="O1870" s="75" t="s">
        <v>144</v>
      </c>
      <c r="P1870" s="75">
        <v>1994</v>
      </c>
      <c r="Q1870" s="107">
        <f t="shared" si="43"/>
        <v>2013</v>
      </c>
      <c r="R1870" s="107">
        <v>2</v>
      </c>
      <c r="S1870" s="100">
        <v>213043</v>
      </c>
      <c r="T1870" s="101">
        <v>41436</v>
      </c>
    </row>
    <row r="1871" spans="1:20" x14ac:dyDescent="0.3">
      <c r="A1871" s="68">
        <v>41312</v>
      </c>
      <c r="B1871" s="69">
        <f t="shared" si="44"/>
        <v>20130207</v>
      </c>
      <c r="C1871" s="70">
        <v>2.4799999999999999E-2</v>
      </c>
      <c r="D1871" s="77">
        <v>7.0000000000000001E-3</v>
      </c>
      <c r="E1871" s="77">
        <v>7.0000000000000001E-3</v>
      </c>
      <c r="F1871" s="77">
        <v>7.0000000000000001E-3</v>
      </c>
      <c r="G1871" s="78">
        <v>0</v>
      </c>
      <c r="K1871" s="106">
        <v>5.5000000000000005E-3</v>
      </c>
      <c r="L1871" s="80">
        <v>0</v>
      </c>
      <c r="M1871" s="75" t="s">
        <v>143</v>
      </c>
      <c r="N1871" s="75" t="b">
        <v>1</v>
      </c>
      <c r="O1871" s="75" t="s">
        <v>144</v>
      </c>
      <c r="P1871" s="75">
        <v>1994</v>
      </c>
      <c r="Q1871" s="107">
        <f t="shared" si="43"/>
        <v>2013</v>
      </c>
      <c r="R1871" s="107">
        <v>2</v>
      </c>
      <c r="S1871" s="100">
        <v>213043</v>
      </c>
      <c r="T1871" s="101">
        <v>41436</v>
      </c>
    </row>
    <row r="1872" spans="1:20" x14ac:dyDescent="0.3">
      <c r="A1872" s="68">
        <v>41313</v>
      </c>
      <c r="B1872" s="69">
        <f t="shared" si="44"/>
        <v>20130208</v>
      </c>
      <c r="C1872" s="70">
        <v>2.4500000000000001E-2</v>
      </c>
      <c r="D1872" s="77">
        <v>7.0000000000000001E-3</v>
      </c>
      <c r="E1872" s="77">
        <v>7.0000000000000001E-3</v>
      </c>
      <c r="F1872" s="77">
        <v>7.0000000000000001E-3</v>
      </c>
      <c r="G1872" s="78">
        <v>0</v>
      </c>
      <c r="K1872" s="106">
        <v>5.4000000000000003E-3</v>
      </c>
      <c r="L1872" s="80">
        <v>0</v>
      </c>
      <c r="M1872" s="75" t="s">
        <v>143</v>
      </c>
      <c r="N1872" s="75" t="b">
        <v>1</v>
      </c>
      <c r="O1872" s="75" t="s">
        <v>144</v>
      </c>
      <c r="P1872" s="75">
        <v>1994</v>
      </c>
      <c r="Q1872" s="107">
        <f t="shared" si="43"/>
        <v>2013</v>
      </c>
      <c r="R1872" s="107">
        <v>2</v>
      </c>
      <c r="S1872" s="100">
        <v>213043</v>
      </c>
      <c r="T1872" s="101">
        <v>41436</v>
      </c>
    </row>
    <row r="1873" spans="1:20" x14ac:dyDescent="0.3">
      <c r="A1873" s="68">
        <v>41314</v>
      </c>
      <c r="B1873" s="69">
        <f t="shared" si="44"/>
        <v>20130209</v>
      </c>
      <c r="C1873" s="70">
        <v>2.4500000000000001E-2</v>
      </c>
      <c r="D1873" s="77">
        <v>7.0000000000000001E-3</v>
      </c>
      <c r="E1873" s="77">
        <v>7.0000000000000001E-3</v>
      </c>
      <c r="F1873" s="77">
        <v>7.0000000000000001E-3</v>
      </c>
      <c r="G1873" s="78">
        <v>0</v>
      </c>
      <c r="K1873" s="106">
        <v>5.4000000000000003E-3</v>
      </c>
      <c r="L1873" s="80">
        <v>0</v>
      </c>
      <c r="M1873" s="75" t="s">
        <v>143</v>
      </c>
      <c r="N1873" s="75" t="b">
        <v>1</v>
      </c>
      <c r="O1873" s="75" t="s">
        <v>144</v>
      </c>
      <c r="P1873" s="75">
        <v>1994</v>
      </c>
      <c r="Q1873" s="107">
        <f t="shared" si="43"/>
        <v>2013</v>
      </c>
      <c r="R1873" s="107">
        <v>2</v>
      </c>
      <c r="S1873" s="100">
        <v>213043</v>
      </c>
      <c r="T1873" s="101">
        <v>41436</v>
      </c>
    </row>
    <row r="1874" spans="1:20" x14ac:dyDescent="0.3">
      <c r="A1874" s="68">
        <v>41315</v>
      </c>
      <c r="B1874" s="69">
        <f t="shared" si="44"/>
        <v>20130210</v>
      </c>
      <c r="C1874" s="70">
        <v>2.4500000000000001E-2</v>
      </c>
      <c r="D1874" s="77">
        <v>7.0000000000000001E-3</v>
      </c>
      <c r="E1874" s="77">
        <v>7.0000000000000001E-3</v>
      </c>
      <c r="F1874" s="77">
        <v>7.0000000000000001E-3</v>
      </c>
      <c r="G1874" s="78">
        <v>0</v>
      </c>
      <c r="K1874" s="106">
        <v>5.4000000000000003E-3</v>
      </c>
      <c r="L1874" s="80">
        <v>0</v>
      </c>
      <c r="M1874" s="75" t="s">
        <v>143</v>
      </c>
      <c r="N1874" s="75" t="b">
        <v>1</v>
      </c>
      <c r="O1874" s="75" t="s">
        <v>144</v>
      </c>
      <c r="P1874" s="75">
        <v>1994</v>
      </c>
      <c r="Q1874" s="107">
        <f t="shared" si="43"/>
        <v>2013</v>
      </c>
      <c r="R1874" s="107">
        <v>2</v>
      </c>
      <c r="S1874" s="100">
        <v>213043</v>
      </c>
      <c r="T1874" s="101">
        <v>41436</v>
      </c>
    </row>
    <row r="1875" spans="1:20" x14ac:dyDescent="0.3">
      <c r="A1875" s="68">
        <v>41316</v>
      </c>
      <c r="B1875" s="69">
        <f t="shared" si="44"/>
        <v>20130211</v>
      </c>
      <c r="C1875" s="70">
        <v>2.4700000000000003E-2</v>
      </c>
      <c r="D1875" s="77">
        <v>7.0000000000000001E-3</v>
      </c>
      <c r="E1875" s="77">
        <v>7.0000000000000001E-3</v>
      </c>
      <c r="F1875" s="77">
        <v>7.0000000000000001E-3</v>
      </c>
      <c r="G1875" s="78">
        <v>0</v>
      </c>
      <c r="K1875" s="106">
        <v>5.6000000000000008E-3</v>
      </c>
      <c r="L1875" s="80">
        <v>0</v>
      </c>
      <c r="M1875" s="75" t="s">
        <v>143</v>
      </c>
      <c r="N1875" s="75" t="b">
        <v>1</v>
      </c>
      <c r="O1875" s="75" t="s">
        <v>144</v>
      </c>
      <c r="P1875" s="75">
        <v>1994</v>
      </c>
      <c r="Q1875" s="107">
        <f t="shared" si="43"/>
        <v>2013</v>
      </c>
      <c r="R1875" s="107">
        <v>2</v>
      </c>
      <c r="S1875" s="100">
        <v>213043</v>
      </c>
      <c r="T1875" s="101">
        <v>41436</v>
      </c>
    </row>
    <row r="1876" spans="1:20" x14ac:dyDescent="0.3">
      <c r="A1876" s="68">
        <v>41317</v>
      </c>
      <c r="B1876" s="69">
        <f t="shared" si="44"/>
        <v>20130212</v>
      </c>
      <c r="C1876" s="70">
        <v>2.4900000000000002E-2</v>
      </c>
      <c r="D1876" s="77">
        <v>7.0000000000000001E-3</v>
      </c>
      <c r="E1876" s="77">
        <v>7.0000000000000001E-3</v>
      </c>
      <c r="F1876" s="77">
        <v>7.0000000000000001E-3</v>
      </c>
      <c r="G1876" s="78">
        <v>0</v>
      </c>
      <c r="K1876" s="106">
        <v>5.6999999999999993E-3</v>
      </c>
      <c r="L1876" s="80">
        <v>0</v>
      </c>
      <c r="M1876" s="75" t="s">
        <v>143</v>
      </c>
      <c r="N1876" s="75" t="b">
        <v>1</v>
      </c>
      <c r="O1876" s="75" t="s">
        <v>144</v>
      </c>
      <c r="P1876" s="75">
        <v>1994</v>
      </c>
      <c r="Q1876" s="107">
        <f t="shared" si="43"/>
        <v>2013</v>
      </c>
      <c r="R1876" s="107">
        <v>2</v>
      </c>
      <c r="S1876" s="100">
        <v>213043</v>
      </c>
      <c r="T1876" s="101">
        <v>41436</v>
      </c>
    </row>
    <row r="1877" spans="1:20" x14ac:dyDescent="0.3">
      <c r="A1877" s="68">
        <v>41318</v>
      </c>
      <c r="B1877" s="69">
        <f t="shared" si="44"/>
        <v>20130213</v>
      </c>
      <c r="C1877" s="70">
        <v>2.52E-2</v>
      </c>
      <c r="D1877" s="77">
        <v>7.0000000000000001E-3</v>
      </c>
      <c r="E1877" s="77">
        <v>7.0000000000000001E-3</v>
      </c>
      <c r="F1877" s="77">
        <v>7.0000000000000001E-3</v>
      </c>
      <c r="G1877" s="78">
        <v>0</v>
      </c>
      <c r="K1877" s="106">
        <v>5.8999999999999999E-3</v>
      </c>
      <c r="L1877" s="80">
        <v>0</v>
      </c>
      <c r="M1877" s="75" t="s">
        <v>143</v>
      </c>
      <c r="N1877" s="75" t="b">
        <v>1</v>
      </c>
      <c r="O1877" s="75" t="s">
        <v>144</v>
      </c>
      <c r="P1877" s="75">
        <v>1994</v>
      </c>
      <c r="Q1877" s="107">
        <f t="shared" si="43"/>
        <v>2013</v>
      </c>
      <c r="R1877" s="107">
        <v>2</v>
      </c>
      <c r="S1877" s="100">
        <v>213043</v>
      </c>
      <c r="T1877" s="101">
        <v>41436</v>
      </c>
    </row>
    <row r="1878" spans="1:20" x14ac:dyDescent="0.3">
      <c r="A1878" s="68">
        <v>41319</v>
      </c>
      <c r="B1878" s="69">
        <f t="shared" si="44"/>
        <v>20130214</v>
      </c>
      <c r="C1878" s="70">
        <v>2.4900000000000002E-2</v>
      </c>
      <c r="D1878" s="77">
        <v>7.0000000000000001E-3</v>
      </c>
      <c r="E1878" s="77">
        <v>7.0000000000000001E-3</v>
      </c>
      <c r="F1878" s="77">
        <v>7.0000000000000001E-3</v>
      </c>
      <c r="G1878" s="78">
        <v>0</v>
      </c>
      <c r="K1878" s="106">
        <v>5.7999999999999996E-3</v>
      </c>
      <c r="L1878" s="80">
        <v>0</v>
      </c>
      <c r="M1878" s="75" t="s">
        <v>143</v>
      </c>
      <c r="N1878" s="75" t="b">
        <v>1</v>
      </c>
      <c r="O1878" s="75" t="s">
        <v>144</v>
      </c>
      <c r="P1878" s="75">
        <v>1994</v>
      </c>
      <c r="Q1878" s="107">
        <f t="shared" si="43"/>
        <v>2013</v>
      </c>
      <c r="R1878" s="107">
        <v>2</v>
      </c>
      <c r="S1878" s="100">
        <v>213043</v>
      </c>
      <c r="T1878" s="101">
        <v>41436</v>
      </c>
    </row>
    <row r="1879" spans="1:20" x14ac:dyDescent="0.3">
      <c r="A1879" s="68">
        <v>41320</v>
      </c>
      <c r="B1879" s="69">
        <f t="shared" si="44"/>
        <v>20130215</v>
      </c>
      <c r="C1879" s="70">
        <v>2.5099999999999997E-2</v>
      </c>
      <c r="D1879" s="77">
        <v>7.0000000000000001E-3</v>
      </c>
      <c r="E1879" s="77">
        <v>7.0000000000000001E-3</v>
      </c>
      <c r="F1879" s="77">
        <v>7.0000000000000001E-3</v>
      </c>
      <c r="G1879" s="78">
        <v>0</v>
      </c>
      <c r="K1879" s="106">
        <v>6.0999999999999995E-3</v>
      </c>
      <c r="L1879" s="80">
        <v>0</v>
      </c>
      <c r="M1879" s="75" t="s">
        <v>143</v>
      </c>
      <c r="N1879" s="75" t="b">
        <v>1</v>
      </c>
      <c r="O1879" s="75" t="s">
        <v>144</v>
      </c>
      <c r="P1879" s="75">
        <v>1994</v>
      </c>
      <c r="Q1879" s="107">
        <f t="shared" si="43"/>
        <v>2013</v>
      </c>
      <c r="R1879" s="107">
        <v>2</v>
      </c>
      <c r="S1879" s="100">
        <v>213043</v>
      </c>
      <c r="T1879" s="101">
        <v>41436</v>
      </c>
    </row>
    <row r="1880" spans="1:20" x14ac:dyDescent="0.3">
      <c r="A1880" s="68">
        <v>41321</v>
      </c>
      <c r="B1880" s="69">
        <f t="shared" si="44"/>
        <v>20130216</v>
      </c>
      <c r="C1880" s="70">
        <v>2.5099999999999997E-2</v>
      </c>
      <c r="D1880" s="77">
        <v>7.0000000000000001E-3</v>
      </c>
      <c r="E1880" s="77">
        <v>7.0000000000000001E-3</v>
      </c>
      <c r="F1880" s="77">
        <v>7.0000000000000001E-3</v>
      </c>
      <c r="G1880" s="78">
        <v>0</v>
      </c>
      <c r="K1880" s="106">
        <v>6.0999999999999995E-3</v>
      </c>
      <c r="L1880" s="80">
        <v>0</v>
      </c>
      <c r="M1880" s="75" t="s">
        <v>143</v>
      </c>
      <c r="N1880" s="75" t="b">
        <v>1</v>
      </c>
      <c r="O1880" s="75" t="s">
        <v>144</v>
      </c>
      <c r="P1880" s="75">
        <v>1994</v>
      </c>
      <c r="Q1880" s="107">
        <f t="shared" si="43"/>
        <v>2013</v>
      </c>
      <c r="R1880" s="107">
        <v>2</v>
      </c>
      <c r="S1880" s="100">
        <v>213043</v>
      </c>
      <c r="T1880" s="101">
        <v>41436</v>
      </c>
    </row>
    <row r="1881" spans="1:20" x14ac:dyDescent="0.3">
      <c r="A1881" s="68">
        <v>41322</v>
      </c>
      <c r="B1881" s="69">
        <f t="shared" si="44"/>
        <v>20130217</v>
      </c>
      <c r="C1881" s="70">
        <v>2.5099999999999997E-2</v>
      </c>
      <c r="D1881" s="77">
        <v>7.0000000000000001E-3</v>
      </c>
      <c r="E1881" s="77">
        <v>7.0000000000000001E-3</v>
      </c>
      <c r="F1881" s="77">
        <v>7.0000000000000001E-3</v>
      </c>
      <c r="G1881" s="78">
        <v>0</v>
      </c>
      <c r="K1881" s="106">
        <v>6.0999999999999995E-3</v>
      </c>
      <c r="L1881" s="80">
        <v>0</v>
      </c>
      <c r="M1881" s="75" t="s">
        <v>143</v>
      </c>
      <c r="N1881" s="75" t="b">
        <v>1</v>
      </c>
      <c r="O1881" s="75" t="s">
        <v>144</v>
      </c>
      <c r="P1881" s="75">
        <v>1994</v>
      </c>
      <c r="Q1881" s="107">
        <f t="shared" si="43"/>
        <v>2013</v>
      </c>
      <c r="R1881" s="107">
        <v>2</v>
      </c>
      <c r="S1881" s="100">
        <v>213043</v>
      </c>
      <c r="T1881" s="101">
        <v>41436</v>
      </c>
    </row>
    <row r="1882" spans="1:20" x14ac:dyDescent="0.3">
      <c r="A1882" s="68">
        <v>41323</v>
      </c>
      <c r="B1882" s="69">
        <f t="shared" si="44"/>
        <v>20130218</v>
      </c>
      <c r="C1882" s="70">
        <v>2.5099999999999997E-2</v>
      </c>
      <c r="D1882" s="77">
        <v>7.0000000000000001E-3</v>
      </c>
      <c r="E1882" s="77">
        <v>7.0000000000000001E-3</v>
      </c>
      <c r="F1882" s="77">
        <v>7.0000000000000001E-3</v>
      </c>
      <c r="G1882" s="78">
        <v>0</v>
      </c>
      <c r="K1882" s="106">
        <v>6.0999999999999995E-3</v>
      </c>
      <c r="L1882" s="80">
        <v>0</v>
      </c>
      <c r="M1882" s="75" t="s">
        <v>143</v>
      </c>
      <c r="N1882" s="75" t="b">
        <v>1</v>
      </c>
      <c r="O1882" s="75" t="s">
        <v>144</v>
      </c>
      <c r="P1882" s="75">
        <v>1994</v>
      </c>
      <c r="Q1882" s="107">
        <f t="shared" si="43"/>
        <v>2013</v>
      </c>
      <c r="R1882" s="107">
        <v>2</v>
      </c>
      <c r="S1882" s="100">
        <v>213043</v>
      </c>
      <c r="T1882" s="101">
        <v>41436</v>
      </c>
    </row>
    <row r="1883" spans="1:20" x14ac:dyDescent="0.3">
      <c r="A1883" s="68">
        <v>41324</v>
      </c>
      <c r="B1883" s="69">
        <f t="shared" si="44"/>
        <v>20130219</v>
      </c>
      <c r="C1883" s="70">
        <v>2.52E-2</v>
      </c>
      <c r="D1883" s="77">
        <v>7.0000000000000001E-3</v>
      </c>
      <c r="E1883" s="77">
        <v>7.0000000000000001E-3</v>
      </c>
      <c r="F1883" s="77">
        <v>7.0000000000000001E-3</v>
      </c>
      <c r="G1883" s="78">
        <v>0</v>
      </c>
      <c r="K1883" s="106">
        <v>6.3E-3</v>
      </c>
      <c r="L1883" s="80">
        <v>0</v>
      </c>
      <c r="M1883" s="75" t="s">
        <v>143</v>
      </c>
      <c r="N1883" s="75" t="b">
        <v>1</v>
      </c>
      <c r="O1883" s="75" t="s">
        <v>144</v>
      </c>
      <c r="P1883" s="75">
        <v>1994</v>
      </c>
      <c r="Q1883" s="107">
        <f t="shared" si="43"/>
        <v>2013</v>
      </c>
      <c r="R1883" s="107">
        <v>2</v>
      </c>
      <c r="S1883" s="100">
        <v>213043</v>
      </c>
      <c r="T1883" s="101">
        <v>41436</v>
      </c>
    </row>
    <row r="1884" spans="1:20" x14ac:dyDescent="0.3">
      <c r="A1884" s="68">
        <v>41325</v>
      </c>
      <c r="B1884" s="69">
        <f t="shared" si="44"/>
        <v>20130220</v>
      </c>
      <c r="C1884" s="70">
        <v>2.5099999999999997E-2</v>
      </c>
      <c r="D1884" s="77">
        <v>7.0000000000000001E-3</v>
      </c>
      <c r="E1884" s="77">
        <v>7.0000000000000001E-3</v>
      </c>
      <c r="F1884" s="77">
        <v>7.0000000000000001E-3</v>
      </c>
      <c r="G1884" s="78">
        <v>0</v>
      </c>
      <c r="K1884" s="106">
        <v>5.8999999999999999E-3</v>
      </c>
      <c r="L1884" s="80">
        <v>0</v>
      </c>
      <c r="M1884" s="75" t="s">
        <v>143</v>
      </c>
      <c r="N1884" s="75" t="b">
        <v>1</v>
      </c>
      <c r="O1884" s="75" t="s">
        <v>144</v>
      </c>
      <c r="P1884" s="75">
        <v>1994</v>
      </c>
      <c r="Q1884" s="107">
        <f t="shared" si="43"/>
        <v>2013</v>
      </c>
      <c r="R1884" s="107">
        <v>2</v>
      </c>
      <c r="S1884" s="100">
        <v>213043</v>
      </c>
      <c r="T1884" s="101">
        <v>41436</v>
      </c>
    </row>
    <row r="1885" spans="1:20" x14ac:dyDescent="0.3">
      <c r="A1885" s="68">
        <v>41326</v>
      </c>
      <c r="B1885" s="69">
        <f t="shared" si="44"/>
        <v>20130221</v>
      </c>
      <c r="C1885" s="70">
        <v>2.4799999999999999E-2</v>
      </c>
      <c r="D1885" s="77">
        <v>7.0000000000000001E-3</v>
      </c>
      <c r="E1885" s="77">
        <v>7.0000000000000001E-3</v>
      </c>
      <c r="F1885" s="77">
        <v>7.0000000000000001E-3</v>
      </c>
      <c r="G1885" s="78">
        <v>0</v>
      </c>
      <c r="K1885" s="106">
        <v>5.8999999999999999E-3</v>
      </c>
      <c r="L1885" s="80">
        <v>0</v>
      </c>
      <c r="M1885" s="75" t="s">
        <v>143</v>
      </c>
      <c r="N1885" s="75" t="b">
        <v>1</v>
      </c>
      <c r="O1885" s="75" t="s">
        <v>144</v>
      </c>
      <c r="P1885" s="75">
        <v>1994</v>
      </c>
      <c r="Q1885" s="107">
        <f t="shared" si="43"/>
        <v>2013</v>
      </c>
      <c r="R1885" s="107">
        <v>2</v>
      </c>
      <c r="S1885" s="100">
        <v>213043</v>
      </c>
      <c r="T1885" s="101">
        <v>41436</v>
      </c>
    </row>
    <row r="1886" spans="1:20" x14ac:dyDescent="0.3">
      <c r="A1886" s="68">
        <v>41327</v>
      </c>
      <c r="B1886" s="69">
        <f t="shared" si="44"/>
        <v>20130222</v>
      </c>
      <c r="C1886" s="70">
        <v>2.46E-2</v>
      </c>
      <c r="D1886" s="77">
        <v>7.0000000000000001E-3</v>
      </c>
      <c r="E1886" s="77">
        <v>7.0000000000000001E-3</v>
      </c>
      <c r="F1886" s="77">
        <v>7.0000000000000001E-3</v>
      </c>
      <c r="G1886" s="78">
        <v>0</v>
      </c>
      <c r="K1886" s="106">
        <v>5.7999999999999996E-3</v>
      </c>
      <c r="L1886" s="80">
        <v>0</v>
      </c>
      <c r="M1886" s="75" t="s">
        <v>143</v>
      </c>
      <c r="N1886" s="75" t="b">
        <v>1</v>
      </c>
      <c r="O1886" s="75" t="s">
        <v>144</v>
      </c>
      <c r="P1886" s="75">
        <v>1994</v>
      </c>
      <c r="Q1886" s="107">
        <f t="shared" si="43"/>
        <v>2013</v>
      </c>
      <c r="R1886" s="107">
        <v>2</v>
      </c>
      <c r="S1886" s="100">
        <v>213043</v>
      </c>
      <c r="T1886" s="101">
        <v>41436</v>
      </c>
    </row>
    <row r="1887" spans="1:20" x14ac:dyDescent="0.3">
      <c r="A1887" s="68">
        <v>41328</v>
      </c>
      <c r="B1887" s="69">
        <f t="shared" si="44"/>
        <v>20130223</v>
      </c>
      <c r="C1887" s="70">
        <v>2.46E-2</v>
      </c>
      <c r="D1887" s="77">
        <v>7.0000000000000001E-3</v>
      </c>
      <c r="E1887" s="77">
        <v>7.0000000000000001E-3</v>
      </c>
      <c r="F1887" s="77">
        <v>7.0000000000000001E-3</v>
      </c>
      <c r="G1887" s="78">
        <v>0</v>
      </c>
      <c r="K1887" s="106">
        <v>5.7999999999999996E-3</v>
      </c>
      <c r="L1887" s="80">
        <v>0</v>
      </c>
      <c r="M1887" s="75" t="s">
        <v>143</v>
      </c>
      <c r="N1887" s="75" t="b">
        <v>1</v>
      </c>
      <c r="O1887" s="75" t="s">
        <v>144</v>
      </c>
      <c r="P1887" s="75">
        <v>1994</v>
      </c>
      <c r="Q1887" s="107">
        <f t="shared" si="43"/>
        <v>2013</v>
      </c>
      <c r="R1887" s="107">
        <v>2</v>
      </c>
      <c r="S1887" s="100">
        <v>213043</v>
      </c>
      <c r="T1887" s="101">
        <v>41436</v>
      </c>
    </row>
    <row r="1888" spans="1:20" x14ac:dyDescent="0.3">
      <c r="A1888" s="68">
        <v>41329</v>
      </c>
      <c r="B1888" s="69">
        <f t="shared" si="44"/>
        <v>20130224</v>
      </c>
      <c r="C1888" s="70">
        <v>2.46E-2</v>
      </c>
      <c r="D1888" s="77">
        <v>7.0000000000000001E-3</v>
      </c>
      <c r="E1888" s="77">
        <v>7.0000000000000001E-3</v>
      </c>
      <c r="F1888" s="77">
        <v>7.0000000000000001E-3</v>
      </c>
      <c r="G1888" s="78">
        <v>0</v>
      </c>
      <c r="K1888" s="106">
        <v>5.7999999999999996E-3</v>
      </c>
      <c r="L1888" s="80">
        <v>0</v>
      </c>
      <c r="M1888" s="75" t="s">
        <v>143</v>
      </c>
      <c r="N1888" s="75" t="b">
        <v>1</v>
      </c>
      <c r="O1888" s="75" t="s">
        <v>144</v>
      </c>
      <c r="P1888" s="75">
        <v>1994</v>
      </c>
      <c r="Q1888" s="107">
        <f t="shared" si="43"/>
        <v>2013</v>
      </c>
      <c r="R1888" s="107">
        <v>2</v>
      </c>
      <c r="S1888" s="100">
        <v>213043</v>
      </c>
      <c r="T1888" s="101">
        <v>41436</v>
      </c>
    </row>
    <row r="1889" spans="1:20" x14ac:dyDescent="0.3">
      <c r="A1889" s="68">
        <v>41330</v>
      </c>
      <c r="B1889" s="69">
        <f t="shared" si="44"/>
        <v>20130225</v>
      </c>
      <c r="C1889" s="70">
        <v>2.4E-2</v>
      </c>
      <c r="D1889" s="77">
        <v>7.0000000000000001E-3</v>
      </c>
      <c r="E1889" s="77">
        <v>7.0000000000000001E-3</v>
      </c>
      <c r="F1889" s="77">
        <v>7.0000000000000001E-3</v>
      </c>
      <c r="G1889" s="78">
        <v>0</v>
      </c>
      <c r="K1889" s="106">
        <v>5.1999999999999998E-3</v>
      </c>
      <c r="L1889" s="80">
        <v>0</v>
      </c>
      <c r="M1889" s="75" t="s">
        <v>143</v>
      </c>
      <c r="N1889" s="75" t="b">
        <v>1</v>
      </c>
      <c r="O1889" s="75" t="s">
        <v>144</v>
      </c>
      <c r="P1889" s="75">
        <v>1994</v>
      </c>
      <c r="Q1889" s="107">
        <f t="shared" si="43"/>
        <v>2013</v>
      </c>
      <c r="R1889" s="107">
        <v>2</v>
      </c>
      <c r="S1889" s="100">
        <v>213043</v>
      </c>
      <c r="T1889" s="101">
        <v>41436</v>
      </c>
    </row>
    <row r="1890" spans="1:20" x14ac:dyDescent="0.3">
      <c r="A1890" s="68">
        <v>41331</v>
      </c>
      <c r="B1890" s="69">
        <f t="shared" si="44"/>
        <v>20130226</v>
      </c>
      <c r="C1890" s="70">
        <v>2.3900000000000001E-2</v>
      </c>
      <c r="D1890" s="77">
        <v>7.0000000000000001E-3</v>
      </c>
      <c r="E1890" s="77">
        <v>7.0000000000000001E-3</v>
      </c>
      <c r="F1890" s="77">
        <v>7.0000000000000001E-3</v>
      </c>
      <c r="G1890" s="78">
        <v>0</v>
      </c>
      <c r="K1890" s="106">
        <v>5.1999999999999998E-3</v>
      </c>
      <c r="L1890" s="80">
        <v>0</v>
      </c>
      <c r="M1890" s="75" t="s">
        <v>143</v>
      </c>
      <c r="N1890" s="75" t="b">
        <v>1</v>
      </c>
      <c r="O1890" s="75" t="s">
        <v>144</v>
      </c>
      <c r="P1890" s="75">
        <v>1994</v>
      </c>
      <c r="Q1890" s="107">
        <f t="shared" si="43"/>
        <v>2013</v>
      </c>
      <c r="R1890" s="107">
        <v>2</v>
      </c>
      <c r="S1890" s="100">
        <v>213043</v>
      </c>
      <c r="T1890" s="101">
        <v>41436</v>
      </c>
    </row>
    <row r="1891" spans="1:20" x14ac:dyDescent="0.3">
      <c r="A1891" s="68">
        <v>41332</v>
      </c>
      <c r="B1891" s="69">
        <f t="shared" si="44"/>
        <v>20130227</v>
      </c>
      <c r="C1891" s="70">
        <v>2.3900000000000001E-2</v>
      </c>
      <c r="D1891" s="77">
        <v>7.0000000000000001E-3</v>
      </c>
      <c r="E1891" s="77">
        <v>7.0000000000000001E-3</v>
      </c>
      <c r="F1891" s="77">
        <v>7.0000000000000001E-3</v>
      </c>
      <c r="G1891" s="78">
        <v>0</v>
      </c>
      <c r="K1891" s="106">
        <v>5.1999999999999998E-3</v>
      </c>
      <c r="L1891" s="80">
        <v>0</v>
      </c>
      <c r="M1891" s="75" t="s">
        <v>143</v>
      </c>
      <c r="N1891" s="75" t="b">
        <v>1</v>
      </c>
      <c r="O1891" s="75" t="s">
        <v>144</v>
      </c>
      <c r="P1891" s="75">
        <v>1994</v>
      </c>
      <c r="Q1891" s="107">
        <f t="shared" si="43"/>
        <v>2013</v>
      </c>
      <c r="R1891" s="107">
        <v>2</v>
      </c>
      <c r="S1891" s="100">
        <v>213043</v>
      </c>
      <c r="T1891" s="101">
        <v>41436</v>
      </c>
    </row>
    <row r="1892" spans="1:20" x14ac:dyDescent="0.3">
      <c r="A1892" s="68">
        <v>41333</v>
      </c>
      <c r="B1892" s="69">
        <f t="shared" si="44"/>
        <v>20130228</v>
      </c>
      <c r="C1892" s="70">
        <v>2.3799999999999998E-2</v>
      </c>
      <c r="D1892" s="77">
        <v>7.0000000000000001E-3</v>
      </c>
      <c r="E1892" s="77">
        <v>7.0000000000000001E-3</v>
      </c>
      <c r="F1892" s="77">
        <v>7.0000000000000001E-3</v>
      </c>
      <c r="G1892" s="78">
        <v>0</v>
      </c>
      <c r="K1892" s="106">
        <v>5.3E-3</v>
      </c>
      <c r="L1892" s="80">
        <v>0</v>
      </c>
      <c r="M1892" s="75" t="s">
        <v>143</v>
      </c>
      <c r="N1892" s="75" t="b">
        <v>1</v>
      </c>
      <c r="O1892" s="75" t="s">
        <v>144</v>
      </c>
      <c r="P1892" s="75">
        <v>1994</v>
      </c>
      <c r="Q1892" s="107">
        <f t="shared" si="43"/>
        <v>2013</v>
      </c>
      <c r="R1892" s="107">
        <v>2</v>
      </c>
      <c r="S1892" s="100">
        <v>213043</v>
      </c>
      <c r="T1892" s="101">
        <v>41436</v>
      </c>
    </row>
    <row r="1893" spans="1:20" x14ac:dyDescent="0.3">
      <c r="A1893" s="68">
        <v>41334</v>
      </c>
      <c r="B1893" s="69">
        <f t="shared" si="44"/>
        <v>20130301</v>
      </c>
      <c r="C1893" s="70">
        <v>2.35E-2</v>
      </c>
      <c r="D1893" s="77">
        <v>7.0000000000000001E-3</v>
      </c>
      <c r="E1893" s="77">
        <v>7.0000000000000001E-3</v>
      </c>
      <c r="F1893" s="77">
        <v>7.0000000000000001E-3</v>
      </c>
      <c r="G1893" s="78">
        <v>0</v>
      </c>
      <c r="K1893" s="106">
        <v>5.1000000000000004E-3</v>
      </c>
      <c r="L1893" s="80">
        <v>0</v>
      </c>
      <c r="M1893" s="75" t="s">
        <v>143</v>
      </c>
      <c r="N1893" s="75" t="b">
        <v>1</v>
      </c>
      <c r="O1893" s="75" t="s">
        <v>144</v>
      </c>
      <c r="P1893" s="75">
        <v>1994</v>
      </c>
      <c r="Q1893" s="107">
        <f t="shared" si="43"/>
        <v>2013</v>
      </c>
      <c r="R1893" s="107">
        <v>2</v>
      </c>
      <c r="S1893" s="100">
        <v>213043</v>
      </c>
      <c r="T1893" s="101">
        <v>41436</v>
      </c>
    </row>
    <row r="1894" spans="1:20" x14ac:dyDescent="0.3">
      <c r="A1894" s="68">
        <v>41335</v>
      </c>
      <c r="B1894" s="69">
        <f>YEAR(A1894)*10000+MONTH(A1894)*100+DAY(A1894)</f>
        <v>20130302</v>
      </c>
      <c r="C1894" s="70">
        <v>2.35E-2</v>
      </c>
      <c r="D1894" s="77">
        <v>7.0000000000000001E-3</v>
      </c>
      <c r="E1894" s="77">
        <v>7.0000000000000001E-3</v>
      </c>
      <c r="F1894" s="77">
        <v>7.0000000000000001E-3</v>
      </c>
      <c r="G1894" s="78">
        <v>0</v>
      </c>
      <c r="K1894" s="106">
        <v>5.1000000000000004E-3</v>
      </c>
      <c r="L1894" s="80">
        <v>0</v>
      </c>
      <c r="M1894" s="75" t="s">
        <v>143</v>
      </c>
      <c r="N1894" s="75" t="b">
        <v>1</v>
      </c>
      <c r="O1894" s="75" t="s">
        <v>144</v>
      </c>
      <c r="P1894" s="75">
        <v>1994</v>
      </c>
      <c r="Q1894" s="107">
        <f t="shared" si="43"/>
        <v>2013</v>
      </c>
      <c r="R1894" s="107">
        <v>2</v>
      </c>
      <c r="S1894" s="100">
        <v>213043</v>
      </c>
      <c r="T1894" s="101">
        <v>41436</v>
      </c>
    </row>
    <row r="1895" spans="1:20" x14ac:dyDescent="0.3">
      <c r="A1895" s="68">
        <v>41336</v>
      </c>
      <c r="B1895" s="69">
        <f>YEAR(A1895)*10000+MONTH(A1895)*100+DAY(A1895)</f>
        <v>20130303</v>
      </c>
      <c r="C1895" s="70">
        <v>2.35E-2</v>
      </c>
      <c r="D1895" s="77">
        <v>7.0000000000000001E-3</v>
      </c>
      <c r="E1895" s="77">
        <v>7.0000000000000001E-3</v>
      </c>
      <c r="F1895" s="77">
        <v>7.0000000000000001E-3</v>
      </c>
      <c r="G1895" s="78">
        <v>0</v>
      </c>
      <c r="K1895" s="106">
        <v>5.1000000000000004E-3</v>
      </c>
      <c r="L1895" s="80">
        <v>0</v>
      </c>
      <c r="M1895" s="75" t="s">
        <v>143</v>
      </c>
      <c r="N1895" s="75" t="b">
        <v>1</v>
      </c>
      <c r="O1895" s="75" t="s">
        <v>144</v>
      </c>
      <c r="P1895" s="75">
        <v>1994</v>
      </c>
      <c r="Q1895" s="107">
        <f t="shared" si="43"/>
        <v>2013</v>
      </c>
      <c r="R1895" s="107">
        <v>2</v>
      </c>
      <c r="S1895" s="100">
        <v>213043</v>
      </c>
      <c r="T1895" s="101">
        <v>41436</v>
      </c>
    </row>
    <row r="1896" spans="1:20" x14ac:dyDescent="0.3">
      <c r="A1896" s="68">
        <v>41337</v>
      </c>
      <c r="B1896" s="69">
        <f t="shared" si="44"/>
        <v>20130304</v>
      </c>
      <c r="C1896" s="70">
        <v>2.3599999999999999E-2</v>
      </c>
      <c r="D1896" s="77">
        <v>7.0000000000000001E-3</v>
      </c>
      <c r="E1896" s="77">
        <v>7.0000000000000001E-3</v>
      </c>
      <c r="F1896" s="77">
        <v>7.0000000000000001E-3</v>
      </c>
      <c r="G1896" s="78">
        <v>0</v>
      </c>
      <c r="K1896" s="106">
        <v>5.1000000000000004E-3</v>
      </c>
      <c r="L1896" s="80">
        <v>0</v>
      </c>
      <c r="M1896" s="75" t="s">
        <v>143</v>
      </c>
      <c r="N1896" s="75" t="b">
        <v>1</v>
      </c>
      <c r="O1896" s="75" t="s">
        <v>144</v>
      </c>
      <c r="P1896" s="75">
        <v>1994</v>
      </c>
      <c r="Q1896" s="107">
        <f t="shared" si="43"/>
        <v>2013</v>
      </c>
      <c r="R1896" s="107">
        <v>2</v>
      </c>
      <c r="S1896" s="100">
        <v>213043</v>
      </c>
      <c r="T1896" s="101">
        <v>41436</v>
      </c>
    </row>
    <row r="1897" spans="1:20" x14ac:dyDescent="0.3">
      <c r="A1897" s="68">
        <v>41338</v>
      </c>
      <c r="B1897" s="69">
        <f t="shared" si="44"/>
        <v>20130305</v>
      </c>
      <c r="C1897" s="70">
        <v>2.3599999999999999E-2</v>
      </c>
      <c r="D1897" s="77">
        <v>7.0000000000000001E-3</v>
      </c>
      <c r="E1897" s="77">
        <v>7.0000000000000001E-3</v>
      </c>
      <c r="F1897" s="77">
        <v>7.0000000000000001E-3</v>
      </c>
      <c r="G1897" s="78">
        <v>0</v>
      </c>
      <c r="K1897" s="106">
        <v>5.1000000000000004E-3</v>
      </c>
      <c r="L1897" s="80">
        <v>0</v>
      </c>
      <c r="M1897" s="75" t="s">
        <v>143</v>
      </c>
      <c r="N1897" s="75" t="b">
        <v>1</v>
      </c>
      <c r="O1897" s="75" t="s">
        <v>144</v>
      </c>
      <c r="P1897" s="75">
        <v>1994</v>
      </c>
      <c r="Q1897" s="107">
        <f t="shared" si="43"/>
        <v>2013</v>
      </c>
      <c r="R1897" s="107">
        <v>2</v>
      </c>
      <c r="S1897" s="100">
        <v>213043</v>
      </c>
      <c r="T1897" s="101">
        <v>41436</v>
      </c>
    </row>
    <row r="1898" spans="1:20" x14ac:dyDescent="0.3">
      <c r="A1898" s="68">
        <v>41339</v>
      </c>
      <c r="B1898" s="69">
        <f t="shared" si="44"/>
        <v>20130306</v>
      </c>
      <c r="C1898" s="70">
        <v>2.4E-2</v>
      </c>
      <c r="D1898" s="77">
        <v>7.0000000000000001E-3</v>
      </c>
      <c r="E1898" s="77">
        <v>7.0000000000000001E-3</v>
      </c>
      <c r="F1898" s="77">
        <v>7.0000000000000001E-3</v>
      </c>
      <c r="G1898" s="78">
        <v>0</v>
      </c>
      <c r="K1898" s="106">
        <v>5.6000000000000008E-3</v>
      </c>
      <c r="L1898" s="80">
        <v>0</v>
      </c>
      <c r="M1898" s="75" t="s">
        <v>143</v>
      </c>
      <c r="N1898" s="75" t="b">
        <v>1</v>
      </c>
      <c r="O1898" s="75" t="s">
        <v>144</v>
      </c>
      <c r="P1898" s="75">
        <v>1994</v>
      </c>
      <c r="Q1898" s="107">
        <f t="shared" si="43"/>
        <v>2013</v>
      </c>
      <c r="R1898" s="107">
        <v>2</v>
      </c>
      <c r="S1898" s="100">
        <v>213043</v>
      </c>
      <c r="T1898" s="101">
        <v>41436</v>
      </c>
    </row>
    <row r="1899" spans="1:20" x14ac:dyDescent="0.3">
      <c r="A1899" s="68">
        <v>41340</v>
      </c>
      <c r="B1899" s="69">
        <f t="shared" si="44"/>
        <v>20130307</v>
      </c>
      <c r="C1899" s="70">
        <v>2.4300000000000002E-2</v>
      </c>
      <c r="D1899" s="77">
        <v>7.0000000000000001E-3</v>
      </c>
      <c r="E1899" s="77">
        <v>7.0000000000000001E-3</v>
      </c>
      <c r="F1899" s="77">
        <v>7.0000000000000001E-3</v>
      </c>
      <c r="G1899" s="78">
        <v>0</v>
      </c>
      <c r="K1899" s="106">
        <v>5.6000000000000008E-3</v>
      </c>
      <c r="L1899" s="80">
        <v>0</v>
      </c>
      <c r="M1899" s="75" t="s">
        <v>143</v>
      </c>
      <c r="N1899" s="75" t="b">
        <v>1</v>
      </c>
      <c r="O1899" s="75" t="s">
        <v>144</v>
      </c>
      <c r="P1899" s="75">
        <v>1994</v>
      </c>
      <c r="Q1899" s="107">
        <f t="shared" si="43"/>
        <v>2013</v>
      </c>
      <c r="R1899" s="107">
        <v>2</v>
      </c>
      <c r="S1899" s="100">
        <v>213043</v>
      </c>
      <c r="T1899" s="101">
        <v>41436</v>
      </c>
    </row>
    <row r="1900" spans="1:20" x14ac:dyDescent="0.3">
      <c r="A1900" s="68">
        <v>41341</v>
      </c>
      <c r="B1900" s="69">
        <f t="shared" si="44"/>
        <v>20130308</v>
      </c>
      <c r="C1900" s="70">
        <v>2.4799999999999999E-2</v>
      </c>
      <c r="D1900" s="77">
        <v>7.0000000000000001E-3</v>
      </c>
      <c r="E1900" s="77">
        <v>7.0000000000000001E-3</v>
      </c>
      <c r="F1900" s="77">
        <v>7.0000000000000001E-3</v>
      </c>
      <c r="G1900" s="78">
        <v>0</v>
      </c>
      <c r="K1900" s="106">
        <v>5.7999999999999996E-3</v>
      </c>
      <c r="L1900" s="80">
        <v>0</v>
      </c>
      <c r="M1900" s="75" t="s">
        <v>143</v>
      </c>
      <c r="N1900" s="75" t="b">
        <v>1</v>
      </c>
      <c r="O1900" s="75" t="s">
        <v>144</v>
      </c>
      <c r="P1900" s="75">
        <v>1994</v>
      </c>
      <c r="Q1900" s="107">
        <f t="shared" si="43"/>
        <v>2013</v>
      </c>
      <c r="R1900" s="107">
        <v>2</v>
      </c>
      <c r="S1900" s="100">
        <v>213043</v>
      </c>
      <c r="T1900" s="101">
        <v>41436</v>
      </c>
    </row>
    <row r="1901" spans="1:20" x14ac:dyDescent="0.3">
      <c r="A1901" s="68">
        <v>41342</v>
      </c>
      <c r="B1901" s="69">
        <f>YEAR(A1901)*10000+MONTH(A1901)*100+DAY(A1901)</f>
        <v>20130309</v>
      </c>
      <c r="C1901" s="70">
        <v>2.4799999999999999E-2</v>
      </c>
      <c r="D1901" s="77">
        <v>7.0000000000000001E-3</v>
      </c>
      <c r="E1901" s="77">
        <v>7.0000000000000001E-3</v>
      </c>
      <c r="F1901" s="77">
        <v>7.0000000000000001E-3</v>
      </c>
      <c r="G1901" s="78">
        <v>0</v>
      </c>
      <c r="K1901" s="106">
        <v>5.7999999999999996E-3</v>
      </c>
      <c r="L1901" s="80">
        <v>0</v>
      </c>
      <c r="M1901" s="75" t="s">
        <v>143</v>
      </c>
      <c r="N1901" s="75" t="b">
        <v>1</v>
      </c>
      <c r="O1901" s="75" t="s">
        <v>144</v>
      </c>
      <c r="P1901" s="75">
        <v>1994</v>
      </c>
      <c r="Q1901" s="107">
        <f t="shared" si="43"/>
        <v>2013</v>
      </c>
      <c r="R1901" s="107">
        <v>2</v>
      </c>
      <c r="S1901" s="100">
        <v>213043</v>
      </c>
      <c r="T1901" s="101">
        <v>41436</v>
      </c>
    </row>
    <row r="1902" spans="1:20" x14ac:dyDescent="0.3">
      <c r="A1902" s="68">
        <v>41343</v>
      </c>
      <c r="B1902" s="69">
        <f>YEAR(A1902)*10000+MONTH(A1902)*100+DAY(A1902)</f>
        <v>20130310</v>
      </c>
      <c r="C1902" s="70">
        <v>2.4799999999999999E-2</v>
      </c>
      <c r="D1902" s="77">
        <v>7.0000000000000001E-3</v>
      </c>
      <c r="E1902" s="77">
        <v>7.0000000000000001E-3</v>
      </c>
      <c r="F1902" s="77">
        <v>7.0000000000000001E-3</v>
      </c>
      <c r="G1902" s="78">
        <v>0</v>
      </c>
      <c r="K1902" s="106">
        <v>5.7999999999999996E-3</v>
      </c>
      <c r="L1902" s="80">
        <v>0</v>
      </c>
      <c r="M1902" s="75" t="s">
        <v>143</v>
      </c>
      <c r="N1902" s="75" t="b">
        <v>1</v>
      </c>
      <c r="O1902" s="75" t="s">
        <v>144</v>
      </c>
      <c r="P1902" s="75">
        <v>1994</v>
      </c>
      <c r="Q1902" s="107">
        <f t="shared" ref="Q1902:Q1965" si="45">YEAR(A1902)</f>
        <v>2013</v>
      </c>
      <c r="R1902" s="107">
        <v>2</v>
      </c>
      <c r="S1902" s="100">
        <v>213043</v>
      </c>
      <c r="T1902" s="101">
        <v>41436</v>
      </c>
    </row>
    <row r="1903" spans="1:20" x14ac:dyDescent="0.3">
      <c r="A1903" s="68">
        <v>41344</v>
      </c>
      <c r="B1903" s="69">
        <f t="shared" si="44"/>
        <v>20130311</v>
      </c>
      <c r="C1903" s="70">
        <v>2.4900000000000002E-2</v>
      </c>
      <c r="D1903" s="77">
        <v>7.0000000000000001E-3</v>
      </c>
      <c r="E1903" s="77">
        <v>7.0000000000000001E-3</v>
      </c>
      <c r="F1903" s="77">
        <v>7.0000000000000001E-3</v>
      </c>
      <c r="G1903" s="78">
        <v>0</v>
      </c>
      <c r="K1903" s="106">
        <v>5.8999999999999999E-3</v>
      </c>
      <c r="L1903" s="80">
        <v>0</v>
      </c>
      <c r="M1903" s="75" t="s">
        <v>143</v>
      </c>
      <c r="N1903" s="75" t="b">
        <v>1</v>
      </c>
      <c r="O1903" s="75" t="s">
        <v>144</v>
      </c>
      <c r="P1903" s="75">
        <v>1994</v>
      </c>
      <c r="Q1903" s="107">
        <f t="shared" si="45"/>
        <v>2013</v>
      </c>
      <c r="R1903" s="107">
        <v>2</v>
      </c>
      <c r="S1903" s="100">
        <v>213043</v>
      </c>
      <c r="T1903" s="101">
        <v>41436</v>
      </c>
    </row>
    <row r="1904" spans="1:20" x14ac:dyDescent="0.3">
      <c r="A1904" s="68">
        <v>41345</v>
      </c>
      <c r="B1904" s="69">
        <f t="shared" si="44"/>
        <v>20130312</v>
      </c>
      <c r="C1904" s="70">
        <v>2.4700000000000003E-2</v>
      </c>
      <c r="D1904" s="77">
        <v>7.0000000000000001E-3</v>
      </c>
      <c r="E1904" s="77">
        <v>7.0000000000000001E-3</v>
      </c>
      <c r="F1904" s="77">
        <v>7.0000000000000001E-3</v>
      </c>
      <c r="G1904" s="78">
        <v>0</v>
      </c>
      <c r="K1904" s="106">
        <v>5.6999999999999993E-3</v>
      </c>
      <c r="L1904" s="80">
        <v>0</v>
      </c>
      <c r="M1904" s="75" t="s">
        <v>143</v>
      </c>
      <c r="N1904" s="75" t="b">
        <v>1</v>
      </c>
      <c r="O1904" s="75" t="s">
        <v>144</v>
      </c>
      <c r="P1904" s="75">
        <v>1994</v>
      </c>
      <c r="Q1904" s="107">
        <f t="shared" si="45"/>
        <v>2013</v>
      </c>
      <c r="R1904" s="107">
        <v>2</v>
      </c>
      <c r="S1904" s="100">
        <v>213043</v>
      </c>
      <c r="T1904" s="101">
        <v>41436</v>
      </c>
    </row>
    <row r="1905" spans="1:20" x14ac:dyDescent="0.3">
      <c r="A1905" s="68">
        <v>41346</v>
      </c>
      <c r="B1905" s="69">
        <f t="shared" si="44"/>
        <v>20130313</v>
      </c>
      <c r="C1905" s="70">
        <v>2.4700000000000003E-2</v>
      </c>
      <c r="D1905" s="77">
        <v>7.0000000000000001E-3</v>
      </c>
      <c r="E1905" s="77">
        <v>7.0000000000000001E-3</v>
      </c>
      <c r="F1905" s="77">
        <v>7.0000000000000001E-3</v>
      </c>
      <c r="G1905" s="78">
        <v>0</v>
      </c>
      <c r="K1905" s="106">
        <v>5.5000000000000005E-3</v>
      </c>
      <c r="L1905" s="80">
        <v>0</v>
      </c>
      <c r="M1905" s="75" t="s">
        <v>143</v>
      </c>
      <c r="N1905" s="75" t="b">
        <v>1</v>
      </c>
      <c r="O1905" s="75" t="s">
        <v>144</v>
      </c>
      <c r="P1905" s="75">
        <v>1994</v>
      </c>
      <c r="Q1905" s="107">
        <f t="shared" si="45"/>
        <v>2013</v>
      </c>
      <c r="R1905" s="107">
        <v>2</v>
      </c>
      <c r="S1905" s="100">
        <v>213043</v>
      </c>
      <c r="T1905" s="101">
        <v>41436</v>
      </c>
    </row>
    <row r="1906" spans="1:20" x14ac:dyDescent="0.3">
      <c r="A1906" s="68">
        <v>41347</v>
      </c>
      <c r="B1906" s="69">
        <f t="shared" si="44"/>
        <v>20130314</v>
      </c>
      <c r="C1906" s="70">
        <v>2.4900000000000002E-2</v>
      </c>
      <c r="D1906" s="77">
        <v>7.0000000000000001E-3</v>
      </c>
      <c r="E1906" s="77">
        <v>7.0000000000000001E-3</v>
      </c>
      <c r="F1906" s="77">
        <v>7.0000000000000001E-3</v>
      </c>
      <c r="G1906" s="78">
        <v>0</v>
      </c>
      <c r="K1906" s="106">
        <v>5.6999999999999993E-3</v>
      </c>
      <c r="L1906" s="80">
        <v>0</v>
      </c>
      <c r="M1906" s="75" t="s">
        <v>143</v>
      </c>
      <c r="N1906" s="75" t="b">
        <v>1</v>
      </c>
      <c r="O1906" s="75" t="s">
        <v>144</v>
      </c>
      <c r="P1906" s="75">
        <v>1994</v>
      </c>
      <c r="Q1906" s="107">
        <f t="shared" si="45"/>
        <v>2013</v>
      </c>
      <c r="R1906" s="107">
        <v>2</v>
      </c>
      <c r="S1906" s="100">
        <v>213043</v>
      </c>
      <c r="T1906" s="101">
        <v>41436</v>
      </c>
    </row>
    <row r="1907" spans="1:20" x14ac:dyDescent="0.3">
      <c r="A1907" s="68">
        <v>41348</v>
      </c>
      <c r="B1907" s="69">
        <f t="shared" si="44"/>
        <v>20130315</v>
      </c>
      <c r="C1907" s="70">
        <v>2.4500000000000001E-2</v>
      </c>
      <c r="D1907" s="77">
        <v>7.0000000000000001E-3</v>
      </c>
      <c r="E1907" s="77">
        <v>7.0000000000000001E-3</v>
      </c>
      <c r="F1907" s="77">
        <v>7.0000000000000001E-3</v>
      </c>
      <c r="G1907" s="78">
        <v>0</v>
      </c>
      <c r="K1907" s="106">
        <v>5.4000000000000003E-3</v>
      </c>
      <c r="L1907" s="80">
        <v>0</v>
      </c>
      <c r="M1907" s="75" t="s">
        <v>143</v>
      </c>
      <c r="N1907" s="75" t="b">
        <v>1</v>
      </c>
      <c r="O1907" s="75" t="s">
        <v>144</v>
      </c>
      <c r="P1907" s="75">
        <v>1994</v>
      </c>
      <c r="Q1907" s="107">
        <f t="shared" si="45"/>
        <v>2013</v>
      </c>
      <c r="R1907" s="107">
        <v>2</v>
      </c>
      <c r="S1907" s="100">
        <v>213043</v>
      </c>
      <c r="T1907" s="101">
        <v>41436</v>
      </c>
    </row>
    <row r="1908" spans="1:20" x14ac:dyDescent="0.3">
      <c r="A1908" s="68">
        <v>41349</v>
      </c>
      <c r="B1908" s="69">
        <f>YEAR(A1908)*10000+MONTH(A1908)*100+DAY(A1908)</f>
        <v>20130316</v>
      </c>
      <c r="C1908" s="70">
        <v>2.4500000000000001E-2</v>
      </c>
      <c r="D1908" s="77">
        <v>7.0000000000000001E-3</v>
      </c>
      <c r="E1908" s="77">
        <v>7.0000000000000001E-3</v>
      </c>
      <c r="F1908" s="77">
        <v>7.0000000000000001E-3</v>
      </c>
      <c r="G1908" s="78">
        <v>0</v>
      </c>
      <c r="K1908" s="106">
        <v>5.4000000000000003E-3</v>
      </c>
      <c r="L1908" s="80">
        <v>0</v>
      </c>
      <c r="M1908" s="75" t="s">
        <v>143</v>
      </c>
      <c r="N1908" s="75" t="b">
        <v>1</v>
      </c>
      <c r="O1908" s="75" t="s">
        <v>144</v>
      </c>
      <c r="P1908" s="75">
        <v>1994</v>
      </c>
      <c r="Q1908" s="107">
        <f t="shared" si="45"/>
        <v>2013</v>
      </c>
      <c r="R1908" s="107">
        <v>2</v>
      </c>
      <c r="S1908" s="100">
        <v>213043</v>
      </c>
      <c r="T1908" s="101">
        <v>41436</v>
      </c>
    </row>
    <row r="1909" spans="1:20" x14ac:dyDescent="0.3">
      <c r="A1909" s="68">
        <v>41350</v>
      </c>
      <c r="B1909" s="69">
        <f>YEAR(A1909)*10000+MONTH(A1909)*100+DAY(A1909)</f>
        <v>20130317</v>
      </c>
      <c r="C1909" s="70">
        <v>2.4500000000000001E-2</v>
      </c>
      <c r="D1909" s="77">
        <v>7.0000000000000001E-3</v>
      </c>
      <c r="E1909" s="77">
        <v>7.0000000000000001E-3</v>
      </c>
      <c r="F1909" s="77">
        <v>7.0000000000000001E-3</v>
      </c>
      <c r="G1909" s="78">
        <v>0</v>
      </c>
      <c r="K1909" s="106">
        <v>5.4000000000000003E-3</v>
      </c>
      <c r="L1909" s="80">
        <v>0</v>
      </c>
      <c r="M1909" s="75" t="s">
        <v>143</v>
      </c>
      <c r="N1909" s="75" t="b">
        <v>1</v>
      </c>
      <c r="O1909" s="75" t="s">
        <v>144</v>
      </c>
      <c r="P1909" s="75">
        <v>1994</v>
      </c>
      <c r="Q1909" s="107">
        <f t="shared" si="45"/>
        <v>2013</v>
      </c>
      <c r="R1909" s="107">
        <v>2</v>
      </c>
      <c r="S1909" s="100">
        <v>213043</v>
      </c>
      <c r="T1909" s="101">
        <v>41436</v>
      </c>
    </row>
    <row r="1910" spans="1:20" x14ac:dyDescent="0.3">
      <c r="A1910" s="42">
        <v>41351</v>
      </c>
      <c r="B1910" s="69">
        <f t="shared" si="44"/>
        <v>20130318</v>
      </c>
      <c r="C1910" s="70">
        <v>2.4199999999999999E-2</v>
      </c>
      <c r="D1910" s="77">
        <v>7.0000000000000001E-3</v>
      </c>
      <c r="E1910" s="77">
        <v>7.0000000000000001E-3</v>
      </c>
      <c r="F1910" s="77">
        <v>7.0000000000000001E-3</v>
      </c>
      <c r="G1910" s="78">
        <v>0</v>
      </c>
      <c r="K1910" s="106">
        <v>5.1999999999999998E-3</v>
      </c>
      <c r="L1910" s="80">
        <v>0</v>
      </c>
      <c r="M1910" s="75" t="s">
        <v>143</v>
      </c>
      <c r="N1910" s="75" t="b">
        <v>1</v>
      </c>
      <c r="O1910" s="75" t="s">
        <v>144</v>
      </c>
      <c r="P1910" s="75">
        <v>1994</v>
      </c>
      <c r="Q1910" s="107">
        <f t="shared" si="45"/>
        <v>2013</v>
      </c>
      <c r="R1910" s="107">
        <v>2</v>
      </c>
      <c r="S1910" s="100">
        <v>213043</v>
      </c>
      <c r="T1910" s="101">
        <v>41436</v>
      </c>
    </row>
    <row r="1911" spans="1:20" x14ac:dyDescent="0.3">
      <c r="A1911" s="42">
        <v>41352</v>
      </c>
      <c r="B1911" s="69">
        <f t="shared" si="44"/>
        <v>20130319</v>
      </c>
      <c r="C1911" s="70">
        <v>2.3799999999999998E-2</v>
      </c>
      <c r="D1911" s="77">
        <v>7.0000000000000001E-3</v>
      </c>
      <c r="E1911" s="77">
        <v>7.0000000000000001E-3</v>
      </c>
      <c r="F1911" s="77">
        <v>7.0000000000000001E-3</v>
      </c>
      <c r="G1911" s="78">
        <v>0</v>
      </c>
      <c r="K1911" s="106">
        <v>5.0000000000000001E-3</v>
      </c>
      <c r="L1911" s="80">
        <v>0</v>
      </c>
      <c r="M1911" s="75" t="s">
        <v>143</v>
      </c>
      <c r="N1911" s="75" t="b">
        <v>1</v>
      </c>
      <c r="O1911" s="75" t="s">
        <v>144</v>
      </c>
      <c r="P1911" s="75">
        <v>1994</v>
      </c>
      <c r="Q1911" s="107">
        <f t="shared" si="45"/>
        <v>2013</v>
      </c>
      <c r="R1911" s="107">
        <v>2</v>
      </c>
      <c r="S1911" s="100">
        <v>213043</v>
      </c>
      <c r="T1911" s="101">
        <v>41436</v>
      </c>
    </row>
    <row r="1912" spans="1:20" x14ac:dyDescent="0.3">
      <c r="A1912" s="42">
        <v>41353</v>
      </c>
      <c r="B1912" s="69">
        <f t="shared" si="44"/>
        <v>20130320</v>
      </c>
      <c r="C1912" s="70">
        <v>2.41E-2</v>
      </c>
      <c r="D1912" s="77">
        <v>7.0000000000000001E-3</v>
      </c>
      <c r="E1912" s="77">
        <v>7.0000000000000001E-3</v>
      </c>
      <c r="F1912" s="77">
        <v>7.0000000000000001E-3</v>
      </c>
      <c r="G1912" s="78">
        <v>0</v>
      </c>
      <c r="K1912" s="106">
        <v>5.3E-3</v>
      </c>
      <c r="L1912" s="80">
        <v>0</v>
      </c>
      <c r="M1912" s="75" t="s">
        <v>143</v>
      </c>
      <c r="N1912" s="75" t="b">
        <v>1</v>
      </c>
      <c r="O1912" s="75" t="s">
        <v>144</v>
      </c>
      <c r="P1912" s="75">
        <v>1994</v>
      </c>
      <c r="Q1912" s="107">
        <f t="shared" si="45"/>
        <v>2013</v>
      </c>
      <c r="R1912" s="107">
        <v>2</v>
      </c>
      <c r="S1912" s="100">
        <v>213043</v>
      </c>
      <c r="T1912" s="101">
        <v>41436</v>
      </c>
    </row>
    <row r="1913" spans="1:20" x14ac:dyDescent="0.3">
      <c r="A1913" s="42">
        <v>41354</v>
      </c>
      <c r="B1913" s="69">
        <f t="shared" si="44"/>
        <v>20130321</v>
      </c>
      <c r="C1913" s="70">
        <v>2.3799999999999998E-2</v>
      </c>
      <c r="D1913" s="77">
        <v>7.0000000000000001E-3</v>
      </c>
      <c r="E1913" s="77">
        <v>7.0000000000000001E-3</v>
      </c>
      <c r="F1913" s="77">
        <v>7.0000000000000001E-3</v>
      </c>
      <c r="G1913" s="78">
        <v>0</v>
      </c>
      <c r="K1913" s="106">
        <v>5.0000000000000001E-3</v>
      </c>
      <c r="L1913" s="80">
        <v>0</v>
      </c>
      <c r="M1913" s="75" t="s">
        <v>143</v>
      </c>
      <c r="N1913" s="75" t="b">
        <v>1</v>
      </c>
      <c r="O1913" s="75" t="s">
        <v>144</v>
      </c>
      <c r="P1913" s="75">
        <v>1994</v>
      </c>
      <c r="Q1913" s="107">
        <f t="shared" si="45"/>
        <v>2013</v>
      </c>
      <c r="R1913" s="107">
        <v>2</v>
      </c>
      <c r="S1913" s="100">
        <v>213043</v>
      </c>
      <c r="T1913" s="101">
        <v>41436</v>
      </c>
    </row>
    <row r="1914" spans="1:20" x14ac:dyDescent="0.3">
      <c r="A1914" s="42">
        <v>41355</v>
      </c>
      <c r="B1914" s="69">
        <f t="shared" si="44"/>
        <v>20130322</v>
      </c>
      <c r="C1914" s="70">
        <v>2.3799999999999998E-2</v>
      </c>
      <c r="D1914" s="77">
        <v>7.0000000000000001E-3</v>
      </c>
      <c r="E1914" s="77">
        <v>7.0000000000000001E-3</v>
      </c>
      <c r="F1914" s="77">
        <v>7.0000000000000001E-3</v>
      </c>
      <c r="G1914" s="78">
        <v>0</v>
      </c>
      <c r="K1914" s="106">
        <v>5.1000000000000004E-3</v>
      </c>
      <c r="L1914" s="80">
        <v>0</v>
      </c>
      <c r="M1914" s="75" t="s">
        <v>143</v>
      </c>
      <c r="N1914" s="75" t="b">
        <v>1</v>
      </c>
      <c r="O1914" s="75" t="s">
        <v>144</v>
      </c>
      <c r="P1914" s="75">
        <v>1994</v>
      </c>
      <c r="Q1914" s="107">
        <f t="shared" si="45"/>
        <v>2013</v>
      </c>
      <c r="R1914" s="107">
        <v>2</v>
      </c>
      <c r="S1914" s="100">
        <v>213043</v>
      </c>
      <c r="T1914" s="101">
        <v>41436</v>
      </c>
    </row>
    <row r="1915" spans="1:20" x14ac:dyDescent="0.3">
      <c r="A1915" s="42">
        <v>41356</v>
      </c>
      <c r="B1915" s="69">
        <f>YEAR(A1915)*10000+MONTH(A1915)*100+DAY(A1915)</f>
        <v>20130323</v>
      </c>
      <c r="C1915" s="70">
        <v>2.3799999999999998E-2</v>
      </c>
      <c r="D1915" s="77">
        <v>7.0000000000000001E-3</v>
      </c>
      <c r="E1915" s="77">
        <v>7.0000000000000001E-3</v>
      </c>
      <c r="F1915" s="77">
        <v>7.0000000000000001E-3</v>
      </c>
      <c r="G1915" s="78">
        <v>0</v>
      </c>
      <c r="K1915" s="106">
        <v>5.1000000000000004E-3</v>
      </c>
      <c r="L1915" s="80">
        <v>0</v>
      </c>
      <c r="M1915" s="75" t="s">
        <v>143</v>
      </c>
      <c r="N1915" s="75" t="b">
        <v>1</v>
      </c>
      <c r="O1915" s="75" t="s">
        <v>144</v>
      </c>
      <c r="P1915" s="75">
        <v>1994</v>
      </c>
      <c r="Q1915" s="107">
        <f t="shared" si="45"/>
        <v>2013</v>
      </c>
      <c r="R1915" s="107">
        <v>2</v>
      </c>
      <c r="S1915" s="100">
        <v>213043</v>
      </c>
      <c r="T1915" s="101">
        <v>41436</v>
      </c>
    </row>
    <row r="1916" spans="1:20" x14ac:dyDescent="0.3">
      <c r="A1916" s="42">
        <v>41357</v>
      </c>
      <c r="B1916" s="69">
        <f>YEAR(A1916)*10000+MONTH(A1916)*100+DAY(A1916)</f>
        <v>20130324</v>
      </c>
      <c r="C1916" s="70">
        <v>2.3799999999999998E-2</v>
      </c>
      <c r="D1916" s="77">
        <v>7.0000000000000001E-3</v>
      </c>
      <c r="E1916" s="77">
        <v>7.0000000000000001E-3</v>
      </c>
      <c r="F1916" s="77">
        <v>7.0000000000000001E-3</v>
      </c>
      <c r="G1916" s="78">
        <v>0</v>
      </c>
      <c r="K1916" s="106">
        <v>5.1000000000000004E-3</v>
      </c>
      <c r="L1916" s="80">
        <v>0</v>
      </c>
      <c r="M1916" s="75" t="s">
        <v>143</v>
      </c>
      <c r="N1916" s="75" t="b">
        <v>1</v>
      </c>
      <c r="O1916" s="75" t="s">
        <v>144</v>
      </c>
      <c r="P1916" s="75">
        <v>1994</v>
      </c>
      <c r="Q1916" s="107">
        <f t="shared" si="45"/>
        <v>2013</v>
      </c>
      <c r="R1916" s="107">
        <v>2</v>
      </c>
      <c r="S1916" s="100">
        <v>213043</v>
      </c>
      <c r="T1916" s="101">
        <v>41436</v>
      </c>
    </row>
    <row r="1917" spans="1:20" x14ac:dyDescent="0.3">
      <c r="A1917" s="42">
        <v>41358</v>
      </c>
      <c r="B1917" s="69">
        <f t="shared" si="44"/>
        <v>20130325</v>
      </c>
      <c r="C1917" s="70">
        <v>2.3799999999999998E-2</v>
      </c>
      <c r="D1917" s="77">
        <v>7.0000000000000001E-3</v>
      </c>
      <c r="E1917" s="77">
        <v>7.0000000000000001E-3</v>
      </c>
      <c r="F1917" s="77">
        <v>7.0000000000000001E-3</v>
      </c>
      <c r="G1917" s="78">
        <v>0</v>
      </c>
      <c r="K1917" s="106">
        <v>5.1999999999999998E-3</v>
      </c>
      <c r="L1917" s="80">
        <v>0</v>
      </c>
      <c r="M1917" s="75" t="s">
        <v>143</v>
      </c>
      <c r="N1917" s="75" t="b">
        <v>1</v>
      </c>
      <c r="O1917" s="75" t="s">
        <v>144</v>
      </c>
      <c r="P1917" s="75">
        <v>1994</v>
      </c>
      <c r="Q1917" s="107">
        <f t="shared" si="45"/>
        <v>2013</v>
      </c>
      <c r="R1917" s="107">
        <v>2</v>
      </c>
      <c r="S1917" s="100">
        <v>213043</v>
      </c>
      <c r="T1917" s="101">
        <v>41436</v>
      </c>
    </row>
    <row r="1918" spans="1:20" x14ac:dyDescent="0.3">
      <c r="A1918" s="42">
        <v>41359</v>
      </c>
      <c r="B1918" s="69">
        <f t="shared" si="44"/>
        <v>20130326</v>
      </c>
      <c r="C1918" s="70">
        <v>2.3799999999999998E-2</v>
      </c>
      <c r="D1918" s="77">
        <v>7.0000000000000001E-3</v>
      </c>
      <c r="E1918" s="77">
        <v>7.0000000000000001E-3</v>
      </c>
      <c r="F1918" s="77">
        <v>7.0000000000000001E-3</v>
      </c>
      <c r="G1918" s="78">
        <v>0</v>
      </c>
      <c r="K1918" s="106">
        <v>5.1999999999999998E-3</v>
      </c>
      <c r="L1918" s="80">
        <v>0</v>
      </c>
      <c r="M1918" s="75" t="s">
        <v>143</v>
      </c>
      <c r="N1918" s="75" t="b">
        <v>1</v>
      </c>
      <c r="O1918" s="75" t="s">
        <v>144</v>
      </c>
      <c r="P1918" s="75">
        <v>1994</v>
      </c>
      <c r="Q1918" s="107">
        <f t="shared" si="45"/>
        <v>2013</v>
      </c>
      <c r="R1918" s="107">
        <v>2</v>
      </c>
      <c r="S1918" s="100">
        <v>213043</v>
      </c>
      <c r="T1918" s="101">
        <v>41436</v>
      </c>
    </row>
    <row r="1919" spans="1:20" x14ac:dyDescent="0.3">
      <c r="A1919" s="42">
        <v>41360</v>
      </c>
      <c r="B1919" s="69">
        <f>YEAR(A1919)*10000+MONTH(A1919)*100+DAY(A1919)</f>
        <v>20130327</v>
      </c>
      <c r="C1919" s="109">
        <v>2.3400000000000001E-2</v>
      </c>
      <c r="D1919" s="77">
        <v>7.0000000000000001E-3</v>
      </c>
      <c r="E1919" s="77">
        <v>7.0000000000000001E-3</v>
      </c>
      <c r="F1919" s="77">
        <v>7.0000000000000001E-3</v>
      </c>
      <c r="G1919" s="78">
        <v>0</v>
      </c>
      <c r="K1919" s="106">
        <v>4.7999999999999996E-3</v>
      </c>
      <c r="L1919" s="80">
        <v>0</v>
      </c>
      <c r="M1919" s="75" t="s">
        <v>143</v>
      </c>
      <c r="N1919" s="75" t="b">
        <v>1</v>
      </c>
      <c r="O1919" s="75" t="s">
        <v>144</v>
      </c>
      <c r="P1919" s="75">
        <v>1994</v>
      </c>
      <c r="Q1919" s="107">
        <f t="shared" si="45"/>
        <v>2013</v>
      </c>
      <c r="R1919" s="107">
        <v>2</v>
      </c>
      <c r="S1919" s="100">
        <v>213043</v>
      </c>
      <c r="T1919" s="101">
        <v>41436</v>
      </c>
    </row>
    <row r="1920" spans="1:20" x14ac:dyDescent="0.3">
      <c r="A1920" s="42">
        <v>41361</v>
      </c>
      <c r="B1920" s="69">
        <f>YEAR(A1920)*10000+MONTH(A1920)*100+DAY(A1920)</f>
        <v>20130328</v>
      </c>
      <c r="C1920" s="109">
        <v>2.35E-2</v>
      </c>
      <c r="D1920" s="77">
        <v>7.0000000000000001E-3</v>
      </c>
      <c r="E1920" s="77">
        <v>7.0000000000000001E-3</v>
      </c>
      <c r="F1920" s="77">
        <v>7.0000000000000001E-3</v>
      </c>
      <c r="G1920" s="78">
        <v>0</v>
      </c>
      <c r="K1920" s="106">
        <v>4.8999999999999998E-3</v>
      </c>
      <c r="L1920" s="80">
        <v>0</v>
      </c>
      <c r="M1920" s="75" t="s">
        <v>143</v>
      </c>
      <c r="N1920" s="75" t="b">
        <v>1</v>
      </c>
      <c r="O1920" s="75" t="s">
        <v>144</v>
      </c>
      <c r="P1920" s="75">
        <v>1994</v>
      </c>
      <c r="Q1920" s="107">
        <f t="shared" si="45"/>
        <v>2013</v>
      </c>
      <c r="R1920" s="107">
        <v>2</v>
      </c>
      <c r="S1920" s="100">
        <v>213043</v>
      </c>
      <c r="T1920" s="101">
        <v>41436</v>
      </c>
    </row>
    <row r="1921" spans="1:21" x14ac:dyDescent="0.3">
      <c r="A1921" s="42">
        <v>41362</v>
      </c>
      <c r="B1921" s="69">
        <f>YEAR(A1921)*10000+MONTH(A1921)*100+DAY(A1921)</f>
        <v>20130329</v>
      </c>
      <c r="C1921" s="109">
        <v>2.35E-2</v>
      </c>
      <c r="D1921" s="77">
        <v>7.0000000000000001E-3</v>
      </c>
      <c r="E1921" s="77">
        <v>7.0000000000000001E-3</v>
      </c>
      <c r="F1921" s="77">
        <v>7.0000000000000001E-3</v>
      </c>
      <c r="G1921" s="78">
        <v>0</v>
      </c>
      <c r="K1921" s="106">
        <v>4.8999999999999998E-3</v>
      </c>
      <c r="L1921" s="80">
        <v>0</v>
      </c>
      <c r="M1921" s="75" t="s">
        <v>143</v>
      </c>
      <c r="N1921" s="75" t="b">
        <v>1</v>
      </c>
      <c r="O1921" s="75" t="s">
        <v>144</v>
      </c>
      <c r="P1921" s="75">
        <v>1994</v>
      </c>
      <c r="Q1921" s="107">
        <f t="shared" si="45"/>
        <v>2013</v>
      </c>
      <c r="R1921" s="107">
        <v>2</v>
      </c>
      <c r="S1921" s="100">
        <v>213043</v>
      </c>
      <c r="T1921" s="101">
        <v>41436</v>
      </c>
    </row>
    <row r="1922" spans="1:21" x14ac:dyDescent="0.3">
      <c r="A1922" s="42">
        <v>41363</v>
      </c>
      <c r="B1922" s="69">
        <f>YEAR(A1922)*10000+MONTH(A1922)*100+DAY(A1922)</f>
        <v>20130330</v>
      </c>
      <c r="C1922" s="109">
        <v>2.35E-2</v>
      </c>
      <c r="D1922" s="77">
        <v>7.0000000000000001E-3</v>
      </c>
      <c r="E1922" s="77">
        <v>7.0000000000000001E-3</v>
      </c>
      <c r="F1922" s="77">
        <v>7.0000000000000001E-3</v>
      </c>
      <c r="G1922" s="78">
        <v>0</v>
      </c>
      <c r="K1922" s="106">
        <v>4.8999999999999998E-3</v>
      </c>
      <c r="L1922" s="80">
        <v>0</v>
      </c>
      <c r="M1922" s="75" t="s">
        <v>143</v>
      </c>
      <c r="N1922" s="75" t="b">
        <v>1</v>
      </c>
      <c r="O1922" s="75" t="s">
        <v>144</v>
      </c>
      <c r="P1922" s="75">
        <v>1994</v>
      </c>
      <c r="Q1922" s="107">
        <f t="shared" si="45"/>
        <v>2013</v>
      </c>
      <c r="R1922" s="107">
        <v>2</v>
      </c>
      <c r="S1922" s="100">
        <v>213043</v>
      </c>
      <c r="T1922" s="101">
        <v>41436</v>
      </c>
    </row>
    <row r="1923" spans="1:21" s="116" customFormat="1" x14ac:dyDescent="0.3">
      <c r="A1923" s="110">
        <v>41364</v>
      </c>
      <c r="B1923" s="86">
        <f>YEAR(A1923)*10000+MONTH(A1923)*100+DAY(A1923)</f>
        <v>20130331</v>
      </c>
      <c r="C1923" s="111">
        <v>2.35E-2</v>
      </c>
      <c r="D1923" s="88">
        <v>7.0000000000000001E-3</v>
      </c>
      <c r="E1923" s="88">
        <v>7.0000000000000001E-3</v>
      </c>
      <c r="F1923" s="88">
        <v>7.0000000000000001E-3</v>
      </c>
      <c r="G1923" s="90">
        <v>0</v>
      </c>
      <c r="H1923" s="112"/>
      <c r="I1923" s="112"/>
      <c r="J1923" s="112"/>
      <c r="K1923" s="113">
        <v>4.8999999999999998E-3</v>
      </c>
      <c r="L1923" s="92">
        <v>0</v>
      </c>
      <c r="M1923" s="98" t="s">
        <v>143</v>
      </c>
      <c r="N1923" s="98" t="b">
        <v>1</v>
      </c>
      <c r="O1923" s="98" t="s">
        <v>144</v>
      </c>
      <c r="P1923" s="98">
        <v>1994</v>
      </c>
      <c r="Q1923" s="105">
        <f t="shared" si="45"/>
        <v>2013</v>
      </c>
      <c r="R1923" s="105">
        <v>2</v>
      </c>
      <c r="S1923" s="114">
        <v>213048</v>
      </c>
      <c r="T1923" s="115">
        <v>41450</v>
      </c>
      <c r="U1923" s="98" t="s">
        <v>176</v>
      </c>
    </row>
    <row r="1924" spans="1:21" x14ac:dyDescent="0.3">
      <c r="A1924" s="68">
        <v>41365</v>
      </c>
      <c r="B1924" s="69">
        <f t="shared" ref="B1924:B1983" si="46">YEAR(A1924)*10000+MONTH(A1924)*100+DAY(A1924)</f>
        <v>20130401</v>
      </c>
      <c r="C1924" s="70">
        <v>2.3300000000000001E-2</v>
      </c>
      <c r="D1924" s="77">
        <v>7.0000000000000001E-3</v>
      </c>
      <c r="E1924" s="77">
        <v>7.0000000000000001E-3</v>
      </c>
      <c r="F1924" s="77">
        <v>7.0000000000000001E-3</v>
      </c>
      <c r="G1924" s="78">
        <v>0</v>
      </c>
      <c r="K1924" s="106">
        <v>4.7999999999999996E-3</v>
      </c>
      <c r="L1924" s="80">
        <v>0</v>
      </c>
      <c r="M1924" s="75" t="s">
        <v>143</v>
      </c>
      <c r="N1924" s="75" t="b">
        <v>1</v>
      </c>
      <c r="O1924" s="75" t="s">
        <v>144</v>
      </c>
      <c r="P1924" s="75">
        <v>1994</v>
      </c>
      <c r="Q1924" s="107">
        <f t="shared" si="45"/>
        <v>2013</v>
      </c>
      <c r="R1924" s="107">
        <v>2</v>
      </c>
      <c r="S1924" s="117">
        <v>213048</v>
      </c>
      <c r="T1924" s="118">
        <v>41450</v>
      </c>
    </row>
    <row r="1925" spans="1:21" x14ac:dyDescent="0.3">
      <c r="A1925" s="68">
        <v>41366</v>
      </c>
      <c r="B1925" s="69">
        <f t="shared" si="46"/>
        <v>20130402</v>
      </c>
      <c r="C1925" s="70">
        <v>2.3300000000000001E-2</v>
      </c>
      <c r="D1925" s="77">
        <v>7.0000000000000001E-3</v>
      </c>
      <c r="E1925" s="77">
        <v>7.0000000000000001E-3</v>
      </c>
      <c r="F1925" s="77">
        <v>7.0000000000000001E-3</v>
      </c>
      <c r="G1925" s="78">
        <v>0</v>
      </c>
      <c r="K1925" s="106">
        <v>4.8999999999999998E-3</v>
      </c>
      <c r="L1925" s="80">
        <v>0</v>
      </c>
      <c r="M1925" s="75" t="s">
        <v>143</v>
      </c>
      <c r="N1925" s="75" t="b">
        <v>1</v>
      </c>
      <c r="O1925" s="75" t="s">
        <v>144</v>
      </c>
      <c r="P1925" s="75">
        <v>1994</v>
      </c>
      <c r="Q1925" s="107">
        <f t="shared" si="45"/>
        <v>2013</v>
      </c>
      <c r="R1925" s="107">
        <v>2</v>
      </c>
      <c r="S1925" s="117">
        <v>213048</v>
      </c>
      <c r="T1925" s="118">
        <v>41450</v>
      </c>
    </row>
    <row r="1926" spans="1:21" x14ac:dyDescent="0.3">
      <c r="A1926" s="68">
        <v>41367</v>
      </c>
      <c r="B1926" s="69">
        <f t="shared" si="46"/>
        <v>20130403</v>
      </c>
      <c r="C1926" s="70">
        <v>2.2799999999999997E-2</v>
      </c>
      <c r="D1926" s="77">
        <v>7.0000000000000001E-3</v>
      </c>
      <c r="E1926" s="77">
        <v>7.0000000000000001E-3</v>
      </c>
      <c r="F1926" s="77">
        <v>7.0000000000000001E-3</v>
      </c>
      <c r="G1926" s="78">
        <v>0</v>
      </c>
      <c r="K1926" s="106">
        <v>4.5000000000000005E-3</v>
      </c>
      <c r="L1926" s="80">
        <v>0</v>
      </c>
      <c r="M1926" s="75" t="s">
        <v>143</v>
      </c>
      <c r="N1926" s="75" t="b">
        <v>1</v>
      </c>
      <c r="O1926" s="75" t="s">
        <v>144</v>
      </c>
      <c r="P1926" s="75">
        <v>1994</v>
      </c>
      <c r="Q1926" s="107">
        <f t="shared" si="45"/>
        <v>2013</v>
      </c>
      <c r="R1926" s="107">
        <v>2</v>
      </c>
      <c r="S1926" s="117">
        <v>213048</v>
      </c>
      <c r="T1926" s="118">
        <v>41450</v>
      </c>
    </row>
    <row r="1927" spans="1:21" x14ac:dyDescent="0.3">
      <c r="A1927" s="68">
        <v>41368</v>
      </c>
      <c r="B1927" s="69">
        <f t="shared" si="46"/>
        <v>20130404</v>
      </c>
      <c r="C1927" s="70">
        <v>2.2499999999999999E-2</v>
      </c>
      <c r="D1927" s="77">
        <v>7.0000000000000001E-3</v>
      </c>
      <c r="E1927" s="77">
        <v>7.0000000000000001E-3</v>
      </c>
      <c r="F1927" s="77">
        <v>7.0000000000000001E-3</v>
      </c>
      <c r="G1927" s="78">
        <v>0</v>
      </c>
      <c r="K1927" s="106">
        <v>4.1999999999999997E-3</v>
      </c>
      <c r="L1927" s="80">
        <v>0</v>
      </c>
      <c r="M1927" s="75" t="s">
        <v>143</v>
      </c>
      <c r="N1927" s="75" t="b">
        <v>1</v>
      </c>
      <c r="O1927" s="75" t="s">
        <v>144</v>
      </c>
      <c r="P1927" s="75">
        <v>1994</v>
      </c>
      <c r="Q1927" s="107">
        <f t="shared" si="45"/>
        <v>2013</v>
      </c>
      <c r="R1927" s="107">
        <v>2</v>
      </c>
      <c r="S1927" s="117">
        <v>213048</v>
      </c>
      <c r="T1927" s="118">
        <v>41450</v>
      </c>
    </row>
    <row r="1928" spans="1:21" x14ac:dyDescent="0.3">
      <c r="A1928" s="68">
        <v>41369</v>
      </c>
      <c r="B1928" s="69">
        <f t="shared" si="46"/>
        <v>20130405</v>
      </c>
      <c r="C1928" s="70">
        <v>2.2000000000000002E-2</v>
      </c>
      <c r="D1928" s="77">
        <v>7.0000000000000001E-3</v>
      </c>
      <c r="E1928" s="77">
        <v>7.0000000000000001E-3</v>
      </c>
      <c r="F1928" s="77">
        <v>7.0000000000000001E-3</v>
      </c>
      <c r="G1928" s="78">
        <v>0</v>
      </c>
      <c r="K1928" s="106">
        <v>3.5999999999999999E-3</v>
      </c>
      <c r="L1928" s="80">
        <v>0</v>
      </c>
      <c r="M1928" s="75" t="s">
        <v>143</v>
      </c>
      <c r="N1928" s="75" t="b">
        <v>1</v>
      </c>
      <c r="O1928" s="75" t="s">
        <v>144</v>
      </c>
      <c r="P1928" s="75">
        <v>1994</v>
      </c>
      <c r="Q1928" s="107">
        <f t="shared" si="45"/>
        <v>2013</v>
      </c>
      <c r="R1928" s="107">
        <v>2</v>
      </c>
      <c r="S1928" s="117">
        <v>213048</v>
      </c>
      <c r="T1928" s="118">
        <v>41450</v>
      </c>
    </row>
    <row r="1929" spans="1:21" x14ac:dyDescent="0.3">
      <c r="A1929" s="68">
        <v>41370</v>
      </c>
      <c r="B1929" s="69">
        <f t="shared" si="46"/>
        <v>20130406</v>
      </c>
      <c r="C1929" s="70">
        <v>2.2000000000000002E-2</v>
      </c>
      <c r="D1929" s="77">
        <v>7.0000000000000001E-3</v>
      </c>
      <c r="E1929" s="77">
        <v>7.0000000000000001E-3</v>
      </c>
      <c r="F1929" s="77">
        <v>7.0000000000000001E-3</v>
      </c>
      <c r="G1929" s="78">
        <v>0</v>
      </c>
      <c r="K1929" s="106">
        <v>3.5999999999999999E-3</v>
      </c>
      <c r="L1929" s="80">
        <v>0</v>
      </c>
      <c r="M1929" s="75" t="s">
        <v>143</v>
      </c>
      <c r="N1929" s="75" t="b">
        <v>1</v>
      </c>
      <c r="O1929" s="75" t="s">
        <v>144</v>
      </c>
      <c r="P1929" s="75">
        <v>1994</v>
      </c>
      <c r="Q1929" s="107">
        <f t="shared" si="45"/>
        <v>2013</v>
      </c>
      <c r="R1929" s="107">
        <v>2</v>
      </c>
      <c r="S1929" s="117">
        <v>213048</v>
      </c>
      <c r="T1929" s="118">
        <v>41450</v>
      </c>
    </row>
    <row r="1930" spans="1:21" x14ac:dyDescent="0.3">
      <c r="A1930" s="68">
        <v>41371</v>
      </c>
      <c r="B1930" s="69">
        <f t="shared" si="46"/>
        <v>20130407</v>
      </c>
      <c r="C1930" s="70">
        <v>2.2000000000000002E-2</v>
      </c>
      <c r="D1930" s="77">
        <v>7.0000000000000001E-3</v>
      </c>
      <c r="E1930" s="77">
        <v>7.0000000000000001E-3</v>
      </c>
      <c r="F1930" s="77">
        <v>7.0000000000000001E-3</v>
      </c>
      <c r="G1930" s="78">
        <v>0</v>
      </c>
      <c r="K1930" s="106">
        <v>3.5999999999999999E-3</v>
      </c>
      <c r="L1930" s="80">
        <v>0</v>
      </c>
      <c r="M1930" s="75" t="s">
        <v>143</v>
      </c>
      <c r="N1930" s="75" t="b">
        <v>1</v>
      </c>
      <c r="O1930" s="75" t="s">
        <v>144</v>
      </c>
      <c r="P1930" s="75">
        <v>1994</v>
      </c>
      <c r="Q1930" s="107">
        <f t="shared" si="45"/>
        <v>2013</v>
      </c>
      <c r="R1930" s="107">
        <v>2</v>
      </c>
      <c r="S1930" s="117">
        <v>213048</v>
      </c>
      <c r="T1930" s="118">
        <v>41450</v>
      </c>
    </row>
    <row r="1931" spans="1:21" x14ac:dyDescent="0.3">
      <c r="A1931" s="68">
        <v>41372</v>
      </c>
      <c r="B1931" s="69">
        <f t="shared" si="46"/>
        <v>20130408</v>
      </c>
      <c r="C1931" s="70">
        <v>2.2099999999999998E-2</v>
      </c>
      <c r="D1931" s="77">
        <v>7.0000000000000001E-3</v>
      </c>
      <c r="E1931" s="77">
        <v>7.0000000000000001E-3</v>
      </c>
      <c r="F1931" s="77">
        <v>7.0000000000000001E-3</v>
      </c>
      <c r="G1931" s="78">
        <v>0</v>
      </c>
      <c r="K1931" s="106">
        <v>3.8E-3</v>
      </c>
      <c r="L1931" s="80">
        <v>0</v>
      </c>
      <c r="M1931" s="75" t="s">
        <v>143</v>
      </c>
      <c r="N1931" s="75" t="b">
        <v>1</v>
      </c>
      <c r="O1931" s="75" t="s">
        <v>144</v>
      </c>
      <c r="P1931" s="75">
        <v>1994</v>
      </c>
      <c r="Q1931" s="107">
        <f t="shared" si="45"/>
        <v>2013</v>
      </c>
      <c r="R1931" s="107">
        <v>2</v>
      </c>
      <c r="S1931" s="117">
        <v>213048</v>
      </c>
      <c r="T1931" s="118">
        <v>41450</v>
      </c>
    </row>
    <row r="1932" spans="1:21" x14ac:dyDescent="0.3">
      <c r="A1932" s="68">
        <v>41373</v>
      </c>
      <c r="B1932" s="69">
        <f t="shared" si="46"/>
        <v>20130409</v>
      </c>
      <c r="C1932" s="70">
        <v>2.23E-2</v>
      </c>
      <c r="D1932" s="77">
        <v>7.0000000000000001E-3</v>
      </c>
      <c r="E1932" s="77">
        <v>7.0000000000000001E-3</v>
      </c>
      <c r="F1932" s="77">
        <v>7.0000000000000001E-3</v>
      </c>
      <c r="G1932" s="78">
        <v>0</v>
      </c>
      <c r="K1932" s="106">
        <v>4.0000000000000001E-3</v>
      </c>
      <c r="L1932" s="80">
        <v>0</v>
      </c>
      <c r="M1932" s="75" t="s">
        <v>143</v>
      </c>
      <c r="N1932" s="75" t="b">
        <v>1</v>
      </c>
      <c r="O1932" s="75" t="s">
        <v>144</v>
      </c>
      <c r="P1932" s="75">
        <v>1994</v>
      </c>
      <c r="Q1932" s="107">
        <f t="shared" si="45"/>
        <v>2013</v>
      </c>
      <c r="R1932" s="107">
        <v>2</v>
      </c>
      <c r="S1932" s="117">
        <v>213048</v>
      </c>
      <c r="T1932" s="118">
        <v>41450</v>
      </c>
    </row>
    <row r="1933" spans="1:21" x14ac:dyDescent="0.3">
      <c r="A1933" s="68">
        <v>41374</v>
      </c>
      <c r="B1933" s="69">
        <f t="shared" si="46"/>
        <v>20130410</v>
      </c>
      <c r="C1933" s="70">
        <v>2.2700000000000001E-2</v>
      </c>
      <c r="D1933" s="77">
        <v>7.0000000000000001E-3</v>
      </c>
      <c r="E1933" s="77">
        <v>7.0000000000000001E-3</v>
      </c>
      <c r="F1933" s="77">
        <v>7.0000000000000001E-3</v>
      </c>
      <c r="G1933" s="78">
        <v>0</v>
      </c>
      <c r="K1933" s="106">
        <v>4.3E-3</v>
      </c>
      <c r="L1933" s="80">
        <v>0</v>
      </c>
      <c r="M1933" s="75" t="s">
        <v>143</v>
      </c>
      <c r="N1933" s="75" t="b">
        <v>1</v>
      </c>
      <c r="O1933" s="75" t="s">
        <v>144</v>
      </c>
      <c r="P1933" s="75">
        <v>1994</v>
      </c>
      <c r="Q1933" s="107">
        <f t="shared" si="45"/>
        <v>2013</v>
      </c>
      <c r="R1933" s="107">
        <v>2</v>
      </c>
      <c r="S1933" s="117">
        <v>213048</v>
      </c>
      <c r="T1933" s="118">
        <v>41450</v>
      </c>
    </row>
    <row r="1934" spans="1:21" x14ac:dyDescent="0.3">
      <c r="A1934" s="68">
        <v>41375</v>
      </c>
      <c r="B1934" s="69">
        <f t="shared" si="46"/>
        <v>20130411</v>
      </c>
      <c r="C1934" s="70">
        <v>2.2499999999999999E-2</v>
      </c>
      <c r="D1934" s="77">
        <v>7.0000000000000001E-3</v>
      </c>
      <c r="E1934" s="77">
        <v>7.0000000000000001E-3</v>
      </c>
      <c r="F1934" s="77">
        <v>7.0000000000000001E-3</v>
      </c>
      <c r="G1934" s="78">
        <v>0</v>
      </c>
      <c r="K1934" s="106">
        <v>4.3E-3</v>
      </c>
      <c r="L1934" s="80">
        <v>0</v>
      </c>
      <c r="M1934" s="75" t="s">
        <v>143</v>
      </c>
      <c r="N1934" s="75" t="b">
        <v>1</v>
      </c>
      <c r="O1934" s="75" t="s">
        <v>144</v>
      </c>
      <c r="P1934" s="75">
        <v>1994</v>
      </c>
      <c r="Q1934" s="107">
        <f t="shared" si="45"/>
        <v>2013</v>
      </c>
      <c r="R1934" s="107">
        <v>2</v>
      </c>
      <c r="S1934" s="117">
        <v>213048</v>
      </c>
      <c r="T1934" s="118">
        <v>41450</v>
      </c>
    </row>
    <row r="1935" spans="1:21" x14ac:dyDescent="0.3">
      <c r="A1935" s="68">
        <v>41376</v>
      </c>
      <c r="B1935" s="69">
        <f t="shared" si="46"/>
        <v>20130412</v>
      </c>
      <c r="C1935" s="70">
        <v>2.2099999999999998E-2</v>
      </c>
      <c r="D1935" s="77">
        <v>7.0000000000000001E-3</v>
      </c>
      <c r="E1935" s="77">
        <v>7.0000000000000001E-3</v>
      </c>
      <c r="F1935" s="77">
        <v>7.0000000000000001E-3</v>
      </c>
      <c r="G1935" s="78">
        <v>0</v>
      </c>
      <c r="K1935" s="106">
        <v>3.9000000000000003E-3</v>
      </c>
      <c r="L1935" s="80">
        <v>0</v>
      </c>
      <c r="M1935" s="75" t="s">
        <v>143</v>
      </c>
      <c r="N1935" s="75" t="b">
        <v>1</v>
      </c>
      <c r="O1935" s="75" t="s">
        <v>144</v>
      </c>
      <c r="P1935" s="75">
        <v>1994</v>
      </c>
      <c r="Q1935" s="107">
        <f t="shared" si="45"/>
        <v>2013</v>
      </c>
      <c r="R1935" s="107">
        <v>2</v>
      </c>
      <c r="S1935" s="117">
        <v>213048</v>
      </c>
      <c r="T1935" s="118">
        <v>41450</v>
      </c>
    </row>
    <row r="1936" spans="1:21" x14ac:dyDescent="0.3">
      <c r="A1936" s="68">
        <v>41377</v>
      </c>
      <c r="B1936" s="69">
        <f t="shared" si="46"/>
        <v>20130413</v>
      </c>
      <c r="C1936" s="70">
        <v>2.2099999999999998E-2</v>
      </c>
      <c r="D1936" s="77">
        <v>7.0000000000000001E-3</v>
      </c>
      <c r="E1936" s="77">
        <v>7.0000000000000001E-3</v>
      </c>
      <c r="F1936" s="77">
        <v>7.0000000000000001E-3</v>
      </c>
      <c r="G1936" s="78">
        <v>0</v>
      </c>
      <c r="K1936" s="106">
        <v>3.9000000000000003E-3</v>
      </c>
      <c r="L1936" s="80">
        <v>0</v>
      </c>
      <c r="M1936" s="75" t="s">
        <v>143</v>
      </c>
      <c r="N1936" s="75" t="b">
        <v>1</v>
      </c>
      <c r="O1936" s="75" t="s">
        <v>144</v>
      </c>
      <c r="P1936" s="75">
        <v>1994</v>
      </c>
      <c r="Q1936" s="107">
        <f t="shared" si="45"/>
        <v>2013</v>
      </c>
      <c r="R1936" s="107">
        <v>2</v>
      </c>
      <c r="S1936" s="117">
        <v>213048</v>
      </c>
      <c r="T1936" s="118">
        <v>41450</v>
      </c>
    </row>
    <row r="1937" spans="1:20" x14ac:dyDescent="0.3">
      <c r="A1937" s="68">
        <v>41378</v>
      </c>
      <c r="B1937" s="69">
        <f t="shared" si="46"/>
        <v>20130414</v>
      </c>
      <c r="C1937" s="70">
        <v>2.2099999999999998E-2</v>
      </c>
      <c r="D1937" s="77">
        <v>7.0000000000000001E-3</v>
      </c>
      <c r="E1937" s="77">
        <v>7.0000000000000001E-3</v>
      </c>
      <c r="F1937" s="77">
        <v>7.0000000000000001E-3</v>
      </c>
      <c r="G1937" s="78">
        <v>0</v>
      </c>
      <c r="K1937" s="106">
        <v>3.9000000000000003E-3</v>
      </c>
      <c r="L1937" s="80">
        <v>0</v>
      </c>
      <c r="M1937" s="75" t="s">
        <v>143</v>
      </c>
      <c r="N1937" s="75" t="b">
        <v>1</v>
      </c>
      <c r="O1937" s="75" t="s">
        <v>144</v>
      </c>
      <c r="P1937" s="75">
        <v>1994</v>
      </c>
      <c r="Q1937" s="107">
        <f t="shared" si="45"/>
        <v>2013</v>
      </c>
      <c r="R1937" s="107">
        <v>2</v>
      </c>
      <c r="S1937" s="117">
        <v>213048</v>
      </c>
      <c r="T1937" s="118">
        <v>41450</v>
      </c>
    </row>
    <row r="1938" spans="1:20" x14ac:dyDescent="0.3">
      <c r="A1938" s="68">
        <v>41379</v>
      </c>
      <c r="B1938" s="69">
        <f t="shared" si="46"/>
        <v>20130415</v>
      </c>
      <c r="C1938" s="70">
        <v>2.18E-2</v>
      </c>
      <c r="D1938" s="77">
        <v>7.0000000000000001E-3</v>
      </c>
      <c r="E1938" s="77">
        <v>7.0000000000000001E-3</v>
      </c>
      <c r="F1938" s="77">
        <v>7.0000000000000001E-3</v>
      </c>
      <c r="G1938" s="78">
        <v>0</v>
      </c>
      <c r="K1938" s="106">
        <v>3.8E-3</v>
      </c>
      <c r="L1938" s="80">
        <v>0</v>
      </c>
      <c r="M1938" s="75" t="s">
        <v>143</v>
      </c>
      <c r="N1938" s="75" t="b">
        <v>1</v>
      </c>
      <c r="O1938" s="75" t="s">
        <v>144</v>
      </c>
      <c r="P1938" s="75">
        <v>1994</v>
      </c>
      <c r="Q1938" s="107">
        <f t="shared" si="45"/>
        <v>2013</v>
      </c>
      <c r="R1938" s="107">
        <v>2</v>
      </c>
      <c r="S1938" s="117">
        <v>213048</v>
      </c>
      <c r="T1938" s="118">
        <v>41450</v>
      </c>
    </row>
    <row r="1939" spans="1:20" x14ac:dyDescent="0.3">
      <c r="A1939" s="68">
        <v>41380</v>
      </c>
      <c r="B1939" s="69">
        <f t="shared" si="46"/>
        <v>20130416</v>
      </c>
      <c r="C1939" s="70">
        <v>2.2000000000000002E-2</v>
      </c>
      <c r="D1939" s="77">
        <v>7.0000000000000001E-3</v>
      </c>
      <c r="E1939" s="77">
        <v>7.0000000000000001E-3</v>
      </c>
      <c r="F1939" s="77">
        <v>7.0000000000000001E-3</v>
      </c>
      <c r="G1939" s="78">
        <v>0</v>
      </c>
      <c r="K1939" s="106">
        <v>4.0999999999999995E-3</v>
      </c>
      <c r="L1939" s="80">
        <v>0</v>
      </c>
      <c r="M1939" s="75" t="s">
        <v>143</v>
      </c>
      <c r="N1939" s="75" t="b">
        <v>1</v>
      </c>
      <c r="O1939" s="75" t="s">
        <v>144</v>
      </c>
      <c r="P1939" s="75">
        <v>1994</v>
      </c>
      <c r="Q1939" s="107">
        <f t="shared" si="45"/>
        <v>2013</v>
      </c>
      <c r="R1939" s="107">
        <v>2</v>
      </c>
      <c r="S1939" s="117">
        <v>213048</v>
      </c>
      <c r="T1939" s="118">
        <v>41450</v>
      </c>
    </row>
    <row r="1940" spans="1:20" x14ac:dyDescent="0.3">
      <c r="A1940" s="68">
        <v>41381</v>
      </c>
      <c r="B1940" s="69">
        <f t="shared" si="46"/>
        <v>20130417</v>
      </c>
      <c r="C1940" s="70">
        <v>2.18E-2</v>
      </c>
      <c r="D1940" s="77">
        <v>7.0000000000000001E-3</v>
      </c>
      <c r="E1940" s="77">
        <v>7.0000000000000001E-3</v>
      </c>
      <c r="F1940" s="77">
        <v>7.0000000000000001E-3</v>
      </c>
      <c r="G1940" s="78">
        <v>0</v>
      </c>
      <c r="K1940" s="106">
        <v>4.0000000000000001E-3</v>
      </c>
      <c r="L1940" s="80">
        <v>0</v>
      </c>
      <c r="M1940" s="75" t="s">
        <v>143</v>
      </c>
      <c r="N1940" s="75" t="b">
        <v>1</v>
      </c>
      <c r="O1940" s="75" t="s">
        <v>144</v>
      </c>
      <c r="P1940" s="75">
        <v>1994</v>
      </c>
      <c r="Q1940" s="107">
        <f t="shared" si="45"/>
        <v>2013</v>
      </c>
      <c r="R1940" s="107">
        <v>2</v>
      </c>
      <c r="S1940" s="117">
        <v>213048</v>
      </c>
      <c r="T1940" s="118">
        <v>41450</v>
      </c>
    </row>
    <row r="1941" spans="1:20" x14ac:dyDescent="0.3">
      <c r="A1941" s="68">
        <v>41382</v>
      </c>
      <c r="B1941" s="69">
        <f t="shared" si="46"/>
        <v>20130418</v>
      </c>
      <c r="C1941" s="70">
        <v>2.1700000000000001E-2</v>
      </c>
      <c r="D1941" s="77">
        <v>7.0000000000000001E-3</v>
      </c>
      <c r="E1941" s="77">
        <v>7.0000000000000001E-3</v>
      </c>
      <c r="F1941" s="77">
        <v>7.0000000000000001E-3</v>
      </c>
      <c r="G1941" s="78">
        <v>0</v>
      </c>
      <c r="K1941" s="106">
        <v>4.1999999999999997E-3</v>
      </c>
      <c r="L1941" s="80">
        <v>0</v>
      </c>
      <c r="M1941" s="75" t="s">
        <v>143</v>
      </c>
      <c r="N1941" s="75" t="b">
        <v>1</v>
      </c>
      <c r="O1941" s="75" t="s">
        <v>144</v>
      </c>
      <c r="P1941" s="75">
        <v>1994</v>
      </c>
      <c r="Q1941" s="107">
        <f t="shared" si="45"/>
        <v>2013</v>
      </c>
      <c r="R1941" s="107">
        <v>2</v>
      </c>
      <c r="S1941" s="117">
        <v>213048</v>
      </c>
      <c r="T1941" s="118">
        <v>41450</v>
      </c>
    </row>
    <row r="1942" spans="1:20" x14ac:dyDescent="0.3">
      <c r="A1942" s="68">
        <v>41383</v>
      </c>
      <c r="B1942" s="69">
        <f t="shared" si="46"/>
        <v>20130419</v>
      </c>
      <c r="C1942" s="70">
        <v>2.18E-2</v>
      </c>
      <c r="D1942" s="77">
        <v>7.0000000000000001E-3</v>
      </c>
      <c r="E1942" s="77">
        <v>7.0000000000000001E-3</v>
      </c>
      <c r="F1942" s="77">
        <v>7.0000000000000001E-3</v>
      </c>
      <c r="G1942" s="78">
        <v>0</v>
      </c>
      <c r="K1942" s="106">
        <v>4.0999999999999995E-3</v>
      </c>
      <c r="L1942" s="80">
        <v>0</v>
      </c>
      <c r="M1942" s="75" t="s">
        <v>143</v>
      </c>
      <c r="N1942" s="75" t="b">
        <v>1</v>
      </c>
      <c r="O1942" s="75" t="s">
        <v>144</v>
      </c>
      <c r="P1942" s="75">
        <v>1994</v>
      </c>
      <c r="Q1942" s="107">
        <f t="shared" si="45"/>
        <v>2013</v>
      </c>
      <c r="R1942" s="107">
        <v>2</v>
      </c>
      <c r="S1942" s="117">
        <v>213048</v>
      </c>
      <c r="T1942" s="118">
        <v>41450</v>
      </c>
    </row>
    <row r="1943" spans="1:20" x14ac:dyDescent="0.3">
      <c r="A1943" s="68">
        <v>41384</v>
      </c>
      <c r="B1943" s="69">
        <f t="shared" si="46"/>
        <v>20130420</v>
      </c>
      <c r="C1943" s="70">
        <v>2.18E-2</v>
      </c>
      <c r="D1943" s="77">
        <v>7.0000000000000001E-3</v>
      </c>
      <c r="E1943" s="77">
        <v>7.0000000000000001E-3</v>
      </c>
      <c r="F1943" s="77">
        <v>7.0000000000000001E-3</v>
      </c>
      <c r="G1943" s="78">
        <v>0</v>
      </c>
      <c r="K1943" s="106">
        <v>4.0999999999999995E-3</v>
      </c>
      <c r="L1943" s="80">
        <v>0</v>
      </c>
      <c r="M1943" s="75" t="s">
        <v>143</v>
      </c>
      <c r="N1943" s="75" t="b">
        <v>1</v>
      </c>
      <c r="O1943" s="75" t="s">
        <v>144</v>
      </c>
      <c r="P1943" s="75">
        <v>1994</v>
      </c>
      <c r="Q1943" s="107">
        <f t="shared" si="45"/>
        <v>2013</v>
      </c>
      <c r="R1943" s="107">
        <v>2</v>
      </c>
      <c r="S1943" s="117">
        <v>213048</v>
      </c>
      <c r="T1943" s="118">
        <v>41450</v>
      </c>
    </row>
    <row r="1944" spans="1:20" x14ac:dyDescent="0.3">
      <c r="A1944" s="68">
        <v>41385</v>
      </c>
      <c r="B1944" s="69">
        <f t="shared" si="46"/>
        <v>20130421</v>
      </c>
      <c r="C1944" s="70">
        <v>2.18E-2</v>
      </c>
      <c r="D1944" s="77">
        <v>7.0000000000000001E-3</v>
      </c>
      <c r="E1944" s="77">
        <v>7.0000000000000001E-3</v>
      </c>
      <c r="F1944" s="77">
        <v>7.0000000000000001E-3</v>
      </c>
      <c r="G1944" s="78">
        <v>0</v>
      </c>
      <c r="K1944" s="106">
        <v>4.0999999999999995E-3</v>
      </c>
      <c r="L1944" s="80">
        <v>0</v>
      </c>
      <c r="M1944" s="75" t="s">
        <v>143</v>
      </c>
      <c r="N1944" s="75" t="b">
        <v>1</v>
      </c>
      <c r="O1944" s="75" t="s">
        <v>144</v>
      </c>
      <c r="P1944" s="75">
        <v>1994</v>
      </c>
      <c r="Q1944" s="107">
        <f t="shared" si="45"/>
        <v>2013</v>
      </c>
      <c r="R1944" s="107">
        <v>2</v>
      </c>
      <c r="S1944" s="117">
        <v>213048</v>
      </c>
      <c r="T1944" s="118">
        <v>41450</v>
      </c>
    </row>
    <row r="1945" spans="1:20" x14ac:dyDescent="0.3">
      <c r="A1945" s="68">
        <v>41386</v>
      </c>
      <c r="B1945" s="69">
        <f t="shared" si="46"/>
        <v>20130422</v>
      </c>
      <c r="C1945" s="70">
        <v>2.18E-2</v>
      </c>
      <c r="D1945" s="77">
        <v>7.0000000000000001E-3</v>
      </c>
      <c r="E1945" s="77">
        <v>7.0000000000000001E-3</v>
      </c>
      <c r="F1945" s="77">
        <v>7.0000000000000001E-3</v>
      </c>
      <c r="G1945" s="78">
        <v>0</v>
      </c>
      <c r="K1945" s="106">
        <v>4.3E-3</v>
      </c>
      <c r="L1945" s="80">
        <v>0</v>
      </c>
      <c r="M1945" s="75" t="s">
        <v>143</v>
      </c>
      <c r="N1945" s="75" t="b">
        <v>1</v>
      </c>
      <c r="O1945" s="75" t="s">
        <v>144</v>
      </c>
      <c r="P1945" s="75">
        <v>1994</v>
      </c>
      <c r="Q1945" s="107">
        <f t="shared" si="45"/>
        <v>2013</v>
      </c>
      <c r="R1945" s="107">
        <v>2</v>
      </c>
      <c r="S1945" s="117">
        <v>213048</v>
      </c>
      <c r="T1945" s="118">
        <v>41450</v>
      </c>
    </row>
    <row r="1946" spans="1:20" x14ac:dyDescent="0.3">
      <c r="A1946" s="68">
        <v>41387</v>
      </c>
      <c r="B1946" s="69">
        <f t="shared" si="46"/>
        <v>20130423</v>
      </c>
      <c r="C1946" s="70">
        <v>2.1899999999999999E-2</v>
      </c>
      <c r="D1946" s="77">
        <v>7.0000000000000001E-3</v>
      </c>
      <c r="E1946" s="77">
        <v>7.0000000000000001E-3</v>
      </c>
      <c r="F1946" s="77">
        <v>7.0000000000000001E-3</v>
      </c>
      <c r="G1946" s="78">
        <v>0</v>
      </c>
      <c r="K1946" s="106">
        <v>4.1999999999999997E-3</v>
      </c>
      <c r="L1946" s="80">
        <v>0</v>
      </c>
      <c r="M1946" s="75" t="s">
        <v>143</v>
      </c>
      <c r="N1946" s="75" t="b">
        <v>1</v>
      </c>
      <c r="O1946" s="75" t="s">
        <v>144</v>
      </c>
      <c r="P1946" s="75">
        <v>1994</v>
      </c>
      <c r="Q1946" s="107">
        <f t="shared" si="45"/>
        <v>2013</v>
      </c>
      <c r="R1946" s="107">
        <v>2</v>
      </c>
      <c r="S1946" s="117">
        <v>213048</v>
      </c>
      <c r="T1946" s="118">
        <v>41450</v>
      </c>
    </row>
    <row r="1947" spans="1:20" x14ac:dyDescent="0.3">
      <c r="A1947" s="42">
        <v>41388</v>
      </c>
      <c r="B1947" s="69">
        <f t="shared" si="46"/>
        <v>20130424</v>
      </c>
      <c r="C1947" s="70">
        <v>2.1899999999999999E-2</v>
      </c>
      <c r="D1947" s="77">
        <v>7.0000000000000001E-3</v>
      </c>
      <c r="E1947" s="77">
        <v>7.0000000000000001E-3</v>
      </c>
      <c r="F1947" s="77">
        <v>7.0000000000000001E-3</v>
      </c>
      <c r="G1947" s="78">
        <v>0</v>
      </c>
      <c r="K1947" s="106">
        <v>4.1999999999999997E-3</v>
      </c>
      <c r="L1947" s="80">
        <v>0</v>
      </c>
      <c r="M1947" s="75" t="s">
        <v>143</v>
      </c>
      <c r="N1947" s="75" t="b">
        <v>1</v>
      </c>
      <c r="O1947" s="75" t="s">
        <v>144</v>
      </c>
      <c r="P1947" s="75">
        <v>1994</v>
      </c>
      <c r="Q1947" s="107">
        <f t="shared" si="45"/>
        <v>2013</v>
      </c>
      <c r="R1947" s="107">
        <v>2</v>
      </c>
      <c r="S1947" s="117">
        <v>213048</v>
      </c>
      <c r="T1947" s="118">
        <v>41450</v>
      </c>
    </row>
    <row r="1948" spans="1:20" x14ac:dyDescent="0.3">
      <c r="A1948" s="42">
        <v>41389</v>
      </c>
      <c r="B1948" s="69">
        <f t="shared" si="46"/>
        <v>20130425</v>
      </c>
      <c r="C1948" s="70">
        <v>2.2200000000000001E-2</v>
      </c>
      <c r="D1948" s="77">
        <v>7.0000000000000001E-3</v>
      </c>
      <c r="E1948" s="77">
        <v>7.0000000000000001E-3</v>
      </c>
      <c r="F1948" s="77">
        <v>7.0000000000000001E-3</v>
      </c>
      <c r="G1948" s="78">
        <v>0</v>
      </c>
      <c r="K1948" s="106">
        <v>4.4000000000000003E-3</v>
      </c>
      <c r="L1948" s="80">
        <v>0</v>
      </c>
      <c r="M1948" s="75" t="s">
        <v>143</v>
      </c>
      <c r="N1948" s="75" t="b">
        <v>1</v>
      </c>
      <c r="O1948" s="75" t="s">
        <v>144</v>
      </c>
      <c r="P1948" s="75">
        <v>1994</v>
      </c>
      <c r="Q1948" s="107">
        <f t="shared" si="45"/>
        <v>2013</v>
      </c>
      <c r="R1948" s="107">
        <v>2</v>
      </c>
      <c r="S1948" s="117">
        <v>213048</v>
      </c>
      <c r="T1948" s="118">
        <v>41450</v>
      </c>
    </row>
    <row r="1949" spans="1:20" x14ac:dyDescent="0.3">
      <c r="A1949" s="42">
        <v>41390</v>
      </c>
      <c r="B1949" s="69">
        <f t="shared" si="46"/>
        <v>20130426</v>
      </c>
      <c r="C1949" s="70">
        <v>2.1899999999999999E-2</v>
      </c>
      <c r="D1949" s="77">
        <v>7.0000000000000001E-3</v>
      </c>
      <c r="E1949" s="77">
        <v>7.0000000000000001E-3</v>
      </c>
      <c r="F1949" s="77">
        <v>7.0000000000000001E-3</v>
      </c>
      <c r="G1949" s="78">
        <v>0</v>
      </c>
      <c r="K1949" s="106">
        <v>4.0999999999999995E-3</v>
      </c>
      <c r="L1949" s="80">
        <v>0</v>
      </c>
      <c r="M1949" s="75" t="s">
        <v>143</v>
      </c>
      <c r="N1949" s="75" t="b">
        <v>1</v>
      </c>
      <c r="O1949" s="75" t="s">
        <v>144</v>
      </c>
      <c r="P1949" s="75">
        <v>1994</v>
      </c>
      <c r="Q1949" s="107">
        <f t="shared" si="45"/>
        <v>2013</v>
      </c>
      <c r="R1949" s="107">
        <v>2</v>
      </c>
      <c r="S1949" s="117">
        <v>213048</v>
      </c>
      <c r="T1949" s="118">
        <v>41450</v>
      </c>
    </row>
    <row r="1950" spans="1:20" x14ac:dyDescent="0.3">
      <c r="A1950" s="42">
        <v>41391</v>
      </c>
      <c r="B1950" s="69">
        <f t="shared" si="46"/>
        <v>20130427</v>
      </c>
      <c r="C1950" s="70">
        <v>2.1899999999999999E-2</v>
      </c>
      <c r="D1950" s="77">
        <v>7.0000000000000001E-3</v>
      </c>
      <c r="E1950" s="77">
        <v>7.0000000000000001E-3</v>
      </c>
      <c r="F1950" s="77">
        <v>7.0000000000000001E-3</v>
      </c>
      <c r="G1950" s="78">
        <v>0</v>
      </c>
      <c r="K1950" s="106">
        <v>4.0999999999999995E-3</v>
      </c>
      <c r="L1950" s="80">
        <v>0</v>
      </c>
      <c r="M1950" s="75" t="s">
        <v>143</v>
      </c>
      <c r="N1950" s="75" t="b">
        <v>1</v>
      </c>
      <c r="O1950" s="75" t="s">
        <v>144</v>
      </c>
      <c r="P1950" s="75">
        <v>1994</v>
      </c>
      <c r="Q1950" s="107">
        <f t="shared" si="45"/>
        <v>2013</v>
      </c>
      <c r="R1950" s="107">
        <v>2</v>
      </c>
      <c r="S1950" s="117">
        <v>213048</v>
      </c>
      <c r="T1950" s="118">
        <v>41450</v>
      </c>
    </row>
    <row r="1951" spans="1:20" x14ac:dyDescent="0.3">
      <c r="A1951" s="42">
        <v>41392</v>
      </c>
      <c r="B1951" s="69">
        <f t="shared" si="46"/>
        <v>20130428</v>
      </c>
      <c r="C1951" s="70">
        <v>2.1899999999999999E-2</v>
      </c>
      <c r="D1951" s="77">
        <v>7.0000000000000001E-3</v>
      </c>
      <c r="E1951" s="77">
        <v>7.0000000000000001E-3</v>
      </c>
      <c r="F1951" s="77">
        <v>7.0000000000000001E-3</v>
      </c>
      <c r="G1951" s="78">
        <v>0</v>
      </c>
      <c r="K1951" s="106">
        <v>4.0999999999999995E-3</v>
      </c>
      <c r="L1951" s="80">
        <v>0</v>
      </c>
      <c r="M1951" s="75" t="s">
        <v>143</v>
      </c>
      <c r="N1951" s="75" t="b">
        <v>1</v>
      </c>
      <c r="O1951" s="75" t="s">
        <v>144</v>
      </c>
      <c r="P1951" s="75">
        <v>1994</v>
      </c>
      <c r="Q1951" s="107">
        <f t="shared" si="45"/>
        <v>2013</v>
      </c>
      <c r="R1951" s="107">
        <v>2</v>
      </c>
      <c r="S1951" s="117">
        <v>213048</v>
      </c>
      <c r="T1951" s="118">
        <v>41450</v>
      </c>
    </row>
    <row r="1952" spans="1:20" x14ac:dyDescent="0.3">
      <c r="A1952" s="42">
        <v>41393</v>
      </c>
      <c r="B1952" s="69">
        <f t="shared" si="46"/>
        <v>20130429</v>
      </c>
      <c r="C1952" s="70">
        <v>2.18E-2</v>
      </c>
      <c r="D1952" s="77">
        <v>7.0000000000000001E-3</v>
      </c>
      <c r="E1952" s="77">
        <v>7.0000000000000001E-3</v>
      </c>
      <c r="F1952" s="77">
        <v>7.0000000000000001E-3</v>
      </c>
      <c r="G1952" s="78">
        <v>0</v>
      </c>
      <c r="K1952" s="106">
        <v>4.0000000000000001E-3</v>
      </c>
      <c r="L1952" s="80">
        <v>0</v>
      </c>
      <c r="M1952" s="75" t="s">
        <v>143</v>
      </c>
      <c r="N1952" s="75" t="b">
        <v>1</v>
      </c>
      <c r="O1952" s="75" t="s">
        <v>144</v>
      </c>
      <c r="P1952" s="75">
        <v>1994</v>
      </c>
      <c r="Q1952" s="107">
        <f t="shared" si="45"/>
        <v>2013</v>
      </c>
      <c r="R1952" s="107">
        <v>2</v>
      </c>
      <c r="S1952" s="117">
        <v>213048</v>
      </c>
      <c r="T1952" s="118">
        <v>41450</v>
      </c>
    </row>
    <row r="1953" spans="1:20" x14ac:dyDescent="0.3">
      <c r="A1953" s="42">
        <v>41394</v>
      </c>
      <c r="B1953" s="69">
        <f t="shared" si="46"/>
        <v>20130430</v>
      </c>
      <c r="C1953" s="70">
        <v>2.1700000000000001E-2</v>
      </c>
      <c r="D1953" s="77">
        <v>7.0000000000000001E-3</v>
      </c>
      <c r="E1953" s="77">
        <v>7.0000000000000001E-3</v>
      </c>
      <c r="F1953" s="77">
        <v>7.0000000000000001E-3</v>
      </c>
      <c r="G1953" s="78">
        <v>0</v>
      </c>
      <c r="K1953" s="106">
        <v>4.0999999999999995E-3</v>
      </c>
      <c r="L1953" s="80">
        <v>0</v>
      </c>
      <c r="M1953" s="75" t="s">
        <v>143</v>
      </c>
      <c r="N1953" s="75" t="b">
        <v>1</v>
      </c>
      <c r="O1953" s="75" t="s">
        <v>144</v>
      </c>
      <c r="P1953" s="75">
        <v>1994</v>
      </c>
      <c r="Q1953" s="107">
        <f t="shared" si="45"/>
        <v>2013</v>
      </c>
      <c r="R1953" s="107">
        <v>2</v>
      </c>
      <c r="S1953" s="117">
        <v>213048</v>
      </c>
      <c r="T1953" s="118">
        <v>41450</v>
      </c>
    </row>
    <row r="1954" spans="1:20" x14ac:dyDescent="0.3">
      <c r="A1954" s="68">
        <v>41395</v>
      </c>
      <c r="B1954" s="69">
        <f t="shared" si="46"/>
        <v>20130501</v>
      </c>
      <c r="C1954" s="70">
        <v>2.1600000000000001E-2</v>
      </c>
      <c r="D1954" s="77">
        <v>7.0000000000000001E-3</v>
      </c>
      <c r="E1954" s="77">
        <v>7.0000000000000001E-3</v>
      </c>
      <c r="F1954" s="77">
        <v>7.0000000000000001E-3</v>
      </c>
      <c r="G1954" s="78">
        <v>0</v>
      </c>
      <c r="K1954" s="106">
        <v>4.0000000000000001E-3</v>
      </c>
      <c r="L1954" s="80">
        <v>0</v>
      </c>
      <c r="M1954" s="75" t="s">
        <v>143</v>
      </c>
      <c r="N1954" s="75" t="b">
        <v>1</v>
      </c>
      <c r="O1954" s="75" t="s">
        <v>144</v>
      </c>
      <c r="P1954" s="75">
        <v>1994</v>
      </c>
      <c r="Q1954" s="107">
        <f t="shared" si="45"/>
        <v>2013</v>
      </c>
      <c r="R1954" s="107">
        <v>2</v>
      </c>
      <c r="S1954" s="117">
        <v>213048</v>
      </c>
      <c r="T1954" s="118">
        <v>41450</v>
      </c>
    </row>
    <row r="1955" spans="1:20" x14ac:dyDescent="0.3">
      <c r="A1955" s="68">
        <v>41396</v>
      </c>
      <c r="B1955" s="69">
        <f t="shared" si="46"/>
        <v>20130502</v>
      </c>
      <c r="C1955" s="70">
        <v>2.1499999999999998E-2</v>
      </c>
      <c r="D1955" s="77">
        <v>7.0000000000000001E-3</v>
      </c>
      <c r="E1955" s="77">
        <v>7.0000000000000001E-3</v>
      </c>
      <c r="F1955" s="77">
        <v>7.0000000000000001E-3</v>
      </c>
      <c r="G1955" s="78">
        <v>0</v>
      </c>
      <c r="K1955" s="106">
        <v>4.0000000000000001E-3</v>
      </c>
      <c r="L1955" s="80">
        <v>0</v>
      </c>
      <c r="M1955" s="75" t="s">
        <v>143</v>
      </c>
      <c r="N1955" s="75" t="b">
        <v>1</v>
      </c>
      <c r="O1955" s="75" t="s">
        <v>144</v>
      </c>
      <c r="P1955" s="75">
        <v>1994</v>
      </c>
      <c r="Q1955" s="107">
        <f t="shared" si="45"/>
        <v>2013</v>
      </c>
      <c r="R1955" s="107">
        <v>2</v>
      </c>
      <c r="S1955" s="117">
        <v>213048</v>
      </c>
      <c r="T1955" s="118">
        <v>41450</v>
      </c>
    </row>
    <row r="1956" spans="1:20" x14ac:dyDescent="0.3">
      <c r="A1956" s="68">
        <v>41397</v>
      </c>
      <c r="B1956" s="69">
        <f t="shared" si="46"/>
        <v>20130503</v>
      </c>
      <c r="C1956" s="70">
        <v>2.2499999999999999E-2</v>
      </c>
      <c r="D1956" s="77">
        <v>7.0000000000000001E-3</v>
      </c>
      <c r="E1956" s="77">
        <v>7.0000000000000001E-3</v>
      </c>
      <c r="F1956" s="77">
        <v>7.0000000000000001E-3</v>
      </c>
      <c r="G1956" s="78">
        <v>0</v>
      </c>
      <c r="K1956" s="106">
        <v>4.4000000000000003E-3</v>
      </c>
      <c r="L1956" s="80">
        <v>0</v>
      </c>
      <c r="M1956" s="75" t="s">
        <v>143</v>
      </c>
      <c r="N1956" s="75" t="b">
        <v>1</v>
      </c>
      <c r="O1956" s="75" t="s">
        <v>144</v>
      </c>
      <c r="P1956" s="75">
        <v>1994</v>
      </c>
      <c r="Q1956" s="107">
        <f t="shared" si="45"/>
        <v>2013</v>
      </c>
      <c r="R1956" s="107">
        <v>2</v>
      </c>
      <c r="S1956" s="117">
        <v>213048</v>
      </c>
      <c r="T1956" s="118">
        <v>41450</v>
      </c>
    </row>
    <row r="1957" spans="1:20" x14ac:dyDescent="0.3">
      <c r="A1957" s="68">
        <v>41398</v>
      </c>
      <c r="B1957" s="69">
        <f>YEAR(A1957)*10000+MONTH(A1957)*100+DAY(A1957)</f>
        <v>20130504</v>
      </c>
      <c r="C1957" s="70">
        <v>2.2499999999999999E-2</v>
      </c>
      <c r="D1957" s="77">
        <v>7.0000000000000001E-3</v>
      </c>
      <c r="E1957" s="77">
        <v>7.0000000000000001E-3</v>
      </c>
      <c r="F1957" s="77">
        <v>7.0000000000000001E-3</v>
      </c>
      <c r="G1957" s="78">
        <v>0</v>
      </c>
      <c r="K1957" s="106">
        <v>4.4000000000000003E-3</v>
      </c>
      <c r="L1957" s="80">
        <v>0</v>
      </c>
      <c r="M1957" s="75" t="s">
        <v>143</v>
      </c>
      <c r="N1957" s="75" t="b">
        <v>1</v>
      </c>
      <c r="O1957" s="75" t="s">
        <v>144</v>
      </c>
      <c r="P1957" s="75">
        <v>1994</v>
      </c>
      <c r="Q1957" s="107">
        <f t="shared" si="45"/>
        <v>2013</v>
      </c>
      <c r="R1957" s="107">
        <v>2</v>
      </c>
      <c r="S1957" s="117">
        <v>213048</v>
      </c>
      <c r="T1957" s="118">
        <v>41450</v>
      </c>
    </row>
    <row r="1958" spans="1:20" x14ac:dyDescent="0.3">
      <c r="A1958" s="68">
        <v>41399</v>
      </c>
      <c r="B1958" s="69">
        <f>YEAR(A1958)*10000+MONTH(A1958)*100+DAY(A1958)</f>
        <v>20130505</v>
      </c>
      <c r="C1958" s="70">
        <v>2.2499999999999999E-2</v>
      </c>
      <c r="D1958" s="77">
        <v>7.0000000000000001E-3</v>
      </c>
      <c r="E1958" s="77">
        <v>7.0000000000000001E-3</v>
      </c>
      <c r="F1958" s="77">
        <v>7.0000000000000001E-3</v>
      </c>
      <c r="G1958" s="78">
        <v>0</v>
      </c>
      <c r="K1958" s="106">
        <v>4.4000000000000003E-3</v>
      </c>
      <c r="L1958" s="80">
        <v>0</v>
      </c>
      <c r="M1958" s="75" t="s">
        <v>143</v>
      </c>
      <c r="N1958" s="75" t="b">
        <v>1</v>
      </c>
      <c r="O1958" s="75" t="s">
        <v>144</v>
      </c>
      <c r="P1958" s="75">
        <v>1994</v>
      </c>
      <c r="Q1958" s="107">
        <f t="shared" si="45"/>
        <v>2013</v>
      </c>
      <c r="R1958" s="107">
        <v>2</v>
      </c>
      <c r="S1958" s="117">
        <v>213048</v>
      </c>
      <c r="T1958" s="118">
        <v>41450</v>
      </c>
    </row>
    <row r="1959" spans="1:20" x14ac:dyDescent="0.3">
      <c r="A1959" s="68">
        <v>41400</v>
      </c>
      <c r="B1959" s="69">
        <f t="shared" si="46"/>
        <v>20130506</v>
      </c>
      <c r="C1959" s="70">
        <v>2.2599999999999999E-2</v>
      </c>
      <c r="D1959" s="77">
        <v>7.0000000000000001E-3</v>
      </c>
      <c r="E1959" s="77">
        <v>7.0000000000000001E-3</v>
      </c>
      <c r="F1959" s="77">
        <v>7.0000000000000001E-3</v>
      </c>
      <c r="G1959" s="78">
        <v>0</v>
      </c>
      <c r="K1959" s="106">
        <v>4.5999999999999999E-3</v>
      </c>
      <c r="L1959" s="80">
        <v>0</v>
      </c>
      <c r="M1959" s="75" t="s">
        <v>143</v>
      </c>
      <c r="N1959" s="75" t="b">
        <v>1</v>
      </c>
      <c r="O1959" s="75" t="s">
        <v>144</v>
      </c>
      <c r="P1959" s="75">
        <v>1994</v>
      </c>
      <c r="Q1959" s="107">
        <f t="shared" si="45"/>
        <v>2013</v>
      </c>
      <c r="R1959" s="107">
        <v>2</v>
      </c>
      <c r="S1959" s="117">
        <v>213048</v>
      </c>
      <c r="T1959" s="118">
        <v>41450</v>
      </c>
    </row>
    <row r="1960" spans="1:20" x14ac:dyDescent="0.3">
      <c r="A1960" s="68">
        <v>41401</v>
      </c>
      <c r="B1960" s="69">
        <f t="shared" si="46"/>
        <v>20130507</v>
      </c>
      <c r="C1960" s="70">
        <v>2.2799999999999997E-2</v>
      </c>
      <c r="D1960" s="77">
        <v>7.0000000000000001E-3</v>
      </c>
      <c r="E1960" s="77">
        <v>7.0000000000000001E-3</v>
      </c>
      <c r="F1960" s="77">
        <v>7.0000000000000001E-3</v>
      </c>
      <c r="G1960" s="78">
        <v>0</v>
      </c>
      <c r="K1960" s="106">
        <v>4.7999999999999996E-3</v>
      </c>
      <c r="L1960" s="80">
        <v>0</v>
      </c>
      <c r="M1960" s="75" t="s">
        <v>143</v>
      </c>
      <c r="N1960" s="75" t="b">
        <v>1</v>
      </c>
      <c r="O1960" s="75" t="s">
        <v>144</v>
      </c>
      <c r="P1960" s="75">
        <v>1994</v>
      </c>
      <c r="Q1960" s="107">
        <f t="shared" si="45"/>
        <v>2013</v>
      </c>
      <c r="R1960" s="107">
        <v>2</v>
      </c>
      <c r="S1960" s="117">
        <v>213048</v>
      </c>
      <c r="T1960" s="118">
        <v>41450</v>
      </c>
    </row>
    <row r="1961" spans="1:20" x14ac:dyDescent="0.3">
      <c r="A1961" s="68">
        <v>41402</v>
      </c>
      <c r="B1961" s="69">
        <f t="shared" si="46"/>
        <v>20130508</v>
      </c>
      <c r="C1961" s="70">
        <v>2.2599999999999999E-2</v>
      </c>
      <c r="D1961" s="77">
        <v>7.0000000000000001E-3</v>
      </c>
      <c r="E1961" s="77">
        <v>7.0000000000000001E-3</v>
      </c>
      <c r="F1961" s="77">
        <v>7.0000000000000001E-3</v>
      </c>
      <c r="G1961" s="78">
        <v>0</v>
      </c>
      <c r="K1961" s="106">
        <v>4.7999999999999996E-3</v>
      </c>
      <c r="L1961" s="80">
        <v>0</v>
      </c>
      <c r="M1961" s="75" t="s">
        <v>143</v>
      </c>
      <c r="N1961" s="75" t="b">
        <v>1</v>
      </c>
      <c r="O1961" s="75" t="s">
        <v>144</v>
      </c>
      <c r="P1961" s="75">
        <v>1994</v>
      </c>
      <c r="Q1961" s="107">
        <f t="shared" si="45"/>
        <v>2013</v>
      </c>
      <c r="R1961" s="107">
        <v>2</v>
      </c>
      <c r="S1961" s="117">
        <v>213048</v>
      </c>
      <c r="T1961" s="118">
        <v>41450</v>
      </c>
    </row>
    <row r="1962" spans="1:20" x14ac:dyDescent="0.3">
      <c r="A1962" s="68">
        <v>41403</v>
      </c>
      <c r="B1962" s="69">
        <f t="shared" si="46"/>
        <v>20130509</v>
      </c>
      <c r="C1962" s="70">
        <v>2.2499999999999999E-2</v>
      </c>
      <c r="D1962" s="77">
        <v>7.0000000000000001E-3</v>
      </c>
      <c r="E1962" s="77">
        <v>7.0000000000000001E-3</v>
      </c>
      <c r="F1962" s="77">
        <v>7.0000000000000001E-3</v>
      </c>
      <c r="G1962" s="78">
        <v>0</v>
      </c>
      <c r="K1962" s="106">
        <v>4.6999999999999993E-3</v>
      </c>
      <c r="L1962" s="80">
        <v>0</v>
      </c>
      <c r="M1962" s="75" t="s">
        <v>143</v>
      </c>
      <c r="N1962" s="75" t="b">
        <v>1</v>
      </c>
      <c r="O1962" s="75" t="s">
        <v>144</v>
      </c>
      <c r="P1962" s="75">
        <v>1994</v>
      </c>
      <c r="Q1962" s="107">
        <f t="shared" si="45"/>
        <v>2013</v>
      </c>
      <c r="R1962" s="107">
        <v>2</v>
      </c>
      <c r="S1962" s="117">
        <v>213048</v>
      </c>
      <c r="T1962" s="118">
        <v>41450</v>
      </c>
    </row>
    <row r="1963" spans="1:20" x14ac:dyDescent="0.3">
      <c r="A1963" s="68">
        <v>41404</v>
      </c>
      <c r="B1963" s="69">
        <f t="shared" si="46"/>
        <v>20130510</v>
      </c>
      <c r="C1963" s="70">
        <v>2.3199999999999998E-2</v>
      </c>
      <c r="D1963" s="77">
        <v>7.0000000000000001E-3</v>
      </c>
      <c r="E1963" s="77">
        <v>7.0000000000000001E-3</v>
      </c>
      <c r="F1963" s="77">
        <v>7.0000000000000001E-3</v>
      </c>
      <c r="G1963" s="78">
        <v>0</v>
      </c>
      <c r="K1963" s="106">
        <v>5.1000000000000004E-3</v>
      </c>
      <c r="L1963" s="80">
        <v>0</v>
      </c>
      <c r="M1963" s="75" t="s">
        <v>143</v>
      </c>
      <c r="N1963" s="75" t="b">
        <v>1</v>
      </c>
      <c r="O1963" s="75" t="s">
        <v>144</v>
      </c>
      <c r="P1963" s="75">
        <v>1994</v>
      </c>
      <c r="Q1963" s="107">
        <f t="shared" si="45"/>
        <v>2013</v>
      </c>
      <c r="R1963" s="107">
        <v>2</v>
      </c>
      <c r="S1963" s="117">
        <v>213048</v>
      </c>
      <c r="T1963" s="118">
        <v>41450</v>
      </c>
    </row>
    <row r="1964" spans="1:20" x14ac:dyDescent="0.3">
      <c r="A1964" s="68">
        <v>41405</v>
      </c>
      <c r="B1964" s="69">
        <f>YEAR(A1964)*10000+MONTH(A1964)*100+DAY(A1964)</f>
        <v>20130511</v>
      </c>
      <c r="C1964" s="70">
        <v>2.3199999999999998E-2</v>
      </c>
      <c r="D1964" s="77">
        <v>7.0000000000000001E-3</v>
      </c>
      <c r="E1964" s="77">
        <v>7.0000000000000001E-3</v>
      </c>
      <c r="F1964" s="77">
        <v>7.0000000000000001E-3</v>
      </c>
      <c r="G1964" s="78">
        <v>0</v>
      </c>
      <c r="K1964" s="106">
        <v>5.1000000000000004E-3</v>
      </c>
      <c r="L1964" s="80">
        <v>0</v>
      </c>
      <c r="M1964" s="75" t="s">
        <v>143</v>
      </c>
      <c r="N1964" s="75" t="b">
        <v>1</v>
      </c>
      <c r="O1964" s="75" t="s">
        <v>144</v>
      </c>
      <c r="P1964" s="75">
        <v>1994</v>
      </c>
      <c r="Q1964" s="107">
        <f t="shared" si="45"/>
        <v>2013</v>
      </c>
      <c r="R1964" s="107">
        <v>2</v>
      </c>
      <c r="S1964" s="117">
        <v>213048</v>
      </c>
      <c r="T1964" s="118">
        <v>41450</v>
      </c>
    </row>
    <row r="1965" spans="1:20" x14ac:dyDescent="0.3">
      <c r="A1965" s="68">
        <v>41406</v>
      </c>
      <c r="B1965" s="69">
        <f>YEAR(A1965)*10000+MONTH(A1965)*100+DAY(A1965)</f>
        <v>20130512</v>
      </c>
      <c r="C1965" s="70">
        <v>2.3199999999999998E-2</v>
      </c>
      <c r="D1965" s="77">
        <v>7.0000000000000001E-3</v>
      </c>
      <c r="E1965" s="77">
        <v>7.0000000000000001E-3</v>
      </c>
      <c r="F1965" s="77">
        <v>7.0000000000000001E-3</v>
      </c>
      <c r="G1965" s="78">
        <v>0</v>
      </c>
      <c r="K1965" s="106">
        <v>5.1000000000000004E-3</v>
      </c>
      <c r="L1965" s="80">
        <v>0</v>
      </c>
      <c r="M1965" s="75" t="s">
        <v>143</v>
      </c>
      <c r="N1965" s="75" t="b">
        <v>1</v>
      </c>
      <c r="O1965" s="75" t="s">
        <v>144</v>
      </c>
      <c r="P1965" s="75">
        <v>1994</v>
      </c>
      <c r="Q1965" s="107">
        <f t="shared" si="45"/>
        <v>2013</v>
      </c>
      <c r="R1965" s="107">
        <v>2</v>
      </c>
      <c r="S1965" s="117">
        <v>213048</v>
      </c>
      <c r="T1965" s="118">
        <v>41450</v>
      </c>
    </row>
    <row r="1966" spans="1:20" x14ac:dyDescent="0.3">
      <c r="A1966" s="68">
        <v>41407</v>
      </c>
      <c r="B1966" s="69">
        <f t="shared" si="46"/>
        <v>20130513</v>
      </c>
      <c r="C1966" s="70">
        <v>2.3399999999999997E-2</v>
      </c>
      <c r="D1966" s="77">
        <v>7.0000000000000001E-3</v>
      </c>
      <c r="E1966" s="77">
        <v>7.0000000000000001E-3</v>
      </c>
      <c r="F1966" s="77">
        <v>7.0000000000000001E-3</v>
      </c>
      <c r="G1966" s="78">
        <v>0</v>
      </c>
      <c r="K1966" s="106">
        <v>5.1999999999999998E-3</v>
      </c>
      <c r="L1966" s="80">
        <v>0</v>
      </c>
      <c r="M1966" s="75" t="s">
        <v>143</v>
      </c>
      <c r="N1966" s="75" t="b">
        <v>1</v>
      </c>
      <c r="O1966" s="75" t="s">
        <v>144</v>
      </c>
      <c r="P1966" s="75">
        <v>1994</v>
      </c>
      <c r="Q1966" s="107">
        <f t="shared" ref="Q1966:Q2029" si="47">YEAR(A1966)</f>
        <v>2013</v>
      </c>
      <c r="R1966" s="107">
        <v>2</v>
      </c>
      <c r="S1966" s="117">
        <v>213048</v>
      </c>
      <c r="T1966" s="118">
        <v>41450</v>
      </c>
    </row>
    <row r="1967" spans="1:20" x14ac:dyDescent="0.3">
      <c r="A1967" s="68">
        <v>41408</v>
      </c>
      <c r="B1967" s="69">
        <f t="shared" si="46"/>
        <v>20130514</v>
      </c>
      <c r="C1967" s="70">
        <v>2.3700000000000002E-2</v>
      </c>
      <c r="D1967" s="77">
        <v>7.0000000000000001E-3</v>
      </c>
      <c r="E1967" s="77">
        <v>7.0000000000000001E-3</v>
      </c>
      <c r="F1967" s="77">
        <v>7.0000000000000001E-3</v>
      </c>
      <c r="G1967" s="78">
        <v>0</v>
      </c>
      <c r="K1967" s="106">
        <v>5.5000000000000005E-3</v>
      </c>
      <c r="L1967" s="80">
        <v>0</v>
      </c>
      <c r="M1967" s="75" t="s">
        <v>143</v>
      </c>
      <c r="N1967" s="75" t="b">
        <v>1</v>
      </c>
      <c r="O1967" s="75" t="s">
        <v>144</v>
      </c>
      <c r="P1967" s="75">
        <v>1994</v>
      </c>
      <c r="Q1967" s="107">
        <f t="shared" si="47"/>
        <v>2013</v>
      </c>
      <c r="R1967" s="107">
        <v>2</v>
      </c>
      <c r="S1967" s="117">
        <v>213048</v>
      </c>
      <c r="T1967" s="118">
        <v>41450</v>
      </c>
    </row>
    <row r="1968" spans="1:20" x14ac:dyDescent="0.3">
      <c r="A1968" s="68">
        <v>41409</v>
      </c>
      <c r="B1968" s="69">
        <f t="shared" si="46"/>
        <v>20130515</v>
      </c>
      <c r="C1968" s="70">
        <v>2.35E-2</v>
      </c>
      <c r="D1968" s="77">
        <v>7.0000000000000001E-3</v>
      </c>
      <c r="E1968" s="77">
        <v>7.0000000000000001E-3</v>
      </c>
      <c r="F1968" s="77">
        <v>7.0000000000000001E-3</v>
      </c>
      <c r="G1968" s="78">
        <v>0</v>
      </c>
      <c r="K1968" s="106">
        <v>5.6000000000000008E-3</v>
      </c>
      <c r="L1968" s="80">
        <v>0</v>
      </c>
      <c r="M1968" s="75" t="s">
        <v>143</v>
      </c>
      <c r="N1968" s="75" t="b">
        <v>1</v>
      </c>
      <c r="O1968" s="75" t="s">
        <v>144</v>
      </c>
      <c r="P1968" s="75">
        <v>1994</v>
      </c>
      <c r="Q1968" s="107">
        <f t="shared" si="47"/>
        <v>2013</v>
      </c>
      <c r="R1968" s="107">
        <v>2</v>
      </c>
      <c r="S1968" s="117">
        <v>213048</v>
      </c>
      <c r="T1968" s="118">
        <v>41450</v>
      </c>
    </row>
    <row r="1969" spans="1:20" x14ac:dyDescent="0.3">
      <c r="A1969" s="68">
        <v>41410</v>
      </c>
      <c r="B1969" s="69">
        <f t="shared" si="46"/>
        <v>20130516</v>
      </c>
      <c r="C1969" s="70">
        <v>2.3099999999999999E-2</v>
      </c>
      <c r="D1969" s="77">
        <v>7.0000000000000001E-3</v>
      </c>
      <c r="E1969" s="77">
        <v>7.0000000000000001E-3</v>
      </c>
      <c r="F1969" s="77">
        <v>7.0000000000000001E-3</v>
      </c>
      <c r="G1969" s="78">
        <v>0</v>
      </c>
      <c r="K1969" s="106">
        <v>5.3E-3</v>
      </c>
      <c r="L1969" s="80">
        <v>0</v>
      </c>
      <c r="M1969" s="75" t="s">
        <v>143</v>
      </c>
      <c r="N1969" s="75" t="b">
        <v>1</v>
      </c>
      <c r="O1969" s="75" t="s">
        <v>144</v>
      </c>
      <c r="P1969" s="75">
        <v>1994</v>
      </c>
      <c r="Q1969" s="107">
        <f t="shared" si="47"/>
        <v>2013</v>
      </c>
      <c r="R1969" s="107">
        <v>2</v>
      </c>
      <c r="S1969" s="117">
        <v>213048</v>
      </c>
      <c r="T1969" s="118">
        <v>41450</v>
      </c>
    </row>
    <row r="1970" spans="1:20" x14ac:dyDescent="0.3">
      <c r="A1970" s="68">
        <v>41411</v>
      </c>
      <c r="B1970" s="69">
        <f t="shared" si="46"/>
        <v>20130517</v>
      </c>
      <c r="C1970" s="70">
        <v>2.3399999999999997E-2</v>
      </c>
      <c r="D1970" s="77">
        <v>7.0000000000000001E-3</v>
      </c>
      <c r="E1970" s="77">
        <v>7.0000000000000001E-3</v>
      </c>
      <c r="F1970" s="77">
        <v>7.0000000000000001E-3</v>
      </c>
      <c r="G1970" s="78">
        <v>0</v>
      </c>
      <c r="K1970" s="106">
        <v>6.0000000000000001E-3</v>
      </c>
      <c r="L1970" s="80">
        <v>0</v>
      </c>
      <c r="M1970" s="75" t="s">
        <v>143</v>
      </c>
      <c r="N1970" s="75" t="b">
        <v>1</v>
      </c>
      <c r="O1970" s="75" t="s">
        <v>144</v>
      </c>
      <c r="P1970" s="75">
        <v>1994</v>
      </c>
      <c r="Q1970" s="107">
        <f t="shared" si="47"/>
        <v>2013</v>
      </c>
      <c r="R1970" s="107">
        <v>2</v>
      </c>
      <c r="S1970" s="117">
        <v>213048</v>
      </c>
      <c r="T1970" s="118">
        <v>41450</v>
      </c>
    </row>
    <row r="1971" spans="1:20" x14ac:dyDescent="0.3">
      <c r="A1971" s="68">
        <v>41412</v>
      </c>
      <c r="B1971" s="69">
        <f>YEAR(A1971)*10000+MONTH(A1971)*100+DAY(A1971)</f>
        <v>20130518</v>
      </c>
      <c r="C1971" s="70">
        <v>2.3399999999999997E-2</v>
      </c>
      <c r="D1971" s="77">
        <v>7.0000000000000001E-3</v>
      </c>
      <c r="E1971" s="77">
        <v>7.0000000000000001E-3</v>
      </c>
      <c r="F1971" s="77">
        <v>7.0000000000000001E-3</v>
      </c>
      <c r="G1971" s="78">
        <v>0</v>
      </c>
      <c r="K1971" s="106">
        <v>6.0000000000000001E-3</v>
      </c>
      <c r="L1971" s="80">
        <v>0</v>
      </c>
      <c r="M1971" s="75" t="s">
        <v>143</v>
      </c>
      <c r="N1971" s="75" t="b">
        <v>1</v>
      </c>
      <c r="O1971" s="75" t="s">
        <v>144</v>
      </c>
      <c r="P1971" s="75">
        <v>1994</v>
      </c>
      <c r="Q1971" s="107">
        <f t="shared" si="47"/>
        <v>2013</v>
      </c>
      <c r="R1971" s="107">
        <v>2</v>
      </c>
      <c r="S1971" s="117">
        <v>213048</v>
      </c>
      <c r="T1971" s="118">
        <v>41450</v>
      </c>
    </row>
    <row r="1972" spans="1:20" x14ac:dyDescent="0.3">
      <c r="A1972" s="68">
        <v>41413</v>
      </c>
      <c r="B1972" s="69">
        <f>YEAR(A1972)*10000+MONTH(A1972)*100+DAY(A1972)</f>
        <v>20130519</v>
      </c>
      <c r="C1972" s="70">
        <v>2.3399999999999997E-2</v>
      </c>
      <c r="D1972" s="77">
        <v>7.0000000000000001E-3</v>
      </c>
      <c r="E1972" s="77">
        <v>7.0000000000000001E-3</v>
      </c>
      <c r="F1972" s="77">
        <v>7.0000000000000001E-3</v>
      </c>
      <c r="G1972" s="78">
        <v>0</v>
      </c>
      <c r="K1972" s="106">
        <v>6.0000000000000001E-3</v>
      </c>
      <c r="L1972" s="80">
        <v>0</v>
      </c>
      <c r="M1972" s="75" t="s">
        <v>143</v>
      </c>
      <c r="N1972" s="75" t="b">
        <v>1</v>
      </c>
      <c r="O1972" s="75" t="s">
        <v>144</v>
      </c>
      <c r="P1972" s="75">
        <v>1994</v>
      </c>
      <c r="Q1972" s="107">
        <f t="shared" si="47"/>
        <v>2013</v>
      </c>
      <c r="R1972" s="107">
        <v>2</v>
      </c>
      <c r="S1972" s="117">
        <v>213048</v>
      </c>
      <c r="T1972" s="118">
        <v>41450</v>
      </c>
    </row>
    <row r="1973" spans="1:20" x14ac:dyDescent="0.3">
      <c r="A1973" s="68">
        <v>41414</v>
      </c>
      <c r="B1973" s="69">
        <f t="shared" si="46"/>
        <v>20130520</v>
      </c>
      <c r="C1973" s="70">
        <v>2.3399999999999997E-2</v>
      </c>
      <c r="D1973" s="77">
        <v>7.0000000000000001E-3</v>
      </c>
      <c r="E1973" s="77">
        <v>7.0000000000000001E-3</v>
      </c>
      <c r="F1973" s="77">
        <v>7.0000000000000001E-3</v>
      </c>
      <c r="G1973" s="78">
        <v>0</v>
      </c>
      <c r="K1973" s="106">
        <v>6.0000000000000001E-3</v>
      </c>
      <c r="L1973" s="80">
        <v>0</v>
      </c>
      <c r="M1973" s="75" t="s">
        <v>143</v>
      </c>
      <c r="N1973" s="75" t="b">
        <v>1</v>
      </c>
      <c r="O1973" s="75" t="s">
        <v>144</v>
      </c>
      <c r="P1973" s="75">
        <v>1994</v>
      </c>
      <c r="Q1973" s="107">
        <f t="shared" si="47"/>
        <v>2013</v>
      </c>
      <c r="R1973" s="107">
        <v>2</v>
      </c>
      <c r="S1973" s="117">
        <v>213048</v>
      </c>
      <c r="T1973" s="118">
        <v>41450</v>
      </c>
    </row>
    <row r="1974" spans="1:20" x14ac:dyDescent="0.3">
      <c r="A1974" s="68">
        <v>41415</v>
      </c>
      <c r="B1974" s="69">
        <f t="shared" si="46"/>
        <v>20130521</v>
      </c>
      <c r="C1974" s="70">
        <v>2.3399999999999997E-2</v>
      </c>
      <c r="D1974" s="77">
        <v>7.0000000000000001E-3</v>
      </c>
      <c r="E1974" s="77">
        <v>7.0000000000000001E-3</v>
      </c>
      <c r="F1974" s="77">
        <v>7.0000000000000001E-3</v>
      </c>
      <c r="G1974" s="78">
        <v>0</v>
      </c>
      <c r="K1974" s="106">
        <v>5.6999999999999993E-3</v>
      </c>
      <c r="L1974" s="80">
        <v>0</v>
      </c>
      <c r="M1974" s="75" t="s">
        <v>143</v>
      </c>
      <c r="N1974" s="75" t="b">
        <v>1</v>
      </c>
      <c r="O1974" s="75" t="s">
        <v>144</v>
      </c>
      <c r="P1974" s="75">
        <v>1994</v>
      </c>
      <c r="Q1974" s="107">
        <f t="shared" si="47"/>
        <v>2013</v>
      </c>
      <c r="R1974" s="107">
        <v>2</v>
      </c>
      <c r="S1974" s="117">
        <v>213048</v>
      </c>
      <c r="T1974" s="118">
        <v>41450</v>
      </c>
    </row>
    <row r="1975" spans="1:20" x14ac:dyDescent="0.3">
      <c r="A1975" s="68">
        <v>41416</v>
      </c>
      <c r="B1975" s="69">
        <f t="shared" si="46"/>
        <v>20130522</v>
      </c>
      <c r="C1975" s="70">
        <v>2.3799999999999998E-2</v>
      </c>
      <c r="D1975" s="77">
        <v>7.0000000000000001E-3</v>
      </c>
      <c r="E1975" s="77">
        <v>7.0000000000000001E-3</v>
      </c>
      <c r="F1975" s="77">
        <v>7.0000000000000001E-3</v>
      </c>
      <c r="G1975" s="78">
        <v>0</v>
      </c>
      <c r="K1975" s="106">
        <v>6.0999999999999995E-3</v>
      </c>
      <c r="L1975" s="80">
        <v>0</v>
      </c>
      <c r="M1975" s="75" t="s">
        <v>143</v>
      </c>
      <c r="N1975" s="75" t="b">
        <v>1</v>
      </c>
      <c r="O1975" s="75" t="s">
        <v>144</v>
      </c>
      <c r="P1975" s="75">
        <v>1994</v>
      </c>
      <c r="Q1975" s="107">
        <f t="shared" si="47"/>
        <v>2013</v>
      </c>
      <c r="R1975" s="107">
        <v>2</v>
      </c>
      <c r="S1975" s="117">
        <v>213048</v>
      </c>
      <c r="T1975" s="118">
        <v>41450</v>
      </c>
    </row>
    <row r="1976" spans="1:20" x14ac:dyDescent="0.3">
      <c r="A1976" s="68">
        <v>41417</v>
      </c>
      <c r="B1976" s="69">
        <f t="shared" si="46"/>
        <v>20130523</v>
      </c>
      <c r="C1976" s="70">
        <v>2.3900000000000001E-2</v>
      </c>
      <c r="D1976" s="77">
        <v>7.0000000000000001E-3</v>
      </c>
      <c r="E1976" s="77">
        <v>7.0000000000000001E-3</v>
      </c>
      <c r="F1976" s="77">
        <v>7.0000000000000001E-3</v>
      </c>
      <c r="G1976" s="78">
        <v>0</v>
      </c>
      <c r="K1976" s="106">
        <v>6.0999999999999995E-3</v>
      </c>
      <c r="L1976" s="80">
        <v>0</v>
      </c>
      <c r="M1976" s="75" t="s">
        <v>143</v>
      </c>
      <c r="N1976" s="75" t="b">
        <v>1</v>
      </c>
      <c r="O1976" s="75" t="s">
        <v>144</v>
      </c>
      <c r="P1976" s="75">
        <v>1994</v>
      </c>
      <c r="Q1976" s="107">
        <f t="shared" si="47"/>
        <v>2013</v>
      </c>
      <c r="R1976" s="107">
        <v>2</v>
      </c>
      <c r="S1976" s="117">
        <v>213048</v>
      </c>
      <c r="T1976" s="118">
        <v>41450</v>
      </c>
    </row>
    <row r="1977" spans="1:20" x14ac:dyDescent="0.3">
      <c r="A1977" s="68">
        <v>41418</v>
      </c>
      <c r="B1977" s="69">
        <f t="shared" si="46"/>
        <v>20130524</v>
      </c>
      <c r="C1977" s="70">
        <v>2.3799999999999998E-2</v>
      </c>
      <c r="D1977" s="77">
        <v>7.0000000000000001E-3</v>
      </c>
      <c r="E1977" s="77">
        <v>7.0000000000000001E-3</v>
      </c>
      <c r="F1977" s="77">
        <v>7.0000000000000001E-3</v>
      </c>
      <c r="G1977" s="78">
        <v>0</v>
      </c>
      <c r="K1977" s="106">
        <v>6.0000000000000001E-3</v>
      </c>
      <c r="L1977" s="80">
        <v>0</v>
      </c>
      <c r="M1977" s="75" t="s">
        <v>143</v>
      </c>
      <c r="N1977" s="75" t="b">
        <v>1</v>
      </c>
      <c r="O1977" s="75" t="s">
        <v>144</v>
      </c>
      <c r="P1977" s="75">
        <v>1994</v>
      </c>
      <c r="Q1977" s="107">
        <f t="shared" si="47"/>
        <v>2013</v>
      </c>
      <c r="R1977" s="107">
        <v>2</v>
      </c>
      <c r="S1977" s="117">
        <v>213048</v>
      </c>
      <c r="T1977" s="118">
        <v>41450</v>
      </c>
    </row>
    <row r="1978" spans="1:20" x14ac:dyDescent="0.3">
      <c r="A1978" s="68">
        <v>41419</v>
      </c>
      <c r="B1978" s="69">
        <f>YEAR(A1978)*10000+MONTH(A1978)*100+DAY(A1978)</f>
        <v>20130525</v>
      </c>
      <c r="C1978" s="70">
        <v>2.3799999999999998E-2</v>
      </c>
      <c r="D1978" s="77">
        <v>7.0000000000000001E-3</v>
      </c>
      <c r="E1978" s="77">
        <v>7.0000000000000001E-3</v>
      </c>
      <c r="F1978" s="77">
        <v>7.0000000000000001E-3</v>
      </c>
      <c r="G1978" s="78">
        <v>0</v>
      </c>
      <c r="K1978" s="106">
        <v>6.0000000000000001E-3</v>
      </c>
      <c r="L1978" s="80">
        <v>0</v>
      </c>
      <c r="M1978" s="75" t="s">
        <v>143</v>
      </c>
      <c r="N1978" s="75" t="b">
        <v>1</v>
      </c>
      <c r="O1978" s="75" t="s">
        <v>144</v>
      </c>
      <c r="P1978" s="75">
        <v>1994</v>
      </c>
      <c r="Q1978" s="107">
        <f t="shared" si="47"/>
        <v>2013</v>
      </c>
      <c r="R1978" s="107">
        <v>2</v>
      </c>
      <c r="S1978" s="117">
        <v>213048</v>
      </c>
      <c r="T1978" s="118">
        <v>41450</v>
      </c>
    </row>
    <row r="1979" spans="1:20" x14ac:dyDescent="0.3">
      <c r="A1979" s="68">
        <v>41420</v>
      </c>
      <c r="B1979" s="69">
        <f>YEAR(A1979)*10000+MONTH(A1979)*100+DAY(A1979)</f>
        <v>20130526</v>
      </c>
      <c r="C1979" s="70">
        <v>2.3799999999999998E-2</v>
      </c>
      <c r="D1979" s="77">
        <v>7.0000000000000001E-3</v>
      </c>
      <c r="E1979" s="77">
        <v>7.0000000000000001E-3</v>
      </c>
      <c r="F1979" s="77">
        <v>7.0000000000000001E-3</v>
      </c>
      <c r="G1979" s="78">
        <v>0</v>
      </c>
      <c r="K1979" s="106">
        <v>6.0000000000000001E-3</v>
      </c>
      <c r="L1979" s="80">
        <v>0</v>
      </c>
      <c r="M1979" s="75" t="s">
        <v>143</v>
      </c>
      <c r="N1979" s="75" t="b">
        <v>1</v>
      </c>
      <c r="O1979" s="75" t="s">
        <v>144</v>
      </c>
      <c r="P1979" s="75">
        <v>1994</v>
      </c>
      <c r="Q1979" s="107">
        <f t="shared" si="47"/>
        <v>2013</v>
      </c>
      <c r="R1979" s="107">
        <v>2</v>
      </c>
      <c r="S1979" s="117">
        <v>213048</v>
      </c>
      <c r="T1979" s="118">
        <v>41450</v>
      </c>
    </row>
    <row r="1980" spans="1:20" x14ac:dyDescent="0.3">
      <c r="A1980" s="68">
        <v>41421</v>
      </c>
      <c r="B1980" s="69">
        <f t="shared" si="46"/>
        <v>20130527</v>
      </c>
      <c r="C1980" s="70">
        <v>2.4199999999999999E-2</v>
      </c>
      <c r="D1980" s="77">
        <v>7.0000000000000001E-3</v>
      </c>
      <c r="E1980" s="77">
        <v>7.0000000000000001E-3</v>
      </c>
      <c r="F1980" s="77">
        <v>7.0000000000000001E-3</v>
      </c>
      <c r="G1980" s="78">
        <v>0</v>
      </c>
      <c r="K1980" s="106">
        <v>6.1999999999999998E-3</v>
      </c>
      <c r="L1980" s="80">
        <v>0</v>
      </c>
      <c r="M1980" s="75" t="s">
        <v>143</v>
      </c>
      <c r="N1980" s="75" t="b">
        <v>1</v>
      </c>
      <c r="O1980" s="75" t="s">
        <v>144</v>
      </c>
      <c r="P1980" s="75">
        <v>1994</v>
      </c>
      <c r="Q1980" s="107">
        <f t="shared" si="47"/>
        <v>2013</v>
      </c>
      <c r="R1980" s="107">
        <v>2</v>
      </c>
      <c r="S1980" s="117">
        <v>213048</v>
      </c>
      <c r="T1980" s="118">
        <v>41450</v>
      </c>
    </row>
    <row r="1981" spans="1:20" x14ac:dyDescent="0.3">
      <c r="A1981" s="68">
        <v>41422</v>
      </c>
      <c r="B1981" s="69">
        <f t="shared" si="46"/>
        <v>20130528</v>
      </c>
      <c r="C1981" s="70">
        <v>2.4900000000000002E-2</v>
      </c>
      <c r="D1981" s="77">
        <v>7.0000000000000001E-3</v>
      </c>
      <c r="E1981" s="77">
        <v>7.0000000000000001E-3</v>
      </c>
      <c r="F1981" s="77">
        <v>7.0000000000000001E-3</v>
      </c>
      <c r="G1981" s="78">
        <v>0</v>
      </c>
      <c r="K1981" s="106">
        <v>6.5000000000000006E-3</v>
      </c>
      <c r="L1981" s="80">
        <v>0</v>
      </c>
      <c r="M1981" s="75" t="s">
        <v>143</v>
      </c>
      <c r="N1981" s="75" t="b">
        <v>1</v>
      </c>
      <c r="O1981" s="75" t="s">
        <v>144</v>
      </c>
      <c r="P1981" s="75">
        <v>1994</v>
      </c>
      <c r="Q1981" s="107">
        <f t="shared" si="47"/>
        <v>2013</v>
      </c>
      <c r="R1981" s="107">
        <v>2</v>
      </c>
      <c r="S1981" s="117">
        <v>213048</v>
      </c>
      <c r="T1981" s="118">
        <v>41450</v>
      </c>
    </row>
    <row r="1982" spans="1:20" x14ac:dyDescent="0.3">
      <c r="A1982" s="68">
        <v>41423</v>
      </c>
      <c r="B1982" s="69">
        <f t="shared" si="46"/>
        <v>20130529</v>
      </c>
      <c r="C1982" s="70">
        <v>2.4799999999999999E-2</v>
      </c>
      <c r="D1982" s="77">
        <v>7.0000000000000001E-3</v>
      </c>
      <c r="E1982" s="77">
        <v>7.0000000000000001E-3</v>
      </c>
      <c r="F1982" s="77">
        <v>7.0000000000000001E-3</v>
      </c>
      <c r="G1982" s="78">
        <v>0</v>
      </c>
      <c r="K1982" s="106">
        <v>6.8000000000000005E-3</v>
      </c>
      <c r="L1982" s="80">
        <v>0</v>
      </c>
      <c r="M1982" s="75" t="s">
        <v>143</v>
      </c>
      <c r="N1982" s="75" t="b">
        <v>1</v>
      </c>
      <c r="O1982" s="75" t="s">
        <v>144</v>
      </c>
      <c r="P1982" s="75">
        <v>1994</v>
      </c>
      <c r="Q1982" s="107">
        <f t="shared" si="47"/>
        <v>2013</v>
      </c>
      <c r="R1982" s="107">
        <v>2</v>
      </c>
      <c r="S1982" s="117">
        <v>213048</v>
      </c>
      <c r="T1982" s="118">
        <v>41450</v>
      </c>
    </row>
    <row r="1983" spans="1:20" x14ac:dyDescent="0.3">
      <c r="A1983" s="68">
        <v>41424</v>
      </c>
      <c r="B1983" s="69">
        <f t="shared" si="46"/>
        <v>20130530</v>
      </c>
      <c r="C1983" s="70">
        <v>2.4700000000000003E-2</v>
      </c>
      <c r="D1983" s="77">
        <v>7.0000000000000001E-3</v>
      </c>
      <c r="E1983" s="77">
        <v>7.0000000000000001E-3</v>
      </c>
      <c r="F1983" s="77">
        <v>7.0000000000000001E-3</v>
      </c>
      <c r="G1983" s="78">
        <v>0</v>
      </c>
      <c r="K1983" s="106">
        <v>6.8000000000000005E-3</v>
      </c>
      <c r="L1983" s="80">
        <v>0</v>
      </c>
      <c r="M1983" s="75" t="s">
        <v>143</v>
      </c>
      <c r="N1983" s="75" t="b">
        <v>1</v>
      </c>
      <c r="O1983" s="75" t="s">
        <v>144</v>
      </c>
      <c r="P1983" s="75">
        <v>1994</v>
      </c>
      <c r="Q1983" s="107">
        <f t="shared" si="47"/>
        <v>2013</v>
      </c>
      <c r="R1983" s="107">
        <v>2</v>
      </c>
      <c r="S1983" s="117">
        <v>213048</v>
      </c>
      <c r="T1983" s="118">
        <v>41450</v>
      </c>
    </row>
    <row r="1984" spans="1:20" x14ac:dyDescent="0.3">
      <c r="A1984" s="68">
        <v>41425</v>
      </c>
      <c r="B1984" s="69">
        <f>YEAR(A1984)*10000+MONTH(A1984)*100+DAY(A1984)</f>
        <v>20130531</v>
      </c>
      <c r="C1984" s="70">
        <v>2.46E-2</v>
      </c>
      <c r="D1984" s="77">
        <v>7.0000000000000001E-3</v>
      </c>
      <c r="E1984" s="77">
        <v>7.0000000000000001E-3</v>
      </c>
      <c r="F1984" s="77">
        <v>7.0000000000000001E-3</v>
      </c>
      <c r="G1984" s="78">
        <v>0</v>
      </c>
      <c r="K1984" s="106">
        <v>6.5000000000000006E-3</v>
      </c>
      <c r="L1984" s="80">
        <v>0</v>
      </c>
      <c r="M1984" s="75" t="s">
        <v>143</v>
      </c>
      <c r="N1984" s="75" t="b">
        <v>1</v>
      </c>
      <c r="O1984" s="75" t="s">
        <v>144</v>
      </c>
      <c r="P1984" s="75">
        <v>1994</v>
      </c>
      <c r="Q1984" s="107">
        <f t="shared" si="47"/>
        <v>2013</v>
      </c>
      <c r="R1984" s="107">
        <v>2</v>
      </c>
      <c r="S1984" s="117">
        <v>213048</v>
      </c>
      <c r="T1984" s="118">
        <v>41450</v>
      </c>
    </row>
    <row r="1985" spans="1:20" x14ac:dyDescent="0.3">
      <c r="A1985" s="68">
        <v>41426</v>
      </c>
      <c r="B1985" s="69">
        <f>YEAR(A1985)*10000+MONTH(A1985)*100+DAY(A1985)</f>
        <v>20130601</v>
      </c>
      <c r="C1985" s="70">
        <v>2.46E-2</v>
      </c>
      <c r="D1985" s="77">
        <v>7.0000000000000001E-3</v>
      </c>
      <c r="E1985" s="77">
        <v>7.0000000000000001E-3</v>
      </c>
      <c r="F1985" s="77">
        <v>7.0000000000000001E-3</v>
      </c>
      <c r="G1985" s="78">
        <v>0</v>
      </c>
      <c r="K1985" s="106">
        <v>6.5000000000000006E-3</v>
      </c>
      <c r="L1985" s="80">
        <v>0</v>
      </c>
      <c r="M1985" s="75" t="s">
        <v>143</v>
      </c>
      <c r="N1985" s="75" t="b">
        <v>1</v>
      </c>
      <c r="O1985" s="75" t="s">
        <v>144</v>
      </c>
      <c r="P1985" s="75">
        <v>1994</v>
      </c>
      <c r="Q1985" s="107">
        <f t="shared" si="47"/>
        <v>2013</v>
      </c>
      <c r="R1985" s="107">
        <v>2</v>
      </c>
      <c r="S1985" s="117">
        <v>213048</v>
      </c>
      <c r="T1985" s="118">
        <v>41450</v>
      </c>
    </row>
    <row r="1986" spans="1:20" x14ac:dyDescent="0.3">
      <c r="A1986" s="68">
        <v>41427</v>
      </c>
      <c r="B1986" s="69">
        <f>YEAR(A1986)*10000+MONTH(A1986)*100+DAY(A1986)</f>
        <v>20130602</v>
      </c>
      <c r="C1986" s="70">
        <v>2.46E-2</v>
      </c>
      <c r="D1986" s="77">
        <v>7.0000000000000001E-3</v>
      </c>
      <c r="E1986" s="77">
        <v>7.0000000000000001E-3</v>
      </c>
      <c r="F1986" s="77">
        <v>7.0000000000000001E-3</v>
      </c>
      <c r="G1986" s="78">
        <v>0</v>
      </c>
      <c r="K1986" s="106">
        <v>6.5000000000000006E-3</v>
      </c>
      <c r="L1986" s="80">
        <v>0</v>
      </c>
      <c r="M1986" s="75" t="s">
        <v>143</v>
      </c>
      <c r="N1986" s="75" t="b">
        <v>1</v>
      </c>
      <c r="O1986" s="75" t="s">
        <v>144</v>
      </c>
      <c r="P1986" s="75">
        <v>1994</v>
      </c>
      <c r="Q1986" s="107">
        <f t="shared" si="47"/>
        <v>2013</v>
      </c>
      <c r="R1986" s="107">
        <v>2</v>
      </c>
      <c r="S1986" s="117">
        <v>213048</v>
      </c>
      <c r="T1986" s="118">
        <v>41450</v>
      </c>
    </row>
    <row r="1987" spans="1:20" x14ac:dyDescent="0.3">
      <c r="A1987" s="68">
        <v>41428</v>
      </c>
      <c r="B1987" s="69">
        <f t="shared" ref="B1987:B2011" si="48">YEAR(A1987)*10000+MONTH(A1987)*100+DAY(A1987)</f>
        <v>20130603</v>
      </c>
      <c r="C1987" s="70">
        <v>2.53E-2</v>
      </c>
      <c r="D1987" s="77">
        <v>7.0000000000000001E-3</v>
      </c>
      <c r="E1987" s="77">
        <v>7.0000000000000001E-3</v>
      </c>
      <c r="F1987" s="77">
        <v>7.0000000000000001E-3</v>
      </c>
      <c r="G1987" s="78">
        <v>0</v>
      </c>
      <c r="K1987" s="106">
        <v>6.0999999999999995E-3</v>
      </c>
      <c r="L1987" s="80">
        <v>0</v>
      </c>
      <c r="M1987" s="75" t="s">
        <v>143</v>
      </c>
      <c r="N1987" s="75" t="b">
        <v>1</v>
      </c>
      <c r="O1987" s="75" t="s">
        <v>144</v>
      </c>
      <c r="P1987" s="75">
        <v>1994</v>
      </c>
      <c r="Q1987" s="107">
        <f t="shared" si="47"/>
        <v>2013</v>
      </c>
      <c r="R1987" s="107">
        <v>2</v>
      </c>
      <c r="S1987" s="117">
        <v>213048</v>
      </c>
      <c r="T1987" s="118">
        <v>41450</v>
      </c>
    </row>
    <row r="1988" spans="1:20" x14ac:dyDescent="0.3">
      <c r="A1988" s="68">
        <v>41429</v>
      </c>
      <c r="B1988" s="69">
        <f t="shared" si="48"/>
        <v>20130604</v>
      </c>
      <c r="C1988" s="70">
        <v>2.5600000000000001E-2</v>
      </c>
      <c r="D1988" s="77">
        <v>7.0000000000000001E-3</v>
      </c>
      <c r="E1988" s="77">
        <v>7.0000000000000001E-3</v>
      </c>
      <c r="F1988" s="77">
        <v>7.0000000000000001E-3</v>
      </c>
      <c r="G1988" s="78">
        <v>0</v>
      </c>
      <c r="K1988" s="106">
        <v>6.1999999999999998E-3</v>
      </c>
      <c r="L1988" s="80">
        <v>0</v>
      </c>
      <c r="M1988" s="75" t="s">
        <v>143</v>
      </c>
      <c r="N1988" s="75" t="b">
        <v>1</v>
      </c>
      <c r="O1988" s="75" t="s">
        <v>144</v>
      </c>
      <c r="P1988" s="75">
        <v>1994</v>
      </c>
      <c r="Q1988" s="107">
        <f t="shared" si="47"/>
        <v>2013</v>
      </c>
      <c r="R1988" s="107">
        <v>2</v>
      </c>
      <c r="S1988" s="117">
        <v>213048</v>
      </c>
      <c r="T1988" s="118">
        <v>41450</v>
      </c>
    </row>
    <row r="1989" spans="1:20" x14ac:dyDescent="0.3">
      <c r="A1989" s="68">
        <v>41430</v>
      </c>
      <c r="B1989" s="69">
        <f t="shared" si="48"/>
        <v>20130605</v>
      </c>
      <c r="C1989" s="70">
        <v>2.5399999999999999E-2</v>
      </c>
      <c r="D1989" s="77">
        <v>7.0000000000000001E-3</v>
      </c>
      <c r="E1989" s="77">
        <v>7.0000000000000001E-3</v>
      </c>
      <c r="F1989" s="77">
        <v>7.0000000000000001E-3</v>
      </c>
      <c r="G1989" s="78">
        <v>0</v>
      </c>
      <c r="K1989" s="106">
        <v>6.5000000000000006E-3</v>
      </c>
      <c r="L1989" s="80">
        <v>0</v>
      </c>
      <c r="M1989" s="75" t="s">
        <v>143</v>
      </c>
      <c r="N1989" s="75" t="b">
        <v>1</v>
      </c>
      <c r="O1989" s="75" t="s">
        <v>144</v>
      </c>
      <c r="P1989" s="75">
        <v>1994</v>
      </c>
      <c r="Q1989" s="107">
        <f t="shared" si="47"/>
        <v>2013</v>
      </c>
      <c r="R1989" s="107">
        <v>2</v>
      </c>
      <c r="S1989" s="117">
        <v>213048</v>
      </c>
      <c r="T1989" s="118">
        <v>41450</v>
      </c>
    </row>
    <row r="1990" spans="1:20" x14ac:dyDescent="0.3">
      <c r="A1990" s="68">
        <v>41431</v>
      </c>
      <c r="B1990" s="69">
        <f t="shared" si="48"/>
        <v>20130606</v>
      </c>
      <c r="C1990" s="70">
        <v>2.53E-2</v>
      </c>
      <c r="D1990" s="77">
        <v>7.0000000000000001E-3</v>
      </c>
      <c r="E1990" s="77">
        <v>7.0000000000000001E-3</v>
      </c>
      <c r="F1990" s="77">
        <v>7.0000000000000001E-3</v>
      </c>
      <c r="G1990" s="78">
        <v>0</v>
      </c>
      <c r="K1990" s="106">
        <v>6.8999999999999999E-3</v>
      </c>
      <c r="L1990" s="80">
        <v>0</v>
      </c>
      <c r="M1990" s="75" t="s">
        <v>143</v>
      </c>
      <c r="N1990" s="75" t="b">
        <v>1</v>
      </c>
      <c r="O1990" s="75" t="s">
        <v>144</v>
      </c>
      <c r="P1990" s="75">
        <v>1994</v>
      </c>
      <c r="Q1990" s="107">
        <f t="shared" si="47"/>
        <v>2013</v>
      </c>
      <c r="R1990" s="107">
        <v>2</v>
      </c>
      <c r="S1990" s="117">
        <v>213048</v>
      </c>
      <c r="T1990" s="118">
        <v>41450</v>
      </c>
    </row>
    <row r="1991" spans="1:20" x14ac:dyDescent="0.3">
      <c r="A1991" s="68">
        <v>41432</v>
      </c>
      <c r="B1991" s="69">
        <f t="shared" si="48"/>
        <v>20130607</v>
      </c>
      <c r="C1991" s="70">
        <v>2.63E-2</v>
      </c>
      <c r="D1991" s="77">
        <v>7.0000000000000001E-3</v>
      </c>
      <c r="E1991" s="77">
        <v>7.0000000000000001E-3</v>
      </c>
      <c r="F1991" s="77">
        <v>7.0000000000000001E-3</v>
      </c>
      <c r="G1991" s="78">
        <v>0</v>
      </c>
      <c r="K1991" s="106">
        <v>8.0000000000000002E-3</v>
      </c>
      <c r="L1991" s="80">
        <v>0</v>
      </c>
      <c r="M1991" s="75" t="s">
        <v>143</v>
      </c>
      <c r="N1991" s="75" t="b">
        <v>1</v>
      </c>
      <c r="O1991" s="75" t="s">
        <v>144</v>
      </c>
      <c r="P1991" s="75">
        <v>1994</v>
      </c>
      <c r="Q1991" s="107">
        <f t="shared" si="47"/>
        <v>2013</v>
      </c>
      <c r="R1991" s="107">
        <v>2</v>
      </c>
      <c r="S1991" s="117">
        <v>213048</v>
      </c>
      <c r="T1991" s="118">
        <v>41450</v>
      </c>
    </row>
    <row r="1992" spans="1:20" x14ac:dyDescent="0.3">
      <c r="A1992" s="68">
        <v>41433</v>
      </c>
      <c r="B1992" s="69">
        <f t="shared" si="48"/>
        <v>20130608</v>
      </c>
      <c r="C1992" s="70">
        <v>2.63E-2</v>
      </c>
      <c r="D1992" s="77">
        <v>7.0000000000000001E-3</v>
      </c>
      <c r="E1992" s="77">
        <v>7.0000000000000001E-3</v>
      </c>
      <c r="F1992" s="77">
        <v>7.0000000000000001E-3</v>
      </c>
      <c r="G1992" s="78">
        <v>0</v>
      </c>
      <c r="K1992" s="106">
        <v>8.0000000000000002E-3</v>
      </c>
      <c r="L1992" s="80">
        <v>0</v>
      </c>
      <c r="M1992" s="75" t="s">
        <v>143</v>
      </c>
      <c r="N1992" s="75" t="b">
        <v>1</v>
      </c>
      <c r="O1992" s="75" t="s">
        <v>144</v>
      </c>
      <c r="P1992" s="75">
        <v>1994</v>
      </c>
      <c r="Q1992" s="107">
        <f t="shared" si="47"/>
        <v>2013</v>
      </c>
      <c r="R1992" s="107">
        <v>2</v>
      </c>
      <c r="S1992" s="117">
        <v>213048</v>
      </c>
      <c r="T1992" s="118">
        <v>41450</v>
      </c>
    </row>
    <row r="1993" spans="1:20" x14ac:dyDescent="0.3">
      <c r="A1993" s="68">
        <v>41434</v>
      </c>
      <c r="B1993" s="69">
        <f t="shared" si="48"/>
        <v>20130609</v>
      </c>
      <c r="C1993" s="70">
        <v>2.63E-2</v>
      </c>
      <c r="D1993" s="77">
        <v>7.0000000000000001E-3</v>
      </c>
      <c r="E1993" s="77">
        <v>7.0000000000000001E-3</v>
      </c>
      <c r="F1993" s="77">
        <v>7.0000000000000001E-3</v>
      </c>
      <c r="G1993" s="78">
        <v>0</v>
      </c>
      <c r="K1993" s="106">
        <v>8.0000000000000002E-3</v>
      </c>
      <c r="L1993" s="80">
        <v>0</v>
      </c>
      <c r="M1993" s="75" t="s">
        <v>143</v>
      </c>
      <c r="N1993" s="75" t="b">
        <v>1</v>
      </c>
      <c r="O1993" s="75" t="s">
        <v>144</v>
      </c>
      <c r="P1993" s="75">
        <v>1994</v>
      </c>
      <c r="Q1993" s="107">
        <f t="shared" si="47"/>
        <v>2013</v>
      </c>
      <c r="R1993" s="107">
        <v>2</v>
      </c>
      <c r="S1993" s="117">
        <v>213048</v>
      </c>
      <c r="T1993" s="118">
        <v>41450</v>
      </c>
    </row>
    <row r="1994" spans="1:20" x14ac:dyDescent="0.3">
      <c r="A1994" s="68">
        <v>41435</v>
      </c>
      <c r="B1994" s="69">
        <f t="shared" si="48"/>
        <v>20130610</v>
      </c>
      <c r="C1994" s="70">
        <v>2.6699999999999998E-2</v>
      </c>
      <c r="D1994" s="77">
        <v>7.0000000000000001E-3</v>
      </c>
      <c r="E1994" s="77">
        <v>7.0000000000000001E-3</v>
      </c>
      <c r="F1994" s="77">
        <v>7.0000000000000001E-3</v>
      </c>
      <c r="G1994" s="78">
        <v>0</v>
      </c>
      <c r="K1994" s="106">
        <v>8.5000000000000006E-3</v>
      </c>
      <c r="L1994" s="80">
        <v>0</v>
      </c>
      <c r="M1994" s="75" t="s">
        <v>143</v>
      </c>
      <c r="N1994" s="75" t="b">
        <v>1</v>
      </c>
      <c r="O1994" s="75" t="s">
        <v>144</v>
      </c>
      <c r="P1994" s="75">
        <v>1994</v>
      </c>
      <c r="Q1994" s="107">
        <f t="shared" si="47"/>
        <v>2013</v>
      </c>
      <c r="R1994" s="107">
        <v>2</v>
      </c>
      <c r="S1994" s="117">
        <v>213048</v>
      </c>
      <c r="T1994" s="118">
        <v>41450</v>
      </c>
    </row>
    <row r="1995" spans="1:20" x14ac:dyDescent="0.3">
      <c r="A1995" s="68">
        <v>41436</v>
      </c>
      <c r="B1995" s="69">
        <f t="shared" si="48"/>
        <v>20130611</v>
      </c>
      <c r="C1995" s="70">
        <v>2.64E-2</v>
      </c>
      <c r="D1995" s="77">
        <v>7.0000000000000001E-3</v>
      </c>
      <c r="E1995" s="77">
        <v>7.0000000000000001E-3</v>
      </c>
      <c r="F1995" s="77">
        <v>7.0000000000000001E-3</v>
      </c>
      <c r="G1995" s="78">
        <v>0</v>
      </c>
      <c r="K1995" s="106">
        <v>8.6999999999999994E-3</v>
      </c>
      <c r="L1995" s="80">
        <v>0</v>
      </c>
      <c r="M1995" s="75" t="s">
        <v>143</v>
      </c>
      <c r="N1995" s="75" t="b">
        <v>1</v>
      </c>
      <c r="O1995" s="75" t="s">
        <v>144</v>
      </c>
      <c r="P1995" s="75">
        <v>1994</v>
      </c>
      <c r="Q1995" s="107">
        <f t="shared" si="47"/>
        <v>2013</v>
      </c>
      <c r="R1995" s="107">
        <v>2</v>
      </c>
      <c r="S1995" s="117">
        <v>213048</v>
      </c>
      <c r="T1995" s="118">
        <v>41450</v>
      </c>
    </row>
    <row r="1996" spans="1:20" x14ac:dyDescent="0.3">
      <c r="A1996" s="68">
        <v>41437</v>
      </c>
      <c r="B1996" s="69">
        <f t="shared" si="48"/>
        <v>20130612</v>
      </c>
      <c r="C1996" s="70">
        <v>2.6699999999999998E-2</v>
      </c>
      <c r="D1996" s="77">
        <v>7.0000000000000001E-3</v>
      </c>
      <c r="E1996" s="77">
        <v>7.0000000000000001E-3</v>
      </c>
      <c r="F1996" s="77">
        <v>7.0000000000000001E-3</v>
      </c>
      <c r="G1996" s="78">
        <v>0</v>
      </c>
      <c r="K1996" s="106">
        <v>9.0000000000000011E-3</v>
      </c>
      <c r="L1996" s="80">
        <v>0</v>
      </c>
      <c r="M1996" s="75" t="s">
        <v>143</v>
      </c>
      <c r="N1996" s="75" t="b">
        <v>1</v>
      </c>
      <c r="O1996" s="75" t="s">
        <v>144</v>
      </c>
      <c r="P1996" s="75">
        <v>1994</v>
      </c>
      <c r="Q1996" s="107">
        <f t="shared" si="47"/>
        <v>2013</v>
      </c>
      <c r="R1996" s="107">
        <v>2</v>
      </c>
      <c r="S1996" s="117">
        <v>213048</v>
      </c>
      <c r="T1996" s="118">
        <v>41450</v>
      </c>
    </row>
    <row r="1997" spans="1:20" x14ac:dyDescent="0.3">
      <c r="A1997" s="68">
        <v>41438</v>
      </c>
      <c r="B1997" s="69">
        <f t="shared" si="48"/>
        <v>20130613</v>
      </c>
      <c r="C1997" s="70">
        <v>2.6099999999999998E-2</v>
      </c>
      <c r="D1997" s="77">
        <v>7.0000000000000001E-3</v>
      </c>
      <c r="E1997" s="77">
        <v>7.0000000000000001E-3</v>
      </c>
      <c r="F1997" s="77">
        <v>7.0000000000000001E-3</v>
      </c>
      <c r="G1997" s="78">
        <v>0</v>
      </c>
      <c r="K1997" s="106">
        <v>8.1000000000000013E-3</v>
      </c>
      <c r="L1997" s="80">
        <v>0</v>
      </c>
      <c r="M1997" s="75" t="s">
        <v>143</v>
      </c>
      <c r="N1997" s="75" t="b">
        <v>1</v>
      </c>
      <c r="O1997" s="75" t="s">
        <v>144</v>
      </c>
      <c r="P1997" s="75">
        <v>1994</v>
      </c>
      <c r="Q1997" s="107">
        <f t="shared" si="47"/>
        <v>2013</v>
      </c>
      <c r="R1997" s="107">
        <v>2</v>
      </c>
      <c r="S1997" s="117">
        <v>213048</v>
      </c>
      <c r="T1997" s="118">
        <v>41450</v>
      </c>
    </row>
    <row r="1998" spans="1:20" x14ac:dyDescent="0.3">
      <c r="A1998" s="68">
        <v>41439</v>
      </c>
      <c r="B1998" s="69">
        <f t="shared" si="48"/>
        <v>20130614</v>
      </c>
      <c r="C1998" s="70">
        <v>2.5899999999999999E-2</v>
      </c>
      <c r="D1998" s="77">
        <v>7.0000000000000001E-3</v>
      </c>
      <c r="E1998" s="77">
        <v>7.0000000000000001E-3</v>
      </c>
      <c r="F1998" s="77">
        <v>7.0000000000000001E-3</v>
      </c>
      <c r="G1998" s="78">
        <v>0</v>
      </c>
      <c r="K1998" s="106">
        <v>8.199999999999999E-3</v>
      </c>
      <c r="L1998" s="80">
        <v>0</v>
      </c>
      <c r="M1998" s="75" t="s">
        <v>143</v>
      </c>
      <c r="N1998" s="75" t="b">
        <v>1</v>
      </c>
      <c r="O1998" s="75" t="s">
        <v>144</v>
      </c>
      <c r="P1998" s="75">
        <v>1994</v>
      </c>
      <c r="Q1998" s="107">
        <f t="shared" si="47"/>
        <v>2013</v>
      </c>
      <c r="R1998" s="107">
        <v>2</v>
      </c>
      <c r="S1998" s="117">
        <v>213048</v>
      </c>
      <c r="T1998" s="118">
        <v>41450</v>
      </c>
    </row>
    <row r="1999" spans="1:20" x14ac:dyDescent="0.3">
      <c r="A1999" s="68">
        <v>41440</v>
      </c>
      <c r="B1999" s="69">
        <f>YEAR(A1999)*10000+MONTH(A1999)*100+DAY(A1999)</f>
        <v>20130615</v>
      </c>
      <c r="C1999" s="70">
        <v>2.5899999999999999E-2</v>
      </c>
      <c r="D1999" s="77">
        <v>7.0000000000000001E-3</v>
      </c>
      <c r="E1999" s="77">
        <v>7.0000000000000001E-3</v>
      </c>
      <c r="F1999" s="77">
        <v>7.0000000000000001E-3</v>
      </c>
      <c r="G1999" s="78">
        <v>0</v>
      </c>
      <c r="K1999" s="106">
        <v>8.199999999999999E-3</v>
      </c>
      <c r="L1999" s="80">
        <v>0</v>
      </c>
      <c r="M1999" s="75" t="s">
        <v>143</v>
      </c>
      <c r="N1999" s="75" t="b">
        <v>1</v>
      </c>
      <c r="O1999" s="75" t="s">
        <v>144</v>
      </c>
      <c r="P1999" s="75">
        <v>1994</v>
      </c>
      <c r="Q1999" s="107">
        <f t="shared" si="47"/>
        <v>2013</v>
      </c>
      <c r="R1999" s="107">
        <v>2</v>
      </c>
      <c r="S1999" s="117">
        <v>213048</v>
      </c>
      <c r="T1999" s="118">
        <v>41450</v>
      </c>
    </row>
    <row r="2000" spans="1:20" x14ac:dyDescent="0.3">
      <c r="A2000" s="68">
        <v>41441</v>
      </c>
      <c r="B2000" s="69">
        <f>YEAR(A2000)*10000+MONTH(A2000)*100+DAY(A2000)</f>
        <v>20130616</v>
      </c>
      <c r="C2000" s="70">
        <v>2.5899999999999999E-2</v>
      </c>
      <c r="D2000" s="77">
        <v>7.0000000000000001E-3</v>
      </c>
      <c r="E2000" s="77">
        <v>7.0000000000000001E-3</v>
      </c>
      <c r="F2000" s="77">
        <v>7.0000000000000001E-3</v>
      </c>
      <c r="G2000" s="78">
        <v>0</v>
      </c>
      <c r="K2000" s="106">
        <v>8.199999999999999E-3</v>
      </c>
      <c r="L2000" s="80">
        <v>0</v>
      </c>
      <c r="M2000" s="75" t="s">
        <v>143</v>
      </c>
      <c r="N2000" s="75" t="b">
        <v>1</v>
      </c>
      <c r="O2000" s="75" t="s">
        <v>144</v>
      </c>
      <c r="P2000" s="75">
        <v>1994</v>
      </c>
      <c r="Q2000" s="107">
        <f t="shared" si="47"/>
        <v>2013</v>
      </c>
      <c r="R2000" s="107">
        <v>2</v>
      </c>
      <c r="S2000" s="117">
        <v>213048</v>
      </c>
      <c r="T2000" s="118">
        <v>41450</v>
      </c>
    </row>
    <row r="2001" spans="1:21" x14ac:dyDescent="0.3">
      <c r="A2001" s="68">
        <v>41442</v>
      </c>
      <c r="B2001" s="69">
        <f t="shared" si="48"/>
        <v>20130617</v>
      </c>
      <c r="C2001" s="70">
        <v>2.6099999999999998E-2</v>
      </c>
      <c r="D2001" s="77">
        <v>7.0000000000000001E-3</v>
      </c>
      <c r="E2001" s="77">
        <v>7.0000000000000001E-3</v>
      </c>
      <c r="F2001" s="77">
        <v>7.0000000000000001E-3</v>
      </c>
      <c r="G2001" s="78">
        <v>0</v>
      </c>
      <c r="K2001" s="106">
        <v>8.3999999999999995E-3</v>
      </c>
      <c r="L2001" s="80">
        <v>0</v>
      </c>
      <c r="M2001" s="75" t="s">
        <v>143</v>
      </c>
      <c r="N2001" s="75" t="b">
        <v>1</v>
      </c>
      <c r="O2001" s="75" t="s">
        <v>144</v>
      </c>
      <c r="P2001" s="75">
        <v>1994</v>
      </c>
      <c r="Q2001" s="107">
        <f t="shared" si="47"/>
        <v>2013</v>
      </c>
      <c r="R2001" s="107">
        <v>2</v>
      </c>
      <c r="S2001" s="117">
        <v>213048</v>
      </c>
      <c r="T2001" s="118">
        <v>41450</v>
      </c>
    </row>
    <row r="2002" spans="1:21" x14ac:dyDescent="0.3">
      <c r="A2002" s="68">
        <v>41443</v>
      </c>
      <c r="B2002" s="69">
        <f t="shared" si="48"/>
        <v>20130618</v>
      </c>
      <c r="C2002" s="70">
        <v>2.6200000000000001E-2</v>
      </c>
      <c r="D2002" s="77">
        <v>7.0000000000000001E-3</v>
      </c>
      <c r="E2002" s="77">
        <v>7.0000000000000001E-3</v>
      </c>
      <c r="F2002" s="77">
        <v>7.0000000000000001E-3</v>
      </c>
      <c r="G2002" s="78">
        <v>0</v>
      </c>
      <c r="K2002" s="106">
        <v>8.5000000000000006E-3</v>
      </c>
      <c r="L2002" s="80">
        <v>0</v>
      </c>
      <c r="M2002" s="75" t="s">
        <v>143</v>
      </c>
      <c r="N2002" s="75" t="b">
        <v>1</v>
      </c>
      <c r="O2002" s="75" t="s">
        <v>144</v>
      </c>
      <c r="P2002" s="75">
        <v>1994</v>
      </c>
      <c r="Q2002" s="107">
        <f t="shared" si="47"/>
        <v>2013</v>
      </c>
      <c r="R2002" s="107">
        <v>2</v>
      </c>
      <c r="S2002" s="117">
        <v>213048</v>
      </c>
      <c r="T2002" s="118">
        <v>41450</v>
      </c>
    </row>
    <row r="2003" spans="1:21" x14ac:dyDescent="0.3">
      <c r="A2003" s="68">
        <v>41444</v>
      </c>
      <c r="B2003" s="69">
        <f t="shared" si="48"/>
        <v>20130619</v>
      </c>
      <c r="C2003" s="70">
        <v>2.6800000000000001E-2</v>
      </c>
      <c r="D2003" s="77">
        <v>7.0000000000000001E-3</v>
      </c>
      <c r="E2003" s="77">
        <v>7.0000000000000001E-3</v>
      </c>
      <c r="F2003" s="77">
        <v>7.0000000000000001E-3</v>
      </c>
      <c r="G2003" s="78">
        <v>0</v>
      </c>
      <c r="K2003" s="106">
        <v>8.8999999999999999E-3</v>
      </c>
      <c r="L2003" s="80">
        <v>0</v>
      </c>
      <c r="M2003" s="75" t="s">
        <v>143</v>
      </c>
      <c r="N2003" s="75" t="b">
        <v>1</v>
      </c>
      <c r="O2003" s="75" t="s">
        <v>144</v>
      </c>
      <c r="P2003" s="75">
        <v>1994</v>
      </c>
      <c r="Q2003" s="107">
        <f t="shared" si="47"/>
        <v>2013</v>
      </c>
      <c r="R2003" s="107">
        <v>2</v>
      </c>
      <c r="S2003" s="117">
        <v>213048</v>
      </c>
      <c r="T2003" s="118">
        <v>41450</v>
      </c>
    </row>
    <row r="2004" spans="1:21" x14ac:dyDescent="0.3">
      <c r="A2004" s="68">
        <v>41445</v>
      </c>
      <c r="B2004" s="69">
        <f t="shared" si="48"/>
        <v>20130620</v>
      </c>
      <c r="C2004" s="70">
        <v>2.7300000000000001E-2</v>
      </c>
      <c r="D2004" s="77">
        <v>7.0000000000000001E-3</v>
      </c>
      <c r="E2004" s="77">
        <v>7.0000000000000001E-3</v>
      </c>
      <c r="F2004" s="77">
        <v>7.0000000000000001E-3</v>
      </c>
      <c r="G2004" s="78">
        <v>0</v>
      </c>
      <c r="K2004" s="106">
        <v>9.7000000000000003E-3</v>
      </c>
      <c r="L2004" s="80">
        <v>0</v>
      </c>
      <c r="M2004" s="75" t="s">
        <v>143</v>
      </c>
      <c r="N2004" s="75" t="b">
        <v>1</v>
      </c>
      <c r="O2004" s="75" t="s">
        <v>144</v>
      </c>
      <c r="P2004" s="75">
        <v>1994</v>
      </c>
      <c r="Q2004" s="107">
        <f t="shared" si="47"/>
        <v>2013</v>
      </c>
      <c r="R2004" s="107">
        <v>2</v>
      </c>
      <c r="S2004" s="117">
        <v>213048</v>
      </c>
      <c r="T2004" s="118">
        <v>41450</v>
      </c>
    </row>
    <row r="2005" spans="1:21" x14ac:dyDescent="0.3">
      <c r="A2005" s="68">
        <v>41446</v>
      </c>
      <c r="B2005" s="69">
        <f t="shared" si="48"/>
        <v>20130621</v>
      </c>
      <c r="C2005" s="70">
        <v>2.8399999999999998E-2</v>
      </c>
      <c r="D2005" s="77">
        <v>7.0000000000000001E-3</v>
      </c>
      <c r="E2005" s="77">
        <v>7.0000000000000001E-3</v>
      </c>
      <c r="F2005" s="77">
        <v>7.0000000000000001E-3</v>
      </c>
      <c r="G2005" s="78">
        <v>0</v>
      </c>
      <c r="K2005" s="106">
        <v>1.1000000000000001E-2</v>
      </c>
      <c r="L2005" s="80">
        <v>0</v>
      </c>
      <c r="M2005" s="75" t="s">
        <v>143</v>
      </c>
      <c r="N2005" s="75" t="b">
        <v>1</v>
      </c>
      <c r="O2005" s="75" t="s">
        <v>144</v>
      </c>
      <c r="P2005" s="75">
        <v>1994</v>
      </c>
      <c r="Q2005" s="107">
        <f t="shared" si="47"/>
        <v>2013</v>
      </c>
      <c r="R2005" s="107">
        <v>2</v>
      </c>
      <c r="S2005" s="117">
        <v>213048</v>
      </c>
      <c r="T2005" s="118">
        <v>41450</v>
      </c>
    </row>
    <row r="2006" spans="1:21" x14ac:dyDescent="0.3">
      <c r="A2006" s="68">
        <v>41447</v>
      </c>
      <c r="B2006" s="69">
        <f>YEAR(A2006)*10000+MONTH(A2006)*100+DAY(A2006)</f>
        <v>20130622</v>
      </c>
      <c r="C2006" s="70">
        <v>2.8399999999999998E-2</v>
      </c>
      <c r="D2006" s="77">
        <v>7.0000000000000001E-3</v>
      </c>
      <c r="E2006" s="77">
        <v>7.0000000000000001E-3</v>
      </c>
      <c r="F2006" s="77">
        <v>7.0000000000000001E-3</v>
      </c>
      <c r="G2006" s="78">
        <v>0</v>
      </c>
      <c r="K2006" s="106">
        <v>1.1000000000000001E-2</v>
      </c>
      <c r="L2006" s="80">
        <v>0</v>
      </c>
      <c r="M2006" s="75" t="s">
        <v>143</v>
      </c>
      <c r="N2006" s="75" t="b">
        <v>1</v>
      </c>
      <c r="O2006" s="75" t="s">
        <v>144</v>
      </c>
      <c r="P2006" s="75">
        <v>1994</v>
      </c>
      <c r="Q2006" s="107">
        <f t="shared" si="47"/>
        <v>2013</v>
      </c>
      <c r="R2006" s="107">
        <v>2</v>
      </c>
      <c r="S2006" s="117">
        <v>213048</v>
      </c>
      <c r="T2006" s="118">
        <v>41450</v>
      </c>
    </row>
    <row r="2007" spans="1:21" x14ac:dyDescent="0.3">
      <c r="A2007" s="68">
        <v>41448</v>
      </c>
      <c r="B2007" s="69">
        <f>YEAR(A2007)*10000+MONTH(A2007)*100+DAY(A2007)</f>
        <v>20130623</v>
      </c>
      <c r="C2007" s="70">
        <v>2.8399999999999998E-2</v>
      </c>
      <c r="D2007" s="77">
        <v>7.0000000000000001E-3</v>
      </c>
      <c r="E2007" s="77">
        <v>7.0000000000000001E-3</v>
      </c>
      <c r="F2007" s="77">
        <v>7.0000000000000001E-3</v>
      </c>
      <c r="G2007" s="78">
        <v>0</v>
      </c>
      <c r="K2007" s="106">
        <v>1.1000000000000001E-2</v>
      </c>
      <c r="L2007" s="80">
        <v>0</v>
      </c>
      <c r="M2007" s="75" t="s">
        <v>143</v>
      </c>
      <c r="N2007" s="75" t="b">
        <v>1</v>
      </c>
      <c r="O2007" s="75" t="s">
        <v>144</v>
      </c>
      <c r="P2007" s="75">
        <v>1994</v>
      </c>
      <c r="Q2007" s="107">
        <f t="shared" si="47"/>
        <v>2013</v>
      </c>
      <c r="R2007" s="107">
        <v>2</v>
      </c>
      <c r="S2007" s="117">
        <v>213048</v>
      </c>
      <c r="T2007" s="118">
        <v>41450</v>
      </c>
    </row>
    <row r="2008" spans="1:21" x14ac:dyDescent="0.3">
      <c r="A2008" s="68">
        <v>41449</v>
      </c>
      <c r="B2008" s="69">
        <f t="shared" si="48"/>
        <v>20130624</v>
      </c>
      <c r="C2008" s="70">
        <v>2.87E-2</v>
      </c>
      <c r="D2008" s="77">
        <v>7.0000000000000001E-3</v>
      </c>
      <c r="E2008" s="77">
        <v>7.0000000000000001E-3</v>
      </c>
      <c r="F2008" s="77">
        <v>7.0000000000000001E-3</v>
      </c>
      <c r="G2008" s="78">
        <v>0</v>
      </c>
      <c r="K2008" s="106">
        <v>1.1200000000000002E-2</v>
      </c>
      <c r="L2008" s="80">
        <v>0</v>
      </c>
      <c r="M2008" s="75" t="s">
        <v>143</v>
      </c>
      <c r="N2008" s="75" t="b">
        <v>1</v>
      </c>
      <c r="O2008" s="75" t="s">
        <v>144</v>
      </c>
      <c r="P2008" s="75">
        <v>1994</v>
      </c>
      <c r="Q2008" s="107">
        <f t="shared" si="47"/>
        <v>2013</v>
      </c>
      <c r="R2008" s="107">
        <v>2</v>
      </c>
      <c r="S2008" s="117">
        <v>213048</v>
      </c>
      <c r="T2008" s="118">
        <v>41450</v>
      </c>
    </row>
    <row r="2009" spans="1:21" x14ac:dyDescent="0.3">
      <c r="A2009" s="68">
        <v>41450</v>
      </c>
      <c r="B2009" s="69">
        <f t="shared" si="48"/>
        <v>20130625</v>
      </c>
      <c r="C2009" s="70">
        <v>2.9100000000000001E-2</v>
      </c>
      <c r="D2009" s="77">
        <v>7.0000000000000001E-3</v>
      </c>
      <c r="E2009" s="77">
        <v>7.0000000000000001E-3</v>
      </c>
      <c r="F2009" s="77">
        <v>7.0000000000000001E-3</v>
      </c>
      <c r="G2009" s="78">
        <v>0</v>
      </c>
      <c r="K2009" s="106">
        <v>1.1299999999999999E-2</v>
      </c>
      <c r="L2009" s="80">
        <v>0</v>
      </c>
      <c r="M2009" s="75" t="s">
        <v>143</v>
      </c>
      <c r="N2009" s="75" t="b">
        <v>1</v>
      </c>
      <c r="O2009" s="75" t="s">
        <v>144</v>
      </c>
      <c r="P2009" s="75">
        <v>1994</v>
      </c>
      <c r="Q2009" s="107">
        <f t="shared" si="47"/>
        <v>2013</v>
      </c>
      <c r="R2009" s="107">
        <v>2</v>
      </c>
      <c r="S2009" s="117">
        <v>213048</v>
      </c>
      <c r="T2009" s="118">
        <v>41450</v>
      </c>
    </row>
    <row r="2010" spans="1:21" x14ac:dyDescent="0.3">
      <c r="A2010" s="68">
        <v>41451</v>
      </c>
      <c r="B2010" s="69">
        <f t="shared" si="48"/>
        <v>20130626</v>
      </c>
      <c r="C2010" s="70">
        <v>2.8999999999999998E-2</v>
      </c>
      <c r="D2010" s="77">
        <v>7.0000000000000001E-3</v>
      </c>
      <c r="E2010" s="77">
        <v>7.0000000000000001E-3</v>
      </c>
      <c r="F2010" s="77">
        <v>7.0000000000000001E-3</v>
      </c>
      <c r="G2010" s="78">
        <v>0</v>
      </c>
      <c r="K2010" s="106">
        <v>1.1200000000000002E-2</v>
      </c>
      <c r="L2010" s="80">
        <v>0</v>
      </c>
      <c r="M2010" s="75" t="s">
        <v>143</v>
      </c>
      <c r="N2010" s="75" t="b">
        <v>1</v>
      </c>
      <c r="O2010" s="75" t="s">
        <v>144</v>
      </c>
      <c r="P2010" s="75">
        <v>1994</v>
      </c>
      <c r="Q2010" s="107">
        <f t="shared" si="47"/>
        <v>2013</v>
      </c>
      <c r="R2010" s="107">
        <v>2</v>
      </c>
      <c r="S2010" s="117">
        <v>213048</v>
      </c>
      <c r="T2010" s="118">
        <v>41450</v>
      </c>
    </row>
    <row r="2011" spans="1:21" x14ac:dyDescent="0.3">
      <c r="A2011" s="68">
        <v>41452</v>
      </c>
      <c r="B2011" s="69">
        <f t="shared" si="48"/>
        <v>20130627</v>
      </c>
      <c r="C2011" s="70">
        <v>2.8399999999999998E-2</v>
      </c>
      <c r="D2011" s="77">
        <v>7.0000000000000001E-3</v>
      </c>
      <c r="E2011" s="77">
        <v>7.0000000000000001E-3</v>
      </c>
      <c r="F2011" s="77">
        <v>7.0000000000000001E-3</v>
      </c>
      <c r="G2011" s="78">
        <v>0</v>
      </c>
      <c r="K2011" s="106">
        <v>1.06E-2</v>
      </c>
      <c r="L2011" s="80">
        <v>0</v>
      </c>
      <c r="M2011" s="75" t="s">
        <v>143</v>
      </c>
      <c r="N2011" s="75" t="b">
        <v>1</v>
      </c>
      <c r="O2011" s="75" t="s">
        <v>144</v>
      </c>
      <c r="P2011" s="75">
        <v>1994</v>
      </c>
      <c r="Q2011" s="107">
        <f t="shared" si="47"/>
        <v>2013</v>
      </c>
      <c r="R2011" s="107">
        <v>2</v>
      </c>
      <c r="S2011" s="117">
        <v>213048</v>
      </c>
      <c r="T2011" s="118">
        <v>41450</v>
      </c>
    </row>
    <row r="2012" spans="1:21" x14ac:dyDescent="0.3">
      <c r="A2012" s="68">
        <v>41453</v>
      </c>
      <c r="B2012" s="69">
        <f>YEAR(A2012)*10000+MONTH(A2012)*100+DAY(A2012)</f>
        <v>20130628</v>
      </c>
      <c r="C2012" s="70">
        <v>2.8399999999999998E-2</v>
      </c>
      <c r="D2012" s="77">
        <v>7.0000000000000001E-3</v>
      </c>
      <c r="E2012" s="77">
        <v>7.0000000000000001E-3</v>
      </c>
      <c r="F2012" s="77">
        <v>7.0000000000000001E-3</v>
      </c>
      <c r="G2012" s="78">
        <v>0</v>
      </c>
      <c r="K2012" s="106">
        <v>1.0500000000000001E-2</v>
      </c>
      <c r="L2012" s="80">
        <v>0</v>
      </c>
      <c r="M2012" s="75" t="s">
        <v>143</v>
      </c>
      <c r="N2012" s="75" t="b">
        <v>1</v>
      </c>
      <c r="O2012" s="75" t="s">
        <v>144</v>
      </c>
      <c r="P2012" s="75">
        <v>1994</v>
      </c>
      <c r="Q2012" s="107">
        <f t="shared" si="47"/>
        <v>2013</v>
      </c>
      <c r="R2012" s="107">
        <v>2</v>
      </c>
      <c r="S2012" s="117">
        <v>213048</v>
      </c>
      <c r="T2012" s="118">
        <v>41450</v>
      </c>
    </row>
    <row r="2013" spans="1:21" x14ac:dyDescent="0.3">
      <c r="A2013" s="68">
        <v>41454</v>
      </c>
      <c r="B2013" s="69">
        <f>YEAR(A2013)*10000+MONTH(A2013)*100+DAY(A2013)</f>
        <v>20130629</v>
      </c>
      <c r="C2013" s="70">
        <v>2.8399999999999998E-2</v>
      </c>
      <c r="D2013" s="77">
        <v>7.0000000000000001E-3</v>
      </c>
      <c r="E2013" s="77">
        <v>7.0000000000000001E-3</v>
      </c>
      <c r="F2013" s="77">
        <v>7.0000000000000001E-3</v>
      </c>
      <c r="G2013" s="78">
        <v>0</v>
      </c>
      <c r="K2013" s="106">
        <v>1.0500000000000001E-2</v>
      </c>
      <c r="L2013" s="80">
        <v>0</v>
      </c>
      <c r="M2013" s="75" t="s">
        <v>143</v>
      </c>
      <c r="N2013" s="75" t="b">
        <v>1</v>
      </c>
      <c r="O2013" s="75" t="s">
        <v>144</v>
      </c>
      <c r="P2013" s="75">
        <v>1994</v>
      </c>
      <c r="Q2013" s="107">
        <f t="shared" si="47"/>
        <v>2013</v>
      </c>
      <c r="R2013" s="107">
        <v>2</v>
      </c>
      <c r="S2013" s="117">
        <v>213048</v>
      </c>
      <c r="T2013" s="118">
        <v>41450</v>
      </c>
    </row>
    <row r="2014" spans="1:21" s="99" customFormat="1" x14ac:dyDescent="0.3">
      <c r="A2014" s="85">
        <v>41455</v>
      </c>
      <c r="B2014" s="86">
        <f>YEAR(A2014)*10000+MONTH(A2014)*100+DAY(A2014)</f>
        <v>20130630</v>
      </c>
      <c r="C2014" s="87">
        <v>2.8399999999999998E-2</v>
      </c>
      <c r="D2014" s="89">
        <v>4.0000000000000001E-3</v>
      </c>
      <c r="E2014" s="89">
        <v>6.0000000000000001E-3</v>
      </c>
      <c r="F2014" s="108">
        <v>7.0000000000000001E-3</v>
      </c>
      <c r="G2014" s="103">
        <v>0</v>
      </c>
      <c r="H2014" s="119">
        <v>7.8</v>
      </c>
      <c r="I2014" s="119">
        <v>10.199999999999999</v>
      </c>
      <c r="J2014" s="119">
        <v>12.5</v>
      </c>
      <c r="K2014" s="92">
        <v>1.0500000000000001E-2</v>
      </c>
      <c r="L2014" s="120">
        <v>-1.2E-2</v>
      </c>
      <c r="M2014" s="98" t="s">
        <v>143</v>
      </c>
      <c r="N2014" s="98" t="b">
        <v>1</v>
      </c>
      <c r="O2014" s="98" t="s">
        <v>144</v>
      </c>
      <c r="P2014" s="98">
        <v>1994</v>
      </c>
      <c r="Q2014" s="105">
        <f t="shared" si="47"/>
        <v>2013</v>
      </c>
      <c r="R2014" s="105">
        <v>2</v>
      </c>
      <c r="S2014" s="93">
        <v>213081</v>
      </c>
      <c r="T2014" s="94">
        <v>41562</v>
      </c>
      <c r="U2014" s="95" t="s">
        <v>176</v>
      </c>
    </row>
    <row r="2015" spans="1:21" x14ac:dyDescent="0.3">
      <c r="A2015" s="68">
        <v>41456</v>
      </c>
      <c r="B2015" s="69">
        <f>YEAR(A2015)*10000+MONTH(A2015)*100+DAY(A2015)</f>
        <v>20130701</v>
      </c>
      <c r="C2015" s="70">
        <v>2.8399999999999998E-2</v>
      </c>
      <c r="D2015" s="77">
        <v>4.0000000000000001E-3</v>
      </c>
      <c r="E2015" s="77">
        <v>6.0000000000000001E-3</v>
      </c>
      <c r="F2015" s="77">
        <v>7.0000000000000001E-3</v>
      </c>
      <c r="G2015" s="78">
        <v>0</v>
      </c>
      <c r="H2015" s="71">
        <v>7.8</v>
      </c>
      <c r="I2015" s="71">
        <v>10.199999999999999</v>
      </c>
      <c r="J2015" s="71">
        <v>12.5</v>
      </c>
      <c r="K2015" s="106">
        <v>1.0500000000000001E-2</v>
      </c>
      <c r="L2015" s="80">
        <v>-1.2E-2</v>
      </c>
      <c r="M2015" s="75" t="s">
        <v>143</v>
      </c>
      <c r="N2015" s="75" t="b">
        <v>1</v>
      </c>
      <c r="O2015" s="75" t="s">
        <v>144</v>
      </c>
      <c r="P2015" s="75">
        <v>1994</v>
      </c>
      <c r="Q2015" s="107">
        <f t="shared" si="47"/>
        <v>2013</v>
      </c>
      <c r="R2015" s="107">
        <v>2</v>
      </c>
      <c r="S2015" s="100">
        <v>213081</v>
      </c>
      <c r="T2015" s="101">
        <v>41562</v>
      </c>
    </row>
    <row r="2016" spans="1:21" x14ac:dyDescent="0.3">
      <c r="A2016" s="68">
        <v>41457</v>
      </c>
      <c r="B2016" s="69">
        <f>YEAR(A2016)*10000+MONTH(A2016)*100+DAY(A2016)</f>
        <v>20130702</v>
      </c>
      <c r="C2016" s="70">
        <v>2.7900000000000001E-2</v>
      </c>
      <c r="D2016" s="77">
        <v>4.0000000000000001E-3</v>
      </c>
      <c r="E2016" s="77">
        <v>6.0000000000000001E-3</v>
      </c>
      <c r="F2016" s="77">
        <v>7.0000000000000001E-3</v>
      </c>
      <c r="G2016" s="78">
        <v>0</v>
      </c>
      <c r="H2016" s="71">
        <v>7.8</v>
      </c>
      <c r="I2016" s="71">
        <v>10.199999999999999</v>
      </c>
      <c r="J2016" s="71">
        <v>12.5</v>
      </c>
      <c r="K2016" s="106">
        <v>9.8999999999999991E-3</v>
      </c>
      <c r="L2016" s="80">
        <v>-1.2E-2</v>
      </c>
      <c r="M2016" s="75" t="s">
        <v>143</v>
      </c>
      <c r="N2016" s="75" t="b">
        <v>1</v>
      </c>
      <c r="O2016" s="75" t="s">
        <v>144</v>
      </c>
      <c r="P2016" s="75">
        <v>1994</v>
      </c>
      <c r="Q2016" s="107">
        <f t="shared" si="47"/>
        <v>2013</v>
      </c>
      <c r="R2016" s="107">
        <v>2</v>
      </c>
      <c r="S2016" s="100">
        <v>213081</v>
      </c>
      <c r="T2016" s="101">
        <v>41562</v>
      </c>
    </row>
    <row r="2017" spans="1:20" x14ac:dyDescent="0.3">
      <c r="A2017" s="68">
        <v>41458</v>
      </c>
      <c r="B2017" s="69">
        <f t="shared" ref="B2017:B2045" si="49">YEAR(A2017)*10000+MONTH(A2017)*100+DAY(A2017)</f>
        <v>20130703</v>
      </c>
      <c r="C2017" s="70">
        <v>2.7999999999999997E-2</v>
      </c>
      <c r="D2017" s="77">
        <v>4.0000000000000001E-3</v>
      </c>
      <c r="E2017" s="77">
        <v>6.0000000000000001E-3</v>
      </c>
      <c r="F2017" s="77">
        <v>7.0000000000000001E-3</v>
      </c>
      <c r="G2017" s="78">
        <v>0</v>
      </c>
      <c r="H2017" s="71">
        <v>7.8</v>
      </c>
      <c r="I2017" s="71">
        <v>10.199999999999999</v>
      </c>
      <c r="J2017" s="71">
        <v>12.5</v>
      </c>
      <c r="K2017" s="106">
        <v>9.8999999999999991E-3</v>
      </c>
      <c r="L2017" s="80">
        <v>-1.2E-2</v>
      </c>
      <c r="M2017" s="75" t="s">
        <v>143</v>
      </c>
      <c r="N2017" s="75" t="b">
        <v>1</v>
      </c>
      <c r="O2017" s="75" t="s">
        <v>144</v>
      </c>
      <c r="P2017" s="75">
        <v>1994</v>
      </c>
      <c r="Q2017" s="107">
        <f t="shared" si="47"/>
        <v>2013</v>
      </c>
      <c r="R2017" s="107">
        <v>2</v>
      </c>
      <c r="S2017" s="100">
        <v>213081</v>
      </c>
      <c r="T2017" s="101">
        <v>41562</v>
      </c>
    </row>
    <row r="2018" spans="1:20" x14ac:dyDescent="0.3">
      <c r="A2018" s="68">
        <v>41459</v>
      </c>
      <c r="B2018" s="69">
        <f t="shared" si="49"/>
        <v>20130704</v>
      </c>
      <c r="C2018" s="70">
        <v>2.7900000000000001E-2</v>
      </c>
      <c r="D2018" s="77">
        <v>4.0000000000000001E-3</v>
      </c>
      <c r="E2018" s="77">
        <v>6.0000000000000001E-3</v>
      </c>
      <c r="F2018" s="77">
        <v>7.0000000000000001E-3</v>
      </c>
      <c r="G2018" s="78">
        <v>0</v>
      </c>
      <c r="H2018" s="71">
        <v>7.8</v>
      </c>
      <c r="I2018" s="71">
        <v>10.199999999999999</v>
      </c>
      <c r="J2018" s="71">
        <v>12.5</v>
      </c>
      <c r="K2018" s="106">
        <v>9.7000000000000003E-3</v>
      </c>
      <c r="L2018" s="80">
        <v>-1.2E-2</v>
      </c>
      <c r="M2018" s="75" t="s">
        <v>143</v>
      </c>
      <c r="N2018" s="75" t="b">
        <v>1</v>
      </c>
      <c r="O2018" s="75" t="s">
        <v>144</v>
      </c>
      <c r="P2018" s="75">
        <v>1994</v>
      </c>
      <c r="Q2018" s="107">
        <f t="shared" si="47"/>
        <v>2013</v>
      </c>
      <c r="R2018" s="107">
        <v>2</v>
      </c>
      <c r="S2018" s="100">
        <v>213081</v>
      </c>
      <c r="T2018" s="101">
        <v>41562</v>
      </c>
    </row>
    <row r="2019" spans="1:20" x14ac:dyDescent="0.3">
      <c r="A2019" s="68">
        <v>41460</v>
      </c>
      <c r="B2019" s="69">
        <f t="shared" si="49"/>
        <v>20130705</v>
      </c>
      <c r="C2019" s="70">
        <v>2.8999999999999998E-2</v>
      </c>
      <c r="D2019" s="77">
        <v>4.0000000000000001E-3</v>
      </c>
      <c r="E2019" s="77">
        <v>6.0000000000000001E-3</v>
      </c>
      <c r="F2019" s="77">
        <v>7.0000000000000001E-3</v>
      </c>
      <c r="G2019" s="78">
        <v>0</v>
      </c>
      <c r="H2019" s="71">
        <v>7.8</v>
      </c>
      <c r="I2019" s="71">
        <v>10.199999999999999</v>
      </c>
      <c r="J2019" s="71">
        <v>12.5</v>
      </c>
      <c r="K2019" s="106">
        <v>1.06E-2</v>
      </c>
      <c r="L2019" s="80">
        <v>-1.2E-2</v>
      </c>
      <c r="M2019" s="75" t="s">
        <v>143</v>
      </c>
      <c r="N2019" s="75" t="b">
        <v>1</v>
      </c>
      <c r="O2019" s="75" t="s">
        <v>144</v>
      </c>
      <c r="P2019" s="75">
        <v>1994</v>
      </c>
      <c r="Q2019" s="107">
        <f t="shared" si="47"/>
        <v>2013</v>
      </c>
      <c r="R2019" s="107">
        <v>2</v>
      </c>
      <c r="S2019" s="100">
        <v>213081</v>
      </c>
      <c r="T2019" s="101">
        <v>41562</v>
      </c>
    </row>
    <row r="2020" spans="1:20" x14ac:dyDescent="0.3">
      <c r="A2020" s="68">
        <v>41461</v>
      </c>
      <c r="B2020" s="69">
        <f t="shared" si="49"/>
        <v>20130706</v>
      </c>
      <c r="C2020" s="70">
        <v>2.8999999999999998E-2</v>
      </c>
      <c r="D2020" s="77">
        <v>4.0000000000000001E-3</v>
      </c>
      <c r="E2020" s="77">
        <v>6.0000000000000001E-3</v>
      </c>
      <c r="F2020" s="77">
        <v>7.0000000000000001E-3</v>
      </c>
      <c r="G2020" s="78">
        <v>0</v>
      </c>
      <c r="H2020" s="71">
        <v>7.8</v>
      </c>
      <c r="I2020" s="71">
        <v>10.199999999999999</v>
      </c>
      <c r="J2020" s="71">
        <v>12.5</v>
      </c>
      <c r="K2020" s="106">
        <v>1.06E-2</v>
      </c>
      <c r="L2020" s="80">
        <v>-1.2E-2</v>
      </c>
      <c r="M2020" s="75" t="s">
        <v>143</v>
      </c>
      <c r="N2020" s="75" t="b">
        <v>1</v>
      </c>
      <c r="O2020" s="75" t="s">
        <v>144</v>
      </c>
      <c r="P2020" s="75">
        <v>1994</v>
      </c>
      <c r="Q2020" s="107">
        <f t="shared" si="47"/>
        <v>2013</v>
      </c>
      <c r="R2020" s="107">
        <v>2</v>
      </c>
      <c r="S2020" s="100">
        <v>213081</v>
      </c>
      <c r="T2020" s="101">
        <v>41562</v>
      </c>
    </row>
    <row r="2021" spans="1:20" x14ac:dyDescent="0.3">
      <c r="A2021" s="68">
        <v>41462</v>
      </c>
      <c r="B2021" s="69">
        <f t="shared" si="49"/>
        <v>20130707</v>
      </c>
      <c r="C2021" s="70">
        <v>2.8999999999999998E-2</v>
      </c>
      <c r="D2021" s="77">
        <v>4.0000000000000001E-3</v>
      </c>
      <c r="E2021" s="77">
        <v>6.0000000000000001E-3</v>
      </c>
      <c r="F2021" s="77">
        <v>7.0000000000000001E-3</v>
      </c>
      <c r="G2021" s="78">
        <v>0</v>
      </c>
      <c r="H2021" s="71">
        <v>7.8</v>
      </c>
      <c r="I2021" s="71">
        <v>10.199999999999999</v>
      </c>
      <c r="J2021" s="71">
        <v>12.5</v>
      </c>
      <c r="K2021" s="106">
        <v>1.06E-2</v>
      </c>
      <c r="L2021" s="80">
        <v>-1.2E-2</v>
      </c>
      <c r="M2021" s="75" t="s">
        <v>143</v>
      </c>
      <c r="N2021" s="75" t="b">
        <v>1</v>
      </c>
      <c r="O2021" s="75" t="s">
        <v>144</v>
      </c>
      <c r="P2021" s="75">
        <v>1994</v>
      </c>
      <c r="Q2021" s="107">
        <f t="shared" si="47"/>
        <v>2013</v>
      </c>
      <c r="R2021" s="107">
        <v>2</v>
      </c>
      <c r="S2021" s="100">
        <v>213081</v>
      </c>
      <c r="T2021" s="101">
        <v>41562</v>
      </c>
    </row>
    <row r="2022" spans="1:20" x14ac:dyDescent="0.3">
      <c r="A2022" s="68">
        <v>41463</v>
      </c>
      <c r="B2022" s="69">
        <f t="shared" si="49"/>
        <v>20130708</v>
      </c>
      <c r="C2022" s="70">
        <v>2.86E-2</v>
      </c>
      <c r="D2022" s="77">
        <v>4.0000000000000001E-3</v>
      </c>
      <c r="E2022" s="77">
        <v>6.0000000000000001E-3</v>
      </c>
      <c r="F2022" s="77">
        <v>7.0000000000000001E-3</v>
      </c>
      <c r="G2022" s="78">
        <v>0</v>
      </c>
      <c r="H2022" s="71">
        <v>7.8</v>
      </c>
      <c r="I2022" s="71">
        <v>10.199999999999999</v>
      </c>
      <c r="J2022" s="71">
        <v>12.5</v>
      </c>
      <c r="K2022" s="106">
        <v>1.01E-2</v>
      </c>
      <c r="L2022" s="80">
        <v>-1.2E-2</v>
      </c>
      <c r="M2022" s="75" t="s">
        <v>143</v>
      </c>
      <c r="N2022" s="75" t="b">
        <v>1</v>
      </c>
      <c r="O2022" s="75" t="s">
        <v>144</v>
      </c>
      <c r="P2022" s="75">
        <v>1994</v>
      </c>
      <c r="Q2022" s="107">
        <f t="shared" si="47"/>
        <v>2013</v>
      </c>
      <c r="R2022" s="107">
        <v>2</v>
      </c>
      <c r="S2022" s="100">
        <v>213081</v>
      </c>
      <c r="T2022" s="101">
        <v>41562</v>
      </c>
    </row>
    <row r="2023" spans="1:20" x14ac:dyDescent="0.3">
      <c r="A2023" s="68">
        <v>41464</v>
      </c>
      <c r="B2023" s="69">
        <f t="shared" si="49"/>
        <v>20130709</v>
      </c>
      <c r="C2023" s="70">
        <v>2.86E-2</v>
      </c>
      <c r="D2023" s="77">
        <v>4.0000000000000001E-3</v>
      </c>
      <c r="E2023" s="77">
        <v>6.0000000000000001E-3</v>
      </c>
      <c r="F2023" s="77">
        <v>7.0000000000000001E-3</v>
      </c>
      <c r="G2023" s="78">
        <v>0</v>
      </c>
      <c r="H2023" s="71">
        <v>7.8</v>
      </c>
      <c r="I2023" s="71">
        <v>10.199999999999999</v>
      </c>
      <c r="J2023" s="71">
        <v>12.5</v>
      </c>
      <c r="K2023" s="106">
        <v>1.0200000000000001E-2</v>
      </c>
      <c r="L2023" s="80">
        <v>-1.2E-2</v>
      </c>
      <c r="M2023" s="75" t="s">
        <v>143</v>
      </c>
      <c r="N2023" s="75" t="b">
        <v>1</v>
      </c>
      <c r="O2023" s="75" t="s">
        <v>144</v>
      </c>
      <c r="P2023" s="75">
        <v>1994</v>
      </c>
      <c r="Q2023" s="107">
        <f t="shared" si="47"/>
        <v>2013</v>
      </c>
      <c r="R2023" s="107">
        <v>2</v>
      </c>
      <c r="S2023" s="100">
        <v>213081</v>
      </c>
      <c r="T2023" s="101">
        <v>41562</v>
      </c>
    </row>
    <row r="2024" spans="1:20" x14ac:dyDescent="0.3">
      <c r="A2024" s="68">
        <v>41465</v>
      </c>
      <c r="B2024" s="69">
        <f t="shared" si="49"/>
        <v>20130710</v>
      </c>
      <c r="C2024" s="70">
        <v>2.8900000000000002E-2</v>
      </c>
      <c r="D2024" s="77">
        <v>4.0000000000000001E-3</v>
      </c>
      <c r="E2024" s="77">
        <v>6.0000000000000001E-3</v>
      </c>
      <c r="F2024" s="77">
        <v>7.0000000000000001E-3</v>
      </c>
      <c r="G2024" s="78">
        <v>0</v>
      </c>
      <c r="H2024" s="71">
        <v>7.8</v>
      </c>
      <c r="I2024" s="71">
        <v>10.199999999999999</v>
      </c>
      <c r="J2024" s="71">
        <v>12.5</v>
      </c>
      <c r="K2024" s="106">
        <v>1.04E-2</v>
      </c>
      <c r="L2024" s="80">
        <v>-1.2E-2</v>
      </c>
      <c r="M2024" s="75" t="s">
        <v>143</v>
      </c>
      <c r="N2024" s="75" t="b">
        <v>1</v>
      </c>
      <c r="O2024" s="75" t="s">
        <v>144</v>
      </c>
      <c r="P2024" s="75">
        <v>1994</v>
      </c>
      <c r="Q2024" s="107">
        <f t="shared" si="47"/>
        <v>2013</v>
      </c>
      <c r="R2024" s="107">
        <v>2</v>
      </c>
      <c r="S2024" s="100">
        <v>213081</v>
      </c>
      <c r="T2024" s="101">
        <v>41562</v>
      </c>
    </row>
    <row r="2025" spans="1:20" x14ac:dyDescent="0.3">
      <c r="A2025" s="68">
        <v>41466</v>
      </c>
      <c r="B2025" s="69">
        <f t="shared" si="49"/>
        <v>20130711</v>
      </c>
      <c r="C2025" s="70">
        <v>2.8399999999999998E-2</v>
      </c>
      <c r="D2025" s="77">
        <v>4.0000000000000001E-3</v>
      </c>
      <c r="E2025" s="77">
        <v>6.0000000000000001E-3</v>
      </c>
      <c r="F2025" s="77">
        <v>7.0000000000000001E-3</v>
      </c>
      <c r="G2025" s="78">
        <v>0</v>
      </c>
      <c r="H2025" s="71">
        <v>7.8</v>
      </c>
      <c r="I2025" s="71">
        <v>10.199999999999999</v>
      </c>
      <c r="J2025" s="71">
        <v>12.5</v>
      </c>
      <c r="K2025" s="106">
        <v>1.01E-2</v>
      </c>
      <c r="L2025" s="80">
        <v>-1.2E-2</v>
      </c>
      <c r="M2025" s="75" t="s">
        <v>143</v>
      </c>
      <c r="N2025" s="75" t="b">
        <v>1</v>
      </c>
      <c r="O2025" s="75" t="s">
        <v>144</v>
      </c>
      <c r="P2025" s="75">
        <v>1994</v>
      </c>
      <c r="Q2025" s="107">
        <f t="shared" si="47"/>
        <v>2013</v>
      </c>
      <c r="R2025" s="107">
        <v>2</v>
      </c>
      <c r="S2025" s="100">
        <v>213081</v>
      </c>
      <c r="T2025" s="101">
        <v>41562</v>
      </c>
    </row>
    <row r="2026" spans="1:20" x14ac:dyDescent="0.3">
      <c r="A2026" s="68">
        <v>41467</v>
      </c>
      <c r="B2026" s="69">
        <f t="shared" si="49"/>
        <v>20130712</v>
      </c>
      <c r="C2026" s="70">
        <v>2.8399999999999998E-2</v>
      </c>
      <c r="D2026" s="77">
        <v>4.0000000000000001E-3</v>
      </c>
      <c r="E2026" s="77">
        <v>6.0000000000000001E-3</v>
      </c>
      <c r="F2026" s="77">
        <v>7.0000000000000001E-3</v>
      </c>
      <c r="G2026" s="78">
        <v>0</v>
      </c>
      <c r="H2026" s="71">
        <v>7.8</v>
      </c>
      <c r="I2026" s="71">
        <v>10.199999999999999</v>
      </c>
      <c r="J2026" s="71">
        <v>12.5</v>
      </c>
      <c r="K2026" s="106">
        <v>1.01E-2</v>
      </c>
      <c r="L2026" s="80">
        <v>-1.2E-2</v>
      </c>
      <c r="M2026" s="75" t="s">
        <v>143</v>
      </c>
      <c r="N2026" s="75" t="b">
        <v>1</v>
      </c>
      <c r="O2026" s="75" t="s">
        <v>144</v>
      </c>
      <c r="P2026" s="75">
        <v>1994</v>
      </c>
      <c r="Q2026" s="107">
        <f t="shared" si="47"/>
        <v>2013</v>
      </c>
      <c r="R2026" s="107">
        <v>2</v>
      </c>
      <c r="S2026" s="100">
        <v>213081</v>
      </c>
      <c r="T2026" s="101">
        <v>41562</v>
      </c>
    </row>
    <row r="2027" spans="1:20" x14ac:dyDescent="0.3">
      <c r="A2027" s="68">
        <v>41468</v>
      </c>
      <c r="B2027" s="69">
        <f t="shared" si="49"/>
        <v>20130713</v>
      </c>
      <c r="C2027" s="70">
        <v>2.8399999999999998E-2</v>
      </c>
      <c r="D2027" s="77">
        <v>4.0000000000000001E-3</v>
      </c>
      <c r="E2027" s="77">
        <v>6.0000000000000001E-3</v>
      </c>
      <c r="F2027" s="77">
        <v>7.0000000000000001E-3</v>
      </c>
      <c r="G2027" s="78">
        <v>0</v>
      </c>
      <c r="H2027" s="71">
        <v>7.8</v>
      </c>
      <c r="I2027" s="71">
        <v>10.199999999999999</v>
      </c>
      <c r="J2027" s="71">
        <v>12.5</v>
      </c>
      <c r="K2027" s="106">
        <v>1.01E-2</v>
      </c>
      <c r="L2027" s="80">
        <v>-1.2E-2</v>
      </c>
      <c r="M2027" s="75" t="s">
        <v>143</v>
      </c>
      <c r="N2027" s="75" t="b">
        <v>1</v>
      </c>
      <c r="O2027" s="75" t="s">
        <v>144</v>
      </c>
      <c r="P2027" s="75">
        <v>1994</v>
      </c>
      <c r="Q2027" s="107">
        <f t="shared" si="47"/>
        <v>2013</v>
      </c>
      <c r="R2027" s="107">
        <v>2</v>
      </c>
      <c r="S2027" s="100">
        <v>213081</v>
      </c>
      <c r="T2027" s="101">
        <v>41562</v>
      </c>
    </row>
    <row r="2028" spans="1:20" x14ac:dyDescent="0.3">
      <c r="A2028" s="68">
        <v>41469</v>
      </c>
      <c r="B2028" s="69">
        <f t="shared" si="49"/>
        <v>20130714</v>
      </c>
      <c r="C2028" s="70">
        <v>2.8399999999999998E-2</v>
      </c>
      <c r="D2028" s="77">
        <v>4.0000000000000001E-3</v>
      </c>
      <c r="E2028" s="77">
        <v>6.0000000000000001E-3</v>
      </c>
      <c r="F2028" s="77">
        <v>7.0000000000000001E-3</v>
      </c>
      <c r="G2028" s="78">
        <v>0</v>
      </c>
      <c r="H2028" s="71">
        <v>7.8</v>
      </c>
      <c r="I2028" s="71">
        <v>10.199999999999999</v>
      </c>
      <c r="J2028" s="71">
        <v>12.5</v>
      </c>
      <c r="K2028" s="106">
        <v>1.01E-2</v>
      </c>
      <c r="L2028" s="80">
        <v>-1.2E-2</v>
      </c>
      <c r="M2028" s="75" t="s">
        <v>143</v>
      </c>
      <c r="N2028" s="75" t="b">
        <v>1</v>
      </c>
      <c r="O2028" s="75" t="s">
        <v>144</v>
      </c>
      <c r="P2028" s="75">
        <v>1994</v>
      </c>
      <c r="Q2028" s="107">
        <f t="shared" si="47"/>
        <v>2013</v>
      </c>
      <c r="R2028" s="107">
        <v>2</v>
      </c>
      <c r="S2028" s="100">
        <v>213081</v>
      </c>
      <c r="T2028" s="101">
        <v>41562</v>
      </c>
    </row>
    <row r="2029" spans="1:20" x14ac:dyDescent="0.3">
      <c r="A2029" s="68">
        <v>41470</v>
      </c>
      <c r="B2029" s="69">
        <f t="shared" si="49"/>
        <v>20130715</v>
      </c>
      <c r="C2029" s="70">
        <v>2.8300000000000002E-2</v>
      </c>
      <c r="D2029" s="77">
        <v>4.0000000000000001E-3</v>
      </c>
      <c r="E2029" s="77">
        <v>6.0000000000000001E-3</v>
      </c>
      <c r="F2029" s="77">
        <v>7.0000000000000001E-3</v>
      </c>
      <c r="G2029" s="78">
        <v>0</v>
      </c>
      <c r="H2029" s="71">
        <v>7.8</v>
      </c>
      <c r="I2029" s="71">
        <v>10.199999999999999</v>
      </c>
      <c r="J2029" s="71">
        <v>12.5</v>
      </c>
      <c r="K2029" s="106">
        <v>1.0200000000000001E-2</v>
      </c>
      <c r="L2029" s="80">
        <v>-1.2E-2</v>
      </c>
      <c r="M2029" s="75" t="s">
        <v>143</v>
      </c>
      <c r="N2029" s="75" t="b">
        <v>1</v>
      </c>
      <c r="O2029" s="75" t="s">
        <v>144</v>
      </c>
      <c r="P2029" s="75">
        <v>1994</v>
      </c>
      <c r="Q2029" s="107">
        <f t="shared" si="47"/>
        <v>2013</v>
      </c>
      <c r="R2029" s="107">
        <v>2</v>
      </c>
      <c r="S2029" s="100">
        <v>213081</v>
      </c>
      <c r="T2029" s="101">
        <v>41562</v>
      </c>
    </row>
    <row r="2030" spans="1:20" x14ac:dyDescent="0.3">
      <c r="A2030" s="68">
        <v>41471</v>
      </c>
      <c r="B2030" s="69">
        <f t="shared" si="49"/>
        <v>20130716</v>
      </c>
      <c r="C2030" s="70">
        <v>2.8300000000000002E-2</v>
      </c>
      <c r="D2030" s="77">
        <v>4.0000000000000001E-3</v>
      </c>
      <c r="E2030" s="77">
        <v>6.0000000000000001E-3</v>
      </c>
      <c r="F2030" s="77">
        <v>7.0000000000000001E-3</v>
      </c>
      <c r="G2030" s="78">
        <v>0</v>
      </c>
      <c r="H2030" s="71">
        <v>7.8</v>
      </c>
      <c r="I2030" s="71">
        <v>10.199999999999999</v>
      </c>
      <c r="J2030" s="71">
        <v>12.5</v>
      </c>
      <c r="K2030" s="106">
        <v>9.7999999999999997E-3</v>
      </c>
      <c r="L2030" s="80">
        <v>-1.2E-2</v>
      </c>
      <c r="M2030" s="75" t="s">
        <v>143</v>
      </c>
      <c r="N2030" s="75" t="b">
        <v>1</v>
      </c>
      <c r="O2030" s="75" t="s">
        <v>144</v>
      </c>
      <c r="P2030" s="75">
        <v>1994</v>
      </c>
      <c r="Q2030" s="107">
        <f t="shared" ref="Q2030:Q2093" si="50">YEAR(A2030)</f>
        <v>2013</v>
      </c>
      <c r="R2030" s="107">
        <v>2</v>
      </c>
      <c r="S2030" s="100">
        <v>213081</v>
      </c>
      <c r="T2030" s="101">
        <v>41562</v>
      </c>
    </row>
    <row r="2031" spans="1:20" x14ac:dyDescent="0.3">
      <c r="A2031" s="68">
        <v>41472</v>
      </c>
      <c r="B2031" s="69">
        <f t="shared" si="49"/>
        <v>20130717</v>
      </c>
      <c r="C2031" s="70">
        <v>2.81E-2</v>
      </c>
      <c r="D2031" s="77">
        <v>4.0000000000000001E-3</v>
      </c>
      <c r="E2031" s="77">
        <v>6.0000000000000001E-3</v>
      </c>
      <c r="F2031" s="77">
        <v>7.0000000000000001E-3</v>
      </c>
      <c r="G2031" s="78">
        <v>0</v>
      </c>
      <c r="H2031" s="71">
        <v>7.8</v>
      </c>
      <c r="I2031" s="71">
        <v>10.199999999999999</v>
      </c>
      <c r="J2031" s="71">
        <v>12.5</v>
      </c>
      <c r="K2031" s="106">
        <v>9.5999999999999992E-3</v>
      </c>
      <c r="L2031" s="80">
        <v>-1.2E-2</v>
      </c>
      <c r="M2031" s="75" t="s">
        <v>143</v>
      </c>
      <c r="N2031" s="75" t="b">
        <v>1</v>
      </c>
      <c r="O2031" s="75" t="s">
        <v>144</v>
      </c>
      <c r="P2031" s="75">
        <v>1994</v>
      </c>
      <c r="Q2031" s="107">
        <f t="shared" si="50"/>
        <v>2013</v>
      </c>
      <c r="R2031" s="107">
        <v>2</v>
      </c>
      <c r="S2031" s="100">
        <v>213081</v>
      </c>
      <c r="T2031" s="101">
        <v>41562</v>
      </c>
    </row>
    <row r="2032" spans="1:20" x14ac:dyDescent="0.3">
      <c r="A2032" s="68">
        <v>41473</v>
      </c>
      <c r="B2032" s="69">
        <f t="shared" si="49"/>
        <v>20130718</v>
      </c>
      <c r="C2032" s="70">
        <v>2.8300000000000002E-2</v>
      </c>
      <c r="D2032" s="77">
        <v>4.0000000000000001E-3</v>
      </c>
      <c r="E2032" s="77">
        <v>6.0000000000000001E-3</v>
      </c>
      <c r="F2032" s="77">
        <v>7.0000000000000001E-3</v>
      </c>
      <c r="G2032" s="78">
        <v>0</v>
      </c>
      <c r="H2032" s="71">
        <v>7.8</v>
      </c>
      <c r="I2032" s="71">
        <v>10.199999999999999</v>
      </c>
      <c r="J2032" s="71">
        <v>12.5</v>
      </c>
      <c r="K2032" s="106">
        <v>0.01</v>
      </c>
      <c r="L2032" s="80">
        <v>-1.2E-2</v>
      </c>
      <c r="M2032" s="75" t="s">
        <v>143</v>
      </c>
      <c r="N2032" s="75" t="b">
        <v>1</v>
      </c>
      <c r="O2032" s="75" t="s">
        <v>144</v>
      </c>
      <c r="P2032" s="75">
        <v>1994</v>
      </c>
      <c r="Q2032" s="107">
        <f t="shared" si="50"/>
        <v>2013</v>
      </c>
      <c r="R2032" s="107">
        <v>2</v>
      </c>
      <c r="S2032" s="100">
        <v>213081</v>
      </c>
      <c r="T2032" s="101">
        <v>41562</v>
      </c>
    </row>
    <row r="2033" spans="1:20" x14ac:dyDescent="0.3">
      <c r="A2033" s="68">
        <v>41474</v>
      </c>
      <c r="B2033" s="69">
        <f t="shared" si="49"/>
        <v>20130719</v>
      </c>
      <c r="C2033" s="70">
        <v>2.7900000000000001E-2</v>
      </c>
      <c r="D2033" s="77">
        <v>4.0000000000000001E-3</v>
      </c>
      <c r="E2033" s="77">
        <v>6.0000000000000001E-3</v>
      </c>
      <c r="F2033" s="77">
        <v>7.0000000000000001E-3</v>
      </c>
      <c r="G2033" s="78">
        <v>0</v>
      </c>
      <c r="H2033" s="71">
        <v>7.8</v>
      </c>
      <c r="I2033" s="71">
        <v>10.199999999999999</v>
      </c>
      <c r="J2033" s="71">
        <v>12.5</v>
      </c>
      <c r="K2033" s="106">
        <v>9.4999999999999998E-3</v>
      </c>
      <c r="L2033" s="80">
        <v>-1.2E-2</v>
      </c>
      <c r="M2033" s="75" t="s">
        <v>143</v>
      </c>
      <c r="N2033" s="75" t="b">
        <v>1</v>
      </c>
      <c r="O2033" s="75" t="s">
        <v>144</v>
      </c>
      <c r="P2033" s="75">
        <v>1994</v>
      </c>
      <c r="Q2033" s="107">
        <f t="shared" si="50"/>
        <v>2013</v>
      </c>
      <c r="R2033" s="107">
        <v>2</v>
      </c>
      <c r="S2033" s="100">
        <v>213081</v>
      </c>
      <c r="T2033" s="101">
        <v>41562</v>
      </c>
    </row>
    <row r="2034" spans="1:20" x14ac:dyDescent="0.3">
      <c r="A2034" s="68">
        <v>41475</v>
      </c>
      <c r="B2034" s="69">
        <f t="shared" si="49"/>
        <v>20130720</v>
      </c>
      <c r="C2034" s="70">
        <v>2.7900000000000001E-2</v>
      </c>
      <c r="D2034" s="77">
        <v>4.0000000000000001E-3</v>
      </c>
      <c r="E2034" s="77">
        <v>6.0000000000000001E-3</v>
      </c>
      <c r="F2034" s="77">
        <v>7.0000000000000001E-3</v>
      </c>
      <c r="G2034" s="78">
        <v>0</v>
      </c>
      <c r="H2034" s="71">
        <v>7.8</v>
      </c>
      <c r="I2034" s="71">
        <v>10.199999999999999</v>
      </c>
      <c r="J2034" s="71">
        <v>12.5</v>
      </c>
      <c r="K2034" s="106">
        <v>9.4999999999999998E-3</v>
      </c>
      <c r="L2034" s="80">
        <v>-1.2E-2</v>
      </c>
      <c r="M2034" s="75" t="s">
        <v>143</v>
      </c>
      <c r="N2034" s="75" t="b">
        <v>1</v>
      </c>
      <c r="O2034" s="75" t="s">
        <v>144</v>
      </c>
      <c r="P2034" s="75">
        <v>1994</v>
      </c>
      <c r="Q2034" s="107">
        <f t="shared" si="50"/>
        <v>2013</v>
      </c>
      <c r="R2034" s="107">
        <v>2</v>
      </c>
      <c r="S2034" s="100">
        <v>213081</v>
      </c>
      <c r="T2034" s="101">
        <v>41562</v>
      </c>
    </row>
    <row r="2035" spans="1:20" x14ac:dyDescent="0.3">
      <c r="A2035" s="68">
        <v>41476</v>
      </c>
      <c r="B2035" s="69">
        <f t="shared" si="49"/>
        <v>20130721</v>
      </c>
      <c r="C2035" s="70">
        <v>2.7900000000000001E-2</v>
      </c>
      <c r="D2035" s="77">
        <v>4.0000000000000001E-3</v>
      </c>
      <c r="E2035" s="77">
        <v>6.0000000000000001E-3</v>
      </c>
      <c r="F2035" s="77">
        <v>7.0000000000000001E-3</v>
      </c>
      <c r="G2035" s="78">
        <v>0</v>
      </c>
      <c r="H2035" s="71">
        <v>7.8</v>
      </c>
      <c r="I2035" s="71">
        <v>10.199999999999999</v>
      </c>
      <c r="J2035" s="71">
        <v>12.5</v>
      </c>
      <c r="K2035" s="106">
        <v>9.4999999999999998E-3</v>
      </c>
      <c r="L2035" s="80">
        <v>-1.2E-2</v>
      </c>
      <c r="M2035" s="75" t="s">
        <v>143</v>
      </c>
      <c r="N2035" s="75" t="b">
        <v>1</v>
      </c>
      <c r="O2035" s="75" t="s">
        <v>144</v>
      </c>
      <c r="P2035" s="75">
        <v>1994</v>
      </c>
      <c r="Q2035" s="107">
        <f t="shared" si="50"/>
        <v>2013</v>
      </c>
      <c r="R2035" s="107">
        <v>2</v>
      </c>
      <c r="S2035" s="100">
        <v>213081</v>
      </c>
      <c r="T2035" s="101">
        <v>41562</v>
      </c>
    </row>
    <row r="2036" spans="1:20" x14ac:dyDescent="0.3">
      <c r="A2036" s="68">
        <v>41477</v>
      </c>
      <c r="B2036" s="69">
        <f t="shared" si="49"/>
        <v>20130722</v>
      </c>
      <c r="C2036" s="70">
        <v>2.7799999999999998E-2</v>
      </c>
      <c r="D2036" s="77">
        <v>4.0000000000000001E-3</v>
      </c>
      <c r="E2036" s="77">
        <v>6.0000000000000001E-3</v>
      </c>
      <c r="F2036" s="77">
        <v>7.0000000000000001E-3</v>
      </c>
      <c r="G2036" s="78">
        <v>0</v>
      </c>
      <c r="H2036" s="71">
        <v>7.8</v>
      </c>
      <c r="I2036" s="71">
        <v>10.199999999999999</v>
      </c>
      <c r="J2036" s="71">
        <v>12.5</v>
      </c>
      <c r="K2036" s="106">
        <v>9.4999999999999998E-3</v>
      </c>
      <c r="L2036" s="80">
        <v>-1.2E-2</v>
      </c>
      <c r="M2036" s="75" t="s">
        <v>143</v>
      </c>
      <c r="N2036" s="75" t="b">
        <v>1</v>
      </c>
      <c r="O2036" s="75" t="s">
        <v>144</v>
      </c>
      <c r="P2036" s="75">
        <v>1994</v>
      </c>
      <c r="Q2036" s="107">
        <f t="shared" si="50"/>
        <v>2013</v>
      </c>
      <c r="R2036" s="107">
        <v>2</v>
      </c>
      <c r="S2036" s="100">
        <v>213081</v>
      </c>
      <c r="T2036" s="101">
        <v>41562</v>
      </c>
    </row>
    <row r="2037" spans="1:20" x14ac:dyDescent="0.3">
      <c r="A2037" s="68">
        <v>41478</v>
      </c>
      <c r="B2037" s="69">
        <f t="shared" si="49"/>
        <v>20130723</v>
      </c>
      <c r="C2037" s="70">
        <v>2.8300000000000002E-2</v>
      </c>
      <c r="D2037" s="77">
        <v>4.0000000000000001E-3</v>
      </c>
      <c r="E2037" s="77">
        <v>6.0000000000000001E-3</v>
      </c>
      <c r="F2037" s="77">
        <v>7.0000000000000001E-3</v>
      </c>
      <c r="G2037" s="78">
        <v>0</v>
      </c>
      <c r="H2037" s="71">
        <v>7.8</v>
      </c>
      <c r="I2037" s="71">
        <v>10.199999999999999</v>
      </c>
      <c r="J2037" s="71">
        <v>12.5</v>
      </c>
      <c r="K2037" s="106">
        <v>0.01</v>
      </c>
      <c r="L2037" s="80">
        <v>-1.2E-2</v>
      </c>
      <c r="M2037" s="75" t="s">
        <v>143</v>
      </c>
      <c r="N2037" s="75" t="b">
        <v>1</v>
      </c>
      <c r="O2037" s="75" t="s">
        <v>144</v>
      </c>
      <c r="P2037" s="75">
        <v>1994</v>
      </c>
      <c r="Q2037" s="107">
        <f t="shared" si="50"/>
        <v>2013</v>
      </c>
      <c r="R2037" s="107">
        <v>2</v>
      </c>
      <c r="S2037" s="100">
        <v>213081</v>
      </c>
      <c r="T2037" s="101">
        <v>41562</v>
      </c>
    </row>
    <row r="2038" spans="1:20" x14ac:dyDescent="0.3">
      <c r="A2038" s="68">
        <v>41479</v>
      </c>
      <c r="B2038" s="69">
        <f t="shared" si="49"/>
        <v>20130724</v>
      </c>
      <c r="C2038" s="70">
        <v>2.8900000000000002E-2</v>
      </c>
      <c r="D2038" s="77">
        <v>4.0000000000000001E-3</v>
      </c>
      <c r="E2038" s="77">
        <v>6.0000000000000001E-3</v>
      </c>
      <c r="F2038" s="77">
        <v>7.0000000000000001E-3</v>
      </c>
      <c r="G2038" s="78">
        <v>0</v>
      </c>
      <c r="H2038" s="71">
        <v>7.8</v>
      </c>
      <c r="I2038" s="71">
        <v>10.199999999999999</v>
      </c>
      <c r="J2038" s="71">
        <v>12.5</v>
      </c>
      <c r="K2038" s="106">
        <v>1.06E-2</v>
      </c>
      <c r="L2038" s="80">
        <v>-1.2E-2</v>
      </c>
      <c r="M2038" s="75" t="s">
        <v>143</v>
      </c>
      <c r="N2038" s="75" t="b">
        <v>1</v>
      </c>
      <c r="O2038" s="75" t="s">
        <v>144</v>
      </c>
      <c r="P2038" s="75">
        <v>1994</v>
      </c>
      <c r="Q2038" s="107">
        <f t="shared" si="50"/>
        <v>2013</v>
      </c>
      <c r="R2038" s="107">
        <v>2</v>
      </c>
      <c r="S2038" s="100">
        <v>213081</v>
      </c>
      <c r="T2038" s="101">
        <v>41562</v>
      </c>
    </row>
    <row r="2039" spans="1:20" x14ac:dyDescent="0.3">
      <c r="A2039" s="68">
        <v>41480</v>
      </c>
      <c r="B2039" s="69">
        <f t="shared" si="49"/>
        <v>20130725</v>
      </c>
      <c r="C2039" s="70">
        <v>2.8799999999999999E-2</v>
      </c>
      <c r="D2039" s="77">
        <v>4.0000000000000001E-3</v>
      </c>
      <c r="E2039" s="77">
        <v>6.0000000000000001E-3</v>
      </c>
      <c r="F2039" s="77">
        <v>7.0000000000000001E-3</v>
      </c>
      <c r="G2039" s="78">
        <v>0</v>
      </c>
      <c r="H2039" s="71">
        <v>7.8</v>
      </c>
      <c r="I2039" s="71">
        <v>10.199999999999999</v>
      </c>
      <c r="J2039" s="71">
        <v>12.5</v>
      </c>
      <c r="K2039" s="106">
        <v>1.0500000000000001E-2</v>
      </c>
      <c r="L2039" s="80">
        <v>-1.2E-2</v>
      </c>
      <c r="M2039" s="75" t="s">
        <v>143</v>
      </c>
      <c r="N2039" s="75" t="b">
        <v>1</v>
      </c>
      <c r="O2039" s="75" t="s">
        <v>144</v>
      </c>
      <c r="P2039" s="75">
        <v>1994</v>
      </c>
      <c r="Q2039" s="107">
        <f t="shared" si="50"/>
        <v>2013</v>
      </c>
      <c r="R2039" s="107">
        <v>2</v>
      </c>
      <c r="S2039" s="100">
        <v>213081</v>
      </c>
      <c r="T2039" s="101">
        <v>41562</v>
      </c>
    </row>
    <row r="2040" spans="1:20" x14ac:dyDescent="0.3">
      <c r="A2040" s="68">
        <v>41481</v>
      </c>
      <c r="B2040" s="69">
        <f t="shared" si="49"/>
        <v>20130726</v>
      </c>
      <c r="C2040" s="70">
        <v>2.86E-2</v>
      </c>
      <c r="D2040" s="77">
        <v>4.0000000000000001E-3</v>
      </c>
      <c r="E2040" s="77">
        <v>6.0000000000000001E-3</v>
      </c>
      <c r="F2040" s="77">
        <v>7.0000000000000001E-3</v>
      </c>
      <c r="G2040" s="78">
        <v>0</v>
      </c>
      <c r="H2040" s="71">
        <v>7.8</v>
      </c>
      <c r="I2040" s="71">
        <v>10.199999999999999</v>
      </c>
      <c r="J2040" s="71">
        <v>12.5</v>
      </c>
      <c r="K2040" s="106">
        <v>1.04E-2</v>
      </c>
      <c r="L2040" s="80">
        <v>-1.2E-2</v>
      </c>
      <c r="M2040" s="75" t="s">
        <v>143</v>
      </c>
      <c r="N2040" s="75" t="b">
        <v>1</v>
      </c>
      <c r="O2040" s="75" t="s">
        <v>144</v>
      </c>
      <c r="P2040" s="75">
        <v>1994</v>
      </c>
      <c r="Q2040" s="107">
        <f t="shared" si="50"/>
        <v>2013</v>
      </c>
      <c r="R2040" s="107">
        <v>2</v>
      </c>
      <c r="S2040" s="100">
        <v>213081</v>
      </c>
      <c r="T2040" s="101">
        <v>41562</v>
      </c>
    </row>
    <row r="2041" spans="1:20" x14ac:dyDescent="0.3">
      <c r="A2041" s="68">
        <v>41482</v>
      </c>
      <c r="B2041" s="69">
        <f t="shared" si="49"/>
        <v>20130727</v>
      </c>
      <c r="C2041" s="70">
        <v>2.86E-2</v>
      </c>
      <c r="D2041" s="77">
        <v>4.0000000000000001E-3</v>
      </c>
      <c r="E2041" s="77">
        <v>6.0000000000000001E-3</v>
      </c>
      <c r="F2041" s="77">
        <v>7.0000000000000001E-3</v>
      </c>
      <c r="G2041" s="78">
        <v>0</v>
      </c>
      <c r="H2041" s="71">
        <v>7.8</v>
      </c>
      <c r="I2041" s="71">
        <v>10.199999999999999</v>
      </c>
      <c r="J2041" s="71">
        <v>12.5</v>
      </c>
      <c r="K2041" s="106">
        <v>1.04E-2</v>
      </c>
      <c r="L2041" s="80">
        <v>-1.2E-2</v>
      </c>
      <c r="M2041" s="75" t="s">
        <v>143</v>
      </c>
      <c r="N2041" s="75" t="b">
        <v>1</v>
      </c>
      <c r="O2041" s="75" t="s">
        <v>144</v>
      </c>
      <c r="P2041" s="75">
        <v>1994</v>
      </c>
      <c r="Q2041" s="107">
        <f t="shared" si="50"/>
        <v>2013</v>
      </c>
      <c r="R2041" s="107">
        <v>2</v>
      </c>
      <c r="S2041" s="100">
        <v>213081</v>
      </c>
      <c r="T2041" s="101">
        <v>41562</v>
      </c>
    </row>
    <row r="2042" spans="1:20" x14ac:dyDescent="0.3">
      <c r="A2042" s="68">
        <v>41483</v>
      </c>
      <c r="B2042" s="69">
        <f t="shared" si="49"/>
        <v>20130728</v>
      </c>
      <c r="C2042" s="70">
        <v>2.86E-2</v>
      </c>
      <c r="D2042" s="77">
        <v>4.0000000000000001E-3</v>
      </c>
      <c r="E2042" s="77">
        <v>6.0000000000000001E-3</v>
      </c>
      <c r="F2042" s="77">
        <v>7.0000000000000001E-3</v>
      </c>
      <c r="G2042" s="78">
        <v>0</v>
      </c>
      <c r="H2042" s="71">
        <v>7.8</v>
      </c>
      <c r="I2042" s="71">
        <v>10.199999999999999</v>
      </c>
      <c r="J2042" s="71">
        <v>12.5</v>
      </c>
      <c r="K2042" s="106">
        <v>1.04E-2</v>
      </c>
      <c r="L2042" s="80">
        <v>-1.2E-2</v>
      </c>
      <c r="M2042" s="75" t="s">
        <v>143</v>
      </c>
      <c r="N2042" s="75" t="b">
        <v>1</v>
      </c>
      <c r="O2042" s="75" t="s">
        <v>144</v>
      </c>
      <c r="P2042" s="75">
        <v>1994</v>
      </c>
      <c r="Q2042" s="107">
        <f t="shared" si="50"/>
        <v>2013</v>
      </c>
      <c r="R2042" s="107">
        <v>2</v>
      </c>
      <c r="S2042" s="100">
        <v>213081</v>
      </c>
      <c r="T2042" s="101">
        <v>41562</v>
      </c>
    </row>
    <row r="2043" spans="1:20" x14ac:dyDescent="0.3">
      <c r="A2043" s="68">
        <v>41484</v>
      </c>
      <c r="B2043" s="69">
        <f t="shared" si="49"/>
        <v>20130729</v>
      </c>
      <c r="C2043" s="70">
        <v>2.8900000000000002E-2</v>
      </c>
      <c r="D2043" s="77">
        <v>4.0000000000000001E-3</v>
      </c>
      <c r="E2043" s="77">
        <v>6.0000000000000001E-3</v>
      </c>
      <c r="F2043" s="77">
        <v>7.0000000000000001E-3</v>
      </c>
      <c r="G2043" s="78">
        <v>0</v>
      </c>
      <c r="H2043" s="71">
        <v>7.8</v>
      </c>
      <c r="I2043" s="71">
        <v>10.199999999999999</v>
      </c>
      <c r="J2043" s="71">
        <v>12.5</v>
      </c>
      <c r="K2043" s="106">
        <v>1.0700000000000001E-2</v>
      </c>
      <c r="L2043" s="80">
        <v>-1.2E-2</v>
      </c>
      <c r="M2043" s="75" t="s">
        <v>143</v>
      </c>
      <c r="N2043" s="75" t="b">
        <v>1</v>
      </c>
      <c r="O2043" s="75" t="s">
        <v>144</v>
      </c>
      <c r="P2043" s="75">
        <v>1994</v>
      </c>
      <c r="Q2043" s="107">
        <f t="shared" si="50"/>
        <v>2013</v>
      </c>
      <c r="R2043" s="107">
        <v>2</v>
      </c>
      <c r="S2043" s="100">
        <v>213081</v>
      </c>
      <c r="T2043" s="101">
        <v>41562</v>
      </c>
    </row>
    <row r="2044" spans="1:20" x14ac:dyDescent="0.3">
      <c r="A2044" s="68">
        <v>41485</v>
      </c>
      <c r="B2044" s="69">
        <f t="shared" si="49"/>
        <v>20130730</v>
      </c>
      <c r="C2044" s="70">
        <v>2.9300000000000003E-2</v>
      </c>
      <c r="D2044" s="77">
        <v>4.0000000000000001E-3</v>
      </c>
      <c r="E2044" s="77">
        <v>6.0000000000000001E-3</v>
      </c>
      <c r="F2044" s="77">
        <v>7.0000000000000001E-3</v>
      </c>
      <c r="G2044" s="78">
        <v>0</v>
      </c>
      <c r="H2044" s="71">
        <v>7.8</v>
      </c>
      <c r="I2044" s="71">
        <v>10.199999999999999</v>
      </c>
      <c r="J2044" s="71">
        <v>12.5</v>
      </c>
      <c r="K2044" s="106">
        <v>1.09E-2</v>
      </c>
      <c r="L2044" s="80">
        <v>-1.2E-2</v>
      </c>
      <c r="M2044" s="75" t="s">
        <v>143</v>
      </c>
      <c r="N2044" s="75" t="b">
        <v>1</v>
      </c>
      <c r="O2044" s="75" t="s">
        <v>144</v>
      </c>
      <c r="P2044" s="75">
        <v>1994</v>
      </c>
      <c r="Q2044" s="107">
        <f t="shared" si="50"/>
        <v>2013</v>
      </c>
      <c r="R2044" s="107">
        <v>2</v>
      </c>
      <c r="S2044" s="100">
        <v>213081</v>
      </c>
      <c r="T2044" s="101">
        <v>41562</v>
      </c>
    </row>
    <row r="2045" spans="1:20" x14ac:dyDescent="0.3">
      <c r="A2045" s="68">
        <v>41486</v>
      </c>
      <c r="B2045" s="69">
        <f t="shared" si="49"/>
        <v>20130731</v>
      </c>
      <c r="C2045" s="70">
        <v>2.8799999999999999E-2</v>
      </c>
      <c r="D2045" s="77">
        <v>4.0000000000000001E-3</v>
      </c>
      <c r="E2045" s="77">
        <v>6.0000000000000001E-3</v>
      </c>
      <c r="F2045" s="77">
        <v>7.0000000000000001E-3</v>
      </c>
      <c r="G2045" s="78">
        <v>0</v>
      </c>
      <c r="H2045" s="71">
        <v>7.8</v>
      </c>
      <c r="I2045" s="71">
        <v>10.199999999999999</v>
      </c>
      <c r="J2045" s="71">
        <v>12.5</v>
      </c>
      <c r="K2045" s="106">
        <v>1.0200000000000001E-2</v>
      </c>
      <c r="L2045" s="80">
        <v>-1.2E-2</v>
      </c>
      <c r="M2045" s="75" t="s">
        <v>143</v>
      </c>
      <c r="N2045" s="75" t="b">
        <v>1</v>
      </c>
      <c r="O2045" s="75" t="s">
        <v>144</v>
      </c>
      <c r="P2045" s="75">
        <v>1994</v>
      </c>
      <c r="Q2045" s="107">
        <f t="shared" si="50"/>
        <v>2013</v>
      </c>
      <c r="R2045" s="107">
        <v>2</v>
      </c>
      <c r="S2045" s="100">
        <v>213081</v>
      </c>
      <c r="T2045" s="101">
        <v>41562</v>
      </c>
    </row>
    <row r="2046" spans="1:20" x14ac:dyDescent="0.3">
      <c r="A2046" s="68">
        <v>41487</v>
      </c>
      <c r="B2046" s="69">
        <f>YEAR(A2046)*10000+MONTH(A2046)*100+DAY(A2046)</f>
        <v>20130801</v>
      </c>
      <c r="C2046" s="70">
        <v>2.9600000000000001E-2</v>
      </c>
      <c r="D2046" s="77">
        <v>4.0000000000000001E-3</v>
      </c>
      <c r="E2046" s="77">
        <v>6.0000000000000001E-3</v>
      </c>
      <c r="F2046" s="77">
        <v>7.0000000000000001E-3</v>
      </c>
      <c r="G2046" s="78">
        <v>0</v>
      </c>
      <c r="H2046" s="71">
        <v>7.8</v>
      </c>
      <c r="I2046" s="71">
        <v>10.199999999999999</v>
      </c>
      <c r="J2046" s="71">
        <v>12.5</v>
      </c>
      <c r="K2046" s="106">
        <v>1.09E-2</v>
      </c>
      <c r="L2046" s="80">
        <v>-1.2E-2</v>
      </c>
      <c r="M2046" s="75" t="s">
        <v>143</v>
      </c>
      <c r="N2046" s="75" t="b">
        <v>1</v>
      </c>
      <c r="O2046" s="75" t="s">
        <v>144</v>
      </c>
      <c r="P2046" s="75">
        <v>1994</v>
      </c>
      <c r="Q2046" s="107">
        <f t="shared" si="50"/>
        <v>2013</v>
      </c>
      <c r="R2046" s="107">
        <v>2</v>
      </c>
      <c r="S2046" s="100">
        <v>213081</v>
      </c>
      <c r="T2046" s="101">
        <v>41562</v>
      </c>
    </row>
    <row r="2047" spans="1:20" x14ac:dyDescent="0.3">
      <c r="A2047" s="68">
        <v>41488</v>
      </c>
      <c r="B2047" s="69">
        <f t="shared" ref="B2047:B2067" si="51">YEAR(A2047)*10000+MONTH(A2047)*100+DAY(A2047)</f>
        <v>20130802</v>
      </c>
      <c r="C2047" s="70">
        <v>2.9100000000000001E-2</v>
      </c>
      <c r="D2047" s="77">
        <v>4.0000000000000001E-3</v>
      </c>
      <c r="E2047" s="77">
        <v>6.0000000000000001E-3</v>
      </c>
      <c r="F2047" s="77">
        <v>7.0000000000000001E-3</v>
      </c>
      <c r="G2047" s="78">
        <v>0</v>
      </c>
      <c r="H2047" s="71">
        <v>7.8</v>
      </c>
      <c r="I2047" s="71">
        <v>10.199999999999999</v>
      </c>
      <c r="J2047" s="71">
        <v>12.5</v>
      </c>
      <c r="K2047" s="106">
        <v>1.06E-2</v>
      </c>
      <c r="L2047" s="80">
        <v>-1.2E-2</v>
      </c>
      <c r="M2047" s="75" t="s">
        <v>143</v>
      </c>
      <c r="N2047" s="75" t="b">
        <v>1</v>
      </c>
      <c r="O2047" s="75" t="s">
        <v>144</v>
      </c>
      <c r="P2047" s="75">
        <v>1994</v>
      </c>
      <c r="Q2047" s="107">
        <f t="shared" si="50"/>
        <v>2013</v>
      </c>
      <c r="R2047" s="107">
        <v>2</v>
      </c>
      <c r="S2047" s="100">
        <v>213081</v>
      </c>
      <c r="T2047" s="101">
        <v>41562</v>
      </c>
    </row>
    <row r="2048" spans="1:20" x14ac:dyDescent="0.3">
      <c r="A2048" s="68">
        <v>41489</v>
      </c>
      <c r="B2048" s="69">
        <f t="shared" si="51"/>
        <v>20130803</v>
      </c>
      <c r="C2048" s="70">
        <v>2.9100000000000001E-2</v>
      </c>
      <c r="D2048" s="77">
        <v>4.0000000000000001E-3</v>
      </c>
      <c r="E2048" s="77">
        <v>6.0000000000000001E-3</v>
      </c>
      <c r="F2048" s="77">
        <v>7.0000000000000001E-3</v>
      </c>
      <c r="G2048" s="78">
        <v>0</v>
      </c>
      <c r="H2048" s="71">
        <v>7.8</v>
      </c>
      <c r="I2048" s="71">
        <v>10.199999999999999</v>
      </c>
      <c r="J2048" s="71">
        <v>12.5</v>
      </c>
      <c r="K2048" s="106">
        <v>1.06E-2</v>
      </c>
      <c r="L2048" s="80">
        <v>-1.2E-2</v>
      </c>
      <c r="M2048" s="75" t="s">
        <v>143</v>
      </c>
      <c r="N2048" s="75" t="b">
        <v>1</v>
      </c>
      <c r="O2048" s="75" t="s">
        <v>144</v>
      </c>
      <c r="P2048" s="75">
        <v>1994</v>
      </c>
      <c r="Q2048" s="107">
        <f t="shared" si="50"/>
        <v>2013</v>
      </c>
      <c r="R2048" s="107">
        <v>2</v>
      </c>
      <c r="S2048" s="100">
        <v>213081</v>
      </c>
      <c r="T2048" s="101">
        <v>41562</v>
      </c>
    </row>
    <row r="2049" spans="1:20" x14ac:dyDescent="0.3">
      <c r="A2049" s="68">
        <v>41490</v>
      </c>
      <c r="B2049" s="69">
        <f t="shared" si="51"/>
        <v>20130804</v>
      </c>
      <c r="C2049" s="70">
        <v>2.9100000000000001E-2</v>
      </c>
      <c r="D2049" s="77">
        <v>4.0000000000000001E-3</v>
      </c>
      <c r="E2049" s="77">
        <v>6.0000000000000001E-3</v>
      </c>
      <c r="F2049" s="77">
        <v>7.0000000000000001E-3</v>
      </c>
      <c r="G2049" s="78">
        <v>0</v>
      </c>
      <c r="H2049" s="71">
        <v>7.8</v>
      </c>
      <c r="I2049" s="71">
        <v>10.199999999999999</v>
      </c>
      <c r="J2049" s="71">
        <v>12.5</v>
      </c>
      <c r="K2049" s="106">
        <v>1.06E-2</v>
      </c>
      <c r="L2049" s="80">
        <v>-1.2E-2</v>
      </c>
      <c r="M2049" s="75" t="s">
        <v>143</v>
      </c>
      <c r="N2049" s="75" t="b">
        <v>1</v>
      </c>
      <c r="O2049" s="75" t="s">
        <v>144</v>
      </c>
      <c r="P2049" s="75">
        <v>1994</v>
      </c>
      <c r="Q2049" s="107">
        <f t="shared" si="50"/>
        <v>2013</v>
      </c>
      <c r="R2049" s="107">
        <v>2</v>
      </c>
      <c r="S2049" s="100">
        <v>213081</v>
      </c>
      <c r="T2049" s="101">
        <v>41562</v>
      </c>
    </row>
    <row r="2050" spans="1:20" x14ac:dyDescent="0.3">
      <c r="A2050" s="68">
        <v>41491</v>
      </c>
      <c r="B2050" s="69">
        <f t="shared" si="51"/>
        <v>20130805</v>
      </c>
      <c r="C2050" s="70">
        <v>2.9100000000000001E-2</v>
      </c>
      <c r="D2050" s="77">
        <v>4.0000000000000001E-3</v>
      </c>
      <c r="E2050" s="77">
        <v>6.0000000000000001E-3</v>
      </c>
      <c r="F2050" s="77">
        <v>7.0000000000000001E-3</v>
      </c>
      <c r="G2050" s="78">
        <v>0</v>
      </c>
      <c r="H2050" s="71">
        <v>7.8</v>
      </c>
      <c r="I2050" s="71">
        <v>10.199999999999999</v>
      </c>
      <c r="J2050" s="71">
        <v>12.5</v>
      </c>
      <c r="K2050" s="106">
        <v>1.06E-2</v>
      </c>
      <c r="L2050" s="80">
        <v>-1.2E-2</v>
      </c>
      <c r="M2050" s="75" t="s">
        <v>143</v>
      </c>
      <c r="N2050" s="75" t="b">
        <v>1</v>
      </c>
      <c r="O2050" s="75" t="s">
        <v>144</v>
      </c>
      <c r="P2050" s="75">
        <v>1994</v>
      </c>
      <c r="Q2050" s="107">
        <f t="shared" si="50"/>
        <v>2013</v>
      </c>
      <c r="R2050" s="107">
        <v>2</v>
      </c>
      <c r="S2050" s="100">
        <v>213081</v>
      </c>
      <c r="T2050" s="101">
        <v>41562</v>
      </c>
    </row>
    <row r="2051" spans="1:20" x14ac:dyDescent="0.3">
      <c r="A2051" s="68">
        <v>41492</v>
      </c>
      <c r="B2051" s="69">
        <f t="shared" si="51"/>
        <v>20130806</v>
      </c>
      <c r="C2051" s="70">
        <v>2.9399999999999999E-2</v>
      </c>
      <c r="D2051" s="77">
        <v>4.0000000000000001E-3</v>
      </c>
      <c r="E2051" s="77">
        <v>6.0000000000000001E-3</v>
      </c>
      <c r="F2051" s="77">
        <v>7.0000000000000001E-3</v>
      </c>
      <c r="G2051" s="78">
        <v>0</v>
      </c>
      <c r="H2051" s="71">
        <v>7.8</v>
      </c>
      <c r="I2051" s="71">
        <v>10.199999999999999</v>
      </c>
      <c r="J2051" s="71">
        <v>12.5</v>
      </c>
      <c r="K2051" s="106">
        <v>1.06E-2</v>
      </c>
      <c r="L2051" s="80">
        <v>-1.2E-2</v>
      </c>
      <c r="M2051" s="75" t="s">
        <v>143</v>
      </c>
      <c r="N2051" s="75" t="b">
        <v>1</v>
      </c>
      <c r="O2051" s="75" t="s">
        <v>144</v>
      </c>
      <c r="P2051" s="75">
        <v>1994</v>
      </c>
      <c r="Q2051" s="107">
        <f t="shared" si="50"/>
        <v>2013</v>
      </c>
      <c r="R2051" s="107">
        <v>2</v>
      </c>
      <c r="S2051" s="100">
        <v>213081</v>
      </c>
      <c r="T2051" s="101">
        <v>41562</v>
      </c>
    </row>
    <row r="2052" spans="1:20" x14ac:dyDescent="0.3">
      <c r="A2052" s="68">
        <v>41493</v>
      </c>
      <c r="B2052" s="69">
        <f t="shared" si="51"/>
        <v>20130807</v>
      </c>
      <c r="C2052" s="70">
        <v>2.92E-2</v>
      </c>
      <c r="D2052" s="77">
        <v>4.0000000000000001E-3</v>
      </c>
      <c r="E2052" s="77">
        <v>6.0000000000000001E-3</v>
      </c>
      <c r="F2052" s="77">
        <v>7.0000000000000001E-3</v>
      </c>
      <c r="G2052" s="78">
        <v>0</v>
      </c>
      <c r="H2052" s="71">
        <v>7.8</v>
      </c>
      <c r="I2052" s="71">
        <v>10.199999999999999</v>
      </c>
      <c r="J2052" s="71">
        <v>12.5</v>
      </c>
      <c r="K2052" s="106">
        <v>1.03E-2</v>
      </c>
      <c r="L2052" s="80">
        <v>-1.2E-2</v>
      </c>
      <c r="M2052" s="75" t="s">
        <v>143</v>
      </c>
      <c r="N2052" s="75" t="b">
        <v>1</v>
      </c>
      <c r="O2052" s="75" t="s">
        <v>144</v>
      </c>
      <c r="P2052" s="75">
        <v>1994</v>
      </c>
      <c r="Q2052" s="107">
        <f t="shared" si="50"/>
        <v>2013</v>
      </c>
      <c r="R2052" s="107">
        <v>2</v>
      </c>
      <c r="S2052" s="100">
        <v>213081</v>
      </c>
      <c r="T2052" s="101">
        <v>41562</v>
      </c>
    </row>
    <row r="2053" spans="1:20" x14ac:dyDescent="0.3">
      <c r="A2053" s="68">
        <v>41494</v>
      </c>
      <c r="B2053" s="69">
        <f t="shared" si="51"/>
        <v>20130808</v>
      </c>
      <c r="C2053" s="70">
        <v>2.9100000000000001E-2</v>
      </c>
      <c r="D2053" s="77">
        <v>4.0000000000000001E-3</v>
      </c>
      <c r="E2053" s="77">
        <v>6.0000000000000001E-3</v>
      </c>
      <c r="F2053" s="77">
        <v>7.0000000000000001E-3</v>
      </c>
      <c r="G2053" s="78">
        <v>0</v>
      </c>
      <c r="H2053" s="71">
        <v>7.8</v>
      </c>
      <c r="I2053" s="71">
        <v>10.199999999999999</v>
      </c>
      <c r="J2053" s="71">
        <v>12.5</v>
      </c>
      <c r="K2053" s="106">
        <v>1.01E-2</v>
      </c>
      <c r="L2053" s="80">
        <v>-1.2E-2</v>
      </c>
      <c r="M2053" s="75" t="s">
        <v>143</v>
      </c>
      <c r="N2053" s="75" t="b">
        <v>1</v>
      </c>
      <c r="O2053" s="75" t="s">
        <v>144</v>
      </c>
      <c r="P2053" s="75">
        <v>1994</v>
      </c>
      <c r="Q2053" s="107">
        <f t="shared" si="50"/>
        <v>2013</v>
      </c>
      <c r="R2053" s="107">
        <v>2</v>
      </c>
      <c r="S2053" s="100">
        <v>213081</v>
      </c>
      <c r="T2053" s="101">
        <v>41562</v>
      </c>
    </row>
    <row r="2054" spans="1:20" x14ac:dyDescent="0.3">
      <c r="A2054" s="68">
        <v>41495</v>
      </c>
      <c r="B2054" s="69">
        <f t="shared" si="51"/>
        <v>20130809</v>
      </c>
      <c r="C2054" s="70">
        <v>2.8999999999999998E-2</v>
      </c>
      <c r="D2054" s="77">
        <v>4.0000000000000001E-3</v>
      </c>
      <c r="E2054" s="77">
        <v>6.0000000000000001E-3</v>
      </c>
      <c r="F2054" s="77">
        <v>7.0000000000000001E-3</v>
      </c>
      <c r="G2054" s="78">
        <v>0</v>
      </c>
      <c r="H2054" s="71">
        <v>7.8</v>
      </c>
      <c r="I2054" s="71">
        <v>10.199999999999999</v>
      </c>
      <c r="J2054" s="71">
        <v>12.5</v>
      </c>
      <c r="K2054" s="106">
        <v>0.01</v>
      </c>
      <c r="L2054" s="80">
        <v>-1.2E-2</v>
      </c>
      <c r="M2054" s="75" t="s">
        <v>143</v>
      </c>
      <c r="N2054" s="75" t="b">
        <v>1</v>
      </c>
      <c r="O2054" s="75" t="s">
        <v>144</v>
      </c>
      <c r="P2054" s="75">
        <v>1994</v>
      </c>
      <c r="Q2054" s="107">
        <f t="shared" si="50"/>
        <v>2013</v>
      </c>
      <c r="R2054" s="107">
        <v>2</v>
      </c>
      <c r="S2054" s="100">
        <v>213081</v>
      </c>
      <c r="T2054" s="101">
        <v>41562</v>
      </c>
    </row>
    <row r="2055" spans="1:20" x14ac:dyDescent="0.3">
      <c r="A2055" s="68">
        <v>41498</v>
      </c>
      <c r="B2055" s="69">
        <f t="shared" si="51"/>
        <v>20130812</v>
      </c>
      <c r="C2055" s="70">
        <v>2.9300000000000003E-2</v>
      </c>
      <c r="D2055" s="77">
        <v>4.0000000000000001E-3</v>
      </c>
      <c r="E2055" s="77">
        <v>6.0000000000000001E-3</v>
      </c>
      <c r="F2055" s="77">
        <v>7.0000000000000001E-3</v>
      </c>
      <c r="G2055" s="78">
        <v>0</v>
      </c>
      <c r="H2055" s="71">
        <v>7.8</v>
      </c>
      <c r="I2055" s="71">
        <v>10.199999999999999</v>
      </c>
      <c r="J2055" s="71">
        <v>12.5</v>
      </c>
      <c r="K2055" s="106">
        <v>1.0200000000000001E-2</v>
      </c>
      <c r="L2055" s="80">
        <v>-1.2E-2</v>
      </c>
      <c r="M2055" s="75" t="s">
        <v>143</v>
      </c>
      <c r="N2055" s="75" t="b">
        <v>1</v>
      </c>
      <c r="O2055" s="75" t="s">
        <v>144</v>
      </c>
      <c r="P2055" s="75">
        <v>1994</v>
      </c>
      <c r="Q2055" s="107">
        <f t="shared" si="50"/>
        <v>2013</v>
      </c>
      <c r="R2055" s="107">
        <v>2</v>
      </c>
      <c r="S2055" s="100">
        <v>213081</v>
      </c>
      <c r="T2055" s="101">
        <v>41562</v>
      </c>
    </row>
    <row r="2056" spans="1:20" x14ac:dyDescent="0.3">
      <c r="A2056" s="68">
        <v>41499</v>
      </c>
      <c r="B2056" s="69">
        <f t="shared" si="51"/>
        <v>20130813</v>
      </c>
      <c r="C2056" s="70">
        <v>3.0099999999999998E-2</v>
      </c>
      <c r="D2056" s="77">
        <v>4.0000000000000001E-3</v>
      </c>
      <c r="E2056" s="77">
        <v>6.0000000000000001E-3</v>
      </c>
      <c r="F2056" s="77">
        <v>7.0000000000000001E-3</v>
      </c>
      <c r="G2056" s="78">
        <v>0</v>
      </c>
      <c r="H2056" s="71">
        <v>7.8</v>
      </c>
      <c r="I2056" s="71">
        <v>10.199999999999999</v>
      </c>
      <c r="J2056" s="71">
        <v>12.5</v>
      </c>
      <c r="K2056" s="106">
        <v>1.09E-2</v>
      </c>
      <c r="L2056" s="80">
        <v>-1.2E-2</v>
      </c>
      <c r="M2056" s="75" t="s">
        <v>143</v>
      </c>
      <c r="N2056" s="75" t="b">
        <v>1</v>
      </c>
      <c r="O2056" s="75" t="s">
        <v>144</v>
      </c>
      <c r="P2056" s="75">
        <v>1994</v>
      </c>
      <c r="Q2056" s="107">
        <f t="shared" si="50"/>
        <v>2013</v>
      </c>
      <c r="R2056" s="107">
        <v>2</v>
      </c>
      <c r="S2056" s="100">
        <v>213081</v>
      </c>
      <c r="T2056" s="101">
        <v>41562</v>
      </c>
    </row>
    <row r="2057" spans="1:20" x14ac:dyDescent="0.3">
      <c r="A2057" s="68">
        <v>41500</v>
      </c>
      <c r="B2057" s="69">
        <f t="shared" si="51"/>
        <v>20130814</v>
      </c>
      <c r="C2057" s="70">
        <v>3.0200000000000001E-2</v>
      </c>
      <c r="D2057" s="77">
        <v>4.0000000000000001E-3</v>
      </c>
      <c r="E2057" s="77">
        <v>6.0000000000000001E-3</v>
      </c>
      <c r="F2057" s="77">
        <v>7.0000000000000001E-3</v>
      </c>
      <c r="G2057" s="78">
        <v>0</v>
      </c>
      <c r="H2057" s="71">
        <v>7.8</v>
      </c>
      <c r="I2057" s="71">
        <v>10.199999999999999</v>
      </c>
      <c r="J2057" s="71">
        <v>12.5</v>
      </c>
      <c r="K2057" s="106">
        <v>1.11E-2</v>
      </c>
      <c r="L2057" s="80">
        <v>-1.2E-2</v>
      </c>
      <c r="M2057" s="75" t="s">
        <v>143</v>
      </c>
      <c r="N2057" s="75" t="b">
        <v>1</v>
      </c>
      <c r="O2057" s="75" t="s">
        <v>144</v>
      </c>
      <c r="P2057" s="75">
        <v>1994</v>
      </c>
      <c r="Q2057" s="107">
        <f t="shared" si="50"/>
        <v>2013</v>
      </c>
      <c r="R2057" s="107">
        <v>2</v>
      </c>
      <c r="S2057" s="100">
        <v>213081</v>
      </c>
      <c r="T2057" s="101">
        <v>41562</v>
      </c>
    </row>
    <row r="2058" spans="1:20" x14ac:dyDescent="0.3">
      <c r="A2058" s="68">
        <v>41501</v>
      </c>
      <c r="B2058" s="69">
        <f t="shared" si="51"/>
        <v>20130815</v>
      </c>
      <c r="C2058" s="70">
        <v>3.0699999999999998E-2</v>
      </c>
      <c r="D2058" s="77">
        <v>4.0000000000000001E-3</v>
      </c>
      <c r="E2058" s="77">
        <v>6.0000000000000001E-3</v>
      </c>
      <c r="F2058" s="77">
        <v>7.0000000000000001E-3</v>
      </c>
      <c r="G2058" s="78">
        <v>0</v>
      </c>
      <c r="H2058" s="71">
        <v>7.8</v>
      </c>
      <c r="I2058" s="71">
        <v>10.199999999999999</v>
      </c>
      <c r="J2058" s="71">
        <v>12.5</v>
      </c>
      <c r="K2058" s="106">
        <v>1.1699999999999999E-2</v>
      </c>
      <c r="L2058" s="80">
        <v>-1.2E-2</v>
      </c>
      <c r="M2058" s="75" t="s">
        <v>143</v>
      </c>
      <c r="N2058" s="75" t="b">
        <v>1</v>
      </c>
      <c r="O2058" s="75" t="s">
        <v>144</v>
      </c>
      <c r="P2058" s="75">
        <v>1994</v>
      </c>
      <c r="Q2058" s="107">
        <f t="shared" si="50"/>
        <v>2013</v>
      </c>
      <c r="R2058" s="107">
        <v>2</v>
      </c>
      <c r="S2058" s="100">
        <v>213081</v>
      </c>
      <c r="T2058" s="101">
        <v>41562</v>
      </c>
    </row>
    <row r="2059" spans="1:20" x14ac:dyDescent="0.3">
      <c r="A2059" s="68">
        <v>41502</v>
      </c>
      <c r="B2059" s="69">
        <f t="shared" si="51"/>
        <v>20130816</v>
      </c>
      <c r="C2059" s="70">
        <v>3.1099999999999999E-2</v>
      </c>
      <c r="D2059" s="77">
        <v>4.0000000000000001E-3</v>
      </c>
      <c r="E2059" s="77">
        <v>6.0000000000000001E-3</v>
      </c>
      <c r="F2059" s="77">
        <v>7.0000000000000001E-3</v>
      </c>
      <c r="G2059" s="78">
        <v>0</v>
      </c>
      <c r="H2059" s="71">
        <v>7.8</v>
      </c>
      <c r="I2059" s="71">
        <v>10.199999999999999</v>
      </c>
      <c r="J2059" s="71">
        <v>12.5</v>
      </c>
      <c r="K2059" s="106">
        <v>1.21E-2</v>
      </c>
      <c r="L2059" s="80">
        <v>-1.2E-2</v>
      </c>
      <c r="M2059" s="75" t="s">
        <v>143</v>
      </c>
      <c r="N2059" s="75" t="b">
        <v>1</v>
      </c>
      <c r="O2059" s="75" t="s">
        <v>144</v>
      </c>
      <c r="P2059" s="75">
        <v>1994</v>
      </c>
      <c r="Q2059" s="107">
        <f t="shared" si="50"/>
        <v>2013</v>
      </c>
      <c r="R2059" s="107">
        <v>2</v>
      </c>
      <c r="S2059" s="100">
        <v>213081</v>
      </c>
      <c r="T2059" s="101">
        <v>41562</v>
      </c>
    </row>
    <row r="2060" spans="1:20" x14ac:dyDescent="0.3">
      <c r="A2060" s="68">
        <v>41505</v>
      </c>
      <c r="B2060" s="69">
        <f t="shared" si="51"/>
        <v>20130819</v>
      </c>
      <c r="C2060" s="70">
        <v>3.1200000000000002E-2</v>
      </c>
      <c r="D2060" s="77">
        <v>4.0000000000000001E-3</v>
      </c>
      <c r="E2060" s="77">
        <v>6.0000000000000001E-3</v>
      </c>
      <c r="F2060" s="77">
        <v>7.0000000000000001E-3</v>
      </c>
      <c r="G2060" s="78">
        <v>0</v>
      </c>
      <c r="H2060" s="71">
        <v>7.8</v>
      </c>
      <c r="I2060" s="71">
        <v>10.199999999999999</v>
      </c>
      <c r="J2060" s="71">
        <v>12.5</v>
      </c>
      <c r="K2060" s="106">
        <v>1.24E-2</v>
      </c>
      <c r="L2060" s="80">
        <v>-1.2E-2</v>
      </c>
      <c r="M2060" s="75" t="s">
        <v>143</v>
      </c>
      <c r="N2060" s="75" t="b">
        <v>1</v>
      </c>
      <c r="O2060" s="75" t="s">
        <v>144</v>
      </c>
      <c r="P2060" s="75">
        <v>1994</v>
      </c>
      <c r="Q2060" s="107">
        <f t="shared" si="50"/>
        <v>2013</v>
      </c>
      <c r="R2060" s="107">
        <v>2</v>
      </c>
      <c r="S2060" s="100">
        <v>213081</v>
      </c>
      <c r="T2060" s="101">
        <v>41562</v>
      </c>
    </row>
    <row r="2061" spans="1:20" x14ac:dyDescent="0.3">
      <c r="A2061" s="68">
        <v>41506</v>
      </c>
      <c r="B2061" s="69">
        <f t="shared" si="51"/>
        <v>20130820</v>
      </c>
      <c r="C2061" s="70">
        <v>3.0699999999999998E-2</v>
      </c>
      <c r="D2061" s="77">
        <v>4.0000000000000001E-3</v>
      </c>
      <c r="E2061" s="77">
        <v>6.0000000000000001E-3</v>
      </c>
      <c r="F2061" s="77">
        <v>7.0000000000000001E-3</v>
      </c>
      <c r="G2061" s="78">
        <v>0</v>
      </c>
      <c r="H2061" s="71">
        <v>7.8</v>
      </c>
      <c r="I2061" s="71">
        <v>10.199999999999999</v>
      </c>
      <c r="J2061" s="71">
        <v>12.5</v>
      </c>
      <c r="K2061" s="106">
        <v>1.18E-2</v>
      </c>
      <c r="L2061" s="80">
        <v>-1.2E-2</v>
      </c>
      <c r="M2061" s="75" t="s">
        <v>143</v>
      </c>
      <c r="N2061" s="75" t="b">
        <v>1</v>
      </c>
      <c r="O2061" s="75" t="s">
        <v>144</v>
      </c>
      <c r="P2061" s="75">
        <v>1994</v>
      </c>
      <c r="Q2061" s="107">
        <f t="shared" si="50"/>
        <v>2013</v>
      </c>
      <c r="R2061" s="107">
        <v>2</v>
      </c>
      <c r="S2061" s="100">
        <v>213081</v>
      </c>
      <c r="T2061" s="101">
        <v>41562</v>
      </c>
    </row>
    <row r="2062" spans="1:20" x14ac:dyDescent="0.3">
      <c r="A2062" s="68">
        <v>41507</v>
      </c>
      <c r="B2062" s="69">
        <f t="shared" si="51"/>
        <v>20130821</v>
      </c>
      <c r="C2062" s="70">
        <v>3.1200000000000002E-2</v>
      </c>
      <c r="D2062" s="77">
        <v>4.0000000000000001E-3</v>
      </c>
      <c r="E2062" s="77">
        <v>6.0000000000000001E-3</v>
      </c>
      <c r="F2062" s="77">
        <v>7.0000000000000001E-3</v>
      </c>
      <c r="G2062" s="78">
        <v>0</v>
      </c>
      <c r="H2062" s="71">
        <v>7.8</v>
      </c>
      <c r="I2062" s="71">
        <v>10.199999999999999</v>
      </c>
      <c r="J2062" s="71">
        <v>12.5</v>
      </c>
      <c r="K2062" s="106">
        <v>1.23E-2</v>
      </c>
      <c r="L2062" s="80">
        <v>-1.2E-2</v>
      </c>
      <c r="M2062" s="75" t="s">
        <v>143</v>
      </c>
      <c r="N2062" s="75" t="b">
        <v>1</v>
      </c>
      <c r="O2062" s="75" t="s">
        <v>144</v>
      </c>
      <c r="P2062" s="75">
        <v>1994</v>
      </c>
      <c r="Q2062" s="107">
        <f t="shared" si="50"/>
        <v>2013</v>
      </c>
      <c r="R2062" s="107">
        <v>2</v>
      </c>
      <c r="S2062" s="100">
        <v>213081</v>
      </c>
      <c r="T2062" s="101">
        <v>41562</v>
      </c>
    </row>
    <row r="2063" spans="1:20" x14ac:dyDescent="0.3">
      <c r="A2063" s="68">
        <v>41508</v>
      </c>
      <c r="B2063" s="69">
        <f t="shared" si="51"/>
        <v>20130822</v>
      </c>
      <c r="C2063" s="70">
        <v>3.1200000000000002E-2</v>
      </c>
      <c r="D2063" s="77">
        <v>4.0000000000000001E-3</v>
      </c>
      <c r="E2063" s="77">
        <v>6.0000000000000001E-3</v>
      </c>
      <c r="F2063" s="77">
        <v>7.0000000000000001E-3</v>
      </c>
      <c r="G2063" s="78">
        <v>0</v>
      </c>
      <c r="H2063" s="71">
        <v>7.8</v>
      </c>
      <c r="I2063" s="71">
        <v>10.199999999999999</v>
      </c>
      <c r="J2063" s="71">
        <v>12.5</v>
      </c>
      <c r="K2063" s="106">
        <v>1.24E-2</v>
      </c>
      <c r="L2063" s="80">
        <v>-1.2E-2</v>
      </c>
      <c r="M2063" s="75" t="s">
        <v>143</v>
      </c>
      <c r="N2063" s="75" t="b">
        <v>1</v>
      </c>
      <c r="O2063" s="75" t="s">
        <v>144</v>
      </c>
      <c r="P2063" s="75">
        <v>1994</v>
      </c>
      <c r="Q2063" s="107">
        <f t="shared" si="50"/>
        <v>2013</v>
      </c>
      <c r="R2063" s="107">
        <v>2</v>
      </c>
      <c r="S2063" s="100">
        <v>213081</v>
      </c>
      <c r="T2063" s="101">
        <v>41562</v>
      </c>
    </row>
    <row r="2064" spans="1:20" x14ac:dyDescent="0.3">
      <c r="A2064" s="68">
        <v>41509</v>
      </c>
      <c r="B2064" s="69">
        <f t="shared" si="51"/>
        <v>20130823</v>
      </c>
      <c r="C2064" s="70">
        <v>3.0699999999999998E-2</v>
      </c>
      <c r="D2064" s="77">
        <v>4.0000000000000001E-3</v>
      </c>
      <c r="E2064" s="77">
        <v>6.0000000000000001E-3</v>
      </c>
      <c r="F2064" s="77">
        <v>7.0000000000000001E-3</v>
      </c>
      <c r="G2064" s="78">
        <v>0</v>
      </c>
      <c r="H2064" s="71">
        <v>7.8</v>
      </c>
      <c r="I2064" s="71">
        <v>10.199999999999999</v>
      </c>
      <c r="J2064" s="71">
        <v>12.5</v>
      </c>
      <c r="K2064" s="106">
        <v>1.1899999999999999E-2</v>
      </c>
      <c r="L2064" s="80">
        <v>-1.2E-2</v>
      </c>
      <c r="M2064" s="75" t="s">
        <v>143</v>
      </c>
      <c r="N2064" s="75" t="b">
        <v>1</v>
      </c>
      <c r="O2064" s="75" t="s">
        <v>144</v>
      </c>
      <c r="P2064" s="75">
        <v>1994</v>
      </c>
      <c r="Q2064" s="107">
        <f t="shared" si="50"/>
        <v>2013</v>
      </c>
      <c r="R2064" s="107">
        <v>2</v>
      </c>
      <c r="S2064" s="100">
        <v>213081</v>
      </c>
      <c r="T2064" s="101">
        <v>41562</v>
      </c>
    </row>
    <row r="2065" spans="1:20" x14ac:dyDescent="0.3">
      <c r="A2065" s="68">
        <v>41512</v>
      </c>
      <c r="B2065" s="69">
        <f t="shared" si="51"/>
        <v>20130826</v>
      </c>
      <c r="C2065" s="70">
        <v>3.0299999999999997E-2</v>
      </c>
      <c r="D2065" s="77">
        <v>4.0000000000000001E-3</v>
      </c>
      <c r="E2065" s="77">
        <v>6.0000000000000001E-3</v>
      </c>
      <c r="F2065" s="77">
        <v>7.0000000000000001E-3</v>
      </c>
      <c r="G2065" s="78">
        <v>0</v>
      </c>
      <c r="H2065" s="71">
        <v>7.8</v>
      </c>
      <c r="I2065" s="71">
        <v>10.199999999999999</v>
      </c>
      <c r="J2065" s="71">
        <v>12.5</v>
      </c>
      <c r="K2065" s="106">
        <v>1.15E-2</v>
      </c>
      <c r="L2065" s="80">
        <v>-1.2E-2</v>
      </c>
      <c r="M2065" s="75" t="s">
        <v>143</v>
      </c>
      <c r="N2065" s="75" t="b">
        <v>1</v>
      </c>
      <c r="O2065" s="75" t="s">
        <v>144</v>
      </c>
      <c r="P2065" s="75">
        <v>1994</v>
      </c>
      <c r="Q2065" s="107">
        <f t="shared" si="50"/>
        <v>2013</v>
      </c>
      <c r="R2065" s="107">
        <v>2</v>
      </c>
      <c r="S2065" s="100">
        <v>213081</v>
      </c>
      <c r="T2065" s="101">
        <v>41562</v>
      </c>
    </row>
    <row r="2066" spans="1:20" x14ac:dyDescent="0.3">
      <c r="A2066" s="68">
        <v>41513</v>
      </c>
      <c r="B2066" s="69">
        <f t="shared" si="51"/>
        <v>20130827</v>
      </c>
      <c r="C2066" s="70">
        <v>2.9600000000000001E-2</v>
      </c>
      <c r="D2066" s="77">
        <v>4.0000000000000001E-3</v>
      </c>
      <c r="E2066" s="77">
        <v>6.0000000000000001E-3</v>
      </c>
      <c r="F2066" s="77">
        <v>7.0000000000000001E-3</v>
      </c>
      <c r="G2066" s="78">
        <v>0</v>
      </c>
      <c r="H2066" s="71">
        <v>7.8</v>
      </c>
      <c r="I2066" s="71">
        <v>10.199999999999999</v>
      </c>
      <c r="J2066" s="71">
        <v>12.5</v>
      </c>
      <c r="K2066" s="106">
        <v>1.06E-2</v>
      </c>
      <c r="L2066" s="80">
        <v>-1.2E-2</v>
      </c>
      <c r="M2066" s="75" t="s">
        <v>143</v>
      </c>
      <c r="N2066" s="75" t="b">
        <v>1</v>
      </c>
      <c r="O2066" s="75" t="s">
        <v>144</v>
      </c>
      <c r="P2066" s="75">
        <v>1994</v>
      </c>
      <c r="Q2066" s="107">
        <f t="shared" si="50"/>
        <v>2013</v>
      </c>
      <c r="R2066" s="107">
        <v>2</v>
      </c>
      <c r="S2066" s="100">
        <v>213081</v>
      </c>
      <c r="T2066" s="101">
        <v>41562</v>
      </c>
    </row>
    <row r="2067" spans="1:20" x14ac:dyDescent="0.3">
      <c r="A2067" s="68">
        <v>41514</v>
      </c>
      <c r="B2067" s="69">
        <f t="shared" si="51"/>
        <v>20130828</v>
      </c>
      <c r="C2067" s="70">
        <v>0.03</v>
      </c>
      <c r="D2067" s="77">
        <v>4.0000000000000001E-3</v>
      </c>
      <c r="E2067" s="77">
        <v>6.0000000000000001E-3</v>
      </c>
      <c r="F2067" s="77">
        <v>7.0000000000000001E-3</v>
      </c>
      <c r="G2067" s="78">
        <v>0</v>
      </c>
      <c r="H2067" s="71">
        <v>7.8</v>
      </c>
      <c r="I2067" s="71">
        <v>10.199999999999999</v>
      </c>
      <c r="J2067" s="71">
        <v>12.5</v>
      </c>
      <c r="K2067" s="106">
        <v>1.1000000000000001E-2</v>
      </c>
      <c r="L2067" s="80">
        <v>-1.2E-2</v>
      </c>
      <c r="M2067" s="75" t="s">
        <v>143</v>
      </c>
      <c r="N2067" s="75" t="b">
        <v>1</v>
      </c>
      <c r="O2067" s="75" t="s">
        <v>144</v>
      </c>
      <c r="P2067" s="75">
        <v>1994</v>
      </c>
      <c r="Q2067" s="107">
        <f t="shared" si="50"/>
        <v>2013</v>
      </c>
      <c r="R2067" s="107">
        <v>2</v>
      </c>
      <c r="S2067" s="100">
        <v>213081</v>
      </c>
      <c r="T2067" s="101">
        <v>41562</v>
      </c>
    </row>
    <row r="2068" spans="1:20" x14ac:dyDescent="0.3">
      <c r="A2068" s="68">
        <v>41515</v>
      </c>
      <c r="B2068" s="69">
        <f>YEAR(A2068)*10000+MONTH(A2068)*100+DAY(A2068)</f>
        <v>20130829</v>
      </c>
      <c r="C2068" s="70">
        <v>2.98E-2</v>
      </c>
      <c r="D2068" s="77">
        <v>4.0000000000000001E-3</v>
      </c>
      <c r="E2068" s="77">
        <v>6.0000000000000001E-3</v>
      </c>
      <c r="F2068" s="77">
        <v>7.0000000000000001E-3</v>
      </c>
      <c r="G2068" s="78">
        <v>0</v>
      </c>
      <c r="H2068" s="71">
        <v>7.8</v>
      </c>
      <c r="I2068" s="71">
        <v>10.199999999999999</v>
      </c>
      <c r="J2068" s="71">
        <v>12.5</v>
      </c>
      <c r="K2068" s="106">
        <v>1.0700000000000001E-2</v>
      </c>
      <c r="L2068" s="80">
        <v>-1.2E-2</v>
      </c>
      <c r="M2068" s="75" t="s">
        <v>143</v>
      </c>
      <c r="N2068" s="75" t="b">
        <v>1</v>
      </c>
      <c r="O2068" s="75" t="s">
        <v>144</v>
      </c>
      <c r="P2068" s="75">
        <v>1994</v>
      </c>
      <c r="Q2068" s="107">
        <f t="shared" si="50"/>
        <v>2013</v>
      </c>
      <c r="R2068" s="107">
        <v>2</v>
      </c>
      <c r="S2068" s="100">
        <v>213081</v>
      </c>
      <c r="T2068" s="101">
        <v>41562</v>
      </c>
    </row>
    <row r="2069" spans="1:20" x14ac:dyDescent="0.3">
      <c r="A2069" s="68">
        <v>41516</v>
      </c>
      <c r="B2069" s="69">
        <f>YEAR(A2069)*10000+MONTH(A2069)*100+DAY(A2069)</f>
        <v>20130830</v>
      </c>
      <c r="C2069" s="70">
        <v>2.98E-2</v>
      </c>
      <c r="D2069" s="77">
        <v>4.0000000000000001E-3</v>
      </c>
      <c r="E2069" s="77">
        <v>6.0000000000000001E-3</v>
      </c>
      <c r="F2069" s="77">
        <v>7.0000000000000001E-3</v>
      </c>
      <c r="G2069" s="78">
        <v>0</v>
      </c>
      <c r="H2069" s="71">
        <v>7.8</v>
      </c>
      <c r="I2069" s="71">
        <v>10.199999999999999</v>
      </c>
      <c r="J2069" s="71">
        <v>12.5</v>
      </c>
      <c r="K2069" s="106">
        <v>1.1000000000000001E-2</v>
      </c>
      <c r="L2069" s="80">
        <v>-1.2E-2</v>
      </c>
      <c r="M2069" s="75" t="s">
        <v>143</v>
      </c>
      <c r="N2069" s="75" t="b">
        <v>1</v>
      </c>
      <c r="O2069" s="75" t="s">
        <v>144</v>
      </c>
      <c r="P2069" s="75">
        <v>1994</v>
      </c>
      <c r="Q2069" s="107">
        <f t="shared" si="50"/>
        <v>2013</v>
      </c>
      <c r="R2069" s="107">
        <v>2</v>
      </c>
      <c r="S2069" s="100">
        <v>213081</v>
      </c>
      <c r="T2069" s="101">
        <v>41562</v>
      </c>
    </row>
    <row r="2070" spans="1:20" x14ac:dyDescent="0.3">
      <c r="A2070" s="68">
        <v>41517</v>
      </c>
      <c r="B2070" s="69">
        <f>YEAR(A2070)*10000+MONTH(A2070)*100+DAY(A2070)</f>
        <v>20130831</v>
      </c>
      <c r="C2070" s="70">
        <v>2.98E-2</v>
      </c>
      <c r="D2070" s="77">
        <v>4.0000000000000001E-3</v>
      </c>
      <c r="E2070" s="77">
        <v>6.0000000000000001E-3</v>
      </c>
      <c r="F2070" s="77">
        <v>7.0000000000000001E-3</v>
      </c>
      <c r="G2070" s="78">
        <v>0</v>
      </c>
      <c r="H2070" s="71">
        <v>7.8</v>
      </c>
      <c r="I2070" s="71">
        <v>10.199999999999999</v>
      </c>
      <c r="J2070" s="71">
        <v>12.5</v>
      </c>
      <c r="K2070" s="106">
        <v>1.1000000000000001E-2</v>
      </c>
      <c r="L2070" s="80">
        <v>-1.2E-2</v>
      </c>
      <c r="M2070" s="75" t="s">
        <v>143</v>
      </c>
      <c r="N2070" s="75" t="b">
        <v>1</v>
      </c>
      <c r="O2070" s="75" t="s">
        <v>144</v>
      </c>
      <c r="P2070" s="75">
        <v>1994</v>
      </c>
      <c r="Q2070" s="107">
        <f t="shared" si="50"/>
        <v>2013</v>
      </c>
      <c r="R2070" s="107">
        <v>2</v>
      </c>
      <c r="S2070" s="100">
        <v>213081</v>
      </c>
      <c r="T2070" s="101">
        <v>41562</v>
      </c>
    </row>
    <row r="2071" spans="1:20" x14ac:dyDescent="0.3">
      <c r="A2071" s="68">
        <v>41518</v>
      </c>
      <c r="B2071" s="69">
        <f>YEAR(A2071)*10000+MONTH(A2071)*100+DAY(A2071)</f>
        <v>20130901</v>
      </c>
      <c r="C2071" s="70">
        <v>2.98E-2</v>
      </c>
      <c r="D2071" s="77">
        <v>4.0000000000000001E-3</v>
      </c>
      <c r="E2071" s="77">
        <v>6.0000000000000001E-3</v>
      </c>
      <c r="F2071" s="77">
        <v>7.0000000000000001E-3</v>
      </c>
      <c r="G2071" s="78">
        <v>0</v>
      </c>
      <c r="H2071" s="71">
        <v>7.8</v>
      </c>
      <c r="I2071" s="71">
        <v>10.199999999999999</v>
      </c>
      <c r="J2071" s="71">
        <v>12.5</v>
      </c>
      <c r="K2071" s="106">
        <v>1.1000000000000001E-2</v>
      </c>
      <c r="L2071" s="80">
        <v>-1.2E-2</v>
      </c>
      <c r="M2071" s="75" t="s">
        <v>143</v>
      </c>
      <c r="N2071" s="75" t="b">
        <v>1</v>
      </c>
      <c r="O2071" s="75" t="s">
        <v>144</v>
      </c>
      <c r="P2071" s="75">
        <v>1994</v>
      </c>
      <c r="Q2071" s="107">
        <f t="shared" si="50"/>
        <v>2013</v>
      </c>
      <c r="R2071" s="107">
        <v>2</v>
      </c>
      <c r="S2071" s="100">
        <v>213081</v>
      </c>
      <c r="T2071" s="101">
        <v>41562</v>
      </c>
    </row>
    <row r="2072" spans="1:20" x14ac:dyDescent="0.3">
      <c r="A2072" s="68">
        <v>41519</v>
      </c>
      <c r="B2072" s="69">
        <f t="shared" ref="B2072:B2137" si="52">YEAR(A2072)*10000+MONTH(A2072)*100+DAY(A2072)</f>
        <v>20130902</v>
      </c>
      <c r="C2072" s="70">
        <v>2.98E-2</v>
      </c>
      <c r="D2072" s="77">
        <v>4.0000000000000001E-3</v>
      </c>
      <c r="E2072" s="77">
        <v>6.0000000000000001E-3</v>
      </c>
      <c r="F2072" s="77">
        <v>7.0000000000000001E-3</v>
      </c>
      <c r="G2072" s="78">
        <v>0</v>
      </c>
      <c r="H2072" s="71">
        <v>7.8</v>
      </c>
      <c r="I2072" s="71">
        <v>10.199999999999999</v>
      </c>
      <c r="J2072" s="71">
        <v>12.5</v>
      </c>
      <c r="K2072" s="106">
        <v>1.1000000000000001E-2</v>
      </c>
      <c r="L2072" s="80">
        <v>-1.2E-2</v>
      </c>
      <c r="M2072" s="75" t="s">
        <v>143</v>
      </c>
      <c r="N2072" s="75" t="b">
        <v>1</v>
      </c>
      <c r="O2072" s="75" t="s">
        <v>144</v>
      </c>
      <c r="P2072" s="75">
        <v>1994</v>
      </c>
      <c r="Q2072" s="107">
        <f t="shared" si="50"/>
        <v>2013</v>
      </c>
      <c r="R2072" s="107">
        <v>2</v>
      </c>
      <c r="S2072" s="100">
        <v>213081</v>
      </c>
      <c r="T2072" s="101">
        <v>41562</v>
      </c>
    </row>
    <row r="2073" spans="1:20" x14ac:dyDescent="0.3">
      <c r="A2073" s="68">
        <v>41520</v>
      </c>
      <c r="B2073" s="69">
        <f t="shared" si="52"/>
        <v>20130903</v>
      </c>
      <c r="C2073" s="70">
        <v>3.0600000000000002E-2</v>
      </c>
      <c r="D2073" s="77">
        <v>4.0000000000000001E-3</v>
      </c>
      <c r="E2073" s="77">
        <v>6.0000000000000001E-3</v>
      </c>
      <c r="F2073" s="77">
        <v>7.0000000000000001E-3</v>
      </c>
      <c r="G2073" s="78">
        <v>0</v>
      </c>
      <c r="H2073" s="71">
        <v>7.8</v>
      </c>
      <c r="I2073" s="71">
        <v>10.199999999999999</v>
      </c>
      <c r="J2073" s="71">
        <v>12.5</v>
      </c>
      <c r="K2073" s="106">
        <v>1.1899999999999999E-2</v>
      </c>
      <c r="L2073" s="80">
        <v>-1.2E-2</v>
      </c>
      <c r="M2073" s="75" t="s">
        <v>143</v>
      </c>
      <c r="N2073" s="75" t="b">
        <v>1</v>
      </c>
      <c r="O2073" s="75" t="s">
        <v>144</v>
      </c>
      <c r="P2073" s="75">
        <v>1994</v>
      </c>
      <c r="Q2073" s="107">
        <f t="shared" si="50"/>
        <v>2013</v>
      </c>
      <c r="R2073" s="107">
        <v>2</v>
      </c>
      <c r="S2073" s="100">
        <v>213081</v>
      </c>
      <c r="T2073" s="101">
        <v>41562</v>
      </c>
    </row>
    <row r="2074" spans="1:20" x14ac:dyDescent="0.3">
      <c r="A2074" s="68">
        <v>41521</v>
      </c>
      <c r="B2074" s="69">
        <f t="shared" si="52"/>
        <v>20130904</v>
      </c>
      <c r="C2074" s="70">
        <v>3.0899999999999997E-2</v>
      </c>
      <c r="D2074" s="77">
        <v>4.0000000000000001E-3</v>
      </c>
      <c r="E2074" s="77">
        <v>6.0000000000000001E-3</v>
      </c>
      <c r="F2074" s="77">
        <v>7.0000000000000001E-3</v>
      </c>
      <c r="G2074" s="78">
        <v>0</v>
      </c>
      <c r="H2074" s="71">
        <v>7.8</v>
      </c>
      <c r="I2074" s="71">
        <v>10.199999999999999</v>
      </c>
      <c r="J2074" s="71">
        <v>12.5</v>
      </c>
      <c r="K2074" s="106">
        <v>1.24E-2</v>
      </c>
      <c r="L2074" s="80">
        <v>-1.2E-2</v>
      </c>
      <c r="M2074" s="75" t="s">
        <v>143</v>
      </c>
      <c r="N2074" s="75" t="b">
        <v>1</v>
      </c>
      <c r="O2074" s="75" t="s">
        <v>144</v>
      </c>
      <c r="P2074" s="75">
        <v>1994</v>
      </c>
      <c r="Q2074" s="107">
        <f t="shared" si="50"/>
        <v>2013</v>
      </c>
      <c r="R2074" s="107">
        <v>2</v>
      </c>
      <c r="S2074" s="100">
        <v>213081</v>
      </c>
      <c r="T2074" s="101">
        <v>41562</v>
      </c>
    </row>
    <row r="2075" spans="1:20" x14ac:dyDescent="0.3">
      <c r="A2075" s="68">
        <v>41522</v>
      </c>
      <c r="B2075" s="69">
        <f t="shared" si="52"/>
        <v>20130905</v>
      </c>
      <c r="C2075" s="70">
        <v>3.1699999999999999E-2</v>
      </c>
      <c r="D2075" s="77">
        <v>4.0000000000000001E-3</v>
      </c>
      <c r="E2075" s="77">
        <v>6.0000000000000001E-3</v>
      </c>
      <c r="F2075" s="77">
        <v>7.0000000000000001E-3</v>
      </c>
      <c r="G2075" s="78">
        <v>0</v>
      </c>
      <c r="H2075" s="71">
        <v>7.8</v>
      </c>
      <c r="I2075" s="71">
        <v>10.199999999999999</v>
      </c>
      <c r="J2075" s="71">
        <v>12.5</v>
      </c>
      <c r="K2075" s="106">
        <v>1.3100000000000001E-2</v>
      </c>
      <c r="L2075" s="80">
        <v>-1.2E-2</v>
      </c>
      <c r="M2075" s="75" t="s">
        <v>143</v>
      </c>
      <c r="N2075" s="75" t="b">
        <v>1</v>
      </c>
      <c r="O2075" s="75" t="s">
        <v>144</v>
      </c>
      <c r="P2075" s="75">
        <v>1994</v>
      </c>
      <c r="Q2075" s="107">
        <f t="shared" si="50"/>
        <v>2013</v>
      </c>
      <c r="R2075" s="107">
        <v>2</v>
      </c>
      <c r="S2075" s="100">
        <v>213081</v>
      </c>
      <c r="T2075" s="101">
        <v>41562</v>
      </c>
    </row>
    <row r="2076" spans="1:20" x14ac:dyDescent="0.3">
      <c r="A2076" s="68">
        <v>41523</v>
      </c>
      <c r="B2076" s="69">
        <f t="shared" si="52"/>
        <v>20130906</v>
      </c>
      <c r="C2076" s="70">
        <v>3.15E-2</v>
      </c>
      <c r="D2076" s="77">
        <v>4.0000000000000001E-3</v>
      </c>
      <c r="E2076" s="77">
        <v>6.0000000000000001E-3</v>
      </c>
      <c r="F2076" s="77">
        <v>7.0000000000000001E-3</v>
      </c>
      <c r="G2076" s="78">
        <v>0</v>
      </c>
      <c r="H2076" s="71">
        <v>7.8</v>
      </c>
      <c r="I2076" s="71">
        <v>10.199999999999999</v>
      </c>
      <c r="J2076" s="71">
        <v>12.5</v>
      </c>
      <c r="K2076" s="106">
        <v>1.3000000000000001E-2</v>
      </c>
      <c r="L2076" s="80">
        <v>-1.2E-2</v>
      </c>
      <c r="M2076" s="75" t="s">
        <v>143</v>
      </c>
      <c r="N2076" s="75" t="b">
        <v>1</v>
      </c>
      <c r="O2076" s="75" t="s">
        <v>144</v>
      </c>
      <c r="P2076" s="75">
        <v>1994</v>
      </c>
      <c r="Q2076" s="107">
        <f t="shared" si="50"/>
        <v>2013</v>
      </c>
      <c r="R2076" s="107">
        <v>2</v>
      </c>
      <c r="S2076" s="100">
        <v>213081</v>
      </c>
      <c r="T2076" s="101">
        <v>41562</v>
      </c>
    </row>
    <row r="2077" spans="1:20" x14ac:dyDescent="0.3">
      <c r="A2077" s="68">
        <v>41524</v>
      </c>
      <c r="B2077" s="69">
        <f t="shared" si="52"/>
        <v>20130907</v>
      </c>
      <c r="C2077" s="70">
        <v>3.15E-2</v>
      </c>
      <c r="D2077" s="77">
        <v>4.0000000000000001E-3</v>
      </c>
      <c r="E2077" s="77">
        <v>6.0000000000000001E-3</v>
      </c>
      <c r="F2077" s="77">
        <v>7.0000000000000001E-3</v>
      </c>
      <c r="G2077" s="78">
        <v>0</v>
      </c>
      <c r="H2077" s="71">
        <v>7.8</v>
      </c>
      <c r="I2077" s="71">
        <v>10.199999999999999</v>
      </c>
      <c r="J2077" s="71">
        <v>12.5</v>
      </c>
      <c r="K2077" s="106">
        <v>1.3000000000000001E-2</v>
      </c>
      <c r="L2077" s="80">
        <v>-1.2E-2</v>
      </c>
      <c r="M2077" s="75" t="s">
        <v>143</v>
      </c>
      <c r="N2077" s="75" t="b">
        <v>1</v>
      </c>
      <c r="O2077" s="75" t="s">
        <v>144</v>
      </c>
      <c r="P2077" s="75">
        <v>1994</v>
      </c>
      <c r="Q2077" s="107">
        <f t="shared" si="50"/>
        <v>2013</v>
      </c>
      <c r="R2077" s="107">
        <v>2</v>
      </c>
      <c r="S2077" s="100">
        <v>213081</v>
      </c>
      <c r="T2077" s="101">
        <v>41562</v>
      </c>
    </row>
    <row r="2078" spans="1:20" x14ac:dyDescent="0.3">
      <c r="A2078" s="68">
        <v>41525</v>
      </c>
      <c r="B2078" s="69">
        <f t="shared" si="52"/>
        <v>20130908</v>
      </c>
      <c r="C2078" s="70">
        <v>3.15E-2</v>
      </c>
      <c r="D2078" s="77">
        <v>4.0000000000000001E-3</v>
      </c>
      <c r="E2078" s="77">
        <v>6.0000000000000001E-3</v>
      </c>
      <c r="F2078" s="77">
        <v>7.0000000000000001E-3</v>
      </c>
      <c r="G2078" s="78">
        <v>0</v>
      </c>
      <c r="H2078" s="71">
        <v>7.8</v>
      </c>
      <c r="I2078" s="71">
        <v>10.199999999999999</v>
      </c>
      <c r="J2078" s="71">
        <v>12.5</v>
      </c>
      <c r="K2078" s="106">
        <v>1.3000000000000001E-2</v>
      </c>
      <c r="L2078" s="80">
        <v>-1.2E-2</v>
      </c>
      <c r="M2078" s="75" t="s">
        <v>143</v>
      </c>
      <c r="N2078" s="75" t="b">
        <v>1</v>
      </c>
      <c r="O2078" s="75" t="s">
        <v>144</v>
      </c>
      <c r="P2078" s="75">
        <v>1994</v>
      </c>
      <c r="Q2078" s="107">
        <f t="shared" si="50"/>
        <v>2013</v>
      </c>
      <c r="R2078" s="107">
        <v>2</v>
      </c>
      <c r="S2078" s="100">
        <v>213081</v>
      </c>
      <c r="T2078" s="101">
        <v>41562</v>
      </c>
    </row>
    <row r="2079" spans="1:20" x14ac:dyDescent="0.3">
      <c r="A2079" s="68">
        <v>41526</v>
      </c>
      <c r="B2079" s="69">
        <f t="shared" si="52"/>
        <v>20130909</v>
      </c>
      <c r="C2079" s="70">
        <v>3.1300000000000001E-2</v>
      </c>
      <c r="D2079" s="77">
        <v>4.0000000000000001E-3</v>
      </c>
      <c r="E2079" s="77">
        <v>6.0000000000000001E-3</v>
      </c>
      <c r="F2079" s="77">
        <v>7.0000000000000001E-3</v>
      </c>
      <c r="G2079" s="78">
        <v>0</v>
      </c>
      <c r="H2079" s="71">
        <v>7.8</v>
      </c>
      <c r="I2079" s="71">
        <v>10.199999999999999</v>
      </c>
      <c r="J2079" s="71">
        <v>12.5</v>
      </c>
      <c r="K2079" s="106">
        <v>1.2800000000000001E-2</v>
      </c>
      <c r="L2079" s="80">
        <v>-1.2E-2</v>
      </c>
      <c r="M2079" s="75" t="s">
        <v>143</v>
      </c>
      <c r="N2079" s="75" t="b">
        <v>1</v>
      </c>
      <c r="O2079" s="75" t="s">
        <v>144</v>
      </c>
      <c r="P2079" s="75">
        <v>1994</v>
      </c>
      <c r="Q2079" s="107">
        <f t="shared" si="50"/>
        <v>2013</v>
      </c>
      <c r="R2079" s="107">
        <v>2</v>
      </c>
      <c r="S2079" s="100">
        <v>213081</v>
      </c>
      <c r="T2079" s="101">
        <v>41562</v>
      </c>
    </row>
    <row r="2080" spans="1:20" x14ac:dyDescent="0.3">
      <c r="A2080" s="68">
        <v>41527</v>
      </c>
      <c r="B2080" s="69">
        <f t="shared" si="52"/>
        <v>20130910</v>
      </c>
      <c r="C2080" s="70">
        <v>3.2000000000000001E-2</v>
      </c>
      <c r="D2080" s="77">
        <v>4.0000000000000001E-3</v>
      </c>
      <c r="E2080" s="77">
        <v>6.0000000000000001E-3</v>
      </c>
      <c r="F2080" s="77">
        <v>7.0000000000000001E-3</v>
      </c>
      <c r="G2080" s="78">
        <v>0</v>
      </c>
      <c r="H2080" s="71">
        <v>7.8</v>
      </c>
      <c r="I2080" s="71">
        <v>10.199999999999999</v>
      </c>
      <c r="J2080" s="71">
        <v>12.5</v>
      </c>
      <c r="K2080" s="106">
        <v>1.3500000000000002E-2</v>
      </c>
      <c r="L2080" s="80">
        <v>-1.2E-2</v>
      </c>
      <c r="M2080" s="75" t="s">
        <v>143</v>
      </c>
      <c r="N2080" s="75" t="b">
        <v>1</v>
      </c>
      <c r="O2080" s="75" t="s">
        <v>144</v>
      </c>
      <c r="P2080" s="75">
        <v>1994</v>
      </c>
      <c r="Q2080" s="107">
        <f t="shared" si="50"/>
        <v>2013</v>
      </c>
      <c r="R2080" s="107">
        <v>2</v>
      </c>
      <c r="S2080" s="100">
        <v>213081</v>
      </c>
      <c r="T2080" s="101">
        <v>41562</v>
      </c>
    </row>
    <row r="2081" spans="1:20" x14ac:dyDescent="0.3">
      <c r="A2081" s="68">
        <v>41528</v>
      </c>
      <c r="B2081" s="69">
        <f t="shared" si="52"/>
        <v>20130911</v>
      </c>
      <c r="C2081" s="70">
        <v>3.1699999999999999E-2</v>
      </c>
      <c r="D2081" s="77">
        <v>4.0000000000000001E-3</v>
      </c>
      <c r="E2081" s="77">
        <v>6.0000000000000001E-3</v>
      </c>
      <c r="F2081" s="77">
        <v>7.0000000000000001E-3</v>
      </c>
      <c r="G2081" s="78">
        <v>0</v>
      </c>
      <c r="H2081" s="71">
        <v>7.8</v>
      </c>
      <c r="I2081" s="71">
        <v>10.199999999999999</v>
      </c>
      <c r="J2081" s="71">
        <v>12.5</v>
      </c>
      <c r="K2081" s="106">
        <v>1.29E-2</v>
      </c>
      <c r="L2081" s="80">
        <v>-1.2E-2</v>
      </c>
      <c r="M2081" s="75" t="s">
        <v>143</v>
      </c>
      <c r="N2081" s="75" t="b">
        <v>1</v>
      </c>
      <c r="O2081" s="75" t="s">
        <v>144</v>
      </c>
      <c r="P2081" s="75">
        <v>1994</v>
      </c>
      <c r="Q2081" s="107">
        <f t="shared" si="50"/>
        <v>2013</v>
      </c>
      <c r="R2081" s="107">
        <v>2</v>
      </c>
      <c r="S2081" s="100">
        <v>213081</v>
      </c>
      <c r="T2081" s="101">
        <v>41562</v>
      </c>
    </row>
    <row r="2082" spans="1:20" x14ac:dyDescent="0.3">
      <c r="A2082" s="68">
        <v>41529</v>
      </c>
      <c r="B2082" s="69">
        <f t="shared" si="52"/>
        <v>20130912</v>
      </c>
      <c r="C2082" s="70">
        <v>3.1699999999999999E-2</v>
      </c>
      <c r="D2082" s="77">
        <v>4.0000000000000001E-3</v>
      </c>
      <c r="E2082" s="77">
        <v>6.0000000000000001E-3</v>
      </c>
      <c r="F2082" s="77">
        <v>7.0000000000000001E-3</v>
      </c>
      <c r="G2082" s="78">
        <v>0</v>
      </c>
      <c r="H2082" s="71">
        <v>7.8</v>
      </c>
      <c r="I2082" s="71">
        <v>10.199999999999999</v>
      </c>
      <c r="J2082" s="71">
        <v>12.5</v>
      </c>
      <c r="K2082" s="106">
        <v>1.3000000000000001E-2</v>
      </c>
      <c r="L2082" s="80">
        <v>-1.2E-2</v>
      </c>
      <c r="M2082" s="75" t="s">
        <v>143</v>
      </c>
      <c r="N2082" s="75" t="b">
        <v>1</v>
      </c>
      <c r="O2082" s="75" t="s">
        <v>144</v>
      </c>
      <c r="P2082" s="75">
        <v>1994</v>
      </c>
      <c r="Q2082" s="107">
        <f t="shared" si="50"/>
        <v>2013</v>
      </c>
      <c r="R2082" s="107">
        <v>2</v>
      </c>
      <c r="S2082" s="100">
        <v>213081</v>
      </c>
      <c r="T2082" s="101">
        <v>41562</v>
      </c>
    </row>
    <row r="2083" spans="1:20" x14ac:dyDescent="0.3">
      <c r="A2083" s="68">
        <v>41530</v>
      </c>
      <c r="B2083" s="69">
        <f t="shared" si="52"/>
        <v>20130913</v>
      </c>
      <c r="C2083" s="70">
        <v>3.1600000000000003E-2</v>
      </c>
      <c r="D2083" s="77">
        <v>4.0000000000000001E-3</v>
      </c>
      <c r="E2083" s="77">
        <v>6.0000000000000001E-3</v>
      </c>
      <c r="F2083" s="77">
        <v>7.0000000000000001E-3</v>
      </c>
      <c r="G2083" s="78">
        <v>0</v>
      </c>
      <c r="H2083" s="71">
        <v>7.8</v>
      </c>
      <c r="I2083" s="71">
        <v>10.199999999999999</v>
      </c>
      <c r="J2083" s="71">
        <v>12.5</v>
      </c>
      <c r="K2083" s="106">
        <v>1.29E-2</v>
      </c>
      <c r="L2083" s="80">
        <v>-1.2E-2</v>
      </c>
      <c r="M2083" s="75" t="s">
        <v>143</v>
      </c>
      <c r="N2083" s="75" t="b">
        <v>1</v>
      </c>
      <c r="O2083" s="75" t="s">
        <v>144</v>
      </c>
      <c r="P2083" s="75">
        <v>1994</v>
      </c>
      <c r="Q2083" s="107">
        <f t="shared" si="50"/>
        <v>2013</v>
      </c>
      <c r="R2083" s="107">
        <v>2</v>
      </c>
      <c r="S2083" s="100">
        <v>213081</v>
      </c>
      <c r="T2083" s="101">
        <v>41562</v>
      </c>
    </row>
    <row r="2084" spans="1:20" x14ac:dyDescent="0.3">
      <c r="A2084" s="68">
        <v>41531</v>
      </c>
      <c r="B2084" s="69">
        <f t="shared" si="52"/>
        <v>20130914</v>
      </c>
      <c r="C2084" s="70">
        <v>3.1600000000000003E-2</v>
      </c>
      <c r="D2084" s="77">
        <v>4.0000000000000001E-3</v>
      </c>
      <c r="E2084" s="77">
        <v>6.0000000000000001E-3</v>
      </c>
      <c r="F2084" s="77">
        <v>7.0000000000000001E-3</v>
      </c>
      <c r="G2084" s="78">
        <v>0</v>
      </c>
      <c r="H2084" s="71">
        <v>7.8</v>
      </c>
      <c r="I2084" s="71">
        <v>10.199999999999999</v>
      </c>
      <c r="J2084" s="71">
        <v>12.5</v>
      </c>
      <c r="K2084" s="106">
        <v>1.29E-2</v>
      </c>
      <c r="L2084" s="80">
        <v>-1.2E-2</v>
      </c>
      <c r="M2084" s="75" t="s">
        <v>143</v>
      </c>
      <c r="N2084" s="75" t="b">
        <v>1</v>
      </c>
      <c r="O2084" s="75" t="s">
        <v>144</v>
      </c>
      <c r="P2084" s="75">
        <v>1994</v>
      </c>
      <c r="Q2084" s="107">
        <f t="shared" si="50"/>
        <v>2013</v>
      </c>
      <c r="R2084" s="107">
        <v>2</v>
      </c>
      <c r="S2084" s="100">
        <v>213081</v>
      </c>
      <c r="T2084" s="101">
        <v>41562</v>
      </c>
    </row>
    <row r="2085" spans="1:20" x14ac:dyDescent="0.3">
      <c r="A2085" s="68">
        <v>41532</v>
      </c>
      <c r="B2085" s="69">
        <f t="shared" si="52"/>
        <v>20130915</v>
      </c>
      <c r="C2085" s="70">
        <v>3.1600000000000003E-2</v>
      </c>
      <c r="D2085" s="77">
        <v>4.0000000000000001E-3</v>
      </c>
      <c r="E2085" s="77">
        <v>6.0000000000000001E-3</v>
      </c>
      <c r="F2085" s="77">
        <v>7.0000000000000001E-3</v>
      </c>
      <c r="G2085" s="78">
        <v>0</v>
      </c>
      <c r="H2085" s="71">
        <v>7.8</v>
      </c>
      <c r="I2085" s="71">
        <v>10.199999999999999</v>
      </c>
      <c r="J2085" s="71">
        <v>12.5</v>
      </c>
      <c r="K2085" s="106">
        <v>1.29E-2</v>
      </c>
      <c r="L2085" s="80">
        <v>-1.2E-2</v>
      </c>
      <c r="M2085" s="75" t="s">
        <v>143</v>
      </c>
      <c r="N2085" s="75" t="b">
        <v>1</v>
      </c>
      <c r="O2085" s="75" t="s">
        <v>144</v>
      </c>
      <c r="P2085" s="75">
        <v>1994</v>
      </c>
      <c r="Q2085" s="107">
        <f t="shared" si="50"/>
        <v>2013</v>
      </c>
      <c r="R2085" s="107">
        <v>2</v>
      </c>
      <c r="S2085" s="100">
        <v>213081</v>
      </c>
      <c r="T2085" s="101">
        <v>41562</v>
      </c>
    </row>
    <row r="2086" spans="1:20" x14ac:dyDescent="0.3">
      <c r="A2086" s="68">
        <v>41533</v>
      </c>
      <c r="B2086" s="69">
        <f t="shared" si="52"/>
        <v>20130916</v>
      </c>
      <c r="C2086" s="70">
        <v>3.1800000000000002E-2</v>
      </c>
      <c r="D2086" s="77">
        <v>4.0000000000000001E-3</v>
      </c>
      <c r="E2086" s="77">
        <v>6.0000000000000001E-3</v>
      </c>
      <c r="F2086" s="77">
        <v>7.0000000000000001E-3</v>
      </c>
      <c r="G2086" s="78">
        <v>0</v>
      </c>
      <c r="H2086" s="71">
        <v>7.8</v>
      </c>
      <c r="I2086" s="71">
        <v>10.199999999999999</v>
      </c>
      <c r="J2086" s="71">
        <v>12.5</v>
      </c>
      <c r="K2086" s="106">
        <v>1.3100000000000001E-2</v>
      </c>
      <c r="L2086" s="80">
        <v>-1.2E-2</v>
      </c>
      <c r="M2086" s="75" t="s">
        <v>143</v>
      </c>
      <c r="N2086" s="75" t="b">
        <v>1</v>
      </c>
      <c r="O2086" s="75" t="s">
        <v>144</v>
      </c>
      <c r="P2086" s="75">
        <v>1994</v>
      </c>
      <c r="Q2086" s="107">
        <f t="shared" si="50"/>
        <v>2013</v>
      </c>
      <c r="R2086" s="107">
        <v>2</v>
      </c>
      <c r="S2086" s="100">
        <v>213081</v>
      </c>
      <c r="T2086" s="101">
        <v>41562</v>
      </c>
    </row>
    <row r="2087" spans="1:20" x14ac:dyDescent="0.3">
      <c r="A2087" s="68">
        <v>41534</v>
      </c>
      <c r="B2087" s="69">
        <f t="shared" si="52"/>
        <v>20130917</v>
      </c>
      <c r="C2087" s="70">
        <v>3.1699999999999999E-2</v>
      </c>
      <c r="D2087" s="77">
        <v>4.0000000000000001E-3</v>
      </c>
      <c r="E2087" s="77">
        <v>6.0000000000000001E-3</v>
      </c>
      <c r="F2087" s="77">
        <v>7.0000000000000001E-3</v>
      </c>
      <c r="G2087" s="78">
        <v>0</v>
      </c>
      <c r="H2087" s="71">
        <v>7.8</v>
      </c>
      <c r="I2087" s="71">
        <v>10.199999999999999</v>
      </c>
      <c r="J2087" s="71">
        <v>12.5</v>
      </c>
      <c r="K2087" s="106">
        <v>1.3100000000000001E-2</v>
      </c>
      <c r="L2087" s="80">
        <v>-1.2E-2</v>
      </c>
      <c r="M2087" s="75" t="s">
        <v>143</v>
      </c>
      <c r="N2087" s="75" t="b">
        <v>1</v>
      </c>
      <c r="O2087" s="75" t="s">
        <v>144</v>
      </c>
      <c r="P2087" s="75">
        <v>1994</v>
      </c>
      <c r="Q2087" s="107">
        <f t="shared" si="50"/>
        <v>2013</v>
      </c>
      <c r="R2087" s="107">
        <v>2</v>
      </c>
      <c r="S2087" s="100">
        <v>213081</v>
      </c>
      <c r="T2087" s="101">
        <v>41562</v>
      </c>
    </row>
    <row r="2088" spans="1:20" x14ac:dyDescent="0.3">
      <c r="A2088" s="68">
        <v>41535</v>
      </c>
      <c r="B2088" s="69">
        <f t="shared" si="52"/>
        <v>20130918</v>
      </c>
      <c r="C2088" s="70">
        <v>3.1099999999999999E-2</v>
      </c>
      <c r="D2088" s="77">
        <v>4.0000000000000001E-3</v>
      </c>
      <c r="E2088" s="77">
        <v>6.0000000000000001E-3</v>
      </c>
      <c r="F2088" s="77">
        <v>7.0000000000000001E-3</v>
      </c>
      <c r="G2088" s="78">
        <v>0</v>
      </c>
      <c r="H2088" s="71">
        <v>7.8</v>
      </c>
      <c r="I2088" s="71">
        <v>10.199999999999999</v>
      </c>
      <c r="J2088" s="71">
        <v>12.5</v>
      </c>
      <c r="K2088" s="106">
        <v>1.23E-2</v>
      </c>
      <c r="L2088" s="80">
        <v>-1.2E-2</v>
      </c>
      <c r="M2088" s="75" t="s">
        <v>143</v>
      </c>
      <c r="N2088" s="75" t="b">
        <v>1</v>
      </c>
      <c r="O2088" s="75" t="s">
        <v>144</v>
      </c>
      <c r="P2088" s="75">
        <v>1994</v>
      </c>
      <c r="Q2088" s="107">
        <f t="shared" si="50"/>
        <v>2013</v>
      </c>
      <c r="R2088" s="107">
        <v>2</v>
      </c>
      <c r="S2088" s="100">
        <v>213081</v>
      </c>
      <c r="T2088" s="101">
        <v>41562</v>
      </c>
    </row>
    <row r="2089" spans="1:20" x14ac:dyDescent="0.3">
      <c r="A2089" s="68">
        <v>41536</v>
      </c>
      <c r="B2089" s="69">
        <f t="shared" si="52"/>
        <v>20130919</v>
      </c>
      <c r="C2089" s="70">
        <v>3.1200000000000002E-2</v>
      </c>
      <c r="D2089" s="77">
        <v>4.0000000000000001E-3</v>
      </c>
      <c r="E2089" s="77">
        <v>6.0000000000000001E-3</v>
      </c>
      <c r="F2089" s="77">
        <v>7.0000000000000001E-3</v>
      </c>
      <c r="G2089" s="78">
        <v>0</v>
      </c>
      <c r="H2089" s="71">
        <v>7.8</v>
      </c>
      <c r="I2089" s="71">
        <v>10.199999999999999</v>
      </c>
      <c r="J2089" s="71">
        <v>12.5</v>
      </c>
      <c r="K2089" s="106">
        <v>1.2500000000000001E-2</v>
      </c>
      <c r="L2089" s="80">
        <v>-1.2E-2</v>
      </c>
      <c r="M2089" s="75" t="s">
        <v>143</v>
      </c>
      <c r="N2089" s="75" t="b">
        <v>1</v>
      </c>
      <c r="O2089" s="75" t="s">
        <v>144</v>
      </c>
      <c r="P2089" s="75">
        <v>1994</v>
      </c>
      <c r="Q2089" s="107">
        <f t="shared" si="50"/>
        <v>2013</v>
      </c>
      <c r="R2089" s="107">
        <v>2</v>
      </c>
      <c r="S2089" s="100">
        <v>213081</v>
      </c>
      <c r="T2089" s="101">
        <v>41562</v>
      </c>
    </row>
    <row r="2090" spans="1:20" x14ac:dyDescent="0.3">
      <c r="A2090" s="68">
        <v>41537</v>
      </c>
      <c r="B2090" s="69">
        <f t="shared" si="52"/>
        <v>20130920</v>
      </c>
      <c r="C2090" s="70">
        <v>3.1099999999999999E-2</v>
      </c>
      <c r="D2090" s="77">
        <v>4.0000000000000001E-3</v>
      </c>
      <c r="E2090" s="77">
        <v>6.0000000000000001E-3</v>
      </c>
      <c r="F2090" s="77">
        <v>7.0000000000000001E-3</v>
      </c>
      <c r="G2090" s="78">
        <v>0</v>
      </c>
      <c r="H2090" s="71">
        <v>7.8</v>
      </c>
      <c r="I2090" s="71">
        <v>10.199999999999999</v>
      </c>
      <c r="J2090" s="71">
        <v>12.5</v>
      </c>
      <c r="K2090" s="106">
        <v>1.2500000000000001E-2</v>
      </c>
      <c r="L2090" s="80">
        <v>-1.2E-2</v>
      </c>
      <c r="M2090" s="75" t="s">
        <v>143</v>
      </c>
      <c r="N2090" s="75" t="b">
        <v>1</v>
      </c>
      <c r="O2090" s="75" t="s">
        <v>144</v>
      </c>
      <c r="P2090" s="75">
        <v>1994</v>
      </c>
      <c r="Q2090" s="107">
        <f t="shared" si="50"/>
        <v>2013</v>
      </c>
      <c r="R2090" s="107">
        <v>2</v>
      </c>
      <c r="S2090" s="100">
        <v>213081</v>
      </c>
      <c r="T2090" s="101">
        <v>41562</v>
      </c>
    </row>
    <row r="2091" spans="1:20" x14ac:dyDescent="0.3">
      <c r="A2091" s="68">
        <v>41538</v>
      </c>
      <c r="B2091" s="69">
        <f>YEAR(A2091)*10000+MONTH(A2091)*100+DAY(A2091)</f>
        <v>20130921</v>
      </c>
      <c r="C2091" s="70">
        <v>3.1099999999999999E-2</v>
      </c>
      <c r="D2091" s="77">
        <v>4.0000000000000001E-3</v>
      </c>
      <c r="E2091" s="77">
        <v>6.0000000000000001E-3</v>
      </c>
      <c r="F2091" s="77">
        <v>7.0000000000000001E-3</v>
      </c>
      <c r="G2091" s="78">
        <v>0</v>
      </c>
      <c r="H2091" s="71">
        <v>7.8</v>
      </c>
      <c r="I2091" s="71">
        <v>10.199999999999999</v>
      </c>
      <c r="J2091" s="71">
        <v>12.5</v>
      </c>
      <c r="K2091" s="106">
        <v>1.2500000000000001E-2</v>
      </c>
      <c r="L2091" s="80">
        <v>-1.2E-2</v>
      </c>
      <c r="M2091" s="75" t="s">
        <v>143</v>
      </c>
      <c r="N2091" s="75" t="b">
        <v>1</v>
      </c>
      <c r="O2091" s="75" t="s">
        <v>144</v>
      </c>
      <c r="P2091" s="75">
        <v>1994</v>
      </c>
      <c r="Q2091" s="107">
        <f t="shared" si="50"/>
        <v>2013</v>
      </c>
      <c r="R2091" s="107">
        <v>2</v>
      </c>
      <c r="S2091" s="100">
        <v>213081</v>
      </c>
      <c r="T2091" s="101">
        <v>41562</v>
      </c>
    </row>
    <row r="2092" spans="1:20" x14ac:dyDescent="0.3">
      <c r="A2092" s="68">
        <v>41539</v>
      </c>
      <c r="B2092" s="69">
        <f>YEAR(A2092)*10000+MONTH(A2092)*100+DAY(A2092)</f>
        <v>20130922</v>
      </c>
      <c r="C2092" s="70">
        <v>3.1099999999999999E-2</v>
      </c>
      <c r="D2092" s="77">
        <v>4.0000000000000001E-3</v>
      </c>
      <c r="E2092" s="77">
        <v>6.0000000000000001E-3</v>
      </c>
      <c r="F2092" s="77">
        <v>7.0000000000000001E-3</v>
      </c>
      <c r="G2092" s="78">
        <v>0</v>
      </c>
      <c r="H2092" s="71">
        <v>7.8</v>
      </c>
      <c r="I2092" s="71">
        <v>10.199999999999999</v>
      </c>
      <c r="J2092" s="71">
        <v>12.5</v>
      </c>
      <c r="K2092" s="106">
        <v>1.2500000000000001E-2</v>
      </c>
      <c r="L2092" s="80">
        <v>-1.2E-2</v>
      </c>
      <c r="M2092" s="75" t="s">
        <v>143</v>
      </c>
      <c r="N2092" s="75" t="b">
        <v>1</v>
      </c>
      <c r="O2092" s="75" t="s">
        <v>144</v>
      </c>
      <c r="P2092" s="75">
        <v>1994</v>
      </c>
      <c r="Q2092" s="107">
        <f t="shared" si="50"/>
        <v>2013</v>
      </c>
      <c r="R2092" s="107">
        <v>2</v>
      </c>
      <c r="S2092" s="100">
        <v>213081</v>
      </c>
      <c r="T2092" s="101">
        <v>41562</v>
      </c>
    </row>
    <row r="2093" spans="1:20" x14ac:dyDescent="0.3">
      <c r="A2093" s="68">
        <v>41540</v>
      </c>
      <c r="B2093" s="69">
        <f t="shared" si="52"/>
        <v>20130923</v>
      </c>
      <c r="C2093" s="70">
        <v>3.0699999999999998E-2</v>
      </c>
      <c r="D2093" s="77">
        <v>4.0000000000000001E-3</v>
      </c>
      <c r="E2093" s="77">
        <v>6.0000000000000001E-3</v>
      </c>
      <c r="F2093" s="77">
        <v>7.0000000000000001E-3</v>
      </c>
      <c r="G2093" s="78">
        <v>0</v>
      </c>
      <c r="H2093" s="71">
        <v>7.8</v>
      </c>
      <c r="I2093" s="71">
        <v>10.199999999999999</v>
      </c>
      <c r="J2093" s="71">
        <v>12.5</v>
      </c>
      <c r="K2093" s="106">
        <v>1.21E-2</v>
      </c>
      <c r="L2093" s="80">
        <v>-1.2E-2</v>
      </c>
      <c r="M2093" s="75" t="s">
        <v>143</v>
      </c>
      <c r="N2093" s="75" t="b">
        <v>1</v>
      </c>
      <c r="O2093" s="75" t="s">
        <v>144</v>
      </c>
      <c r="P2093" s="75">
        <v>1994</v>
      </c>
      <c r="Q2093" s="107">
        <f t="shared" si="50"/>
        <v>2013</v>
      </c>
      <c r="R2093" s="107">
        <v>2</v>
      </c>
      <c r="S2093" s="100">
        <v>213081</v>
      </c>
      <c r="T2093" s="101">
        <v>41562</v>
      </c>
    </row>
    <row r="2094" spans="1:20" x14ac:dyDescent="0.3">
      <c r="A2094" s="68">
        <v>41541</v>
      </c>
      <c r="B2094" s="69">
        <f t="shared" si="52"/>
        <v>20130924</v>
      </c>
      <c r="C2094" s="70">
        <v>3.0200000000000001E-2</v>
      </c>
      <c r="D2094" s="77">
        <v>4.0000000000000001E-3</v>
      </c>
      <c r="E2094" s="77">
        <v>6.0000000000000001E-3</v>
      </c>
      <c r="F2094" s="77">
        <v>7.0000000000000001E-3</v>
      </c>
      <c r="G2094" s="78">
        <v>0</v>
      </c>
      <c r="H2094" s="71">
        <v>7.8</v>
      </c>
      <c r="I2094" s="71">
        <v>10.199999999999999</v>
      </c>
      <c r="J2094" s="71">
        <v>12.5</v>
      </c>
      <c r="K2094" s="106">
        <v>1.18E-2</v>
      </c>
      <c r="L2094" s="80">
        <v>-1.2E-2</v>
      </c>
      <c r="M2094" s="75" t="s">
        <v>143</v>
      </c>
      <c r="N2094" s="75" t="b">
        <v>1</v>
      </c>
      <c r="O2094" s="75" t="s">
        <v>144</v>
      </c>
      <c r="P2094" s="75">
        <v>1994</v>
      </c>
      <c r="Q2094" s="107">
        <f t="shared" ref="Q2094:Q2157" si="53">YEAR(A2094)</f>
        <v>2013</v>
      </c>
      <c r="R2094" s="107">
        <v>2</v>
      </c>
      <c r="S2094" s="100">
        <v>213081</v>
      </c>
      <c r="T2094" s="101">
        <v>41562</v>
      </c>
    </row>
    <row r="2095" spans="1:20" x14ac:dyDescent="0.3">
      <c r="A2095" s="68">
        <v>41542</v>
      </c>
      <c r="B2095" s="69">
        <f t="shared" si="52"/>
        <v>20130925</v>
      </c>
      <c r="C2095" s="70">
        <v>0.03</v>
      </c>
      <c r="D2095" s="77">
        <v>4.0000000000000001E-3</v>
      </c>
      <c r="E2095" s="77">
        <v>6.0000000000000001E-3</v>
      </c>
      <c r="F2095" s="77">
        <v>7.0000000000000001E-3</v>
      </c>
      <c r="G2095" s="78">
        <v>0</v>
      </c>
      <c r="H2095" s="71">
        <v>7.8</v>
      </c>
      <c r="I2095" s="71">
        <v>10.199999999999999</v>
      </c>
      <c r="J2095" s="71">
        <v>12.5</v>
      </c>
      <c r="K2095" s="106">
        <v>1.1599999999999999E-2</v>
      </c>
      <c r="L2095" s="80">
        <v>-1.2E-2</v>
      </c>
      <c r="M2095" s="75" t="s">
        <v>143</v>
      </c>
      <c r="N2095" s="75" t="b">
        <v>1</v>
      </c>
      <c r="O2095" s="75" t="s">
        <v>144</v>
      </c>
      <c r="P2095" s="75">
        <v>1994</v>
      </c>
      <c r="Q2095" s="107">
        <f t="shared" si="53"/>
        <v>2013</v>
      </c>
      <c r="R2095" s="107">
        <v>2</v>
      </c>
      <c r="S2095" s="100">
        <v>213081</v>
      </c>
      <c r="T2095" s="101">
        <v>41562</v>
      </c>
    </row>
    <row r="2096" spans="1:20" x14ac:dyDescent="0.3">
      <c r="A2096" s="68">
        <v>41543</v>
      </c>
      <c r="B2096" s="69">
        <f t="shared" si="52"/>
        <v>20130926</v>
      </c>
      <c r="C2096" s="70">
        <v>3.0099999999999998E-2</v>
      </c>
      <c r="D2096" s="77">
        <v>4.0000000000000001E-3</v>
      </c>
      <c r="E2096" s="77">
        <v>6.0000000000000001E-3</v>
      </c>
      <c r="F2096" s="77">
        <v>7.0000000000000001E-3</v>
      </c>
      <c r="G2096" s="78">
        <v>0</v>
      </c>
      <c r="H2096" s="71">
        <v>7.8</v>
      </c>
      <c r="I2096" s="71">
        <v>10.199999999999999</v>
      </c>
      <c r="J2096" s="71">
        <v>12.5</v>
      </c>
      <c r="K2096" s="106">
        <v>1.1699999999999999E-2</v>
      </c>
      <c r="L2096" s="80">
        <v>-1.2E-2</v>
      </c>
      <c r="M2096" s="75" t="s">
        <v>143</v>
      </c>
      <c r="N2096" s="75" t="b">
        <v>1</v>
      </c>
      <c r="O2096" s="75" t="s">
        <v>144</v>
      </c>
      <c r="P2096" s="75">
        <v>1994</v>
      </c>
      <c r="Q2096" s="107">
        <f t="shared" si="53"/>
        <v>2013</v>
      </c>
      <c r="R2096" s="107">
        <v>2</v>
      </c>
      <c r="S2096" s="100">
        <v>213081</v>
      </c>
      <c r="T2096" s="101">
        <v>41562</v>
      </c>
    </row>
    <row r="2097" spans="1:21" x14ac:dyDescent="0.3">
      <c r="A2097" s="68">
        <v>41544</v>
      </c>
      <c r="B2097" s="69">
        <f t="shared" si="52"/>
        <v>20130927</v>
      </c>
      <c r="C2097" s="70">
        <v>2.98E-2</v>
      </c>
      <c r="D2097" s="77">
        <v>4.0000000000000001E-3</v>
      </c>
      <c r="E2097" s="77">
        <v>6.0000000000000001E-3</v>
      </c>
      <c r="F2097" s="77">
        <v>7.0000000000000001E-3</v>
      </c>
      <c r="G2097" s="78">
        <v>0</v>
      </c>
      <c r="H2097" s="71">
        <v>7.8</v>
      </c>
      <c r="I2097" s="71">
        <v>10.199999999999999</v>
      </c>
      <c r="J2097" s="71">
        <v>12.5</v>
      </c>
      <c r="K2097" s="106">
        <v>1.1399999999999999E-2</v>
      </c>
      <c r="L2097" s="80">
        <v>-1.2E-2</v>
      </c>
      <c r="M2097" s="75" t="s">
        <v>143</v>
      </c>
      <c r="N2097" s="75" t="b">
        <v>1</v>
      </c>
      <c r="O2097" s="75" t="s">
        <v>144</v>
      </c>
      <c r="P2097" s="75">
        <v>1994</v>
      </c>
      <c r="Q2097" s="107">
        <f t="shared" si="53"/>
        <v>2013</v>
      </c>
      <c r="R2097" s="107">
        <v>2</v>
      </c>
      <c r="S2097" s="100">
        <v>213081</v>
      </c>
      <c r="T2097" s="101">
        <v>41562</v>
      </c>
    </row>
    <row r="2098" spans="1:21" x14ac:dyDescent="0.3">
      <c r="A2098" s="68">
        <v>41545</v>
      </c>
      <c r="B2098" s="69">
        <f>YEAR(A2098)*10000+MONTH(A2098)*100+DAY(A2098)</f>
        <v>20130928</v>
      </c>
      <c r="C2098" s="70">
        <v>2.98E-2</v>
      </c>
      <c r="D2098" s="77">
        <v>4.0000000000000001E-3</v>
      </c>
      <c r="E2098" s="77">
        <v>6.0000000000000001E-3</v>
      </c>
      <c r="F2098" s="77">
        <v>7.0000000000000001E-3</v>
      </c>
      <c r="G2098" s="78">
        <v>0</v>
      </c>
      <c r="H2098" s="71">
        <v>7.8</v>
      </c>
      <c r="I2098" s="71">
        <v>10.199999999999999</v>
      </c>
      <c r="J2098" s="71">
        <v>12.5</v>
      </c>
      <c r="K2098" s="106">
        <v>1.1399999999999999E-2</v>
      </c>
      <c r="L2098" s="80">
        <v>-1.2E-2</v>
      </c>
      <c r="M2098" s="75" t="s">
        <v>143</v>
      </c>
      <c r="N2098" s="75" t="b">
        <v>1</v>
      </c>
      <c r="O2098" s="75" t="s">
        <v>144</v>
      </c>
      <c r="P2098" s="75">
        <v>1994</v>
      </c>
      <c r="Q2098" s="107">
        <f t="shared" si="53"/>
        <v>2013</v>
      </c>
      <c r="R2098" s="107">
        <v>2</v>
      </c>
      <c r="S2098" s="100">
        <v>213081</v>
      </c>
      <c r="T2098" s="101">
        <v>41562</v>
      </c>
    </row>
    <row r="2099" spans="1:21" x14ac:dyDescent="0.3">
      <c r="A2099" s="68">
        <v>41546</v>
      </c>
      <c r="B2099" s="69">
        <f>YEAR(A2099)*10000+MONTH(A2099)*100+DAY(A2099)</f>
        <v>20130929</v>
      </c>
      <c r="C2099" s="70">
        <v>2.98E-2</v>
      </c>
      <c r="D2099" s="77">
        <v>4.0000000000000001E-3</v>
      </c>
      <c r="E2099" s="77">
        <v>6.0000000000000001E-3</v>
      </c>
      <c r="F2099" s="77">
        <v>7.0000000000000001E-3</v>
      </c>
      <c r="G2099" s="78">
        <v>0</v>
      </c>
      <c r="H2099" s="71">
        <v>7.8</v>
      </c>
      <c r="I2099" s="71">
        <v>10.199999999999999</v>
      </c>
      <c r="J2099" s="71">
        <v>12.5</v>
      </c>
      <c r="K2099" s="106">
        <v>1.1399999999999999E-2</v>
      </c>
      <c r="L2099" s="80">
        <v>-1.2E-2</v>
      </c>
      <c r="M2099" s="75" t="s">
        <v>143</v>
      </c>
      <c r="N2099" s="75" t="b">
        <v>1</v>
      </c>
      <c r="O2099" s="75" t="s">
        <v>144</v>
      </c>
      <c r="P2099" s="75">
        <v>1994</v>
      </c>
      <c r="Q2099" s="107">
        <f t="shared" si="53"/>
        <v>2013</v>
      </c>
      <c r="R2099" s="107">
        <v>2</v>
      </c>
      <c r="S2099" s="100">
        <v>213081</v>
      </c>
      <c r="T2099" s="101">
        <v>41562</v>
      </c>
    </row>
    <row r="2100" spans="1:21" s="99" customFormat="1" x14ac:dyDescent="0.3">
      <c r="A2100" s="85">
        <v>41547</v>
      </c>
      <c r="B2100" s="86">
        <f t="shared" si="52"/>
        <v>20130930</v>
      </c>
      <c r="C2100" s="87">
        <v>2.9700000000000001E-2</v>
      </c>
      <c r="D2100" s="89">
        <v>6.0000000000000001E-3</v>
      </c>
      <c r="E2100" s="89">
        <v>8.0000000000000002E-3</v>
      </c>
      <c r="F2100" s="89">
        <v>8.9999999999999993E-3</v>
      </c>
      <c r="G2100" s="103">
        <v>0</v>
      </c>
      <c r="H2100" s="119">
        <v>7.6</v>
      </c>
      <c r="I2100" s="119">
        <v>9.9</v>
      </c>
      <c r="J2100" s="119">
        <v>12.2</v>
      </c>
      <c r="K2100" s="92">
        <v>1.1299999999999999E-2</v>
      </c>
      <c r="L2100" s="120">
        <v>-0.01</v>
      </c>
      <c r="M2100" s="98" t="s">
        <v>143</v>
      </c>
      <c r="N2100" s="98" t="b">
        <v>1</v>
      </c>
      <c r="O2100" s="98" t="s">
        <v>144</v>
      </c>
      <c r="P2100" s="98">
        <v>1994</v>
      </c>
      <c r="Q2100" s="105">
        <f t="shared" si="53"/>
        <v>2013</v>
      </c>
      <c r="R2100" s="105">
        <v>2</v>
      </c>
      <c r="S2100" s="93">
        <v>213099</v>
      </c>
      <c r="T2100" s="94">
        <v>41591</v>
      </c>
      <c r="U2100" s="95" t="s">
        <v>176</v>
      </c>
    </row>
    <row r="2101" spans="1:21" x14ac:dyDescent="0.3">
      <c r="A2101" s="68">
        <v>41548</v>
      </c>
      <c r="B2101" s="69">
        <f t="shared" si="52"/>
        <v>20131001</v>
      </c>
      <c r="C2101" s="70">
        <v>2.9700000000000001E-2</v>
      </c>
      <c r="D2101" s="77">
        <v>6.0000000000000001E-3</v>
      </c>
      <c r="E2101" s="77">
        <v>8.0000000000000002E-3</v>
      </c>
      <c r="F2101" s="77">
        <v>8.9999999999999993E-3</v>
      </c>
      <c r="G2101" s="78">
        <v>0</v>
      </c>
      <c r="H2101" s="71">
        <v>7.6</v>
      </c>
      <c r="I2101" s="71">
        <v>9.9</v>
      </c>
      <c r="J2101" s="71">
        <v>12.2</v>
      </c>
      <c r="K2101" s="106">
        <v>1.1299999999999999E-2</v>
      </c>
      <c r="L2101" s="80">
        <v>-0.01</v>
      </c>
      <c r="M2101" s="75" t="s">
        <v>143</v>
      </c>
      <c r="N2101" s="75" t="b">
        <v>1</v>
      </c>
      <c r="O2101" s="75" t="s">
        <v>144</v>
      </c>
      <c r="P2101" s="75">
        <v>1994</v>
      </c>
      <c r="Q2101" s="107">
        <f t="shared" si="53"/>
        <v>2013</v>
      </c>
      <c r="R2101" s="107">
        <v>2</v>
      </c>
      <c r="S2101" s="100">
        <v>213099</v>
      </c>
      <c r="T2101" s="101">
        <v>41591</v>
      </c>
    </row>
    <row r="2102" spans="1:21" x14ac:dyDescent="0.3">
      <c r="A2102" s="68">
        <v>41549</v>
      </c>
      <c r="B2102" s="69">
        <f t="shared" si="52"/>
        <v>20131002</v>
      </c>
      <c r="C2102" s="70">
        <v>2.98E-2</v>
      </c>
      <c r="D2102" s="77">
        <v>6.0000000000000001E-3</v>
      </c>
      <c r="E2102" s="77">
        <v>8.0000000000000002E-3</v>
      </c>
      <c r="F2102" s="77">
        <v>8.9999999999999993E-3</v>
      </c>
      <c r="G2102" s="78">
        <v>0</v>
      </c>
      <c r="H2102" s="71">
        <v>7.6</v>
      </c>
      <c r="I2102" s="71">
        <v>9.9</v>
      </c>
      <c r="J2102" s="71">
        <v>12.2</v>
      </c>
      <c r="K2102" s="106">
        <v>1.1399999999999999E-2</v>
      </c>
      <c r="L2102" s="80">
        <v>-0.01</v>
      </c>
      <c r="M2102" s="75" t="s">
        <v>143</v>
      </c>
      <c r="N2102" s="75" t="b">
        <v>1</v>
      </c>
      <c r="O2102" s="75" t="s">
        <v>144</v>
      </c>
      <c r="P2102" s="75">
        <v>1994</v>
      </c>
      <c r="Q2102" s="107">
        <f t="shared" si="53"/>
        <v>2013</v>
      </c>
      <c r="R2102" s="107">
        <v>2</v>
      </c>
      <c r="S2102" s="100">
        <v>213099</v>
      </c>
      <c r="T2102" s="101">
        <v>41591</v>
      </c>
    </row>
    <row r="2103" spans="1:21" x14ac:dyDescent="0.3">
      <c r="A2103" s="68">
        <v>41550</v>
      </c>
      <c r="B2103" s="69">
        <f t="shared" si="52"/>
        <v>20131003</v>
      </c>
      <c r="C2103" s="70">
        <v>2.98E-2</v>
      </c>
      <c r="D2103" s="77">
        <v>6.0000000000000001E-3</v>
      </c>
      <c r="E2103" s="77">
        <v>8.0000000000000002E-3</v>
      </c>
      <c r="F2103" s="77">
        <v>8.9999999999999993E-3</v>
      </c>
      <c r="G2103" s="78">
        <v>0</v>
      </c>
      <c r="H2103" s="71">
        <v>7.6</v>
      </c>
      <c r="I2103" s="71">
        <v>9.9</v>
      </c>
      <c r="J2103" s="71">
        <v>12.2</v>
      </c>
      <c r="K2103" s="106">
        <v>1.1200000000000002E-2</v>
      </c>
      <c r="L2103" s="80">
        <v>-0.01</v>
      </c>
      <c r="M2103" s="75" t="s">
        <v>143</v>
      </c>
      <c r="N2103" s="75" t="b">
        <v>1</v>
      </c>
      <c r="O2103" s="75" t="s">
        <v>144</v>
      </c>
      <c r="P2103" s="75">
        <v>1994</v>
      </c>
      <c r="Q2103" s="107">
        <f t="shared" si="53"/>
        <v>2013</v>
      </c>
      <c r="R2103" s="107">
        <v>2</v>
      </c>
      <c r="S2103" s="100">
        <v>213099</v>
      </c>
      <c r="T2103" s="101">
        <v>41591</v>
      </c>
    </row>
    <row r="2104" spans="1:21" x14ac:dyDescent="0.3">
      <c r="A2104" s="68">
        <v>41551</v>
      </c>
      <c r="B2104" s="69">
        <f t="shared" si="52"/>
        <v>20131004</v>
      </c>
      <c r="C2104" s="70">
        <v>3.0200000000000001E-2</v>
      </c>
      <c r="D2104" s="77">
        <v>6.0000000000000001E-3</v>
      </c>
      <c r="E2104" s="77">
        <v>8.0000000000000002E-3</v>
      </c>
      <c r="F2104" s="77">
        <v>8.9999999999999993E-3</v>
      </c>
      <c r="G2104" s="78">
        <v>0</v>
      </c>
      <c r="H2104" s="71">
        <v>7.6</v>
      </c>
      <c r="I2104" s="71">
        <v>9.9</v>
      </c>
      <c r="J2104" s="71">
        <v>12.2</v>
      </c>
      <c r="K2104" s="106">
        <v>1.1200000000000002E-2</v>
      </c>
      <c r="L2104" s="80">
        <v>-0.01</v>
      </c>
      <c r="M2104" s="75" t="s">
        <v>143</v>
      </c>
      <c r="N2104" s="75" t="b">
        <v>1</v>
      </c>
      <c r="O2104" s="75" t="s">
        <v>144</v>
      </c>
      <c r="P2104" s="75">
        <v>1994</v>
      </c>
      <c r="Q2104" s="107">
        <f t="shared" si="53"/>
        <v>2013</v>
      </c>
      <c r="R2104" s="107">
        <v>2</v>
      </c>
      <c r="S2104" s="100">
        <v>213099</v>
      </c>
      <c r="T2104" s="101">
        <v>41591</v>
      </c>
    </row>
    <row r="2105" spans="1:21" x14ac:dyDescent="0.3">
      <c r="A2105" s="68">
        <v>41552</v>
      </c>
      <c r="B2105" s="69">
        <f>YEAR(A2105)*10000+MONTH(A2105)*100+DAY(A2105)</f>
        <v>20131005</v>
      </c>
      <c r="C2105" s="70">
        <v>3.0200000000000001E-2</v>
      </c>
      <c r="D2105" s="77">
        <v>6.0000000000000001E-3</v>
      </c>
      <c r="E2105" s="77">
        <v>8.0000000000000002E-3</v>
      </c>
      <c r="F2105" s="77">
        <v>8.9999999999999993E-3</v>
      </c>
      <c r="G2105" s="78">
        <v>0</v>
      </c>
      <c r="H2105" s="71">
        <v>7.6</v>
      </c>
      <c r="I2105" s="71">
        <v>9.9</v>
      </c>
      <c r="J2105" s="71">
        <v>12.2</v>
      </c>
      <c r="K2105" s="106">
        <v>1.1200000000000002E-2</v>
      </c>
      <c r="L2105" s="80">
        <v>-0.01</v>
      </c>
      <c r="M2105" s="75" t="s">
        <v>143</v>
      </c>
      <c r="N2105" s="75" t="b">
        <v>1</v>
      </c>
      <c r="O2105" s="75" t="s">
        <v>144</v>
      </c>
      <c r="P2105" s="75">
        <v>1994</v>
      </c>
      <c r="Q2105" s="107">
        <f t="shared" si="53"/>
        <v>2013</v>
      </c>
      <c r="R2105" s="107">
        <v>2</v>
      </c>
      <c r="S2105" s="100">
        <v>213099</v>
      </c>
      <c r="T2105" s="101">
        <v>41591</v>
      </c>
    </row>
    <row r="2106" spans="1:21" x14ac:dyDescent="0.3">
      <c r="A2106" s="68">
        <v>41553</v>
      </c>
      <c r="B2106" s="69">
        <f>YEAR(A2106)*10000+MONTH(A2106)*100+DAY(A2106)</f>
        <v>20131006</v>
      </c>
      <c r="C2106" s="70">
        <v>3.0200000000000001E-2</v>
      </c>
      <c r="D2106" s="77">
        <v>6.0000000000000001E-3</v>
      </c>
      <c r="E2106" s="77">
        <v>8.0000000000000002E-3</v>
      </c>
      <c r="F2106" s="77">
        <v>8.9999999999999993E-3</v>
      </c>
      <c r="G2106" s="78">
        <v>0</v>
      </c>
      <c r="H2106" s="71">
        <v>7.6</v>
      </c>
      <c r="I2106" s="71">
        <v>9.9</v>
      </c>
      <c r="J2106" s="71">
        <v>12.2</v>
      </c>
      <c r="K2106" s="106">
        <v>1.1200000000000002E-2</v>
      </c>
      <c r="L2106" s="80">
        <v>-0.01</v>
      </c>
      <c r="M2106" s="75" t="s">
        <v>143</v>
      </c>
      <c r="N2106" s="75" t="b">
        <v>1</v>
      </c>
      <c r="O2106" s="75" t="s">
        <v>144</v>
      </c>
      <c r="P2106" s="75">
        <v>1994</v>
      </c>
      <c r="Q2106" s="107">
        <f t="shared" si="53"/>
        <v>2013</v>
      </c>
      <c r="R2106" s="107">
        <v>2</v>
      </c>
      <c r="S2106" s="100">
        <v>213099</v>
      </c>
      <c r="T2106" s="101">
        <v>41591</v>
      </c>
    </row>
    <row r="2107" spans="1:21" x14ac:dyDescent="0.3">
      <c r="A2107" s="68">
        <v>41554</v>
      </c>
      <c r="B2107" s="69">
        <f t="shared" si="52"/>
        <v>20131007</v>
      </c>
      <c r="C2107" s="70">
        <v>2.9900000000000003E-2</v>
      </c>
      <c r="D2107" s="77">
        <v>6.0000000000000001E-3</v>
      </c>
      <c r="E2107" s="77">
        <v>8.0000000000000002E-3</v>
      </c>
      <c r="F2107" s="77">
        <v>8.9999999999999993E-3</v>
      </c>
      <c r="G2107" s="78">
        <v>0</v>
      </c>
      <c r="H2107" s="71">
        <v>7.6</v>
      </c>
      <c r="I2107" s="71">
        <v>9.9</v>
      </c>
      <c r="J2107" s="71">
        <v>12.2</v>
      </c>
      <c r="K2107" s="106">
        <v>1.11E-2</v>
      </c>
      <c r="L2107" s="80">
        <v>-0.01</v>
      </c>
      <c r="M2107" s="75" t="s">
        <v>143</v>
      </c>
      <c r="N2107" s="75" t="b">
        <v>1</v>
      </c>
      <c r="O2107" s="75" t="s">
        <v>144</v>
      </c>
      <c r="P2107" s="75">
        <v>1994</v>
      </c>
      <c r="Q2107" s="107">
        <f t="shared" si="53"/>
        <v>2013</v>
      </c>
      <c r="R2107" s="107">
        <v>2</v>
      </c>
      <c r="S2107" s="100">
        <v>213099</v>
      </c>
      <c r="T2107" s="101">
        <v>41591</v>
      </c>
    </row>
    <row r="2108" spans="1:21" x14ac:dyDescent="0.3">
      <c r="A2108" s="68">
        <v>41555</v>
      </c>
      <c r="B2108" s="69">
        <f t="shared" si="52"/>
        <v>20131008</v>
      </c>
      <c r="C2108" s="70">
        <v>2.9900000000000003E-2</v>
      </c>
      <c r="D2108" s="77">
        <v>6.0000000000000001E-3</v>
      </c>
      <c r="E2108" s="77">
        <v>8.0000000000000002E-3</v>
      </c>
      <c r="F2108" s="77">
        <v>8.9999999999999993E-3</v>
      </c>
      <c r="G2108" s="78">
        <v>0</v>
      </c>
      <c r="H2108" s="71">
        <v>7.6</v>
      </c>
      <c r="I2108" s="71">
        <v>9.9</v>
      </c>
      <c r="J2108" s="71">
        <v>12.2</v>
      </c>
      <c r="K2108" s="106">
        <v>1.11E-2</v>
      </c>
      <c r="L2108" s="80">
        <v>-0.01</v>
      </c>
      <c r="M2108" s="75" t="s">
        <v>143</v>
      </c>
      <c r="N2108" s="75" t="b">
        <v>1</v>
      </c>
      <c r="O2108" s="75" t="s">
        <v>144</v>
      </c>
      <c r="P2108" s="75">
        <v>1994</v>
      </c>
      <c r="Q2108" s="107">
        <f t="shared" si="53"/>
        <v>2013</v>
      </c>
      <c r="R2108" s="107">
        <v>2</v>
      </c>
      <c r="S2108" s="100">
        <v>213099</v>
      </c>
      <c r="T2108" s="101">
        <v>41591</v>
      </c>
    </row>
    <row r="2109" spans="1:21" x14ac:dyDescent="0.3">
      <c r="A2109" s="68">
        <v>41556</v>
      </c>
      <c r="B2109" s="69">
        <f t="shared" si="52"/>
        <v>20131009</v>
      </c>
      <c r="C2109" s="70">
        <v>0.03</v>
      </c>
      <c r="D2109" s="77">
        <v>6.0000000000000001E-3</v>
      </c>
      <c r="E2109" s="77">
        <v>8.0000000000000002E-3</v>
      </c>
      <c r="F2109" s="77">
        <v>8.9999999999999993E-3</v>
      </c>
      <c r="G2109" s="78">
        <v>0</v>
      </c>
      <c r="H2109" s="71">
        <v>7.6</v>
      </c>
      <c r="I2109" s="71">
        <v>9.9</v>
      </c>
      <c r="J2109" s="71">
        <v>12.2</v>
      </c>
      <c r="K2109" s="106">
        <v>1.1200000000000002E-2</v>
      </c>
      <c r="L2109" s="80">
        <v>-0.01</v>
      </c>
      <c r="M2109" s="75" t="s">
        <v>143</v>
      </c>
      <c r="N2109" s="75" t="b">
        <v>1</v>
      </c>
      <c r="O2109" s="75" t="s">
        <v>144</v>
      </c>
      <c r="P2109" s="75">
        <v>1994</v>
      </c>
      <c r="Q2109" s="107">
        <f t="shared" si="53"/>
        <v>2013</v>
      </c>
      <c r="R2109" s="107">
        <v>2</v>
      </c>
      <c r="S2109" s="100">
        <v>213099</v>
      </c>
      <c r="T2109" s="101">
        <v>41591</v>
      </c>
    </row>
    <row r="2110" spans="1:21" x14ac:dyDescent="0.3">
      <c r="A2110" s="68">
        <v>41557</v>
      </c>
      <c r="B2110" s="69">
        <f t="shared" si="52"/>
        <v>20131010</v>
      </c>
      <c r="C2110" s="70">
        <v>3.0299999999999997E-2</v>
      </c>
      <c r="D2110" s="77">
        <v>6.0000000000000001E-3</v>
      </c>
      <c r="E2110" s="77">
        <v>8.0000000000000002E-3</v>
      </c>
      <c r="F2110" s="77">
        <v>8.9999999999999993E-3</v>
      </c>
      <c r="G2110" s="78">
        <v>0</v>
      </c>
      <c r="H2110" s="71">
        <v>7.6</v>
      </c>
      <c r="I2110" s="71">
        <v>9.9</v>
      </c>
      <c r="J2110" s="71">
        <v>12.2</v>
      </c>
      <c r="K2110" s="106">
        <v>1.1399999999999999E-2</v>
      </c>
      <c r="L2110" s="80">
        <v>-0.01</v>
      </c>
      <c r="M2110" s="75" t="s">
        <v>143</v>
      </c>
      <c r="N2110" s="75" t="b">
        <v>1</v>
      </c>
      <c r="O2110" s="75" t="s">
        <v>144</v>
      </c>
      <c r="P2110" s="75">
        <v>1994</v>
      </c>
      <c r="Q2110" s="107">
        <f t="shared" si="53"/>
        <v>2013</v>
      </c>
      <c r="R2110" s="107">
        <v>2</v>
      </c>
      <c r="S2110" s="100">
        <v>213099</v>
      </c>
      <c r="T2110" s="101">
        <v>41591</v>
      </c>
    </row>
    <row r="2111" spans="1:21" x14ac:dyDescent="0.3">
      <c r="A2111" s="68">
        <v>41558</v>
      </c>
      <c r="B2111" s="69">
        <f t="shared" si="52"/>
        <v>20131011</v>
      </c>
      <c r="C2111" s="70">
        <v>3.0299999999999997E-2</v>
      </c>
      <c r="D2111" s="77">
        <v>6.0000000000000001E-3</v>
      </c>
      <c r="E2111" s="77">
        <v>8.0000000000000002E-3</v>
      </c>
      <c r="F2111" s="77">
        <v>8.9999999999999993E-3</v>
      </c>
      <c r="G2111" s="78">
        <v>0</v>
      </c>
      <c r="H2111" s="71">
        <v>7.6</v>
      </c>
      <c r="I2111" s="71">
        <v>9.9</v>
      </c>
      <c r="J2111" s="71">
        <v>12.2</v>
      </c>
      <c r="K2111" s="106">
        <v>1.1399999999999999E-2</v>
      </c>
      <c r="L2111" s="80">
        <v>-0.01</v>
      </c>
      <c r="M2111" s="75" t="s">
        <v>143</v>
      </c>
      <c r="N2111" s="75" t="b">
        <v>1</v>
      </c>
      <c r="O2111" s="75" t="s">
        <v>144</v>
      </c>
      <c r="P2111" s="75">
        <v>1994</v>
      </c>
      <c r="Q2111" s="107">
        <f t="shared" si="53"/>
        <v>2013</v>
      </c>
      <c r="R2111" s="107">
        <v>2</v>
      </c>
      <c r="S2111" s="100">
        <v>213099</v>
      </c>
      <c r="T2111" s="101">
        <v>41591</v>
      </c>
    </row>
    <row r="2112" spans="1:21" x14ac:dyDescent="0.3">
      <c r="A2112" s="68">
        <v>41559</v>
      </c>
      <c r="B2112" s="69">
        <f>YEAR(A2112)*10000+MONTH(A2112)*100+DAY(A2112)</f>
        <v>20131012</v>
      </c>
      <c r="C2112" s="70">
        <v>3.0299999999999997E-2</v>
      </c>
      <c r="D2112" s="77">
        <v>6.0000000000000001E-3</v>
      </c>
      <c r="E2112" s="77">
        <v>8.0000000000000002E-3</v>
      </c>
      <c r="F2112" s="77">
        <v>8.9999999999999993E-3</v>
      </c>
      <c r="G2112" s="78">
        <v>0</v>
      </c>
      <c r="H2112" s="71">
        <v>7.6</v>
      </c>
      <c r="I2112" s="71">
        <v>9.9</v>
      </c>
      <c r="J2112" s="71">
        <v>12.2</v>
      </c>
      <c r="K2112" s="106">
        <v>1.1399999999999999E-2</v>
      </c>
      <c r="L2112" s="80">
        <v>-0.01</v>
      </c>
      <c r="M2112" s="75" t="s">
        <v>143</v>
      </c>
      <c r="N2112" s="75" t="b">
        <v>1</v>
      </c>
      <c r="O2112" s="75" t="s">
        <v>144</v>
      </c>
      <c r="P2112" s="75">
        <v>1994</v>
      </c>
      <c r="Q2112" s="107">
        <f t="shared" si="53"/>
        <v>2013</v>
      </c>
      <c r="R2112" s="107">
        <v>2</v>
      </c>
      <c r="S2112" s="100">
        <v>213099</v>
      </c>
      <c r="T2112" s="101">
        <v>41591</v>
      </c>
    </row>
    <row r="2113" spans="1:20" x14ac:dyDescent="0.3">
      <c r="A2113" s="68">
        <v>41560</v>
      </c>
      <c r="B2113" s="69">
        <f>YEAR(A2113)*10000+MONTH(A2113)*100+DAY(A2113)</f>
        <v>20131013</v>
      </c>
      <c r="C2113" s="70">
        <v>3.0299999999999997E-2</v>
      </c>
      <c r="D2113" s="77">
        <v>6.0000000000000001E-3</v>
      </c>
      <c r="E2113" s="77">
        <v>8.0000000000000002E-3</v>
      </c>
      <c r="F2113" s="77">
        <v>8.9999999999999993E-3</v>
      </c>
      <c r="G2113" s="78">
        <v>0</v>
      </c>
      <c r="H2113" s="71">
        <v>7.6</v>
      </c>
      <c r="I2113" s="71">
        <v>9.9</v>
      </c>
      <c r="J2113" s="71">
        <v>12.2</v>
      </c>
      <c r="K2113" s="106">
        <v>1.1399999999999999E-2</v>
      </c>
      <c r="L2113" s="80">
        <v>-0.01</v>
      </c>
      <c r="M2113" s="75" t="s">
        <v>143</v>
      </c>
      <c r="N2113" s="75" t="b">
        <v>1</v>
      </c>
      <c r="O2113" s="75" t="s">
        <v>144</v>
      </c>
      <c r="P2113" s="75">
        <v>1994</v>
      </c>
      <c r="Q2113" s="107">
        <f t="shared" si="53"/>
        <v>2013</v>
      </c>
      <c r="R2113" s="107">
        <v>2</v>
      </c>
      <c r="S2113" s="100">
        <v>213099</v>
      </c>
      <c r="T2113" s="101">
        <v>41591</v>
      </c>
    </row>
    <row r="2114" spans="1:20" x14ac:dyDescent="0.3">
      <c r="A2114" s="68">
        <v>41561</v>
      </c>
      <c r="B2114" s="69">
        <f t="shared" si="52"/>
        <v>20131014</v>
      </c>
      <c r="C2114" s="70">
        <v>3.0299999999999997E-2</v>
      </c>
      <c r="D2114" s="77">
        <v>6.0000000000000001E-3</v>
      </c>
      <c r="E2114" s="77">
        <v>8.0000000000000002E-3</v>
      </c>
      <c r="F2114" s="77">
        <v>8.9999999999999993E-3</v>
      </c>
      <c r="G2114" s="78">
        <v>0</v>
      </c>
      <c r="H2114" s="71">
        <v>7.6</v>
      </c>
      <c r="I2114" s="71">
        <v>9.9</v>
      </c>
      <c r="J2114" s="71">
        <v>12.2</v>
      </c>
      <c r="K2114" s="106">
        <v>1.1399999999999999E-2</v>
      </c>
      <c r="L2114" s="80">
        <v>-0.01</v>
      </c>
      <c r="M2114" s="75" t="s">
        <v>143</v>
      </c>
      <c r="N2114" s="75" t="b">
        <v>1</v>
      </c>
      <c r="O2114" s="75" t="s">
        <v>144</v>
      </c>
      <c r="P2114" s="75">
        <v>1994</v>
      </c>
      <c r="Q2114" s="107">
        <f t="shared" si="53"/>
        <v>2013</v>
      </c>
      <c r="R2114" s="107">
        <v>2</v>
      </c>
      <c r="S2114" s="100">
        <v>213099</v>
      </c>
      <c r="T2114" s="101">
        <v>41591</v>
      </c>
    </row>
    <row r="2115" spans="1:20" x14ac:dyDescent="0.3">
      <c r="A2115" s="68">
        <v>41562</v>
      </c>
      <c r="B2115" s="69">
        <f t="shared" si="52"/>
        <v>20131015</v>
      </c>
      <c r="C2115" s="70">
        <v>3.0699999999999998E-2</v>
      </c>
      <c r="D2115" s="77">
        <v>6.0000000000000001E-3</v>
      </c>
      <c r="E2115" s="77">
        <v>8.0000000000000002E-3</v>
      </c>
      <c r="F2115" s="77">
        <v>8.9999999999999993E-3</v>
      </c>
      <c r="G2115" s="78">
        <v>0</v>
      </c>
      <c r="H2115" s="71">
        <v>7.6</v>
      </c>
      <c r="I2115" s="71">
        <v>9.9</v>
      </c>
      <c r="J2115" s="71">
        <v>12.2</v>
      </c>
      <c r="K2115" s="106">
        <v>1.1699999999999999E-2</v>
      </c>
      <c r="L2115" s="80">
        <v>-0.01</v>
      </c>
      <c r="M2115" s="75" t="s">
        <v>143</v>
      </c>
      <c r="N2115" s="75" t="b">
        <v>1</v>
      </c>
      <c r="O2115" s="75" t="s">
        <v>144</v>
      </c>
      <c r="P2115" s="75">
        <v>1994</v>
      </c>
      <c r="Q2115" s="107">
        <f t="shared" si="53"/>
        <v>2013</v>
      </c>
      <c r="R2115" s="107">
        <v>2</v>
      </c>
      <c r="S2115" s="100">
        <v>213099</v>
      </c>
      <c r="T2115" s="101">
        <v>41591</v>
      </c>
    </row>
    <row r="2116" spans="1:20" x14ac:dyDescent="0.3">
      <c r="A2116" s="68">
        <v>41563</v>
      </c>
      <c r="B2116" s="69">
        <f t="shared" si="52"/>
        <v>20131016</v>
      </c>
      <c r="C2116" s="70">
        <v>3.04E-2</v>
      </c>
      <c r="D2116" s="77">
        <v>6.0000000000000001E-3</v>
      </c>
      <c r="E2116" s="77">
        <v>8.0000000000000002E-3</v>
      </c>
      <c r="F2116" s="77">
        <v>8.9999999999999993E-3</v>
      </c>
      <c r="G2116" s="78">
        <v>0</v>
      </c>
      <c r="H2116" s="71">
        <v>7.6</v>
      </c>
      <c r="I2116" s="71">
        <v>9.9</v>
      </c>
      <c r="J2116" s="71">
        <v>12.2</v>
      </c>
      <c r="K2116" s="106">
        <v>1.1399999999999999E-2</v>
      </c>
      <c r="L2116" s="80">
        <v>-0.01</v>
      </c>
      <c r="M2116" s="75" t="s">
        <v>143</v>
      </c>
      <c r="N2116" s="75" t="b">
        <v>1</v>
      </c>
      <c r="O2116" s="75" t="s">
        <v>144</v>
      </c>
      <c r="P2116" s="75">
        <v>1994</v>
      </c>
      <c r="Q2116" s="107">
        <f t="shared" si="53"/>
        <v>2013</v>
      </c>
      <c r="R2116" s="107">
        <v>2</v>
      </c>
      <c r="S2116" s="100">
        <v>213099</v>
      </c>
      <c r="T2116" s="101">
        <v>41591</v>
      </c>
    </row>
    <row r="2117" spans="1:20" x14ac:dyDescent="0.3">
      <c r="A2117" s="68">
        <v>41564</v>
      </c>
      <c r="B2117" s="69">
        <f t="shared" si="52"/>
        <v>20131017</v>
      </c>
      <c r="C2117" s="70">
        <v>0.03</v>
      </c>
      <c r="D2117" s="77">
        <v>6.0000000000000001E-3</v>
      </c>
      <c r="E2117" s="77">
        <v>8.0000000000000002E-3</v>
      </c>
      <c r="F2117" s="77">
        <v>8.9999999999999993E-3</v>
      </c>
      <c r="G2117" s="78">
        <v>0</v>
      </c>
      <c r="H2117" s="71">
        <v>7.6</v>
      </c>
      <c r="I2117" s="71">
        <v>9.9</v>
      </c>
      <c r="J2117" s="71">
        <v>12.2</v>
      </c>
      <c r="K2117" s="106">
        <v>1.11E-2</v>
      </c>
      <c r="L2117" s="80">
        <v>-0.01</v>
      </c>
      <c r="M2117" s="75" t="s">
        <v>143</v>
      </c>
      <c r="N2117" s="75" t="b">
        <v>1</v>
      </c>
      <c r="O2117" s="75" t="s">
        <v>144</v>
      </c>
      <c r="P2117" s="75">
        <v>1994</v>
      </c>
      <c r="Q2117" s="107">
        <f t="shared" si="53"/>
        <v>2013</v>
      </c>
      <c r="R2117" s="107">
        <v>2</v>
      </c>
      <c r="S2117" s="100">
        <v>213099</v>
      </c>
      <c r="T2117" s="101">
        <v>41591</v>
      </c>
    </row>
    <row r="2118" spans="1:20" x14ac:dyDescent="0.3">
      <c r="A2118" s="68">
        <v>41565</v>
      </c>
      <c r="B2118" s="69">
        <f t="shared" si="52"/>
        <v>20131018</v>
      </c>
      <c r="C2118" s="70">
        <v>2.98E-2</v>
      </c>
      <c r="D2118" s="77">
        <v>6.0000000000000001E-3</v>
      </c>
      <c r="E2118" s="77">
        <v>8.0000000000000002E-3</v>
      </c>
      <c r="F2118" s="77">
        <v>8.9999999999999993E-3</v>
      </c>
      <c r="G2118" s="78">
        <v>0</v>
      </c>
      <c r="H2118" s="71">
        <v>7.6</v>
      </c>
      <c r="I2118" s="71">
        <v>9.9</v>
      </c>
      <c r="J2118" s="71">
        <v>12.2</v>
      </c>
      <c r="K2118" s="106">
        <v>1.1000000000000001E-2</v>
      </c>
      <c r="L2118" s="80">
        <v>-0.01</v>
      </c>
      <c r="M2118" s="75" t="s">
        <v>143</v>
      </c>
      <c r="N2118" s="75" t="b">
        <v>1</v>
      </c>
      <c r="O2118" s="75" t="s">
        <v>144</v>
      </c>
      <c r="P2118" s="75">
        <v>1994</v>
      </c>
      <c r="Q2118" s="107">
        <f t="shared" si="53"/>
        <v>2013</v>
      </c>
      <c r="R2118" s="107">
        <v>2</v>
      </c>
      <c r="S2118" s="100">
        <v>213099</v>
      </c>
      <c r="T2118" s="101">
        <v>41591</v>
      </c>
    </row>
    <row r="2119" spans="1:20" x14ac:dyDescent="0.3">
      <c r="A2119" s="68">
        <v>41566</v>
      </c>
      <c r="B2119" s="69">
        <f>YEAR(A2119)*10000+MONTH(A2119)*100+DAY(A2119)</f>
        <v>20131019</v>
      </c>
      <c r="C2119" s="70">
        <v>2.98E-2</v>
      </c>
      <c r="D2119" s="77">
        <v>6.0000000000000001E-3</v>
      </c>
      <c r="E2119" s="77">
        <v>8.0000000000000002E-3</v>
      </c>
      <c r="F2119" s="77">
        <v>8.9999999999999993E-3</v>
      </c>
      <c r="G2119" s="78">
        <v>0</v>
      </c>
      <c r="H2119" s="71">
        <v>7.6</v>
      </c>
      <c r="I2119" s="71">
        <v>9.9</v>
      </c>
      <c r="J2119" s="71">
        <v>12.2</v>
      </c>
      <c r="K2119" s="106">
        <v>1.1000000000000001E-2</v>
      </c>
      <c r="L2119" s="80">
        <v>-0.01</v>
      </c>
      <c r="M2119" s="75" t="s">
        <v>143</v>
      </c>
      <c r="N2119" s="75" t="b">
        <v>1</v>
      </c>
      <c r="O2119" s="75" t="s">
        <v>144</v>
      </c>
      <c r="P2119" s="75">
        <v>1994</v>
      </c>
      <c r="Q2119" s="107">
        <f t="shared" si="53"/>
        <v>2013</v>
      </c>
      <c r="R2119" s="107">
        <v>2</v>
      </c>
      <c r="S2119" s="100">
        <v>213099</v>
      </c>
      <c r="T2119" s="101">
        <v>41591</v>
      </c>
    </row>
    <row r="2120" spans="1:20" x14ac:dyDescent="0.3">
      <c r="A2120" s="68">
        <v>41567</v>
      </c>
      <c r="B2120" s="69">
        <f>YEAR(A2120)*10000+MONTH(A2120)*100+DAY(A2120)</f>
        <v>20131020</v>
      </c>
      <c r="C2120" s="70">
        <v>2.98E-2</v>
      </c>
      <c r="D2120" s="77">
        <v>6.0000000000000001E-3</v>
      </c>
      <c r="E2120" s="77">
        <v>8.0000000000000002E-3</v>
      </c>
      <c r="F2120" s="77">
        <v>8.9999999999999993E-3</v>
      </c>
      <c r="G2120" s="78">
        <v>0</v>
      </c>
      <c r="H2120" s="71">
        <v>7.6</v>
      </c>
      <c r="I2120" s="71">
        <v>9.9</v>
      </c>
      <c r="J2120" s="71">
        <v>12.2</v>
      </c>
      <c r="K2120" s="106">
        <v>1.1000000000000001E-2</v>
      </c>
      <c r="L2120" s="80">
        <v>-0.01</v>
      </c>
      <c r="M2120" s="75" t="s">
        <v>143</v>
      </c>
      <c r="N2120" s="75" t="b">
        <v>1</v>
      </c>
      <c r="O2120" s="75" t="s">
        <v>144</v>
      </c>
      <c r="P2120" s="75">
        <v>1994</v>
      </c>
      <c r="Q2120" s="107">
        <f t="shared" si="53"/>
        <v>2013</v>
      </c>
      <c r="R2120" s="107">
        <v>2</v>
      </c>
      <c r="S2120" s="100">
        <v>213099</v>
      </c>
      <c r="T2120" s="101">
        <v>41591</v>
      </c>
    </row>
    <row r="2121" spans="1:20" x14ac:dyDescent="0.3">
      <c r="A2121" s="68">
        <v>41568</v>
      </c>
      <c r="B2121" s="69">
        <f t="shared" si="52"/>
        <v>20131021</v>
      </c>
      <c r="C2121" s="70">
        <v>0.03</v>
      </c>
      <c r="D2121" s="77">
        <v>6.0000000000000001E-3</v>
      </c>
      <c r="E2121" s="77">
        <v>8.0000000000000002E-3</v>
      </c>
      <c r="F2121" s="77">
        <v>8.9999999999999993E-3</v>
      </c>
      <c r="G2121" s="78">
        <v>0</v>
      </c>
      <c r="H2121" s="71">
        <v>7.6</v>
      </c>
      <c r="I2121" s="71">
        <v>9.9</v>
      </c>
      <c r="J2121" s="71">
        <v>12.2</v>
      </c>
      <c r="K2121" s="106">
        <v>1.1200000000000002E-2</v>
      </c>
      <c r="L2121" s="80">
        <v>-0.01</v>
      </c>
      <c r="M2121" s="75" t="s">
        <v>143</v>
      </c>
      <c r="N2121" s="75" t="b">
        <v>1</v>
      </c>
      <c r="O2121" s="75" t="s">
        <v>144</v>
      </c>
      <c r="P2121" s="75">
        <v>1994</v>
      </c>
      <c r="Q2121" s="107">
        <f t="shared" si="53"/>
        <v>2013</v>
      </c>
      <c r="R2121" s="107">
        <v>2</v>
      </c>
      <c r="S2121" s="100">
        <v>213099</v>
      </c>
      <c r="T2121" s="101">
        <v>41591</v>
      </c>
    </row>
    <row r="2122" spans="1:20" x14ac:dyDescent="0.3">
      <c r="A2122" s="68">
        <v>41569</v>
      </c>
      <c r="B2122" s="69">
        <f t="shared" si="52"/>
        <v>20131022</v>
      </c>
      <c r="C2122" s="70">
        <v>2.9399999999999999E-2</v>
      </c>
      <c r="D2122" s="77">
        <v>6.0000000000000001E-3</v>
      </c>
      <c r="E2122" s="77">
        <v>8.0000000000000002E-3</v>
      </c>
      <c r="F2122" s="77">
        <v>8.9999999999999993E-3</v>
      </c>
      <c r="G2122" s="78">
        <v>0</v>
      </c>
      <c r="H2122" s="71">
        <v>7.6</v>
      </c>
      <c r="I2122" s="71">
        <v>9.9</v>
      </c>
      <c r="J2122" s="71">
        <v>12.2</v>
      </c>
      <c r="K2122" s="106">
        <v>1.0700000000000001E-2</v>
      </c>
      <c r="L2122" s="80">
        <v>-0.01</v>
      </c>
      <c r="M2122" s="75" t="s">
        <v>143</v>
      </c>
      <c r="N2122" s="75" t="b">
        <v>1</v>
      </c>
      <c r="O2122" s="75" t="s">
        <v>144</v>
      </c>
      <c r="P2122" s="75">
        <v>1994</v>
      </c>
      <c r="Q2122" s="107">
        <f t="shared" si="53"/>
        <v>2013</v>
      </c>
      <c r="R2122" s="107">
        <v>2</v>
      </c>
      <c r="S2122" s="100">
        <v>213099</v>
      </c>
      <c r="T2122" s="101">
        <v>41591</v>
      </c>
    </row>
    <row r="2123" spans="1:20" x14ac:dyDescent="0.3">
      <c r="A2123" s="68">
        <v>41570</v>
      </c>
      <c r="B2123" s="69">
        <f t="shared" si="52"/>
        <v>20131023</v>
      </c>
      <c r="C2123" s="70">
        <v>2.8999999999999998E-2</v>
      </c>
      <c r="D2123" s="77">
        <v>6.0000000000000001E-3</v>
      </c>
      <c r="E2123" s="77">
        <v>8.0000000000000002E-3</v>
      </c>
      <c r="F2123" s="77">
        <v>8.9999999999999993E-3</v>
      </c>
      <c r="G2123" s="78">
        <v>0</v>
      </c>
      <c r="H2123" s="71">
        <v>7.6</v>
      </c>
      <c r="I2123" s="71">
        <v>9.9</v>
      </c>
      <c r="J2123" s="71">
        <v>12.2</v>
      </c>
      <c r="K2123" s="106">
        <v>1.03E-2</v>
      </c>
      <c r="L2123" s="80">
        <v>-0.01</v>
      </c>
      <c r="M2123" s="75" t="s">
        <v>143</v>
      </c>
      <c r="N2123" s="75" t="b">
        <v>1</v>
      </c>
      <c r="O2123" s="75" t="s">
        <v>144</v>
      </c>
      <c r="P2123" s="75">
        <v>1994</v>
      </c>
      <c r="Q2123" s="107">
        <f t="shared" si="53"/>
        <v>2013</v>
      </c>
      <c r="R2123" s="107">
        <v>2</v>
      </c>
      <c r="S2123" s="100">
        <v>213099</v>
      </c>
      <c r="T2123" s="101">
        <v>41591</v>
      </c>
    </row>
    <row r="2124" spans="1:20" x14ac:dyDescent="0.3">
      <c r="A2124" s="68">
        <v>41571</v>
      </c>
      <c r="B2124" s="69">
        <f t="shared" si="52"/>
        <v>20131024</v>
      </c>
      <c r="C2124" s="70">
        <v>2.8900000000000002E-2</v>
      </c>
      <c r="D2124" s="77">
        <v>6.0000000000000001E-3</v>
      </c>
      <c r="E2124" s="77">
        <v>8.0000000000000002E-3</v>
      </c>
      <c r="F2124" s="77">
        <v>8.9999999999999993E-3</v>
      </c>
      <c r="G2124" s="78">
        <v>0</v>
      </c>
      <c r="H2124" s="71">
        <v>7.6</v>
      </c>
      <c r="I2124" s="71">
        <v>9.9</v>
      </c>
      <c r="J2124" s="71">
        <v>12.2</v>
      </c>
      <c r="K2124" s="106">
        <v>1.03E-2</v>
      </c>
      <c r="L2124" s="80">
        <v>-0.01</v>
      </c>
      <c r="M2124" s="75" t="s">
        <v>143</v>
      </c>
      <c r="N2124" s="75" t="b">
        <v>1</v>
      </c>
      <c r="O2124" s="75" t="s">
        <v>144</v>
      </c>
      <c r="P2124" s="75">
        <v>1994</v>
      </c>
      <c r="Q2124" s="107">
        <f t="shared" si="53"/>
        <v>2013</v>
      </c>
      <c r="R2124" s="107">
        <v>2</v>
      </c>
      <c r="S2124" s="100">
        <v>213099</v>
      </c>
      <c r="T2124" s="101">
        <v>41591</v>
      </c>
    </row>
    <row r="2125" spans="1:20" x14ac:dyDescent="0.3">
      <c r="A2125" s="68">
        <v>41572</v>
      </c>
      <c r="B2125" s="69">
        <f t="shared" si="52"/>
        <v>20131025</v>
      </c>
      <c r="C2125" s="70">
        <v>2.8900000000000002E-2</v>
      </c>
      <c r="D2125" s="77">
        <v>6.0000000000000001E-3</v>
      </c>
      <c r="E2125" s="77">
        <v>8.0000000000000002E-3</v>
      </c>
      <c r="F2125" s="77">
        <v>8.9999999999999993E-3</v>
      </c>
      <c r="G2125" s="78">
        <v>0</v>
      </c>
      <c r="H2125" s="71">
        <v>7.6</v>
      </c>
      <c r="I2125" s="71">
        <v>9.9</v>
      </c>
      <c r="J2125" s="71">
        <v>12.2</v>
      </c>
      <c r="K2125" s="106">
        <v>1.0200000000000001E-2</v>
      </c>
      <c r="L2125" s="80">
        <v>-0.01</v>
      </c>
      <c r="M2125" s="75" t="s">
        <v>143</v>
      </c>
      <c r="N2125" s="75" t="b">
        <v>1</v>
      </c>
      <c r="O2125" s="75" t="s">
        <v>144</v>
      </c>
      <c r="P2125" s="75">
        <v>1994</v>
      </c>
      <c r="Q2125" s="107">
        <f t="shared" si="53"/>
        <v>2013</v>
      </c>
      <c r="R2125" s="107">
        <v>2</v>
      </c>
      <c r="S2125" s="100">
        <v>213099</v>
      </c>
      <c r="T2125" s="101">
        <v>41591</v>
      </c>
    </row>
    <row r="2126" spans="1:20" x14ac:dyDescent="0.3">
      <c r="A2126" s="68">
        <v>41573</v>
      </c>
      <c r="B2126" s="69">
        <f>YEAR(A2126)*10000+MONTH(A2126)*100+DAY(A2126)</f>
        <v>20131026</v>
      </c>
      <c r="C2126" s="70">
        <v>2.8900000000000002E-2</v>
      </c>
      <c r="D2126" s="77">
        <v>6.0000000000000001E-3</v>
      </c>
      <c r="E2126" s="77">
        <v>8.0000000000000002E-3</v>
      </c>
      <c r="F2126" s="77">
        <v>8.9999999999999993E-3</v>
      </c>
      <c r="G2126" s="78">
        <v>0</v>
      </c>
      <c r="H2126" s="71">
        <v>7.6</v>
      </c>
      <c r="I2126" s="71">
        <v>9.9</v>
      </c>
      <c r="J2126" s="71">
        <v>12.2</v>
      </c>
      <c r="K2126" s="106">
        <v>1.0200000000000001E-2</v>
      </c>
      <c r="L2126" s="80">
        <v>-0.01</v>
      </c>
      <c r="M2126" s="75" t="s">
        <v>143</v>
      </c>
      <c r="N2126" s="75" t="b">
        <v>1</v>
      </c>
      <c r="O2126" s="75" t="s">
        <v>144</v>
      </c>
      <c r="P2126" s="75">
        <v>1994</v>
      </c>
      <c r="Q2126" s="107">
        <f t="shared" si="53"/>
        <v>2013</v>
      </c>
      <c r="R2126" s="107">
        <v>2</v>
      </c>
      <c r="S2126" s="100">
        <v>213099</v>
      </c>
      <c r="T2126" s="101">
        <v>41591</v>
      </c>
    </row>
    <row r="2127" spans="1:20" x14ac:dyDescent="0.3">
      <c r="A2127" s="68">
        <v>41574</v>
      </c>
      <c r="B2127" s="69">
        <f>YEAR(A2127)*10000+MONTH(A2127)*100+DAY(A2127)</f>
        <v>20131027</v>
      </c>
      <c r="C2127" s="70">
        <v>2.8900000000000002E-2</v>
      </c>
      <c r="D2127" s="77">
        <v>6.0000000000000001E-3</v>
      </c>
      <c r="E2127" s="77">
        <v>8.0000000000000002E-3</v>
      </c>
      <c r="F2127" s="77">
        <v>8.9999999999999993E-3</v>
      </c>
      <c r="G2127" s="78">
        <v>0</v>
      </c>
      <c r="H2127" s="71">
        <v>7.6</v>
      </c>
      <c r="I2127" s="71">
        <v>9.9</v>
      </c>
      <c r="J2127" s="71">
        <v>12.2</v>
      </c>
      <c r="K2127" s="106">
        <v>1.0200000000000001E-2</v>
      </c>
      <c r="L2127" s="80">
        <v>-0.01</v>
      </c>
      <c r="M2127" s="75" t="s">
        <v>143</v>
      </c>
      <c r="N2127" s="75" t="b">
        <v>1</v>
      </c>
      <c r="O2127" s="75" t="s">
        <v>144</v>
      </c>
      <c r="P2127" s="75">
        <v>1994</v>
      </c>
      <c r="Q2127" s="107">
        <f t="shared" si="53"/>
        <v>2013</v>
      </c>
      <c r="R2127" s="107">
        <v>2</v>
      </c>
      <c r="S2127" s="100">
        <v>213099</v>
      </c>
      <c r="T2127" s="101">
        <v>41591</v>
      </c>
    </row>
    <row r="2128" spans="1:20" x14ac:dyDescent="0.3">
      <c r="A2128" s="68">
        <v>41575</v>
      </c>
      <c r="B2128" s="69">
        <f>YEAR(A2128)*10000+MONTH(A2128)*100+DAY(A2128)</f>
        <v>20131028</v>
      </c>
      <c r="C2128" s="70">
        <v>2.8900000000000002E-2</v>
      </c>
      <c r="D2128" s="77">
        <v>6.0000000000000001E-3</v>
      </c>
      <c r="E2128" s="77">
        <v>8.0000000000000002E-3</v>
      </c>
      <c r="F2128" s="77">
        <v>8.9999999999999993E-3</v>
      </c>
      <c r="G2128" s="78">
        <v>0</v>
      </c>
      <c r="H2128" s="71">
        <v>7.6</v>
      </c>
      <c r="I2128" s="71">
        <v>9.9</v>
      </c>
      <c r="J2128" s="71">
        <v>12.2</v>
      </c>
      <c r="K2128" s="106">
        <v>1.0200000000000001E-2</v>
      </c>
      <c r="L2128" s="80">
        <v>-0.01</v>
      </c>
      <c r="M2128" s="75" t="s">
        <v>143</v>
      </c>
      <c r="N2128" s="75" t="b">
        <v>1</v>
      </c>
      <c r="O2128" s="75" t="s">
        <v>144</v>
      </c>
      <c r="P2128" s="75">
        <v>1994</v>
      </c>
      <c r="Q2128" s="107">
        <f t="shared" si="53"/>
        <v>2013</v>
      </c>
      <c r="R2128" s="107">
        <v>2</v>
      </c>
      <c r="S2128" s="100">
        <v>213099</v>
      </c>
      <c r="T2128" s="101">
        <v>41591</v>
      </c>
    </row>
    <row r="2129" spans="1:20" x14ac:dyDescent="0.3">
      <c r="A2129" s="68">
        <v>41576</v>
      </c>
      <c r="B2129" s="69">
        <f t="shared" si="52"/>
        <v>20131029</v>
      </c>
      <c r="C2129" s="70">
        <v>2.87E-2</v>
      </c>
      <c r="D2129" s="77">
        <v>6.0000000000000001E-3</v>
      </c>
      <c r="E2129" s="77">
        <v>8.0000000000000002E-3</v>
      </c>
      <c r="F2129" s="77">
        <v>8.9999999999999993E-3</v>
      </c>
      <c r="G2129" s="78">
        <v>0</v>
      </c>
      <c r="H2129" s="71">
        <v>7.6</v>
      </c>
      <c r="I2129" s="71">
        <v>9.9</v>
      </c>
      <c r="J2129" s="71">
        <v>12.2</v>
      </c>
      <c r="K2129" s="106">
        <v>1.01E-2</v>
      </c>
      <c r="L2129" s="80">
        <v>-0.01</v>
      </c>
      <c r="M2129" s="75" t="s">
        <v>143</v>
      </c>
      <c r="N2129" s="75" t="b">
        <v>1</v>
      </c>
      <c r="O2129" s="75" t="s">
        <v>144</v>
      </c>
      <c r="P2129" s="75">
        <v>1994</v>
      </c>
      <c r="Q2129" s="107">
        <f t="shared" si="53"/>
        <v>2013</v>
      </c>
      <c r="R2129" s="107">
        <v>2</v>
      </c>
      <c r="S2129" s="100">
        <v>213099</v>
      </c>
      <c r="T2129" s="101">
        <v>41591</v>
      </c>
    </row>
    <row r="2130" spans="1:20" x14ac:dyDescent="0.3">
      <c r="A2130" s="68">
        <v>41577</v>
      </c>
      <c r="B2130" s="69">
        <f t="shared" si="52"/>
        <v>20131030</v>
      </c>
      <c r="C2130" s="70">
        <v>2.87E-2</v>
      </c>
      <c r="D2130" s="77">
        <v>6.0000000000000001E-3</v>
      </c>
      <c r="E2130" s="77">
        <v>8.0000000000000002E-3</v>
      </c>
      <c r="F2130" s="77">
        <v>8.9999999999999993E-3</v>
      </c>
      <c r="G2130" s="78">
        <v>0</v>
      </c>
      <c r="H2130" s="71">
        <v>7.6</v>
      </c>
      <c r="I2130" s="71">
        <v>9.9</v>
      </c>
      <c r="J2130" s="71">
        <v>12.2</v>
      </c>
      <c r="K2130" s="106">
        <v>1.04E-2</v>
      </c>
      <c r="L2130" s="80">
        <v>-0.01</v>
      </c>
      <c r="M2130" s="75" t="s">
        <v>143</v>
      </c>
      <c r="N2130" s="75" t="b">
        <v>1</v>
      </c>
      <c r="O2130" s="75" t="s">
        <v>144</v>
      </c>
      <c r="P2130" s="75">
        <v>1994</v>
      </c>
      <c r="Q2130" s="107">
        <f t="shared" si="53"/>
        <v>2013</v>
      </c>
      <c r="R2130" s="107">
        <v>2</v>
      </c>
      <c r="S2130" s="100">
        <v>213099</v>
      </c>
      <c r="T2130" s="101">
        <v>41591</v>
      </c>
    </row>
    <row r="2131" spans="1:20" x14ac:dyDescent="0.3">
      <c r="A2131" s="68">
        <v>41578</v>
      </c>
      <c r="B2131" s="69">
        <f t="shared" si="52"/>
        <v>20131031</v>
      </c>
      <c r="C2131" s="70">
        <v>2.87E-2</v>
      </c>
      <c r="D2131" s="77">
        <v>6.0000000000000001E-3</v>
      </c>
      <c r="E2131" s="77">
        <v>8.0000000000000002E-3</v>
      </c>
      <c r="F2131" s="77">
        <v>8.9999999999999993E-3</v>
      </c>
      <c r="G2131" s="78">
        <v>0</v>
      </c>
      <c r="H2131" s="71">
        <v>7.6</v>
      </c>
      <c r="I2131" s="71">
        <v>9.9</v>
      </c>
      <c r="J2131" s="71">
        <v>12.2</v>
      </c>
      <c r="K2131" s="106">
        <v>1.0200000000000001E-2</v>
      </c>
      <c r="L2131" s="80">
        <v>-0.01</v>
      </c>
      <c r="M2131" s="75" t="s">
        <v>143</v>
      </c>
      <c r="N2131" s="75" t="b">
        <v>1</v>
      </c>
      <c r="O2131" s="75" t="s">
        <v>144</v>
      </c>
      <c r="P2131" s="75">
        <v>1994</v>
      </c>
      <c r="Q2131" s="107">
        <f t="shared" si="53"/>
        <v>2013</v>
      </c>
      <c r="R2131" s="107">
        <v>2</v>
      </c>
      <c r="S2131" s="100">
        <v>213099</v>
      </c>
      <c r="T2131" s="101">
        <v>41591</v>
      </c>
    </row>
    <row r="2132" spans="1:20" x14ac:dyDescent="0.3">
      <c r="A2132" s="68">
        <v>41579</v>
      </c>
      <c r="B2132" s="69">
        <f t="shared" si="52"/>
        <v>20131101</v>
      </c>
      <c r="C2132" s="70">
        <v>2.9500000000000002E-2</v>
      </c>
      <c r="D2132" s="77">
        <v>6.0000000000000001E-3</v>
      </c>
      <c r="E2132" s="77">
        <v>8.0000000000000002E-3</v>
      </c>
      <c r="F2132" s="77">
        <v>8.9999999999999993E-3</v>
      </c>
      <c r="G2132" s="78">
        <v>0</v>
      </c>
      <c r="H2132" s="71">
        <v>7.6</v>
      </c>
      <c r="I2132" s="71">
        <v>9.9</v>
      </c>
      <c r="J2132" s="71">
        <v>12.2</v>
      </c>
      <c r="K2132" s="106">
        <v>1.1000000000000001E-2</v>
      </c>
      <c r="L2132" s="80">
        <v>-0.01</v>
      </c>
      <c r="M2132" s="75" t="s">
        <v>143</v>
      </c>
      <c r="N2132" s="75" t="b">
        <v>1</v>
      </c>
      <c r="O2132" s="75" t="s">
        <v>144</v>
      </c>
      <c r="P2132" s="75">
        <v>1994</v>
      </c>
      <c r="Q2132" s="107">
        <f t="shared" si="53"/>
        <v>2013</v>
      </c>
      <c r="R2132" s="107">
        <v>2</v>
      </c>
      <c r="S2132" s="100">
        <v>213099</v>
      </c>
      <c r="T2132" s="101">
        <v>41591</v>
      </c>
    </row>
    <row r="2133" spans="1:20" x14ac:dyDescent="0.3">
      <c r="A2133" s="68">
        <v>41580</v>
      </c>
      <c r="B2133" s="69">
        <f>YEAR(A2133)*10000+MONTH(A2133)*100+DAY(A2133)</f>
        <v>20131102</v>
      </c>
      <c r="C2133" s="70">
        <v>2.9500000000000002E-2</v>
      </c>
      <c r="D2133" s="77">
        <v>6.0000000000000001E-3</v>
      </c>
      <c r="E2133" s="77">
        <v>8.0000000000000002E-3</v>
      </c>
      <c r="F2133" s="77">
        <v>8.9999999999999993E-3</v>
      </c>
      <c r="G2133" s="78">
        <v>0</v>
      </c>
      <c r="H2133" s="71">
        <v>7.6</v>
      </c>
      <c r="I2133" s="71">
        <v>9.9</v>
      </c>
      <c r="J2133" s="71">
        <v>12.2</v>
      </c>
      <c r="K2133" s="106">
        <v>1.1000000000000001E-2</v>
      </c>
      <c r="L2133" s="80">
        <v>-0.01</v>
      </c>
      <c r="M2133" s="75" t="s">
        <v>143</v>
      </c>
      <c r="N2133" s="75" t="b">
        <v>1</v>
      </c>
      <c r="O2133" s="75" t="s">
        <v>144</v>
      </c>
      <c r="P2133" s="75">
        <v>1994</v>
      </c>
      <c r="Q2133" s="107">
        <f t="shared" si="53"/>
        <v>2013</v>
      </c>
      <c r="R2133" s="107">
        <v>2</v>
      </c>
      <c r="S2133" s="100">
        <v>213099</v>
      </c>
      <c r="T2133" s="101">
        <v>41591</v>
      </c>
    </row>
    <row r="2134" spans="1:20" x14ac:dyDescent="0.3">
      <c r="A2134" s="68">
        <v>41581</v>
      </c>
      <c r="B2134" s="69">
        <f>YEAR(A2134)*10000+MONTH(A2134)*100+DAY(A2134)</f>
        <v>20131103</v>
      </c>
      <c r="C2134" s="70">
        <v>2.9500000000000002E-2</v>
      </c>
      <c r="D2134" s="77">
        <v>6.0000000000000001E-3</v>
      </c>
      <c r="E2134" s="77">
        <v>8.0000000000000002E-3</v>
      </c>
      <c r="F2134" s="77">
        <v>8.9999999999999993E-3</v>
      </c>
      <c r="G2134" s="78">
        <v>0</v>
      </c>
      <c r="H2134" s="71">
        <v>7.6</v>
      </c>
      <c r="I2134" s="71">
        <v>9.9</v>
      </c>
      <c r="J2134" s="71">
        <v>12.2</v>
      </c>
      <c r="K2134" s="106">
        <v>1.1000000000000001E-2</v>
      </c>
      <c r="L2134" s="80">
        <v>-0.01</v>
      </c>
      <c r="M2134" s="75" t="s">
        <v>143</v>
      </c>
      <c r="N2134" s="75" t="b">
        <v>1</v>
      </c>
      <c r="O2134" s="75" t="s">
        <v>144</v>
      </c>
      <c r="P2134" s="75">
        <v>1994</v>
      </c>
      <c r="Q2134" s="107">
        <f t="shared" si="53"/>
        <v>2013</v>
      </c>
      <c r="R2134" s="107">
        <v>2</v>
      </c>
      <c r="S2134" s="100">
        <v>213099</v>
      </c>
      <c r="T2134" s="101">
        <v>41591</v>
      </c>
    </row>
    <row r="2135" spans="1:20" x14ac:dyDescent="0.3">
      <c r="A2135" s="68">
        <v>41582</v>
      </c>
      <c r="B2135" s="69">
        <f t="shared" si="52"/>
        <v>20131104</v>
      </c>
      <c r="C2135" s="70">
        <v>2.9300000000000003E-2</v>
      </c>
      <c r="D2135" s="77">
        <v>6.0000000000000001E-3</v>
      </c>
      <c r="E2135" s="77">
        <v>8.0000000000000002E-3</v>
      </c>
      <c r="F2135" s="77">
        <v>8.9999999999999993E-3</v>
      </c>
      <c r="G2135" s="78">
        <v>0</v>
      </c>
      <c r="H2135" s="71">
        <v>7.6</v>
      </c>
      <c r="I2135" s="71">
        <v>9.9</v>
      </c>
      <c r="J2135" s="71">
        <v>12.2</v>
      </c>
      <c r="K2135" s="106">
        <v>1.09E-2</v>
      </c>
      <c r="L2135" s="80">
        <v>-0.01</v>
      </c>
      <c r="M2135" s="75" t="s">
        <v>143</v>
      </c>
      <c r="N2135" s="75" t="b">
        <v>1</v>
      </c>
      <c r="O2135" s="75" t="s">
        <v>144</v>
      </c>
      <c r="P2135" s="75">
        <v>1994</v>
      </c>
      <c r="Q2135" s="107">
        <f t="shared" si="53"/>
        <v>2013</v>
      </c>
      <c r="R2135" s="107">
        <v>2</v>
      </c>
      <c r="S2135" s="100">
        <v>213099</v>
      </c>
      <c r="T2135" s="101">
        <v>41591</v>
      </c>
    </row>
    <row r="2136" spans="1:20" x14ac:dyDescent="0.3">
      <c r="A2136" s="68">
        <v>41583</v>
      </c>
      <c r="B2136" s="69">
        <f t="shared" si="52"/>
        <v>20131105</v>
      </c>
      <c r="C2136" s="70">
        <v>2.9700000000000001E-2</v>
      </c>
      <c r="D2136" s="77">
        <v>6.0000000000000001E-3</v>
      </c>
      <c r="E2136" s="77">
        <v>8.0000000000000002E-3</v>
      </c>
      <c r="F2136" s="77">
        <v>8.9999999999999993E-3</v>
      </c>
      <c r="G2136" s="78">
        <v>0</v>
      </c>
      <c r="H2136" s="71">
        <v>7.6</v>
      </c>
      <c r="I2136" s="71">
        <v>9.9</v>
      </c>
      <c r="J2136" s="71">
        <v>12.2</v>
      </c>
      <c r="K2136" s="106">
        <v>1.1299999999999999E-2</v>
      </c>
      <c r="L2136" s="80">
        <v>-0.01</v>
      </c>
      <c r="M2136" s="75" t="s">
        <v>143</v>
      </c>
      <c r="N2136" s="75" t="b">
        <v>1</v>
      </c>
      <c r="O2136" s="75" t="s">
        <v>144</v>
      </c>
      <c r="P2136" s="75">
        <v>1994</v>
      </c>
      <c r="Q2136" s="107">
        <f t="shared" si="53"/>
        <v>2013</v>
      </c>
      <c r="R2136" s="107">
        <v>2</v>
      </c>
      <c r="S2136" s="100">
        <v>213099</v>
      </c>
      <c r="T2136" s="101">
        <v>41591</v>
      </c>
    </row>
    <row r="2137" spans="1:20" x14ac:dyDescent="0.3">
      <c r="A2137" s="68">
        <v>41584</v>
      </c>
      <c r="B2137" s="69">
        <f t="shared" si="52"/>
        <v>20131106</v>
      </c>
      <c r="C2137" s="70">
        <v>2.98E-2</v>
      </c>
      <c r="D2137" s="77">
        <v>6.0000000000000001E-3</v>
      </c>
      <c r="E2137" s="77">
        <v>8.0000000000000002E-3</v>
      </c>
      <c r="F2137" s="77">
        <v>8.9999999999999993E-3</v>
      </c>
      <c r="G2137" s="78">
        <v>0</v>
      </c>
      <c r="H2137" s="71">
        <v>7.6</v>
      </c>
      <c r="I2137" s="71">
        <v>9.9</v>
      </c>
      <c r="J2137" s="71">
        <v>12.2</v>
      </c>
      <c r="K2137" s="106">
        <v>1.1299999999999999E-2</v>
      </c>
      <c r="L2137" s="80">
        <v>-0.01</v>
      </c>
      <c r="M2137" s="75" t="s">
        <v>143</v>
      </c>
      <c r="N2137" s="75" t="b">
        <v>1</v>
      </c>
      <c r="O2137" s="75" t="s">
        <v>144</v>
      </c>
      <c r="P2137" s="75">
        <v>1994</v>
      </c>
      <c r="Q2137" s="107">
        <f t="shared" si="53"/>
        <v>2013</v>
      </c>
      <c r="R2137" s="107">
        <v>2</v>
      </c>
      <c r="S2137" s="100">
        <v>213099</v>
      </c>
      <c r="T2137" s="101">
        <v>41591</v>
      </c>
    </row>
    <row r="2138" spans="1:20" x14ac:dyDescent="0.3">
      <c r="A2138" s="68">
        <v>41585</v>
      </c>
      <c r="B2138" s="69">
        <f t="shared" ref="B2138:B2160" si="54">YEAR(A2138)*10000+MONTH(A2138)*100+DAY(A2138)</f>
        <v>20131107</v>
      </c>
      <c r="C2138" s="70">
        <v>2.9600000000000001E-2</v>
      </c>
      <c r="D2138" s="77">
        <v>6.0000000000000001E-3</v>
      </c>
      <c r="E2138" s="77">
        <v>8.0000000000000002E-3</v>
      </c>
      <c r="F2138" s="77">
        <v>8.9999999999999993E-3</v>
      </c>
      <c r="G2138" s="78">
        <v>0</v>
      </c>
      <c r="H2138" s="71">
        <v>7.6</v>
      </c>
      <c r="I2138" s="71">
        <v>9.9</v>
      </c>
      <c r="J2138" s="71">
        <v>12.2</v>
      </c>
      <c r="K2138" s="106">
        <v>1.1299999999999999E-2</v>
      </c>
      <c r="L2138" s="80">
        <v>-0.01</v>
      </c>
      <c r="M2138" s="75" t="s">
        <v>143</v>
      </c>
      <c r="N2138" s="75" t="b">
        <v>1</v>
      </c>
      <c r="O2138" s="75" t="s">
        <v>144</v>
      </c>
      <c r="P2138" s="75">
        <v>1994</v>
      </c>
      <c r="Q2138" s="107">
        <f t="shared" si="53"/>
        <v>2013</v>
      </c>
      <c r="R2138" s="107">
        <v>2</v>
      </c>
      <c r="S2138" s="100">
        <v>213099</v>
      </c>
      <c r="T2138" s="101">
        <v>41591</v>
      </c>
    </row>
    <row r="2139" spans="1:20" x14ac:dyDescent="0.3">
      <c r="A2139" s="68">
        <v>41586</v>
      </c>
      <c r="B2139" s="69">
        <f t="shared" si="54"/>
        <v>20131108</v>
      </c>
      <c r="C2139" s="70">
        <v>3.04E-2</v>
      </c>
      <c r="D2139" s="77">
        <v>6.0000000000000001E-3</v>
      </c>
      <c r="E2139" s="77">
        <v>8.0000000000000002E-3</v>
      </c>
      <c r="F2139" s="77">
        <v>8.9999999999999993E-3</v>
      </c>
      <c r="G2139" s="78">
        <v>0</v>
      </c>
      <c r="H2139" s="71">
        <v>7.6</v>
      </c>
      <c r="I2139" s="71">
        <v>9.9</v>
      </c>
      <c r="J2139" s="71">
        <v>12.2</v>
      </c>
      <c r="K2139" s="106">
        <v>1.21E-2</v>
      </c>
      <c r="L2139" s="80">
        <v>-0.01</v>
      </c>
      <c r="M2139" s="75" t="s">
        <v>143</v>
      </c>
      <c r="N2139" s="75" t="b">
        <v>1</v>
      </c>
      <c r="O2139" s="75" t="s">
        <v>144</v>
      </c>
      <c r="P2139" s="75">
        <v>1994</v>
      </c>
      <c r="Q2139" s="107">
        <f t="shared" si="53"/>
        <v>2013</v>
      </c>
      <c r="R2139" s="107">
        <v>2</v>
      </c>
      <c r="S2139" s="100">
        <v>213099</v>
      </c>
      <c r="T2139" s="101">
        <v>41591</v>
      </c>
    </row>
    <row r="2140" spans="1:20" x14ac:dyDescent="0.3">
      <c r="A2140" s="68">
        <v>41587</v>
      </c>
      <c r="B2140" s="69">
        <f>YEAR(A2140)*10000+MONTH(A2140)*100+DAY(A2140)</f>
        <v>20131109</v>
      </c>
      <c r="C2140" s="70">
        <v>3.04E-2</v>
      </c>
      <c r="D2140" s="77">
        <v>6.0000000000000001E-3</v>
      </c>
      <c r="E2140" s="77">
        <v>8.0000000000000002E-3</v>
      </c>
      <c r="F2140" s="77">
        <v>8.9999999999999993E-3</v>
      </c>
      <c r="G2140" s="78">
        <v>0</v>
      </c>
      <c r="H2140" s="71">
        <v>7.6</v>
      </c>
      <c r="I2140" s="71">
        <v>9.9</v>
      </c>
      <c r="J2140" s="71">
        <v>12.2</v>
      </c>
      <c r="K2140" s="106">
        <v>1.21E-2</v>
      </c>
      <c r="L2140" s="80">
        <v>-0.01</v>
      </c>
      <c r="M2140" s="75" t="s">
        <v>143</v>
      </c>
      <c r="N2140" s="75" t="b">
        <v>1</v>
      </c>
      <c r="O2140" s="75" t="s">
        <v>144</v>
      </c>
      <c r="P2140" s="75">
        <v>1994</v>
      </c>
      <c r="Q2140" s="107">
        <f t="shared" si="53"/>
        <v>2013</v>
      </c>
      <c r="R2140" s="107">
        <v>2</v>
      </c>
      <c r="S2140" s="100">
        <v>213099</v>
      </c>
      <c r="T2140" s="101">
        <v>41591</v>
      </c>
    </row>
    <row r="2141" spans="1:20" x14ac:dyDescent="0.3">
      <c r="A2141" s="68">
        <v>41588</v>
      </c>
      <c r="B2141" s="69">
        <f>YEAR(A2141)*10000+MONTH(A2141)*100+DAY(A2141)</f>
        <v>20131110</v>
      </c>
      <c r="C2141" s="70">
        <v>3.04E-2</v>
      </c>
      <c r="D2141" s="77">
        <v>6.0000000000000001E-3</v>
      </c>
      <c r="E2141" s="77">
        <v>8.0000000000000002E-3</v>
      </c>
      <c r="F2141" s="77">
        <v>8.9999999999999993E-3</v>
      </c>
      <c r="G2141" s="78">
        <v>0</v>
      </c>
      <c r="H2141" s="71">
        <v>7.6</v>
      </c>
      <c r="I2141" s="71">
        <v>9.9</v>
      </c>
      <c r="J2141" s="71">
        <v>12.2</v>
      </c>
      <c r="K2141" s="106">
        <v>1.21E-2</v>
      </c>
      <c r="L2141" s="80">
        <v>-0.01</v>
      </c>
      <c r="M2141" s="75" t="s">
        <v>143</v>
      </c>
      <c r="N2141" s="75" t="b">
        <v>1</v>
      </c>
      <c r="O2141" s="75" t="s">
        <v>144</v>
      </c>
      <c r="P2141" s="75">
        <v>1994</v>
      </c>
      <c r="Q2141" s="107">
        <f t="shared" si="53"/>
        <v>2013</v>
      </c>
      <c r="R2141" s="107">
        <v>2</v>
      </c>
      <c r="S2141" s="100">
        <v>213099</v>
      </c>
      <c r="T2141" s="101">
        <v>41591</v>
      </c>
    </row>
    <row r="2142" spans="1:20" x14ac:dyDescent="0.3">
      <c r="A2142" s="68">
        <v>41589</v>
      </c>
      <c r="B2142" s="69">
        <f t="shared" si="54"/>
        <v>20131111</v>
      </c>
      <c r="C2142" s="70">
        <v>3.04E-2</v>
      </c>
      <c r="D2142" s="77">
        <v>6.0000000000000001E-3</v>
      </c>
      <c r="E2142" s="77">
        <v>8.0000000000000002E-3</v>
      </c>
      <c r="F2142" s="77">
        <v>8.9999999999999993E-3</v>
      </c>
      <c r="G2142" s="78">
        <v>0</v>
      </c>
      <c r="H2142" s="71">
        <v>7.6</v>
      </c>
      <c r="I2142" s="71">
        <v>9.9</v>
      </c>
      <c r="J2142" s="71">
        <v>12.2</v>
      </c>
      <c r="K2142" s="106">
        <v>1.21E-2</v>
      </c>
      <c r="L2142" s="80">
        <v>-0.01</v>
      </c>
      <c r="M2142" s="75" t="s">
        <v>143</v>
      </c>
      <c r="N2142" s="75" t="b">
        <v>1</v>
      </c>
      <c r="O2142" s="75" t="s">
        <v>144</v>
      </c>
      <c r="P2142" s="75">
        <v>1994</v>
      </c>
      <c r="Q2142" s="107">
        <f t="shared" si="53"/>
        <v>2013</v>
      </c>
      <c r="R2142" s="107">
        <v>2</v>
      </c>
      <c r="S2142" s="100">
        <v>213099</v>
      </c>
      <c r="T2142" s="101">
        <v>41591</v>
      </c>
    </row>
    <row r="2143" spans="1:20" x14ac:dyDescent="0.3">
      <c r="A2143" s="68">
        <v>41590</v>
      </c>
      <c r="B2143" s="69">
        <f t="shared" si="54"/>
        <v>20131112</v>
      </c>
      <c r="C2143" s="70">
        <v>3.0699999999999998E-2</v>
      </c>
      <c r="D2143" s="77">
        <v>6.0000000000000001E-3</v>
      </c>
      <c r="E2143" s="77">
        <v>8.0000000000000002E-3</v>
      </c>
      <c r="F2143" s="77">
        <v>8.9999999999999993E-3</v>
      </c>
      <c r="G2143" s="78">
        <v>0</v>
      </c>
      <c r="H2143" s="71">
        <v>7.6</v>
      </c>
      <c r="I2143" s="71">
        <v>9.9</v>
      </c>
      <c r="J2143" s="71">
        <v>12.2</v>
      </c>
      <c r="K2143" s="106">
        <v>1.23E-2</v>
      </c>
      <c r="L2143" s="80">
        <v>-0.01</v>
      </c>
      <c r="M2143" s="75" t="s">
        <v>143</v>
      </c>
      <c r="N2143" s="75" t="b">
        <v>1</v>
      </c>
      <c r="O2143" s="75" t="s">
        <v>144</v>
      </c>
      <c r="P2143" s="75">
        <v>1994</v>
      </c>
      <c r="Q2143" s="107">
        <f t="shared" si="53"/>
        <v>2013</v>
      </c>
      <c r="R2143" s="107">
        <v>2</v>
      </c>
      <c r="S2143" s="100">
        <v>213099</v>
      </c>
      <c r="T2143" s="101">
        <v>41591</v>
      </c>
    </row>
    <row r="2144" spans="1:20" x14ac:dyDescent="0.3">
      <c r="A2144" s="68">
        <v>41591</v>
      </c>
      <c r="B2144" s="69">
        <f t="shared" si="54"/>
        <v>20131113</v>
      </c>
      <c r="C2144" s="70">
        <v>3.0299999999999997E-2</v>
      </c>
      <c r="D2144" s="77">
        <v>6.0000000000000001E-3</v>
      </c>
      <c r="E2144" s="77">
        <v>8.0000000000000002E-3</v>
      </c>
      <c r="F2144" s="77">
        <v>8.9999999999999993E-3</v>
      </c>
      <c r="G2144" s="78">
        <v>0</v>
      </c>
      <c r="H2144" s="71">
        <v>7.6</v>
      </c>
      <c r="I2144" s="71">
        <v>9.9</v>
      </c>
      <c r="J2144" s="71">
        <v>12.2</v>
      </c>
      <c r="K2144" s="106">
        <v>1.2E-2</v>
      </c>
      <c r="L2144" s="80">
        <v>-0.01</v>
      </c>
      <c r="M2144" s="75" t="s">
        <v>143</v>
      </c>
      <c r="N2144" s="75" t="b">
        <v>1</v>
      </c>
      <c r="O2144" s="75" t="s">
        <v>144</v>
      </c>
      <c r="P2144" s="75">
        <v>1994</v>
      </c>
      <c r="Q2144" s="107">
        <f t="shared" si="53"/>
        <v>2013</v>
      </c>
      <c r="R2144" s="107">
        <v>2</v>
      </c>
      <c r="S2144" s="100">
        <v>213099</v>
      </c>
      <c r="T2144" s="101">
        <v>41591</v>
      </c>
    </row>
    <row r="2145" spans="1:20" x14ac:dyDescent="0.3">
      <c r="A2145" s="68">
        <v>41592</v>
      </c>
      <c r="B2145" s="69">
        <f t="shared" si="54"/>
        <v>20131114</v>
      </c>
      <c r="C2145" s="70">
        <v>2.9900000000000003E-2</v>
      </c>
      <c r="D2145" s="77">
        <v>6.0000000000000001E-3</v>
      </c>
      <c r="E2145" s="77">
        <v>8.0000000000000002E-3</v>
      </c>
      <c r="F2145" s="77">
        <v>8.9999999999999993E-3</v>
      </c>
      <c r="G2145" s="78">
        <v>0</v>
      </c>
      <c r="H2145" s="71">
        <v>7.6</v>
      </c>
      <c r="I2145" s="71">
        <v>9.9</v>
      </c>
      <c r="J2145" s="71">
        <v>12.2</v>
      </c>
      <c r="K2145" s="106">
        <v>1.1599999999999999E-2</v>
      </c>
      <c r="L2145" s="80">
        <v>-0.01</v>
      </c>
      <c r="M2145" s="75" t="s">
        <v>143</v>
      </c>
      <c r="N2145" s="75" t="b">
        <v>1</v>
      </c>
      <c r="O2145" s="75" t="s">
        <v>144</v>
      </c>
      <c r="P2145" s="75">
        <v>1994</v>
      </c>
      <c r="Q2145" s="107">
        <f t="shared" si="53"/>
        <v>2013</v>
      </c>
      <c r="R2145" s="107">
        <v>2</v>
      </c>
      <c r="S2145" s="100">
        <v>213099</v>
      </c>
      <c r="T2145" s="101">
        <v>41591</v>
      </c>
    </row>
    <row r="2146" spans="1:20" x14ac:dyDescent="0.3">
      <c r="A2146" s="68">
        <v>41593</v>
      </c>
      <c r="B2146" s="69">
        <f t="shared" si="54"/>
        <v>20131115</v>
      </c>
      <c r="C2146" s="70">
        <v>2.9900000000000003E-2</v>
      </c>
      <c r="D2146" s="77">
        <v>6.0000000000000001E-3</v>
      </c>
      <c r="E2146" s="77">
        <v>8.0000000000000002E-3</v>
      </c>
      <c r="F2146" s="77">
        <v>8.9999999999999993E-3</v>
      </c>
      <c r="G2146" s="78">
        <v>0</v>
      </c>
      <c r="H2146" s="71">
        <v>7.6</v>
      </c>
      <c r="I2146" s="71">
        <v>9.9</v>
      </c>
      <c r="J2146" s="71">
        <v>12.2</v>
      </c>
      <c r="K2146" s="106">
        <v>1.15E-2</v>
      </c>
      <c r="L2146" s="80">
        <v>-0.01</v>
      </c>
      <c r="M2146" s="75" t="s">
        <v>143</v>
      </c>
      <c r="N2146" s="75" t="b">
        <v>1</v>
      </c>
      <c r="O2146" s="75" t="s">
        <v>144</v>
      </c>
      <c r="P2146" s="75">
        <v>1994</v>
      </c>
      <c r="Q2146" s="107">
        <f t="shared" si="53"/>
        <v>2013</v>
      </c>
      <c r="R2146" s="107">
        <v>2</v>
      </c>
      <c r="S2146" s="100">
        <v>213099</v>
      </c>
      <c r="T2146" s="101">
        <v>41591</v>
      </c>
    </row>
    <row r="2147" spans="1:20" x14ac:dyDescent="0.3">
      <c r="A2147" s="68">
        <v>41594</v>
      </c>
      <c r="B2147" s="69">
        <f>YEAR(A2147)*10000+MONTH(A2147)*100+DAY(A2147)</f>
        <v>20131116</v>
      </c>
      <c r="C2147" s="70">
        <v>2.9900000000000003E-2</v>
      </c>
      <c r="D2147" s="77">
        <v>6.0000000000000001E-3</v>
      </c>
      <c r="E2147" s="77">
        <v>8.0000000000000002E-3</v>
      </c>
      <c r="F2147" s="77">
        <v>8.9999999999999993E-3</v>
      </c>
      <c r="G2147" s="78">
        <v>0</v>
      </c>
      <c r="H2147" s="71">
        <v>7.6</v>
      </c>
      <c r="I2147" s="71">
        <v>9.9</v>
      </c>
      <c r="J2147" s="71">
        <v>12.2</v>
      </c>
      <c r="K2147" s="106">
        <v>1.15E-2</v>
      </c>
      <c r="L2147" s="80">
        <v>-0.01</v>
      </c>
      <c r="M2147" s="75" t="s">
        <v>143</v>
      </c>
      <c r="N2147" s="75" t="b">
        <v>1</v>
      </c>
      <c r="O2147" s="75" t="s">
        <v>144</v>
      </c>
      <c r="P2147" s="75">
        <v>1994</v>
      </c>
      <c r="Q2147" s="107">
        <f t="shared" si="53"/>
        <v>2013</v>
      </c>
      <c r="R2147" s="107">
        <v>2</v>
      </c>
      <c r="S2147" s="100">
        <v>213099</v>
      </c>
      <c r="T2147" s="101">
        <v>41591</v>
      </c>
    </row>
    <row r="2148" spans="1:20" x14ac:dyDescent="0.3">
      <c r="A2148" s="68">
        <v>41595</v>
      </c>
      <c r="B2148" s="69">
        <f>YEAR(A2148)*10000+MONTH(A2148)*100+DAY(A2148)</f>
        <v>20131117</v>
      </c>
      <c r="C2148" s="70">
        <v>2.9900000000000003E-2</v>
      </c>
      <c r="D2148" s="77">
        <v>6.0000000000000001E-3</v>
      </c>
      <c r="E2148" s="77">
        <v>8.0000000000000002E-3</v>
      </c>
      <c r="F2148" s="77">
        <v>8.9999999999999993E-3</v>
      </c>
      <c r="G2148" s="78">
        <v>0</v>
      </c>
      <c r="H2148" s="71">
        <v>7.6</v>
      </c>
      <c r="I2148" s="71">
        <v>9.9</v>
      </c>
      <c r="J2148" s="71">
        <v>12.2</v>
      </c>
      <c r="K2148" s="106">
        <v>1.15E-2</v>
      </c>
      <c r="L2148" s="80">
        <v>-0.01</v>
      </c>
      <c r="M2148" s="75" t="s">
        <v>143</v>
      </c>
      <c r="N2148" s="75" t="b">
        <v>1</v>
      </c>
      <c r="O2148" s="75" t="s">
        <v>144</v>
      </c>
      <c r="P2148" s="75">
        <v>1994</v>
      </c>
      <c r="Q2148" s="107">
        <f t="shared" si="53"/>
        <v>2013</v>
      </c>
      <c r="R2148" s="107">
        <v>2</v>
      </c>
      <c r="S2148" s="100">
        <v>213099</v>
      </c>
      <c r="T2148" s="101">
        <v>41591</v>
      </c>
    </row>
    <row r="2149" spans="1:20" x14ac:dyDescent="0.3">
      <c r="A2149" s="68">
        <v>41596</v>
      </c>
      <c r="B2149" s="69">
        <f t="shared" si="54"/>
        <v>20131118</v>
      </c>
      <c r="C2149" s="70">
        <v>2.9600000000000001E-2</v>
      </c>
      <c r="D2149" s="77">
        <v>6.0000000000000001E-3</v>
      </c>
      <c r="E2149" s="77">
        <v>8.0000000000000002E-3</v>
      </c>
      <c r="F2149" s="77">
        <v>8.9999999999999993E-3</v>
      </c>
      <c r="G2149" s="78">
        <v>0</v>
      </c>
      <c r="H2149" s="71">
        <v>7.6</v>
      </c>
      <c r="I2149" s="71">
        <v>9.9</v>
      </c>
      <c r="J2149" s="71">
        <v>12.2</v>
      </c>
      <c r="K2149" s="106">
        <v>1.1200000000000002E-2</v>
      </c>
      <c r="L2149" s="80">
        <v>-0.01</v>
      </c>
      <c r="M2149" s="75" t="s">
        <v>143</v>
      </c>
      <c r="N2149" s="75" t="b">
        <v>1</v>
      </c>
      <c r="O2149" s="75" t="s">
        <v>144</v>
      </c>
      <c r="P2149" s="75">
        <v>1994</v>
      </c>
      <c r="Q2149" s="107">
        <f t="shared" si="53"/>
        <v>2013</v>
      </c>
      <c r="R2149" s="107">
        <v>2</v>
      </c>
      <c r="S2149" s="100">
        <v>213099</v>
      </c>
      <c r="T2149" s="101">
        <v>41591</v>
      </c>
    </row>
    <row r="2150" spans="1:20" x14ac:dyDescent="0.3">
      <c r="A2150" s="68">
        <v>41597</v>
      </c>
      <c r="B2150" s="69">
        <f t="shared" si="54"/>
        <v>20131119</v>
      </c>
      <c r="C2150" s="70">
        <v>2.98E-2</v>
      </c>
      <c r="D2150" s="77">
        <v>6.0000000000000001E-3</v>
      </c>
      <c r="E2150" s="77">
        <v>8.0000000000000002E-3</v>
      </c>
      <c r="F2150" s="77">
        <v>8.9999999999999993E-3</v>
      </c>
      <c r="G2150" s="78">
        <v>0</v>
      </c>
      <c r="H2150" s="71">
        <v>7.6</v>
      </c>
      <c r="I2150" s="71">
        <v>9.9</v>
      </c>
      <c r="J2150" s="71">
        <v>12.2</v>
      </c>
      <c r="K2150" s="106">
        <v>1.1399999999999999E-2</v>
      </c>
      <c r="L2150" s="80">
        <v>-0.01</v>
      </c>
      <c r="M2150" s="75" t="s">
        <v>143</v>
      </c>
      <c r="N2150" s="75" t="b">
        <v>1</v>
      </c>
      <c r="O2150" s="75" t="s">
        <v>144</v>
      </c>
      <c r="P2150" s="75">
        <v>1994</v>
      </c>
      <c r="Q2150" s="107">
        <f t="shared" si="53"/>
        <v>2013</v>
      </c>
      <c r="R2150" s="107">
        <v>2</v>
      </c>
      <c r="S2150" s="100">
        <v>213099</v>
      </c>
      <c r="T2150" s="101">
        <v>41591</v>
      </c>
    </row>
    <row r="2151" spans="1:20" x14ac:dyDescent="0.3">
      <c r="A2151" s="68">
        <v>41598</v>
      </c>
      <c r="B2151" s="69">
        <f t="shared" si="54"/>
        <v>20131120</v>
      </c>
      <c r="C2151" s="70">
        <v>3.0600000000000002E-2</v>
      </c>
      <c r="D2151" s="77">
        <v>6.0000000000000001E-3</v>
      </c>
      <c r="E2151" s="77">
        <v>8.0000000000000002E-3</v>
      </c>
      <c r="F2151" s="77">
        <v>8.9999999999999993E-3</v>
      </c>
      <c r="G2151" s="78">
        <v>0</v>
      </c>
      <c r="H2151" s="71">
        <v>7.6</v>
      </c>
      <c r="I2151" s="71">
        <v>9.9</v>
      </c>
      <c r="J2151" s="71">
        <v>12.2</v>
      </c>
      <c r="K2151" s="106">
        <v>1.2199999999999999E-2</v>
      </c>
      <c r="L2151" s="80">
        <v>-0.01</v>
      </c>
      <c r="M2151" s="75" t="s">
        <v>143</v>
      </c>
      <c r="N2151" s="75" t="b">
        <v>1</v>
      </c>
      <c r="O2151" s="75" t="s">
        <v>144</v>
      </c>
      <c r="P2151" s="75">
        <v>1994</v>
      </c>
      <c r="Q2151" s="107">
        <f t="shared" si="53"/>
        <v>2013</v>
      </c>
      <c r="R2151" s="107">
        <v>2</v>
      </c>
      <c r="S2151" s="100">
        <v>213099</v>
      </c>
      <c r="T2151" s="101">
        <v>41591</v>
      </c>
    </row>
    <row r="2152" spans="1:20" x14ac:dyDescent="0.3">
      <c r="A2152" s="68">
        <v>41599</v>
      </c>
      <c r="B2152" s="69">
        <f t="shared" si="54"/>
        <v>20131121</v>
      </c>
      <c r="C2152" s="70">
        <v>3.0699999999999998E-2</v>
      </c>
      <c r="D2152" s="77">
        <v>6.0000000000000001E-3</v>
      </c>
      <c r="E2152" s="77">
        <v>8.0000000000000002E-3</v>
      </c>
      <c r="F2152" s="77">
        <v>8.9999999999999993E-3</v>
      </c>
      <c r="G2152" s="78">
        <v>0</v>
      </c>
      <c r="H2152" s="71">
        <v>7.6</v>
      </c>
      <c r="I2152" s="71">
        <v>9.9</v>
      </c>
      <c r="J2152" s="71">
        <v>12.2</v>
      </c>
      <c r="K2152" s="106">
        <v>1.26E-2</v>
      </c>
      <c r="L2152" s="80">
        <v>-0.01</v>
      </c>
      <c r="M2152" s="75" t="s">
        <v>143</v>
      </c>
      <c r="N2152" s="75" t="b">
        <v>1</v>
      </c>
      <c r="O2152" s="75" t="s">
        <v>144</v>
      </c>
      <c r="P2152" s="75">
        <v>1994</v>
      </c>
      <c r="Q2152" s="107">
        <f t="shared" si="53"/>
        <v>2013</v>
      </c>
      <c r="R2152" s="107">
        <v>2</v>
      </c>
      <c r="S2152" s="100">
        <v>213099</v>
      </c>
      <c r="T2152" s="101">
        <v>41591</v>
      </c>
    </row>
    <row r="2153" spans="1:20" x14ac:dyDescent="0.3">
      <c r="A2153" s="68">
        <v>41600</v>
      </c>
      <c r="B2153" s="69">
        <f t="shared" si="54"/>
        <v>20131122</v>
      </c>
      <c r="C2153" s="70">
        <v>3.0200000000000001E-2</v>
      </c>
      <c r="D2153" s="77">
        <v>6.0000000000000001E-3</v>
      </c>
      <c r="E2153" s="77">
        <v>8.0000000000000002E-3</v>
      </c>
      <c r="F2153" s="77">
        <v>8.9999999999999993E-3</v>
      </c>
      <c r="G2153" s="78">
        <v>0</v>
      </c>
      <c r="H2153" s="71">
        <v>7.6</v>
      </c>
      <c r="I2153" s="71">
        <v>9.9</v>
      </c>
      <c r="J2153" s="71">
        <v>12.2</v>
      </c>
      <c r="K2153" s="106">
        <v>1.2199999999999999E-2</v>
      </c>
      <c r="L2153" s="80">
        <v>-0.01</v>
      </c>
      <c r="M2153" s="75" t="s">
        <v>143</v>
      </c>
      <c r="N2153" s="75" t="b">
        <v>1</v>
      </c>
      <c r="O2153" s="75" t="s">
        <v>144</v>
      </c>
      <c r="P2153" s="75">
        <v>1994</v>
      </c>
      <c r="Q2153" s="107">
        <f t="shared" si="53"/>
        <v>2013</v>
      </c>
      <c r="R2153" s="107">
        <v>2</v>
      </c>
      <c r="S2153" s="100">
        <v>213099</v>
      </c>
      <c r="T2153" s="101">
        <v>41591</v>
      </c>
    </row>
    <row r="2154" spans="1:20" x14ac:dyDescent="0.3">
      <c r="A2154" s="68">
        <v>41601</v>
      </c>
      <c r="B2154" s="69">
        <f>YEAR(A2154)*10000+MONTH(A2154)*100+DAY(A2154)</f>
        <v>20131123</v>
      </c>
      <c r="C2154" s="70">
        <v>3.0200000000000001E-2</v>
      </c>
      <c r="D2154" s="77">
        <v>6.0000000000000001E-3</v>
      </c>
      <c r="E2154" s="77">
        <v>8.0000000000000002E-3</v>
      </c>
      <c r="F2154" s="77">
        <v>8.9999999999999993E-3</v>
      </c>
      <c r="G2154" s="78">
        <v>0</v>
      </c>
      <c r="H2154" s="71">
        <v>7.6</v>
      </c>
      <c r="I2154" s="71">
        <v>9.9</v>
      </c>
      <c r="J2154" s="71">
        <v>12.2</v>
      </c>
      <c r="K2154" s="106">
        <v>1.2199999999999999E-2</v>
      </c>
      <c r="L2154" s="80">
        <v>-0.01</v>
      </c>
      <c r="M2154" s="75" t="s">
        <v>143</v>
      </c>
      <c r="N2154" s="75" t="b">
        <v>1</v>
      </c>
      <c r="O2154" s="75" t="s">
        <v>144</v>
      </c>
      <c r="P2154" s="75">
        <v>1994</v>
      </c>
      <c r="Q2154" s="107">
        <f t="shared" si="53"/>
        <v>2013</v>
      </c>
      <c r="R2154" s="107">
        <v>2</v>
      </c>
      <c r="S2154" s="100">
        <v>213099</v>
      </c>
      <c r="T2154" s="101">
        <v>41591</v>
      </c>
    </row>
    <row r="2155" spans="1:20" x14ac:dyDescent="0.3">
      <c r="A2155" s="68">
        <v>41602</v>
      </c>
      <c r="B2155" s="69">
        <f>YEAR(A2155)*10000+MONTH(A2155)*100+DAY(A2155)</f>
        <v>20131124</v>
      </c>
      <c r="C2155" s="70">
        <v>3.0200000000000001E-2</v>
      </c>
      <c r="D2155" s="77">
        <v>6.0000000000000001E-3</v>
      </c>
      <c r="E2155" s="77">
        <v>8.0000000000000002E-3</v>
      </c>
      <c r="F2155" s="77">
        <v>8.9999999999999993E-3</v>
      </c>
      <c r="G2155" s="78">
        <v>0</v>
      </c>
      <c r="H2155" s="71">
        <v>7.6</v>
      </c>
      <c r="I2155" s="71">
        <v>9.9</v>
      </c>
      <c r="J2155" s="71">
        <v>12.2</v>
      </c>
      <c r="K2155" s="106">
        <v>1.2199999999999999E-2</v>
      </c>
      <c r="L2155" s="80">
        <v>-0.01</v>
      </c>
      <c r="M2155" s="75" t="s">
        <v>143</v>
      </c>
      <c r="N2155" s="75" t="b">
        <v>1</v>
      </c>
      <c r="O2155" s="75" t="s">
        <v>144</v>
      </c>
      <c r="P2155" s="75">
        <v>1994</v>
      </c>
      <c r="Q2155" s="107">
        <f t="shared" si="53"/>
        <v>2013</v>
      </c>
      <c r="R2155" s="107">
        <v>2</v>
      </c>
      <c r="S2155" s="100">
        <v>213099</v>
      </c>
      <c r="T2155" s="101">
        <v>41591</v>
      </c>
    </row>
    <row r="2156" spans="1:20" x14ac:dyDescent="0.3">
      <c r="A2156" s="68">
        <v>41603</v>
      </c>
      <c r="B2156" s="69">
        <f t="shared" si="54"/>
        <v>20131125</v>
      </c>
      <c r="C2156" s="70">
        <v>0.03</v>
      </c>
      <c r="D2156" s="77">
        <v>6.0000000000000001E-3</v>
      </c>
      <c r="E2156" s="77">
        <v>8.0000000000000002E-3</v>
      </c>
      <c r="F2156" s="77">
        <v>8.9999999999999993E-3</v>
      </c>
      <c r="G2156" s="78">
        <v>0</v>
      </c>
      <c r="H2156" s="71">
        <v>7.6</v>
      </c>
      <c r="I2156" s="71">
        <v>9.9</v>
      </c>
      <c r="J2156" s="71">
        <v>12.2</v>
      </c>
      <c r="K2156" s="106">
        <v>1.21E-2</v>
      </c>
      <c r="L2156" s="80">
        <v>-0.01</v>
      </c>
      <c r="M2156" s="75" t="s">
        <v>143</v>
      </c>
      <c r="N2156" s="75" t="b">
        <v>1</v>
      </c>
      <c r="O2156" s="75" t="s">
        <v>144</v>
      </c>
      <c r="P2156" s="75">
        <v>1994</v>
      </c>
      <c r="Q2156" s="107">
        <f t="shared" si="53"/>
        <v>2013</v>
      </c>
      <c r="R2156" s="107">
        <v>2</v>
      </c>
      <c r="S2156" s="100">
        <v>213099</v>
      </c>
      <c r="T2156" s="101">
        <v>41591</v>
      </c>
    </row>
    <row r="2157" spans="1:20" x14ac:dyDescent="0.3">
      <c r="A2157" s="68">
        <v>41604</v>
      </c>
      <c r="B2157" s="69">
        <f t="shared" si="54"/>
        <v>20131126</v>
      </c>
      <c r="C2157" s="70">
        <v>2.9700000000000001E-2</v>
      </c>
      <c r="D2157" s="77">
        <v>6.0000000000000001E-3</v>
      </c>
      <c r="E2157" s="77">
        <v>8.0000000000000002E-3</v>
      </c>
      <c r="F2157" s="77">
        <v>8.9999999999999993E-3</v>
      </c>
      <c r="G2157" s="78">
        <v>0</v>
      </c>
      <c r="H2157" s="71">
        <v>7.6</v>
      </c>
      <c r="I2157" s="71">
        <v>9.9</v>
      </c>
      <c r="J2157" s="71">
        <v>12.2</v>
      </c>
      <c r="K2157" s="106">
        <v>1.18E-2</v>
      </c>
      <c r="L2157" s="80">
        <v>-0.01</v>
      </c>
      <c r="M2157" s="75" t="s">
        <v>143</v>
      </c>
      <c r="N2157" s="75" t="b">
        <v>1</v>
      </c>
      <c r="O2157" s="75" t="s">
        <v>144</v>
      </c>
      <c r="P2157" s="75">
        <v>1994</v>
      </c>
      <c r="Q2157" s="107">
        <f t="shared" si="53"/>
        <v>2013</v>
      </c>
      <c r="R2157" s="107">
        <v>2</v>
      </c>
      <c r="S2157" s="100">
        <v>213099</v>
      </c>
      <c r="T2157" s="101">
        <v>41591</v>
      </c>
    </row>
    <row r="2158" spans="1:20" x14ac:dyDescent="0.3">
      <c r="A2158" s="68">
        <v>41605</v>
      </c>
      <c r="B2158" s="69">
        <f t="shared" si="54"/>
        <v>20131127</v>
      </c>
      <c r="C2158" s="70">
        <v>3.0099999999999998E-2</v>
      </c>
      <c r="D2158" s="77">
        <v>6.0000000000000001E-3</v>
      </c>
      <c r="E2158" s="77">
        <v>8.0000000000000002E-3</v>
      </c>
      <c r="F2158" s="77">
        <v>8.9999999999999993E-3</v>
      </c>
      <c r="G2158" s="78">
        <v>0</v>
      </c>
      <c r="H2158" s="71">
        <v>7.6</v>
      </c>
      <c r="I2158" s="71">
        <v>9.9</v>
      </c>
      <c r="J2158" s="71">
        <v>12.2</v>
      </c>
      <c r="K2158" s="106">
        <v>1.18E-2</v>
      </c>
      <c r="L2158" s="80">
        <v>-0.01</v>
      </c>
      <c r="M2158" s="75" t="s">
        <v>143</v>
      </c>
      <c r="N2158" s="75" t="b">
        <v>1</v>
      </c>
      <c r="O2158" s="75" t="s">
        <v>144</v>
      </c>
      <c r="P2158" s="75">
        <v>1994</v>
      </c>
      <c r="Q2158" s="107">
        <f t="shared" ref="Q2158:Q2221" si="55">YEAR(A2158)</f>
        <v>2013</v>
      </c>
      <c r="R2158" s="107">
        <v>2</v>
      </c>
      <c r="S2158" s="100">
        <v>213099</v>
      </c>
      <c r="T2158" s="101">
        <v>41591</v>
      </c>
    </row>
    <row r="2159" spans="1:20" x14ac:dyDescent="0.3">
      <c r="A2159" s="68">
        <v>41606</v>
      </c>
      <c r="B2159" s="69">
        <f t="shared" si="54"/>
        <v>20131128</v>
      </c>
      <c r="C2159" s="70">
        <v>0.03</v>
      </c>
      <c r="D2159" s="77">
        <v>6.0000000000000001E-3</v>
      </c>
      <c r="E2159" s="77">
        <v>8.0000000000000002E-3</v>
      </c>
      <c r="F2159" s="77">
        <v>8.9999999999999993E-3</v>
      </c>
      <c r="G2159" s="78">
        <v>0</v>
      </c>
      <c r="H2159" s="71">
        <v>7.6</v>
      </c>
      <c r="I2159" s="71">
        <v>9.9</v>
      </c>
      <c r="J2159" s="71">
        <v>12.2</v>
      </c>
      <c r="K2159" s="106">
        <v>1.18E-2</v>
      </c>
      <c r="L2159" s="80">
        <v>-0.01</v>
      </c>
      <c r="M2159" s="75" t="s">
        <v>143</v>
      </c>
      <c r="N2159" s="75" t="b">
        <v>1</v>
      </c>
      <c r="O2159" s="75" t="s">
        <v>144</v>
      </c>
      <c r="P2159" s="75">
        <v>1994</v>
      </c>
      <c r="Q2159" s="107">
        <f t="shared" si="55"/>
        <v>2013</v>
      </c>
      <c r="R2159" s="107">
        <v>2</v>
      </c>
      <c r="S2159" s="100">
        <v>213099</v>
      </c>
      <c r="T2159" s="101">
        <v>41591</v>
      </c>
    </row>
    <row r="2160" spans="1:20" x14ac:dyDescent="0.3">
      <c r="A2160" s="68">
        <v>41607</v>
      </c>
      <c r="B2160" s="69">
        <f t="shared" si="54"/>
        <v>20131129</v>
      </c>
      <c r="C2160" s="70">
        <v>3.0099999999999998E-2</v>
      </c>
      <c r="D2160" s="77">
        <v>6.0000000000000001E-3</v>
      </c>
      <c r="E2160" s="77">
        <v>8.0000000000000002E-3</v>
      </c>
      <c r="F2160" s="77">
        <v>8.9999999999999993E-3</v>
      </c>
      <c r="G2160" s="78">
        <v>0</v>
      </c>
      <c r="H2160" s="71">
        <v>7.6</v>
      </c>
      <c r="I2160" s="71">
        <v>9.9</v>
      </c>
      <c r="J2160" s="71">
        <v>12.2</v>
      </c>
      <c r="K2160" s="106">
        <v>1.18E-2</v>
      </c>
      <c r="L2160" s="80">
        <v>-0.01</v>
      </c>
      <c r="M2160" s="75" t="s">
        <v>143</v>
      </c>
      <c r="N2160" s="75" t="b">
        <v>1</v>
      </c>
      <c r="O2160" s="75" t="s">
        <v>144</v>
      </c>
      <c r="P2160" s="75">
        <v>1994</v>
      </c>
      <c r="Q2160" s="107">
        <f t="shared" si="55"/>
        <v>2013</v>
      </c>
      <c r="R2160" s="107">
        <v>2</v>
      </c>
      <c r="S2160" s="100">
        <v>213099</v>
      </c>
      <c r="T2160" s="101">
        <v>41591</v>
      </c>
    </row>
    <row r="2161" spans="1:20" x14ac:dyDescent="0.3">
      <c r="A2161" s="68">
        <v>41608</v>
      </c>
      <c r="B2161" s="69">
        <f>YEAR(A2161)*10000+MONTH(A2161)*100+DAY(A2161)</f>
        <v>20131130</v>
      </c>
      <c r="C2161" s="70">
        <v>3.0099999999999998E-2</v>
      </c>
      <c r="D2161" s="77">
        <v>6.0000000000000001E-3</v>
      </c>
      <c r="E2161" s="77">
        <v>8.0000000000000002E-3</v>
      </c>
      <c r="F2161" s="77">
        <v>8.9999999999999993E-3</v>
      </c>
      <c r="G2161" s="78">
        <v>0</v>
      </c>
      <c r="H2161" s="71">
        <v>7.6</v>
      </c>
      <c r="I2161" s="71">
        <v>9.9</v>
      </c>
      <c r="J2161" s="71">
        <v>12.2</v>
      </c>
      <c r="K2161" s="106">
        <v>1.18E-2</v>
      </c>
      <c r="L2161" s="80">
        <v>-0.01</v>
      </c>
      <c r="M2161" s="75" t="s">
        <v>143</v>
      </c>
      <c r="N2161" s="75" t="b">
        <v>1</v>
      </c>
      <c r="O2161" s="75" t="s">
        <v>144</v>
      </c>
      <c r="P2161" s="75">
        <v>1994</v>
      </c>
      <c r="Q2161" s="107">
        <f t="shared" si="55"/>
        <v>2013</v>
      </c>
      <c r="R2161" s="107">
        <v>2</v>
      </c>
      <c r="S2161" s="100">
        <v>213099</v>
      </c>
      <c r="T2161" s="101">
        <v>41591</v>
      </c>
    </row>
    <row r="2162" spans="1:20" x14ac:dyDescent="0.3">
      <c r="A2162" s="68">
        <v>41609</v>
      </c>
      <c r="B2162" s="69">
        <f>YEAR(A2162)*10000+MONTH(A2162)*100+DAY(A2162)</f>
        <v>20131201</v>
      </c>
      <c r="C2162" s="70">
        <v>3.0099999999999998E-2</v>
      </c>
      <c r="D2162" s="77">
        <v>6.0000000000000001E-3</v>
      </c>
      <c r="E2162" s="77">
        <v>8.0000000000000002E-3</v>
      </c>
      <c r="F2162" s="77">
        <v>8.9999999999999993E-3</v>
      </c>
      <c r="G2162" s="78">
        <v>0</v>
      </c>
      <c r="H2162" s="71">
        <v>7.6</v>
      </c>
      <c r="I2162" s="71">
        <v>9.9</v>
      </c>
      <c r="J2162" s="71">
        <v>12.2</v>
      </c>
      <c r="K2162" s="106">
        <v>1.18E-2</v>
      </c>
      <c r="L2162" s="80">
        <v>-0.01</v>
      </c>
      <c r="M2162" s="75" t="s">
        <v>143</v>
      </c>
      <c r="N2162" s="75" t="b">
        <v>1</v>
      </c>
      <c r="O2162" s="75" t="s">
        <v>144</v>
      </c>
      <c r="P2162" s="75">
        <v>1994</v>
      </c>
      <c r="Q2162" s="107">
        <f t="shared" si="55"/>
        <v>2013</v>
      </c>
      <c r="R2162" s="107">
        <v>2</v>
      </c>
      <c r="S2162" s="100">
        <v>213099</v>
      </c>
      <c r="T2162" s="101">
        <v>41591</v>
      </c>
    </row>
    <row r="2163" spans="1:20" x14ac:dyDescent="0.3">
      <c r="A2163" s="68">
        <v>41610</v>
      </c>
      <c r="B2163" s="69">
        <f t="shared" ref="B2163:B2192" si="56">YEAR(A2163)*10000+MONTH(A2163)*100+DAY(A2163)</f>
        <v>20131202</v>
      </c>
      <c r="C2163" s="109">
        <v>3.0499999999999999E-2</v>
      </c>
      <c r="D2163" s="77">
        <v>6.0000000000000001E-3</v>
      </c>
      <c r="E2163" s="77">
        <v>8.0000000000000002E-3</v>
      </c>
      <c r="F2163" s="77">
        <v>8.9999999999999993E-3</v>
      </c>
      <c r="G2163" s="78">
        <v>0</v>
      </c>
      <c r="H2163" s="71">
        <v>7.6</v>
      </c>
      <c r="I2163" s="71">
        <v>9.9</v>
      </c>
      <c r="J2163" s="71">
        <v>12.2</v>
      </c>
      <c r="K2163" s="106">
        <v>1.2E-2</v>
      </c>
      <c r="L2163" s="80">
        <v>-0.01</v>
      </c>
      <c r="M2163" s="75" t="s">
        <v>143</v>
      </c>
      <c r="N2163" s="75" t="b">
        <v>1</v>
      </c>
      <c r="O2163" s="75" t="s">
        <v>144</v>
      </c>
      <c r="P2163" s="75">
        <v>1994</v>
      </c>
      <c r="Q2163" s="107">
        <f t="shared" si="55"/>
        <v>2013</v>
      </c>
      <c r="R2163" s="107">
        <v>2</v>
      </c>
      <c r="S2163" s="100">
        <v>213099</v>
      </c>
      <c r="T2163" s="101">
        <v>41591</v>
      </c>
    </row>
    <row r="2164" spans="1:20" x14ac:dyDescent="0.3">
      <c r="A2164" s="68">
        <v>41611</v>
      </c>
      <c r="B2164" s="69">
        <f t="shared" si="56"/>
        <v>20131203</v>
      </c>
      <c r="C2164" s="109">
        <v>3.04E-2</v>
      </c>
      <c r="D2164" s="77">
        <v>6.0000000000000001E-3</v>
      </c>
      <c r="E2164" s="77">
        <v>8.0000000000000002E-3</v>
      </c>
      <c r="F2164" s="77">
        <v>8.9999999999999993E-3</v>
      </c>
      <c r="G2164" s="78">
        <v>0</v>
      </c>
      <c r="H2164" s="71">
        <v>7.6</v>
      </c>
      <c r="I2164" s="71">
        <v>9.9</v>
      </c>
      <c r="J2164" s="71">
        <v>12.2</v>
      </c>
      <c r="K2164" s="106">
        <v>1.2E-2</v>
      </c>
      <c r="L2164" s="80">
        <v>-0.01</v>
      </c>
      <c r="M2164" s="75" t="s">
        <v>143</v>
      </c>
      <c r="N2164" s="75" t="b">
        <v>1</v>
      </c>
      <c r="O2164" s="75" t="s">
        <v>144</v>
      </c>
      <c r="P2164" s="75">
        <v>1994</v>
      </c>
      <c r="Q2164" s="107">
        <f t="shared" si="55"/>
        <v>2013</v>
      </c>
      <c r="R2164" s="107">
        <v>2</v>
      </c>
      <c r="S2164" s="100">
        <v>213099</v>
      </c>
      <c r="T2164" s="101">
        <v>41591</v>
      </c>
    </row>
    <row r="2165" spans="1:20" x14ac:dyDescent="0.3">
      <c r="A2165" s="68">
        <v>41612</v>
      </c>
      <c r="B2165" s="69">
        <f t="shared" si="56"/>
        <v>20131204</v>
      </c>
      <c r="C2165" s="109">
        <v>3.1099999999999999E-2</v>
      </c>
      <c r="D2165" s="77">
        <v>6.0000000000000001E-3</v>
      </c>
      <c r="E2165" s="77">
        <v>8.0000000000000002E-3</v>
      </c>
      <c r="F2165" s="77">
        <v>8.9999999999999993E-3</v>
      </c>
      <c r="G2165" s="78">
        <v>0</v>
      </c>
      <c r="H2165" s="71">
        <v>7.6</v>
      </c>
      <c r="I2165" s="71">
        <v>9.9</v>
      </c>
      <c r="J2165" s="71">
        <v>12.2</v>
      </c>
      <c r="K2165" s="106">
        <v>1.2800000000000001E-2</v>
      </c>
      <c r="L2165" s="80">
        <v>-0.01</v>
      </c>
      <c r="M2165" s="75" t="s">
        <v>143</v>
      </c>
      <c r="N2165" s="75" t="b">
        <v>1</v>
      </c>
      <c r="O2165" s="75" t="s">
        <v>144</v>
      </c>
      <c r="P2165" s="75">
        <v>1994</v>
      </c>
      <c r="Q2165" s="107">
        <f t="shared" si="55"/>
        <v>2013</v>
      </c>
      <c r="R2165" s="107">
        <v>2</v>
      </c>
      <c r="S2165" s="100">
        <v>213099</v>
      </c>
      <c r="T2165" s="101">
        <v>41591</v>
      </c>
    </row>
    <row r="2166" spans="1:20" x14ac:dyDescent="0.3">
      <c r="A2166" s="68">
        <v>41613</v>
      </c>
      <c r="B2166" s="69">
        <f t="shared" si="56"/>
        <v>20131205</v>
      </c>
      <c r="C2166" s="109">
        <v>3.1399999999999997E-2</v>
      </c>
      <c r="D2166" s="77">
        <v>6.0000000000000001E-3</v>
      </c>
      <c r="E2166" s="77">
        <v>8.0000000000000002E-3</v>
      </c>
      <c r="F2166" s="77">
        <v>8.9999999999999993E-3</v>
      </c>
      <c r="G2166" s="78">
        <v>0</v>
      </c>
      <c r="H2166" s="71">
        <v>7.6</v>
      </c>
      <c r="I2166" s="71">
        <v>9.9</v>
      </c>
      <c r="J2166" s="71">
        <v>12.2</v>
      </c>
      <c r="K2166" s="106">
        <v>1.3000000000000001E-2</v>
      </c>
      <c r="L2166" s="80">
        <v>-0.01</v>
      </c>
      <c r="M2166" s="75" t="s">
        <v>143</v>
      </c>
      <c r="N2166" s="75" t="b">
        <v>1</v>
      </c>
      <c r="O2166" s="75" t="s">
        <v>144</v>
      </c>
      <c r="P2166" s="75">
        <v>1994</v>
      </c>
      <c r="Q2166" s="107">
        <f t="shared" si="55"/>
        <v>2013</v>
      </c>
      <c r="R2166" s="107">
        <v>2</v>
      </c>
      <c r="S2166" s="100">
        <v>213099</v>
      </c>
      <c r="T2166" s="101">
        <v>41591</v>
      </c>
    </row>
    <row r="2167" spans="1:20" x14ac:dyDescent="0.3">
      <c r="A2167" s="68">
        <v>41614</v>
      </c>
      <c r="B2167" s="69">
        <f t="shared" si="56"/>
        <v>20131206</v>
      </c>
      <c r="C2167" s="109">
        <v>3.1399999999999997E-2</v>
      </c>
      <c r="D2167" s="77">
        <v>6.0000000000000001E-3</v>
      </c>
      <c r="E2167" s="77">
        <v>8.0000000000000002E-3</v>
      </c>
      <c r="F2167" s="77">
        <v>8.9999999999999993E-3</v>
      </c>
      <c r="G2167" s="78">
        <v>0</v>
      </c>
      <c r="H2167" s="71">
        <v>7.6</v>
      </c>
      <c r="I2167" s="71">
        <v>9.9</v>
      </c>
      <c r="J2167" s="71">
        <v>12.2</v>
      </c>
      <c r="K2167" s="106">
        <v>1.3000000000000001E-2</v>
      </c>
      <c r="L2167" s="80">
        <v>-0.01</v>
      </c>
      <c r="M2167" s="75" t="s">
        <v>143</v>
      </c>
      <c r="N2167" s="75" t="b">
        <v>1</v>
      </c>
      <c r="O2167" s="75" t="s">
        <v>144</v>
      </c>
      <c r="P2167" s="75">
        <v>1994</v>
      </c>
      <c r="Q2167" s="107">
        <f t="shared" si="55"/>
        <v>2013</v>
      </c>
      <c r="R2167" s="107">
        <v>2</v>
      </c>
      <c r="S2167" s="100">
        <v>213099</v>
      </c>
      <c r="T2167" s="101">
        <v>41591</v>
      </c>
    </row>
    <row r="2168" spans="1:20" x14ac:dyDescent="0.3">
      <c r="A2168" s="68">
        <v>41615</v>
      </c>
      <c r="B2168" s="69">
        <f t="shared" si="56"/>
        <v>20131207</v>
      </c>
      <c r="C2168" s="109">
        <v>3.1399999999999997E-2</v>
      </c>
      <c r="D2168" s="77">
        <v>6.0000000000000001E-3</v>
      </c>
      <c r="E2168" s="77">
        <v>8.0000000000000002E-3</v>
      </c>
      <c r="F2168" s="77">
        <v>8.9999999999999993E-3</v>
      </c>
      <c r="G2168" s="78">
        <v>0</v>
      </c>
      <c r="H2168" s="71">
        <v>7.6</v>
      </c>
      <c r="I2168" s="71">
        <v>9.9</v>
      </c>
      <c r="J2168" s="71">
        <v>12.2</v>
      </c>
      <c r="K2168" s="106">
        <v>1.3000000000000001E-2</v>
      </c>
      <c r="L2168" s="80">
        <v>-0.01</v>
      </c>
      <c r="M2168" s="75" t="s">
        <v>143</v>
      </c>
      <c r="N2168" s="75" t="b">
        <v>1</v>
      </c>
      <c r="O2168" s="75" t="s">
        <v>144</v>
      </c>
      <c r="P2168" s="75">
        <v>1994</v>
      </c>
      <c r="Q2168" s="107">
        <f t="shared" si="55"/>
        <v>2013</v>
      </c>
      <c r="R2168" s="107">
        <v>2</v>
      </c>
      <c r="S2168" s="100">
        <v>213099</v>
      </c>
      <c r="T2168" s="101">
        <v>41591</v>
      </c>
    </row>
    <row r="2169" spans="1:20" x14ac:dyDescent="0.3">
      <c r="A2169" s="68">
        <v>41616</v>
      </c>
      <c r="B2169" s="69">
        <f t="shared" si="56"/>
        <v>20131208</v>
      </c>
      <c r="C2169" s="109">
        <v>3.1399999999999997E-2</v>
      </c>
      <c r="D2169" s="77">
        <v>6.0000000000000001E-3</v>
      </c>
      <c r="E2169" s="77">
        <v>8.0000000000000002E-3</v>
      </c>
      <c r="F2169" s="77">
        <v>8.9999999999999993E-3</v>
      </c>
      <c r="G2169" s="78">
        <v>0</v>
      </c>
      <c r="H2169" s="71">
        <v>7.6</v>
      </c>
      <c r="I2169" s="71">
        <v>9.9</v>
      </c>
      <c r="J2169" s="71">
        <v>12.2</v>
      </c>
      <c r="K2169" s="106">
        <v>1.3000000000000001E-2</v>
      </c>
      <c r="L2169" s="80">
        <v>-0.01</v>
      </c>
      <c r="M2169" s="75" t="s">
        <v>143</v>
      </c>
      <c r="N2169" s="75" t="b">
        <v>1</v>
      </c>
      <c r="O2169" s="75" t="s">
        <v>144</v>
      </c>
      <c r="P2169" s="75">
        <v>1994</v>
      </c>
      <c r="Q2169" s="107">
        <f t="shared" si="55"/>
        <v>2013</v>
      </c>
      <c r="R2169" s="107">
        <v>2</v>
      </c>
      <c r="S2169" s="100">
        <v>213099</v>
      </c>
      <c r="T2169" s="101">
        <v>41591</v>
      </c>
    </row>
    <row r="2170" spans="1:20" x14ac:dyDescent="0.3">
      <c r="A2170" s="68">
        <v>41617</v>
      </c>
      <c r="B2170" s="69">
        <f t="shared" si="56"/>
        <v>20131209</v>
      </c>
      <c r="C2170" s="109">
        <v>3.1099999999999999E-2</v>
      </c>
      <c r="D2170" s="77">
        <v>6.0000000000000001E-3</v>
      </c>
      <c r="E2170" s="77">
        <v>8.0000000000000002E-3</v>
      </c>
      <c r="F2170" s="77">
        <v>8.9999999999999993E-3</v>
      </c>
      <c r="G2170" s="78">
        <v>0</v>
      </c>
      <c r="H2170" s="71">
        <v>7.6</v>
      </c>
      <c r="I2170" s="71">
        <v>9.9</v>
      </c>
      <c r="J2170" s="71">
        <v>12.2</v>
      </c>
      <c r="K2170" s="106">
        <v>1.2699999999999999E-2</v>
      </c>
      <c r="L2170" s="80">
        <v>-0.01</v>
      </c>
      <c r="M2170" s="75" t="s">
        <v>143</v>
      </c>
      <c r="N2170" s="75" t="b">
        <v>1</v>
      </c>
      <c r="O2170" s="75" t="s">
        <v>144</v>
      </c>
      <c r="P2170" s="75">
        <v>1994</v>
      </c>
      <c r="Q2170" s="107">
        <f t="shared" si="55"/>
        <v>2013</v>
      </c>
      <c r="R2170" s="107">
        <v>2</v>
      </c>
      <c r="S2170" s="100">
        <v>213099</v>
      </c>
      <c r="T2170" s="101">
        <v>41591</v>
      </c>
    </row>
    <row r="2171" spans="1:20" x14ac:dyDescent="0.3">
      <c r="A2171" s="68">
        <v>41618</v>
      </c>
      <c r="B2171" s="69">
        <f t="shared" si="56"/>
        <v>20131210</v>
      </c>
      <c r="C2171" s="109">
        <v>3.04E-2</v>
      </c>
      <c r="D2171" s="77">
        <v>6.0000000000000001E-3</v>
      </c>
      <c r="E2171" s="77">
        <v>8.0000000000000002E-3</v>
      </c>
      <c r="F2171" s="77">
        <v>8.9999999999999993E-3</v>
      </c>
      <c r="G2171" s="78">
        <v>0</v>
      </c>
      <c r="H2171" s="71">
        <v>7.6</v>
      </c>
      <c r="I2171" s="71">
        <v>9.9</v>
      </c>
      <c r="J2171" s="71">
        <v>12.2</v>
      </c>
      <c r="K2171" s="106">
        <v>1.1899999999999999E-2</v>
      </c>
      <c r="L2171" s="80">
        <v>-0.01</v>
      </c>
      <c r="M2171" s="75" t="s">
        <v>143</v>
      </c>
      <c r="N2171" s="75" t="b">
        <v>1</v>
      </c>
      <c r="O2171" s="75" t="s">
        <v>144</v>
      </c>
      <c r="P2171" s="75">
        <v>1994</v>
      </c>
      <c r="Q2171" s="107">
        <f t="shared" si="55"/>
        <v>2013</v>
      </c>
      <c r="R2171" s="107">
        <v>2</v>
      </c>
      <c r="S2171" s="100">
        <v>213099</v>
      </c>
      <c r="T2171" s="101">
        <v>41591</v>
      </c>
    </row>
    <row r="2172" spans="1:20" x14ac:dyDescent="0.3">
      <c r="A2172" s="68">
        <v>41619</v>
      </c>
      <c r="B2172" s="69">
        <f t="shared" si="56"/>
        <v>20131211</v>
      </c>
      <c r="C2172" s="109">
        <v>3.0800000000000001E-2</v>
      </c>
      <c r="D2172" s="77">
        <v>6.0000000000000001E-3</v>
      </c>
      <c r="E2172" s="77">
        <v>8.0000000000000002E-3</v>
      </c>
      <c r="F2172" s="77">
        <v>8.9999999999999993E-3</v>
      </c>
      <c r="G2172" s="78">
        <v>0</v>
      </c>
      <c r="H2172" s="71">
        <v>7.6</v>
      </c>
      <c r="I2172" s="71">
        <v>9.9</v>
      </c>
      <c r="J2172" s="71">
        <v>12.2</v>
      </c>
      <c r="K2172" s="106">
        <v>1.23E-2</v>
      </c>
      <c r="L2172" s="80">
        <v>-0.01</v>
      </c>
      <c r="M2172" s="75" t="s">
        <v>143</v>
      </c>
      <c r="N2172" s="75" t="b">
        <v>1</v>
      </c>
      <c r="O2172" s="75" t="s">
        <v>144</v>
      </c>
      <c r="P2172" s="75">
        <v>1994</v>
      </c>
      <c r="Q2172" s="107">
        <f t="shared" si="55"/>
        <v>2013</v>
      </c>
      <c r="R2172" s="107">
        <v>2</v>
      </c>
      <c r="S2172" s="100">
        <v>213099</v>
      </c>
      <c r="T2172" s="101">
        <v>41591</v>
      </c>
    </row>
    <row r="2173" spans="1:20" x14ac:dyDescent="0.3">
      <c r="A2173" s="68">
        <v>41620</v>
      </c>
      <c r="B2173" s="69">
        <f t="shared" si="56"/>
        <v>20131212</v>
      </c>
      <c r="C2173" s="109">
        <v>3.09E-2</v>
      </c>
      <c r="D2173" s="77">
        <v>6.0000000000000001E-3</v>
      </c>
      <c r="E2173" s="77">
        <v>8.0000000000000002E-3</v>
      </c>
      <c r="F2173" s="77">
        <v>8.9999999999999993E-3</v>
      </c>
      <c r="G2173" s="78">
        <v>0</v>
      </c>
      <c r="H2173" s="71">
        <v>7.6</v>
      </c>
      <c r="I2173" s="71">
        <v>9.9</v>
      </c>
      <c r="J2173" s="71">
        <v>12.2</v>
      </c>
      <c r="K2173" s="106">
        <v>1.23E-2</v>
      </c>
      <c r="L2173" s="80">
        <v>-0.01</v>
      </c>
      <c r="M2173" s="75" t="s">
        <v>143</v>
      </c>
      <c r="N2173" s="75" t="b">
        <v>1</v>
      </c>
      <c r="O2173" s="75" t="s">
        <v>144</v>
      </c>
      <c r="P2173" s="75">
        <v>1994</v>
      </c>
      <c r="Q2173" s="107">
        <f t="shared" si="55"/>
        <v>2013</v>
      </c>
      <c r="R2173" s="107">
        <v>2</v>
      </c>
      <c r="S2173" s="100">
        <v>213099</v>
      </c>
      <c r="T2173" s="101">
        <v>41591</v>
      </c>
    </row>
    <row r="2174" spans="1:20" x14ac:dyDescent="0.3">
      <c r="A2174" s="68">
        <v>41621</v>
      </c>
      <c r="B2174" s="69">
        <f t="shared" si="56"/>
        <v>20131213</v>
      </c>
      <c r="C2174" s="109">
        <v>3.0800000000000001E-2</v>
      </c>
      <c r="D2174" s="77">
        <v>6.0000000000000001E-3</v>
      </c>
      <c r="E2174" s="77">
        <v>8.0000000000000002E-3</v>
      </c>
      <c r="F2174" s="77">
        <v>8.9999999999999993E-3</v>
      </c>
      <c r="G2174" s="78">
        <v>0</v>
      </c>
      <c r="H2174" s="71">
        <v>7.6</v>
      </c>
      <c r="I2174" s="71">
        <v>9.9</v>
      </c>
      <c r="J2174" s="71">
        <v>12.2</v>
      </c>
      <c r="K2174" s="106">
        <v>1.2199999999999999E-2</v>
      </c>
      <c r="L2174" s="80">
        <v>-0.01</v>
      </c>
      <c r="M2174" s="75" t="s">
        <v>143</v>
      </c>
      <c r="N2174" s="75" t="b">
        <v>1</v>
      </c>
      <c r="O2174" s="75" t="s">
        <v>144</v>
      </c>
      <c r="P2174" s="75">
        <v>1994</v>
      </c>
      <c r="Q2174" s="107">
        <f t="shared" si="55"/>
        <v>2013</v>
      </c>
      <c r="R2174" s="107">
        <v>2</v>
      </c>
      <c r="S2174" s="100">
        <v>213099</v>
      </c>
      <c r="T2174" s="101">
        <v>41591</v>
      </c>
    </row>
    <row r="2175" spans="1:20" x14ac:dyDescent="0.3">
      <c r="A2175" s="68">
        <v>41622</v>
      </c>
      <c r="B2175" s="69">
        <f>YEAR(A2175)*10000+MONTH(A2175)*100+DAY(A2175)</f>
        <v>20131214</v>
      </c>
      <c r="C2175" s="109">
        <v>3.0800000000000001E-2</v>
      </c>
      <c r="D2175" s="77">
        <v>6.0000000000000001E-3</v>
      </c>
      <c r="E2175" s="77">
        <v>8.0000000000000002E-3</v>
      </c>
      <c r="F2175" s="77">
        <v>8.9999999999999993E-3</v>
      </c>
      <c r="G2175" s="78">
        <v>0</v>
      </c>
      <c r="H2175" s="71">
        <v>7.6</v>
      </c>
      <c r="I2175" s="71">
        <v>9.9</v>
      </c>
      <c r="J2175" s="71">
        <v>12.2</v>
      </c>
      <c r="K2175" s="106">
        <v>1.2199999999999999E-2</v>
      </c>
      <c r="L2175" s="80">
        <v>-0.01</v>
      </c>
      <c r="M2175" s="75" t="s">
        <v>143</v>
      </c>
      <c r="N2175" s="75" t="b">
        <v>1</v>
      </c>
      <c r="O2175" s="75" t="s">
        <v>144</v>
      </c>
      <c r="P2175" s="75">
        <v>1994</v>
      </c>
      <c r="Q2175" s="107">
        <f t="shared" si="55"/>
        <v>2013</v>
      </c>
      <c r="R2175" s="107">
        <v>2</v>
      </c>
      <c r="S2175" s="100">
        <v>213099</v>
      </c>
      <c r="T2175" s="101">
        <v>41591</v>
      </c>
    </row>
    <row r="2176" spans="1:20" x14ac:dyDescent="0.3">
      <c r="A2176" s="68">
        <v>41623</v>
      </c>
      <c r="B2176" s="69">
        <f>YEAR(A2176)*10000+MONTH(A2176)*100+DAY(A2176)</f>
        <v>20131215</v>
      </c>
      <c r="C2176" s="109">
        <v>3.0800000000000001E-2</v>
      </c>
      <c r="D2176" s="77">
        <v>6.0000000000000001E-3</v>
      </c>
      <c r="E2176" s="77">
        <v>8.0000000000000002E-3</v>
      </c>
      <c r="F2176" s="77">
        <v>8.9999999999999993E-3</v>
      </c>
      <c r="G2176" s="78">
        <v>0</v>
      </c>
      <c r="H2176" s="71">
        <v>7.6</v>
      </c>
      <c r="I2176" s="71">
        <v>9.9</v>
      </c>
      <c r="J2176" s="71">
        <v>12.2</v>
      </c>
      <c r="K2176" s="106">
        <v>1.2199999999999999E-2</v>
      </c>
      <c r="L2176" s="80">
        <v>-0.01</v>
      </c>
      <c r="M2176" s="75" t="s">
        <v>143</v>
      </c>
      <c r="N2176" s="75" t="b">
        <v>1</v>
      </c>
      <c r="O2176" s="75" t="s">
        <v>144</v>
      </c>
      <c r="P2176" s="75">
        <v>1994</v>
      </c>
      <c r="Q2176" s="107">
        <f t="shared" si="55"/>
        <v>2013</v>
      </c>
      <c r="R2176" s="107">
        <v>2</v>
      </c>
      <c r="S2176" s="100">
        <v>213099</v>
      </c>
      <c r="T2176" s="101">
        <v>41591</v>
      </c>
    </row>
    <row r="2177" spans="1:21" x14ac:dyDescent="0.3">
      <c r="A2177" s="68">
        <v>41624</v>
      </c>
      <c r="B2177" s="69">
        <f t="shared" si="56"/>
        <v>20131216</v>
      </c>
      <c r="C2177" s="109">
        <v>3.0899999999999997E-2</v>
      </c>
      <c r="D2177" s="77">
        <v>6.0000000000000001E-3</v>
      </c>
      <c r="E2177" s="77">
        <v>8.0000000000000002E-3</v>
      </c>
      <c r="F2177" s="77">
        <v>8.9999999999999993E-3</v>
      </c>
      <c r="G2177" s="78">
        <v>0</v>
      </c>
      <c r="H2177" s="71">
        <v>7.6</v>
      </c>
      <c r="I2177" s="71">
        <v>9.9</v>
      </c>
      <c r="J2177" s="71">
        <v>12.2</v>
      </c>
      <c r="K2177" s="106">
        <v>1.23E-2</v>
      </c>
      <c r="L2177" s="80">
        <v>-0.01</v>
      </c>
      <c r="M2177" s="75" t="s">
        <v>143</v>
      </c>
      <c r="N2177" s="75" t="b">
        <v>1</v>
      </c>
      <c r="O2177" s="75" t="s">
        <v>144</v>
      </c>
      <c r="P2177" s="75">
        <v>1994</v>
      </c>
      <c r="Q2177" s="107">
        <f t="shared" si="55"/>
        <v>2013</v>
      </c>
      <c r="R2177" s="107">
        <v>2</v>
      </c>
      <c r="S2177" s="100">
        <v>213099</v>
      </c>
      <c r="T2177" s="101">
        <v>41591</v>
      </c>
    </row>
    <row r="2178" spans="1:21" x14ac:dyDescent="0.3">
      <c r="A2178" s="68">
        <v>41625</v>
      </c>
      <c r="B2178" s="69">
        <f t="shared" si="56"/>
        <v>20131217</v>
      </c>
      <c r="C2178" s="109">
        <v>3.0699999999999998E-2</v>
      </c>
      <c r="D2178" s="77">
        <v>6.0000000000000001E-3</v>
      </c>
      <c r="E2178" s="77">
        <v>8.0000000000000002E-3</v>
      </c>
      <c r="F2178" s="77">
        <v>8.9999999999999993E-3</v>
      </c>
      <c r="G2178" s="78">
        <v>0</v>
      </c>
      <c r="H2178" s="71">
        <v>7.6</v>
      </c>
      <c r="I2178" s="71">
        <v>9.9</v>
      </c>
      <c r="J2178" s="71">
        <v>12.2</v>
      </c>
      <c r="K2178" s="106">
        <v>1.21E-2</v>
      </c>
      <c r="L2178" s="80">
        <v>-0.01</v>
      </c>
      <c r="M2178" s="75" t="s">
        <v>143</v>
      </c>
      <c r="N2178" s="75" t="b">
        <v>1</v>
      </c>
      <c r="O2178" s="75" t="s">
        <v>144</v>
      </c>
      <c r="P2178" s="75">
        <v>1994</v>
      </c>
      <c r="Q2178" s="107">
        <f t="shared" si="55"/>
        <v>2013</v>
      </c>
      <c r="R2178" s="107">
        <v>2</v>
      </c>
      <c r="S2178" s="100">
        <v>213099</v>
      </c>
      <c r="T2178" s="101">
        <v>41591</v>
      </c>
    </row>
    <row r="2179" spans="1:21" x14ac:dyDescent="0.3">
      <c r="A2179" s="68">
        <v>41626</v>
      </c>
      <c r="B2179" s="69">
        <f t="shared" si="56"/>
        <v>20131218</v>
      </c>
      <c r="C2179" s="109">
        <v>3.1E-2</v>
      </c>
      <c r="D2179" s="77">
        <v>6.0000000000000001E-3</v>
      </c>
      <c r="E2179" s="77">
        <v>8.0000000000000002E-3</v>
      </c>
      <c r="F2179" s="77">
        <v>8.9999999999999993E-3</v>
      </c>
      <c r="G2179" s="78">
        <v>0</v>
      </c>
      <c r="H2179" s="71">
        <v>7.6</v>
      </c>
      <c r="I2179" s="71">
        <v>9.9</v>
      </c>
      <c r="J2179" s="71">
        <v>12.2</v>
      </c>
      <c r="K2179" s="106">
        <v>1.23E-2</v>
      </c>
      <c r="L2179" s="80">
        <v>-0.01</v>
      </c>
      <c r="M2179" s="75" t="s">
        <v>143</v>
      </c>
      <c r="N2179" s="75" t="b">
        <v>1</v>
      </c>
      <c r="O2179" s="75" t="s">
        <v>144</v>
      </c>
      <c r="P2179" s="75">
        <v>1994</v>
      </c>
      <c r="Q2179" s="107">
        <f t="shared" si="55"/>
        <v>2013</v>
      </c>
      <c r="R2179" s="107">
        <v>2</v>
      </c>
      <c r="S2179" s="100">
        <v>213099</v>
      </c>
      <c r="T2179" s="101">
        <v>41591</v>
      </c>
    </row>
    <row r="2180" spans="1:21" x14ac:dyDescent="0.3">
      <c r="A2180" s="68">
        <v>41627</v>
      </c>
      <c r="B2180" s="69">
        <f t="shared" si="56"/>
        <v>20131219</v>
      </c>
      <c r="C2180" s="109">
        <v>3.1E-2</v>
      </c>
      <c r="D2180" s="77">
        <v>6.0000000000000001E-3</v>
      </c>
      <c r="E2180" s="77">
        <v>8.0000000000000002E-3</v>
      </c>
      <c r="F2180" s="77">
        <v>8.9999999999999993E-3</v>
      </c>
      <c r="G2180" s="78">
        <v>0</v>
      </c>
      <c r="H2180" s="71">
        <v>7.6</v>
      </c>
      <c r="I2180" s="71">
        <v>9.9</v>
      </c>
      <c r="J2180" s="71">
        <v>12.2</v>
      </c>
      <c r="K2180" s="106">
        <v>1.23E-2</v>
      </c>
      <c r="L2180" s="80">
        <v>-0.01</v>
      </c>
      <c r="M2180" s="75" t="s">
        <v>143</v>
      </c>
      <c r="N2180" s="75" t="b">
        <v>1</v>
      </c>
      <c r="O2180" s="75" t="s">
        <v>144</v>
      </c>
      <c r="P2180" s="75">
        <v>1994</v>
      </c>
      <c r="Q2180" s="107">
        <f t="shared" si="55"/>
        <v>2013</v>
      </c>
      <c r="R2180" s="107">
        <v>2</v>
      </c>
      <c r="S2180" s="100">
        <v>213099</v>
      </c>
      <c r="T2180" s="101">
        <v>41591</v>
      </c>
    </row>
    <row r="2181" spans="1:21" x14ac:dyDescent="0.3">
      <c r="A2181" s="68">
        <v>41628</v>
      </c>
      <c r="B2181" s="69">
        <f t="shared" si="56"/>
        <v>20131220</v>
      </c>
      <c r="C2181" s="109">
        <v>3.0699999999999998E-2</v>
      </c>
      <c r="D2181" s="77">
        <v>6.0000000000000001E-3</v>
      </c>
      <c r="E2181" s="77">
        <v>8.0000000000000002E-3</v>
      </c>
      <c r="F2181" s="77">
        <v>8.9999999999999993E-3</v>
      </c>
      <c r="G2181" s="78">
        <v>0</v>
      </c>
      <c r="H2181" s="71">
        <v>7.6</v>
      </c>
      <c r="I2181" s="71">
        <v>9.9</v>
      </c>
      <c r="J2181" s="71">
        <v>12.2</v>
      </c>
      <c r="K2181" s="106">
        <v>1.21E-2</v>
      </c>
      <c r="L2181" s="80">
        <v>-0.01</v>
      </c>
      <c r="M2181" s="75" t="s">
        <v>143</v>
      </c>
      <c r="N2181" s="75" t="b">
        <v>1</v>
      </c>
      <c r="O2181" s="75" t="s">
        <v>144</v>
      </c>
      <c r="P2181" s="75">
        <v>1994</v>
      </c>
      <c r="Q2181" s="107">
        <f t="shared" si="55"/>
        <v>2013</v>
      </c>
      <c r="R2181" s="107">
        <v>2</v>
      </c>
      <c r="S2181" s="100">
        <v>213099</v>
      </c>
      <c r="T2181" s="101">
        <v>41591</v>
      </c>
    </row>
    <row r="2182" spans="1:21" x14ac:dyDescent="0.3">
      <c r="A2182" s="68">
        <v>41629</v>
      </c>
      <c r="B2182" s="69">
        <f>YEAR(A2182)*10000+MONTH(A2182)*100+DAY(A2182)</f>
        <v>20131221</v>
      </c>
      <c r="C2182" s="109">
        <v>3.0699999999999998E-2</v>
      </c>
      <c r="D2182" s="77">
        <v>6.0000000000000001E-3</v>
      </c>
      <c r="E2182" s="77">
        <v>8.0000000000000002E-3</v>
      </c>
      <c r="F2182" s="77">
        <v>8.9999999999999993E-3</v>
      </c>
      <c r="G2182" s="78">
        <v>0</v>
      </c>
      <c r="H2182" s="71">
        <v>7.6</v>
      </c>
      <c r="I2182" s="71">
        <v>9.9</v>
      </c>
      <c r="J2182" s="71">
        <v>12.2</v>
      </c>
      <c r="K2182" s="106">
        <v>1.21E-2</v>
      </c>
      <c r="L2182" s="80">
        <v>-0.01</v>
      </c>
      <c r="M2182" s="75" t="s">
        <v>143</v>
      </c>
      <c r="N2182" s="75" t="b">
        <v>1</v>
      </c>
      <c r="O2182" s="75" t="s">
        <v>144</v>
      </c>
      <c r="P2182" s="75">
        <v>1994</v>
      </c>
      <c r="Q2182" s="107">
        <f t="shared" si="55"/>
        <v>2013</v>
      </c>
      <c r="R2182" s="107">
        <v>2</v>
      </c>
      <c r="S2182" s="100">
        <v>213099</v>
      </c>
      <c r="T2182" s="101">
        <v>41591</v>
      </c>
    </row>
    <row r="2183" spans="1:21" x14ac:dyDescent="0.3">
      <c r="A2183" s="68">
        <v>41630</v>
      </c>
      <c r="B2183" s="69">
        <f>YEAR(A2183)*10000+MONTH(A2183)*100+DAY(A2183)</f>
        <v>20131222</v>
      </c>
      <c r="C2183" s="109">
        <v>3.0699999999999998E-2</v>
      </c>
      <c r="D2183" s="77">
        <v>6.0000000000000001E-3</v>
      </c>
      <c r="E2183" s="77">
        <v>8.0000000000000002E-3</v>
      </c>
      <c r="F2183" s="77">
        <v>8.9999999999999993E-3</v>
      </c>
      <c r="G2183" s="78">
        <v>0</v>
      </c>
      <c r="H2183" s="71">
        <v>7.6</v>
      </c>
      <c r="I2183" s="71">
        <v>9.9</v>
      </c>
      <c r="J2183" s="71">
        <v>12.2</v>
      </c>
      <c r="K2183" s="106">
        <v>1.21E-2</v>
      </c>
      <c r="L2183" s="80">
        <v>-0.01</v>
      </c>
      <c r="M2183" s="75" t="s">
        <v>143</v>
      </c>
      <c r="N2183" s="75" t="b">
        <v>1</v>
      </c>
      <c r="O2183" s="75" t="s">
        <v>144</v>
      </c>
      <c r="P2183" s="75">
        <v>1994</v>
      </c>
      <c r="Q2183" s="107">
        <f t="shared" si="55"/>
        <v>2013</v>
      </c>
      <c r="R2183" s="107">
        <v>2</v>
      </c>
      <c r="S2183" s="100">
        <v>213099</v>
      </c>
      <c r="T2183" s="101">
        <v>41591</v>
      </c>
    </row>
    <row r="2184" spans="1:21" x14ac:dyDescent="0.3">
      <c r="A2184" s="68">
        <v>41631</v>
      </c>
      <c r="B2184" s="69">
        <f t="shared" si="56"/>
        <v>20131223</v>
      </c>
      <c r="C2184" s="109">
        <v>3.0699999999999998E-2</v>
      </c>
      <c r="D2184" s="77">
        <v>6.0000000000000001E-3</v>
      </c>
      <c r="E2184" s="77">
        <v>8.0000000000000002E-3</v>
      </c>
      <c r="F2184" s="77">
        <v>8.9999999999999993E-3</v>
      </c>
      <c r="G2184" s="78">
        <v>0</v>
      </c>
      <c r="H2184" s="71">
        <v>7.6</v>
      </c>
      <c r="I2184" s="71">
        <v>9.9</v>
      </c>
      <c r="J2184" s="71">
        <v>12.2</v>
      </c>
      <c r="K2184" s="106">
        <v>1.21E-2</v>
      </c>
      <c r="L2184" s="80">
        <v>-0.01</v>
      </c>
      <c r="M2184" s="75" t="s">
        <v>143</v>
      </c>
      <c r="N2184" s="75" t="b">
        <v>1</v>
      </c>
      <c r="O2184" s="75" t="s">
        <v>144</v>
      </c>
      <c r="P2184" s="75">
        <v>1994</v>
      </c>
      <c r="Q2184" s="107">
        <f t="shared" si="55"/>
        <v>2013</v>
      </c>
      <c r="R2184" s="107">
        <v>2</v>
      </c>
      <c r="S2184" s="100">
        <v>213099</v>
      </c>
      <c r="T2184" s="101">
        <v>41591</v>
      </c>
    </row>
    <row r="2185" spans="1:21" x14ac:dyDescent="0.3">
      <c r="A2185" s="68">
        <v>41632</v>
      </c>
      <c r="B2185" s="69">
        <f t="shared" si="56"/>
        <v>20131224</v>
      </c>
      <c r="C2185" s="109">
        <v>3.0899999999999997E-2</v>
      </c>
      <c r="D2185" s="77">
        <v>6.0000000000000001E-3</v>
      </c>
      <c r="E2185" s="77">
        <v>8.0000000000000002E-3</v>
      </c>
      <c r="F2185" s="77">
        <v>8.9999999999999993E-3</v>
      </c>
      <c r="G2185" s="78">
        <v>0</v>
      </c>
      <c r="H2185" s="71">
        <v>7.6</v>
      </c>
      <c r="I2185" s="71">
        <v>9.9</v>
      </c>
      <c r="J2185" s="71">
        <v>12.2</v>
      </c>
      <c r="K2185" s="106">
        <v>1.2199999999999999E-2</v>
      </c>
      <c r="L2185" s="80">
        <v>-0.01</v>
      </c>
      <c r="M2185" s="75" t="s">
        <v>143</v>
      </c>
      <c r="N2185" s="75" t="b">
        <v>1</v>
      </c>
      <c r="O2185" s="75" t="s">
        <v>144</v>
      </c>
      <c r="P2185" s="75">
        <v>1994</v>
      </c>
      <c r="Q2185" s="107">
        <f t="shared" si="55"/>
        <v>2013</v>
      </c>
      <c r="R2185" s="107">
        <v>2</v>
      </c>
      <c r="S2185" s="100">
        <v>213099</v>
      </c>
      <c r="T2185" s="101">
        <v>41591</v>
      </c>
    </row>
    <row r="2186" spans="1:21" x14ac:dyDescent="0.3">
      <c r="A2186" s="68">
        <v>41633</v>
      </c>
      <c r="B2186" s="69">
        <f t="shared" si="56"/>
        <v>20131225</v>
      </c>
      <c r="C2186" s="109">
        <v>3.0899999999999997E-2</v>
      </c>
      <c r="D2186" s="77">
        <v>6.0000000000000001E-3</v>
      </c>
      <c r="E2186" s="77">
        <v>8.0000000000000002E-3</v>
      </c>
      <c r="F2186" s="77">
        <v>8.9999999999999993E-3</v>
      </c>
      <c r="G2186" s="78">
        <v>0</v>
      </c>
      <c r="H2186" s="71">
        <v>7.6</v>
      </c>
      <c r="I2186" s="71">
        <v>9.9</v>
      </c>
      <c r="J2186" s="71">
        <v>12.2</v>
      </c>
      <c r="K2186" s="106">
        <v>1.2199999999999999E-2</v>
      </c>
      <c r="L2186" s="80">
        <v>-0.01</v>
      </c>
      <c r="M2186" s="75" t="s">
        <v>143</v>
      </c>
      <c r="N2186" s="75" t="b">
        <v>1</v>
      </c>
      <c r="O2186" s="75" t="s">
        <v>144</v>
      </c>
      <c r="P2186" s="75">
        <v>1994</v>
      </c>
      <c r="Q2186" s="107">
        <f t="shared" si="55"/>
        <v>2013</v>
      </c>
      <c r="R2186" s="107">
        <v>2</v>
      </c>
      <c r="S2186" s="100">
        <v>213099</v>
      </c>
      <c r="T2186" s="101">
        <v>41591</v>
      </c>
    </row>
    <row r="2187" spans="1:21" x14ac:dyDescent="0.3">
      <c r="A2187" s="68">
        <v>41634</v>
      </c>
      <c r="B2187" s="69">
        <f t="shared" si="56"/>
        <v>20131226</v>
      </c>
      <c r="C2187" s="109">
        <v>3.0899999999999997E-2</v>
      </c>
      <c r="D2187" s="77">
        <v>6.0000000000000001E-3</v>
      </c>
      <c r="E2187" s="77">
        <v>8.0000000000000002E-3</v>
      </c>
      <c r="F2187" s="77">
        <v>8.9999999999999993E-3</v>
      </c>
      <c r="G2187" s="78">
        <v>0</v>
      </c>
      <c r="H2187" s="71">
        <v>7.6</v>
      </c>
      <c r="I2187" s="71">
        <v>9.9</v>
      </c>
      <c r="J2187" s="71">
        <v>12.2</v>
      </c>
      <c r="K2187" s="106">
        <v>1.2199999999999999E-2</v>
      </c>
      <c r="L2187" s="80">
        <v>-0.01</v>
      </c>
      <c r="M2187" s="75" t="s">
        <v>143</v>
      </c>
      <c r="N2187" s="75" t="b">
        <v>1</v>
      </c>
      <c r="O2187" s="75" t="s">
        <v>144</v>
      </c>
      <c r="P2187" s="75">
        <v>1994</v>
      </c>
      <c r="Q2187" s="107">
        <f t="shared" si="55"/>
        <v>2013</v>
      </c>
      <c r="R2187" s="107">
        <v>2</v>
      </c>
      <c r="S2187" s="100">
        <v>213099</v>
      </c>
      <c r="T2187" s="101">
        <v>41591</v>
      </c>
    </row>
    <row r="2188" spans="1:21" x14ac:dyDescent="0.3">
      <c r="A2188" s="68">
        <v>41635</v>
      </c>
      <c r="B2188" s="69">
        <f t="shared" si="56"/>
        <v>20131227</v>
      </c>
      <c r="C2188" s="109">
        <v>3.15E-2</v>
      </c>
      <c r="D2188" s="77">
        <v>6.0000000000000001E-3</v>
      </c>
      <c r="E2188" s="77">
        <v>8.0000000000000002E-3</v>
      </c>
      <c r="F2188" s="77">
        <v>8.9999999999999993E-3</v>
      </c>
      <c r="G2188" s="78">
        <v>0</v>
      </c>
      <c r="H2188" s="71">
        <v>7.6</v>
      </c>
      <c r="I2188" s="71">
        <v>9.9</v>
      </c>
      <c r="J2188" s="71">
        <v>12.2</v>
      </c>
      <c r="K2188" s="106">
        <v>1.2800000000000001E-2</v>
      </c>
      <c r="L2188" s="80">
        <v>-0.01</v>
      </c>
      <c r="M2188" s="75" t="s">
        <v>143</v>
      </c>
      <c r="N2188" s="75" t="b">
        <v>1</v>
      </c>
      <c r="O2188" s="75" t="s">
        <v>144</v>
      </c>
      <c r="P2188" s="75">
        <v>1994</v>
      </c>
      <c r="Q2188" s="107">
        <f t="shared" si="55"/>
        <v>2013</v>
      </c>
      <c r="R2188" s="107">
        <v>2</v>
      </c>
      <c r="S2188" s="100">
        <v>213099</v>
      </c>
      <c r="T2188" s="101">
        <v>41591</v>
      </c>
    </row>
    <row r="2189" spans="1:21" x14ac:dyDescent="0.3">
      <c r="A2189" s="68">
        <v>41636</v>
      </c>
      <c r="B2189" s="69">
        <f>YEAR(A2189)*10000+MONTH(A2189)*100+DAY(A2189)</f>
        <v>20131228</v>
      </c>
      <c r="C2189" s="109">
        <v>3.15E-2</v>
      </c>
      <c r="D2189" s="77">
        <v>6.0000000000000001E-3</v>
      </c>
      <c r="E2189" s="77">
        <v>8.0000000000000002E-3</v>
      </c>
      <c r="F2189" s="77">
        <v>8.9999999999999993E-3</v>
      </c>
      <c r="G2189" s="78">
        <v>0</v>
      </c>
      <c r="H2189" s="71">
        <v>7.6</v>
      </c>
      <c r="I2189" s="71">
        <v>9.9</v>
      </c>
      <c r="J2189" s="71">
        <v>12.2</v>
      </c>
      <c r="K2189" s="106">
        <v>1.2800000000000001E-2</v>
      </c>
      <c r="L2189" s="80">
        <v>-0.01</v>
      </c>
      <c r="M2189" s="75" t="s">
        <v>143</v>
      </c>
      <c r="N2189" s="75" t="b">
        <v>1</v>
      </c>
      <c r="O2189" s="75" t="s">
        <v>144</v>
      </c>
      <c r="P2189" s="75">
        <v>1994</v>
      </c>
      <c r="Q2189" s="107">
        <f t="shared" si="55"/>
        <v>2013</v>
      </c>
      <c r="R2189" s="107">
        <v>2</v>
      </c>
      <c r="S2189" s="100">
        <v>213099</v>
      </c>
      <c r="T2189" s="101">
        <v>41591</v>
      </c>
    </row>
    <row r="2190" spans="1:21" x14ac:dyDescent="0.3">
      <c r="A2190" s="68">
        <v>41637</v>
      </c>
      <c r="B2190" s="69">
        <f>YEAR(A2190)*10000+MONTH(A2190)*100+DAY(A2190)</f>
        <v>20131229</v>
      </c>
      <c r="C2190" s="109">
        <v>3.15E-2</v>
      </c>
      <c r="D2190" s="77">
        <v>6.0000000000000001E-3</v>
      </c>
      <c r="E2190" s="77">
        <v>8.0000000000000002E-3</v>
      </c>
      <c r="F2190" s="77">
        <v>8.9999999999999993E-3</v>
      </c>
      <c r="G2190" s="78">
        <v>0</v>
      </c>
      <c r="H2190" s="71">
        <v>7.6</v>
      </c>
      <c r="I2190" s="71">
        <v>9.9</v>
      </c>
      <c r="J2190" s="71">
        <v>12.2</v>
      </c>
      <c r="K2190" s="106">
        <v>1.2800000000000001E-2</v>
      </c>
      <c r="L2190" s="80">
        <v>-0.01</v>
      </c>
      <c r="M2190" s="75" t="s">
        <v>143</v>
      </c>
      <c r="N2190" s="75" t="b">
        <v>1</v>
      </c>
      <c r="O2190" s="75" t="s">
        <v>144</v>
      </c>
      <c r="P2190" s="75">
        <v>1994</v>
      </c>
      <c r="Q2190" s="107">
        <f t="shared" si="55"/>
        <v>2013</v>
      </c>
      <c r="R2190" s="107">
        <v>2</v>
      </c>
      <c r="S2190" s="100">
        <v>213099</v>
      </c>
      <c r="T2190" s="101">
        <v>41591</v>
      </c>
    </row>
    <row r="2191" spans="1:21" x14ac:dyDescent="0.3">
      <c r="A2191" s="68">
        <v>41638</v>
      </c>
      <c r="B2191" s="69">
        <f t="shared" si="56"/>
        <v>20131230</v>
      </c>
      <c r="C2191" s="109">
        <v>3.1099999999999999E-2</v>
      </c>
      <c r="D2191" s="77">
        <v>6.0000000000000001E-3</v>
      </c>
      <c r="E2191" s="77">
        <v>8.0000000000000002E-3</v>
      </c>
      <c r="F2191" s="77">
        <v>8.9999999999999993E-3</v>
      </c>
      <c r="G2191" s="78">
        <v>0</v>
      </c>
      <c r="H2191" s="71">
        <v>7.6</v>
      </c>
      <c r="I2191" s="71">
        <v>9.9</v>
      </c>
      <c r="J2191" s="71">
        <v>12.2</v>
      </c>
      <c r="K2191" s="106">
        <v>1.23E-2</v>
      </c>
      <c r="L2191" s="80">
        <v>-0.01</v>
      </c>
      <c r="M2191" s="75" t="s">
        <v>143</v>
      </c>
      <c r="N2191" s="75" t="b">
        <v>1</v>
      </c>
      <c r="O2191" s="75" t="s">
        <v>144</v>
      </c>
      <c r="P2191" s="75">
        <v>1994</v>
      </c>
      <c r="Q2191" s="107">
        <f t="shared" si="55"/>
        <v>2013</v>
      </c>
      <c r="R2191" s="107">
        <v>2</v>
      </c>
      <c r="S2191" s="100">
        <v>213099</v>
      </c>
      <c r="T2191" s="101">
        <v>41591</v>
      </c>
    </row>
    <row r="2192" spans="1:21" s="99" customFormat="1" x14ac:dyDescent="0.3">
      <c r="A2192" s="85">
        <v>41639</v>
      </c>
      <c r="B2192" s="86">
        <f t="shared" si="56"/>
        <v>20131231</v>
      </c>
      <c r="C2192" s="87">
        <v>3.1300000000000001E-2</v>
      </c>
      <c r="D2192" s="89">
        <v>5.0000000000000001E-3</v>
      </c>
      <c r="E2192" s="89">
        <v>7.0000000000000001E-3</v>
      </c>
      <c r="F2192" s="89">
        <v>8.0000000000000002E-3</v>
      </c>
      <c r="G2192" s="103">
        <v>0</v>
      </c>
      <c r="H2192" s="91">
        <v>7.6</v>
      </c>
      <c r="I2192" s="91">
        <v>9.9</v>
      </c>
      <c r="J2192" s="119">
        <v>12.1</v>
      </c>
      <c r="K2192" s="92">
        <v>1.2500000000000001E-2</v>
      </c>
      <c r="L2192" s="120">
        <v>-1.0999999999999999E-2</v>
      </c>
      <c r="M2192" s="98" t="s">
        <v>143</v>
      </c>
      <c r="N2192" s="98" t="b">
        <v>1</v>
      </c>
      <c r="O2192" s="98" t="s">
        <v>144</v>
      </c>
      <c r="P2192" s="98">
        <v>1994</v>
      </c>
      <c r="Q2192" s="105">
        <f t="shared" si="55"/>
        <v>2013</v>
      </c>
      <c r="R2192" s="105">
        <v>2</v>
      </c>
      <c r="S2192" s="93">
        <v>214039</v>
      </c>
      <c r="T2192" s="94">
        <v>41755</v>
      </c>
      <c r="U2192" s="95" t="s">
        <v>176</v>
      </c>
    </row>
    <row r="2193" spans="1:20" x14ac:dyDescent="0.3">
      <c r="A2193" s="68">
        <v>41640</v>
      </c>
      <c r="B2193" s="69">
        <f t="shared" ref="B2193:B2221" si="57">YEAR(A2193)*10000+MONTH(A2193)*100+DAY(A2193)</f>
        <v>20140101</v>
      </c>
      <c r="C2193" s="109">
        <v>3.1300000000000001E-2</v>
      </c>
      <c r="D2193" s="77">
        <v>5.0000000000000001E-3</v>
      </c>
      <c r="E2193" s="77">
        <v>7.0000000000000001E-3</v>
      </c>
      <c r="F2193" s="77">
        <v>8.0000000000000002E-3</v>
      </c>
      <c r="G2193" s="78">
        <v>0</v>
      </c>
      <c r="H2193" s="71">
        <v>7.6</v>
      </c>
      <c r="I2193" s="71">
        <v>9.9</v>
      </c>
      <c r="J2193" s="71">
        <v>12.1</v>
      </c>
      <c r="K2193" s="106">
        <v>1.2500000000000001E-2</v>
      </c>
      <c r="L2193" s="80">
        <v>-1.0999999999999999E-2</v>
      </c>
      <c r="M2193" s="75" t="s">
        <v>143</v>
      </c>
      <c r="N2193" s="75" t="b">
        <v>1</v>
      </c>
      <c r="O2193" s="75" t="s">
        <v>144</v>
      </c>
      <c r="P2193" s="75">
        <v>1994</v>
      </c>
      <c r="Q2193" s="107">
        <f t="shared" si="55"/>
        <v>2014</v>
      </c>
      <c r="R2193" s="107">
        <v>2</v>
      </c>
      <c r="S2193" s="100">
        <v>214039</v>
      </c>
      <c r="T2193" s="101">
        <v>41755</v>
      </c>
    </row>
    <row r="2194" spans="1:20" x14ac:dyDescent="0.3">
      <c r="A2194" s="68">
        <v>41641</v>
      </c>
      <c r="B2194" s="69">
        <f t="shared" si="57"/>
        <v>20140102</v>
      </c>
      <c r="C2194" s="109">
        <v>3.1099999999999999E-2</v>
      </c>
      <c r="D2194" s="77">
        <v>5.0000000000000001E-3</v>
      </c>
      <c r="E2194" s="77">
        <v>7.0000000000000001E-3</v>
      </c>
      <c r="F2194" s="77">
        <v>8.0000000000000002E-3</v>
      </c>
      <c r="G2194" s="78">
        <v>0</v>
      </c>
      <c r="H2194" s="71">
        <v>7.6</v>
      </c>
      <c r="I2194" s="71">
        <v>9.9</v>
      </c>
      <c r="J2194" s="71">
        <v>12.1</v>
      </c>
      <c r="K2194" s="106">
        <v>1.23E-2</v>
      </c>
      <c r="L2194" s="80">
        <v>-1.0999999999999999E-2</v>
      </c>
      <c r="M2194" s="75" t="s">
        <v>143</v>
      </c>
      <c r="N2194" s="75" t="b">
        <v>1</v>
      </c>
      <c r="O2194" s="75" t="s">
        <v>144</v>
      </c>
      <c r="P2194" s="75">
        <v>1994</v>
      </c>
      <c r="Q2194" s="107">
        <f t="shared" si="55"/>
        <v>2014</v>
      </c>
      <c r="R2194" s="107">
        <v>2</v>
      </c>
      <c r="S2194" s="100">
        <v>214039</v>
      </c>
      <c r="T2194" s="101">
        <v>41755</v>
      </c>
    </row>
    <row r="2195" spans="1:20" x14ac:dyDescent="0.3">
      <c r="A2195" s="68">
        <v>41642</v>
      </c>
      <c r="B2195" s="69">
        <f t="shared" si="57"/>
        <v>20140103</v>
      </c>
      <c r="C2195" s="109">
        <v>3.1099999999999999E-2</v>
      </c>
      <c r="D2195" s="77">
        <v>5.0000000000000001E-3</v>
      </c>
      <c r="E2195" s="77">
        <v>7.0000000000000001E-3</v>
      </c>
      <c r="F2195" s="77">
        <v>8.0000000000000002E-3</v>
      </c>
      <c r="G2195" s="78">
        <v>0</v>
      </c>
      <c r="H2195" s="71">
        <v>7.6</v>
      </c>
      <c r="I2195" s="71">
        <v>9.9</v>
      </c>
      <c r="J2195" s="71">
        <v>12.1</v>
      </c>
      <c r="K2195" s="106">
        <v>1.23E-2</v>
      </c>
      <c r="L2195" s="80">
        <v>-1.0999999999999999E-2</v>
      </c>
      <c r="M2195" s="75" t="s">
        <v>143</v>
      </c>
      <c r="N2195" s="75" t="b">
        <v>1</v>
      </c>
      <c r="O2195" s="75" t="s">
        <v>144</v>
      </c>
      <c r="P2195" s="75">
        <v>1994</v>
      </c>
      <c r="Q2195" s="107">
        <f t="shared" si="55"/>
        <v>2014</v>
      </c>
      <c r="R2195" s="107">
        <v>2</v>
      </c>
      <c r="S2195" s="100">
        <v>214039</v>
      </c>
      <c r="T2195" s="101">
        <v>41755</v>
      </c>
    </row>
    <row r="2196" spans="1:20" x14ac:dyDescent="0.3">
      <c r="A2196" s="68">
        <v>41643</v>
      </c>
      <c r="B2196" s="69">
        <f>YEAR(A2196)*10000+MONTH(A2196)*100+DAY(A2196)</f>
        <v>20140104</v>
      </c>
      <c r="C2196" s="109">
        <v>3.1099999999999999E-2</v>
      </c>
      <c r="D2196" s="77">
        <v>5.0000000000000001E-3</v>
      </c>
      <c r="E2196" s="77">
        <v>7.0000000000000001E-3</v>
      </c>
      <c r="F2196" s="77">
        <v>8.0000000000000002E-3</v>
      </c>
      <c r="G2196" s="78">
        <v>0</v>
      </c>
      <c r="H2196" s="71">
        <v>7.6</v>
      </c>
      <c r="I2196" s="71">
        <v>9.9</v>
      </c>
      <c r="J2196" s="71">
        <v>12.1</v>
      </c>
      <c r="K2196" s="106">
        <v>1.23E-2</v>
      </c>
      <c r="L2196" s="80">
        <v>-1.0999999999999999E-2</v>
      </c>
      <c r="M2196" s="75" t="s">
        <v>143</v>
      </c>
      <c r="N2196" s="75" t="b">
        <v>1</v>
      </c>
      <c r="O2196" s="75" t="s">
        <v>144</v>
      </c>
      <c r="P2196" s="75">
        <v>1994</v>
      </c>
      <c r="Q2196" s="107">
        <f t="shared" si="55"/>
        <v>2014</v>
      </c>
      <c r="R2196" s="107">
        <v>2</v>
      </c>
      <c r="S2196" s="100">
        <v>214039</v>
      </c>
      <c r="T2196" s="101">
        <v>41755</v>
      </c>
    </row>
    <row r="2197" spans="1:20" x14ac:dyDescent="0.3">
      <c r="A2197" s="68">
        <v>41644</v>
      </c>
      <c r="B2197" s="69">
        <f>YEAR(A2197)*10000+MONTH(A2197)*100+DAY(A2197)</f>
        <v>20140105</v>
      </c>
      <c r="C2197" s="109">
        <v>3.1099999999999999E-2</v>
      </c>
      <c r="D2197" s="77">
        <v>5.0000000000000001E-3</v>
      </c>
      <c r="E2197" s="77">
        <v>7.0000000000000001E-3</v>
      </c>
      <c r="F2197" s="77">
        <v>8.0000000000000002E-3</v>
      </c>
      <c r="G2197" s="78">
        <v>0</v>
      </c>
      <c r="H2197" s="71">
        <v>7.6</v>
      </c>
      <c r="I2197" s="71">
        <v>9.9</v>
      </c>
      <c r="J2197" s="71">
        <v>12.1</v>
      </c>
      <c r="K2197" s="106">
        <v>1.23E-2</v>
      </c>
      <c r="L2197" s="80">
        <v>-1.0999999999999999E-2</v>
      </c>
      <c r="M2197" s="75" t="s">
        <v>143</v>
      </c>
      <c r="N2197" s="75" t="b">
        <v>1</v>
      </c>
      <c r="O2197" s="75" t="s">
        <v>144</v>
      </c>
      <c r="P2197" s="75">
        <v>1994</v>
      </c>
      <c r="Q2197" s="107">
        <f t="shared" si="55"/>
        <v>2014</v>
      </c>
      <c r="R2197" s="107">
        <v>2</v>
      </c>
      <c r="S2197" s="100">
        <v>214039</v>
      </c>
      <c r="T2197" s="101">
        <v>41755</v>
      </c>
    </row>
    <row r="2198" spans="1:20" x14ac:dyDescent="0.3">
      <c r="A2198" s="68">
        <v>41645</v>
      </c>
      <c r="B2198" s="69">
        <f t="shared" si="57"/>
        <v>20140106</v>
      </c>
      <c r="C2198" s="109">
        <v>3.0899999999999997E-2</v>
      </c>
      <c r="D2198" s="77">
        <v>5.0000000000000001E-3</v>
      </c>
      <c r="E2198" s="77">
        <v>7.0000000000000001E-3</v>
      </c>
      <c r="F2198" s="77">
        <v>8.0000000000000002E-3</v>
      </c>
      <c r="G2198" s="78">
        <v>0</v>
      </c>
      <c r="H2198" s="71">
        <v>7.6</v>
      </c>
      <c r="I2198" s="71">
        <v>9.9</v>
      </c>
      <c r="J2198" s="71">
        <v>12.1</v>
      </c>
      <c r="K2198" s="106">
        <v>1.1899999999999999E-2</v>
      </c>
      <c r="L2198" s="80">
        <v>-1.0999999999999999E-2</v>
      </c>
      <c r="M2198" s="75" t="s">
        <v>143</v>
      </c>
      <c r="N2198" s="75" t="b">
        <v>1</v>
      </c>
      <c r="O2198" s="75" t="s">
        <v>144</v>
      </c>
      <c r="P2198" s="75">
        <v>1994</v>
      </c>
      <c r="Q2198" s="107">
        <f t="shared" si="55"/>
        <v>2014</v>
      </c>
      <c r="R2198" s="107">
        <v>2</v>
      </c>
      <c r="S2198" s="100">
        <v>214039</v>
      </c>
      <c r="T2198" s="101">
        <v>41755</v>
      </c>
    </row>
    <row r="2199" spans="1:20" x14ac:dyDescent="0.3">
      <c r="A2199" s="68">
        <v>41646</v>
      </c>
      <c r="B2199" s="69">
        <f t="shared" si="57"/>
        <v>20140107</v>
      </c>
      <c r="C2199" s="109">
        <v>3.0499999999999999E-2</v>
      </c>
      <c r="D2199" s="77">
        <v>5.0000000000000001E-3</v>
      </c>
      <c r="E2199" s="77">
        <v>7.0000000000000001E-3</v>
      </c>
      <c r="F2199" s="77">
        <v>8.0000000000000002E-3</v>
      </c>
      <c r="G2199" s="78">
        <v>0</v>
      </c>
      <c r="H2199" s="71">
        <v>7.6</v>
      </c>
      <c r="I2199" s="71">
        <v>9.9</v>
      </c>
      <c r="J2199" s="71">
        <v>12.1</v>
      </c>
      <c r="K2199" s="106">
        <v>1.1399999999999999E-2</v>
      </c>
      <c r="L2199" s="80">
        <v>-1.0999999999999999E-2</v>
      </c>
      <c r="M2199" s="75" t="s">
        <v>143</v>
      </c>
      <c r="N2199" s="75" t="b">
        <v>1</v>
      </c>
      <c r="O2199" s="75" t="s">
        <v>144</v>
      </c>
      <c r="P2199" s="75">
        <v>1994</v>
      </c>
      <c r="Q2199" s="107">
        <f t="shared" si="55"/>
        <v>2014</v>
      </c>
      <c r="R2199" s="107">
        <v>2</v>
      </c>
      <c r="S2199" s="100">
        <v>214039</v>
      </c>
      <c r="T2199" s="101">
        <v>41755</v>
      </c>
    </row>
    <row r="2200" spans="1:20" x14ac:dyDescent="0.3">
      <c r="A2200" s="68">
        <v>41647</v>
      </c>
      <c r="B2200" s="69">
        <f t="shared" si="57"/>
        <v>20140108</v>
      </c>
      <c r="C2200" s="109">
        <v>3.1E-2</v>
      </c>
      <c r="D2200" s="77">
        <v>5.0000000000000001E-3</v>
      </c>
      <c r="E2200" s="77">
        <v>7.0000000000000001E-3</v>
      </c>
      <c r="F2200" s="77">
        <v>8.0000000000000002E-3</v>
      </c>
      <c r="G2200" s="78">
        <v>0</v>
      </c>
      <c r="H2200" s="71">
        <v>7.6</v>
      </c>
      <c r="I2200" s="71">
        <v>9.9</v>
      </c>
      <c r="J2200" s="71">
        <v>12.1</v>
      </c>
      <c r="K2200" s="106">
        <v>1.2E-2</v>
      </c>
      <c r="L2200" s="80">
        <v>-1.0999999999999999E-2</v>
      </c>
      <c r="M2200" s="75" t="s">
        <v>143</v>
      </c>
      <c r="N2200" s="75" t="b">
        <v>1</v>
      </c>
      <c r="O2200" s="75" t="s">
        <v>144</v>
      </c>
      <c r="P2200" s="75">
        <v>1994</v>
      </c>
      <c r="Q2200" s="107">
        <f t="shared" si="55"/>
        <v>2014</v>
      </c>
      <c r="R2200" s="107">
        <v>2</v>
      </c>
      <c r="S2200" s="100">
        <v>214039</v>
      </c>
      <c r="T2200" s="101">
        <v>41755</v>
      </c>
    </row>
    <row r="2201" spans="1:20" x14ac:dyDescent="0.3">
      <c r="A2201" s="68">
        <v>41648</v>
      </c>
      <c r="B2201" s="69">
        <f t="shared" si="57"/>
        <v>20140109</v>
      </c>
      <c r="C2201" s="109">
        <v>3.0699999999999998E-2</v>
      </c>
      <c r="D2201" s="77">
        <v>5.0000000000000001E-3</v>
      </c>
      <c r="E2201" s="77">
        <v>7.0000000000000001E-3</v>
      </c>
      <c r="F2201" s="77">
        <v>8.0000000000000002E-3</v>
      </c>
      <c r="G2201" s="78">
        <v>0</v>
      </c>
      <c r="H2201" s="71">
        <v>7.6</v>
      </c>
      <c r="I2201" s="71">
        <v>9.9</v>
      </c>
      <c r="J2201" s="71">
        <v>12.1</v>
      </c>
      <c r="K2201" s="106">
        <v>1.1599999999999999E-2</v>
      </c>
      <c r="L2201" s="80">
        <v>-1.0999999999999999E-2</v>
      </c>
      <c r="M2201" s="75" t="s">
        <v>143</v>
      </c>
      <c r="N2201" s="75" t="b">
        <v>1</v>
      </c>
      <c r="O2201" s="75" t="s">
        <v>144</v>
      </c>
      <c r="P2201" s="75">
        <v>1994</v>
      </c>
      <c r="Q2201" s="107">
        <f t="shared" si="55"/>
        <v>2014</v>
      </c>
      <c r="R2201" s="107">
        <v>2</v>
      </c>
      <c r="S2201" s="100">
        <v>214039</v>
      </c>
      <c r="T2201" s="101">
        <v>41755</v>
      </c>
    </row>
    <row r="2202" spans="1:20" x14ac:dyDescent="0.3">
      <c r="A2202" s="68">
        <v>41649</v>
      </c>
      <c r="B2202" s="69">
        <f t="shared" si="57"/>
        <v>20140110</v>
      </c>
      <c r="C2202" s="109">
        <v>2.98E-2</v>
      </c>
      <c r="D2202" s="77">
        <v>5.0000000000000001E-3</v>
      </c>
      <c r="E2202" s="77">
        <v>7.0000000000000001E-3</v>
      </c>
      <c r="F2202" s="77">
        <v>8.0000000000000002E-3</v>
      </c>
      <c r="G2202" s="78">
        <v>0</v>
      </c>
      <c r="H2202" s="71">
        <v>7.6</v>
      </c>
      <c r="I2202" s="71">
        <v>9.9</v>
      </c>
      <c r="J2202" s="71">
        <v>12.1</v>
      </c>
      <c r="K2202" s="106">
        <v>1.1000000000000001E-2</v>
      </c>
      <c r="L2202" s="80">
        <v>-1.0999999999999999E-2</v>
      </c>
      <c r="M2202" s="75" t="s">
        <v>143</v>
      </c>
      <c r="N2202" s="75" t="b">
        <v>1</v>
      </c>
      <c r="O2202" s="75" t="s">
        <v>144</v>
      </c>
      <c r="P2202" s="75">
        <v>1994</v>
      </c>
      <c r="Q2202" s="107">
        <f t="shared" si="55"/>
        <v>2014</v>
      </c>
      <c r="R2202" s="107">
        <v>2</v>
      </c>
      <c r="S2202" s="100">
        <v>214039</v>
      </c>
      <c r="T2202" s="101">
        <v>41755</v>
      </c>
    </row>
    <row r="2203" spans="1:20" x14ac:dyDescent="0.3">
      <c r="A2203" s="68">
        <v>41650</v>
      </c>
      <c r="B2203" s="69">
        <f>YEAR(A2203)*10000+MONTH(A2203)*100+DAY(A2203)</f>
        <v>20140111</v>
      </c>
      <c r="C2203" s="109">
        <v>2.98E-2</v>
      </c>
      <c r="D2203" s="77">
        <v>5.0000000000000001E-3</v>
      </c>
      <c r="E2203" s="77">
        <v>7.0000000000000001E-3</v>
      </c>
      <c r="F2203" s="77">
        <v>8.0000000000000002E-3</v>
      </c>
      <c r="G2203" s="78">
        <v>0</v>
      </c>
      <c r="H2203" s="71">
        <v>7.6</v>
      </c>
      <c r="I2203" s="71">
        <v>9.9</v>
      </c>
      <c r="J2203" s="71">
        <v>12.1</v>
      </c>
      <c r="K2203" s="106">
        <v>1.1000000000000001E-2</v>
      </c>
      <c r="L2203" s="80">
        <v>-1.0999999999999999E-2</v>
      </c>
      <c r="M2203" s="75" t="s">
        <v>143</v>
      </c>
      <c r="N2203" s="75" t="b">
        <v>1</v>
      </c>
      <c r="O2203" s="75" t="s">
        <v>144</v>
      </c>
      <c r="P2203" s="75">
        <v>1994</v>
      </c>
      <c r="Q2203" s="107">
        <f t="shared" si="55"/>
        <v>2014</v>
      </c>
      <c r="R2203" s="107">
        <v>2</v>
      </c>
      <c r="S2203" s="100">
        <v>214039</v>
      </c>
      <c r="T2203" s="101">
        <v>41755</v>
      </c>
    </row>
    <row r="2204" spans="1:20" x14ac:dyDescent="0.3">
      <c r="A2204" s="68">
        <v>41651</v>
      </c>
      <c r="B2204" s="69">
        <f>YEAR(A2204)*10000+MONTH(A2204)*100+DAY(A2204)</f>
        <v>20140112</v>
      </c>
      <c r="C2204" s="109">
        <v>2.98E-2</v>
      </c>
      <c r="D2204" s="77">
        <v>5.0000000000000001E-3</v>
      </c>
      <c r="E2204" s="77">
        <v>7.0000000000000001E-3</v>
      </c>
      <c r="F2204" s="77">
        <v>8.0000000000000002E-3</v>
      </c>
      <c r="G2204" s="78">
        <v>0</v>
      </c>
      <c r="H2204" s="71">
        <v>7.6</v>
      </c>
      <c r="I2204" s="71">
        <v>9.9</v>
      </c>
      <c r="J2204" s="71">
        <v>12.1</v>
      </c>
      <c r="K2204" s="106">
        <v>1.1000000000000001E-2</v>
      </c>
      <c r="L2204" s="80">
        <v>-1.0999999999999999E-2</v>
      </c>
      <c r="M2204" s="75" t="s">
        <v>143</v>
      </c>
      <c r="N2204" s="75" t="b">
        <v>1</v>
      </c>
      <c r="O2204" s="75" t="s">
        <v>144</v>
      </c>
      <c r="P2204" s="75">
        <v>1994</v>
      </c>
      <c r="Q2204" s="107">
        <f t="shared" si="55"/>
        <v>2014</v>
      </c>
      <c r="R2204" s="107">
        <v>2</v>
      </c>
      <c r="S2204" s="100">
        <v>214039</v>
      </c>
      <c r="T2204" s="101">
        <v>41755</v>
      </c>
    </row>
    <row r="2205" spans="1:20" x14ac:dyDescent="0.3">
      <c r="A2205" s="68">
        <v>41652</v>
      </c>
      <c r="B2205" s="69">
        <f t="shared" si="57"/>
        <v>20140113</v>
      </c>
      <c r="C2205" s="109">
        <v>2.9700000000000001E-2</v>
      </c>
      <c r="D2205" s="77">
        <v>5.0000000000000001E-3</v>
      </c>
      <c r="E2205" s="77">
        <v>7.0000000000000001E-3</v>
      </c>
      <c r="F2205" s="77">
        <v>8.0000000000000002E-3</v>
      </c>
      <c r="G2205" s="78">
        <v>0</v>
      </c>
      <c r="H2205" s="71">
        <v>7.6</v>
      </c>
      <c r="I2205" s="71">
        <v>9.9</v>
      </c>
      <c r="J2205" s="71">
        <v>12.1</v>
      </c>
      <c r="K2205" s="106">
        <v>1.09E-2</v>
      </c>
      <c r="L2205" s="80">
        <v>-1.0999999999999999E-2</v>
      </c>
      <c r="M2205" s="75" t="s">
        <v>143</v>
      </c>
      <c r="N2205" s="75" t="b">
        <v>1</v>
      </c>
      <c r="O2205" s="75" t="s">
        <v>144</v>
      </c>
      <c r="P2205" s="75">
        <v>1994</v>
      </c>
      <c r="Q2205" s="107">
        <f t="shared" si="55"/>
        <v>2014</v>
      </c>
      <c r="R2205" s="107">
        <v>2</v>
      </c>
      <c r="S2205" s="100">
        <v>214039</v>
      </c>
      <c r="T2205" s="101">
        <v>41755</v>
      </c>
    </row>
    <row r="2206" spans="1:20" x14ac:dyDescent="0.3">
      <c r="A2206" s="68">
        <v>41653</v>
      </c>
      <c r="B2206" s="69">
        <f t="shared" si="57"/>
        <v>20140114</v>
      </c>
      <c r="C2206" s="109">
        <v>2.9900000000000003E-2</v>
      </c>
      <c r="D2206" s="77">
        <v>5.0000000000000001E-3</v>
      </c>
      <c r="E2206" s="77">
        <v>7.0000000000000001E-3</v>
      </c>
      <c r="F2206" s="77">
        <v>8.0000000000000002E-3</v>
      </c>
      <c r="G2206" s="78">
        <v>0</v>
      </c>
      <c r="H2206" s="71">
        <v>7.6</v>
      </c>
      <c r="I2206" s="71">
        <v>9.9</v>
      </c>
      <c r="J2206" s="71">
        <v>12.1</v>
      </c>
      <c r="K2206" s="106">
        <v>1.1200000000000002E-2</v>
      </c>
      <c r="L2206" s="80">
        <v>-1.0999999999999999E-2</v>
      </c>
      <c r="M2206" s="75" t="s">
        <v>143</v>
      </c>
      <c r="N2206" s="75" t="b">
        <v>1</v>
      </c>
      <c r="O2206" s="75" t="s">
        <v>144</v>
      </c>
      <c r="P2206" s="75">
        <v>1994</v>
      </c>
      <c r="Q2206" s="107">
        <f t="shared" si="55"/>
        <v>2014</v>
      </c>
      <c r="R2206" s="107">
        <v>2</v>
      </c>
      <c r="S2206" s="100">
        <v>214039</v>
      </c>
      <c r="T2206" s="101">
        <v>41755</v>
      </c>
    </row>
    <row r="2207" spans="1:20" x14ac:dyDescent="0.3">
      <c r="A2207" s="68">
        <v>41654</v>
      </c>
      <c r="B2207" s="69">
        <f t="shared" si="57"/>
        <v>20140115</v>
      </c>
      <c r="C2207" s="109">
        <v>2.9900000000000003E-2</v>
      </c>
      <c r="D2207" s="77">
        <v>5.0000000000000001E-3</v>
      </c>
      <c r="E2207" s="77">
        <v>7.0000000000000001E-3</v>
      </c>
      <c r="F2207" s="77">
        <v>8.0000000000000002E-3</v>
      </c>
      <c r="G2207" s="78">
        <v>0</v>
      </c>
      <c r="H2207" s="71">
        <v>7.6</v>
      </c>
      <c r="I2207" s="71">
        <v>9.9</v>
      </c>
      <c r="J2207" s="71">
        <v>12.1</v>
      </c>
      <c r="K2207" s="106">
        <v>1.11E-2</v>
      </c>
      <c r="L2207" s="80">
        <v>-1.0999999999999999E-2</v>
      </c>
      <c r="M2207" s="75" t="s">
        <v>143</v>
      </c>
      <c r="N2207" s="75" t="b">
        <v>1</v>
      </c>
      <c r="O2207" s="75" t="s">
        <v>144</v>
      </c>
      <c r="P2207" s="75">
        <v>1994</v>
      </c>
      <c r="Q2207" s="107">
        <f t="shared" si="55"/>
        <v>2014</v>
      </c>
      <c r="R2207" s="107">
        <v>2</v>
      </c>
      <c r="S2207" s="100">
        <v>214039</v>
      </c>
      <c r="T2207" s="101">
        <v>41755</v>
      </c>
    </row>
    <row r="2208" spans="1:20" x14ac:dyDescent="0.3">
      <c r="A2208" s="68">
        <v>41655</v>
      </c>
      <c r="B2208" s="69">
        <f t="shared" si="57"/>
        <v>20140116</v>
      </c>
      <c r="C2208" s="109">
        <v>2.9500000000000002E-2</v>
      </c>
      <c r="D2208" s="77">
        <v>5.0000000000000001E-3</v>
      </c>
      <c r="E2208" s="77">
        <v>7.0000000000000001E-3</v>
      </c>
      <c r="F2208" s="77">
        <v>8.0000000000000002E-3</v>
      </c>
      <c r="G2208" s="78">
        <v>0</v>
      </c>
      <c r="H2208" s="71">
        <v>7.6</v>
      </c>
      <c r="I2208" s="71">
        <v>9.9</v>
      </c>
      <c r="J2208" s="71">
        <v>12.1</v>
      </c>
      <c r="K2208" s="106">
        <v>1.0700000000000001E-2</v>
      </c>
      <c r="L2208" s="80">
        <v>-1.0999999999999999E-2</v>
      </c>
      <c r="M2208" s="75" t="s">
        <v>143</v>
      </c>
      <c r="N2208" s="75" t="b">
        <v>1</v>
      </c>
      <c r="O2208" s="75" t="s">
        <v>144</v>
      </c>
      <c r="P2208" s="75">
        <v>1994</v>
      </c>
      <c r="Q2208" s="107">
        <f t="shared" si="55"/>
        <v>2014</v>
      </c>
      <c r="R2208" s="107">
        <v>2</v>
      </c>
      <c r="S2208" s="100">
        <v>214039</v>
      </c>
      <c r="T2208" s="101">
        <v>41755</v>
      </c>
    </row>
    <row r="2209" spans="1:20" x14ac:dyDescent="0.3">
      <c r="A2209" s="68">
        <v>41656</v>
      </c>
      <c r="B2209" s="69">
        <f t="shared" si="57"/>
        <v>20140117</v>
      </c>
      <c r="C2209" s="109">
        <v>2.9300000000000003E-2</v>
      </c>
      <c r="D2209" s="77">
        <v>5.0000000000000001E-3</v>
      </c>
      <c r="E2209" s="77">
        <v>7.0000000000000001E-3</v>
      </c>
      <c r="F2209" s="77">
        <v>8.0000000000000002E-3</v>
      </c>
      <c r="G2209" s="78">
        <v>0</v>
      </c>
      <c r="H2209" s="71">
        <v>7.6</v>
      </c>
      <c r="I2209" s="71">
        <v>9.9</v>
      </c>
      <c r="J2209" s="71">
        <v>12.1</v>
      </c>
      <c r="K2209" s="106">
        <v>1.06E-2</v>
      </c>
      <c r="L2209" s="80">
        <v>-1.0999999999999999E-2</v>
      </c>
      <c r="M2209" s="75" t="s">
        <v>143</v>
      </c>
      <c r="N2209" s="75" t="b">
        <v>1</v>
      </c>
      <c r="O2209" s="75" t="s">
        <v>144</v>
      </c>
      <c r="P2209" s="75">
        <v>1994</v>
      </c>
      <c r="Q2209" s="107">
        <f t="shared" si="55"/>
        <v>2014</v>
      </c>
      <c r="R2209" s="107">
        <v>2</v>
      </c>
      <c r="S2209" s="100">
        <v>214039</v>
      </c>
      <c r="T2209" s="101">
        <v>41755</v>
      </c>
    </row>
    <row r="2210" spans="1:20" x14ac:dyDescent="0.3">
      <c r="A2210" s="68">
        <v>41657</v>
      </c>
      <c r="B2210" s="69">
        <f>YEAR(A2210)*10000+MONTH(A2210)*100+DAY(A2210)</f>
        <v>20140118</v>
      </c>
      <c r="C2210" s="109">
        <v>2.9300000000000003E-2</v>
      </c>
      <c r="D2210" s="77">
        <v>5.0000000000000001E-3</v>
      </c>
      <c r="E2210" s="77">
        <v>7.0000000000000001E-3</v>
      </c>
      <c r="F2210" s="77">
        <v>8.0000000000000002E-3</v>
      </c>
      <c r="G2210" s="78">
        <v>0</v>
      </c>
      <c r="H2210" s="71">
        <v>7.6</v>
      </c>
      <c r="I2210" s="71">
        <v>9.9</v>
      </c>
      <c r="J2210" s="71">
        <v>12.1</v>
      </c>
      <c r="K2210" s="106">
        <v>1.06E-2</v>
      </c>
      <c r="L2210" s="80">
        <v>-1.0999999999999999E-2</v>
      </c>
      <c r="M2210" s="75" t="s">
        <v>143</v>
      </c>
      <c r="N2210" s="75" t="b">
        <v>1</v>
      </c>
      <c r="O2210" s="75" t="s">
        <v>144</v>
      </c>
      <c r="P2210" s="75">
        <v>1994</v>
      </c>
      <c r="Q2210" s="107">
        <f t="shared" si="55"/>
        <v>2014</v>
      </c>
      <c r="R2210" s="107">
        <v>2</v>
      </c>
      <c r="S2210" s="100">
        <v>214039</v>
      </c>
      <c r="T2210" s="101">
        <v>41755</v>
      </c>
    </row>
    <row r="2211" spans="1:20" x14ac:dyDescent="0.3">
      <c r="A2211" s="68">
        <v>41658</v>
      </c>
      <c r="B2211" s="69">
        <f>YEAR(A2211)*10000+MONTH(A2211)*100+DAY(A2211)</f>
        <v>20140119</v>
      </c>
      <c r="C2211" s="109">
        <v>2.9300000000000003E-2</v>
      </c>
      <c r="D2211" s="77">
        <v>5.0000000000000001E-3</v>
      </c>
      <c r="E2211" s="77">
        <v>7.0000000000000001E-3</v>
      </c>
      <c r="F2211" s="77">
        <v>8.0000000000000002E-3</v>
      </c>
      <c r="G2211" s="78">
        <v>0</v>
      </c>
      <c r="H2211" s="71">
        <v>7.6</v>
      </c>
      <c r="I2211" s="71">
        <v>9.9</v>
      </c>
      <c r="J2211" s="71">
        <v>12.1</v>
      </c>
      <c r="K2211" s="106">
        <v>1.06E-2</v>
      </c>
      <c r="L2211" s="80">
        <v>-1.0999999999999999E-2</v>
      </c>
      <c r="M2211" s="75" t="s">
        <v>143</v>
      </c>
      <c r="N2211" s="75" t="b">
        <v>1</v>
      </c>
      <c r="O2211" s="75" t="s">
        <v>144</v>
      </c>
      <c r="P2211" s="75">
        <v>1994</v>
      </c>
      <c r="Q2211" s="107">
        <f t="shared" si="55"/>
        <v>2014</v>
      </c>
      <c r="R2211" s="107">
        <v>2</v>
      </c>
      <c r="S2211" s="100">
        <v>214039</v>
      </c>
      <c r="T2211" s="101">
        <v>41755</v>
      </c>
    </row>
    <row r="2212" spans="1:20" x14ac:dyDescent="0.3">
      <c r="A2212" s="68">
        <v>41659</v>
      </c>
      <c r="B2212" s="69">
        <f t="shared" si="57"/>
        <v>20140120</v>
      </c>
      <c r="C2212" s="109">
        <v>2.92E-2</v>
      </c>
      <c r="D2212" s="77">
        <v>5.0000000000000001E-3</v>
      </c>
      <c r="E2212" s="77">
        <v>7.0000000000000001E-3</v>
      </c>
      <c r="F2212" s="77">
        <v>8.0000000000000002E-3</v>
      </c>
      <c r="G2212" s="78">
        <v>0</v>
      </c>
      <c r="H2212" s="71">
        <v>7.6</v>
      </c>
      <c r="I2212" s="71">
        <v>9.9</v>
      </c>
      <c r="J2212" s="71">
        <v>12.1</v>
      </c>
      <c r="K2212" s="106">
        <v>1.0500000000000001E-2</v>
      </c>
      <c r="L2212" s="80">
        <v>-1.0999999999999999E-2</v>
      </c>
      <c r="M2212" s="75" t="s">
        <v>143</v>
      </c>
      <c r="N2212" s="75" t="b">
        <v>1</v>
      </c>
      <c r="O2212" s="75" t="s">
        <v>144</v>
      </c>
      <c r="P2212" s="75">
        <v>1994</v>
      </c>
      <c r="Q2212" s="107">
        <f t="shared" si="55"/>
        <v>2014</v>
      </c>
      <c r="R2212" s="107">
        <v>2</v>
      </c>
      <c r="S2212" s="100">
        <v>214039</v>
      </c>
      <c r="T2212" s="101">
        <v>41755</v>
      </c>
    </row>
    <row r="2213" spans="1:20" x14ac:dyDescent="0.3">
      <c r="A2213" s="68">
        <v>41660</v>
      </c>
      <c r="B2213" s="69">
        <f t="shared" si="57"/>
        <v>20140121</v>
      </c>
      <c r="C2213" s="109">
        <v>2.92E-2</v>
      </c>
      <c r="D2213" s="77">
        <v>5.0000000000000001E-3</v>
      </c>
      <c r="E2213" s="77">
        <v>7.0000000000000001E-3</v>
      </c>
      <c r="F2213" s="77">
        <v>8.0000000000000002E-3</v>
      </c>
      <c r="G2213" s="78">
        <v>0</v>
      </c>
      <c r="H2213" s="71">
        <v>7.6</v>
      </c>
      <c r="I2213" s="71">
        <v>9.9</v>
      </c>
      <c r="J2213" s="71">
        <v>12.1</v>
      </c>
      <c r="K2213" s="106">
        <v>1.0500000000000001E-2</v>
      </c>
      <c r="L2213" s="80">
        <v>-1.0999999999999999E-2</v>
      </c>
      <c r="M2213" s="75" t="s">
        <v>143</v>
      </c>
      <c r="N2213" s="75" t="b">
        <v>1</v>
      </c>
      <c r="O2213" s="75" t="s">
        <v>144</v>
      </c>
      <c r="P2213" s="75">
        <v>1994</v>
      </c>
      <c r="Q2213" s="107">
        <f t="shared" si="55"/>
        <v>2014</v>
      </c>
      <c r="R2213" s="107">
        <v>2</v>
      </c>
      <c r="S2213" s="100">
        <v>214039</v>
      </c>
      <c r="T2213" s="101">
        <v>41755</v>
      </c>
    </row>
    <row r="2214" spans="1:20" x14ac:dyDescent="0.3">
      <c r="A2214" s="68">
        <v>41661</v>
      </c>
      <c r="B2214" s="69">
        <f t="shared" si="57"/>
        <v>20140122</v>
      </c>
      <c r="C2214" s="109">
        <v>2.9100000000000001E-2</v>
      </c>
      <c r="D2214" s="77">
        <v>5.0000000000000001E-3</v>
      </c>
      <c r="E2214" s="77">
        <v>7.0000000000000001E-3</v>
      </c>
      <c r="F2214" s="77">
        <v>8.0000000000000002E-3</v>
      </c>
      <c r="G2214" s="78">
        <v>0</v>
      </c>
      <c r="H2214" s="71">
        <v>7.6</v>
      </c>
      <c r="I2214" s="71">
        <v>9.9</v>
      </c>
      <c r="J2214" s="71">
        <v>12.1</v>
      </c>
      <c r="K2214" s="106">
        <v>1.06E-2</v>
      </c>
      <c r="L2214" s="80">
        <v>-1.0999999999999999E-2</v>
      </c>
      <c r="M2214" s="75" t="s">
        <v>143</v>
      </c>
      <c r="N2214" s="75" t="b">
        <v>1</v>
      </c>
      <c r="O2214" s="75" t="s">
        <v>144</v>
      </c>
      <c r="P2214" s="75">
        <v>1994</v>
      </c>
      <c r="Q2214" s="107">
        <f t="shared" si="55"/>
        <v>2014</v>
      </c>
      <c r="R2214" s="107">
        <v>2</v>
      </c>
      <c r="S2214" s="100">
        <v>214039</v>
      </c>
      <c r="T2214" s="101">
        <v>41755</v>
      </c>
    </row>
    <row r="2215" spans="1:20" x14ac:dyDescent="0.3">
      <c r="A2215" s="68">
        <v>41662</v>
      </c>
      <c r="B2215" s="69">
        <f t="shared" si="57"/>
        <v>20140123</v>
      </c>
      <c r="C2215" s="109">
        <v>2.8500000000000001E-2</v>
      </c>
      <c r="D2215" s="77">
        <v>5.0000000000000001E-3</v>
      </c>
      <c r="E2215" s="77">
        <v>7.0000000000000001E-3</v>
      </c>
      <c r="F2215" s="77">
        <v>8.0000000000000002E-3</v>
      </c>
      <c r="G2215" s="78">
        <v>0</v>
      </c>
      <c r="H2215" s="71">
        <v>7.6</v>
      </c>
      <c r="I2215" s="71">
        <v>9.9</v>
      </c>
      <c r="J2215" s="71">
        <v>12.1</v>
      </c>
      <c r="K2215" s="106">
        <v>9.8999999999999991E-3</v>
      </c>
      <c r="L2215" s="80">
        <v>-1.0999999999999999E-2</v>
      </c>
      <c r="M2215" s="75" t="s">
        <v>143</v>
      </c>
      <c r="N2215" s="75" t="b">
        <v>1</v>
      </c>
      <c r="O2215" s="75" t="s">
        <v>144</v>
      </c>
      <c r="P2215" s="75">
        <v>1994</v>
      </c>
      <c r="Q2215" s="107">
        <f t="shared" si="55"/>
        <v>2014</v>
      </c>
      <c r="R2215" s="107">
        <v>2</v>
      </c>
      <c r="S2215" s="100">
        <v>214039</v>
      </c>
      <c r="T2215" s="101">
        <v>41755</v>
      </c>
    </row>
    <row r="2216" spans="1:20" x14ac:dyDescent="0.3">
      <c r="A2216" s="68">
        <v>41663</v>
      </c>
      <c r="B2216" s="69">
        <f t="shared" si="57"/>
        <v>20140124</v>
      </c>
      <c r="C2216" s="109">
        <v>2.8300000000000002E-2</v>
      </c>
      <c r="D2216" s="77">
        <v>5.0000000000000001E-3</v>
      </c>
      <c r="E2216" s="77">
        <v>7.0000000000000001E-3</v>
      </c>
      <c r="F2216" s="77">
        <v>8.0000000000000002E-3</v>
      </c>
      <c r="G2216" s="78">
        <v>0</v>
      </c>
      <c r="H2216" s="71">
        <v>7.6</v>
      </c>
      <c r="I2216" s="71">
        <v>9.9</v>
      </c>
      <c r="J2216" s="71">
        <v>12.1</v>
      </c>
      <c r="K2216" s="106">
        <v>9.7999999999999997E-3</v>
      </c>
      <c r="L2216" s="80">
        <v>-1.0999999999999999E-2</v>
      </c>
      <c r="M2216" s="75" t="s">
        <v>143</v>
      </c>
      <c r="N2216" s="75" t="b">
        <v>1</v>
      </c>
      <c r="O2216" s="75" t="s">
        <v>144</v>
      </c>
      <c r="P2216" s="75">
        <v>1994</v>
      </c>
      <c r="Q2216" s="107">
        <f t="shared" si="55"/>
        <v>2014</v>
      </c>
      <c r="R2216" s="107">
        <v>2</v>
      </c>
      <c r="S2216" s="100">
        <v>214039</v>
      </c>
      <c r="T2216" s="101">
        <v>41755</v>
      </c>
    </row>
    <row r="2217" spans="1:20" x14ac:dyDescent="0.3">
      <c r="A2217" s="68">
        <v>41664</v>
      </c>
      <c r="B2217" s="69">
        <f>YEAR(A2217)*10000+MONTH(A2217)*100+DAY(A2217)</f>
        <v>20140125</v>
      </c>
      <c r="C2217" s="109">
        <v>2.8300000000000002E-2</v>
      </c>
      <c r="D2217" s="77">
        <v>5.0000000000000001E-3</v>
      </c>
      <c r="E2217" s="77">
        <v>7.0000000000000001E-3</v>
      </c>
      <c r="F2217" s="77">
        <v>8.0000000000000002E-3</v>
      </c>
      <c r="G2217" s="78">
        <v>0</v>
      </c>
      <c r="H2217" s="71">
        <v>7.6</v>
      </c>
      <c r="I2217" s="71">
        <v>9.9</v>
      </c>
      <c r="J2217" s="71">
        <v>12.1</v>
      </c>
      <c r="K2217" s="106">
        <v>9.7999999999999997E-3</v>
      </c>
      <c r="L2217" s="80">
        <v>-1.0999999999999999E-2</v>
      </c>
      <c r="M2217" s="75" t="s">
        <v>143</v>
      </c>
      <c r="N2217" s="75" t="b">
        <v>1</v>
      </c>
      <c r="O2217" s="75" t="s">
        <v>144</v>
      </c>
      <c r="P2217" s="75">
        <v>1994</v>
      </c>
      <c r="Q2217" s="107">
        <f t="shared" si="55"/>
        <v>2014</v>
      </c>
      <c r="R2217" s="107">
        <v>2</v>
      </c>
      <c r="S2217" s="100">
        <v>214039</v>
      </c>
      <c r="T2217" s="101">
        <v>41755</v>
      </c>
    </row>
    <row r="2218" spans="1:20" x14ac:dyDescent="0.3">
      <c r="A2218" s="68">
        <v>41665</v>
      </c>
      <c r="B2218" s="69">
        <f>YEAR(A2218)*10000+MONTH(A2218)*100+DAY(A2218)</f>
        <v>20140126</v>
      </c>
      <c r="C2218" s="109">
        <v>2.8300000000000002E-2</v>
      </c>
      <c r="D2218" s="77">
        <v>5.0000000000000001E-3</v>
      </c>
      <c r="E2218" s="77">
        <v>7.0000000000000001E-3</v>
      </c>
      <c r="F2218" s="77">
        <v>8.0000000000000002E-3</v>
      </c>
      <c r="G2218" s="78">
        <v>0</v>
      </c>
      <c r="H2218" s="71">
        <v>7.6</v>
      </c>
      <c r="I2218" s="71">
        <v>9.9</v>
      </c>
      <c r="J2218" s="71">
        <v>12.1</v>
      </c>
      <c r="K2218" s="106">
        <v>9.7999999999999997E-3</v>
      </c>
      <c r="L2218" s="80">
        <v>-1.0999999999999999E-2</v>
      </c>
      <c r="M2218" s="75" t="s">
        <v>143</v>
      </c>
      <c r="N2218" s="75" t="b">
        <v>1</v>
      </c>
      <c r="O2218" s="75" t="s">
        <v>144</v>
      </c>
      <c r="P2218" s="75">
        <v>1994</v>
      </c>
      <c r="Q2218" s="107">
        <f t="shared" si="55"/>
        <v>2014</v>
      </c>
      <c r="R2218" s="107">
        <v>2</v>
      </c>
      <c r="S2218" s="100">
        <v>214039</v>
      </c>
      <c r="T2218" s="101">
        <v>41755</v>
      </c>
    </row>
    <row r="2219" spans="1:20" x14ac:dyDescent="0.3">
      <c r="A2219" s="68">
        <v>41666</v>
      </c>
      <c r="B2219" s="69">
        <f t="shared" si="57"/>
        <v>20140127</v>
      </c>
      <c r="C2219" s="109">
        <v>2.87E-2</v>
      </c>
      <c r="D2219" s="77">
        <v>5.0000000000000001E-3</v>
      </c>
      <c r="E2219" s="77">
        <v>7.0000000000000001E-3</v>
      </c>
      <c r="F2219" s="77">
        <v>8.0000000000000002E-3</v>
      </c>
      <c r="G2219" s="78">
        <v>0</v>
      </c>
      <c r="H2219" s="71">
        <v>7.6</v>
      </c>
      <c r="I2219" s="71">
        <v>9.9</v>
      </c>
      <c r="J2219" s="71">
        <v>12.1</v>
      </c>
      <c r="K2219" s="106">
        <v>1.0200000000000001E-2</v>
      </c>
      <c r="L2219" s="80">
        <v>-1.0999999999999999E-2</v>
      </c>
      <c r="M2219" s="75" t="s">
        <v>143</v>
      </c>
      <c r="N2219" s="75" t="b">
        <v>1</v>
      </c>
      <c r="O2219" s="75" t="s">
        <v>144</v>
      </c>
      <c r="P2219" s="75">
        <v>1994</v>
      </c>
      <c r="Q2219" s="107">
        <f t="shared" si="55"/>
        <v>2014</v>
      </c>
      <c r="R2219" s="107">
        <v>2</v>
      </c>
      <c r="S2219" s="100">
        <v>214039</v>
      </c>
      <c r="T2219" s="101">
        <v>41755</v>
      </c>
    </row>
    <row r="2220" spans="1:20" x14ac:dyDescent="0.3">
      <c r="A2220" s="68">
        <v>41667</v>
      </c>
      <c r="B2220" s="69">
        <f t="shared" si="57"/>
        <v>20140128</v>
      </c>
      <c r="C2220" s="109">
        <v>2.8500000000000001E-2</v>
      </c>
      <c r="D2220" s="77">
        <v>5.0000000000000001E-3</v>
      </c>
      <c r="E2220" s="77">
        <v>7.0000000000000001E-3</v>
      </c>
      <c r="F2220" s="77">
        <v>8.0000000000000002E-3</v>
      </c>
      <c r="G2220" s="78">
        <v>0</v>
      </c>
      <c r="H2220" s="71">
        <v>7.6</v>
      </c>
      <c r="I2220" s="71">
        <v>9.9</v>
      </c>
      <c r="J2220" s="71">
        <v>12.1</v>
      </c>
      <c r="K2220" s="106">
        <v>1.0200000000000001E-2</v>
      </c>
      <c r="L2220" s="80">
        <v>-1.0999999999999999E-2</v>
      </c>
      <c r="M2220" s="75" t="s">
        <v>143</v>
      </c>
      <c r="N2220" s="75" t="b">
        <v>1</v>
      </c>
      <c r="O2220" s="75" t="s">
        <v>144</v>
      </c>
      <c r="P2220" s="75">
        <v>1994</v>
      </c>
      <c r="Q2220" s="107">
        <f t="shared" si="55"/>
        <v>2014</v>
      </c>
      <c r="R2220" s="107">
        <v>2</v>
      </c>
      <c r="S2220" s="100">
        <v>214039</v>
      </c>
      <c r="T2220" s="101">
        <v>41755</v>
      </c>
    </row>
    <row r="2221" spans="1:20" x14ac:dyDescent="0.3">
      <c r="A2221" s="68">
        <v>41668</v>
      </c>
      <c r="B2221" s="69">
        <f t="shared" si="57"/>
        <v>20140129</v>
      </c>
      <c r="C2221" s="109">
        <v>2.7999999999999997E-2</v>
      </c>
      <c r="D2221" s="77">
        <v>5.0000000000000001E-3</v>
      </c>
      <c r="E2221" s="77">
        <v>7.0000000000000001E-3</v>
      </c>
      <c r="F2221" s="77">
        <v>8.0000000000000002E-3</v>
      </c>
      <c r="G2221" s="78">
        <v>0</v>
      </c>
      <c r="H2221" s="71">
        <v>7.6</v>
      </c>
      <c r="I2221" s="71">
        <v>9.9</v>
      </c>
      <c r="J2221" s="71">
        <v>12.1</v>
      </c>
      <c r="K2221" s="106">
        <v>9.8999999999999991E-3</v>
      </c>
      <c r="L2221" s="80">
        <v>-1.0999999999999999E-2</v>
      </c>
      <c r="M2221" s="75" t="s">
        <v>143</v>
      </c>
      <c r="N2221" s="75" t="b">
        <v>1</v>
      </c>
      <c r="O2221" s="75" t="s">
        <v>144</v>
      </c>
      <c r="P2221" s="75">
        <v>1994</v>
      </c>
      <c r="Q2221" s="107">
        <f t="shared" si="55"/>
        <v>2014</v>
      </c>
      <c r="R2221" s="107">
        <v>2</v>
      </c>
      <c r="S2221" s="100">
        <v>214039</v>
      </c>
      <c r="T2221" s="101">
        <v>41755</v>
      </c>
    </row>
    <row r="2222" spans="1:20" x14ac:dyDescent="0.3">
      <c r="A2222" s="68">
        <v>41669</v>
      </c>
      <c r="B2222" s="69">
        <f>YEAR(A2222)*10000+MONTH(A2222)*100+DAY(A2222)</f>
        <v>20140130</v>
      </c>
      <c r="C2222" s="109">
        <v>2.81E-2</v>
      </c>
      <c r="D2222" s="77">
        <v>5.0000000000000001E-3</v>
      </c>
      <c r="E2222" s="77">
        <v>7.0000000000000001E-3</v>
      </c>
      <c r="F2222" s="77">
        <v>8.0000000000000002E-3</v>
      </c>
      <c r="G2222" s="78">
        <v>0</v>
      </c>
      <c r="H2222" s="71">
        <v>7.6</v>
      </c>
      <c r="I2222" s="71">
        <v>9.9</v>
      </c>
      <c r="J2222" s="71">
        <v>12.1</v>
      </c>
      <c r="K2222" s="106">
        <v>9.8999999999999991E-3</v>
      </c>
      <c r="L2222" s="80">
        <v>-1.0999999999999999E-2</v>
      </c>
      <c r="M2222" s="75" t="s">
        <v>143</v>
      </c>
      <c r="N2222" s="75" t="b">
        <v>1</v>
      </c>
      <c r="O2222" s="75" t="s">
        <v>144</v>
      </c>
      <c r="P2222" s="75">
        <v>1994</v>
      </c>
      <c r="Q2222" s="107">
        <f t="shared" ref="Q2222:Q2285" si="58">YEAR(A2222)</f>
        <v>2014</v>
      </c>
      <c r="R2222" s="107">
        <v>2</v>
      </c>
      <c r="S2222" s="100">
        <v>214039</v>
      </c>
      <c r="T2222" s="101">
        <v>41755</v>
      </c>
    </row>
    <row r="2223" spans="1:20" x14ac:dyDescent="0.3">
      <c r="A2223" s="68">
        <v>41670</v>
      </c>
      <c r="B2223" s="69">
        <f>YEAR(A2223)*10000+MONTH(A2223)*100+DAY(A2223)</f>
        <v>20140131</v>
      </c>
      <c r="C2223" s="109">
        <v>2.7799999999999998E-2</v>
      </c>
      <c r="D2223" s="77">
        <v>5.0000000000000001E-3</v>
      </c>
      <c r="E2223" s="77">
        <v>7.0000000000000001E-3</v>
      </c>
      <c r="F2223" s="77">
        <v>8.0000000000000002E-3</v>
      </c>
      <c r="G2223" s="78">
        <v>0</v>
      </c>
      <c r="H2223" s="71">
        <v>7.6</v>
      </c>
      <c r="I2223" s="71">
        <v>9.9</v>
      </c>
      <c r="J2223" s="71">
        <v>12.1</v>
      </c>
      <c r="K2223" s="106">
        <v>9.4999999999999998E-3</v>
      </c>
      <c r="L2223" s="80">
        <v>-1.0999999999999999E-2</v>
      </c>
      <c r="M2223" s="75" t="s">
        <v>143</v>
      </c>
      <c r="N2223" s="75" t="b">
        <v>1</v>
      </c>
      <c r="O2223" s="75" t="s">
        <v>144</v>
      </c>
      <c r="P2223" s="75">
        <v>1994</v>
      </c>
      <c r="Q2223" s="107">
        <f t="shared" si="58"/>
        <v>2014</v>
      </c>
      <c r="R2223" s="107">
        <v>2</v>
      </c>
      <c r="S2223" s="100">
        <v>214039</v>
      </c>
      <c r="T2223" s="101">
        <v>41755</v>
      </c>
    </row>
    <row r="2224" spans="1:20" x14ac:dyDescent="0.3">
      <c r="A2224" s="68">
        <v>41671</v>
      </c>
      <c r="B2224" s="69">
        <f>YEAR(A2224)*10000+MONTH(A2224)*100+DAY(A2224)</f>
        <v>20140201</v>
      </c>
      <c r="C2224" s="109">
        <v>2.7799999999999998E-2</v>
      </c>
      <c r="D2224" s="77">
        <v>5.0000000000000001E-3</v>
      </c>
      <c r="E2224" s="77">
        <v>7.0000000000000001E-3</v>
      </c>
      <c r="F2224" s="77">
        <v>8.0000000000000002E-3</v>
      </c>
      <c r="G2224" s="78">
        <v>0</v>
      </c>
      <c r="H2224" s="71">
        <v>7.6</v>
      </c>
      <c r="I2224" s="71">
        <v>9.9</v>
      </c>
      <c r="J2224" s="71">
        <v>12.1</v>
      </c>
      <c r="K2224" s="106">
        <v>9.4999999999999998E-3</v>
      </c>
      <c r="L2224" s="80">
        <v>-1.0999999999999999E-2</v>
      </c>
      <c r="M2224" s="75" t="s">
        <v>143</v>
      </c>
      <c r="N2224" s="75" t="b">
        <v>1</v>
      </c>
      <c r="O2224" s="75" t="s">
        <v>144</v>
      </c>
      <c r="P2224" s="75">
        <v>1994</v>
      </c>
      <c r="Q2224" s="107">
        <f t="shared" si="58"/>
        <v>2014</v>
      </c>
      <c r="R2224" s="107">
        <v>2</v>
      </c>
      <c r="S2224" s="100">
        <v>214039</v>
      </c>
      <c r="T2224" s="101">
        <v>41755</v>
      </c>
    </row>
    <row r="2225" spans="1:20" x14ac:dyDescent="0.3">
      <c r="A2225" s="68">
        <v>41672</v>
      </c>
      <c r="B2225" s="69">
        <f>YEAR(A2225)*10000+MONTH(A2225)*100+DAY(A2225)</f>
        <v>20140202</v>
      </c>
      <c r="C2225" s="109">
        <v>2.7799999999999998E-2</v>
      </c>
      <c r="D2225" s="77">
        <v>5.0000000000000001E-3</v>
      </c>
      <c r="E2225" s="77">
        <v>7.0000000000000001E-3</v>
      </c>
      <c r="F2225" s="77">
        <v>8.0000000000000002E-3</v>
      </c>
      <c r="G2225" s="78">
        <v>0</v>
      </c>
      <c r="H2225" s="71">
        <v>7.6</v>
      </c>
      <c r="I2225" s="71">
        <v>9.9</v>
      </c>
      <c r="J2225" s="71">
        <v>12.1</v>
      </c>
      <c r="K2225" s="106">
        <v>9.4999999999999998E-3</v>
      </c>
      <c r="L2225" s="80">
        <v>-1.0999999999999999E-2</v>
      </c>
      <c r="M2225" s="75" t="s">
        <v>143</v>
      </c>
      <c r="N2225" s="75" t="b">
        <v>1</v>
      </c>
      <c r="O2225" s="75" t="s">
        <v>144</v>
      </c>
      <c r="P2225" s="75">
        <v>1994</v>
      </c>
      <c r="Q2225" s="107">
        <f t="shared" si="58"/>
        <v>2014</v>
      </c>
      <c r="R2225" s="107">
        <v>2</v>
      </c>
      <c r="S2225" s="100">
        <v>214039</v>
      </c>
      <c r="T2225" s="101">
        <v>41755</v>
      </c>
    </row>
    <row r="2226" spans="1:20" x14ac:dyDescent="0.3">
      <c r="A2226" s="68">
        <v>41673</v>
      </c>
      <c r="B2226" s="69">
        <f>YEAR(A2226)*10000+MONTH(A2226)*100+DAY(A2226)</f>
        <v>20140203</v>
      </c>
      <c r="C2226" s="109">
        <v>2.7400000000000001E-2</v>
      </c>
      <c r="D2226" s="77">
        <v>5.0000000000000001E-3</v>
      </c>
      <c r="E2226" s="77">
        <v>7.0000000000000001E-3</v>
      </c>
      <c r="F2226" s="77">
        <v>8.0000000000000002E-3</v>
      </c>
      <c r="G2226" s="78">
        <v>0</v>
      </c>
      <c r="H2226" s="71">
        <v>7.6</v>
      </c>
      <c r="I2226" s="71">
        <v>9.9</v>
      </c>
      <c r="J2226" s="71">
        <v>12.1</v>
      </c>
      <c r="K2226" s="106">
        <v>9.300000000000001E-3</v>
      </c>
      <c r="L2226" s="80">
        <v>-1.0999999999999999E-2</v>
      </c>
      <c r="M2226" s="75" t="s">
        <v>143</v>
      </c>
      <c r="N2226" s="75" t="b">
        <v>1</v>
      </c>
      <c r="O2226" s="75" t="s">
        <v>144</v>
      </c>
      <c r="P2226" s="75">
        <v>1994</v>
      </c>
      <c r="Q2226" s="107">
        <f t="shared" si="58"/>
        <v>2014</v>
      </c>
      <c r="R2226" s="107">
        <v>2</v>
      </c>
      <c r="S2226" s="100">
        <v>214039</v>
      </c>
      <c r="T2226" s="101">
        <v>41755</v>
      </c>
    </row>
    <row r="2227" spans="1:20" x14ac:dyDescent="0.3">
      <c r="A2227" s="68">
        <v>41674</v>
      </c>
      <c r="B2227" s="69">
        <f t="shared" ref="B2227:B2276" si="59">YEAR(A2227)*10000+MONTH(A2227)*100+DAY(A2227)</f>
        <v>20140204</v>
      </c>
      <c r="C2227" s="109">
        <v>2.7799999999999998E-2</v>
      </c>
      <c r="D2227" s="77">
        <v>5.0000000000000001E-3</v>
      </c>
      <c r="E2227" s="77">
        <v>7.0000000000000001E-3</v>
      </c>
      <c r="F2227" s="77">
        <v>8.0000000000000002E-3</v>
      </c>
      <c r="G2227" s="78">
        <v>0</v>
      </c>
      <c r="H2227" s="71">
        <v>7.6</v>
      </c>
      <c r="I2227" s="71">
        <v>9.9</v>
      </c>
      <c r="J2227" s="71">
        <v>12.1</v>
      </c>
      <c r="K2227" s="106">
        <v>9.5999999999999992E-3</v>
      </c>
      <c r="L2227" s="80">
        <v>-1.0999999999999999E-2</v>
      </c>
      <c r="M2227" s="75" t="s">
        <v>143</v>
      </c>
      <c r="N2227" s="75" t="b">
        <v>1</v>
      </c>
      <c r="O2227" s="75" t="s">
        <v>144</v>
      </c>
      <c r="P2227" s="75">
        <v>1994</v>
      </c>
      <c r="Q2227" s="107">
        <f t="shared" si="58"/>
        <v>2014</v>
      </c>
      <c r="R2227" s="107">
        <v>2</v>
      </c>
      <c r="S2227" s="100">
        <v>214039</v>
      </c>
      <c r="T2227" s="101">
        <v>41755</v>
      </c>
    </row>
    <row r="2228" spans="1:20" x14ac:dyDescent="0.3">
      <c r="A2228" s="68">
        <v>41675</v>
      </c>
      <c r="B2228" s="69">
        <f t="shared" si="59"/>
        <v>20140205</v>
      </c>
      <c r="C2228" s="109">
        <v>2.8199999999999999E-2</v>
      </c>
      <c r="D2228" s="77">
        <v>5.0000000000000001E-3</v>
      </c>
      <c r="E2228" s="77">
        <v>7.0000000000000001E-3</v>
      </c>
      <c r="F2228" s="77">
        <v>8.0000000000000002E-3</v>
      </c>
      <c r="G2228" s="78">
        <v>0</v>
      </c>
      <c r="H2228" s="71">
        <v>7.6</v>
      </c>
      <c r="I2228" s="71">
        <v>9.9</v>
      </c>
      <c r="J2228" s="71">
        <v>12.1</v>
      </c>
      <c r="K2228" s="106">
        <v>1.01E-2</v>
      </c>
      <c r="L2228" s="80">
        <v>-1.0999999999999999E-2</v>
      </c>
      <c r="M2228" s="75" t="s">
        <v>143</v>
      </c>
      <c r="N2228" s="75" t="b">
        <v>1</v>
      </c>
      <c r="O2228" s="75" t="s">
        <v>144</v>
      </c>
      <c r="P2228" s="75">
        <v>1994</v>
      </c>
      <c r="Q2228" s="107">
        <f t="shared" si="58"/>
        <v>2014</v>
      </c>
      <c r="R2228" s="107">
        <v>2</v>
      </c>
      <c r="S2228" s="100">
        <v>214039</v>
      </c>
      <c r="T2228" s="101">
        <v>41755</v>
      </c>
    </row>
    <row r="2229" spans="1:20" x14ac:dyDescent="0.3">
      <c r="A2229" s="68">
        <v>41676</v>
      </c>
      <c r="B2229" s="69">
        <f t="shared" si="59"/>
        <v>20140206</v>
      </c>
      <c r="C2229" s="109">
        <v>2.87E-2</v>
      </c>
      <c r="D2229" s="77">
        <v>5.0000000000000001E-3</v>
      </c>
      <c r="E2229" s="77">
        <v>7.0000000000000001E-3</v>
      </c>
      <c r="F2229" s="77">
        <v>8.0000000000000002E-3</v>
      </c>
      <c r="G2229" s="78">
        <v>0</v>
      </c>
      <c r="H2229" s="71">
        <v>7.6</v>
      </c>
      <c r="I2229" s="71">
        <v>9.9</v>
      </c>
      <c r="J2229" s="71">
        <v>12.1</v>
      </c>
      <c r="K2229" s="106">
        <v>1.0500000000000001E-2</v>
      </c>
      <c r="L2229" s="80">
        <v>-1.0999999999999999E-2</v>
      </c>
      <c r="M2229" s="75" t="s">
        <v>143</v>
      </c>
      <c r="N2229" s="75" t="b">
        <v>1</v>
      </c>
      <c r="O2229" s="75" t="s">
        <v>144</v>
      </c>
      <c r="P2229" s="75">
        <v>1994</v>
      </c>
      <c r="Q2229" s="107">
        <f t="shared" si="58"/>
        <v>2014</v>
      </c>
      <c r="R2229" s="107">
        <v>2</v>
      </c>
      <c r="S2229" s="100">
        <v>214039</v>
      </c>
      <c r="T2229" s="101">
        <v>41755</v>
      </c>
    </row>
    <row r="2230" spans="1:20" x14ac:dyDescent="0.3">
      <c r="A2230" s="68">
        <v>41677</v>
      </c>
      <c r="B2230" s="69">
        <f t="shared" si="59"/>
        <v>20140207</v>
      </c>
      <c r="C2230" s="109">
        <v>2.8399999999999998E-2</v>
      </c>
      <c r="D2230" s="77">
        <v>5.0000000000000001E-3</v>
      </c>
      <c r="E2230" s="77">
        <v>7.0000000000000001E-3</v>
      </c>
      <c r="F2230" s="77">
        <v>8.0000000000000002E-3</v>
      </c>
      <c r="G2230" s="78">
        <v>0</v>
      </c>
      <c r="H2230" s="71">
        <v>7.6</v>
      </c>
      <c r="I2230" s="71">
        <v>9.9</v>
      </c>
      <c r="J2230" s="71">
        <v>12.1</v>
      </c>
      <c r="K2230" s="106">
        <v>1.03E-2</v>
      </c>
      <c r="L2230" s="80">
        <v>-1.0999999999999999E-2</v>
      </c>
      <c r="M2230" s="75" t="s">
        <v>143</v>
      </c>
      <c r="N2230" s="75" t="b">
        <v>1</v>
      </c>
      <c r="O2230" s="75" t="s">
        <v>144</v>
      </c>
      <c r="P2230" s="75">
        <v>1994</v>
      </c>
      <c r="Q2230" s="107">
        <f t="shared" si="58"/>
        <v>2014</v>
      </c>
      <c r="R2230" s="107">
        <v>2</v>
      </c>
      <c r="S2230" s="100">
        <v>214039</v>
      </c>
      <c r="T2230" s="101">
        <v>41755</v>
      </c>
    </row>
    <row r="2231" spans="1:20" x14ac:dyDescent="0.3">
      <c r="A2231" s="68">
        <v>41678</v>
      </c>
      <c r="B2231" s="69">
        <f t="shared" si="59"/>
        <v>20140208</v>
      </c>
      <c r="C2231" s="109">
        <v>2.8400000000000002E-2</v>
      </c>
      <c r="D2231" s="77">
        <v>5.0000000000000001E-3</v>
      </c>
      <c r="E2231" s="77">
        <v>7.0000000000000001E-3</v>
      </c>
      <c r="F2231" s="77">
        <v>8.0000000000000002E-3</v>
      </c>
      <c r="G2231" s="78">
        <v>0</v>
      </c>
      <c r="H2231" s="71">
        <v>7.6</v>
      </c>
      <c r="I2231" s="71">
        <v>9.9</v>
      </c>
      <c r="J2231" s="71">
        <v>12.1</v>
      </c>
      <c r="K2231" s="106">
        <v>1.03E-2</v>
      </c>
      <c r="L2231" s="80">
        <v>-1.0999999999999999E-2</v>
      </c>
      <c r="M2231" s="75" t="s">
        <v>143</v>
      </c>
      <c r="N2231" s="75" t="b">
        <v>1</v>
      </c>
      <c r="O2231" s="75" t="s">
        <v>144</v>
      </c>
      <c r="P2231" s="75">
        <v>1994</v>
      </c>
      <c r="Q2231" s="107">
        <f t="shared" si="58"/>
        <v>2014</v>
      </c>
      <c r="R2231" s="107">
        <v>2</v>
      </c>
      <c r="S2231" s="100">
        <v>214039</v>
      </c>
      <c r="T2231" s="101">
        <v>41755</v>
      </c>
    </row>
    <row r="2232" spans="1:20" x14ac:dyDescent="0.3">
      <c r="A2232" s="68">
        <v>41679</v>
      </c>
      <c r="B2232" s="69">
        <f t="shared" si="59"/>
        <v>20140209</v>
      </c>
      <c r="C2232" s="109">
        <v>2.8400000000000002E-2</v>
      </c>
      <c r="D2232" s="77">
        <v>5.0000000000000001E-3</v>
      </c>
      <c r="E2232" s="77">
        <v>7.0000000000000001E-3</v>
      </c>
      <c r="F2232" s="77">
        <v>8.0000000000000002E-3</v>
      </c>
      <c r="G2232" s="78">
        <v>0</v>
      </c>
      <c r="H2232" s="71">
        <v>7.6</v>
      </c>
      <c r="I2232" s="71">
        <v>9.9</v>
      </c>
      <c r="J2232" s="71">
        <v>12.1</v>
      </c>
      <c r="K2232" s="106">
        <v>1.03E-2</v>
      </c>
      <c r="L2232" s="80">
        <v>-1.0999999999999999E-2</v>
      </c>
      <c r="M2232" s="75" t="s">
        <v>143</v>
      </c>
      <c r="N2232" s="75" t="b">
        <v>1</v>
      </c>
      <c r="O2232" s="75" t="s">
        <v>144</v>
      </c>
      <c r="P2232" s="75">
        <v>1994</v>
      </c>
      <c r="Q2232" s="107">
        <f t="shared" si="58"/>
        <v>2014</v>
      </c>
      <c r="R2232" s="107">
        <v>2</v>
      </c>
      <c r="S2232" s="100">
        <v>214039</v>
      </c>
      <c r="T2232" s="101">
        <v>41755</v>
      </c>
    </row>
    <row r="2233" spans="1:20" x14ac:dyDescent="0.3">
      <c r="A2233" s="68">
        <v>41680</v>
      </c>
      <c r="B2233" s="69">
        <f t="shared" si="59"/>
        <v>20140210</v>
      </c>
      <c r="C2233" s="109">
        <v>2.8500000000000001E-2</v>
      </c>
      <c r="D2233" s="77">
        <v>5.0000000000000001E-3</v>
      </c>
      <c r="E2233" s="77">
        <v>7.0000000000000001E-3</v>
      </c>
      <c r="F2233" s="77">
        <v>8.0000000000000002E-3</v>
      </c>
      <c r="G2233" s="78">
        <v>0</v>
      </c>
      <c r="H2233" s="71">
        <v>7.6</v>
      </c>
      <c r="I2233" s="71">
        <v>9.9</v>
      </c>
      <c r="J2233" s="71">
        <v>12.1</v>
      </c>
      <c r="K2233" s="106">
        <v>1.04E-2</v>
      </c>
      <c r="L2233" s="80">
        <v>-1.0999999999999999E-2</v>
      </c>
      <c r="M2233" s="75" t="s">
        <v>143</v>
      </c>
      <c r="N2233" s="75" t="b">
        <v>1</v>
      </c>
      <c r="O2233" s="75" t="s">
        <v>144</v>
      </c>
      <c r="P2233" s="75">
        <v>1994</v>
      </c>
      <c r="Q2233" s="107">
        <f t="shared" si="58"/>
        <v>2014</v>
      </c>
      <c r="R2233" s="107">
        <v>2</v>
      </c>
      <c r="S2233" s="100">
        <v>214039</v>
      </c>
      <c r="T2233" s="101">
        <v>41755</v>
      </c>
    </row>
    <row r="2234" spans="1:20" x14ac:dyDescent="0.3">
      <c r="A2234" s="68">
        <v>41681</v>
      </c>
      <c r="B2234" s="69">
        <f t="shared" si="59"/>
        <v>20140211</v>
      </c>
      <c r="C2234" s="109">
        <v>2.8900000000000002E-2</v>
      </c>
      <c r="D2234" s="77">
        <v>5.0000000000000001E-3</v>
      </c>
      <c r="E2234" s="77">
        <v>7.0000000000000001E-3</v>
      </c>
      <c r="F2234" s="77">
        <v>8.0000000000000002E-3</v>
      </c>
      <c r="G2234" s="78">
        <v>0</v>
      </c>
      <c r="H2234" s="71">
        <v>7.6</v>
      </c>
      <c r="I2234" s="71">
        <v>9.9</v>
      </c>
      <c r="J2234" s="71">
        <v>12.1</v>
      </c>
      <c r="K2234" s="106">
        <v>1.0800000000000001E-2</v>
      </c>
      <c r="L2234" s="80">
        <v>-1.0999999999999999E-2</v>
      </c>
      <c r="M2234" s="75" t="s">
        <v>143</v>
      </c>
      <c r="N2234" s="75" t="b">
        <v>1</v>
      </c>
      <c r="O2234" s="75" t="s">
        <v>144</v>
      </c>
      <c r="P2234" s="75">
        <v>1994</v>
      </c>
      <c r="Q2234" s="107">
        <f t="shared" si="58"/>
        <v>2014</v>
      </c>
      <c r="R2234" s="107">
        <v>2</v>
      </c>
      <c r="S2234" s="100">
        <v>214039</v>
      </c>
      <c r="T2234" s="101">
        <v>41755</v>
      </c>
    </row>
    <row r="2235" spans="1:20" x14ac:dyDescent="0.3">
      <c r="A2235" s="68">
        <v>41682</v>
      </c>
      <c r="B2235" s="69">
        <f t="shared" si="59"/>
        <v>20140212</v>
      </c>
      <c r="C2235" s="109">
        <v>2.9100000000000001E-2</v>
      </c>
      <c r="D2235" s="77">
        <v>5.0000000000000001E-3</v>
      </c>
      <c r="E2235" s="77">
        <v>7.0000000000000001E-3</v>
      </c>
      <c r="F2235" s="77">
        <v>8.0000000000000002E-3</v>
      </c>
      <c r="G2235" s="78">
        <v>0</v>
      </c>
      <c r="H2235" s="71">
        <v>7.6</v>
      </c>
      <c r="I2235" s="71">
        <v>9.9</v>
      </c>
      <c r="J2235" s="71">
        <v>12.1</v>
      </c>
      <c r="K2235" s="106">
        <v>1.1000000000000001E-2</v>
      </c>
      <c r="L2235" s="80">
        <v>-1.0999999999999999E-2</v>
      </c>
      <c r="M2235" s="75" t="s">
        <v>143</v>
      </c>
      <c r="N2235" s="75" t="b">
        <v>1</v>
      </c>
      <c r="O2235" s="75" t="s">
        <v>144</v>
      </c>
      <c r="P2235" s="75">
        <v>1994</v>
      </c>
      <c r="Q2235" s="107">
        <f t="shared" si="58"/>
        <v>2014</v>
      </c>
      <c r="R2235" s="107">
        <v>2</v>
      </c>
      <c r="S2235" s="100">
        <v>214039</v>
      </c>
      <c r="T2235" s="101">
        <v>41755</v>
      </c>
    </row>
    <row r="2236" spans="1:20" x14ac:dyDescent="0.3">
      <c r="A2236" s="68">
        <v>41683</v>
      </c>
      <c r="B2236" s="69">
        <f t="shared" si="59"/>
        <v>20140213</v>
      </c>
      <c r="C2236" s="109">
        <v>2.8900000000000002E-2</v>
      </c>
      <c r="D2236" s="77">
        <v>5.0000000000000001E-3</v>
      </c>
      <c r="E2236" s="77">
        <v>7.0000000000000001E-3</v>
      </c>
      <c r="F2236" s="77">
        <v>8.0000000000000002E-3</v>
      </c>
      <c r="G2236" s="78">
        <v>0</v>
      </c>
      <c r="H2236" s="71">
        <v>7.6</v>
      </c>
      <c r="I2236" s="71">
        <v>9.9</v>
      </c>
      <c r="J2236" s="71">
        <v>12.1</v>
      </c>
      <c r="K2236" s="106">
        <v>1.0800000000000001E-2</v>
      </c>
      <c r="L2236" s="80">
        <v>-1.0999999999999999E-2</v>
      </c>
      <c r="M2236" s="75" t="s">
        <v>143</v>
      </c>
      <c r="N2236" s="75" t="b">
        <v>1</v>
      </c>
      <c r="O2236" s="75" t="s">
        <v>144</v>
      </c>
      <c r="P2236" s="75">
        <v>1994</v>
      </c>
      <c r="Q2236" s="107">
        <f t="shared" si="58"/>
        <v>2014</v>
      </c>
      <c r="R2236" s="107">
        <v>2</v>
      </c>
      <c r="S2236" s="100">
        <v>214039</v>
      </c>
      <c r="T2236" s="101">
        <v>41755</v>
      </c>
    </row>
    <row r="2237" spans="1:20" x14ac:dyDescent="0.3">
      <c r="A2237" s="68">
        <v>41684</v>
      </c>
      <c r="B2237" s="69">
        <f t="shared" si="59"/>
        <v>20140214</v>
      </c>
      <c r="C2237" s="109">
        <v>2.8900000000000002E-2</v>
      </c>
      <c r="D2237" s="77">
        <v>5.0000000000000001E-3</v>
      </c>
      <c r="E2237" s="77">
        <v>7.0000000000000001E-3</v>
      </c>
      <c r="F2237" s="77">
        <v>8.0000000000000002E-3</v>
      </c>
      <c r="G2237" s="78">
        <v>0</v>
      </c>
      <c r="H2237" s="71">
        <v>7.6</v>
      </c>
      <c r="I2237" s="71">
        <v>9.9</v>
      </c>
      <c r="J2237" s="71">
        <v>12.1</v>
      </c>
      <c r="K2237" s="106">
        <v>1.0800000000000001E-2</v>
      </c>
      <c r="L2237" s="80">
        <v>-1.0999999999999999E-2</v>
      </c>
      <c r="M2237" s="75" t="s">
        <v>143</v>
      </c>
      <c r="N2237" s="75" t="b">
        <v>1</v>
      </c>
      <c r="O2237" s="75" t="s">
        <v>144</v>
      </c>
      <c r="P2237" s="75">
        <v>1994</v>
      </c>
      <c r="Q2237" s="107">
        <f t="shared" si="58"/>
        <v>2014</v>
      </c>
      <c r="R2237" s="107">
        <v>2</v>
      </c>
      <c r="S2237" s="100">
        <v>214039</v>
      </c>
      <c r="T2237" s="101">
        <v>41755</v>
      </c>
    </row>
    <row r="2238" spans="1:20" x14ac:dyDescent="0.3">
      <c r="A2238" s="68">
        <v>41685</v>
      </c>
      <c r="B2238" s="69">
        <f t="shared" si="59"/>
        <v>20140215</v>
      </c>
      <c r="C2238" s="109">
        <v>2.8900000000000002E-2</v>
      </c>
      <c r="D2238" s="77">
        <v>5.0000000000000001E-3</v>
      </c>
      <c r="E2238" s="77">
        <v>7.0000000000000001E-3</v>
      </c>
      <c r="F2238" s="77">
        <v>8.0000000000000002E-3</v>
      </c>
      <c r="G2238" s="78">
        <v>0</v>
      </c>
      <c r="H2238" s="71">
        <v>7.6</v>
      </c>
      <c r="I2238" s="71">
        <v>9.9</v>
      </c>
      <c r="J2238" s="71">
        <v>12.1</v>
      </c>
      <c r="K2238" s="106">
        <v>1.0800000000000001E-2</v>
      </c>
      <c r="L2238" s="80">
        <v>-1.0999999999999999E-2</v>
      </c>
      <c r="M2238" s="75" t="s">
        <v>143</v>
      </c>
      <c r="N2238" s="75" t="b">
        <v>1</v>
      </c>
      <c r="O2238" s="75" t="s">
        <v>144</v>
      </c>
      <c r="P2238" s="75">
        <v>1994</v>
      </c>
      <c r="Q2238" s="107">
        <f t="shared" si="58"/>
        <v>2014</v>
      </c>
      <c r="R2238" s="107">
        <v>2</v>
      </c>
      <c r="S2238" s="100">
        <v>214039</v>
      </c>
      <c r="T2238" s="101">
        <v>41755</v>
      </c>
    </row>
    <row r="2239" spans="1:20" x14ac:dyDescent="0.3">
      <c r="A2239" s="68">
        <v>41686</v>
      </c>
      <c r="B2239" s="69">
        <f t="shared" si="59"/>
        <v>20140216</v>
      </c>
      <c r="C2239" s="109">
        <v>2.8900000000000002E-2</v>
      </c>
      <c r="D2239" s="77">
        <v>5.0000000000000001E-3</v>
      </c>
      <c r="E2239" s="77">
        <v>7.0000000000000001E-3</v>
      </c>
      <c r="F2239" s="77">
        <v>8.0000000000000002E-3</v>
      </c>
      <c r="G2239" s="78">
        <v>0</v>
      </c>
      <c r="H2239" s="71">
        <v>7.6</v>
      </c>
      <c r="I2239" s="71">
        <v>9.9</v>
      </c>
      <c r="J2239" s="71">
        <v>12.1</v>
      </c>
      <c r="K2239" s="106">
        <v>1.0800000000000001E-2</v>
      </c>
      <c r="L2239" s="80">
        <v>-1.0999999999999999E-2</v>
      </c>
      <c r="M2239" s="75" t="s">
        <v>143</v>
      </c>
      <c r="N2239" s="75" t="b">
        <v>1</v>
      </c>
      <c r="O2239" s="75" t="s">
        <v>144</v>
      </c>
      <c r="P2239" s="75">
        <v>1994</v>
      </c>
      <c r="Q2239" s="107">
        <f t="shared" si="58"/>
        <v>2014</v>
      </c>
      <c r="R2239" s="107">
        <v>2</v>
      </c>
      <c r="S2239" s="100">
        <v>214039</v>
      </c>
      <c r="T2239" s="101">
        <v>41755</v>
      </c>
    </row>
    <row r="2240" spans="1:20" x14ac:dyDescent="0.3">
      <c r="A2240" s="68">
        <v>41687</v>
      </c>
      <c r="B2240" s="69">
        <f t="shared" si="59"/>
        <v>20140217</v>
      </c>
      <c r="C2240" s="109">
        <v>2.8900000000000002E-2</v>
      </c>
      <c r="D2240" s="77">
        <v>5.0000000000000001E-3</v>
      </c>
      <c r="E2240" s="77">
        <v>7.0000000000000001E-3</v>
      </c>
      <c r="F2240" s="77">
        <v>8.0000000000000002E-3</v>
      </c>
      <c r="G2240" s="78">
        <v>0</v>
      </c>
      <c r="H2240" s="71">
        <v>7.6</v>
      </c>
      <c r="I2240" s="71">
        <v>9.9</v>
      </c>
      <c r="J2240" s="71">
        <v>12.1</v>
      </c>
      <c r="K2240" s="106">
        <v>1.0800000000000001E-2</v>
      </c>
      <c r="L2240" s="80">
        <v>-1.0999999999999999E-2</v>
      </c>
      <c r="M2240" s="75" t="s">
        <v>143</v>
      </c>
      <c r="N2240" s="75" t="b">
        <v>1</v>
      </c>
      <c r="O2240" s="75" t="s">
        <v>144</v>
      </c>
      <c r="P2240" s="75">
        <v>1994</v>
      </c>
      <c r="Q2240" s="107">
        <f t="shared" si="58"/>
        <v>2014</v>
      </c>
      <c r="R2240" s="107">
        <v>2</v>
      </c>
      <c r="S2240" s="100">
        <v>214039</v>
      </c>
      <c r="T2240" s="101">
        <v>41755</v>
      </c>
    </row>
    <row r="2241" spans="1:20" x14ac:dyDescent="0.3">
      <c r="A2241" s="68">
        <v>41688</v>
      </c>
      <c r="B2241" s="69">
        <f t="shared" si="59"/>
        <v>20140218</v>
      </c>
      <c r="C2241" s="109">
        <v>2.8900000000000002E-2</v>
      </c>
      <c r="D2241" s="77">
        <v>5.0000000000000001E-3</v>
      </c>
      <c r="E2241" s="77">
        <v>7.0000000000000001E-3</v>
      </c>
      <c r="F2241" s="77">
        <v>8.0000000000000002E-3</v>
      </c>
      <c r="G2241" s="78">
        <v>0</v>
      </c>
      <c r="H2241" s="71">
        <v>7.6</v>
      </c>
      <c r="I2241" s="71">
        <v>9.9</v>
      </c>
      <c r="J2241" s="71">
        <v>12.1</v>
      </c>
      <c r="K2241" s="106">
        <v>1.0700000000000001E-2</v>
      </c>
      <c r="L2241" s="80">
        <v>-1.0999999999999999E-2</v>
      </c>
      <c r="M2241" s="75" t="s">
        <v>143</v>
      </c>
      <c r="N2241" s="75" t="b">
        <v>1</v>
      </c>
      <c r="O2241" s="75" t="s">
        <v>144</v>
      </c>
      <c r="P2241" s="75">
        <v>1994</v>
      </c>
      <c r="Q2241" s="107">
        <f t="shared" si="58"/>
        <v>2014</v>
      </c>
      <c r="R2241" s="107">
        <v>2</v>
      </c>
      <c r="S2241" s="100">
        <v>214039</v>
      </c>
      <c r="T2241" s="101">
        <v>41755</v>
      </c>
    </row>
    <row r="2242" spans="1:20" x14ac:dyDescent="0.3">
      <c r="A2242" s="68">
        <v>41689</v>
      </c>
      <c r="B2242" s="69">
        <f t="shared" si="59"/>
        <v>20140219</v>
      </c>
      <c r="C2242" s="109">
        <v>2.8799999999999999E-2</v>
      </c>
      <c r="D2242" s="77">
        <v>5.0000000000000001E-3</v>
      </c>
      <c r="E2242" s="77">
        <v>7.0000000000000001E-3</v>
      </c>
      <c r="F2242" s="77">
        <v>8.0000000000000002E-3</v>
      </c>
      <c r="G2242" s="78">
        <v>0</v>
      </c>
      <c r="H2242" s="71">
        <v>7.6</v>
      </c>
      <c r="I2242" s="71">
        <v>9.9</v>
      </c>
      <c r="J2242" s="71">
        <v>12.1</v>
      </c>
      <c r="K2242" s="106">
        <v>1.0700000000000001E-2</v>
      </c>
      <c r="L2242" s="80">
        <v>-1.0999999999999999E-2</v>
      </c>
      <c r="M2242" s="75" t="s">
        <v>143</v>
      </c>
      <c r="N2242" s="75" t="b">
        <v>1</v>
      </c>
      <c r="O2242" s="75" t="s">
        <v>144</v>
      </c>
      <c r="P2242" s="75">
        <v>1994</v>
      </c>
      <c r="Q2242" s="107">
        <f t="shared" si="58"/>
        <v>2014</v>
      </c>
      <c r="R2242" s="107">
        <v>2</v>
      </c>
      <c r="S2242" s="100">
        <v>214039</v>
      </c>
      <c r="T2242" s="101">
        <v>41755</v>
      </c>
    </row>
    <row r="2243" spans="1:20" x14ac:dyDescent="0.3">
      <c r="A2243" s="68">
        <v>41689</v>
      </c>
      <c r="B2243" s="69">
        <f t="shared" si="59"/>
        <v>20140219</v>
      </c>
      <c r="C2243" s="109">
        <v>2.8799999999999999E-2</v>
      </c>
      <c r="D2243" s="77">
        <v>5.0000000000000001E-3</v>
      </c>
      <c r="E2243" s="77">
        <v>7.0000000000000001E-3</v>
      </c>
      <c r="F2243" s="77">
        <v>8.0000000000000002E-3</v>
      </c>
      <c r="G2243" s="78">
        <v>0</v>
      </c>
      <c r="H2243" s="71">
        <v>7.6</v>
      </c>
      <c r="I2243" s="71">
        <v>9.9</v>
      </c>
      <c r="J2243" s="71">
        <v>12.1</v>
      </c>
      <c r="K2243" s="106">
        <v>1.0700000000000001E-2</v>
      </c>
      <c r="L2243" s="80">
        <v>-1.0999999999999999E-2</v>
      </c>
      <c r="M2243" s="75" t="s">
        <v>143</v>
      </c>
      <c r="N2243" s="75" t="b">
        <v>1</v>
      </c>
      <c r="O2243" s="75" t="s">
        <v>144</v>
      </c>
      <c r="P2243" s="75">
        <v>1994</v>
      </c>
      <c r="Q2243" s="107">
        <f t="shared" si="58"/>
        <v>2014</v>
      </c>
      <c r="R2243" s="107">
        <v>2</v>
      </c>
      <c r="S2243" s="100">
        <v>214039</v>
      </c>
      <c r="T2243" s="101">
        <v>41755</v>
      </c>
    </row>
    <row r="2244" spans="1:20" x14ac:dyDescent="0.3">
      <c r="A2244" s="68">
        <v>41690</v>
      </c>
      <c r="B2244" s="69">
        <f t="shared" si="59"/>
        <v>20140220</v>
      </c>
      <c r="C2244" s="109">
        <v>2.8900000000000002E-2</v>
      </c>
      <c r="D2244" s="77">
        <v>5.0000000000000001E-3</v>
      </c>
      <c r="E2244" s="77">
        <v>7.0000000000000001E-3</v>
      </c>
      <c r="F2244" s="77">
        <v>8.0000000000000002E-3</v>
      </c>
      <c r="G2244" s="78">
        <v>0</v>
      </c>
      <c r="H2244" s="71">
        <v>7.6</v>
      </c>
      <c r="I2244" s="71">
        <v>9.9</v>
      </c>
      <c r="J2244" s="71">
        <v>12.1</v>
      </c>
      <c r="K2244" s="106">
        <v>1.0700000000000001E-2</v>
      </c>
      <c r="L2244" s="80">
        <v>-1.0999999999999999E-2</v>
      </c>
      <c r="M2244" s="75" t="s">
        <v>143</v>
      </c>
      <c r="N2244" s="75" t="b">
        <v>1</v>
      </c>
      <c r="O2244" s="75" t="s">
        <v>144</v>
      </c>
      <c r="P2244" s="75">
        <v>1994</v>
      </c>
      <c r="Q2244" s="107">
        <f t="shared" si="58"/>
        <v>2014</v>
      </c>
      <c r="R2244" s="107">
        <v>2</v>
      </c>
      <c r="S2244" s="100">
        <v>214039</v>
      </c>
      <c r="T2244" s="101">
        <v>41755</v>
      </c>
    </row>
    <row r="2245" spans="1:20" x14ac:dyDescent="0.3">
      <c r="A2245" s="68">
        <v>41691</v>
      </c>
      <c r="B2245" s="69">
        <f t="shared" si="59"/>
        <v>20140221</v>
      </c>
      <c r="C2245" s="109">
        <v>2.86E-2</v>
      </c>
      <c r="D2245" s="77">
        <v>5.0000000000000001E-3</v>
      </c>
      <c r="E2245" s="77">
        <v>7.0000000000000001E-3</v>
      </c>
      <c r="F2245" s="77">
        <v>8.0000000000000002E-3</v>
      </c>
      <c r="G2245" s="78">
        <v>0</v>
      </c>
      <c r="H2245" s="71">
        <v>7.6</v>
      </c>
      <c r="I2245" s="71">
        <v>9.9</v>
      </c>
      <c r="J2245" s="71">
        <v>12.1</v>
      </c>
      <c r="K2245" s="106">
        <v>1.04E-2</v>
      </c>
      <c r="L2245" s="80">
        <v>-1.0999999999999999E-2</v>
      </c>
      <c r="M2245" s="75" t="s">
        <v>143</v>
      </c>
      <c r="N2245" s="75" t="b">
        <v>1</v>
      </c>
      <c r="O2245" s="75" t="s">
        <v>144</v>
      </c>
      <c r="P2245" s="75">
        <v>1994</v>
      </c>
      <c r="Q2245" s="107">
        <f t="shared" si="58"/>
        <v>2014</v>
      </c>
      <c r="R2245" s="107">
        <v>2</v>
      </c>
      <c r="S2245" s="100">
        <v>214039</v>
      </c>
      <c r="T2245" s="101">
        <v>41755</v>
      </c>
    </row>
    <row r="2246" spans="1:20" x14ac:dyDescent="0.3">
      <c r="A2246" s="68">
        <v>41694</v>
      </c>
      <c r="B2246" s="69">
        <f t="shared" si="59"/>
        <v>20140224</v>
      </c>
      <c r="C2246" s="109">
        <v>2.86E-2</v>
      </c>
      <c r="D2246" s="77">
        <v>5.0000000000000001E-3</v>
      </c>
      <c r="E2246" s="77">
        <v>7.0000000000000001E-3</v>
      </c>
      <c r="F2246" s="77">
        <v>8.0000000000000002E-3</v>
      </c>
      <c r="G2246" s="78">
        <v>0</v>
      </c>
      <c r="H2246" s="71">
        <v>7.6</v>
      </c>
      <c r="I2246" s="71">
        <v>9.9</v>
      </c>
      <c r="J2246" s="71">
        <v>12.1</v>
      </c>
      <c r="K2246" s="106">
        <v>1.03E-2</v>
      </c>
      <c r="L2246" s="80">
        <v>-1.0999999999999999E-2</v>
      </c>
      <c r="M2246" s="75" t="s">
        <v>143</v>
      </c>
      <c r="N2246" s="75" t="b">
        <v>1</v>
      </c>
      <c r="O2246" s="75" t="s">
        <v>144</v>
      </c>
      <c r="P2246" s="75">
        <v>1994</v>
      </c>
      <c r="Q2246" s="107">
        <f t="shared" si="58"/>
        <v>2014</v>
      </c>
      <c r="R2246" s="107">
        <v>2</v>
      </c>
      <c r="S2246" s="100">
        <v>214039</v>
      </c>
      <c r="T2246" s="101">
        <v>41755</v>
      </c>
    </row>
    <row r="2247" spans="1:20" x14ac:dyDescent="0.3">
      <c r="A2247" s="68">
        <v>41695</v>
      </c>
      <c r="B2247" s="69">
        <f t="shared" si="59"/>
        <v>20140225</v>
      </c>
      <c r="C2247" s="109">
        <v>2.8300000000000002E-2</v>
      </c>
      <c r="D2247" s="77">
        <v>5.0000000000000001E-3</v>
      </c>
      <c r="E2247" s="77">
        <v>7.0000000000000001E-3</v>
      </c>
      <c r="F2247" s="77">
        <v>8.0000000000000002E-3</v>
      </c>
      <c r="G2247" s="78">
        <v>0</v>
      </c>
      <c r="H2247" s="71">
        <v>7.6</v>
      </c>
      <c r="I2247" s="71">
        <v>9.9</v>
      </c>
      <c r="J2247" s="71">
        <v>12.1</v>
      </c>
      <c r="K2247" s="106">
        <v>9.8999999999999991E-3</v>
      </c>
      <c r="L2247" s="80">
        <v>-1.0999999999999999E-2</v>
      </c>
      <c r="M2247" s="75" t="s">
        <v>143</v>
      </c>
      <c r="N2247" s="75" t="b">
        <v>1</v>
      </c>
      <c r="O2247" s="75" t="s">
        <v>144</v>
      </c>
      <c r="P2247" s="75">
        <v>1994</v>
      </c>
      <c r="Q2247" s="107">
        <f t="shared" si="58"/>
        <v>2014</v>
      </c>
      <c r="R2247" s="107">
        <v>2</v>
      </c>
      <c r="S2247" s="100">
        <v>214039</v>
      </c>
      <c r="T2247" s="101">
        <v>41755</v>
      </c>
    </row>
    <row r="2248" spans="1:20" x14ac:dyDescent="0.3">
      <c r="A2248" s="68">
        <v>41696</v>
      </c>
      <c r="B2248" s="69">
        <f t="shared" si="59"/>
        <v>20140226</v>
      </c>
      <c r="C2248" s="109">
        <v>2.7999999999999997E-2</v>
      </c>
      <c r="D2248" s="77">
        <v>5.0000000000000001E-3</v>
      </c>
      <c r="E2248" s="77">
        <v>7.0000000000000001E-3</v>
      </c>
      <c r="F2248" s="77">
        <v>8.0000000000000002E-3</v>
      </c>
      <c r="G2248" s="78">
        <v>0</v>
      </c>
      <c r="H2248" s="71">
        <v>7.6</v>
      </c>
      <c r="I2248" s="71">
        <v>9.9</v>
      </c>
      <c r="J2248" s="71">
        <v>12.1</v>
      </c>
      <c r="K2248" s="106">
        <v>9.5999999999999992E-3</v>
      </c>
      <c r="L2248" s="80">
        <v>-1.0999999999999999E-2</v>
      </c>
      <c r="M2248" s="75" t="s">
        <v>143</v>
      </c>
      <c r="N2248" s="75" t="b">
        <v>1</v>
      </c>
      <c r="O2248" s="75" t="s">
        <v>144</v>
      </c>
      <c r="P2248" s="75">
        <v>1994</v>
      </c>
      <c r="Q2248" s="107">
        <f t="shared" si="58"/>
        <v>2014</v>
      </c>
      <c r="R2248" s="107">
        <v>2</v>
      </c>
      <c r="S2248" s="100">
        <v>214039</v>
      </c>
      <c r="T2248" s="101">
        <v>41755</v>
      </c>
    </row>
    <row r="2249" spans="1:20" x14ac:dyDescent="0.3">
      <c r="A2249" s="68">
        <v>41697</v>
      </c>
      <c r="B2249" s="69">
        <f t="shared" si="59"/>
        <v>20140227</v>
      </c>
      <c r="C2249" s="109">
        <v>2.7699999999999999E-2</v>
      </c>
      <c r="D2249" s="77">
        <v>5.0000000000000001E-3</v>
      </c>
      <c r="E2249" s="77">
        <v>7.0000000000000001E-3</v>
      </c>
      <c r="F2249" s="77">
        <v>8.0000000000000002E-3</v>
      </c>
      <c r="G2249" s="78">
        <v>0</v>
      </c>
      <c r="H2249" s="71">
        <v>7.6</v>
      </c>
      <c r="I2249" s="71">
        <v>9.9</v>
      </c>
      <c r="J2249" s="71">
        <v>12.1</v>
      </c>
      <c r="K2249" s="106">
        <v>9.300000000000001E-3</v>
      </c>
      <c r="L2249" s="80">
        <v>-1.0999999999999999E-2</v>
      </c>
      <c r="M2249" s="75" t="s">
        <v>143</v>
      </c>
      <c r="N2249" s="75" t="b">
        <v>1</v>
      </c>
      <c r="O2249" s="75" t="s">
        <v>144</v>
      </c>
      <c r="P2249" s="75">
        <v>1994</v>
      </c>
      <c r="Q2249" s="107">
        <f t="shared" si="58"/>
        <v>2014</v>
      </c>
      <c r="R2249" s="107">
        <v>2</v>
      </c>
      <c r="S2249" s="100">
        <v>214039</v>
      </c>
      <c r="T2249" s="101">
        <v>41755</v>
      </c>
    </row>
    <row r="2250" spans="1:20" x14ac:dyDescent="0.3">
      <c r="A2250" s="68">
        <v>41698</v>
      </c>
      <c r="B2250" s="69">
        <f t="shared" si="59"/>
        <v>20140228</v>
      </c>
      <c r="C2250" s="109">
        <v>2.7799999999999998E-2</v>
      </c>
      <c r="D2250" s="77">
        <v>5.0000000000000001E-3</v>
      </c>
      <c r="E2250" s="77">
        <v>7.0000000000000001E-3</v>
      </c>
      <c r="F2250" s="77">
        <v>8.0000000000000002E-3</v>
      </c>
      <c r="G2250" s="78">
        <v>0</v>
      </c>
      <c r="H2250" s="71">
        <v>7.6</v>
      </c>
      <c r="I2250" s="71">
        <v>9.9</v>
      </c>
      <c r="J2250" s="71">
        <v>12.1</v>
      </c>
      <c r="K2250" s="106">
        <v>9.1999999999999998E-3</v>
      </c>
      <c r="L2250" s="80">
        <v>-1.0999999999999999E-2</v>
      </c>
      <c r="M2250" s="75" t="s">
        <v>143</v>
      </c>
      <c r="N2250" s="75" t="b">
        <v>1</v>
      </c>
      <c r="O2250" s="75" t="s">
        <v>144</v>
      </c>
      <c r="P2250" s="75">
        <v>1994</v>
      </c>
      <c r="Q2250" s="107">
        <f t="shared" si="58"/>
        <v>2014</v>
      </c>
      <c r="R2250" s="107">
        <v>2</v>
      </c>
      <c r="S2250" s="100">
        <v>214039</v>
      </c>
      <c r="T2250" s="101">
        <v>41755</v>
      </c>
    </row>
    <row r="2251" spans="1:20" x14ac:dyDescent="0.3">
      <c r="A2251" s="68">
        <v>41699</v>
      </c>
      <c r="B2251" s="69">
        <f>YEAR(A2251)*10000+MONTH(A2251)*100+DAY(A2251)</f>
        <v>20140301</v>
      </c>
      <c r="C2251" s="109">
        <v>2.7799999999999998E-2</v>
      </c>
      <c r="D2251" s="77">
        <v>5.0000000000000001E-3</v>
      </c>
      <c r="E2251" s="77">
        <v>7.0000000000000001E-3</v>
      </c>
      <c r="F2251" s="77">
        <v>8.0000000000000002E-3</v>
      </c>
      <c r="G2251" s="78">
        <v>0</v>
      </c>
      <c r="H2251" s="71">
        <v>7.6</v>
      </c>
      <c r="I2251" s="71">
        <v>9.9</v>
      </c>
      <c r="J2251" s="71">
        <v>12.1</v>
      </c>
      <c r="K2251" s="106">
        <v>9.1999999999999998E-3</v>
      </c>
      <c r="L2251" s="80">
        <v>-1.0999999999999999E-2</v>
      </c>
      <c r="M2251" s="75" t="s">
        <v>143</v>
      </c>
      <c r="N2251" s="75" t="b">
        <v>1</v>
      </c>
      <c r="O2251" s="75" t="s">
        <v>144</v>
      </c>
      <c r="P2251" s="75">
        <v>1994</v>
      </c>
      <c r="Q2251" s="107">
        <f t="shared" si="58"/>
        <v>2014</v>
      </c>
      <c r="R2251" s="107">
        <v>2</v>
      </c>
      <c r="S2251" s="100">
        <v>214039</v>
      </c>
      <c r="T2251" s="101">
        <v>41755</v>
      </c>
    </row>
    <row r="2252" spans="1:20" x14ac:dyDescent="0.3">
      <c r="A2252" s="68">
        <v>41700</v>
      </c>
      <c r="B2252" s="69">
        <f>YEAR(A2252)*10000+MONTH(A2252)*100+DAY(A2252)</f>
        <v>20140302</v>
      </c>
      <c r="C2252" s="109">
        <v>2.7799999999999998E-2</v>
      </c>
      <c r="D2252" s="77">
        <v>5.0000000000000001E-3</v>
      </c>
      <c r="E2252" s="77">
        <v>7.0000000000000001E-3</v>
      </c>
      <c r="F2252" s="77">
        <v>8.0000000000000002E-3</v>
      </c>
      <c r="G2252" s="78">
        <v>0</v>
      </c>
      <c r="H2252" s="71">
        <v>7.6</v>
      </c>
      <c r="I2252" s="71">
        <v>9.9</v>
      </c>
      <c r="J2252" s="71">
        <v>12.1</v>
      </c>
      <c r="K2252" s="106">
        <v>9.1999999999999998E-3</v>
      </c>
      <c r="L2252" s="80">
        <v>-1.0999999999999999E-2</v>
      </c>
      <c r="M2252" s="75" t="s">
        <v>143</v>
      </c>
      <c r="N2252" s="75" t="b">
        <v>1</v>
      </c>
      <c r="O2252" s="75" t="s">
        <v>144</v>
      </c>
      <c r="P2252" s="75">
        <v>1994</v>
      </c>
      <c r="Q2252" s="107">
        <f t="shared" si="58"/>
        <v>2014</v>
      </c>
      <c r="R2252" s="107">
        <v>2</v>
      </c>
      <c r="S2252" s="100">
        <v>214039</v>
      </c>
      <c r="T2252" s="101">
        <v>41755</v>
      </c>
    </row>
    <row r="2253" spans="1:20" x14ac:dyDescent="0.3">
      <c r="A2253" s="68">
        <v>41701</v>
      </c>
      <c r="B2253" s="69">
        <f t="shared" si="59"/>
        <v>20140303</v>
      </c>
      <c r="C2253" s="109">
        <v>2.7699999999999999E-2</v>
      </c>
      <c r="D2253" s="77">
        <v>5.0000000000000001E-3</v>
      </c>
      <c r="E2253" s="77">
        <v>7.0000000000000001E-3</v>
      </c>
      <c r="F2253" s="77">
        <v>8.0000000000000002E-3</v>
      </c>
      <c r="G2253" s="78">
        <v>0</v>
      </c>
      <c r="H2253" s="71">
        <v>7.6</v>
      </c>
      <c r="I2253" s="71">
        <v>9.9</v>
      </c>
      <c r="J2253" s="71">
        <v>12.1</v>
      </c>
      <c r="K2253" s="106">
        <v>9.1000000000000004E-3</v>
      </c>
      <c r="L2253" s="80">
        <v>-1.0999999999999999E-2</v>
      </c>
      <c r="M2253" s="75" t="s">
        <v>143</v>
      </c>
      <c r="N2253" s="75" t="b">
        <v>1</v>
      </c>
      <c r="O2253" s="75" t="s">
        <v>144</v>
      </c>
      <c r="P2253" s="75">
        <v>1994</v>
      </c>
      <c r="Q2253" s="107">
        <f t="shared" si="58"/>
        <v>2014</v>
      </c>
      <c r="R2253" s="107">
        <v>2</v>
      </c>
      <c r="S2253" s="100">
        <v>214039</v>
      </c>
      <c r="T2253" s="101">
        <v>41755</v>
      </c>
    </row>
    <row r="2254" spans="1:20" x14ac:dyDescent="0.3">
      <c r="A2254" s="68">
        <v>41702</v>
      </c>
      <c r="B2254" s="69">
        <f t="shared" si="59"/>
        <v>20140304</v>
      </c>
      <c r="C2254" s="109">
        <v>2.8199999999999999E-2</v>
      </c>
      <c r="D2254" s="77">
        <v>5.0000000000000001E-3</v>
      </c>
      <c r="E2254" s="77">
        <v>7.0000000000000001E-3</v>
      </c>
      <c r="F2254" s="77">
        <v>8.0000000000000002E-3</v>
      </c>
      <c r="G2254" s="78">
        <v>0</v>
      </c>
      <c r="H2254" s="71">
        <v>7.6</v>
      </c>
      <c r="I2254" s="71">
        <v>9.9</v>
      </c>
      <c r="J2254" s="71">
        <v>12.1</v>
      </c>
      <c r="K2254" s="106">
        <v>9.5999999999999992E-3</v>
      </c>
      <c r="L2254" s="80">
        <v>-1.0999999999999999E-2</v>
      </c>
      <c r="M2254" s="75" t="s">
        <v>143</v>
      </c>
      <c r="N2254" s="75" t="b">
        <v>1</v>
      </c>
      <c r="O2254" s="75" t="s">
        <v>144</v>
      </c>
      <c r="P2254" s="75">
        <v>1994</v>
      </c>
      <c r="Q2254" s="107">
        <f t="shared" si="58"/>
        <v>2014</v>
      </c>
      <c r="R2254" s="107">
        <v>2</v>
      </c>
      <c r="S2254" s="100">
        <v>214039</v>
      </c>
      <c r="T2254" s="101">
        <v>41755</v>
      </c>
    </row>
    <row r="2255" spans="1:20" x14ac:dyDescent="0.3">
      <c r="A2255" s="68">
        <v>41703</v>
      </c>
      <c r="B2255" s="69">
        <f t="shared" si="59"/>
        <v>20140305</v>
      </c>
      <c r="C2255" s="109">
        <v>2.8199999999999999E-2</v>
      </c>
      <c r="D2255" s="77">
        <v>5.0000000000000001E-3</v>
      </c>
      <c r="E2255" s="77">
        <v>7.0000000000000001E-3</v>
      </c>
      <c r="F2255" s="77">
        <v>8.0000000000000002E-3</v>
      </c>
      <c r="G2255" s="78">
        <v>0</v>
      </c>
      <c r="H2255" s="71">
        <v>7.6</v>
      </c>
      <c r="I2255" s="71">
        <v>9.9</v>
      </c>
      <c r="J2255" s="71">
        <v>12.1</v>
      </c>
      <c r="K2255" s="106">
        <v>9.4999999999999998E-3</v>
      </c>
      <c r="L2255" s="80">
        <v>-1.0999999999999999E-2</v>
      </c>
      <c r="M2255" s="75" t="s">
        <v>143</v>
      </c>
      <c r="N2255" s="75" t="b">
        <v>1</v>
      </c>
      <c r="O2255" s="75" t="s">
        <v>144</v>
      </c>
      <c r="P2255" s="75">
        <v>1994</v>
      </c>
      <c r="Q2255" s="107">
        <f t="shared" si="58"/>
        <v>2014</v>
      </c>
      <c r="R2255" s="107">
        <v>2</v>
      </c>
      <c r="S2255" s="100">
        <v>214039</v>
      </c>
      <c r="T2255" s="101">
        <v>41755</v>
      </c>
    </row>
    <row r="2256" spans="1:20" x14ac:dyDescent="0.3">
      <c r="A2256" s="68">
        <v>41704</v>
      </c>
      <c r="B2256" s="69">
        <f t="shared" si="59"/>
        <v>20140306</v>
      </c>
      <c r="C2256" s="109">
        <v>2.86E-2</v>
      </c>
      <c r="D2256" s="77">
        <v>5.0000000000000001E-3</v>
      </c>
      <c r="E2256" s="77">
        <v>7.0000000000000001E-3</v>
      </c>
      <c r="F2256" s="77">
        <v>8.0000000000000002E-3</v>
      </c>
      <c r="G2256" s="78">
        <v>0</v>
      </c>
      <c r="H2256" s="71">
        <v>7.6</v>
      </c>
      <c r="I2256" s="71">
        <v>9.9</v>
      </c>
      <c r="J2256" s="71">
        <v>12.1</v>
      </c>
      <c r="K2256" s="106">
        <v>9.7000000000000003E-3</v>
      </c>
      <c r="L2256" s="80">
        <v>-1.0999999999999999E-2</v>
      </c>
      <c r="M2256" s="75" t="s">
        <v>143</v>
      </c>
      <c r="N2256" s="75" t="b">
        <v>1</v>
      </c>
      <c r="O2256" s="75" t="s">
        <v>144</v>
      </c>
      <c r="P2256" s="75">
        <v>1994</v>
      </c>
      <c r="Q2256" s="107">
        <f t="shared" si="58"/>
        <v>2014</v>
      </c>
      <c r="R2256" s="107">
        <v>2</v>
      </c>
      <c r="S2256" s="100">
        <v>214039</v>
      </c>
      <c r="T2256" s="101">
        <v>41755</v>
      </c>
    </row>
    <row r="2257" spans="1:20" x14ac:dyDescent="0.3">
      <c r="A2257" s="68">
        <v>41705</v>
      </c>
      <c r="B2257" s="69">
        <f t="shared" si="59"/>
        <v>20140307</v>
      </c>
      <c r="C2257" s="109">
        <v>2.8799999999999999E-2</v>
      </c>
      <c r="D2257" s="77">
        <v>5.0000000000000001E-3</v>
      </c>
      <c r="E2257" s="77">
        <v>7.0000000000000001E-3</v>
      </c>
      <c r="F2257" s="77">
        <v>8.0000000000000002E-3</v>
      </c>
      <c r="G2257" s="78">
        <v>0</v>
      </c>
      <c r="H2257" s="71">
        <v>7.6</v>
      </c>
      <c r="I2257" s="71">
        <v>9.9</v>
      </c>
      <c r="J2257" s="71">
        <v>12.1</v>
      </c>
      <c r="K2257" s="106">
        <v>9.8999999999999991E-3</v>
      </c>
      <c r="L2257" s="80">
        <v>-1.0999999999999999E-2</v>
      </c>
      <c r="M2257" s="75" t="s">
        <v>143</v>
      </c>
      <c r="N2257" s="75" t="b">
        <v>1</v>
      </c>
      <c r="O2257" s="75" t="s">
        <v>144</v>
      </c>
      <c r="P2257" s="75">
        <v>1994</v>
      </c>
      <c r="Q2257" s="107">
        <f t="shared" si="58"/>
        <v>2014</v>
      </c>
      <c r="R2257" s="107">
        <v>2</v>
      </c>
      <c r="S2257" s="100">
        <v>214039</v>
      </c>
      <c r="T2257" s="101">
        <v>41755</v>
      </c>
    </row>
    <row r="2258" spans="1:20" x14ac:dyDescent="0.3">
      <c r="A2258" s="68">
        <v>41706</v>
      </c>
      <c r="B2258" s="69">
        <f>YEAR(A2258)*10000+MONTH(A2258)*100+DAY(A2258)</f>
        <v>20140308</v>
      </c>
      <c r="C2258" s="109">
        <v>2.8799999999999999E-2</v>
      </c>
      <c r="D2258" s="77">
        <v>5.0000000000000001E-3</v>
      </c>
      <c r="E2258" s="77">
        <v>7.0000000000000001E-3</v>
      </c>
      <c r="F2258" s="77">
        <v>8.0000000000000002E-3</v>
      </c>
      <c r="G2258" s="78">
        <v>0</v>
      </c>
      <c r="H2258" s="71">
        <v>7.6</v>
      </c>
      <c r="I2258" s="71">
        <v>9.9</v>
      </c>
      <c r="J2258" s="71">
        <v>12.1</v>
      </c>
      <c r="K2258" s="106">
        <v>9.8999999999999991E-3</v>
      </c>
      <c r="L2258" s="80">
        <v>-1.0999999999999999E-2</v>
      </c>
      <c r="M2258" s="75" t="s">
        <v>143</v>
      </c>
      <c r="N2258" s="75" t="b">
        <v>1</v>
      </c>
      <c r="O2258" s="75" t="s">
        <v>144</v>
      </c>
      <c r="P2258" s="75">
        <v>1994</v>
      </c>
      <c r="Q2258" s="107">
        <f t="shared" si="58"/>
        <v>2014</v>
      </c>
      <c r="R2258" s="107">
        <v>2</v>
      </c>
      <c r="S2258" s="100">
        <v>214039</v>
      </c>
      <c r="T2258" s="101">
        <v>41755</v>
      </c>
    </row>
    <row r="2259" spans="1:20" x14ac:dyDescent="0.3">
      <c r="A2259" s="68">
        <v>41707</v>
      </c>
      <c r="B2259" s="69">
        <f>YEAR(A2259)*10000+MONTH(A2259)*100+DAY(A2259)</f>
        <v>20140309</v>
      </c>
      <c r="C2259" s="109">
        <v>2.8799999999999999E-2</v>
      </c>
      <c r="D2259" s="77">
        <v>5.0000000000000001E-3</v>
      </c>
      <c r="E2259" s="77">
        <v>7.0000000000000001E-3</v>
      </c>
      <c r="F2259" s="77">
        <v>8.0000000000000002E-3</v>
      </c>
      <c r="G2259" s="78">
        <v>0</v>
      </c>
      <c r="H2259" s="71">
        <v>7.6</v>
      </c>
      <c r="I2259" s="71">
        <v>9.9</v>
      </c>
      <c r="J2259" s="71">
        <v>12.1</v>
      </c>
      <c r="K2259" s="106">
        <v>9.8999999999999991E-3</v>
      </c>
      <c r="L2259" s="80">
        <v>-1.0999999999999999E-2</v>
      </c>
      <c r="M2259" s="75" t="s">
        <v>143</v>
      </c>
      <c r="N2259" s="75" t="b">
        <v>1</v>
      </c>
      <c r="O2259" s="75" t="s">
        <v>144</v>
      </c>
      <c r="P2259" s="75">
        <v>1994</v>
      </c>
      <c r="Q2259" s="107">
        <f t="shared" si="58"/>
        <v>2014</v>
      </c>
      <c r="R2259" s="107">
        <v>2</v>
      </c>
      <c r="S2259" s="100">
        <v>214039</v>
      </c>
      <c r="T2259" s="101">
        <v>41755</v>
      </c>
    </row>
    <row r="2260" spans="1:20" x14ac:dyDescent="0.3">
      <c r="A2260" s="68">
        <v>41708</v>
      </c>
      <c r="B2260" s="69">
        <f t="shared" si="59"/>
        <v>20140310</v>
      </c>
      <c r="C2260" s="109">
        <v>2.86E-2</v>
      </c>
      <c r="D2260" s="77">
        <v>5.0000000000000001E-3</v>
      </c>
      <c r="E2260" s="77">
        <v>7.0000000000000001E-3</v>
      </c>
      <c r="F2260" s="77">
        <v>8.0000000000000002E-3</v>
      </c>
      <c r="G2260" s="78">
        <v>0</v>
      </c>
      <c r="H2260" s="71">
        <v>7.6</v>
      </c>
      <c r="I2260" s="71">
        <v>9.9</v>
      </c>
      <c r="J2260" s="71">
        <v>12.1</v>
      </c>
      <c r="K2260" s="106">
        <v>9.7000000000000003E-3</v>
      </c>
      <c r="L2260" s="80">
        <v>-1.0999999999999999E-2</v>
      </c>
      <c r="M2260" s="75" t="s">
        <v>143</v>
      </c>
      <c r="N2260" s="75" t="b">
        <v>1</v>
      </c>
      <c r="O2260" s="75" t="s">
        <v>144</v>
      </c>
      <c r="P2260" s="75">
        <v>1994</v>
      </c>
      <c r="Q2260" s="107">
        <f t="shared" si="58"/>
        <v>2014</v>
      </c>
      <c r="R2260" s="107">
        <v>2</v>
      </c>
      <c r="S2260" s="100">
        <v>214039</v>
      </c>
      <c r="T2260" s="101">
        <v>41755</v>
      </c>
    </row>
    <row r="2261" spans="1:20" x14ac:dyDescent="0.3">
      <c r="A2261" s="68">
        <v>41709</v>
      </c>
      <c r="B2261" s="69">
        <f t="shared" si="59"/>
        <v>20140311</v>
      </c>
      <c r="C2261" s="109">
        <v>2.8500000000000001E-2</v>
      </c>
      <c r="D2261" s="77">
        <v>5.0000000000000001E-3</v>
      </c>
      <c r="E2261" s="77">
        <v>7.0000000000000001E-3</v>
      </c>
      <c r="F2261" s="77">
        <v>8.0000000000000002E-3</v>
      </c>
      <c r="G2261" s="78">
        <v>0</v>
      </c>
      <c r="H2261" s="71">
        <v>7.6</v>
      </c>
      <c r="I2261" s="71">
        <v>9.9</v>
      </c>
      <c r="J2261" s="71">
        <v>12.1</v>
      </c>
      <c r="K2261" s="106">
        <v>9.7000000000000003E-3</v>
      </c>
      <c r="L2261" s="80">
        <v>-1.0999999999999999E-2</v>
      </c>
      <c r="M2261" s="75" t="s">
        <v>143</v>
      </c>
      <c r="N2261" s="75" t="b">
        <v>1</v>
      </c>
      <c r="O2261" s="75" t="s">
        <v>144</v>
      </c>
      <c r="P2261" s="75">
        <v>1994</v>
      </c>
      <c r="Q2261" s="107">
        <f t="shared" si="58"/>
        <v>2014</v>
      </c>
      <c r="R2261" s="107">
        <v>2</v>
      </c>
      <c r="S2261" s="100">
        <v>214039</v>
      </c>
      <c r="T2261" s="101">
        <v>41755</v>
      </c>
    </row>
    <row r="2262" spans="1:20" x14ac:dyDescent="0.3">
      <c r="A2262" s="68">
        <v>41710</v>
      </c>
      <c r="B2262" s="69">
        <f t="shared" si="59"/>
        <v>20140312</v>
      </c>
      <c r="C2262" s="109">
        <v>2.8199999999999999E-2</v>
      </c>
      <c r="D2262" s="77">
        <v>5.0000000000000001E-3</v>
      </c>
      <c r="E2262" s="77">
        <v>7.0000000000000001E-3</v>
      </c>
      <c r="F2262" s="77">
        <v>8.0000000000000002E-3</v>
      </c>
      <c r="G2262" s="78">
        <v>0</v>
      </c>
      <c r="H2262" s="71">
        <v>7.6</v>
      </c>
      <c r="I2262" s="71">
        <v>9.9</v>
      </c>
      <c r="J2262" s="71">
        <v>12.1</v>
      </c>
      <c r="K2262" s="106">
        <v>9.5999999999999992E-3</v>
      </c>
      <c r="L2262" s="80">
        <v>-1.0999999999999999E-2</v>
      </c>
      <c r="M2262" s="75" t="s">
        <v>143</v>
      </c>
      <c r="N2262" s="75" t="b">
        <v>1</v>
      </c>
      <c r="O2262" s="75" t="s">
        <v>144</v>
      </c>
      <c r="P2262" s="75">
        <v>1994</v>
      </c>
      <c r="Q2262" s="107">
        <f t="shared" si="58"/>
        <v>2014</v>
      </c>
      <c r="R2262" s="107">
        <v>2</v>
      </c>
      <c r="S2262" s="100">
        <v>214039</v>
      </c>
      <c r="T2262" s="101">
        <v>41755</v>
      </c>
    </row>
    <row r="2263" spans="1:20" x14ac:dyDescent="0.3">
      <c r="A2263" s="68">
        <v>41711</v>
      </c>
      <c r="B2263" s="69">
        <f t="shared" si="59"/>
        <v>20140313</v>
      </c>
      <c r="C2263" s="109">
        <v>2.76E-2</v>
      </c>
      <c r="D2263" s="77">
        <v>5.0000000000000001E-3</v>
      </c>
      <c r="E2263" s="77">
        <v>7.0000000000000001E-3</v>
      </c>
      <c r="F2263" s="77">
        <v>8.0000000000000002E-3</v>
      </c>
      <c r="G2263" s="78">
        <v>0</v>
      </c>
      <c r="H2263" s="71">
        <v>7.6</v>
      </c>
      <c r="I2263" s="71">
        <v>9.9</v>
      </c>
      <c r="J2263" s="71">
        <v>12.1</v>
      </c>
      <c r="K2263" s="106">
        <v>9.1000000000000004E-3</v>
      </c>
      <c r="L2263" s="80">
        <v>-1.0999999999999999E-2</v>
      </c>
      <c r="M2263" s="75" t="s">
        <v>143</v>
      </c>
      <c r="N2263" s="75" t="b">
        <v>1</v>
      </c>
      <c r="O2263" s="75" t="s">
        <v>144</v>
      </c>
      <c r="P2263" s="75">
        <v>1994</v>
      </c>
      <c r="Q2263" s="107">
        <f t="shared" si="58"/>
        <v>2014</v>
      </c>
      <c r="R2263" s="107">
        <v>2</v>
      </c>
      <c r="S2263" s="100">
        <v>214039</v>
      </c>
      <c r="T2263" s="101">
        <v>41755</v>
      </c>
    </row>
    <row r="2264" spans="1:20" x14ac:dyDescent="0.3">
      <c r="A2264" s="42">
        <v>41712</v>
      </c>
      <c r="B2264" s="69">
        <f t="shared" si="59"/>
        <v>20140314</v>
      </c>
      <c r="C2264" s="109">
        <v>2.76E-2</v>
      </c>
      <c r="D2264" s="77">
        <v>5.0000000000000001E-3</v>
      </c>
      <c r="E2264" s="77">
        <v>7.0000000000000001E-3</v>
      </c>
      <c r="F2264" s="77">
        <v>8.0000000000000002E-3</v>
      </c>
      <c r="G2264" s="78">
        <v>0</v>
      </c>
      <c r="H2264" s="71">
        <v>7.6</v>
      </c>
      <c r="I2264" s="71">
        <v>9.9</v>
      </c>
      <c r="J2264" s="71">
        <v>12.1</v>
      </c>
      <c r="K2264" s="106">
        <v>9.1000000000000004E-3</v>
      </c>
      <c r="L2264" s="80">
        <v>-1.0999999999999999E-2</v>
      </c>
      <c r="M2264" s="75" t="s">
        <v>143</v>
      </c>
      <c r="N2264" s="75" t="b">
        <v>1</v>
      </c>
      <c r="O2264" s="75" t="s">
        <v>144</v>
      </c>
      <c r="P2264" s="75">
        <v>1994</v>
      </c>
      <c r="Q2264" s="107">
        <f t="shared" si="58"/>
        <v>2014</v>
      </c>
      <c r="R2264" s="107">
        <v>2</v>
      </c>
      <c r="S2264" s="100">
        <v>214039</v>
      </c>
      <c r="T2264" s="101">
        <v>41755</v>
      </c>
    </row>
    <row r="2265" spans="1:20" x14ac:dyDescent="0.3">
      <c r="A2265" s="68">
        <v>41713</v>
      </c>
      <c r="B2265" s="69">
        <f>YEAR(A2265)*10000+MONTH(A2265)*100+DAY(A2265)</f>
        <v>20140315</v>
      </c>
      <c r="C2265" s="109">
        <v>2.76E-2</v>
      </c>
      <c r="D2265" s="77">
        <v>5.0000000000000001E-3</v>
      </c>
      <c r="E2265" s="77">
        <v>7.0000000000000001E-3</v>
      </c>
      <c r="F2265" s="77">
        <v>8.0000000000000002E-3</v>
      </c>
      <c r="G2265" s="78">
        <v>0</v>
      </c>
      <c r="H2265" s="71">
        <v>7.6</v>
      </c>
      <c r="I2265" s="71">
        <v>9.9</v>
      </c>
      <c r="J2265" s="71">
        <v>12.1</v>
      </c>
      <c r="K2265" s="106">
        <v>9.1000000000000004E-3</v>
      </c>
      <c r="L2265" s="80">
        <v>-1.0999999999999999E-2</v>
      </c>
      <c r="M2265" s="75" t="s">
        <v>143</v>
      </c>
      <c r="N2265" s="75" t="b">
        <v>1</v>
      </c>
      <c r="O2265" s="75" t="s">
        <v>144</v>
      </c>
      <c r="P2265" s="75">
        <v>1994</v>
      </c>
      <c r="Q2265" s="107">
        <f t="shared" si="58"/>
        <v>2014</v>
      </c>
      <c r="R2265" s="107">
        <v>2</v>
      </c>
      <c r="S2265" s="100">
        <v>214039</v>
      </c>
      <c r="T2265" s="101">
        <v>41755</v>
      </c>
    </row>
    <row r="2266" spans="1:20" x14ac:dyDescent="0.3">
      <c r="A2266" s="42">
        <v>41714</v>
      </c>
      <c r="B2266" s="69">
        <f>YEAR(A2266)*10000+MONTH(A2266)*100+DAY(A2266)</f>
        <v>20140316</v>
      </c>
      <c r="C2266" s="109">
        <v>2.76E-2</v>
      </c>
      <c r="D2266" s="77">
        <v>5.0000000000000001E-3</v>
      </c>
      <c r="E2266" s="77">
        <v>7.0000000000000001E-3</v>
      </c>
      <c r="F2266" s="77">
        <v>8.0000000000000002E-3</v>
      </c>
      <c r="G2266" s="78">
        <v>0</v>
      </c>
      <c r="H2266" s="71">
        <v>7.6</v>
      </c>
      <c r="I2266" s="71">
        <v>9.9</v>
      </c>
      <c r="J2266" s="71">
        <v>12.1</v>
      </c>
      <c r="K2266" s="106">
        <v>9.1000000000000004E-3</v>
      </c>
      <c r="L2266" s="80">
        <v>-1.0999999999999999E-2</v>
      </c>
      <c r="M2266" s="75" t="s">
        <v>143</v>
      </c>
      <c r="N2266" s="75" t="b">
        <v>1</v>
      </c>
      <c r="O2266" s="75" t="s">
        <v>144</v>
      </c>
      <c r="P2266" s="75">
        <v>1994</v>
      </c>
      <c r="Q2266" s="107">
        <f t="shared" si="58"/>
        <v>2014</v>
      </c>
      <c r="R2266" s="107">
        <v>2</v>
      </c>
      <c r="S2266" s="100">
        <v>214039</v>
      </c>
      <c r="T2266" s="101">
        <v>41755</v>
      </c>
    </row>
    <row r="2267" spans="1:20" x14ac:dyDescent="0.3">
      <c r="A2267" s="42">
        <v>41715</v>
      </c>
      <c r="B2267" s="69">
        <f t="shared" si="59"/>
        <v>20140317</v>
      </c>
      <c r="C2267" s="109">
        <v>2.7999999999999997E-2</v>
      </c>
      <c r="D2267" s="77">
        <v>5.0000000000000001E-3</v>
      </c>
      <c r="E2267" s="77">
        <v>7.0000000000000001E-3</v>
      </c>
      <c r="F2267" s="77">
        <v>8.0000000000000002E-3</v>
      </c>
      <c r="G2267" s="78">
        <v>0</v>
      </c>
      <c r="H2267" s="71">
        <v>7.6</v>
      </c>
      <c r="I2267" s="71">
        <v>9.9</v>
      </c>
      <c r="J2267" s="71">
        <v>12.1</v>
      </c>
      <c r="K2267" s="106">
        <v>9.300000000000001E-3</v>
      </c>
      <c r="L2267" s="80">
        <v>-1.0999999999999999E-2</v>
      </c>
      <c r="M2267" s="75" t="s">
        <v>143</v>
      </c>
      <c r="N2267" s="75" t="b">
        <v>1</v>
      </c>
      <c r="O2267" s="75" t="s">
        <v>144</v>
      </c>
      <c r="P2267" s="75">
        <v>1994</v>
      </c>
      <c r="Q2267" s="107">
        <f t="shared" si="58"/>
        <v>2014</v>
      </c>
      <c r="R2267" s="107">
        <v>2</v>
      </c>
      <c r="S2267" s="100">
        <v>214039</v>
      </c>
      <c r="T2267" s="101">
        <v>41755</v>
      </c>
    </row>
    <row r="2268" spans="1:20" x14ac:dyDescent="0.3">
      <c r="A2268" s="42">
        <v>41716</v>
      </c>
      <c r="B2268" s="69">
        <f t="shared" si="59"/>
        <v>20140318</v>
      </c>
      <c r="C2268" s="109">
        <v>2.7799999999999998E-2</v>
      </c>
      <c r="D2268" s="77">
        <v>5.0000000000000001E-3</v>
      </c>
      <c r="E2268" s="77">
        <v>7.0000000000000001E-3</v>
      </c>
      <c r="F2268" s="77">
        <v>8.0000000000000002E-3</v>
      </c>
      <c r="G2268" s="78">
        <v>0</v>
      </c>
      <c r="H2268" s="71">
        <v>7.6</v>
      </c>
      <c r="I2268" s="71">
        <v>9.9</v>
      </c>
      <c r="J2268" s="71">
        <v>12.1</v>
      </c>
      <c r="K2268" s="106">
        <v>9.1000000000000004E-3</v>
      </c>
      <c r="L2268" s="80">
        <v>-1.0999999999999999E-2</v>
      </c>
      <c r="M2268" s="75" t="s">
        <v>143</v>
      </c>
      <c r="N2268" s="75" t="b">
        <v>1</v>
      </c>
      <c r="O2268" s="75" t="s">
        <v>144</v>
      </c>
      <c r="P2268" s="75">
        <v>1994</v>
      </c>
      <c r="Q2268" s="107">
        <f t="shared" si="58"/>
        <v>2014</v>
      </c>
      <c r="R2268" s="107">
        <v>2</v>
      </c>
      <c r="S2268" s="100">
        <v>214039</v>
      </c>
      <c r="T2268" s="101">
        <v>41755</v>
      </c>
    </row>
    <row r="2269" spans="1:20" x14ac:dyDescent="0.3">
      <c r="A2269" s="42">
        <v>41717</v>
      </c>
      <c r="B2269" s="69">
        <f t="shared" si="59"/>
        <v>20140319</v>
      </c>
      <c r="C2269" s="109">
        <v>2.8300000000000002E-2</v>
      </c>
      <c r="D2269" s="77">
        <v>5.0000000000000001E-3</v>
      </c>
      <c r="E2269" s="77">
        <v>7.0000000000000001E-3</v>
      </c>
      <c r="F2269" s="77">
        <v>8.0000000000000002E-3</v>
      </c>
      <c r="G2269" s="78">
        <v>0</v>
      </c>
      <c r="H2269" s="71">
        <v>7.6</v>
      </c>
      <c r="I2269" s="71">
        <v>9.9</v>
      </c>
      <c r="J2269" s="71">
        <v>12.1</v>
      </c>
      <c r="K2269" s="106">
        <v>9.4999999999999998E-3</v>
      </c>
      <c r="L2269" s="80">
        <v>-1.0999999999999999E-2</v>
      </c>
      <c r="M2269" s="75" t="s">
        <v>143</v>
      </c>
      <c r="N2269" s="75" t="b">
        <v>1</v>
      </c>
      <c r="O2269" s="75" t="s">
        <v>144</v>
      </c>
      <c r="P2269" s="75">
        <v>1994</v>
      </c>
      <c r="Q2269" s="107">
        <f t="shared" si="58"/>
        <v>2014</v>
      </c>
      <c r="R2269" s="107">
        <v>2</v>
      </c>
      <c r="S2269" s="100">
        <v>214039</v>
      </c>
      <c r="T2269" s="101">
        <v>41755</v>
      </c>
    </row>
    <row r="2270" spans="1:20" x14ac:dyDescent="0.3">
      <c r="A2270" s="42">
        <v>41718</v>
      </c>
      <c r="B2270" s="69">
        <f t="shared" si="59"/>
        <v>20140320</v>
      </c>
      <c r="C2270" s="109">
        <v>2.8399999999999998E-2</v>
      </c>
      <c r="D2270" s="77">
        <v>5.0000000000000001E-3</v>
      </c>
      <c r="E2270" s="77">
        <v>7.0000000000000001E-3</v>
      </c>
      <c r="F2270" s="77">
        <v>8.0000000000000002E-3</v>
      </c>
      <c r="G2270" s="78">
        <v>0</v>
      </c>
      <c r="H2270" s="71">
        <v>7.6</v>
      </c>
      <c r="I2270" s="71">
        <v>9.9</v>
      </c>
      <c r="J2270" s="71">
        <v>12.1</v>
      </c>
      <c r="K2270" s="106">
        <v>9.5999999999999992E-3</v>
      </c>
      <c r="L2270" s="80">
        <v>-1.0999999999999999E-2</v>
      </c>
      <c r="M2270" s="75" t="s">
        <v>143</v>
      </c>
      <c r="N2270" s="75" t="b">
        <v>1</v>
      </c>
      <c r="O2270" s="75" t="s">
        <v>144</v>
      </c>
      <c r="P2270" s="75">
        <v>1994</v>
      </c>
      <c r="Q2270" s="107">
        <f t="shared" si="58"/>
        <v>2014</v>
      </c>
      <c r="R2270" s="107">
        <v>2</v>
      </c>
      <c r="S2270" s="100">
        <v>214039</v>
      </c>
      <c r="T2270" s="101">
        <v>41755</v>
      </c>
    </row>
    <row r="2271" spans="1:20" x14ac:dyDescent="0.3">
      <c r="A2271" s="42">
        <v>41719</v>
      </c>
      <c r="B2271" s="69">
        <f t="shared" si="59"/>
        <v>20140321</v>
      </c>
      <c r="C2271" s="109">
        <v>2.8199999999999999E-2</v>
      </c>
      <c r="D2271" s="77">
        <v>5.0000000000000001E-3</v>
      </c>
      <c r="E2271" s="77">
        <v>7.0000000000000001E-3</v>
      </c>
      <c r="F2271" s="77">
        <v>8.0000000000000002E-3</v>
      </c>
      <c r="G2271" s="78">
        <v>0</v>
      </c>
      <c r="H2271" s="71">
        <v>7.6</v>
      </c>
      <c r="I2271" s="71">
        <v>9.9</v>
      </c>
      <c r="J2271" s="71">
        <v>12.1</v>
      </c>
      <c r="K2271" s="106">
        <v>9.0000000000000011E-3</v>
      </c>
      <c r="L2271" s="80">
        <v>-1.0999999999999999E-2</v>
      </c>
      <c r="M2271" s="75" t="s">
        <v>143</v>
      </c>
      <c r="N2271" s="75" t="b">
        <v>1</v>
      </c>
      <c r="O2271" s="75" t="s">
        <v>144</v>
      </c>
      <c r="P2271" s="75">
        <v>1994</v>
      </c>
      <c r="Q2271" s="107">
        <f t="shared" si="58"/>
        <v>2014</v>
      </c>
      <c r="R2271" s="107">
        <v>2</v>
      </c>
      <c r="S2271" s="100">
        <v>214039</v>
      </c>
      <c r="T2271" s="101">
        <v>41755</v>
      </c>
    </row>
    <row r="2272" spans="1:20" x14ac:dyDescent="0.3">
      <c r="A2272" s="42">
        <v>41720</v>
      </c>
      <c r="B2272" s="69">
        <f>YEAR(A2272)*10000+MONTH(A2272)*100+DAY(A2272)</f>
        <v>20140322</v>
      </c>
      <c r="C2272" s="109">
        <v>2.8199999999999999E-2</v>
      </c>
      <c r="D2272" s="77">
        <v>5.0000000000000001E-3</v>
      </c>
      <c r="E2272" s="77">
        <v>7.0000000000000001E-3</v>
      </c>
      <c r="F2272" s="77">
        <v>8.0000000000000002E-3</v>
      </c>
      <c r="G2272" s="78">
        <v>0</v>
      </c>
      <c r="H2272" s="71">
        <v>7.6</v>
      </c>
      <c r="I2272" s="71">
        <v>9.9</v>
      </c>
      <c r="J2272" s="71">
        <v>12.1</v>
      </c>
      <c r="K2272" s="106">
        <v>9.0000000000000011E-3</v>
      </c>
      <c r="L2272" s="80">
        <v>-1.0999999999999999E-2</v>
      </c>
      <c r="M2272" s="75" t="s">
        <v>143</v>
      </c>
      <c r="N2272" s="75" t="b">
        <v>1</v>
      </c>
      <c r="O2272" s="75" t="s">
        <v>144</v>
      </c>
      <c r="P2272" s="75">
        <v>1994</v>
      </c>
      <c r="Q2272" s="107">
        <f t="shared" si="58"/>
        <v>2014</v>
      </c>
      <c r="R2272" s="107">
        <v>2</v>
      </c>
      <c r="S2272" s="100">
        <v>214039</v>
      </c>
      <c r="T2272" s="101">
        <v>41755</v>
      </c>
    </row>
    <row r="2273" spans="1:21" x14ac:dyDescent="0.3">
      <c r="A2273" s="42">
        <v>41721</v>
      </c>
      <c r="B2273" s="69">
        <f>YEAR(A2273)*10000+MONTH(A2273)*100+DAY(A2273)</f>
        <v>20140323</v>
      </c>
      <c r="C2273" s="109">
        <v>2.8199999999999999E-2</v>
      </c>
      <c r="D2273" s="77">
        <v>5.0000000000000001E-3</v>
      </c>
      <c r="E2273" s="77">
        <v>7.0000000000000001E-3</v>
      </c>
      <c r="F2273" s="77">
        <v>8.0000000000000002E-3</v>
      </c>
      <c r="G2273" s="78">
        <v>0</v>
      </c>
      <c r="H2273" s="71">
        <v>7.6</v>
      </c>
      <c r="I2273" s="71">
        <v>9.9</v>
      </c>
      <c r="J2273" s="71">
        <v>12.1</v>
      </c>
      <c r="K2273" s="106">
        <v>9.0000000000000011E-3</v>
      </c>
      <c r="L2273" s="80">
        <v>-1.0999999999999999E-2</v>
      </c>
      <c r="M2273" s="75" t="s">
        <v>143</v>
      </c>
      <c r="N2273" s="75" t="b">
        <v>1</v>
      </c>
      <c r="O2273" s="75" t="s">
        <v>144</v>
      </c>
      <c r="P2273" s="75">
        <v>1994</v>
      </c>
      <c r="Q2273" s="107">
        <f t="shared" si="58"/>
        <v>2014</v>
      </c>
      <c r="R2273" s="107">
        <v>2</v>
      </c>
      <c r="S2273" s="100">
        <v>214039</v>
      </c>
      <c r="T2273" s="101">
        <v>41755</v>
      </c>
    </row>
    <row r="2274" spans="1:21" x14ac:dyDescent="0.3">
      <c r="A2274" s="42">
        <v>41722</v>
      </c>
      <c r="B2274" s="69">
        <f t="shared" si="59"/>
        <v>20140324</v>
      </c>
      <c r="C2274" s="109">
        <v>2.7999999999999997E-2</v>
      </c>
      <c r="D2274" s="77">
        <v>5.0000000000000001E-3</v>
      </c>
      <c r="E2274" s="77">
        <v>7.0000000000000001E-3</v>
      </c>
      <c r="F2274" s="77">
        <v>8.0000000000000002E-3</v>
      </c>
      <c r="G2274" s="78">
        <v>0</v>
      </c>
      <c r="H2274" s="71">
        <v>7.6</v>
      </c>
      <c r="I2274" s="71">
        <v>9.9</v>
      </c>
      <c r="J2274" s="71">
        <v>12.1</v>
      </c>
      <c r="K2274" s="106">
        <v>8.8000000000000005E-3</v>
      </c>
      <c r="L2274" s="80">
        <v>-1.0999999999999999E-2</v>
      </c>
      <c r="M2274" s="75" t="s">
        <v>143</v>
      </c>
      <c r="N2274" s="75" t="b">
        <v>1</v>
      </c>
      <c r="O2274" s="75" t="s">
        <v>144</v>
      </c>
      <c r="P2274" s="75">
        <v>1994</v>
      </c>
      <c r="Q2274" s="107">
        <f t="shared" si="58"/>
        <v>2014</v>
      </c>
      <c r="R2274" s="107">
        <v>2</v>
      </c>
      <c r="S2274" s="100">
        <v>214039</v>
      </c>
      <c r="T2274" s="101">
        <v>41755</v>
      </c>
    </row>
    <row r="2275" spans="1:21" x14ac:dyDescent="0.3">
      <c r="A2275" s="42">
        <v>41723</v>
      </c>
      <c r="B2275" s="69">
        <f t="shared" si="59"/>
        <v>20140325</v>
      </c>
      <c r="C2275" s="109">
        <v>2.8300000000000002E-2</v>
      </c>
      <c r="D2275" s="77">
        <v>5.0000000000000001E-3</v>
      </c>
      <c r="E2275" s="77">
        <v>7.0000000000000001E-3</v>
      </c>
      <c r="F2275" s="77">
        <v>8.0000000000000002E-3</v>
      </c>
      <c r="G2275" s="78">
        <v>0</v>
      </c>
      <c r="H2275" s="71">
        <v>7.6</v>
      </c>
      <c r="I2275" s="71">
        <v>9.9</v>
      </c>
      <c r="J2275" s="71">
        <v>12.1</v>
      </c>
      <c r="K2275" s="106">
        <v>9.1000000000000004E-3</v>
      </c>
      <c r="L2275" s="80">
        <v>-1.0999999999999999E-2</v>
      </c>
      <c r="M2275" s="75" t="s">
        <v>143</v>
      </c>
      <c r="N2275" s="75" t="b">
        <v>1</v>
      </c>
      <c r="O2275" s="75" t="s">
        <v>144</v>
      </c>
      <c r="P2275" s="75">
        <v>1994</v>
      </c>
      <c r="Q2275" s="107">
        <f t="shared" si="58"/>
        <v>2014</v>
      </c>
      <c r="R2275" s="107">
        <v>2</v>
      </c>
      <c r="S2275" s="100">
        <v>214039</v>
      </c>
      <c r="T2275" s="101">
        <v>41755</v>
      </c>
    </row>
    <row r="2276" spans="1:21" x14ac:dyDescent="0.3">
      <c r="A2276" s="42">
        <v>41724</v>
      </c>
      <c r="B2276" s="69">
        <f t="shared" si="59"/>
        <v>20140326</v>
      </c>
      <c r="C2276" s="109">
        <v>2.8199999999999999E-2</v>
      </c>
      <c r="D2276" s="77">
        <v>5.0000000000000001E-3</v>
      </c>
      <c r="E2276" s="77">
        <v>7.0000000000000001E-3</v>
      </c>
      <c r="F2276" s="77">
        <v>8.0000000000000002E-3</v>
      </c>
      <c r="G2276" s="78">
        <v>0</v>
      </c>
      <c r="H2276" s="71">
        <v>7.6</v>
      </c>
      <c r="I2276" s="71">
        <v>9.9</v>
      </c>
      <c r="J2276" s="71">
        <v>12.1</v>
      </c>
      <c r="K2276" s="106">
        <v>9.0000000000000011E-3</v>
      </c>
      <c r="L2276" s="80">
        <v>-1.0999999999999999E-2</v>
      </c>
      <c r="M2276" s="75" t="s">
        <v>143</v>
      </c>
      <c r="N2276" s="75" t="b">
        <v>1</v>
      </c>
      <c r="O2276" s="75" t="s">
        <v>144</v>
      </c>
      <c r="P2276" s="75">
        <v>1994</v>
      </c>
      <c r="Q2276" s="107">
        <f t="shared" si="58"/>
        <v>2014</v>
      </c>
      <c r="R2276" s="107">
        <v>2</v>
      </c>
      <c r="S2276" s="100">
        <v>214039</v>
      </c>
      <c r="T2276" s="101">
        <v>41755</v>
      </c>
    </row>
    <row r="2277" spans="1:21" x14ac:dyDescent="0.3">
      <c r="A2277" s="42">
        <v>41725</v>
      </c>
      <c r="B2277" s="69">
        <f>YEAR(A2277)*10000+MONTH(A2277)*100+DAY(A2277)</f>
        <v>20140327</v>
      </c>
      <c r="C2277" s="109">
        <v>2.7900000000000001E-2</v>
      </c>
      <c r="D2277" s="77">
        <v>5.0000000000000001E-3</v>
      </c>
      <c r="E2277" s="77">
        <v>7.0000000000000001E-3</v>
      </c>
      <c r="F2277" s="77">
        <v>8.0000000000000002E-3</v>
      </c>
      <c r="G2277" s="78">
        <v>0</v>
      </c>
      <c r="H2277" s="71">
        <v>7.6</v>
      </c>
      <c r="I2277" s="71">
        <v>9.9</v>
      </c>
      <c r="J2277" s="71">
        <v>12.1</v>
      </c>
      <c r="K2277" s="106">
        <v>8.6999999999999994E-3</v>
      </c>
      <c r="L2277" s="80">
        <v>-1.0999999999999999E-2</v>
      </c>
      <c r="M2277" s="75" t="s">
        <v>143</v>
      </c>
      <c r="N2277" s="75" t="b">
        <v>1</v>
      </c>
      <c r="O2277" s="75" t="s">
        <v>144</v>
      </c>
      <c r="P2277" s="75">
        <v>1994</v>
      </c>
      <c r="Q2277" s="107">
        <f t="shared" si="58"/>
        <v>2014</v>
      </c>
      <c r="R2277" s="107">
        <v>2</v>
      </c>
      <c r="S2277" s="100">
        <v>214039</v>
      </c>
      <c r="T2277" s="101">
        <v>41755</v>
      </c>
    </row>
    <row r="2278" spans="1:21" x14ac:dyDescent="0.3">
      <c r="A2278" s="42">
        <v>41726</v>
      </c>
      <c r="B2278" s="69">
        <f>YEAR(A2278)*10000+MONTH(A2278)*100+DAY(A2278)</f>
        <v>20140328</v>
      </c>
      <c r="C2278" s="109">
        <v>2.8000000000000001E-2</v>
      </c>
      <c r="D2278" s="77">
        <v>5.0000000000000001E-3</v>
      </c>
      <c r="E2278" s="77">
        <v>7.0000000000000001E-3</v>
      </c>
      <c r="F2278" s="77">
        <v>8.0000000000000002E-3</v>
      </c>
      <c r="G2278" s="78">
        <v>0</v>
      </c>
      <c r="H2278" s="71">
        <v>7.6</v>
      </c>
      <c r="I2278" s="71">
        <v>9.9</v>
      </c>
      <c r="J2278" s="71">
        <v>12.1</v>
      </c>
      <c r="K2278" s="106">
        <v>8.8999999999999999E-3</v>
      </c>
      <c r="L2278" s="80">
        <v>-1.0999999999999999E-2</v>
      </c>
      <c r="M2278" s="75" t="s">
        <v>143</v>
      </c>
      <c r="N2278" s="75" t="b">
        <v>1</v>
      </c>
      <c r="O2278" s="75" t="s">
        <v>144</v>
      </c>
      <c r="P2278" s="75">
        <v>1994</v>
      </c>
      <c r="Q2278" s="107">
        <f t="shared" si="58"/>
        <v>2014</v>
      </c>
      <c r="R2278" s="107">
        <v>2</v>
      </c>
      <c r="S2278" s="100">
        <v>214039</v>
      </c>
      <c r="T2278" s="101">
        <v>41755</v>
      </c>
    </row>
    <row r="2279" spans="1:21" x14ac:dyDescent="0.3">
      <c r="A2279" s="42">
        <v>41727</v>
      </c>
      <c r="B2279" s="69">
        <f>YEAR(A2279)*10000+MONTH(A2279)*100+DAY(A2279)</f>
        <v>20140329</v>
      </c>
      <c r="C2279" s="109">
        <v>2.8000000000000001E-2</v>
      </c>
      <c r="D2279" s="77">
        <v>5.0000000000000001E-3</v>
      </c>
      <c r="E2279" s="77">
        <v>7.0000000000000001E-3</v>
      </c>
      <c r="F2279" s="77">
        <v>8.0000000000000002E-3</v>
      </c>
      <c r="G2279" s="78">
        <v>0</v>
      </c>
      <c r="H2279" s="71">
        <v>7.6</v>
      </c>
      <c r="I2279" s="71">
        <v>9.9</v>
      </c>
      <c r="J2279" s="71">
        <v>12.1</v>
      </c>
      <c r="K2279" s="106">
        <v>8.8999999999999999E-3</v>
      </c>
      <c r="L2279" s="80">
        <v>-1.0999999999999999E-2</v>
      </c>
      <c r="M2279" s="75" t="s">
        <v>143</v>
      </c>
      <c r="N2279" s="75" t="b">
        <v>1</v>
      </c>
      <c r="O2279" s="75" t="s">
        <v>144</v>
      </c>
      <c r="P2279" s="75">
        <v>1994</v>
      </c>
      <c r="Q2279" s="107">
        <f t="shared" si="58"/>
        <v>2014</v>
      </c>
      <c r="R2279" s="107">
        <v>2</v>
      </c>
      <c r="S2279" s="100">
        <v>214039</v>
      </c>
      <c r="T2279" s="101">
        <v>41755</v>
      </c>
    </row>
    <row r="2280" spans="1:21" x14ac:dyDescent="0.3">
      <c r="A2280" s="42">
        <v>41728</v>
      </c>
      <c r="B2280" s="69">
        <f>YEAR(A2280)*10000+MONTH(A2280)*100+DAY(A2280)</f>
        <v>20140330</v>
      </c>
      <c r="C2280" s="109">
        <v>2.8000000000000001E-2</v>
      </c>
      <c r="D2280" s="77">
        <v>5.0000000000000001E-3</v>
      </c>
      <c r="E2280" s="77">
        <v>7.0000000000000001E-3</v>
      </c>
      <c r="F2280" s="77">
        <v>8.0000000000000002E-3</v>
      </c>
      <c r="G2280" s="78">
        <v>0</v>
      </c>
      <c r="H2280" s="71">
        <v>7.6</v>
      </c>
      <c r="I2280" s="71">
        <v>9.9</v>
      </c>
      <c r="J2280" s="71">
        <v>12.1</v>
      </c>
      <c r="K2280" s="106">
        <v>8.8999999999999999E-3</v>
      </c>
      <c r="L2280" s="80">
        <v>-1.0999999999999999E-2</v>
      </c>
      <c r="M2280" s="75" t="s">
        <v>143</v>
      </c>
      <c r="N2280" s="75" t="b">
        <v>1</v>
      </c>
      <c r="O2280" s="75" t="s">
        <v>144</v>
      </c>
      <c r="P2280" s="75">
        <v>1994</v>
      </c>
      <c r="Q2280" s="107">
        <f t="shared" si="58"/>
        <v>2014</v>
      </c>
      <c r="R2280" s="107">
        <v>2</v>
      </c>
      <c r="S2280" s="100">
        <v>214039</v>
      </c>
      <c r="T2280" s="101">
        <v>41755</v>
      </c>
    </row>
    <row r="2281" spans="1:21" s="99" customFormat="1" x14ac:dyDescent="0.3">
      <c r="A2281" s="85">
        <v>41729</v>
      </c>
      <c r="B2281" s="86">
        <f>YEAR(A2281)*10000+MONTH(A2281)*100+DAY(A2281)</f>
        <v>20140331</v>
      </c>
      <c r="C2281" s="87">
        <v>2.8199999999999999E-2</v>
      </c>
      <c r="D2281" s="89">
        <v>5.0000000000000001E-3</v>
      </c>
      <c r="E2281" s="89">
        <v>8.0000000000000002E-3</v>
      </c>
      <c r="F2281" s="89">
        <v>0.01</v>
      </c>
      <c r="G2281" s="103">
        <v>0</v>
      </c>
      <c r="H2281" s="119">
        <v>7.7</v>
      </c>
      <c r="I2281" s="119">
        <v>10.1</v>
      </c>
      <c r="J2281" s="119">
        <v>12.3</v>
      </c>
      <c r="K2281" s="92">
        <v>9.1000000000000004E-3</v>
      </c>
      <c r="L2281" s="120">
        <v>-0.01</v>
      </c>
      <c r="M2281" s="98" t="s">
        <v>143</v>
      </c>
      <c r="N2281" s="98" t="b">
        <v>1</v>
      </c>
      <c r="O2281" s="98" t="s">
        <v>144</v>
      </c>
      <c r="P2281" s="98">
        <v>1994</v>
      </c>
      <c r="Q2281" s="105">
        <f t="shared" si="58"/>
        <v>2014</v>
      </c>
      <c r="R2281" s="105">
        <v>2</v>
      </c>
      <c r="S2281" s="93">
        <v>214043</v>
      </c>
      <c r="T2281" s="94">
        <v>41765</v>
      </c>
      <c r="U2281" s="95" t="s">
        <v>176</v>
      </c>
    </row>
    <row r="2282" spans="1:21" x14ac:dyDescent="0.3">
      <c r="A2282" s="42">
        <v>41730</v>
      </c>
      <c r="B2282" s="69">
        <f t="shared" ref="B2282:B2306" si="60">YEAR(A2282)*10000+MONTH(A2282)*100+DAY(A2282)</f>
        <v>20140401</v>
      </c>
      <c r="C2282" s="109">
        <v>2.87E-2</v>
      </c>
      <c r="D2282" s="77">
        <v>5.0000000000000001E-3</v>
      </c>
      <c r="E2282" s="77">
        <v>8.0000000000000002E-3</v>
      </c>
      <c r="F2282" s="77">
        <v>0.01</v>
      </c>
      <c r="G2282" s="78">
        <v>0</v>
      </c>
      <c r="H2282" s="71">
        <v>7.7</v>
      </c>
      <c r="I2282" s="71">
        <v>10.1</v>
      </c>
      <c r="J2282" s="71">
        <v>12.3</v>
      </c>
      <c r="K2282" s="106">
        <v>9.5999999999999992E-3</v>
      </c>
      <c r="L2282" s="80">
        <v>-0.01</v>
      </c>
      <c r="M2282" s="75" t="s">
        <v>143</v>
      </c>
      <c r="N2282" s="75" t="b">
        <v>1</v>
      </c>
      <c r="O2282" s="75" t="s">
        <v>144</v>
      </c>
      <c r="P2282" s="75">
        <v>1994</v>
      </c>
      <c r="Q2282" s="107">
        <f t="shared" si="58"/>
        <v>2014</v>
      </c>
      <c r="R2282" s="107">
        <v>2</v>
      </c>
      <c r="S2282" s="100">
        <v>214043</v>
      </c>
      <c r="T2282" s="101">
        <v>41765</v>
      </c>
    </row>
    <row r="2283" spans="1:21" x14ac:dyDescent="0.3">
      <c r="A2283" s="42">
        <v>41731</v>
      </c>
      <c r="B2283" s="69">
        <f t="shared" si="60"/>
        <v>20140402</v>
      </c>
      <c r="C2283" s="109">
        <v>2.8999999999999998E-2</v>
      </c>
      <c r="D2283" s="77">
        <v>5.0000000000000001E-3</v>
      </c>
      <c r="E2283" s="77">
        <v>8.0000000000000002E-3</v>
      </c>
      <c r="F2283" s="77">
        <v>0.01</v>
      </c>
      <c r="G2283" s="78">
        <v>0</v>
      </c>
      <c r="H2283" s="71">
        <v>7.7</v>
      </c>
      <c r="I2283" s="71">
        <v>10.1</v>
      </c>
      <c r="J2283" s="71">
        <v>12.3</v>
      </c>
      <c r="K2283" s="106">
        <v>9.8999999999999991E-3</v>
      </c>
      <c r="L2283" s="80">
        <v>-0.01</v>
      </c>
      <c r="M2283" s="75" t="s">
        <v>143</v>
      </c>
      <c r="N2283" s="75" t="b">
        <v>1</v>
      </c>
      <c r="O2283" s="75" t="s">
        <v>144</v>
      </c>
      <c r="P2283" s="75">
        <v>1994</v>
      </c>
      <c r="Q2283" s="107">
        <f t="shared" si="58"/>
        <v>2014</v>
      </c>
      <c r="R2283" s="107">
        <v>2</v>
      </c>
      <c r="S2283" s="100">
        <v>214043</v>
      </c>
      <c r="T2283" s="101">
        <v>41765</v>
      </c>
    </row>
    <row r="2284" spans="1:21" x14ac:dyDescent="0.3">
      <c r="A2284" s="42">
        <v>41732</v>
      </c>
      <c r="B2284" s="69">
        <f t="shared" si="60"/>
        <v>20140403</v>
      </c>
      <c r="C2284" s="109">
        <v>2.8900000000000002E-2</v>
      </c>
      <c r="D2284" s="77">
        <v>5.0000000000000001E-3</v>
      </c>
      <c r="E2284" s="77">
        <v>8.0000000000000002E-3</v>
      </c>
      <c r="F2284" s="77">
        <v>0.01</v>
      </c>
      <c r="G2284" s="78">
        <v>0</v>
      </c>
      <c r="H2284" s="71">
        <v>7.7</v>
      </c>
      <c r="I2284" s="71">
        <v>10.1</v>
      </c>
      <c r="J2284" s="71">
        <v>12.3</v>
      </c>
      <c r="K2284" s="106">
        <v>9.7999999999999997E-3</v>
      </c>
      <c r="L2284" s="80">
        <v>-0.01</v>
      </c>
      <c r="M2284" s="75" t="s">
        <v>143</v>
      </c>
      <c r="N2284" s="75" t="b">
        <v>1</v>
      </c>
      <c r="O2284" s="75" t="s">
        <v>144</v>
      </c>
      <c r="P2284" s="75">
        <v>1994</v>
      </c>
      <c r="Q2284" s="107">
        <f t="shared" si="58"/>
        <v>2014</v>
      </c>
      <c r="R2284" s="107">
        <v>2</v>
      </c>
      <c r="S2284" s="100">
        <v>214043</v>
      </c>
      <c r="T2284" s="101">
        <v>41765</v>
      </c>
    </row>
    <row r="2285" spans="1:21" x14ac:dyDescent="0.3">
      <c r="A2285" s="42">
        <v>41733</v>
      </c>
      <c r="B2285" s="69">
        <f t="shared" si="60"/>
        <v>20140404</v>
      </c>
      <c r="C2285" s="109">
        <v>2.86E-2</v>
      </c>
      <c r="D2285" s="77">
        <v>5.0000000000000001E-3</v>
      </c>
      <c r="E2285" s="77">
        <v>8.0000000000000002E-3</v>
      </c>
      <c r="F2285" s="77">
        <v>0.01</v>
      </c>
      <c r="G2285" s="78">
        <v>0</v>
      </c>
      <c r="H2285" s="71">
        <v>7.7</v>
      </c>
      <c r="I2285" s="71">
        <v>10.1</v>
      </c>
      <c r="J2285" s="71">
        <v>12.3</v>
      </c>
      <c r="K2285" s="106">
        <v>9.4999999999999998E-3</v>
      </c>
      <c r="L2285" s="80">
        <v>-0.01</v>
      </c>
      <c r="M2285" s="75" t="s">
        <v>143</v>
      </c>
      <c r="N2285" s="75" t="b">
        <v>1</v>
      </c>
      <c r="O2285" s="75" t="s">
        <v>144</v>
      </c>
      <c r="P2285" s="75">
        <v>1994</v>
      </c>
      <c r="Q2285" s="107">
        <f t="shared" si="58"/>
        <v>2014</v>
      </c>
      <c r="R2285" s="107">
        <v>2</v>
      </c>
      <c r="S2285" s="100">
        <v>214043</v>
      </c>
      <c r="T2285" s="101">
        <v>41765</v>
      </c>
    </row>
    <row r="2286" spans="1:21" x14ac:dyDescent="0.3">
      <c r="A2286" s="42">
        <v>41734</v>
      </c>
      <c r="B2286" s="69">
        <f t="shared" si="60"/>
        <v>20140405</v>
      </c>
      <c r="C2286" s="109">
        <v>2.86E-2</v>
      </c>
      <c r="D2286" s="77">
        <v>5.0000000000000001E-3</v>
      </c>
      <c r="E2286" s="77">
        <v>8.0000000000000002E-3</v>
      </c>
      <c r="F2286" s="77">
        <v>0.01</v>
      </c>
      <c r="G2286" s="78">
        <v>0</v>
      </c>
      <c r="H2286" s="71">
        <v>7.7</v>
      </c>
      <c r="I2286" s="71">
        <v>10.1</v>
      </c>
      <c r="J2286" s="71">
        <v>12.3</v>
      </c>
      <c r="K2286" s="106">
        <v>9.4999999999999998E-3</v>
      </c>
      <c r="L2286" s="80">
        <v>-0.01</v>
      </c>
      <c r="M2286" s="75" t="s">
        <v>143</v>
      </c>
      <c r="N2286" s="75" t="b">
        <v>1</v>
      </c>
      <c r="O2286" s="75" t="s">
        <v>144</v>
      </c>
      <c r="P2286" s="75">
        <v>1994</v>
      </c>
      <c r="Q2286" s="107">
        <f t="shared" ref="Q2286:Q2349" si="61">YEAR(A2286)</f>
        <v>2014</v>
      </c>
      <c r="R2286" s="107">
        <v>2</v>
      </c>
      <c r="S2286" s="100">
        <v>214043</v>
      </c>
      <c r="T2286" s="101">
        <v>41765</v>
      </c>
    </row>
    <row r="2287" spans="1:21" x14ac:dyDescent="0.3">
      <c r="A2287" s="42">
        <v>41735</v>
      </c>
      <c r="B2287" s="69">
        <f t="shared" si="60"/>
        <v>20140406</v>
      </c>
      <c r="C2287" s="109">
        <v>2.86E-2</v>
      </c>
      <c r="D2287" s="77">
        <v>5.0000000000000001E-3</v>
      </c>
      <c r="E2287" s="77">
        <v>8.0000000000000002E-3</v>
      </c>
      <c r="F2287" s="77">
        <v>0.01</v>
      </c>
      <c r="G2287" s="78">
        <v>0</v>
      </c>
      <c r="H2287" s="71">
        <v>7.7</v>
      </c>
      <c r="I2287" s="71">
        <v>10.1</v>
      </c>
      <c r="J2287" s="71">
        <v>12.3</v>
      </c>
      <c r="K2287" s="106">
        <v>9.4999999999999998E-3</v>
      </c>
      <c r="L2287" s="80">
        <v>-0.01</v>
      </c>
      <c r="M2287" s="75" t="s">
        <v>143</v>
      </c>
      <c r="N2287" s="75" t="b">
        <v>1</v>
      </c>
      <c r="O2287" s="75" t="s">
        <v>144</v>
      </c>
      <c r="P2287" s="75">
        <v>1994</v>
      </c>
      <c r="Q2287" s="107">
        <f t="shared" si="61"/>
        <v>2014</v>
      </c>
      <c r="R2287" s="107">
        <v>2</v>
      </c>
      <c r="S2287" s="100">
        <v>214043</v>
      </c>
      <c r="T2287" s="101">
        <v>41765</v>
      </c>
    </row>
    <row r="2288" spans="1:21" x14ac:dyDescent="0.3">
      <c r="A2288" s="42">
        <v>41736</v>
      </c>
      <c r="B2288" s="69">
        <f t="shared" si="60"/>
        <v>20140407</v>
      </c>
      <c r="C2288" s="109">
        <v>2.8300000000000002E-2</v>
      </c>
      <c r="D2288" s="77">
        <v>5.0000000000000001E-3</v>
      </c>
      <c r="E2288" s="77">
        <v>8.0000000000000002E-3</v>
      </c>
      <c r="F2288" s="77">
        <v>0.01</v>
      </c>
      <c r="G2288" s="78">
        <v>0</v>
      </c>
      <c r="H2288" s="71">
        <v>7.7</v>
      </c>
      <c r="I2288" s="71">
        <v>10.1</v>
      </c>
      <c r="J2288" s="71">
        <v>12.3</v>
      </c>
      <c r="K2288" s="106">
        <v>9.300000000000001E-3</v>
      </c>
      <c r="L2288" s="80">
        <v>-0.01</v>
      </c>
      <c r="M2288" s="75" t="s">
        <v>143</v>
      </c>
      <c r="N2288" s="75" t="b">
        <v>1</v>
      </c>
      <c r="O2288" s="75" t="s">
        <v>144</v>
      </c>
      <c r="P2288" s="75">
        <v>1994</v>
      </c>
      <c r="Q2288" s="107">
        <f t="shared" si="61"/>
        <v>2014</v>
      </c>
      <c r="R2288" s="107">
        <v>2</v>
      </c>
      <c r="S2288" s="100">
        <v>214043</v>
      </c>
      <c r="T2288" s="101">
        <v>41765</v>
      </c>
    </row>
    <row r="2289" spans="1:20" x14ac:dyDescent="0.3">
      <c r="A2289" s="42">
        <v>41737</v>
      </c>
      <c r="B2289" s="69">
        <f t="shared" si="60"/>
        <v>20140408</v>
      </c>
      <c r="C2289" s="109">
        <v>2.8199999999999999E-2</v>
      </c>
      <c r="D2289" s="77">
        <v>5.0000000000000001E-3</v>
      </c>
      <c r="E2289" s="77">
        <v>8.0000000000000002E-3</v>
      </c>
      <c r="F2289" s="77">
        <v>0.01</v>
      </c>
      <c r="G2289" s="78">
        <v>0</v>
      </c>
      <c r="H2289" s="71">
        <v>7.7</v>
      </c>
      <c r="I2289" s="71">
        <v>10.1</v>
      </c>
      <c r="J2289" s="71">
        <v>12.3</v>
      </c>
      <c r="K2289" s="106">
        <v>9.300000000000001E-3</v>
      </c>
      <c r="L2289" s="80">
        <v>-0.01</v>
      </c>
      <c r="M2289" s="75" t="s">
        <v>143</v>
      </c>
      <c r="N2289" s="75" t="b">
        <v>1</v>
      </c>
      <c r="O2289" s="75" t="s">
        <v>144</v>
      </c>
      <c r="P2289" s="75">
        <v>1994</v>
      </c>
      <c r="Q2289" s="107">
        <f t="shared" si="61"/>
        <v>2014</v>
      </c>
      <c r="R2289" s="107">
        <v>2</v>
      </c>
      <c r="S2289" s="100">
        <v>214043</v>
      </c>
      <c r="T2289" s="101">
        <v>41765</v>
      </c>
    </row>
    <row r="2290" spans="1:20" x14ac:dyDescent="0.3">
      <c r="A2290" s="42">
        <v>41738</v>
      </c>
      <c r="B2290" s="69">
        <f t="shared" si="60"/>
        <v>20140409</v>
      </c>
      <c r="C2290" s="109">
        <v>2.8399999999999998E-2</v>
      </c>
      <c r="D2290" s="77">
        <v>5.0000000000000001E-3</v>
      </c>
      <c r="E2290" s="77">
        <v>8.0000000000000002E-3</v>
      </c>
      <c r="F2290" s="77">
        <v>0.01</v>
      </c>
      <c r="G2290" s="78">
        <v>0</v>
      </c>
      <c r="H2290" s="71">
        <v>7.7</v>
      </c>
      <c r="I2290" s="71">
        <v>10.1</v>
      </c>
      <c r="J2290" s="71">
        <v>12.3</v>
      </c>
      <c r="K2290" s="106">
        <v>9.4999999999999998E-3</v>
      </c>
      <c r="L2290" s="80">
        <v>-0.01</v>
      </c>
      <c r="M2290" s="75" t="s">
        <v>143</v>
      </c>
      <c r="N2290" s="75" t="b">
        <v>1</v>
      </c>
      <c r="O2290" s="75" t="s">
        <v>144</v>
      </c>
      <c r="P2290" s="75">
        <v>1994</v>
      </c>
      <c r="Q2290" s="107">
        <f t="shared" si="61"/>
        <v>2014</v>
      </c>
      <c r="R2290" s="107">
        <v>2</v>
      </c>
      <c r="S2290" s="100">
        <v>214043</v>
      </c>
      <c r="T2290" s="101">
        <v>41765</v>
      </c>
    </row>
    <row r="2291" spans="1:20" x14ac:dyDescent="0.3">
      <c r="A2291" s="42">
        <v>41739</v>
      </c>
      <c r="B2291" s="69">
        <f t="shared" si="60"/>
        <v>20140410</v>
      </c>
      <c r="C2291" s="109">
        <v>2.8199999999999999E-2</v>
      </c>
      <c r="D2291" s="77">
        <v>5.0000000000000001E-3</v>
      </c>
      <c r="E2291" s="77">
        <v>8.0000000000000002E-3</v>
      </c>
      <c r="F2291" s="77">
        <v>0.01</v>
      </c>
      <c r="G2291" s="78">
        <v>0</v>
      </c>
      <c r="H2291" s="71">
        <v>7.7</v>
      </c>
      <c r="I2291" s="71">
        <v>10.1</v>
      </c>
      <c r="J2291" s="71">
        <v>12.3</v>
      </c>
      <c r="K2291" s="106">
        <v>9.300000000000001E-3</v>
      </c>
      <c r="L2291" s="80">
        <v>-0.01</v>
      </c>
      <c r="M2291" s="75" t="s">
        <v>143</v>
      </c>
      <c r="N2291" s="75" t="b">
        <v>1</v>
      </c>
      <c r="O2291" s="75" t="s">
        <v>144</v>
      </c>
      <c r="P2291" s="75">
        <v>1994</v>
      </c>
      <c r="Q2291" s="107">
        <f t="shared" si="61"/>
        <v>2014</v>
      </c>
      <c r="R2291" s="107">
        <v>2</v>
      </c>
      <c r="S2291" s="100">
        <v>214043</v>
      </c>
      <c r="T2291" s="101">
        <v>41765</v>
      </c>
    </row>
    <row r="2292" spans="1:20" x14ac:dyDescent="0.3">
      <c r="A2292" s="42">
        <v>41740</v>
      </c>
      <c r="B2292" s="69">
        <f t="shared" si="60"/>
        <v>20140411</v>
      </c>
      <c r="C2292" s="109">
        <v>2.7799999999999998E-2</v>
      </c>
      <c r="D2292" s="77">
        <v>5.0000000000000001E-3</v>
      </c>
      <c r="E2292" s="77">
        <v>8.0000000000000002E-3</v>
      </c>
      <c r="F2292" s="77">
        <v>0.01</v>
      </c>
      <c r="G2292" s="78">
        <v>0</v>
      </c>
      <c r="H2292" s="71">
        <v>7.7</v>
      </c>
      <c r="I2292" s="71">
        <v>10.1</v>
      </c>
      <c r="J2292" s="71">
        <v>12.3</v>
      </c>
      <c r="K2292" s="106">
        <v>9.1000000000000004E-3</v>
      </c>
      <c r="L2292" s="80">
        <v>-0.01</v>
      </c>
      <c r="M2292" s="75" t="s">
        <v>143</v>
      </c>
      <c r="N2292" s="75" t="b">
        <v>1</v>
      </c>
      <c r="O2292" s="75" t="s">
        <v>144</v>
      </c>
      <c r="P2292" s="75">
        <v>1994</v>
      </c>
      <c r="Q2292" s="107">
        <f t="shared" si="61"/>
        <v>2014</v>
      </c>
      <c r="R2292" s="107">
        <v>2</v>
      </c>
      <c r="S2292" s="100">
        <v>214043</v>
      </c>
      <c r="T2292" s="101">
        <v>41765</v>
      </c>
    </row>
    <row r="2293" spans="1:20" x14ac:dyDescent="0.3">
      <c r="A2293" s="42">
        <v>41741</v>
      </c>
      <c r="B2293" s="69">
        <f t="shared" si="60"/>
        <v>20140412</v>
      </c>
      <c r="C2293" s="109">
        <v>2.7799999999999998E-2</v>
      </c>
      <c r="D2293" s="77">
        <v>5.0000000000000001E-3</v>
      </c>
      <c r="E2293" s="77">
        <v>8.0000000000000002E-3</v>
      </c>
      <c r="F2293" s="77">
        <v>0.01</v>
      </c>
      <c r="G2293" s="78">
        <v>0</v>
      </c>
      <c r="H2293" s="71">
        <v>7.7</v>
      </c>
      <c r="I2293" s="71">
        <v>10.1</v>
      </c>
      <c r="J2293" s="71">
        <v>12.3</v>
      </c>
      <c r="K2293" s="106">
        <v>9.1000000000000004E-3</v>
      </c>
      <c r="L2293" s="80">
        <v>-0.01</v>
      </c>
      <c r="M2293" s="75" t="s">
        <v>143</v>
      </c>
      <c r="N2293" s="75" t="b">
        <v>1</v>
      </c>
      <c r="O2293" s="75" t="s">
        <v>144</v>
      </c>
      <c r="P2293" s="75">
        <v>1994</v>
      </c>
      <c r="Q2293" s="107">
        <f t="shared" si="61"/>
        <v>2014</v>
      </c>
      <c r="R2293" s="107">
        <v>2</v>
      </c>
      <c r="S2293" s="100">
        <v>214043</v>
      </c>
      <c r="T2293" s="101">
        <v>41765</v>
      </c>
    </row>
    <row r="2294" spans="1:20" x14ac:dyDescent="0.3">
      <c r="A2294" s="42">
        <v>41742</v>
      </c>
      <c r="B2294" s="69">
        <f t="shared" si="60"/>
        <v>20140413</v>
      </c>
      <c r="C2294" s="109">
        <v>2.7799999999999998E-2</v>
      </c>
      <c r="D2294" s="77">
        <v>5.0000000000000001E-3</v>
      </c>
      <c r="E2294" s="77">
        <v>8.0000000000000002E-3</v>
      </c>
      <c r="F2294" s="77">
        <v>0.01</v>
      </c>
      <c r="G2294" s="78">
        <v>0</v>
      </c>
      <c r="H2294" s="71">
        <v>7.7</v>
      </c>
      <c r="I2294" s="71">
        <v>10.1</v>
      </c>
      <c r="J2294" s="71">
        <v>12.3</v>
      </c>
      <c r="K2294" s="106">
        <v>9.1000000000000004E-3</v>
      </c>
      <c r="L2294" s="80">
        <v>-0.01</v>
      </c>
      <c r="M2294" s="75" t="s">
        <v>143</v>
      </c>
      <c r="N2294" s="75" t="b">
        <v>1</v>
      </c>
      <c r="O2294" s="75" t="s">
        <v>144</v>
      </c>
      <c r="P2294" s="75">
        <v>1994</v>
      </c>
      <c r="Q2294" s="107">
        <f t="shared" si="61"/>
        <v>2014</v>
      </c>
      <c r="R2294" s="107">
        <v>2</v>
      </c>
      <c r="S2294" s="100">
        <v>214043</v>
      </c>
      <c r="T2294" s="101">
        <v>41765</v>
      </c>
    </row>
    <row r="2295" spans="1:20" x14ac:dyDescent="0.3">
      <c r="A2295" s="42">
        <v>41743</v>
      </c>
      <c r="B2295" s="69">
        <f t="shared" si="60"/>
        <v>20140414</v>
      </c>
      <c r="C2295" s="109">
        <v>2.7900000000000001E-2</v>
      </c>
      <c r="D2295" s="77">
        <v>5.0000000000000001E-3</v>
      </c>
      <c r="E2295" s="77">
        <v>8.0000000000000002E-3</v>
      </c>
      <c r="F2295" s="77">
        <v>0.01</v>
      </c>
      <c r="G2295" s="78">
        <v>0</v>
      </c>
      <c r="H2295" s="71">
        <v>7.7</v>
      </c>
      <c r="I2295" s="71">
        <v>10.1</v>
      </c>
      <c r="J2295" s="71">
        <v>12.3</v>
      </c>
      <c r="K2295" s="106">
        <v>9.1000000000000004E-3</v>
      </c>
      <c r="L2295" s="80">
        <v>-0.01</v>
      </c>
      <c r="M2295" s="75" t="s">
        <v>143</v>
      </c>
      <c r="N2295" s="75" t="b">
        <v>1</v>
      </c>
      <c r="O2295" s="75" t="s">
        <v>144</v>
      </c>
      <c r="P2295" s="75">
        <v>1994</v>
      </c>
      <c r="Q2295" s="107">
        <f t="shared" si="61"/>
        <v>2014</v>
      </c>
      <c r="R2295" s="107">
        <v>2</v>
      </c>
      <c r="S2295" s="100">
        <v>214043</v>
      </c>
      <c r="T2295" s="101">
        <v>41765</v>
      </c>
    </row>
    <row r="2296" spans="1:20" x14ac:dyDescent="0.3">
      <c r="A2296" s="42">
        <v>41744</v>
      </c>
      <c r="B2296" s="69">
        <f t="shared" si="60"/>
        <v>20140415</v>
      </c>
      <c r="C2296" s="109">
        <v>2.7699999999999999E-2</v>
      </c>
      <c r="D2296" s="77">
        <v>5.0000000000000001E-3</v>
      </c>
      <c r="E2296" s="77">
        <v>8.0000000000000002E-3</v>
      </c>
      <c r="F2296" s="77">
        <v>0.01</v>
      </c>
      <c r="G2296" s="78">
        <v>0</v>
      </c>
      <c r="H2296" s="71">
        <v>7.7</v>
      </c>
      <c r="I2296" s="71">
        <v>10.1</v>
      </c>
      <c r="J2296" s="71">
        <v>12.3</v>
      </c>
      <c r="K2296" s="106">
        <v>8.8999999999999999E-3</v>
      </c>
      <c r="L2296" s="80">
        <v>-0.01</v>
      </c>
      <c r="M2296" s="75" t="s">
        <v>143</v>
      </c>
      <c r="N2296" s="75" t="b">
        <v>1</v>
      </c>
      <c r="O2296" s="75" t="s">
        <v>144</v>
      </c>
      <c r="P2296" s="75">
        <v>1994</v>
      </c>
      <c r="Q2296" s="107">
        <f t="shared" si="61"/>
        <v>2014</v>
      </c>
      <c r="R2296" s="107">
        <v>2</v>
      </c>
      <c r="S2296" s="100">
        <v>214043</v>
      </c>
      <c r="T2296" s="101">
        <v>41765</v>
      </c>
    </row>
    <row r="2297" spans="1:20" x14ac:dyDescent="0.3">
      <c r="A2297" s="42">
        <v>41745</v>
      </c>
      <c r="B2297" s="69">
        <f t="shared" si="60"/>
        <v>20140416</v>
      </c>
      <c r="C2297" s="109">
        <v>2.76E-2</v>
      </c>
      <c r="D2297" s="77">
        <v>5.0000000000000001E-3</v>
      </c>
      <c r="E2297" s="77">
        <v>8.0000000000000002E-3</v>
      </c>
      <c r="F2297" s="77">
        <v>0.01</v>
      </c>
      <c r="G2297" s="78">
        <v>0</v>
      </c>
      <c r="H2297" s="71">
        <v>7.7</v>
      </c>
      <c r="I2297" s="71">
        <v>10.1</v>
      </c>
      <c r="J2297" s="71">
        <v>12.3</v>
      </c>
      <c r="K2297" s="106">
        <v>8.8000000000000005E-3</v>
      </c>
      <c r="L2297" s="80">
        <v>-0.01</v>
      </c>
      <c r="M2297" s="75" t="s">
        <v>143</v>
      </c>
      <c r="N2297" s="75" t="b">
        <v>1</v>
      </c>
      <c r="O2297" s="75" t="s">
        <v>144</v>
      </c>
      <c r="P2297" s="75">
        <v>1994</v>
      </c>
      <c r="Q2297" s="107">
        <f t="shared" si="61"/>
        <v>2014</v>
      </c>
      <c r="R2297" s="107">
        <v>2</v>
      </c>
      <c r="S2297" s="100">
        <v>214043</v>
      </c>
      <c r="T2297" s="101">
        <v>41765</v>
      </c>
    </row>
    <row r="2298" spans="1:20" x14ac:dyDescent="0.3">
      <c r="A2298" s="42">
        <v>41746</v>
      </c>
      <c r="B2298" s="69">
        <f t="shared" si="60"/>
        <v>20140417</v>
      </c>
      <c r="C2298" s="109">
        <v>2.7999999999999997E-2</v>
      </c>
      <c r="D2298" s="77">
        <v>5.0000000000000001E-3</v>
      </c>
      <c r="E2298" s="77">
        <v>8.0000000000000002E-3</v>
      </c>
      <c r="F2298" s="77">
        <v>0.01</v>
      </c>
      <c r="G2298" s="78">
        <v>0</v>
      </c>
      <c r="H2298" s="71">
        <v>7.7</v>
      </c>
      <c r="I2298" s="71">
        <v>10.1</v>
      </c>
      <c r="J2298" s="71">
        <v>12.3</v>
      </c>
      <c r="K2298" s="106">
        <v>9.1000000000000004E-3</v>
      </c>
      <c r="L2298" s="80">
        <v>-0.01</v>
      </c>
      <c r="M2298" s="75" t="s">
        <v>143</v>
      </c>
      <c r="N2298" s="75" t="b">
        <v>1</v>
      </c>
      <c r="O2298" s="75" t="s">
        <v>144</v>
      </c>
      <c r="P2298" s="75">
        <v>1994</v>
      </c>
      <c r="Q2298" s="107">
        <f t="shared" si="61"/>
        <v>2014</v>
      </c>
      <c r="R2298" s="107">
        <v>2</v>
      </c>
      <c r="S2298" s="100">
        <v>214043</v>
      </c>
      <c r="T2298" s="101">
        <v>41765</v>
      </c>
    </row>
    <row r="2299" spans="1:20" x14ac:dyDescent="0.3">
      <c r="A2299" s="42">
        <v>41747</v>
      </c>
      <c r="B2299" s="69">
        <f t="shared" si="60"/>
        <v>20140418</v>
      </c>
      <c r="C2299" s="109">
        <v>2.7999999999999997E-2</v>
      </c>
      <c r="D2299" s="77">
        <v>5.0000000000000001E-3</v>
      </c>
      <c r="E2299" s="77">
        <v>8.0000000000000002E-3</v>
      </c>
      <c r="F2299" s="77">
        <v>0.01</v>
      </c>
      <c r="G2299" s="78">
        <v>0</v>
      </c>
      <c r="H2299" s="71">
        <v>7.7</v>
      </c>
      <c r="I2299" s="71">
        <v>10.1</v>
      </c>
      <c r="J2299" s="71">
        <v>12.3</v>
      </c>
      <c r="K2299" s="106">
        <v>9.1000000000000004E-3</v>
      </c>
      <c r="L2299" s="80">
        <v>-0.01</v>
      </c>
      <c r="M2299" s="75" t="s">
        <v>143</v>
      </c>
      <c r="N2299" s="75" t="b">
        <v>1</v>
      </c>
      <c r="O2299" s="75" t="s">
        <v>144</v>
      </c>
      <c r="P2299" s="75">
        <v>1994</v>
      </c>
      <c r="Q2299" s="107">
        <f t="shared" si="61"/>
        <v>2014</v>
      </c>
      <c r="R2299" s="107">
        <v>2</v>
      </c>
      <c r="S2299" s="100">
        <v>214043</v>
      </c>
      <c r="T2299" s="101">
        <v>41765</v>
      </c>
    </row>
    <row r="2300" spans="1:20" x14ac:dyDescent="0.3">
      <c r="A2300" s="42">
        <v>41748</v>
      </c>
      <c r="B2300" s="69">
        <f>YEAR(A2300)*10000+MONTH(A2300)*100+DAY(A2300)</f>
        <v>20140419</v>
      </c>
      <c r="C2300" s="109">
        <v>2.7999999999999997E-2</v>
      </c>
      <c r="D2300" s="77">
        <v>5.0000000000000001E-3</v>
      </c>
      <c r="E2300" s="77">
        <v>8.0000000000000002E-3</v>
      </c>
      <c r="F2300" s="77">
        <v>0.01</v>
      </c>
      <c r="G2300" s="78">
        <v>0</v>
      </c>
      <c r="H2300" s="71">
        <v>7.7</v>
      </c>
      <c r="I2300" s="71">
        <v>10.1</v>
      </c>
      <c r="J2300" s="71">
        <v>12.3</v>
      </c>
      <c r="K2300" s="106">
        <v>9.1000000000000004E-3</v>
      </c>
      <c r="L2300" s="80">
        <v>-0.01</v>
      </c>
      <c r="M2300" s="75" t="s">
        <v>143</v>
      </c>
      <c r="N2300" s="75" t="b">
        <v>1</v>
      </c>
      <c r="O2300" s="75" t="s">
        <v>144</v>
      </c>
      <c r="P2300" s="75">
        <v>1994</v>
      </c>
      <c r="Q2300" s="107">
        <f t="shared" si="61"/>
        <v>2014</v>
      </c>
      <c r="R2300" s="107">
        <v>2</v>
      </c>
      <c r="S2300" s="100">
        <v>214043</v>
      </c>
      <c r="T2300" s="101">
        <v>41765</v>
      </c>
    </row>
    <row r="2301" spans="1:20" x14ac:dyDescent="0.3">
      <c r="A2301" s="42">
        <v>41749</v>
      </c>
      <c r="B2301" s="69">
        <f>YEAR(A2301)*10000+MONTH(A2301)*100+DAY(A2301)</f>
        <v>20140420</v>
      </c>
      <c r="C2301" s="109">
        <v>2.7999999999999997E-2</v>
      </c>
      <c r="D2301" s="77">
        <v>5.0000000000000001E-3</v>
      </c>
      <c r="E2301" s="77">
        <v>8.0000000000000002E-3</v>
      </c>
      <c r="F2301" s="77">
        <v>0.01</v>
      </c>
      <c r="G2301" s="78">
        <v>0</v>
      </c>
      <c r="H2301" s="71">
        <v>7.7</v>
      </c>
      <c r="I2301" s="71">
        <v>10.1</v>
      </c>
      <c r="J2301" s="71">
        <v>12.3</v>
      </c>
      <c r="K2301" s="106">
        <v>9.1000000000000004E-3</v>
      </c>
      <c r="L2301" s="80">
        <v>-0.01</v>
      </c>
      <c r="M2301" s="75" t="s">
        <v>143</v>
      </c>
      <c r="N2301" s="75" t="b">
        <v>1</v>
      </c>
      <c r="O2301" s="75" t="s">
        <v>144</v>
      </c>
      <c r="P2301" s="75">
        <v>1994</v>
      </c>
      <c r="Q2301" s="107">
        <f t="shared" si="61"/>
        <v>2014</v>
      </c>
      <c r="R2301" s="107">
        <v>2</v>
      </c>
      <c r="S2301" s="100">
        <v>214043</v>
      </c>
      <c r="T2301" s="101">
        <v>41765</v>
      </c>
    </row>
    <row r="2302" spans="1:20" x14ac:dyDescent="0.3">
      <c r="A2302" s="42">
        <v>41750</v>
      </c>
      <c r="B2302" s="69">
        <f t="shared" si="60"/>
        <v>20140421</v>
      </c>
      <c r="C2302" s="109">
        <v>2.81E-2</v>
      </c>
      <c r="D2302" s="77">
        <v>5.0000000000000001E-3</v>
      </c>
      <c r="E2302" s="77">
        <v>8.0000000000000002E-3</v>
      </c>
      <c r="F2302" s="77">
        <v>0.01</v>
      </c>
      <c r="G2302" s="78">
        <v>0</v>
      </c>
      <c r="H2302" s="71">
        <v>7.7</v>
      </c>
      <c r="I2302" s="71">
        <v>10.1</v>
      </c>
      <c r="J2302" s="71">
        <v>12.3</v>
      </c>
      <c r="K2302" s="106">
        <v>9.1000000000000004E-3</v>
      </c>
      <c r="L2302" s="80">
        <v>-0.01</v>
      </c>
      <c r="M2302" s="75" t="s">
        <v>143</v>
      </c>
      <c r="N2302" s="75" t="b">
        <v>1</v>
      </c>
      <c r="O2302" s="75" t="s">
        <v>144</v>
      </c>
      <c r="P2302" s="75">
        <v>1994</v>
      </c>
      <c r="Q2302" s="107">
        <f t="shared" si="61"/>
        <v>2014</v>
      </c>
      <c r="R2302" s="107">
        <v>2</v>
      </c>
      <c r="S2302" s="100">
        <v>214043</v>
      </c>
      <c r="T2302" s="101">
        <v>41765</v>
      </c>
    </row>
    <row r="2303" spans="1:20" x14ac:dyDescent="0.3">
      <c r="A2303" s="42">
        <v>41751</v>
      </c>
      <c r="B2303" s="69">
        <f t="shared" si="60"/>
        <v>20140422</v>
      </c>
      <c r="C2303" s="109">
        <v>2.7999999999999997E-2</v>
      </c>
      <c r="D2303" s="77">
        <v>5.0000000000000001E-3</v>
      </c>
      <c r="E2303" s="77">
        <v>8.0000000000000002E-3</v>
      </c>
      <c r="F2303" s="77">
        <v>0.01</v>
      </c>
      <c r="G2303" s="78">
        <v>0</v>
      </c>
      <c r="H2303" s="71">
        <v>7.7</v>
      </c>
      <c r="I2303" s="71">
        <v>10.1</v>
      </c>
      <c r="J2303" s="71">
        <v>12.3</v>
      </c>
      <c r="K2303" s="106">
        <v>9.0000000000000011E-3</v>
      </c>
      <c r="L2303" s="80">
        <v>-0.01</v>
      </c>
      <c r="M2303" s="75" t="s">
        <v>143</v>
      </c>
      <c r="N2303" s="75" t="b">
        <v>1</v>
      </c>
      <c r="O2303" s="75" t="s">
        <v>144</v>
      </c>
      <c r="P2303" s="75">
        <v>1994</v>
      </c>
      <c r="Q2303" s="107">
        <f t="shared" si="61"/>
        <v>2014</v>
      </c>
      <c r="R2303" s="107">
        <v>2</v>
      </c>
      <c r="S2303" s="100">
        <v>214043</v>
      </c>
      <c r="T2303" s="101">
        <v>41765</v>
      </c>
    </row>
    <row r="2304" spans="1:20" x14ac:dyDescent="0.3">
      <c r="A2304" s="42">
        <v>41752</v>
      </c>
      <c r="B2304" s="69">
        <f t="shared" si="60"/>
        <v>20140423</v>
      </c>
      <c r="C2304" s="109">
        <v>2.7799999999999998E-2</v>
      </c>
      <c r="D2304" s="77">
        <v>5.0000000000000001E-3</v>
      </c>
      <c r="E2304" s="77">
        <v>8.0000000000000002E-3</v>
      </c>
      <c r="F2304" s="77">
        <v>0.01</v>
      </c>
      <c r="G2304" s="78">
        <v>0</v>
      </c>
      <c r="H2304" s="71">
        <v>7.7</v>
      </c>
      <c r="I2304" s="71">
        <v>10.1</v>
      </c>
      <c r="J2304" s="71">
        <v>12.3</v>
      </c>
      <c r="K2304" s="106">
        <v>8.8999999999999999E-3</v>
      </c>
      <c r="L2304" s="80">
        <v>-0.01</v>
      </c>
      <c r="M2304" s="75" t="s">
        <v>143</v>
      </c>
      <c r="N2304" s="75" t="b">
        <v>1</v>
      </c>
      <c r="O2304" s="75" t="s">
        <v>144</v>
      </c>
      <c r="P2304" s="75">
        <v>1994</v>
      </c>
      <c r="Q2304" s="107">
        <f t="shared" si="61"/>
        <v>2014</v>
      </c>
      <c r="R2304" s="107">
        <v>2</v>
      </c>
      <c r="S2304" s="100">
        <v>214043</v>
      </c>
      <c r="T2304" s="101">
        <v>41765</v>
      </c>
    </row>
    <row r="2305" spans="1:20" x14ac:dyDescent="0.3">
      <c r="A2305" s="42">
        <v>41753</v>
      </c>
      <c r="B2305" s="69">
        <f t="shared" si="60"/>
        <v>20140424</v>
      </c>
      <c r="C2305" s="109">
        <v>2.7900000000000001E-2</v>
      </c>
      <c r="D2305" s="77">
        <v>5.0000000000000001E-3</v>
      </c>
      <c r="E2305" s="77">
        <v>8.0000000000000002E-3</v>
      </c>
      <c r="F2305" s="77">
        <v>0.01</v>
      </c>
      <c r="G2305" s="78">
        <v>0</v>
      </c>
      <c r="H2305" s="71">
        <v>7.7</v>
      </c>
      <c r="I2305" s="71">
        <v>10.1</v>
      </c>
      <c r="J2305" s="71">
        <v>12.3</v>
      </c>
      <c r="K2305" s="106">
        <v>9.1000000000000004E-3</v>
      </c>
      <c r="L2305" s="80">
        <v>-0.01</v>
      </c>
      <c r="M2305" s="75" t="s">
        <v>143</v>
      </c>
      <c r="N2305" s="75" t="b">
        <v>1</v>
      </c>
      <c r="O2305" s="75" t="s">
        <v>144</v>
      </c>
      <c r="P2305" s="75">
        <v>1994</v>
      </c>
      <c r="Q2305" s="107">
        <f t="shared" si="61"/>
        <v>2014</v>
      </c>
      <c r="R2305" s="107">
        <v>2</v>
      </c>
      <c r="S2305" s="100">
        <v>214043</v>
      </c>
      <c r="T2305" s="101">
        <v>41765</v>
      </c>
    </row>
    <row r="2306" spans="1:20" x14ac:dyDescent="0.3">
      <c r="A2306" s="42">
        <v>41754</v>
      </c>
      <c r="B2306" s="69">
        <f t="shared" si="60"/>
        <v>20140425</v>
      </c>
      <c r="C2306" s="109">
        <v>2.7799999999999998E-2</v>
      </c>
      <c r="D2306" s="77">
        <v>5.0000000000000001E-3</v>
      </c>
      <c r="E2306" s="77">
        <v>8.0000000000000002E-3</v>
      </c>
      <c r="F2306" s="77">
        <v>0.01</v>
      </c>
      <c r="G2306" s="78">
        <v>0</v>
      </c>
      <c r="H2306" s="71">
        <v>7.7</v>
      </c>
      <c r="I2306" s="71">
        <v>10.1</v>
      </c>
      <c r="J2306" s="71">
        <v>12.3</v>
      </c>
      <c r="K2306" s="106">
        <v>9.0000000000000011E-3</v>
      </c>
      <c r="L2306" s="80">
        <v>-0.01</v>
      </c>
      <c r="M2306" s="75" t="s">
        <v>143</v>
      </c>
      <c r="N2306" s="75" t="b">
        <v>1</v>
      </c>
      <c r="O2306" s="75" t="s">
        <v>144</v>
      </c>
      <c r="P2306" s="75">
        <v>1994</v>
      </c>
      <c r="Q2306" s="107">
        <f t="shared" si="61"/>
        <v>2014</v>
      </c>
      <c r="R2306" s="107">
        <v>2</v>
      </c>
      <c r="S2306" s="100">
        <v>214043</v>
      </c>
      <c r="T2306" s="101">
        <v>41765</v>
      </c>
    </row>
    <row r="2307" spans="1:20" x14ac:dyDescent="0.3">
      <c r="A2307" s="42">
        <v>41755</v>
      </c>
      <c r="B2307" s="69">
        <f>YEAR(A2307)*10000+MONTH(A2307)*100+DAY(A2307)</f>
        <v>20140426</v>
      </c>
      <c r="C2307" s="109">
        <v>2.7799999999999998E-2</v>
      </c>
      <c r="D2307" s="77">
        <v>5.0000000000000001E-3</v>
      </c>
      <c r="E2307" s="77">
        <v>8.0000000000000002E-3</v>
      </c>
      <c r="F2307" s="77">
        <v>0.01</v>
      </c>
      <c r="G2307" s="78">
        <v>0</v>
      </c>
      <c r="H2307" s="71">
        <v>7.7</v>
      </c>
      <c r="I2307" s="71">
        <v>10.1</v>
      </c>
      <c r="J2307" s="71">
        <v>12.3</v>
      </c>
      <c r="K2307" s="106">
        <v>9.0000000000000011E-3</v>
      </c>
      <c r="L2307" s="80">
        <v>-0.01</v>
      </c>
      <c r="M2307" s="75" t="s">
        <v>143</v>
      </c>
      <c r="N2307" s="75" t="b">
        <v>1</v>
      </c>
      <c r="O2307" s="75" t="s">
        <v>144</v>
      </c>
      <c r="P2307" s="75">
        <v>1994</v>
      </c>
      <c r="Q2307" s="107">
        <f t="shared" si="61"/>
        <v>2014</v>
      </c>
      <c r="R2307" s="107">
        <v>2</v>
      </c>
      <c r="S2307" s="100">
        <v>214043</v>
      </c>
      <c r="T2307" s="101">
        <v>41765</v>
      </c>
    </row>
    <row r="2308" spans="1:20" x14ac:dyDescent="0.3">
      <c r="A2308" s="42">
        <v>41756</v>
      </c>
      <c r="B2308" s="69">
        <f>YEAR(A2308)*10000+MONTH(A2308)*100+DAY(A2308)</f>
        <v>20140427</v>
      </c>
      <c r="C2308" s="109">
        <v>2.7799999999999998E-2</v>
      </c>
      <c r="D2308" s="77">
        <v>5.0000000000000001E-3</v>
      </c>
      <c r="E2308" s="77">
        <v>8.0000000000000002E-3</v>
      </c>
      <c r="F2308" s="77">
        <v>0.01</v>
      </c>
      <c r="G2308" s="78">
        <v>0</v>
      </c>
      <c r="H2308" s="71">
        <v>7.7</v>
      </c>
      <c r="I2308" s="71">
        <v>10.1</v>
      </c>
      <c r="J2308" s="71">
        <v>12.3</v>
      </c>
      <c r="K2308" s="106">
        <v>9.0000000000000011E-3</v>
      </c>
      <c r="L2308" s="80">
        <v>-0.01</v>
      </c>
      <c r="M2308" s="75" t="s">
        <v>143</v>
      </c>
      <c r="N2308" s="75" t="b">
        <v>1</v>
      </c>
      <c r="O2308" s="75" t="s">
        <v>144</v>
      </c>
      <c r="P2308" s="75">
        <v>1994</v>
      </c>
      <c r="Q2308" s="107">
        <f t="shared" si="61"/>
        <v>2014</v>
      </c>
      <c r="R2308" s="107">
        <v>2</v>
      </c>
      <c r="S2308" s="100">
        <v>214043</v>
      </c>
      <c r="T2308" s="101">
        <v>41765</v>
      </c>
    </row>
    <row r="2309" spans="1:20" x14ac:dyDescent="0.3">
      <c r="A2309" s="42">
        <v>41757</v>
      </c>
      <c r="B2309" s="69">
        <f>YEAR(A2309)*10000+MONTH(A2309)*100+DAY(A2309)</f>
        <v>20140428</v>
      </c>
      <c r="C2309" s="109">
        <v>2.81E-2</v>
      </c>
      <c r="D2309" s="77">
        <v>5.0000000000000001E-3</v>
      </c>
      <c r="E2309" s="77">
        <v>8.0000000000000002E-3</v>
      </c>
      <c r="F2309" s="77">
        <v>0.01</v>
      </c>
      <c r="G2309" s="78">
        <v>0</v>
      </c>
      <c r="H2309" s="71">
        <v>7.7</v>
      </c>
      <c r="I2309" s="71">
        <v>10.1</v>
      </c>
      <c r="J2309" s="71">
        <v>12.3</v>
      </c>
      <c r="K2309" s="106">
        <v>9.4999999999999998E-3</v>
      </c>
      <c r="L2309" s="80">
        <v>-0.01</v>
      </c>
      <c r="M2309" s="75" t="s">
        <v>143</v>
      </c>
      <c r="N2309" s="75" t="b">
        <v>1</v>
      </c>
      <c r="O2309" s="75" t="s">
        <v>144</v>
      </c>
      <c r="P2309" s="75">
        <v>1994</v>
      </c>
      <c r="Q2309" s="107">
        <f t="shared" si="61"/>
        <v>2014</v>
      </c>
      <c r="R2309" s="107">
        <v>2</v>
      </c>
      <c r="S2309" s="100">
        <v>214043</v>
      </c>
      <c r="T2309" s="101">
        <v>41765</v>
      </c>
    </row>
    <row r="2310" spans="1:20" x14ac:dyDescent="0.3">
      <c r="A2310" s="42">
        <v>41758</v>
      </c>
      <c r="B2310" s="69">
        <f>YEAR(A2310)*10000+MONTH(A2310)*100+DAY(A2310)</f>
        <v>20140429</v>
      </c>
      <c r="C2310" s="109">
        <v>2.8000000000000001E-2</v>
      </c>
      <c r="D2310" s="77">
        <v>5.0000000000000001E-3</v>
      </c>
      <c r="E2310" s="77">
        <v>8.0000000000000002E-3</v>
      </c>
      <c r="F2310" s="77">
        <v>0.01</v>
      </c>
      <c r="G2310" s="78">
        <v>0</v>
      </c>
      <c r="H2310" s="71">
        <v>7.7</v>
      </c>
      <c r="I2310" s="71">
        <v>10.1</v>
      </c>
      <c r="J2310" s="71">
        <v>12.3</v>
      </c>
      <c r="K2310" s="106">
        <v>9.3999999999999986E-3</v>
      </c>
      <c r="L2310" s="80">
        <v>-0.01</v>
      </c>
      <c r="M2310" s="75" t="s">
        <v>143</v>
      </c>
      <c r="N2310" s="75" t="b">
        <v>1</v>
      </c>
      <c r="O2310" s="75" t="s">
        <v>144</v>
      </c>
      <c r="P2310" s="75">
        <v>1994</v>
      </c>
      <c r="Q2310" s="107">
        <f t="shared" si="61"/>
        <v>2014</v>
      </c>
      <c r="R2310" s="107">
        <v>2</v>
      </c>
      <c r="S2310" s="100">
        <v>214043</v>
      </c>
      <c r="T2310" s="101">
        <v>41765</v>
      </c>
    </row>
    <row r="2311" spans="1:20" x14ac:dyDescent="0.3">
      <c r="A2311" s="42">
        <v>41759</v>
      </c>
      <c r="B2311" s="69">
        <f>YEAR(A2311)*10000+MONTH(A2311)*100+DAY(A2311)</f>
        <v>20140430</v>
      </c>
      <c r="C2311" s="109">
        <v>2.76E-2</v>
      </c>
      <c r="D2311" s="77">
        <v>5.0000000000000001E-3</v>
      </c>
      <c r="E2311" s="77">
        <v>8.0000000000000002E-3</v>
      </c>
      <c r="F2311" s="77">
        <v>0.01</v>
      </c>
      <c r="G2311" s="78">
        <v>0</v>
      </c>
      <c r="H2311" s="71">
        <v>7.7</v>
      </c>
      <c r="I2311" s="71">
        <v>10.1</v>
      </c>
      <c r="J2311" s="71">
        <v>12.3</v>
      </c>
      <c r="K2311" s="106">
        <v>9.1999999999999998E-3</v>
      </c>
      <c r="L2311" s="80">
        <v>-0.01</v>
      </c>
      <c r="M2311" s="75" t="s">
        <v>143</v>
      </c>
      <c r="N2311" s="75" t="b">
        <v>1</v>
      </c>
      <c r="O2311" s="75" t="s">
        <v>144</v>
      </c>
      <c r="P2311" s="75">
        <v>1994</v>
      </c>
      <c r="Q2311" s="107">
        <f t="shared" si="61"/>
        <v>2014</v>
      </c>
      <c r="R2311" s="107">
        <v>2</v>
      </c>
      <c r="S2311" s="100">
        <v>214043</v>
      </c>
      <c r="T2311" s="101">
        <v>41765</v>
      </c>
    </row>
    <row r="2312" spans="1:20" x14ac:dyDescent="0.3">
      <c r="A2312" s="42">
        <v>41760</v>
      </c>
      <c r="B2312" s="69">
        <f t="shared" ref="B2312:B2340" si="62">YEAR(A2312)*10000+MONTH(A2312)*100+DAY(A2312)</f>
        <v>20140501</v>
      </c>
      <c r="C2312" s="109">
        <v>2.7400000000000001E-2</v>
      </c>
      <c r="D2312" s="77">
        <v>5.0000000000000001E-3</v>
      </c>
      <c r="E2312" s="77">
        <v>8.0000000000000002E-3</v>
      </c>
      <c r="F2312" s="77">
        <v>0.01</v>
      </c>
      <c r="G2312" s="78">
        <v>0</v>
      </c>
      <c r="H2312" s="71">
        <v>7.7</v>
      </c>
      <c r="I2312" s="71">
        <v>10.1</v>
      </c>
      <c r="J2312" s="71">
        <v>12.3</v>
      </c>
      <c r="K2312" s="106">
        <v>8.8999999999999999E-3</v>
      </c>
      <c r="L2312" s="80">
        <v>-0.01</v>
      </c>
      <c r="M2312" s="75" t="s">
        <v>143</v>
      </c>
      <c r="N2312" s="75" t="b">
        <v>1</v>
      </c>
      <c r="O2312" s="75" t="s">
        <v>144</v>
      </c>
      <c r="P2312" s="75">
        <v>1994</v>
      </c>
      <c r="Q2312" s="107">
        <f t="shared" si="61"/>
        <v>2014</v>
      </c>
      <c r="R2312" s="107">
        <v>2</v>
      </c>
      <c r="S2312" s="100">
        <v>214043</v>
      </c>
      <c r="T2312" s="101">
        <v>41765</v>
      </c>
    </row>
    <row r="2313" spans="1:20" x14ac:dyDescent="0.3">
      <c r="A2313" s="42">
        <v>41761</v>
      </c>
      <c r="B2313" s="69">
        <f t="shared" si="62"/>
        <v>20140502</v>
      </c>
      <c r="C2313" s="109">
        <v>2.7200000000000002E-2</v>
      </c>
      <c r="D2313" s="77">
        <v>5.0000000000000001E-3</v>
      </c>
      <c r="E2313" s="77">
        <v>8.0000000000000002E-3</v>
      </c>
      <c r="F2313" s="77">
        <v>0.01</v>
      </c>
      <c r="G2313" s="78">
        <v>0</v>
      </c>
      <c r="H2313" s="71">
        <v>7.7</v>
      </c>
      <c r="I2313" s="71">
        <v>10.1</v>
      </c>
      <c r="J2313" s="71">
        <v>12.3</v>
      </c>
      <c r="K2313" s="106">
        <v>8.6999999999999994E-3</v>
      </c>
      <c r="L2313" s="80">
        <v>-0.01</v>
      </c>
      <c r="M2313" s="75" t="s">
        <v>143</v>
      </c>
      <c r="N2313" s="75" t="b">
        <v>1</v>
      </c>
      <c r="O2313" s="75" t="s">
        <v>144</v>
      </c>
      <c r="P2313" s="75">
        <v>1994</v>
      </c>
      <c r="Q2313" s="107">
        <f t="shared" si="61"/>
        <v>2014</v>
      </c>
      <c r="R2313" s="107">
        <v>2</v>
      </c>
      <c r="S2313" s="100">
        <v>214043</v>
      </c>
      <c r="T2313" s="101">
        <v>41765</v>
      </c>
    </row>
    <row r="2314" spans="1:20" x14ac:dyDescent="0.3">
      <c r="A2314" s="42">
        <v>41762</v>
      </c>
      <c r="B2314" s="69">
        <f t="shared" si="62"/>
        <v>20140503</v>
      </c>
      <c r="C2314" s="109">
        <v>2.7200000000000002E-2</v>
      </c>
      <c r="D2314" s="77">
        <v>5.0000000000000001E-3</v>
      </c>
      <c r="E2314" s="77">
        <v>8.0000000000000002E-3</v>
      </c>
      <c r="F2314" s="77">
        <v>0.01</v>
      </c>
      <c r="G2314" s="78">
        <v>0</v>
      </c>
      <c r="H2314" s="71">
        <v>7.7</v>
      </c>
      <c r="I2314" s="71">
        <v>10.1</v>
      </c>
      <c r="J2314" s="71">
        <v>12.3</v>
      </c>
      <c r="K2314" s="106">
        <v>8.6999999999999994E-3</v>
      </c>
      <c r="L2314" s="80">
        <v>-0.01</v>
      </c>
      <c r="M2314" s="75" t="s">
        <v>143</v>
      </c>
      <c r="N2314" s="75" t="b">
        <v>1</v>
      </c>
      <c r="O2314" s="75" t="s">
        <v>144</v>
      </c>
      <c r="P2314" s="75">
        <v>1994</v>
      </c>
      <c r="Q2314" s="107">
        <f t="shared" si="61"/>
        <v>2014</v>
      </c>
      <c r="R2314" s="107">
        <v>2</v>
      </c>
      <c r="S2314" s="100">
        <v>214043</v>
      </c>
      <c r="T2314" s="101">
        <v>41765</v>
      </c>
    </row>
    <row r="2315" spans="1:20" x14ac:dyDescent="0.3">
      <c r="A2315" s="42">
        <v>41763</v>
      </c>
      <c r="B2315" s="69">
        <f t="shared" si="62"/>
        <v>20140504</v>
      </c>
      <c r="C2315" s="109">
        <v>2.7200000000000002E-2</v>
      </c>
      <c r="D2315" s="77">
        <v>5.0000000000000001E-3</v>
      </c>
      <c r="E2315" s="77">
        <v>8.0000000000000002E-3</v>
      </c>
      <c r="F2315" s="77">
        <v>0.01</v>
      </c>
      <c r="G2315" s="78">
        <v>0</v>
      </c>
      <c r="H2315" s="71">
        <v>7.7</v>
      </c>
      <c r="I2315" s="71">
        <v>10.1</v>
      </c>
      <c r="J2315" s="71">
        <v>12.3</v>
      </c>
      <c r="K2315" s="106">
        <v>8.6999999999999994E-3</v>
      </c>
      <c r="L2315" s="80">
        <v>-0.01</v>
      </c>
      <c r="M2315" s="75" t="s">
        <v>143</v>
      </c>
      <c r="N2315" s="75" t="b">
        <v>1</v>
      </c>
      <c r="O2315" s="75" t="s">
        <v>144</v>
      </c>
      <c r="P2315" s="75">
        <v>1994</v>
      </c>
      <c r="Q2315" s="107">
        <f t="shared" si="61"/>
        <v>2014</v>
      </c>
      <c r="R2315" s="107">
        <v>2</v>
      </c>
      <c r="S2315" s="100">
        <v>214043</v>
      </c>
      <c r="T2315" s="101">
        <v>41765</v>
      </c>
    </row>
    <row r="2316" spans="1:20" x14ac:dyDescent="0.3">
      <c r="A2316" s="42">
        <v>41764</v>
      </c>
      <c r="B2316" s="69">
        <f t="shared" si="62"/>
        <v>20140505</v>
      </c>
      <c r="C2316" s="109">
        <v>2.7400000000000001E-2</v>
      </c>
      <c r="D2316" s="77">
        <v>5.0000000000000001E-3</v>
      </c>
      <c r="E2316" s="77">
        <v>8.0000000000000002E-3</v>
      </c>
      <c r="F2316" s="77">
        <v>0.01</v>
      </c>
      <c r="G2316" s="78">
        <v>0</v>
      </c>
      <c r="H2316" s="71">
        <v>7.7</v>
      </c>
      <c r="I2316" s="71">
        <v>10.1</v>
      </c>
      <c r="J2316" s="71">
        <v>12.3</v>
      </c>
      <c r="K2316" s="106">
        <v>8.8000000000000005E-3</v>
      </c>
      <c r="L2316" s="80">
        <v>-0.01</v>
      </c>
      <c r="M2316" s="75" t="s">
        <v>143</v>
      </c>
      <c r="N2316" s="75" t="b">
        <v>1</v>
      </c>
      <c r="O2316" s="75" t="s">
        <v>144</v>
      </c>
      <c r="P2316" s="75">
        <v>1994</v>
      </c>
      <c r="Q2316" s="107">
        <f t="shared" si="61"/>
        <v>2014</v>
      </c>
      <c r="R2316" s="107">
        <v>2</v>
      </c>
      <c r="S2316" s="100">
        <v>214043</v>
      </c>
      <c r="T2316" s="101">
        <v>41765</v>
      </c>
    </row>
    <row r="2317" spans="1:20" x14ac:dyDescent="0.3">
      <c r="A2317" s="42">
        <v>41765</v>
      </c>
      <c r="B2317" s="69">
        <f t="shared" si="62"/>
        <v>20140506</v>
      </c>
      <c r="C2317" s="109">
        <v>2.7300000000000001E-2</v>
      </c>
      <c r="D2317" s="77">
        <v>5.0000000000000001E-3</v>
      </c>
      <c r="E2317" s="77">
        <v>8.0000000000000002E-3</v>
      </c>
      <c r="F2317" s="77">
        <v>0.01</v>
      </c>
      <c r="G2317" s="78">
        <v>0</v>
      </c>
      <c r="H2317" s="71">
        <v>7.7</v>
      </c>
      <c r="I2317" s="71">
        <v>10.1</v>
      </c>
      <c r="J2317" s="71">
        <v>12.3</v>
      </c>
      <c r="K2317" s="106">
        <v>8.8000000000000005E-3</v>
      </c>
      <c r="L2317" s="80">
        <v>-0.01</v>
      </c>
      <c r="M2317" s="75" t="s">
        <v>143</v>
      </c>
      <c r="N2317" s="75" t="b">
        <v>1</v>
      </c>
      <c r="O2317" s="75" t="s">
        <v>144</v>
      </c>
      <c r="P2317" s="75">
        <v>1994</v>
      </c>
      <c r="Q2317" s="107">
        <f t="shared" si="61"/>
        <v>2014</v>
      </c>
      <c r="R2317" s="107">
        <v>2</v>
      </c>
      <c r="S2317" s="100">
        <v>214043</v>
      </c>
      <c r="T2317" s="101">
        <v>41765</v>
      </c>
    </row>
    <row r="2318" spans="1:20" x14ac:dyDescent="0.3">
      <c r="A2318" s="42">
        <v>41766</v>
      </c>
      <c r="B2318" s="69">
        <f t="shared" si="62"/>
        <v>20140507</v>
      </c>
      <c r="C2318" s="109">
        <v>2.7400000000000001E-2</v>
      </c>
      <c r="D2318" s="77">
        <v>5.0000000000000001E-3</v>
      </c>
      <c r="E2318" s="77">
        <v>8.0000000000000002E-3</v>
      </c>
      <c r="F2318" s="77">
        <v>0.01</v>
      </c>
      <c r="G2318" s="78">
        <v>0</v>
      </c>
      <c r="H2318" s="71">
        <v>7.7</v>
      </c>
      <c r="I2318" s="71">
        <v>10.1</v>
      </c>
      <c r="J2318" s="71">
        <v>12.3</v>
      </c>
      <c r="K2318" s="106">
        <v>8.8000000000000005E-3</v>
      </c>
      <c r="L2318" s="80">
        <v>-0.01</v>
      </c>
      <c r="M2318" s="75" t="s">
        <v>143</v>
      </c>
      <c r="N2318" s="75" t="b">
        <v>1</v>
      </c>
      <c r="O2318" s="75" t="s">
        <v>144</v>
      </c>
      <c r="P2318" s="75">
        <v>1994</v>
      </c>
      <c r="Q2318" s="107">
        <f t="shared" si="61"/>
        <v>2014</v>
      </c>
      <c r="R2318" s="107">
        <v>2</v>
      </c>
      <c r="S2318" s="100">
        <v>214043</v>
      </c>
      <c r="T2318" s="101">
        <v>41765</v>
      </c>
    </row>
    <row r="2319" spans="1:20" x14ac:dyDescent="0.3">
      <c r="A2319" s="42">
        <v>41767</v>
      </c>
      <c r="B2319" s="69">
        <f t="shared" si="62"/>
        <v>20140508</v>
      </c>
      <c r="C2319" s="109">
        <v>2.7300000000000001E-2</v>
      </c>
      <c r="D2319" s="77">
        <v>5.0000000000000001E-3</v>
      </c>
      <c r="E2319" s="77">
        <v>8.0000000000000002E-3</v>
      </c>
      <c r="F2319" s="77">
        <v>0.01</v>
      </c>
      <c r="G2319" s="78">
        <v>0</v>
      </c>
      <c r="H2319" s="71">
        <v>7.7</v>
      </c>
      <c r="I2319" s="71">
        <v>10.1</v>
      </c>
      <c r="J2319" s="71">
        <v>12.3</v>
      </c>
      <c r="K2319" s="106">
        <v>8.8999999999999999E-3</v>
      </c>
      <c r="L2319" s="80">
        <v>-0.01</v>
      </c>
      <c r="M2319" s="75" t="s">
        <v>143</v>
      </c>
      <c r="N2319" s="75" t="b">
        <v>1</v>
      </c>
      <c r="O2319" s="75" t="s">
        <v>144</v>
      </c>
      <c r="P2319" s="75">
        <v>1994</v>
      </c>
      <c r="Q2319" s="107">
        <f t="shared" si="61"/>
        <v>2014</v>
      </c>
      <c r="R2319" s="107">
        <v>2</v>
      </c>
      <c r="S2319" s="100">
        <v>214043</v>
      </c>
      <c r="T2319" s="101">
        <v>41765</v>
      </c>
    </row>
    <row r="2320" spans="1:20" x14ac:dyDescent="0.3">
      <c r="A2320" s="42">
        <v>41768</v>
      </c>
      <c r="B2320" s="69">
        <f t="shared" si="62"/>
        <v>20140509</v>
      </c>
      <c r="C2320" s="109">
        <v>2.7300000000000001E-2</v>
      </c>
      <c r="D2320" s="77">
        <v>5.0000000000000001E-3</v>
      </c>
      <c r="E2320" s="77">
        <v>8.0000000000000002E-3</v>
      </c>
      <c r="F2320" s="77">
        <v>0.01</v>
      </c>
      <c r="G2320" s="78">
        <v>0</v>
      </c>
      <c r="H2320" s="71">
        <v>7.7</v>
      </c>
      <c r="I2320" s="71">
        <v>10.1</v>
      </c>
      <c r="J2320" s="71">
        <v>12.3</v>
      </c>
      <c r="K2320" s="106">
        <v>9.0000000000000011E-3</v>
      </c>
      <c r="L2320" s="80">
        <v>-0.01</v>
      </c>
      <c r="M2320" s="75" t="s">
        <v>143</v>
      </c>
      <c r="N2320" s="75" t="b">
        <v>1</v>
      </c>
      <c r="O2320" s="75" t="s">
        <v>144</v>
      </c>
      <c r="P2320" s="75">
        <v>1994</v>
      </c>
      <c r="Q2320" s="107">
        <f t="shared" si="61"/>
        <v>2014</v>
      </c>
      <c r="R2320" s="107">
        <v>2</v>
      </c>
      <c r="S2320" s="100">
        <v>214043</v>
      </c>
      <c r="T2320" s="101">
        <v>41765</v>
      </c>
    </row>
    <row r="2321" spans="1:20" x14ac:dyDescent="0.3">
      <c r="A2321" s="42">
        <v>41769</v>
      </c>
      <c r="B2321" s="69">
        <f t="shared" si="62"/>
        <v>20140510</v>
      </c>
      <c r="C2321" s="109">
        <v>2.7300000000000001E-2</v>
      </c>
      <c r="D2321" s="77">
        <v>5.0000000000000001E-3</v>
      </c>
      <c r="E2321" s="77">
        <v>8.0000000000000002E-3</v>
      </c>
      <c r="F2321" s="77">
        <v>0.01</v>
      </c>
      <c r="G2321" s="78">
        <v>0</v>
      </c>
      <c r="H2321" s="71">
        <v>7.7</v>
      </c>
      <c r="I2321" s="71">
        <v>10.1</v>
      </c>
      <c r="J2321" s="71">
        <v>12.3</v>
      </c>
      <c r="K2321" s="106">
        <v>9.0000000000000011E-3</v>
      </c>
      <c r="L2321" s="80">
        <v>-0.01</v>
      </c>
      <c r="M2321" s="75" t="s">
        <v>143</v>
      </c>
      <c r="N2321" s="75" t="b">
        <v>1</v>
      </c>
      <c r="O2321" s="75" t="s">
        <v>144</v>
      </c>
      <c r="P2321" s="75">
        <v>1994</v>
      </c>
      <c r="Q2321" s="107">
        <f t="shared" si="61"/>
        <v>2014</v>
      </c>
      <c r="R2321" s="107">
        <v>2</v>
      </c>
      <c r="S2321" s="100">
        <v>214043</v>
      </c>
      <c r="T2321" s="101">
        <v>41765</v>
      </c>
    </row>
    <row r="2322" spans="1:20" x14ac:dyDescent="0.3">
      <c r="A2322" s="42">
        <v>41770</v>
      </c>
      <c r="B2322" s="69">
        <f t="shared" si="62"/>
        <v>20140511</v>
      </c>
      <c r="C2322" s="109">
        <v>2.7300000000000001E-2</v>
      </c>
      <c r="D2322" s="77">
        <v>5.0000000000000001E-3</v>
      </c>
      <c r="E2322" s="77">
        <v>8.0000000000000002E-3</v>
      </c>
      <c r="F2322" s="77">
        <v>0.01</v>
      </c>
      <c r="G2322" s="78">
        <v>0</v>
      </c>
      <c r="H2322" s="71">
        <v>7.7</v>
      </c>
      <c r="I2322" s="71">
        <v>10.1</v>
      </c>
      <c r="J2322" s="71">
        <v>12.3</v>
      </c>
      <c r="K2322" s="106">
        <v>9.0000000000000011E-3</v>
      </c>
      <c r="L2322" s="80">
        <v>-0.01</v>
      </c>
      <c r="M2322" s="75" t="s">
        <v>143</v>
      </c>
      <c r="N2322" s="75" t="b">
        <v>1</v>
      </c>
      <c r="O2322" s="75" t="s">
        <v>144</v>
      </c>
      <c r="P2322" s="75">
        <v>1994</v>
      </c>
      <c r="Q2322" s="107">
        <f t="shared" si="61"/>
        <v>2014</v>
      </c>
      <c r="R2322" s="107">
        <v>2</v>
      </c>
      <c r="S2322" s="100">
        <v>214043</v>
      </c>
      <c r="T2322" s="101">
        <v>41765</v>
      </c>
    </row>
    <row r="2323" spans="1:20" x14ac:dyDescent="0.3">
      <c r="A2323" s="42">
        <v>41771</v>
      </c>
      <c r="B2323" s="69">
        <f t="shared" si="62"/>
        <v>20140512</v>
      </c>
      <c r="C2323" s="109">
        <v>2.76E-2</v>
      </c>
      <c r="D2323" s="77">
        <v>5.0000000000000001E-3</v>
      </c>
      <c r="E2323" s="77">
        <v>8.0000000000000002E-3</v>
      </c>
      <c r="F2323" s="77">
        <v>0.01</v>
      </c>
      <c r="G2323" s="78">
        <v>0</v>
      </c>
      <c r="H2323" s="71">
        <v>7.7</v>
      </c>
      <c r="I2323" s="71">
        <v>10.1</v>
      </c>
      <c r="J2323" s="71">
        <v>12.3</v>
      </c>
      <c r="K2323" s="106">
        <v>9.1999999999999998E-3</v>
      </c>
      <c r="L2323" s="80">
        <v>-0.01</v>
      </c>
      <c r="M2323" s="75" t="s">
        <v>143</v>
      </c>
      <c r="N2323" s="75" t="b">
        <v>1</v>
      </c>
      <c r="O2323" s="75" t="s">
        <v>144</v>
      </c>
      <c r="P2323" s="75">
        <v>1994</v>
      </c>
      <c r="Q2323" s="107">
        <f t="shared" si="61"/>
        <v>2014</v>
      </c>
      <c r="R2323" s="107">
        <v>2</v>
      </c>
      <c r="S2323" s="100">
        <v>214043</v>
      </c>
      <c r="T2323" s="101">
        <v>41765</v>
      </c>
    </row>
    <row r="2324" spans="1:20" x14ac:dyDescent="0.3">
      <c r="A2324" s="42">
        <v>41772</v>
      </c>
      <c r="B2324" s="69">
        <f t="shared" si="62"/>
        <v>20140513</v>
      </c>
      <c r="C2324" s="109">
        <v>2.7200000000000002E-2</v>
      </c>
      <c r="D2324" s="77">
        <v>5.0000000000000001E-3</v>
      </c>
      <c r="E2324" s="77">
        <v>8.0000000000000002E-3</v>
      </c>
      <c r="F2324" s="77">
        <v>0.01</v>
      </c>
      <c r="G2324" s="78">
        <v>0</v>
      </c>
      <c r="H2324" s="71">
        <v>7.7</v>
      </c>
      <c r="I2324" s="71">
        <v>10.1</v>
      </c>
      <c r="J2324" s="71">
        <v>12.3</v>
      </c>
      <c r="K2324" s="106">
        <v>8.8999999999999999E-3</v>
      </c>
      <c r="L2324" s="80">
        <v>-0.01</v>
      </c>
      <c r="M2324" s="75" t="s">
        <v>143</v>
      </c>
      <c r="N2324" s="75" t="b">
        <v>1</v>
      </c>
      <c r="O2324" s="75" t="s">
        <v>144</v>
      </c>
      <c r="P2324" s="75">
        <v>1994</v>
      </c>
      <c r="Q2324" s="107">
        <f t="shared" si="61"/>
        <v>2014</v>
      </c>
      <c r="R2324" s="107">
        <v>2</v>
      </c>
      <c r="S2324" s="100">
        <v>214043</v>
      </c>
      <c r="T2324" s="101">
        <v>41765</v>
      </c>
    </row>
    <row r="2325" spans="1:20" x14ac:dyDescent="0.3">
      <c r="A2325" s="42">
        <v>41773</v>
      </c>
      <c r="B2325" s="69">
        <f t="shared" si="62"/>
        <v>20140514</v>
      </c>
      <c r="C2325" s="109">
        <v>2.6600000000000002E-2</v>
      </c>
      <c r="D2325" s="77">
        <v>5.0000000000000001E-3</v>
      </c>
      <c r="E2325" s="77">
        <v>8.0000000000000002E-3</v>
      </c>
      <c r="F2325" s="77">
        <v>0.01</v>
      </c>
      <c r="G2325" s="78">
        <v>0</v>
      </c>
      <c r="H2325" s="71">
        <v>7.7</v>
      </c>
      <c r="I2325" s="71">
        <v>10.1</v>
      </c>
      <c r="J2325" s="71">
        <v>12.3</v>
      </c>
      <c r="K2325" s="106">
        <v>8.3000000000000001E-3</v>
      </c>
      <c r="L2325" s="80">
        <v>-0.01</v>
      </c>
      <c r="M2325" s="75" t="s">
        <v>143</v>
      </c>
      <c r="N2325" s="75" t="b">
        <v>1</v>
      </c>
      <c r="O2325" s="75" t="s">
        <v>144</v>
      </c>
      <c r="P2325" s="75">
        <v>1994</v>
      </c>
      <c r="Q2325" s="107">
        <f t="shared" si="61"/>
        <v>2014</v>
      </c>
      <c r="R2325" s="107">
        <v>2</v>
      </c>
      <c r="S2325" s="100">
        <v>214043</v>
      </c>
      <c r="T2325" s="101">
        <v>41765</v>
      </c>
    </row>
    <row r="2326" spans="1:20" x14ac:dyDescent="0.3">
      <c r="A2326" s="42">
        <v>41774</v>
      </c>
      <c r="B2326" s="69">
        <f t="shared" si="62"/>
        <v>20140515</v>
      </c>
      <c r="C2326" s="109">
        <v>2.63E-2</v>
      </c>
      <c r="D2326" s="77">
        <v>5.0000000000000001E-3</v>
      </c>
      <c r="E2326" s="77">
        <v>8.0000000000000002E-3</v>
      </c>
      <c r="F2326" s="77">
        <v>0.01</v>
      </c>
      <c r="G2326" s="78">
        <v>0</v>
      </c>
      <c r="H2326" s="71">
        <v>7.7</v>
      </c>
      <c r="I2326" s="71">
        <v>10.1</v>
      </c>
      <c r="J2326" s="71">
        <v>12.3</v>
      </c>
      <c r="K2326" s="106">
        <v>8.0000000000000002E-3</v>
      </c>
      <c r="L2326" s="80">
        <v>-0.01</v>
      </c>
      <c r="M2326" s="75" t="s">
        <v>143</v>
      </c>
      <c r="N2326" s="75" t="b">
        <v>1</v>
      </c>
      <c r="O2326" s="75" t="s">
        <v>144</v>
      </c>
      <c r="P2326" s="75">
        <v>1994</v>
      </c>
      <c r="Q2326" s="107">
        <f t="shared" si="61"/>
        <v>2014</v>
      </c>
      <c r="R2326" s="107">
        <v>2</v>
      </c>
      <c r="S2326" s="100">
        <v>214043</v>
      </c>
      <c r="T2326" s="101">
        <v>41765</v>
      </c>
    </row>
    <row r="2327" spans="1:20" x14ac:dyDescent="0.3">
      <c r="A2327" s="42">
        <v>41775</v>
      </c>
      <c r="B2327" s="69">
        <f t="shared" si="62"/>
        <v>20140516</v>
      </c>
      <c r="C2327" s="109">
        <v>2.63E-2</v>
      </c>
      <c r="D2327" s="77">
        <v>5.0000000000000001E-3</v>
      </c>
      <c r="E2327" s="77">
        <v>8.0000000000000002E-3</v>
      </c>
      <c r="F2327" s="77">
        <v>0.01</v>
      </c>
      <c r="G2327" s="78">
        <v>0</v>
      </c>
      <c r="H2327" s="71">
        <v>7.7</v>
      </c>
      <c r="I2327" s="71">
        <v>10.1</v>
      </c>
      <c r="J2327" s="71">
        <v>12.3</v>
      </c>
      <c r="K2327" s="106">
        <v>8.0000000000000002E-3</v>
      </c>
      <c r="L2327" s="80">
        <v>-0.01</v>
      </c>
      <c r="M2327" s="75" t="s">
        <v>143</v>
      </c>
      <c r="N2327" s="75" t="b">
        <v>1</v>
      </c>
      <c r="O2327" s="75" t="s">
        <v>144</v>
      </c>
      <c r="P2327" s="75">
        <v>1994</v>
      </c>
      <c r="Q2327" s="107">
        <f t="shared" si="61"/>
        <v>2014</v>
      </c>
      <c r="R2327" s="107">
        <v>2</v>
      </c>
      <c r="S2327" s="100">
        <v>214043</v>
      </c>
      <c r="T2327" s="101">
        <v>41765</v>
      </c>
    </row>
    <row r="2328" spans="1:20" x14ac:dyDescent="0.3">
      <c r="A2328" s="42">
        <v>41776</v>
      </c>
      <c r="B2328" s="69">
        <f>YEAR(A2328)*10000+MONTH(A2328)*100+DAY(A2328)</f>
        <v>20140517</v>
      </c>
      <c r="C2328" s="109">
        <v>2.63E-2</v>
      </c>
      <c r="D2328" s="77">
        <v>5.0000000000000001E-3</v>
      </c>
      <c r="E2328" s="77">
        <v>8.0000000000000002E-3</v>
      </c>
      <c r="F2328" s="77">
        <v>0.01</v>
      </c>
      <c r="G2328" s="78">
        <v>0</v>
      </c>
      <c r="H2328" s="71">
        <v>7.7</v>
      </c>
      <c r="I2328" s="71">
        <v>10.1</v>
      </c>
      <c r="J2328" s="71">
        <v>12.3</v>
      </c>
      <c r="K2328" s="106">
        <v>8.0000000000000002E-3</v>
      </c>
      <c r="L2328" s="80">
        <v>-0.01</v>
      </c>
      <c r="M2328" s="75" t="s">
        <v>143</v>
      </c>
      <c r="N2328" s="75" t="b">
        <v>1</v>
      </c>
      <c r="O2328" s="75" t="s">
        <v>144</v>
      </c>
      <c r="P2328" s="75">
        <v>1994</v>
      </c>
      <c r="Q2328" s="107">
        <f t="shared" si="61"/>
        <v>2014</v>
      </c>
      <c r="R2328" s="107">
        <v>2</v>
      </c>
      <c r="S2328" s="100">
        <v>214043</v>
      </c>
      <c r="T2328" s="101">
        <v>41765</v>
      </c>
    </row>
    <row r="2329" spans="1:20" x14ac:dyDescent="0.3">
      <c r="A2329" s="42">
        <v>41777</v>
      </c>
      <c r="B2329" s="69">
        <f>YEAR(A2329)*10000+MONTH(A2329)*100+DAY(A2329)</f>
        <v>20140518</v>
      </c>
      <c r="C2329" s="109">
        <v>2.63E-2</v>
      </c>
      <c r="D2329" s="77">
        <v>5.0000000000000001E-3</v>
      </c>
      <c r="E2329" s="77">
        <v>8.0000000000000002E-3</v>
      </c>
      <c r="F2329" s="77">
        <v>0.01</v>
      </c>
      <c r="G2329" s="78">
        <v>0</v>
      </c>
      <c r="H2329" s="71">
        <v>7.7</v>
      </c>
      <c r="I2329" s="71">
        <v>10.1</v>
      </c>
      <c r="J2329" s="71">
        <v>12.3</v>
      </c>
      <c r="K2329" s="106">
        <v>8.0000000000000002E-3</v>
      </c>
      <c r="L2329" s="80">
        <v>-0.01</v>
      </c>
      <c r="M2329" s="75" t="s">
        <v>143</v>
      </c>
      <c r="N2329" s="75" t="b">
        <v>1</v>
      </c>
      <c r="O2329" s="75" t="s">
        <v>144</v>
      </c>
      <c r="P2329" s="75">
        <v>1994</v>
      </c>
      <c r="Q2329" s="107">
        <f t="shared" si="61"/>
        <v>2014</v>
      </c>
      <c r="R2329" s="107">
        <v>2</v>
      </c>
      <c r="S2329" s="100">
        <v>214043</v>
      </c>
      <c r="T2329" s="101">
        <v>41765</v>
      </c>
    </row>
    <row r="2330" spans="1:20" x14ac:dyDescent="0.3">
      <c r="A2330" s="42">
        <v>41778</v>
      </c>
      <c r="B2330" s="69">
        <f t="shared" si="62"/>
        <v>20140519</v>
      </c>
      <c r="C2330" s="109">
        <v>2.63E-2</v>
      </c>
      <c r="D2330" s="77">
        <v>5.0000000000000001E-3</v>
      </c>
      <c r="E2330" s="77">
        <v>8.0000000000000002E-3</v>
      </c>
      <c r="F2330" s="77">
        <v>0.01</v>
      </c>
      <c r="G2330" s="78">
        <v>0</v>
      </c>
      <c r="H2330" s="71">
        <v>7.7</v>
      </c>
      <c r="I2330" s="71">
        <v>10.1</v>
      </c>
      <c r="J2330" s="71">
        <v>12.3</v>
      </c>
      <c r="K2330" s="106">
        <v>8.0000000000000002E-3</v>
      </c>
      <c r="L2330" s="80">
        <v>-0.01</v>
      </c>
      <c r="M2330" s="75" t="s">
        <v>143</v>
      </c>
      <c r="N2330" s="75" t="b">
        <v>1</v>
      </c>
      <c r="O2330" s="75" t="s">
        <v>144</v>
      </c>
      <c r="P2330" s="75">
        <v>1994</v>
      </c>
      <c r="Q2330" s="107">
        <f t="shared" si="61"/>
        <v>2014</v>
      </c>
      <c r="R2330" s="107">
        <v>2</v>
      </c>
      <c r="S2330" s="100">
        <v>214043</v>
      </c>
      <c r="T2330" s="101">
        <v>41765</v>
      </c>
    </row>
    <row r="2331" spans="1:20" x14ac:dyDescent="0.3">
      <c r="A2331" s="42">
        <v>41779</v>
      </c>
      <c r="B2331" s="69">
        <f t="shared" si="62"/>
        <v>20140520</v>
      </c>
      <c r="C2331" s="109">
        <v>2.6499999999999999E-2</v>
      </c>
      <c r="D2331" s="77">
        <v>5.0000000000000001E-3</v>
      </c>
      <c r="E2331" s="77">
        <v>8.0000000000000002E-3</v>
      </c>
      <c r="F2331" s="77">
        <v>0.01</v>
      </c>
      <c r="G2331" s="78">
        <v>0</v>
      </c>
      <c r="H2331" s="71">
        <v>7.7</v>
      </c>
      <c r="I2331" s="71">
        <v>10.1</v>
      </c>
      <c r="J2331" s="71">
        <v>12.3</v>
      </c>
      <c r="K2331" s="106">
        <v>8.1000000000000013E-3</v>
      </c>
      <c r="L2331" s="80">
        <v>-0.01</v>
      </c>
      <c r="M2331" s="75" t="s">
        <v>143</v>
      </c>
      <c r="N2331" s="75" t="b">
        <v>1</v>
      </c>
      <c r="O2331" s="75" t="s">
        <v>144</v>
      </c>
      <c r="P2331" s="75">
        <v>1994</v>
      </c>
      <c r="Q2331" s="107">
        <f t="shared" si="61"/>
        <v>2014</v>
      </c>
      <c r="R2331" s="107">
        <v>2</v>
      </c>
      <c r="S2331" s="100">
        <v>214043</v>
      </c>
      <c r="T2331" s="101">
        <v>41765</v>
      </c>
    </row>
    <row r="2332" spans="1:20" x14ac:dyDescent="0.3">
      <c r="A2332" s="42">
        <v>41780</v>
      </c>
      <c r="B2332" s="69">
        <f t="shared" si="62"/>
        <v>20140521</v>
      </c>
      <c r="C2332" s="109">
        <v>2.6800000000000001E-2</v>
      </c>
      <c r="D2332" s="77">
        <v>5.0000000000000001E-3</v>
      </c>
      <c r="E2332" s="77">
        <v>8.0000000000000002E-3</v>
      </c>
      <c r="F2332" s="77">
        <v>0.01</v>
      </c>
      <c r="G2332" s="78">
        <v>0</v>
      </c>
      <c r="H2332" s="71">
        <v>7.7</v>
      </c>
      <c r="I2332" s="71">
        <v>10.1</v>
      </c>
      <c r="J2332" s="71">
        <v>12.3</v>
      </c>
      <c r="K2332" s="106">
        <v>8.3999999999999995E-3</v>
      </c>
      <c r="L2332" s="80">
        <v>-0.01</v>
      </c>
      <c r="M2332" s="75" t="s">
        <v>143</v>
      </c>
      <c r="N2332" s="75" t="b">
        <v>1</v>
      </c>
      <c r="O2332" s="75" t="s">
        <v>144</v>
      </c>
      <c r="P2332" s="75">
        <v>1994</v>
      </c>
      <c r="Q2332" s="107">
        <f t="shared" si="61"/>
        <v>2014</v>
      </c>
      <c r="R2332" s="107">
        <v>2</v>
      </c>
      <c r="S2332" s="100">
        <v>214043</v>
      </c>
      <c r="T2332" s="101">
        <v>41765</v>
      </c>
    </row>
    <row r="2333" spans="1:20" x14ac:dyDescent="0.3">
      <c r="A2333" s="42">
        <v>41781</v>
      </c>
      <c r="B2333" s="69">
        <f t="shared" si="62"/>
        <v>20140522</v>
      </c>
      <c r="C2333" s="109">
        <v>2.7000000000000003E-2</v>
      </c>
      <c r="D2333" s="77">
        <v>5.0000000000000001E-3</v>
      </c>
      <c r="E2333" s="77">
        <v>8.0000000000000002E-3</v>
      </c>
      <c r="F2333" s="77">
        <v>0.01</v>
      </c>
      <c r="G2333" s="78">
        <v>0</v>
      </c>
      <c r="H2333" s="71">
        <v>7.7</v>
      </c>
      <c r="I2333" s="71">
        <v>10.1</v>
      </c>
      <c r="J2333" s="71">
        <v>12.3</v>
      </c>
      <c r="K2333" s="106">
        <v>8.6E-3</v>
      </c>
      <c r="L2333" s="80">
        <v>-0.01</v>
      </c>
      <c r="M2333" s="75" t="s">
        <v>143</v>
      </c>
      <c r="N2333" s="75" t="b">
        <v>1</v>
      </c>
      <c r="O2333" s="75" t="s">
        <v>144</v>
      </c>
      <c r="P2333" s="75">
        <v>1994</v>
      </c>
      <c r="Q2333" s="107">
        <f t="shared" si="61"/>
        <v>2014</v>
      </c>
      <c r="R2333" s="107">
        <v>2</v>
      </c>
      <c r="S2333" s="100">
        <v>214043</v>
      </c>
      <c r="T2333" s="101">
        <v>41765</v>
      </c>
    </row>
    <row r="2334" spans="1:20" x14ac:dyDescent="0.3">
      <c r="A2334" s="42">
        <v>41782</v>
      </c>
      <c r="B2334" s="69">
        <f t="shared" si="62"/>
        <v>20140523</v>
      </c>
      <c r="C2334" s="109">
        <v>2.6800000000000001E-2</v>
      </c>
      <c r="D2334" s="77">
        <v>5.0000000000000001E-3</v>
      </c>
      <c r="E2334" s="77">
        <v>8.0000000000000002E-3</v>
      </c>
      <c r="F2334" s="77">
        <v>0.01</v>
      </c>
      <c r="G2334" s="78">
        <v>0</v>
      </c>
      <c r="H2334" s="71">
        <v>7.7</v>
      </c>
      <c r="I2334" s="71">
        <v>10.1</v>
      </c>
      <c r="J2334" s="71">
        <v>12.3</v>
      </c>
      <c r="K2334" s="106">
        <v>8.3999999999999995E-3</v>
      </c>
      <c r="L2334" s="80">
        <v>-0.01</v>
      </c>
      <c r="M2334" s="75" t="s">
        <v>143</v>
      </c>
      <c r="N2334" s="75" t="b">
        <v>1</v>
      </c>
      <c r="O2334" s="75" t="s">
        <v>144</v>
      </c>
      <c r="P2334" s="75">
        <v>1994</v>
      </c>
      <c r="Q2334" s="107">
        <f t="shared" si="61"/>
        <v>2014</v>
      </c>
      <c r="R2334" s="107">
        <v>2</v>
      </c>
      <c r="S2334" s="100">
        <v>214043</v>
      </c>
      <c r="T2334" s="101">
        <v>41765</v>
      </c>
    </row>
    <row r="2335" spans="1:20" x14ac:dyDescent="0.3">
      <c r="A2335" s="42">
        <v>41783</v>
      </c>
      <c r="B2335" s="69">
        <f>YEAR(A2335)*10000+MONTH(A2335)*100+DAY(A2335)</f>
        <v>20140524</v>
      </c>
      <c r="C2335" s="109">
        <v>2.6800000000000001E-2</v>
      </c>
      <c r="D2335" s="77">
        <v>5.0000000000000001E-3</v>
      </c>
      <c r="E2335" s="77">
        <v>8.0000000000000002E-3</v>
      </c>
      <c r="F2335" s="77">
        <v>0.01</v>
      </c>
      <c r="G2335" s="78">
        <v>0</v>
      </c>
      <c r="H2335" s="71">
        <v>7.7</v>
      </c>
      <c r="I2335" s="71">
        <v>10.1</v>
      </c>
      <c r="J2335" s="71">
        <v>12.3</v>
      </c>
      <c r="K2335" s="106">
        <v>8.3999999999999995E-3</v>
      </c>
      <c r="L2335" s="80">
        <v>-0.01</v>
      </c>
      <c r="M2335" s="75" t="s">
        <v>143</v>
      </c>
      <c r="N2335" s="75" t="b">
        <v>1</v>
      </c>
      <c r="O2335" s="75" t="s">
        <v>144</v>
      </c>
      <c r="P2335" s="75">
        <v>1994</v>
      </c>
      <c r="Q2335" s="107">
        <f t="shared" si="61"/>
        <v>2014</v>
      </c>
      <c r="R2335" s="107">
        <v>2</v>
      </c>
      <c r="S2335" s="100">
        <v>214043</v>
      </c>
      <c r="T2335" s="101">
        <v>41765</v>
      </c>
    </row>
    <row r="2336" spans="1:20" x14ac:dyDescent="0.3">
      <c r="A2336" s="42">
        <v>41784</v>
      </c>
      <c r="B2336" s="69">
        <f>YEAR(A2336)*10000+MONTH(A2336)*100+DAY(A2336)</f>
        <v>20140525</v>
      </c>
      <c r="C2336" s="109">
        <v>2.6800000000000001E-2</v>
      </c>
      <c r="D2336" s="77">
        <v>5.0000000000000001E-3</v>
      </c>
      <c r="E2336" s="77">
        <v>8.0000000000000002E-3</v>
      </c>
      <c r="F2336" s="77">
        <v>0.01</v>
      </c>
      <c r="G2336" s="78">
        <v>0</v>
      </c>
      <c r="H2336" s="71">
        <v>7.7</v>
      </c>
      <c r="I2336" s="71">
        <v>10.1</v>
      </c>
      <c r="J2336" s="71">
        <v>12.3</v>
      </c>
      <c r="K2336" s="106">
        <v>8.3999999999999995E-3</v>
      </c>
      <c r="L2336" s="80">
        <v>-0.01</v>
      </c>
      <c r="M2336" s="75" t="s">
        <v>143</v>
      </c>
      <c r="N2336" s="75" t="b">
        <v>1</v>
      </c>
      <c r="O2336" s="75" t="s">
        <v>144</v>
      </c>
      <c r="P2336" s="75">
        <v>1994</v>
      </c>
      <c r="Q2336" s="107">
        <f t="shared" si="61"/>
        <v>2014</v>
      </c>
      <c r="R2336" s="107">
        <v>2</v>
      </c>
      <c r="S2336" s="100">
        <v>214043</v>
      </c>
      <c r="T2336" s="101">
        <v>41765</v>
      </c>
    </row>
    <row r="2337" spans="1:20" x14ac:dyDescent="0.3">
      <c r="A2337" s="42">
        <v>41785</v>
      </c>
      <c r="B2337" s="69">
        <f t="shared" si="62"/>
        <v>20140526</v>
      </c>
      <c r="C2337" s="109">
        <v>2.69E-2</v>
      </c>
      <c r="D2337" s="77">
        <v>5.0000000000000001E-3</v>
      </c>
      <c r="E2337" s="77">
        <v>8.0000000000000002E-3</v>
      </c>
      <c r="F2337" s="77">
        <v>0.01</v>
      </c>
      <c r="G2337" s="78">
        <v>0</v>
      </c>
      <c r="H2337" s="71">
        <v>7.7</v>
      </c>
      <c r="I2337" s="71">
        <v>10.1</v>
      </c>
      <c r="J2337" s="71">
        <v>12.3</v>
      </c>
      <c r="K2337" s="106">
        <v>8.5000000000000006E-3</v>
      </c>
      <c r="L2337" s="80">
        <v>-0.01</v>
      </c>
      <c r="M2337" s="75" t="s">
        <v>143</v>
      </c>
      <c r="N2337" s="75" t="b">
        <v>1</v>
      </c>
      <c r="O2337" s="75" t="s">
        <v>144</v>
      </c>
      <c r="P2337" s="75">
        <v>1994</v>
      </c>
      <c r="Q2337" s="107">
        <f t="shared" si="61"/>
        <v>2014</v>
      </c>
      <c r="R2337" s="107">
        <v>2</v>
      </c>
      <c r="S2337" s="100">
        <v>214043</v>
      </c>
      <c r="T2337" s="101">
        <v>41765</v>
      </c>
    </row>
    <row r="2338" spans="1:20" x14ac:dyDescent="0.3">
      <c r="A2338" s="42">
        <v>41786</v>
      </c>
      <c r="B2338" s="69">
        <f t="shared" si="62"/>
        <v>20140527</v>
      </c>
      <c r="C2338" s="109">
        <v>2.6699999999999998E-2</v>
      </c>
      <c r="D2338" s="77">
        <v>5.0000000000000001E-3</v>
      </c>
      <c r="E2338" s="77">
        <v>8.0000000000000002E-3</v>
      </c>
      <c r="F2338" s="77">
        <v>0.01</v>
      </c>
      <c r="G2338" s="78">
        <v>0</v>
      </c>
      <c r="H2338" s="71">
        <v>7.7</v>
      </c>
      <c r="I2338" s="71">
        <v>10.1</v>
      </c>
      <c r="J2338" s="71">
        <v>12.3</v>
      </c>
      <c r="K2338" s="106">
        <v>8.3000000000000001E-3</v>
      </c>
      <c r="L2338" s="80">
        <v>-0.01</v>
      </c>
      <c r="M2338" s="75" t="s">
        <v>143</v>
      </c>
      <c r="N2338" s="75" t="b">
        <v>1</v>
      </c>
      <c r="O2338" s="75" t="s">
        <v>144</v>
      </c>
      <c r="P2338" s="75">
        <v>1994</v>
      </c>
      <c r="Q2338" s="107">
        <f t="shared" si="61"/>
        <v>2014</v>
      </c>
      <c r="R2338" s="107">
        <v>2</v>
      </c>
      <c r="S2338" s="100">
        <v>214043</v>
      </c>
      <c r="T2338" s="101">
        <v>41765</v>
      </c>
    </row>
    <row r="2339" spans="1:20" x14ac:dyDescent="0.3">
      <c r="A2339" s="42">
        <v>41787</v>
      </c>
      <c r="B2339" s="69">
        <f t="shared" si="62"/>
        <v>20140528</v>
      </c>
      <c r="C2339" s="109">
        <v>2.6000000000000002E-2</v>
      </c>
      <c r="D2339" s="77">
        <v>5.0000000000000001E-3</v>
      </c>
      <c r="E2339" s="77">
        <v>8.0000000000000002E-3</v>
      </c>
      <c r="F2339" s="77">
        <v>0.01</v>
      </c>
      <c r="G2339" s="78">
        <v>0</v>
      </c>
      <c r="H2339" s="71">
        <v>7.7</v>
      </c>
      <c r="I2339" s="71">
        <v>10.1</v>
      </c>
      <c r="J2339" s="71">
        <v>12.3</v>
      </c>
      <c r="K2339" s="106">
        <v>7.6E-3</v>
      </c>
      <c r="L2339" s="80">
        <v>-0.01</v>
      </c>
      <c r="M2339" s="75" t="s">
        <v>143</v>
      </c>
      <c r="N2339" s="75" t="b">
        <v>1</v>
      </c>
      <c r="O2339" s="75" t="s">
        <v>144</v>
      </c>
      <c r="P2339" s="75">
        <v>1994</v>
      </c>
      <c r="Q2339" s="107">
        <f t="shared" si="61"/>
        <v>2014</v>
      </c>
      <c r="R2339" s="107">
        <v>2</v>
      </c>
      <c r="S2339" s="100">
        <v>214043</v>
      </c>
      <c r="T2339" s="101">
        <v>41765</v>
      </c>
    </row>
    <row r="2340" spans="1:20" x14ac:dyDescent="0.3">
      <c r="A2340" s="42">
        <v>41788</v>
      </c>
      <c r="B2340" s="69">
        <f t="shared" si="62"/>
        <v>20140529</v>
      </c>
      <c r="C2340" s="109">
        <v>2.6200000000000001E-2</v>
      </c>
      <c r="D2340" s="77">
        <v>5.0000000000000001E-3</v>
      </c>
      <c r="E2340" s="77">
        <v>8.0000000000000002E-3</v>
      </c>
      <c r="F2340" s="77">
        <v>0.01</v>
      </c>
      <c r="G2340" s="78">
        <v>0</v>
      </c>
      <c r="H2340" s="71">
        <v>7.7</v>
      </c>
      <c r="I2340" s="71">
        <v>10.1</v>
      </c>
      <c r="J2340" s="71">
        <v>12.3</v>
      </c>
      <c r="K2340" s="106">
        <v>7.8000000000000005E-3</v>
      </c>
      <c r="L2340" s="80">
        <v>-0.01</v>
      </c>
      <c r="M2340" s="75" t="s">
        <v>143</v>
      </c>
      <c r="N2340" s="75" t="b">
        <v>1</v>
      </c>
      <c r="O2340" s="75" t="s">
        <v>144</v>
      </c>
      <c r="P2340" s="75">
        <v>1994</v>
      </c>
      <c r="Q2340" s="107">
        <f t="shared" si="61"/>
        <v>2014</v>
      </c>
      <c r="R2340" s="107">
        <v>2</v>
      </c>
      <c r="S2340" s="100">
        <v>214043</v>
      </c>
      <c r="T2340" s="101">
        <v>41765</v>
      </c>
    </row>
    <row r="2341" spans="1:20" x14ac:dyDescent="0.3">
      <c r="A2341" s="42">
        <v>41789</v>
      </c>
      <c r="B2341" s="69">
        <f>YEAR(A2341)*10000+MONTH(A2341)*100+DAY(A2341)</f>
        <v>20140530</v>
      </c>
      <c r="C2341" s="109">
        <v>2.6100000000000002E-2</v>
      </c>
      <c r="D2341" s="77">
        <v>5.0000000000000001E-3</v>
      </c>
      <c r="E2341" s="77">
        <v>8.0000000000000002E-3</v>
      </c>
      <c r="F2341" s="77">
        <v>0.01</v>
      </c>
      <c r="G2341" s="78">
        <v>0</v>
      </c>
      <c r="H2341" s="71">
        <v>7.7</v>
      </c>
      <c r="I2341" s="71">
        <v>10.1</v>
      </c>
      <c r="J2341" s="71">
        <v>12.3</v>
      </c>
      <c r="K2341" s="106">
        <v>7.7000000000000002E-3</v>
      </c>
      <c r="L2341" s="80">
        <v>-0.01</v>
      </c>
      <c r="M2341" s="75" t="s">
        <v>143</v>
      </c>
      <c r="N2341" s="75" t="b">
        <v>1</v>
      </c>
      <c r="O2341" s="75" t="s">
        <v>144</v>
      </c>
      <c r="P2341" s="75">
        <v>1994</v>
      </c>
      <c r="Q2341" s="107">
        <f t="shared" si="61"/>
        <v>2014</v>
      </c>
      <c r="R2341" s="107">
        <v>2</v>
      </c>
      <c r="S2341" s="100">
        <v>214043</v>
      </c>
      <c r="T2341" s="101">
        <v>41765</v>
      </c>
    </row>
    <row r="2342" spans="1:20" x14ac:dyDescent="0.3">
      <c r="A2342" s="42">
        <v>41790</v>
      </c>
      <c r="B2342" s="69">
        <f>YEAR(A2342)*10000+MONTH(A2342)*100+DAY(A2342)</f>
        <v>20140531</v>
      </c>
      <c r="C2342" s="109">
        <v>2.6100000000000002E-2</v>
      </c>
      <c r="D2342" s="77">
        <v>5.0000000000000001E-3</v>
      </c>
      <c r="E2342" s="77">
        <v>8.0000000000000002E-3</v>
      </c>
      <c r="F2342" s="77">
        <v>0.01</v>
      </c>
      <c r="G2342" s="78">
        <v>0</v>
      </c>
      <c r="H2342" s="71">
        <v>7.7</v>
      </c>
      <c r="I2342" s="71">
        <v>10.1</v>
      </c>
      <c r="J2342" s="71">
        <v>12.3</v>
      </c>
      <c r="K2342" s="106">
        <v>7.7000000000000002E-3</v>
      </c>
      <c r="L2342" s="80">
        <v>-0.01</v>
      </c>
      <c r="M2342" s="75" t="s">
        <v>143</v>
      </c>
      <c r="N2342" s="75" t="b">
        <v>1</v>
      </c>
      <c r="O2342" s="75" t="s">
        <v>144</v>
      </c>
      <c r="P2342" s="75">
        <v>1994</v>
      </c>
      <c r="Q2342" s="107">
        <f t="shared" si="61"/>
        <v>2014</v>
      </c>
      <c r="R2342" s="107">
        <v>2</v>
      </c>
      <c r="S2342" s="100">
        <v>214043</v>
      </c>
      <c r="T2342" s="101">
        <v>41765</v>
      </c>
    </row>
    <row r="2343" spans="1:20" x14ac:dyDescent="0.3">
      <c r="A2343" s="42">
        <v>41791</v>
      </c>
      <c r="B2343" s="69">
        <f>YEAR(A2343)*10000+MONTH(A2343)*100+DAY(A2343)</f>
        <v>20140601</v>
      </c>
      <c r="C2343" s="109">
        <v>2.6100000000000002E-2</v>
      </c>
      <c r="D2343" s="77">
        <v>5.0000000000000001E-3</v>
      </c>
      <c r="E2343" s="77">
        <v>8.0000000000000002E-3</v>
      </c>
      <c r="F2343" s="77">
        <v>0.01</v>
      </c>
      <c r="G2343" s="78">
        <v>0</v>
      </c>
      <c r="H2343" s="71">
        <v>7.7</v>
      </c>
      <c r="I2343" s="71">
        <v>10.1</v>
      </c>
      <c r="J2343" s="71">
        <v>12.3</v>
      </c>
      <c r="K2343" s="106">
        <v>7.7000000000000002E-3</v>
      </c>
      <c r="L2343" s="80">
        <v>-0.01</v>
      </c>
      <c r="M2343" s="75" t="s">
        <v>143</v>
      </c>
      <c r="N2343" s="75" t="b">
        <v>1</v>
      </c>
      <c r="O2343" s="75" t="s">
        <v>144</v>
      </c>
      <c r="P2343" s="75">
        <v>1994</v>
      </c>
      <c r="Q2343" s="107">
        <f t="shared" si="61"/>
        <v>2014</v>
      </c>
      <c r="R2343" s="107">
        <v>2</v>
      </c>
      <c r="S2343" s="100">
        <v>214043</v>
      </c>
      <c r="T2343" s="101">
        <v>41765</v>
      </c>
    </row>
    <row r="2344" spans="1:20" x14ac:dyDescent="0.3">
      <c r="A2344" s="42">
        <v>41792</v>
      </c>
      <c r="B2344" s="69">
        <f t="shared" ref="B2344:B2369" si="63">YEAR(A2344)*10000+MONTH(A2344)*100+DAY(A2344)</f>
        <v>20140602</v>
      </c>
      <c r="C2344" s="109">
        <v>2.7200000000000002E-2</v>
      </c>
      <c r="D2344" s="77">
        <v>5.0000000000000001E-3</v>
      </c>
      <c r="E2344" s="77">
        <v>8.0000000000000002E-3</v>
      </c>
      <c r="F2344" s="77">
        <v>0.01</v>
      </c>
      <c r="G2344" s="78">
        <v>0</v>
      </c>
      <c r="H2344" s="71">
        <v>7.7</v>
      </c>
      <c r="I2344" s="71">
        <v>10.1</v>
      </c>
      <c r="J2344" s="71">
        <v>12.3</v>
      </c>
      <c r="K2344" s="106">
        <v>8.0000000000000002E-3</v>
      </c>
      <c r="L2344" s="80">
        <v>-0.01</v>
      </c>
      <c r="M2344" s="75" t="s">
        <v>143</v>
      </c>
      <c r="N2344" s="75" t="b">
        <v>1</v>
      </c>
      <c r="O2344" s="75" t="s">
        <v>144</v>
      </c>
      <c r="P2344" s="75">
        <v>1994</v>
      </c>
      <c r="Q2344" s="107">
        <f t="shared" si="61"/>
        <v>2014</v>
      </c>
      <c r="R2344" s="107">
        <v>2</v>
      </c>
      <c r="S2344" s="100">
        <v>214043</v>
      </c>
      <c r="T2344" s="101">
        <v>41765</v>
      </c>
    </row>
    <row r="2345" spans="1:20" x14ac:dyDescent="0.3">
      <c r="A2345" s="42">
        <v>41793</v>
      </c>
      <c r="B2345" s="69">
        <f t="shared" si="63"/>
        <v>20140603</v>
      </c>
      <c r="C2345" s="109">
        <v>2.76E-2</v>
      </c>
      <c r="D2345" s="77">
        <v>5.0000000000000001E-3</v>
      </c>
      <c r="E2345" s="77">
        <v>8.0000000000000002E-3</v>
      </c>
      <c r="F2345" s="77">
        <v>0.01</v>
      </c>
      <c r="G2345" s="78">
        <v>0</v>
      </c>
      <c r="H2345" s="71">
        <v>7.7</v>
      </c>
      <c r="I2345" s="71">
        <v>10.1</v>
      </c>
      <c r="J2345" s="71">
        <v>12.3</v>
      </c>
      <c r="K2345" s="106">
        <v>8.6E-3</v>
      </c>
      <c r="L2345" s="80">
        <v>-0.01</v>
      </c>
      <c r="M2345" s="75" t="s">
        <v>143</v>
      </c>
      <c r="N2345" s="75" t="b">
        <v>1</v>
      </c>
      <c r="O2345" s="75" t="s">
        <v>144</v>
      </c>
      <c r="P2345" s="75">
        <v>1994</v>
      </c>
      <c r="Q2345" s="107">
        <f t="shared" si="61"/>
        <v>2014</v>
      </c>
      <c r="R2345" s="107">
        <v>2</v>
      </c>
      <c r="S2345" s="100">
        <v>214043</v>
      </c>
      <c r="T2345" s="101">
        <v>41765</v>
      </c>
    </row>
    <row r="2346" spans="1:20" x14ac:dyDescent="0.3">
      <c r="A2346" s="42">
        <v>41794</v>
      </c>
      <c r="B2346" s="69">
        <f t="shared" si="63"/>
        <v>20140604</v>
      </c>
      <c r="C2346" s="109">
        <v>2.7699999999999999E-2</v>
      </c>
      <c r="D2346" s="77">
        <v>5.0000000000000001E-3</v>
      </c>
      <c r="E2346" s="77">
        <v>8.0000000000000002E-3</v>
      </c>
      <c r="F2346" s="77">
        <v>0.01</v>
      </c>
      <c r="G2346" s="78">
        <v>0</v>
      </c>
      <c r="H2346" s="71">
        <v>7.7</v>
      </c>
      <c r="I2346" s="71">
        <v>10.1</v>
      </c>
      <c r="J2346" s="71">
        <v>12.3</v>
      </c>
      <c r="K2346" s="106">
        <v>8.6999999999999994E-3</v>
      </c>
      <c r="L2346" s="80">
        <v>-0.01</v>
      </c>
      <c r="M2346" s="75" t="s">
        <v>143</v>
      </c>
      <c r="N2346" s="75" t="b">
        <v>1</v>
      </c>
      <c r="O2346" s="75" t="s">
        <v>144</v>
      </c>
      <c r="P2346" s="75">
        <v>1994</v>
      </c>
      <c r="Q2346" s="107">
        <f t="shared" si="61"/>
        <v>2014</v>
      </c>
      <c r="R2346" s="107">
        <v>2</v>
      </c>
      <c r="S2346" s="100">
        <v>214043</v>
      </c>
      <c r="T2346" s="101">
        <v>41765</v>
      </c>
    </row>
    <row r="2347" spans="1:20" x14ac:dyDescent="0.3">
      <c r="A2347" s="42">
        <v>41795</v>
      </c>
      <c r="B2347" s="69">
        <f t="shared" si="63"/>
        <v>20140605</v>
      </c>
      <c r="C2347" s="109">
        <v>2.76E-2</v>
      </c>
      <c r="D2347" s="77">
        <v>5.0000000000000001E-3</v>
      </c>
      <c r="E2347" s="77">
        <v>8.0000000000000002E-3</v>
      </c>
      <c r="F2347" s="77">
        <v>0.01</v>
      </c>
      <c r="G2347" s="78">
        <v>0</v>
      </c>
      <c r="H2347" s="71">
        <v>7.7</v>
      </c>
      <c r="I2347" s="71">
        <v>10.1</v>
      </c>
      <c r="J2347" s="71">
        <v>12.3</v>
      </c>
      <c r="K2347" s="106">
        <v>8.5000000000000006E-3</v>
      </c>
      <c r="L2347" s="80">
        <v>-0.01</v>
      </c>
      <c r="M2347" s="75" t="s">
        <v>143</v>
      </c>
      <c r="N2347" s="75" t="b">
        <v>1</v>
      </c>
      <c r="O2347" s="75" t="s">
        <v>144</v>
      </c>
      <c r="P2347" s="75">
        <v>1994</v>
      </c>
      <c r="Q2347" s="107">
        <f t="shared" si="61"/>
        <v>2014</v>
      </c>
      <c r="R2347" s="107">
        <v>2</v>
      </c>
      <c r="S2347" s="100">
        <v>214043</v>
      </c>
      <c r="T2347" s="101">
        <v>41765</v>
      </c>
    </row>
    <row r="2348" spans="1:20" x14ac:dyDescent="0.3">
      <c r="A2348" s="42">
        <v>41796</v>
      </c>
      <c r="B2348" s="69">
        <f t="shared" si="63"/>
        <v>20140606</v>
      </c>
      <c r="C2348" s="109">
        <v>2.75E-2</v>
      </c>
      <c r="D2348" s="77">
        <v>5.0000000000000001E-3</v>
      </c>
      <c r="E2348" s="77">
        <v>8.0000000000000002E-3</v>
      </c>
      <c r="F2348" s="77">
        <v>0.01</v>
      </c>
      <c r="G2348" s="78">
        <v>0</v>
      </c>
      <c r="H2348" s="71">
        <v>7.7</v>
      </c>
      <c r="I2348" s="71">
        <v>10.1</v>
      </c>
      <c r="J2348" s="71">
        <v>12.3</v>
      </c>
      <c r="K2348" s="106">
        <v>8.3000000000000001E-3</v>
      </c>
      <c r="L2348" s="80">
        <v>-0.01</v>
      </c>
      <c r="M2348" s="75" t="s">
        <v>143</v>
      </c>
      <c r="N2348" s="75" t="b">
        <v>1</v>
      </c>
      <c r="O2348" s="75" t="s">
        <v>144</v>
      </c>
      <c r="P2348" s="75">
        <v>1994</v>
      </c>
      <c r="Q2348" s="107">
        <f t="shared" si="61"/>
        <v>2014</v>
      </c>
      <c r="R2348" s="107">
        <v>2</v>
      </c>
      <c r="S2348" s="100">
        <v>214043</v>
      </c>
      <c r="T2348" s="101">
        <v>41765</v>
      </c>
    </row>
    <row r="2349" spans="1:20" x14ac:dyDescent="0.3">
      <c r="A2349" s="42">
        <v>41797</v>
      </c>
      <c r="B2349" s="69">
        <f t="shared" si="63"/>
        <v>20140607</v>
      </c>
      <c r="C2349" s="109">
        <v>2.75E-2</v>
      </c>
      <c r="D2349" s="77">
        <v>5.0000000000000001E-3</v>
      </c>
      <c r="E2349" s="77">
        <v>8.0000000000000002E-3</v>
      </c>
      <c r="F2349" s="77">
        <v>0.01</v>
      </c>
      <c r="G2349" s="78">
        <v>0</v>
      </c>
      <c r="H2349" s="71">
        <v>7.7</v>
      </c>
      <c r="I2349" s="71">
        <v>10.1</v>
      </c>
      <c r="J2349" s="71">
        <v>12.3</v>
      </c>
      <c r="K2349" s="106">
        <v>8.3000000000000001E-3</v>
      </c>
      <c r="L2349" s="80">
        <v>-0.01</v>
      </c>
      <c r="M2349" s="75" t="s">
        <v>143</v>
      </c>
      <c r="N2349" s="75" t="b">
        <v>1</v>
      </c>
      <c r="O2349" s="75" t="s">
        <v>144</v>
      </c>
      <c r="P2349" s="75">
        <v>1994</v>
      </c>
      <c r="Q2349" s="107">
        <f t="shared" si="61"/>
        <v>2014</v>
      </c>
      <c r="R2349" s="107">
        <v>2</v>
      </c>
      <c r="S2349" s="100">
        <v>214043</v>
      </c>
      <c r="T2349" s="101">
        <v>41765</v>
      </c>
    </row>
    <row r="2350" spans="1:20" x14ac:dyDescent="0.3">
      <c r="A2350" s="42">
        <v>41798</v>
      </c>
      <c r="B2350" s="69">
        <f t="shared" si="63"/>
        <v>20140608</v>
      </c>
      <c r="C2350" s="109">
        <v>2.75E-2</v>
      </c>
      <c r="D2350" s="77">
        <v>5.0000000000000001E-3</v>
      </c>
      <c r="E2350" s="77">
        <v>8.0000000000000002E-3</v>
      </c>
      <c r="F2350" s="77">
        <v>0.01</v>
      </c>
      <c r="G2350" s="78">
        <v>0</v>
      </c>
      <c r="H2350" s="71">
        <v>7.7</v>
      </c>
      <c r="I2350" s="71">
        <v>10.1</v>
      </c>
      <c r="J2350" s="71">
        <v>12.3</v>
      </c>
      <c r="K2350" s="106">
        <v>8.3000000000000001E-3</v>
      </c>
      <c r="L2350" s="80">
        <v>-0.01</v>
      </c>
      <c r="M2350" s="75" t="s">
        <v>143</v>
      </c>
      <c r="N2350" s="75" t="b">
        <v>1</v>
      </c>
      <c r="O2350" s="75" t="s">
        <v>144</v>
      </c>
      <c r="P2350" s="75">
        <v>1994</v>
      </c>
      <c r="Q2350" s="107">
        <f t="shared" ref="Q2350:Q2413" si="64">YEAR(A2350)</f>
        <v>2014</v>
      </c>
      <c r="R2350" s="107">
        <v>2</v>
      </c>
      <c r="S2350" s="100">
        <v>214043</v>
      </c>
      <c r="T2350" s="101">
        <v>41765</v>
      </c>
    </row>
    <row r="2351" spans="1:20" x14ac:dyDescent="0.3">
      <c r="A2351" s="42">
        <v>41799</v>
      </c>
      <c r="B2351" s="69">
        <f t="shared" si="63"/>
        <v>20140609</v>
      </c>
      <c r="C2351" s="109">
        <v>2.75E-2</v>
      </c>
      <c r="D2351" s="77">
        <v>5.0000000000000001E-3</v>
      </c>
      <c r="E2351" s="77">
        <v>8.0000000000000002E-3</v>
      </c>
      <c r="F2351" s="77">
        <v>0.01</v>
      </c>
      <c r="G2351" s="78">
        <v>0</v>
      </c>
      <c r="H2351" s="71">
        <v>7.7</v>
      </c>
      <c r="I2351" s="71">
        <v>10.1</v>
      </c>
      <c r="J2351" s="71">
        <v>12.3</v>
      </c>
      <c r="K2351" s="106">
        <v>8.3999999999999995E-3</v>
      </c>
      <c r="L2351" s="80">
        <v>-0.01</v>
      </c>
      <c r="M2351" s="75" t="s">
        <v>143</v>
      </c>
      <c r="N2351" s="75" t="b">
        <v>1</v>
      </c>
      <c r="O2351" s="75" t="s">
        <v>144</v>
      </c>
      <c r="P2351" s="75">
        <v>1994</v>
      </c>
      <c r="Q2351" s="107">
        <f t="shared" si="64"/>
        <v>2014</v>
      </c>
      <c r="R2351" s="107">
        <v>2</v>
      </c>
      <c r="S2351" s="100">
        <v>214043</v>
      </c>
      <c r="T2351" s="101">
        <v>41765</v>
      </c>
    </row>
    <row r="2352" spans="1:20" x14ac:dyDescent="0.3">
      <c r="A2352" s="42">
        <v>41800</v>
      </c>
      <c r="B2352" s="69">
        <f t="shared" si="63"/>
        <v>20140610</v>
      </c>
      <c r="C2352" s="109">
        <v>2.7699999999999999E-2</v>
      </c>
      <c r="D2352" s="77">
        <v>5.0000000000000001E-3</v>
      </c>
      <c r="E2352" s="77">
        <v>8.0000000000000002E-3</v>
      </c>
      <c r="F2352" s="77">
        <v>0.01</v>
      </c>
      <c r="G2352" s="78">
        <v>0</v>
      </c>
      <c r="H2352" s="71">
        <v>7.7</v>
      </c>
      <c r="I2352" s="71">
        <v>10.1</v>
      </c>
      <c r="J2352" s="71">
        <v>12.3</v>
      </c>
      <c r="K2352" s="106">
        <v>8.6E-3</v>
      </c>
      <c r="L2352" s="80">
        <v>-0.01</v>
      </c>
      <c r="M2352" s="75" t="s">
        <v>143</v>
      </c>
      <c r="N2352" s="75" t="b">
        <v>1</v>
      </c>
      <c r="O2352" s="75" t="s">
        <v>144</v>
      </c>
      <c r="P2352" s="75">
        <v>1994</v>
      </c>
      <c r="Q2352" s="107">
        <f t="shared" si="64"/>
        <v>2014</v>
      </c>
      <c r="R2352" s="107">
        <v>2</v>
      </c>
      <c r="S2352" s="100">
        <v>214043</v>
      </c>
      <c r="T2352" s="101">
        <v>41765</v>
      </c>
    </row>
    <row r="2353" spans="1:20" x14ac:dyDescent="0.3">
      <c r="A2353" s="42">
        <v>41801</v>
      </c>
      <c r="B2353" s="69">
        <f t="shared" si="63"/>
        <v>20140611</v>
      </c>
      <c r="C2353" s="109">
        <v>2.7699999999999999E-2</v>
      </c>
      <c r="D2353" s="77">
        <v>5.0000000000000001E-3</v>
      </c>
      <c r="E2353" s="77">
        <v>8.0000000000000002E-3</v>
      </c>
      <c r="F2353" s="77">
        <v>0.01</v>
      </c>
      <c r="G2353" s="78">
        <v>0</v>
      </c>
      <c r="H2353" s="71">
        <v>7.7</v>
      </c>
      <c r="I2353" s="71">
        <v>10.1</v>
      </c>
      <c r="J2353" s="71">
        <v>12.3</v>
      </c>
      <c r="K2353" s="106">
        <v>8.6999999999999994E-3</v>
      </c>
      <c r="L2353" s="80">
        <v>-0.01</v>
      </c>
      <c r="M2353" s="75" t="s">
        <v>143</v>
      </c>
      <c r="N2353" s="75" t="b">
        <v>1</v>
      </c>
      <c r="O2353" s="75" t="s">
        <v>144</v>
      </c>
      <c r="P2353" s="75">
        <v>1994</v>
      </c>
      <c r="Q2353" s="107">
        <f t="shared" si="64"/>
        <v>2014</v>
      </c>
      <c r="R2353" s="107">
        <v>2</v>
      </c>
      <c r="S2353" s="100">
        <v>214043</v>
      </c>
      <c r="T2353" s="101">
        <v>41765</v>
      </c>
    </row>
    <row r="2354" spans="1:20" x14ac:dyDescent="0.3">
      <c r="A2354" s="42">
        <v>41802</v>
      </c>
      <c r="B2354" s="69">
        <f t="shared" si="63"/>
        <v>20140612</v>
      </c>
      <c r="C2354" s="109">
        <v>2.7400000000000001E-2</v>
      </c>
      <c r="D2354" s="77">
        <v>5.0000000000000001E-3</v>
      </c>
      <c r="E2354" s="77">
        <v>8.0000000000000002E-3</v>
      </c>
      <c r="F2354" s="77">
        <v>0.01</v>
      </c>
      <c r="G2354" s="78">
        <v>0</v>
      </c>
      <c r="H2354" s="71">
        <v>7.7</v>
      </c>
      <c r="I2354" s="71">
        <v>10.1</v>
      </c>
      <c r="J2354" s="71">
        <v>12.3</v>
      </c>
      <c r="K2354" s="106">
        <v>8.3999999999999995E-3</v>
      </c>
      <c r="L2354" s="80">
        <v>-0.01</v>
      </c>
      <c r="M2354" s="75" t="s">
        <v>143</v>
      </c>
      <c r="N2354" s="75" t="b">
        <v>1</v>
      </c>
      <c r="O2354" s="75" t="s">
        <v>144</v>
      </c>
      <c r="P2354" s="75">
        <v>1994</v>
      </c>
      <c r="Q2354" s="107">
        <f t="shared" si="64"/>
        <v>2014</v>
      </c>
      <c r="R2354" s="107">
        <v>2</v>
      </c>
      <c r="S2354" s="100">
        <v>214043</v>
      </c>
      <c r="T2354" s="101">
        <v>41765</v>
      </c>
    </row>
    <row r="2355" spans="1:20" x14ac:dyDescent="0.3">
      <c r="A2355" s="42">
        <v>41803</v>
      </c>
      <c r="B2355" s="69">
        <f t="shared" si="63"/>
        <v>20140613</v>
      </c>
      <c r="C2355" s="109">
        <v>2.7400000000000001E-2</v>
      </c>
      <c r="D2355" s="77">
        <v>5.0000000000000001E-3</v>
      </c>
      <c r="E2355" s="77">
        <v>8.0000000000000002E-3</v>
      </c>
      <c r="F2355" s="77">
        <v>0.01</v>
      </c>
      <c r="G2355" s="78">
        <v>0</v>
      </c>
      <c r="H2355" s="71">
        <v>7.7</v>
      </c>
      <c r="I2355" s="71">
        <v>10.1</v>
      </c>
      <c r="J2355" s="71">
        <v>12.3</v>
      </c>
      <c r="K2355" s="106">
        <v>8.5000000000000006E-3</v>
      </c>
      <c r="L2355" s="80">
        <v>-0.01</v>
      </c>
      <c r="M2355" s="75" t="s">
        <v>143</v>
      </c>
      <c r="N2355" s="75" t="b">
        <v>1</v>
      </c>
      <c r="O2355" s="75" t="s">
        <v>144</v>
      </c>
      <c r="P2355" s="75">
        <v>1994</v>
      </c>
      <c r="Q2355" s="107">
        <f t="shared" si="64"/>
        <v>2014</v>
      </c>
      <c r="R2355" s="107">
        <v>2</v>
      </c>
      <c r="S2355" s="100">
        <v>214043</v>
      </c>
      <c r="T2355" s="101">
        <v>41765</v>
      </c>
    </row>
    <row r="2356" spans="1:20" x14ac:dyDescent="0.3">
      <c r="A2356" s="42">
        <v>41804</v>
      </c>
      <c r="B2356" s="69">
        <f t="shared" si="63"/>
        <v>20140614</v>
      </c>
      <c r="C2356" s="109">
        <v>2.7400000000000001E-2</v>
      </c>
      <c r="D2356" s="77">
        <v>5.0000000000000001E-3</v>
      </c>
      <c r="E2356" s="77">
        <v>8.0000000000000002E-3</v>
      </c>
      <c r="F2356" s="77">
        <v>0.01</v>
      </c>
      <c r="G2356" s="78">
        <v>0</v>
      </c>
      <c r="H2356" s="71">
        <v>7.7</v>
      </c>
      <c r="I2356" s="71">
        <v>10.1</v>
      </c>
      <c r="J2356" s="71">
        <v>12.3</v>
      </c>
      <c r="K2356" s="106">
        <v>8.5000000000000006E-3</v>
      </c>
      <c r="L2356" s="80">
        <v>-0.01</v>
      </c>
      <c r="M2356" s="75" t="s">
        <v>143</v>
      </c>
      <c r="N2356" s="75" t="b">
        <v>1</v>
      </c>
      <c r="O2356" s="75" t="s">
        <v>144</v>
      </c>
      <c r="P2356" s="75">
        <v>1994</v>
      </c>
      <c r="Q2356" s="107">
        <f t="shared" si="64"/>
        <v>2014</v>
      </c>
      <c r="R2356" s="107">
        <v>2</v>
      </c>
      <c r="S2356" s="100">
        <v>214043</v>
      </c>
      <c r="T2356" s="101">
        <v>41765</v>
      </c>
    </row>
    <row r="2357" spans="1:20" x14ac:dyDescent="0.3">
      <c r="A2357" s="42">
        <v>41805</v>
      </c>
      <c r="B2357" s="69">
        <f t="shared" si="63"/>
        <v>20140615</v>
      </c>
      <c r="C2357" s="109">
        <v>2.7400000000000001E-2</v>
      </c>
      <c r="D2357" s="77">
        <v>5.0000000000000001E-3</v>
      </c>
      <c r="E2357" s="77">
        <v>8.0000000000000002E-3</v>
      </c>
      <c r="F2357" s="77">
        <v>0.01</v>
      </c>
      <c r="G2357" s="78">
        <v>0</v>
      </c>
      <c r="H2357" s="71">
        <v>7.7</v>
      </c>
      <c r="I2357" s="71">
        <v>10.1</v>
      </c>
      <c r="J2357" s="71">
        <v>12.3</v>
      </c>
      <c r="K2357" s="106">
        <v>8.5000000000000006E-3</v>
      </c>
      <c r="L2357" s="80">
        <v>-0.01</v>
      </c>
      <c r="M2357" s="75" t="s">
        <v>143</v>
      </c>
      <c r="N2357" s="75" t="b">
        <v>1</v>
      </c>
      <c r="O2357" s="75" t="s">
        <v>144</v>
      </c>
      <c r="P2357" s="75">
        <v>1994</v>
      </c>
      <c r="Q2357" s="107">
        <f t="shared" si="64"/>
        <v>2014</v>
      </c>
      <c r="R2357" s="107">
        <v>2</v>
      </c>
      <c r="S2357" s="100">
        <v>214043</v>
      </c>
      <c r="T2357" s="101">
        <v>41765</v>
      </c>
    </row>
    <row r="2358" spans="1:20" x14ac:dyDescent="0.3">
      <c r="A2358" s="42">
        <v>41806</v>
      </c>
      <c r="B2358" s="69">
        <f t="shared" si="63"/>
        <v>20140616</v>
      </c>
      <c r="C2358" s="109">
        <v>2.7200000000000002E-2</v>
      </c>
      <c r="D2358" s="77">
        <v>5.0000000000000001E-3</v>
      </c>
      <c r="E2358" s="77">
        <v>8.0000000000000002E-3</v>
      </c>
      <c r="F2358" s="77">
        <v>0.01</v>
      </c>
      <c r="G2358" s="78">
        <v>0</v>
      </c>
      <c r="H2358" s="71">
        <v>7.7</v>
      </c>
      <c r="I2358" s="71">
        <v>10.1</v>
      </c>
      <c r="J2358" s="71">
        <v>12.3</v>
      </c>
      <c r="K2358" s="106">
        <v>8.3000000000000001E-3</v>
      </c>
      <c r="L2358" s="80">
        <v>-0.01</v>
      </c>
      <c r="M2358" s="75" t="s">
        <v>143</v>
      </c>
      <c r="N2358" s="75" t="b">
        <v>1</v>
      </c>
      <c r="O2358" s="75" t="s">
        <v>144</v>
      </c>
      <c r="P2358" s="75">
        <v>1994</v>
      </c>
      <c r="Q2358" s="107">
        <f t="shared" si="64"/>
        <v>2014</v>
      </c>
      <c r="R2358" s="107">
        <v>2</v>
      </c>
      <c r="S2358" s="100">
        <v>214043</v>
      </c>
      <c r="T2358" s="101">
        <v>41765</v>
      </c>
    </row>
    <row r="2359" spans="1:20" x14ac:dyDescent="0.3">
      <c r="A2359" s="42">
        <v>41807</v>
      </c>
      <c r="B2359" s="69">
        <f t="shared" si="63"/>
        <v>20140617</v>
      </c>
      <c r="C2359" s="109">
        <v>2.75E-2</v>
      </c>
      <c r="D2359" s="77">
        <v>5.0000000000000001E-3</v>
      </c>
      <c r="E2359" s="77">
        <v>8.0000000000000002E-3</v>
      </c>
      <c r="F2359" s="77">
        <v>0.01</v>
      </c>
      <c r="G2359" s="78">
        <v>0</v>
      </c>
      <c r="H2359" s="71">
        <v>7.7</v>
      </c>
      <c r="I2359" s="71">
        <v>10.1</v>
      </c>
      <c r="J2359" s="71">
        <v>12.3</v>
      </c>
      <c r="K2359" s="106">
        <v>8.5000000000000006E-3</v>
      </c>
      <c r="L2359" s="80">
        <v>-0.01</v>
      </c>
      <c r="M2359" s="75" t="s">
        <v>143</v>
      </c>
      <c r="N2359" s="75" t="b">
        <v>1</v>
      </c>
      <c r="O2359" s="75" t="s">
        <v>144</v>
      </c>
      <c r="P2359" s="75">
        <v>1994</v>
      </c>
      <c r="Q2359" s="107">
        <f t="shared" si="64"/>
        <v>2014</v>
      </c>
      <c r="R2359" s="107">
        <v>2</v>
      </c>
      <c r="S2359" s="100">
        <v>214043</v>
      </c>
      <c r="T2359" s="101">
        <v>41765</v>
      </c>
    </row>
    <row r="2360" spans="1:20" x14ac:dyDescent="0.3">
      <c r="A2360" s="42">
        <v>41808</v>
      </c>
      <c r="B2360" s="69">
        <f t="shared" si="63"/>
        <v>20140618</v>
      </c>
      <c r="C2360" s="109">
        <v>2.7099999999999999E-2</v>
      </c>
      <c r="D2360" s="77">
        <v>5.0000000000000001E-3</v>
      </c>
      <c r="E2360" s="77">
        <v>8.0000000000000002E-3</v>
      </c>
      <c r="F2360" s="77">
        <v>0.01</v>
      </c>
      <c r="G2360" s="78">
        <v>0</v>
      </c>
      <c r="H2360" s="71">
        <v>7.7</v>
      </c>
      <c r="I2360" s="71">
        <v>10.1</v>
      </c>
      <c r="J2360" s="71">
        <v>12.3</v>
      </c>
      <c r="K2360" s="106">
        <v>8.1000000000000013E-3</v>
      </c>
      <c r="L2360" s="80">
        <v>-0.01</v>
      </c>
      <c r="M2360" s="75" t="s">
        <v>143</v>
      </c>
      <c r="N2360" s="75" t="b">
        <v>1</v>
      </c>
      <c r="O2360" s="75" t="s">
        <v>144</v>
      </c>
      <c r="P2360" s="75">
        <v>1994</v>
      </c>
      <c r="Q2360" s="107">
        <f t="shared" si="64"/>
        <v>2014</v>
      </c>
      <c r="R2360" s="107">
        <v>2</v>
      </c>
      <c r="S2360" s="100">
        <v>214043</v>
      </c>
      <c r="T2360" s="101">
        <v>41765</v>
      </c>
    </row>
    <row r="2361" spans="1:20" x14ac:dyDescent="0.3">
      <c r="A2361" s="42">
        <v>41809</v>
      </c>
      <c r="B2361" s="69">
        <f t="shared" si="63"/>
        <v>20140619</v>
      </c>
      <c r="C2361" s="109">
        <v>2.7300000000000001E-2</v>
      </c>
      <c r="D2361" s="77">
        <v>5.0000000000000001E-3</v>
      </c>
      <c r="E2361" s="77">
        <v>8.0000000000000002E-3</v>
      </c>
      <c r="F2361" s="77">
        <v>0.01</v>
      </c>
      <c r="G2361" s="78">
        <v>0</v>
      </c>
      <c r="H2361" s="71">
        <v>7.7</v>
      </c>
      <c r="I2361" s="71">
        <v>10.1</v>
      </c>
      <c r="J2361" s="71">
        <v>12.3</v>
      </c>
      <c r="K2361" s="106">
        <v>8.1000000000000013E-3</v>
      </c>
      <c r="L2361" s="80">
        <v>-0.01</v>
      </c>
      <c r="M2361" s="75" t="s">
        <v>143</v>
      </c>
      <c r="N2361" s="75" t="b">
        <v>1</v>
      </c>
      <c r="O2361" s="75" t="s">
        <v>144</v>
      </c>
      <c r="P2361" s="75">
        <v>1994</v>
      </c>
      <c r="Q2361" s="107">
        <f t="shared" si="64"/>
        <v>2014</v>
      </c>
      <c r="R2361" s="107">
        <v>2</v>
      </c>
      <c r="S2361" s="100">
        <v>214043</v>
      </c>
      <c r="T2361" s="101">
        <v>41765</v>
      </c>
    </row>
    <row r="2362" spans="1:20" x14ac:dyDescent="0.3">
      <c r="A2362" s="42">
        <v>41810</v>
      </c>
      <c r="B2362" s="69">
        <f t="shared" si="63"/>
        <v>20140620</v>
      </c>
      <c r="C2362" s="109">
        <v>2.75E-2</v>
      </c>
      <c r="D2362" s="77">
        <v>5.0000000000000001E-3</v>
      </c>
      <c r="E2362" s="77">
        <v>8.0000000000000002E-3</v>
      </c>
      <c r="F2362" s="77">
        <v>0.01</v>
      </c>
      <c r="G2362" s="78">
        <v>0</v>
      </c>
      <c r="H2362" s="71">
        <v>7.7</v>
      </c>
      <c r="I2362" s="71">
        <v>10.1</v>
      </c>
      <c r="J2362" s="71">
        <v>12.3</v>
      </c>
      <c r="K2362" s="106">
        <v>8.1000000000000013E-3</v>
      </c>
      <c r="L2362" s="80">
        <v>-0.01</v>
      </c>
      <c r="M2362" s="75" t="s">
        <v>143</v>
      </c>
      <c r="N2362" s="75" t="b">
        <v>1</v>
      </c>
      <c r="O2362" s="75" t="s">
        <v>144</v>
      </c>
      <c r="P2362" s="75">
        <v>1994</v>
      </c>
      <c r="Q2362" s="107">
        <f t="shared" si="64"/>
        <v>2014</v>
      </c>
      <c r="R2362" s="107">
        <v>2</v>
      </c>
      <c r="S2362" s="100">
        <v>214043</v>
      </c>
      <c r="T2362" s="101">
        <v>41765</v>
      </c>
    </row>
    <row r="2363" spans="1:20" x14ac:dyDescent="0.3">
      <c r="A2363" s="42">
        <v>41811</v>
      </c>
      <c r="B2363" s="69">
        <f>YEAR(A2363)*10000+MONTH(A2363)*100+DAY(A2363)</f>
        <v>20140621</v>
      </c>
      <c r="C2363" s="109">
        <v>2.75E-2</v>
      </c>
      <c r="D2363" s="77">
        <v>5.0000000000000001E-3</v>
      </c>
      <c r="E2363" s="77">
        <v>8.0000000000000002E-3</v>
      </c>
      <c r="F2363" s="77">
        <v>0.01</v>
      </c>
      <c r="G2363" s="78">
        <v>0</v>
      </c>
      <c r="H2363" s="71">
        <v>7.7</v>
      </c>
      <c r="I2363" s="71">
        <v>10.1</v>
      </c>
      <c r="J2363" s="71">
        <v>12.3</v>
      </c>
      <c r="K2363" s="106">
        <v>8.1000000000000013E-3</v>
      </c>
      <c r="L2363" s="80">
        <v>-0.01</v>
      </c>
      <c r="M2363" s="75" t="s">
        <v>143</v>
      </c>
      <c r="N2363" s="75" t="b">
        <v>1</v>
      </c>
      <c r="O2363" s="75" t="s">
        <v>144</v>
      </c>
      <c r="P2363" s="75">
        <v>1994</v>
      </c>
      <c r="Q2363" s="107">
        <f t="shared" si="64"/>
        <v>2014</v>
      </c>
      <c r="R2363" s="107">
        <v>2</v>
      </c>
      <c r="S2363" s="100">
        <v>214043</v>
      </c>
      <c r="T2363" s="101">
        <v>41765</v>
      </c>
    </row>
    <row r="2364" spans="1:20" x14ac:dyDescent="0.3">
      <c r="A2364" s="42">
        <v>41812</v>
      </c>
      <c r="B2364" s="69">
        <f>YEAR(A2364)*10000+MONTH(A2364)*100+DAY(A2364)</f>
        <v>20140622</v>
      </c>
      <c r="C2364" s="109">
        <v>2.75E-2</v>
      </c>
      <c r="D2364" s="77">
        <v>5.0000000000000001E-3</v>
      </c>
      <c r="E2364" s="77">
        <v>8.0000000000000002E-3</v>
      </c>
      <c r="F2364" s="77">
        <v>0.01</v>
      </c>
      <c r="G2364" s="78">
        <v>0</v>
      </c>
      <c r="H2364" s="71">
        <v>7.7</v>
      </c>
      <c r="I2364" s="71">
        <v>10.1</v>
      </c>
      <c r="J2364" s="71">
        <v>12.3</v>
      </c>
      <c r="K2364" s="106">
        <v>8.1000000000000013E-3</v>
      </c>
      <c r="L2364" s="80">
        <v>-0.01</v>
      </c>
      <c r="M2364" s="75" t="s">
        <v>143</v>
      </c>
      <c r="N2364" s="75" t="b">
        <v>1</v>
      </c>
      <c r="O2364" s="75" t="s">
        <v>144</v>
      </c>
      <c r="P2364" s="75">
        <v>1994</v>
      </c>
      <c r="Q2364" s="107">
        <f t="shared" si="64"/>
        <v>2014</v>
      </c>
      <c r="R2364" s="107">
        <v>2</v>
      </c>
      <c r="S2364" s="100">
        <v>214043</v>
      </c>
      <c r="T2364" s="101">
        <v>41765</v>
      </c>
    </row>
    <row r="2365" spans="1:20" x14ac:dyDescent="0.3">
      <c r="A2365" s="42">
        <v>41813</v>
      </c>
      <c r="B2365" s="69">
        <f t="shared" si="63"/>
        <v>20140623</v>
      </c>
      <c r="C2365" s="109">
        <v>2.7699999999999999E-2</v>
      </c>
      <c r="D2365" s="77">
        <v>5.0000000000000001E-3</v>
      </c>
      <c r="E2365" s="77">
        <v>8.0000000000000002E-3</v>
      </c>
      <c r="F2365" s="77">
        <v>0.01</v>
      </c>
      <c r="G2365" s="78">
        <v>0</v>
      </c>
      <c r="H2365" s="71">
        <v>7.7</v>
      </c>
      <c r="I2365" s="71">
        <v>10.1</v>
      </c>
      <c r="J2365" s="71">
        <v>12.3</v>
      </c>
      <c r="K2365" s="106">
        <v>8.199999999999999E-3</v>
      </c>
      <c r="L2365" s="80">
        <v>-0.01</v>
      </c>
      <c r="M2365" s="75" t="s">
        <v>143</v>
      </c>
      <c r="N2365" s="75" t="b">
        <v>1</v>
      </c>
      <c r="O2365" s="75" t="s">
        <v>144</v>
      </c>
      <c r="P2365" s="75">
        <v>1994</v>
      </c>
      <c r="Q2365" s="107">
        <f t="shared" si="64"/>
        <v>2014</v>
      </c>
      <c r="R2365" s="107">
        <v>2</v>
      </c>
      <c r="S2365" s="100">
        <v>214043</v>
      </c>
      <c r="T2365" s="101">
        <v>41765</v>
      </c>
    </row>
    <row r="2366" spans="1:20" x14ac:dyDescent="0.3">
      <c r="A2366" s="42">
        <v>41814</v>
      </c>
      <c r="B2366" s="69">
        <f t="shared" si="63"/>
        <v>20140624</v>
      </c>
      <c r="C2366" s="109">
        <v>2.7300000000000001E-2</v>
      </c>
      <c r="D2366" s="77">
        <v>5.0000000000000001E-3</v>
      </c>
      <c r="E2366" s="77">
        <v>8.0000000000000002E-3</v>
      </c>
      <c r="F2366" s="77">
        <v>0.01</v>
      </c>
      <c r="G2366" s="78">
        <v>0</v>
      </c>
      <c r="H2366" s="71">
        <v>7.7</v>
      </c>
      <c r="I2366" s="71">
        <v>10.1</v>
      </c>
      <c r="J2366" s="71">
        <v>12.3</v>
      </c>
      <c r="K2366" s="106">
        <v>7.9000000000000008E-3</v>
      </c>
      <c r="L2366" s="80">
        <v>-0.01</v>
      </c>
      <c r="M2366" s="75" t="s">
        <v>143</v>
      </c>
      <c r="N2366" s="75" t="b">
        <v>1</v>
      </c>
      <c r="O2366" s="75" t="s">
        <v>144</v>
      </c>
      <c r="P2366" s="75">
        <v>1994</v>
      </c>
      <c r="Q2366" s="107">
        <f t="shared" si="64"/>
        <v>2014</v>
      </c>
      <c r="R2366" s="107">
        <v>2</v>
      </c>
      <c r="S2366" s="100">
        <v>214043</v>
      </c>
      <c r="T2366" s="101">
        <v>41765</v>
      </c>
    </row>
    <row r="2367" spans="1:20" x14ac:dyDescent="0.3">
      <c r="A2367" s="42">
        <v>41815</v>
      </c>
      <c r="B2367" s="69">
        <f t="shared" si="63"/>
        <v>20140625</v>
      </c>
      <c r="C2367" s="109">
        <v>2.7200000000000002E-2</v>
      </c>
      <c r="D2367" s="77">
        <v>5.0000000000000001E-3</v>
      </c>
      <c r="E2367" s="77">
        <v>8.0000000000000002E-3</v>
      </c>
      <c r="F2367" s="77">
        <v>0.01</v>
      </c>
      <c r="G2367" s="78">
        <v>0</v>
      </c>
      <c r="H2367" s="71">
        <v>7.7</v>
      </c>
      <c r="I2367" s="71">
        <v>10.1</v>
      </c>
      <c r="J2367" s="71">
        <v>12.3</v>
      </c>
      <c r="K2367" s="106">
        <v>7.8000000000000005E-3</v>
      </c>
      <c r="L2367" s="80">
        <v>-0.01</v>
      </c>
      <c r="M2367" s="75" t="s">
        <v>143</v>
      </c>
      <c r="N2367" s="75" t="b">
        <v>1</v>
      </c>
      <c r="O2367" s="75" t="s">
        <v>144</v>
      </c>
      <c r="P2367" s="75">
        <v>1994</v>
      </c>
      <c r="Q2367" s="107">
        <f t="shared" si="64"/>
        <v>2014</v>
      </c>
      <c r="R2367" s="107">
        <v>2</v>
      </c>
      <c r="S2367" s="100">
        <v>214043</v>
      </c>
      <c r="T2367" s="101">
        <v>41765</v>
      </c>
    </row>
    <row r="2368" spans="1:20" x14ac:dyDescent="0.3">
      <c r="A2368" s="42">
        <v>41816</v>
      </c>
      <c r="B2368" s="69">
        <f t="shared" si="63"/>
        <v>20140626</v>
      </c>
      <c r="C2368" s="109">
        <v>2.7000000000000003E-2</v>
      </c>
      <c r="D2368" s="77">
        <v>5.0000000000000001E-3</v>
      </c>
      <c r="E2368" s="77">
        <v>8.0000000000000002E-3</v>
      </c>
      <c r="F2368" s="77">
        <v>0.01</v>
      </c>
      <c r="G2368" s="78">
        <v>0</v>
      </c>
      <c r="H2368" s="71">
        <v>7.7</v>
      </c>
      <c r="I2368" s="71">
        <v>10.1</v>
      </c>
      <c r="J2368" s="71">
        <v>12.3</v>
      </c>
      <c r="K2368" s="106">
        <v>7.7000000000000002E-3</v>
      </c>
      <c r="L2368" s="80">
        <v>-0.01</v>
      </c>
      <c r="M2368" s="75" t="s">
        <v>143</v>
      </c>
      <c r="N2368" s="75" t="b">
        <v>1</v>
      </c>
      <c r="O2368" s="75" t="s">
        <v>144</v>
      </c>
      <c r="P2368" s="75">
        <v>1994</v>
      </c>
      <c r="Q2368" s="107">
        <f t="shared" si="64"/>
        <v>2014</v>
      </c>
      <c r="R2368" s="107">
        <v>2</v>
      </c>
      <c r="S2368" s="100">
        <v>214043</v>
      </c>
      <c r="T2368" s="101">
        <v>41765</v>
      </c>
    </row>
    <row r="2369" spans="1:21" x14ac:dyDescent="0.3">
      <c r="A2369" s="42">
        <v>41817</v>
      </c>
      <c r="B2369" s="69">
        <f t="shared" si="63"/>
        <v>20140627</v>
      </c>
      <c r="C2369" s="109">
        <v>2.7000000000000003E-2</v>
      </c>
      <c r="D2369" s="77">
        <v>5.0000000000000001E-3</v>
      </c>
      <c r="E2369" s="77">
        <v>8.0000000000000002E-3</v>
      </c>
      <c r="F2369" s="77">
        <v>0.01</v>
      </c>
      <c r="G2369" s="78">
        <v>0</v>
      </c>
      <c r="H2369" s="71">
        <v>7.7</v>
      </c>
      <c r="I2369" s="71">
        <v>10.1</v>
      </c>
      <c r="J2369" s="71">
        <v>12.3</v>
      </c>
      <c r="K2369" s="106">
        <v>7.8000000000000005E-3</v>
      </c>
      <c r="L2369" s="80">
        <v>-0.01</v>
      </c>
      <c r="M2369" s="75" t="s">
        <v>143</v>
      </c>
      <c r="N2369" s="75" t="b">
        <v>1</v>
      </c>
      <c r="O2369" s="75" t="s">
        <v>144</v>
      </c>
      <c r="P2369" s="75">
        <v>1994</v>
      </c>
      <c r="Q2369" s="107">
        <f t="shared" si="64"/>
        <v>2014</v>
      </c>
      <c r="R2369" s="107">
        <v>2</v>
      </c>
      <c r="S2369" s="100">
        <v>214043</v>
      </c>
      <c r="T2369" s="101">
        <v>41765</v>
      </c>
    </row>
    <row r="2370" spans="1:21" x14ac:dyDescent="0.3">
      <c r="A2370" s="42">
        <v>41818</v>
      </c>
      <c r="B2370" s="69">
        <f>YEAR(A2370)*10000+MONTH(A2370)*100+DAY(A2370)</f>
        <v>20140628</v>
      </c>
      <c r="C2370" s="109">
        <v>2.7000000000000003E-2</v>
      </c>
      <c r="D2370" s="77">
        <v>5.0000000000000001E-3</v>
      </c>
      <c r="E2370" s="77">
        <v>8.0000000000000002E-3</v>
      </c>
      <c r="F2370" s="77">
        <v>0.01</v>
      </c>
      <c r="G2370" s="78">
        <v>0</v>
      </c>
      <c r="H2370" s="71">
        <v>7.7</v>
      </c>
      <c r="I2370" s="71">
        <v>10.1</v>
      </c>
      <c r="J2370" s="71">
        <v>12.3</v>
      </c>
      <c r="K2370" s="106">
        <v>7.8000000000000005E-3</v>
      </c>
      <c r="L2370" s="80">
        <v>-0.01</v>
      </c>
      <c r="M2370" s="75" t="s">
        <v>143</v>
      </c>
      <c r="N2370" s="75" t="b">
        <v>1</v>
      </c>
      <c r="O2370" s="75" t="s">
        <v>144</v>
      </c>
      <c r="P2370" s="75">
        <v>1994</v>
      </c>
      <c r="Q2370" s="107">
        <f t="shared" si="64"/>
        <v>2014</v>
      </c>
      <c r="R2370" s="107">
        <v>2</v>
      </c>
      <c r="S2370" s="100">
        <v>214043</v>
      </c>
      <c r="T2370" s="101">
        <v>41765</v>
      </c>
    </row>
    <row r="2371" spans="1:21" x14ac:dyDescent="0.3">
      <c r="A2371" s="42">
        <v>41819</v>
      </c>
      <c r="B2371" s="69">
        <f>YEAR(A2371)*10000+MONTH(A2371)*100+DAY(A2371)</f>
        <v>20140629</v>
      </c>
      <c r="C2371" s="109">
        <v>2.7000000000000003E-2</v>
      </c>
      <c r="D2371" s="77">
        <v>5.0000000000000001E-3</v>
      </c>
      <c r="E2371" s="77">
        <v>8.0000000000000002E-3</v>
      </c>
      <c r="F2371" s="77">
        <v>0.01</v>
      </c>
      <c r="G2371" s="78">
        <v>0</v>
      </c>
      <c r="H2371" s="71">
        <v>7.7</v>
      </c>
      <c r="I2371" s="71">
        <v>10.1</v>
      </c>
      <c r="J2371" s="71">
        <v>12.3</v>
      </c>
      <c r="K2371" s="106">
        <v>7.8000000000000005E-3</v>
      </c>
      <c r="L2371" s="80">
        <v>-0.01</v>
      </c>
      <c r="M2371" s="75" t="s">
        <v>143</v>
      </c>
      <c r="N2371" s="75" t="b">
        <v>1</v>
      </c>
      <c r="O2371" s="75" t="s">
        <v>144</v>
      </c>
      <c r="P2371" s="75">
        <v>1994</v>
      </c>
      <c r="Q2371" s="107">
        <f t="shared" si="64"/>
        <v>2014</v>
      </c>
      <c r="R2371" s="107">
        <v>2</v>
      </c>
      <c r="S2371" s="100">
        <v>214043</v>
      </c>
      <c r="T2371" s="101">
        <v>41765</v>
      </c>
    </row>
    <row r="2372" spans="1:21" s="99" customFormat="1" x14ac:dyDescent="0.3">
      <c r="A2372" s="85">
        <v>41820</v>
      </c>
      <c r="B2372" s="86">
        <f>YEAR(A2372)*10000+MONTH(A2372)*100+DAY(A2372)</f>
        <v>20140630</v>
      </c>
      <c r="C2372" s="87">
        <v>2.6800000000000001E-2</v>
      </c>
      <c r="D2372" s="89">
        <v>0</v>
      </c>
      <c r="E2372" s="89">
        <v>4.0000000000000001E-3</v>
      </c>
      <c r="F2372" s="89">
        <v>6.0000000000000001E-3</v>
      </c>
      <c r="G2372" s="103">
        <v>0</v>
      </c>
      <c r="H2372" s="119">
        <v>8</v>
      </c>
      <c r="I2372" s="119">
        <v>10.5</v>
      </c>
      <c r="J2372" s="119">
        <v>12.9</v>
      </c>
      <c r="K2372" s="92">
        <v>7.6E-3</v>
      </c>
      <c r="L2372" s="120">
        <v>-1.0999999999999999E-2</v>
      </c>
      <c r="M2372" s="98" t="s">
        <v>143</v>
      </c>
      <c r="N2372" s="98" t="b">
        <v>1</v>
      </c>
      <c r="O2372" s="98" t="s">
        <v>144</v>
      </c>
      <c r="P2372" s="98">
        <v>1994</v>
      </c>
      <c r="Q2372" s="105">
        <f t="shared" si="64"/>
        <v>2014</v>
      </c>
      <c r="R2372" s="105">
        <v>2</v>
      </c>
      <c r="S2372" s="93">
        <v>214094</v>
      </c>
      <c r="T2372" s="94">
        <v>41863</v>
      </c>
      <c r="U2372" s="95" t="s">
        <v>176</v>
      </c>
    </row>
    <row r="2373" spans="1:21" x14ac:dyDescent="0.3">
      <c r="A2373" s="42">
        <v>41821</v>
      </c>
      <c r="B2373" s="69">
        <f>YEAR(A2373)*10000+MONTH(A2373)*100+DAY(A2373)</f>
        <v>20140701</v>
      </c>
      <c r="C2373" s="109">
        <v>2.6800000000000001E-2</v>
      </c>
      <c r="D2373" s="77">
        <v>0</v>
      </c>
      <c r="E2373" s="77">
        <v>4.0000000000000001E-3</v>
      </c>
      <c r="F2373" s="77">
        <v>6.0000000000000001E-3</v>
      </c>
      <c r="G2373" s="78">
        <v>0</v>
      </c>
      <c r="H2373" s="71">
        <v>8</v>
      </c>
      <c r="I2373" s="71">
        <v>10.5</v>
      </c>
      <c r="J2373" s="71">
        <v>12.9</v>
      </c>
      <c r="K2373" s="106">
        <v>7.6E-3</v>
      </c>
      <c r="L2373" s="80">
        <v>-1.0999999999999999E-2</v>
      </c>
      <c r="M2373" s="75" t="s">
        <v>143</v>
      </c>
      <c r="N2373" s="75" t="b">
        <v>1</v>
      </c>
      <c r="O2373" s="75" t="s">
        <v>144</v>
      </c>
      <c r="P2373" s="75">
        <v>1994</v>
      </c>
      <c r="Q2373" s="107">
        <f t="shared" si="64"/>
        <v>2014</v>
      </c>
      <c r="R2373" s="107">
        <v>2</v>
      </c>
      <c r="S2373" s="100">
        <v>214094</v>
      </c>
      <c r="T2373" s="101">
        <v>41863</v>
      </c>
    </row>
    <row r="2374" spans="1:21" x14ac:dyDescent="0.3">
      <c r="A2374" s="42">
        <v>41822</v>
      </c>
      <c r="B2374" s="69">
        <f>YEAR(A2374)*10000+MONTH(A2374)*100+DAY(A2374)</f>
        <v>20140702</v>
      </c>
      <c r="C2374" s="109">
        <v>2.75E-2</v>
      </c>
      <c r="D2374" s="77">
        <v>0</v>
      </c>
      <c r="E2374" s="77">
        <v>4.0000000000000001E-3</v>
      </c>
      <c r="F2374" s="77">
        <v>6.0000000000000001E-3</v>
      </c>
      <c r="G2374" s="78">
        <v>0</v>
      </c>
      <c r="H2374" s="71">
        <v>8</v>
      </c>
      <c r="I2374" s="71">
        <v>10.5</v>
      </c>
      <c r="J2374" s="71">
        <v>12.9</v>
      </c>
      <c r="K2374" s="106">
        <v>8.3000000000000001E-3</v>
      </c>
      <c r="L2374" s="80">
        <v>-1.0999999999999999E-2</v>
      </c>
      <c r="M2374" s="75" t="s">
        <v>143</v>
      </c>
      <c r="N2374" s="75" t="b">
        <v>1</v>
      </c>
      <c r="O2374" s="75" t="s">
        <v>144</v>
      </c>
      <c r="P2374" s="75">
        <v>1994</v>
      </c>
      <c r="Q2374" s="107">
        <f t="shared" si="64"/>
        <v>2014</v>
      </c>
      <c r="R2374" s="107">
        <v>2</v>
      </c>
      <c r="S2374" s="100">
        <v>214094</v>
      </c>
      <c r="T2374" s="101">
        <v>41863</v>
      </c>
    </row>
    <row r="2375" spans="1:21" x14ac:dyDescent="0.3">
      <c r="A2375" s="42">
        <v>41823</v>
      </c>
      <c r="B2375" s="69">
        <f t="shared" ref="B2375:B2404" si="65">YEAR(A2375)*10000+MONTH(A2375)*100+DAY(A2375)</f>
        <v>20140703</v>
      </c>
      <c r="C2375" s="109">
        <v>2.75E-2</v>
      </c>
      <c r="D2375" s="77">
        <v>0</v>
      </c>
      <c r="E2375" s="77">
        <v>4.0000000000000001E-3</v>
      </c>
      <c r="F2375" s="77">
        <v>6.0000000000000001E-3</v>
      </c>
      <c r="G2375" s="78">
        <v>0</v>
      </c>
      <c r="H2375" s="71">
        <v>8</v>
      </c>
      <c r="I2375" s="71">
        <v>10.5</v>
      </c>
      <c r="J2375" s="71">
        <v>12.9</v>
      </c>
      <c r="K2375" s="106">
        <v>8.1000000000000013E-3</v>
      </c>
      <c r="L2375" s="80">
        <v>-1.0999999999999999E-2</v>
      </c>
      <c r="M2375" s="75" t="s">
        <v>143</v>
      </c>
      <c r="N2375" s="75" t="b">
        <v>1</v>
      </c>
      <c r="O2375" s="75" t="s">
        <v>144</v>
      </c>
      <c r="P2375" s="75">
        <v>1994</v>
      </c>
      <c r="Q2375" s="107">
        <f t="shared" si="64"/>
        <v>2014</v>
      </c>
      <c r="R2375" s="107">
        <v>2</v>
      </c>
      <c r="S2375" s="100">
        <v>214094</v>
      </c>
      <c r="T2375" s="101">
        <v>41863</v>
      </c>
    </row>
    <row r="2376" spans="1:21" x14ac:dyDescent="0.3">
      <c r="A2376" s="42">
        <v>41824</v>
      </c>
      <c r="B2376" s="69">
        <f t="shared" si="65"/>
        <v>20140704</v>
      </c>
      <c r="C2376" s="109">
        <v>2.75E-2</v>
      </c>
      <c r="D2376" s="77">
        <v>0</v>
      </c>
      <c r="E2376" s="77">
        <v>4.0000000000000001E-3</v>
      </c>
      <c r="F2376" s="77">
        <v>6.0000000000000001E-3</v>
      </c>
      <c r="G2376" s="78">
        <v>0</v>
      </c>
      <c r="H2376" s="71">
        <v>8</v>
      </c>
      <c r="I2376" s="71">
        <v>10.5</v>
      </c>
      <c r="J2376" s="71">
        <v>12.9</v>
      </c>
      <c r="K2376" s="106">
        <v>8.1000000000000013E-3</v>
      </c>
      <c r="L2376" s="80">
        <v>-1.0999999999999999E-2</v>
      </c>
      <c r="M2376" s="75" t="s">
        <v>143</v>
      </c>
      <c r="N2376" s="75" t="b">
        <v>1</v>
      </c>
      <c r="O2376" s="75" t="s">
        <v>144</v>
      </c>
      <c r="P2376" s="75">
        <v>1994</v>
      </c>
      <c r="Q2376" s="107">
        <f t="shared" si="64"/>
        <v>2014</v>
      </c>
      <c r="R2376" s="107">
        <v>2</v>
      </c>
      <c r="S2376" s="100">
        <v>214094</v>
      </c>
      <c r="T2376" s="101">
        <v>41863</v>
      </c>
    </row>
    <row r="2377" spans="1:21" x14ac:dyDescent="0.3">
      <c r="A2377" s="42">
        <v>41825</v>
      </c>
      <c r="B2377" s="69">
        <f t="shared" si="65"/>
        <v>20140705</v>
      </c>
      <c r="C2377" s="109">
        <v>2.75E-2</v>
      </c>
      <c r="D2377" s="77">
        <v>0</v>
      </c>
      <c r="E2377" s="77">
        <v>4.0000000000000001E-3</v>
      </c>
      <c r="F2377" s="77">
        <v>6.0000000000000001E-3</v>
      </c>
      <c r="G2377" s="78">
        <v>0</v>
      </c>
      <c r="H2377" s="71">
        <v>8</v>
      </c>
      <c r="I2377" s="71">
        <v>10.5</v>
      </c>
      <c r="J2377" s="71">
        <v>12.9</v>
      </c>
      <c r="K2377" s="106">
        <v>8.1000000000000013E-3</v>
      </c>
      <c r="L2377" s="80">
        <v>-1.0999999999999999E-2</v>
      </c>
      <c r="M2377" s="75" t="s">
        <v>143</v>
      </c>
      <c r="N2377" s="75" t="b">
        <v>1</v>
      </c>
      <c r="O2377" s="75" t="s">
        <v>144</v>
      </c>
      <c r="P2377" s="75">
        <v>1994</v>
      </c>
      <c r="Q2377" s="107">
        <f t="shared" si="64"/>
        <v>2014</v>
      </c>
      <c r="R2377" s="107">
        <v>2</v>
      </c>
      <c r="S2377" s="100">
        <v>214094</v>
      </c>
      <c r="T2377" s="101">
        <v>41863</v>
      </c>
    </row>
    <row r="2378" spans="1:21" x14ac:dyDescent="0.3">
      <c r="A2378" s="42">
        <v>41826</v>
      </c>
      <c r="B2378" s="69">
        <f t="shared" si="65"/>
        <v>20140706</v>
      </c>
      <c r="C2378" s="109">
        <v>2.75E-2</v>
      </c>
      <c r="D2378" s="77">
        <v>0</v>
      </c>
      <c r="E2378" s="77">
        <v>4.0000000000000001E-3</v>
      </c>
      <c r="F2378" s="77">
        <v>6.0000000000000001E-3</v>
      </c>
      <c r="G2378" s="78">
        <v>0</v>
      </c>
      <c r="H2378" s="71">
        <v>8</v>
      </c>
      <c r="I2378" s="71">
        <v>10.5</v>
      </c>
      <c r="J2378" s="71">
        <v>12.9</v>
      </c>
      <c r="K2378" s="106">
        <v>8.1000000000000013E-3</v>
      </c>
      <c r="L2378" s="80">
        <v>-1.0999999999999999E-2</v>
      </c>
      <c r="M2378" s="75" t="s">
        <v>143</v>
      </c>
      <c r="N2378" s="75" t="b">
        <v>1</v>
      </c>
      <c r="O2378" s="75" t="s">
        <v>144</v>
      </c>
      <c r="P2378" s="75">
        <v>1994</v>
      </c>
      <c r="Q2378" s="107">
        <f t="shared" si="64"/>
        <v>2014</v>
      </c>
      <c r="R2378" s="107">
        <v>2</v>
      </c>
      <c r="S2378" s="100">
        <v>214094</v>
      </c>
      <c r="T2378" s="101">
        <v>41863</v>
      </c>
    </row>
    <row r="2379" spans="1:21" x14ac:dyDescent="0.3">
      <c r="A2379" s="42">
        <v>41827</v>
      </c>
      <c r="B2379" s="69">
        <f t="shared" si="65"/>
        <v>20140707</v>
      </c>
      <c r="C2379" s="109">
        <v>2.7300000000000001E-2</v>
      </c>
      <c r="D2379" s="77">
        <v>0</v>
      </c>
      <c r="E2379" s="77">
        <v>4.0000000000000001E-3</v>
      </c>
      <c r="F2379" s="77">
        <v>6.0000000000000001E-3</v>
      </c>
      <c r="G2379" s="78">
        <v>0</v>
      </c>
      <c r="H2379" s="71">
        <v>8</v>
      </c>
      <c r="I2379" s="71">
        <v>10.5</v>
      </c>
      <c r="J2379" s="71">
        <v>12.9</v>
      </c>
      <c r="K2379" s="106">
        <v>8.0000000000000002E-3</v>
      </c>
      <c r="L2379" s="80">
        <v>-1.0999999999999999E-2</v>
      </c>
      <c r="M2379" s="75" t="s">
        <v>143</v>
      </c>
      <c r="N2379" s="75" t="b">
        <v>1</v>
      </c>
      <c r="O2379" s="75" t="s">
        <v>144</v>
      </c>
      <c r="P2379" s="75">
        <v>1994</v>
      </c>
      <c r="Q2379" s="107">
        <f t="shared" si="64"/>
        <v>2014</v>
      </c>
      <c r="R2379" s="107">
        <v>2</v>
      </c>
      <c r="S2379" s="100">
        <v>214094</v>
      </c>
      <c r="T2379" s="101">
        <v>41863</v>
      </c>
    </row>
    <row r="2380" spans="1:21" x14ac:dyDescent="0.3">
      <c r="A2380" s="42">
        <v>41828</v>
      </c>
      <c r="B2380" s="69">
        <f t="shared" si="65"/>
        <v>20140708</v>
      </c>
      <c r="C2380" s="109">
        <v>2.6800000000000001E-2</v>
      </c>
      <c r="D2380" s="77">
        <v>0</v>
      </c>
      <c r="E2380" s="77">
        <v>4.0000000000000001E-3</v>
      </c>
      <c r="F2380" s="77">
        <v>6.0000000000000001E-3</v>
      </c>
      <c r="G2380" s="78">
        <v>0</v>
      </c>
      <c r="H2380" s="71">
        <v>8</v>
      </c>
      <c r="I2380" s="71">
        <v>10.5</v>
      </c>
      <c r="J2380" s="71">
        <v>12.9</v>
      </c>
      <c r="K2380" s="106">
        <v>7.6E-3</v>
      </c>
      <c r="L2380" s="80">
        <v>-1.0999999999999999E-2</v>
      </c>
      <c r="M2380" s="75" t="s">
        <v>143</v>
      </c>
      <c r="N2380" s="75" t="b">
        <v>1</v>
      </c>
      <c r="O2380" s="75" t="s">
        <v>144</v>
      </c>
      <c r="P2380" s="75">
        <v>1994</v>
      </c>
      <c r="Q2380" s="107">
        <f t="shared" si="64"/>
        <v>2014</v>
      </c>
      <c r="R2380" s="107">
        <v>2</v>
      </c>
      <c r="S2380" s="100">
        <v>214094</v>
      </c>
      <c r="T2380" s="101">
        <v>41863</v>
      </c>
    </row>
    <row r="2381" spans="1:21" x14ac:dyDescent="0.3">
      <c r="A2381" s="42">
        <v>41829</v>
      </c>
      <c r="B2381" s="69">
        <f t="shared" si="65"/>
        <v>20140709</v>
      </c>
      <c r="C2381" s="109">
        <v>2.6800000000000001E-2</v>
      </c>
      <c r="D2381" s="77">
        <v>0</v>
      </c>
      <c r="E2381" s="77">
        <v>4.0000000000000001E-3</v>
      </c>
      <c r="F2381" s="77">
        <v>6.0000000000000001E-3</v>
      </c>
      <c r="G2381" s="78">
        <v>0</v>
      </c>
      <c r="H2381" s="71">
        <v>8</v>
      </c>
      <c r="I2381" s="71">
        <v>10.5</v>
      </c>
      <c r="J2381" s="71">
        <v>12.9</v>
      </c>
      <c r="K2381" s="106">
        <v>7.4999999999999997E-3</v>
      </c>
      <c r="L2381" s="80">
        <v>-1.0999999999999999E-2</v>
      </c>
      <c r="M2381" s="75" t="s">
        <v>143</v>
      </c>
      <c r="N2381" s="75" t="b">
        <v>1</v>
      </c>
      <c r="O2381" s="75" t="s">
        <v>144</v>
      </c>
      <c r="P2381" s="75">
        <v>1994</v>
      </c>
      <c r="Q2381" s="107">
        <f t="shared" si="64"/>
        <v>2014</v>
      </c>
      <c r="R2381" s="107">
        <v>2</v>
      </c>
      <c r="S2381" s="100">
        <v>214094</v>
      </c>
      <c r="T2381" s="101">
        <v>41863</v>
      </c>
    </row>
    <row r="2382" spans="1:21" x14ac:dyDescent="0.3">
      <c r="A2382" s="42">
        <v>41830</v>
      </c>
      <c r="B2382" s="69">
        <f t="shared" si="65"/>
        <v>20140710</v>
      </c>
      <c r="C2382" s="109">
        <v>2.6800000000000001E-2</v>
      </c>
      <c r="D2382" s="77">
        <v>0</v>
      </c>
      <c r="E2382" s="77">
        <v>4.0000000000000001E-3</v>
      </c>
      <c r="F2382" s="77">
        <v>6.0000000000000001E-3</v>
      </c>
      <c r="G2382" s="78">
        <v>0</v>
      </c>
      <c r="H2382" s="71">
        <v>8</v>
      </c>
      <c r="I2382" s="71">
        <v>10.5</v>
      </c>
      <c r="J2382" s="71">
        <v>12.9</v>
      </c>
      <c r="K2382" s="106">
        <v>7.4999999999999997E-3</v>
      </c>
      <c r="L2382" s="80">
        <v>-1.0999999999999999E-2</v>
      </c>
      <c r="M2382" s="75" t="s">
        <v>143</v>
      </c>
      <c r="N2382" s="75" t="b">
        <v>1</v>
      </c>
      <c r="O2382" s="75" t="s">
        <v>144</v>
      </c>
      <c r="P2382" s="75">
        <v>1994</v>
      </c>
      <c r="Q2382" s="107">
        <f t="shared" si="64"/>
        <v>2014</v>
      </c>
      <c r="R2382" s="107">
        <v>2</v>
      </c>
      <c r="S2382" s="100">
        <v>214094</v>
      </c>
      <c r="T2382" s="101">
        <v>41863</v>
      </c>
    </row>
    <row r="2383" spans="1:21" x14ac:dyDescent="0.3">
      <c r="A2383" s="42">
        <v>41831</v>
      </c>
      <c r="B2383" s="69">
        <f t="shared" si="65"/>
        <v>20140711</v>
      </c>
      <c r="C2383" s="109">
        <v>2.6600000000000002E-2</v>
      </c>
      <c r="D2383" s="77">
        <v>0</v>
      </c>
      <c r="E2383" s="77">
        <v>4.0000000000000001E-3</v>
      </c>
      <c r="F2383" s="77">
        <v>6.0000000000000001E-3</v>
      </c>
      <c r="G2383" s="78">
        <v>0</v>
      </c>
      <c r="H2383" s="71">
        <v>8</v>
      </c>
      <c r="I2383" s="71">
        <v>10.5</v>
      </c>
      <c r="J2383" s="71">
        <v>12.9</v>
      </c>
      <c r="K2383" s="106">
        <v>7.3000000000000001E-3</v>
      </c>
      <c r="L2383" s="80">
        <v>-1.0999999999999999E-2</v>
      </c>
      <c r="M2383" s="75" t="s">
        <v>143</v>
      </c>
      <c r="N2383" s="75" t="b">
        <v>1</v>
      </c>
      <c r="O2383" s="75" t="s">
        <v>144</v>
      </c>
      <c r="P2383" s="75">
        <v>1994</v>
      </c>
      <c r="Q2383" s="107">
        <f t="shared" si="64"/>
        <v>2014</v>
      </c>
      <c r="R2383" s="107">
        <v>2</v>
      </c>
      <c r="S2383" s="100">
        <v>214094</v>
      </c>
      <c r="T2383" s="101">
        <v>41863</v>
      </c>
    </row>
    <row r="2384" spans="1:21" x14ac:dyDescent="0.3">
      <c r="A2384" s="42">
        <v>41832</v>
      </c>
      <c r="B2384" s="69">
        <f t="shared" si="65"/>
        <v>20140712</v>
      </c>
      <c r="C2384" s="109">
        <v>2.6600000000000002E-2</v>
      </c>
      <c r="D2384" s="77">
        <v>0</v>
      </c>
      <c r="E2384" s="77">
        <v>4.0000000000000001E-3</v>
      </c>
      <c r="F2384" s="77">
        <v>6.0000000000000001E-3</v>
      </c>
      <c r="G2384" s="78">
        <v>0</v>
      </c>
      <c r="H2384" s="71">
        <v>8</v>
      </c>
      <c r="I2384" s="71">
        <v>10.5</v>
      </c>
      <c r="J2384" s="71">
        <v>12.9</v>
      </c>
      <c r="K2384" s="106">
        <v>7.3000000000000001E-3</v>
      </c>
      <c r="L2384" s="80">
        <v>-1.0999999999999999E-2</v>
      </c>
      <c r="M2384" s="75" t="s">
        <v>143</v>
      </c>
      <c r="N2384" s="75" t="b">
        <v>1</v>
      </c>
      <c r="O2384" s="75" t="s">
        <v>144</v>
      </c>
      <c r="P2384" s="75">
        <v>1994</v>
      </c>
      <c r="Q2384" s="107">
        <f t="shared" si="64"/>
        <v>2014</v>
      </c>
      <c r="R2384" s="107">
        <v>2</v>
      </c>
      <c r="S2384" s="100">
        <v>214094</v>
      </c>
      <c r="T2384" s="101">
        <v>41863</v>
      </c>
    </row>
    <row r="2385" spans="1:20" x14ac:dyDescent="0.3">
      <c r="A2385" s="42">
        <v>41833</v>
      </c>
      <c r="B2385" s="69">
        <f t="shared" si="65"/>
        <v>20140713</v>
      </c>
      <c r="C2385" s="109">
        <v>2.6600000000000002E-2</v>
      </c>
      <c r="D2385" s="77">
        <v>0</v>
      </c>
      <c r="E2385" s="77">
        <v>4.0000000000000001E-3</v>
      </c>
      <c r="F2385" s="77">
        <v>6.0000000000000001E-3</v>
      </c>
      <c r="G2385" s="78">
        <v>0</v>
      </c>
      <c r="H2385" s="71">
        <v>8</v>
      </c>
      <c r="I2385" s="71">
        <v>10.5</v>
      </c>
      <c r="J2385" s="71">
        <v>12.9</v>
      </c>
      <c r="K2385" s="106">
        <v>7.3000000000000001E-3</v>
      </c>
      <c r="L2385" s="80">
        <v>-1.0999999999999999E-2</v>
      </c>
      <c r="M2385" s="75" t="s">
        <v>143</v>
      </c>
      <c r="N2385" s="75" t="b">
        <v>1</v>
      </c>
      <c r="O2385" s="75" t="s">
        <v>144</v>
      </c>
      <c r="P2385" s="75">
        <v>1994</v>
      </c>
      <c r="Q2385" s="107">
        <f t="shared" si="64"/>
        <v>2014</v>
      </c>
      <c r="R2385" s="107">
        <v>2</v>
      </c>
      <c r="S2385" s="100">
        <v>214094</v>
      </c>
      <c r="T2385" s="101">
        <v>41863</v>
      </c>
    </row>
    <row r="2386" spans="1:20" x14ac:dyDescent="0.3">
      <c r="A2386" s="42">
        <v>41834</v>
      </c>
      <c r="B2386" s="69">
        <f t="shared" si="65"/>
        <v>20140714</v>
      </c>
      <c r="C2386" s="109">
        <v>2.6600000000000002E-2</v>
      </c>
      <c r="D2386" s="77">
        <v>0</v>
      </c>
      <c r="E2386" s="77">
        <v>4.0000000000000001E-3</v>
      </c>
      <c r="F2386" s="77">
        <v>6.0000000000000001E-3</v>
      </c>
      <c r="G2386" s="78">
        <v>0</v>
      </c>
      <c r="H2386" s="71">
        <v>8</v>
      </c>
      <c r="I2386" s="71">
        <v>10.5</v>
      </c>
      <c r="J2386" s="71">
        <v>12.9</v>
      </c>
      <c r="K2386" s="106">
        <v>7.4000000000000003E-3</v>
      </c>
      <c r="L2386" s="80">
        <v>-1.0999999999999999E-2</v>
      </c>
      <c r="M2386" s="75" t="s">
        <v>143</v>
      </c>
      <c r="N2386" s="75" t="b">
        <v>1</v>
      </c>
      <c r="O2386" s="75" t="s">
        <v>144</v>
      </c>
      <c r="P2386" s="75">
        <v>1994</v>
      </c>
      <c r="Q2386" s="107">
        <f t="shared" si="64"/>
        <v>2014</v>
      </c>
      <c r="R2386" s="107">
        <v>2</v>
      </c>
      <c r="S2386" s="100">
        <v>214094</v>
      </c>
      <c r="T2386" s="101">
        <v>41863</v>
      </c>
    </row>
    <row r="2387" spans="1:20" x14ac:dyDescent="0.3">
      <c r="A2387" s="42">
        <v>41835</v>
      </c>
      <c r="B2387" s="69">
        <f t="shared" si="65"/>
        <v>20140715</v>
      </c>
      <c r="C2387" s="109">
        <v>2.6600000000000002E-2</v>
      </c>
      <c r="D2387" s="77">
        <v>0</v>
      </c>
      <c r="E2387" s="77">
        <v>4.0000000000000001E-3</v>
      </c>
      <c r="F2387" s="77">
        <v>6.0000000000000001E-3</v>
      </c>
      <c r="G2387" s="78">
        <v>0</v>
      </c>
      <c r="H2387" s="71">
        <v>8</v>
      </c>
      <c r="I2387" s="71">
        <v>10.5</v>
      </c>
      <c r="J2387" s="71">
        <v>12.9</v>
      </c>
      <c r="K2387" s="106">
        <v>7.4000000000000003E-3</v>
      </c>
      <c r="L2387" s="80">
        <v>-1.0999999999999999E-2</v>
      </c>
      <c r="M2387" s="75" t="s">
        <v>143</v>
      </c>
      <c r="N2387" s="75" t="b">
        <v>1</v>
      </c>
      <c r="O2387" s="75" t="s">
        <v>144</v>
      </c>
      <c r="P2387" s="75">
        <v>1994</v>
      </c>
      <c r="Q2387" s="107">
        <f t="shared" si="64"/>
        <v>2014</v>
      </c>
      <c r="R2387" s="107">
        <v>2</v>
      </c>
      <c r="S2387" s="100">
        <v>214094</v>
      </c>
      <c r="T2387" s="101">
        <v>41863</v>
      </c>
    </row>
    <row r="2388" spans="1:20" x14ac:dyDescent="0.3">
      <c r="A2388" s="42">
        <v>41836</v>
      </c>
      <c r="B2388" s="69">
        <f t="shared" si="65"/>
        <v>20140716</v>
      </c>
      <c r="C2388" s="109">
        <v>2.64E-2</v>
      </c>
      <c r="D2388" s="77">
        <v>0</v>
      </c>
      <c r="E2388" s="77">
        <v>4.0000000000000001E-3</v>
      </c>
      <c r="F2388" s="77">
        <v>6.0000000000000001E-3</v>
      </c>
      <c r="G2388" s="78">
        <v>0</v>
      </c>
      <c r="H2388" s="71">
        <v>8</v>
      </c>
      <c r="I2388" s="71">
        <v>10.5</v>
      </c>
      <c r="J2388" s="71">
        <v>12.9</v>
      </c>
      <c r="K2388" s="106">
        <v>7.3000000000000001E-3</v>
      </c>
      <c r="L2388" s="80">
        <v>-1.0999999999999999E-2</v>
      </c>
      <c r="M2388" s="75" t="s">
        <v>143</v>
      </c>
      <c r="N2388" s="75" t="b">
        <v>1</v>
      </c>
      <c r="O2388" s="75" t="s">
        <v>144</v>
      </c>
      <c r="P2388" s="75">
        <v>1994</v>
      </c>
      <c r="Q2388" s="107">
        <f t="shared" si="64"/>
        <v>2014</v>
      </c>
      <c r="R2388" s="107">
        <v>2</v>
      </c>
      <c r="S2388" s="100">
        <v>214094</v>
      </c>
      <c r="T2388" s="101">
        <v>41863</v>
      </c>
    </row>
    <row r="2389" spans="1:20" x14ac:dyDescent="0.3">
      <c r="A2389" s="42">
        <v>41837</v>
      </c>
      <c r="B2389" s="69">
        <f t="shared" si="65"/>
        <v>20140717</v>
      </c>
      <c r="C2389" s="109">
        <v>2.58E-2</v>
      </c>
      <c r="D2389" s="77">
        <v>0</v>
      </c>
      <c r="E2389" s="77">
        <v>4.0000000000000001E-3</v>
      </c>
      <c r="F2389" s="77">
        <v>6.0000000000000001E-3</v>
      </c>
      <c r="G2389" s="78">
        <v>0</v>
      </c>
      <c r="H2389" s="71">
        <v>8</v>
      </c>
      <c r="I2389" s="71">
        <v>10.5</v>
      </c>
      <c r="J2389" s="71">
        <v>12.9</v>
      </c>
      <c r="K2389" s="106">
        <v>6.7000000000000002E-3</v>
      </c>
      <c r="L2389" s="80">
        <v>-1.0999999999999999E-2</v>
      </c>
      <c r="M2389" s="75" t="s">
        <v>143</v>
      </c>
      <c r="N2389" s="75" t="b">
        <v>1</v>
      </c>
      <c r="O2389" s="75" t="s">
        <v>144</v>
      </c>
      <c r="P2389" s="75">
        <v>1994</v>
      </c>
      <c r="Q2389" s="107">
        <f t="shared" si="64"/>
        <v>2014</v>
      </c>
      <c r="R2389" s="107">
        <v>2</v>
      </c>
      <c r="S2389" s="100">
        <v>214094</v>
      </c>
      <c r="T2389" s="101">
        <v>41863</v>
      </c>
    </row>
    <row r="2390" spans="1:20" x14ac:dyDescent="0.3">
      <c r="A2390" s="42">
        <v>41838</v>
      </c>
      <c r="B2390" s="69">
        <f t="shared" si="65"/>
        <v>20140718</v>
      </c>
      <c r="C2390" s="109">
        <v>2.6000000000000002E-2</v>
      </c>
      <c r="D2390" s="77">
        <v>0</v>
      </c>
      <c r="E2390" s="77">
        <v>4.0000000000000001E-3</v>
      </c>
      <c r="F2390" s="77">
        <v>6.0000000000000001E-3</v>
      </c>
      <c r="G2390" s="78">
        <v>0</v>
      </c>
      <c r="H2390" s="71">
        <v>8</v>
      </c>
      <c r="I2390" s="71">
        <v>10.5</v>
      </c>
      <c r="J2390" s="71">
        <v>12.9</v>
      </c>
      <c r="K2390" s="106">
        <v>6.7000000000000002E-3</v>
      </c>
      <c r="L2390" s="80">
        <v>-1.0999999999999999E-2</v>
      </c>
      <c r="M2390" s="75" t="s">
        <v>143</v>
      </c>
      <c r="N2390" s="75" t="b">
        <v>1</v>
      </c>
      <c r="O2390" s="75" t="s">
        <v>144</v>
      </c>
      <c r="P2390" s="75">
        <v>1994</v>
      </c>
      <c r="Q2390" s="107">
        <f t="shared" si="64"/>
        <v>2014</v>
      </c>
      <c r="R2390" s="107">
        <v>2</v>
      </c>
      <c r="S2390" s="100">
        <v>214094</v>
      </c>
      <c r="T2390" s="101">
        <v>41863</v>
      </c>
    </row>
    <row r="2391" spans="1:20" x14ac:dyDescent="0.3">
      <c r="A2391" s="42">
        <v>41839</v>
      </c>
      <c r="B2391" s="69">
        <f t="shared" si="65"/>
        <v>20140719</v>
      </c>
      <c r="C2391" s="109">
        <v>2.6000000000000002E-2</v>
      </c>
      <c r="D2391" s="77">
        <v>0</v>
      </c>
      <c r="E2391" s="77">
        <v>4.0000000000000001E-3</v>
      </c>
      <c r="F2391" s="77">
        <v>6.0000000000000001E-3</v>
      </c>
      <c r="G2391" s="78">
        <v>0</v>
      </c>
      <c r="H2391" s="71">
        <v>8</v>
      </c>
      <c r="I2391" s="71">
        <v>10.5</v>
      </c>
      <c r="J2391" s="71">
        <v>12.9</v>
      </c>
      <c r="K2391" s="106">
        <v>6.7000000000000002E-3</v>
      </c>
      <c r="L2391" s="80">
        <v>-1.0999999999999999E-2</v>
      </c>
      <c r="M2391" s="75" t="s">
        <v>143</v>
      </c>
      <c r="N2391" s="75" t="b">
        <v>1</v>
      </c>
      <c r="O2391" s="75" t="s">
        <v>144</v>
      </c>
      <c r="P2391" s="75">
        <v>1994</v>
      </c>
      <c r="Q2391" s="107">
        <f t="shared" si="64"/>
        <v>2014</v>
      </c>
      <c r="R2391" s="107">
        <v>2</v>
      </c>
      <c r="S2391" s="100">
        <v>214094</v>
      </c>
      <c r="T2391" s="101">
        <v>41863</v>
      </c>
    </row>
    <row r="2392" spans="1:20" x14ac:dyDescent="0.3">
      <c r="A2392" s="42">
        <v>41840</v>
      </c>
      <c r="B2392" s="69">
        <f t="shared" si="65"/>
        <v>20140720</v>
      </c>
      <c r="C2392" s="109">
        <v>2.6000000000000002E-2</v>
      </c>
      <c r="D2392" s="77">
        <v>0</v>
      </c>
      <c r="E2392" s="77">
        <v>4.0000000000000001E-3</v>
      </c>
      <c r="F2392" s="77">
        <v>6.0000000000000001E-3</v>
      </c>
      <c r="G2392" s="78">
        <v>0</v>
      </c>
      <c r="H2392" s="71">
        <v>8</v>
      </c>
      <c r="I2392" s="71">
        <v>10.5</v>
      </c>
      <c r="J2392" s="71">
        <v>12.9</v>
      </c>
      <c r="K2392" s="106">
        <v>6.7000000000000002E-3</v>
      </c>
      <c r="L2392" s="80">
        <v>-1.0999999999999999E-2</v>
      </c>
      <c r="M2392" s="75" t="s">
        <v>143</v>
      </c>
      <c r="N2392" s="75" t="b">
        <v>1</v>
      </c>
      <c r="O2392" s="75" t="s">
        <v>144</v>
      </c>
      <c r="P2392" s="75">
        <v>1994</v>
      </c>
      <c r="Q2392" s="107">
        <f t="shared" si="64"/>
        <v>2014</v>
      </c>
      <c r="R2392" s="107">
        <v>2</v>
      </c>
      <c r="S2392" s="100">
        <v>214094</v>
      </c>
      <c r="T2392" s="101">
        <v>41863</v>
      </c>
    </row>
    <row r="2393" spans="1:20" x14ac:dyDescent="0.3">
      <c r="A2393" s="42">
        <v>41841</v>
      </c>
      <c r="B2393" s="69">
        <f t="shared" si="65"/>
        <v>20140721</v>
      </c>
      <c r="C2393" s="109">
        <v>2.5699999999999997E-2</v>
      </c>
      <c r="D2393" s="77">
        <v>0</v>
      </c>
      <c r="E2393" s="77">
        <v>4.0000000000000001E-3</v>
      </c>
      <c r="F2393" s="77">
        <v>6.0000000000000001E-3</v>
      </c>
      <c r="G2393" s="78">
        <v>0</v>
      </c>
      <c r="H2393" s="71">
        <v>8</v>
      </c>
      <c r="I2393" s="71">
        <v>10.5</v>
      </c>
      <c r="J2393" s="71">
        <v>12.9</v>
      </c>
      <c r="K2393" s="106">
        <v>6.3E-3</v>
      </c>
      <c r="L2393" s="80">
        <v>-1.0999999999999999E-2</v>
      </c>
      <c r="M2393" s="75" t="s">
        <v>143</v>
      </c>
      <c r="N2393" s="75" t="b">
        <v>1</v>
      </c>
      <c r="O2393" s="75" t="s">
        <v>144</v>
      </c>
      <c r="P2393" s="75">
        <v>1994</v>
      </c>
      <c r="Q2393" s="107">
        <f t="shared" si="64"/>
        <v>2014</v>
      </c>
      <c r="R2393" s="107">
        <v>2</v>
      </c>
      <c r="S2393" s="100">
        <v>214094</v>
      </c>
      <c r="T2393" s="101">
        <v>41863</v>
      </c>
    </row>
    <row r="2394" spans="1:20" x14ac:dyDescent="0.3">
      <c r="A2394" s="42">
        <v>41842</v>
      </c>
      <c r="B2394" s="69">
        <f t="shared" si="65"/>
        <v>20140722</v>
      </c>
      <c r="C2394" s="109">
        <v>2.5600000000000001E-2</v>
      </c>
      <c r="D2394" s="77">
        <v>0</v>
      </c>
      <c r="E2394" s="77">
        <v>4.0000000000000001E-3</v>
      </c>
      <c r="F2394" s="77">
        <v>6.0000000000000001E-3</v>
      </c>
      <c r="G2394" s="78">
        <v>0</v>
      </c>
      <c r="H2394" s="71">
        <v>8</v>
      </c>
      <c r="I2394" s="71">
        <v>10.5</v>
      </c>
      <c r="J2394" s="71">
        <v>12.9</v>
      </c>
      <c r="K2394" s="106">
        <v>6.3E-3</v>
      </c>
      <c r="L2394" s="80">
        <v>-1.0999999999999999E-2</v>
      </c>
      <c r="M2394" s="75" t="s">
        <v>143</v>
      </c>
      <c r="N2394" s="75" t="b">
        <v>1</v>
      </c>
      <c r="O2394" s="75" t="s">
        <v>144</v>
      </c>
      <c r="P2394" s="75">
        <v>1994</v>
      </c>
      <c r="Q2394" s="107">
        <f t="shared" si="64"/>
        <v>2014</v>
      </c>
      <c r="R2394" s="107">
        <v>2</v>
      </c>
      <c r="S2394" s="100">
        <v>214094</v>
      </c>
      <c r="T2394" s="101">
        <v>41863</v>
      </c>
    </row>
    <row r="2395" spans="1:20" x14ac:dyDescent="0.3">
      <c r="A2395" s="42">
        <v>41843</v>
      </c>
      <c r="B2395" s="69">
        <f t="shared" si="65"/>
        <v>20140723</v>
      </c>
      <c r="C2395" s="109">
        <v>2.5699999999999997E-2</v>
      </c>
      <c r="D2395" s="77">
        <v>0</v>
      </c>
      <c r="E2395" s="77">
        <v>4.0000000000000001E-3</v>
      </c>
      <c r="F2395" s="77">
        <v>6.0000000000000001E-3</v>
      </c>
      <c r="G2395" s="78">
        <v>0</v>
      </c>
      <c r="H2395" s="71">
        <v>8</v>
      </c>
      <c r="I2395" s="71">
        <v>10.5</v>
      </c>
      <c r="J2395" s="71">
        <v>12.9</v>
      </c>
      <c r="K2395" s="106">
        <v>6.4000000000000003E-3</v>
      </c>
      <c r="L2395" s="80">
        <v>-1.0999999999999999E-2</v>
      </c>
      <c r="M2395" s="75" t="s">
        <v>143</v>
      </c>
      <c r="N2395" s="75" t="b">
        <v>1</v>
      </c>
      <c r="O2395" s="75" t="s">
        <v>144</v>
      </c>
      <c r="P2395" s="75">
        <v>1994</v>
      </c>
      <c r="Q2395" s="107">
        <f t="shared" si="64"/>
        <v>2014</v>
      </c>
      <c r="R2395" s="107">
        <v>2</v>
      </c>
      <c r="S2395" s="100">
        <v>214094</v>
      </c>
      <c r="T2395" s="101">
        <v>41863</v>
      </c>
    </row>
    <row r="2396" spans="1:20" x14ac:dyDescent="0.3">
      <c r="A2396" s="42">
        <v>41844</v>
      </c>
      <c r="B2396" s="69">
        <f t="shared" si="65"/>
        <v>20140724</v>
      </c>
      <c r="C2396" s="109">
        <v>2.6000000000000002E-2</v>
      </c>
      <c r="D2396" s="77">
        <v>0</v>
      </c>
      <c r="E2396" s="77">
        <v>4.0000000000000001E-3</v>
      </c>
      <c r="F2396" s="77">
        <v>6.0000000000000001E-3</v>
      </c>
      <c r="G2396" s="78">
        <v>0</v>
      </c>
      <c r="H2396" s="71">
        <v>8</v>
      </c>
      <c r="I2396" s="71">
        <v>10.5</v>
      </c>
      <c r="J2396" s="71">
        <v>12.9</v>
      </c>
      <c r="K2396" s="106">
        <v>6.8000000000000005E-3</v>
      </c>
      <c r="L2396" s="80">
        <v>-1.0999999999999999E-2</v>
      </c>
      <c r="M2396" s="75" t="s">
        <v>143</v>
      </c>
      <c r="N2396" s="75" t="b">
        <v>1</v>
      </c>
      <c r="O2396" s="75" t="s">
        <v>144</v>
      </c>
      <c r="P2396" s="75">
        <v>1994</v>
      </c>
      <c r="Q2396" s="107">
        <f t="shared" si="64"/>
        <v>2014</v>
      </c>
      <c r="R2396" s="107">
        <v>2</v>
      </c>
      <c r="S2396" s="100">
        <v>214094</v>
      </c>
      <c r="T2396" s="101">
        <v>41863</v>
      </c>
    </row>
    <row r="2397" spans="1:20" x14ac:dyDescent="0.3">
      <c r="A2397" s="42">
        <v>41845</v>
      </c>
      <c r="B2397" s="69">
        <f t="shared" si="65"/>
        <v>20140725</v>
      </c>
      <c r="C2397" s="109">
        <v>2.5600000000000001E-2</v>
      </c>
      <c r="D2397" s="77">
        <v>0</v>
      </c>
      <c r="E2397" s="77">
        <v>4.0000000000000001E-3</v>
      </c>
      <c r="F2397" s="77">
        <v>6.0000000000000001E-3</v>
      </c>
      <c r="G2397" s="78">
        <v>0</v>
      </c>
      <c r="H2397" s="71">
        <v>8</v>
      </c>
      <c r="I2397" s="71">
        <v>10.5</v>
      </c>
      <c r="J2397" s="71">
        <v>12.9</v>
      </c>
      <c r="K2397" s="106">
        <v>6.1999999999999998E-3</v>
      </c>
      <c r="L2397" s="80">
        <v>-1.0999999999999999E-2</v>
      </c>
      <c r="M2397" s="75" t="s">
        <v>143</v>
      </c>
      <c r="N2397" s="75" t="b">
        <v>1</v>
      </c>
      <c r="O2397" s="75" t="s">
        <v>144</v>
      </c>
      <c r="P2397" s="75">
        <v>1994</v>
      </c>
      <c r="Q2397" s="107">
        <f t="shared" si="64"/>
        <v>2014</v>
      </c>
      <c r="R2397" s="107">
        <v>2</v>
      </c>
      <c r="S2397" s="100">
        <v>214094</v>
      </c>
      <c r="T2397" s="101">
        <v>41863</v>
      </c>
    </row>
    <row r="2398" spans="1:20" x14ac:dyDescent="0.3">
      <c r="A2398" s="42">
        <v>41846</v>
      </c>
      <c r="B2398" s="69">
        <f t="shared" si="65"/>
        <v>20140726</v>
      </c>
      <c r="C2398" s="109">
        <v>2.5600000000000001E-2</v>
      </c>
      <c r="D2398" s="77">
        <v>0</v>
      </c>
      <c r="E2398" s="77">
        <v>4.0000000000000001E-3</v>
      </c>
      <c r="F2398" s="77">
        <v>6.0000000000000001E-3</v>
      </c>
      <c r="G2398" s="78">
        <v>0</v>
      </c>
      <c r="H2398" s="71">
        <v>8</v>
      </c>
      <c r="I2398" s="71">
        <v>10.5</v>
      </c>
      <c r="J2398" s="71">
        <v>12.9</v>
      </c>
      <c r="K2398" s="106">
        <v>6.1999999999999998E-3</v>
      </c>
      <c r="L2398" s="80">
        <v>-1.0999999999999999E-2</v>
      </c>
      <c r="M2398" s="75" t="s">
        <v>143</v>
      </c>
      <c r="N2398" s="75" t="b">
        <v>1</v>
      </c>
      <c r="O2398" s="75" t="s">
        <v>144</v>
      </c>
      <c r="P2398" s="75">
        <v>1994</v>
      </c>
      <c r="Q2398" s="107">
        <f t="shared" si="64"/>
        <v>2014</v>
      </c>
      <c r="R2398" s="107">
        <v>2</v>
      </c>
      <c r="S2398" s="100">
        <v>214094</v>
      </c>
      <c r="T2398" s="101">
        <v>41863</v>
      </c>
    </row>
    <row r="2399" spans="1:20" x14ac:dyDescent="0.3">
      <c r="A2399" s="42">
        <v>41847</v>
      </c>
      <c r="B2399" s="69">
        <f t="shared" si="65"/>
        <v>20140727</v>
      </c>
      <c r="C2399" s="109">
        <v>2.5600000000000001E-2</v>
      </c>
      <c r="D2399" s="77">
        <v>0</v>
      </c>
      <c r="E2399" s="77">
        <v>4.0000000000000001E-3</v>
      </c>
      <c r="F2399" s="77">
        <v>6.0000000000000001E-3</v>
      </c>
      <c r="G2399" s="78">
        <v>0</v>
      </c>
      <c r="H2399" s="71">
        <v>8</v>
      </c>
      <c r="I2399" s="71">
        <v>10.5</v>
      </c>
      <c r="J2399" s="71">
        <v>12.9</v>
      </c>
      <c r="K2399" s="106">
        <v>6.1999999999999998E-3</v>
      </c>
      <c r="L2399" s="80">
        <v>-1.0999999999999999E-2</v>
      </c>
      <c r="M2399" s="75" t="s">
        <v>143</v>
      </c>
      <c r="N2399" s="75" t="b">
        <v>1</v>
      </c>
      <c r="O2399" s="75" t="s">
        <v>144</v>
      </c>
      <c r="P2399" s="75">
        <v>1994</v>
      </c>
      <c r="Q2399" s="107">
        <f t="shared" si="64"/>
        <v>2014</v>
      </c>
      <c r="R2399" s="107">
        <v>2</v>
      </c>
      <c r="S2399" s="100">
        <v>214094</v>
      </c>
      <c r="T2399" s="101">
        <v>41863</v>
      </c>
    </row>
    <row r="2400" spans="1:20" x14ac:dyDescent="0.3">
      <c r="A2400" s="42">
        <v>41848</v>
      </c>
      <c r="B2400" s="69">
        <f t="shared" si="65"/>
        <v>20140728</v>
      </c>
      <c r="C2400" s="109">
        <v>2.5499999999999998E-2</v>
      </c>
      <c r="D2400" s="77">
        <v>0</v>
      </c>
      <c r="E2400" s="77">
        <v>4.0000000000000001E-3</v>
      </c>
      <c r="F2400" s="77">
        <v>6.0000000000000001E-3</v>
      </c>
      <c r="G2400" s="78">
        <v>0</v>
      </c>
      <c r="H2400" s="71">
        <v>8</v>
      </c>
      <c r="I2400" s="71">
        <v>10.5</v>
      </c>
      <c r="J2400" s="71">
        <v>12.9</v>
      </c>
      <c r="K2400" s="106">
        <v>6.1999999999999998E-3</v>
      </c>
      <c r="L2400" s="80">
        <v>-1.0999999999999999E-2</v>
      </c>
      <c r="M2400" s="75" t="s">
        <v>143</v>
      </c>
      <c r="N2400" s="75" t="b">
        <v>1</v>
      </c>
      <c r="O2400" s="75" t="s">
        <v>144</v>
      </c>
      <c r="P2400" s="75">
        <v>1994</v>
      </c>
      <c r="Q2400" s="107">
        <f t="shared" si="64"/>
        <v>2014</v>
      </c>
      <c r="R2400" s="107">
        <v>2</v>
      </c>
      <c r="S2400" s="100">
        <v>214094</v>
      </c>
      <c r="T2400" s="101">
        <v>41863</v>
      </c>
    </row>
    <row r="2401" spans="1:20" x14ac:dyDescent="0.3">
      <c r="A2401" s="42">
        <v>41849</v>
      </c>
      <c r="B2401" s="69">
        <f t="shared" si="65"/>
        <v>20140729</v>
      </c>
      <c r="C2401" s="109">
        <v>2.52E-2</v>
      </c>
      <c r="D2401" s="77">
        <v>0</v>
      </c>
      <c r="E2401" s="77">
        <v>4.0000000000000001E-3</v>
      </c>
      <c r="F2401" s="77">
        <v>6.0000000000000001E-3</v>
      </c>
      <c r="G2401" s="78">
        <v>0</v>
      </c>
      <c r="H2401" s="71">
        <v>8</v>
      </c>
      <c r="I2401" s="71">
        <v>10.5</v>
      </c>
      <c r="J2401" s="71">
        <v>12.9</v>
      </c>
      <c r="K2401" s="106">
        <v>5.8999999999999999E-3</v>
      </c>
      <c r="L2401" s="80">
        <v>-1.0999999999999999E-2</v>
      </c>
      <c r="M2401" s="75" t="s">
        <v>143</v>
      </c>
      <c r="N2401" s="75" t="b">
        <v>1</v>
      </c>
      <c r="O2401" s="75" t="s">
        <v>144</v>
      </c>
      <c r="P2401" s="75">
        <v>1994</v>
      </c>
      <c r="Q2401" s="107">
        <f t="shared" si="64"/>
        <v>2014</v>
      </c>
      <c r="R2401" s="107">
        <v>2</v>
      </c>
      <c r="S2401" s="100">
        <v>214094</v>
      </c>
      <c r="T2401" s="101">
        <v>41863</v>
      </c>
    </row>
    <row r="2402" spans="1:20" x14ac:dyDescent="0.3">
      <c r="A2402" s="42">
        <v>41850</v>
      </c>
      <c r="B2402" s="69">
        <f t="shared" si="65"/>
        <v>20140730</v>
      </c>
      <c r="C2402" s="109">
        <v>2.5899999999999999E-2</v>
      </c>
      <c r="D2402" s="77">
        <v>0</v>
      </c>
      <c r="E2402" s="77">
        <v>4.0000000000000001E-3</v>
      </c>
      <c r="F2402" s="77">
        <v>6.0000000000000001E-3</v>
      </c>
      <c r="G2402" s="78">
        <v>0</v>
      </c>
      <c r="H2402" s="71">
        <v>8</v>
      </c>
      <c r="I2402" s="71">
        <v>10.5</v>
      </c>
      <c r="J2402" s="71">
        <v>12.9</v>
      </c>
      <c r="K2402" s="106">
        <v>6.3E-3</v>
      </c>
      <c r="L2402" s="80">
        <v>-1.0999999999999999E-2</v>
      </c>
      <c r="M2402" s="75" t="s">
        <v>143</v>
      </c>
      <c r="N2402" s="75" t="b">
        <v>1</v>
      </c>
      <c r="O2402" s="75" t="s">
        <v>144</v>
      </c>
      <c r="P2402" s="75">
        <v>1994</v>
      </c>
      <c r="Q2402" s="107">
        <f t="shared" si="64"/>
        <v>2014</v>
      </c>
      <c r="R2402" s="107">
        <v>2</v>
      </c>
      <c r="S2402" s="100">
        <v>214094</v>
      </c>
      <c r="T2402" s="101">
        <v>41863</v>
      </c>
    </row>
    <row r="2403" spans="1:20" x14ac:dyDescent="0.3">
      <c r="A2403" s="42">
        <v>41851</v>
      </c>
      <c r="B2403" s="69">
        <f t="shared" si="65"/>
        <v>20140731</v>
      </c>
      <c r="C2403" s="109">
        <v>2.58E-2</v>
      </c>
      <c r="D2403" s="77">
        <v>0</v>
      </c>
      <c r="E2403" s="77">
        <v>4.0000000000000001E-3</v>
      </c>
      <c r="F2403" s="77">
        <v>6.0000000000000001E-3</v>
      </c>
      <c r="G2403" s="78">
        <v>0</v>
      </c>
      <c r="H2403" s="71">
        <v>8</v>
      </c>
      <c r="I2403" s="71">
        <v>10.5</v>
      </c>
      <c r="J2403" s="71">
        <v>12.9</v>
      </c>
      <c r="K2403" s="106">
        <v>6.0999999999999995E-3</v>
      </c>
      <c r="L2403" s="80">
        <v>-1.0999999999999999E-2</v>
      </c>
      <c r="M2403" s="75" t="s">
        <v>143</v>
      </c>
      <c r="N2403" s="75" t="b">
        <v>1</v>
      </c>
      <c r="O2403" s="75" t="s">
        <v>144</v>
      </c>
      <c r="P2403" s="75">
        <v>1994</v>
      </c>
      <c r="Q2403" s="107">
        <f t="shared" si="64"/>
        <v>2014</v>
      </c>
      <c r="R2403" s="107">
        <v>2</v>
      </c>
      <c r="S2403" s="100">
        <v>214094</v>
      </c>
      <c r="T2403" s="101">
        <v>41863</v>
      </c>
    </row>
    <row r="2404" spans="1:20" x14ac:dyDescent="0.3">
      <c r="A2404" s="42">
        <v>41852</v>
      </c>
      <c r="B2404" s="69">
        <f t="shared" si="65"/>
        <v>20140801</v>
      </c>
      <c r="C2404" s="109">
        <v>2.5399999999999999E-2</v>
      </c>
      <c r="D2404" s="77">
        <v>0</v>
      </c>
      <c r="E2404" s="77">
        <v>4.0000000000000001E-3</v>
      </c>
      <c r="F2404" s="77">
        <v>6.0000000000000001E-3</v>
      </c>
      <c r="G2404" s="78">
        <v>0</v>
      </c>
      <c r="H2404" s="71">
        <v>8</v>
      </c>
      <c r="I2404" s="71">
        <v>10.5</v>
      </c>
      <c r="J2404" s="71">
        <v>12.9</v>
      </c>
      <c r="K2404" s="106">
        <v>5.7999999999999996E-3</v>
      </c>
      <c r="L2404" s="80">
        <v>-1.0999999999999999E-2</v>
      </c>
      <c r="M2404" s="75" t="s">
        <v>143</v>
      </c>
      <c r="N2404" s="75" t="b">
        <v>1</v>
      </c>
      <c r="O2404" s="75" t="s">
        <v>144</v>
      </c>
      <c r="P2404" s="75">
        <v>1994</v>
      </c>
      <c r="Q2404" s="107">
        <f t="shared" si="64"/>
        <v>2014</v>
      </c>
      <c r="R2404" s="107">
        <v>2</v>
      </c>
      <c r="S2404" s="100">
        <v>214094</v>
      </c>
      <c r="T2404" s="101">
        <v>41863</v>
      </c>
    </row>
    <row r="2405" spans="1:20" x14ac:dyDescent="0.3">
      <c r="A2405" s="42">
        <v>41853</v>
      </c>
      <c r="B2405" s="69">
        <f t="shared" ref="B2405:B2431" si="66">YEAR(A2405)*10000+MONTH(A2405)*100+DAY(A2405)</f>
        <v>20140802</v>
      </c>
      <c r="C2405" s="109">
        <v>2.5399999999999999E-2</v>
      </c>
      <c r="D2405" s="77">
        <v>0</v>
      </c>
      <c r="E2405" s="77">
        <v>4.0000000000000001E-3</v>
      </c>
      <c r="F2405" s="77">
        <v>6.0000000000000001E-3</v>
      </c>
      <c r="G2405" s="78">
        <v>0</v>
      </c>
      <c r="H2405" s="71">
        <v>8</v>
      </c>
      <c r="I2405" s="71">
        <v>10.5</v>
      </c>
      <c r="J2405" s="71">
        <v>12.9</v>
      </c>
      <c r="K2405" s="106">
        <v>5.7999999999999996E-3</v>
      </c>
      <c r="L2405" s="80">
        <v>-1.0999999999999999E-2</v>
      </c>
      <c r="M2405" s="75" t="s">
        <v>143</v>
      </c>
      <c r="N2405" s="75" t="b">
        <v>1</v>
      </c>
      <c r="O2405" s="75" t="s">
        <v>144</v>
      </c>
      <c r="P2405" s="75">
        <v>1994</v>
      </c>
      <c r="Q2405" s="107">
        <f t="shared" si="64"/>
        <v>2014</v>
      </c>
      <c r="R2405" s="107">
        <v>2</v>
      </c>
      <c r="S2405" s="100">
        <v>214094</v>
      </c>
      <c r="T2405" s="101">
        <v>41863</v>
      </c>
    </row>
    <row r="2406" spans="1:20" x14ac:dyDescent="0.3">
      <c r="A2406" s="42">
        <v>41854</v>
      </c>
      <c r="B2406" s="69">
        <f t="shared" si="66"/>
        <v>20140803</v>
      </c>
      <c r="C2406" s="109">
        <v>2.5399999999999999E-2</v>
      </c>
      <c r="D2406" s="77">
        <v>0</v>
      </c>
      <c r="E2406" s="77">
        <v>4.0000000000000001E-3</v>
      </c>
      <c r="F2406" s="77">
        <v>6.0000000000000001E-3</v>
      </c>
      <c r="G2406" s="78">
        <v>0</v>
      </c>
      <c r="H2406" s="71">
        <v>8</v>
      </c>
      <c r="I2406" s="71">
        <v>10.5</v>
      </c>
      <c r="J2406" s="71">
        <v>12.9</v>
      </c>
      <c r="K2406" s="106">
        <v>5.7999999999999996E-3</v>
      </c>
      <c r="L2406" s="80">
        <v>-1.0999999999999999E-2</v>
      </c>
      <c r="M2406" s="75" t="s">
        <v>143</v>
      </c>
      <c r="N2406" s="75" t="b">
        <v>1</v>
      </c>
      <c r="O2406" s="75" t="s">
        <v>144</v>
      </c>
      <c r="P2406" s="75">
        <v>1994</v>
      </c>
      <c r="Q2406" s="107">
        <f t="shared" si="64"/>
        <v>2014</v>
      </c>
      <c r="R2406" s="107">
        <v>2</v>
      </c>
      <c r="S2406" s="100">
        <v>214094</v>
      </c>
      <c r="T2406" s="101">
        <v>41863</v>
      </c>
    </row>
    <row r="2407" spans="1:20" x14ac:dyDescent="0.3">
      <c r="A2407" s="42">
        <v>41855</v>
      </c>
      <c r="B2407" s="69">
        <f t="shared" si="66"/>
        <v>20140804</v>
      </c>
      <c r="C2407" s="109">
        <v>2.5399999999999999E-2</v>
      </c>
      <c r="D2407" s="77">
        <v>0</v>
      </c>
      <c r="E2407" s="77">
        <v>4.0000000000000001E-3</v>
      </c>
      <c r="F2407" s="77">
        <v>6.0000000000000001E-3</v>
      </c>
      <c r="G2407" s="78">
        <v>0</v>
      </c>
      <c r="H2407" s="71">
        <v>8</v>
      </c>
      <c r="I2407" s="71">
        <v>10.5</v>
      </c>
      <c r="J2407" s="71">
        <v>12.9</v>
      </c>
      <c r="K2407" s="106">
        <v>5.7999999999999996E-3</v>
      </c>
      <c r="L2407" s="80">
        <v>-1.0999999999999999E-2</v>
      </c>
      <c r="M2407" s="75" t="s">
        <v>143</v>
      </c>
      <c r="N2407" s="75" t="b">
        <v>1</v>
      </c>
      <c r="O2407" s="75" t="s">
        <v>144</v>
      </c>
      <c r="P2407" s="75">
        <v>1994</v>
      </c>
      <c r="Q2407" s="107">
        <f t="shared" si="64"/>
        <v>2014</v>
      </c>
      <c r="R2407" s="107">
        <v>2</v>
      </c>
      <c r="S2407" s="100">
        <v>214094</v>
      </c>
      <c r="T2407" s="101">
        <v>41863</v>
      </c>
    </row>
    <row r="2408" spans="1:20" x14ac:dyDescent="0.3">
      <c r="A2408" s="42">
        <v>41856</v>
      </c>
      <c r="B2408" s="69">
        <f t="shared" si="66"/>
        <v>20140805</v>
      </c>
      <c r="C2408" s="109">
        <v>2.53E-2</v>
      </c>
      <c r="D2408" s="77">
        <v>0</v>
      </c>
      <c r="E2408" s="77">
        <v>4.0000000000000001E-3</v>
      </c>
      <c r="F2408" s="77">
        <v>6.0000000000000001E-3</v>
      </c>
      <c r="G2408" s="78">
        <v>0</v>
      </c>
      <c r="H2408" s="71">
        <v>8</v>
      </c>
      <c r="I2408" s="71">
        <v>10.5</v>
      </c>
      <c r="J2408" s="71">
        <v>12.9</v>
      </c>
      <c r="K2408" s="106">
        <v>6.0999999999999995E-3</v>
      </c>
      <c r="L2408" s="80">
        <v>-1.0999999999999999E-2</v>
      </c>
      <c r="M2408" s="75" t="s">
        <v>143</v>
      </c>
      <c r="N2408" s="75" t="b">
        <v>1</v>
      </c>
      <c r="O2408" s="75" t="s">
        <v>144</v>
      </c>
      <c r="P2408" s="75">
        <v>1994</v>
      </c>
      <c r="Q2408" s="107">
        <f t="shared" si="64"/>
        <v>2014</v>
      </c>
      <c r="R2408" s="107">
        <v>2</v>
      </c>
      <c r="S2408" s="100">
        <v>214094</v>
      </c>
      <c r="T2408" s="101">
        <v>41863</v>
      </c>
    </row>
    <row r="2409" spans="1:20" x14ac:dyDescent="0.3">
      <c r="A2409" s="42">
        <v>41857</v>
      </c>
      <c r="B2409" s="69">
        <f t="shared" si="66"/>
        <v>20140806</v>
      </c>
      <c r="C2409" s="109">
        <v>2.53E-2</v>
      </c>
      <c r="D2409" s="77">
        <v>0</v>
      </c>
      <c r="E2409" s="77">
        <v>4.0000000000000001E-3</v>
      </c>
      <c r="F2409" s="77">
        <v>6.0000000000000001E-3</v>
      </c>
      <c r="G2409" s="78">
        <v>0</v>
      </c>
      <c r="H2409" s="71">
        <v>8</v>
      </c>
      <c r="I2409" s="71">
        <v>10.5</v>
      </c>
      <c r="J2409" s="71">
        <v>12.9</v>
      </c>
      <c r="K2409" s="106">
        <v>6.1999999999999998E-3</v>
      </c>
      <c r="L2409" s="80">
        <v>-1.0999999999999999E-2</v>
      </c>
      <c r="M2409" s="75" t="s">
        <v>143</v>
      </c>
      <c r="N2409" s="75" t="b">
        <v>1</v>
      </c>
      <c r="O2409" s="75" t="s">
        <v>144</v>
      </c>
      <c r="P2409" s="75">
        <v>1994</v>
      </c>
      <c r="Q2409" s="107">
        <f t="shared" si="64"/>
        <v>2014</v>
      </c>
      <c r="R2409" s="107">
        <v>2</v>
      </c>
      <c r="S2409" s="100">
        <v>214094</v>
      </c>
      <c r="T2409" s="101">
        <v>41863</v>
      </c>
    </row>
    <row r="2410" spans="1:20" x14ac:dyDescent="0.3">
      <c r="A2410" s="42">
        <v>41858</v>
      </c>
      <c r="B2410" s="69">
        <f t="shared" si="66"/>
        <v>20140807</v>
      </c>
      <c r="C2410" s="109">
        <v>2.5000000000000001E-2</v>
      </c>
      <c r="D2410" s="77">
        <v>0</v>
      </c>
      <c r="E2410" s="77">
        <v>4.0000000000000001E-3</v>
      </c>
      <c r="F2410" s="77">
        <v>6.0000000000000001E-3</v>
      </c>
      <c r="G2410" s="78">
        <v>0</v>
      </c>
      <c r="H2410" s="71">
        <v>8</v>
      </c>
      <c r="I2410" s="71">
        <v>10.5</v>
      </c>
      <c r="J2410" s="71">
        <v>12.9</v>
      </c>
      <c r="K2410" s="106">
        <v>6.0000000000000001E-3</v>
      </c>
      <c r="L2410" s="80">
        <v>-1.0999999999999999E-2</v>
      </c>
      <c r="M2410" s="75" t="s">
        <v>143</v>
      </c>
      <c r="N2410" s="75" t="b">
        <v>1</v>
      </c>
      <c r="O2410" s="75" t="s">
        <v>144</v>
      </c>
      <c r="P2410" s="75">
        <v>1994</v>
      </c>
      <c r="Q2410" s="107">
        <f t="shared" si="64"/>
        <v>2014</v>
      </c>
      <c r="R2410" s="107">
        <v>2</v>
      </c>
      <c r="S2410" s="100">
        <v>214094</v>
      </c>
      <c r="T2410" s="101">
        <v>41863</v>
      </c>
    </row>
    <row r="2411" spans="1:20" x14ac:dyDescent="0.3">
      <c r="A2411" s="42">
        <v>41859</v>
      </c>
      <c r="B2411" s="69">
        <f t="shared" si="66"/>
        <v>20140808</v>
      </c>
      <c r="C2411" s="109">
        <v>2.5000000000000001E-2</v>
      </c>
      <c r="D2411" s="77">
        <v>0</v>
      </c>
      <c r="E2411" s="77">
        <v>4.0000000000000001E-3</v>
      </c>
      <c r="F2411" s="77">
        <v>6.0000000000000001E-3</v>
      </c>
      <c r="G2411" s="78">
        <v>0</v>
      </c>
      <c r="H2411" s="71">
        <v>8</v>
      </c>
      <c r="I2411" s="71">
        <v>10.5</v>
      </c>
      <c r="J2411" s="71">
        <v>12.9</v>
      </c>
      <c r="K2411" s="106">
        <v>6.0999999999999995E-3</v>
      </c>
      <c r="L2411" s="80">
        <v>-1.0999999999999999E-2</v>
      </c>
      <c r="M2411" s="75" t="s">
        <v>143</v>
      </c>
      <c r="N2411" s="75" t="b">
        <v>1</v>
      </c>
      <c r="O2411" s="75" t="s">
        <v>144</v>
      </c>
      <c r="P2411" s="75">
        <v>1994</v>
      </c>
      <c r="Q2411" s="107">
        <f t="shared" si="64"/>
        <v>2014</v>
      </c>
      <c r="R2411" s="107">
        <v>2</v>
      </c>
      <c r="S2411" s="100">
        <v>214094</v>
      </c>
      <c r="T2411" s="101">
        <v>41863</v>
      </c>
    </row>
    <row r="2412" spans="1:20" x14ac:dyDescent="0.3">
      <c r="A2412" s="42">
        <v>41860</v>
      </c>
      <c r="B2412" s="69">
        <f>YEAR(A2412)*10000+MONTH(A2412)*100+DAY(A2412)</f>
        <v>20140809</v>
      </c>
      <c r="C2412" s="109">
        <v>2.5000000000000001E-2</v>
      </c>
      <c r="D2412" s="77">
        <v>0</v>
      </c>
      <c r="E2412" s="77">
        <v>4.0000000000000001E-3</v>
      </c>
      <c r="F2412" s="77">
        <v>6.0000000000000001E-3</v>
      </c>
      <c r="G2412" s="78">
        <v>0</v>
      </c>
      <c r="H2412" s="71">
        <v>8</v>
      </c>
      <c r="I2412" s="71">
        <v>10.5</v>
      </c>
      <c r="J2412" s="71">
        <v>12.9</v>
      </c>
      <c r="K2412" s="106">
        <v>6.0999999999999995E-3</v>
      </c>
      <c r="L2412" s="80">
        <v>-1.0999999999999999E-2</v>
      </c>
      <c r="M2412" s="75" t="s">
        <v>143</v>
      </c>
      <c r="N2412" s="75" t="b">
        <v>1</v>
      </c>
      <c r="O2412" s="75" t="s">
        <v>144</v>
      </c>
      <c r="P2412" s="75">
        <v>1994</v>
      </c>
      <c r="Q2412" s="107">
        <f t="shared" si="64"/>
        <v>2014</v>
      </c>
      <c r="R2412" s="107">
        <v>2</v>
      </c>
      <c r="S2412" s="100">
        <v>214094</v>
      </c>
      <c r="T2412" s="101">
        <v>41863</v>
      </c>
    </row>
    <row r="2413" spans="1:20" x14ac:dyDescent="0.3">
      <c r="A2413" s="42">
        <v>41861</v>
      </c>
      <c r="B2413" s="69">
        <f>YEAR(A2413)*10000+MONTH(A2413)*100+DAY(A2413)</f>
        <v>20140810</v>
      </c>
      <c r="C2413" s="109">
        <v>2.5000000000000001E-2</v>
      </c>
      <c r="D2413" s="77">
        <v>0</v>
      </c>
      <c r="E2413" s="77">
        <v>4.0000000000000001E-3</v>
      </c>
      <c r="F2413" s="77">
        <v>6.0000000000000001E-3</v>
      </c>
      <c r="G2413" s="78">
        <v>0</v>
      </c>
      <c r="H2413" s="71">
        <v>8</v>
      </c>
      <c r="I2413" s="71">
        <v>10.5</v>
      </c>
      <c r="J2413" s="71">
        <v>12.9</v>
      </c>
      <c r="K2413" s="106">
        <v>6.0999999999999995E-3</v>
      </c>
      <c r="L2413" s="80">
        <v>-1.0999999999999999E-2</v>
      </c>
      <c r="M2413" s="75" t="s">
        <v>143</v>
      </c>
      <c r="N2413" s="75" t="b">
        <v>1</v>
      </c>
      <c r="O2413" s="75" t="s">
        <v>144</v>
      </c>
      <c r="P2413" s="75">
        <v>1994</v>
      </c>
      <c r="Q2413" s="107">
        <f t="shared" si="64"/>
        <v>2014</v>
      </c>
      <c r="R2413" s="107">
        <v>2</v>
      </c>
      <c r="S2413" s="100">
        <v>214094</v>
      </c>
      <c r="T2413" s="101">
        <v>41863</v>
      </c>
    </row>
    <row r="2414" spans="1:20" x14ac:dyDescent="0.3">
      <c r="A2414" s="42">
        <v>41862</v>
      </c>
      <c r="B2414" s="69">
        <f t="shared" si="66"/>
        <v>20140811</v>
      </c>
      <c r="C2414" s="109">
        <v>2.5099999999999997E-2</v>
      </c>
      <c r="D2414" s="77">
        <v>0</v>
      </c>
      <c r="E2414" s="77">
        <v>4.0000000000000001E-3</v>
      </c>
      <c r="F2414" s="77">
        <v>6.0000000000000001E-3</v>
      </c>
      <c r="G2414" s="78">
        <v>0</v>
      </c>
      <c r="H2414" s="71">
        <v>8</v>
      </c>
      <c r="I2414" s="71">
        <v>10.5</v>
      </c>
      <c r="J2414" s="71">
        <v>12.9</v>
      </c>
      <c r="K2414" s="106">
        <v>6.3E-3</v>
      </c>
      <c r="L2414" s="80">
        <v>-1.0999999999999999E-2</v>
      </c>
      <c r="M2414" s="75" t="s">
        <v>143</v>
      </c>
      <c r="N2414" s="75" t="b">
        <v>1</v>
      </c>
      <c r="O2414" s="75" t="s">
        <v>144</v>
      </c>
      <c r="P2414" s="75">
        <v>1994</v>
      </c>
      <c r="Q2414" s="107">
        <f t="shared" ref="Q2414:Q2477" si="67">YEAR(A2414)</f>
        <v>2014</v>
      </c>
      <c r="R2414" s="107">
        <v>2</v>
      </c>
      <c r="S2414" s="100">
        <v>214094</v>
      </c>
      <c r="T2414" s="101">
        <v>41863</v>
      </c>
    </row>
    <row r="2415" spans="1:20" x14ac:dyDescent="0.3">
      <c r="A2415" s="42">
        <v>41863</v>
      </c>
      <c r="B2415" s="69">
        <f t="shared" si="66"/>
        <v>20140812</v>
      </c>
      <c r="C2415" s="109">
        <v>2.5399999999999999E-2</v>
      </c>
      <c r="D2415" s="77">
        <v>0</v>
      </c>
      <c r="E2415" s="77">
        <v>4.0000000000000001E-3</v>
      </c>
      <c r="F2415" s="77">
        <v>6.0000000000000001E-3</v>
      </c>
      <c r="G2415" s="78">
        <v>0</v>
      </c>
      <c r="H2415" s="71">
        <v>8</v>
      </c>
      <c r="I2415" s="71">
        <v>10.5</v>
      </c>
      <c r="J2415" s="71">
        <v>12.9</v>
      </c>
      <c r="K2415" s="106">
        <v>6.7000000000000002E-3</v>
      </c>
      <c r="L2415" s="80">
        <v>-1.0999999999999999E-2</v>
      </c>
      <c r="M2415" s="75" t="s">
        <v>143</v>
      </c>
      <c r="N2415" s="75" t="b">
        <v>1</v>
      </c>
      <c r="O2415" s="75" t="s">
        <v>144</v>
      </c>
      <c r="P2415" s="75">
        <v>1994</v>
      </c>
      <c r="Q2415" s="107">
        <f t="shared" si="67"/>
        <v>2014</v>
      </c>
      <c r="R2415" s="107">
        <v>2</v>
      </c>
      <c r="S2415" s="100">
        <v>214094</v>
      </c>
      <c r="T2415" s="101">
        <v>41863</v>
      </c>
    </row>
    <row r="2416" spans="1:20" x14ac:dyDescent="0.3">
      <c r="A2416" s="42">
        <v>41864</v>
      </c>
      <c r="B2416" s="69">
        <f t="shared" si="66"/>
        <v>20140813</v>
      </c>
      <c r="C2416" s="109">
        <v>2.5099999999999997E-2</v>
      </c>
      <c r="D2416" s="77">
        <v>0</v>
      </c>
      <c r="E2416" s="77">
        <v>4.0000000000000001E-3</v>
      </c>
      <c r="F2416" s="77">
        <v>6.0000000000000001E-3</v>
      </c>
      <c r="G2416" s="78">
        <v>0</v>
      </c>
      <c r="H2416" s="71">
        <v>8</v>
      </c>
      <c r="I2416" s="71">
        <v>10.5</v>
      </c>
      <c r="J2416" s="71">
        <v>12.9</v>
      </c>
      <c r="K2416" s="106">
        <v>6.3E-3</v>
      </c>
      <c r="L2416" s="80">
        <v>-1.0999999999999999E-2</v>
      </c>
      <c r="M2416" s="75" t="s">
        <v>143</v>
      </c>
      <c r="N2416" s="75" t="b">
        <v>1</v>
      </c>
      <c r="O2416" s="75" t="s">
        <v>144</v>
      </c>
      <c r="P2416" s="75">
        <v>1994</v>
      </c>
      <c r="Q2416" s="107">
        <f t="shared" si="67"/>
        <v>2014</v>
      </c>
      <c r="R2416" s="107">
        <v>2</v>
      </c>
      <c r="S2416" s="100">
        <v>214094</v>
      </c>
      <c r="T2416" s="101">
        <v>41863</v>
      </c>
    </row>
    <row r="2417" spans="1:20" x14ac:dyDescent="0.3">
      <c r="A2417" s="42">
        <v>41865</v>
      </c>
      <c r="B2417" s="69">
        <f t="shared" si="66"/>
        <v>20140814</v>
      </c>
      <c r="C2417" s="109">
        <v>2.4900000000000002E-2</v>
      </c>
      <c r="D2417" s="77">
        <v>0</v>
      </c>
      <c r="E2417" s="77">
        <v>4.0000000000000001E-3</v>
      </c>
      <c r="F2417" s="77">
        <v>6.0000000000000001E-3</v>
      </c>
      <c r="G2417" s="78">
        <v>0</v>
      </c>
      <c r="H2417" s="71">
        <v>8</v>
      </c>
      <c r="I2417" s="71">
        <v>10.5</v>
      </c>
      <c r="J2417" s="71">
        <v>12.9</v>
      </c>
      <c r="K2417" s="106">
        <v>6.0999999999999995E-3</v>
      </c>
      <c r="L2417" s="80">
        <v>-1.0999999999999999E-2</v>
      </c>
      <c r="M2417" s="75" t="s">
        <v>143</v>
      </c>
      <c r="N2417" s="75" t="b">
        <v>1</v>
      </c>
      <c r="O2417" s="75" t="s">
        <v>144</v>
      </c>
      <c r="P2417" s="75">
        <v>1994</v>
      </c>
      <c r="Q2417" s="107">
        <f t="shared" si="67"/>
        <v>2014</v>
      </c>
      <c r="R2417" s="107">
        <v>2</v>
      </c>
      <c r="S2417" s="100">
        <v>214094</v>
      </c>
      <c r="T2417" s="101">
        <v>41863</v>
      </c>
    </row>
    <row r="2418" spans="1:20" x14ac:dyDescent="0.3">
      <c r="A2418" s="42">
        <v>41866</v>
      </c>
      <c r="B2418" s="69">
        <f t="shared" si="66"/>
        <v>20140815</v>
      </c>
      <c r="C2418" s="109">
        <v>2.46E-2</v>
      </c>
      <c r="D2418" s="77">
        <v>0</v>
      </c>
      <c r="E2418" s="77">
        <v>4.0000000000000001E-3</v>
      </c>
      <c r="F2418" s="77">
        <v>6.0000000000000001E-3</v>
      </c>
      <c r="G2418" s="78">
        <v>0</v>
      </c>
      <c r="H2418" s="71">
        <v>8</v>
      </c>
      <c r="I2418" s="71">
        <v>10.5</v>
      </c>
      <c r="J2418" s="71">
        <v>12.9</v>
      </c>
      <c r="K2418" s="106">
        <v>5.7999999999999996E-3</v>
      </c>
      <c r="L2418" s="80">
        <v>-1.0999999999999999E-2</v>
      </c>
      <c r="M2418" s="75" t="s">
        <v>143</v>
      </c>
      <c r="N2418" s="75" t="b">
        <v>1</v>
      </c>
      <c r="O2418" s="75" t="s">
        <v>144</v>
      </c>
      <c r="P2418" s="75">
        <v>1994</v>
      </c>
      <c r="Q2418" s="107">
        <f t="shared" si="67"/>
        <v>2014</v>
      </c>
      <c r="R2418" s="107">
        <v>2</v>
      </c>
      <c r="S2418" s="100">
        <v>214094</v>
      </c>
      <c r="T2418" s="101">
        <v>41863</v>
      </c>
    </row>
    <row r="2419" spans="1:20" x14ac:dyDescent="0.3">
      <c r="A2419" s="42">
        <v>41867</v>
      </c>
      <c r="B2419" s="69">
        <f>YEAR(A2419)*10000+MONTH(A2419)*100+DAY(A2419)</f>
        <v>20140816</v>
      </c>
      <c r="C2419" s="109">
        <v>2.46E-2</v>
      </c>
      <c r="D2419" s="77">
        <v>0</v>
      </c>
      <c r="E2419" s="77">
        <v>4.0000000000000001E-3</v>
      </c>
      <c r="F2419" s="77">
        <v>6.0000000000000001E-3</v>
      </c>
      <c r="G2419" s="78">
        <v>0</v>
      </c>
      <c r="H2419" s="71">
        <v>8</v>
      </c>
      <c r="I2419" s="71">
        <v>10.5</v>
      </c>
      <c r="J2419" s="71">
        <v>12.9</v>
      </c>
      <c r="K2419" s="106">
        <v>5.7999999999999996E-3</v>
      </c>
      <c r="L2419" s="80">
        <v>-1.0999999999999999E-2</v>
      </c>
      <c r="M2419" s="75" t="s">
        <v>143</v>
      </c>
      <c r="N2419" s="75" t="b">
        <v>1</v>
      </c>
      <c r="O2419" s="75" t="s">
        <v>144</v>
      </c>
      <c r="P2419" s="75">
        <v>1994</v>
      </c>
      <c r="Q2419" s="107">
        <f t="shared" si="67"/>
        <v>2014</v>
      </c>
      <c r="R2419" s="107">
        <v>2</v>
      </c>
      <c r="S2419" s="100">
        <v>214094</v>
      </c>
      <c r="T2419" s="101">
        <v>41863</v>
      </c>
    </row>
    <row r="2420" spans="1:20" x14ac:dyDescent="0.3">
      <c r="A2420" s="42">
        <v>41868</v>
      </c>
      <c r="B2420" s="69">
        <f>YEAR(A2420)*10000+MONTH(A2420)*100+DAY(A2420)</f>
        <v>20140817</v>
      </c>
      <c r="C2420" s="109">
        <v>2.46E-2</v>
      </c>
      <c r="D2420" s="77">
        <v>0</v>
      </c>
      <c r="E2420" s="77">
        <v>4.0000000000000001E-3</v>
      </c>
      <c r="F2420" s="77">
        <v>6.0000000000000001E-3</v>
      </c>
      <c r="G2420" s="78">
        <v>0</v>
      </c>
      <c r="H2420" s="71">
        <v>8</v>
      </c>
      <c r="I2420" s="71">
        <v>10.5</v>
      </c>
      <c r="J2420" s="71">
        <v>12.9</v>
      </c>
      <c r="K2420" s="106">
        <v>5.7999999999999996E-3</v>
      </c>
      <c r="L2420" s="80">
        <v>-1.0999999999999999E-2</v>
      </c>
      <c r="M2420" s="75" t="s">
        <v>143</v>
      </c>
      <c r="N2420" s="75" t="b">
        <v>1</v>
      </c>
      <c r="O2420" s="75" t="s">
        <v>144</v>
      </c>
      <c r="P2420" s="75">
        <v>1994</v>
      </c>
      <c r="Q2420" s="107">
        <f t="shared" si="67"/>
        <v>2014</v>
      </c>
      <c r="R2420" s="107">
        <v>2</v>
      </c>
      <c r="S2420" s="100">
        <v>214094</v>
      </c>
      <c r="T2420" s="101">
        <v>41863</v>
      </c>
    </row>
    <row r="2421" spans="1:20" x14ac:dyDescent="0.3">
      <c r="A2421" s="42">
        <v>41869</v>
      </c>
      <c r="B2421" s="69">
        <f t="shared" si="66"/>
        <v>20140818</v>
      </c>
      <c r="C2421" s="109">
        <v>2.4900000000000002E-2</v>
      </c>
      <c r="D2421" s="77">
        <v>0</v>
      </c>
      <c r="E2421" s="77">
        <v>4.0000000000000001E-3</v>
      </c>
      <c r="F2421" s="77">
        <v>6.0000000000000001E-3</v>
      </c>
      <c r="G2421" s="78">
        <v>0</v>
      </c>
      <c r="H2421" s="71">
        <v>8</v>
      </c>
      <c r="I2421" s="71">
        <v>10.5</v>
      </c>
      <c r="J2421" s="71">
        <v>12.9</v>
      </c>
      <c r="K2421" s="106">
        <v>6.0999999999999995E-3</v>
      </c>
      <c r="L2421" s="80">
        <v>-1.0999999999999999E-2</v>
      </c>
      <c r="M2421" s="75" t="s">
        <v>143</v>
      </c>
      <c r="N2421" s="75" t="b">
        <v>1</v>
      </c>
      <c r="O2421" s="75" t="s">
        <v>144</v>
      </c>
      <c r="P2421" s="75">
        <v>1994</v>
      </c>
      <c r="Q2421" s="107">
        <f t="shared" si="67"/>
        <v>2014</v>
      </c>
      <c r="R2421" s="107">
        <v>2</v>
      </c>
      <c r="S2421" s="100">
        <v>214094</v>
      </c>
      <c r="T2421" s="101">
        <v>41863</v>
      </c>
    </row>
    <row r="2422" spans="1:20" x14ac:dyDescent="0.3">
      <c r="A2422" s="42">
        <v>41870</v>
      </c>
      <c r="B2422" s="69">
        <f t="shared" si="66"/>
        <v>20140819</v>
      </c>
      <c r="C2422" s="109">
        <v>2.5000000000000001E-2</v>
      </c>
      <c r="D2422" s="77">
        <v>0</v>
      </c>
      <c r="E2422" s="77">
        <v>4.0000000000000001E-3</v>
      </c>
      <c r="F2422" s="77">
        <v>6.0000000000000001E-3</v>
      </c>
      <c r="G2422" s="78">
        <v>0</v>
      </c>
      <c r="H2422" s="71">
        <v>8</v>
      </c>
      <c r="I2422" s="71">
        <v>10.5</v>
      </c>
      <c r="J2422" s="71">
        <v>12.9</v>
      </c>
      <c r="K2422" s="106">
        <v>6.4000000000000003E-3</v>
      </c>
      <c r="L2422" s="80">
        <v>-1.0999999999999999E-2</v>
      </c>
      <c r="M2422" s="75" t="s">
        <v>143</v>
      </c>
      <c r="N2422" s="75" t="b">
        <v>1</v>
      </c>
      <c r="O2422" s="75" t="s">
        <v>144</v>
      </c>
      <c r="P2422" s="75">
        <v>1994</v>
      </c>
      <c r="Q2422" s="107">
        <f t="shared" si="67"/>
        <v>2014</v>
      </c>
      <c r="R2422" s="107">
        <v>2</v>
      </c>
      <c r="S2422" s="100">
        <v>214094</v>
      </c>
      <c r="T2422" s="101">
        <v>41863</v>
      </c>
    </row>
    <row r="2423" spans="1:20" x14ac:dyDescent="0.3">
      <c r="A2423" s="42">
        <v>41871</v>
      </c>
      <c r="B2423" s="69">
        <f t="shared" si="66"/>
        <v>20140820</v>
      </c>
      <c r="C2423" s="109">
        <v>2.53E-2</v>
      </c>
      <c r="D2423" s="77">
        <v>0</v>
      </c>
      <c r="E2423" s="77">
        <v>4.0000000000000001E-3</v>
      </c>
      <c r="F2423" s="77">
        <v>6.0000000000000001E-3</v>
      </c>
      <c r="G2423" s="78">
        <v>0</v>
      </c>
      <c r="H2423" s="71">
        <v>8</v>
      </c>
      <c r="I2423" s="71">
        <v>10.5</v>
      </c>
      <c r="J2423" s="71">
        <v>12.9</v>
      </c>
      <c r="K2423" s="106">
        <v>6.6E-3</v>
      </c>
      <c r="L2423" s="80">
        <v>-1.0999999999999999E-2</v>
      </c>
      <c r="M2423" s="75" t="s">
        <v>143</v>
      </c>
      <c r="N2423" s="75" t="b">
        <v>1</v>
      </c>
      <c r="O2423" s="75" t="s">
        <v>144</v>
      </c>
      <c r="P2423" s="75">
        <v>1994</v>
      </c>
      <c r="Q2423" s="107">
        <f t="shared" si="67"/>
        <v>2014</v>
      </c>
      <c r="R2423" s="107">
        <v>2</v>
      </c>
      <c r="S2423" s="100">
        <v>214094</v>
      </c>
      <c r="T2423" s="101">
        <v>41863</v>
      </c>
    </row>
    <row r="2424" spans="1:20" x14ac:dyDescent="0.3">
      <c r="A2424" s="42">
        <v>41872</v>
      </c>
      <c r="B2424" s="69">
        <f t="shared" si="66"/>
        <v>20140821</v>
      </c>
      <c r="C2424" s="109">
        <v>2.5099999999999997E-2</v>
      </c>
      <c r="D2424" s="77">
        <v>0</v>
      </c>
      <c r="E2424" s="77">
        <v>4.0000000000000001E-3</v>
      </c>
      <c r="F2424" s="77">
        <v>6.0000000000000001E-3</v>
      </c>
      <c r="G2424" s="78">
        <v>0</v>
      </c>
      <c r="H2424" s="71">
        <v>8</v>
      </c>
      <c r="I2424" s="71">
        <v>10.5</v>
      </c>
      <c r="J2424" s="71">
        <v>12.9</v>
      </c>
      <c r="K2424" s="106">
        <v>6.5000000000000006E-3</v>
      </c>
      <c r="L2424" s="80">
        <v>-1.0999999999999999E-2</v>
      </c>
      <c r="M2424" s="75" t="s">
        <v>143</v>
      </c>
      <c r="N2424" s="75" t="b">
        <v>1</v>
      </c>
      <c r="O2424" s="75" t="s">
        <v>144</v>
      </c>
      <c r="P2424" s="75">
        <v>1994</v>
      </c>
      <c r="Q2424" s="107">
        <f t="shared" si="67"/>
        <v>2014</v>
      </c>
      <c r="R2424" s="107">
        <v>2</v>
      </c>
      <c r="S2424" s="100">
        <v>214094</v>
      </c>
      <c r="T2424" s="101">
        <v>41863</v>
      </c>
    </row>
    <row r="2425" spans="1:20" x14ac:dyDescent="0.3">
      <c r="A2425" s="42">
        <v>41873</v>
      </c>
      <c r="B2425" s="69">
        <f t="shared" si="66"/>
        <v>20140822</v>
      </c>
      <c r="C2425" s="109">
        <v>2.5000000000000001E-2</v>
      </c>
      <c r="D2425" s="77">
        <v>0</v>
      </c>
      <c r="E2425" s="77">
        <v>4.0000000000000001E-3</v>
      </c>
      <c r="F2425" s="77">
        <v>6.0000000000000001E-3</v>
      </c>
      <c r="G2425" s="78">
        <v>0</v>
      </c>
      <c r="H2425" s="71">
        <v>8</v>
      </c>
      <c r="I2425" s="71">
        <v>10.5</v>
      </c>
      <c r="J2425" s="71">
        <v>12.9</v>
      </c>
      <c r="K2425" s="106">
        <v>6.6E-3</v>
      </c>
      <c r="L2425" s="80">
        <v>-1.0999999999999999E-2</v>
      </c>
      <c r="M2425" s="75" t="s">
        <v>143</v>
      </c>
      <c r="N2425" s="75" t="b">
        <v>1</v>
      </c>
      <c r="O2425" s="75" t="s">
        <v>144</v>
      </c>
      <c r="P2425" s="75">
        <v>1994</v>
      </c>
      <c r="Q2425" s="107">
        <f t="shared" si="67"/>
        <v>2014</v>
      </c>
      <c r="R2425" s="107">
        <v>2</v>
      </c>
      <c r="S2425" s="100">
        <v>214094</v>
      </c>
      <c r="T2425" s="101">
        <v>41863</v>
      </c>
    </row>
    <row r="2426" spans="1:20" x14ac:dyDescent="0.3">
      <c r="A2426" s="42">
        <v>41874</v>
      </c>
      <c r="B2426" s="69">
        <f>YEAR(A2426)*10000+MONTH(A2426)*100+DAY(A2426)</f>
        <v>20140823</v>
      </c>
      <c r="C2426" s="109">
        <v>2.5000000000000001E-2</v>
      </c>
      <c r="D2426" s="77">
        <v>0</v>
      </c>
      <c r="E2426" s="77">
        <v>4.0000000000000001E-3</v>
      </c>
      <c r="F2426" s="77">
        <v>6.0000000000000001E-3</v>
      </c>
      <c r="G2426" s="78">
        <v>0</v>
      </c>
      <c r="H2426" s="71">
        <v>8</v>
      </c>
      <c r="I2426" s="71">
        <v>10.5</v>
      </c>
      <c r="J2426" s="71">
        <v>12.9</v>
      </c>
      <c r="K2426" s="106">
        <v>6.6E-3</v>
      </c>
      <c r="L2426" s="80">
        <v>-1.0999999999999999E-2</v>
      </c>
      <c r="M2426" s="75" t="s">
        <v>143</v>
      </c>
      <c r="N2426" s="75" t="b">
        <v>1</v>
      </c>
      <c r="O2426" s="75" t="s">
        <v>144</v>
      </c>
      <c r="P2426" s="75">
        <v>1994</v>
      </c>
      <c r="Q2426" s="107">
        <f t="shared" si="67"/>
        <v>2014</v>
      </c>
      <c r="R2426" s="107">
        <v>2</v>
      </c>
      <c r="S2426" s="100">
        <v>214094</v>
      </c>
      <c r="T2426" s="101">
        <v>41863</v>
      </c>
    </row>
    <row r="2427" spans="1:20" x14ac:dyDescent="0.3">
      <c r="A2427" s="42">
        <v>41875</v>
      </c>
      <c r="B2427" s="69">
        <f>YEAR(A2427)*10000+MONTH(A2427)*100+DAY(A2427)</f>
        <v>20140824</v>
      </c>
      <c r="C2427" s="109">
        <v>2.5000000000000001E-2</v>
      </c>
      <c r="D2427" s="77">
        <v>0</v>
      </c>
      <c r="E2427" s="77">
        <v>4.0000000000000001E-3</v>
      </c>
      <c r="F2427" s="77">
        <v>6.0000000000000001E-3</v>
      </c>
      <c r="G2427" s="78">
        <v>0</v>
      </c>
      <c r="H2427" s="71">
        <v>8</v>
      </c>
      <c r="I2427" s="71">
        <v>10.5</v>
      </c>
      <c r="J2427" s="71">
        <v>12.9</v>
      </c>
      <c r="K2427" s="106">
        <v>6.6E-3</v>
      </c>
      <c r="L2427" s="80">
        <v>-1.0999999999999999E-2</v>
      </c>
      <c r="M2427" s="75" t="s">
        <v>143</v>
      </c>
      <c r="N2427" s="75" t="b">
        <v>1</v>
      </c>
      <c r="O2427" s="75" t="s">
        <v>144</v>
      </c>
      <c r="P2427" s="75">
        <v>1994</v>
      </c>
      <c r="Q2427" s="107">
        <f t="shared" si="67"/>
        <v>2014</v>
      </c>
      <c r="R2427" s="107">
        <v>2</v>
      </c>
      <c r="S2427" s="100">
        <v>214094</v>
      </c>
      <c r="T2427" s="101">
        <v>41863</v>
      </c>
    </row>
    <row r="2428" spans="1:20" x14ac:dyDescent="0.3">
      <c r="A2428" s="42">
        <v>41876</v>
      </c>
      <c r="B2428" s="69">
        <f t="shared" si="66"/>
        <v>20140825</v>
      </c>
      <c r="C2428" s="109">
        <v>2.4700000000000003E-2</v>
      </c>
      <c r="D2428" s="77">
        <v>0</v>
      </c>
      <c r="E2428" s="77">
        <v>4.0000000000000001E-3</v>
      </c>
      <c r="F2428" s="77">
        <v>6.0000000000000001E-3</v>
      </c>
      <c r="G2428" s="78">
        <v>0</v>
      </c>
      <c r="H2428" s="71">
        <v>8</v>
      </c>
      <c r="I2428" s="71">
        <v>10.5</v>
      </c>
      <c r="J2428" s="71">
        <v>12.9</v>
      </c>
      <c r="K2428" s="106">
        <v>6.3E-3</v>
      </c>
      <c r="L2428" s="80">
        <v>-1.0999999999999999E-2</v>
      </c>
      <c r="M2428" s="75" t="s">
        <v>143</v>
      </c>
      <c r="N2428" s="75" t="b">
        <v>1</v>
      </c>
      <c r="O2428" s="75" t="s">
        <v>144</v>
      </c>
      <c r="P2428" s="75">
        <v>1994</v>
      </c>
      <c r="Q2428" s="107">
        <f t="shared" si="67"/>
        <v>2014</v>
      </c>
      <c r="R2428" s="107">
        <v>2</v>
      </c>
      <c r="S2428" s="100">
        <v>214094</v>
      </c>
      <c r="T2428" s="101">
        <v>41863</v>
      </c>
    </row>
    <row r="2429" spans="1:20" x14ac:dyDescent="0.3">
      <c r="A2429" s="42">
        <v>41877</v>
      </c>
      <c r="B2429" s="69">
        <f t="shared" si="66"/>
        <v>20140826</v>
      </c>
      <c r="C2429" s="109">
        <v>2.4700000000000003E-2</v>
      </c>
      <c r="D2429" s="77">
        <v>0</v>
      </c>
      <c r="E2429" s="77">
        <v>4.0000000000000001E-3</v>
      </c>
      <c r="F2429" s="77">
        <v>6.0000000000000001E-3</v>
      </c>
      <c r="G2429" s="78">
        <v>0</v>
      </c>
      <c r="H2429" s="71">
        <v>8</v>
      </c>
      <c r="I2429" s="71">
        <v>10.5</v>
      </c>
      <c r="J2429" s="71">
        <v>12.9</v>
      </c>
      <c r="K2429" s="106">
        <v>6.3E-3</v>
      </c>
      <c r="L2429" s="80">
        <v>-1.0999999999999999E-2</v>
      </c>
      <c r="M2429" s="75" t="s">
        <v>143</v>
      </c>
      <c r="N2429" s="75" t="b">
        <v>1</v>
      </c>
      <c r="O2429" s="75" t="s">
        <v>144</v>
      </c>
      <c r="P2429" s="75">
        <v>1994</v>
      </c>
      <c r="Q2429" s="107">
        <f t="shared" si="67"/>
        <v>2014</v>
      </c>
      <c r="R2429" s="107">
        <v>2</v>
      </c>
      <c r="S2429" s="100">
        <v>214094</v>
      </c>
      <c r="T2429" s="101">
        <v>41863</v>
      </c>
    </row>
    <row r="2430" spans="1:20" x14ac:dyDescent="0.3">
      <c r="A2430" s="42">
        <v>41878</v>
      </c>
      <c r="B2430" s="69">
        <f t="shared" si="66"/>
        <v>20140827</v>
      </c>
      <c r="C2430" s="109">
        <v>2.4399999999999998E-2</v>
      </c>
      <c r="D2430" s="77">
        <v>0</v>
      </c>
      <c r="E2430" s="77">
        <v>4.0000000000000001E-3</v>
      </c>
      <c r="F2430" s="77">
        <v>6.0000000000000001E-3</v>
      </c>
      <c r="G2430" s="78">
        <v>0</v>
      </c>
      <c r="H2430" s="71">
        <v>8</v>
      </c>
      <c r="I2430" s="71">
        <v>10.5</v>
      </c>
      <c r="J2430" s="71">
        <v>12.9</v>
      </c>
      <c r="K2430" s="106">
        <v>6.0000000000000001E-3</v>
      </c>
      <c r="L2430" s="80">
        <v>-1.0999999999999999E-2</v>
      </c>
      <c r="M2430" s="75" t="s">
        <v>143</v>
      </c>
      <c r="N2430" s="75" t="b">
        <v>1</v>
      </c>
      <c r="O2430" s="75" t="s">
        <v>144</v>
      </c>
      <c r="P2430" s="75">
        <v>1994</v>
      </c>
      <c r="Q2430" s="107">
        <f t="shared" si="67"/>
        <v>2014</v>
      </c>
      <c r="R2430" s="107">
        <v>2</v>
      </c>
      <c r="S2430" s="100">
        <v>214094</v>
      </c>
      <c r="T2430" s="101">
        <v>41863</v>
      </c>
    </row>
    <row r="2431" spans="1:20" x14ac:dyDescent="0.3">
      <c r="A2431" s="42">
        <v>41879</v>
      </c>
      <c r="B2431" s="69">
        <f t="shared" si="66"/>
        <v>20140828</v>
      </c>
      <c r="C2431" s="109">
        <v>2.4300000000000002E-2</v>
      </c>
      <c r="D2431" s="77">
        <v>0</v>
      </c>
      <c r="E2431" s="77">
        <v>4.0000000000000001E-3</v>
      </c>
      <c r="F2431" s="77">
        <v>6.0000000000000001E-3</v>
      </c>
      <c r="G2431" s="78">
        <v>0</v>
      </c>
      <c r="H2431" s="71">
        <v>8</v>
      </c>
      <c r="I2431" s="71">
        <v>10.5</v>
      </c>
      <c r="J2431" s="71">
        <v>12.9</v>
      </c>
      <c r="K2431" s="106">
        <v>5.8999999999999999E-3</v>
      </c>
      <c r="L2431" s="80">
        <v>-1.0999999999999999E-2</v>
      </c>
      <c r="M2431" s="75" t="s">
        <v>143</v>
      </c>
      <c r="N2431" s="75" t="b">
        <v>1</v>
      </c>
      <c r="O2431" s="75" t="s">
        <v>144</v>
      </c>
      <c r="P2431" s="75">
        <v>1994</v>
      </c>
      <c r="Q2431" s="107">
        <f t="shared" si="67"/>
        <v>2014</v>
      </c>
      <c r="R2431" s="107">
        <v>2</v>
      </c>
      <c r="S2431" s="100">
        <v>214094</v>
      </c>
      <c r="T2431" s="101">
        <v>41863</v>
      </c>
    </row>
    <row r="2432" spans="1:20" x14ac:dyDescent="0.3">
      <c r="A2432" s="42">
        <v>41880</v>
      </c>
      <c r="B2432" s="69">
        <f>YEAR(A2432)*10000+MONTH(A2432)*100+DAY(A2432)</f>
        <v>20140829</v>
      </c>
      <c r="C2432" s="109">
        <v>2.4299999999999999E-2</v>
      </c>
      <c r="D2432" s="77">
        <v>0</v>
      </c>
      <c r="E2432" s="77">
        <v>4.0000000000000001E-3</v>
      </c>
      <c r="F2432" s="77">
        <v>6.0000000000000001E-3</v>
      </c>
      <c r="G2432" s="78">
        <v>0</v>
      </c>
      <c r="H2432" s="71">
        <v>8</v>
      </c>
      <c r="I2432" s="71">
        <v>10.5</v>
      </c>
      <c r="J2432" s="71">
        <v>12.9</v>
      </c>
      <c r="K2432" s="106">
        <v>5.8999999999999999E-3</v>
      </c>
      <c r="L2432" s="80">
        <v>-1.0999999999999999E-2</v>
      </c>
      <c r="M2432" s="75" t="s">
        <v>143</v>
      </c>
      <c r="N2432" s="75" t="b">
        <v>1</v>
      </c>
      <c r="O2432" s="75" t="s">
        <v>144</v>
      </c>
      <c r="P2432" s="75">
        <v>1994</v>
      </c>
      <c r="Q2432" s="107">
        <f t="shared" si="67"/>
        <v>2014</v>
      </c>
      <c r="R2432" s="107">
        <v>2</v>
      </c>
      <c r="S2432" s="100">
        <v>214094</v>
      </c>
      <c r="T2432" s="101">
        <v>41863</v>
      </c>
    </row>
    <row r="2433" spans="1:20" x14ac:dyDescent="0.3">
      <c r="A2433" s="42">
        <v>41881</v>
      </c>
      <c r="B2433" s="69">
        <f>YEAR(A2433)*10000+MONTH(A2433)*100+DAY(A2433)</f>
        <v>20140830</v>
      </c>
      <c r="C2433" s="109">
        <v>2.4299999999999999E-2</v>
      </c>
      <c r="D2433" s="77">
        <v>0</v>
      </c>
      <c r="E2433" s="77">
        <v>4.0000000000000001E-3</v>
      </c>
      <c r="F2433" s="77">
        <v>6.0000000000000001E-3</v>
      </c>
      <c r="G2433" s="78">
        <v>0</v>
      </c>
      <c r="H2433" s="71">
        <v>8</v>
      </c>
      <c r="I2433" s="71">
        <v>10.5</v>
      </c>
      <c r="J2433" s="71">
        <v>12.9</v>
      </c>
      <c r="K2433" s="106">
        <v>5.8999999999999999E-3</v>
      </c>
      <c r="L2433" s="80">
        <v>-1.0999999999999999E-2</v>
      </c>
      <c r="M2433" s="75" t="s">
        <v>143</v>
      </c>
      <c r="N2433" s="75" t="b">
        <v>1</v>
      </c>
      <c r="O2433" s="75" t="s">
        <v>144</v>
      </c>
      <c r="P2433" s="75">
        <v>1994</v>
      </c>
      <c r="Q2433" s="107">
        <f t="shared" si="67"/>
        <v>2014</v>
      </c>
      <c r="R2433" s="107">
        <v>2</v>
      </c>
      <c r="S2433" s="100">
        <v>214094</v>
      </c>
      <c r="T2433" s="101">
        <v>41863</v>
      </c>
    </row>
    <row r="2434" spans="1:20" x14ac:dyDescent="0.3">
      <c r="A2434" s="42">
        <v>41882</v>
      </c>
      <c r="B2434" s="69">
        <f>YEAR(A2434)*10000+MONTH(A2434)*100+DAY(A2434)</f>
        <v>20140831</v>
      </c>
      <c r="C2434" s="109">
        <v>2.4299999999999999E-2</v>
      </c>
      <c r="D2434" s="77">
        <v>0</v>
      </c>
      <c r="E2434" s="77">
        <v>4.0000000000000001E-3</v>
      </c>
      <c r="F2434" s="77">
        <v>6.0000000000000001E-3</v>
      </c>
      <c r="G2434" s="78">
        <v>0</v>
      </c>
      <c r="H2434" s="71">
        <v>8</v>
      </c>
      <c r="I2434" s="71">
        <v>10.5</v>
      </c>
      <c r="J2434" s="71">
        <v>12.9</v>
      </c>
      <c r="K2434" s="106">
        <v>5.8999999999999999E-3</v>
      </c>
      <c r="L2434" s="80">
        <v>-1.0999999999999999E-2</v>
      </c>
      <c r="M2434" s="75" t="s">
        <v>143</v>
      </c>
      <c r="N2434" s="75" t="b">
        <v>1</v>
      </c>
      <c r="O2434" s="75" t="s">
        <v>144</v>
      </c>
      <c r="P2434" s="75">
        <v>1994</v>
      </c>
      <c r="Q2434" s="107">
        <f t="shared" si="67"/>
        <v>2014</v>
      </c>
      <c r="R2434" s="107">
        <v>2</v>
      </c>
      <c r="S2434" s="100">
        <v>214094</v>
      </c>
      <c r="T2434" s="101">
        <v>41863</v>
      </c>
    </row>
    <row r="2435" spans="1:20" x14ac:dyDescent="0.3">
      <c r="A2435" s="42">
        <v>41883</v>
      </c>
      <c r="B2435" s="69">
        <f t="shared" ref="B2435:B2494" si="68">YEAR(A2435)*10000+MONTH(A2435)*100+DAY(A2435)</f>
        <v>20140901</v>
      </c>
      <c r="C2435" s="109">
        <v>2.4299999999999999E-2</v>
      </c>
      <c r="D2435" s="77">
        <v>0</v>
      </c>
      <c r="E2435" s="77">
        <v>4.0000000000000001E-3</v>
      </c>
      <c r="F2435" s="77">
        <v>6.0000000000000001E-3</v>
      </c>
      <c r="G2435" s="78">
        <v>0</v>
      </c>
      <c r="H2435" s="71">
        <v>8</v>
      </c>
      <c r="I2435" s="71">
        <v>10.5</v>
      </c>
      <c r="J2435" s="71">
        <v>12.9</v>
      </c>
      <c r="K2435" s="106">
        <v>5.8999999999999999E-3</v>
      </c>
      <c r="L2435" s="80">
        <v>-1.0999999999999999E-2</v>
      </c>
      <c r="M2435" s="75" t="s">
        <v>143</v>
      </c>
      <c r="N2435" s="75" t="b">
        <v>1</v>
      </c>
      <c r="O2435" s="75" t="s">
        <v>144</v>
      </c>
      <c r="P2435" s="75">
        <v>1994</v>
      </c>
      <c r="Q2435" s="107">
        <f t="shared" si="67"/>
        <v>2014</v>
      </c>
      <c r="R2435" s="107">
        <v>2</v>
      </c>
      <c r="S2435" s="100">
        <v>214094</v>
      </c>
      <c r="T2435" s="101">
        <v>41863</v>
      </c>
    </row>
    <row r="2436" spans="1:20" x14ac:dyDescent="0.3">
      <c r="A2436" s="42">
        <v>41884</v>
      </c>
      <c r="B2436" s="69">
        <f t="shared" si="68"/>
        <v>20140902</v>
      </c>
      <c r="C2436" s="109">
        <v>2.5099999999999997E-2</v>
      </c>
      <c r="D2436" s="77">
        <v>0</v>
      </c>
      <c r="E2436" s="77">
        <v>4.0000000000000001E-3</v>
      </c>
      <c r="F2436" s="77">
        <v>6.0000000000000001E-3</v>
      </c>
      <c r="G2436" s="78">
        <v>0</v>
      </c>
      <c r="H2436" s="71">
        <v>8</v>
      </c>
      <c r="I2436" s="71">
        <v>10.5</v>
      </c>
      <c r="J2436" s="71">
        <v>12.9</v>
      </c>
      <c r="K2436" s="106">
        <v>6.5000000000000006E-3</v>
      </c>
      <c r="L2436" s="80">
        <v>-1.0999999999999999E-2</v>
      </c>
      <c r="M2436" s="75" t="s">
        <v>143</v>
      </c>
      <c r="N2436" s="75" t="b">
        <v>1</v>
      </c>
      <c r="O2436" s="75" t="s">
        <v>144</v>
      </c>
      <c r="P2436" s="75">
        <v>1994</v>
      </c>
      <c r="Q2436" s="107">
        <f t="shared" si="67"/>
        <v>2014</v>
      </c>
      <c r="R2436" s="107">
        <v>2</v>
      </c>
      <c r="S2436" s="100">
        <v>214094</v>
      </c>
      <c r="T2436" s="101">
        <v>41863</v>
      </c>
    </row>
    <row r="2437" spans="1:20" x14ac:dyDescent="0.3">
      <c r="A2437" s="42">
        <v>41885</v>
      </c>
      <c r="B2437" s="69">
        <f t="shared" si="68"/>
        <v>20140903</v>
      </c>
      <c r="C2437" s="109">
        <v>2.5099999999999997E-2</v>
      </c>
      <c r="D2437" s="77">
        <v>0</v>
      </c>
      <c r="E2437" s="77">
        <v>4.0000000000000001E-3</v>
      </c>
      <c r="F2437" s="77">
        <v>6.0000000000000001E-3</v>
      </c>
      <c r="G2437" s="78">
        <v>0</v>
      </c>
      <c r="H2437" s="71">
        <v>8</v>
      </c>
      <c r="I2437" s="71">
        <v>10.5</v>
      </c>
      <c r="J2437" s="71">
        <v>12.9</v>
      </c>
      <c r="K2437" s="106">
        <v>6.5000000000000006E-3</v>
      </c>
      <c r="L2437" s="80">
        <v>-1.0999999999999999E-2</v>
      </c>
      <c r="M2437" s="75" t="s">
        <v>143</v>
      </c>
      <c r="N2437" s="75" t="b">
        <v>1</v>
      </c>
      <c r="O2437" s="75" t="s">
        <v>144</v>
      </c>
      <c r="P2437" s="75">
        <v>1994</v>
      </c>
      <c r="Q2437" s="107">
        <f t="shared" si="67"/>
        <v>2014</v>
      </c>
      <c r="R2437" s="107">
        <v>2</v>
      </c>
      <c r="S2437" s="100">
        <v>214094</v>
      </c>
      <c r="T2437" s="101">
        <v>41863</v>
      </c>
    </row>
    <row r="2438" spans="1:20" x14ac:dyDescent="0.3">
      <c r="A2438" s="42">
        <v>41886</v>
      </c>
      <c r="B2438" s="69">
        <f t="shared" si="68"/>
        <v>20140904</v>
      </c>
      <c r="C2438" s="109">
        <v>2.5399999999999999E-2</v>
      </c>
      <c r="D2438" s="77">
        <v>0</v>
      </c>
      <c r="E2438" s="77">
        <v>4.0000000000000001E-3</v>
      </c>
      <c r="F2438" s="77">
        <v>6.0000000000000001E-3</v>
      </c>
      <c r="G2438" s="78">
        <v>0</v>
      </c>
      <c r="H2438" s="71">
        <v>8</v>
      </c>
      <c r="I2438" s="71">
        <v>10.5</v>
      </c>
      <c r="J2438" s="71">
        <v>12.9</v>
      </c>
      <c r="K2438" s="106">
        <v>6.6E-3</v>
      </c>
      <c r="L2438" s="80">
        <v>-1.0999999999999999E-2</v>
      </c>
      <c r="M2438" s="75" t="s">
        <v>143</v>
      </c>
      <c r="N2438" s="75" t="b">
        <v>1</v>
      </c>
      <c r="O2438" s="75" t="s">
        <v>144</v>
      </c>
      <c r="P2438" s="75">
        <v>1994</v>
      </c>
      <c r="Q2438" s="107">
        <f t="shared" si="67"/>
        <v>2014</v>
      </c>
      <c r="R2438" s="107">
        <v>2</v>
      </c>
      <c r="S2438" s="100">
        <v>214094</v>
      </c>
      <c r="T2438" s="101">
        <v>41863</v>
      </c>
    </row>
    <row r="2439" spans="1:20" x14ac:dyDescent="0.3">
      <c r="A2439" s="42">
        <v>41887</v>
      </c>
      <c r="B2439" s="69">
        <f t="shared" si="68"/>
        <v>20140905</v>
      </c>
      <c r="C2439" s="109">
        <v>2.5399999999999999E-2</v>
      </c>
      <c r="D2439" s="77">
        <v>0</v>
      </c>
      <c r="E2439" s="77">
        <v>4.0000000000000001E-3</v>
      </c>
      <c r="F2439" s="77">
        <v>6.0000000000000001E-3</v>
      </c>
      <c r="G2439" s="78">
        <v>0</v>
      </c>
      <c r="H2439" s="71">
        <v>8</v>
      </c>
      <c r="I2439" s="71">
        <v>10.5</v>
      </c>
      <c r="J2439" s="71">
        <v>12.9</v>
      </c>
      <c r="K2439" s="106">
        <v>6.6E-3</v>
      </c>
      <c r="L2439" s="80">
        <v>-1.0999999999999999E-2</v>
      </c>
      <c r="M2439" s="75" t="s">
        <v>143</v>
      </c>
      <c r="N2439" s="75" t="b">
        <v>1</v>
      </c>
      <c r="O2439" s="75" t="s">
        <v>144</v>
      </c>
      <c r="P2439" s="75">
        <v>1994</v>
      </c>
      <c r="Q2439" s="107">
        <f t="shared" si="67"/>
        <v>2014</v>
      </c>
      <c r="R2439" s="107">
        <v>2</v>
      </c>
      <c r="S2439" s="100">
        <v>214094</v>
      </c>
      <c r="T2439" s="101">
        <v>41863</v>
      </c>
    </row>
    <row r="2440" spans="1:20" x14ac:dyDescent="0.3">
      <c r="A2440" s="42">
        <v>41888</v>
      </c>
      <c r="B2440" s="69">
        <f t="shared" si="68"/>
        <v>20140906</v>
      </c>
      <c r="C2440" s="109">
        <v>2.5399999999999999E-2</v>
      </c>
      <c r="D2440" s="77">
        <v>0</v>
      </c>
      <c r="E2440" s="77">
        <v>4.0000000000000001E-3</v>
      </c>
      <c r="F2440" s="77">
        <v>6.0000000000000001E-3</v>
      </c>
      <c r="G2440" s="78">
        <v>0</v>
      </c>
      <c r="H2440" s="71">
        <v>8</v>
      </c>
      <c r="I2440" s="71">
        <v>10.5</v>
      </c>
      <c r="J2440" s="71">
        <v>12.9</v>
      </c>
      <c r="K2440" s="106">
        <v>6.6E-3</v>
      </c>
      <c r="L2440" s="80">
        <v>-1.0999999999999999E-2</v>
      </c>
      <c r="M2440" s="75" t="s">
        <v>143</v>
      </c>
      <c r="N2440" s="75" t="b">
        <v>1</v>
      </c>
      <c r="O2440" s="75" t="s">
        <v>144</v>
      </c>
      <c r="P2440" s="75">
        <v>1994</v>
      </c>
      <c r="Q2440" s="107">
        <f t="shared" si="67"/>
        <v>2014</v>
      </c>
      <c r="R2440" s="107">
        <v>2</v>
      </c>
      <c r="S2440" s="100">
        <v>214094</v>
      </c>
      <c r="T2440" s="101">
        <v>41863</v>
      </c>
    </row>
    <row r="2441" spans="1:20" x14ac:dyDescent="0.3">
      <c r="A2441" s="42">
        <v>41889</v>
      </c>
      <c r="B2441" s="69">
        <f t="shared" si="68"/>
        <v>20140907</v>
      </c>
      <c r="C2441" s="109">
        <v>2.5399999999999999E-2</v>
      </c>
      <c r="D2441" s="77">
        <v>0</v>
      </c>
      <c r="E2441" s="77">
        <v>4.0000000000000001E-3</v>
      </c>
      <c r="F2441" s="77">
        <v>6.0000000000000001E-3</v>
      </c>
      <c r="G2441" s="78">
        <v>0</v>
      </c>
      <c r="H2441" s="71">
        <v>8</v>
      </c>
      <c r="I2441" s="71">
        <v>10.5</v>
      </c>
      <c r="J2441" s="71">
        <v>12.9</v>
      </c>
      <c r="K2441" s="106">
        <v>6.6E-3</v>
      </c>
      <c r="L2441" s="80">
        <v>-1.0999999999999999E-2</v>
      </c>
      <c r="M2441" s="75" t="s">
        <v>143</v>
      </c>
      <c r="N2441" s="75" t="b">
        <v>1</v>
      </c>
      <c r="O2441" s="75" t="s">
        <v>144</v>
      </c>
      <c r="P2441" s="75">
        <v>1994</v>
      </c>
      <c r="Q2441" s="107">
        <f t="shared" si="67"/>
        <v>2014</v>
      </c>
      <c r="R2441" s="107">
        <v>2</v>
      </c>
      <c r="S2441" s="100">
        <v>214094</v>
      </c>
      <c r="T2441" s="101">
        <v>41863</v>
      </c>
    </row>
    <row r="2442" spans="1:20" x14ac:dyDescent="0.3">
      <c r="A2442" s="42">
        <v>41890</v>
      </c>
      <c r="B2442" s="69">
        <f t="shared" si="68"/>
        <v>20140908</v>
      </c>
      <c r="C2442" s="109">
        <v>2.5600000000000001E-2</v>
      </c>
      <c r="D2442" s="77">
        <v>0</v>
      </c>
      <c r="E2442" s="77">
        <v>4.0000000000000001E-3</v>
      </c>
      <c r="F2442" s="77">
        <v>6.0000000000000001E-3</v>
      </c>
      <c r="G2442" s="78">
        <v>0</v>
      </c>
      <c r="H2442" s="71">
        <v>8</v>
      </c>
      <c r="I2442" s="71">
        <v>10.5</v>
      </c>
      <c r="J2442" s="71">
        <v>12.9</v>
      </c>
      <c r="K2442" s="106">
        <v>6.8000000000000005E-3</v>
      </c>
      <c r="L2442" s="80">
        <v>-1.0999999999999999E-2</v>
      </c>
      <c r="M2442" s="75" t="s">
        <v>143</v>
      </c>
      <c r="N2442" s="75" t="b">
        <v>1</v>
      </c>
      <c r="O2442" s="75" t="s">
        <v>144</v>
      </c>
      <c r="P2442" s="75">
        <v>1994</v>
      </c>
      <c r="Q2442" s="107">
        <f t="shared" si="67"/>
        <v>2014</v>
      </c>
      <c r="R2442" s="107">
        <v>2</v>
      </c>
      <c r="S2442" s="100">
        <v>214094</v>
      </c>
      <c r="T2442" s="101">
        <v>41863</v>
      </c>
    </row>
    <row r="2443" spans="1:20" x14ac:dyDescent="0.3">
      <c r="A2443" s="42">
        <v>41891</v>
      </c>
      <c r="B2443" s="69">
        <f t="shared" si="68"/>
        <v>20140909</v>
      </c>
      <c r="C2443" s="109">
        <v>2.58E-2</v>
      </c>
      <c r="D2443" s="77">
        <v>0</v>
      </c>
      <c r="E2443" s="77">
        <v>4.0000000000000001E-3</v>
      </c>
      <c r="F2443" s="77">
        <v>6.0000000000000001E-3</v>
      </c>
      <c r="G2443" s="78">
        <v>0</v>
      </c>
      <c r="H2443" s="71">
        <v>8</v>
      </c>
      <c r="I2443" s="71">
        <v>10.5</v>
      </c>
      <c r="J2443" s="71">
        <v>12.9</v>
      </c>
      <c r="K2443" s="106">
        <v>6.9999999999999993E-3</v>
      </c>
      <c r="L2443" s="80">
        <v>-1.0999999999999999E-2</v>
      </c>
      <c r="M2443" s="75" t="s">
        <v>143</v>
      </c>
      <c r="N2443" s="75" t="b">
        <v>1</v>
      </c>
      <c r="O2443" s="75" t="s">
        <v>144</v>
      </c>
      <c r="P2443" s="75">
        <v>1994</v>
      </c>
      <c r="Q2443" s="107">
        <f t="shared" si="67"/>
        <v>2014</v>
      </c>
      <c r="R2443" s="107">
        <v>2</v>
      </c>
      <c r="S2443" s="100">
        <v>214094</v>
      </c>
      <c r="T2443" s="101">
        <v>41863</v>
      </c>
    </row>
    <row r="2444" spans="1:20" x14ac:dyDescent="0.3">
      <c r="A2444" s="42">
        <v>41892</v>
      </c>
      <c r="B2444" s="69">
        <f t="shared" si="68"/>
        <v>20140910</v>
      </c>
      <c r="C2444" s="109">
        <v>2.6000000000000002E-2</v>
      </c>
      <c r="D2444" s="77">
        <v>0</v>
      </c>
      <c r="E2444" s="77">
        <v>4.0000000000000001E-3</v>
      </c>
      <c r="F2444" s="77">
        <v>6.0000000000000001E-3</v>
      </c>
      <c r="G2444" s="78">
        <v>0</v>
      </c>
      <c r="H2444" s="71">
        <v>8</v>
      </c>
      <c r="I2444" s="71">
        <v>10.5</v>
      </c>
      <c r="J2444" s="71">
        <v>12.9</v>
      </c>
      <c r="K2444" s="106">
        <v>7.3000000000000001E-3</v>
      </c>
      <c r="L2444" s="80">
        <v>-1.0999999999999999E-2</v>
      </c>
      <c r="M2444" s="75" t="s">
        <v>143</v>
      </c>
      <c r="N2444" s="75" t="b">
        <v>1</v>
      </c>
      <c r="O2444" s="75" t="s">
        <v>144</v>
      </c>
      <c r="P2444" s="75">
        <v>1994</v>
      </c>
      <c r="Q2444" s="107">
        <f t="shared" si="67"/>
        <v>2014</v>
      </c>
      <c r="R2444" s="107">
        <v>2</v>
      </c>
      <c r="S2444" s="100">
        <v>214094</v>
      </c>
      <c r="T2444" s="101">
        <v>41863</v>
      </c>
    </row>
    <row r="2445" spans="1:20" x14ac:dyDescent="0.3">
      <c r="A2445" s="42">
        <v>41893</v>
      </c>
      <c r="B2445" s="69">
        <f t="shared" si="68"/>
        <v>20140911</v>
      </c>
      <c r="C2445" s="109">
        <v>2.6000000000000002E-2</v>
      </c>
      <c r="D2445" s="77">
        <v>0</v>
      </c>
      <c r="E2445" s="77">
        <v>4.0000000000000001E-3</v>
      </c>
      <c r="F2445" s="77">
        <v>6.0000000000000001E-3</v>
      </c>
      <c r="G2445" s="78">
        <v>0</v>
      </c>
      <c r="H2445" s="71">
        <v>8</v>
      </c>
      <c r="I2445" s="71">
        <v>10.5</v>
      </c>
      <c r="J2445" s="71">
        <v>12.9</v>
      </c>
      <c r="K2445" s="106">
        <v>7.1999999999999998E-3</v>
      </c>
      <c r="L2445" s="80">
        <v>-1.0999999999999999E-2</v>
      </c>
      <c r="M2445" s="75" t="s">
        <v>143</v>
      </c>
      <c r="N2445" s="75" t="b">
        <v>1</v>
      </c>
      <c r="O2445" s="75" t="s">
        <v>144</v>
      </c>
      <c r="P2445" s="75">
        <v>1994</v>
      </c>
      <c r="Q2445" s="107">
        <f t="shared" si="67"/>
        <v>2014</v>
      </c>
      <c r="R2445" s="107">
        <v>2</v>
      </c>
      <c r="S2445" s="100">
        <v>214094</v>
      </c>
      <c r="T2445" s="101">
        <v>41863</v>
      </c>
    </row>
    <row r="2446" spans="1:20" x14ac:dyDescent="0.3">
      <c r="A2446" s="42">
        <v>41894</v>
      </c>
      <c r="B2446" s="69">
        <f t="shared" si="68"/>
        <v>20140912</v>
      </c>
      <c r="C2446" s="109">
        <v>2.64E-2</v>
      </c>
      <c r="D2446" s="77">
        <v>0</v>
      </c>
      <c r="E2446" s="77">
        <v>4.0000000000000001E-3</v>
      </c>
      <c r="F2446" s="77">
        <v>6.0000000000000001E-3</v>
      </c>
      <c r="G2446" s="78">
        <v>0</v>
      </c>
      <c r="H2446" s="71">
        <v>8</v>
      </c>
      <c r="I2446" s="71">
        <v>10.5</v>
      </c>
      <c r="J2446" s="71">
        <v>12.9</v>
      </c>
      <c r="K2446" s="106">
        <v>7.6E-3</v>
      </c>
      <c r="L2446" s="80">
        <v>-1.0999999999999999E-2</v>
      </c>
      <c r="M2446" s="75" t="s">
        <v>143</v>
      </c>
      <c r="N2446" s="75" t="b">
        <v>1</v>
      </c>
      <c r="O2446" s="75" t="s">
        <v>144</v>
      </c>
      <c r="P2446" s="75">
        <v>1994</v>
      </c>
      <c r="Q2446" s="107">
        <f t="shared" si="67"/>
        <v>2014</v>
      </c>
      <c r="R2446" s="107">
        <v>2</v>
      </c>
      <c r="S2446" s="100">
        <v>214094</v>
      </c>
      <c r="T2446" s="101">
        <v>41863</v>
      </c>
    </row>
    <row r="2447" spans="1:20" x14ac:dyDescent="0.3">
      <c r="A2447" s="42">
        <v>41895</v>
      </c>
      <c r="B2447" s="69">
        <f t="shared" si="68"/>
        <v>20140913</v>
      </c>
      <c r="C2447" s="109">
        <v>2.64E-2</v>
      </c>
      <c r="D2447" s="77">
        <v>0</v>
      </c>
      <c r="E2447" s="77">
        <v>4.0000000000000001E-3</v>
      </c>
      <c r="F2447" s="77">
        <v>6.0000000000000001E-3</v>
      </c>
      <c r="G2447" s="78">
        <v>0</v>
      </c>
      <c r="H2447" s="71">
        <v>8</v>
      </c>
      <c r="I2447" s="71">
        <v>10.5</v>
      </c>
      <c r="J2447" s="71">
        <v>12.9</v>
      </c>
      <c r="K2447" s="106">
        <v>7.6E-3</v>
      </c>
      <c r="L2447" s="80">
        <v>-1.0999999999999999E-2</v>
      </c>
      <c r="M2447" s="75" t="s">
        <v>143</v>
      </c>
      <c r="N2447" s="75" t="b">
        <v>1</v>
      </c>
      <c r="O2447" s="75" t="s">
        <v>144</v>
      </c>
      <c r="P2447" s="75">
        <v>1994</v>
      </c>
      <c r="Q2447" s="107">
        <f t="shared" si="67"/>
        <v>2014</v>
      </c>
      <c r="R2447" s="107">
        <v>2</v>
      </c>
      <c r="S2447" s="100">
        <v>214094</v>
      </c>
      <c r="T2447" s="101">
        <v>41863</v>
      </c>
    </row>
    <row r="2448" spans="1:20" x14ac:dyDescent="0.3">
      <c r="A2448" s="42">
        <v>41896</v>
      </c>
      <c r="B2448" s="69">
        <f t="shared" si="68"/>
        <v>20140914</v>
      </c>
      <c r="C2448" s="109">
        <v>2.64E-2</v>
      </c>
      <c r="D2448" s="77">
        <v>0</v>
      </c>
      <c r="E2448" s="77">
        <v>4.0000000000000001E-3</v>
      </c>
      <c r="F2448" s="77">
        <v>6.0000000000000001E-3</v>
      </c>
      <c r="G2448" s="78">
        <v>0</v>
      </c>
      <c r="H2448" s="71">
        <v>8</v>
      </c>
      <c r="I2448" s="71">
        <v>10.5</v>
      </c>
      <c r="J2448" s="71">
        <v>12.9</v>
      </c>
      <c r="K2448" s="106">
        <v>7.6E-3</v>
      </c>
      <c r="L2448" s="80">
        <v>-1.0999999999999999E-2</v>
      </c>
      <c r="M2448" s="75" t="s">
        <v>143</v>
      </c>
      <c r="N2448" s="75" t="b">
        <v>1</v>
      </c>
      <c r="O2448" s="75" t="s">
        <v>144</v>
      </c>
      <c r="P2448" s="75">
        <v>1994</v>
      </c>
      <c r="Q2448" s="107">
        <f t="shared" si="67"/>
        <v>2014</v>
      </c>
      <c r="R2448" s="107">
        <v>2</v>
      </c>
      <c r="S2448" s="100">
        <v>214094</v>
      </c>
      <c r="T2448" s="101">
        <v>41863</v>
      </c>
    </row>
    <row r="2449" spans="1:21" x14ac:dyDescent="0.3">
      <c r="A2449" s="42">
        <v>41897</v>
      </c>
      <c r="B2449" s="69">
        <f t="shared" si="68"/>
        <v>20140915</v>
      </c>
      <c r="C2449" s="109">
        <v>2.64E-2</v>
      </c>
      <c r="D2449" s="77">
        <v>0</v>
      </c>
      <c r="E2449" s="77">
        <v>4.0000000000000001E-3</v>
      </c>
      <c r="F2449" s="77">
        <v>6.0000000000000001E-3</v>
      </c>
      <c r="G2449" s="78">
        <v>0</v>
      </c>
      <c r="H2449" s="71">
        <v>8</v>
      </c>
      <c r="I2449" s="71">
        <v>10.5</v>
      </c>
      <c r="J2449" s="71">
        <v>12.9</v>
      </c>
      <c r="K2449" s="106">
        <v>7.6E-3</v>
      </c>
      <c r="L2449" s="80">
        <v>-1.0999999999999999E-2</v>
      </c>
      <c r="M2449" s="75" t="s">
        <v>143</v>
      </c>
      <c r="N2449" s="75" t="b">
        <v>1</v>
      </c>
      <c r="O2449" s="75" t="s">
        <v>144</v>
      </c>
      <c r="P2449" s="75">
        <v>1994</v>
      </c>
      <c r="Q2449" s="107">
        <f t="shared" si="67"/>
        <v>2014</v>
      </c>
      <c r="R2449" s="107">
        <v>2</v>
      </c>
      <c r="S2449" s="100">
        <v>214094</v>
      </c>
      <c r="T2449" s="101">
        <v>41863</v>
      </c>
    </row>
    <row r="2450" spans="1:21" x14ac:dyDescent="0.3">
      <c r="A2450" s="42">
        <v>41898</v>
      </c>
      <c r="B2450" s="69">
        <f t="shared" si="68"/>
        <v>20140916</v>
      </c>
      <c r="C2450" s="109">
        <v>2.6499999999999999E-2</v>
      </c>
      <c r="D2450" s="77">
        <v>0</v>
      </c>
      <c r="E2450" s="77">
        <v>4.0000000000000001E-3</v>
      </c>
      <c r="F2450" s="77">
        <v>6.0000000000000001E-3</v>
      </c>
      <c r="G2450" s="78">
        <v>0</v>
      </c>
      <c r="H2450" s="71">
        <v>8</v>
      </c>
      <c r="I2450" s="71">
        <v>10.5</v>
      </c>
      <c r="J2450" s="71">
        <v>12.9</v>
      </c>
      <c r="K2450" s="106">
        <v>7.7000000000000002E-3</v>
      </c>
      <c r="L2450" s="80">
        <v>-1.0999999999999999E-2</v>
      </c>
      <c r="M2450" s="75" t="s">
        <v>143</v>
      </c>
      <c r="N2450" s="75" t="b">
        <v>1</v>
      </c>
      <c r="O2450" s="75" t="s">
        <v>144</v>
      </c>
      <c r="P2450" s="75">
        <v>1994</v>
      </c>
      <c r="Q2450" s="107">
        <f t="shared" si="67"/>
        <v>2014</v>
      </c>
      <c r="R2450" s="107">
        <v>2</v>
      </c>
      <c r="S2450" s="100">
        <v>214094</v>
      </c>
      <c r="T2450" s="101">
        <v>41863</v>
      </c>
    </row>
    <row r="2451" spans="1:21" x14ac:dyDescent="0.3">
      <c r="A2451" s="42">
        <v>41899</v>
      </c>
      <c r="B2451" s="69">
        <f t="shared" si="68"/>
        <v>20140917</v>
      </c>
      <c r="C2451" s="109">
        <v>2.6699999999999998E-2</v>
      </c>
      <c r="D2451" s="77">
        <v>0</v>
      </c>
      <c r="E2451" s="77">
        <v>4.0000000000000001E-3</v>
      </c>
      <c r="F2451" s="77">
        <v>6.0000000000000001E-3</v>
      </c>
      <c r="G2451" s="78">
        <v>0</v>
      </c>
      <c r="H2451" s="71">
        <v>8</v>
      </c>
      <c r="I2451" s="71">
        <v>10.5</v>
      </c>
      <c r="J2451" s="71">
        <v>12.9</v>
      </c>
      <c r="K2451" s="106">
        <v>8.0000000000000002E-3</v>
      </c>
      <c r="L2451" s="80">
        <v>-1.0999999999999999E-2</v>
      </c>
      <c r="M2451" s="75" t="s">
        <v>143</v>
      </c>
      <c r="N2451" s="75" t="b">
        <v>1</v>
      </c>
      <c r="O2451" s="75" t="s">
        <v>144</v>
      </c>
      <c r="P2451" s="75">
        <v>1994</v>
      </c>
      <c r="Q2451" s="107">
        <f t="shared" si="67"/>
        <v>2014</v>
      </c>
      <c r="R2451" s="107">
        <v>2</v>
      </c>
      <c r="S2451" s="100">
        <v>214094</v>
      </c>
      <c r="T2451" s="101">
        <v>41863</v>
      </c>
    </row>
    <row r="2452" spans="1:21" x14ac:dyDescent="0.3">
      <c r="A2452" s="42">
        <v>41900</v>
      </c>
      <c r="B2452" s="69">
        <f t="shared" si="68"/>
        <v>20140918</v>
      </c>
      <c r="C2452" s="109">
        <v>2.6800000000000001E-2</v>
      </c>
      <c r="D2452" s="77">
        <v>0</v>
      </c>
      <c r="E2452" s="77">
        <v>4.0000000000000001E-3</v>
      </c>
      <c r="F2452" s="77">
        <v>6.0000000000000001E-3</v>
      </c>
      <c r="G2452" s="78">
        <v>0</v>
      </c>
      <c r="H2452" s="71">
        <v>8</v>
      </c>
      <c r="I2452" s="71">
        <v>10.5</v>
      </c>
      <c r="J2452" s="71">
        <v>12.9</v>
      </c>
      <c r="K2452" s="106">
        <v>8.199999999999999E-3</v>
      </c>
      <c r="L2452" s="80">
        <v>-1.0999999999999999E-2</v>
      </c>
      <c r="M2452" s="75" t="s">
        <v>143</v>
      </c>
      <c r="N2452" s="75" t="b">
        <v>1</v>
      </c>
      <c r="O2452" s="75" t="s">
        <v>144</v>
      </c>
      <c r="P2452" s="75">
        <v>1994</v>
      </c>
      <c r="Q2452" s="107">
        <f t="shared" si="67"/>
        <v>2014</v>
      </c>
      <c r="R2452" s="107">
        <v>2</v>
      </c>
      <c r="S2452" s="100">
        <v>214094</v>
      </c>
      <c r="T2452" s="101">
        <v>41863</v>
      </c>
    </row>
    <row r="2453" spans="1:21" x14ac:dyDescent="0.3">
      <c r="A2453" s="42">
        <v>41901</v>
      </c>
      <c r="B2453" s="69">
        <f t="shared" si="68"/>
        <v>20140919</v>
      </c>
      <c r="C2453" s="109">
        <v>2.64E-2</v>
      </c>
      <c r="D2453" s="77">
        <v>0</v>
      </c>
      <c r="E2453" s="77">
        <v>4.0000000000000001E-3</v>
      </c>
      <c r="F2453" s="77">
        <v>6.0000000000000001E-3</v>
      </c>
      <c r="G2453" s="78">
        <v>0</v>
      </c>
      <c r="H2453" s="71">
        <v>8</v>
      </c>
      <c r="I2453" s="71">
        <v>10.5</v>
      </c>
      <c r="J2453" s="71">
        <v>12.9</v>
      </c>
      <c r="K2453" s="106">
        <v>7.8000000000000005E-3</v>
      </c>
      <c r="L2453" s="80">
        <v>-1.0999999999999999E-2</v>
      </c>
      <c r="M2453" s="75" t="s">
        <v>143</v>
      </c>
      <c r="N2453" s="75" t="b">
        <v>1</v>
      </c>
      <c r="O2453" s="75" t="s">
        <v>144</v>
      </c>
      <c r="P2453" s="75">
        <v>1994</v>
      </c>
      <c r="Q2453" s="107">
        <f t="shared" si="67"/>
        <v>2014</v>
      </c>
      <c r="R2453" s="107">
        <v>2</v>
      </c>
      <c r="S2453" s="100">
        <v>214094</v>
      </c>
      <c r="T2453" s="101">
        <v>41863</v>
      </c>
    </row>
    <row r="2454" spans="1:21" x14ac:dyDescent="0.3">
      <c r="A2454" s="42">
        <v>41902</v>
      </c>
      <c r="B2454" s="69">
        <f t="shared" si="68"/>
        <v>20140920</v>
      </c>
      <c r="C2454" s="109">
        <v>2.64E-2</v>
      </c>
      <c r="D2454" s="77">
        <v>0</v>
      </c>
      <c r="E2454" s="77">
        <v>4.0000000000000001E-3</v>
      </c>
      <c r="F2454" s="77">
        <v>6.0000000000000001E-3</v>
      </c>
      <c r="G2454" s="78">
        <v>0</v>
      </c>
      <c r="H2454" s="71">
        <v>8</v>
      </c>
      <c r="I2454" s="71">
        <v>10.5</v>
      </c>
      <c r="J2454" s="71">
        <v>12.9</v>
      </c>
      <c r="K2454" s="106">
        <v>7.8000000000000005E-3</v>
      </c>
      <c r="L2454" s="80">
        <v>-1.0999999999999999E-2</v>
      </c>
      <c r="M2454" s="75" t="s">
        <v>143</v>
      </c>
      <c r="N2454" s="75" t="b">
        <v>1</v>
      </c>
      <c r="O2454" s="75" t="s">
        <v>144</v>
      </c>
      <c r="P2454" s="75">
        <v>1994</v>
      </c>
      <c r="Q2454" s="107">
        <f t="shared" si="67"/>
        <v>2014</v>
      </c>
      <c r="R2454" s="107">
        <v>2</v>
      </c>
      <c r="S2454" s="100">
        <v>214094</v>
      </c>
      <c r="T2454" s="101">
        <v>41863</v>
      </c>
    </row>
    <row r="2455" spans="1:21" x14ac:dyDescent="0.3">
      <c r="A2455" s="42">
        <v>41903</v>
      </c>
      <c r="B2455" s="69">
        <f t="shared" si="68"/>
        <v>20140921</v>
      </c>
      <c r="C2455" s="109">
        <v>2.64E-2</v>
      </c>
      <c r="D2455" s="77">
        <v>0</v>
      </c>
      <c r="E2455" s="77">
        <v>4.0000000000000001E-3</v>
      </c>
      <c r="F2455" s="77">
        <v>6.0000000000000001E-3</v>
      </c>
      <c r="G2455" s="78">
        <v>0</v>
      </c>
      <c r="H2455" s="71">
        <v>8</v>
      </c>
      <c r="I2455" s="71">
        <v>10.5</v>
      </c>
      <c r="J2455" s="71">
        <v>12.9</v>
      </c>
      <c r="K2455" s="106">
        <v>7.8000000000000005E-3</v>
      </c>
      <c r="L2455" s="80">
        <v>-1.0999999999999999E-2</v>
      </c>
      <c r="M2455" s="75" t="s">
        <v>143</v>
      </c>
      <c r="N2455" s="75" t="b">
        <v>1</v>
      </c>
      <c r="O2455" s="75" t="s">
        <v>144</v>
      </c>
      <c r="P2455" s="75">
        <v>1994</v>
      </c>
      <c r="Q2455" s="107">
        <f t="shared" si="67"/>
        <v>2014</v>
      </c>
      <c r="R2455" s="107">
        <v>2</v>
      </c>
      <c r="S2455" s="100">
        <v>214094</v>
      </c>
      <c r="T2455" s="101">
        <v>41863</v>
      </c>
    </row>
    <row r="2456" spans="1:21" x14ac:dyDescent="0.3">
      <c r="A2456" s="42">
        <v>41904</v>
      </c>
      <c r="B2456" s="69">
        <f t="shared" si="68"/>
        <v>20140922</v>
      </c>
      <c r="C2456" s="109">
        <v>2.6200000000000001E-2</v>
      </c>
      <c r="D2456" s="77">
        <v>0</v>
      </c>
      <c r="E2456" s="77">
        <v>4.0000000000000001E-3</v>
      </c>
      <c r="F2456" s="77">
        <v>6.0000000000000001E-3</v>
      </c>
      <c r="G2456" s="78">
        <v>0</v>
      </c>
      <c r="H2456" s="71">
        <v>8</v>
      </c>
      <c r="I2456" s="71">
        <v>10.5</v>
      </c>
      <c r="J2456" s="71">
        <v>12.9</v>
      </c>
      <c r="K2456" s="106">
        <v>7.7000000000000002E-3</v>
      </c>
      <c r="L2456" s="80">
        <v>-1.0999999999999999E-2</v>
      </c>
      <c r="M2456" s="75" t="s">
        <v>143</v>
      </c>
      <c r="N2456" s="75" t="b">
        <v>1</v>
      </c>
      <c r="O2456" s="75" t="s">
        <v>144</v>
      </c>
      <c r="P2456" s="75">
        <v>1994</v>
      </c>
      <c r="Q2456" s="107">
        <f t="shared" si="67"/>
        <v>2014</v>
      </c>
      <c r="R2456" s="107">
        <v>2</v>
      </c>
      <c r="S2456" s="100">
        <v>214094</v>
      </c>
      <c r="T2456" s="101">
        <v>41863</v>
      </c>
    </row>
    <row r="2457" spans="1:21" x14ac:dyDescent="0.3">
      <c r="A2457" s="42">
        <v>41905</v>
      </c>
      <c r="B2457" s="69">
        <f t="shared" si="68"/>
        <v>20140923</v>
      </c>
      <c r="C2457" s="109">
        <v>2.5899999999999999E-2</v>
      </c>
      <c r="D2457" s="77">
        <v>0</v>
      </c>
      <c r="E2457" s="77">
        <v>4.0000000000000001E-3</v>
      </c>
      <c r="F2457" s="77">
        <v>6.0000000000000001E-3</v>
      </c>
      <c r="G2457" s="78">
        <v>0</v>
      </c>
      <c r="H2457" s="71">
        <v>8</v>
      </c>
      <c r="I2457" s="71">
        <v>10.5</v>
      </c>
      <c r="J2457" s="71">
        <v>12.9</v>
      </c>
      <c r="K2457" s="106">
        <v>7.4000000000000003E-3</v>
      </c>
      <c r="L2457" s="80">
        <v>-1.0999999999999999E-2</v>
      </c>
      <c r="M2457" s="75" t="s">
        <v>143</v>
      </c>
      <c r="N2457" s="75" t="b">
        <v>1</v>
      </c>
      <c r="O2457" s="75" t="s">
        <v>144</v>
      </c>
      <c r="P2457" s="75">
        <v>1994</v>
      </c>
      <c r="Q2457" s="107">
        <f t="shared" si="67"/>
        <v>2014</v>
      </c>
      <c r="R2457" s="107">
        <v>2</v>
      </c>
      <c r="S2457" s="100">
        <v>214094</v>
      </c>
      <c r="T2457" s="101">
        <v>41863</v>
      </c>
    </row>
    <row r="2458" spans="1:21" x14ac:dyDescent="0.3">
      <c r="A2458" s="42">
        <v>41906</v>
      </c>
      <c r="B2458" s="69">
        <f t="shared" si="68"/>
        <v>20140924</v>
      </c>
      <c r="C2458" s="109">
        <v>2.6099999999999998E-2</v>
      </c>
      <c r="D2458" s="77">
        <v>0</v>
      </c>
      <c r="E2458" s="77">
        <v>4.0000000000000001E-3</v>
      </c>
      <c r="F2458" s="77">
        <v>6.0000000000000001E-3</v>
      </c>
      <c r="G2458" s="78">
        <v>0</v>
      </c>
      <c r="H2458" s="71">
        <v>8</v>
      </c>
      <c r="I2458" s="71">
        <v>10.5</v>
      </c>
      <c r="J2458" s="71">
        <v>12.9</v>
      </c>
      <c r="K2458" s="106">
        <v>7.4999999999999997E-3</v>
      </c>
      <c r="L2458" s="80">
        <v>-1.0999999999999999E-2</v>
      </c>
      <c r="M2458" s="75" t="s">
        <v>143</v>
      </c>
      <c r="N2458" s="75" t="b">
        <v>1</v>
      </c>
      <c r="O2458" s="75" t="s">
        <v>144</v>
      </c>
      <c r="P2458" s="75">
        <v>1994</v>
      </c>
      <c r="Q2458" s="107">
        <f t="shared" si="67"/>
        <v>2014</v>
      </c>
      <c r="R2458" s="107">
        <v>2</v>
      </c>
      <c r="S2458" s="100">
        <v>214094</v>
      </c>
      <c r="T2458" s="101">
        <v>41863</v>
      </c>
    </row>
    <row r="2459" spans="1:21" x14ac:dyDescent="0.3">
      <c r="A2459" s="42">
        <v>41907</v>
      </c>
      <c r="B2459" s="69">
        <f t="shared" si="68"/>
        <v>20140925</v>
      </c>
      <c r="C2459" s="109">
        <v>2.5600000000000001E-2</v>
      </c>
      <c r="D2459" s="77">
        <v>0</v>
      </c>
      <c r="E2459" s="77">
        <v>4.0000000000000001E-3</v>
      </c>
      <c r="F2459" s="77">
        <v>6.0000000000000001E-3</v>
      </c>
      <c r="G2459" s="78">
        <v>0</v>
      </c>
      <c r="H2459" s="71">
        <v>8</v>
      </c>
      <c r="I2459" s="71">
        <v>10.5</v>
      </c>
      <c r="J2459" s="71">
        <v>12.9</v>
      </c>
      <c r="K2459" s="106">
        <v>6.9999999999999993E-3</v>
      </c>
      <c r="L2459" s="80">
        <v>-1.0999999999999999E-2</v>
      </c>
      <c r="M2459" s="75" t="s">
        <v>143</v>
      </c>
      <c r="N2459" s="75" t="b">
        <v>1</v>
      </c>
      <c r="O2459" s="75" t="s">
        <v>144</v>
      </c>
      <c r="P2459" s="75">
        <v>1994</v>
      </c>
      <c r="Q2459" s="107">
        <f t="shared" si="67"/>
        <v>2014</v>
      </c>
      <c r="R2459" s="107">
        <v>2</v>
      </c>
      <c r="S2459" s="100">
        <v>214094</v>
      </c>
      <c r="T2459" s="101">
        <v>41863</v>
      </c>
    </row>
    <row r="2460" spans="1:21" x14ac:dyDescent="0.3">
      <c r="A2460" s="42">
        <v>41908</v>
      </c>
      <c r="B2460" s="69">
        <f t="shared" si="68"/>
        <v>20140926</v>
      </c>
      <c r="C2460" s="109">
        <v>2.5600000000000001E-2</v>
      </c>
      <c r="D2460" s="77">
        <v>0</v>
      </c>
      <c r="E2460" s="77">
        <v>4.0000000000000001E-3</v>
      </c>
      <c r="F2460" s="77">
        <v>6.0000000000000001E-3</v>
      </c>
      <c r="G2460" s="78">
        <v>0</v>
      </c>
      <c r="H2460" s="71">
        <v>8</v>
      </c>
      <c r="I2460" s="71">
        <v>10.5</v>
      </c>
      <c r="J2460" s="71">
        <v>12.9</v>
      </c>
      <c r="K2460" s="106">
        <v>7.0999999999999995E-3</v>
      </c>
      <c r="L2460" s="80">
        <v>-1.0999999999999999E-2</v>
      </c>
      <c r="M2460" s="75" t="s">
        <v>143</v>
      </c>
      <c r="N2460" s="75" t="b">
        <v>1</v>
      </c>
      <c r="O2460" s="75" t="s">
        <v>144</v>
      </c>
      <c r="P2460" s="75">
        <v>1994</v>
      </c>
      <c r="Q2460" s="107">
        <f t="shared" si="67"/>
        <v>2014</v>
      </c>
      <c r="R2460" s="107">
        <v>2</v>
      </c>
      <c r="S2460" s="100">
        <v>214094</v>
      </c>
      <c r="T2460" s="101">
        <v>41863</v>
      </c>
    </row>
    <row r="2461" spans="1:21" x14ac:dyDescent="0.3">
      <c r="A2461" s="42">
        <v>41909</v>
      </c>
      <c r="B2461" s="69">
        <f t="shared" si="68"/>
        <v>20140927</v>
      </c>
      <c r="C2461" s="109">
        <v>2.5600000000000001E-2</v>
      </c>
      <c r="D2461" s="77">
        <v>0</v>
      </c>
      <c r="E2461" s="77">
        <v>4.0000000000000001E-3</v>
      </c>
      <c r="F2461" s="77">
        <v>6.0000000000000001E-3</v>
      </c>
      <c r="G2461" s="78">
        <v>0</v>
      </c>
      <c r="H2461" s="71">
        <v>8</v>
      </c>
      <c r="I2461" s="71">
        <v>10.5</v>
      </c>
      <c r="J2461" s="71">
        <v>12.9</v>
      </c>
      <c r="K2461" s="106">
        <v>7.0999999999999995E-3</v>
      </c>
      <c r="L2461" s="80">
        <v>-1.0999999999999999E-2</v>
      </c>
      <c r="M2461" s="75" t="s">
        <v>143</v>
      </c>
      <c r="N2461" s="75" t="b">
        <v>1</v>
      </c>
      <c r="O2461" s="75" t="s">
        <v>144</v>
      </c>
      <c r="P2461" s="75">
        <v>1994</v>
      </c>
      <c r="Q2461" s="107">
        <f t="shared" si="67"/>
        <v>2014</v>
      </c>
      <c r="R2461" s="107">
        <v>2</v>
      </c>
      <c r="S2461" s="100">
        <v>214094</v>
      </c>
      <c r="T2461" s="101">
        <v>41863</v>
      </c>
    </row>
    <row r="2462" spans="1:21" x14ac:dyDescent="0.3">
      <c r="A2462" s="42">
        <v>41910</v>
      </c>
      <c r="B2462" s="69">
        <f t="shared" si="68"/>
        <v>20140928</v>
      </c>
      <c r="C2462" s="109">
        <v>2.5600000000000001E-2</v>
      </c>
      <c r="D2462" s="77">
        <v>0</v>
      </c>
      <c r="E2462" s="77">
        <v>4.0000000000000001E-3</v>
      </c>
      <c r="F2462" s="77">
        <v>6.0000000000000001E-3</v>
      </c>
      <c r="G2462" s="78">
        <v>0</v>
      </c>
      <c r="H2462" s="71">
        <v>8</v>
      </c>
      <c r="I2462" s="71">
        <v>10.5</v>
      </c>
      <c r="J2462" s="71">
        <v>12.9</v>
      </c>
      <c r="K2462" s="106">
        <v>7.0999999999999995E-3</v>
      </c>
      <c r="L2462" s="80">
        <v>-1.0999999999999999E-2</v>
      </c>
      <c r="M2462" s="75" t="s">
        <v>143</v>
      </c>
      <c r="N2462" s="75" t="b">
        <v>1</v>
      </c>
      <c r="O2462" s="75" t="s">
        <v>144</v>
      </c>
      <c r="P2462" s="75">
        <v>1994</v>
      </c>
      <c r="Q2462" s="107">
        <f t="shared" si="67"/>
        <v>2014</v>
      </c>
      <c r="R2462" s="107">
        <v>2</v>
      </c>
      <c r="S2462" s="100">
        <v>214094</v>
      </c>
      <c r="T2462" s="101">
        <v>41863</v>
      </c>
    </row>
    <row r="2463" spans="1:21" x14ac:dyDescent="0.3">
      <c r="A2463" s="42">
        <v>41911</v>
      </c>
      <c r="B2463" s="69">
        <f t="shared" si="68"/>
        <v>20140929</v>
      </c>
      <c r="C2463" s="109">
        <v>2.53E-2</v>
      </c>
      <c r="D2463" s="77">
        <v>0</v>
      </c>
      <c r="E2463" s="77">
        <v>4.0000000000000001E-3</v>
      </c>
      <c r="F2463" s="77">
        <v>6.0000000000000001E-3</v>
      </c>
      <c r="G2463" s="78">
        <v>0</v>
      </c>
      <c r="H2463" s="71">
        <v>8</v>
      </c>
      <c r="I2463" s="71">
        <v>10.5</v>
      </c>
      <c r="J2463" s="71">
        <v>12.9</v>
      </c>
      <c r="K2463" s="106">
        <v>6.8999999999999999E-3</v>
      </c>
      <c r="L2463" s="80">
        <v>-1.0999999999999999E-2</v>
      </c>
      <c r="M2463" s="75" t="s">
        <v>143</v>
      </c>
      <c r="N2463" s="75" t="b">
        <v>1</v>
      </c>
      <c r="O2463" s="75" t="s">
        <v>144</v>
      </c>
      <c r="P2463" s="75">
        <v>1994</v>
      </c>
      <c r="Q2463" s="107">
        <f t="shared" si="67"/>
        <v>2014</v>
      </c>
      <c r="R2463" s="107">
        <v>2</v>
      </c>
      <c r="S2463" s="100">
        <v>214094</v>
      </c>
      <c r="T2463" s="101">
        <v>41863</v>
      </c>
    </row>
    <row r="2464" spans="1:21" s="99" customFormat="1" x14ac:dyDescent="0.3">
      <c r="A2464" s="85">
        <v>41912</v>
      </c>
      <c r="B2464" s="86">
        <f t="shared" si="68"/>
        <v>20140930</v>
      </c>
      <c r="C2464" s="87">
        <v>2.5600000000000001E-2</v>
      </c>
      <c r="D2464" s="108">
        <v>0</v>
      </c>
      <c r="E2464" s="89">
        <v>3.0000000000000001E-3</v>
      </c>
      <c r="F2464" s="89">
        <v>5.0000000000000001E-3</v>
      </c>
      <c r="G2464" s="103">
        <v>0</v>
      </c>
      <c r="H2464" s="119">
        <v>8.1</v>
      </c>
      <c r="I2464" s="119">
        <v>10.6</v>
      </c>
      <c r="J2464" s="119">
        <v>13.2</v>
      </c>
      <c r="K2464" s="92">
        <v>7.0999999999999995E-3</v>
      </c>
      <c r="L2464" s="120">
        <v>-1.2E-2</v>
      </c>
      <c r="M2464" s="98" t="s">
        <v>143</v>
      </c>
      <c r="N2464" s="98" t="b">
        <v>1</v>
      </c>
      <c r="O2464" s="98" t="s">
        <v>144</v>
      </c>
      <c r="P2464" s="98">
        <v>1994</v>
      </c>
      <c r="Q2464" s="105">
        <f t="shared" si="67"/>
        <v>2014</v>
      </c>
      <c r="R2464" s="105">
        <v>2</v>
      </c>
      <c r="S2464" s="93">
        <v>214111</v>
      </c>
      <c r="T2464" s="94">
        <v>41939</v>
      </c>
      <c r="U2464" s="95" t="s">
        <v>176</v>
      </c>
    </row>
    <row r="2465" spans="1:20" x14ac:dyDescent="0.3">
      <c r="A2465" s="42">
        <v>41913</v>
      </c>
      <c r="B2465" s="69">
        <f t="shared" si="68"/>
        <v>20141001</v>
      </c>
      <c r="C2465" s="109">
        <v>2.4900000000000002E-2</v>
      </c>
      <c r="D2465" s="77">
        <v>0</v>
      </c>
      <c r="E2465" s="77">
        <v>3.0000000000000001E-3</v>
      </c>
      <c r="F2465" s="77">
        <v>5.0000000000000001E-3</v>
      </c>
      <c r="G2465" s="78">
        <v>0</v>
      </c>
      <c r="H2465" s="71">
        <v>8.1</v>
      </c>
      <c r="I2465" s="71">
        <v>10.6</v>
      </c>
      <c r="J2465" s="71">
        <v>13.2</v>
      </c>
      <c r="K2465" s="106">
        <v>6.4000000000000003E-3</v>
      </c>
      <c r="L2465" s="80">
        <v>-1.2E-2</v>
      </c>
      <c r="M2465" s="75" t="s">
        <v>143</v>
      </c>
      <c r="N2465" s="75" t="b">
        <v>1</v>
      </c>
      <c r="O2465" s="75" t="s">
        <v>144</v>
      </c>
      <c r="P2465" s="75">
        <v>1994</v>
      </c>
      <c r="Q2465" s="107">
        <f t="shared" si="67"/>
        <v>2014</v>
      </c>
      <c r="R2465" s="107">
        <v>2</v>
      </c>
      <c r="S2465" s="100">
        <v>214111</v>
      </c>
      <c r="T2465" s="101">
        <v>41939</v>
      </c>
    </row>
    <row r="2466" spans="1:20" x14ac:dyDescent="0.3">
      <c r="A2466" s="42">
        <v>41914</v>
      </c>
      <c r="B2466" s="69">
        <f t="shared" si="68"/>
        <v>20141002</v>
      </c>
      <c r="C2466" s="109">
        <v>2.5099999999999997E-2</v>
      </c>
      <c r="D2466" s="77">
        <v>0</v>
      </c>
      <c r="E2466" s="77">
        <v>3.0000000000000001E-3</v>
      </c>
      <c r="F2466" s="77">
        <v>5.0000000000000001E-3</v>
      </c>
      <c r="G2466" s="78">
        <v>0</v>
      </c>
      <c r="H2466" s="71">
        <v>8.1</v>
      </c>
      <c r="I2466" s="71">
        <v>10.6</v>
      </c>
      <c r="J2466" s="71">
        <v>13.2</v>
      </c>
      <c r="K2466" s="106">
        <v>6.7000000000000002E-3</v>
      </c>
      <c r="L2466" s="80">
        <v>-1.2E-2</v>
      </c>
      <c r="M2466" s="75" t="s">
        <v>143</v>
      </c>
      <c r="N2466" s="75" t="b">
        <v>1</v>
      </c>
      <c r="O2466" s="75" t="s">
        <v>144</v>
      </c>
      <c r="P2466" s="75">
        <v>1994</v>
      </c>
      <c r="Q2466" s="107">
        <f t="shared" si="67"/>
        <v>2014</v>
      </c>
      <c r="R2466" s="107">
        <v>2</v>
      </c>
      <c r="S2466" s="100">
        <v>214111</v>
      </c>
      <c r="T2466" s="101">
        <v>41939</v>
      </c>
    </row>
    <row r="2467" spans="1:20" x14ac:dyDescent="0.3">
      <c r="A2467" s="42">
        <v>41915</v>
      </c>
      <c r="B2467" s="69">
        <f t="shared" si="68"/>
        <v>20141003</v>
      </c>
      <c r="C2467" s="109">
        <v>2.5000000000000001E-2</v>
      </c>
      <c r="D2467" s="77">
        <v>0</v>
      </c>
      <c r="E2467" s="77">
        <v>3.0000000000000001E-3</v>
      </c>
      <c r="F2467" s="77">
        <v>5.0000000000000001E-3</v>
      </c>
      <c r="G2467" s="78">
        <v>0</v>
      </c>
      <c r="H2467" s="71">
        <v>8.1</v>
      </c>
      <c r="I2467" s="71">
        <v>10.6</v>
      </c>
      <c r="J2467" s="71">
        <v>13.2</v>
      </c>
      <c r="K2467" s="106">
        <v>6.6E-3</v>
      </c>
      <c r="L2467" s="80">
        <v>-1.2E-2</v>
      </c>
      <c r="M2467" s="75" t="s">
        <v>143</v>
      </c>
      <c r="N2467" s="75" t="b">
        <v>1</v>
      </c>
      <c r="O2467" s="75" t="s">
        <v>144</v>
      </c>
      <c r="P2467" s="75">
        <v>1994</v>
      </c>
      <c r="Q2467" s="107">
        <f t="shared" si="67"/>
        <v>2014</v>
      </c>
      <c r="R2467" s="107">
        <v>2</v>
      </c>
      <c r="S2467" s="100">
        <v>214111</v>
      </c>
      <c r="T2467" s="101">
        <v>41939</v>
      </c>
    </row>
    <row r="2468" spans="1:20" x14ac:dyDescent="0.3">
      <c r="A2468" s="42">
        <v>41916</v>
      </c>
      <c r="B2468" s="69">
        <f>YEAR(A2468)*10000+MONTH(A2468)*100+DAY(A2468)</f>
        <v>20141004</v>
      </c>
      <c r="C2468" s="109">
        <v>2.5000000000000001E-2</v>
      </c>
      <c r="D2468" s="77">
        <v>0</v>
      </c>
      <c r="E2468" s="77">
        <v>3.0000000000000001E-3</v>
      </c>
      <c r="F2468" s="77">
        <v>5.0000000000000001E-3</v>
      </c>
      <c r="G2468" s="78">
        <v>0</v>
      </c>
      <c r="H2468" s="71">
        <v>8.1</v>
      </c>
      <c r="I2468" s="71">
        <v>10.6</v>
      </c>
      <c r="J2468" s="71">
        <v>13.2</v>
      </c>
      <c r="K2468" s="106">
        <v>6.6E-3</v>
      </c>
      <c r="L2468" s="80">
        <v>-1.2E-2</v>
      </c>
      <c r="M2468" s="75" t="s">
        <v>143</v>
      </c>
      <c r="N2468" s="75" t="b">
        <v>1</v>
      </c>
      <c r="O2468" s="75" t="s">
        <v>144</v>
      </c>
      <c r="P2468" s="75">
        <v>1994</v>
      </c>
      <c r="Q2468" s="107">
        <f t="shared" si="67"/>
        <v>2014</v>
      </c>
      <c r="R2468" s="107">
        <v>2</v>
      </c>
      <c r="S2468" s="100">
        <v>214111</v>
      </c>
      <c r="T2468" s="101">
        <v>41939</v>
      </c>
    </row>
    <row r="2469" spans="1:20" x14ac:dyDescent="0.3">
      <c r="A2469" s="42">
        <v>41917</v>
      </c>
      <c r="B2469" s="69">
        <f>YEAR(A2469)*10000+MONTH(A2469)*100+DAY(A2469)</f>
        <v>20141005</v>
      </c>
      <c r="C2469" s="109">
        <v>2.5000000000000001E-2</v>
      </c>
      <c r="D2469" s="77">
        <v>0</v>
      </c>
      <c r="E2469" s="77">
        <v>3.0000000000000001E-3</v>
      </c>
      <c r="F2469" s="77">
        <v>5.0000000000000001E-3</v>
      </c>
      <c r="G2469" s="78">
        <v>0</v>
      </c>
      <c r="H2469" s="71">
        <v>8.1</v>
      </c>
      <c r="I2469" s="71">
        <v>10.6</v>
      </c>
      <c r="J2469" s="71">
        <v>13.2</v>
      </c>
      <c r="K2469" s="106">
        <v>6.6E-3</v>
      </c>
      <c r="L2469" s="80">
        <v>-1.2E-2</v>
      </c>
      <c r="M2469" s="75" t="s">
        <v>143</v>
      </c>
      <c r="N2469" s="75" t="b">
        <v>1</v>
      </c>
      <c r="O2469" s="75" t="s">
        <v>144</v>
      </c>
      <c r="P2469" s="75">
        <v>1994</v>
      </c>
      <c r="Q2469" s="107">
        <f t="shared" si="67"/>
        <v>2014</v>
      </c>
      <c r="R2469" s="107">
        <v>2</v>
      </c>
      <c r="S2469" s="100">
        <v>214111</v>
      </c>
      <c r="T2469" s="101">
        <v>41939</v>
      </c>
    </row>
    <row r="2470" spans="1:20" x14ac:dyDescent="0.3">
      <c r="A2470" s="42">
        <v>41918</v>
      </c>
      <c r="B2470" s="69">
        <f t="shared" si="68"/>
        <v>20141006</v>
      </c>
      <c r="C2470" s="109">
        <v>2.4799999999999999E-2</v>
      </c>
      <c r="D2470" s="77">
        <v>0</v>
      </c>
      <c r="E2470" s="77">
        <v>3.0000000000000001E-3</v>
      </c>
      <c r="F2470" s="77">
        <v>5.0000000000000001E-3</v>
      </c>
      <c r="G2470" s="78">
        <v>0</v>
      </c>
      <c r="H2470" s="71">
        <v>8.1</v>
      </c>
      <c r="I2470" s="71">
        <v>10.6</v>
      </c>
      <c r="J2470" s="71">
        <v>13.2</v>
      </c>
      <c r="K2470" s="106">
        <v>6.4000000000000003E-3</v>
      </c>
      <c r="L2470" s="80">
        <v>-1.2E-2</v>
      </c>
      <c r="M2470" s="75" t="s">
        <v>143</v>
      </c>
      <c r="N2470" s="75" t="b">
        <v>1</v>
      </c>
      <c r="O2470" s="75" t="s">
        <v>144</v>
      </c>
      <c r="P2470" s="75">
        <v>1994</v>
      </c>
      <c r="Q2470" s="107">
        <f t="shared" si="67"/>
        <v>2014</v>
      </c>
      <c r="R2470" s="107">
        <v>2</v>
      </c>
      <c r="S2470" s="100">
        <v>214111</v>
      </c>
      <c r="T2470" s="101">
        <v>41939</v>
      </c>
    </row>
    <row r="2471" spans="1:20" x14ac:dyDescent="0.3">
      <c r="A2471" s="42">
        <v>41919</v>
      </c>
      <c r="B2471" s="69">
        <f t="shared" si="68"/>
        <v>20141007</v>
      </c>
      <c r="C2471" s="109">
        <v>2.4399999999999998E-2</v>
      </c>
      <c r="D2471" s="77">
        <v>0</v>
      </c>
      <c r="E2471" s="77">
        <v>3.0000000000000001E-3</v>
      </c>
      <c r="F2471" s="77">
        <v>5.0000000000000001E-3</v>
      </c>
      <c r="G2471" s="78">
        <v>0</v>
      </c>
      <c r="H2471" s="71">
        <v>8.1</v>
      </c>
      <c r="I2471" s="71">
        <v>10.6</v>
      </c>
      <c r="J2471" s="71">
        <v>13.2</v>
      </c>
      <c r="K2471" s="106">
        <v>6.0000000000000001E-3</v>
      </c>
      <c r="L2471" s="80">
        <v>-1.2E-2</v>
      </c>
      <c r="M2471" s="75" t="s">
        <v>143</v>
      </c>
      <c r="N2471" s="75" t="b">
        <v>1</v>
      </c>
      <c r="O2471" s="75" t="s">
        <v>144</v>
      </c>
      <c r="P2471" s="75">
        <v>1994</v>
      </c>
      <c r="Q2471" s="107">
        <f t="shared" si="67"/>
        <v>2014</v>
      </c>
      <c r="R2471" s="107">
        <v>2</v>
      </c>
      <c r="S2471" s="100">
        <v>214111</v>
      </c>
      <c r="T2471" s="101">
        <v>41939</v>
      </c>
    </row>
    <row r="2472" spans="1:20" x14ac:dyDescent="0.3">
      <c r="A2472" s="42">
        <v>41920</v>
      </c>
      <c r="B2472" s="69">
        <f t="shared" si="68"/>
        <v>20141008</v>
      </c>
      <c r="C2472" s="109">
        <v>2.4300000000000002E-2</v>
      </c>
      <c r="D2472" s="77">
        <v>0</v>
      </c>
      <c r="E2472" s="77">
        <v>3.0000000000000001E-3</v>
      </c>
      <c r="F2472" s="77">
        <v>5.0000000000000001E-3</v>
      </c>
      <c r="G2472" s="78">
        <v>0</v>
      </c>
      <c r="H2472" s="71">
        <v>8.1</v>
      </c>
      <c r="I2472" s="71">
        <v>10.6</v>
      </c>
      <c r="J2472" s="71">
        <v>13.2</v>
      </c>
      <c r="K2472" s="106">
        <v>6.1999999999999998E-3</v>
      </c>
      <c r="L2472" s="80">
        <v>-1.2E-2</v>
      </c>
      <c r="M2472" s="75" t="s">
        <v>143</v>
      </c>
      <c r="N2472" s="75" t="b">
        <v>1</v>
      </c>
      <c r="O2472" s="75" t="s">
        <v>144</v>
      </c>
      <c r="P2472" s="75">
        <v>1994</v>
      </c>
      <c r="Q2472" s="107">
        <f t="shared" si="67"/>
        <v>2014</v>
      </c>
      <c r="R2472" s="107">
        <v>2</v>
      </c>
      <c r="S2472" s="100">
        <v>214111</v>
      </c>
      <c r="T2472" s="101">
        <v>41939</v>
      </c>
    </row>
    <row r="2473" spans="1:20" x14ac:dyDescent="0.3">
      <c r="A2473" s="42">
        <v>41921</v>
      </c>
      <c r="B2473" s="69">
        <f t="shared" si="68"/>
        <v>20141009</v>
      </c>
      <c r="C2473" s="109">
        <v>2.4500000000000001E-2</v>
      </c>
      <c r="D2473" s="77">
        <v>0</v>
      </c>
      <c r="E2473" s="77">
        <v>3.0000000000000001E-3</v>
      </c>
      <c r="F2473" s="77">
        <v>5.0000000000000001E-3</v>
      </c>
      <c r="G2473" s="78">
        <v>0</v>
      </c>
      <c r="H2473" s="71">
        <v>8.1</v>
      </c>
      <c r="I2473" s="71">
        <v>10.6</v>
      </c>
      <c r="J2473" s="71">
        <v>13.2</v>
      </c>
      <c r="K2473" s="106">
        <v>6.3E-3</v>
      </c>
      <c r="L2473" s="80">
        <v>-1.2E-2</v>
      </c>
      <c r="M2473" s="75" t="s">
        <v>143</v>
      </c>
      <c r="N2473" s="75" t="b">
        <v>1</v>
      </c>
      <c r="O2473" s="75" t="s">
        <v>144</v>
      </c>
      <c r="P2473" s="75">
        <v>1994</v>
      </c>
      <c r="Q2473" s="107">
        <f t="shared" si="67"/>
        <v>2014</v>
      </c>
      <c r="R2473" s="107">
        <v>2</v>
      </c>
      <c r="S2473" s="100">
        <v>214111</v>
      </c>
      <c r="T2473" s="101">
        <v>41939</v>
      </c>
    </row>
    <row r="2474" spans="1:20" x14ac:dyDescent="0.3">
      <c r="A2474" s="42">
        <v>41922</v>
      </c>
      <c r="B2474" s="69">
        <f t="shared" si="68"/>
        <v>20141010</v>
      </c>
      <c r="C2474" s="109">
        <v>2.4300000000000002E-2</v>
      </c>
      <c r="D2474" s="77">
        <v>0</v>
      </c>
      <c r="E2474" s="77">
        <v>3.0000000000000001E-3</v>
      </c>
      <c r="F2474" s="77">
        <v>5.0000000000000001E-3</v>
      </c>
      <c r="G2474" s="78">
        <v>0</v>
      </c>
      <c r="H2474" s="71">
        <v>8.1</v>
      </c>
      <c r="I2474" s="71">
        <v>10.6</v>
      </c>
      <c r="J2474" s="71">
        <v>13.2</v>
      </c>
      <c r="K2474" s="106">
        <v>6.0999999999999995E-3</v>
      </c>
      <c r="L2474" s="80">
        <v>-1.2E-2</v>
      </c>
      <c r="M2474" s="75" t="s">
        <v>143</v>
      </c>
      <c r="N2474" s="75" t="b">
        <v>1</v>
      </c>
      <c r="O2474" s="75" t="s">
        <v>144</v>
      </c>
      <c r="P2474" s="75">
        <v>1994</v>
      </c>
      <c r="Q2474" s="107">
        <f t="shared" si="67"/>
        <v>2014</v>
      </c>
      <c r="R2474" s="107">
        <v>2</v>
      </c>
      <c r="S2474" s="100">
        <v>214111</v>
      </c>
      <c r="T2474" s="101">
        <v>41939</v>
      </c>
    </row>
    <row r="2475" spans="1:20" x14ac:dyDescent="0.3">
      <c r="A2475" s="42">
        <v>41923</v>
      </c>
      <c r="B2475" s="69">
        <f>YEAR(A2475)*10000+MONTH(A2475)*100+DAY(A2475)</f>
        <v>20141011</v>
      </c>
      <c r="C2475" s="109">
        <v>2.4300000000000002E-2</v>
      </c>
      <c r="D2475" s="77">
        <v>0</v>
      </c>
      <c r="E2475" s="77">
        <v>3.0000000000000001E-3</v>
      </c>
      <c r="F2475" s="77">
        <v>5.0000000000000001E-3</v>
      </c>
      <c r="G2475" s="78">
        <v>0</v>
      </c>
      <c r="H2475" s="71">
        <v>8.1</v>
      </c>
      <c r="I2475" s="71">
        <v>10.6</v>
      </c>
      <c r="J2475" s="71">
        <v>13.2</v>
      </c>
      <c r="K2475" s="106">
        <v>6.0999999999999995E-3</v>
      </c>
      <c r="L2475" s="80">
        <v>-1.2E-2</v>
      </c>
      <c r="M2475" s="75" t="s">
        <v>143</v>
      </c>
      <c r="N2475" s="75" t="b">
        <v>1</v>
      </c>
      <c r="O2475" s="75" t="s">
        <v>144</v>
      </c>
      <c r="P2475" s="75">
        <v>1994</v>
      </c>
      <c r="Q2475" s="107">
        <f t="shared" si="67"/>
        <v>2014</v>
      </c>
      <c r="R2475" s="107">
        <v>2</v>
      </c>
      <c r="S2475" s="100">
        <v>214111</v>
      </c>
      <c r="T2475" s="101">
        <v>41939</v>
      </c>
    </row>
    <row r="2476" spans="1:20" x14ac:dyDescent="0.3">
      <c r="A2476" s="42">
        <v>41924</v>
      </c>
      <c r="B2476" s="69">
        <f>YEAR(A2476)*10000+MONTH(A2476)*100+DAY(A2476)</f>
        <v>20141012</v>
      </c>
      <c r="C2476" s="109">
        <v>2.4300000000000002E-2</v>
      </c>
      <c r="D2476" s="77">
        <v>0</v>
      </c>
      <c r="E2476" s="77">
        <v>3.0000000000000001E-3</v>
      </c>
      <c r="F2476" s="77">
        <v>5.0000000000000001E-3</v>
      </c>
      <c r="G2476" s="78">
        <v>0</v>
      </c>
      <c r="H2476" s="71">
        <v>8.1</v>
      </c>
      <c r="I2476" s="71">
        <v>10.6</v>
      </c>
      <c r="J2476" s="71">
        <v>13.2</v>
      </c>
      <c r="K2476" s="106">
        <v>6.0999999999999995E-3</v>
      </c>
      <c r="L2476" s="80">
        <v>-1.2E-2</v>
      </c>
      <c r="M2476" s="75" t="s">
        <v>143</v>
      </c>
      <c r="N2476" s="75" t="b">
        <v>1</v>
      </c>
      <c r="O2476" s="75" t="s">
        <v>144</v>
      </c>
      <c r="P2476" s="75">
        <v>1994</v>
      </c>
      <c r="Q2476" s="107">
        <f t="shared" si="67"/>
        <v>2014</v>
      </c>
      <c r="R2476" s="107">
        <v>2</v>
      </c>
      <c r="S2476" s="100">
        <v>214111</v>
      </c>
      <c r="T2476" s="101">
        <v>41939</v>
      </c>
    </row>
    <row r="2477" spans="1:20" x14ac:dyDescent="0.3">
      <c r="A2477" s="42">
        <v>41925</v>
      </c>
      <c r="B2477" s="69">
        <f t="shared" si="68"/>
        <v>20141013</v>
      </c>
      <c r="C2477" s="109">
        <v>2.4300000000000002E-2</v>
      </c>
      <c r="D2477" s="77">
        <v>0</v>
      </c>
      <c r="E2477" s="77">
        <v>3.0000000000000001E-3</v>
      </c>
      <c r="F2477" s="77">
        <v>5.0000000000000001E-3</v>
      </c>
      <c r="G2477" s="78">
        <v>0</v>
      </c>
      <c r="H2477" s="71">
        <v>8.1</v>
      </c>
      <c r="I2477" s="71">
        <v>10.6</v>
      </c>
      <c r="J2477" s="71">
        <v>13.2</v>
      </c>
      <c r="K2477" s="106">
        <v>6.0999999999999995E-3</v>
      </c>
      <c r="L2477" s="80">
        <v>-1.2E-2</v>
      </c>
      <c r="M2477" s="75" t="s">
        <v>143</v>
      </c>
      <c r="N2477" s="75" t="b">
        <v>1</v>
      </c>
      <c r="O2477" s="75" t="s">
        <v>144</v>
      </c>
      <c r="P2477" s="75">
        <v>1994</v>
      </c>
      <c r="Q2477" s="107">
        <f t="shared" si="67"/>
        <v>2014</v>
      </c>
      <c r="R2477" s="107">
        <v>2</v>
      </c>
      <c r="S2477" s="100">
        <v>214111</v>
      </c>
      <c r="T2477" s="101">
        <v>41939</v>
      </c>
    </row>
    <row r="2478" spans="1:20" x14ac:dyDescent="0.3">
      <c r="A2478" s="42">
        <v>41926</v>
      </c>
      <c r="B2478" s="69">
        <f t="shared" si="68"/>
        <v>20141014</v>
      </c>
      <c r="C2478" s="109">
        <v>2.3700000000000002E-2</v>
      </c>
      <c r="D2478" s="77">
        <v>0</v>
      </c>
      <c r="E2478" s="77">
        <v>3.0000000000000001E-3</v>
      </c>
      <c r="F2478" s="77">
        <v>5.0000000000000001E-3</v>
      </c>
      <c r="G2478" s="78">
        <v>0</v>
      </c>
      <c r="H2478" s="71">
        <v>8.1</v>
      </c>
      <c r="I2478" s="71">
        <v>10.6</v>
      </c>
      <c r="J2478" s="71">
        <v>13.2</v>
      </c>
      <c r="K2478" s="106">
        <v>5.6999999999999993E-3</v>
      </c>
      <c r="L2478" s="80">
        <v>-1.2E-2</v>
      </c>
      <c r="M2478" s="75" t="s">
        <v>143</v>
      </c>
      <c r="N2478" s="75" t="b">
        <v>1</v>
      </c>
      <c r="O2478" s="75" t="s">
        <v>144</v>
      </c>
      <c r="P2478" s="75">
        <v>1994</v>
      </c>
      <c r="Q2478" s="107">
        <f t="shared" ref="Q2478:Q2541" si="69">YEAR(A2478)</f>
        <v>2014</v>
      </c>
      <c r="R2478" s="107">
        <v>2</v>
      </c>
      <c r="S2478" s="100">
        <v>214111</v>
      </c>
      <c r="T2478" s="101">
        <v>41939</v>
      </c>
    </row>
    <row r="2479" spans="1:20" x14ac:dyDescent="0.3">
      <c r="A2479" s="42">
        <v>41927</v>
      </c>
      <c r="B2479" s="69">
        <f t="shared" si="68"/>
        <v>20141015</v>
      </c>
      <c r="C2479" s="109">
        <v>2.3300000000000001E-2</v>
      </c>
      <c r="D2479" s="77">
        <v>0</v>
      </c>
      <c r="E2479" s="77">
        <v>3.0000000000000001E-3</v>
      </c>
      <c r="F2479" s="77">
        <v>5.0000000000000001E-3</v>
      </c>
      <c r="G2479" s="78">
        <v>0</v>
      </c>
      <c r="H2479" s="71">
        <v>8.1</v>
      </c>
      <c r="I2479" s="71">
        <v>10.6</v>
      </c>
      <c r="J2479" s="71">
        <v>13.2</v>
      </c>
      <c r="K2479" s="106">
        <v>5.6000000000000008E-3</v>
      </c>
      <c r="L2479" s="80">
        <v>-1.2E-2</v>
      </c>
      <c r="M2479" s="75" t="s">
        <v>143</v>
      </c>
      <c r="N2479" s="75" t="b">
        <v>1</v>
      </c>
      <c r="O2479" s="75" t="s">
        <v>144</v>
      </c>
      <c r="P2479" s="75">
        <v>1994</v>
      </c>
      <c r="Q2479" s="107">
        <f t="shared" si="69"/>
        <v>2014</v>
      </c>
      <c r="R2479" s="107">
        <v>2</v>
      </c>
      <c r="S2479" s="100">
        <v>214111</v>
      </c>
      <c r="T2479" s="101">
        <v>41939</v>
      </c>
    </row>
    <row r="2480" spans="1:20" x14ac:dyDescent="0.3">
      <c r="A2480" s="42">
        <v>41928</v>
      </c>
      <c r="B2480" s="69">
        <f t="shared" si="68"/>
        <v>20141016</v>
      </c>
      <c r="C2480" s="109">
        <v>2.3700000000000002E-2</v>
      </c>
      <c r="D2480" s="77">
        <v>0</v>
      </c>
      <c r="E2480" s="77">
        <v>3.0000000000000001E-3</v>
      </c>
      <c r="F2480" s="77">
        <v>5.0000000000000001E-3</v>
      </c>
      <c r="G2480" s="78">
        <v>0</v>
      </c>
      <c r="H2480" s="71">
        <v>8.1</v>
      </c>
      <c r="I2480" s="71">
        <v>10.6</v>
      </c>
      <c r="J2480" s="71">
        <v>13.2</v>
      </c>
      <c r="K2480" s="106">
        <v>5.7999999999999996E-3</v>
      </c>
      <c r="L2480" s="80">
        <v>-1.2E-2</v>
      </c>
      <c r="M2480" s="75" t="s">
        <v>143</v>
      </c>
      <c r="N2480" s="75" t="b">
        <v>1</v>
      </c>
      <c r="O2480" s="75" t="s">
        <v>144</v>
      </c>
      <c r="P2480" s="75">
        <v>1994</v>
      </c>
      <c r="Q2480" s="107">
        <f t="shared" si="69"/>
        <v>2014</v>
      </c>
      <c r="R2480" s="107">
        <v>2</v>
      </c>
      <c r="S2480" s="100">
        <v>214111</v>
      </c>
      <c r="T2480" s="101">
        <v>41939</v>
      </c>
    </row>
    <row r="2481" spans="1:20" x14ac:dyDescent="0.3">
      <c r="A2481" s="42">
        <v>41929</v>
      </c>
      <c r="B2481" s="69">
        <f t="shared" si="68"/>
        <v>20141017</v>
      </c>
      <c r="C2481" s="109">
        <v>2.3900000000000001E-2</v>
      </c>
      <c r="D2481" s="77">
        <v>0</v>
      </c>
      <c r="E2481" s="77">
        <v>3.0000000000000001E-3</v>
      </c>
      <c r="F2481" s="77">
        <v>5.0000000000000001E-3</v>
      </c>
      <c r="G2481" s="78">
        <v>0</v>
      </c>
      <c r="H2481" s="71">
        <v>8.1</v>
      </c>
      <c r="I2481" s="71">
        <v>10.6</v>
      </c>
      <c r="J2481" s="71">
        <v>13.2</v>
      </c>
      <c r="K2481" s="106">
        <v>5.7999999999999996E-3</v>
      </c>
      <c r="L2481" s="80">
        <v>-1.2E-2</v>
      </c>
      <c r="M2481" s="75" t="s">
        <v>143</v>
      </c>
      <c r="N2481" s="75" t="b">
        <v>1</v>
      </c>
      <c r="O2481" s="75" t="s">
        <v>144</v>
      </c>
      <c r="P2481" s="75">
        <v>1994</v>
      </c>
      <c r="Q2481" s="107">
        <f t="shared" si="69"/>
        <v>2014</v>
      </c>
      <c r="R2481" s="107">
        <v>2</v>
      </c>
      <c r="S2481" s="100">
        <v>214111</v>
      </c>
      <c r="T2481" s="101">
        <v>41939</v>
      </c>
    </row>
    <row r="2482" spans="1:20" x14ac:dyDescent="0.3">
      <c r="A2482" s="42">
        <v>41930</v>
      </c>
      <c r="B2482" s="69">
        <f>YEAR(A2482)*10000+MONTH(A2482)*100+DAY(A2482)</f>
        <v>20141018</v>
      </c>
      <c r="C2482" s="109">
        <v>2.3900000000000001E-2</v>
      </c>
      <c r="D2482" s="77">
        <v>0</v>
      </c>
      <c r="E2482" s="77">
        <v>3.0000000000000001E-3</v>
      </c>
      <c r="F2482" s="77">
        <v>5.0000000000000001E-3</v>
      </c>
      <c r="G2482" s="78">
        <v>0</v>
      </c>
      <c r="H2482" s="71">
        <v>8.1</v>
      </c>
      <c r="I2482" s="71">
        <v>10.6</v>
      </c>
      <c r="J2482" s="71">
        <v>13.2</v>
      </c>
      <c r="K2482" s="106">
        <v>5.7999999999999996E-3</v>
      </c>
      <c r="L2482" s="80">
        <v>-1.2E-2</v>
      </c>
      <c r="M2482" s="75" t="s">
        <v>143</v>
      </c>
      <c r="N2482" s="75" t="b">
        <v>1</v>
      </c>
      <c r="O2482" s="75" t="s">
        <v>144</v>
      </c>
      <c r="P2482" s="75">
        <v>1994</v>
      </c>
      <c r="Q2482" s="107">
        <f t="shared" si="69"/>
        <v>2014</v>
      </c>
      <c r="R2482" s="107">
        <v>2</v>
      </c>
      <c r="S2482" s="100">
        <v>214111</v>
      </c>
      <c r="T2482" s="101">
        <v>41939</v>
      </c>
    </row>
    <row r="2483" spans="1:20" x14ac:dyDescent="0.3">
      <c r="A2483" s="42">
        <v>41931</v>
      </c>
      <c r="B2483" s="69">
        <f>YEAR(A2483)*10000+MONTH(A2483)*100+DAY(A2483)</f>
        <v>20141019</v>
      </c>
      <c r="C2483" s="109">
        <v>2.3900000000000001E-2</v>
      </c>
      <c r="D2483" s="77">
        <v>0</v>
      </c>
      <c r="E2483" s="77">
        <v>3.0000000000000001E-3</v>
      </c>
      <c r="F2483" s="77">
        <v>5.0000000000000001E-3</v>
      </c>
      <c r="G2483" s="78">
        <v>0</v>
      </c>
      <c r="H2483" s="71">
        <v>8.1</v>
      </c>
      <c r="I2483" s="71">
        <v>10.6</v>
      </c>
      <c r="J2483" s="71">
        <v>13.2</v>
      </c>
      <c r="K2483" s="106">
        <v>5.7999999999999996E-3</v>
      </c>
      <c r="L2483" s="80">
        <v>-1.2E-2</v>
      </c>
      <c r="M2483" s="75" t="s">
        <v>143</v>
      </c>
      <c r="N2483" s="75" t="b">
        <v>1</v>
      </c>
      <c r="O2483" s="75" t="s">
        <v>144</v>
      </c>
      <c r="P2483" s="75">
        <v>1994</v>
      </c>
      <c r="Q2483" s="107">
        <f t="shared" si="69"/>
        <v>2014</v>
      </c>
      <c r="R2483" s="107">
        <v>2</v>
      </c>
      <c r="S2483" s="100">
        <v>214111</v>
      </c>
      <c r="T2483" s="101">
        <v>41939</v>
      </c>
    </row>
    <row r="2484" spans="1:20" x14ac:dyDescent="0.3">
      <c r="A2484" s="42">
        <v>41932</v>
      </c>
      <c r="B2484" s="69">
        <f t="shared" si="68"/>
        <v>20141020</v>
      </c>
      <c r="C2484" s="109">
        <v>2.3799999999999998E-2</v>
      </c>
      <c r="D2484" s="77">
        <v>0</v>
      </c>
      <c r="E2484" s="77">
        <v>3.0000000000000001E-3</v>
      </c>
      <c r="F2484" s="77">
        <v>5.0000000000000001E-3</v>
      </c>
      <c r="G2484" s="78">
        <v>0</v>
      </c>
      <c r="H2484" s="71">
        <v>8.1</v>
      </c>
      <c r="I2484" s="71">
        <v>10.6</v>
      </c>
      <c r="J2484" s="71">
        <v>13.2</v>
      </c>
      <c r="K2484" s="106">
        <v>5.7999999999999996E-3</v>
      </c>
      <c r="L2484" s="80">
        <v>-1.2E-2</v>
      </c>
      <c r="M2484" s="75" t="s">
        <v>143</v>
      </c>
      <c r="N2484" s="75" t="b">
        <v>1</v>
      </c>
      <c r="O2484" s="75" t="s">
        <v>144</v>
      </c>
      <c r="P2484" s="75">
        <v>1994</v>
      </c>
      <c r="Q2484" s="107">
        <f t="shared" si="69"/>
        <v>2014</v>
      </c>
      <c r="R2484" s="107">
        <v>2</v>
      </c>
      <c r="S2484" s="100">
        <v>214111</v>
      </c>
      <c r="T2484" s="101">
        <v>41939</v>
      </c>
    </row>
    <row r="2485" spans="1:20" x14ac:dyDescent="0.3">
      <c r="A2485" s="42">
        <v>41933</v>
      </c>
      <c r="B2485" s="69">
        <f t="shared" si="68"/>
        <v>20141021</v>
      </c>
      <c r="C2485" s="109">
        <v>2.4E-2</v>
      </c>
      <c r="D2485" s="77">
        <v>0</v>
      </c>
      <c r="E2485" s="77">
        <v>3.0000000000000001E-3</v>
      </c>
      <c r="F2485" s="77">
        <v>5.0000000000000001E-3</v>
      </c>
      <c r="G2485" s="78">
        <v>0</v>
      </c>
      <c r="H2485" s="71">
        <v>8.1</v>
      </c>
      <c r="I2485" s="71">
        <v>10.6</v>
      </c>
      <c r="J2485" s="71">
        <v>13.2</v>
      </c>
      <c r="K2485" s="106">
        <v>5.8999999999999999E-3</v>
      </c>
      <c r="L2485" s="80">
        <v>-1.2E-2</v>
      </c>
      <c r="M2485" s="75" t="s">
        <v>143</v>
      </c>
      <c r="N2485" s="75" t="b">
        <v>1</v>
      </c>
      <c r="O2485" s="75" t="s">
        <v>144</v>
      </c>
      <c r="P2485" s="75">
        <v>1994</v>
      </c>
      <c r="Q2485" s="107">
        <f t="shared" si="69"/>
        <v>2014</v>
      </c>
      <c r="R2485" s="107">
        <v>2</v>
      </c>
      <c r="S2485" s="100">
        <v>214111</v>
      </c>
      <c r="T2485" s="101">
        <v>41939</v>
      </c>
    </row>
    <row r="2486" spans="1:20" x14ac:dyDescent="0.3">
      <c r="A2486" s="42">
        <v>41934</v>
      </c>
      <c r="B2486" s="69">
        <f t="shared" si="68"/>
        <v>20141022</v>
      </c>
      <c r="C2486" s="109">
        <v>2.4E-2</v>
      </c>
      <c r="D2486" s="77">
        <v>0</v>
      </c>
      <c r="E2486" s="77">
        <v>3.0000000000000001E-3</v>
      </c>
      <c r="F2486" s="77">
        <v>5.0000000000000001E-3</v>
      </c>
      <c r="G2486" s="78">
        <v>0</v>
      </c>
      <c r="H2486" s="71">
        <v>8.1</v>
      </c>
      <c r="I2486" s="71">
        <v>10.6</v>
      </c>
      <c r="J2486" s="71">
        <v>13.2</v>
      </c>
      <c r="K2486" s="106">
        <v>6.1999999999999998E-3</v>
      </c>
      <c r="L2486" s="80">
        <v>-1.2E-2</v>
      </c>
      <c r="M2486" s="75" t="s">
        <v>143</v>
      </c>
      <c r="N2486" s="75" t="b">
        <v>1</v>
      </c>
      <c r="O2486" s="75" t="s">
        <v>144</v>
      </c>
      <c r="P2486" s="75">
        <v>1994</v>
      </c>
      <c r="Q2486" s="107">
        <f t="shared" si="69"/>
        <v>2014</v>
      </c>
      <c r="R2486" s="107">
        <v>2</v>
      </c>
      <c r="S2486" s="100">
        <v>214111</v>
      </c>
      <c r="T2486" s="101">
        <v>41939</v>
      </c>
    </row>
    <row r="2487" spans="1:20" x14ac:dyDescent="0.3">
      <c r="A2487" s="42">
        <v>41935</v>
      </c>
      <c r="B2487" s="69">
        <f t="shared" si="68"/>
        <v>20141023</v>
      </c>
      <c r="C2487" s="109">
        <v>2.4199999999999999E-2</v>
      </c>
      <c r="D2487" s="77">
        <v>0</v>
      </c>
      <c r="E2487" s="77">
        <v>3.0000000000000001E-3</v>
      </c>
      <c r="F2487" s="77">
        <v>5.0000000000000001E-3</v>
      </c>
      <c r="G2487" s="78">
        <v>0</v>
      </c>
      <c r="H2487" s="71">
        <v>8.1</v>
      </c>
      <c r="I2487" s="71">
        <v>10.6</v>
      </c>
      <c r="J2487" s="71">
        <v>13.2</v>
      </c>
      <c r="K2487" s="106">
        <v>6.4000000000000003E-3</v>
      </c>
      <c r="L2487" s="80">
        <v>-1.2E-2</v>
      </c>
      <c r="M2487" s="75" t="s">
        <v>143</v>
      </c>
      <c r="N2487" s="75" t="b">
        <v>1</v>
      </c>
      <c r="O2487" s="75" t="s">
        <v>144</v>
      </c>
      <c r="P2487" s="75">
        <v>1994</v>
      </c>
      <c r="Q2487" s="107">
        <f t="shared" si="69"/>
        <v>2014</v>
      </c>
      <c r="R2487" s="107">
        <v>2</v>
      </c>
      <c r="S2487" s="100">
        <v>214111</v>
      </c>
      <c r="T2487" s="101">
        <v>41939</v>
      </c>
    </row>
    <row r="2488" spans="1:20" x14ac:dyDescent="0.3">
      <c r="A2488" s="42">
        <v>41936</v>
      </c>
      <c r="B2488" s="69">
        <f t="shared" si="68"/>
        <v>20141024</v>
      </c>
      <c r="C2488" s="109">
        <v>2.4199999999999999E-2</v>
      </c>
      <c r="D2488" s="77">
        <v>0</v>
      </c>
      <c r="E2488" s="77">
        <v>3.0000000000000001E-3</v>
      </c>
      <c r="F2488" s="77">
        <v>5.0000000000000001E-3</v>
      </c>
      <c r="G2488" s="78">
        <v>0</v>
      </c>
      <c r="H2488" s="71">
        <v>8.1</v>
      </c>
      <c r="I2488" s="71">
        <v>10.6</v>
      </c>
      <c r="J2488" s="71">
        <v>13.2</v>
      </c>
      <c r="K2488" s="106">
        <v>6.4000000000000003E-3</v>
      </c>
      <c r="L2488" s="80">
        <v>-1.2E-2</v>
      </c>
      <c r="M2488" s="75" t="s">
        <v>143</v>
      </c>
      <c r="N2488" s="75" t="b">
        <v>1</v>
      </c>
      <c r="O2488" s="75" t="s">
        <v>144</v>
      </c>
      <c r="P2488" s="75">
        <v>1994</v>
      </c>
      <c r="Q2488" s="107">
        <f t="shared" si="69"/>
        <v>2014</v>
      </c>
      <c r="R2488" s="107">
        <v>2</v>
      </c>
      <c r="S2488" s="100">
        <v>214111</v>
      </c>
      <c r="T2488" s="101">
        <v>41939</v>
      </c>
    </row>
    <row r="2489" spans="1:20" x14ac:dyDescent="0.3">
      <c r="A2489" s="42">
        <v>41937</v>
      </c>
      <c r="B2489" s="69">
        <f>YEAR(A2489)*10000+MONTH(A2489)*100+DAY(A2489)</f>
        <v>20141025</v>
      </c>
      <c r="C2489" s="109">
        <v>2.4199999999999999E-2</v>
      </c>
      <c r="D2489" s="77">
        <v>0</v>
      </c>
      <c r="E2489" s="77">
        <v>3.0000000000000001E-3</v>
      </c>
      <c r="F2489" s="77">
        <v>5.0000000000000001E-3</v>
      </c>
      <c r="G2489" s="78">
        <v>0</v>
      </c>
      <c r="H2489" s="71">
        <v>8.1</v>
      </c>
      <c r="I2489" s="71">
        <v>10.6</v>
      </c>
      <c r="J2489" s="71">
        <v>13.2</v>
      </c>
      <c r="K2489" s="106">
        <v>6.4000000000000003E-3</v>
      </c>
      <c r="L2489" s="80">
        <v>-1.2E-2</v>
      </c>
      <c r="M2489" s="75" t="s">
        <v>143</v>
      </c>
      <c r="N2489" s="75" t="b">
        <v>1</v>
      </c>
      <c r="O2489" s="75" t="s">
        <v>144</v>
      </c>
      <c r="P2489" s="75">
        <v>1994</v>
      </c>
      <c r="Q2489" s="107">
        <f t="shared" si="69"/>
        <v>2014</v>
      </c>
      <c r="R2489" s="107">
        <v>2</v>
      </c>
      <c r="S2489" s="100">
        <v>214111</v>
      </c>
      <c r="T2489" s="101">
        <v>41939</v>
      </c>
    </row>
    <row r="2490" spans="1:20" x14ac:dyDescent="0.3">
      <c r="A2490" s="42">
        <v>41938</v>
      </c>
      <c r="B2490" s="69">
        <f>YEAR(A2490)*10000+MONTH(A2490)*100+DAY(A2490)</f>
        <v>20141026</v>
      </c>
      <c r="C2490" s="109">
        <v>2.4199999999999999E-2</v>
      </c>
      <c r="D2490" s="77">
        <v>0</v>
      </c>
      <c r="E2490" s="77">
        <v>3.0000000000000001E-3</v>
      </c>
      <c r="F2490" s="77">
        <v>5.0000000000000001E-3</v>
      </c>
      <c r="G2490" s="78">
        <v>0</v>
      </c>
      <c r="H2490" s="71">
        <v>8.1</v>
      </c>
      <c r="I2490" s="71">
        <v>10.6</v>
      </c>
      <c r="J2490" s="71">
        <v>13.2</v>
      </c>
      <c r="K2490" s="106">
        <v>6.4000000000000003E-3</v>
      </c>
      <c r="L2490" s="80">
        <v>-1.2E-2</v>
      </c>
      <c r="M2490" s="75" t="s">
        <v>143</v>
      </c>
      <c r="N2490" s="75" t="b">
        <v>1</v>
      </c>
      <c r="O2490" s="75" t="s">
        <v>144</v>
      </c>
      <c r="P2490" s="75">
        <v>1994</v>
      </c>
      <c r="Q2490" s="107">
        <f t="shared" si="69"/>
        <v>2014</v>
      </c>
      <c r="R2490" s="107">
        <v>2</v>
      </c>
      <c r="S2490" s="100">
        <v>214111</v>
      </c>
      <c r="T2490" s="101">
        <v>41939</v>
      </c>
    </row>
    <row r="2491" spans="1:20" x14ac:dyDescent="0.3">
      <c r="A2491" s="42">
        <v>41939</v>
      </c>
      <c r="B2491" s="69">
        <f t="shared" si="68"/>
        <v>20141027</v>
      </c>
      <c r="C2491" s="109">
        <v>2.4300000000000002E-2</v>
      </c>
      <c r="D2491" s="77">
        <v>0</v>
      </c>
      <c r="E2491" s="77">
        <v>3.0000000000000001E-3</v>
      </c>
      <c r="F2491" s="77">
        <v>5.0000000000000001E-3</v>
      </c>
      <c r="G2491" s="78">
        <v>0</v>
      </c>
      <c r="H2491" s="71">
        <v>8.1</v>
      </c>
      <c r="I2491" s="71">
        <v>10.6</v>
      </c>
      <c r="J2491" s="71">
        <v>13.2</v>
      </c>
      <c r="K2491" s="106">
        <v>6.5000000000000006E-3</v>
      </c>
      <c r="L2491" s="80">
        <v>-1.2E-2</v>
      </c>
      <c r="M2491" s="75" t="s">
        <v>143</v>
      </c>
      <c r="N2491" s="75" t="b">
        <v>1</v>
      </c>
      <c r="O2491" s="75" t="s">
        <v>144</v>
      </c>
      <c r="P2491" s="75">
        <v>1994</v>
      </c>
      <c r="Q2491" s="107">
        <f t="shared" si="69"/>
        <v>2014</v>
      </c>
      <c r="R2491" s="107">
        <v>2</v>
      </c>
      <c r="S2491" s="100">
        <v>214111</v>
      </c>
      <c r="T2491" s="101">
        <v>41939</v>
      </c>
    </row>
    <row r="2492" spans="1:20" x14ac:dyDescent="0.3">
      <c r="A2492" s="42">
        <v>41940</v>
      </c>
      <c r="B2492" s="69">
        <f t="shared" si="68"/>
        <v>20141028</v>
      </c>
      <c r="C2492" s="109">
        <v>2.4500000000000001E-2</v>
      </c>
      <c r="D2492" s="77">
        <v>0</v>
      </c>
      <c r="E2492" s="77">
        <v>3.0000000000000001E-3</v>
      </c>
      <c r="F2492" s="77">
        <v>5.0000000000000001E-3</v>
      </c>
      <c r="G2492" s="78">
        <v>0</v>
      </c>
      <c r="H2492" s="71">
        <v>8.1</v>
      </c>
      <c r="I2492" s="71">
        <v>10.6</v>
      </c>
      <c r="J2492" s="71">
        <v>13.2</v>
      </c>
      <c r="K2492" s="106">
        <v>6.7000000000000002E-3</v>
      </c>
      <c r="L2492" s="80">
        <v>-1.2E-2</v>
      </c>
      <c r="M2492" s="75" t="s">
        <v>143</v>
      </c>
      <c r="N2492" s="75" t="b">
        <v>1</v>
      </c>
      <c r="O2492" s="75" t="s">
        <v>144</v>
      </c>
      <c r="P2492" s="75">
        <v>1994</v>
      </c>
      <c r="Q2492" s="107">
        <f t="shared" si="69"/>
        <v>2014</v>
      </c>
      <c r="R2492" s="107">
        <v>2</v>
      </c>
      <c r="S2492" s="100">
        <v>214111</v>
      </c>
      <c r="T2492" s="101">
        <v>41939</v>
      </c>
    </row>
    <row r="2493" spans="1:20" x14ac:dyDescent="0.3">
      <c r="A2493" s="42">
        <v>41941</v>
      </c>
      <c r="B2493" s="69">
        <f t="shared" si="68"/>
        <v>20141029</v>
      </c>
      <c r="C2493" s="109">
        <v>2.46E-2</v>
      </c>
      <c r="D2493" s="77">
        <v>0</v>
      </c>
      <c r="E2493" s="77">
        <v>3.0000000000000001E-3</v>
      </c>
      <c r="F2493" s="77">
        <v>5.0000000000000001E-3</v>
      </c>
      <c r="G2493" s="78">
        <v>0</v>
      </c>
      <c r="H2493" s="71">
        <v>8.1</v>
      </c>
      <c r="I2493" s="71">
        <v>10.6</v>
      </c>
      <c r="J2493" s="71">
        <v>13.2</v>
      </c>
      <c r="K2493" s="106">
        <v>6.8000000000000005E-3</v>
      </c>
      <c r="L2493" s="80">
        <v>-1.2E-2</v>
      </c>
      <c r="M2493" s="75" t="s">
        <v>143</v>
      </c>
      <c r="N2493" s="75" t="b">
        <v>1</v>
      </c>
      <c r="O2493" s="75" t="s">
        <v>144</v>
      </c>
      <c r="P2493" s="75">
        <v>1994</v>
      </c>
      <c r="Q2493" s="107">
        <f t="shared" si="69"/>
        <v>2014</v>
      </c>
      <c r="R2493" s="107">
        <v>2</v>
      </c>
      <c r="S2493" s="100">
        <v>214111</v>
      </c>
      <c r="T2493" s="101">
        <v>41939</v>
      </c>
    </row>
    <row r="2494" spans="1:20" x14ac:dyDescent="0.3">
      <c r="A2494" s="42">
        <v>41942</v>
      </c>
      <c r="B2494" s="69">
        <f t="shared" si="68"/>
        <v>20141030</v>
      </c>
      <c r="C2494" s="109">
        <v>2.46E-2</v>
      </c>
      <c r="D2494" s="77">
        <v>0</v>
      </c>
      <c r="E2494" s="77">
        <v>3.0000000000000001E-3</v>
      </c>
      <c r="F2494" s="77">
        <v>5.0000000000000001E-3</v>
      </c>
      <c r="G2494" s="78">
        <v>0</v>
      </c>
      <c r="H2494" s="71">
        <v>8.1</v>
      </c>
      <c r="I2494" s="71">
        <v>10.6</v>
      </c>
      <c r="J2494" s="71">
        <v>13.2</v>
      </c>
      <c r="K2494" s="106">
        <v>6.8000000000000005E-3</v>
      </c>
      <c r="L2494" s="80">
        <v>-1.2E-2</v>
      </c>
      <c r="M2494" s="75" t="s">
        <v>143</v>
      </c>
      <c r="N2494" s="75" t="b">
        <v>1</v>
      </c>
      <c r="O2494" s="75" t="s">
        <v>144</v>
      </c>
      <c r="P2494" s="75">
        <v>1994</v>
      </c>
      <c r="Q2494" s="107">
        <f t="shared" si="69"/>
        <v>2014</v>
      </c>
      <c r="R2494" s="107">
        <v>2</v>
      </c>
      <c r="S2494" s="100">
        <v>214111</v>
      </c>
      <c r="T2494" s="101">
        <v>41939</v>
      </c>
    </row>
    <row r="2495" spans="1:20" x14ac:dyDescent="0.3">
      <c r="A2495" s="42">
        <v>41943</v>
      </c>
      <c r="B2495" s="69">
        <f>YEAR(A2495)*10000+MONTH(A2495)*100+DAY(A2495)</f>
        <v>20141031</v>
      </c>
      <c r="C2495" s="109">
        <v>2.46E-2</v>
      </c>
      <c r="D2495" s="77">
        <v>0</v>
      </c>
      <c r="E2495" s="77">
        <v>3.0000000000000001E-3</v>
      </c>
      <c r="F2495" s="77">
        <v>5.0000000000000001E-3</v>
      </c>
      <c r="G2495" s="78">
        <v>0</v>
      </c>
      <c r="H2495" s="71">
        <v>8.1</v>
      </c>
      <c r="I2495" s="71">
        <v>10.6</v>
      </c>
      <c r="J2495" s="71">
        <v>13.2</v>
      </c>
      <c r="K2495" s="106">
        <v>6.8000000000000005E-3</v>
      </c>
      <c r="L2495" s="80">
        <v>-1.2E-2</v>
      </c>
      <c r="M2495" s="75" t="s">
        <v>143</v>
      </c>
      <c r="N2495" s="75" t="b">
        <v>1</v>
      </c>
      <c r="O2495" s="75" t="s">
        <v>144</v>
      </c>
      <c r="P2495" s="75">
        <v>1994</v>
      </c>
      <c r="Q2495" s="107">
        <f t="shared" si="69"/>
        <v>2014</v>
      </c>
      <c r="R2495" s="107">
        <v>2</v>
      </c>
      <c r="S2495" s="100">
        <v>214111</v>
      </c>
      <c r="T2495" s="101">
        <v>41939</v>
      </c>
    </row>
    <row r="2496" spans="1:20" x14ac:dyDescent="0.3">
      <c r="A2496" s="42">
        <v>41944</v>
      </c>
      <c r="B2496" s="69">
        <f>YEAR(A2496)*10000+MONTH(A2496)*100+DAY(A2496)</f>
        <v>20141101</v>
      </c>
      <c r="C2496" s="109">
        <v>2.46E-2</v>
      </c>
      <c r="D2496" s="77">
        <v>0</v>
      </c>
      <c r="E2496" s="77">
        <v>3.0000000000000001E-3</v>
      </c>
      <c r="F2496" s="77">
        <v>5.0000000000000001E-3</v>
      </c>
      <c r="G2496" s="78">
        <v>0</v>
      </c>
      <c r="H2496" s="71">
        <v>8.1</v>
      </c>
      <c r="I2496" s="71">
        <v>10.6</v>
      </c>
      <c r="J2496" s="71">
        <v>13.2</v>
      </c>
      <c r="K2496" s="106">
        <v>6.8000000000000005E-3</v>
      </c>
      <c r="L2496" s="80">
        <v>-1.2E-2</v>
      </c>
      <c r="M2496" s="75" t="s">
        <v>143</v>
      </c>
      <c r="N2496" s="75" t="b">
        <v>1</v>
      </c>
      <c r="O2496" s="75" t="s">
        <v>144</v>
      </c>
      <c r="P2496" s="75">
        <v>1994</v>
      </c>
      <c r="Q2496" s="107">
        <f t="shared" si="69"/>
        <v>2014</v>
      </c>
      <c r="R2496" s="107">
        <v>2</v>
      </c>
      <c r="S2496" s="100">
        <v>214111</v>
      </c>
      <c r="T2496" s="101">
        <v>41939</v>
      </c>
    </row>
    <row r="2497" spans="1:20" x14ac:dyDescent="0.3">
      <c r="A2497" s="42">
        <v>41945</v>
      </c>
      <c r="B2497" s="69">
        <f>YEAR(A2497)*10000+MONTH(A2497)*100+DAY(A2497)</f>
        <v>20141102</v>
      </c>
      <c r="C2497" s="109">
        <v>2.46E-2</v>
      </c>
      <c r="D2497" s="77">
        <v>0</v>
      </c>
      <c r="E2497" s="77">
        <v>3.0000000000000001E-3</v>
      </c>
      <c r="F2497" s="77">
        <v>5.0000000000000001E-3</v>
      </c>
      <c r="G2497" s="78">
        <v>0</v>
      </c>
      <c r="H2497" s="71">
        <v>8.1</v>
      </c>
      <c r="I2497" s="71">
        <v>10.6</v>
      </c>
      <c r="J2497" s="71">
        <v>13.2</v>
      </c>
      <c r="K2497" s="106">
        <v>6.8000000000000005E-3</v>
      </c>
      <c r="L2497" s="80">
        <v>-1.2E-2</v>
      </c>
      <c r="M2497" s="75" t="s">
        <v>143</v>
      </c>
      <c r="N2497" s="75" t="b">
        <v>1</v>
      </c>
      <c r="O2497" s="75" t="s">
        <v>144</v>
      </c>
      <c r="P2497" s="75">
        <v>1994</v>
      </c>
      <c r="Q2497" s="107">
        <f t="shared" si="69"/>
        <v>2014</v>
      </c>
      <c r="R2497" s="107">
        <v>2</v>
      </c>
      <c r="S2497" s="100">
        <v>214111</v>
      </c>
      <c r="T2497" s="101">
        <v>41939</v>
      </c>
    </row>
    <row r="2498" spans="1:20" x14ac:dyDescent="0.3">
      <c r="A2498" s="42">
        <v>41946</v>
      </c>
      <c r="B2498" s="69">
        <f t="shared" ref="B2498:B2522" si="70">YEAR(A2498)*10000+MONTH(A2498)*100+DAY(A2498)</f>
        <v>20141103</v>
      </c>
      <c r="C2498" s="109">
        <v>2.46E-2</v>
      </c>
      <c r="D2498" s="77">
        <v>0</v>
      </c>
      <c r="E2498" s="77">
        <v>3.0000000000000001E-3</v>
      </c>
      <c r="F2498" s="77">
        <v>5.0000000000000001E-3</v>
      </c>
      <c r="G2498" s="78">
        <v>0</v>
      </c>
      <c r="H2498" s="71">
        <v>8.1</v>
      </c>
      <c r="I2498" s="71">
        <v>10.6</v>
      </c>
      <c r="J2498" s="71">
        <v>13.2</v>
      </c>
      <c r="K2498" s="106">
        <v>6.7000000000000002E-3</v>
      </c>
      <c r="L2498" s="80">
        <v>-1.2E-2</v>
      </c>
      <c r="M2498" s="75" t="s">
        <v>143</v>
      </c>
      <c r="N2498" s="75" t="b">
        <v>1</v>
      </c>
      <c r="O2498" s="75" t="s">
        <v>144</v>
      </c>
      <c r="P2498" s="75">
        <v>1994</v>
      </c>
      <c r="Q2498" s="107">
        <f t="shared" si="69"/>
        <v>2014</v>
      </c>
      <c r="R2498" s="107">
        <v>2</v>
      </c>
      <c r="S2498" s="100">
        <v>214111</v>
      </c>
      <c r="T2498" s="101">
        <v>41939</v>
      </c>
    </row>
    <row r="2499" spans="1:20" x14ac:dyDescent="0.3">
      <c r="A2499" s="42">
        <v>41947</v>
      </c>
      <c r="B2499" s="69">
        <f t="shared" si="70"/>
        <v>20141104</v>
      </c>
      <c r="C2499" s="109">
        <v>2.4500000000000001E-2</v>
      </c>
      <c r="D2499" s="77">
        <v>0</v>
      </c>
      <c r="E2499" s="77">
        <v>3.0000000000000001E-3</v>
      </c>
      <c r="F2499" s="77">
        <v>5.0000000000000001E-3</v>
      </c>
      <c r="G2499" s="78">
        <v>0</v>
      </c>
      <c r="H2499" s="71">
        <v>8.1</v>
      </c>
      <c r="I2499" s="71">
        <v>10.6</v>
      </c>
      <c r="J2499" s="71">
        <v>13.2</v>
      </c>
      <c r="K2499" s="106">
        <v>6.7000000000000002E-3</v>
      </c>
      <c r="L2499" s="80">
        <v>-1.2E-2</v>
      </c>
      <c r="M2499" s="75" t="s">
        <v>143</v>
      </c>
      <c r="N2499" s="75" t="b">
        <v>1</v>
      </c>
      <c r="O2499" s="75" t="s">
        <v>144</v>
      </c>
      <c r="P2499" s="75">
        <v>1994</v>
      </c>
      <c r="Q2499" s="107">
        <f t="shared" si="69"/>
        <v>2014</v>
      </c>
      <c r="R2499" s="107">
        <v>2</v>
      </c>
      <c r="S2499" s="100">
        <v>214111</v>
      </c>
      <c r="T2499" s="101">
        <v>41939</v>
      </c>
    </row>
    <row r="2500" spans="1:20" x14ac:dyDescent="0.3">
      <c r="A2500" s="42">
        <v>41948</v>
      </c>
      <c r="B2500" s="69">
        <f t="shared" si="70"/>
        <v>20141105</v>
      </c>
      <c r="C2500" s="109">
        <v>2.46E-2</v>
      </c>
      <c r="D2500" s="77">
        <v>0</v>
      </c>
      <c r="E2500" s="77">
        <v>3.0000000000000001E-3</v>
      </c>
      <c r="F2500" s="77">
        <v>5.0000000000000001E-3</v>
      </c>
      <c r="G2500" s="78">
        <v>0</v>
      </c>
      <c r="H2500" s="71">
        <v>8.1</v>
      </c>
      <c r="I2500" s="71">
        <v>10.6</v>
      </c>
      <c r="J2500" s="71">
        <v>13.2</v>
      </c>
      <c r="K2500" s="106">
        <v>6.8999999999999999E-3</v>
      </c>
      <c r="L2500" s="80">
        <v>-1.2E-2</v>
      </c>
      <c r="M2500" s="75" t="s">
        <v>143</v>
      </c>
      <c r="N2500" s="75" t="b">
        <v>1</v>
      </c>
      <c r="O2500" s="75" t="s">
        <v>144</v>
      </c>
      <c r="P2500" s="75">
        <v>1994</v>
      </c>
      <c r="Q2500" s="107">
        <f t="shared" si="69"/>
        <v>2014</v>
      </c>
      <c r="R2500" s="107">
        <v>2</v>
      </c>
      <c r="S2500" s="100">
        <v>214111</v>
      </c>
      <c r="T2500" s="101">
        <v>41939</v>
      </c>
    </row>
    <row r="2501" spans="1:20" x14ac:dyDescent="0.3">
      <c r="A2501" s="42">
        <v>41949</v>
      </c>
      <c r="B2501" s="69">
        <f t="shared" si="70"/>
        <v>20141106</v>
      </c>
      <c r="C2501" s="109">
        <v>2.5099999999999997E-2</v>
      </c>
      <c r="D2501" s="77">
        <v>0</v>
      </c>
      <c r="E2501" s="77">
        <v>3.0000000000000001E-3</v>
      </c>
      <c r="F2501" s="77">
        <v>5.0000000000000001E-3</v>
      </c>
      <c r="G2501" s="78">
        <v>0</v>
      </c>
      <c r="H2501" s="71">
        <v>8.1</v>
      </c>
      <c r="I2501" s="71">
        <v>10.6</v>
      </c>
      <c r="J2501" s="71">
        <v>13.2</v>
      </c>
      <c r="K2501" s="106">
        <v>7.1999999999999998E-3</v>
      </c>
      <c r="L2501" s="80">
        <v>-1.2E-2</v>
      </c>
      <c r="M2501" s="75" t="s">
        <v>143</v>
      </c>
      <c r="N2501" s="75" t="b">
        <v>1</v>
      </c>
      <c r="O2501" s="75" t="s">
        <v>144</v>
      </c>
      <c r="P2501" s="75">
        <v>1994</v>
      </c>
      <c r="Q2501" s="107">
        <f t="shared" si="69"/>
        <v>2014</v>
      </c>
      <c r="R2501" s="107">
        <v>2</v>
      </c>
      <c r="S2501" s="100">
        <v>214111</v>
      </c>
      <c r="T2501" s="101">
        <v>41939</v>
      </c>
    </row>
    <row r="2502" spans="1:20" x14ac:dyDescent="0.3">
      <c r="A2502" s="42">
        <v>41950</v>
      </c>
      <c r="B2502" s="69">
        <f t="shared" si="70"/>
        <v>20141107</v>
      </c>
      <c r="C2502" s="109">
        <v>2.46E-2</v>
      </c>
      <c r="D2502" s="77">
        <v>0</v>
      </c>
      <c r="E2502" s="77">
        <v>3.0000000000000001E-3</v>
      </c>
      <c r="F2502" s="77">
        <v>5.0000000000000001E-3</v>
      </c>
      <c r="G2502" s="78">
        <v>0</v>
      </c>
      <c r="H2502" s="71">
        <v>8.1</v>
      </c>
      <c r="I2502" s="71">
        <v>10.6</v>
      </c>
      <c r="J2502" s="71">
        <v>13.2</v>
      </c>
      <c r="K2502" s="106">
        <v>6.8000000000000005E-3</v>
      </c>
      <c r="L2502" s="80">
        <v>-1.2E-2</v>
      </c>
      <c r="M2502" s="75" t="s">
        <v>143</v>
      </c>
      <c r="N2502" s="75" t="b">
        <v>1</v>
      </c>
      <c r="O2502" s="75" t="s">
        <v>144</v>
      </c>
      <c r="P2502" s="75">
        <v>1994</v>
      </c>
      <c r="Q2502" s="107">
        <f t="shared" si="69"/>
        <v>2014</v>
      </c>
      <c r="R2502" s="107">
        <v>2</v>
      </c>
      <c r="S2502" s="100">
        <v>214111</v>
      </c>
      <c r="T2502" s="101">
        <v>41939</v>
      </c>
    </row>
    <row r="2503" spans="1:20" x14ac:dyDescent="0.3">
      <c r="A2503" s="42">
        <v>41951</v>
      </c>
      <c r="B2503" s="69">
        <f t="shared" si="70"/>
        <v>20141108</v>
      </c>
      <c r="C2503" s="109">
        <v>2.46E-2</v>
      </c>
      <c r="D2503" s="77">
        <v>0</v>
      </c>
      <c r="E2503" s="77">
        <v>3.0000000000000001E-3</v>
      </c>
      <c r="F2503" s="77">
        <v>5.0000000000000001E-3</v>
      </c>
      <c r="G2503" s="78">
        <v>0</v>
      </c>
      <c r="H2503" s="71">
        <v>8.1</v>
      </c>
      <c r="I2503" s="71">
        <v>10.6</v>
      </c>
      <c r="J2503" s="71">
        <v>13.2</v>
      </c>
      <c r="K2503" s="106">
        <v>6.8000000000000005E-3</v>
      </c>
      <c r="L2503" s="80">
        <v>-1.2E-2</v>
      </c>
      <c r="M2503" s="75" t="s">
        <v>143</v>
      </c>
      <c r="N2503" s="75" t="b">
        <v>1</v>
      </c>
      <c r="O2503" s="75" t="s">
        <v>144</v>
      </c>
      <c r="P2503" s="75">
        <v>1994</v>
      </c>
      <c r="Q2503" s="107">
        <f t="shared" si="69"/>
        <v>2014</v>
      </c>
      <c r="R2503" s="107">
        <v>2</v>
      </c>
      <c r="S2503" s="100">
        <v>214111</v>
      </c>
      <c r="T2503" s="101">
        <v>41939</v>
      </c>
    </row>
    <row r="2504" spans="1:20" x14ac:dyDescent="0.3">
      <c r="A2504" s="42">
        <v>41952</v>
      </c>
      <c r="B2504" s="69">
        <f t="shared" si="70"/>
        <v>20141109</v>
      </c>
      <c r="C2504" s="109">
        <v>2.46E-2</v>
      </c>
      <c r="D2504" s="77">
        <v>0</v>
      </c>
      <c r="E2504" s="77">
        <v>3.0000000000000001E-3</v>
      </c>
      <c r="F2504" s="77">
        <v>5.0000000000000001E-3</v>
      </c>
      <c r="G2504" s="78">
        <v>0</v>
      </c>
      <c r="H2504" s="71">
        <v>8.1</v>
      </c>
      <c r="I2504" s="71">
        <v>10.6</v>
      </c>
      <c r="J2504" s="71">
        <v>13.2</v>
      </c>
      <c r="K2504" s="106">
        <v>6.8000000000000005E-3</v>
      </c>
      <c r="L2504" s="80">
        <v>-1.2E-2</v>
      </c>
      <c r="M2504" s="75" t="s">
        <v>143</v>
      </c>
      <c r="N2504" s="75" t="b">
        <v>1</v>
      </c>
      <c r="O2504" s="75" t="s">
        <v>144</v>
      </c>
      <c r="P2504" s="75">
        <v>1994</v>
      </c>
      <c r="Q2504" s="107">
        <f t="shared" si="69"/>
        <v>2014</v>
      </c>
      <c r="R2504" s="107">
        <v>2</v>
      </c>
      <c r="S2504" s="100">
        <v>214111</v>
      </c>
      <c r="T2504" s="101">
        <v>41939</v>
      </c>
    </row>
    <row r="2505" spans="1:20" x14ac:dyDescent="0.3">
      <c r="A2505" s="42">
        <v>41953</v>
      </c>
      <c r="B2505" s="69">
        <f t="shared" si="70"/>
        <v>20141110</v>
      </c>
      <c r="C2505" s="109">
        <v>2.4900000000000002E-2</v>
      </c>
      <c r="D2505" s="77">
        <v>0</v>
      </c>
      <c r="E2505" s="77">
        <v>3.0000000000000001E-3</v>
      </c>
      <c r="F2505" s="77">
        <v>5.0000000000000001E-3</v>
      </c>
      <c r="G2505" s="78">
        <v>0</v>
      </c>
      <c r="H2505" s="71">
        <v>8.1</v>
      </c>
      <c r="I2505" s="71">
        <v>10.6</v>
      </c>
      <c r="J2505" s="71">
        <v>13.2</v>
      </c>
      <c r="K2505" s="106">
        <v>6.9999999999999993E-3</v>
      </c>
      <c r="L2505" s="80">
        <v>-1.2E-2</v>
      </c>
      <c r="M2505" s="75" t="s">
        <v>143</v>
      </c>
      <c r="N2505" s="75" t="b">
        <v>1</v>
      </c>
      <c r="O2505" s="75" t="s">
        <v>144</v>
      </c>
      <c r="P2505" s="75">
        <v>1994</v>
      </c>
      <c r="Q2505" s="107">
        <f t="shared" si="69"/>
        <v>2014</v>
      </c>
      <c r="R2505" s="107">
        <v>2</v>
      </c>
      <c r="S2505" s="100">
        <v>214111</v>
      </c>
      <c r="T2505" s="101">
        <v>41939</v>
      </c>
    </row>
    <row r="2506" spans="1:20" x14ac:dyDescent="0.3">
      <c r="A2506" s="42">
        <v>41954</v>
      </c>
      <c r="B2506" s="69">
        <f t="shared" si="70"/>
        <v>20141111</v>
      </c>
      <c r="C2506" s="109">
        <v>2.4900000000000002E-2</v>
      </c>
      <c r="D2506" s="77">
        <v>0</v>
      </c>
      <c r="E2506" s="77">
        <v>3.0000000000000001E-3</v>
      </c>
      <c r="F2506" s="77">
        <v>5.0000000000000001E-3</v>
      </c>
      <c r="G2506" s="78">
        <v>0</v>
      </c>
      <c r="H2506" s="71">
        <v>8.1</v>
      </c>
      <c r="I2506" s="71">
        <v>10.6</v>
      </c>
      <c r="J2506" s="71">
        <v>13.2</v>
      </c>
      <c r="K2506" s="106">
        <v>6.9999999999999993E-3</v>
      </c>
      <c r="L2506" s="80">
        <v>-1.2E-2</v>
      </c>
      <c r="M2506" s="75" t="s">
        <v>143</v>
      </c>
      <c r="N2506" s="75" t="b">
        <v>1</v>
      </c>
      <c r="O2506" s="75" t="s">
        <v>144</v>
      </c>
      <c r="P2506" s="75">
        <v>1994</v>
      </c>
      <c r="Q2506" s="107">
        <f t="shared" si="69"/>
        <v>2014</v>
      </c>
      <c r="R2506" s="107">
        <v>2</v>
      </c>
      <c r="S2506" s="100">
        <v>214111</v>
      </c>
      <c r="T2506" s="101">
        <v>41939</v>
      </c>
    </row>
    <row r="2507" spans="1:20" x14ac:dyDescent="0.3">
      <c r="A2507" s="42">
        <v>41955</v>
      </c>
      <c r="B2507" s="69">
        <f t="shared" si="70"/>
        <v>20141112</v>
      </c>
      <c r="C2507" s="109">
        <v>2.4900000000000002E-2</v>
      </c>
      <c r="D2507" s="77">
        <v>0</v>
      </c>
      <c r="E2507" s="77">
        <v>3.0000000000000001E-3</v>
      </c>
      <c r="F2507" s="77">
        <v>5.0000000000000001E-3</v>
      </c>
      <c r="G2507" s="78">
        <v>0</v>
      </c>
      <c r="H2507" s="71">
        <v>8.1</v>
      </c>
      <c r="I2507" s="71">
        <v>10.6</v>
      </c>
      <c r="J2507" s="71">
        <v>13.2</v>
      </c>
      <c r="K2507" s="106">
        <v>7.0999999999999995E-3</v>
      </c>
      <c r="L2507" s="80">
        <v>-1.2E-2</v>
      </c>
      <c r="M2507" s="75" t="s">
        <v>143</v>
      </c>
      <c r="N2507" s="75" t="b">
        <v>1</v>
      </c>
      <c r="O2507" s="75" t="s">
        <v>144</v>
      </c>
      <c r="P2507" s="75">
        <v>1994</v>
      </c>
      <c r="Q2507" s="107">
        <f t="shared" si="69"/>
        <v>2014</v>
      </c>
      <c r="R2507" s="107">
        <v>2</v>
      </c>
      <c r="S2507" s="100">
        <v>214111</v>
      </c>
      <c r="T2507" s="101">
        <v>41939</v>
      </c>
    </row>
    <row r="2508" spans="1:20" x14ac:dyDescent="0.3">
      <c r="A2508" s="42">
        <v>41956</v>
      </c>
      <c r="B2508" s="69">
        <f t="shared" si="70"/>
        <v>20141113</v>
      </c>
      <c r="C2508" s="109">
        <v>2.4799999999999999E-2</v>
      </c>
      <c r="D2508" s="77">
        <v>0</v>
      </c>
      <c r="E2508" s="77">
        <v>3.0000000000000001E-3</v>
      </c>
      <c r="F2508" s="77">
        <v>5.0000000000000001E-3</v>
      </c>
      <c r="G2508" s="78">
        <v>0</v>
      </c>
      <c r="H2508" s="71">
        <v>8.1</v>
      </c>
      <c r="I2508" s="71">
        <v>10.6</v>
      </c>
      <c r="J2508" s="71">
        <v>13.2</v>
      </c>
      <c r="K2508" s="106">
        <v>7.3000000000000001E-3</v>
      </c>
      <c r="L2508" s="80">
        <v>-1.2E-2</v>
      </c>
      <c r="M2508" s="75" t="s">
        <v>143</v>
      </c>
      <c r="N2508" s="75" t="b">
        <v>1</v>
      </c>
      <c r="O2508" s="75" t="s">
        <v>144</v>
      </c>
      <c r="P2508" s="75">
        <v>1994</v>
      </c>
      <c r="Q2508" s="107">
        <f t="shared" si="69"/>
        <v>2014</v>
      </c>
      <c r="R2508" s="107">
        <v>2</v>
      </c>
      <c r="S2508" s="100">
        <v>214111</v>
      </c>
      <c r="T2508" s="101">
        <v>41939</v>
      </c>
    </row>
    <row r="2509" spans="1:20" x14ac:dyDescent="0.3">
      <c r="A2509" s="42">
        <v>41957</v>
      </c>
      <c r="B2509" s="69">
        <f t="shared" si="70"/>
        <v>20141114</v>
      </c>
      <c r="C2509" s="109">
        <v>2.4700000000000003E-2</v>
      </c>
      <c r="D2509" s="77">
        <v>0</v>
      </c>
      <c r="E2509" s="77">
        <v>3.0000000000000001E-3</v>
      </c>
      <c r="F2509" s="77">
        <v>5.0000000000000001E-3</v>
      </c>
      <c r="G2509" s="78">
        <v>0</v>
      </c>
      <c r="H2509" s="71">
        <v>8.1</v>
      </c>
      <c r="I2509" s="71">
        <v>10.6</v>
      </c>
      <c r="J2509" s="71">
        <v>13.2</v>
      </c>
      <c r="K2509" s="106">
        <v>6.9999999999999993E-3</v>
      </c>
      <c r="L2509" s="80">
        <v>-1.2E-2</v>
      </c>
      <c r="M2509" s="75" t="s">
        <v>143</v>
      </c>
      <c r="N2509" s="75" t="b">
        <v>1</v>
      </c>
      <c r="O2509" s="75" t="s">
        <v>144</v>
      </c>
      <c r="P2509" s="75">
        <v>1994</v>
      </c>
      <c r="Q2509" s="107">
        <f t="shared" si="69"/>
        <v>2014</v>
      </c>
      <c r="R2509" s="107">
        <v>2</v>
      </c>
      <c r="S2509" s="100">
        <v>214111</v>
      </c>
      <c r="T2509" s="101">
        <v>41939</v>
      </c>
    </row>
    <row r="2510" spans="1:20" x14ac:dyDescent="0.3">
      <c r="A2510" s="42">
        <v>41958</v>
      </c>
      <c r="B2510" s="69">
        <f>YEAR(A2510)*10000+MONTH(A2510)*100+DAY(A2510)</f>
        <v>20141115</v>
      </c>
      <c r="C2510" s="109">
        <v>2.4700000000000003E-2</v>
      </c>
      <c r="D2510" s="77">
        <v>0</v>
      </c>
      <c r="E2510" s="77">
        <v>3.0000000000000001E-3</v>
      </c>
      <c r="F2510" s="77">
        <v>5.0000000000000001E-3</v>
      </c>
      <c r="G2510" s="78">
        <v>0</v>
      </c>
      <c r="H2510" s="71">
        <v>8.1</v>
      </c>
      <c r="I2510" s="71">
        <v>10.6</v>
      </c>
      <c r="J2510" s="71">
        <v>13.2</v>
      </c>
      <c r="K2510" s="106">
        <v>6.9999999999999993E-3</v>
      </c>
      <c r="L2510" s="80">
        <v>-1.2E-2</v>
      </c>
      <c r="M2510" s="75" t="s">
        <v>143</v>
      </c>
      <c r="N2510" s="75" t="b">
        <v>1</v>
      </c>
      <c r="O2510" s="75" t="s">
        <v>144</v>
      </c>
      <c r="P2510" s="75">
        <v>1994</v>
      </c>
      <c r="Q2510" s="107">
        <f t="shared" si="69"/>
        <v>2014</v>
      </c>
      <c r="R2510" s="107">
        <v>2</v>
      </c>
      <c r="S2510" s="100">
        <v>214111</v>
      </c>
      <c r="T2510" s="101">
        <v>41939</v>
      </c>
    </row>
    <row r="2511" spans="1:20" x14ac:dyDescent="0.3">
      <c r="A2511" s="42">
        <v>41959</v>
      </c>
      <c r="B2511" s="69">
        <f>YEAR(A2511)*10000+MONTH(A2511)*100+DAY(A2511)</f>
        <v>20141116</v>
      </c>
      <c r="C2511" s="109">
        <v>2.4700000000000003E-2</v>
      </c>
      <c r="D2511" s="77">
        <v>0</v>
      </c>
      <c r="E2511" s="77">
        <v>3.0000000000000001E-3</v>
      </c>
      <c r="F2511" s="77">
        <v>5.0000000000000001E-3</v>
      </c>
      <c r="G2511" s="78">
        <v>0</v>
      </c>
      <c r="H2511" s="71">
        <v>8.1</v>
      </c>
      <c r="I2511" s="71">
        <v>10.6</v>
      </c>
      <c r="J2511" s="71">
        <v>13.2</v>
      </c>
      <c r="K2511" s="106">
        <v>6.9999999999999993E-3</v>
      </c>
      <c r="L2511" s="80">
        <v>-1.2E-2</v>
      </c>
      <c r="M2511" s="75" t="s">
        <v>143</v>
      </c>
      <c r="N2511" s="75" t="b">
        <v>1</v>
      </c>
      <c r="O2511" s="75" t="s">
        <v>144</v>
      </c>
      <c r="P2511" s="75">
        <v>1994</v>
      </c>
      <c r="Q2511" s="107">
        <f t="shared" si="69"/>
        <v>2014</v>
      </c>
      <c r="R2511" s="107">
        <v>2</v>
      </c>
      <c r="S2511" s="100">
        <v>214111</v>
      </c>
      <c r="T2511" s="101">
        <v>41939</v>
      </c>
    </row>
    <row r="2512" spans="1:20" x14ac:dyDescent="0.3">
      <c r="A2512" s="42">
        <v>41960</v>
      </c>
      <c r="B2512" s="69">
        <f t="shared" si="70"/>
        <v>20141117</v>
      </c>
      <c r="C2512" s="109">
        <v>2.46E-2</v>
      </c>
      <c r="D2512" s="77">
        <v>0</v>
      </c>
      <c r="E2512" s="77">
        <v>3.0000000000000001E-3</v>
      </c>
      <c r="F2512" s="77">
        <v>5.0000000000000001E-3</v>
      </c>
      <c r="G2512" s="78">
        <v>0</v>
      </c>
      <c r="H2512" s="71">
        <v>8.1</v>
      </c>
      <c r="I2512" s="71">
        <v>10.6</v>
      </c>
      <c r="J2512" s="71">
        <v>13.2</v>
      </c>
      <c r="K2512" s="106">
        <v>6.9999999999999993E-3</v>
      </c>
      <c r="L2512" s="80">
        <v>-1.2E-2</v>
      </c>
      <c r="M2512" s="75" t="s">
        <v>143</v>
      </c>
      <c r="N2512" s="75" t="b">
        <v>1</v>
      </c>
      <c r="O2512" s="75" t="s">
        <v>144</v>
      </c>
      <c r="P2512" s="75">
        <v>1994</v>
      </c>
      <c r="Q2512" s="107">
        <f t="shared" si="69"/>
        <v>2014</v>
      </c>
      <c r="R2512" s="107">
        <v>2</v>
      </c>
      <c r="S2512" s="100">
        <v>214111</v>
      </c>
      <c r="T2512" s="101">
        <v>41939</v>
      </c>
    </row>
    <row r="2513" spans="1:20" x14ac:dyDescent="0.3">
      <c r="A2513" s="42">
        <v>41961</v>
      </c>
      <c r="B2513" s="69">
        <f t="shared" si="70"/>
        <v>20141118</v>
      </c>
      <c r="C2513" s="109">
        <v>2.4300000000000002E-2</v>
      </c>
      <c r="D2513" s="77">
        <v>0</v>
      </c>
      <c r="E2513" s="77">
        <v>3.0000000000000001E-3</v>
      </c>
      <c r="F2513" s="77">
        <v>5.0000000000000001E-3</v>
      </c>
      <c r="G2513" s="78">
        <v>0</v>
      </c>
      <c r="H2513" s="71">
        <v>8.1</v>
      </c>
      <c r="I2513" s="71">
        <v>10.6</v>
      </c>
      <c r="J2513" s="71">
        <v>13.2</v>
      </c>
      <c r="K2513" s="106">
        <v>6.8999999999999999E-3</v>
      </c>
      <c r="L2513" s="80">
        <v>-1.2E-2</v>
      </c>
      <c r="M2513" s="75" t="s">
        <v>143</v>
      </c>
      <c r="N2513" s="75" t="b">
        <v>1</v>
      </c>
      <c r="O2513" s="75" t="s">
        <v>144</v>
      </c>
      <c r="P2513" s="75">
        <v>1994</v>
      </c>
      <c r="Q2513" s="107">
        <f t="shared" si="69"/>
        <v>2014</v>
      </c>
      <c r="R2513" s="107">
        <v>2</v>
      </c>
      <c r="S2513" s="100">
        <v>214111</v>
      </c>
      <c r="T2513" s="101">
        <v>41939</v>
      </c>
    </row>
    <row r="2514" spans="1:20" x14ac:dyDescent="0.3">
      <c r="A2514" s="42">
        <v>41962</v>
      </c>
      <c r="B2514" s="69">
        <f t="shared" si="70"/>
        <v>20141119</v>
      </c>
      <c r="C2514" s="109">
        <v>2.4700000000000003E-2</v>
      </c>
      <c r="D2514" s="77">
        <v>0</v>
      </c>
      <c r="E2514" s="77">
        <v>3.0000000000000001E-3</v>
      </c>
      <c r="F2514" s="77">
        <v>5.0000000000000001E-3</v>
      </c>
      <c r="G2514" s="78">
        <v>0</v>
      </c>
      <c r="H2514" s="71">
        <v>8.1</v>
      </c>
      <c r="I2514" s="71">
        <v>10.6</v>
      </c>
      <c r="J2514" s="71">
        <v>13.2</v>
      </c>
      <c r="K2514" s="106">
        <v>7.4999999999999997E-3</v>
      </c>
      <c r="L2514" s="80">
        <v>-1.2E-2</v>
      </c>
      <c r="M2514" s="75" t="s">
        <v>143</v>
      </c>
      <c r="N2514" s="75" t="b">
        <v>1</v>
      </c>
      <c r="O2514" s="75" t="s">
        <v>144</v>
      </c>
      <c r="P2514" s="75">
        <v>1994</v>
      </c>
      <c r="Q2514" s="107">
        <f t="shared" si="69"/>
        <v>2014</v>
      </c>
      <c r="R2514" s="107">
        <v>2</v>
      </c>
      <c r="S2514" s="100">
        <v>214111</v>
      </c>
      <c r="T2514" s="101">
        <v>41939</v>
      </c>
    </row>
    <row r="2515" spans="1:20" x14ac:dyDescent="0.3">
      <c r="A2515" s="42">
        <v>41963</v>
      </c>
      <c r="B2515" s="69">
        <f t="shared" si="70"/>
        <v>20141120</v>
      </c>
      <c r="C2515" s="109">
        <v>2.4500000000000001E-2</v>
      </c>
      <c r="D2515" s="77">
        <v>0</v>
      </c>
      <c r="E2515" s="77">
        <v>3.0000000000000001E-3</v>
      </c>
      <c r="F2515" s="77">
        <v>5.0000000000000001E-3</v>
      </c>
      <c r="G2515" s="78">
        <v>0</v>
      </c>
      <c r="H2515" s="71">
        <v>8.1</v>
      </c>
      <c r="I2515" s="71">
        <v>10.6</v>
      </c>
      <c r="J2515" s="71">
        <v>13.2</v>
      </c>
      <c r="K2515" s="106">
        <v>7.1999999999999998E-3</v>
      </c>
      <c r="L2515" s="80">
        <v>-1.2E-2</v>
      </c>
      <c r="M2515" s="75" t="s">
        <v>143</v>
      </c>
      <c r="N2515" s="75" t="b">
        <v>1</v>
      </c>
      <c r="O2515" s="75" t="s">
        <v>144</v>
      </c>
      <c r="P2515" s="75">
        <v>1994</v>
      </c>
      <c r="Q2515" s="107">
        <f t="shared" si="69"/>
        <v>2014</v>
      </c>
      <c r="R2515" s="107">
        <v>2</v>
      </c>
      <c r="S2515" s="100">
        <v>214111</v>
      </c>
      <c r="T2515" s="101">
        <v>41939</v>
      </c>
    </row>
    <row r="2516" spans="1:20" x14ac:dyDescent="0.3">
      <c r="A2516" s="42">
        <v>41964</v>
      </c>
      <c r="B2516" s="69">
        <f t="shared" si="70"/>
        <v>20141121</v>
      </c>
      <c r="C2516" s="109">
        <v>2.4300000000000002E-2</v>
      </c>
      <c r="D2516" s="77">
        <v>0</v>
      </c>
      <c r="E2516" s="77">
        <v>3.0000000000000001E-3</v>
      </c>
      <c r="F2516" s="77">
        <v>5.0000000000000001E-3</v>
      </c>
      <c r="G2516" s="78">
        <v>0</v>
      </c>
      <c r="H2516" s="71">
        <v>8.1</v>
      </c>
      <c r="I2516" s="71">
        <v>10.6</v>
      </c>
      <c r="J2516" s="71">
        <v>13.2</v>
      </c>
      <c r="K2516" s="106">
        <v>6.6E-3</v>
      </c>
      <c r="L2516" s="80">
        <v>-1.2E-2</v>
      </c>
      <c r="M2516" s="75" t="s">
        <v>143</v>
      </c>
      <c r="N2516" s="75" t="b">
        <v>1</v>
      </c>
      <c r="O2516" s="75" t="s">
        <v>144</v>
      </c>
      <c r="P2516" s="75">
        <v>1994</v>
      </c>
      <c r="Q2516" s="107">
        <f t="shared" si="69"/>
        <v>2014</v>
      </c>
      <c r="R2516" s="107">
        <v>2</v>
      </c>
      <c r="S2516" s="100">
        <v>214111</v>
      </c>
      <c r="T2516" s="101">
        <v>41939</v>
      </c>
    </row>
    <row r="2517" spans="1:20" x14ac:dyDescent="0.3">
      <c r="A2517" s="42">
        <v>41965</v>
      </c>
      <c r="B2517" s="69">
        <f>YEAR(A2517)*10000+MONTH(A2517)*100+DAY(A2517)</f>
        <v>20141122</v>
      </c>
      <c r="C2517" s="109">
        <v>2.4300000000000002E-2</v>
      </c>
      <c r="D2517" s="77">
        <v>0</v>
      </c>
      <c r="E2517" s="77">
        <v>3.0000000000000001E-3</v>
      </c>
      <c r="F2517" s="77">
        <v>5.0000000000000001E-3</v>
      </c>
      <c r="G2517" s="78">
        <v>0</v>
      </c>
      <c r="H2517" s="71">
        <v>8.1</v>
      </c>
      <c r="I2517" s="71">
        <v>10.6</v>
      </c>
      <c r="J2517" s="71">
        <v>13.2</v>
      </c>
      <c r="K2517" s="106">
        <v>6.6E-3</v>
      </c>
      <c r="L2517" s="80">
        <v>-1.2E-2</v>
      </c>
      <c r="M2517" s="75" t="s">
        <v>143</v>
      </c>
      <c r="N2517" s="75" t="b">
        <v>1</v>
      </c>
      <c r="O2517" s="75" t="s">
        <v>144</v>
      </c>
      <c r="P2517" s="75">
        <v>1994</v>
      </c>
      <c r="Q2517" s="107">
        <f t="shared" si="69"/>
        <v>2014</v>
      </c>
      <c r="R2517" s="107">
        <v>2</v>
      </c>
      <c r="S2517" s="100">
        <v>214111</v>
      </c>
      <c r="T2517" s="101">
        <v>41939</v>
      </c>
    </row>
    <row r="2518" spans="1:20" x14ac:dyDescent="0.3">
      <c r="A2518" s="42">
        <v>41966</v>
      </c>
      <c r="B2518" s="69">
        <f>YEAR(A2518)*10000+MONTH(A2518)*100+DAY(A2518)</f>
        <v>20141123</v>
      </c>
      <c r="C2518" s="109">
        <v>2.4300000000000002E-2</v>
      </c>
      <c r="D2518" s="77">
        <v>0</v>
      </c>
      <c r="E2518" s="77">
        <v>3.0000000000000001E-3</v>
      </c>
      <c r="F2518" s="77">
        <v>5.0000000000000001E-3</v>
      </c>
      <c r="G2518" s="78">
        <v>0</v>
      </c>
      <c r="H2518" s="71">
        <v>8.1</v>
      </c>
      <c r="I2518" s="71">
        <v>10.6</v>
      </c>
      <c r="J2518" s="71">
        <v>13.2</v>
      </c>
      <c r="K2518" s="106">
        <v>6.6E-3</v>
      </c>
      <c r="L2518" s="80">
        <v>-1.2E-2</v>
      </c>
      <c r="M2518" s="75" t="s">
        <v>143</v>
      </c>
      <c r="N2518" s="75" t="b">
        <v>1</v>
      </c>
      <c r="O2518" s="75" t="s">
        <v>144</v>
      </c>
      <c r="P2518" s="75">
        <v>1994</v>
      </c>
      <c r="Q2518" s="107">
        <f t="shared" si="69"/>
        <v>2014</v>
      </c>
      <c r="R2518" s="107">
        <v>2</v>
      </c>
      <c r="S2518" s="100">
        <v>214111</v>
      </c>
      <c r="T2518" s="101">
        <v>41939</v>
      </c>
    </row>
    <row r="2519" spans="1:20" x14ac:dyDescent="0.3">
      <c r="A2519" s="42">
        <v>41967</v>
      </c>
      <c r="B2519" s="69">
        <f t="shared" si="70"/>
        <v>20141124</v>
      </c>
      <c r="C2519" s="109">
        <v>2.4E-2</v>
      </c>
      <c r="D2519" s="77">
        <v>0</v>
      </c>
      <c r="E2519" s="77">
        <v>3.0000000000000001E-3</v>
      </c>
      <c r="F2519" s="77">
        <v>5.0000000000000001E-3</v>
      </c>
      <c r="G2519" s="78">
        <v>0</v>
      </c>
      <c r="H2519" s="71">
        <v>8.1</v>
      </c>
      <c r="I2519" s="71">
        <v>10.6</v>
      </c>
      <c r="J2519" s="71">
        <v>13.2</v>
      </c>
      <c r="K2519" s="106">
        <v>6.3E-3</v>
      </c>
      <c r="L2519" s="80">
        <v>-1.2E-2</v>
      </c>
      <c r="M2519" s="75" t="s">
        <v>143</v>
      </c>
      <c r="N2519" s="75" t="b">
        <v>1</v>
      </c>
      <c r="O2519" s="75" t="s">
        <v>144</v>
      </c>
      <c r="P2519" s="75">
        <v>1994</v>
      </c>
      <c r="Q2519" s="107">
        <f t="shared" si="69"/>
        <v>2014</v>
      </c>
      <c r="R2519" s="107">
        <v>2</v>
      </c>
      <c r="S2519" s="100">
        <v>214111</v>
      </c>
      <c r="T2519" s="101">
        <v>41939</v>
      </c>
    </row>
    <row r="2520" spans="1:20" x14ac:dyDescent="0.3">
      <c r="A2520" s="42">
        <v>41968</v>
      </c>
      <c r="B2520" s="69">
        <f t="shared" si="70"/>
        <v>20141125</v>
      </c>
      <c r="C2520" s="109">
        <v>2.3700000000000002E-2</v>
      </c>
      <c r="D2520" s="77">
        <v>0</v>
      </c>
      <c r="E2520" s="77">
        <v>3.0000000000000001E-3</v>
      </c>
      <c r="F2520" s="77">
        <v>5.0000000000000001E-3</v>
      </c>
      <c r="G2520" s="78">
        <v>0</v>
      </c>
      <c r="H2520" s="71">
        <v>8.1</v>
      </c>
      <c r="I2520" s="71">
        <v>10.6</v>
      </c>
      <c r="J2520" s="71">
        <v>13.2</v>
      </c>
      <c r="K2520" s="106">
        <v>6.0999999999999995E-3</v>
      </c>
      <c r="L2520" s="80">
        <v>-1.2E-2</v>
      </c>
      <c r="M2520" s="75" t="s">
        <v>143</v>
      </c>
      <c r="N2520" s="75" t="b">
        <v>1</v>
      </c>
      <c r="O2520" s="75" t="s">
        <v>144</v>
      </c>
      <c r="P2520" s="75">
        <v>1994</v>
      </c>
      <c r="Q2520" s="107">
        <f t="shared" si="69"/>
        <v>2014</v>
      </c>
      <c r="R2520" s="107">
        <v>2</v>
      </c>
      <c r="S2520" s="100">
        <v>214111</v>
      </c>
      <c r="T2520" s="101">
        <v>41939</v>
      </c>
    </row>
    <row r="2521" spans="1:20" x14ac:dyDescent="0.3">
      <c r="A2521" s="42">
        <v>41969</v>
      </c>
      <c r="B2521" s="69">
        <f t="shared" si="70"/>
        <v>20141126</v>
      </c>
      <c r="C2521" s="109">
        <v>2.3599999999999999E-2</v>
      </c>
      <c r="D2521" s="77">
        <v>0</v>
      </c>
      <c r="E2521" s="77">
        <v>3.0000000000000001E-3</v>
      </c>
      <c r="F2521" s="77">
        <v>5.0000000000000001E-3</v>
      </c>
      <c r="G2521" s="78">
        <v>0</v>
      </c>
      <c r="H2521" s="71">
        <v>8.1</v>
      </c>
      <c r="I2521" s="71">
        <v>10.6</v>
      </c>
      <c r="J2521" s="71">
        <v>13.2</v>
      </c>
      <c r="K2521" s="106">
        <v>6.0999999999999995E-3</v>
      </c>
      <c r="L2521" s="80">
        <v>-1.2E-2</v>
      </c>
      <c r="M2521" s="75" t="s">
        <v>143</v>
      </c>
      <c r="N2521" s="75" t="b">
        <v>1</v>
      </c>
      <c r="O2521" s="75" t="s">
        <v>144</v>
      </c>
      <c r="P2521" s="75">
        <v>1994</v>
      </c>
      <c r="Q2521" s="107">
        <f t="shared" si="69"/>
        <v>2014</v>
      </c>
      <c r="R2521" s="107">
        <v>2</v>
      </c>
      <c r="S2521" s="100">
        <v>214111</v>
      </c>
      <c r="T2521" s="101">
        <v>41939</v>
      </c>
    </row>
    <row r="2522" spans="1:20" x14ac:dyDescent="0.3">
      <c r="A2522" s="42">
        <v>41970</v>
      </c>
      <c r="B2522" s="69">
        <f t="shared" si="70"/>
        <v>20141127</v>
      </c>
      <c r="C2522" s="109">
        <v>2.3300000000000001E-2</v>
      </c>
      <c r="D2522" s="77">
        <v>0</v>
      </c>
      <c r="E2522" s="77">
        <v>3.0000000000000001E-3</v>
      </c>
      <c r="F2522" s="77">
        <v>5.0000000000000001E-3</v>
      </c>
      <c r="G2522" s="78">
        <v>0</v>
      </c>
      <c r="H2522" s="71">
        <v>8.1</v>
      </c>
      <c r="I2522" s="71">
        <v>10.6</v>
      </c>
      <c r="J2522" s="71">
        <v>13.2</v>
      </c>
      <c r="K2522" s="106">
        <v>6.3E-3</v>
      </c>
      <c r="L2522" s="80">
        <v>-1.2E-2</v>
      </c>
      <c r="M2522" s="75" t="s">
        <v>143</v>
      </c>
      <c r="N2522" s="75" t="b">
        <v>1</v>
      </c>
      <c r="O2522" s="75" t="s">
        <v>144</v>
      </c>
      <c r="P2522" s="75">
        <v>1994</v>
      </c>
      <c r="Q2522" s="107">
        <f t="shared" si="69"/>
        <v>2014</v>
      </c>
      <c r="R2522" s="107">
        <v>2</v>
      </c>
      <c r="S2522" s="100">
        <v>214111</v>
      </c>
      <c r="T2522" s="101">
        <v>41939</v>
      </c>
    </row>
    <row r="2523" spans="1:20" x14ac:dyDescent="0.3">
      <c r="A2523" s="42">
        <v>41971</v>
      </c>
      <c r="B2523" s="69">
        <f>YEAR(A2523)*10000+MONTH(A2523)*100+DAY(A2523)</f>
        <v>20141128</v>
      </c>
      <c r="C2523" s="109">
        <v>2.2800000000000001E-2</v>
      </c>
      <c r="D2523" s="77">
        <v>0</v>
      </c>
      <c r="E2523" s="77">
        <v>3.0000000000000001E-3</v>
      </c>
      <c r="F2523" s="77">
        <v>5.0000000000000001E-3</v>
      </c>
      <c r="G2523" s="78">
        <v>0</v>
      </c>
      <c r="H2523" s="71">
        <v>8.1</v>
      </c>
      <c r="I2523" s="71">
        <v>10.6</v>
      </c>
      <c r="J2523" s="71">
        <v>13.2</v>
      </c>
      <c r="K2523" s="106">
        <v>5.8999999999999999E-3</v>
      </c>
      <c r="L2523" s="80">
        <v>-1.2E-2</v>
      </c>
      <c r="M2523" s="75" t="s">
        <v>143</v>
      </c>
      <c r="N2523" s="75" t="b">
        <v>1</v>
      </c>
      <c r="O2523" s="75" t="s">
        <v>144</v>
      </c>
      <c r="P2523" s="75">
        <v>1994</v>
      </c>
      <c r="Q2523" s="107">
        <f t="shared" si="69"/>
        <v>2014</v>
      </c>
      <c r="R2523" s="107">
        <v>2</v>
      </c>
      <c r="S2523" s="100">
        <v>214111</v>
      </c>
      <c r="T2523" s="101">
        <v>41939</v>
      </c>
    </row>
    <row r="2524" spans="1:20" x14ac:dyDescent="0.3">
      <c r="A2524" s="42">
        <v>41972</v>
      </c>
      <c r="B2524" s="69">
        <f>YEAR(A2524)*10000+MONTH(A2524)*100+DAY(A2524)</f>
        <v>20141129</v>
      </c>
      <c r="C2524" s="109">
        <v>2.2800000000000001E-2</v>
      </c>
      <c r="D2524" s="77">
        <v>0</v>
      </c>
      <c r="E2524" s="77">
        <v>3.0000000000000001E-3</v>
      </c>
      <c r="F2524" s="77">
        <v>5.0000000000000001E-3</v>
      </c>
      <c r="G2524" s="78">
        <v>0</v>
      </c>
      <c r="H2524" s="71">
        <v>8.1</v>
      </c>
      <c r="I2524" s="71">
        <v>10.6</v>
      </c>
      <c r="J2524" s="71">
        <v>13.2</v>
      </c>
      <c r="K2524" s="106">
        <v>5.8999999999999999E-3</v>
      </c>
      <c r="L2524" s="80">
        <v>-1.2E-2</v>
      </c>
      <c r="M2524" s="75" t="s">
        <v>143</v>
      </c>
      <c r="N2524" s="75" t="b">
        <v>1</v>
      </c>
      <c r="O2524" s="75" t="s">
        <v>144</v>
      </c>
      <c r="P2524" s="75">
        <v>1994</v>
      </c>
      <c r="Q2524" s="107">
        <f t="shared" si="69"/>
        <v>2014</v>
      </c>
      <c r="R2524" s="107">
        <v>2</v>
      </c>
      <c r="S2524" s="100">
        <v>214111</v>
      </c>
      <c r="T2524" s="101">
        <v>41939</v>
      </c>
    </row>
    <row r="2525" spans="1:20" x14ac:dyDescent="0.3">
      <c r="A2525" s="42">
        <v>41973</v>
      </c>
      <c r="B2525" s="69">
        <f>YEAR(A2525)*10000+MONTH(A2525)*100+DAY(A2525)</f>
        <v>20141130</v>
      </c>
      <c r="C2525" s="109">
        <v>2.2800000000000001E-2</v>
      </c>
      <c r="D2525" s="77">
        <v>0</v>
      </c>
      <c r="E2525" s="77">
        <v>3.0000000000000001E-3</v>
      </c>
      <c r="F2525" s="77">
        <v>5.0000000000000001E-3</v>
      </c>
      <c r="G2525" s="78">
        <v>0</v>
      </c>
      <c r="H2525" s="71">
        <v>8.1</v>
      </c>
      <c r="I2525" s="71">
        <v>10.6</v>
      </c>
      <c r="J2525" s="71">
        <v>13.2</v>
      </c>
      <c r="K2525" s="106">
        <v>5.8999999999999999E-3</v>
      </c>
      <c r="L2525" s="80">
        <v>-1.2E-2</v>
      </c>
      <c r="M2525" s="75" t="s">
        <v>143</v>
      </c>
      <c r="N2525" s="75" t="b">
        <v>1</v>
      </c>
      <c r="O2525" s="75" t="s">
        <v>144</v>
      </c>
      <c r="P2525" s="75">
        <v>1994</v>
      </c>
      <c r="Q2525" s="107">
        <f t="shared" si="69"/>
        <v>2014</v>
      </c>
      <c r="R2525" s="107">
        <v>2</v>
      </c>
      <c r="S2525" s="100">
        <v>214111</v>
      </c>
      <c r="T2525" s="101">
        <v>41939</v>
      </c>
    </row>
    <row r="2526" spans="1:20" x14ac:dyDescent="0.3">
      <c r="A2526" s="42">
        <v>41974</v>
      </c>
      <c r="B2526" s="69">
        <f t="shared" ref="B2526:B2585" si="71">YEAR(A2526)*10000+MONTH(A2526)*100+DAY(A2526)</f>
        <v>20141201</v>
      </c>
      <c r="C2526" s="109">
        <v>2.3199999999999998E-2</v>
      </c>
      <c r="D2526" s="77">
        <v>0</v>
      </c>
      <c r="E2526" s="77">
        <v>3.0000000000000001E-3</v>
      </c>
      <c r="F2526" s="77">
        <v>5.0000000000000001E-3</v>
      </c>
      <c r="G2526" s="78">
        <v>0</v>
      </c>
      <c r="H2526" s="71">
        <v>8.1</v>
      </c>
      <c r="I2526" s="71">
        <v>10.6</v>
      </c>
      <c r="J2526" s="71">
        <v>13.2</v>
      </c>
      <c r="K2526" s="106">
        <v>6.0000000000000001E-3</v>
      </c>
      <c r="L2526" s="80">
        <v>-1.2E-2</v>
      </c>
      <c r="M2526" s="75" t="s">
        <v>143</v>
      </c>
      <c r="N2526" s="75" t="b">
        <v>1</v>
      </c>
      <c r="O2526" s="75" t="s">
        <v>144</v>
      </c>
      <c r="P2526" s="75">
        <v>1994</v>
      </c>
      <c r="Q2526" s="107">
        <f t="shared" si="69"/>
        <v>2014</v>
      </c>
      <c r="R2526" s="107">
        <v>2</v>
      </c>
      <c r="S2526" s="100">
        <v>214111</v>
      </c>
      <c r="T2526" s="101">
        <v>41939</v>
      </c>
    </row>
    <row r="2527" spans="1:20" x14ac:dyDescent="0.3">
      <c r="A2527" s="42">
        <v>41975</v>
      </c>
      <c r="B2527" s="69">
        <f t="shared" si="71"/>
        <v>20141202</v>
      </c>
      <c r="C2527" s="109">
        <v>2.3799999999999998E-2</v>
      </c>
      <c r="D2527" s="77">
        <v>0</v>
      </c>
      <c r="E2527" s="77">
        <v>3.0000000000000001E-3</v>
      </c>
      <c r="F2527" s="77">
        <v>5.0000000000000001E-3</v>
      </c>
      <c r="G2527" s="78">
        <v>0</v>
      </c>
      <c r="H2527" s="71">
        <v>8.1</v>
      </c>
      <c r="I2527" s="71">
        <v>10.6</v>
      </c>
      <c r="J2527" s="71">
        <v>13.2</v>
      </c>
      <c r="K2527" s="106">
        <v>6.7000000000000002E-3</v>
      </c>
      <c r="L2527" s="80">
        <v>-1.2E-2</v>
      </c>
      <c r="M2527" s="75" t="s">
        <v>143</v>
      </c>
      <c r="N2527" s="75" t="b">
        <v>1</v>
      </c>
      <c r="O2527" s="75" t="s">
        <v>144</v>
      </c>
      <c r="P2527" s="75">
        <v>1994</v>
      </c>
      <c r="Q2527" s="107">
        <f t="shared" si="69"/>
        <v>2014</v>
      </c>
      <c r="R2527" s="107">
        <v>2</v>
      </c>
      <c r="S2527" s="100">
        <v>214111</v>
      </c>
      <c r="T2527" s="101">
        <v>41939</v>
      </c>
    </row>
    <row r="2528" spans="1:20" x14ac:dyDescent="0.3">
      <c r="A2528" s="42">
        <v>41976</v>
      </c>
      <c r="B2528" s="69">
        <f t="shared" si="71"/>
        <v>20141203</v>
      </c>
      <c r="C2528" s="109">
        <v>2.3700000000000002E-2</v>
      </c>
      <c r="D2528" s="77">
        <v>0</v>
      </c>
      <c r="E2528" s="77">
        <v>3.0000000000000001E-3</v>
      </c>
      <c r="F2528" s="77">
        <v>5.0000000000000001E-3</v>
      </c>
      <c r="G2528" s="78">
        <v>0</v>
      </c>
      <c r="H2528" s="71">
        <v>8.1</v>
      </c>
      <c r="I2528" s="71">
        <v>10.6</v>
      </c>
      <c r="J2528" s="71">
        <v>13.2</v>
      </c>
      <c r="K2528" s="106">
        <v>6.5000000000000006E-3</v>
      </c>
      <c r="L2528" s="80">
        <v>-1.2E-2</v>
      </c>
      <c r="M2528" s="75" t="s">
        <v>143</v>
      </c>
      <c r="N2528" s="75" t="b">
        <v>1</v>
      </c>
      <c r="O2528" s="75" t="s">
        <v>144</v>
      </c>
      <c r="P2528" s="75">
        <v>1994</v>
      </c>
      <c r="Q2528" s="107">
        <f t="shared" si="69"/>
        <v>2014</v>
      </c>
      <c r="R2528" s="107">
        <v>2</v>
      </c>
      <c r="S2528" s="100">
        <v>214111</v>
      </c>
      <c r="T2528" s="101">
        <v>41939</v>
      </c>
    </row>
    <row r="2529" spans="1:20" x14ac:dyDescent="0.3">
      <c r="A2529" s="42">
        <v>41977</v>
      </c>
      <c r="B2529" s="69">
        <f t="shared" si="71"/>
        <v>20141204</v>
      </c>
      <c r="C2529" s="109">
        <v>2.3399999999999997E-2</v>
      </c>
      <c r="D2529" s="77">
        <v>0</v>
      </c>
      <c r="E2529" s="77">
        <v>3.0000000000000001E-3</v>
      </c>
      <c r="F2529" s="77">
        <v>5.0000000000000001E-3</v>
      </c>
      <c r="G2529" s="78">
        <v>0</v>
      </c>
      <c r="H2529" s="71">
        <v>8.1</v>
      </c>
      <c r="I2529" s="71">
        <v>10.6</v>
      </c>
      <c r="J2529" s="71">
        <v>13.2</v>
      </c>
      <c r="K2529" s="106">
        <v>6.3E-3</v>
      </c>
      <c r="L2529" s="80">
        <v>-1.2E-2</v>
      </c>
      <c r="M2529" s="75" t="s">
        <v>143</v>
      </c>
      <c r="N2529" s="75" t="b">
        <v>1</v>
      </c>
      <c r="O2529" s="75" t="s">
        <v>144</v>
      </c>
      <c r="P2529" s="75">
        <v>1994</v>
      </c>
      <c r="Q2529" s="107">
        <f t="shared" si="69"/>
        <v>2014</v>
      </c>
      <c r="R2529" s="107">
        <v>2</v>
      </c>
      <c r="S2529" s="100">
        <v>214111</v>
      </c>
      <c r="T2529" s="101">
        <v>41939</v>
      </c>
    </row>
    <row r="2530" spans="1:20" x14ac:dyDescent="0.3">
      <c r="A2530" s="42">
        <v>41978</v>
      </c>
      <c r="B2530" s="69">
        <f t="shared" si="71"/>
        <v>20141205</v>
      </c>
      <c r="C2530" s="109">
        <v>2.3700000000000002E-2</v>
      </c>
      <c r="D2530" s="77">
        <v>0</v>
      </c>
      <c r="E2530" s="77">
        <v>3.0000000000000001E-3</v>
      </c>
      <c r="F2530" s="77">
        <v>5.0000000000000001E-3</v>
      </c>
      <c r="G2530" s="78">
        <v>0</v>
      </c>
      <c r="H2530" s="71">
        <v>8.1</v>
      </c>
      <c r="I2530" s="71">
        <v>10.6</v>
      </c>
      <c r="J2530" s="71">
        <v>13.2</v>
      </c>
      <c r="K2530" s="106">
        <v>6.6E-3</v>
      </c>
      <c r="L2530" s="80">
        <v>-1.2E-2</v>
      </c>
      <c r="M2530" s="75" t="s">
        <v>143</v>
      </c>
      <c r="N2530" s="75" t="b">
        <v>1</v>
      </c>
      <c r="O2530" s="75" t="s">
        <v>144</v>
      </c>
      <c r="P2530" s="75">
        <v>1994</v>
      </c>
      <c r="Q2530" s="107">
        <f t="shared" si="69"/>
        <v>2014</v>
      </c>
      <c r="R2530" s="107">
        <v>2</v>
      </c>
      <c r="S2530" s="100">
        <v>214111</v>
      </c>
      <c r="T2530" s="101">
        <v>41939</v>
      </c>
    </row>
    <row r="2531" spans="1:20" x14ac:dyDescent="0.3">
      <c r="A2531" s="42">
        <v>41979</v>
      </c>
      <c r="B2531" s="69">
        <f t="shared" si="71"/>
        <v>20141206</v>
      </c>
      <c r="C2531" s="109">
        <v>2.3700000000000002E-2</v>
      </c>
      <c r="D2531" s="77">
        <v>0</v>
      </c>
      <c r="E2531" s="77">
        <v>3.0000000000000001E-3</v>
      </c>
      <c r="F2531" s="77">
        <v>5.0000000000000001E-3</v>
      </c>
      <c r="G2531" s="78">
        <v>0</v>
      </c>
      <c r="H2531" s="71">
        <v>8.1</v>
      </c>
      <c r="I2531" s="71">
        <v>10.6</v>
      </c>
      <c r="J2531" s="71">
        <v>13.2</v>
      </c>
      <c r="K2531" s="106">
        <v>6.6E-3</v>
      </c>
      <c r="L2531" s="80">
        <v>-1.2E-2</v>
      </c>
      <c r="M2531" s="75" t="s">
        <v>143</v>
      </c>
      <c r="N2531" s="75" t="b">
        <v>1</v>
      </c>
      <c r="O2531" s="75" t="s">
        <v>144</v>
      </c>
      <c r="P2531" s="75">
        <v>1994</v>
      </c>
      <c r="Q2531" s="107">
        <f t="shared" si="69"/>
        <v>2014</v>
      </c>
      <c r="R2531" s="107">
        <v>2</v>
      </c>
      <c r="S2531" s="100">
        <v>214111</v>
      </c>
      <c r="T2531" s="101">
        <v>41939</v>
      </c>
    </row>
    <row r="2532" spans="1:20" x14ac:dyDescent="0.3">
      <c r="A2532" s="42">
        <v>41980</v>
      </c>
      <c r="B2532" s="69">
        <f t="shared" si="71"/>
        <v>20141207</v>
      </c>
      <c r="C2532" s="109">
        <v>2.3700000000000002E-2</v>
      </c>
      <c r="D2532" s="77">
        <v>0</v>
      </c>
      <c r="E2532" s="77">
        <v>3.0000000000000001E-3</v>
      </c>
      <c r="F2532" s="77">
        <v>5.0000000000000001E-3</v>
      </c>
      <c r="G2532" s="78">
        <v>0</v>
      </c>
      <c r="H2532" s="71">
        <v>8.1</v>
      </c>
      <c r="I2532" s="71">
        <v>10.6</v>
      </c>
      <c r="J2532" s="71">
        <v>13.2</v>
      </c>
      <c r="K2532" s="106">
        <v>6.6E-3</v>
      </c>
      <c r="L2532" s="80">
        <v>-1.2E-2</v>
      </c>
      <c r="M2532" s="75" t="s">
        <v>143</v>
      </c>
      <c r="N2532" s="75" t="b">
        <v>1</v>
      </c>
      <c r="O2532" s="75" t="s">
        <v>144</v>
      </c>
      <c r="P2532" s="75">
        <v>1994</v>
      </c>
      <c r="Q2532" s="107">
        <f t="shared" si="69"/>
        <v>2014</v>
      </c>
      <c r="R2532" s="107">
        <v>2</v>
      </c>
      <c r="S2532" s="100">
        <v>214111</v>
      </c>
      <c r="T2532" s="101">
        <v>41939</v>
      </c>
    </row>
    <row r="2533" spans="1:20" x14ac:dyDescent="0.3">
      <c r="A2533" s="42">
        <v>41981</v>
      </c>
      <c r="B2533" s="69">
        <f t="shared" si="71"/>
        <v>20141208</v>
      </c>
      <c r="C2533" s="109">
        <v>2.3099999999999999E-2</v>
      </c>
      <c r="D2533" s="77">
        <v>0</v>
      </c>
      <c r="E2533" s="77">
        <v>3.0000000000000001E-3</v>
      </c>
      <c r="F2533" s="77">
        <v>5.0000000000000001E-3</v>
      </c>
      <c r="G2533" s="78">
        <v>0</v>
      </c>
      <c r="H2533" s="71">
        <v>8.1</v>
      </c>
      <c r="I2533" s="71">
        <v>10.6</v>
      </c>
      <c r="J2533" s="71">
        <v>13.2</v>
      </c>
      <c r="K2533" s="106">
        <v>6.4000000000000003E-3</v>
      </c>
      <c r="L2533" s="80">
        <v>-1.2E-2</v>
      </c>
      <c r="M2533" s="75" t="s">
        <v>143</v>
      </c>
      <c r="N2533" s="75" t="b">
        <v>1</v>
      </c>
      <c r="O2533" s="75" t="s">
        <v>144</v>
      </c>
      <c r="P2533" s="75">
        <v>1994</v>
      </c>
      <c r="Q2533" s="107">
        <f t="shared" si="69"/>
        <v>2014</v>
      </c>
      <c r="R2533" s="107">
        <v>2</v>
      </c>
      <c r="S2533" s="100">
        <v>214111</v>
      </c>
      <c r="T2533" s="101">
        <v>41939</v>
      </c>
    </row>
    <row r="2534" spans="1:20" x14ac:dyDescent="0.3">
      <c r="A2534" s="42">
        <v>41982</v>
      </c>
      <c r="B2534" s="69">
        <f t="shared" si="71"/>
        <v>20141209</v>
      </c>
      <c r="C2534" s="109">
        <v>2.3E-2</v>
      </c>
      <c r="D2534" s="77">
        <v>0</v>
      </c>
      <c r="E2534" s="77">
        <v>3.0000000000000001E-3</v>
      </c>
      <c r="F2534" s="77">
        <v>5.0000000000000001E-3</v>
      </c>
      <c r="G2534" s="78">
        <v>0</v>
      </c>
      <c r="H2534" s="71">
        <v>8.1</v>
      </c>
      <c r="I2534" s="71">
        <v>10.6</v>
      </c>
      <c r="J2534" s="71">
        <v>13.2</v>
      </c>
      <c r="K2534" s="106">
        <v>6.3E-3</v>
      </c>
      <c r="L2534" s="80">
        <v>-1.2E-2</v>
      </c>
      <c r="M2534" s="75" t="s">
        <v>143</v>
      </c>
      <c r="N2534" s="75" t="b">
        <v>1</v>
      </c>
      <c r="O2534" s="75" t="s">
        <v>144</v>
      </c>
      <c r="P2534" s="75">
        <v>1994</v>
      </c>
      <c r="Q2534" s="107">
        <f t="shared" si="69"/>
        <v>2014</v>
      </c>
      <c r="R2534" s="107">
        <v>2</v>
      </c>
      <c r="S2534" s="100">
        <v>214111</v>
      </c>
      <c r="T2534" s="101">
        <v>41939</v>
      </c>
    </row>
    <row r="2535" spans="1:20" x14ac:dyDescent="0.3">
      <c r="A2535" s="42">
        <v>41983</v>
      </c>
      <c r="B2535" s="69">
        <f t="shared" si="71"/>
        <v>20141210</v>
      </c>
      <c r="C2535" s="109">
        <v>2.2499999999999999E-2</v>
      </c>
      <c r="D2535" s="77">
        <v>0</v>
      </c>
      <c r="E2535" s="77">
        <v>3.0000000000000001E-3</v>
      </c>
      <c r="F2535" s="77">
        <v>5.0000000000000001E-3</v>
      </c>
      <c r="G2535" s="78">
        <v>0</v>
      </c>
      <c r="H2535" s="71">
        <v>8.1</v>
      </c>
      <c r="I2535" s="71">
        <v>10.6</v>
      </c>
      <c r="J2535" s="71">
        <v>13.2</v>
      </c>
      <c r="K2535" s="106">
        <v>6.1999999999999998E-3</v>
      </c>
      <c r="L2535" s="80">
        <v>-1.2E-2</v>
      </c>
      <c r="M2535" s="75" t="s">
        <v>143</v>
      </c>
      <c r="N2535" s="75" t="b">
        <v>1</v>
      </c>
      <c r="O2535" s="75" t="s">
        <v>144</v>
      </c>
      <c r="P2535" s="75">
        <v>1994</v>
      </c>
      <c r="Q2535" s="107">
        <f t="shared" si="69"/>
        <v>2014</v>
      </c>
      <c r="R2535" s="107">
        <v>2</v>
      </c>
      <c r="S2535" s="100">
        <v>214111</v>
      </c>
      <c r="T2535" s="101">
        <v>41939</v>
      </c>
    </row>
    <row r="2536" spans="1:20" x14ac:dyDescent="0.3">
      <c r="A2536" s="42">
        <v>41984</v>
      </c>
      <c r="B2536" s="69">
        <f t="shared" si="71"/>
        <v>20141211</v>
      </c>
      <c r="C2536" s="109">
        <v>2.2499999999999999E-2</v>
      </c>
      <c r="D2536" s="77">
        <v>0</v>
      </c>
      <c r="E2536" s="77">
        <v>3.0000000000000001E-3</v>
      </c>
      <c r="F2536" s="77">
        <v>5.0000000000000001E-3</v>
      </c>
      <c r="G2536" s="78">
        <v>0</v>
      </c>
      <c r="H2536" s="71">
        <v>8.1</v>
      </c>
      <c r="I2536" s="71">
        <v>10.6</v>
      </c>
      <c r="J2536" s="71">
        <v>13.2</v>
      </c>
      <c r="K2536" s="106">
        <v>6.3E-3</v>
      </c>
      <c r="L2536" s="80">
        <v>-1.2E-2</v>
      </c>
      <c r="M2536" s="75" t="s">
        <v>143</v>
      </c>
      <c r="N2536" s="75" t="b">
        <v>1</v>
      </c>
      <c r="O2536" s="75" t="s">
        <v>144</v>
      </c>
      <c r="P2536" s="75">
        <v>1994</v>
      </c>
      <c r="Q2536" s="107">
        <f t="shared" si="69"/>
        <v>2014</v>
      </c>
      <c r="R2536" s="107">
        <v>2</v>
      </c>
      <c r="S2536" s="100">
        <v>214111</v>
      </c>
      <c r="T2536" s="101">
        <v>41939</v>
      </c>
    </row>
    <row r="2537" spans="1:20" x14ac:dyDescent="0.3">
      <c r="A2537" s="42">
        <v>41985</v>
      </c>
      <c r="B2537" s="69">
        <f t="shared" si="71"/>
        <v>20141212</v>
      </c>
      <c r="C2537" s="109">
        <v>2.1899999999999999E-2</v>
      </c>
      <c r="D2537" s="77">
        <v>0</v>
      </c>
      <c r="E2537" s="77">
        <v>3.0000000000000001E-3</v>
      </c>
      <c r="F2537" s="77">
        <v>5.0000000000000001E-3</v>
      </c>
      <c r="G2537" s="78">
        <v>0</v>
      </c>
      <c r="H2537" s="71">
        <v>8.1</v>
      </c>
      <c r="I2537" s="71">
        <v>10.6</v>
      </c>
      <c r="J2537" s="71">
        <v>13.2</v>
      </c>
      <c r="K2537" s="106">
        <v>5.8999999999999999E-3</v>
      </c>
      <c r="L2537" s="80">
        <v>-1.2E-2</v>
      </c>
      <c r="M2537" s="75" t="s">
        <v>143</v>
      </c>
      <c r="N2537" s="75" t="b">
        <v>1</v>
      </c>
      <c r="O2537" s="75" t="s">
        <v>144</v>
      </c>
      <c r="P2537" s="75">
        <v>1994</v>
      </c>
      <c r="Q2537" s="107">
        <f t="shared" si="69"/>
        <v>2014</v>
      </c>
      <c r="R2537" s="107">
        <v>2</v>
      </c>
      <c r="S2537" s="100">
        <v>214111</v>
      </c>
      <c r="T2537" s="101">
        <v>41939</v>
      </c>
    </row>
    <row r="2538" spans="1:20" x14ac:dyDescent="0.3">
      <c r="A2538" s="42">
        <v>41986</v>
      </c>
      <c r="B2538" s="69">
        <f t="shared" si="71"/>
        <v>20141213</v>
      </c>
      <c r="C2538" s="109">
        <v>2.1899999999999999E-2</v>
      </c>
      <c r="D2538" s="77">
        <v>0</v>
      </c>
      <c r="E2538" s="77">
        <v>3.0000000000000001E-3</v>
      </c>
      <c r="F2538" s="77">
        <v>5.0000000000000001E-3</v>
      </c>
      <c r="G2538" s="78">
        <v>0</v>
      </c>
      <c r="H2538" s="71">
        <v>8.1</v>
      </c>
      <c r="I2538" s="71">
        <v>10.6</v>
      </c>
      <c r="J2538" s="71">
        <v>13.2</v>
      </c>
      <c r="K2538" s="106">
        <v>5.8999999999999999E-3</v>
      </c>
      <c r="L2538" s="80">
        <v>-1.2E-2</v>
      </c>
      <c r="M2538" s="75" t="s">
        <v>143</v>
      </c>
      <c r="N2538" s="75" t="b">
        <v>1</v>
      </c>
      <c r="O2538" s="75" t="s">
        <v>144</v>
      </c>
      <c r="P2538" s="75">
        <v>1994</v>
      </c>
      <c r="Q2538" s="107">
        <f t="shared" si="69"/>
        <v>2014</v>
      </c>
      <c r="R2538" s="107">
        <v>2</v>
      </c>
      <c r="S2538" s="100">
        <v>214111</v>
      </c>
      <c r="T2538" s="101">
        <v>41939</v>
      </c>
    </row>
    <row r="2539" spans="1:20" x14ac:dyDescent="0.3">
      <c r="A2539" s="42">
        <v>41987</v>
      </c>
      <c r="B2539" s="69">
        <f t="shared" si="71"/>
        <v>20141214</v>
      </c>
      <c r="C2539" s="109">
        <v>2.1899999999999999E-2</v>
      </c>
      <c r="D2539" s="77">
        <v>0</v>
      </c>
      <c r="E2539" s="77">
        <v>3.0000000000000001E-3</v>
      </c>
      <c r="F2539" s="77">
        <v>5.0000000000000001E-3</v>
      </c>
      <c r="G2539" s="78">
        <v>0</v>
      </c>
      <c r="H2539" s="71">
        <v>8.1</v>
      </c>
      <c r="I2539" s="71">
        <v>10.6</v>
      </c>
      <c r="J2539" s="71">
        <v>13.2</v>
      </c>
      <c r="K2539" s="106">
        <v>5.8999999999999999E-3</v>
      </c>
      <c r="L2539" s="80">
        <v>-1.2E-2</v>
      </c>
      <c r="M2539" s="75" t="s">
        <v>143</v>
      </c>
      <c r="N2539" s="75" t="b">
        <v>1</v>
      </c>
      <c r="O2539" s="75" t="s">
        <v>144</v>
      </c>
      <c r="P2539" s="75">
        <v>1994</v>
      </c>
      <c r="Q2539" s="107">
        <f t="shared" si="69"/>
        <v>2014</v>
      </c>
      <c r="R2539" s="107">
        <v>2</v>
      </c>
      <c r="S2539" s="100">
        <v>214111</v>
      </c>
      <c r="T2539" s="101">
        <v>41939</v>
      </c>
    </row>
    <row r="2540" spans="1:20" x14ac:dyDescent="0.3">
      <c r="A2540" s="42">
        <v>41988</v>
      </c>
      <c r="B2540" s="69">
        <f t="shared" si="71"/>
        <v>20141215</v>
      </c>
      <c r="C2540" s="109">
        <v>2.2099999999999998E-2</v>
      </c>
      <c r="D2540" s="77">
        <v>0</v>
      </c>
      <c r="E2540" s="77">
        <v>3.0000000000000001E-3</v>
      </c>
      <c r="F2540" s="77">
        <v>5.0000000000000001E-3</v>
      </c>
      <c r="G2540" s="78">
        <v>0</v>
      </c>
      <c r="H2540" s="71">
        <v>8.1</v>
      </c>
      <c r="I2540" s="71">
        <v>10.6</v>
      </c>
      <c r="J2540" s="71">
        <v>13.2</v>
      </c>
      <c r="K2540" s="106">
        <v>6.0999999999999995E-3</v>
      </c>
      <c r="L2540" s="80">
        <v>-1.2E-2</v>
      </c>
      <c r="M2540" s="75" t="s">
        <v>143</v>
      </c>
      <c r="N2540" s="75" t="b">
        <v>1</v>
      </c>
      <c r="O2540" s="75" t="s">
        <v>144</v>
      </c>
      <c r="P2540" s="75">
        <v>1994</v>
      </c>
      <c r="Q2540" s="107">
        <f t="shared" si="69"/>
        <v>2014</v>
      </c>
      <c r="R2540" s="107">
        <v>2</v>
      </c>
      <c r="S2540" s="100">
        <v>214111</v>
      </c>
      <c r="T2540" s="101">
        <v>41939</v>
      </c>
    </row>
    <row r="2541" spans="1:20" x14ac:dyDescent="0.3">
      <c r="A2541" s="42">
        <v>41989</v>
      </c>
      <c r="B2541" s="69">
        <f t="shared" si="71"/>
        <v>20141216</v>
      </c>
      <c r="C2541" s="109">
        <v>2.1700000000000001E-2</v>
      </c>
      <c r="D2541" s="77">
        <v>0</v>
      </c>
      <c r="E2541" s="77">
        <v>3.0000000000000001E-3</v>
      </c>
      <c r="F2541" s="77">
        <v>5.0000000000000001E-3</v>
      </c>
      <c r="G2541" s="78">
        <v>0</v>
      </c>
      <c r="H2541" s="71">
        <v>8.1</v>
      </c>
      <c r="I2541" s="71">
        <v>10.6</v>
      </c>
      <c r="J2541" s="71">
        <v>13.2</v>
      </c>
      <c r="K2541" s="106">
        <v>5.7999999999999996E-3</v>
      </c>
      <c r="L2541" s="80">
        <v>-1.2E-2</v>
      </c>
      <c r="M2541" s="75" t="s">
        <v>143</v>
      </c>
      <c r="N2541" s="75" t="b">
        <v>1</v>
      </c>
      <c r="O2541" s="75" t="s">
        <v>144</v>
      </c>
      <c r="P2541" s="75">
        <v>1994</v>
      </c>
      <c r="Q2541" s="107">
        <f t="shared" si="69"/>
        <v>2014</v>
      </c>
      <c r="R2541" s="107">
        <v>2</v>
      </c>
      <c r="S2541" s="100">
        <v>214111</v>
      </c>
      <c r="T2541" s="101">
        <v>41939</v>
      </c>
    </row>
    <row r="2542" spans="1:20" x14ac:dyDescent="0.3">
      <c r="A2542" s="42">
        <v>41990</v>
      </c>
      <c r="B2542" s="69">
        <f t="shared" si="71"/>
        <v>20141217</v>
      </c>
      <c r="C2542" s="109">
        <v>2.2200000000000001E-2</v>
      </c>
      <c r="D2542" s="77">
        <v>0</v>
      </c>
      <c r="E2542" s="77">
        <v>3.0000000000000001E-3</v>
      </c>
      <c r="F2542" s="77">
        <v>5.0000000000000001E-3</v>
      </c>
      <c r="G2542" s="78">
        <v>0</v>
      </c>
      <c r="H2542" s="71">
        <v>8.1</v>
      </c>
      <c r="I2542" s="71">
        <v>10.6</v>
      </c>
      <c r="J2542" s="71">
        <v>13.2</v>
      </c>
      <c r="K2542" s="106">
        <v>6.1999999999999998E-3</v>
      </c>
      <c r="L2542" s="80">
        <v>-1.2E-2</v>
      </c>
      <c r="M2542" s="75" t="s">
        <v>143</v>
      </c>
      <c r="N2542" s="75" t="b">
        <v>1</v>
      </c>
      <c r="O2542" s="75" t="s">
        <v>144</v>
      </c>
      <c r="P2542" s="75">
        <v>1994</v>
      </c>
      <c r="Q2542" s="107">
        <f t="shared" ref="Q2542:Q2605" si="72">YEAR(A2542)</f>
        <v>2014</v>
      </c>
      <c r="R2542" s="107">
        <v>2</v>
      </c>
      <c r="S2542" s="100">
        <v>214111</v>
      </c>
      <c r="T2542" s="101">
        <v>41939</v>
      </c>
    </row>
    <row r="2543" spans="1:20" x14ac:dyDescent="0.3">
      <c r="A2543" s="42">
        <v>41991</v>
      </c>
      <c r="B2543" s="69">
        <f t="shared" si="71"/>
        <v>20141218</v>
      </c>
      <c r="C2543" s="109">
        <v>2.2700000000000001E-2</v>
      </c>
      <c r="D2543" s="77">
        <v>0</v>
      </c>
      <c r="E2543" s="77">
        <v>3.0000000000000001E-3</v>
      </c>
      <c r="F2543" s="77">
        <v>5.0000000000000001E-3</v>
      </c>
      <c r="G2543" s="78">
        <v>0</v>
      </c>
      <c r="H2543" s="71">
        <v>8.1</v>
      </c>
      <c r="I2543" s="71">
        <v>10.6</v>
      </c>
      <c r="J2543" s="71">
        <v>13.2</v>
      </c>
      <c r="K2543" s="106">
        <v>6.6E-3</v>
      </c>
      <c r="L2543" s="80">
        <v>-1.2E-2</v>
      </c>
      <c r="M2543" s="75" t="s">
        <v>143</v>
      </c>
      <c r="N2543" s="75" t="b">
        <v>1</v>
      </c>
      <c r="O2543" s="75" t="s">
        <v>144</v>
      </c>
      <c r="P2543" s="75">
        <v>1994</v>
      </c>
      <c r="Q2543" s="107">
        <f t="shared" si="72"/>
        <v>2014</v>
      </c>
      <c r="R2543" s="107">
        <v>2</v>
      </c>
      <c r="S2543" s="100">
        <v>214111</v>
      </c>
      <c r="T2543" s="101">
        <v>41939</v>
      </c>
    </row>
    <row r="2544" spans="1:20" x14ac:dyDescent="0.3">
      <c r="A2544" s="42">
        <v>41992</v>
      </c>
      <c r="B2544" s="69">
        <f t="shared" si="71"/>
        <v>20141219</v>
      </c>
      <c r="C2544" s="109">
        <v>2.23E-2</v>
      </c>
      <c r="D2544" s="77">
        <v>0</v>
      </c>
      <c r="E2544" s="77">
        <v>3.0000000000000001E-3</v>
      </c>
      <c r="F2544" s="77">
        <v>5.0000000000000001E-3</v>
      </c>
      <c r="G2544" s="78">
        <v>0</v>
      </c>
      <c r="H2544" s="71">
        <v>8.1</v>
      </c>
      <c r="I2544" s="71">
        <v>10.6</v>
      </c>
      <c r="J2544" s="71">
        <v>13.2</v>
      </c>
      <c r="K2544" s="106">
        <v>6.3E-3</v>
      </c>
      <c r="L2544" s="80">
        <v>-1.2E-2</v>
      </c>
      <c r="M2544" s="75" t="s">
        <v>143</v>
      </c>
      <c r="N2544" s="75" t="b">
        <v>1</v>
      </c>
      <c r="O2544" s="75" t="s">
        <v>144</v>
      </c>
      <c r="P2544" s="75">
        <v>1994</v>
      </c>
      <c r="Q2544" s="107">
        <f t="shared" si="72"/>
        <v>2014</v>
      </c>
      <c r="R2544" s="107">
        <v>2</v>
      </c>
      <c r="S2544" s="100">
        <v>214111</v>
      </c>
      <c r="T2544" s="101">
        <v>41939</v>
      </c>
    </row>
    <row r="2545" spans="1:21" x14ac:dyDescent="0.3">
      <c r="A2545" s="42">
        <v>41993</v>
      </c>
      <c r="B2545" s="69">
        <f>YEAR(A2545)*10000+MONTH(A2545)*100+DAY(A2545)</f>
        <v>20141220</v>
      </c>
      <c r="C2545" s="109">
        <v>2.23E-2</v>
      </c>
      <c r="D2545" s="77">
        <v>0</v>
      </c>
      <c r="E2545" s="77">
        <v>3.0000000000000001E-3</v>
      </c>
      <c r="F2545" s="77">
        <v>5.0000000000000001E-3</v>
      </c>
      <c r="G2545" s="78">
        <v>0</v>
      </c>
      <c r="H2545" s="71">
        <v>8.1</v>
      </c>
      <c r="I2545" s="71">
        <v>10.6</v>
      </c>
      <c r="J2545" s="71">
        <v>13.2</v>
      </c>
      <c r="K2545" s="106">
        <v>6.3E-3</v>
      </c>
      <c r="L2545" s="80">
        <v>-1.2E-2</v>
      </c>
      <c r="M2545" s="75" t="s">
        <v>143</v>
      </c>
      <c r="N2545" s="75" t="b">
        <v>1</v>
      </c>
      <c r="O2545" s="75" t="s">
        <v>144</v>
      </c>
      <c r="P2545" s="75">
        <v>1994</v>
      </c>
      <c r="Q2545" s="107">
        <f t="shared" si="72"/>
        <v>2014</v>
      </c>
      <c r="R2545" s="107">
        <v>2</v>
      </c>
      <c r="S2545" s="100">
        <v>214111</v>
      </c>
      <c r="T2545" s="101">
        <v>41939</v>
      </c>
    </row>
    <row r="2546" spans="1:21" x14ac:dyDescent="0.3">
      <c r="A2546" s="42">
        <v>41994</v>
      </c>
      <c r="B2546" s="69">
        <f>YEAR(A2546)*10000+MONTH(A2546)*100+DAY(A2546)</f>
        <v>20141221</v>
      </c>
      <c r="C2546" s="109">
        <v>2.23E-2</v>
      </c>
      <c r="D2546" s="77">
        <v>0</v>
      </c>
      <c r="E2546" s="77">
        <v>3.0000000000000001E-3</v>
      </c>
      <c r="F2546" s="77">
        <v>5.0000000000000001E-3</v>
      </c>
      <c r="G2546" s="78">
        <v>0</v>
      </c>
      <c r="H2546" s="71">
        <v>8.1</v>
      </c>
      <c r="I2546" s="71">
        <v>10.6</v>
      </c>
      <c r="J2546" s="71">
        <v>13.2</v>
      </c>
      <c r="K2546" s="106">
        <v>6.3E-3</v>
      </c>
      <c r="L2546" s="80">
        <v>-1.2E-2</v>
      </c>
      <c r="M2546" s="75" t="s">
        <v>143</v>
      </c>
      <c r="N2546" s="75" t="b">
        <v>1</v>
      </c>
      <c r="O2546" s="75" t="s">
        <v>144</v>
      </c>
      <c r="P2546" s="75">
        <v>1994</v>
      </c>
      <c r="Q2546" s="107">
        <f t="shared" si="72"/>
        <v>2014</v>
      </c>
      <c r="R2546" s="107">
        <v>2</v>
      </c>
      <c r="S2546" s="100">
        <v>214111</v>
      </c>
      <c r="T2546" s="101">
        <v>41939</v>
      </c>
    </row>
    <row r="2547" spans="1:21" x14ac:dyDescent="0.3">
      <c r="A2547" s="42">
        <v>41995</v>
      </c>
      <c r="B2547" s="69">
        <f t="shared" si="71"/>
        <v>20141222</v>
      </c>
      <c r="C2547" s="109">
        <v>2.2200000000000001E-2</v>
      </c>
      <c r="D2547" s="77">
        <v>0</v>
      </c>
      <c r="E2547" s="77">
        <v>3.0000000000000001E-3</v>
      </c>
      <c r="F2547" s="77">
        <v>5.0000000000000001E-3</v>
      </c>
      <c r="G2547" s="78">
        <v>0</v>
      </c>
      <c r="H2547" s="71">
        <v>8.1</v>
      </c>
      <c r="I2547" s="71">
        <v>10.6</v>
      </c>
      <c r="J2547" s="71">
        <v>13.2</v>
      </c>
      <c r="K2547" s="106">
        <v>6.3E-3</v>
      </c>
      <c r="L2547" s="80">
        <v>-1.2E-2</v>
      </c>
      <c r="M2547" s="75" t="s">
        <v>143</v>
      </c>
      <c r="N2547" s="75" t="b">
        <v>1</v>
      </c>
      <c r="O2547" s="75" t="s">
        <v>144</v>
      </c>
      <c r="P2547" s="75">
        <v>1994</v>
      </c>
      <c r="Q2547" s="107">
        <f t="shared" si="72"/>
        <v>2014</v>
      </c>
      <c r="R2547" s="107">
        <v>2</v>
      </c>
      <c r="S2547" s="100">
        <v>214111</v>
      </c>
      <c r="T2547" s="101">
        <v>41939</v>
      </c>
    </row>
    <row r="2548" spans="1:21" x14ac:dyDescent="0.3">
      <c r="A2548" s="42">
        <v>41996</v>
      </c>
      <c r="B2548" s="69">
        <f t="shared" si="71"/>
        <v>20141223</v>
      </c>
      <c r="C2548" s="109">
        <v>2.3099999999999999E-2</v>
      </c>
      <c r="D2548" s="77">
        <v>0</v>
      </c>
      <c r="E2548" s="77">
        <v>3.0000000000000001E-3</v>
      </c>
      <c r="F2548" s="77">
        <v>5.0000000000000001E-3</v>
      </c>
      <c r="G2548" s="78">
        <v>0</v>
      </c>
      <c r="H2548" s="71">
        <v>8.1</v>
      </c>
      <c r="I2548" s="71">
        <v>10.6</v>
      </c>
      <c r="J2548" s="71">
        <v>13.2</v>
      </c>
      <c r="K2548" s="106">
        <v>6.9999999999999993E-3</v>
      </c>
      <c r="L2548" s="80">
        <v>-1.2E-2</v>
      </c>
      <c r="M2548" s="75" t="s">
        <v>143</v>
      </c>
      <c r="N2548" s="75" t="b">
        <v>1</v>
      </c>
      <c r="O2548" s="75" t="s">
        <v>144</v>
      </c>
      <c r="P2548" s="75">
        <v>1994</v>
      </c>
      <c r="Q2548" s="107">
        <f t="shared" si="72"/>
        <v>2014</v>
      </c>
      <c r="R2548" s="107">
        <v>2</v>
      </c>
      <c r="S2548" s="100">
        <v>214111</v>
      </c>
      <c r="T2548" s="101">
        <v>41939</v>
      </c>
    </row>
    <row r="2549" spans="1:21" x14ac:dyDescent="0.3">
      <c r="A2549" s="42">
        <v>41997</v>
      </c>
      <c r="B2549" s="69">
        <f t="shared" si="71"/>
        <v>20141224</v>
      </c>
      <c r="C2549" s="109">
        <v>2.3199999999999998E-2</v>
      </c>
      <c r="D2549" s="77">
        <v>0</v>
      </c>
      <c r="E2549" s="77">
        <v>3.0000000000000001E-3</v>
      </c>
      <c r="F2549" s="77">
        <v>5.0000000000000001E-3</v>
      </c>
      <c r="G2549" s="78">
        <v>0</v>
      </c>
      <c r="H2549" s="71">
        <v>8.1</v>
      </c>
      <c r="I2549" s="71">
        <v>10.6</v>
      </c>
      <c r="J2549" s="71">
        <v>13.2</v>
      </c>
      <c r="K2549" s="106">
        <v>7.0999999999999995E-3</v>
      </c>
      <c r="L2549" s="80">
        <v>-1.2E-2</v>
      </c>
      <c r="M2549" s="75" t="s">
        <v>143</v>
      </c>
      <c r="N2549" s="75" t="b">
        <v>1</v>
      </c>
      <c r="O2549" s="75" t="s">
        <v>144</v>
      </c>
      <c r="P2549" s="75">
        <v>1994</v>
      </c>
      <c r="Q2549" s="107">
        <f t="shared" si="72"/>
        <v>2014</v>
      </c>
      <c r="R2549" s="107">
        <v>2</v>
      </c>
      <c r="S2549" s="100">
        <v>214111</v>
      </c>
      <c r="T2549" s="101">
        <v>41939</v>
      </c>
    </row>
    <row r="2550" spans="1:21" x14ac:dyDescent="0.3">
      <c r="A2550" s="42">
        <v>41998</v>
      </c>
      <c r="B2550" s="69">
        <f t="shared" si="71"/>
        <v>20141225</v>
      </c>
      <c r="C2550" s="109">
        <v>2.3199999999999998E-2</v>
      </c>
      <c r="D2550" s="77">
        <v>0</v>
      </c>
      <c r="E2550" s="77">
        <v>3.0000000000000001E-3</v>
      </c>
      <c r="F2550" s="77">
        <v>5.0000000000000001E-3</v>
      </c>
      <c r="G2550" s="78">
        <v>0</v>
      </c>
      <c r="H2550" s="71">
        <v>8.1</v>
      </c>
      <c r="I2550" s="71">
        <v>10.6</v>
      </c>
      <c r="J2550" s="71">
        <v>13.2</v>
      </c>
      <c r="K2550" s="106">
        <v>7.0999999999999995E-3</v>
      </c>
      <c r="L2550" s="80">
        <v>-1.2E-2</v>
      </c>
      <c r="M2550" s="75" t="s">
        <v>143</v>
      </c>
      <c r="N2550" s="75" t="b">
        <v>1</v>
      </c>
      <c r="O2550" s="75" t="s">
        <v>144</v>
      </c>
      <c r="P2550" s="75">
        <v>1994</v>
      </c>
      <c r="Q2550" s="107">
        <f t="shared" si="72"/>
        <v>2014</v>
      </c>
      <c r="R2550" s="107">
        <v>2</v>
      </c>
      <c r="S2550" s="100">
        <v>214111</v>
      </c>
      <c r="T2550" s="101">
        <v>41939</v>
      </c>
    </row>
    <row r="2551" spans="1:21" x14ac:dyDescent="0.3">
      <c r="A2551" s="42">
        <v>41999</v>
      </c>
      <c r="B2551" s="69">
        <f t="shared" si="71"/>
        <v>20141226</v>
      </c>
      <c r="C2551" s="109">
        <v>2.3199999999999998E-2</v>
      </c>
      <c r="D2551" s="77">
        <v>0</v>
      </c>
      <c r="E2551" s="77">
        <v>3.0000000000000001E-3</v>
      </c>
      <c r="F2551" s="77">
        <v>5.0000000000000001E-3</v>
      </c>
      <c r="G2551" s="78">
        <v>0</v>
      </c>
      <c r="H2551" s="71">
        <v>8.1</v>
      </c>
      <c r="I2551" s="71">
        <v>10.6</v>
      </c>
      <c r="J2551" s="71">
        <v>13.2</v>
      </c>
      <c r="K2551" s="106">
        <v>7.0999999999999995E-3</v>
      </c>
      <c r="L2551" s="80">
        <v>-1.2E-2</v>
      </c>
      <c r="M2551" s="75" t="s">
        <v>143</v>
      </c>
      <c r="N2551" s="75" t="b">
        <v>1</v>
      </c>
      <c r="O2551" s="75" t="s">
        <v>144</v>
      </c>
      <c r="P2551" s="75">
        <v>1994</v>
      </c>
      <c r="Q2551" s="107">
        <f t="shared" si="72"/>
        <v>2014</v>
      </c>
      <c r="R2551" s="107">
        <v>2</v>
      </c>
      <c r="S2551" s="100">
        <v>214111</v>
      </c>
      <c r="T2551" s="101">
        <v>41939</v>
      </c>
    </row>
    <row r="2552" spans="1:21" x14ac:dyDescent="0.3">
      <c r="A2552" s="42">
        <v>42000</v>
      </c>
      <c r="B2552" s="69">
        <f>YEAR(A2552)*10000+MONTH(A2552)*100+DAY(A2552)</f>
        <v>20141227</v>
      </c>
      <c r="C2552" s="109">
        <v>2.3199999999999998E-2</v>
      </c>
      <c r="D2552" s="77">
        <v>0</v>
      </c>
      <c r="E2552" s="77">
        <v>3.0000000000000001E-3</v>
      </c>
      <c r="F2552" s="77">
        <v>5.0000000000000001E-3</v>
      </c>
      <c r="G2552" s="78">
        <v>0</v>
      </c>
      <c r="H2552" s="71">
        <v>8.1</v>
      </c>
      <c r="I2552" s="71">
        <v>10.6</v>
      </c>
      <c r="J2552" s="71">
        <v>13.2</v>
      </c>
      <c r="K2552" s="106">
        <v>7.0999999999999995E-3</v>
      </c>
      <c r="L2552" s="80">
        <v>-1.2E-2</v>
      </c>
      <c r="M2552" s="75" t="s">
        <v>143</v>
      </c>
      <c r="N2552" s="75" t="b">
        <v>1</v>
      </c>
      <c r="O2552" s="75" t="s">
        <v>144</v>
      </c>
      <c r="P2552" s="75">
        <v>1994</v>
      </c>
      <c r="Q2552" s="107">
        <f t="shared" si="72"/>
        <v>2014</v>
      </c>
      <c r="R2552" s="107">
        <v>2</v>
      </c>
      <c r="S2552" s="100">
        <v>214111</v>
      </c>
      <c r="T2552" s="101">
        <v>41939</v>
      </c>
    </row>
    <row r="2553" spans="1:21" x14ac:dyDescent="0.3">
      <c r="A2553" s="42">
        <v>42001</v>
      </c>
      <c r="B2553" s="69">
        <f>YEAR(A2553)*10000+MONTH(A2553)*100+DAY(A2553)</f>
        <v>20141228</v>
      </c>
      <c r="C2553" s="109">
        <v>2.3199999999999998E-2</v>
      </c>
      <c r="D2553" s="77">
        <v>0</v>
      </c>
      <c r="E2553" s="77">
        <v>3.0000000000000001E-3</v>
      </c>
      <c r="F2553" s="77">
        <v>5.0000000000000001E-3</v>
      </c>
      <c r="G2553" s="78">
        <v>0</v>
      </c>
      <c r="H2553" s="71">
        <v>8.1</v>
      </c>
      <c r="I2553" s="71">
        <v>10.6</v>
      </c>
      <c r="J2553" s="71">
        <v>13.2</v>
      </c>
      <c r="K2553" s="106">
        <v>7.0999999999999995E-3</v>
      </c>
      <c r="L2553" s="80">
        <v>-1.2E-2</v>
      </c>
      <c r="M2553" s="75" t="s">
        <v>143</v>
      </c>
      <c r="N2553" s="75" t="b">
        <v>1</v>
      </c>
      <c r="O2553" s="75" t="s">
        <v>144</v>
      </c>
      <c r="P2553" s="75">
        <v>1994</v>
      </c>
      <c r="Q2553" s="107">
        <f t="shared" si="72"/>
        <v>2014</v>
      </c>
      <c r="R2553" s="107">
        <v>2</v>
      </c>
      <c r="S2553" s="100">
        <v>214111</v>
      </c>
      <c r="T2553" s="101">
        <v>41939</v>
      </c>
    </row>
    <row r="2554" spans="1:21" x14ac:dyDescent="0.3">
      <c r="A2554" s="42">
        <v>42002</v>
      </c>
      <c r="B2554" s="69">
        <f t="shared" si="71"/>
        <v>20141229</v>
      </c>
      <c r="C2554" s="109">
        <v>2.2700000000000001E-2</v>
      </c>
      <c r="D2554" s="77">
        <v>0</v>
      </c>
      <c r="E2554" s="77">
        <v>3.0000000000000001E-3</v>
      </c>
      <c r="F2554" s="77">
        <v>5.0000000000000001E-3</v>
      </c>
      <c r="G2554" s="78">
        <v>0</v>
      </c>
      <c r="H2554" s="71">
        <v>8.1</v>
      </c>
      <c r="I2554" s="71">
        <v>10.6</v>
      </c>
      <c r="J2554" s="71">
        <v>13.2</v>
      </c>
      <c r="K2554" s="106">
        <v>6.7000000000000002E-3</v>
      </c>
      <c r="L2554" s="80">
        <v>-1.2E-2</v>
      </c>
      <c r="M2554" s="75" t="s">
        <v>143</v>
      </c>
      <c r="N2554" s="75" t="b">
        <v>1</v>
      </c>
      <c r="O2554" s="75" t="s">
        <v>144</v>
      </c>
      <c r="P2554" s="75">
        <v>1994</v>
      </c>
      <c r="Q2554" s="107">
        <f t="shared" si="72"/>
        <v>2014</v>
      </c>
      <c r="R2554" s="107">
        <v>2</v>
      </c>
      <c r="S2554" s="100">
        <v>214111</v>
      </c>
      <c r="T2554" s="101">
        <v>41939</v>
      </c>
    </row>
    <row r="2555" spans="1:21" x14ac:dyDescent="0.3">
      <c r="A2555" s="42">
        <v>42003</v>
      </c>
      <c r="B2555" s="69">
        <f t="shared" si="71"/>
        <v>20141230</v>
      </c>
      <c r="C2555" s="109">
        <v>2.2400000000000003E-2</v>
      </c>
      <c r="D2555" s="77">
        <v>0</v>
      </c>
      <c r="E2555" s="77">
        <v>3.0000000000000001E-3</v>
      </c>
      <c r="F2555" s="77">
        <v>5.0000000000000001E-3</v>
      </c>
      <c r="G2555" s="78">
        <v>0</v>
      </c>
      <c r="H2555" s="71">
        <v>8.1</v>
      </c>
      <c r="I2555" s="71">
        <v>10.6</v>
      </c>
      <c r="J2555" s="71">
        <v>13.2</v>
      </c>
      <c r="K2555" s="106">
        <v>6.4000000000000003E-3</v>
      </c>
      <c r="L2555" s="80">
        <v>-1.2E-2</v>
      </c>
      <c r="M2555" s="75" t="s">
        <v>143</v>
      </c>
      <c r="N2555" s="75" t="b">
        <v>1</v>
      </c>
      <c r="O2555" s="75" t="s">
        <v>144</v>
      </c>
      <c r="P2555" s="75">
        <v>1994</v>
      </c>
      <c r="Q2555" s="107">
        <f t="shared" si="72"/>
        <v>2014</v>
      </c>
      <c r="R2555" s="107">
        <v>2</v>
      </c>
      <c r="S2555" s="100">
        <v>214111</v>
      </c>
      <c r="T2555" s="101">
        <v>41939</v>
      </c>
    </row>
    <row r="2556" spans="1:21" s="99" customFormat="1" x14ac:dyDescent="0.3">
      <c r="A2556" s="85">
        <v>42004</v>
      </c>
      <c r="B2556" s="86">
        <f t="shared" si="71"/>
        <v>20141231</v>
      </c>
      <c r="C2556" s="87">
        <v>2.2200000000000001E-2</v>
      </c>
      <c r="D2556" s="108">
        <v>0</v>
      </c>
      <c r="E2556" s="108">
        <v>3.0000000000000001E-3</v>
      </c>
      <c r="F2556" s="89">
        <v>6.0000000000000001E-3</v>
      </c>
      <c r="G2556" s="103">
        <v>0</v>
      </c>
      <c r="H2556" s="119">
        <v>8.1999999999999993</v>
      </c>
      <c r="I2556" s="119">
        <v>10.9</v>
      </c>
      <c r="J2556" s="119">
        <v>13.5</v>
      </c>
      <c r="K2556" s="92">
        <v>6.1999999999999998E-3</v>
      </c>
      <c r="L2556" s="92">
        <v>-1.2E-2</v>
      </c>
      <c r="M2556" s="98" t="s">
        <v>143</v>
      </c>
      <c r="N2556" s="98" t="b">
        <v>1</v>
      </c>
      <c r="O2556" s="98" t="s">
        <v>144</v>
      </c>
      <c r="P2556" s="98">
        <v>1994</v>
      </c>
      <c r="Q2556" s="105">
        <f t="shared" si="72"/>
        <v>2014</v>
      </c>
      <c r="R2556" s="105">
        <v>2</v>
      </c>
      <c r="S2556" s="93">
        <v>215001</v>
      </c>
      <c r="T2556" s="94">
        <v>42027</v>
      </c>
      <c r="U2556" s="95" t="s">
        <v>176</v>
      </c>
    </row>
    <row r="2557" spans="1:21" x14ac:dyDescent="0.3">
      <c r="A2557" s="42">
        <v>42005</v>
      </c>
      <c r="B2557" s="69">
        <f t="shared" si="71"/>
        <v>20150101</v>
      </c>
      <c r="C2557" s="109">
        <v>2.2200000000000001E-2</v>
      </c>
      <c r="D2557" s="77">
        <v>0</v>
      </c>
      <c r="E2557" s="77">
        <v>3.0000000000000001E-3</v>
      </c>
      <c r="F2557" s="77">
        <v>6.0000000000000001E-3</v>
      </c>
      <c r="G2557" s="78">
        <v>0</v>
      </c>
      <c r="H2557" s="71">
        <v>8.1999999999999993</v>
      </c>
      <c r="I2557" s="71">
        <v>10.9</v>
      </c>
      <c r="J2557" s="71">
        <v>13.5</v>
      </c>
      <c r="K2557" s="106">
        <v>6.1999999999999998E-3</v>
      </c>
      <c r="L2557" s="80">
        <v>-1.2E-2</v>
      </c>
      <c r="M2557" s="75" t="s">
        <v>143</v>
      </c>
      <c r="N2557" s="75" t="b">
        <v>1</v>
      </c>
      <c r="O2557" s="75" t="s">
        <v>144</v>
      </c>
      <c r="P2557" s="75">
        <v>1994</v>
      </c>
      <c r="Q2557" s="107">
        <f t="shared" si="72"/>
        <v>2015</v>
      </c>
      <c r="R2557" s="107">
        <v>2</v>
      </c>
      <c r="S2557" s="100">
        <v>215001</v>
      </c>
      <c r="T2557" s="101">
        <v>42027</v>
      </c>
    </row>
    <row r="2558" spans="1:21" x14ac:dyDescent="0.3">
      <c r="A2558" s="42">
        <v>42006</v>
      </c>
      <c r="B2558" s="69">
        <f t="shared" si="71"/>
        <v>20150102</v>
      </c>
      <c r="C2558" s="109">
        <v>2.18E-2</v>
      </c>
      <c r="D2558" s="77">
        <v>0</v>
      </c>
      <c r="E2558" s="77">
        <v>3.0000000000000001E-3</v>
      </c>
      <c r="F2558" s="77">
        <v>6.0000000000000001E-3</v>
      </c>
      <c r="G2558" s="78">
        <v>0</v>
      </c>
      <c r="H2558" s="71">
        <v>8.1999999999999993</v>
      </c>
      <c r="I2558" s="71">
        <v>10.9</v>
      </c>
      <c r="J2558" s="71">
        <v>13.5</v>
      </c>
      <c r="K2558" s="106">
        <v>5.7999999999999996E-3</v>
      </c>
      <c r="L2558" s="80">
        <v>-1.2E-2</v>
      </c>
      <c r="M2558" s="75" t="s">
        <v>143</v>
      </c>
      <c r="N2558" s="75" t="b">
        <v>1</v>
      </c>
      <c r="O2558" s="75" t="s">
        <v>144</v>
      </c>
      <c r="P2558" s="75">
        <v>1994</v>
      </c>
      <c r="Q2558" s="107">
        <f t="shared" si="72"/>
        <v>2015</v>
      </c>
      <c r="R2558" s="107">
        <v>2</v>
      </c>
      <c r="S2558" s="100">
        <v>215001</v>
      </c>
      <c r="T2558" s="101">
        <v>42027</v>
      </c>
    </row>
    <row r="2559" spans="1:21" x14ac:dyDescent="0.3">
      <c r="A2559" s="42">
        <v>42007</v>
      </c>
      <c r="B2559" s="69">
        <f>YEAR(A2559)*10000+MONTH(A2559)*100+DAY(A2559)</f>
        <v>20150103</v>
      </c>
      <c r="C2559" s="109">
        <v>2.18E-2</v>
      </c>
      <c r="D2559" s="77">
        <v>0</v>
      </c>
      <c r="E2559" s="77">
        <v>3.0000000000000001E-3</v>
      </c>
      <c r="F2559" s="77">
        <v>6.0000000000000001E-3</v>
      </c>
      <c r="G2559" s="78">
        <v>0</v>
      </c>
      <c r="H2559" s="71">
        <v>8.1999999999999993</v>
      </c>
      <c r="I2559" s="71">
        <v>10.9</v>
      </c>
      <c r="J2559" s="71">
        <v>13.5</v>
      </c>
      <c r="K2559" s="106">
        <v>5.7999999999999996E-3</v>
      </c>
      <c r="L2559" s="80">
        <v>-1.2E-2</v>
      </c>
      <c r="M2559" s="75" t="s">
        <v>143</v>
      </c>
      <c r="N2559" s="75" t="b">
        <v>1</v>
      </c>
      <c r="O2559" s="75" t="s">
        <v>144</v>
      </c>
      <c r="P2559" s="75">
        <v>1994</v>
      </c>
      <c r="Q2559" s="107">
        <f t="shared" si="72"/>
        <v>2015</v>
      </c>
      <c r="R2559" s="107">
        <v>2</v>
      </c>
      <c r="S2559" s="100">
        <v>215001</v>
      </c>
      <c r="T2559" s="101">
        <v>42027</v>
      </c>
    </row>
    <row r="2560" spans="1:21" x14ac:dyDescent="0.3">
      <c r="A2560" s="42">
        <v>42008</v>
      </c>
      <c r="B2560" s="69">
        <f>YEAR(A2560)*10000+MONTH(A2560)*100+DAY(A2560)</f>
        <v>20150104</v>
      </c>
      <c r="C2560" s="109">
        <v>2.18E-2</v>
      </c>
      <c r="D2560" s="77">
        <v>0</v>
      </c>
      <c r="E2560" s="77">
        <v>3.0000000000000001E-3</v>
      </c>
      <c r="F2560" s="77">
        <v>6.0000000000000001E-3</v>
      </c>
      <c r="G2560" s="78">
        <v>0</v>
      </c>
      <c r="H2560" s="71">
        <v>8.1999999999999993</v>
      </c>
      <c r="I2560" s="71">
        <v>10.9</v>
      </c>
      <c r="J2560" s="71">
        <v>13.5</v>
      </c>
      <c r="K2560" s="106">
        <v>5.7999999999999996E-3</v>
      </c>
      <c r="L2560" s="80">
        <v>-1.2E-2</v>
      </c>
      <c r="M2560" s="75" t="s">
        <v>143</v>
      </c>
      <c r="N2560" s="75" t="b">
        <v>1</v>
      </c>
      <c r="O2560" s="75" t="s">
        <v>144</v>
      </c>
      <c r="P2560" s="75">
        <v>1994</v>
      </c>
      <c r="Q2560" s="107">
        <f t="shared" si="72"/>
        <v>2015</v>
      </c>
      <c r="R2560" s="107">
        <v>2</v>
      </c>
      <c r="S2560" s="100">
        <v>215001</v>
      </c>
      <c r="T2560" s="101">
        <v>42027</v>
      </c>
    </row>
    <row r="2561" spans="1:20" x14ac:dyDescent="0.3">
      <c r="A2561" s="42">
        <v>42009</v>
      </c>
      <c r="B2561" s="69">
        <f t="shared" si="71"/>
        <v>20150105</v>
      </c>
      <c r="C2561" s="109">
        <v>2.12E-2</v>
      </c>
      <c r="D2561" s="77">
        <v>0</v>
      </c>
      <c r="E2561" s="77">
        <v>3.0000000000000001E-3</v>
      </c>
      <c r="F2561" s="77">
        <v>6.0000000000000001E-3</v>
      </c>
      <c r="G2561" s="78">
        <v>0</v>
      </c>
      <c r="H2561" s="71">
        <v>8.1999999999999993</v>
      </c>
      <c r="I2561" s="71">
        <v>10.9</v>
      </c>
      <c r="J2561" s="71">
        <v>13.5</v>
      </c>
      <c r="K2561" s="106">
        <v>5.4000000000000003E-3</v>
      </c>
      <c r="L2561" s="80">
        <v>-1.2E-2</v>
      </c>
      <c r="M2561" s="75" t="s">
        <v>143</v>
      </c>
      <c r="N2561" s="75" t="b">
        <v>1</v>
      </c>
      <c r="O2561" s="75" t="s">
        <v>144</v>
      </c>
      <c r="P2561" s="75">
        <v>1994</v>
      </c>
      <c r="Q2561" s="107">
        <f t="shared" si="72"/>
        <v>2015</v>
      </c>
      <c r="R2561" s="107">
        <v>2</v>
      </c>
      <c r="S2561" s="100">
        <v>215001</v>
      </c>
      <c r="T2561" s="101">
        <v>42027</v>
      </c>
    </row>
    <row r="2562" spans="1:20" x14ac:dyDescent="0.3">
      <c r="A2562" s="42">
        <v>42010</v>
      </c>
      <c r="B2562" s="69">
        <f t="shared" si="71"/>
        <v>20150106</v>
      </c>
      <c r="C2562" s="109">
        <v>2.0799999999999999E-2</v>
      </c>
      <c r="D2562" s="77">
        <v>0</v>
      </c>
      <c r="E2562" s="77">
        <v>3.0000000000000001E-3</v>
      </c>
      <c r="F2562" s="77">
        <v>6.0000000000000001E-3</v>
      </c>
      <c r="G2562" s="78">
        <v>0</v>
      </c>
      <c r="H2562" s="71">
        <v>8.1999999999999993</v>
      </c>
      <c r="I2562" s="71">
        <v>10.9</v>
      </c>
      <c r="J2562" s="71">
        <v>13.5</v>
      </c>
      <c r="K2562" s="106">
        <v>5.4000000000000003E-3</v>
      </c>
      <c r="L2562" s="80">
        <v>-1.2E-2</v>
      </c>
      <c r="M2562" s="75" t="s">
        <v>143</v>
      </c>
      <c r="N2562" s="75" t="b">
        <v>1</v>
      </c>
      <c r="O2562" s="75" t="s">
        <v>144</v>
      </c>
      <c r="P2562" s="75">
        <v>1994</v>
      </c>
      <c r="Q2562" s="107">
        <f t="shared" si="72"/>
        <v>2015</v>
      </c>
      <c r="R2562" s="107">
        <v>2</v>
      </c>
      <c r="S2562" s="100">
        <v>215001</v>
      </c>
      <c r="T2562" s="101">
        <v>42027</v>
      </c>
    </row>
    <row r="2563" spans="1:20" x14ac:dyDescent="0.3">
      <c r="A2563" s="42">
        <v>42011</v>
      </c>
      <c r="B2563" s="69">
        <f t="shared" si="71"/>
        <v>20150107</v>
      </c>
      <c r="C2563" s="109">
        <v>2.0899999999999998E-2</v>
      </c>
      <c r="D2563" s="77">
        <v>0</v>
      </c>
      <c r="E2563" s="77">
        <v>3.0000000000000001E-3</v>
      </c>
      <c r="F2563" s="77">
        <v>6.0000000000000001E-3</v>
      </c>
      <c r="G2563" s="78">
        <v>0</v>
      </c>
      <c r="H2563" s="71">
        <v>8.1999999999999993</v>
      </c>
      <c r="I2563" s="71">
        <v>10.9</v>
      </c>
      <c r="J2563" s="71">
        <v>13.5</v>
      </c>
      <c r="K2563" s="106">
        <v>5.5000000000000005E-3</v>
      </c>
      <c r="L2563" s="80">
        <v>-1.2E-2</v>
      </c>
      <c r="M2563" s="75" t="s">
        <v>143</v>
      </c>
      <c r="N2563" s="75" t="b">
        <v>1</v>
      </c>
      <c r="O2563" s="75" t="s">
        <v>144</v>
      </c>
      <c r="P2563" s="75">
        <v>1994</v>
      </c>
      <c r="Q2563" s="107">
        <f t="shared" si="72"/>
        <v>2015</v>
      </c>
      <c r="R2563" s="107">
        <v>2</v>
      </c>
      <c r="S2563" s="100">
        <v>215001</v>
      </c>
      <c r="T2563" s="101">
        <v>42027</v>
      </c>
    </row>
    <row r="2564" spans="1:20" x14ac:dyDescent="0.3">
      <c r="A2564" s="42">
        <v>42012</v>
      </c>
      <c r="B2564" s="69">
        <f t="shared" si="71"/>
        <v>20150108</v>
      </c>
      <c r="C2564" s="109">
        <v>2.1400000000000002E-2</v>
      </c>
      <c r="D2564" s="77">
        <v>0</v>
      </c>
      <c r="E2564" s="77">
        <v>3.0000000000000001E-3</v>
      </c>
      <c r="F2564" s="77">
        <v>6.0000000000000001E-3</v>
      </c>
      <c r="G2564" s="78">
        <v>0</v>
      </c>
      <c r="H2564" s="71">
        <v>8.1999999999999993</v>
      </c>
      <c r="I2564" s="71">
        <v>10.9</v>
      </c>
      <c r="J2564" s="71">
        <v>13.5</v>
      </c>
      <c r="K2564" s="106">
        <v>5.7999999999999996E-3</v>
      </c>
      <c r="L2564" s="80">
        <v>-1.2E-2</v>
      </c>
      <c r="M2564" s="75" t="s">
        <v>143</v>
      </c>
      <c r="N2564" s="75" t="b">
        <v>1</v>
      </c>
      <c r="O2564" s="75" t="s">
        <v>144</v>
      </c>
      <c r="P2564" s="75">
        <v>1994</v>
      </c>
      <c r="Q2564" s="107">
        <f t="shared" si="72"/>
        <v>2015</v>
      </c>
      <c r="R2564" s="107">
        <v>2</v>
      </c>
      <c r="S2564" s="100">
        <v>215001</v>
      </c>
      <c r="T2564" s="101">
        <v>42027</v>
      </c>
    </row>
    <row r="2565" spans="1:20" x14ac:dyDescent="0.3">
      <c r="A2565" s="42">
        <v>42013</v>
      </c>
      <c r="B2565" s="69">
        <f t="shared" si="71"/>
        <v>20150109</v>
      </c>
      <c r="C2565" s="109">
        <v>2.1000000000000001E-2</v>
      </c>
      <c r="D2565" s="77">
        <v>0</v>
      </c>
      <c r="E2565" s="77">
        <v>3.0000000000000001E-3</v>
      </c>
      <c r="F2565" s="77">
        <v>6.0000000000000001E-3</v>
      </c>
      <c r="G2565" s="78">
        <v>0</v>
      </c>
      <c r="H2565" s="71">
        <v>8.1999999999999993</v>
      </c>
      <c r="I2565" s="71">
        <v>10.9</v>
      </c>
      <c r="J2565" s="71">
        <v>13.5</v>
      </c>
      <c r="K2565" s="106">
        <v>5.3E-3</v>
      </c>
      <c r="L2565" s="80">
        <v>-1.2E-2</v>
      </c>
      <c r="M2565" s="75" t="s">
        <v>143</v>
      </c>
      <c r="N2565" s="75" t="b">
        <v>1</v>
      </c>
      <c r="O2565" s="75" t="s">
        <v>144</v>
      </c>
      <c r="P2565" s="75">
        <v>1994</v>
      </c>
      <c r="Q2565" s="107">
        <f t="shared" si="72"/>
        <v>2015</v>
      </c>
      <c r="R2565" s="107">
        <v>2</v>
      </c>
      <c r="S2565" s="100">
        <v>215001</v>
      </c>
      <c r="T2565" s="101">
        <v>42027</v>
      </c>
    </row>
    <row r="2566" spans="1:20" x14ac:dyDescent="0.3">
      <c r="A2566" s="42">
        <v>42014</v>
      </c>
      <c r="B2566" s="69">
        <f>YEAR(A2566)*10000+MONTH(A2566)*100+DAY(A2566)</f>
        <v>20150110</v>
      </c>
      <c r="C2566" s="109">
        <v>2.1000000000000001E-2</v>
      </c>
      <c r="D2566" s="77">
        <v>0</v>
      </c>
      <c r="E2566" s="77">
        <v>3.0000000000000001E-3</v>
      </c>
      <c r="F2566" s="77">
        <v>6.0000000000000001E-3</v>
      </c>
      <c r="G2566" s="78">
        <v>0</v>
      </c>
      <c r="H2566" s="71">
        <v>8.1999999999999993</v>
      </c>
      <c r="I2566" s="71">
        <v>10.9</v>
      </c>
      <c r="J2566" s="71">
        <v>13.5</v>
      </c>
      <c r="K2566" s="106">
        <v>5.3E-3</v>
      </c>
      <c r="L2566" s="80">
        <v>-1.2E-2</v>
      </c>
      <c r="M2566" s="75" t="s">
        <v>143</v>
      </c>
      <c r="N2566" s="75" t="b">
        <v>1</v>
      </c>
      <c r="O2566" s="75" t="s">
        <v>144</v>
      </c>
      <c r="P2566" s="75">
        <v>1994</v>
      </c>
      <c r="Q2566" s="107">
        <f t="shared" si="72"/>
        <v>2015</v>
      </c>
      <c r="R2566" s="107">
        <v>2</v>
      </c>
      <c r="S2566" s="100">
        <v>215001</v>
      </c>
      <c r="T2566" s="101">
        <v>42027</v>
      </c>
    </row>
    <row r="2567" spans="1:20" x14ac:dyDescent="0.3">
      <c r="A2567" s="42">
        <v>42015</v>
      </c>
      <c r="B2567" s="69">
        <f>YEAR(A2567)*10000+MONTH(A2567)*100+DAY(A2567)</f>
        <v>20150111</v>
      </c>
      <c r="C2567" s="109">
        <v>2.1000000000000001E-2</v>
      </c>
      <c r="D2567" s="77">
        <v>0</v>
      </c>
      <c r="E2567" s="77">
        <v>3.0000000000000001E-3</v>
      </c>
      <c r="F2567" s="77">
        <v>6.0000000000000001E-3</v>
      </c>
      <c r="G2567" s="78">
        <v>0</v>
      </c>
      <c r="H2567" s="71">
        <v>8.1999999999999993</v>
      </c>
      <c r="I2567" s="71">
        <v>10.9</v>
      </c>
      <c r="J2567" s="71">
        <v>13.5</v>
      </c>
      <c r="K2567" s="106">
        <v>5.3E-3</v>
      </c>
      <c r="L2567" s="80">
        <v>-1.2E-2</v>
      </c>
      <c r="M2567" s="75" t="s">
        <v>143</v>
      </c>
      <c r="N2567" s="75" t="b">
        <v>1</v>
      </c>
      <c r="O2567" s="75" t="s">
        <v>144</v>
      </c>
      <c r="P2567" s="75">
        <v>1994</v>
      </c>
      <c r="Q2567" s="107">
        <f t="shared" si="72"/>
        <v>2015</v>
      </c>
      <c r="R2567" s="107">
        <v>2</v>
      </c>
      <c r="S2567" s="100">
        <v>215001</v>
      </c>
      <c r="T2567" s="101">
        <v>42027</v>
      </c>
    </row>
    <row r="2568" spans="1:20" x14ac:dyDescent="0.3">
      <c r="A2568" s="42">
        <v>42016</v>
      </c>
      <c r="B2568" s="69">
        <f t="shared" si="71"/>
        <v>20150112</v>
      </c>
      <c r="C2568" s="109">
        <v>2.0499999999999997E-2</v>
      </c>
      <c r="D2568" s="77">
        <v>0</v>
      </c>
      <c r="E2568" s="77">
        <v>3.0000000000000001E-3</v>
      </c>
      <c r="F2568" s="77">
        <v>6.0000000000000001E-3</v>
      </c>
      <c r="G2568" s="78">
        <v>0</v>
      </c>
      <c r="H2568" s="71">
        <v>8.1999999999999993</v>
      </c>
      <c r="I2568" s="71">
        <v>10.9</v>
      </c>
      <c r="J2568" s="71">
        <v>13.5</v>
      </c>
      <c r="K2568" s="106">
        <v>4.8999999999999998E-3</v>
      </c>
      <c r="L2568" s="80">
        <v>-1.2E-2</v>
      </c>
      <c r="M2568" s="75" t="s">
        <v>143</v>
      </c>
      <c r="N2568" s="75" t="b">
        <v>1</v>
      </c>
      <c r="O2568" s="75" t="s">
        <v>144</v>
      </c>
      <c r="P2568" s="75">
        <v>1994</v>
      </c>
      <c r="Q2568" s="107">
        <f t="shared" si="72"/>
        <v>2015</v>
      </c>
      <c r="R2568" s="107">
        <v>2</v>
      </c>
      <c r="S2568" s="100">
        <v>215001</v>
      </c>
      <c r="T2568" s="101">
        <v>42027</v>
      </c>
    </row>
    <row r="2569" spans="1:20" x14ac:dyDescent="0.3">
      <c r="A2569" s="42">
        <v>42017</v>
      </c>
      <c r="B2569" s="69">
        <f t="shared" si="71"/>
        <v>20150113</v>
      </c>
      <c r="C2569" s="109">
        <v>2.0400000000000001E-2</v>
      </c>
      <c r="D2569" s="77">
        <v>0</v>
      </c>
      <c r="E2569" s="77">
        <v>3.0000000000000001E-3</v>
      </c>
      <c r="F2569" s="77">
        <v>6.0000000000000001E-3</v>
      </c>
      <c r="G2569" s="78">
        <v>0</v>
      </c>
      <c r="H2569" s="71">
        <v>8.1999999999999993</v>
      </c>
      <c r="I2569" s="71">
        <v>10.9</v>
      </c>
      <c r="J2569" s="71">
        <v>13.5</v>
      </c>
      <c r="K2569" s="106">
        <v>4.7999999999999996E-3</v>
      </c>
      <c r="L2569" s="80">
        <v>-1.2E-2</v>
      </c>
      <c r="M2569" s="75" t="s">
        <v>143</v>
      </c>
      <c r="N2569" s="75" t="b">
        <v>1</v>
      </c>
      <c r="O2569" s="75" t="s">
        <v>144</v>
      </c>
      <c r="P2569" s="75">
        <v>1994</v>
      </c>
      <c r="Q2569" s="107">
        <f t="shared" si="72"/>
        <v>2015</v>
      </c>
      <c r="R2569" s="107">
        <v>2</v>
      </c>
      <c r="S2569" s="100">
        <v>215001</v>
      </c>
      <c r="T2569" s="101">
        <v>42027</v>
      </c>
    </row>
    <row r="2570" spans="1:20" x14ac:dyDescent="0.3">
      <c r="A2570" s="42">
        <v>42018</v>
      </c>
      <c r="B2570" s="69">
        <f t="shared" si="71"/>
        <v>20150114</v>
      </c>
      <c r="C2570" s="109">
        <v>2.0099999999999996E-2</v>
      </c>
      <c r="D2570" s="77">
        <v>0</v>
      </c>
      <c r="E2570" s="77">
        <v>3.0000000000000001E-3</v>
      </c>
      <c r="F2570" s="77">
        <v>6.0000000000000001E-3</v>
      </c>
      <c r="G2570" s="78">
        <v>0</v>
      </c>
      <c r="H2570" s="71">
        <v>8.1999999999999993</v>
      </c>
      <c r="I2570" s="71">
        <v>10.9</v>
      </c>
      <c r="J2570" s="71">
        <v>13.5</v>
      </c>
      <c r="K2570" s="106">
        <v>4.5000000000000005E-3</v>
      </c>
      <c r="L2570" s="80">
        <v>-1.2E-2</v>
      </c>
      <c r="M2570" s="75" t="s">
        <v>143</v>
      </c>
      <c r="N2570" s="75" t="b">
        <v>1</v>
      </c>
      <c r="O2570" s="75" t="s">
        <v>144</v>
      </c>
      <c r="P2570" s="75">
        <v>1994</v>
      </c>
      <c r="Q2570" s="107">
        <f t="shared" si="72"/>
        <v>2015</v>
      </c>
      <c r="R2570" s="107">
        <v>2</v>
      </c>
      <c r="S2570" s="100">
        <v>215001</v>
      </c>
      <c r="T2570" s="101">
        <v>42027</v>
      </c>
    </row>
    <row r="2571" spans="1:20" x14ac:dyDescent="0.3">
      <c r="A2571" s="42">
        <v>42019</v>
      </c>
      <c r="B2571" s="69">
        <f t="shared" si="71"/>
        <v>20150115</v>
      </c>
      <c r="C2571" s="109">
        <v>1.9299999999999998E-2</v>
      </c>
      <c r="D2571" s="77">
        <v>0</v>
      </c>
      <c r="E2571" s="77">
        <v>3.0000000000000001E-3</v>
      </c>
      <c r="F2571" s="77">
        <v>6.0000000000000001E-3</v>
      </c>
      <c r="G2571" s="78">
        <v>0</v>
      </c>
      <c r="H2571" s="71">
        <v>8.1999999999999993</v>
      </c>
      <c r="I2571" s="71">
        <v>10.9</v>
      </c>
      <c r="J2571" s="71">
        <v>13.5</v>
      </c>
      <c r="K2571" s="106">
        <v>3.7000000000000002E-3</v>
      </c>
      <c r="L2571" s="80">
        <v>-1.2E-2</v>
      </c>
      <c r="M2571" s="75" t="s">
        <v>143</v>
      </c>
      <c r="N2571" s="75" t="b">
        <v>1</v>
      </c>
      <c r="O2571" s="75" t="s">
        <v>144</v>
      </c>
      <c r="P2571" s="75">
        <v>1994</v>
      </c>
      <c r="Q2571" s="107">
        <f t="shared" si="72"/>
        <v>2015</v>
      </c>
      <c r="R2571" s="107">
        <v>2</v>
      </c>
      <c r="S2571" s="100">
        <v>215001</v>
      </c>
      <c r="T2571" s="101">
        <v>42027</v>
      </c>
    </row>
    <row r="2572" spans="1:20" x14ac:dyDescent="0.3">
      <c r="A2572" s="42">
        <v>42020</v>
      </c>
      <c r="B2572" s="69">
        <f t="shared" si="71"/>
        <v>20150116</v>
      </c>
      <c r="C2572" s="109">
        <v>1.9699999999999999E-2</v>
      </c>
      <c r="D2572" s="77">
        <v>0</v>
      </c>
      <c r="E2572" s="77">
        <v>3.0000000000000001E-3</v>
      </c>
      <c r="F2572" s="77">
        <v>6.0000000000000001E-3</v>
      </c>
      <c r="G2572" s="78">
        <v>0</v>
      </c>
      <c r="H2572" s="71">
        <v>8.1999999999999993</v>
      </c>
      <c r="I2572" s="71">
        <v>10.9</v>
      </c>
      <c r="J2572" s="71">
        <v>13.5</v>
      </c>
      <c r="K2572" s="106">
        <v>4.0999999999999995E-3</v>
      </c>
      <c r="L2572" s="80">
        <v>-1.2E-2</v>
      </c>
      <c r="M2572" s="75" t="s">
        <v>143</v>
      </c>
      <c r="N2572" s="75" t="b">
        <v>1</v>
      </c>
      <c r="O2572" s="75" t="s">
        <v>144</v>
      </c>
      <c r="P2572" s="75">
        <v>1994</v>
      </c>
      <c r="Q2572" s="107">
        <f t="shared" si="72"/>
        <v>2015</v>
      </c>
      <c r="R2572" s="107">
        <v>2</v>
      </c>
      <c r="S2572" s="100">
        <v>215001</v>
      </c>
      <c r="T2572" s="101">
        <v>42027</v>
      </c>
    </row>
    <row r="2573" spans="1:20" x14ac:dyDescent="0.3">
      <c r="A2573" s="42">
        <v>42021</v>
      </c>
      <c r="B2573" s="69">
        <f>YEAR(A2573)*10000+MONTH(A2573)*100+DAY(A2573)</f>
        <v>20150117</v>
      </c>
      <c r="C2573" s="109">
        <v>1.9699999999999999E-2</v>
      </c>
      <c r="D2573" s="77">
        <v>0</v>
      </c>
      <c r="E2573" s="77">
        <v>3.0000000000000001E-3</v>
      </c>
      <c r="F2573" s="77">
        <v>6.0000000000000001E-3</v>
      </c>
      <c r="G2573" s="78">
        <v>0</v>
      </c>
      <c r="H2573" s="71">
        <v>8.1999999999999993</v>
      </c>
      <c r="I2573" s="71">
        <v>10.9</v>
      </c>
      <c r="J2573" s="71">
        <v>13.5</v>
      </c>
      <c r="K2573" s="106">
        <v>4.0999999999999995E-3</v>
      </c>
      <c r="L2573" s="80">
        <v>-1.2E-2</v>
      </c>
      <c r="M2573" s="75" t="s">
        <v>143</v>
      </c>
      <c r="N2573" s="75" t="b">
        <v>1</v>
      </c>
      <c r="O2573" s="75" t="s">
        <v>144</v>
      </c>
      <c r="P2573" s="75">
        <v>1994</v>
      </c>
      <c r="Q2573" s="107">
        <f t="shared" si="72"/>
        <v>2015</v>
      </c>
      <c r="R2573" s="107">
        <v>2</v>
      </c>
      <c r="S2573" s="100">
        <v>215001</v>
      </c>
      <c r="T2573" s="101">
        <v>42027</v>
      </c>
    </row>
    <row r="2574" spans="1:20" x14ac:dyDescent="0.3">
      <c r="A2574" s="42">
        <v>42022</v>
      </c>
      <c r="B2574" s="69">
        <f>YEAR(A2574)*10000+MONTH(A2574)*100+DAY(A2574)</f>
        <v>20150118</v>
      </c>
      <c r="C2574" s="109">
        <v>1.9699999999999999E-2</v>
      </c>
      <c r="D2574" s="77">
        <v>0</v>
      </c>
      <c r="E2574" s="77">
        <v>3.0000000000000001E-3</v>
      </c>
      <c r="F2574" s="77">
        <v>6.0000000000000001E-3</v>
      </c>
      <c r="G2574" s="78">
        <v>0</v>
      </c>
      <c r="H2574" s="71">
        <v>8.1999999999999993</v>
      </c>
      <c r="I2574" s="71">
        <v>10.9</v>
      </c>
      <c r="J2574" s="71">
        <v>13.5</v>
      </c>
      <c r="K2574" s="106">
        <v>4.0999999999999995E-3</v>
      </c>
      <c r="L2574" s="80">
        <v>-1.2E-2</v>
      </c>
      <c r="M2574" s="75" t="s">
        <v>143</v>
      </c>
      <c r="N2574" s="75" t="b">
        <v>1</v>
      </c>
      <c r="O2574" s="75" t="s">
        <v>144</v>
      </c>
      <c r="P2574" s="75">
        <v>1994</v>
      </c>
      <c r="Q2574" s="107">
        <f t="shared" si="72"/>
        <v>2015</v>
      </c>
      <c r="R2574" s="107">
        <v>2</v>
      </c>
      <c r="S2574" s="100">
        <v>215001</v>
      </c>
      <c r="T2574" s="101">
        <v>42027</v>
      </c>
    </row>
    <row r="2575" spans="1:20" x14ac:dyDescent="0.3">
      <c r="A2575" s="42">
        <v>42023</v>
      </c>
      <c r="B2575" s="69">
        <f t="shared" si="71"/>
        <v>20150119</v>
      </c>
      <c r="C2575" s="109">
        <v>1.95E-2</v>
      </c>
      <c r="D2575" s="77">
        <v>0</v>
      </c>
      <c r="E2575" s="77">
        <v>3.0000000000000001E-3</v>
      </c>
      <c r="F2575" s="77">
        <v>6.0000000000000001E-3</v>
      </c>
      <c r="G2575" s="78">
        <v>0</v>
      </c>
      <c r="H2575" s="71">
        <v>8.1999999999999993</v>
      </c>
      <c r="I2575" s="71">
        <v>10.9</v>
      </c>
      <c r="J2575" s="71">
        <v>13.5</v>
      </c>
      <c r="K2575" s="106">
        <v>3.9000000000000003E-3</v>
      </c>
      <c r="L2575" s="80">
        <v>-1.2E-2</v>
      </c>
      <c r="M2575" s="75" t="s">
        <v>143</v>
      </c>
      <c r="N2575" s="75" t="b">
        <v>1</v>
      </c>
      <c r="O2575" s="75" t="s">
        <v>144</v>
      </c>
      <c r="P2575" s="75">
        <v>1994</v>
      </c>
      <c r="Q2575" s="107">
        <f t="shared" si="72"/>
        <v>2015</v>
      </c>
      <c r="R2575" s="107">
        <v>2</v>
      </c>
      <c r="S2575" s="100">
        <v>215001</v>
      </c>
      <c r="T2575" s="101">
        <v>42027</v>
      </c>
    </row>
    <row r="2576" spans="1:20" x14ac:dyDescent="0.3">
      <c r="A2576" s="42">
        <v>42024</v>
      </c>
      <c r="B2576" s="69">
        <f t="shared" si="71"/>
        <v>20150120</v>
      </c>
      <c r="C2576" s="109">
        <v>1.9299999999999998E-2</v>
      </c>
      <c r="D2576" s="77">
        <v>0</v>
      </c>
      <c r="E2576" s="77">
        <v>3.0000000000000001E-3</v>
      </c>
      <c r="F2576" s="77">
        <v>6.0000000000000001E-3</v>
      </c>
      <c r="G2576" s="78">
        <v>0</v>
      </c>
      <c r="H2576" s="71">
        <v>8.1999999999999993</v>
      </c>
      <c r="I2576" s="71">
        <v>10.9</v>
      </c>
      <c r="J2576" s="71">
        <v>13.5</v>
      </c>
      <c r="K2576" s="106">
        <v>3.8E-3</v>
      </c>
      <c r="L2576" s="80">
        <v>-1.2E-2</v>
      </c>
      <c r="M2576" s="75" t="s">
        <v>143</v>
      </c>
      <c r="N2576" s="75" t="b">
        <v>1</v>
      </c>
      <c r="O2576" s="75" t="s">
        <v>144</v>
      </c>
      <c r="P2576" s="75">
        <v>1994</v>
      </c>
      <c r="Q2576" s="107">
        <f t="shared" si="72"/>
        <v>2015</v>
      </c>
      <c r="R2576" s="107">
        <v>2</v>
      </c>
      <c r="S2576" s="100">
        <v>215001</v>
      </c>
      <c r="T2576" s="101">
        <v>42027</v>
      </c>
    </row>
    <row r="2577" spans="1:20" x14ac:dyDescent="0.3">
      <c r="A2577" s="42">
        <v>42025</v>
      </c>
      <c r="B2577" s="69">
        <f t="shared" si="71"/>
        <v>20150121</v>
      </c>
      <c r="C2577" s="109">
        <v>1.89E-2</v>
      </c>
      <c r="D2577" s="77">
        <v>0</v>
      </c>
      <c r="E2577" s="77">
        <v>3.0000000000000001E-3</v>
      </c>
      <c r="F2577" s="77">
        <v>6.0000000000000001E-3</v>
      </c>
      <c r="G2577" s="78">
        <v>0</v>
      </c>
      <c r="H2577" s="71">
        <v>8.1999999999999993</v>
      </c>
      <c r="I2577" s="71">
        <v>10.9</v>
      </c>
      <c r="J2577" s="71">
        <v>13.5</v>
      </c>
      <c r="K2577" s="106">
        <v>3.4999999999999996E-3</v>
      </c>
      <c r="L2577" s="80">
        <v>-1.2E-2</v>
      </c>
      <c r="M2577" s="75" t="s">
        <v>143</v>
      </c>
      <c r="N2577" s="75" t="b">
        <v>1</v>
      </c>
      <c r="O2577" s="75" t="s">
        <v>144</v>
      </c>
      <c r="P2577" s="75">
        <v>1994</v>
      </c>
      <c r="Q2577" s="107">
        <f t="shared" si="72"/>
        <v>2015</v>
      </c>
      <c r="R2577" s="107">
        <v>2</v>
      </c>
      <c r="S2577" s="100">
        <v>215001</v>
      </c>
      <c r="T2577" s="101">
        <v>42027</v>
      </c>
    </row>
    <row r="2578" spans="1:20" x14ac:dyDescent="0.3">
      <c r="A2578" s="42">
        <v>42026</v>
      </c>
      <c r="B2578" s="69">
        <f t="shared" si="71"/>
        <v>20150122</v>
      </c>
      <c r="C2578" s="109">
        <v>1.9099999999999999E-2</v>
      </c>
      <c r="D2578" s="77">
        <v>0</v>
      </c>
      <c r="E2578" s="77">
        <v>3.0000000000000001E-3</v>
      </c>
      <c r="F2578" s="77">
        <v>6.0000000000000001E-3</v>
      </c>
      <c r="G2578" s="78">
        <v>0</v>
      </c>
      <c r="H2578" s="71">
        <v>8.1999999999999993</v>
      </c>
      <c r="I2578" s="71">
        <v>10.9</v>
      </c>
      <c r="J2578" s="71">
        <v>13.5</v>
      </c>
      <c r="K2578" s="106">
        <v>3.7000000000000002E-3</v>
      </c>
      <c r="L2578" s="80">
        <v>-1.2E-2</v>
      </c>
      <c r="M2578" s="75" t="s">
        <v>143</v>
      </c>
      <c r="N2578" s="75" t="b">
        <v>1</v>
      </c>
      <c r="O2578" s="75" t="s">
        <v>144</v>
      </c>
      <c r="P2578" s="75">
        <v>1994</v>
      </c>
      <c r="Q2578" s="107">
        <f t="shared" si="72"/>
        <v>2015</v>
      </c>
      <c r="R2578" s="107">
        <v>2</v>
      </c>
      <c r="S2578" s="100">
        <v>215001</v>
      </c>
      <c r="T2578" s="101">
        <v>42027</v>
      </c>
    </row>
    <row r="2579" spans="1:20" x14ac:dyDescent="0.3">
      <c r="A2579" s="42">
        <v>42027</v>
      </c>
      <c r="B2579" s="69">
        <f t="shared" si="71"/>
        <v>20150123</v>
      </c>
      <c r="C2579" s="109">
        <v>1.8600000000000002E-2</v>
      </c>
      <c r="D2579" s="77">
        <v>0</v>
      </c>
      <c r="E2579" s="77">
        <v>3.0000000000000001E-3</v>
      </c>
      <c r="F2579" s="77">
        <v>6.0000000000000001E-3</v>
      </c>
      <c r="G2579" s="78">
        <v>0</v>
      </c>
      <c r="H2579" s="71">
        <v>8.1999999999999993</v>
      </c>
      <c r="I2579" s="71">
        <v>10.9</v>
      </c>
      <c r="J2579" s="71">
        <v>13.5</v>
      </c>
      <c r="K2579" s="106">
        <v>3.2000000000000002E-3</v>
      </c>
      <c r="L2579" s="80">
        <v>-1.2E-2</v>
      </c>
      <c r="M2579" s="75" t="s">
        <v>143</v>
      </c>
      <c r="N2579" s="75" t="b">
        <v>1</v>
      </c>
      <c r="O2579" s="75" t="s">
        <v>144</v>
      </c>
      <c r="P2579" s="75">
        <v>1994</v>
      </c>
      <c r="Q2579" s="107">
        <f t="shared" si="72"/>
        <v>2015</v>
      </c>
      <c r="R2579" s="107">
        <v>2</v>
      </c>
      <c r="S2579" s="100">
        <v>215001</v>
      </c>
      <c r="T2579" s="101">
        <v>42027</v>
      </c>
    </row>
    <row r="2580" spans="1:20" x14ac:dyDescent="0.3">
      <c r="A2580" s="42">
        <v>42028</v>
      </c>
      <c r="B2580" s="69">
        <f>YEAR(A2580)*10000+MONTH(A2580)*100+DAY(A2580)</f>
        <v>20150124</v>
      </c>
      <c r="C2580" s="109">
        <v>1.8600000000000002E-2</v>
      </c>
      <c r="D2580" s="77">
        <v>0</v>
      </c>
      <c r="E2580" s="77">
        <v>3.0000000000000001E-3</v>
      </c>
      <c r="F2580" s="77">
        <v>6.0000000000000001E-3</v>
      </c>
      <c r="G2580" s="78">
        <v>0</v>
      </c>
      <c r="H2580" s="71">
        <v>8.1999999999999993</v>
      </c>
      <c r="I2580" s="71">
        <v>10.9</v>
      </c>
      <c r="J2580" s="71">
        <v>13.5</v>
      </c>
      <c r="K2580" s="106">
        <v>3.2000000000000002E-3</v>
      </c>
      <c r="L2580" s="80">
        <v>-1.2E-2</v>
      </c>
      <c r="M2580" s="75" t="s">
        <v>143</v>
      </c>
      <c r="N2580" s="75" t="b">
        <v>1</v>
      </c>
      <c r="O2580" s="75" t="s">
        <v>144</v>
      </c>
      <c r="P2580" s="75">
        <v>1994</v>
      </c>
      <c r="Q2580" s="107">
        <f t="shared" si="72"/>
        <v>2015</v>
      </c>
      <c r="R2580" s="107">
        <v>2</v>
      </c>
      <c r="S2580" s="100">
        <v>215001</v>
      </c>
      <c r="T2580" s="101">
        <v>42027</v>
      </c>
    </row>
    <row r="2581" spans="1:20" x14ac:dyDescent="0.3">
      <c r="A2581" s="42">
        <v>42029</v>
      </c>
      <c r="B2581" s="69">
        <f>YEAR(A2581)*10000+MONTH(A2581)*100+DAY(A2581)</f>
        <v>20150125</v>
      </c>
      <c r="C2581" s="109">
        <v>1.8600000000000002E-2</v>
      </c>
      <c r="D2581" s="77">
        <v>0</v>
      </c>
      <c r="E2581" s="77">
        <v>3.0000000000000001E-3</v>
      </c>
      <c r="F2581" s="77">
        <v>6.0000000000000001E-3</v>
      </c>
      <c r="G2581" s="78">
        <v>0</v>
      </c>
      <c r="H2581" s="71">
        <v>8.1999999999999993</v>
      </c>
      <c r="I2581" s="71">
        <v>10.9</v>
      </c>
      <c r="J2581" s="71">
        <v>13.5</v>
      </c>
      <c r="K2581" s="106">
        <v>3.2000000000000002E-3</v>
      </c>
      <c r="L2581" s="80">
        <v>-1.2E-2</v>
      </c>
      <c r="M2581" s="75" t="s">
        <v>143</v>
      </c>
      <c r="N2581" s="75" t="b">
        <v>1</v>
      </c>
      <c r="O2581" s="75" t="s">
        <v>144</v>
      </c>
      <c r="P2581" s="75">
        <v>1994</v>
      </c>
      <c r="Q2581" s="107">
        <f t="shared" si="72"/>
        <v>2015</v>
      </c>
      <c r="R2581" s="107">
        <v>2</v>
      </c>
      <c r="S2581" s="100">
        <v>215001</v>
      </c>
      <c r="T2581" s="101">
        <v>42027</v>
      </c>
    </row>
    <row r="2582" spans="1:20" x14ac:dyDescent="0.3">
      <c r="A2582" s="42">
        <v>42030</v>
      </c>
      <c r="B2582" s="69">
        <f t="shared" si="71"/>
        <v>20150126</v>
      </c>
      <c r="C2582" s="109">
        <v>1.8700000000000001E-2</v>
      </c>
      <c r="D2582" s="77">
        <v>0</v>
      </c>
      <c r="E2582" s="77">
        <v>3.0000000000000001E-3</v>
      </c>
      <c r="F2582" s="77">
        <v>6.0000000000000001E-3</v>
      </c>
      <c r="G2582" s="78">
        <v>0</v>
      </c>
      <c r="H2582" s="71">
        <v>8.1999999999999993</v>
      </c>
      <c r="I2582" s="71">
        <v>10.9</v>
      </c>
      <c r="J2582" s="71">
        <v>13.5</v>
      </c>
      <c r="K2582" s="106">
        <v>3.3E-3</v>
      </c>
      <c r="L2582" s="80">
        <v>-1.2E-2</v>
      </c>
      <c r="M2582" s="75" t="s">
        <v>143</v>
      </c>
      <c r="N2582" s="75" t="b">
        <v>1</v>
      </c>
      <c r="O2582" s="75" t="s">
        <v>144</v>
      </c>
      <c r="P2582" s="75">
        <v>1994</v>
      </c>
      <c r="Q2582" s="107">
        <f t="shared" si="72"/>
        <v>2015</v>
      </c>
      <c r="R2582" s="107">
        <v>2</v>
      </c>
      <c r="S2582" s="100">
        <v>215001</v>
      </c>
      <c r="T2582" s="101">
        <v>42027</v>
      </c>
    </row>
    <row r="2583" spans="1:20" x14ac:dyDescent="0.3">
      <c r="A2583" s="42">
        <v>42031</v>
      </c>
      <c r="B2583" s="69">
        <f t="shared" si="71"/>
        <v>20150127</v>
      </c>
      <c r="C2583" s="109">
        <v>1.8100000000000002E-2</v>
      </c>
      <c r="D2583" s="77">
        <v>0</v>
      </c>
      <c r="E2583" s="77">
        <v>3.0000000000000001E-3</v>
      </c>
      <c r="F2583" s="77">
        <v>6.0000000000000001E-3</v>
      </c>
      <c r="G2583" s="78">
        <v>0</v>
      </c>
      <c r="H2583" s="71">
        <v>8.1999999999999993</v>
      </c>
      <c r="I2583" s="71">
        <v>10.9</v>
      </c>
      <c r="J2583" s="71">
        <v>13.5</v>
      </c>
      <c r="K2583" s="106">
        <v>2.8000000000000004E-3</v>
      </c>
      <c r="L2583" s="80">
        <v>-1.2E-2</v>
      </c>
      <c r="M2583" s="75" t="s">
        <v>143</v>
      </c>
      <c r="N2583" s="75" t="b">
        <v>1</v>
      </c>
      <c r="O2583" s="75" t="s">
        <v>144</v>
      </c>
      <c r="P2583" s="75">
        <v>1994</v>
      </c>
      <c r="Q2583" s="107">
        <f t="shared" si="72"/>
        <v>2015</v>
      </c>
      <c r="R2583" s="107">
        <v>2</v>
      </c>
      <c r="S2583" s="100">
        <v>215001</v>
      </c>
      <c r="T2583" s="101">
        <v>42027</v>
      </c>
    </row>
    <row r="2584" spans="1:20" x14ac:dyDescent="0.3">
      <c r="A2584" s="42">
        <v>42032</v>
      </c>
      <c r="B2584" s="69">
        <f t="shared" si="71"/>
        <v>20150128</v>
      </c>
      <c r="C2584" s="109">
        <v>1.7500000000000002E-2</v>
      </c>
      <c r="D2584" s="77">
        <v>0</v>
      </c>
      <c r="E2584" s="77">
        <v>3.0000000000000001E-3</v>
      </c>
      <c r="F2584" s="77">
        <v>6.0000000000000001E-3</v>
      </c>
      <c r="G2584" s="78">
        <v>0</v>
      </c>
      <c r="H2584" s="71">
        <v>8.1999999999999993</v>
      </c>
      <c r="I2584" s="71">
        <v>10.9</v>
      </c>
      <c r="J2584" s="71">
        <v>13.5</v>
      </c>
      <c r="K2584" s="106">
        <v>2.3E-3</v>
      </c>
      <c r="L2584" s="80">
        <v>-1.2E-2</v>
      </c>
      <c r="M2584" s="75" t="s">
        <v>143</v>
      </c>
      <c r="N2584" s="75" t="b">
        <v>1</v>
      </c>
      <c r="O2584" s="75" t="s">
        <v>144</v>
      </c>
      <c r="P2584" s="75">
        <v>1994</v>
      </c>
      <c r="Q2584" s="107">
        <f t="shared" si="72"/>
        <v>2015</v>
      </c>
      <c r="R2584" s="107">
        <v>2</v>
      </c>
      <c r="S2584" s="100">
        <v>215001</v>
      </c>
      <c r="T2584" s="101">
        <v>42027</v>
      </c>
    </row>
    <row r="2585" spans="1:20" x14ac:dyDescent="0.3">
      <c r="A2585" s="42">
        <v>42033</v>
      </c>
      <c r="B2585" s="69">
        <f t="shared" si="71"/>
        <v>20150129</v>
      </c>
      <c r="C2585" s="109">
        <v>1.7600000000000001E-2</v>
      </c>
      <c r="D2585" s="77">
        <v>0</v>
      </c>
      <c r="E2585" s="77">
        <v>3.0000000000000001E-3</v>
      </c>
      <c r="F2585" s="77">
        <v>6.0000000000000001E-3</v>
      </c>
      <c r="G2585" s="78">
        <v>0</v>
      </c>
      <c r="H2585" s="71">
        <v>8.1999999999999993</v>
      </c>
      <c r="I2585" s="71">
        <v>10.9</v>
      </c>
      <c r="J2585" s="71">
        <v>13.5</v>
      </c>
      <c r="K2585" s="106">
        <v>2.3999999999999998E-3</v>
      </c>
      <c r="L2585" s="80">
        <v>-1.2E-2</v>
      </c>
      <c r="M2585" s="75" t="s">
        <v>143</v>
      </c>
      <c r="N2585" s="75" t="b">
        <v>1</v>
      </c>
      <c r="O2585" s="75" t="s">
        <v>144</v>
      </c>
      <c r="P2585" s="75">
        <v>1994</v>
      </c>
      <c r="Q2585" s="107">
        <f t="shared" si="72"/>
        <v>2015</v>
      </c>
      <c r="R2585" s="107">
        <v>2</v>
      </c>
      <c r="S2585" s="100">
        <v>215001</v>
      </c>
      <c r="T2585" s="101">
        <v>42027</v>
      </c>
    </row>
    <row r="2586" spans="1:20" x14ac:dyDescent="0.3">
      <c r="A2586" s="42">
        <v>42034</v>
      </c>
      <c r="B2586" s="69">
        <f>YEAR(A2586)*10000+MONTH(A2586)*100+DAY(A2586)</f>
        <v>20150130</v>
      </c>
      <c r="C2586" s="109">
        <v>1.67E-2</v>
      </c>
      <c r="D2586" s="77">
        <v>0</v>
      </c>
      <c r="E2586" s="77">
        <v>3.0000000000000001E-3</v>
      </c>
      <c r="F2586" s="77">
        <v>6.0000000000000001E-3</v>
      </c>
      <c r="G2586" s="78">
        <v>0</v>
      </c>
      <c r="H2586" s="71">
        <v>8.1999999999999993</v>
      </c>
      <c r="I2586" s="71">
        <v>10.9</v>
      </c>
      <c r="J2586" s="71">
        <v>13.5</v>
      </c>
      <c r="K2586" s="106">
        <v>1.1000000000000001E-3</v>
      </c>
      <c r="L2586" s="80">
        <v>-1.2E-2</v>
      </c>
      <c r="M2586" s="75" t="s">
        <v>143</v>
      </c>
      <c r="N2586" s="75" t="b">
        <v>1</v>
      </c>
      <c r="O2586" s="75" t="s">
        <v>144</v>
      </c>
      <c r="P2586" s="75">
        <v>1994</v>
      </c>
      <c r="Q2586" s="107">
        <f t="shared" si="72"/>
        <v>2015</v>
      </c>
      <c r="R2586" s="107">
        <v>2</v>
      </c>
      <c r="S2586" s="100">
        <v>215001</v>
      </c>
      <c r="T2586" s="101">
        <v>42027</v>
      </c>
    </row>
    <row r="2587" spans="1:20" x14ac:dyDescent="0.3">
      <c r="A2587" s="42">
        <v>42035</v>
      </c>
      <c r="B2587" s="69">
        <f>YEAR(A2587)*10000+MONTH(A2587)*100+DAY(A2587)</f>
        <v>20150131</v>
      </c>
      <c r="C2587" s="109">
        <v>1.67E-2</v>
      </c>
      <c r="D2587" s="77">
        <v>0</v>
      </c>
      <c r="E2587" s="77">
        <v>3.0000000000000001E-3</v>
      </c>
      <c r="F2587" s="77">
        <v>6.0000000000000001E-3</v>
      </c>
      <c r="G2587" s="78">
        <v>0</v>
      </c>
      <c r="H2587" s="71">
        <v>8.1999999999999993</v>
      </c>
      <c r="I2587" s="71">
        <v>10.9</v>
      </c>
      <c r="J2587" s="71">
        <v>13.5</v>
      </c>
      <c r="K2587" s="106">
        <v>1.1000000000000001E-3</v>
      </c>
      <c r="L2587" s="80">
        <v>-1.2E-2</v>
      </c>
      <c r="M2587" s="75" t="s">
        <v>143</v>
      </c>
      <c r="N2587" s="75" t="b">
        <v>1</v>
      </c>
      <c r="O2587" s="75" t="s">
        <v>144</v>
      </c>
      <c r="P2587" s="75">
        <v>1994</v>
      </c>
      <c r="Q2587" s="107">
        <f t="shared" si="72"/>
        <v>2015</v>
      </c>
      <c r="R2587" s="107">
        <v>2</v>
      </c>
      <c r="S2587" s="100">
        <v>215001</v>
      </c>
      <c r="T2587" s="101">
        <v>42027</v>
      </c>
    </row>
    <row r="2588" spans="1:20" x14ac:dyDescent="0.3">
      <c r="A2588" s="42">
        <v>42036</v>
      </c>
      <c r="B2588" s="69">
        <f>YEAR(A2588)*10000+MONTH(A2588)*100+DAY(A2588)</f>
        <v>20150201</v>
      </c>
      <c r="C2588" s="109">
        <v>1.67E-2</v>
      </c>
      <c r="D2588" s="77">
        <v>0</v>
      </c>
      <c r="E2588" s="77">
        <v>3.0000000000000001E-3</v>
      </c>
      <c r="F2588" s="77">
        <v>6.0000000000000001E-3</v>
      </c>
      <c r="G2588" s="78">
        <v>0</v>
      </c>
      <c r="H2588" s="71">
        <v>8.1999999999999993</v>
      </c>
      <c r="I2588" s="71">
        <v>10.9</v>
      </c>
      <c r="J2588" s="71">
        <v>13.5</v>
      </c>
      <c r="K2588" s="106">
        <v>1.1000000000000001E-3</v>
      </c>
      <c r="L2588" s="80">
        <v>-1.2E-2</v>
      </c>
      <c r="M2588" s="75" t="s">
        <v>143</v>
      </c>
      <c r="N2588" s="75" t="b">
        <v>1</v>
      </c>
      <c r="O2588" s="75" t="s">
        <v>144</v>
      </c>
      <c r="P2588" s="75">
        <v>1994</v>
      </c>
      <c r="Q2588" s="107">
        <f t="shared" si="72"/>
        <v>2015</v>
      </c>
      <c r="R2588" s="107">
        <v>2</v>
      </c>
      <c r="S2588" s="100">
        <v>215001</v>
      </c>
      <c r="T2588" s="101">
        <v>42027</v>
      </c>
    </row>
    <row r="2589" spans="1:20" x14ac:dyDescent="0.3">
      <c r="A2589" s="42">
        <v>42037</v>
      </c>
      <c r="B2589" s="69">
        <f t="shared" ref="B2589:B2642" si="73">YEAR(A2589)*10000+MONTH(A2589)*100+DAY(A2589)</f>
        <v>20150202</v>
      </c>
      <c r="C2589" s="109">
        <v>1.6500000000000001E-2</v>
      </c>
      <c r="D2589" s="77">
        <v>0</v>
      </c>
      <c r="E2589" s="77">
        <v>3.0000000000000001E-3</v>
      </c>
      <c r="F2589" s="77">
        <v>6.0000000000000001E-3</v>
      </c>
      <c r="G2589" s="78">
        <v>0</v>
      </c>
      <c r="H2589" s="71">
        <v>8.1999999999999993</v>
      </c>
      <c r="I2589" s="71">
        <v>10.9</v>
      </c>
      <c r="J2589" s="71">
        <v>13.5</v>
      </c>
      <c r="K2589" s="106">
        <v>8.9999999999999998E-4</v>
      </c>
      <c r="L2589" s="80">
        <v>-1.2E-2</v>
      </c>
      <c r="M2589" s="75" t="s">
        <v>143</v>
      </c>
      <c r="N2589" s="75" t="b">
        <v>1</v>
      </c>
      <c r="O2589" s="75" t="s">
        <v>144</v>
      </c>
      <c r="P2589" s="75">
        <v>1994</v>
      </c>
      <c r="Q2589" s="107">
        <f t="shared" si="72"/>
        <v>2015</v>
      </c>
      <c r="R2589" s="107">
        <v>2</v>
      </c>
      <c r="S2589" s="100">
        <v>215001</v>
      </c>
      <c r="T2589" s="101">
        <v>42027</v>
      </c>
    </row>
    <row r="2590" spans="1:20" x14ac:dyDescent="0.3">
      <c r="A2590" s="42">
        <v>42038</v>
      </c>
      <c r="B2590" s="69">
        <f t="shared" si="73"/>
        <v>20150203</v>
      </c>
      <c r="C2590" s="109">
        <v>1.7100000000000001E-2</v>
      </c>
      <c r="D2590" s="77">
        <v>0</v>
      </c>
      <c r="E2590" s="77">
        <v>3.0000000000000001E-3</v>
      </c>
      <c r="F2590" s="77">
        <v>6.0000000000000001E-3</v>
      </c>
      <c r="G2590" s="78">
        <v>0</v>
      </c>
      <c r="H2590" s="71">
        <v>8.1999999999999993</v>
      </c>
      <c r="I2590" s="71">
        <v>10.9</v>
      </c>
      <c r="J2590" s="71">
        <v>13.5</v>
      </c>
      <c r="K2590" s="106">
        <v>1.1000000000000001E-3</v>
      </c>
      <c r="L2590" s="80">
        <v>-1.2E-2</v>
      </c>
      <c r="M2590" s="75" t="s">
        <v>143</v>
      </c>
      <c r="N2590" s="75" t="b">
        <v>1</v>
      </c>
      <c r="O2590" s="75" t="s">
        <v>144</v>
      </c>
      <c r="P2590" s="75">
        <v>1994</v>
      </c>
      <c r="Q2590" s="107">
        <f t="shared" si="72"/>
        <v>2015</v>
      </c>
      <c r="R2590" s="107">
        <v>2</v>
      </c>
      <c r="S2590" s="100">
        <v>215001</v>
      </c>
      <c r="T2590" s="101">
        <v>42027</v>
      </c>
    </row>
    <row r="2591" spans="1:20" x14ac:dyDescent="0.3">
      <c r="A2591" s="42">
        <v>42039</v>
      </c>
      <c r="B2591" s="69">
        <f t="shared" si="73"/>
        <v>20150204</v>
      </c>
      <c r="C2591" s="109">
        <v>1.6899999999999998E-2</v>
      </c>
      <c r="D2591" s="77">
        <v>0</v>
      </c>
      <c r="E2591" s="77">
        <v>3.0000000000000001E-3</v>
      </c>
      <c r="F2591" s="77">
        <v>6.0000000000000001E-3</v>
      </c>
      <c r="G2591" s="78">
        <v>0</v>
      </c>
      <c r="H2591" s="71">
        <v>8.1999999999999993</v>
      </c>
      <c r="I2591" s="71">
        <v>10.9</v>
      </c>
      <c r="J2591" s="71">
        <v>13.5</v>
      </c>
      <c r="K2591" s="106">
        <v>8.0000000000000004E-4</v>
      </c>
      <c r="L2591" s="80">
        <v>-1.2E-2</v>
      </c>
      <c r="M2591" s="75" t="s">
        <v>143</v>
      </c>
      <c r="N2591" s="75" t="b">
        <v>1</v>
      </c>
      <c r="O2591" s="75" t="s">
        <v>144</v>
      </c>
      <c r="P2591" s="75">
        <v>1994</v>
      </c>
      <c r="Q2591" s="107">
        <f t="shared" si="72"/>
        <v>2015</v>
      </c>
      <c r="R2591" s="107">
        <v>2</v>
      </c>
      <c r="S2591" s="100">
        <v>215001</v>
      </c>
      <c r="T2591" s="101">
        <v>42027</v>
      </c>
    </row>
    <row r="2592" spans="1:20" x14ac:dyDescent="0.3">
      <c r="A2592" s="42">
        <v>42040</v>
      </c>
      <c r="B2592" s="69">
        <f t="shared" si="73"/>
        <v>20150205</v>
      </c>
      <c r="C2592" s="109">
        <v>1.7600000000000001E-2</v>
      </c>
      <c r="D2592" s="77">
        <v>0</v>
      </c>
      <c r="E2592" s="77">
        <v>3.0000000000000001E-3</v>
      </c>
      <c r="F2592" s="77">
        <v>6.0000000000000001E-3</v>
      </c>
      <c r="G2592" s="78">
        <v>0</v>
      </c>
      <c r="H2592" s="71">
        <v>8.1999999999999993</v>
      </c>
      <c r="I2592" s="71">
        <v>10.9</v>
      </c>
      <c r="J2592" s="71">
        <v>13.5</v>
      </c>
      <c r="K2592" s="106">
        <v>1.4000000000000002E-3</v>
      </c>
      <c r="L2592" s="80">
        <v>-1.2E-2</v>
      </c>
      <c r="M2592" s="75" t="s">
        <v>143</v>
      </c>
      <c r="N2592" s="75" t="b">
        <v>1</v>
      </c>
      <c r="O2592" s="75" t="s">
        <v>144</v>
      </c>
      <c r="P2592" s="75">
        <v>1994</v>
      </c>
      <c r="Q2592" s="107">
        <f t="shared" si="72"/>
        <v>2015</v>
      </c>
      <c r="R2592" s="107">
        <v>2</v>
      </c>
      <c r="S2592" s="100">
        <v>215001</v>
      </c>
      <c r="T2592" s="101">
        <v>42027</v>
      </c>
    </row>
    <row r="2593" spans="1:20" x14ac:dyDescent="0.3">
      <c r="A2593" s="42">
        <v>42041</v>
      </c>
      <c r="B2593" s="69">
        <f t="shared" si="73"/>
        <v>20150206</v>
      </c>
      <c r="C2593" s="109">
        <v>1.84E-2</v>
      </c>
      <c r="D2593" s="77">
        <v>0</v>
      </c>
      <c r="E2593" s="77">
        <v>3.0000000000000001E-3</v>
      </c>
      <c r="F2593" s="77">
        <v>6.0000000000000001E-3</v>
      </c>
      <c r="G2593" s="78">
        <v>0</v>
      </c>
      <c r="H2593" s="71">
        <v>8.1999999999999993</v>
      </c>
      <c r="I2593" s="71">
        <v>10.9</v>
      </c>
      <c r="J2593" s="71">
        <v>13.5</v>
      </c>
      <c r="K2593" s="106">
        <v>1.9E-3</v>
      </c>
      <c r="L2593" s="80">
        <v>-1.2E-2</v>
      </c>
      <c r="M2593" s="75" t="s">
        <v>143</v>
      </c>
      <c r="N2593" s="75" t="b">
        <v>1</v>
      </c>
      <c r="O2593" s="75" t="s">
        <v>144</v>
      </c>
      <c r="P2593" s="75">
        <v>1994</v>
      </c>
      <c r="Q2593" s="107">
        <f t="shared" si="72"/>
        <v>2015</v>
      </c>
      <c r="R2593" s="107">
        <v>2</v>
      </c>
      <c r="S2593" s="100">
        <v>215001</v>
      </c>
      <c r="T2593" s="101">
        <v>42027</v>
      </c>
    </row>
    <row r="2594" spans="1:20" x14ac:dyDescent="0.3">
      <c r="A2594" s="42">
        <v>42042</v>
      </c>
      <c r="B2594" s="69">
        <f t="shared" si="73"/>
        <v>20150207</v>
      </c>
      <c r="C2594" s="109">
        <v>1.84E-2</v>
      </c>
      <c r="D2594" s="77">
        <v>0</v>
      </c>
      <c r="E2594" s="77">
        <v>3.0000000000000001E-3</v>
      </c>
      <c r="F2594" s="77">
        <v>6.0000000000000001E-3</v>
      </c>
      <c r="G2594" s="78">
        <v>0</v>
      </c>
      <c r="H2594" s="71">
        <v>8.1999999999999993</v>
      </c>
      <c r="I2594" s="71">
        <v>10.9</v>
      </c>
      <c r="J2594" s="71">
        <v>13.5</v>
      </c>
      <c r="K2594" s="106">
        <v>1.9E-3</v>
      </c>
      <c r="L2594" s="80">
        <v>-1.2E-2</v>
      </c>
      <c r="M2594" s="75" t="s">
        <v>143</v>
      </c>
      <c r="N2594" s="75" t="b">
        <v>1</v>
      </c>
      <c r="O2594" s="75" t="s">
        <v>144</v>
      </c>
      <c r="P2594" s="75">
        <v>1994</v>
      </c>
      <c r="Q2594" s="107">
        <f t="shared" si="72"/>
        <v>2015</v>
      </c>
      <c r="R2594" s="107">
        <v>2</v>
      </c>
      <c r="S2594" s="100">
        <v>215001</v>
      </c>
      <c r="T2594" s="101">
        <v>42027</v>
      </c>
    </row>
    <row r="2595" spans="1:20" x14ac:dyDescent="0.3">
      <c r="A2595" s="42">
        <v>42043</v>
      </c>
      <c r="B2595" s="69">
        <f t="shared" si="73"/>
        <v>20150208</v>
      </c>
      <c r="C2595" s="109">
        <v>1.84E-2</v>
      </c>
      <c r="D2595" s="77">
        <v>0</v>
      </c>
      <c r="E2595" s="77">
        <v>3.0000000000000001E-3</v>
      </c>
      <c r="F2595" s="77">
        <v>6.0000000000000001E-3</v>
      </c>
      <c r="G2595" s="78">
        <v>0</v>
      </c>
      <c r="H2595" s="71">
        <v>8.1999999999999993</v>
      </c>
      <c r="I2595" s="71">
        <v>10.9</v>
      </c>
      <c r="J2595" s="71">
        <v>13.5</v>
      </c>
      <c r="K2595" s="106">
        <v>1.9E-3</v>
      </c>
      <c r="L2595" s="80">
        <v>-1.2E-2</v>
      </c>
      <c r="M2595" s="75" t="s">
        <v>143</v>
      </c>
      <c r="N2595" s="75" t="b">
        <v>1</v>
      </c>
      <c r="O2595" s="75" t="s">
        <v>144</v>
      </c>
      <c r="P2595" s="75">
        <v>1994</v>
      </c>
      <c r="Q2595" s="107">
        <f t="shared" si="72"/>
        <v>2015</v>
      </c>
      <c r="R2595" s="107">
        <v>2</v>
      </c>
      <c r="S2595" s="100">
        <v>215001</v>
      </c>
      <c r="T2595" s="101">
        <v>42027</v>
      </c>
    </row>
    <row r="2596" spans="1:20" x14ac:dyDescent="0.3">
      <c r="A2596" s="42">
        <v>42044</v>
      </c>
      <c r="B2596" s="69">
        <f t="shared" si="73"/>
        <v>20150209</v>
      </c>
      <c r="C2596" s="109">
        <v>1.84E-2</v>
      </c>
      <c r="D2596" s="77">
        <v>0</v>
      </c>
      <c r="E2596" s="77">
        <v>3.0000000000000001E-3</v>
      </c>
      <c r="F2596" s="77">
        <v>6.0000000000000001E-3</v>
      </c>
      <c r="G2596" s="78">
        <v>0</v>
      </c>
      <c r="H2596" s="71">
        <v>8.1999999999999993</v>
      </c>
      <c r="I2596" s="71">
        <v>10.9</v>
      </c>
      <c r="J2596" s="71">
        <v>13.5</v>
      </c>
      <c r="K2596" s="106">
        <v>1.9E-3</v>
      </c>
      <c r="L2596" s="80">
        <v>-1.2E-2</v>
      </c>
      <c r="M2596" s="75" t="s">
        <v>143</v>
      </c>
      <c r="N2596" s="75" t="b">
        <v>1</v>
      </c>
      <c r="O2596" s="75" t="s">
        <v>144</v>
      </c>
      <c r="P2596" s="75">
        <v>1994</v>
      </c>
      <c r="Q2596" s="107">
        <f t="shared" si="72"/>
        <v>2015</v>
      </c>
      <c r="R2596" s="107">
        <v>2</v>
      </c>
      <c r="S2596" s="100">
        <v>215001</v>
      </c>
      <c r="T2596" s="101">
        <v>42027</v>
      </c>
    </row>
    <row r="2597" spans="1:20" x14ac:dyDescent="0.3">
      <c r="A2597" s="42">
        <v>42045</v>
      </c>
      <c r="B2597" s="69">
        <f t="shared" si="73"/>
        <v>20150210</v>
      </c>
      <c r="C2597" s="109">
        <v>1.8600000000000002E-2</v>
      </c>
      <c r="D2597" s="77">
        <v>0</v>
      </c>
      <c r="E2597" s="77">
        <v>3.0000000000000001E-3</v>
      </c>
      <c r="F2597" s="77">
        <v>6.0000000000000001E-3</v>
      </c>
      <c r="G2597" s="78">
        <v>0</v>
      </c>
      <c r="H2597" s="71">
        <v>8.1999999999999993</v>
      </c>
      <c r="I2597" s="71">
        <v>10.9</v>
      </c>
      <c r="J2597" s="71">
        <v>13.5</v>
      </c>
      <c r="K2597" s="106">
        <v>2.3999999999999998E-3</v>
      </c>
      <c r="L2597" s="80">
        <v>-1.2E-2</v>
      </c>
      <c r="M2597" s="75" t="s">
        <v>143</v>
      </c>
      <c r="N2597" s="75" t="b">
        <v>1</v>
      </c>
      <c r="O2597" s="75" t="s">
        <v>144</v>
      </c>
      <c r="P2597" s="75">
        <v>1994</v>
      </c>
      <c r="Q2597" s="107">
        <f t="shared" si="72"/>
        <v>2015</v>
      </c>
      <c r="R2597" s="107">
        <v>2</v>
      </c>
      <c r="S2597" s="100">
        <v>215001</v>
      </c>
      <c r="T2597" s="101">
        <v>42027</v>
      </c>
    </row>
    <row r="2598" spans="1:20" x14ac:dyDescent="0.3">
      <c r="A2598" s="42">
        <v>42046</v>
      </c>
      <c r="B2598" s="69">
        <f t="shared" si="73"/>
        <v>20150211</v>
      </c>
      <c r="C2598" s="109">
        <v>1.8700000000000001E-2</v>
      </c>
      <c r="D2598" s="77">
        <v>0</v>
      </c>
      <c r="E2598" s="77">
        <v>3.0000000000000001E-3</v>
      </c>
      <c r="F2598" s="77">
        <v>6.0000000000000001E-3</v>
      </c>
      <c r="G2598" s="78">
        <v>0</v>
      </c>
      <c r="H2598" s="71">
        <v>8.1999999999999993</v>
      </c>
      <c r="I2598" s="71">
        <v>10.9</v>
      </c>
      <c r="J2598" s="71">
        <v>13.5</v>
      </c>
      <c r="K2598" s="106">
        <v>2.3999999999999998E-3</v>
      </c>
      <c r="L2598" s="80">
        <v>-1.2E-2</v>
      </c>
      <c r="M2598" s="75" t="s">
        <v>143</v>
      </c>
      <c r="N2598" s="75" t="b">
        <v>1</v>
      </c>
      <c r="O2598" s="75" t="s">
        <v>144</v>
      </c>
      <c r="P2598" s="75">
        <v>1994</v>
      </c>
      <c r="Q2598" s="107">
        <f t="shared" si="72"/>
        <v>2015</v>
      </c>
      <c r="R2598" s="107">
        <v>2</v>
      </c>
      <c r="S2598" s="100">
        <v>215001</v>
      </c>
      <c r="T2598" s="101">
        <v>42027</v>
      </c>
    </row>
    <row r="2599" spans="1:20" x14ac:dyDescent="0.3">
      <c r="A2599" s="42">
        <v>42047</v>
      </c>
      <c r="B2599" s="69">
        <f t="shared" si="73"/>
        <v>20150212</v>
      </c>
      <c r="C2599" s="109">
        <v>1.84E-2</v>
      </c>
      <c r="D2599" s="77">
        <v>0</v>
      </c>
      <c r="E2599" s="77">
        <v>3.0000000000000001E-3</v>
      </c>
      <c r="F2599" s="77">
        <v>6.0000000000000001E-3</v>
      </c>
      <c r="G2599" s="78">
        <v>0</v>
      </c>
      <c r="H2599" s="71">
        <v>8.1999999999999993</v>
      </c>
      <c r="I2599" s="71">
        <v>10.9</v>
      </c>
      <c r="J2599" s="71">
        <v>13.5</v>
      </c>
      <c r="K2599" s="106">
        <v>2.3E-3</v>
      </c>
      <c r="L2599" s="80">
        <v>-1.2E-2</v>
      </c>
      <c r="M2599" s="75" t="s">
        <v>143</v>
      </c>
      <c r="N2599" s="75" t="b">
        <v>1</v>
      </c>
      <c r="O2599" s="75" t="s">
        <v>144</v>
      </c>
      <c r="P2599" s="75">
        <v>1994</v>
      </c>
      <c r="Q2599" s="107">
        <f t="shared" si="72"/>
        <v>2015</v>
      </c>
      <c r="R2599" s="107">
        <v>2</v>
      </c>
      <c r="S2599" s="100">
        <v>215001</v>
      </c>
      <c r="T2599" s="101">
        <v>42027</v>
      </c>
    </row>
    <row r="2600" spans="1:20" x14ac:dyDescent="0.3">
      <c r="A2600" s="42">
        <v>42048</v>
      </c>
      <c r="B2600" s="69">
        <f t="shared" si="73"/>
        <v>20150213</v>
      </c>
      <c r="C2600" s="109">
        <v>1.8799999999999997E-2</v>
      </c>
      <c r="D2600" s="77">
        <v>0</v>
      </c>
      <c r="E2600" s="77">
        <v>3.0000000000000001E-3</v>
      </c>
      <c r="F2600" s="77">
        <v>6.0000000000000001E-3</v>
      </c>
      <c r="G2600" s="78">
        <v>0</v>
      </c>
      <c r="H2600" s="71">
        <v>8.1999999999999993</v>
      </c>
      <c r="I2600" s="71">
        <v>10.9</v>
      </c>
      <c r="J2600" s="71">
        <v>13.5</v>
      </c>
      <c r="K2600" s="106">
        <v>2.8999999999999998E-3</v>
      </c>
      <c r="L2600" s="80">
        <v>-1.2E-2</v>
      </c>
      <c r="M2600" s="75" t="s">
        <v>143</v>
      </c>
      <c r="N2600" s="75" t="b">
        <v>1</v>
      </c>
      <c r="O2600" s="75" t="s">
        <v>144</v>
      </c>
      <c r="P2600" s="75">
        <v>1994</v>
      </c>
      <c r="Q2600" s="107">
        <f t="shared" si="72"/>
        <v>2015</v>
      </c>
      <c r="R2600" s="107">
        <v>2</v>
      </c>
      <c r="S2600" s="100">
        <v>215001</v>
      </c>
      <c r="T2600" s="101">
        <v>42027</v>
      </c>
    </row>
    <row r="2601" spans="1:20" x14ac:dyDescent="0.3">
      <c r="A2601" s="42">
        <v>42049</v>
      </c>
      <c r="B2601" s="69">
        <f t="shared" si="73"/>
        <v>20150214</v>
      </c>
      <c r="C2601" s="109">
        <v>1.8799999999999997E-2</v>
      </c>
      <c r="D2601" s="77">
        <v>0</v>
      </c>
      <c r="E2601" s="77">
        <v>3.0000000000000001E-3</v>
      </c>
      <c r="F2601" s="77">
        <v>6.0000000000000001E-3</v>
      </c>
      <c r="G2601" s="78">
        <v>0</v>
      </c>
      <c r="H2601" s="71">
        <v>8.1999999999999993</v>
      </c>
      <c r="I2601" s="71">
        <v>10.9</v>
      </c>
      <c r="J2601" s="71">
        <v>13.5</v>
      </c>
      <c r="K2601" s="106">
        <v>2.8999999999999998E-3</v>
      </c>
      <c r="L2601" s="80">
        <v>-1.2E-2</v>
      </c>
      <c r="M2601" s="75" t="s">
        <v>143</v>
      </c>
      <c r="N2601" s="75" t="b">
        <v>1</v>
      </c>
      <c r="O2601" s="75" t="s">
        <v>144</v>
      </c>
      <c r="P2601" s="75">
        <v>1994</v>
      </c>
      <c r="Q2601" s="107">
        <f t="shared" si="72"/>
        <v>2015</v>
      </c>
      <c r="R2601" s="107">
        <v>2</v>
      </c>
      <c r="S2601" s="100">
        <v>215001</v>
      </c>
      <c r="T2601" s="101">
        <v>42027</v>
      </c>
    </row>
    <row r="2602" spans="1:20" x14ac:dyDescent="0.3">
      <c r="A2602" s="42">
        <v>42050</v>
      </c>
      <c r="B2602" s="69">
        <f t="shared" si="73"/>
        <v>20150215</v>
      </c>
      <c r="C2602" s="109">
        <v>1.8799999999999997E-2</v>
      </c>
      <c r="D2602" s="77">
        <v>0</v>
      </c>
      <c r="E2602" s="77">
        <v>3.0000000000000001E-3</v>
      </c>
      <c r="F2602" s="77">
        <v>6.0000000000000001E-3</v>
      </c>
      <c r="G2602" s="78">
        <v>0</v>
      </c>
      <c r="H2602" s="71">
        <v>8.1999999999999993</v>
      </c>
      <c r="I2602" s="71">
        <v>10.9</v>
      </c>
      <c r="J2602" s="71">
        <v>13.5</v>
      </c>
      <c r="K2602" s="106">
        <v>2.8999999999999998E-3</v>
      </c>
      <c r="L2602" s="80">
        <v>-1.2E-2</v>
      </c>
      <c r="M2602" s="75" t="s">
        <v>143</v>
      </c>
      <c r="N2602" s="75" t="b">
        <v>1</v>
      </c>
      <c r="O2602" s="75" t="s">
        <v>144</v>
      </c>
      <c r="P2602" s="75">
        <v>1994</v>
      </c>
      <c r="Q2602" s="107">
        <f t="shared" si="72"/>
        <v>2015</v>
      </c>
      <c r="R2602" s="107">
        <v>2</v>
      </c>
      <c r="S2602" s="100">
        <v>215001</v>
      </c>
      <c r="T2602" s="101">
        <v>42027</v>
      </c>
    </row>
    <row r="2603" spans="1:20" x14ac:dyDescent="0.3">
      <c r="A2603" s="42">
        <v>42051</v>
      </c>
      <c r="B2603" s="69">
        <f t="shared" si="73"/>
        <v>20150216</v>
      </c>
      <c r="C2603" s="109">
        <v>1.8799999999999997E-2</v>
      </c>
      <c r="D2603" s="77">
        <v>0</v>
      </c>
      <c r="E2603" s="77">
        <v>3.0000000000000001E-3</v>
      </c>
      <c r="F2603" s="77">
        <v>6.0000000000000001E-3</v>
      </c>
      <c r="G2603" s="78">
        <v>0</v>
      </c>
      <c r="H2603" s="71">
        <v>8.1999999999999993</v>
      </c>
      <c r="I2603" s="71">
        <v>10.9</v>
      </c>
      <c r="J2603" s="71">
        <v>13.5</v>
      </c>
      <c r="K2603" s="106">
        <v>2.8999999999999998E-3</v>
      </c>
      <c r="L2603" s="80">
        <v>-1.2E-2</v>
      </c>
      <c r="M2603" s="75" t="s">
        <v>143</v>
      </c>
      <c r="N2603" s="75" t="b">
        <v>1</v>
      </c>
      <c r="O2603" s="75" t="s">
        <v>144</v>
      </c>
      <c r="P2603" s="75">
        <v>1994</v>
      </c>
      <c r="Q2603" s="107">
        <f t="shared" si="72"/>
        <v>2015</v>
      </c>
      <c r="R2603" s="107">
        <v>2</v>
      </c>
      <c r="S2603" s="100">
        <v>215001</v>
      </c>
      <c r="T2603" s="101">
        <v>42027</v>
      </c>
    </row>
    <row r="2604" spans="1:20" x14ac:dyDescent="0.3">
      <c r="A2604" s="42">
        <v>42052</v>
      </c>
      <c r="B2604" s="69">
        <f t="shared" si="73"/>
        <v>20150217</v>
      </c>
      <c r="C2604" s="109">
        <v>1.9400000000000001E-2</v>
      </c>
      <c r="D2604" s="77">
        <v>0</v>
      </c>
      <c r="E2604" s="77">
        <v>3.0000000000000001E-3</v>
      </c>
      <c r="F2604" s="77">
        <v>6.0000000000000001E-3</v>
      </c>
      <c r="G2604" s="78">
        <v>0</v>
      </c>
      <c r="H2604" s="71">
        <v>8.1999999999999993</v>
      </c>
      <c r="I2604" s="71">
        <v>10.9</v>
      </c>
      <c r="J2604" s="71">
        <v>13.5</v>
      </c>
      <c r="K2604" s="106">
        <v>3.4999999999999996E-3</v>
      </c>
      <c r="L2604" s="80">
        <v>-1.2E-2</v>
      </c>
      <c r="M2604" s="75" t="s">
        <v>143</v>
      </c>
      <c r="N2604" s="75" t="b">
        <v>1</v>
      </c>
      <c r="O2604" s="75" t="s">
        <v>144</v>
      </c>
      <c r="P2604" s="75">
        <v>1994</v>
      </c>
      <c r="Q2604" s="107">
        <f t="shared" si="72"/>
        <v>2015</v>
      </c>
      <c r="R2604" s="107">
        <v>2</v>
      </c>
      <c r="S2604" s="100">
        <v>215001</v>
      </c>
      <c r="T2604" s="101">
        <v>42027</v>
      </c>
    </row>
    <row r="2605" spans="1:20" x14ac:dyDescent="0.3">
      <c r="A2605" s="42">
        <v>42053</v>
      </c>
      <c r="B2605" s="69">
        <f t="shared" si="73"/>
        <v>20150218</v>
      </c>
      <c r="C2605" s="109">
        <v>1.9099999999999999E-2</v>
      </c>
      <c r="D2605" s="77">
        <v>0</v>
      </c>
      <c r="E2605" s="77">
        <v>3.0000000000000001E-3</v>
      </c>
      <c r="F2605" s="77">
        <v>6.0000000000000001E-3</v>
      </c>
      <c r="G2605" s="78">
        <v>0</v>
      </c>
      <c r="H2605" s="71">
        <v>8.1999999999999993</v>
      </c>
      <c r="I2605" s="71">
        <v>10.9</v>
      </c>
      <c r="J2605" s="71">
        <v>13.5</v>
      </c>
      <c r="K2605" s="106">
        <v>3.2000000000000002E-3</v>
      </c>
      <c r="L2605" s="80">
        <v>-1.2E-2</v>
      </c>
      <c r="M2605" s="75" t="s">
        <v>143</v>
      </c>
      <c r="N2605" s="75" t="b">
        <v>1</v>
      </c>
      <c r="O2605" s="75" t="s">
        <v>144</v>
      </c>
      <c r="P2605" s="75">
        <v>1994</v>
      </c>
      <c r="Q2605" s="107">
        <f t="shared" si="72"/>
        <v>2015</v>
      </c>
      <c r="R2605" s="107">
        <v>2</v>
      </c>
      <c r="S2605" s="100">
        <v>215001</v>
      </c>
      <c r="T2605" s="101">
        <v>42027</v>
      </c>
    </row>
    <row r="2606" spans="1:20" x14ac:dyDescent="0.3">
      <c r="A2606" s="42">
        <v>42054</v>
      </c>
      <c r="B2606" s="69">
        <f t="shared" si="73"/>
        <v>20150219</v>
      </c>
      <c r="C2606" s="109">
        <v>1.89E-2</v>
      </c>
      <c r="D2606" s="77">
        <v>0</v>
      </c>
      <c r="E2606" s="77">
        <v>3.0000000000000001E-3</v>
      </c>
      <c r="F2606" s="77">
        <v>6.0000000000000001E-3</v>
      </c>
      <c r="G2606" s="78">
        <v>0</v>
      </c>
      <c r="H2606" s="71">
        <v>8.1999999999999993</v>
      </c>
      <c r="I2606" s="71">
        <v>10.9</v>
      </c>
      <c r="J2606" s="71">
        <v>13.5</v>
      </c>
      <c r="K2606" s="106">
        <v>3.0000000000000001E-3</v>
      </c>
      <c r="L2606" s="80">
        <v>-1.2E-2</v>
      </c>
      <c r="M2606" s="75" t="s">
        <v>143</v>
      </c>
      <c r="N2606" s="75" t="b">
        <v>1</v>
      </c>
      <c r="O2606" s="75" t="s">
        <v>144</v>
      </c>
      <c r="P2606" s="75">
        <v>1994</v>
      </c>
      <c r="Q2606" s="107">
        <f t="shared" ref="Q2606:Q2669" si="74">YEAR(A2606)</f>
        <v>2015</v>
      </c>
      <c r="R2606" s="107">
        <v>2</v>
      </c>
      <c r="S2606" s="100">
        <v>215001</v>
      </c>
      <c r="T2606" s="101">
        <v>42027</v>
      </c>
    </row>
    <row r="2607" spans="1:20" x14ac:dyDescent="0.3">
      <c r="A2607" s="42">
        <v>42055</v>
      </c>
      <c r="B2607" s="69">
        <f t="shared" si="73"/>
        <v>20150220</v>
      </c>
      <c r="C2607" s="109">
        <v>1.8799999999999997E-2</v>
      </c>
      <c r="D2607" s="77">
        <v>0</v>
      </c>
      <c r="E2607" s="77">
        <v>3.0000000000000001E-3</v>
      </c>
      <c r="F2607" s="77">
        <v>6.0000000000000001E-3</v>
      </c>
      <c r="G2607" s="78">
        <v>0</v>
      </c>
      <c r="H2607" s="71">
        <v>8.1999999999999993</v>
      </c>
      <c r="I2607" s="71">
        <v>10.9</v>
      </c>
      <c r="J2607" s="71">
        <v>13.5</v>
      </c>
      <c r="K2607" s="106">
        <v>2.8000000000000004E-3</v>
      </c>
      <c r="L2607" s="80">
        <v>-1.2E-2</v>
      </c>
      <c r="M2607" s="75" t="s">
        <v>143</v>
      </c>
      <c r="N2607" s="75" t="b">
        <v>1</v>
      </c>
      <c r="O2607" s="75" t="s">
        <v>144</v>
      </c>
      <c r="P2607" s="75">
        <v>1994</v>
      </c>
      <c r="Q2607" s="107">
        <f t="shared" si="74"/>
        <v>2015</v>
      </c>
      <c r="R2607" s="107">
        <v>2</v>
      </c>
      <c r="S2607" s="100">
        <v>215001</v>
      </c>
      <c r="T2607" s="101">
        <v>42027</v>
      </c>
    </row>
    <row r="2608" spans="1:20" x14ac:dyDescent="0.3">
      <c r="A2608" s="42">
        <v>42056</v>
      </c>
      <c r="B2608" s="69">
        <f t="shared" si="73"/>
        <v>20150221</v>
      </c>
      <c r="C2608" s="109">
        <v>1.8799999999999997E-2</v>
      </c>
      <c r="D2608" s="77">
        <v>0</v>
      </c>
      <c r="E2608" s="77">
        <v>3.0000000000000001E-3</v>
      </c>
      <c r="F2608" s="77">
        <v>6.0000000000000001E-3</v>
      </c>
      <c r="G2608" s="78">
        <v>0</v>
      </c>
      <c r="H2608" s="71">
        <v>8.1999999999999993</v>
      </c>
      <c r="I2608" s="71">
        <v>10.9</v>
      </c>
      <c r="J2608" s="71">
        <v>13.5</v>
      </c>
      <c r="K2608" s="106">
        <v>2.8000000000000004E-3</v>
      </c>
      <c r="L2608" s="80">
        <v>-1.2E-2</v>
      </c>
      <c r="M2608" s="75" t="s">
        <v>143</v>
      </c>
      <c r="N2608" s="75" t="b">
        <v>1</v>
      </c>
      <c r="O2608" s="75" t="s">
        <v>144</v>
      </c>
      <c r="P2608" s="75">
        <v>1994</v>
      </c>
      <c r="Q2608" s="107">
        <f t="shared" si="74"/>
        <v>2015</v>
      </c>
      <c r="R2608" s="107">
        <v>2</v>
      </c>
      <c r="S2608" s="100">
        <v>215001</v>
      </c>
      <c r="T2608" s="101">
        <v>42027</v>
      </c>
    </row>
    <row r="2609" spans="1:20" x14ac:dyDescent="0.3">
      <c r="A2609" s="42">
        <v>42057</v>
      </c>
      <c r="B2609" s="69">
        <f t="shared" si="73"/>
        <v>20150222</v>
      </c>
      <c r="C2609" s="109">
        <v>1.8799999999999997E-2</v>
      </c>
      <c r="D2609" s="77">
        <v>0</v>
      </c>
      <c r="E2609" s="77">
        <v>3.0000000000000001E-3</v>
      </c>
      <c r="F2609" s="77">
        <v>6.0000000000000001E-3</v>
      </c>
      <c r="G2609" s="78">
        <v>0</v>
      </c>
      <c r="H2609" s="71">
        <v>8.1999999999999993</v>
      </c>
      <c r="I2609" s="71">
        <v>10.9</v>
      </c>
      <c r="J2609" s="71">
        <v>13.5</v>
      </c>
      <c r="K2609" s="106">
        <v>2.8000000000000004E-3</v>
      </c>
      <c r="L2609" s="80">
        <v>-1.2E-2</v>
      </c>
      <c r="M2609" s="75" t="s">
        <v>143</v>
      </c>
      <c r="N2609" s="75" t="b">
        <v>1</v>
      </c>
      <c r="O2609" s="75" t="s">
        <v>144</v>
      </c>
      <c r="P2609" s="75">
        <v>1994</v>
      </c>
      <c r="Q2609" s="107">
        <f t="shared" si="74"/>
        <v>2015</v>
      </c>
      <c r="R2609" s="107">
        <v>2</v>
      </c>
      <c r="S2609" s="100">
        <v>215001</v>
      </c>
      <c r="T2609" s="101">
        <v>42027</v>
      </c>
    </row>
    <row r="2610" spans="1:20" x14ac:dyDescent="0.3">
      <c r="A2610" s="42">
        <v>42058</v>
      </c>
      <c r="B2610" s="69">
        <f t="shared" si="73"/>
        <v>20150223</v>
      </c>
      <c r="C2610" s="109">
        <v>1.8200000000000001E-2</v>
      </c>
      <c r="D2610" s="77">
        <v>0</v>
      </c>
      <c r="E2610" s="77">
        <v>3.0000000000000001E-3</v>
      </c>
      <c r="F2610" s="77">
        <v>6.0000000000000001E-3</v>
      </c>
      <c r="G2610" s="78">
        <v>0</v>
      </c>
      <c r="H2610" s="71">
        <v>8.1999999999999993</v>
      </c>
      <c r="I2610" s="71">
        <v>10.9</v>
      </c>
      <c r="J2610" s="71">
        <v>13.5</v>
      </c>
      <c r="K2610" s="106">
        <v>2.2000000000000001E-3</v>
      </c>
      <c r="L2610" s="80">
        <v>-1.2E-2</v>
      </c>
      <c r="M2610" s="75" t="s">
        <v>143</v>
      </c>
      <c r="N2610" s="75" t="b">
        <v>1</v>
      </c>
      <c r="O2610" s="75" t="s">
        <v>144</v>
      </c>
      <c r="P2610" s="75">
        <v>1994</v>
      </c>
      <c r="Q2610" s="107">
        <f t="shared" si="74"/>
        <v>2015</v>
      </c>
      <c r="R2610" s="107">
        <v>2</v>
      </c>
      <c r="S2610" s="100">
        <v>215001</v>
      </c>
      <c r="T2610" s="101">
        <v>42027</v>
      </c>
    </row>
    <row r="2611" spans="1:20" x14ac:dyDescent="0.3">
      <c r="A2611" s="42">
        <v>42059</v>
      </c>
      <c r="B2611" s="69">
        <f t="shared" si="73"/>
        <v>20150224</v>
      </c>
      <c r="C2611" s="109">
        <v>1.77E-2</v>
      </c>
      <c r="D2611" s="77">
        <v>0</v>
      </c>
      <c r="E2611" s="77">
        <v>3.0000000000000001E-3</v>
      </c>
      <c r="F2611" s="77">
        <v>6.0000000000000001E-3</v>
      </c>
      <c r="G2611" s="78">
        <v>0</v>
      </c>
      <c r="H2611" s="71">
        <v>8.1999999999999993</v>
      </c>
      <c r="I2611" s="71">
        <v>10.9</v>
      </c>
      <c r="J2611" s="71">
        <v>13.5</v>
      </c>
      <c r="K2611" s="106">
        <v>1.5E-3</v>
      </c>
      <c r="L2611" s="80">
        <v>-1.2E-2</v>
      </c>
      <c r="M2611" s="75" t="s">
        <v>143</v>
      </c>
      <c r="N2611" s="75" t="b">
        <v>1</v>
      </c>
      <c r="O2611" s="75" t="s">
        <v>144</v>
      </c>
      <c r="P2611" s="75">
        <v>1994</v>
      </c>
      <c r="Q2611" s="107">
        <f t="shared" si="74"/>
        <v>2015</v>
      </c>
      <c r="R2611" s="107">
        <v>2</v>
      </c>
      <c r="S2611" s="100">
        <v>215001</v>
      </c>
      <c r="T2611" s="101">
        <v>42027</v>
      </c>
    </row>
    <row r="2612" spans="1:20" x14ac:dyDescent="0.3">
      <c r="A2612" s="42">
        <v>42060</v>
      </c>
      <c r="B2612" s="69">
        <f t="shared" si="73"/>
        <v>20150225</v>
      </c>
      <c r="C2612" s="109">
        <v>1.7600000000000001E-2</v>
      </c>
      <c r="D2612" s="77">
        <v>0</v>
      </c>
      <c r="E2612" s="77">
        <v>3.0000000000000001E-3</v>
      </c>
      <c r="F2612" s="77">
        <v>6.0000000000000001E-3</v>
      </c>
      <c r="G2612" s="78">
        <v>0</v>
      </c>
      <c r="H2612" s="71">
        <v>8.1999999999999993</v>
      </c>
      <c r="I2612" s="71">
        <v>10.9</v>
      </c>
      <c r="J2612" s="71">
        <v>13.5</v>
      </c>
      <c r="K2612" s="106">
        <v>1.2999999999999999E-3</v>
      </c>
      <c r="L2612" s="80">
        <v>-1.2E-2</v>
      </c>
      <c r="M2612" s="75" t="s">
        <v>143</v>
      </c>
      <c r="N2612" s="75" t="b">
        <v>1</v>
      </c>
      <c r="O2612" s="75" t="s">
        <v>144</v>
      </c>
      <c r="P2612" s="75">
        <v>1994</v>
      </c>
      <c r="Q2612" s="107">
        <f t="shared" si="74"/>
        <v>2015</v>
      </c>
      <c r="R2612" s="107">
        <v>2</v>
      </c>
      <c r="S2612" s="100">
        <v>215001</v>
      </c>
      <c r="T2612" s="101">
        <v>42027</v>
      </c>
    </row>
    <row r="2613" spans="1:20" x14ac:dyDescent="0.3">
      <c r="A2613" s="42">
        <v>42061</v>
      </c>
      <c r="B2613" s="69">
        <f t="shared" si="73"/>
        <v>20150226</v>
      </c>
      <c r="C2613" s="109">
        <v>1.7899999999999999E-2</v>
      </c>
      <c r="D2613" s="77">
        <v>0</v>
      </c>
      <c r="E2613" s="77">
        <v>3.0000000000000001E-3</v>
      </c>
      <c r="F2613" s="77">
        <v>6.0000000000000001E-3</v>
      </c>
      <c r="G2613" s="78">
        <v>0</v>
      </c>
      <c r="H2613" s="71">
        <v>8.1999999999999993</v>
      </c>
      <c r="I2613" s="71">
        <v>10.9</v>
      </c>
      <c r="J2613" s="71">
        <v>13.5</v>
      </c>
      <c r="K2613" s="106">
        <v>1.4000000000000002E-3</v>
      </c>
      <c r="L2613" s="80">
        <v>-1.2E-2</v>
      </c>
      <c r="M2613" s="75" t="s">
        <v>143</v>
      </c>
      <c r="N2613" s="75" t="b">
        <v>1</v>
      </c>
      <c r="O2613" s="75" t="s">
        <v>144</v>
      </c>
      <c r="P2613" s="75">
        <v>1994</v>
      </c>
      <c r="Q2613" s="107">
        <f t="shared" si="74"/>
        <v>2015</v>
      </c>
      <c r="R2613" s="107">
        <v>2</v>
      </c>
      <c r="S2613" s="100">
        <v>215001</v>
      </c>
      <c r="T2613" s="101">
        <v>42027</v>
      </c>
    </row>
    <row r="2614" spans="1:20" x14ac:dyDescent="0.3">
      <c r="A2614" s="42">
        <v>42062</v>
      </c>
      <c r="B2614" s="69">
        <f t="shared" si="73"/>
        <v>20150227</v>
      </c>
      <c r="C2614" s="80">
        <v>1.7399999999999999E-2</v>
      </c>
      <c r="D2614" s="77">
        <v>0</v>
      </c>
      <c r="E2614" s="77">
        <v>3.0000000000000001E-3</v>
      </c>
      <c r="F2614" s="77">
        <v>6.0000000000000001E-3</v>
      </c>
      <c r="G2614" s="78">
        <v>0</v>
      </c>
      <c r="H2614" s="71">
        <v>8.1999999999999993</v>
      </c>
      <c r="I2614" s="71">
        <v>10.9</v>
      </c>
      <c r="J2614" s="71">
        <v>13.5</v>
      </c>
      <c r="K2614" s="106">
        <v>5.0000000000000001E-4</v>
      </c>
      <c r="L2614" s="80">
        <v>-1.2E-2</v>
      </c>
      <c r="M2614" s="75" t="s">
        <v>143</v>
      </c>
      <c r="N2614" s="75" t="b">
        <v>1</v>
      </c>
      <c r="O2614" s="75" t="s">
        <v>144</v>
      </c>
      <c r="P2614" s="75">
        <v>1994</v>
      </c>
      <c r="Q2614" s="107">
        <f t="shared" si="74"/>
        <v>2015</v>
      </c>
      <c r="R2614" s="107">
        <v>2</v>
      </c>
      <c r="S2614" s="100">
        <v>215001</v>
      </c>
      <c r="T2614" s="101">
        <v>42027</v>
      </c>
    </row>
    <row r="2615" spans="1:20" x14ac:dyDescent="0.3">
      <c r="A2615" s="42">
        <v>42063</v>
      </c>
      <c r="B2615" s="69">
        <f t="shared" si="73"/>
        <v>20150228</v>
      </c>
      <c r="C2615" s="80">
        <v>1.7399999999999999E-2</v>
      </c>
      <c r="D2615" s="77">
        <v>0</v>
      </c>
      <c r="E2615" s="77">
        <v>3.0000000000000001E-3</v>
      </c>
      <c r="F2615" s="77">
        <v>6.0000000000000001E-3</v>
      </c>
      <c r="G2615" s="78">
        <v>0</v>
      </c>
      <c r="H2615" s="71">
        <v>8.1999999999999993</v>
      </c>
      <c r="I2615" s="71">
        <v>10.9</v>
      </c>
      <c r="J2615" s="71">
        <v>13.5</v>
      </c>
      <c r="K2615" s="106">
        <v>5.0000000000000001E-4</v>
      </c>
      <c r="L2615" s="80">
        <v>-1.2E-2</v>
      </c>
      <c r="M2615" s="75" t="s">
        <v>143</v>
      </c>
      <c r="N2615" s="75" t="b">
        <v>1</v>
      </c>
      <c r="O2615" s="75" t="s">
        <v>144</v>
      </c>
      <c r="P2615" s="75">
        <v>1994</v>
      </c>
      <c r="Q2615" s="107">
        <f t="shared" si="74"/>
        <v>2015</v>
      </c>
      <c r="R2615" s="107">
        <v>2</v>
      </c>
      <c r="S2615" s="100">
        <v>215001</v>
      </c>
      <c r="T2615" s="101">
        <v>42027</v>
      </c>
    </row>
    <row r="2616" spans="1:20" x14ac:dyDescent="0.3">
      <c r="A2616" s="42">
        <v>42064</v>
      </c>
      <c r="B2616" s="69">
        <f>YEAR(A2616)*10000+MONTH(A2616)*100+DAY(A2616)</f>
        <v>20150301</v>
      </c>
      <c r="C2616" s="80">
        <v>1.7399999999999999E-2</v>
      </c>
      <c r="D2616" s="77">
        <v>0</v>
      </c>
      <c r="E2616" s="77">
        <v>3.0000000000000001E-3</v>
      </c>
      <c r="F2616" s="77">
        <v>6.0000000000000001E-3</v>
      </c>
      <c r="G2616" s="78">
        <v>0</v>
      </c>
      <c r="H2616" s="71">
        <v>8.1999999999999993</v>
      </c>
      <c r="I2616" s="71">
        <v>10.9</v>
      </c>
      <c r="J2616" s="71">
        <v>13.5</v>
      </c>
      <c r="K2616" s="106">
        <v>5.0000000000000001E-4</v>
      </c>
      <c r="L2616" s="80">
        <v>-1.2E-2</v>
      </c>
      <c r="M2616" s="75" t="s">
        <v>143</v>
      </c>
      <c r="N2616" s="75" t="b">
        <v>1</v>
      </c>
      <c r="O2616" s="75" t="s">
        <v>144</v>
      </c>
      <c r="P2616" s="75">
        <v>1994</v>
      </c>
      <c r="Q2616" s="107">
        <f t="shared" si="74"/>
        <v>2015</v>
      </c>
      <c r="R2616" s="107">
        <v>2</v>
      </c>
      <c r="S2616" s="100">
        <v>215001</v>
      </c>
      <c r="T2616" s="101">
        <v>42027</v>
      </c>
    </row>
    <row r="2617" spans="1:20" x14ac:dyDescent="0.3">
      <c r="A2617" s="42">
        <v>42065</v>
      </c>
      <c r="B2617" s="69">
        <f t="shared" si="73"/>
        <v>20150302</v>
      </c>
      <c r="C2617" s="109">
        <v>1.8100000000000002E-2</v>
      </c>
      <c r="D2617" s="77">
        <v>0</v>
      </c>
      <c r="E2617" s="77">
        <v>3.0000000000000001E-3</v>
      </c>
      <c r="F2617" s="77">
        <v>6.0000000000000001E-3</v>
      </c>
      <c r="G2617" s="78">
        <v>0</v>
      </c>
      <c r="H2617" s="71">
        <v>8.1999999999999993</v>
      </c>
      <c r="I2617" s="71">
        <v>10.9</v>
      </c>
      <c r="J2617" s="71">
        <v>13.5</v>
      </c>
      <c r="K2617" s="106">
        <v>1.1999999999999999E-3</v>
      </c>
      <c r="L2617" s="80">
        <v>-1.2E-2</v>
      </c>
      <c r="M2617" s="75" t="s">
        <v>143</v>
      </c>
      <c r="N2617" s="75" t="b">
        <v>1</v>
      </c>
      <c r="O2617" s="75" t="s">
        <v>144</v>
      </c>
      <c r="P2617" s="75">
        <v>1994</v>
      </c>
      <c r="Q2617" s="107">
        <f t="shared" si="74"/>
        <v>2015</v>
      </c>
      <c r="R2617" s="107">
        <v>2</v>
      </c>
      <c r="S2617" s="100">
        <v>215001</v>
      </c>
      <c r="T2617" s="101">
        <v>42027</v>
      </c>
    </row>
    <row r="2618" spans="1:20" x14ac:dyDescent="0.3">
      <c r="A2618" s="42">
        <v>42066</v>
      </c>
      <c r="B2618" s="69">
        <f t="shared" si="73"/>
        <v>20150303</v>
      </c>
      <c r="C2618" s="109">
        <v>1.8600000000000002E-2</v>
      </c>
      <c r="D2618" s="77">
        <v>0</v>
      </c>
      <c r="E2618" s="77">
        <v>3.0000000000000001E-3</v>
      </c>
      <c r="F2618" s="77">
        <v>6.0000000000000001E-3</v>
      </c>
      <c r="G2618" s="78">
        <v>0</v>
      </c>
      <c r="H2618" s="71">
        <v>8.1999999999999993</v>
      </c>
      <c r="I2618" s="71">
        <v>10.9</v>
      </c>
      <c r="J2618" s="71">
        <v>13.5</v>
      </c>
      <c r="K2618" s="106">
        <v>1.2999999999999999E-3</v>
      </c>
      <c r="L2618" s="80">
        <v>-1.2E-2</v>
      </c>
      <c r="M2618" s="75" t="s">
        <v>143</v>
      </c>
      <c r="N2618" s="75" t="b">
        <v>1</v>
      </c>
      <c r="O2618" s="75" t="s">
        <v>144</v>
      </c>
      <c r="P2618" s="75">
        <v>1994</v>
      </c>
      <c r="Q2618" s="107">
        <f t="shared" si="74"/>
        <v>2015</v>
      </c>
      <c r="R2618" s="107">
        <v>2</v>
      </c>
      <c r="S2618" s="100">
        <v>215001</v>
      </c>
      <c r="T2618" s="101">
        <v>42027</v>
      </c>
    </row>
    <row r="2619" spans="1:20" x14ac:dyDescent="0.3">
      <c r="A2619" s="42">
        <v>42067</v>
      </c>
      <c r="B2619" s="69">
        <f t="shared" si="73"/>
        <v>20150304</v>
      </c>
      <c r="C2619" s="109">
        <v>1.9299999999999998E-2</v>
      </c>
      <c r="D2619" s="77">
        <v>0</v>
      </c>
      <c r="E2619" s="77">
        <v>3.0000000000000001E-3</v>
      </c>
      <c r="F2619" s="77">
        <v>6.0000000000000001E-3</v>
      </c>
      <c r="G2619" s="78">
        <v>0</v>
      </c>
      <c r="H2619" s="71">
        <v>8.1999999999999993</v>
      </c>
      <c r="I2619" s="71">
        <v>10.9</v>
      </c>
      <c r="J2619" s="71">
        <v>13.5</v>
      </c>
      <c r="K2619" s="106">
        <v>1.7000000000000001E-3</v>
      </c>
      <c r="L2619" s="80">
        <v>-1.2E-2</v>
      </c>
      <c r="M2619" s="75" t="s">
        <v>143</v>
      </c>
      <c r="N2619" s="75" t="b">
        <v>1</v>
      </c>
      <c r="O2619" s="75" t="s">
        <v>144</v>
      </c>
      <c r="P2619" s="75">
        <v>1994</v>
      </c>
      <c r="Q2619" s="107">
        <f t="shared" si="74"/>
        <v>2015</v>
      </c>
      <c r="R2619" s="107">
        <v>2</v>
      </c>
      <c r="S2619" s="100">
        <v>215001</v>
      </c>
      <c r="T2619" s="101">
        <v>42027</v>
      </c>
    </row>
    <row r="2620" spans="1:20" x14ac:dyDescent="0.3">
      <c r="A2620" s="42">
        <v>42068</v>
      </c>
      <c r="B2620" s="69">
        <f t="shared" si="73"/>
        <v>20150305</v>
      </c>
      <c r="C2620" s="109">
        <v>1.9599999999999999E-2</v>
      </c>
      <c r="D2620" s="77">
        <v>0</v>
      </c>
      <c r="E2620" s="77">
        <v>3.0000000000000001E-3</v>
      </c>
      <c r="F2620" s="77">
        <v>6.0000000000000001E-3</v>
      </c>
      <c r="G2620" s="78">
        <v>0</v>
      </c>
      <c r="H2620" s="71">
        <v>8.1999999999999993</v>
      </c>
      <c r="I2620" s="71">
        <v>10.9</v>
      </c>
      <c r="J2620" s="71">
        <v>13.5</v>
      </c>
      <c r="K2620" s="106">
        <v>2.3E-3</v>
      </c>
      <c r="L2620" s="80">
        <v>-1.2E-2</v>
      </c>
      <c r="M2620" s="75" t="s">
        <v>143</v>
      </c>
      <c r="N2620" s="75" t="b">
        <v>1</v>
      </c>
      <c r="O2620" s="75" t="s">
        <v>144</v>
      </c>
      <c r="P2620" s="75">
        <v>1994</v>
      </c>
      <c r="Q2620" s="107">
        <f t="shared" si="74"/>
        <v>2015</v>
      </c>
      <c r="R2620" s="107">
        <v>2</v>
      </c>
      <c r="S2620" s="100">
        <v>215001</v>
      </c>
      <c r="T2620" s="101">
        <v>42027</v>
      </c>
    </row>
    <row r="2621" spans="1:20" x14ac:dyDescent="0.3">
      <c r="A2621" s="42">
        <v>42069</v>
      </c>
      <c r="B2621" s="69">
        <f t="shared" si="73"/>
        <v>20150306</v>
      </c>
      <c r="C2621" s="109">
        <v>2.0499999999999997E-2</v>
      </c>
      <c r="D2621" s="77">
        <v>0</v>
      </c>
      <c r="E2621" s="77">
        <v>3.0000000000000001E-3</v>
      </c>
      <c r="F2621" s="77">
        <v>6.0000000000000001E-3</v>
      </c>
      <c r="G2621" s="78">
        <v>0</v>
      </c>
      <c r="H2621" s="71">
        <v>8.1999999999999993</v>
      </c>
      <c r="I2621" s="71">
        <v>10.9</v>
      </c>
      <c r="J2621" s="71">
        <v>13.5</v>
      </c>
      <c r="K2621" s="106">
        <v>3.0000000000000001E-3</v>
      </c>
      <c r="L2621" s="80">
        <v>-1.2E-2</v>
      </c>
      <c r="M2621" s="75" t="s">
        <v>143</v>
      </c>
      <c r="N2621" s="75" t="b">
        <v>1</v>
      </c>
      <c r="O2621" s="75" t="s">
        <v>144</v>
      </c>
      <c r="P2621" s="75">
        <v>1994</v>
      </c>
      <c r="Q2621" s="107">
        <f t="shared" si="74"/>
        <v>2015</v>
      </c>
      <c r="R2621" s="107">
        <v>2</v>
      </c>
      <c r="S2621" s="100">
        <v>215001</v>
      </c>
      <c r="T2621" s="101">
        <v>42027</v>
      </c>
    </row>
    <row r="2622" spans="1:20" x14ac:dyDescent="0.3">
      <c r="A2622" s="42">
        <v>42070</v>
      </c>
      <c r="B2622" s="69">
        <f>YEAR(A2622)*10000+MONTH(A2622)*100+DAY(A2622)</f>
        <v>20150307</v>
      </c>
      <c r="C2622" s="109">
        <v>2.0499999999999997E-2</v>
      </c>
      <c r="D2622" s="77">
        <v>0</v>
      </c>
      <c r="E2622" s="77">
        <v>3.0000000000000001E-3</v>
      </c>
      <c r="F2622" s="77">
        <v>6.0000000000000001E-3</v>
      </c>
      <c r="G2622" s="78">
        <v>0</v>
      </c>
      <c r="H2622" s="71">
        <v>8.1999999999999993</v>
      </c>
      <c r="I2622" s="71">
        <v>10.9</v>
      </c>
      <c r="J2622" s="71">
        <v>13.5</v>
      </c>
      <c r="K2622" s="106">
        <v>3.0000000000000001E-3</v>
      </c>
      <c r="L2622" s="80">
        <v>-1.2E-2</v>
      </c>
      <c r="M2622" s="75" t="s">
        <v>143</v>
      </c>
      <c r="N2622" s="75" t="b">
        <v>1</v>
      </c>
      <c r="O2622" s="75" t="s">
        <v>144</v>
      </c>
      <c r="P2622" s="75">
        <v>1994</v>
      </c>
      <c r="Q2622" s="107">
        <f t="shared" si="74"/>
        <v>2015</v>
      </c>
      <c r="R2622" s="107">
        <v>2</v>
      </c>
      <c r="S2622" s="100">
        <v>215001</v>
      </c>
      <c r="T2622" s="101">
        <v>42027</v>
      </c>
    </row>
    <row r="2623" spans="1:20" x14ac:dyDescent="0.3">
      <c r="A2623" s="42">
        <v>42071</v>
      </c>
      <c r="B2623" s="69">
        <f>YEAR(A2623)*10000+MONTH(A2623)*100+DAY(A2623)</f>
        <v>20150308</v>
      </c>
      <c r="C2623" s="109">
        <v>2.0499999999999997E-2</v>
      </c>
      <c r="D2623" s="77">
        <v>0</v>
      </c>
      <c r="E2623" s="77">
        <v>3.0000000000000001E-3</v>
      </c>
      <c r="F2623" s="77">
        <v>6.0000000000000001E-3</v>
      </c>
      <c r="G2623" s="78">
        <v>0</v>
      </c>
      <c r="H2623" s="71">
        <v>8.1999999999999993</v>
      </c>
      <c r="I2623" s="71">
        <v>10.9</v>
      </c>
      <c r="J2623" s="71">
        <v>13.5</v>
      </c>
      <c r="K2623" s="106">
        <v>3.0000000000000001E-3</v>
      </c>
      <c r="L2623" s="80">
        <v>-1.2E-2</v>
      </c>
      <c r="M2623" s="75" t="s">
        <v>143</v>
      </c>
      <c r="N2623" s="75" t="b">
        <v>1</v>
      </c>
      <c r="O2623" s="75" t="s">
        <v>144</v>
      </c>
      <c r="P2623" s="75">
        <v>1994</v>
      </c>
      <c r="Q2623" s="107">
        <f t="shared" si="74"/>
        <v>2015</v>
      </c>
      <c r="R2623" s="107">
        <v>2</v>
      </c>
      <c r="S2623" s="100">
        <v>215001</v>
      </c>
      <c r="T2623" s="101">
        <v>42027</v>
      </c>
    </row>
    <row r="2624" spans="1:20" x14ac:dyDescent="0.3">
      <c r="A2624" s="42">
        <v>42072</v>
      </c>
      <c r="B2624" s="69">
        <f t="shared" si="73"/>
        <v>20150309</v>
      </c>
      <c r="C2624" s="109">
        <v>2.0299999999999999E-2</v>
      </c>
      <c r="D2624" s="77">
        <v>0</v>
      </c>
      <c r="E2624" s="77">
        <v>3.0000000000000001E-3</v>
      </c>
      <c r="F2624" s="77">
        <v>6.0000000000000001E-3</v>
      </c>
      <c r="G2624" s="78">
        <v>0</v>
      </c>
      <c r="H2624" s="71">
        <v>8.1999999999999993</v>
      </c>
      <c r="I2624" s="71">
        <v>10.9</v>
      </c>
      <c r="J2624" s="71">
        <v>13.5</v>
      </c>
      <c r="K2624" s="106">
        <v>3.2000000000000002E-3</v>
      </c>
      <c r="L2624" s="80">
        <v>-1.2E-2</v>
      </c>
      <c r="M2624" s="75" t="s">
        <v>143</v>
      </c>
      <c r="N2624" s="75" t="b">
        <v>1</v>
      </c>
      <c r="O2624" s="75" t="s">
        <v>144</v>
      </c>
      <c r="P2624" s="75">
        <v>1994</v>
      </c>
      <c r="Q2624" s="107">
        <f t="shared" si="74"/>
        <v>2015</v>
      </c>
      <c r="R2624" s="107">
        <v>2</v>
      </c>
      <c r="S2624" s="100">
        <v>215001</v>
      </c>
      <c r="T2624" s="101">
        <v>42027</v>
      </c>
    </row>
    <row r="2625" spans="1:20" x14ac:dyDescent="0.3">
      <c r="A2625" s="42">
        <v>42073</v>
      </c>
      <c r="B2625" s="69">
        <f t="shared" si="73"/>
        <v>20150310</v>
      </c>
      <c r="C2625" s="109">
        <v>1.9900000000000001E-2</v>
      </c>
      <c r="D2625" s="77">
        <v>0</v>
      </c>
      <c r="E2625" s="77">
        <v>3.0000000000000001E-3</v>
      </c>
      <c r="F2625" s="77">
        <v>6.0000000000000001E-3</v>
      </c>
      <c r="G2625" s="78">
        <v>0</v>
      </c>
      <c r="H2625" s="71">
        <v>8.1999999999999993</v>
      </c>
      <c r="I2625" s="71">
        <v>10.9</v>
      </c>
      <c r="J2625" s="71">
        <v>13.5</v>
      </c>
      <c r="K2625" s="106">
        <v>3.2000000000000002E-3</v>
      </c>
      <c r="L2625" s="80">
        <v>-1.2E-2</v>
      </c>
      <c r="M2625" s="75" t="s">
        <v>143</v>
      </c>
      <c r="N2625" s="75" t="b">
        <v>1</v>
      </c>
      <c r="O2625" s="75" t="s">
        <v>144</v>
      </c>
      <c r="P2625" s="75">
        <v>1994</v>
      </c>
      <c r="Q2625" s="107">
        <f t="shared" si="74"/>
        <v>2015</v>
      </c>
      <c r="R2625" s="107">
        <v>2</v>
      </c>
      <c r="S2625" s="100">
        <v>215001</v>
      </c>
      <c r="T2625" s="101">
        <v>42027</v>
      </c>
    </row>
    <row r="2626" spans="1:20" x14ac:dyDescent="0.3">
      <c r="A2626" s="42">
        <v>42074</v>
      </c>
      <c r="B2626" s="69">
        <f t="shared" si="73"/>
        <v>20150311</v>
      </c>
      <c r="C2626" s="109">
        <v>1.95E-2</v>
      </c>
      <c r="D2626" s="77">
        <v>0</v>
      </c>
      <c r="E2626" s="77">
        <v>3.0000000000000001E-3</v>
      </c>
      <c r="F2626" s="77">
        <v>6.0000000000000001E-3</v>
      </c>
      <c r="G2626" s="78">
        <v>0</v>
      </c>
      <c r="H2626" s="71">
        <v>8.1999999999999993</v>
      </c>
      <c r="I2626" s="71">
        <v>10.9</v>
      </c>
      <c r="J2626" s="71">
        <v>13.5</v>
      </c>
      <c r="K2626" s="106">
        <v>3.0999999999999999E-3</v>
      </c>
      <c r="L2626" s="80">
        <v>-1.2E-2</v>
      </c>
      <c r="M2626" s="75" t="s">
        <v>143</v>
      </c>
      <c r="N2626" s="75" t="b">
        <v>1</v>
      </c>
      <c r="O2626" s="75" t="s">
        <v>144</v>
      </c>
      <c r="P2626" s="75">
        <v>1994</v>
      </c>
      <c r="Q2626" s="107">
        <f t="shared" si="74"/>
        <v>2015</v>
      </c>
      <c r="R2626" s="107">
        <v>2</v>
      </c>
      <c r="S2626" s="100">
        <v>215001</v>
      </c>
      <c r="T2626" s="101">
        <v>42027</v>
      </c>
    </row>
    <row r="2627" spans="1:20" x14ac:dyDescent="0.3">
      <c r="A2627" s="42">
        <v>42075</v>
      </c>
      <c r="B2627" s="69">
        <f t="shared" si="73"/>
        <v>20150312</v>
      </c>
      <c r="C2627" s="109">
        <v>1.9400000000000001E-2</v>
      </c>
      <c r="D2627" s="77">
        <v>0</v>
      </c>
      <c r="E2627" s="77">
        <v>3.0000000000000001E-3</v>
      </c>
      <c r="F2627" s="77">
        <v>6.0000000000000001E-3</v>
      </c>
      <c r="G2627" s="78">
        <v>0</v>
      </c>
      <c r="H2627" s="71">
        <v>8.1999999999999993</v>
      </c>
      <c r="I2627" s="71">
        <v>10.9</v>
      </c>
      <c r="J2627" s="71">
        <v>13.5</v>
      </c>
      <c r="K2627" s="106">
        <v>3.0000000000000001E-3</v>
      </c>
      <c r="L2627" s="80">
        <v>-1.2E-2</v>
      </c>
      <c r="M2627" s="75" t="s">
        <v>143</v>
      </c>
      <c r="N2627" s="75" t="b">
        <v>1</v>
      </c>
      <c r="O2627" s="75" t="s">
        <v>144</v>
      </c>
      <c r="P2627" s="75">
        <v>1994</v>
      </c>
      <c r="Q2627" s="107">
        <f t="shared" si="74"/>
        <v>2015</v>
      </c>
      <c r="R2627" s="107">
        <v>2</v>
      </c>
      <c r="S2627" s="100">
        <v>215001</v>
      </c>
      <c r="T2627" s="101">
        <v>42027</v>
      </c>
    </row>
    <row r="2628" spans="1:20" x14ac:dyDescent="0.3">
      <c r="A2628" s="42">
        <v>42076</v>
      </c>
      <c r="B2628" s="69">
        <f t="shared" si="73"/>
        <v>20150313</v>
      </c>
      <c r="C2628" s="109">
        <v>1.9299999999999998E-2</v>
      </c>
      <c r="D2628" s="77">
        <v>0</v>
      </c>
      <c r="E2628" s="77">
        <v>3.0000000000000001E-3</v>
      </c>
      <c r="F2628" s="77">
        <v>6.0000000000000001E-3</v>
      </c>
      <c r="G2628" s="78">
        <v>0</v>
      </c>
      <c r="H2628" s="71">
        <v>8.1999999999999993</v>
      </c>
      <c r="I2628" s="71">
        <v>10.9</v>
      </c>
      <c r="J2628" s="71">
        <v>13.5</v>
      </c>
      <c r="K2628" s="106">
        <v>3.0000000000000001E-3</v>
      </c>
      <c r="L2628" s="80">
        <v>-1.2E-2</v>
      </c>
      <c r="M2628" s="75" t="s">
        <v>143</v>
      </c>
      <c r="N2628" s="75" t="b">
        <v>1</v>
      </c>
      <c r="O2628" s="75" t="s">
        <v>144</v>
      </c>
      <c r="P2628" s="75">
        <v>1994</v>
      </c>
      <c r="Q2628" s="107">
        <f t="shared" si="74"/>
        <v>2015</v>
      </c>
      <c r="R2628" s="107">
        <v>2</v>
      </c>
      <c r="S2628" s="100">
        <v>215001</v>
      </c>
      <c r="T2628" s="101">
        <v>42027</v>
      </c>
    </row>
    <row r="2629" spans="1:20" x14ac:dyDescent="0.3">
      <c r="A2629" s="42">
        <v>42077</v>
      </c>
      <c r="B2629" s="69">
        <f>YEAR(A2629)*10000+MONTH(A2629)*100+DAY(A2629)</f>
        <v>20150314</v>
      </c>
      <c r="C2629" s="109">
        <v>1.9299999999999998E-2</v>
      </c>
      <c r="D2629" s="77">
        <v>0</v>
      </c>
      <c r="E2629" s="77">
        <v>3.0000000000000001E-3</v>
      </c>
      <c r="F2629" s="77">
        <v>6.0000000000000001E-3</v>
      </c>
      <c r="G2629" s="78">
        <v>0</v>
      </c>
      <c r="H2629" s="71">
        <v>8.1999999999999993</v>
      </c>
      <c r="I2629" s="71">
        <v>10.9</v>
      </c>
      <c r="J2629" s="71">
        <v>13.5</v>
      </c>
      <c r="K2629" s="106">
        <v>3.0000000000000001E-3</v>
      </c>
      <c r="L2629" s="80">
        <v>-1.2E-2</v>
      </c>
      <c r="M2629" s="75" t="s">
        <v>143</v>
      </c>
      <c r="N2629" s="75" t="b">
        <v>1</v>
      </c>
      <c r="O2629" s="75" t="s">
        <v>144</v>
      </c>
      <c r="P2629" s="75">
        <v>1994</v>
      </c>
      <c r="Q2629" s="107">
        <f t="shared" si="74"/>
        <v>2015</v>
      </c>
      <c r="R2629" s="107">
        <v>2</v>
      </c>
      <c r="S2629" s="100">
        <v>215001</v>
      </c>
      <c r="T2629" s="101">
        <v>42027</v>
      </c>
    </row>
    <row r="2630" spans="1:20" x14ac:dyDescent="0.3">
      <c r="A2630" s="42">
        <v>42078</v>
      </c>
      <c r="B2630" s="69">
        <f>YEAR(A2630)*10000+MONTH(A2630)*100+DAY(A2630)</f>
        <v>20150315</v>
      </c>
      <c r="C2630" s="109">
        <v>1.9299999999999998E-2</v>
      </c>
      <c r="D2630" s="77">
        <v>0</v>
      </c>
      <c r="E2630" s="77">
        <v>3.0000000000000001E-3</v>
      </c>
      <c r="F2630" s="77">
        <v>6.0000000000000001E-3</v>
      </c>
      <c r="G2630" s="78">
        <v>0</v>
      </c>
      <c r="H2630" s="71">
        <v>8.1999999999999993</v>
      </c>
      <c r="I2630" s="71">
        <v>10.9</v>
      </c>
      <c r="J2630" s="71">
        <v>13.5</v>
      </c>
      <c r="K2630" s="106">
        <v>3.0000000000000001E-3</v>
      </c>
      <c r="L2630" s="80">
        <v>-1.2E-2</v>
      </c>
      <c r="M2630" s="75" t="s">
        <v>143</v>
      </c>
      <c r="N2630" s="75" t="b">
        <v>1</v>
      </c>
      <c r="O2630" s="75" t="s">
        <v>144</v>
      </c>
      <c r="P2630" s="75">
        <v>1994</v>
      </c>
      <c r="Q2630" s="107">
        <f t="shared" si="74"/>
        <v>2015</v>
      </c>
      <c r="R2630" s="107">
        <v>2</v>
      </c>
      <c r="S2630" s="100">
        <v>215001</v>
      </c>
      <c r="T2630" s="101">
        <v>42027</v>
      </c>
    </row>
    <row r="2631" spans="1:20" x14ac:dyDescent="0.3">
      <c r="A2631" s="42">
        <v>42079</v>
      </c>
      <c r="B2631" s="69">
        <f t="shared" si="73"/>
        <v>20150316</v>
      </c>
      <c r="C2631" s="109">
        <v>1.9E-2</v>
      </c>
      <c r="D2631" s="77">
        <v>0</v>
      </c>
      <c r="E2631" s="77">
        <v>3.0000000000000001E-3</v>
      </c>
      <c r="F2631" s="77">
        <v>6.0000000000000001E-3</v>
      </c>
      <c r="G2631" s="78">
        <v>0</v>
      </c>
      <c r="H2631" s="71">
        <v>8.1999999999999993</v>
      </c>
      <c r="I2631" s="71">
        <v>10.9</v>
      </c>
      <c r="J2631" s="71">
        <v>13.5</v>
      </c>
      <c r="K2631" s="106">
        <v>2.7000000000000001E-3</v>
      </c>
      <c r="L2631" s="80">
        <v>-1.2E-2</v>
      </c>
      <c r="M2631" s="75" t="s">
        <v>143</v>
      </c>
      <c r="N2631" s="75" t="b">
        <v>1</v>
      </c>
      <c r="O2631" s="75" t="s">
        <v>144</v>
      </c>
      <c r="P2631" s="75">
        <v>1994</v>
      </c>
      <c r="Q2631" s="107">
        <f t="shared" si="74"/>
        <v>2015</v>
      </c>
      <c r="R2631" s="107">
        <v>2</v>
      </c>
      <c r="S2631" s="100">
        <v>215001</v>
      </c>
      <c r="T2631" s="101">
        <v>42027</v>
      </c>
    </row>
    <row r="2632" spans="1:20" x14ac:dyDescent="0.3">
      <c r="A2632" s="42">
        <v>42080</v>
      </c>
      <c r="B2632" s="69">
        <f t="shared" si="73"/>
        <v>20150317</v>
      </c>
      <c r="C2632" s="109">
        <v>1.8700000000000001E-2</v>
      </c>
      <c r="D2632" s="77">
        <v>0</v>
      </c>
      <c r="E2632" s="77">
        <v>3.0000000000000001E-3</v>
      </c>
      <c r="F2632" s="77">
        <v>6.0000000000000001E-3</v>
      </c>
      <c r="G2632" s="78">
        <v>0</v>
      </c>
      <c r="H2632" s="71">
        <v>8.1999999999999993</v>
      </c>
      <c r="I2632" s="71">
        <v>10.9</v>
      </c>
      <c r="J2632" s="71">
        <v>13.5</v>
      </c>
      <c r="K2632" s="106">
        <v>2.5000000000000001E-3</v>
      </c>
      <c r="L2632" s="80">
        <v>-1.2E-2</v>
      </c>
      <c r="M2632" s="75" t="s">
        <v>143</v>
      </c>
      <c r="N2632" s="75" t="b">
        <v>1</v>
      </c>
      <c r="O2632" s="75" t="s">
        <v>144</v>
      </c>
      <c r="P2632" s="75">
        <v>1994</v>
      </c>
      <c r="Q2632" s="107">
        <f t="shared" si="74"/>
        <v>2015</v>
      </c>
      <c r="R2632" s="107">
        <v>2</v>
      </c>
      <c r="S2632" s="100">
        <v>215001</v>
      </c>
      <c r="T2632" s="101">
        <v>42027</v>
      </c>
    </row>
    <row r="2633" spans="1:20" x14ac:dyDescent="0.3">
      <c r="A2633" s="42">
        <v>42081</v>
      </c>
      <c r="B2633" s="69">
        <f t="shared" si="73"/>
        <v>20150318</v>
      </c>
      <c r="C2633" s="109">
        <v>1.7899999999999999E-2</v>
      </c>
      <c r="D2633" s="77">
        <v>0</v>
      </c>
      <c r="E2633" s="77">
        <v>3.0000000000000001E-3</v>
      </c>
      <c r="F2633" s="77">
        <v>6.0000000000000001E-3</v>
      </c>
      <c r="G2633" s="78">
        <v>0</v>
      </c>
      <c r="H2633" s="71">
        <v>8.1999999999999993</v>
      </c>
      <c r="I2633" s="71">
        <v>10.9</v>
      </c>
      <c r="J2633" s="71">
        <v>13.5</v>
      </c>
      <c r="K2633" s="106">
        <v>1.6000000000000001E-3</v>
      </c>
      <c r="L2633" s="80">
        <v>-1.2E-2</v>
      </c>
      <c r="M2633" s="75" t="s">
        <v>143</v>
      </c>
      <c r="N2633" s="75" t="b">
        <v>1</v>
      </c>
      <c r="O2633" s="75" t="s">
        <v>144</v>
      </c>
      <c r="P2633" s="75">
        <v>1994</v>
      </c>
      <c r="Q2633" s="107">
        <f t="shared" si="74"/>
        <v>2015</v>
      </c>
      <c r="R2633" s="107">
        <v>2</v>
      </c>
      <c r="S2633" s="100">
        <v>215001</v>
      </c>
      <c r="T2633" s="101">
        <v>42027</v>
      </c>
    </row>
    <row r="2634" spans="1:20" x14ac:dyDescent="0.3">
      <c r="A2634" s="42">
        <v>42082</v>
      </c>
      <c r="B2634" s="69">
        <f t="shared" si="73"/>
        <v>20150319</v>
      </c>
      <c r="C2634" s="109">
        <v>1.77E-2</v>
      </c>
      <c r="D2634" s="77">
        <v>0</v>
      </c>
      <c r="E2634" s="77">
        <v>3.0000000000000001E-3</v>
      </c>
      <c r="F2634" s="77">
        <v>6.0000000000000001E-3</v>
      </c>
      <c r="G2634" s="78">
        <v>0</v>
      </c>
      <c r="H2634" s="71">
        <v>8.1999999999999993</v>
      </c>
      <c r="I2634" s="71">
        <v>10.9</v>
      </c>
      <c r="J2634" s="71">
        <v>13.5</v>
      </c>
      <c r="K2634" s="106">
        <v>1.4000000000000002E-3</v>
      </c>
      <c r="L2634" s="80">
        <v>-1.2E-2</v>
      </c>
      <c r="M2634" s="75" t="s">
        <v>143</v>
      </c>
      <c r="N2634" s="75" t="b">
        <v>1</v>
      </c>
      <c r="O2634" s="75" t="s">
        <v>144</v>
      </c>
      <c r="P2634" s="75">
        <v>1994</v>
      </c>
      <c r="Q2634" s="107">
        <f t="shared" si="74"/>
        <v>2015</v>
      </c>
      <c r="R2634" s="107">
        <v>2</v>
      </c>
      <c r="S2634" s="100">
        <v>215001</v>
      </c>
      <c r="T2634" s="101">
        <v>42027</v>
      </c>
    </row>
    <row r="2635" spans="1:20" x14ac:dyDescent="0.3">
      <c r="A2635" s="42">
        <v>42083</v>
      </c>
      <c r="B2635" s="69">
        <f t="shared" si="73"/>
        <v>20150320</v>
      </c>
      <c r="C2635" s="109">
        <v>1.7600000000000001E-2</v>
      </c>
      <c r="D2635" s="77">
        <v>0</v>
      </c>
      <c r="E2635" s="77">
        <v>3.0000000000000001E-3</v>
      </c>
      <c r="F2635" s="77">
        <v>6.0000000000000001E-3</v>
      </c>
      <c r="G2635" s="78">
        <v>0</v>
      </c>
      <c r="H2635" s="71">
        <v>8.1999999999999993</v>
      </c>
      <c r="I2635" s="71">
        <v>10.9</v>
      </c>
      <c r="J2635" s="71">
        <v>13.5</v>
      </c>
      <c r="K2635" s="106">
        <v>1.1999999999999999E-3</v>
      </c>
      <c r="L2635" s="80">
        <v>-1.2E-2</v>
      </c>
      <c r="M2635" s="75" t="s">
        <v>143</v>
      </c>
      <c r="N2635" s="75" t="b">
        <v>1</v>
      </c>
      <c r="O2635" s="75" t="s">
        <v>144</v>
      </c>
      <c r="P2635" s="75">
        <v>1994</v>
      </c>
      <c r="Q2635" s="107">
        <f t="shared" si="74"/>
        <v>2015</v>
      </c>
      <c r="R2635" s="107">
        <v>2</v>
      </c>
      <c r="S2635" s="100">
        <v>215001</v>
      </c>
      <c r="T2635" s="101">
        <v>42027</v>
      </c>
    </row>
    <row r="2636" spans="1:20" x14ac:dyDescent="0.3">
      <c r="A2636" s="42">
        <v>42084</v>
      </c>
      <c r="B2636" s="69">
        <f>YEAR(A2636)*10000+MONTH(A2636)*100+DAY(A2636)</f>
        <v>20150321</v>
      </c>
      <c r="C2636" s="109">
        <v>1.7600000000000001E-2</v>
      </c>
      <c r="D2636" s="77">
        <v>0</v>
      </c>
      <c r="E2636" s="77">
        <v>3.0000000000000001E-3</v>
      </c>
      <c r="F2636" s="77">
        <v>6.0000000000000001E-3</v>
      </c>
      <c r="G2636" s="78">
        <v>0</v>
      </c>
      <c r="H2636" s="71">
        <v>8.1999999999999993</v>
      </c>
      <c r="I2636" s="71">
        <v>10.9</v>
      </c>
      <c r="J2636" s="71">
        <v>13.5</v>
      </c>
      <c r="K2636" s="106">
        <v>1.1999999999999999E-3</v>
      </c>
      <c r="L2636" s="80">
        <v>-1.2E-2</v>
      </c>
      <c r="M2636" s="75" t="s">
        <v>143</v>
      </c>
      <c r="N2636" s="75" t="b">
        <v>1</v>
      </c>
      <c r="O2636" s="75" t="s">
        <v>144</v>
      </c>
      <c r="P2636" s="75">
        <v>1994</v>
      </c>
      <c r="Q2636" s="107">
        <f t="shared" si="74"/>
        <v>2015</v>
      </c>
      <c r="R2636" s="107">
        <v>2</v>
      </c>
      <c r="S2636" s="100">
        <v>215001</v>
      </c>
      <c r="T2636" s="101">
        <v>42027</v>
      </c>
    </row>
    <row r="2637" spans="1:20" x14ac:dyDescent="0.3">
      <c r="A2637" s="42">
        <v>42085</v>
      </c>
      <c r="B2637" s="69">
        <f>YEAR(A2637)*10000+MONTH(A2637)*100+DAY(A2637)</f>
        <v>20150322</v>
      </c>
      <c r="C2637" s="109">
        <v>1.7600000000000001E-2</v>
      </c>
      <c r="D2637" s="77">
        <v>0</v>
      </c>
      <c r="E2637" s="77">
        <v>3.0000000000000001E-3</v>
      </c>
      <c r="F2637" s="77">
        <v>6.0000000000000001E-3</v>
      </c>
      <c r="G2637" s="78">
        <v>0</v>
      </c>
      <c r="H2637" s="71">
        <v>8.1999999999999993</v>
      </c>
      <c r="I2637" s="71">
        <v>10.9</v>
      </c>
      <c r="J2637" s="71">
        <v>13.5</v>
      </c>
      <c r="K2637" s="106">
        <v>1.1999999999999999E-3</v>
      </c>
      <c r="L2637" s="80">
        <v>-1.2E-2</v>
      </c>
      <c r="M2637" s="75" t="s">
        <v>143</v>
      </c>
      <c r="N2637" s="75" t="b">
        <v>1</v>
      </c>
      <c r="O2637" s="75" t="s">
        <v>144</v>
      </c>
      <c r="P2637" s="75">
        <v>1994</v>
      </c>
      <c r="Q2637" s="107">
        <f t="shared" si="74"/>
        <v>2015</v>
      </c>
      <c r="R2637" s="107">
        <v>2</v>
      </c>
      <c r="S2637" s="100">
        <v>215001</v>
      </c>
      <c r="T2637" s="101">
        <v>42027</v>
      </c>
    </row>
    <row r="2638" spans="1:20" x14ac:dyDescent="0.3">
      <c r="A2638" s="42">
        <v>42086</v>
      </c>
      <c r="B2638" s="69">
        <f t="shared" si="73"/>
        <v>20150323</v>
      </c>
      <c r="C2638" s="109">
        <v>1.7600000000000001E-2</v>
      </c>
      <c r="D2638" s="77">
        <v>0</v>
      </c>
      <c r="E2638" s="77">
        <v>3.0000000000000001E-3</v>
      </c>
      <c r="F2638" s="77">
        <v>6.0000000000000001E-3</v>
      </c>
      <c r="G2638" s="78">
        <v>0</v>
      </c>
      <c r="H2638" s="71">
        <v>8.1999999999999993</v>
      </c>
      <c r="I2638" s="71">
        <v>10.9</v>
      </c>
      <c r="J2638" s="71">
        <v>13.5</v>
      </c>
      <c r="K2638" s="106">
        <v>1.2999999999999999E-3</v>
      </c>
      <c r="L2638" s="80">
        <v>-1.2E-2</v>
      </c>
      <c r="M2638" s="75" t="s">
        <v>143</v>
      </c>
      <c r="N2638" s="75" t="b">
        <v>1</v>
      </c>
      <c r="O2638" s="75" t="s">
        <v>144</v>
      </c>
      <c r="P2638" s="75">
        <v>1994</v>
      </c>
      <c r="Q2638" s="107">
        <f t="shared" si="74"/>
        <v>2015</v>
      </c>
      <c r="R2638" s="107">
        <v>2</v>
      </c>
      <c r="S2638" s="100">
        <v>215001</v>
      </c>
      <c r="T2638" s="101">
        <v>42027</v>
      </c>
    </row>
    <row r="2639" spans="1:20" x14ac:dyDescent="0.3">
      <c r="A2639" s="42">
        <v>42087</v>
      </c>
      <c r="B2639" s="69">
        <f t="shared" si="73"/>
        <v>20150324</v>
      </c>
      <c r="C2639" s="109">
        <v>1.7600000000000001E-2</v>
      </c>
      <c r="D2639" s="77">
        <v>0</v>
      </c>
      <c r="E2639" s="77">
        <v>3.0000000000000001E-3</v>
      </c>
      <c r="F2639" s="77">
        <v>6.0000000000000001E-3</v>
      </c>
      <c r="G2639" s="78">
        <v>0</v>
      </c>
      <c r="H2639" s="71">
        <v>8.1999999999999993</v>
      </c>
      <c r="I2639" s="71">
        <v>10.9</v>
      </c>
      <c r="J2639" s="71">
        <v>13.5</v>
      </c>
      <c r="K2639" s="106">
        <v>1.1000000000000001E-3</v>
      </c>
      <c r="L2639" s="80">
        <v>-1.2E-2</v>
      </c>
      <c r="M2639" s="75" t="s">
        <v>143</v>
      </c>
      <c r="N2639" s="75" t="b">
        <v>1</v>
      </c>
      <c r="O2639" s="75" t="s">
        <v>144</v>
      </c>
      <c r="P2639" s="75">
        <v>1994</v>
      </c>
      <c r="Q2639" s="107">
        <f t="shared" si="74"/>
        <v>2015</v>
      </c>
      <c r="R2639" s="107">
        <v>2</v>
      </c>
      <c r="S2639" s="100">
        <v>215001</v>
      </c>
      <c r="T2639" s="101">
        <v>42027</v>
      </c>
    </row>
    <row r="2640" spans="1:20" x14ac:dyDescent="0.3">
      <c r="A2640" s="42">
        <v>42088</v>
      </c>
      <c r="B2640" s="69">
        <f t="shared" si="73"/>
        <v>20150325</v>
      </c>
      <c r="C2640" s="109">
        <v>1.7899999999999999E-2</v>
      </c>
      <c r="D2640" s="77">
        <v>0</v>
      </c>
      <c r="E2640" s="77">
        <v>3.0000000000000001E-3</v>
      </c>
      <c r="F2640" s="77">
        <v>6.0000000000000001E-3</v>
      </c>
      <c r="G2640" s="78">
        <v>0</v>
      </c>
      <c r="H2640" s="71">
        <v>8.1999999999999993</v>
      </c>
      <c r="I2640" s="71">
        <v>10.9</v>
      </c>
      <c r="J2640" s="71">
        <v>13.5</v>
      </c>
      <c r="K2640" s="106">
        <v>1.5E-3</v>
      </c>
      <c r="L2640" s="80">
        <v>-1.2E-2</v>
      </c>
      <c r="M2640" s="75" t="s">
        <v>143</v>
      </c>
      <c r="N2640" s="75" t="b">
        <v>1</v>
      </c>
      <c r="O2640" s="75" t="s">
        <v>144</v>
      </c>
      <c r="P2640" s="75">
        <v>1994</v>
      </c>
      <c r="Q2640" s="107">
        <f t="shared" si="74"/>
        <v>2015</v>
      </c>
      <c r="R2640" s="107">
        <v>2</v>
      </c>
      <c r="S2640" s="100">
        <v>215001</v>
      </c>
      <c r="T2640" s="101">
        <v>42027</v>
      </c>
    </row>
    <row r="2641" spans="1:21" x14ac:dyDescent="0.3">
      <c r="A2641" s="42">
        <v>42089</v>
      </c>
      <c r="B2641" s="69">
        <f t="shared" si="73"/>
        <v>20150326</v>
      </c>
      <c r="C2641" s="109">
        <v>1.8700000000000001E-2</v>
      </c>
      <c r="D2641" s="77">
        <v>0</v>
      </c>
      <c r="E2641" s="77">
        <v>3.0000000000000001E-3</v>
      </c>
      <c r="F2641" s="77">
        <v>6.0000000000000001E-3</v>
      </c>
      <c r="G2641" s="78">
        <v>0</v>
      </c>
      <c r="H2641" s="71">
        <v>8.1999999999999993</v>
      </c>
      <c r="I2641" s="71">
        <v>10.9</v>
      </c>
      <c r="J2641" s="71">
        <v>13.5</v>
      </c>
      <c r="K2641" s="106">
        <v>2.0999999999999999E-3</v>
      </c>
      <c r="L2641" s="80">
        <v>-1.2E-2</v>
      </c>
      <c r="M2641" s="75" t="s">
        <v>143</v>
      </c>
      <c r="N2641" s="75" t="b">
        <v>1</v>
      </c>
      <c r="O2641" s="75" t="s">
        <v>144</v>
      </c>
      <c r="P2641" s="75">
        <v>1994</v>
      </c>
      <c r="Q2641" s="107">
        <f t="shared" si="74"/>
        <v>2015</v>
      </c>
      <c r="R2641" s="107">
        <v>2</v>
      </c>
      <c r="S2641" s="100">
        <v>215001</v>
      </c>
      <c r="T2641" s="101">
        <v>42027</v>
      </c>
    </row>
    <row r="2642" spans="1:21" x14ac:dyDescent="0.3">
      <c r="A2642" s="42">
        <v>42090</v>
      </c>
      <c r="B2642" s="69">
        <f t="shared" si="73"/>
        <v>20150327</v>
      </c>
      <c r="C2642" s="109">
        <v>1.8200000000000001E-2</v>
      </c>
      <c r="D2642" s="77">
        <v>0</v>
      </c>
      <c r="E2642" s="77">
        <v>3.0000000000000001E-3</v>
      </c>
      <c r="F2642" s="77">
        <v>6.0000000000000001E-3</v>
      </c>
      <c r="G2642" s="78">
        <v>0</v>
      </c>
      <c r="H2642" s="71">
        <v>8.1999999999999993</v>
      </c>
      <c r="I2642" s="71">
        <v>10.9</v>
      </c>
      <c r="J2642" s="71">
        <v>13.5</v>
      </c>
      <c r="K2642" s="106">
        <v>1.6000000000000001E-3</v>
      </c>
      <c r="L2642" s="80">
        <v>-1.2E-2</v>
      </c>
      <c r="M2642" s="75" t="s">
        <v>143</v>
      </c>
      <c r="N2642" s="75" t="b">
        <v>1</v>
      </c>
      <c r="O2642" s="75" t="s">
        <v>144</v>
      </c>
      <c r="P2642" s="75">
        <v>1994</v>
      </c>
      <c r="Q2642" s="107">
        <f t="shared" si="74"/>
        <v>2015</v>
      </c>
      <c r="R2642" s="107">
        <v>2</v>
      </c>
      <c r="S2642" s="100">
        <v>215001</v>
      </c>
      <c r="T2642" s="101">
        <v>42027</v>
      </c>
    </row>
    <row r="2643" spans="1:21" x14ac:dyDescent="0.3">
      <c r="A2643" s="42">
        <v>42091</v>
      </c>
      <c r="B2643" s="69">
        <f>YEAR(A2643)*10000+MONTH(A2643)*100+DAY(A2643)</f>
        <v>20150328</v>
      </c>
      <c r="C2643" s="109">
        <v>1.8200000000000001E-2</v>
      </c>
      <c r="D2643" s="77">
        <v>0</v>
      </c>
      <c r="E2643" s="77">
        <v>3.0000000000000001E-3</v>
      </c>
      <c r="F2643" s="77">
        <v>6.0000000000000001E-3</v>
      </c>
      <c r="G2643" s="78">
        <v>0</v>
      </c>
      <c r="H2643" s="71">
        <v>8.1999999999999993</v>
      </c>
      <c r="I2643" s="71">
        <v>10.9</v>
      </c>
      <c r="J2643" s="71">
        <v>13.5</v>
      </c>
      <c r="K2643" s="106">
        <v>1.6000000000000001E-3</v>
      </c>
      <c r="L2643" s="80">
        <v>-1.2E-2</v>
      </c>
      <c r="M2643" s="75" t="s">
        <v>143</v>
      </c>
      <c r="N2643" s="75" t="b">
        <v>1</v>
      </c>
      <c r="O2643" s="75" t="s">
        <v>144</v>
      </c>
      <c r="P2643" s="75">
        <v>1994</v>
      </c>
      <c r="Q2643" s="107">
        <f t="shared" si="74"/>
        <v>2015</v>
      </c>
      <c r="R2643" s="107">
        <v>2</v>
      </c>
      <c r="S2643" s="100">
        <v>215001</v>
      </c>
      <c r="T2643" s="101">
        <v>42027</v>
      </c>
    </row>
    <row r="2644" spans="1:21" x14ac:dyDescent="0.3">
      <c r="A2644" s="42">
        <v>42092</v>
      </c>
      <c r="B2644" s="69">
        <f>YEAR(A2644)*10000+MONTH(A2644)*100+DAY(A2644)</f>
        <v>20150329</v>
      </c>
      <c r="C2644" s="109">
        <v>1.8200000000000001E-2</v>
      </c>
      <c r="D2644" s="77">
        <v>0</v>
      </c>
      <c r="E2644" s="77">
        <v>3.0000000000000001E-3</v>
      </c>
      <c r="F2644" s="77">
        <v>6.0000000000000001E-3</v>
      </c>
      <c r="G2644" s="78">
        <v>0</v>
      </c>
      <c r="H2644" s="71">
        <v>8.1999999999999993</v>
      </c>
      <c r="I2644" s="71">
        <v>10.9</v>
      </c>
      <c r="J2644" s="71">
        <v>13.5</v>
      </c>
      <c r="K2644" s="106">
        <v>1.6000000000000001E-3</v>
      </c>
      <c r="L2644" s="80">
        <v>-1.2E-2</v>
      </c>
      <c r="M2644" s="75" t="s">
        <v>143</v>
      </c>
      <c r="N2644" s="75" t="b">
        <v>1</v>
      </c>
      <c r="O2644" s="75" t="s">
        <v>144</v>
      </c>
      <c r="P2644" s="75">
        <v>1994</v>
      </c>
      <c r="Q2644" s="107">
        <f t="shared" si="74"/>
        <v>2015</v>
      </c>
      <c r="R2644" s="107">
        <v>2</v>
      </c>
      <c r="S2644" s="100">
        <v>215001</v>
      </c>
      <c r="T2644" s="101">
        <v>42027</v>
      </c>
    </row>
    <row r="2645" spans="1:21" x14ac:dyDescent="0.3">
      <c r="A2645" s="42">
        <v>42093</v>
      </c>
      <c r="B2645" s="69">
        <f>YEAR(A2645)*10000+MONTH(A2645)*100+DAY(A2645)</f>
        <v>20150330</v>
      </c>
      <c r="C2645" s="80">
        <v>1.8200000000000001E-2</v>
      </c>
      <c r="D2645" s="77">
        <v>0</v>
      </c>
      <c r="E2645" s="77">
        <v>3.0000000000000001E-3</v>
      </c>
      <c r="F2645" s="77">
        <v>6.0000000000000001E-3</v>
      </c>
      <c r="G2645" s="78">
        <v>0</v>
      </c>
      <c r="H2645" s="71">
        <v>8.1999999999999993</v>
      </c>
      <c r="I2645" s="71">
        <v>10.9</v>
      </c>
      <c r="J2645" s="71">
        <v>13.5</v>
      </c>
      <c r="K2645" s="106">
        <v>1.6000000000000001E-3</v>
      </c>
      <c r="L2645" s="80">
        <v>-1.2E-2</v>
      </c>
      <c r="M2645" s="75" t="s">
        <v>143</v>
      </c>
      <c r="N2645" s="75" t="b">
        <v>1</v>
      </c>
      <c r="O2645" s="75" t="s">
        <v>144</v>
      </c>
      <c r="P2645" s="75">
        <v>1994</v>
      </c>
      <c r="Q2645" s="107">
        <f t="shared" si="74"/>
        <v>2015</v>
      </c>
      <c r="R2645" s="107">
        <v>2</v>
      </c>
      <c r="S2645" s="100">
        <v>215001</v>
      </c>
      <c r="T2645" s="101">
        <v>42027</v>
      </c>
    </row>
    <row r="2646" spans="1:21" s="99" customFormat="1" x14ac:dyDescent="0.3">
      <c r="A2646" s="85">
        <v>42094</v>
      </c>
      <c r="B2646" s="86">
        <f>YEAR(A2646)*10000+MONTH(A2646)*100+DAY(A2646)</f>
        <v>20150331</v>
      </c>
      <c r="C2646" s="87">
        <v>1.8100000000000002E-2</v>
      </c>
      <c r="D2646" s="108">
        <v>0</v>
      </c>
      <c r="E2646" s="108">
        <v>3.0000000000000001E-3</v>
      </c>
      <c r="F2646" s="108">
        <v>6.0000000000000001E-3</v>
      </c>
      <c r="G2646" s="103">
        <v>0</v>
      </c>
      <c r="H2646" s="119">
        <v>8.5</v>
      </c>
      <c r="I2646" s="119">
        <v>11.3</v>
      </c>
      <c r="J2646" s="119">
        <v>14</v>
      </c>
      <c r="K2646" s="92">
        <v>1.9E-3</v>
      </c>
      <c r="L2646" s="92">
        <v>-1.2E-2</v>
      </c>
      <c r="M2646" s="98" t="s">
        <v>143</v>
      </c>
      <c r="N2646" s="98" t="b">
        <v>1</v>
      </c>
      <c r="O2646" s="98" t="s">
        <v>144</v>
      </c>
      <c r="P2646" s="98">
        <v>1994</v>
      </c>
      <c r="Q2646" s="105">
        <f t="shared" si="74"/>
        <v>2015</v>
      </c>
      <c r="R2646" s="105">
        <v>2</v>
      </c>
      <c r="S2646" s="93">
        <v>215032</v>
      </c>
      <c r="T2646" s="94">
        <v>42129</v>
      </c>
      <c r="U2646" s="95" t="s">
        <v>176</v>
      </c>
    </row>
    <row r="2647" spans="1:21" x14ac:dyDescent="0.3">
      <c r="A2647" s="42">
        <v>42095</v>
      </c>
      <c r="B2647" s="69">
        <f>YEAR(A2647)*10000+MONTH(A2647)*100+DAY(A2647)</f>
        <v>20150401</v>
      </c>
      <c r="C2647" s="109">
        <v>1.77E-2</v>
      </c>
      <c r="D2647" s="77">
        <v>0</v>
      </c>
      <c r="E2647" s="77">
        <v>3.0000000000000001E-3</v>
      </c>
      <c r="F2647" s="77">
        <v>6.0000000000000001E-3</v>
      </c>
      <c r="G2647" s="78">
        <v>0</v>
      </c>
      <c r="H2647" s="71">
        <v>8.5</v>
      </c>
      <c r="I2647" s="71">
        <v>11.3</v>
      </c>
      <c r="J2647" s="71">
        <v>14</v>
      </c>
      <c r="K2647" s="106">
        <v>1.5E-3</v>
      </c>
      <c r="L2647" s="80">
        <v>-1.2E-2</v>
      </c>
      <c r="M2647" s="75" t="s">
        <v>143</v>
      </c>
      <c r="N2647" s="75" t="b">
        <v>1</v>
      </c>
      <c r="O2647" s="75" t="s">
        <v>144</v>
      </c>
      <c r="P2647" s="75">
        <v>1994</v>
      </c>
      <c r="Q2647" s="107">
        <f t="shared" si="74"/>
        <v>2015</v>
      </c>
      <c r="R2647" s="107">
        <v>2</v>
      </c>
      <c r="S2647" s="100">
        <v>215032</v>
      </c>
      <c r="T2647" s="101">
        <v>42129</v>
      </c>
    </row>
    <row r="2648" spans="1:21" x14ac:dyDescent="0.3">
      <c r="A2648" s="42">
        <v>42096</v>
      </c>
      <c r="B2648" s="69">
        <f t="shared" ref="B2648:B2704" si="75">YEAR(A2648)*10000+MONTH(A2648)*100+DAY(A2648)</f>
        <v>20150402</v>
      </c>
      <c r="C2648" s="109">
        <v>1.78E-2</v>
      </c>
      <c r="D2648" s="77">
        <v>0</v>
      </c>
      <c r="E2648" s="77">
        <v>3.0000000000000001E-3</v>
      </c>
      <c r="F2648" s="77">
        <v>6.0000000000000001E-3</v>
      </c>
      <c r="G2648" s="78">
        <v>0</v>
      </c>
      <c r="H2648" s="71">
        <v>8.5</v>
      </c>
      <c r="I2648" s="71">
        <v>11.3</v>
      </c>
      <c r="J2648" s="71">
        <v>14</v>
      </c>
      <c r="K2648" s="106">
        <v>1.4000000000000002E-3</v>
      </c>
      <c r="L2648" s="80">
        <v>-1.2E-2</v>
      </c>
      <c r="M2648" s="75" t="s">
        <v>143</v>
      </c>
      <c r="N2648" s="75" t="b">
        <v>1</v>
      </c>
      <c r="O2648" s="75" t="s">
        <v>144</v>
      </c>
      <c r="P2648" s="75">
        <v>1994</v>
      </c>
      <c r="Q2648" s="107">
        <f t="shared" si="74"/>
        <v>2015</v>
      </c>
      <c r="R2648" s="107">
        <v>2</v>
      </c>
      <c r="S2648" s="100">
        <v>215032</v>
      </c>
      <c r="T2648" s="101">
        <v>42129</v>
      </c>
    </row>
    <row r="2649" spans="1:21" x14ac:dyDescent="0.3">
      <c r="A2649" s="42">
        <v>42097</v>
      </c>
      <c r="B2649" s="69">
        <f t="shared" si="75"/>
        <v>20150403</v>
      </c>
      <c r="C2649" s="109">
        <v>1.78E-2</v>
      </c>
      <c r="D2649" s="77">
        <v>0</v>
      </c>
      <c r="E2649" s="77">
        <v>3.0000000000000001E-3</v>
      </c>
      <c r="F2649" s="77">
        <v>6.0000000000000001E-3</v>
      </c>
      <c r="G2649" s="78">
        <v>0</v>
      </c>
      <c r="H2649" s="71">
        <v>8.5</v>
      </c>
      <c r="I2649" s="71">
        <v>11.3</v>
      </c>
      <c r="J2649" s="71">
        <v>14</v>
      </c>
      <c r="K2649" s="106">
        <v>1.4000000000000002E-3</v>
      </c>
      <c r="L2649" s="80">
        <v>-1.2E-2</v>
      </c>
      <c r="M2649" s="75" t="s">
        <v>143</v>
      </c>
      <c r="N2649" s="75" t="b">
        <v>1</v>
      </c>
      <c r="O2649" s="75" t="s">
        <v>144</v>
      </c>
      <c r="P2649" s="75">
        <v>1994</v>
      </c>
      <c r="Q2649" s="107">
        <f t="shared" si="74"/>
        <v>2015</v>
      </c>
      <c r="R2649" s="107">
        <v>2</v>
      </c>
      <c r="S2649" s="100">
        <v>215032</v>
      </c>
      <c r="T2649" s="101">
        <v>42129</v>
      </c>
    </row>
    <row r="2650" spans="1:21" x14ac:dyDescent="0.3">
      <c r="A2650" s="42">
        <v>42098</v>
      </c>
      <c r="B2650" s="69">
        <f t="shared" si="75"/>
        <v>20150404</v>
      </c>
      <c r="C2650" s="109">
        <v>1.78E-2</v>
      </c>
      <c r="D2650" s="77">
        <v>0</v>
      </c>
      <c r="E2650" s="77">
        <v>3.0000000000000001E-3</v>
      </c>
      <c r="F2650" s="77">
        <v>6.0000000000000001E-3</v>
      </c>
      <c r="G2650" s="78">
        <v>0</v>
      </c>
      <c r="H2650" s="71">
        <v>8.5</v>
      </c>
      <c r="I2650" s="71">
        <v>11.3</v>
      </c>
      <c r="J2650" s="71">
        <v>14</v>
      </c>
      <c r="K2650" s="106">
        <v>1.4000000000000002E-3</v>
      </c>
      <c r="L2650" s="80">
        <v>-1.2E-2</v>
      </c>
      <c r="M2650" s="75" t="s">
        <v>143</v>
      </c>
      <c r="N2650" s="75" t="b">
        <v>1</v>
      </c>
      <c r="O2650" s="75" t="s">
        <v>144</v>
      </c>
      <c r="P2650" s="75">
        <v>1994</v>
      </c>
      <c r="Q2650" s="107">
        <f t="shared" si="74"/>
        <v>2015</v>
      </c>
      <c r="R2650" s="107">
        <v>2</v>
      </c>
      <c r="S2650" s="100">
        <v>215032</v>
      </c>
      <c r="T2650" s="101">
        <v>42129</v>
      </c>
    </row>
    <row r="2651" spans="1:21" x14ac:dyDescent="0.3">
      <c r="A2651" s="42">
        <v>42099</v>
      </c>
      <c r="B2651" s="69">
        <f t="shared" si="75"/>
        <v>20150405</v>
      </c>
      <c r="C2651" s="109">
        <v>1.78E-2</v>
      </c>
      <c r="D2651" s="77">
        <v>0</v>
      </c>
      <c r="E2651" s="77">
        <v>3.0000000000000001E-3</v>
      </c>
      <c r="F2651" s="77">
        <v>6.0000000000000001E-3</v>
      </c>
      <c r="G2651" s="78">
        <v>0</v>
      </c>
      <c r="H2651" s="71">
        <v>8.5</v>
      </c>
      <c r="I2651" s="71">
        <v>11.3</v>
      </c>
      <c r="J2651" s="71">
        <v>14</v>
      </c>
      <c r="K2651" s="106">
        <v>1.4000000000000002E-3</v>
      </c>
      <c r="L2651" s="80">
        <v>-1.2E-2</v>
      </c>
      <c r="M2651" s="75" t="s">
        <v>143</v>
      </c>
      <c r="N2651" s="75" t="b">
        <v>1</v>
      </c>
      <c r="O2651" s="75" t="s">
        <v>144</v>
      </c>
      <c r="P2651" s="75">
        <v>1994</v>
      </c>
      <c r="Q2651" s="107">
        <f t="shared" si="74"/>
        <v>2015</v>
      </c>
      <c r="R2651" s="107">
        <v>2</v>
      </c>
      <c r="S2651" s="100">
        <v>215032</v>
      </c>
      <c r="T2651" s="101">
        <v>42129</v>
      </c>
    </row>
    <row r="2652" spans="1:21" x14ac:dyDescent="0.3">
      <c r="A2652" s="42">
        <v>42100</v>
      </c>
      <c r="B2652" s="69">
        <f t="shared" si="75"/>
        <v>20150406</v>
      </c>
      <c r="C2652" s="109">
        <v>1.8200000000000001E-2</v>
      </c>
      <c r="D2652" s="77">
        <v>0</v>
      </c>
      <c r="E2652" s="77">
        <v>3.0000000000000001E-3</v>
      </c>
      <c r="F2652" s="77">
        <v>6.0000000000000001E-3</v>
      </c>
      <c r="G2652" s="78">
        <v>0</v>
      </c>
      <c r="H2652" s="71">
        <v>8.5</v>
      </c>
      <c r="I2652" s="71">
        <v>11.3</v>
      </c>
      <c r="J2652" s="71">
        <v>14</v>
      </c>
      <c r="K2652" s="106">
        <v>1.7000000000000001E-3</v>
      </c>
      <c r="L2652" s="80">
        <v>-1.2E-2</v>
      </c>
      <c r="M2652" s="75" t="s">
        <v>143</v>
      </c>
      <c r="N2652" s="75" t="b">
        <v>1</v>
      </c>
      <c r="O2652" s="75" t="s">
        <v>144</v>
      </c>
      <c r="P2652" s="75">
        <v>1994</v>
      </c>
      <c r="Q2652" s="107">
        <f t="shared" si="74"/>
        <v>2015</v>
      </c>
      <c r="R2652" s="107">
        <v>2</v>
      </c>
      <c r="S2652" s="100">
        <v>215032</v>
      </c>
      <c r="T2652" s="101">
        <v>42129</v>
      </c>
    </row>
    <row r="2653" spans="1:21" x14ac:dyDescent="0.3">
      <c r="A2653" s="42">
        <v>42101</v>
      </c>
      <c r="B2653" s="69">
        <f t="shared" si="75"/>
        <v>20150407</v>
      </c>
      <c r="C2653" s="109">
        <v>1.8100000000000002E-2</v>
      </c>
      <c r="D2653" s="77">
        <v>0</v>
      </c>
      <c r="E2653" s="77">
        <v>3.0000000000000001E-3</v>
      </c>
      <c r="F2653" s="77">
        <v>6.0000000000000001E-3</v>
      </c>
      <c r="G2653" s="78">
        <v>0</v>
      </c>
      <c r="H2653" s="71">
        <v>8.5</v>
      </c>
      <c r="I2653" s="71">
        <v>11.3</v>
      </c>
      <c r="J2653" s="71">
        <v>14</v>
      </c>
      <c r="K2653" s="106">
        <v>1.9E-3</v>
      </c>
      <c r="L2653" s="80">
        <v>-1.2E-2</v>
      </c>
      <c r="M2653" s="75" t="s">
        <v>143</v>
      </c>
      <c r="N2653" s="75" t="b">
        <v>1</v>
      </c>
      <c r="O2653" s="75" t="s">
        <v>144</v>
      </c>
      <c r="P2653" s="75">
        <v>1994</v>
      </c>
      <c r="Q2653" s="107">
        <f t="shared" si="74"/>
        <v>2015</v>
      </c>
      <c r="R2653" s="107">
        <v>2</v>
      </c>
      <c r="S2653" s="100">
        <v>215032</v>
      </c>
      <c r="T2653" s="101">
        <v>42129</v>
      </c>
    </row>
    <row r="2654" spans="1:21" x14ac:dyDescent="0.3">
      <c r="A2654" s="42">
        <v>42102</v>
      </c>
      <c r="B2654" s="69">
        <f t="shared" si="75"/>
        <v>20150408</v>
      </c>
      <c r="C2654" s="109">
        <v>1.8000000000000002E-2</v>
      </c>
      <c r="D2654" s="77">
        <v>0</v>
      </c>
      <c r="E2654" s="77">
        <v>3.0000000000000001E-3</v>
      </c>
      <c r="F2654" s="77">
        <v>6.0000000000000001E-3</v>
      </c>
      <c r="G2654" s="78">
        <v>0</v>
      </c>
      <c r="H2654" s="71">
        <v>8.5</v>
      </c>
      <c r="I2654" s="71">
        <v>11.3</v>
      </c>
      <c r="J2654" s="71">
        <v>14</v>
      </c>
      <c r="K2654" s="106">
        <v>1.9E-3</v>
      </c>
      <c r="L2654" s="80">
        <v>-1.2E-2</v>
      </c>
      <c r="M2654" s="75" t="s">
        <v>143</v>
      </c>
      <c r="N2654" s="75" t="b">
        <v>1</v>
      </c>
      <c r="O2654" s="75" t="s">
        <v>144</v>
      </c>
      <c r="P2654" s="75">
        <v>1994</v>
      </c>
      <c r="Q2654" s="107">
        <f t="shared" si="74"/>
        <v>2015</v>
      </c>
      <c r="R2654" s="107">
        <v>2</v>
      </c>
      <c r="S2654" s="100">
        <v>215032</v>
      </c>
      <c r="T2654" s="101">
        <v>42129</v>
      </c>
    </row>
    <row r="2655" spans="1:21" x14ac:dyDescent="0.3">
      <c r="A2655" s="42">
        <v>42103</v>
      </c>
      <c r="B2655" s="69">
        <f t="shared" si="75"/>
        <v>20150409</v>
      </c>
      <c r="C2655" s="109">
        <v>1.84E-2</v>
      </c>
      <c r="D2655" s="77">
        <v>0</v>
      </c>
      <c r="E2655" s="77">
        <v>3.0000000000000001E-3</v>
      </c>
      <c r="F2655" s="77">
        <v>6.0000000000000001E-3</v>
      </c>
      <c r="G2655" s="78">
        <v>0</v>
      </c>
      <c r="H2655" s="71">
        <v>8.5</v>
      </c>
      <c r="I2655" s="71">
        <v>11.3</v>
      </c>
      <c r="J2655" s="71">
        <v>14</v>
      </c>
      <c r="K2655" s="106">
        <v>2.3999999999999998E-3</v>
      </c>
      <c r="L2655" s="80">
        <v>-1.2E-2</v>
      </c>
      <c r="M2655" s="75" t="s">
        <v>143</v>
      </c>
      <c r="N2655" s="75" t="b">
        <v>1</v>
      </c>
      <c r="O2655" s="75" t="s">
        <v>144</v>
      </c>
      <c r="P2655" s="75">
        <v>1994</v>
      </c>
      <c r="Q2655" s="107">
        <f t="shared" si="74"/>
        <v>2015</v>
      </c>
      <c r="R2655" s="107">
        <v>2</v>
      </c>
      <c r="S2655" s="100">
        <v>215032</v>
      </c>
      <c r="T2655" s="101">
        <v>42129</v>
      </c>
    </row>
    <row r="2656" spans="1:21" x14ac:dyDescent="0.3">
      <c r="A2656" s="42">
        <v>42104</v>
      </c>
      <c r="B2656" s="69">
        <f t="shared" si="75"/>
        <v>20150410</v>
      </c>
      <c r="C2656" s="109">
        <v>1.8500000000000003E-2</v>
      </c>
      <c r="D2656" s="77">
        <v>0</v>
      </c>
      <c r="E2656" s="77">
        <v>3.0000000000000001E-3</v>
      </c>
      <c r="F2656" s="77">
        <v>6.0000000000000001E-3</v>
      </c>
      <c r="G2656" s="78">
        <v>0</v>
      </c>
      <c r="H2656" s="71">
        <v>8.5</v>
      </c>
      <c r="I2656" s="71">
        <v>11.3</v>
      </c>
      <c r="J2656" s="71">
        <v>14</v>
      </c>
      <c r="K2656" s="106">
        <v>2.3999999999999998E-3</v>
      </c>
      <c r="L2656" s="80">
        <v>-1.2E-2</v>
      </c>
      <c r="M2656" s="75" t="s">
        <v>143</v>
      </c>
      <c r="N2656" s="75" t="b">
        <v>1</v>
      </c>
      <c r="O2656" s="75" t="s">
        <v>144</v>
      </c>
      <c r="P2656" s="75">
        <v>1994</v>
      </c>
      <c r="Q2656" s="107">
        <f t="shared" si="74"/>
        <v>2015</v>
      </c>
      <c r="R2656" s="107">
        <v>2</v>
      </c>
      <c r="S2656" s="100">
        <v>215032</v>
      </c>
      <c r="T2656" s="101">
        <v>42129</v>
      </c>
    </row>
    <row r="2657" spans="1:20" x14ac:dyDescent="0.3">
      <c r="A2657" s="42">
        <v>42105</v>
      </c>
      <c r="B2657" s="69">
        <f t="shared" si="75"/>
        <v>20150411</v>
      </c>
      <c r="C2657" s="109">
        <v>1.8500000000000003E-2</v>
      </c>
      <c r="D2657" s="77">
        <v>0</v>
      </c>
      <c r="E2657" s="77">
        <v>3.0000000000000001E-3</v>
      </c>
      <c r="F2657" s="77">
        <v>6.0000000000000001E-3</v>
      </c>
      <c r="G2657" s="78">
        <v>0</v>
      </c>
      <c r="H2657" s="71">
        <v>8.5</v>
      </c>
      <c r="I2657" s="71">
        <v>11.3</v>
      </c>
      <c r="J2657" s="71">
        <v>14</v>
      </c>
      <c r="K2657" s="106">
        <v>2.3999999999999998E-3</v>
      </c>
      <c r="L2657" s="80">
        <v>-1.2E-2</v>
      </c>
      <c r="M2657" s="75" t="s">
        <v>143</v>
      </c>
      <c r="N2657" s="75" t="b">
        <v>1</v>
      </c>
      <c r="O2657" s="75" t="s">
        <v>144</v>
      </c>
      <c r="P2657" s="75">
        <v>1994</v>
      </c>
      <c r="Q2657" s="107">
        <f t="shared" si="74"/>
        <v>2015</v>
      </c>
      <c r="R2657" s="107">
        <v>2</v>
      </c>
      <c r="S2657" s="100">
        <v>215032</v>
      </c>
      <c r="T2657" s="101">
        <v>42129</v>
      </c>
    </row>
    <row r="2658" spans="1:20" x14ac:dyDescent="0.3">
      <c r="A2658" s="42">
        <v>42106</v>
      </c>
      <c r="B2658" s="69">
        <f t="shared" si="75"/>
        <v>20150412</v>
      </c>
      <c r="C2658" s="109">
        <v>1.8500000000000003E-2</v>
      </c>
      <c r="D2658" s="77">
        <v>0</v>
      </c>
      <c r="E2658" s="77">
        <v>3.0000000000000001E-3</v>
      </c>
      <c r="F2658" s="77">
        <v>6.0000000000000001E-3</v>
      </c>
      <c r="G2658" s="78">
        <v>0</v>
      </c>
      <c r="H2658" s="71">
        <v>8.5</v>
      </c>
      <c r="I2658" s="71">
        <v>11.3</v>
      </c>
      <c r="J2658" s="71">
        <v>14</v>
      </c>
      <c r="K2658" s="106">
        <v>2.3999999999999998E-3</v>
      </c>
      <c r="L2658" s="80">
        <v>-1.2E-2</v>
      </c>
      <c r="M2658" s="75" t="s">
        <v>143</v>
      </c>
      <c r="N2658" s="75" t="b">
        <v>1</v>
      </c>
      <c r="O2658" s="75" t="s">
        <v>144</v>
      </c>
      <c r="P2658" s="75">
        <v>1994</v>
      </c>
      <c r="Q2658" s="107">
        <f t="shared" si="74"/>
        <v>2015</v>
      </c>
      <c r="R2658" s="107">
        <v>2</v>
      </c>
      <c r="S2658" s="100">
        <v>215032</v>
      </c>
      <c r="T2658" s="101">
        <v>42129</v>
      </c>
    </row>
    <row r="2659" spans="1:20" x14ac:dyDescent="0.3">
      <c r="A2659" s="42">
        <v>42107</v>
      </c>
      <c r="B2659" s="69">
        <f t="shared" si="75"/>
        <v>20150413</v>
      </c>
      <c r="C2659" s="109">
        <v>1.84E-2</v>
      </c>
      <c r="D2659" s="77">
        <v>0</v>
      </c>
      <c r="E2659" s="77">
        <v>3.0000000000000001E-3</v>
      </c>
      <c r="F2659" s="77">
        <v>6.0000000000000001E-3</v>
      </c>
      <c r="G2659" s="78">
        <v>0</v>
      </c>
      <c r="H2659" s="71">
        <v>8.5</v>
      </c>
      <c r="I2659" s="71">
        <v>11.3</v>
      </c>
      <c r="J2659" s="71">
        <v>14</v>
      </c>
      <c r="K2659" s="106">
        <v>2.3E-3</v>
      </c>
      <c r="L2659" s="80">
        <v>-1.2E-2</v>
      </c>
      <c r="M2659" s="75" t="s">
        <v>143</v>
      </c>
      <c r="N2659" s="75" t="b">
        <v>1</v>
      </c>
      <c r="O2659" s="75" t="s">
        <v>144</v>
      </c>
      <c r="P2659" s="75">
        <v>1994</v>
      </c>
      <c r="Q2659" s="107">
        <f t="shared" si="74"/>
        <v>2015</v>
      </c>
      <c r="R2659" s="107">
        <v>2</v>
      </c>
      <c r="S2659" s="100">
        <v>215032</v>
      </c>
      <c r="T2659" s="101">
        <v>42129</v>
      </c>
    </row>
    <row r="2660" spans="1:20" x14ac:dyDescent="0.3">
      <c r="A2660" s="42">
        <v>42108</v>
      </c>
      <c r="B2660" s="69">
        <f t="shared" si="75"/>
        <v>20150414</v>
      </c>
      <c r="C2660" s="109">
        <v>1.7899999999999999E-2</v>
      </c>
      <c r="D2660" s="77">
        <v>0</v>
      </c>
      <c r="E2660" s="77">
        <v>3.0000000000000001E-3</v>
      </c>
      <c r="F2660" s="77">
        <v>6.0000000000000001E-3</v>
      </c>
      <c r="G2660" s="78">
        <v>0</v>
      </c>
      <c r="H2660" s="71">
        <v>8.5</v>
      </c>
      <c r="I2660" s="71">
        <v>11.3</v>
      </c>
      <c r="J2660" s="71">
        <v>14</v>
      </c>
      <c r="K2660" s="106">
        <v>2E-3</v>
      </c>
      <c r="L2660" s="80">
        <v>-1.2E-2</v>
      </c>
      <c r="M2660" s="75" t="s">
        <v>143</v>
      </c>
      <c r="N2660" s="75" t="b">
        <v>1</v>
      </c>
      <c r="O2660" s="75" t="s">
        <v>144</v>
      </c>
      <c r="P2660" s="75">
        <v>1994</v>
      </c>
      <c r="Q2660" s="107">
        <f t="shared" si="74"/>
        <v>2015</v>
      </c>
      <c r="R2660" s="107">
        <v>2</v>
      </c>
      <c r="S2660" s="100">
        <v>215032</v>
      </c>
      <c r="T2660" s="101">
        <v>42129</v>
      </c>
    </row>
    <row r="2661" spans="1:20" x14ac:dyDescent="0.3">
      <c r="A2661" s="42">
        <v>42109</v>
      </c>
      <c r="B2661" s="69">
        <f t="shared" si="75"/>
        <v>20150415</v>
      </c>
      <c r="C2661" s="109">
        <v>1.8100000000000002E-2</v>
      </c>
      <c r="D2661" s="77">
        <v>0</v>
      </c>
      <c r="E2661" s="77">
        <v>3.0000000000000001E-3</v>
      </c>
      <c r="F2661" s="77">
        <v>6.0000000000000001E-3</v>
      </c>
      <c r="G2661" s="78">
        <v>0</v>
      </c>
      <c r="H2661" s="71">
        <v>8.5</v>
      </c>
      <c r="I2661" s="71">
        <v>11.3</v>
      </c>
      <c r="J2661" s="71">
        <v>14</v>
      </c>
      <c r="K2661" s="106">
        <v>2E-3</v>
      </c>
      <c r="L2661" s="80">
        <v>-1.2E-2</v>
      </c>
      <c r="M2661" s="75" t="s">
        <v>143</v>
      </c>
      <c r="N2661" s="75" t="b">
        <v>1</v>
      </c>
      <c r="O2661" s="75" t="s">
        <v>144</v>
      </c>
      <c r="P2661" s="75">
        <v>1994</v>
      </c>
      <c r="Q2661" s="107">
        <f t="shared" si="74"/>
        <v>2015</v>
      </c>
      <c r="R2661" s="107">
        <v>2</v>
      </c>
      <c r="S2661" s="100">
        <v>215032</v>
      </c>
      <c r="T2661" s="101">
        <v>42129</v>
      </c>
    </row>
    <row r="2662" spans="1:20" x14ac:dyDescent="0.3">
      <c r="A2662" s="42">
        <v>42110</v>
      </c>
      <c r="B2662" s="69">
        <f t="shared" si="75"/>
        <v>20150416</v>
      </c>
      <c r="C2662" s="109">
        <v>1.84E-2</v>
      </c>
      <c r="D2662" s="77">
        <v>0</v>
      </c>
      <c r="E2662" s="77">
        <v>3.0000000000000001E-3</v>
      </c>
      <c r="F2662" s="77">
        <v>6.0000000000000001E-3</v>
      </c>
      <c r="G2662" s="78">
        <v>0</v>
      </c>
      <c r="H2662" s="71">
        <v>8.5</v>
      </c>
      <c r="I2662" s="71">
        <v>11.3</v>
      </c>
      <c r="J2662" s="71">
        <v>14</v>
      </c>
      <c r="K2662" s="106">
        <v>2.3E-3</v>
      </c>
      <c r="L2662" s="80">
        <v>-1.2E-2</v>
      </c>
      <c r="M2662" s="75" t="s">
        <v>143</v>
      </c>
      <c r="N2662" s="75" t="b">
        <v>1</v>
      </c>
      <c r="O2662" s="75" t="s">
        <v>144</v>
      </c>
      <c r="P2662" s="75">
        <v>1994</v>
      </c>
      <c r="Q2662" s="107">
        <f t="shared" si="74"/>
        <v>2015</v>
      </c>
      <c r="R2662" s="107">
        <v>2</v>
      </c>
      <c r="S2662" s="100">
        <v>215032</v>
      </c>
      <c r="T2662" s="101">
        <v>42129</v>
      </c>
    </row>
    <row r="2663" spans="1:20" x14ac:dyDescent="0.3">
      <c r="A2663" s="42">
        <v>42111</v>
      </c>
      <c r="B2663" s="69">
        <f t="shared" si="75"/>
        <v>20150417</v>
      </c>
      <c r="C2663" s="109">
        <v>1.8500000000000003E-2</v>
      </c>
      <c r="D2663" s="77">
        <v>0</v>
      </c>
      <c r="E2663" s="77">
        <v>3.0000000000000001E-3</v>
      </c>
      <c r="F2663" s="77">
        <v>6.0000000000000001E-3</v>
      </c>
      <c r="G2663" s="78">
        <v>0</v>
      </c>
      <c r="H2663" s="71">
        <v>8.5</v>
      </c>
      <c r="I2663" s="71">
        <v>11.3</v>
      </c>
      <c r="J2663" s="71">
        <v>14</v>
      </c>
      <c r="K2663" s="106">
        <v>2E-3</v>
      </c>
      <c r="L2663" s="80">
        <v>-1.2E-2</v>
      </c>
      <c r="M2663" s="75" t="s">
        <v>143</v>
      </c>
      <c r="N2663" s="75" t="b">
        <v>1</v>
      </c>
      <c r="O2663" s="75" t="s">
        <v>144</v>
      </c>
      <c r="P2663" s="75">
        <v>1994</v>
      </c>
      <c r="Q2663" s="107">
        <f t="shared" si="74"/>
        <v>2015</v>
      </c>
      <c r="R2663" s="107">
        <v>2</v>
      </c>
      <c r="S2663" s="100">
        <v>215032</v>
      </c>
      <c r="T2663" s="101">
        <v>42129</v>
      </c>
    </row>
    <row r="2664" spans="1:20" x14ac:dyDescent="0.3">
      <c r="A2664" s="42">
        <v>42112</v>
      </c>
      <c r="B2664" s="69">
        <f t="shared" si="75"/>
        <v>20150418</v>
      </c>
      <c r="C2664" s="109">
        <v>1.8500000000000003E-2</v>
      </c>
      <c r="D2664" s="77">
        <v>0</v>
      </c>
      <c r="E2664" s="77">
        <v>3.0000000000000001E-3</v>
      </c>
      <c r="F2664" s="77">
        <v>6.0000000000000001E-3</v>
      </c>
      <c r="G2664" s="78">
        <v>0</v>
      </c>
      <c r="H2664" s="71">
        <v>8.5</v>
      </c>
      <c r="I2664" s="71">
        <v>11.3</v>
      </c>
      <c r="J2664" s="71">
        <v>14</v>
      </c>
      <c r="K2664" s="106">
        <v>2E-3</v>
      </c>
      <c r="L2664" s="80">
        <v>-1.2E-2</v>
      </c>
      <c r="M2664" s="75" t="s">
        <v>143</v>
      </c>
      <c r="N2664" s="75" t="b">
        <v>1</v>
      </c>
      <c r="O2664" s="75" t="s">
        <v>144</v>
      </c>
      <c r="P2664" s="75">
        <v>1994</v>
      </c>
      <c r="Q2664" s="107">
        <f t="shared" si="74"/>
        <v>2015</v>
      </c>
      <c r="R2664" s="107">
        <v>2</v>
      </c>
      <c r="S2664" s="100">
        <v>215032</v>
      </c>
      <c r="T2664" s="101">
        <v>42129</v>
      </c>
    </row>
    <row r="2665" spans="1:20" x14ac:dyDescent="0.3">
      <c r="A2665" s="42">
        <v>42113</v>
      </c>
      <c r="B2665" s="69">
        <f t="shared" si="75"/>
        <v>20150419</v>
      </c>
      <c r="C2665" s="109">
        <v>1.8500000000000003E-2</v>
      </c>
      <c r="D2665" s="77">
        <v>0</v>
      </c>
      <c r="E2665" s="77">
        <v>3.0000000000000001E-3</v>
      </c>
      <c r="F2665" s="77">
        <v>6.0000000000000001E-3</v>
      </c>
      <c r="G2665" s="78">
        <v>0</v>
      </c>
      <c r="H2665" s="71">
        <v>8.5</v>
      </c>
      <c r="I2665" s="71">
        <v>11.3</v>
      </c>
      <c r="J2665" s="71">
        <v>14</v>
      </c>
      <c r="K2665" s="106">
        <v>2E-3</v>
      </c>
      <c r="L2665" s="80">
        <v>-1.2E-2</v>
      </c>
      <c r="M2665" s="75" t="s">
        <v>143</v>
      </c>
      <c r="N2665" s="75" t="b">
        <v>1</v>
      </c>
      <c r="O2665" s="75" t="s">
        <v>144</v>
      </c>
      <c r="P2665" s="75">
        <v>1994</v>
      </c>
      <c r="Q2665" s="107">
        <f t="shared" si="74"/>
        <v>2015</v>
      </c>
      <c r="R2665" s="107">
        <v>2</v>
      </c>
      <c r="S2665" s="100">
        <v>215032</v>
      </c>
      <c r="T2665" s="101">
        <v>42129</v>
      </c>
    </row>
    <row r="2666" spans="1:20" x14ac:dyDescent="0.3">
      <c r="A2666" s="42">
        <v>42114</v>
      </c>
      <c r="B2666" s="69">
        <f t="shared" si="75"/>
        <v>20150420</v>
      </c>
      <c r="C2666" s="109">
        <v>1.8700000000000001E-2</v>
      </c>
      <c r="D2666" s="77">
        <v>0</v>
      </c>
      <c r="E2666" s="77">
        <v>3.0000000000000001E-3</v>
      </c>
      <c r="F2666" s="77">
        <v>6.0000000000000001E-3</v>
      </c>
      <c r="G2666" s="78">
        <v>0</v>
      </c>
      <c r="H2666" s="71">
        <v>8.5</v>
      </c>
      <c r="I2666" s="71">
        <v>11.3</v>
      </c>
      <c r="J2666" s="71">
        <v>14</v>
      </c>
      <c r="K2666" s="106">
        <v>2.0999999999999999E-3</v>
      </c>
      <c r="L2666" s="80">
        <v>-1.2E-2</v>
      </c>
      <c r="M2666" s="75" t="s">
        <v>143</v>
      </c>
      <c r="N2666" s="75" t="b">
        <v>1</v>
      </c>
      <c r="O2666" s="75" t="s">
        <v>144</v>
      </c>
      <c r="P2666" s="75">
        <v>1994</v>
      </c>
      <c r="Q2666" s="107">
        <f t="shared" si="74"/>
        <v>2015</v>
      </c>
      <c r="R2666" s="107">
        <v>2</v>
      </c>
      <c r="S2666" s="100">
        <v>215032</v>
      </c>
      <c r="T2666" s="101">
        <v>42129</v>
      </c>
    </row>
    <row r="2667" spans="1:20" x14ac:dyDescent="0.3">
      <c r="A2667" s="42">
        <v>42115</v>
      </c>
      <c r="B2667" s="69">
        <f t="shared" si="75"/>
        <v>20150421</v>
      </c>
      <c r="C2667" s="109">
        <v>1.8700000000000001E-2</v>
      </c>
      <c r="D2667" s="77">
        <v>0</v>
      </c>
      <c r="E2667" s="77">
        <v>3.0000000000000001E-3</v>
      </c>
      <c r="F2667" s="77">
        <v>6.0000000000000001E-3</v>
      </c>
      <c r="G2667" s="78">
        <v>0</v>
      </c>
      <c r="H2667" s="71">
        <v>8.5</v>
      </c>
      <c r="I2667" s="71">
        <v>11.3</v>
      </c>
      <c r="J2667" s="71">
        <v>14</v>
      </c>
      <c r="K2667" s="106">
        <v>2.3999999999999998E-3</v>
      </c>
      <c r="L2667" s="80">
        <v>-1.2E-2</v>
      </c>
      <c r="M2667" s="75" t="s">
        <v>143</v>
      </c>
      <c r="N2667" s="75" t="b">
        <v>1</v>
      </c>
      <c r="O2667" s="75" t="s">
        <v>144</v>
      </c>
      <c r="P2667" s="75">
        <v>1994</v>
      </c>
      <c r="Q2667" s="107">
        <f t="shared" si="74"/>
        <v>2015</v>
      </c>
      <c r="R2667" s="107">
        <v>2</v>
      </c>
      <c r="S2667" s="100">
        <v>215032</v>
      </c>
      <c r="T2667" s="101">
        <v>42129</v>
      </c>
    </row>
    <row r="2668" spans="1:20" x14ac:dyDescent="0.3">
      <c r="A2668" s="42">
        <v>42116</v>
      </c>
      <c r="B2668" s="69">
        <f t="shared" si="75"/>
        <v>20150422</v>
      </c>
      <c r="C2668" s="109">
        <v>1.9199999999999998E-2</v>
      </c>
      <c r="D2668" s="77">
        <v>0</v>
      </c>
      <c r="E2668" s="77">
        <v>3.0000000000000001E-3</v>
      </c>
      <c r="F2668" s="77">
        <v>6.0000000000000001E-3</v>
      </c>
      <c r="G2668" s="78">
        <v>0</v>
      </c>
      <c r="H2668" s="71">
        <v>8.5</v>
      </c>
      <c r="I2668" s="71">
        <v>11.3</v>
      </c>
      <c r="J2668" s="71">
        <v>14</v>
      </c>
      <c r="K2668" s="106">
        <v>2.8000000000000004E-3</v>
      </c>
      <c r="L2668" s="80">
        <v>-1.2E-2</v>
      </c>
      <c r="M2668" s="75" t="s">
        <v>143</v>
      </c>
      <c r="N2668" s="75" t="b">
        <v>1</v>
      </c>
      <c r="O2668" s="75" t="s">
        <v>144</v>
      </c>
      <c r="P2668" s="75">
        <v>1994</v>
      </c>
      <c r="Q2668" s="107">
        <f t="shared" si="74"/>
        <v>2015</v>
      </c>
      <c r="R2668" s="107">
        <v>2</v>
      </c>
      <c r="S2668" s="100">
        <v>215032</v>
      </c>
      <c r="T2668" s="101">
        <v>42129</v>
      </c>
    </row>
    <row r="2669" spans="1:20" x14ac:dyDescent="0.3">
      <c r="A2669" s="42">
        <v>42117</v>
      </c>
      <c r="B2669" s="69">
        <f t="shared" si="75"/>
        <v>20150423</v>
      </c>
      <c r="C2669" s="109">
        <v>1.9E-2</v>
      </c>
      <c r="D2669" s="77">
        <v>0</v>
      </c>
      <c r="E2669" s="77">
        <v>3.0000000000000001E-3</v>
      </c>
      <c r="F2669" s="77">
        <v>6.0000000000000001E-3</v>
      </c>
      <c r="G2669" s="78">
        <v>0</v>
      </c>
      <c r="H2669" s="71">
        <v>8.5</v>
      </c>
      <c r="I2669" s="71">
        <v>11.3</v>
      </c>
      <c r="J2669" s="71">
        <v>14</v>
      </c>
      <c r="K2669" s="106">
        <v>2.7000000000000001E-3</v>
      </c>
      <c r="L2669" s="80">
        <v>-1.2E-2</v>
      </c>
      <c r="M2669" s="75" t="s">
        <v>143</v>
      </c>
      <c r="N2669" s="75" t="b">
        <v>1</v>
      </c>
      <c r="O2669" s="75" t="s">
        <v>144</v>
      </c>
      <c r="P2669" s="75">
        <v>1994</v>
      </c>
      <c r="Q2669" s="107">
        <f t="shared" si="74"/>
        <v>2015</v>
      </c>
      <c r="R2669" s="107">
        <v>2</v>
      </c>
      <c r="S2669" s="100">
        <v>215032</v>
      </c>
      <c r="T2669" s="101">
        <v>42129</v>
      </c>
    </row>
    <row r="2670" spans="1:20" x14ac:dyDescent="0.3">
      <c r="A2670" s="42">
        <v>42118</v>
      </c>
      <c r="B2670" s="69">
        <f t="shared" si="75"/>
        <v>20150424</v>
      </c>
      <c r="C2670" s="109">
        <v>1.8700000000000001E-2</v>
      </c>
      <c r="D2670" s="77">
        <v>0</v>
      </c>
      <c r="E2670" s="77">
        <v>3.0000000000000001E-3</v>
      </c>
      <c r="F2670" s="77">
        <v>6.0000000000000001E-3</v>
      </c>
      <c r="G2670" s="78">
        <v>0</v>
      </c>
      <c r="H2670" s="71">
        <v>8.5</v>
      </c>
      <c r="I2670" s="71">
        <v>11.3</v>
      </c>
      <c r="J2670" s="71">
        <v>14</v>
      </c>
      <c r="K2670" s="106">
        <v>2.3999999999999998E-3</v>
      </c>
      <c r="L2670" s="80">
        <v>-1.2E-2</v>
      </c>
      <c r="M2670" s="75" t="s">
        <v>143</v>
      </c>
      <c r="N2670" s="75" t="b">
        <v>1</v>
      </c>
      <c r="O2670" s="75" t="s">
        <v>144</v>
      </c>
      <c r="P2670" s="75">
        <v>1994</v>
      </c>
      <c r="Q2670" s="107">
        <f t="shared" ref="Q2670:Q2733" si="76">YEAR(A2670)</f>
        <v>2015</v>
      </c>
      <c r="R2670" s="107">
        <v>2</v>
      </c>
      <c r="S2670" s="100">
        <v>215032</v>
      </c>
      <c r="T2670" s="101">
        <v>42129</v>
      </c>
    </row>
    <row r="2671" spans="1:20" x14ac:dyDescent="0.3">
      <c r="A2671" s="42">
        <v>42119</v>
      </c>
      <c r="B2671" s="69">
        <f t="shared" si="75"/>
        <v>20150425</v>
      </c>
      <c r="C2671" s="109">
        <v>1.8700000000000001E-2</v>
      </c>
      <c r="D2671" s="77">
        <v>0</v>
      </c>
      <c r="E2671" s="77">
        <v>3.0000000000000001E-3</v>
      </c>
      <c r="F2671" s="77">
        <v>6.0000000000000001E-3</v>
      </c>
      <c r="G2671" s="78">
        <v>0</v>
      </c>
      <c r="H2671" s="71">
        <v>8.5</v>
      </c>
      <c r="I2671" s="71">
        <v>11.3</v>
      </c>
      <c r="J2671" s="71">
        <v>14</v>
      </c>
      <c r="K2671" s="106">
        <v>2.3999999999999998E-3</v>
      </c>
      <c r="L2671" s="80">
        <v>-1.2E-2</v>
      </c>
      <c r="M2671" s="75" t="s">
        <v>143</v>
      </c>
      <c r="N2671" s="75" t="b">
        <v>1</v>
      </c>
      <c r="O2671" s="75" t="s">
        <v>144</v>
      </c>
      <c r="P2671" s="75">
        <v>1994</v>
      </c>
      <c r="Q2671" s="107">
        <f t="shared" si="76"/>
        <v>2015</v>
      </c>
      <c r="R2671" s="107">
        <v>2</v>
      </c>
      <c r="S2671" s="100">
        <v>215032</v>
      </c>
      <c r="T2671" s="101">
        <v>42129</v>
      </c>
    </row>
    <row r="2672" spans="1:20" x14ac:dyDescent="0.3">
      <c r="A2672" s="42">
        <v>42120</v>
      </c>
      <c r="B2672" s="69">
        <f t="shared" si="75"/>
        <v>20150426</v>
      </c>
      <c r="C2672" s="109">
        <v>1.8700000000000001E-2</v>
      </c>
      <c r="D2672" s="77">
        <v>0</v>
      </c>
      <c r="E2672" s="77">
        <v>3.0000000000000001E-3</v>
      </c>
      <c r="F2672" s="77">
        <v>6.0000000000000001E-3</v>
      </c>
      <c r="G2672" s="78">
        <v>0</v>
      </c>
      <c r="H2672" s="71">
        <v>8.5</v>
      </c>
      <c r="I2672" s="71">
        <v>11.3</v>
      </c>
      <c r="J2672" s="71">
        <v>14</v>
      </c>
      <c r="K2672" s="106">
        <v>2.3999999999999998E-3</v>
      </c>
      <c r="L2672" s="80">
        <v>-1.2E-2</v>
      </c>
      <c r="M2672" s="75" t="s">
        <v>143</v>
      </c>
      <c r="N2672" s="75" t="b">
        <v>1</v>
      </c>
      <c r="O2672" s="75" t="s">
        <v>144</v>
      </c>
      <c r="P2672" s="75">
        <v>1994</v>
      </c>
      <c r="Q2672" s="107">
        <f t="shared" si="76"/>
        <v>2015</v>
      </c>
      <c r="R2672" s="107">
        <v>2</v>
      </c>
      <c r="S2672" s="100">
        <v>215032</v>
      </c>
      <c r="T2672" s="101">
        <v>42129</v>
      </c>
    </row>
    <row r="2673" spans="1:20" x14ac:dyDescent="0.3">
      <c r="A2673" s="42">
        <v>42121</v>
      </c>
      <c r="B2673" s="69">
        <f t="shared" si="75"/>
        <v>20150427</v>
      </c>
      <c r="C2673" s="109">
        <v>1.8799999999999997E-2</v>
      </c>
      <c r="D2673" s="77">
        <v>0</v>
      </c>
      <c r="E2673" s="77">
        <v>3.0000000000000001E-3</v>
      </c>
      <c r="F2673" s="77">
        <v>6.0000000000000001E-3</v>
      </c>
      <c r="G2673" s="78">
        <v>0</v>
      </c>
      <c r="H2673" s="71">
        <v>8.5</v>
      </c>
      <c r="I2673" s="71">
        <v>11.3</v>
      </c>
      <c r="J2673" s="71">
        <v>14</v>
      </c>
      <c r="K2673" s="106">
        <v>2.5000000000000001E-3</v>
      </c>
      <c r="L2673" s="80">
        <v>-1.2E-2</v>
      </c>
      <c r="M2673" s="75" t="s">
        <v>143</v>
      </c>
      <c r="N2673" s="75" t="b">
        <v>1</v>
      </c>
      <c r="O2673" s="75" t="s">
        <v>144</v>
      </c>
      <c r="P2673" s="75">
        <v>1994</v>
      </c>
      <c r="Q2673" s="107">
        <f t="shared" si="76"/>
        <v>2015</v>
      </c>
      <c r="R2673" s="107">
        <v>2</v>
      </c>
      <c r="S2673" s="100">
        <v>215032</v>
      </c>
      <c r="T2673" s="101">
        <v>42129</v>
      </c>
    </row>
    <row r="2674" spans="1:20" x14ac:dyDescent="0.3">
      <c r="A2674" s="42">
        <v>42122</v>
      </c>
      <c r="B2674" s="69">
        <f t="shared" si="75"/>
        <v>20150428</v>
      </c>
      <c r="C2674" s="109">
        <v>1.9799999999999998E-2</v>
      </c>
      <c r="D2674" s="77">
        <v>0</v>
      </c>
      <c r="E2674" s="77">
        <v>3.0000000000000001E-3</v>
      </c>
      <c r="F2674" s="77">
        <v>6.0000000000000001E-3</v>
      </c>
      <c r="G2674" s="78">
        <v>0</v>
      </c>
      <c r="H2674" s="71">
        <v>8.5</v>
      </c>
      <c r="I2674" s="71">
        <v>11.3</v>
      </c>
      <c r="J2674" s="71">
        <v>14</v>
      </c>
      <c r="K2674" s="106">
        <v>3.4999999999999996E-3</v>
      </c>
      <c r="L2674" s="80">
        <v>-1.2E-2</v>
      </c>
      <c r="M2674" s="75" t="s">
        <v>143</v>
      </c>
      <c r="N2674" s="75" t="b">
        <v>1</v>
      </c>
      <c r="O2674" s="75" t="s">
        <v>144</v>
      </c>
      <c r="P2674" s="75">
        <v>1994</v>
      </c>
      <c r="Q2674" s="107">
        <f t="shared" si="76"/>
        <v>2015</v>
      </c>
      <c r="R2674" s="107">
        <v>2</v>
      </c>
      <c r="S2674" s="100">
        <v>215032</v>
      </c>
      <c r="T2674" s="101">
        <v>42129</v>
      </c>
    </row>
    <row r="2675" spans="1:20" x14ac:dyDescent="0.3">
      <c r="A2675" s="42">
        <v>42123</v>
      </c>
      <c r="B2675" s="69">
        <f t="shared" si="75"/>
        <v>20150429</v>
      </c>
      <c r="C2675" s="109">
        <v>2.0099999999999996E-2</v>
      </c>
      <c r="D2675" s="77">
        <v>0</v>
      </c>
      <c r="E2675" s="77">
        <v>3.0000000000000001E-3</v>
      </c>
      <c r="F2675" s="77">
        <v>6.0000000000000001E-3</v>
      </c>
      <c r="G2675" s="78">
        <v>0</v>
      </c>
      <c r="H2675" s="71">
        <v>8.5</v>
      </c>
      <c r="I2675" s="71">
        <v>11.3</v>
      </c>
      <c r="J2675" s="71">
        <v>14</v>
      </c>
      <c r="K2675" s="106">
        <v>3.8E-3</v>
      </c>
      <c r="L2675" s="80">
        <v>-1.2E-2</v>
      </c>
      <c r="M2675" s="75" t="s">
        <v>143</v>
      </c>
      <c r="N2675" s="75" t="b">
        <v>1</v>
      </c>
      <c r="O2675" s="75" t="s">
        <v>144</v>
      </c>
      <c r="P2675" s="75">
        <v>1994</v>
      </c>
      <c r="Q2675" s="107">
        <f t="shared" si="76"/>
        <v>2015</v>
      </c>
      <c r="R2675" s="107">
        <v>2</v>
      </c>
      <c r="S2675" s="100">
        <v>215032</v>
      </c>
      <c r="T2675" s="101">
        <v>42129</v>
      </c>
    </row>
    <row r="2676" spans="1:20" x14ac:dyDescent="0.3">
      <c r="A2676" s="42">
        <v>42124</v>
      </c>
      <c r="B2676" s="69">
        <f t="shared" si="75"/>
        <v>20150430</v>
      </c>
      <c r="C2676" s="109">
        <v>2.0099999999999996E-2</v>
      </c>
      <c r="D2676" s="77">
        <v>0</v>
      </c>
      <c r="E2676" s="77">
        <v>3.0000000000000001E-3</v>
      </c>
      <c r="F2676" s="77">
        <v>6.0000000000000001E-3</v>
      </c>
      <c r="G2676" s="78">
        <v>0</v>
      </c>
      <c r="H2676" s="71">
        <v>8.5</v>
      </c>
      <c r="I2676" s="71">
        <v>11.3</v>
      </c>
      <c r="J2676" s="71">
        <v>14</v>
      </c>
      <c r="K2676" s="106">
        <v>3.7000000000000002E-3</v>
      </c>
      <c r="L2676" s="80">
        <v>-1.2E-2</v>
      </c>
      <c r="M2676" s="75" t="s">
        <v>143</v>
      </c>
      <c r="N2676" s="75" t="b">
        <v>1</v>
      </c>
      <c r="O2676" s="75" t="s">
        <v>144</v>
      </c>
      <c r="P2676" s="75">
        <v>1994</v>
      </c>
      <c r="Q2676" s="107">
        <f t="shared" si="76"/>
        <v>2015</v>
      </c>
      <c r="R2676" s="107">
        <v>2</v>
      </c>
      <c r="S2676" s="100">
        <v>215032</v>
      </c>
      <c r="T2676" s="101">
        <v>42129</v>
      </c>
    </row>
    <row r="2677" spans="1:20" x14ac:dyDescent="0.3">
      <c r="A2677" s="42">
        <v>42125</v>
      </c>
      <c r="B2677" s="69">
        <f t="shared" si="75"/>
        <v>20150501</v>
      </c>
      <c r="C2677" s="109">
        <v>2.07E-2</v>
      </c>
      <c r="D2677" s="77">
        <v>0</v>
      </c>
      <c r="E2677" s="77">
        <v>3.0000000000000001E-3</v>
      </c>
      <c r="F2677" s="77">
        <v>6.0000000000000001E-3</v>
      </c>
      <c r="G2677" s="78">
        <v>0</v>
      </c>
      <c r="H2677" s="71">
        <v>8.5</v>
      </c>
      <c r="I2677" s="71">
        <v>11.3</v>
      </c>
      <c r="J2677" s="71">
        <v>14</v>
      </c>
      <c r="K2677" s="106">
        <v>4.3E-3</v>
      </c>
      <c r="L2677" s="80">
        <v>-1.2E-2</v>
      </c>
      <c r="M2677" s="75" t="s">
        <v>143</v>
      </c>
      <c r="N2677" s="75" t="b">
        <v>1</v>
      </c>
      <c r="O2677" s="75" t="s">
        <v>144</v>
      </c>
      <c r="P2677" s="75">
        <v>1994</v>
      </c>
      <c r="Q2677" s="107">
        <f t="shared" si="76"/>
        <v>2015</v>
      </c>
      <c r="R2677" s="107">
        <v>2</v>
      </c>
      <c r="S2677" s="100">
        <v>215032</v>
      </c>
      <c r="T2677" s="101">
        <v>42129</v>
      </c>
    </row>
    <row r="2678" spans="1:20" x14ac:dyDescent="0.3">
      <c r="A2678" s="42">
        <v>42126</v>
      </c>
      <c r="B2678" s="69">
        <f t="shared" si="75"/>
        <v>20150502</v>
      </c>
      <c r="C2678" s="109">
        <v>2.07E-2</v>
      </c>
      <c r="D2678" s="77">
        <v>0</v>
      </c>
      <c r="E2678" s="77">
        <v>3.0000000000000001E-3</v>
      </c>
      <c r="F2678" s="77">
        <v>6.0000000000000001E-3</v>
      </c>
      <c r="G2678" s="78">
        <v>0</v>
      </c>
      <c r="H2678" s="71">
        <v>8.5</v>
      </c>
      <c r="I2678" s="71">
        <v>11.3</v>
      </c>
      <c r="J2678" s="71">
        <v>14</v>
      </c>
      <c r="K2678" s="106">
        <v>4.3E-3</v>
      </c>
      <c r="L2678" s="80">
        <v>-1.2E-2</v>
      </c>
      <c r="M2678" s="75" t="s">
        <v>143</v>
      </c>
      <c r="N2678" s="75" t="b">
        <v>1</v>
      </c>
      <c r="O2678" s="75" t="s">
        <v>144</v>
      </c>
      <c r="P2678" s="75">
        <v>1994</v>
      </c>
      <c r="Q2678" s="107">
        <f t="shared" si="76"/>
        <v>2015</v>
      </c>
      <c r="R2678" s="107">
        <v>2</v>
      </c>
      <c r="S2678" s="100">
        <v>215032</v>
      </c>
      <c r="T2678" s="101">
        <v>42129</v>
      </c>
    </row>
    <row r="2679" spans="1:20" x14ac:dyDescent="0.3">
      <c r="A2679" s="42">
        <v>42127</v>
      </c>
      <c r="B2679" s="69">
        <f t="shared" si="75"/>
        <v>20150503</v>
      </c>
      <c r="C2679" s="109">
        <v>2.07E-2</v>
      </c>
      <c r="D2679" s="77">
        <v>0</v>
      </c>
      <c r="E2679" s="77">
        <v>3.0000000000000001E-3</v>
      </c>
      <c r="F2679" s="77">
        <v>6.0000000000000001E-3</v>
      </c>
      <c r="G2679" s="78">
        <v>0</v>
      </c>
      <c r="H2679" s="71">
        <v>8.5</v>
      </c>
      <c r="I2679" s="71">
        <v>11.3</v>
      </c>
      <c r="J2679" s="71">
        <v>14</v>
      </c>
      <c r="K2679" s="106">
        <v>4.3E-3</v>
      </c>
      <c r="L2679" s="80">
        <v>-1.2E-2</v>
      </c>
      <c r="M2679" s="75" t="s">
        <v>143</v>
      </c>
      <c r="N2679" s="75" t="b">
        <v>1</v>
      </c>
      <c r="O2679" s="75" t="s">
        <v>144</v>
      </c>
      <c r="P2679" s="75">
        <v>1994</v>
      </c>
      <c r="Q2679" s="107">
        <f t="shared" si="76"/>
        <v>2015</v>
      </c>
      <c r="R2679" s="107">
        <v>2</v>
      </c>
      <c r="S2679" s="100">
        <v>215032</v>
      </c>
      <c r="T2679" s="101">
        <v>42129</v>
      </c>
    </row>
    <row r="2680" spans="1:20" x14ac:dyDescent="0.3">
      <c r="A2680" s="42">
        <v>42128</v>
      </c>
      <c r="B2680" s="69">
        <f t="shared" si="75"/>
        <v>20150504</v>
      </c>
      <c r="C2680" s="109">
        <v>2.1299999999999999E-2</v>
      </c>
      <c r="D2680" s="77">
        <v>0</v>
      </c>
      <c r="E2680" s="77">
        <v>3.0000000000000001E-3</v>
      </c>
      <c r="F2680" s="77">
        <v>6.0000000000000001E-3</v>
      </c>
      <c r="G2680" s="78">
        <v>0</v>
      </c>
      <c r="H2680" s="71">
        <v>8.5</v>
      </c>
      <c r="I2680" s="71">
        <v>11.3</v>
      </c>
      <c r="J2680" s="71">
        <v>14</v>
      </c>
      <c r="K2680" s="106">
        <v>4.8999999999999998E-3</v>
      </c>
      <c r="L2680" s="80">
        <v>-1.2E-2</v>
      </c>
      <c r="M2680" s="75" t="s">
        <v>143</v>
      </c>
      <c r="N2680" s="75" t="b">
        <v>1</v>
      </c>
      <c r="O2680" s="75" t="s">
        <v>144</v>
      </c>
      <c r="P2680" s="75">
        <v>1994</v>
      </c>
      <c r="Q2680" s="107">
        <f t="shared" si="76"/>
        <v>2015</v>
      </c>
      <c r="R2680" s="107">
        <v>2</v>
      </c>
      <c r="S2680" s="100">
        <v>215032</v>
      </c>
      <c r="T2680" s="101">
        <v>42129</v>
      </c>
    </row>
    <row r="2681" spans="1:20" x14ac:dyDescent="0.3">
      <c r="A2681" s="42">
        <v>42129</v>
      </c>
      <c r="B2681" s="69">
        <f t="shared" si="75"/>
        <v>20150505</v>
      </c>
      <c r="C2681" s="109">
        <v>2.1499999999999998E-2</v>
      </c>
      <c r="D2681" s="77">
        <v>0</v>
      </c>
      <c r="E2681" s="77">
        <v>3.0000000000000001E-3</v>
      </c>
      <c r="F2681" s="77">
        <v>6.0000000000000001E-3</v>
      </c>
      <c r="G2681" s="78">
        <v>0</v>
      </c>
      <c r="H2681" s="71">
        <v>8.5</v>
      </c>
      <c r="I2681" s="71">
        <v>11.3</v>
      </c>
      <c r="J2681" s="71">
        <v>14</v>
      </c>
      <c r="K2681" s="106">
        <v>5.1000000000000004E-3</v>
      </c>
      <c r="L2681" s="80">
        <v>-1.2E-2</v>
      </c>
      <c r="M2681" s="75" t="s">
        <v>143</v>
      </c>
      <c r="N2681" s="75" t="b">
        <v>1</v>
      </c>
      <c r="O2681" s="75" t="s">
        <v>144</v>
      </c>
      <c r="P2681" s="75">
        <v>1994</v>
      </c>
      <c r="Q2681" s="107">
        <f t="shared" si="76"/>
        <v>2015</v>
      </c>
      <c r="R2681" s="107">
        <v>2</v>
      </c>
      <c r="S2681" s="100">
        <v>215032</v>
      </c>
      <c r="T2681" s="101">
        <v>42129</v>
      </c>
    </row>
    <row r="2682" spans="1:20" x14ac:dyDescent="0.3">
      <c r="A2682" s="42">
        <v>42130</v>
      </c>
      <c r="B2682" s="69">
        <f t="shared" si="75"/>
        <v>20150506</v>
      </c>
      <c r="C2682" s="109">
        <v>2.23E-2</v>
      </c>
      <c r="D2682" s="77">
        <v>0</v>
      </c>
      <c r="E2682" s="77">
        <v>3.0000000000000001E-3</v>
      </c>
      <c r="F2682" s="77">
        <v>6.0000000000000001E-3</v>
      </c>
      <c r="G2682" s="78">
        <v>0</v>
      </c>
      <c r="H2682" s="71">
        <v>8.5</v>
      </c>
      <c r="I2682" s="71">
        <v>11.3</v>
      </c>
      <c r="J2682" s="71">
        <v>14</v>
      </c>
      <c r="K2682" s="106">
        <v>5.8999999999999999E-3</v>
      </c>
      <c r="L2682" s="80">
        <v>-1.2E-2</v>
      </c>
      <c r="M2682" s="75" t="s">
        <v>143</v>
      </c>
      <c r="N2682" s="75" t="b">
        <v>1</v>
      </c>
      <c r="O2682" s="75" t="s">
        <v>144</v>
      </c>
      <c r="P2682" s="75">
        <v>1994</v>
      </c>
      <c r="Q2682" s="107">
        <f t="shared" si="76"/>
        <v>2015</v>
      </c>
      <c r="R2682" s="107">
        <v>2</v>
      </c>
      <c r="S2682" s="100">
        <v>215032</v>
      </c>
      <c r="T2682" s="101">
        <v>42129</v>
      </c>
    </row>
    <row r="2683" spans="1:20" x14ac:dyDescent="0.3">
      <c r="A2683" s="42">
        <v>42131</v>
      </c>
      <c r="B2683" s="69">
        <f t="shared" si="75"/>
        <v>20150507</v>
      </c>
      <c r="C2683" s="109">
        <v>2.1600000000000001E-2</v>
      </c>
      <c r="D2683" s="77">
        <v>0</v>
      </c>
      <c r="E2683" s="77">
        <v>3.0000000000000001E-3</v>
      </c>
      <c r="F2683" s="77">
        <v>6.0000000000000001E-3</v>
      </c>
      <c r="G2683" s="78">
        <v>0</v>
      </c>
      <c r="H2683" s="71">
        <v>8.5</v>
      </c>
      <c r="I2683" s="71">
        <v>11.3</v>
      </c>
      <c r="J2683" s="71">
        <v>14</v>
      </c>
      <c r="K2683" s="106">
        <v>5.1999999999999998E-3</v>
      </c>
      <c r="L2683" s="80">
        <v>-1.2E-2</v>
      </c>
      <c r="M2683" s="75" t="s">
        <v>143</v>
      </c>
      <c r="N2683" s="75" t="b">
        <v>1</v>
      </c>
      <c r="O2683" s="75" t="s">
        <v>144</v>
      </c>
      <c r="P2683" s="75">
        <v>1994</v>
      </c>
      <c r="Q2683" s="107">
        <f t="shared" si="76"/>
        <v>2015</v>
      </c>
      <c r="R2683" s="107">
        <v>2</v>
      </c>
      <c r="S2683" s="100">
        <v>215032</v>
      </c>
      <c r="T2683" s="101">
        <v>42129</v>
      </c>
    </row>
    <row r="2684" spans="1:20" x14ac:dyDescent="0.3">
      <c r="A2684" s="42">
        <v>42132</v>
      </c>
      <c r="B2684" s="69">
        <f t="shared" si="75"/>
        <v>20150508</v>
      </c>
      <c r="C2684" s="109">
        <v>2.12E-2</v>
      </c>
      <c r="D2684" s="77">
        <v>0</v>
      </c>
      <c r="E2684" s="77">
        <v>3.0000000000000001E-3</v>
      </c>
      <c r="F2684" s="77">
        <v>6.0000000000000001E-3</v>
      </c>
      <c r="G2684" s="78">
        <v>0</v>
      </c>
      <c r="H2684" s="71">
        <v>8.5</v>
      </c>
      <c r="I2684" s="71">
        <v>11.3</v>
      </c>
      <c r="J2684" s="71">
        <v>14</v>
      </c>
      <c r="K2684" s="106">
        <v>4.8999999999999998E-3</v>
      </c>
      <c r="L2684" s="80">
        <v>-1.2E-2</v>
      </c>
      <c r="M2684" s="75" t="s">
        <v>143</v>
      </c>
      <c r="N2684" s="75" t="b">
        <v>1</v>
      </c>
      <c r="O2684" s="75" t="s">
        <v>144</v>
      </c>
      <c r="P2684" s="75">
        <v>1994</v>
      </c>
      <c r="Q2684" s="107">
        <f t="shared" si="76"/>
        <v>2015</v>
      </c>
      <c r="R2684" s="107">
        <v>2</v>
      </c>
      <c r="S2684" s="100">
        <v>215032</v>
      </c>
      <c r="T2684" s="101">
        <v>42129</v>
      </c>
    </row>
    <row r="2685" spans="1:20" x14ac:dyDescent="0.3">
      <c r="A2685" s="42">
        <v>42133</v>
      </c>
      <c r="B2685" s="69">
        <f t="shared" si="75"/>
        <v>20150509</v>
      </c>
      <c r="C2685" s="109">
        <v>2.12E-2</v>
      </c>
      <c r="D2685" s="77">
        <v>0</v>
      </c>
      <c r="E2685" s="77">
        <v>3.0000000000000001E-3</v>
      </c>
      <c r="F2685" s="77">
        <v>6.0000000000000001E-3</v>
      </c>
      <c r="G2685" s="78">
        <v>0</v>
      </c>
      <c r="H2685" s="71">
        <v>8.5</v>
      </c>
      <c r="I2685" s="71">
        <v>11.3</v>
      </c>
      <c r="J2685" s="71">
        <v>14</v>
      </c>
      <c r="K2685" s="106">
        <v>4.8999999999999998E-3</v>
      </c>
      <c r="L2685" s="80">
        <v>-1.2E-2</v>
      </c>
      <c r="M2685" s="75" t="s">
        <v>143</v>
      </c>
      <c r="N2685" s="75" t="b">
        <v>1</v>
      </c>
      <c r="O2685" s="75" t="s">
        <v>144</v>
      </c>
      <c r="P2685" s="75">
        <v>1994</v>
      </c>
      <c r="Q2685" s="107">
        <f t="shared" si="76"/>
        <v>2015</v>
      </c>
      <c r="R2685" s="107">
        <v>2</v>
      </c>
      <c r="S2685" s="100">
        <v>215032</v>
      </c>
      <c r="T2685" s="101">
        <v>42129</v>
      </c>
    </row>
    <row r="2686" spans="1:20" x14ac:dyDescent="0.3">
      <c r="A2686" s="42">
        <v>42134</v>
      </c>
      <c r="B2686" s="69">
        <f t="shared" si="75"/>
        <v>20150510</v>
      </c>
      <c r="C2686" s="109">
        <v>2.12E-2</v>
      </c>
      <c r="D2686" s="77">
        <v>0</v>
      </c>
      <c r="E2686" s="77">
        <v>3.0000000000000001E-3</v>
      </c>
      <c r="F2686" s="77">
        <v>6.0000000000000001E-3</v>
      </c>
      <c r="G2686" s="78">
        <v>0</v>
      </c>
      <c r="H2686" s="71">
        <v>8.5</v>
      </c>
      <c r="I2686" s="71">
        <v>11.3</v>
      </c>
      <c r="J2686" s="71">
        <v>14</v>
      </c>
      <c r="K2686" s="106">
        <v>4.8999999999999998E-3</v>
      </c>
      <c r="L2686" s="80">
        <v>-1.2E-2</v>
      </c>
      <c r="M2686" s="75" t="s">
        <v>143</v>
      </c>
      <c r="N2686" s="75" t="b">
        <v>1</v>
      </c>
      <c r="O2686" s="75" t="s">
        <v>144</v>
      </c>
      <c r="P2686" s="75">
        <v>1994</v>
      </c>
      <c r="Q2686" s="107">
        <f t="shared" si="76"/>
        <v>2015</v>
      </c>
      <c r="R2686" s="107">
        <v>2</v>
      </c>
      <c r="S2686" s="100">
        <v>215032</v>
      </c>
      <c r="T2686" s="101">
        <v>42129</v>
      </c>
    </row>
    <row r="2687" spans="1:20" x14ac:dyDescent="0.3">
      <c r="A2687" s="42">
        <v>42135</v>
      </c>
      <c r="B2687" s="69">
        <f t="shared" si="75"/>
        <v>20150511</v>
      </c>
      <c r="C2687" s="109">
        <v>2.23E-2</v>
      </c>
      <c r="D2687" s="77">
        <v>0</v>
      </c>
      <c r="E2687" s="77">
        <v>3.0000000000000001E-3</v>
      </c>
      <c r="F2687" s="77">
        <v>6.0000000000000001E-3</v>
      </c>
      <c r="G2687" s="78">
        <v>0</v>
      </c>
      <c r="H2687" s="71">
        <v>8.5</v>
      </c>
      <c r="I2687" s="71">
        <v>11.3</v>
      </c>
      <c r="J2687" s="71">
        <v>14</v>
      </c>
      <c r="K2687" s="106">
        <v>6.0000000000000001E-3</v>
      </c>
      <c r="L2687" s="80">
        <v>-1.2E-2</v>
      </c>
      <c r="M2687" s="75" t="s">
        <v>143</v>
      </c>
      <c r="N2687" s="75" t="b">
        <v>1</v>
      </c>
      <c r="O2687" s="75" t="s">
        <v>144</v>
      </c>
      <c r="P2687" s="75">
        <v>1994</v>
      </c>
      <c r="Q2687" s="107">
        <f t="shared" si="76"/>
        <v>2015</v>
      </c>
      <c r="R2687" s="107">
        <v>2</v>
      </c>
      <c r="S2687" s="100">
        <v>215032</v>
      </c>
      <c r="T2687" s="101">
        <v>42129</v>
      </c>
    </row>
    <row r="2688" spans="1:20" x14ac:dyDescent="0.3">
      <c r="A2688" s="42">
        <v>42136</v>
      </c>
      <c r="B2688" s="69">
        <f t="shared" si="75"/>
        <v>20150512</v>
      </c>
      <c r="C2688" s="109">
        <v>2.2200000000000001E-2</v>
      </c>
      <c r="D2688" s="77">
        <v>0</v>
      </c>
      <c r="E2688" s="77">
        <v>3.0000000000000001E-3</v>
      </c>
      <c r="F2688" s="77">
        <v>6.0000000000000001E-3</v>
      </c>
      <c r="G2688" s="78">
        <v>0</v>
      </c>
      <c r="H2688" s="71">
        <v>8.5</v>
      </c>
      <c r="I2688" s="71">
        <v>11.3</v>
      </c>
      <c r="J2688" s="71">
        <v>14</v>
      </c>
      <c r="K2688" s="106">
        <v>5.8999999999999999E-3</v>
      </c>
      <c r="L2688" s="80">
        <v>-1.2E-2</v>
      </c>
      <c r="M2688" s="75" t="s">
        <v>143</v>
      </c>
      <c r="N2688" s="75" t="b">
        <v>1</v>
      </c>
      <c r="O2688" s="75" t="s">
        <v>144</v>
      </c>
      <c r="P2688" s="75">
        <v>1994</v>
      </c>
      <c r="Q2688" s="107">
        <f t="shared" si="76"/>
        <v>2015</v>
      </c>
      <c r="R2688" s="107">
        <v>2</v>
      </c>
      <c r="S2688" s="100">
        <v>215032</v>
      </c>
      <c r="T2688" s="101">
        <v>42129</v>
      </c>
    </row>
    <row r="2689" spans="1:20" x14ac:dyDescent="0.3">
      <c r="A2689" s="42">
        <v>42137</v>
      </c>
      <c r="B2689" s="69">
        <f t="shared" si="75"/>
        <v>20150513</v>
      </c>
      <c r="C2689" s="109">
        <v>2.2499999999999999E-2</v>
      </c>
      <c r="D2689" s="77">
        <v>0</v>
      </c>
      <c r="E2689" s="77">
        <v>3.0000000000000001E-3</v>
      </c>
      <c r="F2689" s="77">
        <v>6.0000000000000001E-3</v>
      </c>
      <c r="G2689" s="78">
        <v>0</v>
      </c>
      <c r="H2689" s="71">
        <v>8.5</v>
      </c>
      <c r="I2689" s="71">
        <v>11.3</v>
      </c>
      <c r="J2689" s="71">
        <v>14</v>
      </c>
      <c r="K2689" s="106">
        <v>6.1999999999999998E-3</v>
      </c>
      <c r="L2689" s="80">
        <v>-1.2E-2</v>
      </c>
      <c r="M2689" s="75" t="s">
        <v>143</v>
      </c>
      <c r="N2689" s="75" t="b">
        <v>1</v>
      </c>
      <c r="O2689" s="75" t="s">
        <v>144</v>
      </c>
      <c r="P2689" s="75">
        <v>1994</v>
      </c>
      <c r="Q2689" s="107">
        <f t="shared" si="76"/>
        <v>2015</v>
      </c>
      <c r="R2689" s="107">
        <v>2</v>
      </c>
      <c r="S2689" s="100">
        <v>215032</v>
      </c>
      <c r="T2689" s="101">
        <v>42129</v>
      </c>
    </row>
    <row r="2690" spans="1:20" x14ac:dyDescent="0.3">
      <c r="A2690" s="42">
        <v>42138</v>
      </c>
      <c r="B2690" s="69">
        <f t="shared" si="75"/>
        <v>20150514</v>
      </c>
      <c r="C2690" s="109">
        <v>2.23E-2</v>
      </c>
      <c r="D2690" s="77">
        <v>0</v>
      </c>
      <c r="E2690" s="77">
        <v>3.0000000000000001E-3</v>
      </c>
      <c r="F2690" s="77">
        <v>6.0000000000000001E-3</v>
      </c>
      <c r="G2690" s="78">
        <v>0</v>
      </c>
      <c r="H2690" s="71">
        <v>8.5</v>
      </c>
      <c r="I2690" s="71">
        <v>11.3</v>
      </c>
      <c r="J2690" s="71">
        <v>14</v>
      </c>
      <c r="K2690" s="106">
        <v>6.0999999999999995E-3</v>
      </c>
      <c r="L2690" s="80">
        <v>-1.2E-2</v>
      </c>
      <c r="M2690" s="75" t="s">
        <v>143</v>
      </c>
      <c r="N2690" s="75" t="b">
        <v>1</v>
      </c>
      <c r="O2690" s="75" t="s">
        <v>144</v>
      </c>
      <c r="P2690" s="75">
        <v>1994</v>
      </c>
      <c r="Q2690" s="107">
        <f t="shared" si="76"/>
        <v>2015</v>
      </c>
      <c r="R2690" s="107">
        <v>2</v>
      </c>
      <c r="S2690" s="100">
        <v>215032</v>
      </c>
      <c r="T2690" s="101">
        <v>42129</v>
      </c>
    </row>
    <row r="2691" spans="1:20" x14ac:dyDescent="0.3">
      <c r="A2691" s="42">
        <v>42139</v>
      </c>
      <c r="B2691" s="69">
        <f t="shared" si="75"/>
        <v>20150515</v>
      </c>
      <c r="C2691" s="109">
        <v>2.1499999999999998E-2</v>
      </c>
      <c r="D2691" s="77">
        <v>0</v>
      </c>
      <c r="E2691" s="77">
        <v>3.0000000000000001E-3</v>
      </c>
      <c r="F2691" s="77">
        <v>6.0000000000000001E-3</v>
      </c>
      <c r="G2691" s="78">
        <v>0</v>
      </c>
      <c r="H2691" s="71">
        <v>8.5</v>
      </c>
      <c r="I2691" s="71">
        <v>11.3</v>
      </c>
      <c r="J2691" s="71">
        <v>14</v>
      </c>
      <c r="K2691" s="106">
        <v>5.3E-3</v>
      </c>
      <c r="L2691" s="80">
        <v>-1.2E-2</v>
      </c>
      <c r="M2691" s="75" t="s">
        <v>143</v>
      </c>
      <c r="N2691" s="75" t="b">
        <v>1</v>
      </c>
      <c r="O2691" s="75" t="s">
        <v>144</v>
      </c>
      <c r="P2691" s="75">
        <v>1994</v>
      </c>
      <c r="Q2691" s="107">
        <f t="shared" si="76"/>
        <v>2015</v>
      </c>
      <c r="R2691" s="107">
        <v>2</v>
      </c>
      <c r="S2691" s="100">
        <v>215032</v>
      </c>
      <c r="T2691" s="101">
        <v>42129</v>
      </c>
    </row>
    <row r="2692" spans="1:20" x14ac:dyDescent="0.3">
      <c r="A2692" s="42">
        <v>42140</v>
      </c>
      <c r="B2692" s="69">
        <f t="shared" si="75"/>
        <v>20150516</v>
      </c>
      <c r="C2692" s="109">
        <v>2.1499999999999998E-2</v>
      </c>
      <c r="D2692" s="77">
        <v>0</v>
      </c>
      <c r="E2692" s="77">
        <v>3.0000000000000001E-3</v>
      </c>
      <c r="F2692" s="77">
        <v>6.0000000000000001E-3</v>
      </c>
      <c r="G2692" s="78">
        <v>0</v>
      </c>
      <c r="H2692" s="71">
        <v>8.5</v>
      </c>
      <c r="I2692" s="71">
        <v>11.3</v>
      </c>
      <c r="J2692" s="71">
        <v>14</v>
      </c>
      <c r="K2692" s="106">
        <v>5.3E-3</v>
      </c>
      <c r="L2692" s="80">
        <v>-1.2E-2</v>
      </c>
      <c r="M2692" s="75" t="s">
        <v>143</v>
      </c>
      <c r="N2692" s="75" t="b">
        <v>1</v>
      </c>
      <c r="O2692" s="75" t="s">
        <v>144</v>
      </c>
      <c r="P2692" s="75">
        <v>1994</v>
      </c>
      <c r="Q2692" s="107">
        <f t="shared" si="76"/>
        <v>2015</v>
      </c>
      <c r="R2692" s="107">
        <v>2</v>
      </c>
      <c r="S2692" s="100">
        <v>215032</v>
      </c>
      <c r="T2692" s="101">
        <v>42129</v>
      </c>
    </row>
    <row r="2693" spans="1:20" x14ac:dyDescent="0.3">
      <c r="A2693" s="42">
        <v>42141</v>
      </c>
      <c r="B2693" s="69">
        <f t="shared" si="75"/>
        <v>20150517</v>
      </c>
      <c r="C2693" s="109">
        <v>2.1499999999999998E-2</v>
      </c>
      <c r="D2693" s="77">
        <v>0</v>
      </c>
      <c r="E2693" s="77">
        <v>3.0000000000000001E-3</v>
      </c>
      <c r="F2693" s="77">
        <v>6.0000000000000001E-3</v>
      </c>
      <c r="G2693" s="78">
        <v>0</v>
      </c>
      <c r="H2693" s="71">
        <v>8.5</v>
      </c>
      <c r="I2693" s="71">
        <v>11.3</v>
      </c>
      <c r="J2693" s="71">
        <v>14</v>
      </c>
      <c r="K2693" s="106">
        <v>5.3E-3</v>
      </c>
      <c r="L2693" s="80">
        <v>-1.2E-2</v>
      </c>
      <c r="M2693" s="75" t="s">
        <v>143</v>
      </c>
      <c r="N2693" s="75" t="b">
        <v>1</v>
      </c>
      <c r="O2693" s="75" t="s">
        <v>144</v>
      </c>
      <c r="P2693" s="75">
        <v>1994</v>
      </c>
      <c r="Q2693" s="107">
        <f t="shared" si="76"/>
        <v>2015</v>
      </c>
      <c r="R2693" s="107">
        <v>2</v>
      </c>
      <c r="S2693" s="100">
        <v>215032</v>
      </c>
      <c r="T2693" s="101">
        <v>42129</v>
      </c>
    </row>
    <row r="2694" spans="1:20" x14ac:dyDescent="0.3">
      <c r="A2694" s="42">
        <v>42142</v>
      </c>
      <c r="B2694" s="69">
        <f t="shared" si="75"/>
        <v>20150518</v>
      </c>
      <c r="C2694" s="109">
        <v>2.1499999999999998E-2</v>
      </c>
      <c r="D2694" s="77">
        <v>0</v>
      </c>
      <c r="E2694" s="77">
        <v>3.0000000000000001E-3</v>
      </c>
      <c r="F2694" s="77">
        <v>6.0000000000000001E-3</v>
      </c>
      <c r="G2694" s="78">
        <v>0</v>
      </c>
      <c r="H2694" s="71">
        <v>8.5</v>
      </c>
      <c r="I2694" s="71">
        <v>11.3</v>
      </c>
      <c r="J2694" s="71">
        <v>14</v>
      </c>
      <c r="K2694" s="106">
        <v>5.3E-3</v>
      </c>
      <c r="L2694" s="80">
        <v>-1.2E-2</v>
      </c>
      <c r="M2694" s="75" t="s">
        <v>143</v>
      </c>
      <c r="N2694" s="75" t="b">
        <v>1</v>
      </c>
      <c r="O2694" s="75" t="s">
        <v>144</v>
      </c>
      <c r="P2694" s="75">
        <v>1994</v>
      </c>
      <c r="Q2694" s="107">
        <f t="shared" si="76"/>
        <v>2015</v>
      </c>
      <c r="R2694" s="107">
        <v>2</v>
      </c>
      <c r="S2694" s="100">
        <v>215032</v>
      </c>
      <c r="T2694" s="101">
        <v>42129</v>
      </c>
    </row>
    <row r="2695" spans="1:20" x14ac:dyDescent="0.3">
      <c r="A2695" s="42">
        <v>42143</v>
      </c>
      <c r="B2695" s="69">
        <f t="shared" si="75"/>
        <v>20150519</v>
      </c>
      <c r="C2695" s="109">
        <v>2.2499999999999999E-2</v>
      </c>
      <c r="D2695" s="77">
        <v>0</v>
      </c>
      <c r="E2695" s="77">
        <v>3.0000000000000001E-3</v>
      </c>
      <c r="F2695" s="77">
        <v>6.0000000000000001E-3</v>
      </c>
      <c r="G2695" s="78">
        <v>0</v>
      </c>
      <c r="H2695" s="71">
        <v>8.5</v>
      </c>
      <c r="I2695" s="71">
        <v>11.3</v>
      </c>
      <c r="J2695" s="71">
        <v>14</v>
      </c>
      <c r="K2695" s="106">
        <v>6.3E-3</v>
      </c>
      <c r="L2695" s="80">
        <v>-1.2E-2</v>
      </c>
      <c r="M2695" s="75" t="s">
        <v>143</v>
      </c>
      <c r="N2695" s="75" t="b">
        <v>1</v>
      </c>
      <c r="O2695" s="75" t="s">
        <v>144</v>
      </c>
      <c r="P2695" s="75">
        <v>1994</v>
      </c>
      <c r="Q2695" s="107">
        <f t="shared" si="76"/>
        <v>2015</v>
      </c>
      <c r="R2695" s="107">
        <v>2</v>
      </c>
      <c r="S2695" s="100">
        <v>215032</v>
      </c>
      <c r="T2695" s="101">
        <v>42129</v>
      </c>
    </row>
    <row r="2696" spans="1:20" x14ac:dyDescent="0.3">
      <c r="A2696" s="42">
        <v>42144</v>
      </c>
      <c r="B2696" s="69">
        <f t="shared" si="75"/>
        <v>20150520</v>
      </c>
      <c r="C2696" s="109">
        <v>2.23E-2</v>
      </c>
      <c r="D2696" s="77">
        <v>0</v>
      </c>
      <c r="E2696" s="77">
        <v>3.0000000000000001E-3</v>
      </c>
      <c r="F2696" s="77">
        <v>6.0000000000000001E-3</v>
      </c>
      <c r="G2696" s="78">
        <v>0</v>
      </c>
      <c r="H2696" s="71">
        <v>8.5</v>
      </c>
      <c r="I2696" s="71">
        <v>11.3</v>
      </c>
      <c r="J2696" s="71">
        <v>14</v>
      </c>
      <c r="K2696" s="106">
        <v>6.1999999999999998E-3</v>
      </c>
      <c r="L2696" s="80">
        <v>-1.2E-2</v>
      </c>
      <c r="M2696" s="75" t="s">
        <v>143</v>
      </c>
      <c r="N2696" s="75" t="b">
        <v>1</v>
      </c>
      <c r="O2696" s="75" t="s">
        <v>144</v>
      </c>
      <c r="P2696" s="75">
        <v>1994</v>
      </c>
      <c r="Q2696" s="107">
        <f t="shared" si="76"/>
        <v>2015</v>
      </c>
      <c r="R2696" s="107">
        <v>2</v>
      </c>
      <c r="S2696" s="100">
        <v>215032</v>
      </c>
      <c r="T2696" s="101">
        <v>42129</v>
      </c>
    </row>
    <row r="2697" spans="1:20" x14ac:dyDescent="0.3">
      <c r="A2697" s="42">
        <v>42145</v>
      </c>
      <c r="B2697" s="69">
        <f t="shared" si="75"/>
        <v>20150521</v>
      </c>
      <c r="C2697" s="109">
        <v>2.1700000000000001E-2</v>
      </c>
      <c r="D2697" s="77">
        <v>0</v>
      </c>
      <c r="E2697" s="77">
        <v>3.0000000000000001E-3</v>
      </c>
      <c r="F2697" s="77">
        <v>6.0000000000000001E-3</v>
      </c>
      <c r="G2697" s="78">
        <v>0</v>
      </c>
      <c r="H2697" s="71">
        <v>8.5</v>
      </c>
      <c r="I2697" s="71">
        <v>11.3</v>
      </c>
      <c r="J2697" s="71">
        <v>14</v>
      </c>
      <c r="K2697" s="106">
        <v>5.7000000000000002E-3</v>
      </c>
      <c r="L2697" s="80">
        <v>-1.2E-2</v>
      </c>
      <c r="M2697" s="75" t="s">
        <v>143</v>
      </c>
      <c r="N2697" s="75" t="b">
        <v>1</v>
      </c>
      <c r="O2697" s="75" t="s">
        <v>144</v>
      </c>
      <c r="P2697" s="75">
        <v>1994</v>
      </c>
      <c r="Q2697" s="107">
        <f t="shared" si="76"/>
        <v>2015</v>
      </c>
      <c r="R2697" s="107">
        <v>2</v>
      </c>
      <c r="S2697" s="100">
        <v>215032</v>
      </c>
      <c r="T2697" s="101">
        <v>42129</v>
      </c>
    </row>
    <row r="2698" spans="1:20" x14ac:dyDescent="0.3">
      <c r="A2698" s="42">
        <v>42146</v>
      </c>
      <c r="B2698" s="69">
        <f t="shared" si="75"/>
        <v>20150522</v>
      </c>
      <c r="C2698" s="109">
        <v>2.18E-2</v>
      </c>
      <c r="D2698" s="77">
        <v>0</v>
      </c>
      <c r="E2698" s="77">
        <v>3.0000000000000001E-3</v>
      </c>
      <c r="F2698" s="77">
        <v>6.0000000000000001E-3</v>
      </c>
      <c r="G2698" s="78">
        <v>0</v>
      </c>
      <c r="H2698" s="71">
        <v>8.5</v>
      </c>
      <c r="I2698" s="71">
        <v>11.3</v>
      </c>
      <c r="J2698" s="71">
        <v>14</v>
      </c>
      <c r="K2698" s="106">
        <v>6.1000000000000004E-3</v>
      </c>
      <c r="L2698" s="80">
        <v>-1.2E-2</v>
      </c>
      <c r="M2698" s="75" t="s">
        <v>143</v>
      </c>
      <c r="N2698" s="75" t="b">
        <v>1</v>
      </c>
      <c r="O2698" s="75" t="s">
        <v>144</v>
      </c>
      <c r="P2698" s="75">
        <v>1994</v>
      </c>
      <c r="Q2698" s="107">
        <f t="shared" si="76"/>
        <v>2015</v>
      </c>
      <c r="R2698" s="107">
        <v>2</v>
      </c>
      <c r="S2698" s="100">
        <v>215032</v>
      </c>
      <c r="T2698" s="101">
        <v>42129</v>
      </c>
    </row>
    <row r="2699" spans="1:20" x14ac:dyDescent="0.3">
      <c r="A2699" s="42">
        <v>42147</v>
      </c>
      <c r="B2699" s="69">
        <f>YEAR(A2699)*10000+MONTH(A2699)*100+DAY(A2699)</f>
        <v>20150523</v>
      </c>
      <c r="C2699" s="109">
        <v>2.18E-2</v>
      </c>
      <c r="D2699" s="77">
        <v>0</v>
      </c>
      <c r="E2699" s="77">
        <v>3.0000000000000001E-3</v>
      </c>
      <c r="F2699" s="77">
        <v>6.0000000000000001E-3</v>
      </c>
      <c r="G2699" s="78">
        <v>0</v>
      </c>
      <c r="H2699" s="71">
        <v>8.5</v>
      </c>
      <c r="I2699" s="71">
        <v>11.3</v>
      </c>
      <c r="J2699" s="71">
        <v>14</v>
      </c>
      <c r="K2699" s="106">
        <v>6.1000000000000004E-3</v>
      </c>
      <c r="L2699" s="80">
        <v>-1.2E-2</v>
      </c>
      <c r="M2699" s="75" t="s">
        <v>143</v>
      </c>
      <c r="N2699" s="75" t="b">
        <v>1</v>
      </c>
      <c r="O2699" s="75" t="s">
        <v>144</v>
      </c>
      <c r="P2699" s="75">
        <v>1994</v>
      </c>
      <c r="Q2699" s="107">
        <f t="shared" si="76"/>
        <v>2015</v>
      </c>
      <c r="R2699" s="107">
        <v>2</v>
      </c>
      <c r="S2699" s="100">
        <v>215032</v>
      </c>
      <c r="T2699" s="101">
        <v>42129</v>
      </c>
    </row>
    <row r="2700" spans="1:20" x14ac:dyDescent="0.3">
      <c r="A2700" s="42">
        <v>42148</v>
      </c>
      <c r="B2700" s="69">
        <f>YEAR(A2700)*10000+MONTH(A2700)*100+DAY(A2700)</f>
        <v>20150524</v>
      </c>
      <c r="C2700" s="109">
        <v>2.18E-2</v>
      </c>
      <c r="D2700" s="77">
        <v>0</v>
      </c>
      <c r="E2700" s="77">
        <v>3.0000000000000001E-3</v>
      </c>
      <c r="F2700" s="77">
        <v>6.0000000000000001E-3</v>
      </c>
      <c r="G2700" s="78">
        <v>0</v>
      </c>
      <c r="H2700" s="71">
        <v>8.5</v>
      </c>
      <c r="I2700" s="71">
        <v>11.3</v>
      </c>
      <c r="J2700" s="71">
        <v>14</v>
      </c>
      <c r="K2700" s="106">
        <v>6.1000000000000004E-3</v>
      </c>
      <c r="L2700" s="80">
        <v>-1.2E-2</v>
      </c>
      <c r="M2700" s="75" t="s">
        <v>143</v>
      </c>
      <c r="N2700" s="75" t="b">
        <v>1</v>
      </c>
      <c r="O2700" s="75" t="s">
        <v>144</v>
      </c>
      <c r="P2700" s="75">
        <v>1994</v>
      </c>
      <c r="Q2700" s="107">
        <f t="shared" si="76"/>
        <v>2015</v>
      </c>
      <c r="R2700" s="107">
        <v>2</v>
      </c>
      <c r="S2700" s="100">
        <v>215032</v>
      </c>
      <c r="T2700" s="101">
        <v>42129</v>
      </c>
    </row>
    <row r="2701" spans="1:20" x14ac:dyDescent="0.3">
      <c r="A2701" s="42">
        <v>42149</v>
      </c>
      <c r="B2701" s="69">
        <f t="shared" si="75"/>
        <v>20150525</v>
      </c>
      <c r="C2701" s="109">
        <v>2.2000000000000002E-2</v>
      </c>
      <c r="D2701" s="77">
        <v>0</v>
      </c>
      <c r="E2701" s="77">
        <v>3.0000000000000001E-3</v>
      </c>
      <c r="F2701" s="77">
        <v>6.0000000000000001E-3</v>
      </c>
      <c r="G2701" s="78">
        <v>0</v>
      </c>
      <c r="H2701" s="71">
        <v>8.5</v>
      </c>
      <c r="I2701" s="71">
        <v>11.3</v>
      </c>
      <c r="J2701" s="71">
        <v>14</v>
      </c>
      <c r="K2701" s="106">
        <v>6.1999999999999998E-3</v>
      </c>
      <c r="L2701" s="80">
        <v>-1.2E-2</v>
      </c>
      <c r="M2701" s="75" t="s">
        <v>143</v>
      </c>
      <c r="N2701" s="75" t="b">
        <v>1</v>
      </c>
      <c r="O2701" s="75" t="s">
        <v>144</v>
      </c>
      <c r="P2701" s="75">
        <v>1994</v>
      </c>
      <c r="Q2701" s="107">
        <f t="shared" si="76"/>
        <v>2015</v>
      </c>
      <c r="R2701" s="107">
        <v>2</v>
      </c>
      <c r="S2701" s="100">
        <v>215032</v>
      </c>
      <c r="T2701" s="101">
        <v>42129</v>
      </c>
    </row>
    <row r="2702" spans="1:20" x14ac:dyDescent="0.3">
      <c r="A2702" s="42">
        <v>42150</v>
      </c>
      <c r="B2702" s="69">
        <f t="shared" si="75"/>
        <v>20150526</v>
      </c>
      <c r="C2702" s="109">
        <v>2.12E-2</v>
      </c>
      <c r="D2702" s="77">
        <v>0</v>
      </c>
      <c r="E2702" s="77">
        <v>3.0000000000000001E-3</v>
      </c>
      <c r="F2702" s="77">
        <v>6.0000000000000001E-3</v>
      </c>
      <c r="G2702" s="78">
        <v>0</v>
      </c>
      <c r="H2702" s="71">
        <v>8.5</v>
      </c>
      <c r="I2702" s="71">
        <v>11.3</v>
      </c>
      <c r="J2702" s="71">
        <v>14</v>
      </c>
      <c r="K2702" s="106">
        <v>5.5999999999999999E-3</v>
      </c>
      <c r="L2702" s="80">
        <v>-1.2E-2</v>
      </c>
      <c r="M2702" s="75" t="s">
        <v>143</v>
      </c>
      <c r="N2702" s="75" t="b">
        <v>1</v>
      </c>
      <c r="O2702" s="75" t="s">
        <v>144</v>
      </c>
      <c r="P2702" s="75">
        <v>1994</v>
      </c>
      <c r="Q2702" s="107">
        <f t="shared" si="76"/>
        <v>2015</v>
      </c>
      <c r="R2702" s="107">
        <v>2</v>
      </c>
      <c r="S2702" s="100">
        <v>215032</v>
      </c>
      <c r="T2702" s="101">
        <v>42129</v>
      </c>
    </row>
    <row r="2703" spans="1:20" x14ac:dyDescent="0.3">
      <c r="A2703" s="42">
        <v>42151</v>
      </c>
      <c r="B2703" s="69">
        <f t="shared" si="75"/>
        <v>20150527</v>
      </c>
      <c r="C2703" s="109">
        <v>2.0799999999999999E-2</v>
      </c>
      <c r="D2703" s="77">
        <v>0</v>
      </c>
      <c r="E2703" s="77">
        <v>3.0000000000000001E-3</v>
      </c>
      <c r="F2703" s="77">
        <v>6.0000000000000001E-3</v>
      </c>
      <c r="G2703" s="78">
        <v>0</v>
      </c>
      <c r="H2703" s="71">
        <v>8.5</v>
      </c>
      <c r="I2703" s="71">
        <v>11.3</v>
      </c>
      <c r="J2703" s="71">
        <v>14</v>
      </c>
      <c r="K2703" s="106">
        <v>5.3E-3</v>
      </c>
      <c r="L2703" s="80">
        <v>-1.2E-2</v>
      </c>
      <c r="M2703" s="75" t="s">
        <v>143</v>
      </c>
      <c r="N2703" s="75" t="b">
        <v>1</v>
      </c>
      <c r="O2703" s="75" t="s">
        <v>144</v>
      </c>
      <c r="P2703" s="75">
        <v>1994</v>
      </c>
      <c r="Q2703" s="107">
        <f t="shared" si="76"/>
        <v>2015</v>
      </c>
      <c r="R2703" s="107">
        <v>2</v>
      </c>
      <c r="S2703" s="100">
        <v>215032</v>
      </c>
      <c r="T2703" s="101">
        <v>42129</v>
      </c>
    </row>
    <row r="2704" spans="1:20" x14ac:dyDescent="0.3">
      <c r="A2704" s="42">
        <v>42152</v>
      </c>
      <c r="B2704" s="69">
        <f t="shared" si="75"/>
        <v>20150528</v>
      </c>
      <c r="C2704" s="109">
        <v>2.07E-2</v>
      </c>
      <c r="D2704" s="77">
        <v>0</v>
      </c>
      <c r="E2704" s="77">
        <v>3.0000000000000001E-3</v>
      </c>
      <c r="F2704" s="77">
        <v>6.0000000000000001E-3</v>
      </c>
      <c r="G2704" s="78">
        <v>0</v>
      </c>
      <c r="H2704" s="71">
        <v>8.5</v>
      </c>
      <c r="I2704" s="71">
        <v>11.3</v>
      </c>
      <c r="J2704" s="71">
        <v>14</v>
      </c>
      <c r="K2704" s="106">
        <v>5.4000000000000003E-3</v>
      </c>
      <c r="L2704" s="80">
        <v>-1.2E-2</v>
      </c>
      <c r="M2704" s="75" t="s">
        <v>143</v>
      </c>
      <c r="N2704" s="75" t="b">
        <v>1</v>
      </c>
      <c r="O2704" s="75" t="s">
        <v>144</v>
      </c>
      <c r="P2704" s="75">
        <v>1994</v>
      </c>
      <c r="Q2704" s="107">
        <f t="shared" si="76"/>
        <v>2015</v>
      </c>
      <c r="R2704" s="107">
        <v>2</v>
      </c>
      <c r="S2704" s="100">
        <v>215032</v>
      </c>
      <c r="T2704" s="101">
        <v>42129</v>
      </c>
    </row>
    <row r="2705" spans="1:20" x14ac:dyDescent="0.3">
      <c r="A2705" s="42">
        <v>42153</v>
      </c>
      <c r="B2705" s="69">
        <f>YEAR(A2705)*10000+MONTH(A2705)*100+DAY(A2705)</f>
        <v>20150529</v>
      </c>
      <c r="C2705" s="109">
        <v>2.0400000000000001E-2</v>
      </c>
      <c r="D2705" s="77">
        <v>0</v>
      </c>
      <c r="E2705" s="77">
        <v>3.0000000000000001E-3</v>
      </c>
      <c r="F2705" s="77">
        <v>6.0000000000000001E-3</v>
      </c>
      <c r="G2705" s="78">
        <v>0</v>
      </c>
      <c r="H2705" s="71">
        <v>8.5</v>
      </c>
      <c r="I2705" s="71">
        <v>11.3</v>
      </c>
      <c r="J2705" s="71">
        <v>14</v>
      </c>
      <c r="K2705" s="109">
        <v>5.0000000000000001E-3</v>
      </c>
      <c r="L2705" s="80">
        <v>-1.2E-2</v>
      </c>
      <c r="M2705" s="75" t="s">
        <v>143</v>
      </c>
      <c r="N2705" s="75" t="b">
        <v>1</v>
      </c>
      <c r="O2705" s="75" t="s">
        <v>144</v>
      </c>
      <c r="P2705" s="75">
        <v>1994</v>
      </c>
      <c r="Q2705" s="107">
        <f t="shared" si="76"/>
        <v>2015</v>
      </c>
      <c r="R2705" s="107">
        <v>2</v>
      </c>
      <c r="S2705" s="100">
        <v>215032</v>
      </c>
      <c r="T2705" s="101">
        <v>42129</v>
      </c>
    </row>
    <row r="2706" spans="1:20" x14ac:dyDescent="0.3">
      <c r="A2706" s="42">
        <v>42154</v>
      </c>
      <c r="B2706" s="69">
        <f>YEAR(A2706)*10000+MONTH(A2706)*100+DAY(A2706)</f>
        <v>20150530</v>
      </c>
      <c r="C2706" s="109">
        <v>2.0400000000000001E-2</v>
      </c>
      <c r="D2706" s="77">
        <v>0</v>
      </c>
      <c r="E2706" s="77">
        <v>3.0000000000000001E-3</v>
      </c>
      <c r="F2706" s="77">
        <v>6.0000000000000001E-3</v>
      </c>
      <c r="G2706" s="78">
        <v>0</v>
      </c>
      <c r="H2706" s="71">
        <v>8.5</v>
      </c>
      <c r="I2706" s="71">
        <v>11.3</v>
      </c>
      <c r="J2706" s="71">
        <v>14</v>
      </c>
      <c r="K2706" s="109">
        <v>5.0000000000000001E-3</v>
      </c>
      <c r="L2706" s="80">
        <v>-1.2E-2</v>
      </c>
      <c r="M2706" s="75" t="s">
        <v>143</v>
      </c>
      <c r="N2706" s="75" t="b">
        <v>1</v>
      </c>
      <c r="O2706" s="75" t="s">
        <v>144</v>
      </c>
      <c r="P2706" s="75">
        <v>1994</v>
      </c>
      <c r="Q2706" s="107">
        <f t="shared" si="76"/>
        <v>2015</v>
      </c>
      <c r="R2706" s="107">
        <v>2</v>
      </c>
      <c r="S2706" s="100">
        <v>215032</v>
      </c>
      <c r="T2706" s="101">
        <v>42129</v>
      </c>
    </row>
    <row r="2707" spans="1:20" x14ac:dyDescent="0.3">
      <c r="A2707" s="42">
        <v>42155</v>
      </c>
      <c r="B2707" s="69">
        <f>YEAR(A2707)*10000+MONTH(A2707)*100+DAY(A2707)</f>
        <v>20150531</v>
      </c>
      <c r="C2707" s="109">
        <v>2.0400000000000001E-2</v>
      </c>
      <c r="D2707" s="77">
        <v>0</v>
      </c>
      <c r="E2707" s="77">
        <v>3.0000000000000001E-3</v>
      </c>
      <c r="F2707" s="77">
        <v>6.0000000000000001E-3</v>
      </c>
      <c r="G2707" s="78">
        <v>0</v>
      </c>
      <c r="H2707" s="71">
        <v>8.5</v>
      </c>
      <c r="I2707" s="71">
        <v>11.3</v>
      </c>
      <c r="J2707" s="71">
        <v>14</v>
      </c>
      <c r="K2707" s="109">
        <v>5.0000000000000001E-3</v>
      </c>
      <c r="L2707" s="80">
        <v>-1.2E-2</v>
      </c>
      <c r="M2707" s="75" t="s">
        <v>143</v>
      </c>
      <c r="N2707" s="75" t="b">
        <v>1</v>
      </c>
      <c r="O2707" s="75" t="s">
        <v>144</v>
      </c>
      <c r="P2707" s="75">
        <v>1994</v>
      </c>
      <c r="Q2707" s="107">
        <f t="shared" si="76"/>
        <v>2015</v>
      </c>
      <c r="R2707" s="107">
        <v>2</v>
      </c>
      <c r="S2707" s="100">
        <v>215032</v>
      </c>
      <c r="T2707" s="101">
        <v>42129</v>
      </c>
    </row>
    <row r="2708" spans="1:20" x14ac:dyDescent="0.3">
      <c r="A2708" s="42">
        <v>42156</v>
      </c>
      <c r="B2708" s="69">
        <f t="shared" ref="B2708:B2767" si="77">YEAR(A2708)*10000+MONTH(A2708)*100+DAY(A2708)</f>
        <v>20150601</v>
      </c>
      <c r="C2708" s="109">
        <v>2.06E-2</v>
      </c>
      <c r="D2708" s="77">
        <v>0</v>
      </c>
      <c r="E2708" s="77">
        <v>3.0000000000000001E-3</v>
      </c>
      <c r="F2708" s="77">
        <v>6.0000000000000001E-3</v>
      </c>
      <c r="G2708" s="78">
        <v>0</v>
      </c>
      <c r="H2708" s="71">
        <v>8.5</v>
      </c>
      <c r="I2708" s="71">
        <v>11.3</v>
      </c>
      <c r="J2708" s="71">
        <v>14</v>
      </c>
      <c r="K2708" s="121">
        <v>5.1999999999999998E-3</v>
      </c>
      <c r="L2708" s="80">
        <v>-1.2E-2</v>
      </c>
      <c r="M2708" s="75" t="s">
        <v>143</v>
      </c>
      <c r="N2708" s="75" t="b">
        <v>1</v>
      </c>
      <c r="O2708" s="75" t="s">
        <v>144</v>
      </c>
      <c r="P2708" s="75">
        <v>1994</v>
      </c>
      <c r="Q2708" s="107">
        <f t="shared" si="76"/>
        <v>2015</v>
      </c>
      <c r="R2708" s="107">
        <v>2</v>
      </c>
      <c r="S2708" s="100">
        <v>215032</v>
      </c>
      <c r="T2708" s="101">
        <v>42129</v>
      </c>
    </row>
    <row r="2709" spans="1:20" x14ac:dyDescent="0.3">
      <c r="A2709" s="42">
        <v>42157</v>
      </c>
      <c r="B2709" s="69">
        <f t="shared" si="77"/>
        <v>20150602</v>
      </c>
      <c r="C2709" s="109">
        <v>2.2099999999999998E-2</v>
      </c>
      <c r="D2709" s="77">
        <v>0</v>
      </c>
      <c r="E2709" s="77">
        <v>3.0000000000000001E-3</v>
      </c>
      <c r="F2709" s="77">
        <v>6.0000000000000001E-3</v>
      </c>
      <c r="G2709" s="78">
        <v>0</v>
      </c>
      <c r="H2709" s="71">
        <v>8.5</v>
      </c>
      <c r="I2709" s="71">
        <v>11.3</v>
      </c>
      <c r="J2709" s="71">
        <v>14</v>
      </c>
      <c r="K2709" s="121">
        <v>5.8999999999999999E-3</v>
      </c>
      <c r="L2709" s="80">
        <v>-1.2E-2</v>
      </c>
      <c r="M2709" s="75" t="s">
        <v>143</v>
      </c>
      <c r="N2709" s="75" t="b">
        <v>1</v>
      </c>
      <c r="O2709" s="75" t="s">
        <v>144</v>
      </c>
      <c r="P2709" s="75">
        <v>1994</v>
      </c>
      <c r="Q2709" s="107">
        <f t="shared" si="76"/>
        <v>2015</v>
      </c>
      <c r="R2709" s="107">
        <v>2</v>
      </c>
      <c r="S2709" s="100">
        <v>215032</v>
      </c>
      <c r="T2709" s="101">
        <v>42129</v>
      </c>
    </row>
    <row r="2710" spans="1:20" x14ac:dyDescent="0.3">
      <c r="A2710" s="42">
        <v>42158</v>
      </c>
      <c r="B2710" s="69">
        <f t="shared" si="77"/>
        <v>20150603</v>
      </c>
      <c r="C2710" s="109">
        <v>2.29E-2</v>
      </c>
      <c r="D2710" s="77">
        <v>0</v>
      </c>
      <c r="E2710" s="77">
        <v>3.0000000000000001E-3</v>
      </c>
      <c r="F2710" s="77">
        <v>6.0000000000000001E-3</v>
      </c>
      <c r="G2710" s="78">
        <v>0</v>
      </c>
      <c r="H2710" s="71">
        <v>8.5</v>
      </c>
      <c r="I2710" s="71">
        <v>11.3</v>
      </c>
      <c r="J2710" s="71">
        <v>14</v>
      </c>
      <c r="K2710" s="121">
        <v>6.5000000000000006E-3</v>
      </c>
      <c r="L2710" s="80">
        <v>-1.2E-2</v>
      </c>
      <c r="M2710" s="75" t="s">
        <v>143</v>
      </c>
      <c r="N2710" s="75" t="b">
        <v>1</v>
      </c>
      <c r="O2710" s="75" t="s">
        <v>144</v>
      </c>
      <c r="P2710" s="75">
        <v>1994</v>
      </c>
      <c r="Q2710" s="107">
        <f t="shared" si="76"/>
        <v>2015</v>
      </c>
      <c r="R2710" s="107">
        <v>2</v>
      </c>
      <c r="S2710" s="100">
        <v>215032</v>
      </c>
      <c r="T2710" s="101">
        <v>42129</v>
      </c>
    </row>
    <row r="2711" spans="1:20" x14ac:dyDescent="0.3">
      <c r="A2711" s="42">
        <v>42159</v>
      </c>
      <c r="B2711" s="69">
        <f t="shared" si="77"/>
        <v>20150604</v>
      </c>
      <c r="C2711" s="109">
        <v>2.2400000000000003E-2</v>
      </c>
      <c r="D2711" s="77">
        <v>0</v>
      </c>
      <c r="E2711" s="77">
        <v>3.0000000000000001E-3</v>
      </c>
      <c r="F2711" s="77">
        <v>6.0000000000000001E-3</v>
      </c>
      <c r="G2711" s="78">
        <v>0</v>
      </c>
      <c r="H2711" s="71">
        <v>8.5</v>
      </c>
      <c r="I2711" s="71">
        <v>11.3</v>
      </c>
      <c r="J2711" s="71">
        <v>14</v>
      </c>
      <c r="K2711" s="121">
        <v>6.3E-3</v>
      </c>
      <c r="L2711" s="80">
        <v>-1.2E-2</v>
      </c>
      <c r="M2711" s="75" t="s">
        <v>143</v>
      </c>
      <c r="N2711" s="75" t="b">
        <v>1</v>
      </c>
      <c r="O2711" s="75" t="s">
        <v>144</v>
      </c>
      <c r="P2711" s="75">
        <v>1994</v>
      </c>
      <c r="Q2711" s="107">
        <f t="shared" si="76"/>
        <v>2015</v>
      </c>
      <c r="R2711" s="107">
        <v>2</v>
      </c>
      <c r="S2711" s="100">
        <v>215032</v>
      </c>
      <c r="T2711" s="101">
        <v>42129</v>
      </c>
    </row>
    <row r="2712" spans="1:20" x14ac:dyDescent="0.3">
      <c r="A2712" s="42">
        <v>42160</v>
      </c>
      <c r="B2712" s="69">
        <f t="shared" si="77"/>
        <v>20150605</v>
      </c>
      <c r="C2712" s="109">
        <v>2.3099999999999999E-2</v>
      </c>
      <c r="D2712" s="77">
        <v>0</v>
      </c>
      <c r="E2712" s="77">
        <v>3.0000000000000001E-3</v>
      </c>
      <c r="F2712" s="77">
        <v>6.0000000000000001E-3</v>
      </c>
      <c r="G2712" s="78">
        <v>0</v>
      </c>
      <c r="H2712" s="71">
        <v>8.5</v>
      </c>
      <c r="I2712" s="71">
        <v>11.3</v>
      </c>
      <c r="J2712" s="71">
        <v>14</v>
      </c>
      <c r="K2712" s="121">
        <v>6.8000000000000005E-3</v>
      </c>
      <c r="L2712" s="80">
        <v>-1.2E-2</v>
      </c>
      <c r="M2712" s="75" t="s">
        <v>143</v>
      </c>
      <c r="N2712" s="75" t="b">
        <v>1</v>
      </c>
      <c r="O2712" s="75" t="s">
        <v>144</v>
      </c>
      <c r="P2712" s="75">
        <v>1994</v>
      </c>
      <c r="Q2712" s="107">
        <f t="shared" si="76"/>
        <v>2015</v>
      </c>
      <c r="R2712" s="107">
        <v>2</v>
      </c>
      <c r="S2712" s="100">
        <v>215032</v>
      </c>
      <c r="T2712" s="101">
        <v>42129</v>
      </c>
    </row>
    <row r="2713" spans="1:20" x14ac:dyDescent="0.3">
      <c r="A2713" s="42">
        <v>42161</v>
      </c>
      <c r="B2713" s="69">
        <f t="shared" si="77"/>
        <v>20150606</v>
      </c>
      <c r="C2713" s="109">
        <v>2.3099999999999999E-2</v>
      </c>
      <c r="D2713" s="77">
        <v>0</v>
      </c>
      <c r="E2713" s="77">
        <v>3.0000000000000001E-3</v>
      </c>
      <c r="F2713" s="77">
        <v>6.0000000000000001E-3</v>
      </c>
      <c r="G2713" s="78">
        <v>0</v>
      </c>
      <c r="H2713" s="71">
        <v>8.5</v>
      </c>
      <c r="I2713" s="71">
        <v>11.3</v>
      </c>
      <c r="J2713" s="71">
        <v>14</v>
      </c>
      <c r="K2713" s="121">
        <v>6.8000000000000005E-3</v>
      </c>
      <c r="L2713" s="80">
        <v>-1.2E-2</v>
      </c>
      <c r="M2713" s="75" t="s">
        <v>143</v>
      </c>
      <c r="N2713" s="75" t="b">
        <v>1</v>
      </c>
      <c r="O2713" s="75" t="s">
        <v>144</v>
      </c>
      <c r="P2713" s="75">
        <v>1994</v>
      </c>
      <c r="Q2713" s="107">
        <f t="shared" si="76"/>
        <v>2015</v>
      </c>
      <c r="R2713" s="107">
        <v>2</v>
      </c>
      <c r="S2713" s="100">
        <v>215032</v>
      </c>
      <c r="T2713" s="101">
        <v>42129</v>
      </c>
    </row>
    <row r="2714" spans="1:20" x14ac:dyDescent="0.3">
      <c r="A2714" s="42">
        <v>42162</v>
      </c>
      <c r="B2714" s="69">
        <f t="shared" si="77"/>
        <v>20150607</v>
      </c>
      <c r="C2714" s="109">
        <v>2.3099999999999999E-2</v>
      </c>
      <c r="D2714" s="77">
        <v>0</v>
      </c>
      <c r="E2714" s="77">
        <v>3.0000000000000001E-3</v>
      </c>
      <c r="F2714" s="77">
        <v>6.0000000000000001E-3</v>
      </c>
      <c r="G2714" s="78">
        <v>0</v>
      </c>
      <c r="H2714" s="71">
        <v>8.5</v>
      </c>
      <c r="I2714" s="71">
        <v>11.3</v>
      </c>
      <c r="J2714" s="71">
        <v>14</v>
      </c>
      <c r="K2714" s="121">
        <v>6.8000000000000005E-3</v>
      </c>
      <c r="L2714" s="80">
        <v>-1.2E-2</v>
      </c>
      <c r="M2714" s="75" t="s">
        <v>143</v>
      </c>
      <c r="N2714" s="75" t="b">
        <v>1</v>
      </c>
      <c r="O2714" s="75" t="s">
        <v>144</v>
      </c>
      <c r="P2714" s="75">
        <v>1994</v>
      </c>
      <c r="Q2714" s="107">
        <f t="shared" si="76"/>
        <v>2015</v>
      </c>
      <c r="R2714" s="107">
        <v>2</v>
      </c>
      <c r="S2714" s="100">
        <v>215032</v>
      </c>
      <c r="T2714" s="101">
        <v>42129</v>
      </c>
    </row>
    <row r="2715" spans="1:20" x14ac:dyDescent="0.3">
      <c r="A2715" s="42">
        <v>42163</v>
      </c>
      <c r="B2715" s="69">
        <f t="shared" si="77"/>
        <v>20150608</v>
      </c>
      <c r="C2715" s="109">
        <v>2.3E-2</v>
      </c>
      <c r="D2715" s="77">
        <v>0</v>
      </c>
      <c r="E2715" s="77">
        <v>3.0000000000000001E-3</v>
      </c>
      <c r="F2715" s="77">
        <v>6.0000000000000001E-3</v>
      </c>
      <c r="G2715" s="78">
        <v>0</v>
      </c>
      <c r="H2715" s="71">
        <v>8.5</v>
      </c>
      <c r="I2715" s="71">
        <v>11.3</v>
      </c>
      <c r="J2715" s="71">
        <v>14</v>
      </c>
      <c r="K2715" s="121">
        <v>6.8000000000000005E-3</v>
      </c>
      <c r="L2715" s="80">
        <v>-1.2E-2</v>
      </c>
      <c r="M2715" s="75" t="s">
        <v>143</v>
      </c>
      <c r="N2715" s="75" t="b">
        <v>1</v>
      </c>
      <c r="O2715" s="75" t="s">
        <v>144</v>
      </c>
      <c r="P2715" s="75">
        <v>1994</v>
      </c>
      <c r="Q2715" s="107">
        <f t="shared" si="76"/>
        <v>2015</v>
      </c>
      <c r="R2715" s="107">
        <v>2</v>
      </c>
      <c r="S2715" s="100">
        <v>215032</v>
      </c>
      <c r="T2715" s="101">
        <v>42129</v>
      </c>
    </row>
    <row r="2716" spans="1:20" x14ac:dyDescent="0.3">
      <c r="A2716" s="42">
        <v>42164</v>
      </c>
      <c r="B2716" s="69">
        <f t="shared" si="77"/>
        <v>20150609</v>
      </c>
      <c r="C2716" s="109">
        <v>2.3599999999999999E-2</v>
      </c>
      <c r="D2716" s="77">
        <v>0</v>
      </c>
      <c r="E2716" s="77">
        <v>3.0000000000000001E-3</v>
      </c>
      <c r="F2716" s="77">
        <v>6.0000000000000001E-3</v>
      </c>
      <c r="G2716" s="78">
        <v>0</v>
      </c>
      <c r="H2716" s="71">
        <v>8.5</v>
      </c>
      <c r="I2716" s="71">
        <v>11.3</v>
      </c>
      <c r="J2716" s="71">
        <v>14</v>
      </c>
      <c r="K2716" s="121">
        <v>7.1999999999999998E-3</v>
      </c>
      <c r="L2716" s="80">
        <v>-1.2E-2</v>
      </c>
      <c r="M2716" s="75" t="s">
        <v>143</v>
      </c>
      <c r="N2716" s="75" t="b">
        <v>1</v>
      </c>
      <c r="O2716" s="75" t="s">
        <v>144</v>
      </c>
      <c r="P2716" s="75">
        <v>1994</v>
      </c>
      <c r="Q2716" s="107">
        <f t="shared" si="76"/>
        <v>2015</v>
      </c>
      <c r="R2716" s="107">
        <v>2</v>
      </c>
      <c r="S2716" s="100">
        <v>215032</v>
      </c>
      <c r="T2716" s="101">
        <v>42129</v>
      </c>
    </row>
    <row r="2717" spans="1:20" x14ac:dyDescent="0.3">
      <c r="A2717" s="42">
        <v>42165</v>
      </c>
      <c r="B2717" s="69">
        <f t="shared" si="77"/>
        <v>20150610</v>
      </c>
      <c r="C2717" s="109">
        <v>2.4E-2</v>
      </c>
      <c r="D2717" s="77">
        <v>0</v>
      </c>
      <c r="E2717" s="77">
        <v>3.0000000000000001E-3</v>
      </c>
      <c r="F2717" s="77">
        <v>6.0000000000000001E-3</v>
      </c>
      <c r="G2717" s="78">
        <v>0</v>
      </c>
      <c r="H2717" s="71">
        <v>8.5</v>
      </c>
      <c r="I2717" s="71">
        <v>11.3</v>
      </c>
      <c r="J2717" s="71">
        <v>14</v>
      </c>
      <c r="K2717" s="121">
        <v>7.4999999999999997E-3</v>
      </c>
      <c r="L2717" s="80">
        <v>-1.2E-2</v>
      </c>
      <c r="M2717" s="75" t="s">
        <v>143</v>
      </c>
      <c r="N2717" s="75" t="b">
        <v>1</v>
      </c>
      <c r="O2717" s="75" t="s">
        <v>144</v>
      </c>
      <c r="P2717" s="75">
        <v>1994</v>
      </c>
      <c r="Q2717" s="107">
        <f t="shared" si="76"/>
        <v>2015</v>
      </c>
      <c r="R2717" s="107">
        <v>2</v>
      </c>
      <c r="S2717" s="100">
        <v>215032</v>
      </c>
      <c r="T2717" s="101">
        <v>42129</v>
      </c>
    </row>
    <row r="2718" spans="1:20" x14ac:dyDescent="0.3">
      <c r="A2718" s="42">
        <v>42166</v>
      </c>
      <c r="B2718" s="69">
        <f t="shared" si="77"/>
        <v>20150611</v>
      </c>
      <c r="C2718" s="109">
        <v>2.3300000000000001E-2</v>
      </c>
      <c r="D2718" s="77">
        <v>0</v>
      </c>
      <c r="E2718" s="77">
        <v>3.0000000000000001E-3</v>
      </c>
      <c r="F2718" s="77">
        <v>6.0000000000000001E-3</v>
      </c>
      <c r="G2718" s="78">
        <v>0</v>
      </c>
      <c r="H2718" s="71">
        <v>8.5</v>
      </c>
      <c r="I2718" s="71">
        <v>11.3</v>
      </c>
      <c r="J2718" s="71">
        <v>14</v>
      </c>
      <c r="K2718" s="121">
        <v>6.9999999999999993E-3</v>
      </c>
      <c r="L2718" s="80">
        <v>-1.2E-2</v>
      </c>
      <c r="M2718" s="75" t="s">
        <v>143</v>
      </c>
      <c r="N2718" s="75" t="b">
        <v>1</v>
      </c>
      <c r="O2718" s="75" t="s">
        <v>144</v>
      </c>
      <c r="P2718" s="75">
        <v>1994</v>
      </c>
      <c r="Q2718" s="107">
        <f t="shared" si="76"/>
        <v>2015</v>
      </c>
      <c r="R2718" s="107">
        <v>2</v>
      </c>
      <c r="S2718" s="100">
        <v>215032</v>
      </c>
      <c r="T2718" s="101">
        <v>42129</v>
      </c>
    </row>
    <row r="2719" spans="1:20" x14ac:dyDescent="0.3">
      <c r="A2719" s="42">
        <v>42167</v>
      </c>
      <c r="B2719" s="69">
        <f t="shared" si="77"/>
        <v>20150612</v>
      </c>
      <c r="C2719" s="109">
        <v>2.3099999999999999E-2</v>
      </c>
      <c r="D2719" s="77">
        <v>0</v>
      </c>
      <c r="E2719" s="77">
        <v>3.0000000000000001E-3</v>
      </c>
      <c r="F2719" s="77">
        <v>6.0000000000000001E-3</v>
      </c>
      <c r="G2719" s="78">
        <v>0</v>
      </c>
      <c r="H2719" s="71">
        <v>8.5</v>
      </c>
      <c r="I2719" s="71">
        <v>11.3</v>
      </c>
      <c r="J2719" s="71">
        <v>14</v>
      </c>
      <c r="K2719" s="121">
        <v>6.8000000000000005E-3</v>
      </c>
      <c r="L2719" s="80">
        <v>-1.2E-2</v>
      </c>
      <c r="M2719" s="75" t="s">
        <v>143</v>
      </c>
      <c r="N2719" s="75" t="b">
        <v>1</v>
      </c>
      <c r="O2719" s="75" t="s">
        <v>144</v>
      </c>
      <c r="P2719" s="75">
        <v>1994</v>
      </c>
      <c r="Q2719" s="107">
        <f t="shared" si="76"/>
        <v>2015</v>
      </c>
      <c r="R2719" s="107">
        <v>2</v>
      </c>
      <c r="S2719" s="100">
        <v>215032</v>
      </c>
      <c r="T2719" s="101">
        <v>42129</v>
      </c>
    </row>
    <row r="2720" spans="1:20" x14ac:dyDescent="0.3">
      <c r="A2720" s="42">
        <v>42168</v>
      </c>
      <c r="B2720" s="69">
        <f t="shared" si="77"/>
        <v>20150613</v>
      </c>
      <c r="C2720" s="109">
        <v>2.3099999999999999E-2</v>
      </c>
      <c r="D2720" s="77">
        <v>0</v>
      </c>
      <c r="E2720" s="77">
        <v>3.0000000000000001E-3</v>
      </c>
      <c r="F2720" s="77">
        <v>6.0000000000000001E-3</v>
      </c>
      <c r="G2720" s="78">
        <v>0</v>
      </c>
      <c r="H2720" s="71">
        <v>8.5</v>
      </c>
      <c r="I2720" s="71">
        <v>11.3</v>
      </c>
      <c r="J2720" s="71">
        <v>14</v>
      </c>
      <c r="K2720" s="121">
        <v>6.8000000000000005E-3</v>
      </c>
      <c r="L2720" s="80">
        <v>-1.2E-2</v>
      </c>
      <c r="M2720" s="75" t="s">
        <v>143</v>
      </c>
      <c r="N2720" s="75" t="b">
        <v>1</v>
      </c>
      <c r="O2720" s="75" t="s">
        <v>144</v>
      </c>
      <c r="P2720" s="75">
        <v>1994</v>
      </c>
      <c r="Q2720" s="107">
        <f t="shared" si="76"/>
        <v>2015</v>
      </c>
      <c r="R2720" s="107">
        <v>2</v>
      </c>
      <c r="S2720" s="100">
        <v>215032</v>
      </c>
      <c r="T2720" s="101">
        <v>42129</v>
      </c>
    </row>
    <row r="2721" spans="1:20" x14ac:dyDescent="0.3">
      <c r="A2721" s="42">
        <v>42169</v>
      </c>
      <c r="B2721" s="69">
        <f t="shared" si="77"/>
        <v>20150614</v>
      </c>
      <c r="C2721" s="109">
        <v>2.3099999999999999E-2</v>
      </c>
      <c r="D2721" s="77">
        <v>0</v>
      </c>
      <c r="E2721" s="77">
        <v>3.0000000000000001E-3</v>
      </c>
      <c r="F2721" s="77">
        <v>6.0000000000000001E-3</v>
      </c>
      <c r="G2721" s="78">
        <v>0</v>
      </c>
      <c r="H2721" s="71">
        <v>8.5</v>
      </c>
      <c r="I2721" s="71">
        <v>11.3</v>
      </c>
      <c r="J2721" s="71">
        <v>14</v>
      </c>
      <c r="K2721" s="121">
        <v>6.8000000000000005E-3</v>
      </c>
      <c r="L2721" s="80">
        <v>-1.2E-2</v>
      </c>
      <c r="M2721" s="75" t="s">
        <v>143</v>
      </c>
      <c r="N2721" s="75" t="b">
        <v>1</v>
      </c>
      <c r="O2721" s="75" t="s">
        <v>144</v>
      </c>
      <c r="P2721" s="75">
        <v>1994</v>
      </c>
      <c r="Q2721" s="107">
        <f t="shared" si="76"/>
        <v>2015</v>
      </c>
      <c r="R2721" s="107">
        <v>2</v>
      </c>
      <c r="S2721" s="100">
        <v>215032</v>
      </c>
      <c r="T2721" s="101">
        <v>42129</v>
      </c>
    </row>
    <row r="2722" spans="1:20" x14ac:dyDescent="0.3">
      <c r="A2722" s="42">
        <v>42170</v>
      </c>
      <c r="B2722" s="69">
        <f t="shared" si="77"/>
        <v>20150615</v>
      </c>
      <c r="C2722" s="109">
        <v>2.2799999999999997E-2</v>
      </c>
      <c r="D2722" s="77">
        <v>0</v>
      </c>
      <c r="E2722" s="77">
        <v>3.0000000000000001E-3</v>
      </c>
      <c r="F2722" s="77">
        <v>6.0000000000000001E-3</v>
      </c>
      <c r="G2722" s="78">
        <v>0</v>
      </c>
      <c r="H2722" s="71">
        <v>8.5</v>
      </c>
      <c r="I2722" s="71">
        <v>11.3</v>
      </c>
      <c r="J2722" s="71">
        <v>14</v>
      </c>
      <c r="K2722" s="121">
        <v>6.5000000000000006E-3</v>
      </c>
      <c r="L2722" s="80">
        <v>-1.2E-2</v>
      </c>
      <c r="M2722" s="75" t="s">
        <v>143</v>
      </c>
      <c r="N2722" s="75" t="b">
        <v>1</v>
      </c>
      <c r="O2722" s="75" t="s">
        <v>144</v>
      </c>
      <c r="P2722" s="75">
        <v>1994</v>
      </c>
      <c r="Q2722" s="107">
        <f t="shared" si="76"/>
        <v>2015</v>
      </c>
      <c r="R2722" s="107">
        <v>2</v>
      </c>
      <c r="S2722" s="100">
        <v>215032</v>
      </c>
      <c r="T2722" s="101">
        <v>42129</v>
      </c>
    </row>
    <row r="2723" spans="1:20" x14ac:dyDescent="0.3">
      <c r="A2723" s="42">
        <v>42171</v>
      </c>
      <c r="B2723" s="69">
        <f t="shared" si="77"/>
        <v>20150616</v>
      </c>
      <c r="C2723" s="109">
        <v>2.2499999999999999E-2</v>
      </c>
      <c r="D2723" s="77">
        <v>0</v>
      </c>
      <c r="E2723" s="77">
        <v>3.0000000000000001E-3</v>
      </c>
      <c r="F2723" s="77">
        <v>6.0000000000000001E-3</v>
      </c>
      <c r="G2723" s="78">
        <v>0</v>
      </c>
      <c r="H2723" s="71">
        <v>8.5</v>
      </c>
      <c r="I2723" s="71">
        <v>11.3</v>
      </c>
      <c r="J2723" s="71">
        <v>14</v>
      </c>
      <c r="K2723" s="121">
        <v>6.0999999999999995E-3</v>
      </c>
      <c r="L2723" s="80">
        <v>-1.2E-2</v>
      </c>
      <c r="M2723" s="75" t="s">
        <v>143</v>
      </c>
      <c r="N2723" s="75" t="b">
        <v>1</v>
      </c>
      <c r="O2723" s="75" t="s">
        <v>144</v>
      </c>
      <c r="P2723" s="75">
        <v>1994</v>
      </c>
      <c r="Q2723" s="107">
        <f t="shared" si="76"/>
        <v>2015</v>
      </c>
      <c r="R2723" s="107">
        <v>2</v>
      </c>
      <c r="S2723" s="100">
        <v>215032</v>
      </c>
      <c r="T2723" s="101">
        <v>42129</v>
      </c>
    </row>
    <row r="2724" spans="1:20" x14ac:dyDescent="0.3">
      <c r="A2724" s="42">
        <v>42172</v>
      </c>
      <c r="B2724" s="69">
        <f t="shared" si="77"/>
        <v>20150617</v>
      </c>
      <c r="C2724" s="109">
        <v>2.2700000000000001E-2</v>
      </c>
      <c r="D2724" s="77">
        <v>0</v>
      </c>
      <c r="E2724" s="77">
        <v>3.0000000000000001E-3</v>
      </c>
      <c r="F2724" s="77">
        <v>6.0000000000000001E-3</v>
      </c>
      <c r="G2724" s="78">
        <v>0</v>
      </c>
      <c r="H2724" s="71">
        <v>8.5</v>
      </c>
      <c r="I2724" s="71">
        <v>11.3</v>
      </c>
      <c r="J2724" s="71">
        <v>14</v>
      </c>
      <c r="K2724" s="121">
        <v>6.0000000000000001E-3</v>
      </c>
      <c r="L2724" s="80">
        <v>-1.2E-2</v>
      </c>
      <c r="M2724" s="75" t="s">
        <v>143</v>
      </c>
      <c r="N2724" s="75" t="b">
        <v>1</v>
      </c>
      <c r="O2724" s="75" t="s">
        <v>144</v>
      </c>
      <c r="P2724" s="75">
        <v>1994</v>
      </c>
      <c r="Q2724" s="107">
        <f t="shared" si="76"/>
        <v>2015</v>
      </c>
      <c r="R2724" s="107">
        <v>2</v>
      </c>
      <c r="S2724" s="100">
        <v>215032</v>
      </c>
      <c r="T2724" s="101">
        <v>42129</v>
      </c>
    </row>
    <row r="2725" spans="1:20" x14ac:dyDescent="0.3">
      <c r="A2725" s="42">
        <v>42173</v>
      </c>
      <c r="B2725" s="69">
        <f t="shared" si="77"/>
        <v>20150618</v>
      </c>
      <c r="C2725" s="109">
        <v>2.3E-2</v>
      </c>
      <c r="D2725" s="77">
        <v>0</v>
      </c>
      <c r="E2725" s="77">
        <v>3.0000000000000001E-3</v>
      </c>
      <c r="F2725" s="77">
        <v>6.0000000000000001E-3</v>
      </c>
      <c r="G2725" s="78">
        <v>0</v>
      </c>
      <c r="H2725" s="71">
        <v>8.5</v>
      </c>
      <c r="I2725" s="71">
        <v>11.3</v>
      </c>
      <c r="J2725" s="71">
        <v>14</v>
      </c>
      <c r="K2725" s="121">
        <v>6.1999999999999998E-3</v>
      </c>
      <c r="L2725" s="80">
        <v>-1.2E-2</v>
      </c>
      <c r="M2725" s="75" t="s">
        <v>143</v>
      </c>
      <c r="N2725" s="75" t="b">
        <v>1</v>
      </c>
      <c r="O2725" s="75" t="s">
        <v>144</v>
      </c>
      <c r="P2725" s="75">
        <v>1994</v>
      </c>
      <c r="Q2725" s="107">
        <f t="shared" si="76"/>
        <v>2015</v>
      </c>
      <c r="R2725" s="107">
        <v>2</v>
      </c>
      <c r="S2725" s="100">
        <v>215032</v>
      </c>
      <c r="T2725" s="101">
        <v>42129</v>
      </c>
    </row>
    <row r="2726" spans="1:20" x14ac:dyDescent="0.3">
      <c r="A2726" s="42">
        <v>42174</v>
      </c>
      <c r="B2726" s="69">
        <f t="shared" si="77"/>
        <v>20150619</v>
      </c>
      <c r="C2726" s="109">
        <v>2.2400000000000003E-2</v>
      </c>
      <c r="D2726" s="77">
        <v>0</v>
      </c>
      <c r="E2726" s="77">
        <v>3.0000000000000001E-3</v>
      </c>
      <c r="F2726" s="77">
        <v>6.0000000000000001E-3</v>
      </c>
      <c r="G2726" s="78">
        <v>0</v>
      </c>
      <c r="H2726" s="71">
        <v>8.5</v>
      </c>
      <c r="I2726" s="71">
        <v>11.3</v>
      </c>
      <c r="J2726" s="71">
        <v>14</v>
      </c>
      <c r="K2726" s="121">
        <v>5.6000000000000008E-3</v>
      </c>
      <c r="L2726" s="80">
        <v>-1.2E-2</v>
      </c>
      <c r="M2726" s="75" t="s">
        <v>143</v>
      </c>
      <c r="N2726" s="75" t="b">
        <v>1</v>
      </c>
      <c r="O2726" s="75" t="s">
        <v>144</v>
      </c>
      <c r="P2726" s="75">
        <v>1994</v>
      </c>
      <c r="Q2726" s="107">
        <f t="shared" si="76"/>
        <v>2015</v>
      </c>
      <c r="R2726" s="107">
        <v>2</v>
      </c>
      <c r="S2726" s="100">
        <v>215032</v>
      </c>
      <c r="T2726" s="101">
        <v>42129</v>
      </c>
    </row>
    <row r="2727" spans="1:20" x14ac:dyDescent="0.3">
      <c r="A2727" s="42">
        <v>42175</v>
      </c>
      <c r="B2727" s="69">
        <f t="shared" si="77"/>
        <v>20150620</v>
      </c>
      <c r="C2727" s="109">
        <v>2.2400000000000003E-2</v>
      </c>
      <c r="D2727" s="77">
        <v>0</v>
      </c>
      <c r="E2727" s="77">
        <v>3.0000000000000001E-3</v>
      </c>
      <c r="F2727" s="77">
        <v>6.0000000000000001E-3</v>
      </c>
      <c r="G2727" s="78">
        <v>0</v>
      </c>
      <c r="H2727" s="71">
        <v>8.5</v>
      </c>
      <c r="I2727" s="71">
        <v>11.3</v>
      </c>
      <c r="J2727" s="71">
        <v>14</v>
      </c>
      <c r="K2727" s="121">
        <v>5.6000000000000008E-3</v>
      </c>
      <c r="L2727" s="80">
        <v>-1.2E-2</v>
      </c>
      <c r="M2727" s="75" t="s">
        <v>143</v>
      </c>
      <c r="N2727" s="75" t="b">
        <v>1</v>
      </c>
      <c r="O2727" s="75" t="s">
        <v>144</v>
      </c>
      <c r="P2727" s="75">
        <v>1994</v>
      </c>
      <c r="Q2727" s="107">
        <f t="shared" si="76"/>
        <v>2015</v>
      </c>
      <c r="R2727" s="107">
        <v>2</v>
      </c>
      <c r="S2727" s="100">
        <v>215032</v>
      </c>
      <c r="T2727" s="101">
        <v>42129</v>
      </c>
    </row>
    <row r="2728" spans="1:20" x14ac:dyDescent="0.3">
      <c r="A2728" s="42">
        <v>42176</v>
      </c>
      <c r="B2728" s="69">
        <f t="shared" si="77"/>
        <v>20150621</v>
      </c>
      <c r="C2728" s="109">
        <v>2.2400000000000003E-2</v>
      </c>
      <c r="D2728" s="77">
        <v>0</v>
      </c>
      <c r="E2728" s="77">
        <v>3.0000000000000001E-3</v>
      </c>
      <c r="F2728" s="77">
        <v>6.0000000000000001E-3</v>
      </c>
      <c r="G2728" s="78">
        <v>0</v>
      </c>
      <c r="H2728" s="71">
        <v>8.5</v>
      </c>
      <c r="I2728" s="71">
        <v>11.3</v>
      </c>
      <c r="J2728" s="71">
        <v>14</v>
      </c>
      <c r="K2728" s="121">
        <v>5.6000000000000008E-3</v>
      </c>
      <c r="L2728" s="80">
        <v>-1.2E-2</v>
      </c>
      <c r="M2728" s="75" t="s">
        <v>143</v>
      </c>
      <c r="N2728" s="75" t="b">
        <v>1</v>
      </c>
      <c r="O2728" s="75" t="s">
        <v>144</v>
      </c>
      <c r="P2728" s="75">
        <v>1994</v>
      </c>
      <c r="Q2728" s="107">
        <f t="shared" si="76"/>
        <v>2015</v>
      </c>
      <c r="R2728" s="107">
        <v>2</v>
      </c>
      <c r="S2728" s="100">
        <v>215032</v>
      </c>
      <c r="T2728" s="101">
        <v>42129</v>
      </c>
    </row>
    <row r="2729" spans="1:20" x14ac:dyDescent="0.3">
      <c r="A2729" s="42">
        <v>42177</v>
      </c>
      <c r="B2729" s="69">
        <f t="shared" si="77"/>
        <v>20150622</v>
      </c>
      <c r="C2729" s="109">
        <v>2.3099999999999999E-2</v>
      </c>
      <c r="D2729" s="77">
        <v>0</v>
      </c>
      <c r="E2729" s="77">
        <v>3.0000000000000001E-3</v>
      </c>
      <c r="F2729" s="77">
        <v>6.0000000000000001E-3</v>
      </c>
      <c r="G2729" s="78">
        <v>0</v>
      </c>
      <c r="H2729" s="71">
        <v>8.5</v>
      </c>
      <c r="I2729" s="71">
        <v>11.3</v>
      </c>
      <c r="J2729" s="71">
        <v>14</v>
      </c>
      <c r="K2729" s="121">
        <v>6.3E-3</v>
      </c>
      <c r="L2729" s="80">
        <v>-1.2E-2</v>
      </c>
      <c r="M2729" s="75" t="s">
        <v>143</v>
      </c>
      <c r="N2729" s="75" t="b">
        <v>1</v>
      </c>
      <c r="O2729" s="75" t="s">
        <v>144</v>
      </c>
      <c r="P2729" s="75">
        <v>1994</v>
      </c>
      <c r="Q2729" s="107">
        <f t="shared" si="76"/>
        <v>2015</v>
      </c>
      <c r="R2729" s="107">
        <v>2</v>
      </c>
      <c r="S2729" s="100">
        <v>215032</v>
      </c>
      <c r="T2729" s="101">
        <v>42129</v>
      </c>
    </row>
    <row r="2730" spans="1:20" x14ac:dyDescent="0.3">
      <c r="A2730" s="42">
        <v>42178</v>
      </c>
      <c r="B2730" s="69">
        <f t="shared" si="77"/>
        <v>20150623</v>
      </c>
      <c r="C2730" s="109">
        <v>2.3300000000000001E-2</v>
      </c>
      <c r="D2730" s="77">
        <v>0</v>
      </c>
      <c r="E2730" s="77">
        <v>3.0000000000000001E-3</v>
      </c>
      <c r="F2730" s="77">
        <v>6.0000000000000001E-3</v>
      </c>
      <c r="G2730" s="78">
        <v>0</v>
      </c>
      <c r="H2730" s="71">
        <v>8.5</v>
      </c>
      <c r="I2730" s="71">
        <v>11.3</v>
      </c>
      <c r="J2730" s="71">
        <v>14</v>
      </c>
      <c r="K2730" s="121">
        <v>6.4000000000000003E-3</v>
      </c>
      <c r="L2730" s="80">
        <v>-1.2E-2</v>
      </c>
      <c r="M2730" s="75" t="s">
        <v>143</v>
      </c>
      <c r="N2730" s="75" t="b">
        <v>1</v>
      </c>
      <c r="O2730" s="75" t="s">
        <v>144</v>
      </c>
      <c r="P2730" s="75">
        <v>1994</v>
      </c>
      <c r="Q2730" s="107">
        <f t="shared" si="76"/>
        <v>2015</v>
      </c>
      <c r="R2730" s="107">
        <v>2</v>
      </c>
      <c r="S2730" s="100">
        <v>215032</v>
      </c>
      <c r="T2730" s="101">
        <v>42129</v>
      </c>
    </row>
    <row r="2731" spans="1:20" x14ac:dyDescent="0.3">
      <c r="A2731" s="42">
        <v>42179</v>
      </c>
      <c r="B2731" s="69">
        <f t="shared" si="77"/>
        <v>20150624</v>
      </c>
      <c r="C2731" s="109">
        <v>2.29E-2</v>
      </c>
      <c r="D2731" s="77">
        <v>0</v>
      </c>
      <c r="E2731" s="77">
        <v>3.0000000000000001E-3</v>
      </c>
      <c r="F2731" s="77">
        <v>6.0000000000000001E-3</v>
      </c>
      <c r="G2731" s="78">
        <v>0</v>
      </c>
      <c r="H2731" s="71">
        <v>8.5</v>
      </c>
      <c r="I2731" s="71">
        <v>11.3</v>
      </c>
      <c r="J2731" s="71">
        <v>14</v>
      </c>
      <c r="K2731" s="121">
        <v>6.0999999999999995E-3</v>
      </c>
      <c r="L2731" s="80">
        <v>-1.2E-2</v>
      </c>
      <c r="M2731" s="75" t="s">
        <v>143</v>
      </c>
      <c r="N2731" s="75" t="b">
        <v>1</v>
      </c>
      <c r="O2731" s="75" t="s">
        <v>144</v>
      </c>
      <c r="P2731" s="75">
        <v>1994</v>
      </c>
      <c r="Q2731" s="107">
        <f t="shared" si="76"/>
        <v>2015</v>
      </c>
      <c r="R2731" s="107">
        <v>2</v>
      </c>
      <c r="S2731" s="100">
        <v>215032</v>
      </c>
      <c r="T2731" s="101">
        <v>42129</v>
      </c>
    </row>
    <row r="2732" spans="1:20" x14ac:dyDescent="0.3">
      <c r="A2732" s="42">
        <v>42180</v>
      </c>
      <c r="B2732" s="69">
        <f t="shared" si="77"/>
        <v>20150625</v>
      </c>
      <c r="C2732" s="109">
        <v>2.3199999999999998E-2</v>
      </c>
      <c r="D2732" s="77">
        <v>0</v>
      </c>
      <c r="E2732" s="77">
        <v>3.0000000000000001E-3</v>
      </c>
      <c r="F2732" s="77">
        <v>6.0000000000000001E-3</v>
      </c>
      <c r="G2732" s="78">
        <v>0</v>
      </c>
      <c r="H2732" s="71">
        <v>8.5</v>
      </c>
      <c r="I2732" s="71">
        <v>11.3</v>
      </c>
      <c r="J2732" s="71">
        <v>14</v>
      </c>
      <c r="K2732" s="121">
        <v>6.4000000000000003E-3</v>
      </c>
      <c r="L2732" s="80">
        <v>-1.2E-2</v>
      </c>
      <c r="M2732" s="75" t="s">
        <v>143</v>
      </c>
      <c r="N2732" s="75" t="b">
        <v>1</v>
      </c>
      <c r="O2732" s="75" t="s">
        <v>144</v>
      </c>
      <c r="P2732" s="75">
        <v>1994</v>
      </c>
      <c r="Q2732" s="107">
        <f t="shared" si="76"/>
        <v>2015</v>
      </c>
      <c r="R2732" s="107">
        <v>2</v>
      </c>
      <c r="S2732" s="100">
        <v>215032</v>
      </c>
      <c r="T2732" s="101">
        <v>42129</v>
      </c>
    </row>
    <row r="2733" spans="1:20" x14ac:dyDescent="0.3">
      <c r="A2733" s="42">
        <v>42181</v>
      </c>
      <c r="B2733" s="69">
        <f t="shared" si="77"/>
        <v>20150626</v>
      </c>
      <c r="C2733" s="109">
        <v>2.3700000000000002E-2</v>
      </c>
      <c r="D2733" s="77">
        <v>0</v>
      </c>
      <c r="E2733" s="77">
        <v>3.0000000000000001E-3</v>
      </c>
      <c r="F2733" s="77">
        <v>6.0000000000000001E-3</v>
      </c>
      <c r="G2733" s="78">
        <v>0</v>
      </c>
      <c r="H2733" s="71">
        <v>8.5</v>
      </c>
      <c r="I2733" s="71">
        <v>11.3</v>
      </c>
      <c r="J2733" s="71">
        <v>14</v>
      </c>
      <c r="K2733" s="121">
        <v>6.8000000000000005E-3</v>
      </c>
      <c r="L2733" s="80">
        <v>-1.2E-2</v>
      </c>
      <c r="M2733" s="75" t="s">
        <v>143</v>
      </c>
      <c r="N2733" s="75" t="b">
        <v>1</v>
      </c>
      <c r="O2733" s="75" t="s">
        <v>144</v>
      </c>
      <c r="P2733" s="75">
        <v>1994</v>
      </c>
      <c r="Q2733" s="107">
        <f t="shared" si="76"/>
        <v>2015</v>
      </c>
      <c r="R2733" s="107">
        <v>2</v>
      </c>
      <c r="S2733" s="100">
        <v>215032</v>
      </c>
      <c r="T2733" s="101">
        <v>42129</v>
      </c>
    </row>
    <row r="2734" spans="1:20" x14ac:dyDescent="0.3">
      <c r="A2734" s="42">
        <v>42182</v>
      </c>
      <c r="B2734" s="69">
        <f t="shared" si="77"/>
        <v>20150627</v>
      </c>
      <c r="C2734" s="109">
        <v>2.3700000000000002E-2</v>
      </c>
      <c r="D2734" s="77">
        <v>0</v>
      </c>
      <c r="E2734" s="77">
        <v>3.0000000000000001E-3</v>
      </c>
      <c r="F2734" s="77">
        <v>6.0000000000000001E-3</v>
      </c>
      <c r="G2734" s="78">
        <v>0</v>
      </c>
      <c r="H2734" s="71">
        <v>8.5</v>
      </c>
      <c r="I2734" s="71">
        <v>11.3</v>
      </c>
      <c r="J2734" s="71">
        <v>14</v>
      </c>
      <c r="K2734" s="121">
        <v>6.8000000000000005E-3</v>
      </c>
      <c r="L2734" s="80">
        <v>-1.2E-2</v>
      </c>
      <c r="M2734" s="75" t="s">
        <v>143</v>
      </c>
      <c r="N2734" s="75" t="b">
        <v>1</v>
      </c>
      <c r="O2734" s="75" t="s">
        <v>144</v>
      </c>
      <c r="P2734" s="75">
        <v>1994</v>
      </c>
      <c r="Q2734" s="107">
        <f t="shared" ref="Q2734:Q2797" si="78">YEAR(A2734)</f>
        <v>2015</v>
      </c>
      <c r="R2734" s="107">
        <v>2</v>
      </c>
      <c r="S2734" s="100">
        <v>215032</v>
      </c>
      <c r="T2734" s="101">
        <v>42129</v>
      </c>
    </row>
    <row r="2735" spans="1:20" x14ac:dyDescent="0.3">
      <c r="A2735" s="42">
        <v>42183</v>
      </c>
      <c r="B2735" s="69">
        <f t="shared" si="77"/>
        <v>20150628</v>
      </c>
      <c r="C2735" s="109">
        <v>2.3700000000000002E-2</v>
      </c>
      <c r="D2735" s="77">
        <v>0</v>
      </c>
      <c r="E2735" s="77">
        <v>3.0000000000000001E-3</v>
      </c>
      <c r="F2735" s="77">
        <v>6.0000000000000001E-3</v>
      </c>
      <c r="G2735" s="78">
        <v>0</v>
      </c>
      <c r="H2735" s="71">
        <v>8.5</v>
      </c>
      <c r="I2735" s="71">
        <v>11.3</v>
      </c>
      <c r="J2735" s="71">
        <v>14</v>
      </c>
      <c r="K2735" s="121">
        <v>6.8000000000000005E-3</v>
      </c>
      <c r="L2735" s="80">
        <v>-1.2E-2</v>
      </c>
      <c r="M2735" s="75" t="s">
        <v>143</v>
      </c>
      <c r="N2735" s="75" t="b">
        <v>1</v>
      </c>
      <c r="O2735" s="75" t="s">
        <v>144</v>
      </c>
      <c r="P2735" s="75">
        <v>1994</v>
      </c>
      <c r="Q2735" s="107">
        <f t="shared" si="78"/>
        <v>2015</v>
      </c>
      <c r="R2735" s="107">
        <v>2</v>
      </c>
      <c r="S2735" s="100">
        <v>215032</v>
      </c>
      <c r="T2735" s="101">
        <v>42129</v>
      </c>
    </row>
    <row r="2736" spans="1:20" x14ac:dyDescent="0.3">
      <c r="A2736" s="42">
        <v>42184</v>
      </c>
      <c r="B2736" s="69">
        <f t="shared" si="77"/>
        <v>20150629</v>
      </c>
      <c r="C2736" s="109">
        <v>2.2599999999999999E-2</v>
      </c>
      <c r="D2736" s="77">
        <v>0</v>
      </c>
      <c r="E2736" s="77">
        <v>3.0000000000000001E-3</v>
      </c>
      <c r="F2736" s="77">
        <v>6.0000000000000001E-3</v>
      </c>
      <c r="G2736" s="78">
        <v>0</v>
      </c>
      <c r="H2736" s="71">
        <v>8.5</v>
      </c>
      <c r="I2736" s="71">
        <v>11.3</v>
      </c>
      <c r="J2736" s="71">
        <v>14</v>
      </c>
      <c r="K2736" s="121">
        <v>5.8999999999999999E-3</v>
      </c>
      <c r="L2736" s="80">
        <v>-1.2E-2</v>
      </c>
      <c r="M2736" s="75" t="s">
        <v>143</v>
      </c>
      <c r="N2736" s="75" t="b">
        <v>1</v>
      </c>
      <c r="O2736" s="75" t="s">
        <v>144</v>
      </c>
      <c r="P2736" s="75">
        <v>1994</v>
      </c>
      <c r="Q2736" s="107">
        <f t="shared" si="78"/>
        <v>2015</v>
      </c>
      <c r="R2736" s="107">
        <v>2</v>
      </c>
      <c r="S2736" s="100">
        <v>215032</v>
      </c>
      <c r="T2736" s="101">
        <v>42129</v>
      </c>
    </row>
    <row r="2737" spans="1:21" s="99" customFormat="1" x14ac:dyDescent="0.3">
      <c r="A2737" s="85">
        <v>42185</v>
      </c>
      <c r="B2737" s="86">
        <f t="shared" si="77"/>
        <v>20150630</v>
      </c>
      <c r="C2737" s="87">
        <v>2.2100000000000002E-2</v>
      </c>
      <c r="D2737" s="89">
        <v>-2E-3</v>
      </c>
      <c r="E2737" s="108">
        <v>3.0000000000000001E-3</v>
      </c>
      <c r="F2737" s="108">
        <v>6.0000000000000001E-3</v>
      </c>
      <c r="G2737" s="103">
        <v>0</v>
      </c>
      <c r="H2737" s="119">
        <v>8.3000000000000007</v>
      </c>
      <c r="I2737" s="119">
        <v>10.9</v>
      </c>
      <c r="J2737" s="119">
        <v>13.6</v>
      </c>
      <c r="K2737" s="92">
        <v>5.4999999999999997E-3</v>
      </c>
      <c r="L2737" s="92">
        <v>-1.2E-2</v>
      </c>
      <c r="M2737" s="98" t="s">
        <v>143</v>
      </c>
      <c r="N2737" s="98" t="b">
        <v>1</v>
      </c>
      <c r="O2737" s="98" t="s">
        <v>144</v>
      </c>
      <c r="P2737" s="98">
        <v>1994</v>
      </c>
      <c r="Q2737" s="105">
        <f t="shared" si="78"/>
        <v>2015</v>
      </c>
      <c r="R2737" s="105">
        <v>2</v>
      </c>
      <c r="S2737" s="93">
        <v>215064</v>
      </c>
      <c r="T2737" s="94">
        <v>42220</v>
      </c>
      <c r="U2737" s="95" t="s">
        <v>176</v>
      </c>
    </row>
    <row r="2738" spans="1:21" x14ac:dyDescent="0.3">
      <c r="A2738" s="42">
        <v>42186</v>
      </c>
      <c r="B2738" s="69">
        <f t="shared" si="77"/>
        <v>20150701</v>
      </c>
      <c r="C2738" s="109">
        <v>2.2100000000000002E-2</v>
      </c>
      <c r="D2738" s="77">
        <v>-2E-3</v>
      </c>
      <c r="E2738" s="77">
        <v>3.0000000000000001E-3</v>
      </c>
      <c r="F2738" s="77">
        <v>6.0000000000000001E-3</v>
      </c>
      <c r="G2738" s="78">
        <v>0</v>
      </c>
      <c r="H2738" s="71">
        <v>8.3000000000000007</v>
      </c>
      <c r="I2738" s="71">
        <v>10.9</v>
      </c>
      <c r="J2738" s="71">
        <v>13.6</v>
      </c>
      <c r="K2738" s="121">
        <v>5.4999999999999997E-3</v>
      </c>
      <c r="L2738" s="80">
        <v>-1.2E-2</v>
      </c>
      <c r="M2738" s="75" t="s">
        <v>143</v>
      </c>
      <c r="N2738" s="75" t="b">
        <v>1</v>
      </c>
      <c r="O2738" s="75" t="s">
        <v>144</v>
      </c>
      <c r="P2738" s="75">
        <v>1994</v>
      </c>
      <c r="Q2738" s="107">
        <f t="shared" si="78"/>
        <v>2015</v>
      </c>
      <c r="R2738" s="107">
        <v>2</v>
      </c>
      <c r="S2738" s="100">
        <v>215064</v>
      </c>
      <c r="T2738" s="101">
        <v>42220</v>
      </c>
    </row>
    <row r="2739" spans="1:21" x14ac:dyDescent="0.3">
      <c r="A2739" s="42">
        <v>42187</v>
      </c>
      <c r="B2739" s="69">
        <f t="shared" si="77"/>
        <v>20150702</v>
      </c>
      <c r="C2739" s="109">
        <v>2.2700000000000001E-2</v>
      </c>
      <c r="D2739" s="77">
        <v>-2E-3</v>
      </c>
      <c r="E2739" s="77">
        <v>3.0000000000000001E-3</v>
      </c>
      <c r="F2739" s="77">
        <v>6.0000000000000001E-3</v>
      </c>
      <c r="G2739" s="78">
        <v>0</v>
      </c>
      <c r="H2739" s="71">
        <v>8.3000000000000007</v>
      </c>
      <c r="I2739" s="71">
        <v>10.9</v>
      </c>
      <c r="J2739" s="71">
        <v>13.6</v>
      </c>
      <c r="K2739" s="121">
        <v>6.1000000000000004E-3</v>
      </c>
      <c r="L2739" s="80">
        <v>-1.2E-2</v>
      </c>
      <c r="M2739" s="75" t="s">
        <v>143</v>
      </c>
      <c r="N2739" s="75" t="b">
        <v>1</v>
      </c>
      <c r="O2739" s="75" t="s">
        <v>144</v>
      </c>
      <c r="P2739" s="75">
        <v>1994</v>
      </c>
      <c r="Q2739" s="107">
        <f t="shared" si="78"/>
        <v>2015</v>
      </c>
      <c r="R2739" s="107">
        <v>2</v>
      </c>
      <c r="S2739" s="100">
        <v>215064</v>
      </c>
      <c r="T2739" s="101">
        <v>42220</v>
      </c>
    </row>
    <row r="2740" spans="1:21" x14ac:dyDescent="0.3">
      <c r="A2740" s="42">
        <v>42188</v>
      </c>
      <c r="B2740" s="69">
        <f t="shared" si="77"/>
        <v>20150703</v>
      </c>
      <c r="C2740" s="109">
        <v>2.2400000000000003E-2</v>
      </c>
      <c r="D2740" s="77">
        <v>-2E-3</v>
      </c>
      <c r="E2740" s="77">
        <v>3.0000000000000001E-3</v>
      </c>
      <c r="F2740" s="77">
        <v>6.0000000000000001E-3</v>
      </c>
      <c r="G2740" s="78">
        <v>0</v>
      </c>
      <c r="H2740" s="71">
        <v>8.3000000000000007</v>
      </c>
      <c r="I2740" s="71">
        <v>10.9</v>
      </c>
      <c r="J2740" s="71">
        <v>13.6</v>
      </c>
      <c r="K2740" s="121">
        <v>5.7999999999999996E-3</v>
      </c>
      <c r="L2740" s="80">
        <v>-1.2E-2</v>
      </c>
      <c r="M2740" s="75" t="s">
        <v>143</v>
      </c>
      <c r="N2740" s="75" t="b">
        <v>1</v>
      </c>
      <c r="O2740" s="75" t="s">
        <v>144</v>
      </c>
      <c r="P2740" s="75">
        <v>1994</v>
      </c>
      <c r="Q2740" s="107">
        <f t="shared" si="78"/>
        <v>2015</v>
      </c>
      <c r="R2740" s="107">
        <v>2</v>
      </c>
      <c r="S2740" s="100">
        <v>215064</v>
      </c>
      <c r="T2740" s="101">
        <v>42220</v>
      </c>
    </row>
    <row r="2741" spans="1:21" x14ac:dyDescent="0.3">
      <c r="A2741" s="42">
        <v>42189</v>
      </c>
      <c r="B2741" s="69">
        <f>YEAR(A2741)*10000+MONTH(A2741)*100+DAY(A2741)</f>
        <v>20150704</v>
      </c>
      <c r="C2741" s="109">
        <v>2.2400000000000003E-2</v>
      </c>
      <c r="D2741" s="77">
        <v>-2E-3</v>
      </c>
      <c r="E2741" s="77">
        <v>3.0000000000000001E-3</v>
      </c>
      <c r="F2741" s="77">
        <v>6.0000000000000001E-3</v>
      </c>
      <c r="G2741" s="78">
        <v>0</v>
      </c>
      <c r="H2741" s="71">
        <v>8.3000000000000007</v>
      </c>
      <c r="I2741" s="71">
        <v>10.9</v>
      </c>
      <c r="J2741" s="71">
        <v>13.6</v>
      </c>
      <c r="K2741" s="121">
        <v>5.7999999999999996E-3</v>
      </c>
      <c r="L2741" s="80">
        <v>-1.2E-2</v>
      </c>
      <c r="M2741" s="75" t="s">
        <v>143</v>
      </c>
      <c r="N2741" s="75" t="b">
        <v>1</v>
      </c>
      <c r="O2741" s="75" t="s">
        <v>144</v>
      </c>
      <c r="P2741" s="75">
        <v>1994</v>
      </c>
      <c r="Q2741" s="107">
        <f t="shared" si="78"/>
        <v>2015</v>
      </c>
      <c r="R2741" s="107">
        <v>2</v>
      </c>
      <c r="S2741" s="100">
        <v>215064</v>
      </c>
      <c r="T2741" s="101">
        <v>42220</v>
      </c>
    </row>
    <row r="2742" spans="1:21" x14ac:dyDescent="0.3">
      <c r="A2742" s="42">
        <v>42190</v>
      </c>
      <c r="B2742" s="69">
        <f>YEAR(A2742)*10000+MONTH(A2742)*100+DAY(A2742)</f>
        <v>20150705</v>
      </c>
      <c r="C2742" s="109">
        <v>2.2400000000000003E-2</v>
      </c>
      <c r="D2742" s="77">
        <v>-2E-3</v>
      </c>
      <c r="E2742" s="77">
        <v>3.0000000000000001E-3</v>
      </c>
      <c r="F2742" s="77">
        <v>6.0000000000000001E-3</v>
      </c>
      <c r="G2742" s="78">
        <v>0</v>
      </c>
      <c r="H2742" s="71">
        <v>8.3000000000000007</v>
      </c>
      <c r="I2742" s="71">
        <v>10.9</v>
      </c>
      <c r="J2742" s="71">
        <v>13.6</v>
      </c>
      <c r="K2742" s="121">
        <v>5.7999999999999996E-3</v>
      </c>
      <c r="L2742" s="80">
        <v>-1.2E-2</v>
      </c>
      <c r="M2742" s="75" t="s">
        <v>143</v>
      </c>
      <c r="N2742" s="75" t="b">
        <v>1</v>
      </c>
      <c r="O2742" s="75" t="s">
        <v>144</v>
      </c>
      <c r="P2742" s="75">
        <v>1994</v>
      </c>
      <c r="Q2742" s="107">
        <f t="shared" si="78"/>
        <v>2015</v>
      </c>
      <c r="R2742" s="107">
        <v>2</v>
      </c>
      <c r="S2742" s="100">
        <v>215064</v>
      </c>
      <c r="T2742" s="101">
        <v>42220</v>
      </c>
    </row>
    <row r="2743" spans="1:21" x14ac:dyDescent="0.3">
      <c r="A2743" s="42">
        <v>42191</v>
      </c>
      <c r="B2743" s="69">
        <f t="shared" si="77"/>
        <v>20150706</v>
      </c>
      <c r="C2743" s="109">
        <v>2.18E-2</v>
      </c>
      <c r="D2743" s="77">
        <v>-2E-3</v>
      </c>
      <c r="E2743" s="77">
        <v>3.0000000000000001E-3</v>
      </c>
      <c r="F2743" s="77">
        <v>6.0000000000000001E-3</v>
      </c>
      <c r="G2743" s="78">
        <v>0</v>
      </c>
      <c r="H2743" s="71">
        <v>8.3000000000000007</v>
      </c>
      <c r="I2743" s="71">
        <v>10.9</v>
      </c>
      <c r="J2743" s="71">
        <v>13.6</v>
      </c>
      <c r="K2743" s="121">
        <v>5.4000000000000003E-3</v>
      </c>
      <c r="L2743" s="80">
        <v>-1.2E-2</v>
      </c>
      <c r="M2743" s="75" t="s">
        <v>143</v>
      </c>
      <c r="N2743" s="75" t="b">
        <v>1</v>
      </c>
      <c r="O2743" s="75" t="s">
        <v>144</v>
      </c>
      <c r="P2743" s="75">
        <v>1994</v>
      </c>
      <c r="Q2743" s="107">
        <f t="shared" si="78"/>
        <v>2015</v>
      </c>
      <c r="R2743" s="107">
        <v>2</v>
      </c>
      <c r="S2743" s="100">
        <v>215064</v>
      </c>
      <c r="T2743" s="101">
        <v>42220</v>
      </c>
    </row>
    <row r="2744" spans="1:21" x14ac:dyDescent="0.3">
      <c r="A2744" s="42">
        <v>42192</v>
      </c>
      <c r="B2744" s="69">
        <f t="shared" si="77"/>
        <v>20150707</v>
      </c>
      <c r="C2744" s="109">
        <v>2.12E-2</v>
      </c>
      <c r="D2744" s="77">
        <v>-2E-3</v>
      </c>
      <c r="E2744" s="77">
        <v>3.0000000000000001E-3</v>
      </c>
      <c r="F2744" s="77">
        <v>6.0000000000000001E-3</v>
      </c>
      <c r="G2744" s="78">
        <v>0</v>
      </c>
      <c r="H2744" s="71">
        <v>8.3000000000000007</v>
      </c>
      <c r="I2744" s="71">
        <v>10.9</v>
      </c>
      <c r="J2744" s="71">
        <v>13.6</v>
      </c>
      <c r="K2744" s="121">
        <v>5.0000000000000001E-3</v>
      </c>
      <c r="L2744" s="80">
        <v>-1.2E-2</v>
      </c>
      <c r="M2744" s="75" t="s">
        <v>143</v>
      </c>
      <c r="N2744" s="75" t="b">
        <v>1</v>
      </c>
      <c r="O2744" s="75" t="s">
        <v>144</v>
      </c>
      <c r="P2744" s="75">
        <v>1994</v>
      </c>
      <c r="Q2744" s="107">
        <f t="shared" si="78"/>
        <v>2015</v>
      </c>
      <c r="R2744" s="107">
        <v>2</v>
      </c>
      <c r="S2744" s="100">
        <v>215064</v>
      </c>
      <c r="T2744" s="101">
        <v>42220</v>
      </c>
    </row>
    <row r="2745" spans="1:21" x14ac:dyDescent="0.3">
      <c r="A2745" s="42">
        <v>42193</v>
      </c>
      <c r="B2745" s="69">
        <f t="shared" si="77"/>
        <v>20150708</v>
      </c>
      <c r="C2745" s="109">
        <v>2.07E-2</v>
      </c>
      <c r="D2745" s="77">
        <v>-2E-3</v>
      </c>
      <c r="E2745" s="77">
        <v>3.0000000000000001E-3</v>
      </c>
      <c r="F2745" s="77">
        <v>6.0000000000000001E-3</v>
      </c>
      <c r="G2745" s="78">
        <v>0</v>
      </c>
      <c r="H2745" s="71">
        <v>8.3000000000000007</v>
      </c>
      <c r="I2745" s="71">
        <v>10.9</v>
      </c>
      <c r="J2745" s="71">
        <v>13.6</v>
      </c>
      <c r="K2745" s="121">
        <v>4.7000000000000002E-3</v>
      </c>
      <c r="L2745" s="80">
        <v>-1.2E-2</v>
      </c>
      <c r="M2745" s="75" t="s">
        <v>143</v>
      </c>
      <c r="N2745" s="75" t="b">
        <v>1</v>
      </c>
      <c r="O2745" s="75" t="s">
        <v>144</v>
      </c>
      <c r="P2745" s="75">
        <v>1994</v>
      </c>
      <c r="Q2745" s="107">
        <f t="shared" si="78"/>
        <v>2015</v>
      </c>
      <c r="R2745" s="107">
        <v>2</v>
      </c>
      <c r="S2745" s="100">
        <v>215064</v>
      </c>
      <c r="T2745" s="101">
        <v>42220</v>
      </c>
    </row>
    <row r="2746" spans="1:21" x14ac:dyDescent="0.3">
      <c r="A2746" s="42">
        <v>42194</v>
      </c>
      <c r="B2746" s="69">
        <f t="shared" si="77"/>
        <v>20150709</v>
      </c>
      <c r="C2746" s="109">
        <v>2.1399999999999999E-2</v>
      </c>
      <c r="D2746" s="77">
        <v>-2E-3</v>
      </c>
      <c r="E2746" s="77">
        <v>3.0000000000000001E-3</v>
      </c>
      <c r="F2746" s="77">
        <v>6.0000000000000001E-3</v>
      </c>
      <c r="G2746" s="78">
        <v>0</v>
      </c>
      <c r="H2746" s="71">
        <v>8.3000000000000007</v>
      </c>
      <c r="I2746" s="71">
        <v>10.9</v>
      </c>
      <c r="J2746" s="71">
        <v>13.6</v>
      </c>
      <c r="K2746" s="121">
        <v>5.4000000000000003E-3</v>
      </c>
      <c r="L2746" s="80">
        <v>-1.2E-2</v>
      </c>
      <c r="M2746" s="75" t="s">
        <v>143</v>
      </c>
      <c r="N2746" s="75" t="b">
        <v>1</v>
      </c>
      <c r="O2746" s="75" t="s">
        <v>144</v>
      </c>
      <c r="P2746" s="75">
        <v>1994</v>
      </c>
      <c r="Q2746" s="107">
        <f t="shared" si="78"/>
        <v>2015</v>
      </c>
      <c r="R2746" s="107">
        <v>2</v>
      </c>
      <c r="S2746" s="100">
        <v>215064</v>
      </c>
      <c r="T2746" s="101">
        <v>42220</v>
      </c>
    </row>
    <row r="2747" spans="1:21" x14ac:dyDescent="0.3">
      <c r="A2747" s="42">
        <v>42195</v>
      </c>
      <c r="B2747" s="69">
        <f t="shared" si="77"/>
        <v>20150710</v>
      </c>
      <c r="C2747" s="109">
        <v>2.23E-2</v>
      </c>
      <c r="D2747" s="77">
        <v>-2E-3</v>
      </c>
      <c r="E2747" s="77">
        <v>3.0000000000000001E-3</v>
      </c>
      <c r="F2747" s="77">
        <v>6.0000000000000001E-3</v>
      </c>
      <c r="G2747" s="78">
        <v>0</v>
      </c>
      <c r="H2747" s="71">
        <v>8.3000000000000007</v>
      </c>
      <c r="I2747" s="71">
        <v>10.9</v>
      </c>
      <c r="J2747" s="71">
        <v>13.6</v>
      </c>
      <c r="K2747" s="121">
        <v>6.3E-3</v>
      </c>
      <c r="L2747" s="80">
        <v>-1.2E-2</v>
      </c>
      <c r="M2747" s="75" t="s">
        <v>143</v>
      </c>
      <c r="N2747" s="75" t="b">
        <v>1</v>
      </c>
      <c r="O2747" s="75" t="s">
        <v>144</v>
      </c>
      <c r="P2747" s="75">
        <v>1994</v>
      </c>
      <c r="Q2747" s="107">
        <f t="shared" si="78"/>
        <v>2015</v>
      </c>
      <c r="R2747" s="107">
        <v>2</v>
      </c>
      <c r="S2747" s="100">
        <v>215064</v>
      </c>
      <c r="T2747" s="101">
        <v>42220</v>
      </c>
    </row>
    <row r="2748" spans="1:21" x14ac:dyDescent="0.3">
      <c r="A2748" s="42">
        <v>42196</v>
      </c>
      <c r="B2748" s="69">
        <f>YEAR(A2748)*10000+MONTH(A2748)*100+DAY(A2748)</f>
        <v>20150711</v>
      </c>
      <c r="C2748" s="109">
        <v>2.23E-2</v>
      </c>
      <c r="D2748" s="77">
        <v>-2E-3</v>
      </c>
      <c r="E2748" s="77">
        <v>3.0000000000000001E-3</v>
      </c>
      <c r="F2748" s="77">
        <v>6.0000000000000001E-3</v>
      </c>
      <c r="G2748" s="78">
        <v>0</v>
      </c>
      <c r="H2748" s="71">
        <v>8.3000000000000007</v>
      </c>
      <c r="I2748" s="71">
        <v>10.9</v>
      </c>
      <c r="J2748" s="71">
        <v>13.6</v>
      </c>
      <c r="K2748" s="121">
        <v>6.3E-3</v>
      </c>
      <c r="L2748" s="80">
        <v>-1.2E-2</v>
      </c>
      <c r="M2748" s="75" t="s">
        <v>143</v>
      </c>
      <c r="N2748" s="75" t="b">
        <v>1</v>
      </c>
      <c r="O2748" s="75" t="s">
        <v>144</v>
      </c>
      <c r="P2748" s="75">
        <v>1994</v>
      </c>
      <c r="Q2748" s="107">
        <f t="shared" si="78"/>
        <v>2015</v>
      </c>
      <c r="R2748" s="107">
        <v>2</v>
      </c>
      <c r="S2748" s="100">
        <v>215064</v>
      </c>
      <c r="T2748" s="101">
        <v>42220</v>
      </c>
    </row>
    <row r="2749" spans="1:21" x14ac:dyDescent="0.3">
      <c r="A2749" s="42">
        <v>42197</v>
      </c>
      <c r="B2749" s="69">
        <f>YEAR(A2749)*10000+MONTH(A2749)*100+DAY(A2749)</f>
        <v>20150712</v>
      </c>
      <c r="C2749" s="109">
        <v>2.23E-2</v>
      </c>
      <c r="D2749" s="77">
        <v>-2E-3</v>
      </c>
      <c r="E2749" s="77">
        <v>3.0000000000000001E-3</v>
      </c>
      <c r="F2749" s="77">
        <v>6.0000000000000001E-3</v>
      </c>
      <c r="G2749" s="78">
        <v>0</v>
      </c>
      <c r="H2749" s="71">
        <v>8.3000000000000007</v>
      </c>
      <c r="I2749" s="71">
        <v>10.9</v>
      </c>
      <c r="J2749" s="71">
        <v>13.6</v>
      </c>
      <c r="K2749" s="121">
        <v>6.3E-3</v>
      </c>
      <c r="L2749" s="80">
        <v>-1.2E-2</v>
      </c>
      <c r="M2749" s="75" t="s">
        <v>143</v>
      </c>
      <c r="N2749" s="75" t="b">
        <v>1</v>
      </c>
      <c r="O2749" s="75" t="s">
        <v>144</v>
      </c>
      <c r="P2749" s="75">
        <v>1994</v>
      </c>
      <c r="Q2749" s="107">
        <f t="shared" si="78"/>
        <v>2015</v>
      </c>
      <c r="R2749" s="107">
        <v>2</v>
      </c>
      <c r="S2749" s="100">
        <v>215064</v>
      </c>
      <c r="T2749" s="101">
        <v>42220</v>
      </c>
    </row>
    <row r="2750" spans="1:21" x14ac:dyDescent="0.3">
      <c r="A2750" s="42">
        <v>42198</v>
      </c>
      <c r="B2750" s="69">
        <f t="shared" si="77"/>
        <v>20150713</v>
      </c>
      <c r="C2750" s="109">
        <v>2.24E-2</v>
      </c>
      <c r="D2750" s="77">
        <v>-2E-3</v>
      </c>
      <c r="E2750" s="77">
        <v>3.0000000000000001E-3</v>
      </c>
      <c r="F2750" s="77">
        <v>6.0000000000000001E-3</v>
      </c>
      <c r="G2750" s="78">
        <v>0</v>
      </c>
      <c r="H2750" s="71">
        <v>8.3000000000000007</v>
      </c>
      <c r="I2750" s="71">
        <v>10.9</v>
      </c>
      <c r="J2750" s="71">
        <v>13.6</v>
      </c>
      <c r="K2750" s="121">
        <v>6.3E-3</v>
      </c>
      <c r="L2750" s="80">
        <v>-1.2E-2</v>
      </c>
      <c r="M2750" s="75" t="s">
        <v>143</v>
      </c>
      <c r="N2750" s="75" t="b">
        <v>1</v>
      </c>
      <c r="O2750" s="75" t="s">
        <v>144</v>
      </c>
      <c r="P2750" s="75">
        <v>1994</v>
      </c>
      <c r="Q2750" s="107">
        <f t="shared" si="78"/>
        <v>2015</v>
      </c>
      <c r="R2750" s="107">
        <v>2</v>
      </c>
      <c r="S2750" s="100">
        <v>215064</v>
      </c>
      <c r="T2750" s="101">
        <v>42220</v>
      </c>
    </row>
    <row r="2751" spans="1:21" x14ac:dyDescent="0.3">
      <c r="A2751" s="42">
        <v>42199</v>
      </c>
      <c r="B2751" s="69">
        <f t="shared" si="77"/>
        <v>20150714</v>
      </c>
      <c r="C2751" s="109">
        <v>2.2200000000000001E-2</v>
      </c>
      <c r="D2751" s="77">
        <v>-2E-3</v>
      </c>
      <c r="E2751" s="77">
        <v>3.0000000000000001E-3</v>
      </c>
      <c r="F2751" s="77">
        <v>6.0000000000000001E-3</v>
      </c>
      <c r="G2751" s="78">
        <v>0</v>
      </c>
      <c r="H2751" s="71">
        <v>8.3000000000000007</v>
      </c>
      <c r="I2751" s="71">
        <v>10.9</v>
      </c>
      <c r="J2751" s="71">
        <v>13.6</v>
      </c>
      <c r="K2751" s="121">
        <v>6.1999999999999998E-3</v>
      </c>
      <c r="L2751" s="80">
        <v>-1.2E-2</v>
      </c>
      <c r="M2751" s="75" t="s">
        <v>143</v>
      </c>
      <c r="N2751" s="75" t="b">
        <v>1</v>
      </c>
      <c r="O2751" s="75" t="s">
        <v>144</v>
      </c>
      <c r="P2751" s="75">
        <v>1994</v>
      </c>
      <c r="Q2751" s="107">
        <f t="shared" si="78"/>
        <v>2015</v>
      </c>
      <c r="R2751" s="107">
        <v>2</v>
      </c>
      <c r="S2751" s="100">
        <v>215064</v>
      </c>
      <c r="T2751" s="101">
        <v>42220</v>
      </c>
    </row>
    <row r="2752" spans="1:21" x14ac:dyDescent="0.3">
      <c r="A2752" s="42">
        <v>42200</v>
      </c>
      <c r="B2752" s="69">
        <f t="shared" si="77"/>
        <v>20150715</v>
      </c>
      <c r="C2752" s="109">
        <v>2.1700000000000001E-2</v>
      </c>
      <c r="D2752" s="77">
        <v>-2E-3</v>
      </c>
      <c r="E2752" s="77">
        <v>3.0000000000000001E-3</v>
      </c>
      <c r="F2752" s="77">
        <v>6.0000000000000001E-3</v>
      </c>
      <c r="G2752" s="78">
        <v>0</v>
      </c>
      <c r="H2752" s="71">
        <v>8.3000000000000007</v>
      </c>
      <c r="I2752" s="71">
        <v>10.9</v>
      </c>
      <c r="J2752" s="71">
        <v>13.6</v>
      </c>
      <c r="K2752" s="121">
        <v>5.4000000000000003E-3</v>
      </c>
      <c r="L2752" s="80">
        <v>-1.2E-2</v>
      </c>
      <c r="M2752" s="75" t="s">
        <v>143</v>
      </c>
      <c r="N2752" s="75" t="b">
        <v>1</v>
      </c>
      <c r="O2752" s="75" t="s">
        <v>144</v>
      </c>
      <c r="P2752" s="75">
        <v>1994</v>
      </c>
      <c r="Q2752" s="107">
        <f t="shared" si="78"/>
        <v>2015</v>
      </c>
      <c r="R2752" s="107">
        <v>2</v>
      </c>
      <c r="S2752" s="100">
        <v>215064</v>
      </c>
      <c r="T2752" s="101">
        <v>42220</v>
      </c>
    </row>
    <row r="2753" spans="1:20" x14ac:dyDescent="0.3">
      <c r="A2753" s="42">
        <v>42201</v>
      </c>
      <c r="B2753" s="69">
        <f t="shared" si="77"/>
        <v>20150716</v>
      </c>
      <c r="C2753" s="109">
        <v>2.1399999999999999E-2</v>
      </c>
      <c r="D2753" s="77">
        <v>-2E-3</v>
      </c>
      <c r="E2753" s="77">
        <v>3.0000000000000001E-3</v>
      </c>
      <c r="F2753" s="77">
        <v>6.0000000000000001E-3</v>
      </c>
      <c r="G2753" s="78">
        <v>0</v>
      </c>
      <c r="H2753" s="71">
        <v>8.3000000000000007</v>
      </c>
      <c r="I2753" s="71">
        <v>10.9</v>
      </c>
      <c r="J2753" s="71">
        <v>13.6</v>
      </c>
      <c r="K2753" s="121">
        <v>5.3E-3</v>
      </c>
      <c r="L2753" s="80">
        <v>-1.2E-2</v>
      </c>
      <c r="M2753" s="75" t="s">
        <v>143</v>
      </c>
      <c r="N2753" s="75" t="b">
        <v>1</v>
      </c>
      <c r="O2753" s="75" t="s">
        <v>144</v>
      </c>
      <c r="P2753" s="75">
        <v>1994</v>
      </c>
      <c r="Q2753" s="107">
        <f t="shared" si="78"/>
        <v>2015</v>
      </c>
      <c r="R2753" s="107">
        <v>2</v>
      </c>
      <c r="S2753" s="100">
        <v>215064</v>
      </c>
      <c r="T2753" s="101">
        <v>42220</v>
      </c>
    </row>
    <row r="2754" spans="1:20" x14ac:dyDescent="0.3">
      <c r="A2754" s="42">
        <v>42202</v>
      </c>
      <c r="B2754" s="69">
        <f t="shared" si="77"/>
        <v>20150717</v>
      </c>
      <c r="C2754" s="109">
        <v>2.12E-2</v>
      </c>
      <c r="D2754" s="77">
        <v>-2E-3</v>
      </c>
      <c r="E2754" s="77">
        <v>3.0000000000000001E-3</v>
      </c>
      <c r="F2754" s="77">
        <v>6.0000000000000001E-3</v>
      </c>
      <c r="G2754" s="78">
        <v>0</v>
      </c>
      <c r="H2754" s="71">
        <v>8.3000000000000007</v>
      </c>
      <c r="I2754" s="71">
        <v>10.9</v>
      </c>
      <c r="J2754" s="71">
        <v>13.6</v>
      </c>
      <c r="K2754" s="121">
        <v>5.1000000000000004E-3</v>
      </c>
      <c r="L2754" s="80">
        <v>-1.2E-2</v>
      </c>
      <c r="M2754" s="75" t="s">
        <v>143</v>
      </c>
      <c r="N2754" s="75" t="b">
        <v>1</v>
      </c>
      <c r="O2754" s="75" t="s">
        <v>144</v>
      </c>
      <c r="P2754" s="75">
        <v>1994</v>
      </c>
      <c r="Q2754" s="107">
        <f t="shared" si="78"/>
        <v>2015</v>
      </c>
      <c r="R2754" s="107">
        <v>2</v>
      </c>
      <c r="S2754" s="100">
        <v>215064</v>
      </c>
      <c r="T2754" s="101">
        <v>42220</v>
      </c>
    </row>
    <row r="2755" spans="1:20" x14ac:dyDescent="0.3">
      <c r="A2755" s="42">
        <v>42203</v>
      </c>
      <c r="B2755" s="69">
        <f>YEAR(A2755)*10000+MONTH(A2755)*100+DAY(A2755)</f>
        <v>20150718</v>
      </c>
      <c r="C2755" s="109">
        <v>2.12E-2</v>
      </c>
      <c r="D2755" s="77">
        <v>-2E-3</v>
      </c>
      <c r="E2755" s="77">
        <v>3.0000000000000001E-3</v>
      </c>
      <c r="F2755" s="77">
        <v>6.0000000000000001E-3</v>
      </c>
      <c r="G2755" s="78">
        <v>0</v>
      </c>
      <c r="H2755" s="71">
        <v>8.3000000000000007</v>
      </c>
      <c r="I2755" s="71">
        <v>10.9</v>
      </c>
      <c r="J2755" s="71">
        <v>13.6</v>
      </c>
      <c r="K2755" s="121">
        <v>5.1000000000000004E-3</v>
      </c>
      <c r="L2755" s="80">
        <v>-1.2E-2</v>
      </c>
      <c r="M2755" s="75" t="s">
        <v>143</v>
      </c>
      <c r="N2755" s="75" t="b">
        <v>1</v>
      </c>
      <c r="O2755" s="75" t="s">
        <v>144</v>
      </c>
      <c r="P2755" s="75">
        <v>1994</v>
      </c>
      <c r="Q2755" s="107">
        <f t="shared" si="78"/>
        <v>2015</v>
      </c>
      <c r="R2755" s="107">
        <v>2</v>
      </c>
      <c r="S2755" s="100">
        <v>215064</v>
      </c>
      <c r="T2755" s="101">
        <v>42220</v>
      </c>
    </row>
    <row r="2756" spans="1:20" x14ac:dyDescent="0.3">
      <c r="A2756" s="42">
        <v>42204</v>
      </c>
      <c r="B2756" s="69">
        <f>YEAR(A2756)*10000+MONTH(A2756)*100+DAY(A2756)</f>
        <v>20150719</v>
      </c>
      <c r="C2756" s="109">
        <v>2.12E-2</v>
      </c>
      <c r="D2756" s="77">
        <v>-2E-3</v>
      </c>
      <c r="E2756" s="77">
        <v>3.0000000000000001E-3</v>
      </c>
      <c r="F2756" s="77">
        <v>6.0000000000000001E-3</v>
      </c>
      <c r="G2756" s="78">
        <v>0</v>
      </c>
      <c r="H2756" s="71">
        <v>8.3000000000000007</v>
      </c>
      <c r="I2756" s="71">
        <v>10.9</v>
      </c>
      <c r="J2756" s="71">
        <v>13.6</v>
      </c>
      <c r="K2756" s="121">
        <v>5.1000000000000004E-3</v>
      </c>
      <c r="L2756" s="80">
        <v>-1.2E-2</v>
      </c>
      <c r="M2756" s="75" t="s">
        <v>143</v>
      </c>
      <c r="N2756" s="75" t="b">
        <v>1</v>
      </c>
      <c r="O2756" s="75" t="s">
        <v>144</v>
      </c>
      <c r="P2756" s="75">
        <v>1994</v>
      </c>
      <c r="Q2756" s="107">
        <f t="shared" si="78"/>
        <v>2015</v>
      </c>
      <c r="R2756" s="107">
        <v>2</v>
      </c>
      <c r="S2756" s="100">
        <v>215064</v>
      </c>
      <c r="T2756" s="101">
        <v>42220</v>
      </c>
    </row>
    <row r="2757" spans="1:20" x14ac:dyDescent="0.3">
      <c r="A2757" s="42">
        <v>42205</v>
      </c>
      <c r="B2757" s="69">
        <f t="shared" si="77"/>
        <v>20150720</v>
      </c>
      <c r="C2757" s="109">
        <v>2.1399999999999999E-2</v>
      </c>
      <c r="D2757" s="77">
        <v>-2E-3</v>
      </c>
      <c r="E2757" s="77">
        <v>3.0000000000000001E-3</v>
      </c>
      <c r="F2757" s="77">
        <v>6.0000000000000001E-3</v>
      </c>
      <c r="G2757" s="78">
        <v>0</v>
      </c>
      <c r="H2757" s="71">
        <v>8.3000000000000007</v>
      </c>
      <c r="I2757" s="71">
        <v>10.9</v>
      </c>
      <c r="J2757" s="71">
        <v>13.6</v>
      </c>
      <c r="K2757" s="121">
        <v>5.3E-3</v>
      </c>
      <c r="L2757" s="80">
        <v>-1.2E-2</v>
      </c>
      <c r="M2757" s="75" t="s">
        <v>143</v>
      </c>
      <c r="N2757" s="75" t="b">
        <v>1</v>
      </c>
      <c r="O2757" s="75" t="s">
        <v>144</v>
      </c>
      <c r="P2757" s="75">
        <v>1994</v>
      </c>
      <c r="Q2757" s="107">
        <f t="shared" si="78"/>
        <v>2015</v>
      </c>
      <c r="R2757" s="107">
        <v>2</v>
      </c>
      <c r="S2757" s="100">
        <v>215064</v>
      </c>
      <c r="T2757" s="101">
        <v>42220</v>
      </c>
    </row>
    <row r="2758" spans="1:20" x14ac:dyDescent="0.3">
      <c r="A2758" s="42">
        <v>42206</v>
      </c>
      <c r="B2758" s="69">
        <f t="shared" si="77"/>
        <v>20150721</v>
      </c>
      <c r="C2758" s="109">
        <v>2.1399999999999999E-2</v>
      </c>
      <c r="D2758" s="77">
        <v>-2E-3</v>
      </c>
      <c r="E2758" s="77">
        <v>3.0000000000000001E-3</v>
      </c>
      <c r="F2758" s="77">
        <v>6.0000000000000001E-3</v>
      </c>
      <c r="G2758" s="78">
        <v>0</v>
      </c>
      <c r="H2758" s="71">
        <v>8.3000000000000007</v>
      </c>
      <c r="I2758" s="71">
        <v>10.9</v>
      </c>
      <c r="J2758" s="71">
        <v>13.6</v>
      </c>
      <c r="K2758" s="121">
        <v>5.1999999999999998E-3</v>
      </c>
      <c r="L2758" s="80">
        <v>-1.2E-2</v>
      </c>
      <c r="M2758" s="75" t="s">
        <v>143</v>
      </c>
      <c r="N2758" s="75" t="b">
        <v>1</v>
      </c>
      <c r="O2758" s="75" t="s">
        <v>144</v>
      </c>
      <c r="P2758" s="75">
        <v>1994</v>
      </c>
      <c r="Q2758" s="107">
        <f t="shared" si="78"/>
        <v>2015</v>
      </c>
      <c r="R2758" s="107">
        <v>2</v>
      </c>
      <c r="S2758" s="100">
        <v>215064</v>
      </c>
      <c r="T2758" s="101">
        <v>42220</v>
      </c>
    </row>
    <row r="2759" spans="1:20" x14ac:dyDescent="0.3">
      <c r="A2759" s="42">
        <v>42207</v>
      </c>
      <c r="B2759" s="69">
        <f t="shared" si="77"/>
        <v>20150722</v>
      </c>
      <c r="C2759" s="109">
        <v>2.1100000000000001E-2</v>
      </c>
      <c r="D2759" s="77">
        <v>-2E-3</v>
      </c>
      <c r="E2759" s="77">
        <v>3.0000000000000001E-3</v>
      </c>
      <c r="F2759" s="77">
        <v>6.0000000000000001E-3</v>
      </c>
      <c r="G2759" s="78">
        <v>0</v>
      </c>
      <c r="H2759" s="71">
        <v>8.3000000000000007</v>
      </c>
      <c r="I2759" s="71">
        <v>10.9</v>
      </c>
      <c r="J2759" s="71">
        <v>13.6</v>
      </c>
      <c r="K2759" s="121">
        <v>4.8999999999999998E-3</v>
      </c>
      <c r="L2759" s="80">
        <v>-1.2E-2</v>
      </c>
      <c r="M2759" s="75" t="s">
        <v>143</v>
      </c>
      <c r="N2759" s="75" t="b">
        <v>1</v>
      </c>
      <c r="O2759" s="75" t="s">
        <v>144</v>
      </c>
      <c r="P2759" s="75">
        <v>1994</v>
      </c>
      <c r="Q2759" s="107">
        <f t="shared" si="78"/>
        <v>2015</v>
      </c>
      <c r="R2759" s="107">
        <v>2</v>
      </c>
      <c r="S2759" s="100">
        <v>215064</v>
      </c>
      <c r="T2759" s="101">
        <v>42220</v>
      </c>
    </row>
    <row r="2760" spans="1:20" x14ac:dyDescent="0.3">
      <c r="A2760" s="42">
        <v>42208</v>
      </c>
      <c r="B2760" s="69">
        <f t="shared" si="77"/>
        <v>20150723</v>
      </c>
      <c r="C2760" s="109">
        <v>2.06E-2</v>
      </c>
      <c r="D2760" s="77">
        <v>-2E-3</v>
      </c>
      <c r="E2760" s="77">
        <v>3.0000000000000001E-3</v>
      </c>
      <c r="F2760" s="77">
        <v>6.0000000000000001E-3</v>
      </c>
      <c r="G2760" s="78">
        <v>0</v>
      </c>
      <c r="H2760" s="71">
        <v>8.3000000000000007</v>
      </c>
      <c r="I2760" s="71">
        <v>10.9</v>
      </c>
      <c r="J2760" s="71">
        <v>13.6</v>
      </c>
      <c r="K2760" s="121">
        <v>4.4999999999999997E-3</v>
      </c>
      <c r="L2760" s="80">
        <v>-1.2E-2</v>
      </c>
      <c r="M2760" s="75" t="s">
        <v>143</v>
      </c>
      <c r="N2760" s="75" t="b">
        <v>1</v>
      </c>
      <c r="O2760" s="75" t="s">
        <v>144</v>
      </c>
      <c r="P2760" s="75">
        <v>1994</v>
      </c>
      <c r="Q2760" s="107">
        <f t="shared" si="78"/>
        <v>2015</v>
      </c>
      <c r="R2760" s="107">
        <v>2</v>
      </c>
      <c r="S2760" s="100">
        <v>215064</v>
      </c>
      <c r="T2760" s="101">
        <v>42220</v>
      </c>
    </row>
    <row r="2761" spans="1:20" x14ac:dyDescent="0.3">
      <c r="A2761" s="42">
        <v>42209</v>
      </c>
      <c r="B2761" s="69">
        <f t="shared" si="77"/>
        <v>20150724</v>
      </c>
      <c r="C2761" s="109">
        <v>2.0400000000000001E-2</v>
      </c>
      <c r="D2761" s="77">
        <v>-2E-3</v>
      </c>
      <c r="E2761" s="77">
        <v>3.0000000000000001E-3</v>
      </c>
      <c r="F2761" s="77">
        <v>6.0000000000000001E-3</v>
      </c>
      <c r="G2761" s="78">
        <v>0</v>
      </c>
      <c r="H2761" s="71">
        <v>8.3000000000000007</v>
      </c>
      <c r="I2761" s="71">
        <v>10.9</v>
      </c>
      <c r="J2761" s="71">
        <v>13.6</v>
      </c>
      <c r="K2761" s="121">
        <v>4.3E-3</v>
      </c>
      <c r="L2761" s="80">
        <v>-1.2E-2</v>
      </c>
      <c r="M2761" s="75" t="s">
        <v>143</v>
      </c>
      <c r="N2761" s="75" t="b">
        <v>1</v>
      </c>
      <c r="O2761" s="75" t="s">
        <v>144</v>
      </c>
      <c r="P2761" s="75">
        <v>1994</v>
      </c>
      <c r="Q2761" s="107">
        <f t="shared" si="78"/>
        <v>2015</v>
      </c>
      <c r="R2761" s="107">
        <v>2</v>
      </c>
      <c r="S2761" s="100">
        <v>215064</v>
      </c>
      <c r="T2761" s="101">
        <v>42220</v>
      </c>
    </row>
    <row r="2762" spans="1:20" x14ac:dyDescent="0.3">
      <c r="A2762" s="42">
        <v>42210</v>
      </c>
      <c r="B2762" s="69">
        <f>YEAR(A2762)*10000+MONTH(A2762)*100+DAY(A2762)</f>
        <v>20150725</v>
      </c>
      <c r="C2762" s="109">
        <v>2.0400000000000001E-2</v>
      </c>
      <c r="D2762" s="77">
        <v>-2E-3</v>
      </c>
      <c r="E2762" s="77">
        <v>3.0000000000000001E-3</v>
      </c>
      <c r="F2762" s="77">
        <v>6.0000000000000001E-3</v>
      </c>
      <c r="G2762" s="78">
        <v>0</v>
      </c>
      <c r="H2762" s="71">
        <v>8.3000000000000007</v>
      </c>
      <c r="I2762" s="71">
        <v>10.9</v>
      </c>
      <c r="J2762" s="71">
        <v>13.6</v>
      </c>
      <c r="K2762" s="121">
        <v>4.3E-3</v>
      </c>
      <c r="L2762" s="80">
        <v>-1.2E-2</v>
      </c>
      <c r="M2762" s="75" t="s">
        <v>143</v>
      </c>
      <c r="N2762" s="75" t="b">
        <v>1</v>
      </c>
      <c r="O2762" s="75" t="s">
        <v>144</v>
      </c>
      <c r="P2762" s="75">
        <v>1994</v>
      </c>
      <c r="Q2762" s="107">
        <f t="shared" si="78"/>
        <v>2015</v>
      </c>
      <c r="R2762" s="107">
        <v>2</v>
      </c>
      <c r="S2762" s="100">
        <v>215064</v>
      </c>
      <c r="T2762" s="101">
        <v>42220</v>
      </c>
    </row>
    <row r="2763" spans="1:20" x14ac:dyDescent="0.3">
      <c r="A2763" s="42">
        <v>42211</v>
      </c>
      <c r="B2763" s="69">
        <f>YEAR(A2763)*10000+MONTH(A2763)*100+DAY(A2763)</f>
        <v>20150726</v>
      </c>
      <c r="C2763" s="109">
        <v>2.0400000000000001E-2</v>
      </c>
      <c r="D2763" s="77">
        <v>-2E-3</v>
      </c>
      <c r="E2763" s="77">
        <v>3.0000000000000001E-3</v>
      </c>
      <c r="F2763" s="77">
        <v>6.0000000000000001E-3</v>
      </c>
      <c r="G2763" s="78">
        <v>0</v>
      </c>
      <c r="H2763" s="71">
        <v>8.3000000000000007</v>
      </c>
      <c r="I2763" s="71">
        <v>10.9</v>
      </c>
      <c r="J2763" s="71">
        <v>13.6</v>
      </c>
      <c r="K2763" s="121">
        <v>4.3E-3</v>
      </c>
      <c r="L2763" s="80">
        <v>-1.2E-2</v>
      </c>
      <c r="M2763" s="75" t="s">
        <v>143</v>
      </c>
      <c r="N2763" s="75" t="b">
        <v>1</v>
      </c>
      <c r="O2763" s="75" t="s">
        <v>144</v>
      </c>
      <c r="P2763" s="75">
        <v>1994</v>
      </c>
      <c r="Q2763" s="107">
        <f t="shared" si="78"/>
        <v>2015</v>
      </c>
      <c r="R2763" s="107">
        <v>2</v>
      </c>
      <c r="S2763" s="100">
        <v>215064</v>
      </c>
      <c r="T2763" s="101">
        <v>42220</v>
      </c>
    </row>
    <row r="2764" spans="1:20" x14ac:dyDescent="0.3">
      <c r="A2764" s="42">
        <v>42212</v>
      </c>
      <c r="B2764" s="69">
        <f t="shared" si="77"/>
        <v>20150727</v>
      </c>
      <c r="C2764" s="109">
        <v>2.01E-2</v>
      </c>
      <c r="D2764" s="77">
        <v>-2E-3</v>
      </c>
      <c r="E2764" s="77">
        <v>3.0000000000000001E-3</v>
      </c>
      <c r="F2764" s="77">
        <v>6.0000000000000001E-3</v>
      </c>
      <c r="G2764" s="78">
        <v>0</v>
      </c>
      <c r="H2764" s="71">
        <v>8.3000000000000007</v>
      </c>
      <c r="I2764" s="71">
        <v>10.9</v>
      </c>
      <c r="J2764" s="71">
        <v>13.6</v>
      </c>
      <c r="K2764" s="121">
        <v>4.1999999999999997E-3</v>
      </c>
      <c r="L2764" s="80">
        <v>-1.2E-2</v>
      </c>
      <c r="M2764" s="75" t="s">
        <v>143</v>
      </c>
      <c r="N2764" s="75" t="b">
        <v>1</v>
      </c>
      <c r="O2764" s="75" t="s">
        <v>144</v>
      </c>
      <c r="P2764" s="75">
        <v>1994</v>
      </c>
      <c r="Q2764" s="107">
        <f t="shared" si="78"/>
        <v>2015</v>
      </c>
      <c r="R2764" s="107">
        <v>2</v>
      </c>
      <c r="S2764" s="100">
        <v>215064</v>
      </c>
      <c r="T2764" s="101">
        <v>42220</v>
      </c>
    </row>
    <row r="2765" spans="1:20" x14ac:dyDescent="0.3">
      <c r="A2765" s="42">
        <v>42213</v>
      </c>
      <c r="B2765" s="69">
        <f t="shared" si="77"/>
        <v>20150728</v>
      </c>
      <c r="C2765" s="109">
        <v>2.06E-2</v>
      </c>
      <c r="D2765" s="77">
        <v>-2E-3</v>
      </c>
      <c r="E2765" s="77">
        <v>3.0000000000000001E-3</v>
      </c>
      <c r="F2765" s="77">
        <v>6.0000000000000001E-3</v>
      </c>
      <c r="G2765" s="78">
        <v>0</v>
      </c>
      <c r="H2765" s="71">
        <v>8.3000000000000007</v>
      </c>
      <c r="I2765" s="71">
        <v>10.9</v>
      </c>
      <c r="J2765" s="71">
        <v>13.6</v>
      </c>
      <c r="K2765" s="121">
        <v>4.5999999999999999E-3</v>
      </c>
      <c r="L2765" s="80">
        <v>-1.2E-2</v>
      </c>
      <c r="M2765" s="75" t="s">
        <v>143</v>
      </c>
      <c r="N2765" s="75" t="b">
        <v>1</v>
      </c>
      <c r="O2765" s="75" t="s">
        <v>144</v>
      </c>
      <c r="P2765" s="75">
        <v>1994</v>
      </c>
      <c r="Q2765" s="107">
        <f t="shared" si="78"/>
        <v>2015</v>
      </c>
      <c r="R2765" s="107">
        <v>2</v>
      </c>
      <c r="S2765" s="100">
        <v>215064</v>
      </c>
      <c r="T2765" s="101">
        <v>42220</v>
      </c>
    </row>
    <row r="2766" spans="1:20" x14ac:dyDescent="0.3">
      <c r="A2766" s="42">
        <v>42214</v>
      </c>
      <c r="B2766" s="69">
        <f t="shared" si="77"/>
        <v>20150729</v>
      </c>
      <c r="C2766" s="109">
        <v>2.0899999999999998E-2</v>
      </c>
      <c r="D2766" s="77">
        <v>-2E-3</v>
      </c>
      <c r="E2766" s="77">
        <v>3.0000000000000001E-3</v>
      </c>
      <c r="F2766" s="77">
        <v>6.0000000000000001E-3</v>
      </c>
      <c r="G2766" s="78">
        <v>0</v>
      </c>
      <c r="H2766" s="71">
        <v>8.3000000000000007</v>
      </c>
      <c r="I2766" s="71">
        <v>10.9</v>
      </c>
      <c r="J2766" s="71">
        <v>13.6</v>
      </c>
      <c r="K2766" s="121">
        <v>4.7999999999999996E-3</v>
      </c>
      <c r="L2766" s="80">
        <v>-1.2E-2</v>
      </c>
      <c r="M2766" s="75" t="s">
        <v>143</v>
      </c>
      <c r="N2766" s="75" t="b">
        <v>1</v>
      </c>
      <c r="O2766" s="75" t="s">
        <v>144</v>
      </c>
      <c r="P2766" s="75">
        <v>1994</v>
      </c>
      <c r="Q2766" s="107">
        <f t="shared" si="78"/>
        <v>2015</v>
      </c>
      <c r="R2766" s="107">
        <v>2</v>
      </c>
      <c r="S2766" s="100">
        <v>215064</v>
      </c>
      <c r="T2766" s="101">
        <v>42220</v>
      </c>
    </row>
    <row r="2767" spans="1:20" x14ac:dyDescent="0.3">
      <c r="A2767" s="42">
        <v>42215</v>
      </c>
      <c r="B2767" s="69">
        <f t="shared" si="77"/>
        <v>20150730</v>
      </c>
      <c r="C2767" s="109">
        <v>2.0500000000000001E-2</v>
      </c>
      <c r="D2767" s="77">
        <v>-2E-3</v>
      </c>
      <c r="E2767" s="77">
        <v>3.0000000000000001E-3</v>
      </c>
      <c r="F2767" s="77">
        <v>6.0000000000000001E-3</v>
      </c>
      <c r="G2767" s="78">
        <v>0</v>
      </c>
      <c r="H2767" s="71">
        <v>8.3000000000000007</v>
      </c>
      <c r="I2767" s="71">
        <v>10.9</v>
      </c>
      <c r="J2767" s="71">
        <v>13.6</v>
      </c>
      <c r="K2767" s="121">
        <v>4.4999999999999997E-3</v>
      </c>
      <c r="L2767" s="80">
        <v>-1.2E-2</v>
      </c>
      <c r="M2767" s="75" t="s">
        <v>143</v>
      </c>
      <c r="N2767" s="75" t="b">
        <v>1</v>
      </c>
      <c r="O2767" s="75" t="s">
        <v>144</v>
      </c>
      <c r="P2767" s="75">
        <v>1994</v>
      </c>
      <c r="Q2767" s="107">
        <f t="shared" si="78"/>
        <v>2015</v>
      </c>
      <c r="R2767" s="107">
        <v>2</v>
      </c>
      <c r="S2767" s="100">
        <v>215064</v>
      </c>
      <c r="T2767" s="101">
        <v>42220</v>
      </c>
    </row>
    <row r="2768" spans="1:20" x14ac:dyDescent="0.3">
      <c r="A2768" s="42">
        <v>42216</v>
      </c>
      <c r="B2768" s="69">
        <f>YEAR(A2768)*10000+MONTH(A2768)*100+DAY(A2768)</f>
        <v>20150731</v>
      </c>
      <c r="C2768" s="109">
        <v>2.01E-2</v>
      </c>
      <c r="D2768" s="77">
        <v>-2E-3</v>
      </c>
      <c r="E2768" s="77">
        <v>3.0000000000000001E-3</v>
      </c>
      <c r="F2768" s="77">
        <v>6.0000000000000001E-3</v>
      </c>
      <c r="G2768" s="78">
        <v>0</v>
      </c>
      <c r="H2768" s="71">
        <v>8.3000000000000007</v>
      </c>
      <c r="I2768" s="71">
        <v>10.9</v>
      </c>
      <c r="J2768" s="71">
        <v>13.6</v>
      </c>
      <c r="K2768" s="121">
        <v>4.4000000000000003E-3</v>
      </c>
      <c r="L2768" s="80">
        <v>-1.2E-2</v>
      </c>
      <c r="M2768" s="75" t="s">
        <v>143</v>
      </c>
      <c r="N2768" s="75" t="b">
        <v>1</v>
      </c>
      <c r="O2768" s="75" t="s">
        <v>144</v>
      </c>
      <c r="P2768" s="75">
        <v>1994</v>
      </c>
      <c r="Q2768" s="107">
        <f t="shared" si="78"/>
        <v>2015</v>
      </c>
      <c r="R2768" s="107">
        <v>2</v>
      </c>
      <c r="S2768" s="100">
        <v>215064</v>
      </c>
      <c r="T2768" s="101">
        <v>42220</v>
      </c>
    </row>
    <row r="2769" spans="1:20" x14ac:dyDescent="0.3">
      <c r="A2769" s="42">
        <v>42217</v>
      </c>
      <c r="B2769" s="69">
        <f>YEAR(A2769)*10000+MONTH(A2769)*100+DAY(A2769)</f>
        <v>20150801</v>
      </c>
      <c r="C2769" s="109">
        <v>2.01E-2</v>
      </c>
      <c r="D2769" s="77">
        <v>-2E-3</v>
      </c>
      <c r="E2769" s="77">
        <v>3.0000000000000001E-3</v>
      </c>
      <c r="F2769" s="77">
        <v>6.0000000000000001E-3</v>
      </c>
      <c r="G2769" s="78">
        <v>0</v>
      </c>
      <c r="H2769" s="71">
        <v>8.3000000000000007</v>
      </c>
      <c r="I2769" s="71">
        <v>10.9</v>
      </c>
      <c r="J2769" s="71">
        <v>13.6</v>
      </c>
      <c r="K2769" s="121">
        <v>4.4000000000000003E-3</v>
      </c>
      <c r="L2769" s="80">
        <v>-1.2E-2</v>
      </c>
      <c r="M2769" s="75" t="s">
        <v>143</v>
      </c>
      <c r="N2769" s="75" t="b">
        <v>1</v>
      </c>
      <c r="O2769" s="75" t="s">
        <v>144</v>
      </c>
      <c r="P2769" s="75">
        <v>1994</v>
      </c>
      <c r="Q2769" s="107">
        <f t="shared" si="78"/>
        <v>2015</v>
      </c>
      <c r="R2769" s="107">
        <v>2</v>
      </c>
      <c r="S2769" s="100">
        <v>215064</v>
      </c>
      <c r="T2769" s="101">
        <v>42220</v>
      </c>
    </row>
    <row r="2770" spans="1:20" x14ac:dyDescent="0.3">
      <c r="A2770" s="42">
        <v>42218</v>
      </c>
      <c r="B2770" s="69">
        <f>YEAR(A2770)*10000+MONTH(A2770)*100+DAY(A2770)</f>
        <v>20150802</v>
      </c>
      <c r="C2770" s="109">
        <v>2.01E-2</v>
      </c>
      <c r="D2770" s="77">
        <v>-2E-3</v>
      </c>
      <c r="E2770" s="77">
        <v>3.0000000000000001E-3</v>
      </c>
      <c r="F2770" s="77">
        <v>6.0000000000000001E-3</v>
      </c>
      <c r="G2770" s="78">
        <v>0</v>
      </c>
      <c r="H2770" s="71">
        <v>8.3000000000000007</v>
      </c>
      <c r="I2770" s="71">
        <v>10.9</v>
      </c>
      <c r="J2770" s="71">
        <v>13.6</v>
      </c>
      <c r="K2770" s="121">
        <v>4.4000000000000003E-3</v>
      </c>
      <c r="L2770" s="80">
        <v>-1.2E-2</v>
      </c>
      <c r="M2770" s="75" t="s">
        <v>143</v>
      </c>
      <c r="N2770" s="75" t="b">
        <v>1</v>
      </c>
      <c r="O2770" s="75" t="s">
        <v>144</v>
      </c>
      <c r="P2770" s="75">
        <v>1994</v>
      </c>
      <c r="Q2770" s="107">
        <f t="shared" si="78"/>
        <v>2015</v>
      </c>
      <c r="R2770" s="107">
        <v>2</v>
      </c>
      <c r="S2770" s="100">
        <v>215064</v>
      </c>
      <c r="T2770" s="101">
        <v>42220</v>
      </c>
    </row>
    <row r="2771" spans="1:20" x14ac:dyDescent="0.3">
      <c r="A2771" s="42">
        <v>42219</v>
      </c>
      <c r="B2771" s="69">
        <f t="shared" ref="B2771:B2792" si="79">YEAR(A2771)*10000+MONTH(A2771)*100+DAY(A2771)</f>
        <v>20150803</v>
      </c>
      <c r="C2771" s="109">
        <v>2.01E-2</v>
      </c>
      <c r="D2771" s="77">
        <v>-2E-3</v>
      </c>
      <c r="E2771" s="77">
        <v>3.0000000000000001E-3</v>
      </c>
      <c r="F2771" s="77">
        <v>6.0000000000000001E-3</v>
      </c>
      <c r="G2771" s="78">
        <v>0</v>
      </c>
      <c r="H2771" s="71">
        <v>8.3000000000000007</v>
      </c>
      <c r="I2771" s="71">
        <v>10.9</v>
      </c>
      <c r="J2771" s="71">
        <v>13.6</v>
      </c>
      <c r="K2771" s="121">
        <v>4.4000000000000003E-3</v>
      </c>
      <c r="L2771" s="80">
        <v>-1.2E-2</v>
      </c>
      <c r="M2771" s="75" t="s">
        <v>143</v>
      </c>
      <c r="N2771" s="75" t="b">
        <v>1</v>
      </c>
      <c r="O2771" s="75" t="s">
        <v>144</v>
      </c>
      <c r="P2771" s="75">
        <v>1994</v>
      </c>
      <c r="Q2771" s="107">
        <f t="shared" si="78"/>
        <v>2015</v>
      </c>
      <c r="R2771" s="107">
        <v>2</v>
      </c>
      <c r="S2771" s="100">
        <v>215064</v>
      </c>
      <c r="T2771" s="101">
        <v>42220</v>
      </c>
    </row>
    <row r="2772" spans="1:20" x14ac:dyDescent="0.3">
      <c r="A2772" s="42">
        <v>42220</v>
      </c>
      <c r="B2772" s="69">
        <f t="shared" si="79"/>
        <v>20150804</v>
      </c>
      <c r="C2772" s="109">
        <v>0.02</v>
      </c>
      <c r="D2772" s="77">
        <v>-2E-3</v>
      </c>
      <c r="E2772" s="77">
        <v>3.0000000000000001E-3</v>
      </c>
      <c r="F2772" s="77">
        <v>6.0000000000000001E-3</v>
      </c>
      <c r="G2772" s="78">
        <v>0</v>
      </c>
      <c r="H2772" s="71">
        <v>8.3000000000000007</v>
      </c>
      <c r="I2772" s="71">
        <v>10.9</v>
      </c>
      <c r="J2772" s="71">
        <v>13.6</v>
      </c>
      <c r="K2772" s="121">
        <v>4.4000000000000003E-3</v>
      </c>
      <c r="L2772" s="80">
        <v>-1.2E-2</v>
      </c>
      <c r="M2772" s="75" t="s">
        <v>143</v>
      </c>
      <c r="N2772" s="75" t="b">
        <v>1</v>
      </c>
      <c r="O2772" s="75" t="s">
        <v>144</v>
      </c>
      <c r="P2772" s="75">
        <v>1994</v>
      </c>
      <c r="Q2772" s="107">
        <f t="shared" si="78"/>
        <v>2015</v>
      </c>
      <c r="R2772" s="107">
        <v>2</v>
      </c>
      <c r="S2772" s="100">
        <v>215064</v>
      </c>
      <c r="T2772" s="101">
        <v>42220</v>
      </c>
    </row>
    <row r="2773" spans="1:20" x14ac:dyDescent="0.3">
      <c r="A2773" s="42">
        <v>42221</v>
      </c>
      <c r="B2773" s="69">
        <f t="shared" si="79"/>
        <v>20150805</v>
      </c>
      <c r="C2773" s="109">
        <v>2.0299999999999999E-2</v>
      </c>
      <c r="D2773" s="77">
        <v>-2E-3</v>
      </c>
      <c r="E2773" s="77">
        <v>3.0000000000000001E-3</v>
      </c>
      <c r="F2773" s="77">
        <v>6.0000000000000001E-3</v>
      </c>
      <c r="G2773" s="78">
        <v>0</v>
      </c>
      <c r="H2773" s="71">
        <v>8.3000000000000007</v>
      </c>
      <c r="I2773" s="71">
        <v>10.9</v>
      </c>
      <c r="J2773" s="71">
        <v>13.6</v>
      </c>
      <c r="K2773" s="121">
        <v>4.7999999999999996E-3</v>
      </c>
      <c r="L2773" s="80">
        <v>-1.2E-2</v>
      </c>
      <c r="M2773" s="75" t="s">
        <v>143</v>
      </c>
      <c r="N2773" s="75" t="b">
        <v>1</v>
      </c>
      <c r="O2773" s="75" t="s">
        <v>144</v>
      </c>
      <c r="P2773" s="75">
        <v>1994</v>
      </c>
      <c r="Q2773" s="107">
        <f t="shared" si="78"/>
        <v>2015</v>
      </c>
      <c r="R2773" s="107">
        <v>2</v>
      </c>
      <c r="S2773" s="100">
        <v>215064</v>
      </c>
      <c r="T2773" s="101">
        <v>42220</v>
      </c>
    </row>
    <row r="2774" spans="1:20" x14ac:dyDescent="0.3">
      <c r="A2774" s="42">
        <v>42222</v>
      </c>
      <c r="B2774" s="69">
        <f t="shared" si="79"/>
        <v>20150806</v>
      </c>
      <c r="C2774" s="109">
        <v>2.01E-2</v>
      </c>
      <c r="D2774" s="77">
        <v>-2E-3</v>
      </c>
      <c r="E2774" s="77">
        <v>3.0000000000000001E-3</v>
      </c>
      <c r="F2774" s="77">
        <v>6.0000000000000001E-3</v>
      </c>
      <c r="G2774" s="78">
        <v>0</v>
      </c>
      <c r="H2774" s="71">
        <v>8.3000000000000007</v>
      </c>
      <c r="I2774" s="71">
        <v>10.9</v>
      </c>
      <c r="J2774" s="71">
        <v>13.6</v>
      </c>
      <c r="K2774" s="121">
        <v>5.0000000000000001E-3</v>
      </c>
      <c r="L2774" s="80">
        <v>-1.2E-2</v>
      </c>
      <c r="M2774" s="75" t="s">
        <v>143</v>
      </c>
      <c r="N2774" s="75" t="b">
        <v>1</v>
      </c>
      <c r="O2774" s="75" t="s">
        <v>144</v>
      </c>
      <c r="P2774" s="75">
        <v>1994</v>
      </c>
      <c r="Q2774" s="107">
        <f t="shared" si="78"/>
        <v>2015</v>
      </c>
      <c r="R2774" s="107">
        <v>2</v>
      </c>
      <c r="S2774" s="100">
        <v>215064</v>
      </c>
      <c r="T2774" s="101">
        <v>42220</v>
      </c>
    </row>
    <row r="2775" spans="1:20" x14ac:dyDescent="0.3">
      <c r="A2775" s="42">
        <v>42223</v>
      </c>
      <c r="B2775" s="69">
        <f t="shared" si="79"/>
        <v>20150807</v>
      </c>
      <c r="C2775" s="109">
        <v>1.9800000000000002E-2</v>
      </c>
      <c r="D2775" s="77">
        <v>-2E-3</v>
      </c>
      <c r="E2775" s="77">
        <v>3.0000000000000001E-3</v>
      </c>
      <c r="F2775" s="77">
        <v>6.0000000000000001E-3</v>
      </c>
      <c r="G2775" s="78">
        <v>0</v>
      </c>
      <c r="H2775" s="71">
        <v>8.3000000000000007</v>
      </c>
      <c r="I2775" s="71">
        <v>10.9</v>
      </c>
      <c r="J2775" s="71">
        <v>13.6</v>
      </c>
      <c r="K2775" s="121">
        <v>4.7999999999999996E-3</v>
      </c>
      <c r="L2775" s="80">
        <v>-1.2E-2</v>
      </c>
      <c r="M2775" s="75" t="s">
        <v>143</v>
      </c>
      <c r="N2775" s="75" t="b">
        <v>1</v>
      </c>
      <c r="O2775" s="75" t="s">
        <v>144</v>
      </c>
      <c r="P2775" s="75">
        <v>1994</v>
      </c>
      <c r="Q2775" s="107">
        <f t="shared" si="78"/>
        <v>2015</v>
      </c>
      <c r="R2775" s="107">
        <v>2</v>
      </c>
      <c r="S2775" s="100">
        <v>215064</v>
      </c>
      <c r="T2775" s="101">
        <v>42220</v>
      </c>
    </row>
    <row r="2776" spans="1:20" x14ac:dyDescent="0.3">
      <c r="A2776" s="42">
        <v>42224</v>
      </c>
      <c r="B2776" s="69">
        <f t="shared" si="79"/>
        <v>20150808</v>
      </c>
      <c r="C2776" s="109">
        <v>1.9800000000000002E-2</v>
      </c>
      <c r="D2776" s="77">
        <v>-2E-3</v>
      </c>
      <c r="E2776" s="77">
        <v>3.0000000000000001E-3</v>
      </c>
      <c r="F2776" s="77">
        <v>6.0000000000000001E-3</v>
      </c>
      <c r="G2776" s="78">
        <v>0</v>
      </c>
      <c r="H2776" s="71">
        <v>8.3000000000000007</v>
      </c>
      <c r="I2776" s="71">
        <v>10.9</v>
      </c>
      <c r="J2776" s="71">
        <v>13.6</v>
      </c>
      <c r="K2776" s="121">
        <v>4.7999999999999996E-3</v>
      </c>
      <c r="L2776" s="80">
        <v>-1.2E-2</v>
      </c>
      <c r="M2776" s="75" t="s">
        <v>143</v>
      </c>
      <c r="N2776" s="75" t="b">
        <v>1</v>
      </c>
      <c r="O2776" s="75" t="s">
        <v>144</v>
      </c>
      <c r="P2776" s="75">
        <v>1994</v>
      </c>
      <c r="Q2776" s="107">
        <f t="shared" si="78"/>
        <v>2015</v>
      </c>
      <c r="R2776" s="107">
        <v>2</v>
      </c>
      <c r="S2776" s="100">
        <v>215064</v>
      </c>
      <c r="T2776" s="101">
        <v>42220</v>
      </c>
    </row>
    <row r="2777" spans="1:20" x14ac:dyDescent="0.3">
      <c r="A2777" s="42">
        <v>42225</v>
      </c>
      <c r="B2777" s="69">
        <f t="shared" si="79"/>
        <v>20150809</v>
      </c>
      <c r="C2777" s="109">
        <v>1.9800000000000002E-2</v>
      </c>
      <c r="D2777" s="77">
        <v>-2E-3</v>
      </c>
      <c r="E2777" s="77">
        <v>3.0000000000000001E-3</v>
      </c>
      <c r="F2777" s="77">
        <v>6.0000000000000001E-3</v>
      </c>
      <c r="G2777" s="78">
        <v>0</v>
      </c>
      <c r="H2777" s="71">
        <v>8.3000000000000007</v>
      </c>
      <c r="I2777" s="71">
        <v>10.9</v>
      </c>
      <c r="J2777" s="71">
        <v>13.6</v>
      </c>
      <c r="K2777" s="121">
        <v>4.7999999999999996E-3</v>
      </c>
      <c r="L2777" s="80">
        <v>-1.2E-2</v>
      </c>
      <c r="M2777" s="75" t="s">
        <v>143</v>
      </c>
      <c r="N2777" s="75" t="b">
        <v>1</v>
      </c>
      <c r="O2777" s="75" t="s">
        <v>144</v>
      </c>
      <c r="P2777" s="75">
        <v>1994</v>
      </c>
      <c r="Q2777" s="107">
        <f t="shared" si="78"/>
        <v>2015</v>
      </c>
      <c r="R2777" s="107">
        <v>2</v>
      </c>
      <c r="S2777" s="100">
        <v>215064</v>
      </c>
      <c r="T2777" s="101">
        <v>42220</v>
      </c>
    </row>
    <row r="2778" spans="1:20" x14ac:dyDescent="0.3">
      <c r="A2778" s="42">
        <v>42226</v>
      </c>
      <c r="B2778" s="69">
        <f t="shared" si="79"/>
        <v>20150810</v>
      </c>
      <c r="C2778" s="109">
        <v>2.0299999999999999E-2</v>
      </c>
      <c r="D2778" s="77">
        <v>-2E-3</v>
      </c>
      <c r="E2778" s="77">
        <v>3.0000000000000001E-3</v>
      </c>
      <c r="F2778" s="77">
        <v>6.0000000000000001E-3</v>
      </c>
      <c r="G2778" s="78">
        <v>0</v>
      </c>
      <c r="H2778" s="71">
        <v>8.3000000000000007</v>
      </c>
      <c r="I2778" s="71">
        <v>10.9</v>
      </c>
      <c r="J2778" s="71">
        <v>13.6</v>
      </c>
      <c r="K2778" s="121">
        <v>5.1999999999999998E-3</v>
      </c>
      <c r="L2778" s="80">
        <v>-1.2E-2</v>
      </c>
      <c r="M2778" s="75" t="s">
        <v>143</v>
      </c>
      <c r="N2778" s="75" t="b">
        <v>1</v>
      </c>
      <c r="O2778" s="75" t="s">
        <v>144</v>
      </c>
      <c r="P2778" s="75">
        <v>1994</v>
      </c>
      <c r="Q2778" s="107">
        <f t="shared" si="78"/>
        <v>2015</v>
      </c>
      <c r="R2778" s="107">
        <v>2</v>
      </c>
      <c r="S2778" s="100">
        <v>215064</v>
      </c>
      <c r="T2778" s="101">
        <v>42220</v>
      </c>
    </row>
    <row r="2779" spans="1:20" x14ac:dyDescent="0.3">
      <c r="A2779" s="42">
        <v>42227</v>
      </c>
      <c r="B2779" s="69">
        <f t="shared" si="79"/>
        <v>20150811</v>
      </c>
      <c r="C2779" s="109">
        <v>1.9699999999999999E-2</v>
      </c>
      <c r="D2779" s="77">
        <v>-2E-3</v>
      </c>
      <c r="E2779" s="77">
        <v>3.0000000000000001E-3</v>
      </c>
      <c r="F2779" s="77">
        <v>6.0000000000000001E-3</v>
      </c>
      <c r="G2779" s="78">
        <v>0</v>
      </c>
      <c r="H2779" s="71">
        <v>8.3000000000000007</v>
      </c>
      <c r="I2779" s="71">
        <v>10.9</v>
      </c>
      <c r="J2779" s="71">
        <v>13.6</v>
      </c>
      <c r="K2779" s="121">
        <v>5.0000000000000001E-3</v>
      </c>
      <c r="L2779" s="80">
        <v>-1.2E-2</v>
      </c>
      <c r="M2779" s="75" t="s">
        <v>143</v>
      </c>
      <c r="N2779" s="75" t="b">
        <v>1</v>
      </c>
      <c r="O2779" s="75" t="s">
        <v>144</v>
      </c>
      <c r="P2779" s="75">
        <v>1994</v>
      </c>
      <c r="Q2779" s="107">
        <f t="shared" si="78"/>
        <v>2015</v>
      </c>
      <c r="R2779" s="107">
        <v>2</v>
      </c>
      <c r="S2779" s="100">
        <v>215064</v>
      </c>
      <c r="T2779" s="101">
        <v>42220</v>
      </c>
    </row>
    <row r="2780" spans="1:20" x14ac:dyDescent="0.3">
      <c r="A2780" s="42">
        <v>42228</v>
      </c>
      <c r="B2780" s="69">
        <f t="shared" si="79"/>
        <v>20150812</v>
      </c>
      <c r="C2780" s="109">
        <v>1.9699999999999999E-2</v>
      </c>
      <c r="D2780" s="77">
        <v>-2E-3</v>
      </c>
      <c r="E2780" s="77">
        <v>3.0000000000000001E-3</v>
      </c>
      <c r="F2780" s="77">
        <v>6.0000000000000001E-3</v>
      </c>
      <c r="G2780" s="78">
        <v>0</v>
      </c>
      <c r="H2780" s="71">
        <v>8.3000000000000007</v>
      </c>
      <c r="I2780" s="71">
        <v>10.9</v>
      </c>
      <c r="J2780" s="71">
        <v>13.6</v>
      </c>
      <c r="K2780" s="121">
        <v>5.0000000000000001E-3</v>
      </c>
      <c r="L2780" s="80">
        <v>-1.2E-2</v>
      </c>
      <c r="M2780" s="75" t="s">
        <v>143</v>
      </c>
      <c r="N2780" s="75" t="b">
        <v>1</v>
      </c>
      <c r="O2780" s="75" t="s">
        <v>144</v>
      </c>
      <c r="P2780" s="75">
        <v>1994</v>
      </c>
      <c r="Q2780" s="107">
        <f t="shared" si="78"/>
        <v>2015</v>
      </c>
      <c r="R2780" s="107">
        <v>2</v>
      </c>
      <c r="S2780" s="100">
        <v>215064</v>
      </c>
      <c r="T2780" s="101">
        <v>42220</v>
      </c>
    </row>
    <row r="2781" spans="1:20" x14ac:dyDescent="0.3">
      <c r="A2781" s="42">
        <v>42229</v>
      </c>
      <c r="B2781" s="69">
        <f t="shared" si="79"/>
        <v>20150813</v>
      </c>
      <c r="C2781" s="109">
        <v>1.9800000000000002E-2</v>
      </c>
      <c r="D2781" s="77">
        <v>-2E-3</v>
      </c>
      <c r="E2781" s="77">
        <v>3.0000000000000001E-3</v>
      </c>
      <c r="F2781" s="77">
        <v>6.0000000000000001E-3</v>
      </c>
      <c r="G2781" s="78">
        <v>0</v>
      </c>
      <c r="H2781" s="71">
        <v>8.3000000000000007</v>
      </c>
      <c r="I2781" s="71">
        <v>10.9</v>
      </c>
      <c r="J2781" s="71">
        <v>13.6</v>
      </c>
      <c r="K2781" s="121">
        <v>5.1999999999999998E-3</v>
      </c>
      <c r="L2781" s="80">
        <v>-1.2E-2</v>
      </c>
      <c r="M2781" s="75" t="s">
        <v>143</v>
      </c>
      <c r="N2781" s="75" t="b">
        <v>1</v>
      </c>
      <c r="O2781" s="75" t="s">
        <v>144</v>
      </c>
      <c r="P2781" s="75">
        <v>1994</v>
      </c>
      <c r="Q2781" s="107">
        <f t="shared" si="78"/>
        <v>2015</v>
      </c>
      <c r="R2781" s="107">
        <v>2</v>
      </c>
      <c r="S2781" s="100">
        <v>215064</v>
      </c>
      <c r="T2781" s="101">
        <v>42220</v>
      </c>
    </row>
    <row r="2782" spans="1:20" x14ac:dyDescent="0.3">
      <c r="A2782" s="42">
        <v>42230</v>
      </c>
      <c r="B2782" s="69">
        <f t="shared" si="79"/>
        <v>20150814</v>
      </c>
      <c r="C2782" s="109">
        <v>1.9699999999999999E-2</v>
      </c>
      <c r="D2782" s="77">
        <v>-2E-3</v>
      </c>
      <c r="E2782" s="77">
        <v>3.0000000000000001E-3</v>
      </c>
      <c r="F2782" s="77">
        <v>6.0000000000000001E-3</v>
      </c>
      <c r="G2782" s="78">
        <v>0</v>
      </c>
      <c r="H2782" s="71">
        <v>8.3000000000000007</v>
      </c>
      <c r="I2782" s="71">
        <v>10.9</v>
      </c>
      <c r="J2782" s="71">
        <v>13.6</v>
      </c>
      <c r="K2782" s="121">
        <v>5.0000000000000001E-3</v>
      </c>
      <c r="L2782" s="80">
        <v>-1.2E-2</v>
      </c>
      <c r="M2782" s="75" t="s">
        <v>143</v>
      </c>
      <c r="N2782" s="75" t="b">
        <v>1</v>
      </c>
      <c r="O2782" s="75" t="s">
        <v>144</v>
      </c>
      <c r="P2782" s="75">
        <v>1994</v>
      </c>
      <c r="Q2782" s="107">
        <f t="shared" si="78"/>
        <v>2015</v>
      </c>
      <c r="R2782" s="107">
        <v>2</v>
      </c>
      <c r="S2782" s="100">
        <v>215064</v>
      </c>
      <c r="T2782" s="101">
        <v>42220</v>
      </c>
    </row>
    <row r="2783" spans="1:20" x14ac:dyDescent="0.3">
      <c r="A2783" s="42">
        <v>42231</v>
      </c>
      <c r="B2783" s="69">
        <f t="shared" si="79"/>
        <v>20150815</v>
      </c>
      <c r="C2783" s="109">
        <v>1.9699999999999999E-2</v>
      </c>
      <c r="D2783" s="77">
        <v>-2E-3</v>
      </c>
      <c r="E2783" s="77">
        <v>3.0000000000000001E-3</v>
      </c>
      <c r="F2783" s="77">
        <v>6.0000000000000001E-3</v>
      </c>
      <c r="G2783" s="78">
        <v>0</v>
      </c>
      <c r="H2783" s="71">
        <v>8.3000000000000007</v>
      </c>
      <c r="I2783" s="71">
        <v>10.9</v>
      </c>
      <c r="J2783" s="71">
        <v>13.6</v>
      </c>
      <c r="K2783" s="121">
        <v>5.0000000000000001E-3</v>
      </c>
      <c r="L2783" s="80">
        <v>-1.2E-2</v>
      </c>
      <c r="M2783" s="75" t="s">
        <v>143</v>
      </c>
      <c r="N2783" s="75" t="b">
        <v>1</v>
      </c>
      <c r="O2783" s="75" t="s">
        <v>144</v>
      </c>
      <c r="P2783" s="75">
        <v>1994</v>
      </c>
      <c r="Q2783" s="107">
        <f t="shared" si="78"/>
        <v>2015</v>
      </c>
      <c r="R2783" s="107">
        <v>2</v>
      </c>
      <c r="S2783" s="100">
        <v>215064</v>
      </c>
      <c r="T2783" s="101">
        <v>42220</v>
      </c>
    </row>
    <row r="2784" spans="1:20" x14ac:dyDescent="0.3">
      <c r="A2784" s="42">
        <v>42232</v>
      </c>
      <c r="B2784" s="69">
        <f t="shared" si="79"/>
        <v>20150816</v>
      </c>
      <c r="C2784" s="109">
        <v>1.9699999999999999E-2</v>
      </c>
      <c r="D2784" s="77">
        <v>-2E-3</v>
      </c>
      <c r="E2784" s="77">
        <v>3.0000000000000001E-3</v>
      </c>
      <c r="F2784" s="77">
        <v>6.0000000000000001E-3</v>
      </c>
      <c r="G2784" s="78">
        <v>0</v>
      </c>
      <c r="H2784" s="71">
        <v>8.3000000000000007</v>
      </c>
      <c r="I2784" s="71">
        <v>10.9</v>
      </c>
      <c r="J2784" s="71">
        <v>13.6</v>
      </c>
      <c r="K2784" s="121">
        <v>5.0000000000000001E-3</v>
      </c>
      <c r="L2784" s="80">
        <v>-1.2E-2</v>
      </c>
      <c r="M2784" s="75" t="s">
        <v>143</v>
      </c>
      <c r="N2784" s="75" t="b">
        <v>1</v>
      </c>
      <c r="O2784" s="75" t="s">
        <v>144</v>
      </c>
      <c r="P2784" s="75">
        <v>1994</v>
      </c>
      <c r="Q2784" s="107">
        <f t="shared" si="78"/>
        <v>2015</v>
      </c>
      <c r="R2784" s="107">
        <v>2</v>
      </c>
      <c r="S2784" s="100">
        <v>215064</v>
      </c>
      <c r="T2784" s="101">
        <v>42220</v>
      </c>
    </row>
    <row r="2785" spans="1:20" x14ac:dyDescent="0.3">
      <c r="A2785" s="42">
        <v>42233</v>
      </c>
      <c r="B2785" s="69">
        <f t="shared" si="79"/>
        <v>20150817</v>
      </c>
      <c r="C2785" s="109">
        <v>1.9599999999999999E-2</v>
      </c>
      <c r="D2785" s="77">
        <v>-2E-3</v>
      </c>
      <c r="E2785" s="77">
        <v>3.0000000000000001E-3</v>
      </c>
      <c r="F2785" s="77">
        <v>6.0000000000000001E-3</v>
      </c>
      <c r="G2785" s="78">
        <v>0</v>
      </c>
      <c r="H2785" s="71">
        <v>8.3000000000000007</v>
      </c>
      <c r="I2785" s="71">
        <v>10.9</v>
      </c>
      <c r="J2785" s="71">
        <v>13.6</v>
      </c>
      <c r="K2785" s="121">
        <v>5.0000000000000001E-3</v>
      </c>
      <c r="L2785" s="80">
        <v>-1.2E-2</v>
      </c>
      <c r="M2785" s="75" t="s">
        <v>143</v>
      </c>
      <c r="N2785" s="75" t="b">
        <v>1</v>
      </c>
      <c r="O2785" s="75" t="s">
        <v>144</v>
      </c>
      <c r="P2785" s="75">
        <v>1994</v>
      </c>
      <c r="Q2785" s="107">
        <f t="shared" si="78"/>
        <v>2015</v>
      </c>
      <c r="R2785" s="107">
        <v>2</v>
      </c>
      <c r="S2785" s="100">
        <v>215064</v>
      </c>
      <c r="T2785" s="101">
        <v>42220</v>
      </c>
    </row>
    <row r="2786" spans="1:20" x14ac:dyDescent="0.3">
      <c r="A2786" s="42">
        <v>42234</v>
      </c>
      <c r="B2786" s="69">
        <f t="shared" si="79"/>
        <v>20150818</v>
      </c>
      <c r="C2786" s="109">
        <v>1.9800000000000002E-2</v>
      </c>
      <c r="D2786" s="77">
        <v>-2E-3</v>
      </c>
      <c r="E2786" s="77">
        <v>3.0000000000000001E-3</v>
      </c>
      <c r="F2786" s="77">
        <v>6.0000000000000001E-3</v>
      </c>
      <c r="G2786" s="78">
        <v>0</v>
      </c>
      <c r="H2786" s="71">
        <v>8.3000000000000007</v>
      </c>
      <c r="I2786" s="71">
        <v>10.9</v>
      </c>
      <c r="J2786" s="71">
        <v>13.6</v>
      </c>
      <c r="K2786" s="121">
        <v>5.1999999999999998E-3</v>
      </c>
      <c r="L2786" s="80">
        <v>-1.2E-2</v>
      </c>
      <c r="M2786" s="75" t="s">
        <v>143</v>
      </c>
      <c r="N2786" s="75" t="b">
        <v>1</v>
      </c>
      <c r="O2786" s="75" t="s">
        <v>144</v>
      </c>
      <c r="P2786" s="75">
        <v>1994</v>
      </c>
      <c r="Q2786" s="107">
        <f t="shared" si="78"/>
        <v>2015</v>
      </c>
      <c r="R2786" s="107">
        <v>2</v>
      </c>
      <c r="S2786" s="100">
        <v>215064</v>
      </c>
      <c r="T2786" s="101">
        <v>42220</v>
      </c>
    </row>
    <row r="2787" spans="1:20" x14ac:dyDescent="0.3">
      <c r="A2787" s="42">
        <v>42235</v>
      </c>
      <c r="B2787" s="69">
        <f t="shared" si="79"/>
        <v>20150819</v>
      </c>
      <c r="C2787" s="109">
        <v>1.9199999999999998E-2</v>
      </c>
      <c r="D2787" s="77">
        <v>-2E-3</v>
      </c>
      <c r="E2787" s="77">
        <v>3.0000000000000001E-3</v>
      </c>
      <c r="F2787" s="77">
        <v>6.0000000000000001E-3</v>
      </c>
      <c r="G2787" s="78">
        <v>0</v>
      </c>
      <c r="H2787" s="71">
        <v>8.3000000000000007</v>
      </c>
      <c r="I2787" s="71">
        <v>10.9</v>
      </c>
      <c r="J2787" s="71">
        <v>13.6</v>
      </c>
      <c r="K2787" s="121">
        <v>5.0000000000000001E-3</v>
      </c>
      <c r="L2787" s="80">
        <v>-1.2E-2</v>
      </c>
      <c r="M2787" s="75" t="s">
        <v>143</v>
      </c>
      <c r="N2787" s="75" t="b">
        <v>1</v>
      </c>
      <c r="O2787" s="75" t="s">
        <v>144</v>
      </c>
      <c r="P2787" s="75">
        <v>1994</v>
      </c>
      <c r="Q2787" s="107">
        <f t="shared" si="78"/>
        <v>2015</v>
      </c>
      <c r="R2787" s="107">
        <v>2</v>
      </c>
      <c r="S2787" s="100">
        <v>215064</v>
      </c>
      <c r="T2787" s="101">
        <v>42220</v>
      </c>
    </row>
    <row r="2788" spans="1:20" x14ac:dyDescent="0.3">
      <c r="A2788" s="42">
        <v>42236</v>
      </c>
      <c r="B2788" s="69">
        <f t="shared" si="79"/>
        <v>20150820</v>
      </c>
      <c r="C2788" s="109">
        <v>1.9E-2</v>
      </c>
      <c r="D2788" s="77">
        <v>-2E-3</v>
      </c>
      <c r="E2788" s="77">
        <v>3.0000000000000001E-3</v>
      </c>
      <c r="F2788" s="77">
        <v>6.0000000000000001E-3</v>
      </c>
      <c r="G2788" s="78">
        <v>0</v>
      </c>
      <c r="H2788" s="71">
        <v>8.3000000000000007</v>
      </c>
      <c r="I2788" s="71">
        <v>10.9</v>
      </c>
      <c r="J2788" s="71">
        <v>13.6</v>
      </c>
      <c r="K2788" s="121">
        <v>4.7999999999999996E-3</v>
      </c>
      <c r="L2788" s="80">
        <v>-1.2E-2</v>
      </c>
      <c r="M2788" s="75" t="s">
        <v>143</v>
      </c>
      <c r="N2788" s="75" t="b">
        <v>1</v>
      </c>
      <c r="O2788" s="75" t="s">
        <v>144</v>
      </c>
      <c r="P2788" s="75">
        <v>1994</v>
      </c>
      <c r="Q2788" s="107">
        <f t="shared" si="78"/>
        <v>2015</v>
      </c>
      <c r="R2788" s="107">
        <v>2</v>
      </c>
      <c r="S2788" s="100">
        <v>215064</v>
      </c>
      <c r="T2788" s="101">
        <v>42220</v>
      </c>
    </row>
    <row r="2789" spans="1:20" x14ac:dyDescent="0.3">
      <c r="A2789" s="42">
        <v>42237</v>
      </c>
      <c r="B2789" s="69">
        <f t="shared" si="79"/>
        <v>20150821</v>
      </c>
      <c r="C2789" s="109">
        <v>1.89E-2</v>
      </c>
      <c r="D2789" s="77">
        <v>-2E-3</v>
      </c>
      <c r="E2789" s="77">
        <v>3.0000000000000001E-3</v>
      </c>
      <c r="F2789" s="77">
        <v>6.0000000000000001E-3</v>
      </c>
      <c r="G2789" s="78">
        <v>0</v>
      </c>
      <c r="H2789" s="71">
        <v>8.3000000000000007</v>
      </c>
      <c r="I2789" s="71">
        <v>10.9</v>
      </c>
      <c r="J2789" s="71">
        <v>13.6</v>
      </c>
      <c r="K2789" s="121">
        <v>5.1999999999999998E-3</v>
      </c>
      <c r="L2789" s="80">
        <v>-1.2E-2</v>
      </c>
      <c r="M2789" s="75" t="s">
        <v>143</v>
      </c>
      <c r="N2789" s="75" t="b">
        <v>1</v>
      </c>
      <c r="O2789" s="75" t="s">
        <v>144</v>
      </c>
      <c r="P2789" s="75">
        <v>1994</v>
      </c>
      <c r="Q2789" s="107">
        <f t="shared" si="78"/>
        <v>2015</v>
      </c>
      <c r="R2789" s="107">
        <v>2</v>
      </c>
      <c r="S2789" s="100">
        <v>215064</v>
      </c>
      <c r="T2789" s="101">
        <v>42220</v>
      </c>
    </row>
    <row r="2790" spans="1:20" x14ac:dyDescent="0.3">
      <c r="A2790" s="42">
        <v>42238</v>
      </c>
      <c r="B2790" s="69">
        <f t="shared" si="79"/>
        <v>20150822</v>
      </c>
      <c r="C2790" s="109">
        <v>1.89E-2</v>
      </c>
      <c r="D2790" s="77">
        <v>-2E-3</v>
      </c>
      <c r="E2790" s="77">
        <v>3.0000000000000001E-3</v>
      </c>
      <c r="F2790" s="77">
        <v>6.0000000000000001E-3</v>
      </c>
      <c r="G2790" s="78">
        <v>0</v>
      </c>
      <c r="H2790" s="71">
        <v>8.3000000000000007</v>
      </c>
      <c r="I2790" s="71">
        <v>10.9</v>
      </c>
      <c r="J2790" s="71">
        <v>13.6</v>
      </c>
      <c r="K2790" s="121">
        <v>5.1999999999999998E-3</v>
      </c>
      <c r="L2790" s="80">
        <v>-1.2E-2</v>
      </c>
      <c r="M2790" s="75" t="s">
        <v>143</v>
      </c>
      <c r="N2790" s="75" t="b">
        <v>1</v>
      </c>
      <c r="O2790" s="75" t="s">
        <v>144</v>
      </c>
      <c r="P2790" s="75">
        <v>1994</v>
      </c>
      <c r="Q2790" s="107">
        <f t="shared" si="78"/>
        <v>2015</v>
      </c>
      <c r="R2790" s="107">
        <v>2</v>
      </c>
      <c r="S2790" s="100">
        <v>215064</v>
      </c>
      <c r="T2790" s="101">
        <v>42220</v>
      </c>
    </row>
    <row r="2791" spans="1:20" x14ac:dyDescent="0.3">
      <c r="A2791" s="42">
        <v>42239</v>
      </c>
      <c r="B2791" s="69">
        <f t="shared" si="79"/>
        <v>20150823</v>
      </c>
      <c r="C2791" s="109">
        <v>1.89E-2</v>
      </c>
      <c r="D2791" s="77">
        <v>-2E-3</v>
      </c>
      <c r="E2791" s="77">
        <v>3.0000000000000001E-3</v>
      </c>
      <c r="F2791" s="77">
        <v>6.0000000000000001E-3</v>
      </c>
      <c r="G2791" s="78">
        <v>0</v>
      </c>
      <c r="H2791" s="71">
        <v>8.3000000000000007</v>
      </c>
      <c r="I2791" s="71">
        <v>10.9</v>
      </c>
      <c r="J2791" s="71">
        <v>13.6</v>
      </c>
      <c r="K2791" s="121">
        <v>5.1999999999999998E-3</v>
      </c>
      <c r="L2791" s="80">
        <v>-1.2E-2</v>
      </c>
      <c r="M2791" s="75" t="s">
        <v>143</v>
      </c>
      <c r="N2791" s="75" t="b">
        <v>1</v>
      </c>
      <c r="O2791" s="75" t="s">
        <v>144</v>
      </c>
      <c r="P2791" s="75">
        <v>1994</v>
      </c>
      <c r="Q2791" s="107">
        <f t="shared" si="78"/>
        <v>2015</v>
      </c>
      <c r="R2791" s="107">
        <v>2</v>
      </c>
      <c r="S2791" s="100">
        <v>215064</v>
      </c>
      <c r="T2791" s="101">
        <v>42220</v>
      </c>
    </row>
    <row r="2792" spans="1:20" x14ac:dyDescent="0.3">
      <c r="A2792" s="42">
        <v>42240</v>
      </c>
      <c r="B2792" s="69">
        <f t="shared" si="79"/>
        <v>20150824</v>
      </c>
      <c r="C2792" s="109">
        <v>1.8800000000000001E-2</v>
      </c>
      <c r="D2792" s="77">
        <v>-2E-3</v>
      </c>
      <c r="E2792" s="77">
        <v>3.0000000000000001E-3</v>
      </c>
      <c r="F2792" s="77">
        <v>6.0000000000000001E-3</v>
      </c>
      <c r="G2792" s="78">
        <v>0</v>
      </c>
      <c r="H2792" s="71">
        <v>8.3000000000000007</v>
      </c>
      <c r="I2792" s="71">
        <v>10.9</v>
      </c>
      <c r="J2792" s="71">
        <v>13.6</v>
      </c>
      <c r="K2792" s="121">
        <v>5.4999999999999997E-3</v>
      </c>
      <c r="L2792" s="80">
        <v>-1.2E-2</v>
      </c>
      <c r="M2792" s="75" t="s">
        <v>143</v>
      </c>
      <c r="N2792" s="75" t="b">
        <v>1</v>
      </c>
      <c r="O2792" s="75" t="s">
        <v>144</v>
      </c>
      <c r="P2792" s="75">
        <v>1994</v>
      </c>
      <c r="Q2792" s="107">
        <f t="shared" si="78"/>
        <v>2015</v>
      </c>
      <c r="R2792" s="107">
        <v>2</v>
      </c>
      <c r="S2792" s="100">
        <v>215064</v>
      </c>
      <c r="T2792" s="101">
        <v>42220</v>
      </c>
    </row>
    <row r="2793" spans="1:20" x14ac:dyDescent="0.3">
      <c r="A2793" s="42">
        <v>42241</v>
      </c>
      <c r="B2793" s="69">
        <f t="shared" ref="B2793:B2828" si="80">YEAR(A2793)*10000+MONTH(A2793)*100+DAY(A2793)</f>
        <v>20150825</v>
      </c>
      <c r="C2793" s="109">
        <v>1.9599999999999999E-2</v>
      </c>
      <c r="D2793" s="77">
        <v>-2E-3</v>
      </c>
      <c r="E2793" s="77">
        <v>3.0000000000000001E-3</v>
      </c>
      <c r="F2793" s="77">
        <v>6.0000000000000001E-3</v>
      </c>
      <c r="G2793" s="78">
        <v>0</v>
      </c>
      <c r="H2793" s="71">
        <v>8.3000000000000007</v>
      </c>
      <c r="I2793" s="71">
        <v>10.9</v>
      </c>
      <c r="J2793" s="71">
        <v>13.6</v>
      </c>
      <c r="K2793" s="121">
        <v>5.8999999999999999E-3</v>
      </c>
      <c r="L2793" s="80">
        <v>-1.2E-2</v>
      </c>
      <c r="M2793" s="75" t="s">
        <v>143</v>
      </c>
      <c r="N2793" s="75" t="b">
        <v>1</v>
      </c>
      <c r="O2793" s="75" t="s">
        <v>144</v>
      </c>
      <c r="P2793" s="75">
        <v>1994</v>
      </c>
      <c r="Q2793" s="107">
        <f t="shared" si="78"/>
        <v>2015</v>
      </c>
      <c r="R2793" s="107">
        <v>2</v>
      </c>
      <c r="S2793" s="100">
        <v>215064</v>
      </c>
      <c r="T2793" s="101">
        <v>42220</v>
      </c>
    </row>
    <row r="2794" spans="1:20" x14ac:dyDescent="0.3">
      <c r="A2794" s="42">
        <v>42242</v>
      </c>
      <c r="B2794" s="69">
        <f t="shared" si="80"/>
        <v>20150826</v>
      </c>
      <c r="C2794" s="109">
        <v>2.0799999999999999E-2</v>
      </c>
      <c r="D2794" s="77">
        <v>-2E-3</v>
      </c>
      <c r="E2794" s="77">
        <v>3.0000000000000001E-3</v>
      </c>
      <c r="F2794" s="77">
        <v>6.0000000000000001E-3</v>
      </c>
      <c r="G2794" s="78">
        <v>0</v>
      </c>
      <c r="H2794" s="71">
        <v>8.3000000000000007</v>
      </c>
      <c r="I2794" s="71">
        <v>10.9</v>
      </c>
      <c r="J2794" s="71">
        <v>13.6</v>
      </c>
      <c r="K2794" s="121">
        <v>7.7999999999999996E-3</v>
      </c>
      <c r="L2794" s="80">
        <v>-1.2E-2</v>
      </c>
      <c r="M2794" s="75" t="s">
        <v>143</v>
      </c>
      <c r="N2794" s="75" t="b">
        <v>1</v>
      </c>
      <c r="O2794" s="75" t="s">
        <v>144</v>
      </c>
      <c r="P2794" s="75">
        <v>1994</v>
      </c>
      <c r="Q2794" s="107">
        <f t="shared" si="78"/>
        <v>2015</v>
      </c>
      <c r="R2794" s="107">
        <v>2</v>
      </c>
      <c r="S2794" s="100">
        <v>215064</v>
      </c>
      <c r="T2794" s="101">
        <v>42220</v>
      </c>
    </row>
    <row r="2795" spans="1:20" x14ac:dyDescent="0.3">
      <c r="A2795" s="42">
        <v>42243</v>
      </c>
      <c r="B2795" s="69">
        <f t="shared" si="80"/>
        <v>20150827</v>
      </c>
      <c r="C2795" s="109">
        <v>2.0799999999999999E-2</v>
      </c>
      <c r="D2795" s="77">
        <v>-2E-3</v>
      </c>
      <c r="E2795" s="77">
        <v>3.0000000000000001E-3</v>
      </c>
      <c r="F2795" s="77">
        <v>6.0000000000000001E-3</v>
      </c>
      <c r="G2795" s="78">
        <v>0</v>
      </c>
      <c r="H2795" s="71">
        <v>8.3000000000000007</v>
      </c>
      <c r="I2795" s="71">
        <v>10.9</v>
      </c>
      <c r="J2795" s="71">
        <v>13.6</v>
      </c>
      <c r="K2795" s="121">
        <v>7.4999999999999997E-3</v>
      </c>
      <c r="L2795" s="80">
        <v>-1.2E-2</v>
      </c>
      <c r="M2795" s="75" t="s">
        <v>143</v>
      </c>
      <c r="N2795" s="75" t="b">
        <v>1</v>
      </c>
      <c r="O2795" s="75" t="s">
        <v>144</v>
      </c>
      <c r="P2795" s="75">
        <v>1994</v>
      </c>
      <c r="Q2795" s="107">
        <f t="shared" si="78"/>
        <v>2015</v>
      </c>
      <c r="R2795" s="107">
        <v>2</v>
      </c>
      <c r="S2795" s="100">
        <v>215064</v>
      </c>
      <c r="T2795" s="101">
        <v>42220</v>
      </c>
    </row>
    <row r="2796" spans="1:20" x14ac:dyDescent="0.3">
      <c r="A2796" s="42">
        <v>42244</v>
      </c>
      <c r="B2796" s="69">
        <f t="shared" si="80"/>
        <v>20150828</v>
      </c>
      <c r="C2796" s="109">
        <v>2.07E-2</v>
      </c>
      <c r="D2796" s="77">
        <v>-2E-3</v>
      </c>
      <c r="E2796" s="77">
        <v>3.0000000000000001E-3</v>
      </c>
      <c r="F2796" s="77">
        <v>6.0000000000000001E-3</v>
      </c>
      <c r="G2796" s="78">
        <v>0</v>
      </c>
      <c r="H2796" s="71">
        <v>8.3000000000000007</v>
      </c>
      <c r="I2796" s="71">
        <v>10.9</v>
      </c>
      <c r="J2796" s="71">
        <v>13.6</v>
      </c>
      <c r="K2796" s="121">
        <v>7.1000000000000004E-3</v>
      </c>
      <c r="L2796" s="80">
        <v>-1.2E-2</v>
      </c>
      <c r="M2796" s="75" t="s">
        <v>143</v>
      </c>
      <c r="N2796" s="75" t="b">
        <v>1</v>
      </c>
      <c r="O2796" s="75" t="s">
        <v>144</v>
      </c>
      <c r="P2796" s="75">
        <v>1994</v>
      </c>
      <c r="Q2796" s="107">
        <f t="shared" si="78"/>
        <v>2015</v>
      </c>
      <c r="R2796" s="107">
        <v>2</v>
      </c>
      <c r="S2796" s="100">
        <v>215064</v>
      </c>
      <c r="T2796" s="101">
        <v>42220</v>
      </c>
    </row>
    <row r="2797" spans="1:20" x14ac:dyDescent="0.3">
      <c r="A2797" s="42">
        <v>42245</v>
      </c>
      <c r="B2797" s="69">
        <f t="shared" si="80"/>
        <v>20150829</v>
      </c>
      <c r="C2797" s="109">
        <v>2.07E-2</v>
      </c>
      <c r="D2797" s="77">
        <v>-2E-3</v>
      </c>
      <c r="E2797" s="77">
        <v>3.0000000000000001E-3</v>
      </c>
      <c r="F2797" s="77">
        <v>6.0000000000000001E-3</v>
      </c>
      <c r="G2797" s="78">
        <v>0</v>
      </c>
      <c r="H2797" s="71">
        <v>8.3000000000000007</v>
      </c>
      <c r="I2797" s="71">
        <v>10.9</v>
      </c>
      <c r="J2797" s="71">
        <v>13.6</v>
      </c>
      <c r="K2797" s="121">
        <v>7.1000000000000004E-3</v>
      </c>
      <c r="L2797" s="80">
        <v>-1.2E-2</v>
      </c>
      <c r="M2797" s="75" t="s">
        <v>143</v>
      </c>
      <c r="N2797" s="75" t="b">
        <v>1</v>
      </c>
      <c r="O2797" s="75" t="s">
        <v>144</v>
      </c>
      <c r="P2797" s="75">
        <v>1994</v>
      </c>
      <c r="Q2797" s="107">
        <f t="shared" si="78"/>
        <v>2015</v>
      </c>
      <c r="R2797" s="107">
        <v>2</v>
      </c>
      <c r="S2797" s="100">
        <v>215064</v>
      </c>
      <c r="T2797" s="101">
        <v>42220</v>
      </c>
    </row>
    <row r="2798" spans="1:20" x14ac:dyDescent="0.3">
      <c r="A2798" s="42">
        <v>42246</v>
      </c>
      <c r="B2798" s="69">
        <f t="shared" si="80"/>
        <v>20150830</v>
      </c>
      <c r="C2798" s="109">
        <v>2.07E-2</v>
      </c>
      <c r="D2798" s="77">
        <v>-2E-3</v>
      </c>
      <c r="E2798" s="77">
        <v>3.0000000000000001E-3</v>
      </c>
      <c r="F2798" s="77">
        <v>6.0000000000000001E-3</v>
      </c>
      <c r="G2798" s="78">
        <v>0</v>
      </c>
      <c r="H2798" s="71">
        <v>8.3000000000000007</v>
      </c>
      <c r="I2798" s="71">
        <v>10.9</v>
      </c>
      <c r="J2798" s="71">
        <v>13.6</v>
      </c>
      <c r="K2798" s="121">
        <v>7.1000000000000004E-3</v>
      </c>
      <c r="L2798" s="80">
        <v>-1.2E-2</v>
      </c>
      <c r="M2798" s="75" t="s">
        <v>143</v>
      </c>
      <c r="N2798" s="75" t="b">
        <v>1</v>
      </c>
      <c r="O2798" s="75" t="s">
        <v>144</v>
      </c>
      <c r="P2798" s="75">
        <v>1994</v>
      </c>
      <c r="Q2798" s="107">
        <f t="shared" ref="Q2798:Q2861" si="81">YEAR(A2798)</f>
        <v>2015</v>
      </c>
      <c r="R2798" s="107">
        <v>2</v>
      </c>
      <c r="S2798" s="100">
        <v>215064</v>
      </c>
      <c r="T2798" s="101">
        <v>42220</v>
      </c>
    </row>
    <row r="2799" spans="1:20" x14ac:dyDescent="0.3">
      <c r="A2799" s="42">
        <v>42247</v>
      </c>
      <c r="B2799" s="69">
        <f t="shared" si="80"/>
        <v>20150831</v>
      </c>
      <c r="C2799" s="109">
        <v>2.1100000000000001E-2</v>
      </c>
      <c r="D2799" s="77">
        <v>-2E-3</v>
      </c>
      <c r="E2799" s="77">
        <v>3.0000000000000001E-3</v>
      </c>
      <c r="F2799" s="77">
        <v>6.0000000000000001E-3</v>
      </c>
      <c r="G2799" s="78">
        <v>0</v>
      </c>
      <c r="H2799" s="71">
        <v>8.3000000000000007</v>
      </c>
      <c r="I2799" s="71">
        <v>10.9</v>
      </c>
      <c r="J2799" s="71">
        <v>13.6</v>
      </c>
      <c r="K2799" s="121">
        <v>7.3000000000000001E-3</v>
      </c>
      <c r="L2799" s="80">
        <v>-1.2E-2</v>
      </c>
      <c r="M2799" s="75" t="s">
        <v>143</v>
      </c>
      <c r="N2799" s="75" t="b">
        <v>1</v>
      </c>
      <c r="O2799" s="75" t="s">
        <v>144</v>
      </c>
      <c r="P2799" s="75">
        <v>1994</v>
      </c>
      <c r="Q2799" s="107">
        <f t="shared" si="81"/>
        <v>2015</v>
      </c>
      <c r="R2799" s="107">
        <v>2</v>
      </c>
      <c r="S2799" s="100">
        <v>215064</v>
      </c>
      <c r="T2799" s="101">
        <v>42220</v>
      </c>
    </row>
    <row r="2800" spans="1:20" x14ac:dyDescent="0.3">
      <c r="A2800" s="42">
        <v>42248</v>
      </c>
      <c r="B2800" s="69">
        <f t="shared" si="80"/>
        <v>20150901</v>
      </c>
      <c r="C2800" s="109">
        <v>2.06E-2</v>
      </c>
      <c r="D2800" s="77">
        <v>-2E-3</v>
      </c>
      <c r="E2800" s="77">
        <v>3.0000000000000001E-3</v>
      </c>
      <c r="F2800" s="77">
        <v>6.0000000000000001E-3</v>
      </c>
      <c r="G2800" s="78">
        <v>0</v>
      </c>
      <c r="H2800" s="71">
        <v>8.3000000000000007</v>
      </c>
      <c r="I2800" s="71">
        <v>10.9</v>
      </c>
      <c r="J2800" s="71">
        <v>13.6</v>
      </c>
      <c r="K2800" s="121">
        <v>6.8999999999999999E-3</v>
      </c>
      <c r="L2800" s="80">
        <v>-1.2E-2</v>
      </c>
      <c r="M2800" s="75" t="s">
        <v>143</v>
      </c>
      <c r="N2800" s="75" t="b">
        <v>1</v>
      </c>
      <c r="O2800" s="75" t="s">
        <v>144</v>
      </c>
      <c r="P2800" s="75">
        <v>1994</v>
      </c>
      <c r="Q2800" s="107">
        <f t="shared" si="81"/>
        <v>2015</v>
      </c>
      <c r="R2800" s="107">
        <v>2</v>
      </c>
      <c r="S2800" s="100">
        <v>215064</v>
      </c>
      <c r="T2800" s="101">
        <v>42220</v>
      </c>
    </row>
    <row r="2801" spans="1:20" x14ac:dyDescent="0.3">
      <c r="A2801" s="42">
        <v>42249</v>
      </c>
      <c r="B2801" s="69">
        <f t="shared" si="80"/>
        <v>20150902</v>
      </c>
      <c r="C2801" s="109">
        <v>2.0899999999999998E-2</v>
      </c>
      <c r="D2801" s="77">
        <v>-2E-3</v>
      </c>
      <c r="E2801" s="77">
        <v>3.0000000000000001E-3</v>
      </c>
      <c r="F2801" s="77">
        <v>6.0000000000000001E-3</v>
      </c>
      <c r="G2801" s="78">
        <v>0</v>
      </c>
      <c r="H2801" s="71">
        <v>8.3000000000000007</v>
      </c>
      <c r="I2801" s="71">
        <v>10.9</v>
      </c>
      <c r="J2801" s="71">
        <v>13.6</v>
      </c>
      <c r="K2801" s="121">
        <v>6.7000000000000002E-3</v>
      </c>
      <c r="L2801" s="80">
        <v>-1.2E-2</v>
      </c>
      <c r="M2801" s="75" t="s">
        <v>143</v>
      </c>
      <c r="N2801" s="75" t="b">
        <v>1</v>
      </c>
      <c r="O2801" s="75" t="s">
        <v>144</v>
      </c>
      <c r="P2801" s="75">
        <v>1994</v>
      </c>
      <c r="Q2801" s="107">
        <f t="shared" si="81"/>
        <v>2015</v>
      </c>
      <c r="R2801" s="107">
        <v>2</v>
      </c>
      <c r="S2801" s="100">
        <v>215064</v>
      </c>
      <c r="T2801" s="101">
        <v>42220</v>
      </c>
    </row>
    <row r="2802" spans="1:20" x14ac:dyDescent="0.3">
      <c r="A2802" s="42">
        <v>42250</v>
      </c>
      <c r="B2802" s="69">
        <f t="shared" si="80"/>
        <v>20150903</v>
      </c>
      <c r="C2802" s="109">
        <v>2.1000000000000001E-2</v>
      </c>
      <c r="D2802" s="77">
        <v>-2E-3</v>
      </c>
      <c r="E2802" s="77">
        <v>3.0000000000000001E-3</v>
      </c>
      <c r="F2802" s="77">
        <v>6.0000000000000001E-3</v>
      </c>
      <c r="G2802" s="78">
        <v>0</v>
      </c>
      <c r="H2802" s="71">
        <v>8.3000000000000007</v>
      </c>
      <c r="I2802" s="71">
        <v>10.9</v>
      </c>
      <c r="J2802" s="71">
        <v>13.6</v>
      </c>
      <c r="K2802" s="121">
        <v>6.8000000000000005E-3</v>
      </c>
      <c r="L2802" s="80">
        <v>-1.2E-2</v>
      </c>
      <c r="M2802" s="75" t="s">
        <v>143</v>
      </c>
      <c r="N2802" s="75" t="b">
        <v>1</v>
      </c>
      <c r="O2802" s="75" t="s">
        <v>144</v>
      </c>
      <c r="P2802" s="75">
        <v>1994</v>
      </c>
      <c r="Q2802" s="107">
        <f t="shared" si="81"/>
        <v>2015</v>
      </c>
      <c r="R2802" s="107">
        <v>2</v>
      </c>
      <c r="S2802" s="100">
        <v>215064</v>
      </c>
      <c r="T2802" s="101">
        <v>42220</v>
      </c>
    </row>
    <row r="2803" spans="1:20" x14ac:dyDescent="0.3">
      <c r="A2803" s="42">
        <v>42251</v>
      </c>
      <c r="B2803" s="69">
        <f t="shared" si="80"/>
        <v>20150904</v>
      </c>
      <c r="C2803" s="109">
        <v>2.0799999999999999E-2</v>
      </c>
      <c r="D2803" s="77">
        <v>-2E-3</v>
      </c>
      <c r="E2803" s="77">
        <v>3.0000000000000001E-3</v>
      </c>
      <c r="F2803" s="77">
        <v>6.0000000000000001E-3</v>
      </c>
      <c r="G2803" s="78">
        <v>0</v>
      </c>
      <c r="H2803" s="71">
        <v>8.3000000000000007</v>
      </c>
      <c r="I2803" s="71">
        <v>10.9</v>
      </c>
      <c r="J2803" s="71">
        <v>13.6</v>
      </c>
      <c r="K2803" s="121">
        <v>6.6E-3</v>
      </c>
      <c r="L2803" s="80">
        <v>-1.2E-2</v>
      </c>
      <c r="M2803" s="75" t="s">
        <v>143</v>
      </c>
      <c r="N2803" s="75" t="b">
        <v>1</v>
      </c>
      <c r="O2803" s="75" t="s">
        <v>144</v>
      </c>
      <c r="P2803" s="75">
        <v>1994</v>
      </c>
      <c r="Q2803" s="107">
        <f t="shared" si="81"/>
        <v>2015</v>
      </c>
      <c r="R2803" s="107">
        <v>2</v>
      </c>
      <c r="S2803" s="100">
        <v>215064</v>
      </c>
      <c r="T2803" s="101">
        <v>42220</v>
      </c>
    </row>
    <row r="2804" spans="1:20" x14ac:dyDescent="0.3">
      <c r="A2804" s="42">
        <v>42252</v>
      </c>
      <c r="B2804" s="69">
        <f>YEAR(A2804)*10000+MONTH(A2804)*100+DAY(A2804)</f>
        <v>20150905</v>
      </c>
      <c r="C2804" s="109">
        <v>2.0799999999999999E-2</v>
      </c>
      <c r="D2804" s="77">
        <v>-2E-3</v>
      </c>
      <c r="E2804" s="77">
        <v>3.0000000000000001E-3</v>
      </c>
      <c r="F2804" s="77">
        <v>6.0000000000000001E-3</v>
      </c>
      <c r="G2804" s="78">
        <v>0</v>
      </c>
      <c r="H2804" s="71">
        <v>8.3000000000000007</v>
      </c>
      <c r="I2804" s="71">
        <v>10.9</v>
      </c>
      <c r="J2804" s="71">
        <v>13.6</v>
      </c>
      <c r="K2804" s="121">
        <v>6.6E-3</v>
      </c>
      <c r="L2804" s="80">
        <v>-1.2E-2</v>
      </c>
      <c r="M2804" s="75" t="s">
        <v>143</v>
      </c>
      <c r="N2804" s="75" t="b">
        <v>1</v>
      </c>
      <c r="O2804" s="75" t="s">
        <v>144</v>
      </c>
      <c r="P2804" s="75">
        <v>1994</v>
      </c>
      <c r="Q2804" s="107">
        <f t="shared" si="81"/>
        <v>2015</v>
      </c>
      <c r="R2804" s="107">
        <v>2</v>
      </c>
      <c r="S2804" s="100">
        <v>215064</v>
      </c>
      <c r="T2804" s="101">
        <v>42220</v>
      </c>
    </row>
    <row r="2805" spans="1:20" x14ac:dyDescent="0.3">
      <c r="A2805" s="42">
        <v>42253</v>
      </c>
      <c r="B2805" s="69">
        <f>YEAR(A2805)*10000+MONTH(A2805)*100+DAY(A2805)</f>
        <v>20150906</v>
      </c>
      <c r="C2805" s="109">
        <v>2.0799999999999999E-2</v>
      </c>
      <c r="D2805" s="77">
        <v>-2E-3</v>
      </c>
      <c r="E2805" s="77">
        <v>3.0000000000000001E-3</v>
      </c>
      <c r="F2805" s="77">
        <v>6.0000000000000001E-3</v>
      </c>
      <c r="G2805" s="78">
        <v>0</v>
      </c>
      <c r="H2805" s="71">
        <v>8.3000000000000007</v>
      </c>
      <c r="I2805" s="71">
        <v>10.9</v>
      </c>
      <c r="J2805" s="71">
        <v>13.6</v>
      </c>
      <c r="K2805" s="121">
        <v>6.6E-3</v>
      </c>
      <c r="L2805" s="80">
        <v>-1.2E-2</v>
      </c>
      <c r="M2805" s="75" t="s">
        <v>143</v>
      </c>
      <c r="N2805" s="75" t="b">
        <v>1</v>
      </c>
      <c r="O2805" s="75" t="s">
        <v>144</v>
      </c>
      <c r="P2805" s="75">
        <v>1994</v>
      </c>
      <c r="Q2805" s="107">
        <f t="shared" si="81"/>
        <v>2015</v>
      </c>
      <c r="R2805" s="107">
        <v>2</v>
      </c>
      <c r="S2805" s="100">
        <v>215064</v>
      </c>
      <c r="T2805" s="101">
        <v>42220</v>
      </c>
    </row>
    <row r="2806" spans="1:20" x14ac:dyDescent="0.3">
      <c r="A2806" s="42">
        <v>42254</v>
      </c>
      <c r="B2806" s="69">
        <f t="shared" si="80"/>
        <v>20150907</v>
      </c>
      <c r="C2806" s="109">
        <v>2.0799999999999999E-2</v>
      </c>
      <c r="D2806" s="77">
        <v>-2E-3</v>
      </c>
      <c r="E2806" s="77">
        <v>3.0000000000000001E-3</v>
      </c>
      <c r="F2806" s="77">
        <v>6.0000000000000001E-3</v>
      </c>
      <c r="G2806" s="78">
        <v>0</v>
      </c>
      <c r="H2806" s="71">
        <v>8.3000000000000007</v>
      </c>
      <c r="I2806" s="71">
        <v>10.9</v>
      </c>
      <c r="J2806" s="71">
        <v>13.6</v>
      </c>
      <c r="K2806" s="121">
        <v>6.6E-3</v>
      </c>
      <c r="L2806" s="80">
        <v>-1.2E-2</v>
      </c>
      <c r="M2806" s="75" t="s">
        <v>143</v>
      </c>
      <c r="N2806" s="75" t="b">
        <v>1</v>
      </c>
      <c r="O2806" s="75" t="s">
        <v>144</v>
      </c>
      <c r="P2806" s="75">
        <v>1994</v>
      </c>
      <c r="Q2806" s="107">
        <f t="shared" si="81"/>
        <v>2015</v>
      </c>
      <c r="R2806" s="107">
        <v>2</v>
      </c>
      <c r="S2806" s="100">
        <v>215064</v>
      </c>
      <c r="T2806" s="101">
        <v>42220</v>
      </c>
    </row>
    <row r="2807" spans="1:20" x14ac:dyDescent="0.3">
      <c r="A2807" s="42">
        <v>42255</v>
      </c>
      <c r="B2807" s="69">
        <f t="shared" si="80"/>
        <v>20150908</v>
      </c>
      <c r="C2807" s="109">
        <v>2.12E-2</v>
      </c>
      <c r="D2807" s="77">
        <v>-2E-3</v>
      </c>
      <c r="E2807" s="77">
        <v>3.0000000000000001E-3</v>
      </c>
      <c r="F2807" s="77">
        <v>6.0000000000000001E-3</v>
      </c>
      <c r="G2807" s="78">
        <v>0</v>
      </c>
      <c r="H2807" s="71">
        <v>8.3000000000000007</v>
      </c>
      <c r="I2807" s="71">
        <v>10.9</v>
      </c>
      <c r="J2807" s="71">
        <v>13.6</v>
      </c>
      <c r="K2807" s="121">
        <v>6.8999999999999999E-3</v>
      </c>
      <c r="L2807" s="80">
        <v>-1.2E-2</v>
      </c>
      <c r="M2807" s="75" t="s">
        <v>143</v>
      </c>
      <c r="N2807" s="75" t="b">
        <v>1</v>
      </c>
      <c r="O2807" s="75" t="s">
        <v>144</v>
      </c>
      <c r="P2807" s="75">
        <v>1994</v>
      </c>
      <c r="Q2807" s="107">
        <f t="shared" si="81"/>
        <v>2015</v>
      </c>
      <c r="R2807" s="107">
        <v>2</v>
      </c>
      <c r="S2807" s="100">
        <v>215064</v>
      </c>
      <c r="T2807" s="101">
        <v>42220</v>
      </c>
    </row>
    <row r="2808" spans="1:20" x14ac:dyDescent="0.3">
      <c r="A2808" s="42">
        <v>42256</v>
      </c>
      <c r="B2808" s="69">
        <f t="shared" si="80"/>
        <v>20150909</v>
      </c>
      <c r="C2808" s="109">
        <v>2.1299999999999999E-2</v>
      </c>
      <c r="D2808" s="77">
        <v>-2E-3</v>
      </c>
      <c r="E2808" s="77">
        <v>3.0000000000000001E-3</v>
      </c>
      <c r="F2808" s="77">
        <v>6.0000000000000001E-3</v>
      </c>
      <c r="G2808" s="78">
        <v>0</v>
      </c>
      <c r="H2808" s="71">
        <v>8.3000000000000007</v>
      </c>
      <c r="I2808" s="71">
        <v>10.9</v>
      </c>
      <c r="J2808" s="71">
        <v>13.6</v>
      </c>
      <c r="K2808" s="121">
        <v>6.8999999999999999E-3</v>
      </c>
      <c r="L2808" s="80">
        <v>-1.2E-2</v>
      </c>
      <c r="M2808" s="75" t="s">
        <v>143</v>
      </c>
      <c r="N2808" s="75" t="b">
        <v>1</v>
      </c>
      <c r="O2808" s="75" t="s">
        <v>144</v>
      </c>
      <c r="P2808" s="75">
        <v>1994</v>
      </c>
      <c r="Q2808" s="107">
        <f t="shared" si="81"/>
        <v>2015</v>
      </c>
      <c r="R2808" s="107">
        <v>2</v>
      </c>
      <c r="S2808" s="100">
        <v>215064</v>
      </c>
      <c r="T2808" s="101">
        <v>42220</v>
      </c>
    </row>
    <row r="2809" spans="1:20" x14ac:dyDescent="0.3">
      <c r="A2809" s="42">
        <v>42257</v>
      </c>
      <c r="B2809" s="69">
        <f t="shared" si="80"/>
        <v>20150910</v>
      </c>
      <c r="C2809" s="109">
        <v>2.1400000000000002E-2</v>
      </c>
      <c r="D2809" s="77">
        <v>-2E-3</v>
      </c>
      <c r="E2809" s="77">
        <v>3.0000000000000001E-3</v>
      </c>
      <c r="F2809" s="77">
        <v>6.0000000000000001E-3</v>
      </c>
      <c r="G2809" s="78">
        <v>0</v>
      </c>
      <c r="H2809" s="71">
        <v>8.3000000000000007</v>
      </c>
      <c r="I2809" s="71">
        <v>10.9</v>
      </c>
      <c r="J2809" s="71">
        <v>13.6</v>
      </c>
      <c r="K2809" s="121">
        <v>6.9999999999999993E-3</v>
      </c>
      <c r="L2809" s="80">
        <v>-1.2E-2</v>
      </c>
      <c r="M2809" s="75" t="s">
        <v>143</v>
      </c>
      <c r="N2809" s="75" t="b">
        <v>1</v>
      </c>
      <c r="O2809" s="75" t="s">
        <v>144</v>
      </c>
      <c r="P2809" s="75">
        <v>1994</v>
      </c>
      <c r="Q2809" s="107">
        <f t="shared" si="81"/>
        <v>2015</v>
      </c>
      <c r="R2809" s="107">
        <v>2</v>
      </c>
      <c r="S2809" s="100">
        <v>215064</v>
      </c>
      <c r="T2809" s="101">
        <v>42220</v>
      </c>
    </row>
    <row r="2810" spans="1:20" x14ac:dyDescent="0.3">
      <c r="A2810" s="42">
        <v>42258</v>
      </c>
      <c r="B2810" s="69">
        <f t="shared" si="80"/>
        <v>20150911</v>
      </c>
      <c r="C2810" s="109">
        <v>2.1099999999999997E-2</v>
      </c>
      <c r="D2810" s="77">
        <v>-2E-3</v>
      </c>
      <c r="E2810" s="77">
        <v>3.0000000000000001E-3</v>
      </c>
      <c r="F2810" s="77">
        <v>6.0000000000000001E-3</v>
      </c>
      <c r="G2810" s="78">
        <v>0</v>
      </c>
      <c r="H2810" s="71">
        <v>8.3000000000000007</v>
      </c>
      <c r="I2810" s="71">
        <v>10.9</v>
      </c>
      <c r="J2810" s="71">
        <v>13.6</v>
      </c>
      <c r="K2810" s="121">
        <v>6.7000000000000002E-3</v>
      </c>
      <c r="L2810" s="80">
        <v>-1.2E-2</v>
      </c>
      <c r="M2810" s="75" t="s">
        <v>143</v>
      </c>
      <c r="N2810" s="75" t="b">
        <v>1</v>
      </c>
      <c r="O2810" s="75" t="s">
        <v>144</v>
      </c>
      <c r="P2810" s="75">
        <v>1994</v>
      </c>
      <c r="Q2810" s="107">
        <f t="shared" si="81"/>
        <v>2015</v>
      </c>
      <c r="R2810" s="107">
        <v>2</v>
      </c>
      <c r="S2810" s="100">
        <v>215064</v>
      </c>
      <c r="T2810" s="101">
        <v>42220</v>
      </c>
    </row>
    <row r="2811" spans="1:20" x14ac:dyDescent="0.3">
      <c r="A2811" s="42">
        <v>42259</v>
      </c>
      <c r="B2811" s="69">
        <f>YEAR(A2811)*10000+MONTH(A2811)*100+DAY(A2811)</f>
        <v>20150912</v>
      </c>
      <c r="C2811" s="109">
        <v>2.1099999999999997E-2</v>
      </c>
      <c r="D2811" s="77">
        <v>-2E-3</v>
      </c>
      <c r="E2811" s="77">
        <v>3.0000000000000001E-3</v>
      </c>
      <c r="F2811" s="77">
        <v>6.0000000000000001E-3</v>
      </c>
      <c r="G2811" s="78">
        <v>0</v>
      </c>
      <c r="H2811" s="71">
        <v>8.3000000000000007</v>
      </c>
      <c r="I2811" s="71">
        <v>10.9</v>
      </c>
      <c r="J2811" s="71">
        <v>13.6</v>
      </c>
      <c r="K2811" s="121">
        <v>6.7000000000000002E-3</v>
      </c>
      <c r="L2811" s="80">
        <v>-1.2E-2</v>
      </c>
      <c r="M2811" s="75" t="s">
        <v>143</v>
      </c>
      <c r="N2811" s="75" t="b">
        <v>1</v>
      </c>
      <c r="O2811" s="75" t="s">
        <v>144</v>
      </c>
      <c r="P2811" s="75">
        <v>1994</v>
      </c>
      <c r="Q2811" s="107">
        <f t="shared" si="81"/>
        <v>2015</v>
      </c>
      <c r="R2811" s="107">
        <v>2</v>
      </c>
      <c r="S2811" s="100">
        <v>215064</v>
      </c>
      <c r="T2811" s="101">
        <v>42220</v>
      </c>
    </row>
    <row r="2812" spans="1:20" x14ac:dyDescent="0.3">
      <c r="A2812" s="42">
        <v>42260</v>
      </c>
      <c r="B2812" s="69">
        <f>YEAR(A2812)*10000+MONTH(A2812)*100+DAY(A2812)</f>
        <v>20150913</v>
      </c>
      <c r="C2812" s="109">
        <v>2.1099999999999997E-2</v>
      </c>
      <c r="D2812" s="77">
        <v>-2E-3</v>
      </c>
      <c r="E2812" s="77">
        <v>3.0000000000000001E-3</v>
      </c>
      <c r="F2812" s="77">
        <v>6.0000000000000001E-3</v>
      </c>
      <c r="G2812" s="78">
        <v>0</v>
      </c>
      <c r="H2812" s="71">
        <v>8.3000000000000007</v>
      </c>
      <c r="I2812" s="71">
        <v>10.9</v>
      </c>
      <c r="J2812" s="71">
        <v>13.6</v>
      </c>
      <c r="K2812" s="121">
        <v>6.7000000000000002E-3</v>
      </c>
      <c r="L2812" s="80">
        <v>-1.2E-2</v>
      </c>
      <c r="M2812" s="75" t="s">
        <v>143</v>
      </c>
      <c r="N2812" s="75" t="b">
        <v>1</v>
      </c>
      <c r="O2812" s="75" t="s">
        <v>144</v>
      </c>
      <c r="P2812" s="75">
        <v>1994</v>
      </c>
      <c r="Q2812" s="107">
        <f t="shared" si="81"/>
        <v>2015</v>
      </c>
      <c r="R2812" s="107">
        <v>2</v>
      </c>
      <c r="S2812" s="100">
        <v>215064</v>
      </c>
      <c r="T2812" s="101">
        <v>42220</v>
      </c>
    </row>
    <row r="2813" spans="1:20" x14ac:dyDescent="0.3">
      <c r="A2813" s="42">
        <v>42261</v>
      </c>
      <c r="B2813" s="69">
        <f t="shared" si="80"/>
        <v>20150914</v>
      </c>
      <c r="C2813" s="109">
        <v>2.0899999999999998E-2</v>
      </c>
      <c r="D2813" s="77">
        <v>-2E-3</v>
      </c>
      <c r="E2813" s="77">
        <v>3.0000000000000001E-3</v>
      </c>
      <c r="F2813" s="77">
        <v>6.0000000000000001E-3</v>
      </c>
      <c r="G2813" s="78">
        <v>0</v>
      </c>
      <c r="H2813" s="71">
        <v>8.3000000000000007</v>
      </c>
      <c r="I2813" s="71">
        <v>10.9</v>
      </c>
      <c r="J2813" s="71">
        <v>13.6</v>
      </c>
      <c r="K2813" s="121">
        <v>6.4000000000000003E-3</v>
      </c>
      <c r="L2813" s="80">
        <v>-1.2E-2</v>
      </c>
      <c r="M2813" s="75" t="s">
        <v>143</v>
      </c>
      <c r="N2813" s="75" t="b">
        <v>1</v>
      </c>
      <c r="O2813" s="75" t="s">
        <v>144</v>
      </c>
      <c r="P2813" s="75">
        <v>1994</v>
      </c>
      <c r="Q2813" s="107">
        <f t="shared" si="81"/>
        <v>2015</v>
      </c>
      <c r="R2813" s="107">
        <v>2</v>
      </c>
      <c r="S2813" s="100">
        <v>215064</v>
      </c>
      <c r="T2813" s="101">
        <v>42220</v>
      </c>
    </row>
    <row r="2814" spans="1:20" x14ac:dyDescent="0.3">
      <c r="A2814" s="42">
        <v>42262</v>
      </c>
      <c r="B2814" s="69">
        <f t="shared" si="80"/>
        <v>20150915</v>
      </c>
      <c r="C2814" s="109">
        <v>2.1899999999999999E-2</v>
      </c>
      <c r="D2814" s="77">
        <v>-2E-3</v>
      </c>
      <c r="E2814" s="77">
        <v>3.0000000000000001E-3</v>
      </c>
      <c r="F2814" s="77">
        <v>6.0000000000000001E-3</v>
      </c>
      <c r="G2814" s="78">
        <v>0</v>
      </c>
      <c r="H2814" s="71">
        <v>8.3000000000000007</v>
      </c>
      <c r="I2814" s="71">
        <v>10.9</v>
      </c>
      <c r="J2814" s="71">
        <v>13.6</v>
      </c>
      <c r="K2814" s="121">
        <v>7.3000000000000001E-3</v>
      </c>
      <c r="L2814" s="80">
        <v>-1.2E-2</v>
      </c>
      <c r="M2814" s="75" t="s">
        <v>143</v>
      </c>
      <c r="N2814" s="75" t="b">
        <v>1</v>
      </c>
      <c r="O2814" s="75" t="s">
        <v>144</v>
      </c>
      <c r="P2814" s="75">
        <v>1994</v>
      </c>
      <c r="Q2814" s="107">
        <f t="shared" si="81"/>
        <v>2015</v>
      </c>
      <c r="R2814" s="107">
        <v>2</v>
      </c>
      <c r="S2814" s="100">
        <v>215064</v>
      </c>
      <c r="T2814" s="101">
        <v>42220</v>
      </c>
    </row>
    <row r="2815" spans="1:20" x14ac:dyDescent="0.3">
      <c r="A2815" s="42">
        <v>42263</v>
      </c>
      <c r="B2815" s="69">
        <f t="shared" si="80"/>
        <v>20150916</v>
      </c>
      <c r="C2815" s="109">
        <v>2.2099999999999998E-2</v>
      </c>
      <c r="D2815" s="77">
        <v>-2E-3</v>
      </c>
      <c r="E2815" s="77">
        <v>3.0000000000000001E-3</v>
      </c>
      <c r="F2815" s="77">
        <v>6.0000000000000001E-3</v>
      </c>
      <c r="G2815" s="78">
        <v>0</v>
      </c>
      <c r="H2815" s="71">
        <v>8.3000000000000007</v>
      </c>
      <c r="I2815" s="71">
        <v>10.9</v>
      </c>
      <c r="J2815" s="71">
        <v>13.6</v>
      </c>
      <c r="K2815" s="121">
        <v>7.0999999999999995E-3</v>
      </c>
      <c r="L2815" s="80">
        <v>-1.2E-2</v>
      </c>
      <c r="M2815" s="75" t="s">
        <v>143</v>
      </c>
      <c r="N2815" s="75" t="b">
        <v>1</v>
      </c>
      <c r="O2815" s="75" t="s">
        <v>144</v>
      </c>
      <c r="P2815" s="75">
        <v>1994</v>
      </c>
      <c r="Q2815" s="107">
        <f t="shared" si="81"/>
        <v>2015</v>
      </c>
      <c r="R2815" s="107">
        <v>2</v>
      </c>
      <c r="S2815" s="100">
        <v>215064</v>
      </c>
      <c r="T2815" s="101">
        <v>42220</v>
      </c>
    </row>
    <row r="2816" spans="1:20" x14ac:dyDescent="0.3">
      <c r="A2816" s="42">
        <v>42264</v>
      </c>
      <c r="B2816" s="69">
        <f t="shared" si="80"/>
        <v>20150917</v>
      </c>
      <c r="C2816" s="109">
        <v>2.1700000000000001E-2</v>
      </c>
      <c r="D2816" s="77">
        <v>-2E-3</v>
      </c>
      <c r="E2816" s="77">
        <v>3.0000000000000001E-3</v>
      </c>
      <c r="F2816" s="77">
        <v>6.0000000000000001E-3</v>
      </c>
      <c r="G2816" s="78">
        <v>0</v>
      </c>
      <c r="H2816" s="71">
        <v>8.3000000000000007</v>
      </c>
      <c r="I2816" s="71">
        <v>10.9</v>
      </c>
      <c r="J2816" s="71">
        <v>13.6</v>
      </c>
      <c r="K2816" s="121">
        <v>6.7000000000000002E-3</v>
      </c>
      <c r="L2816" s="80">
        <v>-1.2E-2</v>
      </c>
      <c r="M2816" s="75" t="s">
        <v>143</v>
      </c>
      <c r="N2816" s="75" t="b">
        <v>1</v>
      </c>
      <c r="O2816" s="75" t="s">
        <v>144</v>
      </c>
      <c r="P2816" s="75">
        <v>1994</v>
      </c>
      <c r="Q2816" s="107">
        <f t="shared" si="81"/>
        <v>2015</v>
      </c>
      <c r="R2816" s="107">
        <v>2</v>
      </c>
      <c r="S2816" s="100">
        <v>215064</v>
      </c>
      <c r="T2816" s="101">
        <v>42220</v>
      </c>
    </row>
    <row r="2817" spans="1:21" x14ac:dyDescent="0.3">
      <c r="A2817" s="42">
        <v>42265</v>
      </c>
      <c r="B2817" s="69">
        <f t="shared" si="80"/>
        <v>20150918</v>
      </c>
      <c r="C2817" s="109">
        <v>2.1000000000000001E-2</v>
      </c>
      <c r="D2817" s="77">
        <v>-2E-3</v>
      </c>
      <c r="E2817" s="77">
        <v>3.0000000000000001E-3</v>
      </c>
      <c r="F2817" s="77">
        <v>6.0000000000000001E-3</v>
      </c>
      <c r="G2817" s="78">
        <v>0</v>
      </c>
      <c r="H2817" s="71">
        <v>8.3000000000000007</v>
      </c>
      <c r="I2817" s="71">
        <v>10.9</v>
      </c>
      <c r="J2817" s="71">
        <v>13.6</v>
      </c>
      <c r="K2817" s="121">
        <v>6.0000000000000001E-3</v>
      </c>
      <c r="L2817" s="80">
        <v>-1.2E-2</v>
      </c>
      <c r="M2817" s="75" t="s">
        <v>143</v>
      </c>
      <c r="N2817" s="75" t="b">
        <v>1</v>
      </c>
      <c r="O2817" s="75" t="s">
        <v>144</v>
      </c>
      <c r="P2817" s="75">
        <v>1994</v>
      </c>
      <c r="Q2817" s="107">
        <f t="shared" si="81"/>
        <v>2015</v>
      </c>
      <c r="R2817" s="107">
        <v>2</v>
      </c>
      <c r="S2817" s="100">
        <v>215064</v>
      </c>
      <c r="T2817" s="101">
        <v>42220</v>
      </c>
    </row>
    <row r="2818" spans="1:21" x14ac:dyDescent="0.3">
      <c r="A2818" s="42">
        <v>42266</v>
      </c>
      <c r="B2818" s="69">
        <f>YEAR(A2818)*10000+MONTH(A2818)*100+DAY(A2818)</f>
        <v>20150919</v>
      </c>
      <c r="C2818" s="109">
        <v>2.1000000000000001E-2</v>
      </c>
      <c r="D2818" s="77">
        <v>-2E-3</v>
      </c>
      <c r="E2818" s="77">
        <v>3.0000000000000001E-3</v>
      </c>
      <c r="F2818" s="77">
        <v>6.0000000000000001E-3</v>
      </c>
      <c r="G2818" s="78">
        <v>0</v>
      </c>
      <c r="H2818" s="71">
        <v>8.3000000000000007</v>
      </c>
      <c r="I2818" s="71">
        <v>10.9</v>
      </c>
      <c r="J2818" s="71">
        <v>13.6</v>
      </c>
      <c r="K2818" s="121">
        <v>6.0000000000000001E-3</v>
      </c>
      <c r="L2818" s="80">
        <v>-1.2E-2</v>
      </c>
      <c r="M2818" s="75" t="s">
        <v>143</v>
      </c>
      <c r="N2818" s="75" t="b">
        <v>1</v>
      </c>
      <c r="O2818" s="75" t="s">
        <v>144</v>
      </c>
      <c r="P2818" s="75">
        <v>1994</v>
      </c>
      <c r="Q2818" s="107">
        <f t="shared" si="81"/>
        <v>2015</v>
      </c>
      <c r="R2818" s="107">
        <v>2</v>
      </c>
      <c r="S2818" s="100">
        <v>215064</v>
      </c>
      <c r="T2818" s="101">
        <v>42220</v>
      </c>
    </row>
    <row r="2819" spans="1:21" x14ac:dyDescent="0.3">
      <c r="A2819" s="42">
        <v>42267</v>
      </c>
      <c r="B2819" s="69">
        <f>YEAR(A2819)*10000+MONTH(A2819)*100+DAY(A2819)</f>
        <v>20150920</v>
      </c>
      <c r="C2819" s="109">
        <v>2.1000000000000001E-2</v>
      </c>
      <c r="D2819" s="77">
        <v>-2E-3</v>
      </c>
      <c r="E2819" s="77">
        <v>3.0000000000000001E-3</v>
      </c>
      <c r="F2819" s="77">
        <v>6.0000000000000001E-3</v>
      </c>
      <c r="G2819" s="78">
        <v>0</v>
      </c>
      <c r="H2819" s="71">
        <v>8.3000000000000007</v>
      </c>
      <c r="I2819" s="71">
        <v>10.9</v>
      </c>
      <c r="J2819" s="71">
        <v>13.6</v>
      </c>
      <c r="K2819" s="121">
        <v>6.0000000000000001E-3</v>
      </c>
      <c r="L2819" s="80">
        <v>-1.2E-2</v>
      </c>
      <c r="M2819" s="75" t="s">
        <v>143</v>
      </c>
      <c r="N2819" s="75" t="b">
        <v>1</v>
      </c>
      <c r="O2819" s="75" t="s">
        <v>144</v>
      </c>
      <c r="P2819" s="75">
        <v>1994</v>
      </c>
      <c r="Q2819" s="107">
        <f t="shared" si="81"/>
        <v>2015</v>
      </c>
      <c r="R2819" s="107">
        <v>2</v>
      </c>
      <c r="S2819" s="100">
        <v>215064</v>
      </c>
      <c r="T2819" s="101">
        <v>42220</v>
      </c>
    </row>
    <row r="2820" spans="1:21" x14ac:dyDescent="0.3">
      <c r="A2820" s="42">
        <v>42268</v>
      </c>
      <c r="B2820" s="69">
        <f t="shared" si="80"/>
        <v>20150921</v>
      </c>
      <c r="C2820" s="109">
        <v>2.1700000000000001E-2</v>
      </c>
      <c r="D2820" s="77">
        <v>-2E-3</v>
      </c>
      <c r="E2820" s="77">
        <v>3.0000000000000001E-3</v>
      </c>
      <c r="F2820" s="77">
        <v>6.0000000000000001E-3</v>
      </c>
      <c r="G2820" s="78">
        <v>0</v>
      </c>
      <c r="H2820" s="71">
        <v>8.3000000000000007</v>
      </c>
      <c r="I2820" s="71">
        <v>10.9</v>
      </c>
      <c r="J2820" s="71">
        <v>13.6</v>
      </c>
      <c r="K2820" s="121">
        <v>6.7000000000000002E-3</v>
      </c>
      <c r="L2820" s="80">
        <v>-1.2E-2</v>
      </c>
      <c r="M2820" s="75" t="s">
        <v>143</v>
      </c>
      <c r="N2820" s="75" t="b">
        <v>1</v>
      </c>
      <c r="O2820" s="75" t="s">
        <v>144</v>
      </c>
      <c r="P2820" s="75">
        <v>1994</v>
      </c>
      <c r="Q2820" s="107">
        <f t="shared" si="81"/>
        <v>2015</v>
      </c>
      <c r="R2820" s="107">
        <v>2</v>
      </c>
      <c r="S2820" s="100">
        <v>215064</v>
      </c>
      <c r="T2820" s="101">
        <v>42220</v>
      </c>
    </row>
    <row r="2821" spans="1:21" x14ac:dyDescent="0.3">
      <c r="A2821" s="42">
        <v>42269</v>
      </c>
      <c r="B2821" s="69">
        <f t="shared" si="80"/>
        <v>20150922</v>
      </c>
      <c r="C2821" s="109">
        <v>2.1099999999999997E-2</v>
      </c>
      <c r="D2821" s="77">
        <v>-2E-3</v>
      </c>
      <c r="E2821" s="77">
        <v>3.0000000000000001E-3</v>
      </c>
      <c r="F2821" s="77">
        <v>6.0000000000000001E-3</v>
      </c>
      <c r="G2821" s="78">
        <v>0</v>
      </c>
      <c r="H2821" s="71">
        <v>8.3000000000000007</v>
      </c>
      <c r="I2821" s="71">
        <v>10.9</v>
      </c>
      <c r="J2821" s="71">
        <v>13.6</v>
      </c>
      <c r="K2821" s="121">
        <v>6.1999999999999998E-3</v>
      </c>
      <c r="L2821" s="80">
        <v>-1.2E-2</v>
      </c>
      <c r="M2821" s="75" t="s">
        <v>143</v>
      </c>
      <c r="N2821" s="75" t="b">
        <v>1</v>
      </c>
      <c r="O2821" s="75" t="s">
        <v>144</v>
      </c>
      <c r="P2821" s="75">
        <v>1994</v>
      </c>
      <c r="Q2821" s="107">
        <f t="shared" si="81"/>
        <v>2015</v>
      </c>
      <c r="R2821" s="107">
        <v>2</v>
      </c>
      <c r="S2821" s="100">
        <v>215064</v>
      </c>
      <c r="T2821" s="101">
        <v>42220</v>
      </c>
    </row>
    <row r="2822" spans="1:21" x14ac:dyDescent="0.3">
      <c r="A2822" s="42">
        <v>42270</v>
      </c>
      <c r="B2822" s="69">
        <f t="shared" si="80"/>
        <v>20150923</v>
      </c>
      <c r="C2822" s="109">
        <v>2.1099999999999997E-2</v>
      </c>
      <c r="D2822" s="77">
        <v>-2E-3</v>
      </c>
      <c r="E2822" s="77">
        <v>3.0000000000000001E-3</v>
      </c>
      <c r="F2822" s="77">
        <v>6.0000000000000001E-3</v>
      </c>
      <c r="G2822" s="78">
        <v>0</v>
      </c>
      <c r="H2822" s="71">
        <v>8.3000000000000007</v>
      </c>
      <c r="I2822" s="71">
        <v>10.9</v>
      </c>
      <c r="J2822" s="71">
        <v>13.6</v>
      </c>
      <c r="K2822" s="121">
        <v>6.1999999999999998E-3</v>
      </c>
      <c r="L2822" s="80">
        <v>-1.2E-2</v>
      </c>
      <c r="M2822" s="75" t="s">
        <v>143</v>
      </c>
      <c r="N2822" s="75" t="b">
        <v>1</v>
      </c>
      <c r="O2822" s="75" t="s">
        <v>144</v>
      </c>
      <c r="P2822" s="75">
        <v>1994</v>
      </c>
      <c r="Q2822" s="107">
        <f t="shared" si="81"/>
        <v>2015</v>
      </c>
      <c r="R2822" s="107">
        <v>2</v>
      </c>
      <c r="S2822" s="100">
        <v>215064</v>
      </c>
      <c r="T2822" s="101">
        <v>42220</v>
      </c>
    </row>
    <row r="2823" spans="1:21" x14ac:dyDescent="0.3">
      <c r="A2823" s="42">
        <v>42271</v>
      </c>
      <c r="B2823" s="69">
        <f t="shared" si="80"/>
        <v>20150924</v>
      </c>
      <c r="C2823" s="109">
        <v>2.0899999999999998E-2</v>
      </c>
      <c r="D2823" s="77">
        <v>-2E-3</v>
      </c>
      <c r="E2823" s="77">
        <v>3.0000000000000001E-3</v>
      </c>
      <c r="F2823" s="77">
        <v>6.0000000000000001E-3</v>
      </c>
      <c r="G2823" s="78">
        <v>0</v>
      </c>
      <c r="H2823" s="71">
        <v>8.3000000000000007</v>
      </c>
      <c r="I2823" s="71">
        <v>10.9</v>
      </c>
      <c r="J2823" s="71">
        <v>13.6</v>
      </c>
      <c r="K2823" s="121">
        <v>6.0999999999999995E-3</v>
      </c>
      <c r="L2823" s="80">
        <v>-1.2E-2</v>
      </c>
      <c r="M2823" s="75" t="s">
        <v>143</v>
      </c>
      <c r="N2823" s="75" t="b">
        <v>1</v>
      </c>
      <c r="O2823" s="75" t="s">
        <v>144</v>
      </c>
      <c r="P2823" s="75">
        <v>1994</v>
      </c>
      <c r="Q2823" s="107">
        <f t="shared" si="81"/>
        <v>2015</v>
      </c>
      <c r="R2823" s="107">
        <v>2</v>
      </c>
      <c r="S2823" s="100">
        <v>215064</v>
      </c>
      <c r="T2823" s="101">
        <v>42220</v>
      </c>
    </row>
    <row r="2824" spans="1:21" x14ac:dyDescent="0.3">
      <c r="A2824" s="42">
        <v>42272</v>
      </c>
      <c r="B2824" s="69">
        <f t="shared" si="80"/>
        <v>20150925</v>
      </c>
      <c r="C2824" s="109">
        <v>2.1499999999999998E-2</v>
      </c>
      <c r="D2824" s="77">
        <v>-2E-3</v>
      </c>
      <c r="E2824" s="77">
        <v>3.0000000000000001E-3</v>
      </c>
      <c r="F2824" s="77">
        <v>6.0000000000000001E-3</v>
      </c>
      <c r="G2824" s="78">
        <v>0</v>
      </c>
      <c r="H2824" s="71">
        <v>8.3000000000000007</v>
      </c>
      <c r="I2824" s="71">
        <v>10.9</v>
      </c>
      <c r="J2824" s="71">
        <v>13.6</v>
      </c>
      <c r="K2824" s="121">
        <v>6.9999999999999993E-3</v>
      </c>
      <c r="L2824" s="80">
        <v>-1.2E-2</v>
      </c>
      <c r="M2824" s="75" t="s">
        <v>143</v>
      </c>
      <c r="N2824" s="75" t="b">
        <v>1</v>
      </c>
      <c r="O2824" s="75" t="s">
        <v>144</v>
      </c>
      <c r="P2824" s="75">
        <v>1994</v>
      </c>
      <c r="Q2824" s="107">
        <f t="shared" si="81"/>
        <v>2015</v>
      </c>
      <c r="R2824" s="107">
        <v>2</v>
      </c>
      <c r="S2824" s="100">
        <v>215064</v>
      </c>
      <c r="T2824" s="101">
        <v>42220</v>
      </c>
    </row>
    <row r="2825" spans="1:21" x14ac:dyDescent="0.3">
      <c r="A2825" s="42">
        <v>42273</v>
      </c>
      <c r="B2825" s="69">
        <f>YEAR(A2825)*10000+MONTH(A2825)*100+DAY(A2825)</f>
        <v>20150926</v>
      </c>
      <c r="C2825" s="109">
        <v>2.1499999999999998E-2</v>
      </c>
      <c r="D2825" s="77">
        <v>-2E-3</v>
      </c>
      <c r="E2825" s="77">
        <v>3.0000000000000001E-3</v>
      </c>
      <c r="F2825" s="77">
        <v>6.0000000000000001E-3</v>
      </c>
      <c r="G2825" s="78">
        <v>0</v>
      </c>
      <c r="H2825" s="71">
        <v>8.3000000000000007</v>
      </c>
      <c r="I2825" s="71">
        <v>10.9</v>
      </c>
      <c r="J2825" s="71">
        <v>13.6</v>
      </c>
      <c r="K2825" s="121">
        <v>6.9999999999999993E-3</v>
      </c>
      <c r="L2825" s="80">
        <v>-1.2E-2</v>
      </c>
      <c r="M2825" s="75" t="s">
        <v>143</v>
      </c>
      <c r="N2825" s="75" t="b">
        <v>1</v>
      </c>
      <c r="O2825" s="75" t="s">
        <v>144</v>
      </c>
      <c r="P2825" s="75">
        <v>1994</v>
      </c>
      <c r="Q2825" s="107">
        <f t="shared" si="81"/>
        <v>2015</v>
      </c>
      <c r="R2825" s="107">
        <v>2</v>
      </c>
      <c r="S2825" s="100">
        <v>215064</v>
      </c>
      <c r="T2825" s="101">
        <v>42220</v>
      </c>
    </row>
    <row r="2826" spans="1:21" x14ac:dyDescent="0.3">
      <c r="A2826" s="42">
        <v>42274</v>
      </c>
      <c r="B2826" s="69">
        <f>YEAR(A2826)*10000+MONTH(A2826)*100+DAY(A2826)</f>
        <v>20150927</v>
      </c>
      <c r="C2826" s="109">
        <v>2.1499999999999998E-2</v>
      </c>
      <c r="D2826" s="77">
        <v>-2E-3</v>
      </c>
      <c r="E2826" s="77">
        <v>3.0000000000000001E-3</v>
      </c>
      <c r="F2826" s="77">
        <v>6.0000000000000001E-3</v>
      </c>
      <c r="G2826" s="78">
        <v>0</v>
      </c>
      <c r="H2826" s="71">
        <v>8.3000000000000007</v>
      </c>
      <c r="I2826" s="71">
        <v>10.9</v>
      </c>
      <c r="J2826" s="71">
        <v>13.6</v>
      </c>
      <c r="K2826" s="121">
        <v>6.9999999999999993E-3</v>
      </c>
      <c r="L2826" s="80">
        <v>-1.2E-2</v>
      </c>
      <c r="M2826" s="75" t="s">
        <v>143</v>
      </c>
      <c r="N2826" s="75" t="b">
        <v>1</v>
      </c>
      <c r="O2826" s="75" t="s">
        <v>144</v>
      </c>
      <c r="P2826" s="75">
        <v>1994</v>
      </c>
      <c r="Q2826" s="107">
        <f t="shared" si="81"/>
        <v>2015</v>
      </c>
      <c r="R2826" s="107">
        <v>2</v>
      </c>
      <c r="S2826" s="100">
        <v>215064</v>
      </c>
      <c r="T2826" s="101">
        <v>42220</v>
      </c>
    </row>
    <row r="2827" spans="1:21" x14ac:dyDescent="0.3">
      <c r="A2827" s="42">
        <v>42275</v>
      </c>
      <c r="B2827" s="69">
        <f t="shared" si="80"/>
        <v>20150928</v>
      </c>
      <c r="C2827" s="109">
        <v>2.07E-2</v>
      </c>
      <c r="D2827" s="77">
        <v>-2E-3</v>
      </c>
      <c r="E2827" s="77">
        <v>3.0000000000000001E-3</v>
      </c>
      <c r="F2827" s="77">
        <v>6.0000000000000001E-3</v>
      </c>
      <c r="G2827" s="78">
        <v>0</v>
      </c>
      <c r="H2827" s="71">
        <v>8.3000000000000007</v>
      </c>
      <c r="I2827" s="71">
        <v>10.9</v>
      </c>
      <c r="J2827" s="71">
        <v>13.6</v>
      </c>
      <c r="K2827" s="121">
        <v>6.4000000000000003E-3</v>
      </c>
      <c r="L2827" s="80">
        <v>-1.2E-2</v>
      </c>
      <c r="M2827" s="75" t="s">
        <v>143</v>
      </c>
      <c r="N2827" s="75" t="b">
        <v>1</v>
      </c>
      <c r="O2827" s="75" t="s">
        <v>144</v>
      </c>
      <c r="P2827" s="75">
        <v>1994</v>
      </c>
      <c r="Q2827" s="107">
        <f t="shared" si="81"/>
        <v>2015</v>
      </c>
      <c r="R2827" s="107">
        <v>2</v>
      </c>
      <c r="S2827" s="100">
        <v>215064</v>
      </c>
      <c r="T2827" s="101">
        <v>42220</v>
      </c>
    </row>
    <row r="2828" spans="1:21" x14ac:dyDescent="0.3">
      <c r="A2828" s="42">
        <v>42276</v>
      </c>
      <c r="B2828" s="69">
        <f t="shared" si="80"/>
        <v>20150929</v>
      </c>
      <c r="C2828" s="109">
        <v>2.06E-2</v>
      </c>
      <c r="D2828" s="77">
        <v>-2E-3</v>
      </c>
      <c r="E2828" s="77">
        <v>3.0000000000000001E-3</v>
      </c>
      <c r="F2828" s="77">
        <v>6.0000000000000001E-3</v>
      </c>
      <c r="G2828" s="78">
        <v>0</v>
      </c>
      <c r="H2828" s="71">
        <v>8.3000000000000007</v>
      </c>
      <c r="I2828" s="71">
        <v>10.9</v>
      </c>
      <c r="J2828" s="71">
        <v>13.6</v>
      </c>
      <c r="K2828" s="121">
        <v>6.4000000000000003E-3</v>
      </c>
      <c r="L2828" s="80">
        <v>-1.2E-2</v>
      </c>
      <c r="M2828" s="75" t="s">
        <v>143</v>
      </c>
      <c r="N2828" s="75" t="b">
        <v>1</v>
      </c>
      <c r="O2828" s="75" t="s">
        <v>144</v>
      </c>
      <c r="P2828" s="75">
        <v>1994</v>
      </c>
      <c r="Q2828" s="107">
        <f t="shared" si="81"/>
        <v>2015</v>
      </c>
      <c r="R2828" s="107">
        <v>2</v>
      </c>
      <c r="S2828" s="100">
        <v>215064</v>
      </c>
      <c r="T2828" s="101">
        <v>42220</v>
      </c>
    </row>
    <row r="2829" spans="1:21" s="129" customFormat="1" x14ac:dyDescent="0.3">
      <c r="A2829" s="122">
        <v>42277</v>
      </c>
      <c r="B2829" s="123">
        <f>YEAR(A2829)*10000+MONTH(A2829)*100+DAY(A2829)</f>
        <v>20150930</v>
      </c>
      <c r="C2829" s="120">
        <v>2.0899999999999998E-2</v>
      </c>
      <c r="D2829" s="89">
        <v>8.0000000000000002E-3</v>
      </c>
      <c r="E2829" s="89">
        <v>1.0999999999999999E-2</v>
      </c>
      <c r="F2829" s="89">
        <v>1.2E-2</v>
      </c>
      <c r="G2829" s="97">
        <v>0</v>
      </c>
      <c r="H2829" s="124">
        <v>8.4</v>
      </c>
      <c r="I2829" s="124">
        <v>11</v>
      </c>
      <c r="J2829" s="124">
        <v>13.4</v>
      </c>
      <c r="K2829" s="125">
        <v>6.8999999999999999E-3</v>
      </c>
      <c r="L2829" s="120">
        <v>-7.0000000000000001E-3</v>
      </c>
      <c r="M2829" s="104" t="s">
        <v>146</v>
      </c>
      <c r="N2829" s="104" t="b">
        <v>1</v>
      </c>
      <c r="O2829" s="104" t="s">
        <v>145</v>
      </c>
      <c r="P2829" s="104">
        <v>2014</v>
      </c>
      <c r="Q2829" s="126">
        <f t="shared" si="81"/>
        <v>2015</v>
      </c>
      <c r="R2829" s="126">
        <v>2</v>
      </c>
      <c r="S2829" s="127">
        <v>215097</v>
      </c>
      <c r="T2829" s="128">
        <v>42311</v>
      </c>
      <c r="U2829" s="104" t="s">
        <v>176</v>
      </c>
    </row>
    <row r="2830" spans="1:21" x14ac:dyDescent="0.3">
      <c r="A2830" s="42">
        <v>42278</v>
      </c>
      <c r="B2830" s="69">
        <f t="shared" ref="B2830:B2857" si="82">YEAR(A2830)*10000+MONTH(A2830)*100+DAY(A2830)</f>
        <v>20151001</v>
      </c>
      <c r="C2830" s="109">
        <v>2.0799999999999999E-2</v>
      </c>
      <c r="D2830" s="77">
        <v>8.0000000000000002E-3</v>
      </c>
      <c r="E2830" s="77">
        <v>1.0999999999999999E-2</v>
      </c>
      <c r="F2830" s="77">
        <v>1.2E-2</v>
      </c>
      <c r="G2830" s="78">
        <v>0</v>
      </c>
      <c r="H2830" s="71">
        <v>8.3000000000000007</v>
      </c>
      <c r="I2830" s="71">
        <v>10.9</v>
      </c>
      <c r="J2830" s="71">
        <v>13.6</v>
      </c>
      <c r="K2830" s="121">
        <v>7.1000000000000004E-3</v>
      </c>
      <c r="L2830" s="80">
        <v>-7.0000000000000001E-3</v>
      </c>
      <c r="M2830" s="75" t="s">
        <v>146</v>
      </c>
      <c r="N2830" s="75" t="b">
        <v>1</v>
      </c>
      <c r="O2830" s="75" t="s">
        <v>145</v>
      </c>
      <c r="P2830" s="75">
        <v>2014</v>
      </c>
      <c r="Q2830" s="107">
        <f t="shared" si="81"/>
        <v>2015</v>
      </c>
      <c r="R2830" s="107">
        <v>2</v>
      </c>
      <c r="S2830" s="43">
        <v>215097</v>
      </c>
      <c r="T2830" s="74">
        <v>42311</v>
      </c>
    </row>
    <row r="2831" spans="1:21" x14ac:dyDescent="0.3">
      <c r="A2831" s="42">
        <v>42279</v>
      </c>
      <c r="B2831" s="69">
        <f t="shared" si="82"/>
        <v>20151002</v>
      </c>
      <c r="C2831" s="109">
        <v>2.06E-2</v>
      </c>
      <c r="D2831" s="77">
        <v>8.0000000000000002E-3</v>
      </c>
      <c r="E2831" s="77">
        <v>1.0999999999999999E-2</v>
      </c>
      <c r="F2831" s="77">
        <v>1.2E-2</v>
      </c>
      <c r="G2831" s="78">
        <v>0</v>
      </c>
      <c r="H2831" s="71">
        <v>8.3000000000000007</v>
      </c>
      <c r="I2831" s="71">
        <v>10.9</v>
      </c>
      <c r="J2831" s="71">
        <v>13.6</v>
      </c>
      <c r="K2831" s="121">
        <v>7.0000000000000001E-3</v>
      </c>
      <c r="L2831" s="80">
        <v>-7.0000000000000001E-3</v>
      </c>
      <c r="M2831" s="75" t="s">
        <v>146</v>
      </c>
      <c r="N2831" s="75" t="b">
        <v>1</v>
      </c>
      <c r="O2831" s="75" t="s">
        <v>145</v>
      </c>
      <c r="P2831" s="75">
        <v>2014</v>
      </c>
      <c r="Q2831" s="107">
        <f t="shared" si="81"/>
        <v>2015</v>
      </c>
      <c r="R2831" s="107">
        <v>2</v>
      </c>
      <c r="S2831" s="43">
        <v>215097</v>
      </c>
      <c r="T2831" s="74">
        <v>42311</v>
      </c>
    </row>
    <row r="2832" spans="1:21" x14ac:dyDescent="0.3">
      <c r="A2832" s="42">
        <v>42280</v>
      </c>
      <c r="B2832" s="69">
        <f t="shared" si="82"/>
        <v>20151003</v>
      </c>
      <c r="C2832" s="109">
        <v>2.06E-2</v>
      </c>
      <c r="D2832" s="77">
        <v>8.0000000000000002E-3</v>
      </c>
      <c r="E2832" s="77">
        <v>1.0999999999999999E-2</v>
      </c>
      <c r="F2832" s="77">
        <v>1.2E-2</v>
      </c>
      <c r="G2832" s="78">
        <v>0</v>
      </c>
      <c r="H2832" s="71">
        <v>8.3000000000000007</v>
      </c>
      <c r="I2832" s="71">
        <v>10.9</v>
      </c>
      <c r="J2832" s="71">
        <v>13.6</v>
      </c>
      <c r="K2832" s="121">
        <v>7.0000000000000001E-3</v>
      </c>
      <c r="L2832" s="80">
        <v>-7.0000000000000001E-3</v>
      </c>
      <c r="M2832" s="75" t="s">
        <v>146</v>
      </c>
      <c r="N2832" s="75" t="b">
        <v>1</v>
      </c>
      <c r="O2832" s="75" t="s">
        <v>145</v>
      </c>
      <c r="P2832" s="75">
        <v>2014</v>
      </c>
      <c r="Q2832" s="107">
        <f t="shared" si="81"/>
        <v>2015</v>
      </c>
      <c r="R2832" s="107">
        <v>2</v>
      </c>
      <c r="S2832" s="43">
        <v>215097</v>
      </c>
      <c r="T2832" s="74">
        <v>42311</v>
      </c>
    </row>
    <row r="2833" spans="1:20" x14ac:dyDescent="0.3">
      <c r="A2833" s="42">
        <v>42281</v>
      </c>
      <c r="B2833" s="69">
        <f t="shared" si="82"/>
        <v>20151004</v>
      </c>
      <c r="C2833" s="109">
        <v>2.06E-2</v>
      </c>
      <c r="D2833" s="77">
        <v>8.0000000000000002E-3</v>
      </c>
      <c r="E2833" s="77">
        <v>1.0999999999999999E-2</v>
      </c>
      <c r="F2833" s="77">
        <v>1.2E-2</v>
      </c>
      <c r="G2833" s="78">
        <v>0</v>
      </c>
      <c r="H2833" s="71">
        <v>8.3000000000000007</v>
      </c>
      <c r="I2833" s="71">
        <v>10.9</v>
      </c>
      <c r="J2833" s="71">
        <v>13.6</v>
      </c>
      <c r="K2833" s="121">
        <v>7.0000000000000001E-3</v>
      </c>
      <c r="L2833" s="80">
        <v>-7.0000000000000001E-3</v>
      </c>
      <c r="M2833" s="75" t="s">
        <v>146</v>
      </c>
      <c r="N2833" s="75" t="b">
        <v>1</v>
      </c>
      <c r="O2833" s="75" t="s">
        <v>145</v>
      </c>
      <c r="P2833" s="75">
        <v>2014</v>
      </c>
      <c r="Q2833" s="107">
        <f t="shared" si="81"/>
        <v>2015</v>
      </c>
      <c r="R2833" s="107">
        <v>2</v>
      </c>
      <c r="S2833" s="43">
        <v>215097</v>
      </c>
      <c r="T2833" s="74">
        <v>42311</v>
      </c>
    </row>
    <row r="2834" spans="1:20" x14ac:dyDescent="0.3">
      <c r="A2834" s="42">
        <v>42282</v>
      </c>
      <c r="B2834" s="69">
        <f t="shared" si="82"/>
        <v>20151005</v>
      </c>
      <c r="C2834" s="109">
        <v>2.1000000000000001E-2</v>
      </c>
      <c r="D2834" s="77">
        <v>8.0000000000000002E-3</v>
      </c>
      <c r="E2834" s="77">
        <v>1.0999999999999999E-2</v>
      </c>
      <c r="F2834" s="77">
        <v>1.2E-2</v>
      </c>
      <c r="G2834" s="78">
        <v>0</v>
      </c>
      <c r="H2834" s="71">
        <v>8.3000000000000007</v>
      </c>
      <c r="I2834" s="71">
        <v>10.9</v>
      </c>
      <c r="J2834" s="71">
        <v>13.6</v>
      </c>
      <c r="K2834" s="121">
        <v>7.3000000000000001E-3</v>
      </c>
      <c r="L2834" s="80">
        <v>-7.0000000000000001E-3</v>
      </c>
      <c r="M2834" s="75" t="s">
        <v>146</v>
      </c>
      <c r="N2834" s="75" t="b">
        <v>1</v>
      </c>
      <c r="O2834" s="75" t="s">
        <v>145</v>
      </c>
      <c r="P2834" s="75">
        <v>2014</v>
      </c>
      <c r="Q2834" s="107">
        <f t="shared" si="81"/>
        <v>2015</v>
      </c>
      <c r="R2834" s="107">
        <v>2</v>
      </c>
      <c r="S2834" s="43">
        <v>215097</v>
      </c>
      <c r="T2834" s="74">
        <v>42311</v>
      </c>
    </row>
    <row r="2835" spans="1:20" x14ac:dyDescent="0.3">
      <c r="A2835" s="42">
        <v>42283</v>
      </c>
      <c r="B2835" s="69">
        <f t="shared" si="82"/>
        <v>20151006</v>
      </c>
      <c r="C2835" s="109">
        <v>2.1000000000000001E-2</v>
      </c>
      <c r="D2835" s="77">
        <v>8.0000000000000002E-3</v>
      </c>
      <c r="E2835" s="77">
        <v>1.0999999999999999E-2</v>
      </c>
      <c r="F2835" s="77">
        <v>1.2E-2</v>
      </c>
      <c r="G2835" s="78">
        <v>0</v>
      </c>
      <c r="H2835" s="71">
        <v>8.3000000000000007</v>
      </c>
      <c r="I2835" s="71">
        <v>10.9</v>
      </c>
      <c r="J2835" s="71">
        <v>13.6</v>
      </c>
      <c r="K2835" s="121">
        <v>7.3000000000000001E-3</v>
      </c>
      <c r="L2835" s="80">
        <v>-7.0000000000000001E-3</v>
      </c>
      <c r="M2835" s="75" t="s">
        <v>146</v>
      </c>
      <c r="N2835" s="75" t="b">
        <v>1</v>
      </c>
      <c r="O2835" s="75" t="s">
        <v>145</v>
      </c>
      <c r="P2835" s="75">
        <v>2014</v>
      </c>
      <c r="Q2835" s="107">
        <f t="shared" si="81"/>
        <v>2015</v>
      </c>
      <c r="R2835" s="107">
        <v>2</v>
      </c>
      <c r="S2835" s="43">
        <v>215097</v>
      </c>
      <c r="T2835" s="74">
        <v>42311</v>
      </c>
    </row>
    <row r="2836" spans="1:20" x14ac:dyDescent="0.3">
      <c r="A2836" s="42">
        <v>42284</v>
      </c>
      <c r="B2836" s="69">
        <f t="shared" si="82"/>
        <v>20151007</v>
      </c>
      <c r="C2836" s="109">
        <v>2.12E-2</v>
      </c>
      <c r="D2836" s="77">
        <v>8.0000000000000002E-3</v>
      </c>
      <c r="E2836" s="77">
        <v>1.0999999999999999E-2</v>
      </c>
      <c r="F2836" s="77">
        <v>1.2E-2</v>
      </c>
      <c r="G2836" s="78">
        <v>0</v>
      </c>
      <c r="H2836" s="71">
        <v>8.3000000000000007</v>
      </c>
      <c r="I2836" s="71">
        <v>10.9</v>
      </c>
      <c r="J2836" s="71">
        <v>13.6</v>
      </c>
      <c r="K2836" s="121">
        <v>7.6E-3</v>
      </c>
      <c r="L2836" s="80">
        <v>-7.0000000000000001E-3</v>
      </c>
      <c r="M2836" s="75" t="s">
        <v>146</v>
      </c>
      <c r="N2836" s="75" t="b">
        <v>1</v>
      </c>
      <c r="O2836" s="75" t="s">
        <v>145</v>
      </c>
      <c r="P2836" s="75">
        <v>2014</v>
      </c>
      <c r="Q2836" s="107">
        <f t="shared" si="81"/>
        <v>2015</v>
      </c>
      <c r="R2836" s="107">
        <v>2</v>
      </c>
      <c r="S2836" s="43">
        <v>215097</v>
      </c>
      <c r="T2836" s="74">
        <v>42311</v>
      </c>
    </row>
    <row r="2837" spans="1:20" x14ac:dyDescent="0.3">
      <c r="A2837" s="42">
        <v>42285</v>
      </c>
      <c r="B2837" s="69">
        <f t="shared" si="82"/>
        <v>20151008</v>
      </c>
      <c r="C2837" s="109">
        <v>2.1700000000000001E-2</v>
      </c>
      <c r="D2837" s="77">
        <v>8.0000000000000002E-3</v>
      </c>
      <c r="E2837" s="77">
        <v>1.0999999999999999E-2</v>
      </c>
      <c r="F2837" s="77">
        <v>1.2E-2</v>
      </c>
      <c r="G2837" s="78">
        <v>0</v>
      </c>
      <c r="H2837" s="71">
        <v>8.3000000000000007</v>
      </c>
      <c r="I2837" s="71">
        <v>10.9</v>
      </c>
      <c r="J2837" s="71">
        <v>13.6</v>
      </c>
      <c r="K2837" s="121">
        <v>8.0999999999999996E-3</v>
      </c>
      <c r="L2837" s="80">
        <v>-7.0000000000000001E-3</v>
      </c>
      <c r="M2837" s="75" t="s">
        <v>146</v>
      </c>
      <c r="N2837" s="75" t="b">
        <v>1</v>
      </c>
      <c r="O2837" s="75" t="s">
        <v>145</v>
      </c>
      <c r="P2837" s="75">
        <v>2014</v>
      </c>
      <c r="Q2837" s="107">
        <f t="shared" si="81"/>
        <v>2015</v>
      </c>
      <c r="R2837" s="107">
        <v>2</v>
      </c>
      <c r="S2837" s="43">
        <v>215097</v>
      </c>
      <c r="T2837" s="74">
        <v>42311</v>
      </c>
    </row>
    <row r="2838" spans="1:20" x14ac:dyDescent="0.3">
      <c r="A2838" s="42">
        <v>42286</v>
      </c>
      <c r="B2838" s="69">
        <f t="shared" si="82"/>
        <v>20151009</v>
      </c>
      <c r="C2838" s="109">
        <v>2.1899999999999999E-2</v>
      </c>
      <c r="D2838" s="77">
        <v>8.0000000000000002E-3</v>
      </c>
      <c r="E2838" s="77">
        <v>1.0999999999999999E-2</v>
      </c>
      <c r="F2838" s="77">
        <v>1.2E-2</v>
      </c>
      <c r="G2838" s="78">
        <v>0</v>
      </c>
      <c r="H2838" s="71">
        <v>8.3000000000000007</v>
      </c>
      <c r="I2838" s="71">
        <v>10.9</v>
      </c>
      <c r="J2838" s="71">
        <v>13.6</v>
      </c>
      <c r="K2838" s="121">
        <v>8.2000000000000007E-3</v>
      </c>
      <c r="L2838" s="80">
        <v>-7.0000000000000001E-3</v>
      </c>
      <c r="M2838" s="75" t="s">
        <v>146</v>
      </c>
      <c r="N2838" s="75" t="b">
        <v>1</v>
      </c>
      <c r="O2838" s="75" t="s">
        <v>145</v>
      </c>
      <c r="P2838" s="75">
        <v>2014</v>
      </c>
      <c r="Q2838" s="107">
        <f t="shared" si="81"/>
        <v>2015</v>
      </c>
      <c r="R2838" s="107">
        <v>2</v>
      </c>
      <c r="S2838" s="43">
        <v>215097</v>
      </c>
      <c r="T2838" s="74">
        <v>42311</v>
      </c>
    </row>
    <row r="2839" spans="1:20" x14ac:dyDescent="0.3">
      <c r="A2839" s="42">
        <v>42287</v>
      </c>
      <c r="B2839" s="69">
        <f t="shared" si="82"/>
        <v>20151010</v>
      </c>
      <c r="C2839" s="109">
        <v>2.1899999999999999E-2</v>
      </c>
      <c r="D2839" s="77">
        <v>8.0000000000000002E-3</v>
      </c>
      <c r="E2839" s="77">
        <v>1.0999999999999999E-2</v>
      </c>
      <c r="F2839" s="77">
        <v>1.2E-2</v>
      </c>
      <c r="G2839" s="78">
        <v>0</v>
      </c>
      <c r="H2839" s="71">
        <v>8.3000000000000007</v>
      </c>
      <c r="I2839" s="71">
        <v>10.9</v>
      </c>
      <c r="J2839" s="71">
        <v>13.6</v>
      </c>
      <c r="K2839" s="121">
        <v>8.2000000000000007E-3</v>
      </c>
      <c r="L2839" s="80">
        <v>-7.0000000000000001E-3</v>
      </c>
      <c r="M2839" s="75" t="s">
        <v>146</v>
      </c>
      <c r="N2839" s="75" t="b">
        <v>1</v>
      </c>
      <c r="O2839" s="75" t="s">
        <v>145</v>
      </c>
      <c r="P2839" s="75">
        <v>2014</v>
      </c>
      <c r="Q2839" s="107">
        <f t="shared" si="81"/>
        <v>2015</v>
      </c>
      <c r="R2839" s="107">
        <v>2</v>
      </c>
      <c r="S2839" s="43">
        <v>215097</v>
      </c>
      <c r="T2839" s="74">
        <v>42311</v>
      </c>
    </row>
    <row r="2840" spans="1:20" x14ac:dyDescent="0.3">
      <c r="A2840" s="42">
        <v>42288</v>
      </c>
      <c r="B2840" s="69">
        <f t="shared" si="82"/>
        <v>20151011</v>
      </c>
      <c r="C2840" s="109">
        <v>2.1899999999999999E-2</v>
      </c>
      <c r="D2840" s="77">
        <v>8.0000000000000002E-3</v>
      </c>
      <c r="E2840" s="77">
        <v>1.0999999999999999E-2</v>
      </c>
      <c r="F2840" s="77">
        <v>1.2E-2</v>
      </c>
      <c r="G2840" s="78">
        <v>0</v>
      </c>
      <c r="H2840" s="71">
        <v>8.3000000000000007</v>
      </c>
      <c r="I2840" s="71">
        <v>10.9</v>
      </c>
      <c r="J2840" s="71">
        <v>13.6</v>
      </c>
      <c r="K2840" s="121">
        <v>8.2000000000000007E-3</v>
      </c>
      <c r="L2840" s="80">
        <v>-7.0000000000000001E-3</v>
      </c>
      <c r="M2840" s="75" t="s">
        <v>146</v>
      </c>
      <c r="N2840" s="75" t="b">
        <v>1</v>
      </c>
      <c r="O2840" s="75" t="s">
        <v>145</v>
      </c>
      <c r="P2840" s="75">
        <v>2014</v>
      </c>
      <c r="Q2840" s="107">
        <f t="shared" si="81"/>
        <v>2015</v>
      </c>
      <c r="R2840" s="107">
        <v>2</v>
      </c>
      <c r="S2840" s="43">
        <v>215097</v>
      </c>
      <c r="T2840" s="74">
        <v>42311</v>
      </c>
    </row>
    <row r="2841" spans="1:20" x14ac:dyDescent="0.3">
      <c r="A2841" s="42">
        <v>42289</v>
      </c>
      <c r="B2841" s="69">
        <f t="shared" si="82"/>
        <v>20151012</v>
      </c>
      <c r="C2841" s="109">
        <v>2.1899999999999999E-2</v>
      </c>
      <c r="D2841" s="77">
        <v>8.0000000000000002E-3</v>
      </c>
      <c r="E2841" s="77">
        <v>1.0999999999999999E-2</v>
      </c>
      <c r="F2841" s="77">
        <v>1.2E-2</v>
      </c>
      <c r="G2841" s="78">
        <v>0</v>
      </c>
      <c r="H2841" s="71">
        <v>8.3000000000000007</v>
      </c>
      <c r="I2841" s="71">
        <v>10.9</v>
      </c>
      <c r="J2841" s="71">
        <v>13.6</v>
      </c>
      <c r="K2841" s="121">
        <v>8.2000000000000007E-3</v>
      </c>
      <c r="L2841" s="80">
        <v>-7.0000000000000001E-3</v>
      </c>
      <c r="M2841" s="75" t="s">
        <v>146</v>
      </c>
      <c r="N2841" s="75" t="b">
        <v>1</v>
      </c>
      <c r="O2841" s="75" t="s">
        <v>145</v>
      </c>
      <c r="P2841" s="75">
        <v>2014</v>
      </c>
      <c r="Q2841" s="107">
        <f t="shared" si="81"/>
        <v>2015</v>
      </c>
      <c r="R2841" s="107">
        <v>2</v>
      </c>
      <c r="S2841" s="43">
        <v>215097</v>
      </c>
      <c r="T2841" s="74">
        <v>42311</v>
      </c>
    </row>
    <row r="2842" spans="1:20" x14ac:dyDescent="0.3">
      <c r="A2842" s="42">
        <v>42290</v>
      </c>
      <c r="B2842" s="69">
        <f t="shared" si="82"/>
        <v>20151013</v>
      </c>
      <c r="C2842" s="109">
        <v>2.12E-2</v>
      </c>
      <c r="D2842" s="77">
        <v>8.0000000000000002E-3</v>
      </c>
      <c r="E2842" s="77">
        <v>1.0999999999999999E-2</v>
      </c>
      <c r="F2842" s="77">
        <v>1.2E-2</v>
      </c>
      <c r="G2842" s="78">
        <v>0</v>
      </c>
      <c r="H2842" s="71">
        <v>8.3000000000000007</v>
      </c>
      <c r="I2842" s="71">
        <v>10.9</v>
      </c>
      <c r="J2842" s="71">
        <v>13.6</v>
      </c>
      <c r="K2842" s="121">
        <v>7.7999999999999996E-3</v>
      </c>
      <c r="L2842" s="80">
        <v>-7.0000000000000001E-3</v>
      </c>
      <c r="M2842" s="75" t="s">
        <v>146</v>
      </c>
      <c r="N2842" s="75" t="b">
        <v>1</v>
      </c>
      <c r="O2842" s="75" t="s">
        <v>145</v>
      </c>
      <c r="P2842" s="75">
        <v>2014</v>
      </c>
      <c r="Q2842" s="107">
        <f t="shared" si="81"/>
        <v>2015</v>
      </c>
      <c r="R2842" s="107">
        <v>2</v>
      </c>
      <c r="S2842" s="43">
        <v>215097</v>
      </c>
      <c r="T2842" s="74">
        <v>42311</v>
      </c>
    </row>
    <row r="2843" spans="1:20" x14ac:dyDescent="0.3">
      <c r="A2843" s="42">
        <v>42291</v>
      </c>
      <c r="B2843" s="69">
        <f t="shared" si="82"/>
        <v>20151014</v>
      </c>
      <c r="C2843" s="109">
        <v>2.0799999999999999E-2</v>
      </c>
      <c r="D2843" s="77">
        <v>8.0000000000000002E-3</v>
      </c>
      <c r="E2843" s="77">
        <v>1.0999999999999999E-2</v>
      </c>
      <c r="F2843" s="77">
        <v>1.2E-2</v>
      </c>
      <c r="G2843" s="78">
        <v>0</v>
      </c>
      <c r="H2843" s="71">
        <v>8.3000000000000007</v>
      </c>
      <c r="I2843" s="71">
        <v>10.9</v>
      </c>
      <c r="J2843" s="71">
        <v>13.6</v>
      </c>
      <c r="K2843" s="121">
        <v>7.7000000000000002E-3</v>
      </c>
      <c r="L2843" s="80">
        <v>-7.0000000000000001E-3</v>
      </c>
      <c r="M2843" s="75" t="s">
        <v>146</v>
      </c>
      <c r="N2843" s="75" t="b">
        <v>1</v>
      </c>
      <c r="O2843" s="75" t="s">
        <v>145</v>
      </c>
      <c r="P2843" s="75">
        <v>2014</v>
      </c>
      <c r="Q2843" s="107">
        <f t="shared" si="81"/>
        <v>2015</v>
      </c>
      <c r="R2843" s="107">
        <v>2</v>
      </c>
      <c r="S2843" s="43">
        <v>215097</v>
      </c>
      <c r="T2843" s="74">
        <v>42311</v>
      </c>
    </row>
    <row r="2844" spans="1:20" x14ac:dyDescent="0.3">
      <c r="A2844" s="42">
        <v>42292</v>
      </c>
      <c r="B2844" s="69">
        <f t="shared" si="82"/>
        <v>20151015</v>
      </c>
      <c r="C2844" s="109">
        <v>2.1099999999999997E-2</v>
      </c>
      <c r="D2844" s="77">
        <v>8.0000000000000002E-3</v>
      </c>
      <c r="E2844" s="77">
        <v>1.0999999999999999E-2</v>
      </c>
      <c r="F2844" s="77">
        <v>1.2E-2</v>
      </c>
      <c r="G2844" s="78">
        <v>0</v>
      </c>
      <c r="H2844" s="71">
        <v>8.3000000000000007</v>
      </c>
      <c r="I2844" s="71">
        <v>10.9</v>
      </c>
      <c r="J2844" s="71">
        <v>13.6</v>
      </c>
      <c r="K2844" s="121">
        <v>7.9000000000000008E-3</v>
      </c>
      <c r="L2844" s="80">
        <v>-7.0000000000000001E-3</v>
      </c>
      <c r="M2844" s="75" t="s">
        <v>146</v>
      </c>
      <c r="N2844" s="75" t="b">
        <v>1</v>
      </c>
      <c r="O2844" s="75" t="s">
        <v>145</v>
      </c>
      <c r="P2844" s="75">
        <v>2014</v>
      </c>
      <c r="Q2844" s="107">
        <f t="shared" si="81"/>
        <v>2015</v>
      </c>
      <c r="R2844" s="107">
        <v>2</v>
      </c>
      <c r="S2844" s="43">
        <v>215097</v>
      </c>
      <c r="T2844" s="74">
        <v>42311</v>
      </c>
    </row>
    <row r="2845" spans="1:20" x14ac:dyDescent="0.3">
      <c r="A2845" s="42">
        <v>42293</v>
      </c>
      <c r="B2845" s="69">
        <f t="shared" si="82"/>
        <v>20151016</v>
      </c>
      <c r="C2845" s="109">
        <v>2.1299999999999999E-2</v>
      </c>
      <c r="D2845" s="77">
        <v>8.0000000000000002E-3</v>
      </c>
      <c r="E2845" s="77">
        <v>1.0999999999999999E-2</v>
      </c>
      <c r="F2845" s="77">
        <v>1.2E-2</v>
      </c>
      <c r="G2845" s="78">
        <v>0</v>
      </c>
      <c r="H2845" s="71">
        <v>8.3000000000000007</v>
      </c>
      <c r="I2845" s="71">
        <v>10.9</v>
      </c>
      <c r="J2845" s="71">
        <v>13.6</v>
      </c>
      <c r="K2845" s="121">
        <v>7.9000000000000008E-3</v>
      </c>
      <c r="L2845" s="80">
        <v>-7.0000000000000001E-3</v>
      </c>
      <c r="M2845" s="75" t="s">
        <v>146</v>
      </c>
      <c r="N2845" s="75" t="b">
        <v>1</v>
      </c>
      <c r="O2845" s="75" t="s">
        <v>145</v>
      </c>
      <c r="P2845" s="75">
        <v>2014</v>
      </c>
      <c r="Q2845" s="107">
        <f t="shared" si="81"/>
        <v>2015</v>
      </c>
      <c r="R2845" s="107">
        <v>2</v>
      </c>
      <c r="S2845" s="43">
        <v>215097</v>
      </c>
      <c r="T2845" s="74">
        <v>42311</v>
      </c>
    </row>
    <row r="2846" spans="1:20" x14ac:dyDescent="0.3">
      <c r="A2846" s="42">
        <v>42294</v>
      </c>
      <c r="B2846" s="69">
        <f t="shared" si="82"/>
        <v>20151017</v>
      </c>
      <c r="C2846" s="109">
        <v>2.1299999999999999E-2</v>
      </c>
      <c r="D2846" s="77">
        <v>8.0000000000000002E-3</v>
      </c>
      <c r="E2846" s="77">
        <v>1.0999999999999999E-2</v>
      </c>
      <c r="F2846" s="77">
        <v>1.2E-2</v>
      </c>
      <c r="G2846" s="78">
        <v>0</v>
      </c>
      <c r="H2846" s="71">
        <v>8.3000000000000007</v>
      </c>
      <c r="I2846" s="71">
        <v>10.9</v>
      </c>
      <c r="J2846" s="71">
        <v>13.6</v>
      </c>
      <c r="K2846" s="121">
        <v>7.9000000000000008E-3</v>
      </c>
      <c r="L2846" s="80">
        <v>-7.0000000000000001E-3</v>
      </c>
      <c r="M2846" s="75" t="s">
        <v>146</v>
      </c>
      <c r="N2846" s="75" t="b">
        <v>1</v>
      </c>
      <c r="O2846" s="75" t="s">
        <v>145</v>
      </c>
      <c r="P2846" s="75">
        <v>2014</v>
      </c>
      <c r="Q2846" s="107">
        <f t="shared" si="81"/>
        <v>2015</v>
      </c>
      <c r="R2846" s="107">
        <v>2</v>
      </c>
      <c r="S2846" s="43">
        <v>215097</v>
      </c>
      <c r="T2846" s="74">
        <v>42311</v>
      </c>
    </row>
    <row r="2847" spans="1:20" x14ac:dyDescent="0.3">
      <c r="A2847" s="42">
        <v>42295</v>
      </c>
      <c r="B2847" s="69">
        <f t="shared" si="82"/>
        <v>20151018</v>
      </c>
      <c r="C2847" s="109">
        <v>2.1299999999999999E-2</v>
      </c>
      <c r="D2847" s="77">
        <v>8.0000000000000002E-3</v>
      </c>
      <c r="E2847" s="77">
        <v>1.0999999999999999E-2</v>
      </c>
      <c r="F2847" s="77">
        <v>1.2E-2</v>
      </c>
      <c r="G2847" s="78">
        <v>0</v>
      </c>
      <c r="H2847" s="71">
        <v>8.3000000000000007</v>
      </c>
      <c r="I2847" s="71">
        <v>10.9</v>
      </c>
      <c r="J2847" s="71">
        <v>13.6</v>
      </c>
      <c r="K2847" s="121">
        <v>7.9000000000000008E-3</v>
      </c>
      <c r="L2847" s="80">
        <v>-7.0000000000000001E-3</v>
      </c>
      <c r="M2847" s="75" t="s">
        <v>146</v>
      </c>
      <c r="N2847" s="75" t="b">
        <v>1</v>
      </c>
      <c r="O2847" s="75" t="s">
        <v>145</v>
      </c>
      <c r="P2847" s="75">
        <v>2014</v>
      </c>
      <c r="Q2847" s="107">
        <f t="shared" si="81"/>
        <v>2015</v>
      </c>
      <c r="R2847" s="107">
        <v>2</v>
      </c>
      <c r="S2847" s="43">
        <v>215097</v>
      </c>
      <c r="T2847" s="74">
        <v>42311</v>
      </c>
    </row>
    <row r="2848" spans="1:20" x14ac:dyDescent="0.3">
      <c r="A2848" s="42">
        <v>42296</v>
      </c>
      <c r="B2848" s="69">
        <f t="shared" si="82"/>
        <v>20151019</v>
      </c>
      <c r="C2848" s="109">
        <v>2.1299999999999999E-2</v>
      </c>
      <c r="D2848" s="77">
        <v>8.0000000000000002E-3</v>
      </c>
      <c r="E2848" s="77">
        <v>1.0999999999999999E-2</v>
      </c>
      <c r="F2848" s="77">
        <v>1.2E-2</v>
      </c>
      <c r="G2848" s="78">
        <v>0</v>
      </c>
      <c r="H2848" s="71">
        <v>8.3000000000000007</v>
      </c>
      <c r="I2848" s="71">
        <v>10.9</v>
      </c>
      <c r="J2848" s="71">
        <v>13.6</v>
      </c>
      <c r="K2848" s="121">
        <v>8.0000000000000002E-3</v>
      </c>
      <c r="L2848" s="80">
        <v>-7.0000000000000001E-3</v>
      </c>
      <c r="M2848" s="75" t="s">
        <v>146</v>
      </c>
      <c r="N2848" s="75" t="b">
        <v>1</v>
      </c>
      <c r="O2848" s="75" t="s">
        <v>145</v>
      </c>
      <c r="P2848" s="75">
        <v>2014</v>
      </c>
      <c r="Q2848" s="107">
        <f t="shared" si="81"/>
        <v>2015</v>
      </c>
      <c r="R2848" s="107">
        <v>2</v>
      </c>
      <c r="S2848" s="43">
        <v>215097</v>
      </c>
      <c r="T2848" s="74">
        <v>42311</v>
      </c>
    </row>
    <row r="2849" spans="1:20" x14ac:dyDescent="0.3">
      <c r="A2849" s="42">
        <v>42297</v>
      </c>
      <c r="B2849" s="69">
        <f t="shared" si="82"/>
        <v>20151020</v>
      </c>
      <c r="C2849" s="109">
        <v>2.2099999999999998E-2</v>
      </c>
      <c r="D2849" s="77">
        <v>8.0000000000000002E-3</v>
      </c>
      <c r="E2849" s="77">
        <v>1.0999999999999999E-2</v>
      </c>
      <c r="F2849" s="77">
        <v>1.2E-2</v>
      </c>
      <c r="G2849" s="78">
        <v>0</v>
      </c>
      <c r="H2849" s="71">
        <v>8.3000000000000007</v>
      </c>
      <c r="I2849" s="71">
        <v>10.9</v>
      </c>
      <c r="J2849" s="71">
        <v>13.6</v>
      </c>
      <c r="K2849" s="121">
        <v>8.6999999999999994E-3</v>
      </c>
      <c r="L2849" s="80">
        <v>-7.0000000000000001E-3</v>
      </c>
      <c r="M2849" s="75" t="s">
        <v>146</v>
      </c>
      <c r="N2849" s="75" t="b">
        <v>1</v>
      </c>
      <c r="O2849" s="75" t="s">
        <v>145</v>
      </c>
      <c r="P2849" s="75">
        <v>2014</v>
      </c>
      <c r="Q2849" s="107">
        <f t="shared" si="81"/>
        <v>2015</v>
      </c>
      <c r="R2849" s="107">
        <v>2</v>
      </c>
      <c r="S2849" s="43">
        <v>215097</v>
      </c>
      <c r="T2849" s="74">
        <v>42311</v>
      </c>
    </row>
    <row r="2850" spans="1:20" x14ac:dyDescent="0.3">
      <c r="A2850" s="42">
        <v>42298</v>
      </c>
      <c r="B2850" s="69">
        <f t="shared" si="82"/>
        <v>20151021</v>
      </c>
      <c r="C2850" s="109">
        <v>2.1400000000000002E-2</v>
      </c>
      <c r="D2850" s="77">
        <v>8.0000000000000002E-3</v>
      </c>
      <c r="E2850" s="77">
        <v>1.0999999999999999E-2</v>
      </c>
      <c r="F2850" s="77">
        <v>1.2E-2</v>
      </c>
      <c r="G2850" s="78">
        <v>0</v>
      </c>
      <c r="H2850" s="71">
        <v>8.3000000000000007</v>
      </c>
      <c r="I2850" s="71">
        <v>10.9</v>
      </c>
      <c r="J2850" s="71">
        <v>13.6</v>
      </c>
      <c r="K2850" s="121">
        <v>8.0999999999999996E-3</v>
      </c>
      <c r="L2850" s="80">
        <v>-7.0000000000000001E-3</v>
      </c>
      <c r="M2850" s="75" t="s">
        <v>146</v>
      </c>
      <c r="N2850" s="75" t="b">
        <v>1</v>
      </c>
      <c r="O2850" s="75" t="s">
        <v>145</v>
      </c>
      <c r="P2850" s="75">
        <v>2014</v>
      </c>
      <c r="Q2850" s="107">
        <f t="shared" si="81"/>
        <v>2015</v>
      </c>
      <c r="R2850" s="107">
        <v>2</v>
      </c>
      <c r="S2850" s="43">
        <v>215097</v>
      </c>
      <c r="T2850" s="74">
        <v>42311</v>
      </c>
    </row>
    <row r="2851" spans="1:20" x14ac:dyDescent="0.3">
      <c r="A2851" s="42">
        <v>42299</v>
      </c>
      <c r="B2851" s="69">
        <f t="shared" si="82"/>
        <v>20151022</v>
      </c>
      <c r="C2851" s="109">
        <v>2.1299999999999999E-2</v>
      </c>
      <c r="D2851" s="77">
        <v>8.0000000000000002E-3</v>
      </c>
      <c r="E2851" s="77">
        <v>1.0999999999999999E-2</v>
      </c>
      <c r="F2851" s="77">
        <v>1.2E-2</v>
      </c>
      <c r="G2851" s="78">
        <v>0</v>
      </c>
      <c r="H2851" s="71">
        <v>8.3000000000000007</v>
      </c>
      <c r="I2851" s="71">
        <v>10.9</v>
      </c>
      <c r="J2851" s="71">
        <v>13.6</v>
      </c>
      <c r="K2851" s="121">
        <v>8.0000000000000002E-3</v>
      </c>
      <c r="L2851" s="80">
        <v>-7.0000000000000001E-3</v>
      </c>
      <c r="M2851" s="75" t="s">
        <v>146</v>
      </c>
      <c r="N2851" s="75" t="b">
        <v>1</v>
      </c>
      <c r="O2851" s="75" t="s">
        <v>145</v>
      </c>
      <c r="P2851" s="75">
        <v>2014</v>
      </c>
      <c r="Q2851" s="107">
        <f t="shared" si="81"/>
        <v>2015</v>
      </c>
      <c r="R2851" s="107">
        <v>2</v>
      </c>
      <c r="S2851" s="43">
        <v>215097</v>
      </c>
      <c r="T2851" s="74">
        <v>42311</v>
      </c>
    </row>
    <row r="2852" spans="1:20" x14ac:dyDescent="0.3">
      <c r="A2852" s="42">
        <v>42300</v>
      </c>
      <c r="B2852" s="69">
        <f t="shared" si="82"/>
        <v>20151023</v>
      </c>
      <c r="C2852" s="109">
        <v>2.18E-2</v>
      </c>
      <c r="D2852" s="77">
        <v>8.0000000000000002E-3</v>
      </c>
      <c r="E2852" s="77">
        <v>1.0999999999999999E-2</v>
      </c>
      <c r="F2852" s="77">
        <v>1.2E-2</v>
      </c>
      <c r="G2852" s="78">
        <v>0</v>
      </c>
      <c r="H2852" s="71">
        <v>8.3000000000000007</v>
      </c>
      <c r="I2852" s="71">
        <v>10.9</v>
      </c>
      <c r="J2852" s="71">
        <v>13.6</v>
      </c>
      <c r="K2852" s="121">
        <v>8.3000000000000001E-3</v>
      </c>
      <c r="L2852" s="80">
        <v>-7.0000000000000001E-3</v>
      </c>
      <c r="M2852" s="75" t="s">
        <v>146</v>
      </c>
      <c r="N2852" s="75" t="b">
        <v>1</v>
      </c>
      <c r="O2852" s="75" t="s">
        <v>145</v>
      </c>
      <c r="P2852" s="75">
        <v>2014</v>
      </c>
      <c r="Q2852" s="107">
        <f t="shared" si="81"/>
        <v>2015</v>
      </c>
      <c r="R2852" s="107">
        <v>2</v>
      </c>
      <c r="S2852" s="43">
        <v>215097</v>
      </c>
      <c r="T2852" s="74">
        <v>42311</v>
      </c>
    </row>
    <row r="2853" spans="1:20" x14ac:dyDescent="0.3">
      <c r="A2853" s="42">
        <v>42301</v>
      </c>
      <c r="B2853" s="69">
        <f t="shared" si="82"/>
        <v>20151024</v>
      </c>
      <c r="C2853" s="109">
        <v>2.18E-2</v>
      </c>
      <c r="D2853" s="77">
        <v>8.0000000000000002E-3</v>
      </c>
      <c r="E2853" s="77">
        <v>1.0999999999999999E-2</v>
      </c>
      <c r="F2853" s="77">
        <v>1.2E-2</v>
      </c>
      <c r="G2853" s="78">
        <v>0</v>
      </c>
      <c r="H2853" s="71">
        <v>8.3000000000000007</v>
      </c>
      <c r="I2853" s="71">
        <v>10.9</v>
      </c>
      <c r="J2853" s="71">
        <v>13.6</v>
      </c>
      <c r="K2853" s="121">
        <v>8.3000000000000001E-3</v>
      </c>
      <c r="L2853" s="80">
        <v>-7.0000000000000001E-3</v>
      </c>
      <c r="M2853" s="75" t="s">
        <v>146</v>
      </c>
      <c r="N2853" s="75" t="b">
        <v>1</v>
      </c>
      <c r="O2853" s="75" t="s">
        <v>145</v>
      </c>
      <c r="P2853" s="75">
        <v>2014</v>
      </c>
      <c r="Q2853" s="107">
        <f t="shared" si="81"/>
        <v>2015</v>
      </c>
      <c r="R2853" s="107">
        <v>2</v>
      </c>
      <c r="S2853" s="43">
        <v>215097</v>
      </c>
      <c r="T2853" s="74">
        <v>42311</v>
      </c>
    </row>
    <row r="2854" spans="1:20" x14ac:dyDescent="0.3">
      <c r="A2854" s="42">
        <v>42302</v>
      </c>
      <c r="B2854" s="69">
        <f t="shared" si="82"/>
        <v>20151025</v>
      </c>
      <c r="C2854" s="109">
        <v>2.18E-2</v>
      </c>
      <c r="D2854" s="77">
        <v>8.0000000000000002E-3</v>
      </c>
      <c r="E2854" s="77">
        <v>1.0999999999999999E-2</v>
      </c>
      <c r="F2854" s="77">
        <v>1.2E-2</v>
      </c>
      <c r="G2854" s="78">
        <v>0</v>
      </c>
      <c r="H2854" s="71">
        <v>8.3000000000000007</v>
      </c>
      <c r="I2854" s="71">
        <v>10.9</v>
      </c>
      <c r="J2854" s="71">
        <v>13.6</v>
      </c>
      <c r="K2854" s="121">
        <v>8.3000000000000001E-3</v>
      </c>
      <c r="L2854" s="80">
        <v>-7.0000000000000001E-3</v>
      </c>
      <c r="M2854" s="75" t="s">
        <v>146</v>
      </c>
      <c r="N2854" s="75" t="b">
        <v>1</v>
      </c>
      <c r="O2854" s="75" t="s">
        <v>145</v>
      </c>
      <c r="P2854" s="75">
        <v>2014</v>
      </c>
      <c r="Q2854" s="107">
        <f t="shared" si="81"/>
        <v>2015</v>
      </c>
      <c r="R2854" s="107">
        <v>2</v>
      </c>
      <c r="S2854" s="43">
        <v>215097</v>
      </c>
      <c r="T2854" s="74">
        <v>42311</v>
      </c>
    </row>
    <row r="2855" spans="1:20" x14ac:dyDescent="0.3">
      <c r="A2855" s="42">
        <v>42303</v>
      </c>
      <c r="B2855" s="69">
        <f t="shared" si="82"/>
        <v>20151026</v>
      </c>
      <c r="C2855" s="109">
        <v>2.12E-2</v>
      </c>
      <c r="D2855" s="77">
        <v>8.0000000000000002E-3</v>
      </c>
      <c r="E2855" s="77">
        <v>1.0999999999999999E-2</v>
      </c>
      <c r="F2855" s="77">
        <v>1.2E-2</v>
      </c>
      <c r="G2855" s="78">
        <v>0</v>
      </c>
      <c r="H2855" s="71">
        <v>8.3000000000000007</v>
      </c>
      <c r="I2855" s="71">
        <v>10.9</v>
      </c>
      <c r="J2855" s="71">
        <v>13.6</v>
      </c>
      <c r="K2855" s="121">
        <v>7.7000000000000002E-3</v>
      </c>
      <c r="L2855" s="80">
        <v>-7.0000000000000001E-3</v>
      </c>
      <c r="M2855" s="75" t="s">
        <v>146</v>
      </c>
      <c r="N2855" s="75" t="b">
        <v>1</v>
      </c>
      <c r="O2855" s="75" t="s">
        <v>145</v>
      </c>
      <c r="P2855" s="75">
        <v>2014</v>
      </c>
      <c r="Q2855" s="107">
        <f t="shared" si="81"/>
        <v>2015</v>
      </c>
      <c r="R2855" s="107">
        <v>2</v>
      </c>
      <c r="S2855" s="43">
        <v>215097</v>
      </c>
      <c r="T2855" s="74">
        <v>42311</v>
      </c>
    </row>
    <row r="2856" spans="1:20" x14ac:dyDescent="0.3">
      <c r="A2856" s="42">
        <v>42304</v>
      </c>
      <c r="B2856" s="69">
        <f t="shared" si="82"/>
        <v>20151027</v>
      </c>
      <c r="C2856" s="109">
        <v>2.0899999999999998E-2</v>
      </c>
      <c r="D2856" s="77">
        <v>8.0000000000000002E-3</v>
      </c>
      <c r="E2856" s="77">
        <v>1.0999999999999999E-2</v>
      </c>
      <c r="F2856" s="77">
        <v>1.2E-2</v>
      </c>
      <c r="G2856" s="78">
        <v>0</v>
      </c>
      <c r="H2856" s="71">
        <v>8.3000000000000007</v>
      </c>
      <c r="I2856" s="71">
        <v>10.9</v>
      </c>
      <c r="J2856" s="71">
        <v>13.6</v>
      </c>
      <c r="K2856" s="121">
        <v>7.7000000000000002E-3</v>
      </c>
      <c r="L2856" s="80">
        <v>-7.0000000000000001E-3</v>
      </c>
      <c r="M2856" s="75" t="s">
        <v>146</v>
      </c>
      <c r="N2856" s="75" t="b">
        <v>1</v>
      </c>
      <c r="O2856" s="75" t="s">
        <v>145</v>
      </c>
      <c r="P2856" s="75">
        <v>2014</v>
      </c>
      <c r="Q2856" s="107">
        <f t="shared" si="81"/>
        <v>2015</v>
      </c>
      <c r="R2856" s="107">
        <v>2</v>
      </c>
      <c r="S2856" s="43">
        <v>215097</v>
      </c>
      <c r="T2856" s="74">
        <v>42311</v>
      </c>
    </row>
    <row r="2857" spans="1:20" x14ac:dyDescent="0.3">
      <c r="A2857" s="42">
        <v>42305</v>
      </c>
      <c r="B2857" s="69">
        <f t="shared" si="82"/>
        <v>20151028</v>
      </c>
      <c r="C2857" s="109">
        <v>2.1299999999999999E-2</v>
      </c>
      <c r="D2857" s="77">
        <v>8.0000000000000002E-3</v>
      </c>
      <c r="E2857" s="77">
        <v>1.0999999999999999E-2</v>
      </c>
      <c r="F2857" s="77">
        <v>1.2E-2</v>
      </c>
      <c r="G2857" s="78">
        <v>0</v>
      </c>
      <c r="H2857" s="71">
        <v>8.3000000000000007</v>
      </c>
      <c r="I2857" s="71">
        <v>10.9</v>
      </c>
      <c r="J2857" s="71">
        <v>13.6</v>
      </c>
      <c r="K2857" s="121">
        <v>8.0000000000000002E-3</v>
      </c>
      <c r="L2857" s="80">
        <v>-7.0000000000000001E-3</v>
      </c>
      <c r="M2857" s="75" t="s">
        <v>146</v>
      </c>
      <c r="N2857" s="75" t="b">
        <v>1</v>
      </c>
      <c r="O2857" s="75" t="s">
        <v>145</v>
      </c>
      <c r="P2857" s="75">
        <v>2014</v>
      </c>
      <c r="Q2857" s="107">
        <f t="shared" si="81"/>
        <v>2015</v>
      </c>
      <c r="R2857" s="107">
        <v>2</v>
      </c>
      <c r="S2857" s="43">
        <v>215097</v>
      </c>
      <c r="T2857" s="74">
        <v>42311</v>
      </c>
    </row>
    <row r="2858" spans="1:20" x14ac:dyDescent="0.3">
      <c r="A2858" s="42">
        <v>42306</v>
      </c>
      <c r="B2858" s="69">
        <f>YEAR(A2858)*10000+MONTH(A2858)*100+DAY(A2858)</f>
        <v>20151029</v>
      </c>
      <c r="C2858" s="109">
        <v>2.1899999999999999E-2</v>
      </c>
      <c r="D2858" s="77">
        <v>8.0000000000000002E-3</v>
      </c>
      <c r="E2858" s="77">
        <v>1.0999999999999999E-2</v>
      </c>
      <c r="F2858" s="77">
        <v>1.2E-2</v>
      </c>
      <c r="G2858" s="78">
        <v>0</v>
      </c>
      <c r="H2858" s="71">
        <v>8.3000000000000007</v>
      </c>
      <c r="I2858" s="71">
        <v>10.9</v>
      </c>
      <c r="J2858" s="71">
        <v>13.6</v>
      </c>
      <c r="K2858" s="121">
        <v>8.3000000000000001E-3</v>
      </c>
      <c r="L2858" s="80">
        <v>-7.0000000000000001E-3</v>
      </c>
      <c r="M2858" s="75" t="s">
        <v>146</v>
      </c>
      <c r="N2858" s="75" t="b">
        <v>1</v>
      </c>
      <c r="O2858" s="75" t="s">
        <v>145</v>
      </c>
      <c r="P2858" s="75">
        <v>2014</v>
      </c>
      <c r="Q2858" s="107">
        <f t="shared" si="81"/>
        <v>2015</v>
      </c>
      <c r="R2858" s="107">
        <v>2</v>
      </c>
      <c r="S2858" s="43">
        <v>215097</v>
      </c>
      <c r="T2858" s="74">
        <v>42311</v>
      </c>
    </row>
    <row r="2859" spans="1:20" x14ac:dyDescent="0.3">
      <c r="A2859" s="42">
        <v>42307</v>
      </c>
      <c r="B2859" s="69">
        <v>20151030</v>
      </c>
      <c r="C2859" s="109">
        <v>2.18E-2</v>
      </c>
      <c r="D2859" s="77">
        <v>8.0000000000000002E-3</v>
      </c>
      <c r="E2859" s="77">
        <v>1.0999999999999999E-2</v>
      </c>
      <c r="F2859" s="77">
        <v>1.2E-2</v>
      </c>
      <c r="G2859" s="78">
        <v>0</v>
      </c>
      <c r="H2859" s="71">
        <v>8.4</v>
      </c>
      <c r="I2859" s="71">
        <v>11</v>
      </c>
      <c r="J2859" s="71">
        <v>13.4</v>
      </c>
      <c r="K2859" s="121">
        <v>8.2000000000000007E-3</v>
      </c>
      <c r="L2859" s="80">
        <v>-7.0000000000000001E-3</v>
      </c>
      <c r="M2859" s="75" t="s">
        <v>146</v>
      </c>
      <c r="N2859" s="75" t="b">
        <v>1</v>
      </c>
      <c r="O2859" s="75" t="s">
        <v>145</v>
      </c>
      <c r="P2859" s="75">
        <v>2014</v>
      </c>
      <c r="Q2859" s="107">
        <f t="shared" si="81"/>
        <v>2015</v>
      </c>
      <c r="R2859" s="107">
        <v>2</v>
      </c>
      <c r="S2859" s="43">
        <v>215097</v>
      </c>
      <c r="T2859" s="74">
        <v>42311</v>
      </c>
    </row>
    <row r="2860" spans="1:20" x14ac:dyDescent="0.3">
      <c r="A2860" s="42">
        <v>42308</v>
      </c>
      <c r="B2860" s="69">
        <v>20151031</v>
      </c>
      <c r="C2860" s="109">
        <v>2.18E-2</v>
      </c>
      <c r="D2860" s="77">
        <v>8.0000000000000002E-3</v>
      </c>
      <c r="E2860" s="77">
        <v>1.0999999999999999E-2</v>
      </c>
      <c r="F2860" s="77">
        <v>1.2E-2</v>
      </c>
      <c r="G2860" s="78">
        <v>0</v>
      </c>
      <c r="H2860" s="71">
        <v>8.4</v>
      </c>
      <c r="I2860" s="71">
        <v>11</v>
      </c>
      <c r="J2860" s="71">
        <v>13.4</v>
      </c>
      <c r="K2860" s="121">
        <v>8.2000000000000007E-3</v>
      </c>
      <c r="L2860" s="80">
        <v>-7.0000000000000001E-3</v>
      </c>
      <c r="M2860" s="75" t="s">
        <v>146</v>
      </c>
      <c r="N2860" s="75" t="b">
        <v>1</v>
      </c>
      <c r="O2860" s="75" t="s">
        <v>145</v>
      </c>
      <c r="P2860" s="75">
        <v>2014</v>
      </c>
      <c r="Q2860" s="107">
        <f t="shared" si="81"/>
        <v>2015</v>
      </c>
      <c r="R2860" s="107">
        <v>2</v>
      </c>
      <c r="S2860" s="43">
        <v>215097</v>
      </c>
      <c r="T2860" s="74">
        <v>42311</v>
      </c>
    </row>
    <row r="2861" spans="1:20" x14ac:dyDescent="0.3">
      <c r="A2861" s="42">
        <v>42309</v>
      </c>
      <c r="B2861" s="69">
        <v>20151101</v>
      </c>
      <c r="C2861" s="109">
        <v>2.18E-2</v>
      </c>
      <c r="D2861" s="77">
        <v>8.0000000000000002E-3</v>
      </c>
      <c r="E2861" s="77">
        <v>1.0999999999999999E-2</v>
      </c>
      <c r="F2861" s="77">
        <v>1.2E-2</v>
      </c>
      <c r="G2861" s="78">
        <v>0</v>
      </c>
      <c r="H2861" s="71">
        <v>8.4</v>
      </c>
      <c r="I2861" s="71">
        <v>11</v>
      </c>
      <c r="J2861" s="71">
        <v>13.4</v>
      </c>
      <c r="K2861" s="121">
        <v>8.2000000000000007E-3</v>
      </c>
      <c r="L2861" s="80">
        <v>-7.0000000000000001E-3</v>
      </c>
      <c r="M2861" s="75" t="s">
        <v>146</v>
      </c>
      <c r="N2861" s="75" t="b">
        <v>1</v>
      </c>
      <c r="O2861" s="75" t="s">
        <v>145</v>
      </c>
      <c r="P2861" s="75">
        <v>2014</v>
      </c>
      <c r="Q2861" s="107">
        <f t="shared" si="81"/>
        <v>2015</v>
      </c>
      <c r="R2861" s="107">
        <v>2</v>
      </c>
      <c r="S2861" s="43">
        <v>215097</v>
      </c>
      <c r="T2861" s="74">
        <v>42311</v>
      </c>
    </row>
    <row r="2862" spans="1:20" x14ac:dyDescent="0.3">
      <c r="A2862" s="42">
        <v>42310</v>
      </c>
      <c r="B2862" s="69">
        <v>20151102</v>
      </c>
      <c r="C2862" s="109">
        <v>2.1999999999999999E-2</v>
      </c>
      <c r="D2862" s="77">
        <v>8.0000000000000002E-3</v>
      </c>
      <c r="E2862" s="77">
        <v>1.0999999999999999E-2</v>
      </c>
      <c r="F2862" s="77">
        <v>1.2E-2</v>
      </c>
      <c r="G2862" s="78">
        <v>0</v>
      </c>
      <c r="H2862" s="71">
        <v>8.4</v>
      </c>
      <c r="I2862" s="71">
        <v>11</v>
      </c>
      <c r="J2862" s="71">
        <v>13.4</v>
      </c>
      <c r="K2862" s="121">
        <v>8.5000000000000006E-3</v>
      </c>
      <c r="L2862" s="80">
        <v>-7.0000000000000001E-3</v>
      </c>
      <c r="M2862" s="75" t="s">
        <v>146</v>
      </c>
      <c r="N2862" s="75" t="b">
        <v>1</v>
      </c>
      <c r="O2862" s="75" t="s">
        <v>145</v>
      </c>
      <c r="P2862" s="75">
        <v>2014</v>
      </c>
      <c r="Q2862" s="107">
        <f t="shared" ref="Q2862:Q2925" si="83">YEAR(A2862)</f>
        <v>2015</v>
      </c>
      <c r="R2862" s="107">
        <v>2</v>
      </c>
      <c r="S2862" s="43">
        <v>215097</v>
      </c>
      <c r="T2862" s="74">
        <v>42311</v>
      </c>
    </row>
    <row r="2863" spans="1:20" x14ac:dyDescent="0.3">
      <c r="A2863" s="42">
        <v>42311</v>
      </c>
      <c r="B2863" s="69">
        <v>20151103</v>
      </c>
      <c r="C2863" s="109">
        <v>2.23E-2</v>
      </c>
      <c r="D2863" s="77">
        <v>8.0000000000000002E-3</v>
      </c>
      <c r="E2863" s="77">
        <v>1.0999999999999999E-2</v>
      </c>
      <c r="F2863" s="77">
        <v>1.2E-2</v>
      </c>
      <c r="G2863" s="78">
        <v>0</v>
      </c>
      <c r="H2863" s="71">
        <v>8.4</v>
      </c>
      <c r="I2863" s="71">
        <v>11</v>
      </c>
      <c r="J2863" s="71">
        <v>13.4</v>
      </c>
      <c r="K2863" s="121">
        <v>8.6999999999999994E-3</v>
      </c>
      <c r="L2863" s="80">
        <v>-7.0000000000000001E-3</v>
      </c>
      <c r="M2863" s="75" t="s">
        <v>146</v>
      </c>
      <c r="N2863" s="75" t="b">
        <v>1</v>
      </c>
      <c r="O2863" s="75" t="s">
        <v>145</v>
      </c>
      <c r="P2863" s="75">
        <v>2014</v>
      </c>
      <c r="Q2863" s="107">
        <f t="shared" si="83"/>
        <v>2015</v>
      </c>
      <c r="R2863" s="107">
        <v>2</v>
      </c>
      <c r="S2863" s="43">
        <v>215097</v>
      </c>
      <c r="T2863" s="74">
        <v>42311</v>
      </c>
    </row>
    <row r="2864" spans="1:20" x14ac:dyDescent="0.3">
      <c r="A2864" s="42">
        <v>42312</v>
      </c>
      <c r="B2864" s="69">
        <v>20151104</v>
      </c>
      <c r="C2864" s="109">
        <v>2.24E-2</v>
      </c>
      <c r="D2864" s="77">
        <v>8.0000000000000002E-3</v>
      </c>
      <c r="E2864" s="77">
        <v>1.0999999999999999E-2</v>
      </c>
      <c r="F2864" s="77">
        <v>1.2E-2</v>
      </c>
      <c r="G2864" s="78">
        <v>0</v>
      </c>
      <c r="H2864" s="71">
        <v>8.4</v>
      </c>
      <c r="I2864" s="71">
        <v>11</v>
      </c>
      <c r="J2864" s="71">
        <v>13.4</v>
      </c>
      <c r="K2864" s="121">
        <v>8.8000000000000005E-3</v>
      </c>
      <c r="L2864" s="80">
        <v>-7.0000000000000001E-3</v>
      </c>
      <c r="M2864" s="75" t="s">
        <v>146</v>
      </c>
      <c r="N2864" s="75" t="b">
        <v>1</v>
      </c>
      <c r="O2864" s="75" t="s">
        <v>145</v>
      </c>
      <c r="P2864" s="75">
        <v>2014</v>
      </c>
      <c r="Q2864" s="107">
        <f t="shared" si="83"/>
        <v>2015</v>
      </c>
      <c r="R2864" s="107">
        <v>2</v>
      </c>
      <c r="S2864" s="43">
        <v>215097</v>
      </c>
      <c r="T2864" s="74">
        <v>42311</v>
      </c>
    </row>
    <row r="2865" spans="1:20" x14ac:dyDescent="0.3">
      <c r="A2865" s="42">
        <v>42313</v>
      </c>
      <c r="B2865" s="69">
        <v>20151105</v>
      </c>
      <c r="C2865" s="109">
        <v>2.2599999999999999E-2</v>
      </c>
      <c r="D2865" s="77">
        <v>8.0000000000000002E-3</v>
      </c>
      <c r="E2865" s="77">
        <v>1.0999999999999999E-2</v>
      </c>
      <c r="F2865" s="77">
        <v>1.2E-2</v>
      </c>
      <c r="G2865" s="78">
        <v>0</v>
      </c>
      <c r="H2865" s="71">
        <v>8.4</v>
      </c>
      <c r="I2865" s="71">
        <v>11</v>
      </c>
      <c r="J2865" s="71">
        <v>13.4</v>
      </c>
      <c r="K2865" s="121">
        <v>8.8999999999999999E-3</v>
      </c>
      <c r="L2865" s="80">
        <v>-7.0000000000000001E-3</v>
      </c>
      <c r="M2865" s="75" t="s">
        <v>146</v>
      </c>
      <c r="N2865" s="75" t="b">
        <v>1</v>
      </c>
      <c r="O2865" s="75" t="s">
        <v>145</v>
      </c>
      <c r="P2865" s="75">
        <v>2014</v>
      </c>
      <c r="Q2865" s="107">
        <f t="shared" si="83"/>
        <v>2015</v>
      </c>
      <c r="R2865" s="107">
        <v>2</v>
      </c>
      <c r="S2865" s="43">
        <v>215097</v>
      </c>
      <c r="T2865" s="74">
        <v>42311</v>
      </c>
    </row>
    <row r="2866" spans="1:20" x14ac:dyDescent="0.3">
      <c r="A2866" s="42">
        <v>42314</v>
      </c>
      <c r="B2866" s="69">
        <v>20151106</v>
      </c>
      <c r="C2866" s="109">
        <v>2.3E-2</v>
      </c>
      <c r="D2866" s="77">
        <v>8.0000000000000002E-3</v>
      </c>
      <c r="E2866" s="77">
        <v>1.0999999999999999E-2</v>
      </c>
      <c r="F2866" s="77">
        <v>1.2E-2</v>
      </c>
      <c r="G2866" s="78">
        <v>0</v>
      </c>
      <c r="H2866" s="71">
        <v>8.4</v>
      </c>
      <c r="I2866" s="71">
        <v>11</v>
      </c>
      <c r="J2866" s="71">
        <v>13.4</v>
      </c>
      <c r="K2866" s="121">
        <v>9.0000000000000011E-3</v>
      </c>
      <c r="L2866" s="80">
        <v>-7.0000000000000001E-3</v>
      </c>
      <c r="M2866" s="75" t="s">
        <v>146</v>
      </c>
      <c r="N2866" s="75" t="b">
        <v>1</v>
      </c>
      <c r="O2866" s="75" t="s">
        <v>145</v>
      </c>
      <c r="P2866" s="75">
        <v>2014</v>
      </c>
      <c r="Q2866" s="107">
        <f t="shared" si="83"/>
        <v>2015</v>
      </c>
      <c r="R2866" s="107">
        <v>2</v>
      </c>
      <c r="S2866" s="43">
        <v>215097</v>
      </c>
      <c r="T2866" s="74">
        <v>42311</v>
      </c>
    </row>
    <row r="2867" spans="1:20" x14ac:dyDescent="0.3">
      <c r="A2867" s="42">
        <v>42315</v>
      </c>
      <c r="B2867" s="69">
        <v>20151107</v>
      </c>
      <c r="C2867" s="109">
        <v>2.3E-2</v>
      </c>
      <c r="D2867" s="77">
        <v>8.0000000000000002E-3</v>
      </c>
      <c r="E2867" s="77">
        <v>1.0999999999999999E-2</v>
      </c>
      <c r="F2867" s="77">
        <v>1.2E-2</v>
      </c>
      <c r="G2867" s="78">
        <v>0</v>
      </c>
      <c r="H2867" s="71">
        <v>8.4</v>
      </c>
      <c r="I2867" s="71">
        <v>11</v>
      </c>
      <c r="J2867" s="71">
        <v>13.4</v>
      </c>
      <c r="K2867" s="121">
        <v>9.0000000000000011E-3</v>
      </c>
      <c r="L2867" s="80">
        <v>-7.0000000000000001E-3</v>
      </c>
      <c r="M2867" s="75" t="s">
        <v>146</v>
      </c>
      <c r="N2867" s="75" t="b">
        <v>1</v>
      </c>
      <c r="O2867" s="75" t="s">
        <v>145</v>
      </c>
      <c r="P2867" s="75">
        <v>2014</v>
      </c>
      <c r="Q2867" s="107">
        <f t="shared" si="83"/>
        <v>2015</v>
      </c>
      <c r="R2867" s="107">
        <v>2</v>
      </c>
      <c r="S2867" s="43">
        <v>215097</v>
      </c>
      <c r="T2867" s="74">
        <v>42311</v>
      </c>
    </row>
    <row r="2868" spans="1:20" x14ac:dyDescent="0.3">
      <c r="A2868" s="42">
        <v>42316</v>
      </c>
      <c r="B2868" s="37">
        <v>20151108</v>
      </c>
      <c r="C2868" s="109">
        <v>2.3E-2</v>
      </c>
      <c r="D2868" s="109">
        <v>8.0000000000000002E-3</v>
      </c>
      <c r="E2868" s="109">
        <v>1.0999999999999999E-2</v>
      </c>
      <c r="F2868" s="109">
        <v>1.2E-2</v>
      </c>
      <c r="G2868" s="130">
        <v>0</v>
      </c>
      <c r="H2868" s="71">
        <v>8.4</v>
      </c>
      <c r="I2868" s="71">
        <v>11</v>
      </c>
      <c r="J2868" s="71">
        <v>13.4</v>
      </c>
      <c r="K2868" s="121">
        <v>9.0000000000000011E-3</v>
      </c>
      <c r="L2868" s="121">
        <v>-7.0000000000000001E-3</v>
      </c>
      <c r="M2868" s="75" t="s">
        <v>146</v>
      </c>
      <c r="N2868" s="75" t="b">
        <v>1</v>
      </c>
      <c r="O2868" s="75" t="s">
        <v>145</v>
      </c>
      <c r="P2868" s="75">
        <v>2014</v>
      </c>
      <c r="Q2868" s="107">
        <f t="shared" si="83"/>
        <v>2015</v>
      </c>
      <c r="R2868" s="107">
        <v>2</v>
      </c>
      <c r="S2868" s="43">
        <v>215097</v>
      </c>
      <c r="T2868" s="74">
        <v>42311</v>
      </c>
    </row>
    <row r="2869" spans="1:20" x14ac:dyDescent="0.3">
      <c r="A2869" s="42">
        <v>42317</v>
      </c>
      <c r="B2869" s="37">
        <v>20151109</v>
      </c>
      <c r="C2869" s="109">
        <v>2.3099999999999999E-2</v>
      </c>
      <c r="D2869" s="109">
        <v>8.0000000000000002E-3</v>
      </c>
      <c r="E2869" s="109">
        <v>1.0999999999999999E-2</v>
      </c>
      <c r="F2869" s="109">
        <v>1.2E-2</v>
      </c>
      <c r="G2869" s="130">
        <v>0</v>
      </c>
      <c r="H2869" s="71">
        <v>8.4</v>
      </c>
      <c r="I2869" s="71">
        <v>11</v>
      </c>
      <c r="J2869" s="71">
        <v>13.4</v>
      </c>
      <c r="K2869" s="121">
        <v>9.0000000000000011E-3</v>
      </c>
      <c r="L2869" s="121">
        <v>-7.0000000000000001E-3</v>
      </c>
      <c r="M2869" s="75" t="s">
        <v>146</v>
      </c>
      <c r="N2869" s="75" t="b">
        <v>1</v>
      </c>
      <c r="O2869" s="75" t="s">
        <v>145</v>
      </c>
      <c r="P2869" s="75">
        <v>2014</v>
      </c>
      <c r="Q2869" s="107">
        <f t="shared" si="83"/>
        <v>2015</v>
      </c>
      <c r="R2869" s="107">
        <v>2</v>
      </c>
      <c r="S2869" s="43">
        <v>215097</v>
      </c>
      <c r="T2869" s="74">
        <v>42311</v>
      </c>
    </row>
    <row r="2870" spans="1:20" x14ac:dyDescent="0.3">
      <c r="A2870" s="42">
        <v>42318</v>
      </c>
      <c r="B2870" s="37">
        <v>20151110</v>
      </c>
      <c r="C2870" s="109">
        <v>2.29E-2</v>
      </c>
      <c r="D2870" s="109">
        <v>8.0000000000000002E-3</v>
      </c>
      <c r="E2870" s="109">
        <v>1.0999999999999999E-2</v>
      </c>
      <c r="F2870" s="109">
        <v>1.2E-2</v>
      </c>
      <c r="G2870" s="130">
        <v>0</v>
      </c>
      <c r="H2870" s="71">
        <v>8.4</v>
      </c>
      <c r="I2870" s="71">
        <v>11</v>
      </c>
      <c r="J2870" s="71">
        <v>13.4</v>
      </c>
      <c r="K2870" s="121">
        <v>8.8000000000000005E-3</v>
      </c>
      <c r="L2870" s="121">
        <v>-7.0000000000000001E-3</v>
      </c>
      <c r="M2870" s="75" t="s">
        <v>146</v>
      </c>
      <c r="N2870" s="75" t="b">
        <v>1</v>
      </c>
      <c r="O2870" s="75" t="s">
        <v>145</v>
      </c>
      <c r="P2870" s="75">
        <v>2014</v>
      </c>
      <c r="Q2870" s="107">
        <f t="shared" si="83"/>
        <v>2015</v>
      </c>
      <c r="R2870" s="107">
        <v>2</v>
      </c>
      <c r="S2870" s="43">
        <v>215097</v>
      </c>
      <c r="T2870" s="74">
        <v>42311</v>
      </c>
    </row>
    <row r="2871" spans="1:20" x14ac:dyDescent="0.3">
      <c r="A2871" s="42">
        <v>42319</v>
      </c>
      <c r="B2871" s="37">
        <v>20151111</v>
      </c>
      <c r="C2871" s="109">
        <v>2.29E-2</v>
      </c>
      <c r="D2871" s="109">
        <v>8.0000000000000002E-3</v>
      </c>
      <c r="E2871" s="109">
        <v>1.0999999999999999E-2</v>
      </c>
      <c r="F2871" s="109">
        <v>1.2E-2</v>
      </c>
      <c r="G2871" s="130">
        <v>0</v>
      </c>
      <c r="H2871" s="71">
        <v>8.4</v>
      </c>
      <c r="I2871" s="71">
        <v>11</v>
      </c>
      <c r="J2871" s="71">
        <v>13.4</v>
      </c>
      <c r="K2871" s="121">
        <v>8.8000000000000005E-3</v>
      </c>
      <c r="L2871" s="121">
        <v>-7.0000000000000001E-3</v>
      </c>
      <c r="M2871" s="75" t="s">
        <v>146</v>
      </c>
      <c r="N2871" s="75" t="b">
        <v>1</v>
      </c>
      <c r="O2871" s="75" t="s">
        <v>145</v>
      </c>
      <c r="P2871" s="75">
        <v>2014</v>
      </c>
      <c r="Q2871" s="107">
        <f t="shared" si="83"/>
        <v>2015</v>
      </c>
      <c r="R2871" s="107">
        <v>2</v>
      </c>
      <c r="S2871" s="43">
        <v>215097</v>
      </c>
      <c r="T2871" s="74">
        <v>42311</v>
      </c>
    </row>
    <row r="2872" spans="1:20" x14ac:dyDescent="0.3">
      <c r="A2872" s="42">
        <v>42320</v>
      </c>
      <c r="B2872" s="37">
        <v>20151112</v>
      </c>
      <c r="C2872" s="109">
        <v>2.2799999999999997E-2</v>
      </c>
      <c r="D2872" s="109">
        <v>8.0000000000000002E-3</v>
      </c>
      <c r="E2872" s="109">
        <v>1.0999999999999999E-2</v>
      </c>
      <c r="F2872" s="109">
        <v>1.2E-2</v>
      </c>
      <c r="G2872" s="130">
        <v>0</v>
      </c>
      <c r="H2872" s="71">
        <v>8.4</v>
      </c>
      <c r="I2872" s="71">
        <v>11</v>
      </c>
      <c r="J2872" s="71">
        <v>13.4</v>
      </c>
      <c r="K2872" s="121">
        <v>8.6999999999999994E-3</v>
      </c>
      <c r="L2872" s="121">
        <v>-7.0000000000000001E-3</v>
      </c>
      <c r="M2872" s="75" t="s">
        <v>146</v>
      </c>
      <c r="N2872" s="75" t="b">
        <v>1</v>
      </c>
      <c r="O2872" s="75" t="s">
        <v>145</v>
      </c>
      <c r="P2872" s="75">
        <v>2014</v>
      </c>
      <c r="Q2872" s="107">
        <f t="shared" si="83"/>
        <v>2015</v>
      </c>
      <c r="R2872" s="107">
        <v>2</v>
      </c>
      <c r="S2872" s="43">
        <v>215097</v>
      </c>
      <c r="T2872" s="74">
        <v>42311</v>
      </c>
    </row>
    <row r="2873" spans="1:20" x14ac:dyDescent="0.3">
      <c r="A2873" s="42">
        <v>42321</v>
      </c>
      <c r="B2873" s="37">
        <v>20151113</v>
      </c>
      <c r="C2873" s="109">
        <v>2.23E-2</v>
      </c>
      <c r="D2873" s="109">
        <v>8.0000000000000002E-3</v>
      </c>
      <c r="E2873" s="109">
        <v>1.0999999999999999E-2</v>
      </c>
      <c r="F2873" s="109">
        <v>1.2E-2</v>
      </c>
      <c r="G2873" s="130">
        <v>0</v>
      </c>
      <c r="H2873" s="71">
        <v>8.4</v>
      </c>
      <c r="I2873" s="71">
        <v>11</v>
      </c>
      <c r="J2873" s="71">
        <v>13.4</v>
      </c>
      <c r="K2873" s="121">
        <v>8.199999999999999E-3</v>
      </c>
      <c r="L2873" s="121">
        <v>-7.0000000000000001E-3</v>
      </c>
      <c r="M2873" s="75" t="s">
        <v>146</v>
      </c>
      <c r="N2873" s="75" t="b">
        <v>1</v>
      </c>
      <c r="O2873" s="75" t="s">
        <v>145</v>
      </c>
      <c r="P2873" s="75">
        <v>2014</v>
      </c>
      <c r="Q2873" s="107">
        <f t="shared" si="83"/>
        <v>2015</v>
      </c>
      <c r="R2873" s="107">
        <v>2</v>
      </c>
      <c r="S2873" s="43">
        <v>215097</v>
      </c>
      <c r="T2873" s="74">
        <v>42311</v>
      </c>
    </row>
    <row r="2874" spans="1:20" x14ac:dyDescent="0.3">
      <c r="A2874" s="42">
        <v>42322</v>
      </c>
      <c r="B2874" s="37">
        <v>20151114</v>
      </c>
      <c r="C2874" s="109">
        <v>2.23E-2</v>
      </c>
      <c r="D2874" s="109">
        <v>8.0000000000000002E-3</v>
      </c>
      <c r="E2874" s="109">
        <v>1.0999999999999999E-2</v>
      </c>
      <c r="F2874" s="109">
        <v>1.2E-2</v>
      </c>
      <c r="G2874" s="130">
        <v>0</v>
      </c>
      <c r="H2874" s="71">
        <v>8.4</v>
      </c>
      <c r="I2874" s="71">
        <v>11</v>
      </c>
      <c r="J2874" s="71">
        <v>13.4</v>
      </c>
      <c r="K2874" s="121">
        <v>8.199999999999999E-3</v>
      </c>
      <c r="L2874" s="121">
        <v>-7.0000000000000001E-3</v>
      </c>
      <c r="M2874" s="75" t="s">
        <v>146</v>
      </c>
      <c r="N2874" s="75" t="b">
        <v>1</v>
      </c>
      <c r="O2874" s="75" t="s">
        <v>145</v>
      </c>
      <c r="P2874" s="75">
        <v>2014</v>
      </c>
      <c r="Q2874" s="107">
        <f t="shared" si="83"/>
        <v>2015</v>
      </c>
      <c r="R2874" s="107">
        <v>2</v>
      </c>
      <c r="S2874" s="43">
        <v>215097</v>
      </c>
      <c r="T2874" s="74">
        <v>42311</v>
      </c>
    </row>
    <row r="2875" spans="1:20" x14ac:dyDescent="0.3">
      <c r="A2875" s="42">
        <v>42323</v>
      </c>
      <c r="B2875" s="37">
        <v>20151115</v>
      </c>
      <c r="C2875" s="109">
        <v>2.23E-2</v>
      </c>
      <c r="D2875" s="109">
        <v>8.0000000000000002E-3</v>
      </c>
      <c r="E2875" s="109">
        <v>1.0999999999999999E-2</v>
      </c>
      <c r="F2875" s="109">
        <v>1.2E-2</v>
      </c>
      <c r="G2875" s="130">
        <v>0</v>
      </c>
      <c r="H2875" s="71">
        <v>8.4</v>
      </c>
      <c r="I2875" s="71">
        <v>11</v>
      </c>
      <c r="J2875" s="71">
        <v>13.4</v>
      </c>
      <c r="K2875" s="121">
        <v>8.199999999999999E-3</v>
      </c>
      <c r="L2875" s="121">
        <v>-7.0000000000000001E-3</v>
      </c>
      <c r="M2875" s="75" t="s">
        <v>146</v>
      </c>
      <c r="N2875" s="75" t="b">
        <v>1</v>
      </c>
      <c r="O2875" s="75" t="s">
        <v>145</v>
      </c>
      <c r="P2875" s="75">
        <v>2014</v>
      </c>
      <c r="Q2875" s="107">
        <f t="shared" si="83"/>
        <v>2015</v>
      </c>
      <c r="R2875" s="107">
        <v>2</v>
      </c>
      <c r="S2875" s="43">
        <v>215097</v>
      </c>
      <c r="T2875" s="74">
        <v>42311</v>
      </c>
    </row>
    <row r="2876" spans="1:20" x14ac:dyDescent="0.3">
      <c r="A2876" s="42">
        <v>42324</v>
      </c>
      <c r="B2876" s="37">
        <v>20151116</v>
      </c>
      <c r="C2876" s="109">
        <v>2.23E-2</v>
      </c>
      <c r="D2876" s="109">
        <v>8.0000000000000002E-3</v>
      </c>
      <c r="E2876" s="109">
        <v>1.0999999999999999E-2</v>
      </c>
      <c r="F2876" s="109">
        <v>1.2E-2</v>
      </c>
      <c r="G2876" s="130">
        <v>0</v>
      </c>
      <c r="H2876" s="71">
        <v>8.4</v>
      </c>
      <c r="I2876" s="71">
        <v>11</v>
      </c>
      <c r="J2876" s="71">
        <v>13.4</v>
      </c>
      <c r="K2876" s="121">
        <v>8.199999999999999E-3</v>
      </c>
      <c r="L2876" s="121">
        <v>-7.0000000000000001E-3</v>
      </c>
      <c r="M2876" s="75" t="s">
        <v>146</v>
      </c>
      <c r="N2876" s="75" t="b">
        <v>1</v>
      </c>
      <c r="O2876" s="75" t="s">
        <v>145</v>
      </c>
      <c r="P2876" s="75">
        <v>2014</v>
      </c>
      <c r="Q2876" s="107">
        <f t="shared" si="83"/>
        <v>2015</v>
      </c>
      <c r="R2876" s="107">
        <v>2</v>
      </c>
      <c r="S2876" s="43">
        <v>215097</v>
      </c>
      <c r="T2876" s="74">
        <v>42311</v>
      </c>
    </row>
    <row r="2877" spans="1:20" x14ac:dyDescent="0.3">
      <c r="A2877" s="42">
        <v>42325</v>
      </c>
      <c r="B2877" s="37">
        <v>20151117</v>
      </c>
      <c r="C2877" s="109">
        <v>2.2400000000000003E-2</v>
      </c>
      <c r="D2877" s="109">
        <v>8.0000000000000002E-3</v>
      </c>
      <c r="E2877" s="109">
        <v>1.0999999999999999E-2</v>
      </c>
      <c r="F2877" s="109">
        <v>1.2E-2</v>
      </c>
      <c r="G2877" s="130">
        <v>0</v>
      </c>
      <c r="H2877" s="71">
        <v>8.4</v>
      </c>
      <c r="I2877" s="71">
        <v>11</v>
      </c>
      <c r="J2877" s="71">
        <v>13.4</v>
      </c>
      <c r="K2877" s="121">
        <v>8.199999999999999E-3</v>
      </c>
      <c r="L2877" s="121">
        <v>-7.0000000000000001E-3</v>
      </c>
      <c r="M2877" s="75" t="s">
        <v>146</v>
      </c>
      <c r="N2877" s="75" t="b">
        <v>1</v>
      </c>
      <c r="O2877" s="75" t="s">
        <v>145</v>
      </c>
      <c r="P2877" s="75">
        <v>2014</v>
      </c>
      <c r="Q2877" s="107">
        <f t="shared" si="83"/>
        <v>2015</v>
      </c>
      <c r="R2877" s="107">
        <v>2</v>
      </c>
      <c r="S2877" s="43">
        <v>215097</v>
      </c>
      <c r="T2877" s="74">
        <v>42311</v>
      </c>
    </row>
    <row r="2878" spans="1:20" x14ac:dyDescent="0.3">
      <c r="A2878" s="42">
        <v>42326</v>
      </c>
      <c r="B2878" s="37">
        <v>20151118</v>
      </c>
      <c r="C2878" s="109">
        <v>2.2400000000000003E-2</v>
      </c>
      <c r="D2878" s="109">
        <v>8.0000000000000002E-3</v>
      </c>
      <c r="E2878" s="109">
        <v>1.0999999999999999E-2</v>
      </c>
      <c r="F2878" s="109">
        <v>1.2E-2</v>
      </c>
      <c r="G2878" s="130">
        <v>0</v>
      </c>
      <c r="H2878" s="71">
        <v>8.4</v>
      </c>
      <c r="I2878" s="71">
        <v>11</v>
      </c>
      <c r="J2878" s="71">
        <v>13.4</v>
      </c>
      <c r="K2878" s="121">
        <v>8.199999999999999E-3</v>
      </c>
      <c r="L2878" s="121">
        <v>-7.0000000000000001E-3</v>
      </c>
      <c r="M2878" s="75" t="s">
        <v>146</v>
      </c>
      <c r="N2878" s="75" t="b">
        <v>1</v>
      </c>
      <c r="O2878" s="75" t="s">
        <v>145</v>
      </c>
      <c r="P2878" s="75">
        <v>2014</v>
      </c>
      <c r="Q2878" s="107">
        <f t="shared" si="83"/>
        <v>2015</v>
      </c>
      <c r="R2878" s="107">
        <v>2</v>
      </c>
      <c r="S2878" s="43">
        <v>215097</v>
      </c>
      <c r="T2878" s="74">
        <v>42311</v>
      </c>
    </row>
    <row r="2879" spans="1:20" x14ac:dyDescent="0.3">
      <c r="A2879" s="42">
        <v>42327</v>
      </c>
      <c r="B2879" s="37">
        <v>20151119</v>
      </c>
      <c r="C2879" s="109">
        <v>2.2000000000000002E-2</v>
      </c>
      <c r="D2879" s="109">
        <v>8.0000000000000002E-3</v>
      </c>
      <c r="E2879" s="109">
        <v>1.0999999999999999E-2</v>
      </c>
      <c r="F2879" s="109">
        <v>1.2E-2</v>
      </c>
      <c r="G2879" s="130">
        <v>0</v>
      </c>
      <c r="H2879" s="71">
        <v>8.4</v>
      </c>
      <c r="I2879" s="71">
        <v>11</v>
      </c>
      <c r="J2879" s="71">
        <v>13.4</v>
      </c>
      <c r="K2879" s="121">
        <v>7.8000000000000005E-3</v>
      </c>
      <c r="L2879" s="121">
        <v>-7.0000000000000001E-3</v>
      </c>
      <c r="M2879" s="75" t="s">
        <v>146</v>
      </c>
      <c r="N2879" s="75" t="b">
        <v>1</v>
      </c>
      <c r="O2879" s="75" t="s">
        <v>145</v>
      </c>
      <c r="P2879" s="75">
        <v>2014</v>
      </c>
      <c r="Q2879" s="107">
        <f t="shared" si="83"/>
        <v>2015</v>
      </c>
      <c r="R2879" s="107">
        <v>2</v>
      </c>
      <c r="S2879" s="43">
        <v>215097</v>
      </c>
      <c r="T2879" s="74">
        <v>42311</v>
      </c>
    </row>
    <row r="2880" spans="1:20" x14ac:dyDescent="0.3">
      <c r="A2880" s="42">
        <v>42328</v>
      </c>
      <c r="B2880" s="37">
        <v>20151120</v>
      </c>
      <c r="C2880" s="109">
        <v>2.2099999999999998E-2</v>
      </c>
      <c r="D2880" s="109">
        <v>8.0000000000000002E-3</v>
      </c>
      <c r="E2880" s="109">
        <v>1.0999999999999999E-2</v>
      </c>
      <c r="F2880" s="109">
        <v>1.2E-2</v>
      </c>
      <c r="G2880" s="130">
        <v>0</v>
      </c>
      <c r="H2880" s="71">
        <v>8.4</v>
      </c>
      <c r="I2880" s="71">
        <v>11</v>
      </c>
      <c r="J2880" s="71">
        <v>13.4</v>
      </c>
      <c r="K2880" s="121">
        <v>7.8000000000000005E-3</v>
      </c>
      <c r="L2880" s="121">
        <v>-7.0000000000000001E-3</v>
      </c>
      <c r="M2880" s="75" t="s">
        <v>146</v>
      </c>
      <c r="N2880" s="75" t="b">
        <v>1</v>
      </c>
      <c r="O2880" s="75" t="s">
        <v>145</v>
      </c>
      <c r="P2880" s="75">
        <v>2014</v>
      </c>
      <c r="Q2880" s="107">
        <f t="shared" si="83"/>
        <v>2015</v>
      </c>
      <c r="R2880" s="107">
        <v>2</v>
      </c>
      <c r="S2880" s="43">
        <v>215097</v>
      </c>
      <c r="T2880" s="74">
        <v>42311</v>
      </c>
    </row>
    <row r="2881" spans="1:20" x14ac:dyDescent="0.3">
      <c r="A2881" s="42">
        <v>42329</v>
      </c>
      <c r="B2881" s="37">
        <v>20151121</v>
      </c>
      <c r="C2881" s="109">
        <v>2.2099999999999998E-2</v>
      </c>
      <c r="D2881" s="109">
        <v>8.0000000000000002E-3</v>
      </c>
      <c r="E2881" s="109">
        <v>1.0999999999999999E-2</v>
      </c>
      <c r="F2881" s="109">
        <v>1.2E-2</v>
      </c>
      <c r="G2881" s="130">
        <v>0</v>
      </c>
      <c r="H2881" s="71">
        <v>8.4</v>
      </c>
      <c r="I2881" s="71">
        <v>11</v>
      </c>
      <c r="J2881" s="71">
        <v>13.4</v>
      </c>
      <c r="K2881" s="121">
        <v>7.8000000000000005E-3</v>
      </c>
      <c r="L2881" s="121">
        <v>-7.0000000000000001E-3</v>
      </c>
      <c r="M2881" s="75" t="s">
        <v>146</v>
      </c>
      <c r="N2881" s="75" t="b">
        <v>1</v>
      </c>
      <c r="O2881" s="75" t="s">
        <v>145</v>
      </c>
      <c r="P2881" s="75">
        <v>2014</v>
      </c>
      <c r="Q2881" s="107">
        <f t="shared" si="83"/>
        <v>2015</v>
      </c>
      <c r="R2881" s="107">
        <v>2</v>
      </c>
      <c r="S2881" s="43">
        <v>215097</v>
      </c>
      <c r="T2881" s="74">
        <v>42311</v>
      </c>
    </row>
    <row r="2882" spans="1:20" x14ac:dyDescent="0.3">
      <c r="A2882" s="42">
        <v>42330</v>
      </c>
      <c r="B2882" s="37">
        <v>20151122</v>
      </c>
      <c r="C2882" s="109">
        <v>2.2099999999999998E-2</v>
      </c>
      <c r="D2882" s="109">
        <v>8.0000000000000002E-3</v>
      </c>
      <c r="E2882" s="109">
        <v>1.0999999999999999E-2</v>
      </c>
      <c r="F2882" s="109">
        <v>1.2E-2</v>
      </c>
      <c r="G2882" s="130">
        <v>0</v>
      </c>
      <c r="H2882" s="71">
        <v>8.4</v>
      </c>
      <c r="I2882" s="71">
        <v>11</v>
      </c>
      <c r="J2882" s="71">
        <v>13.4</v>
      </c>
      <c r="K2882" s="121">
        <v>7.8000000000000005E-3</v>
      </c>
      <c r="L2882" s="121">
        <v>-7.0000000000000001E-3</v>
      </c>
      <c r="M2882" s="75" t="s">
        <v>146</v>
      </c>
      <c r="N2882" s="75" t="b">
        <v>1</v>
      </c>
      <c r="O2882" s="75" t="s">
        <v>145</v>
      </c>
      <c r="P2882" s="75">
        <v>2014</v>
      </c>
      <c r="Q2882" s="107">
        <f t="shared" si="83"/>
        <v>2015</v>
      </c>
      <c r="R2882" s="107">
        <v>2</v>
      </c>
      <c r="S2882" s="43">
        <v>215097</v>
      </c>
      <c r="T2882" s="74">
        <v>42311</v>
      </c>
    </row>
    <row r="2883" spans="1:20" x14ac:dyDescent="0.3">
      <c r="A2883" s="42">
        <v>42331</v>
      </c>
      <c r="B2883" s="37">
        <v>20151123</v>
      </c>
      <c r="C2883" s="109">
        <v>2.2099999999999998E-2</v>
      </c>
      <c r="D2883" s="109">
        <v>8.0000000000000002E-3</v>
      </c>
      <c r="E2883" s="109">
        <v>1.0999999999999999E-2</v>
      </c>
      <c r="F2883" s="109">
        <v>1.2E-2</v>
      </c>
      <c r="G2883" s="130">
        <v>0</v>
      </c>
      <c r="H2883" s="71">
        <v>8.4</v>
      </c>
      <c r="I2883" s="71">
        <v>11</v>
      </c>
      <c r="J2883" s="71">
        <v>13.4</v>
      </c>
      <c r="K2883" s="121">
        <v>7.8000000000000005E-3</v>
      </c>
      <c r="L2883" s="121">
        <v>-7.0000000000000001E-3</v>
      </c>
      <c r="M2883" s="75" t="s">
        <v>146</v>
      </c>
      <c r="N2883" s="75" t="b">
        <v>1</v>
      </c>
      <c r="O2883" s="75" t="s">
        <v>145</v>
      </c>
      <c r="P2883" s="75">
        <v>2014</v>
      </c>
      <c r="Q2883" s="107">
        <f t="shared" si="83"/>
        <v>2015</v>
      </c>
      <c r="R2883" s="107">
        <v>2</v>
      </c>
      <c r="S2883" s="43">
        <v>215097</v>
      </c>
      <c r="T2883" s="74">
        <v>42311</v>
      </c>
    </row>
    <row r="2884" spans="1:20" x14ac:dyDescent="0.3">
      <c r="A2884" s="42">
        <v>42332</v>
      </c>
      <c r="B2884" s="37">
        <v>20151124</v>
      </c>
      <c r="C2884" s="109">
        <v>2.2000000000000002E-2</v>
      </c>
      <c r="D2884" s="109">
        <v>8.0000000000000002E-3</v>
      </c>
      <c r="E2884" s="109">
        <v>1.0999999999999999E-2</v>
      </c>
      <c r="F2884" s="109">
        <v>1.2E-2</v>
      </c>
      <c r="G2884" s="130">
        <v>0</v>
      </c>
      <c r="H2884" s="71">
        <v>8.4</v>
      </c>
      <c r="I2884" s="71">
        <v>11</v>
      </c>
      <c r="J2884" s="71">
        <v>13.4</v>
      </c>
      <c r="K2884" s="121">
        <v>7.7000000000000002E-3</v>
      </c>
      <c r="L2884" s="121">
        <v>-7.0000000000000001E-3</v>
      </c>
      <c r="M2884" s="75" t="s">
        <v>146</v>
      </c>
      <c r="N2884" s="75" t="b">
        <v>1</v>
      </c>
      <c r="O2884" s="75" t="s">
        <v>145</v>
      </c>
      <c r="P2884" s="75">
        <v>2014</v>
      </c>
      <c r="Q2884" s="107">
        <f t="shared" si="83"/>
        <v>2015</v>
      </c>
      <c r="R2884" s="107">
        <v>2</v>
      </c>
      <c r="S2884" s="43">
        <v>215097</v>
      </c>
      <c r="T2884" s="74">
        <v>42311</v>
      </c>
    </row>
    <row r="2885" spans="1:20" x14ac:dyDescent="0.3">
      <c r="A2885" s="42">
        <v>42333</v>
      </c>
      <c r="B2885" s="37">
        <v>20151125</v>
      </c>
      <c r="C2885" s="109">
        <v>2.1700000000000001E-2</v>
      </c>
      <c r="D2885" s="109">
        <v>8.0000000000000002E-3</v>
      </c>
      <c r="E2885" s="109">
        <v>1.0999999999999999E-2</v>
      </c>
      <c r="F2885" s="109">
        <v>1.2E-2</v>
      </c>
      <c r="G2885" s="130">
        <v>0</v>
      </c>
      <c r="H2885" s="71">
        <v>8.4</v>
      </c>
      <c r="I2885" s="71">
        <v>11</v>
      </c>
      <c r="J2885" s="71">
        <v>13.4</v>
      </c>
      <c r="K2885" s="121">
        <v>7.4999999999999997E-3</v>
      </c>
      <c r="L2885" s="121">
        <v>-7.0000000000000001E-3</v>
      </c>
      <c r="M2885" s="75" t="s">
        <v>146</v>
      </c>
      <c r="N2885" s="75" t="b">
        <v>1</v>
      </c>
      <c r="O2885" s="75" t="s">
        <v>145</v>
      </c>
      <c r="P2885" s="75">
        <v>2014</v>
      </c>
      <c r="Q2885" s="107">
        <f t="shared" si="83"/>
        <v>2015</v>
      </c>
      <c r="R2885" s="107">
        <v>2</v>
      </c>
      <c r="S2885" s="43">
        <v>215097</v>
      </c>
      <c r="T2885" s="74">
        <v>42311</v>
      </c>
    </row>
    <row r="2886" spans="1:20" x14ac:dyDescent="0.3">
      <c r="A2886" s="42">
        <v>42334</v>
      </c>
      <c r="B2886" s="37">
        <v>20151126</v>
      </c>
      <c r="C2886" s="109">
        <v>2.1600000000000001E-2</v>
      </c>
      <c r="D2886" s="109">
        <v>8.0000000000000002E-3</v>
      </c>
      <c r="E2886" s="109">
        <v>1.0999999999999999E-2</v>
      </c>
      <c r="F2886" s="109">
        <v>1.2E-2</v>
      </c>
      <c r="G2886" s="130">
        <v>0</v>
      </c>
      <c r="H2886" s="71">
        <v>8.4</v>
      </c>
      <c r="I2886" s="71">
        <v>11</v>
      </c>
      <c r="J2886" s="71">
        <v>13.4</v>
      </c>
      <c r="K2886" s="121">
        <v>7.4000000000000003E-3</v>
      </c>
      <c r="L2886" s="121">
        <v>-7.0000000000000001E-3</v>
      </c>
      <c r="M2886" s="75" t="s">
        <v>146</v>
      </c>
      <c r="N2886" s="75" t="b">
        <v>1</v>
      </c>
      <c r="O2886" s="75" t="s">
        <v>145</v>
      </c>
      <c r="P2886" s="75">
        <v>2014</v>
      </c>
      <c r="Q2886" s="107">
        <f t="shared" si="83"/>
        <v>2015</v>
      </c>
      <c r="R2886" s="107">
        <v>2</v>
      </c>
      <c r="S2886" s="43">
        <v>215097</v>
      </c>
      <c r="T2886" s="74">
        <v>42311</v>
      </c>
    </row>
    <row r="2887" spans="1:20" x14ac:dyDescent="0.3">
      <c r="A2887" s="42">
        <v>42335</v>
      </c>
      <c r="B2887" s="37">
        <v>20151127</v>
      </c>
      <c r="C2887" s="109">
        <v>2.1700000000000001E-2</v>
      </c>
      <c r="D2887" s="109">
        <v>8.0000000000000002E-3</v>
      </c>
      <c r="E2887" s="109">
        <v>1.0999999999999999E-2</v>
      </c>
      <c r="F2887" s="109">
        <v>1.2E-2</v>
      </c>
      <c r="G2887" s="130">
        <v>0</v>
      </c>
      <c r="H2887" s="71">
        <v>8.4</v>
      </c>
      <c r="I2887" s="71">
        <v>11</v>
      </c>
      <c r="J2887" s="71">
        <v>13.4</v>
      </c>
      <c r="K2887" s="121">
        <v>7.4999999999999997E-3</v>
      </c>
      <c r="L2887" s="121">
        <v>-7.0000000000000001E-3</v>
      </c>
      <c r="M2887" s="75" t="s">
        <v>146</v>
      </c>
      <c r="N2887" s="75" t="b">
        <v>1</v>
      </c>
      <c r="O2887" s="75" t="s">
        <v>145</v>
      </c>
      <c r="P2887" s="75">
        <v>2014</v>
      </c>
      <c r="Q2887" s="107">
        <f t="shared" si="83"/>
        <v>2015</v>
      </c>
      <c r="R2887" s="107">
        <v>2</v>
      </c>
      <c r="S2887" s="43">
        <v>215097</v>
      </c>
      <c r="T2887" s="74">
        <v>42311</v>
      </c>
    </row>
    <row r="2888" spans="1:20" x14ac:dyDescent="0.3">
      <c r="A2888" s="42">
        <v>42336</v>
      </c>
      <c r="B2888" s="37">
        <v>20151128</v>
      </c>
      <c r="C2888" s="109">
        <v>2.1700000000000001E-2</v>
      </c>
      <c r="D2888" s="109">
        <v>8.0000000000000002E-3</v>
      </c>
      <c r="E2888" s="109">
        <v>1.0999999999999999E-2</v>
      </c>
      <c r="F2888" s="109">
        <v>1.2E-2</v>
      </c>
      <c r="G2888" s="130">
        <v>0</v>
      </c>
      <c r="H2888" s="71">
        <v>8.4</v>
      </c>
      <c r="I2888" s="71">
        <v>11</v>
      </c>
      <c r="J2888" s="71">
        <v>13.4</v>
      </c>
      <c r="K2888" s="121">
        <v>7.4999999999999997E-3</v>
      </c>
      <c r="L2888" s="121">
        <v>-7.0000000000000001E-3</v>
      </c>
      <c r="M2888" s="75" t="s">
        <v>146</v>
      </c>
      <c r="N2888" s="75" t="b">
        <v>1</v>
      </c>
      <c r="O2888" s="75" t="s">
        <v>145</v>
      </c>
      <c r="P2888" s="75">
        <v>2014</v>
      </c>
      <c r="Q2888" s="107">
        <f t="shared" si="83"/>
        <v>2015</v>
      </c>
      <c r="R2888" s="107">
        <v>2</v>
      </c>
      <c r="S2888" s="43">
        <v>215097</v>
      </c>
      <c r="T2888" s="74">
        <v>42311</v>
      </c>
    </row>
    <row r="2889" spans="1:20" x14ac:dyDescent="0.3">
      <c r="A2889" s="42">
        <v>42337</v>
      </c>
      <c r="B2889" s="37">
        <v>20151129</v>
      </c>
      <c r="C2889" s="109">
        <v>2.1700000000000001E-2</v>
      </c>
      <c r="D2889" s="109">
        <v>8.0000000000000002E-3</v>
      </c>
      <c r="E2889" s="109">
        <v>1.0999999999999999E-2</v>
      </c>
      <c r="F2889" s="109">
        <v>1.2E-2</v>
      </c>
      <c r="G2889" s="130">
        <v>0</v>
      </c>
      <c r="H2889" s="71">
        <v>8.4</v>
      </c>
      <c r="I2889" s="71">
        <v>11</v>
      </c>
      <c r="J2889" s="71">
        <v>13.4</v>
      </c>
      <c r="K2889" s="121">
        <v>7.4999999999999997E-3</v>
      </c>
      <c r="L2889" s="121">
        <v>-7.0000000000000001E-3</v>
      </c>
      <c r="M2889" s="75" t="s">
        <v>146</v>
      </c>
      <c r="N2889" s="75" t="b">
        <v>1</v>
      </c>
      <c r="O2889" s="75" t="s">
        <v>145</v>
      </c>
      <c r="P2889" s="75">
        <v>2014</v>
      </c>
      <c r="Q2889" s="107">
        <f t="shared" si="83"/>
        <v>2015</v>
      </c>
      <c r="R2889" s="107">
        <v>2</v>
      </c>
      <c r="S2889" s="43">
        <v>215097</v>
      </c>
      <c r="T2889" s="74">
        <v>42311</v>
      </c>
    </row>
    <row r="2890" spans="1:20" x14ac:dyDescent="0.3">
      <c r="A2890" s="42">
        <v>42338</v>
      </c>
      <c r="B2890" s="37">
        <v>20151130</v>
      </c>
      <c r="C2890" s="109">
        <v>2.1700000000000001E-2</v>
      </c>
      <c r="D2890" s="109">
        <v>8.0000000000000002E-3</v>
      </c>
      <c r="E2890" s="109">
        <v>1.0999999999999999E-2</v>
      </c>
      <c r="F2890" s="109">
        <v>1.2E-2</v>
      </c>
      <c r="G2890" s="130">
        <v>0</v>
      </c>
      <c r="H2890" s="71">
        <v>8.4</v>
      </c>
      <c r="I2890" s="71">
        <v>11</v>
      </c>
      <c r="J2890" s="71">
        <v>13.4</v>
      </c>
      <c r="K2890" s="121">
        <v>7.4000000000000003E-3</v>
      </c>
      <c r="L2890" s="121">
        <v>-7.0000000000000001E-3</v>
      </c>
      <c r="M2890" s="75" t="s">
        <v>146</v>
      </c>
      <c r="N2890" s="75" t="b">
        <v>1</v>
      </c>
      <c r="O2890" s="75" t="s">
        <v>145</v>
      </c>
      <c r="P2890" s="75">
        <v>2014</v>
      </c>
      <c r="Q2890" s="107">
        <f t="shared" si="83"/>
        <v>2015</v>
      </c>
      <c r="R2890" s="107">
        <v>2</v>
      </c>
      <c r="S2890" s="43">
        <v>215097</v>
      </c>
      <c r="T2890" s="74">
        <v>42311</v>
      </c>
    </row>
    <row r="2891" spans="1:20" x14ac:dyDescent="0.3">
      <c r="A2891" s="42">
        <v>42339</v>
      </c>
      <c r="B2891" s="37">
        <v>20151201</v>
      </c>
      <c r="C2891" s="109">
        <v>2.1000000000000001E-2</v>
      </c>
      <c r="D2891" s="109">
        <v>8.0000000000000002E-3</v>
      </c>
      <c r="E2891" s="109">
        <v>1.0999999999999999E-2</v>
      </c>
      <c r="F2891" s="109">
        <v>1.2E-2</v>
      </c>
      <c r="G2891" s="130">
        <v>0</v>
      </c>
      <c r="H2891" s="71">
        <v>8.4</v>
      </c>
      <c r="I2891" s="71">
        <v>11</v>
      </c>
      <c r="J2891" s="71">
        <v>13.4</v>
      </c>
      <c r="K2891" s="121">
        <v>6.8000000000000005E-3</v>
      </c>
      <c r="L2891" s="121">
        <v>-7.0000000000000001E-3</v>
      </c>
      <c r="M2891" s="75" t="s">
        <v>146</v>
      </c>
      <c r="N2891" s="75" t="b">
        <v>1</v>
      </c>
      <c r="O2891" s="75" t="s">
        <v>145</v>
      </c>
      <c r="P2891" s="75">
        <v>2014</v>
      </c>
      <c r="Q2891" s="107">
        <f t="shared" si="83"/>
        <v>2015</v>
      </c>
      <c r="R2891" s="107">
        <v>2</v>
      </c>
      <c r="S2891" s="43">
        <v>215097</v>
      </c>
      <c r="T2891" s="74">
        <v>42311</v>
      </c>
    </row>
    <row r="2892" spans="1:20" x14ac:dyDescent="0.3">
      <c r="A2892" s="42">
        <v>42340</v>
      </c>
      <c r="B2892" s="37">
        <v>20151202</v>
      </c>
      <c r="C2892" s="109">
        <v>2.1099999999999997E-2</v>
      </c>
      <c r="D2892" s="109">
        <v>8.0000000000000002E-3</v>
      </c>
      <c r="E2892" s="109">
        <v>1.0999999999999999E-2</v>
      </c>
      <c r="F2892" s="109">
        <v>1.2E-2</v>
      </c>
      <c r="G2892" s="130">
        <v>0</v>
      </c>
      <c r="H2892" s="71">
        <v>8.4</v>
      </c>
      <c r="I2892" s="71">
        <v>11</v>
      </c>
      <c r="J2892" s="71">
        <v>13.4</v>
      </c>
      <c r="K2892" s="121">
        <v>6.8999999999999999E-3</v>
      </c>
      <c r="L2892" s="121">
        <v>-7.0000000000000001E-3</v>
      </c>
      <c r="M2892" s="75" t="s">
        <v>146</v>
      </c>
      <c r="N2892" s="75" t="b">
        <v>1</v>
      </c>
      <c r="O2892" s="75" t="s">
        <v>145</v>
      </c>
      <c r="P2892" s="75">
        <v>2014</v>
      </c>
      <c r="Q2892" s="107">
        <f t="shared" si="83"/>
        <v>2015</v>
      </c>
      <c r="R2892" s="107">
        <v>2</v>
      </c>
      <c r="S2892" s="43">
        <v>215097</v>
      </c>
      <c r="T2892" s="74">
        <v>42311</v>
      </c>
    </row>
    <row r="2893" spans="1:20" x14ac:dyDescent="0.3">
      <c r="A2893" s="42">
        <v>42341</v>
      </c>
      <c r="B2893" s="37">
        <v>20151203</v>
      </c>
      <c r="C2893" s="109">
        <v>2.2099999999999998E-2</v>
      </c>
      <c r="D2893" s="109">
        <v>8.0000000000000002E-3</v>
      </c>
      <c r="E2893" s="109">
        <v>1.0999999999999999E-2</v>
      </c>
      <c r="F2893" s="109">
        <v>1.2E-2</v>
      </c>
      <c r="G2893" s="130">
        <v>0</v>
      </c>
      <c r="H2893" s="71">
        <v>8.4</v>
      </c>
      <c r="I2893" s="71">
        <v>11</v>
      </c>
      <c r="J2893" s="71">
        <v>13.4</v>
      </c>
      <c r="K2893" s="121">
        <v>7.3000000000000001E-3</v>
      </c>
      <c r="L2893" s="121">
        <v>-7.0000000000000001E-3</v>
      </c>
      <c r="M2893" s="75" t="s">
        <v>146</v>
      </c>
      <c r="N2893" s="75" t="b">
        <v>1</v>
      </c>
      <c r="O2893" s="75" t="s">
        <v>145</v>
      </c>
      <c r="P2893" s="75">
        <v>2014</v>
      </c>
      <c r="Q2893" s="107">
        <f t="shared" si="83"/>
        <v>2015</v>
      </c>
      <c r="R2893" s="107">
        <v>2</v>
      </c>
      <c r="S2893" s="43">
        <v>215097</v>
      </c>
      <c r="T2893" s="74">
        <v>42311</v>
      </c>
    </row>
    <row r="2894" spans="1:20" x14ac:dyDescent="0.3">
      <c r="A2894" s="42">
        <v>42342</v>
      </c>
      <c r="B2894" s="37">
        <v>20151204</v>
      </c>
      <c r="C2894" s="109">
        <v>2.1700000000000001E-2</v>
      </c>
      <c r="D2894" s="109">
        <v>8.0000000000000002E-3</v>
      </c>
      <c r="E2894" s="109">
        <v>1.0999999999999999E-2</v>
      </c>
      <c r="F2894" s="109">
        <v>1.2E-2</v>
      </c>
      <c r="G2894" s="130">
        <v>0</v>
      </c>
      <c r="H2894" s="71">
        <v>8.4</v>
      </c>
      <c r="I2894" s="71">
        <v>11</v>
      </c>
      <c r="J2894" s="71">
        <v>13.4</v>
      </c>
      <c r="K2894" s="121">
        <v>7.0999999999999995E-3</v>
      </c>
      <c r="L2894" s="121">
        <v>-7.0000000000000001E-3</v>
      </c>
      <c r="M2894" s="75" t="s">
        <v>146</v>
      </c>
      <c r="N2894" s="75" t="b">
        <v>1</v>
      </c>
      <c r="O2894" s="75" t="s">
        <v>145</v>
      </c>
      <c r="P2894" s="75">
        <v>2014</v>
      </c>
      <c r="Q2894" s="107">
        <f t="shared" si="83"/>
        <v>2015</v>
      </c>
      <c r="R2894" s="107">
        <v>2</v>
      </c>
      <c r="S2894" s="43">
        <v>215097</v>
      </c>
      <c r="T2894" s="74">
        <v>42311</v>
      </c>
    </row>
    <row r="2895" spans="1:20" x14ac:dyDescent="0.3">
      <c r="A2895" s="42">
        <v>42343</v>
      </c>
      <c r="B2895" s="37">
        <v>20151205</v>
      </c>
      <c r="C2895" s="109">
        <v>2.1700000000000001E-2</v>
      </c>
      <c r="D2895" s="109">
        <v>8.0000000000000002E-3</v>
      </c>
      <c r="E2895" s="109">
        <v>1.0999999999999999E-2</v>
      </c>
      <c r="F2895" s="109">
        <v>1.2E-2</v>
      </c>
      <c r="G2895" s="130">
        <v>0</v>
      </c>
      <c r="H2895" s="71">
        <v>8.4</v>
      </c>
      <c r="I2895" s="71">
        <v>11</v>
      </c>
      <c r="J2895" s="71">
        <v>13.4</v>
      </c>
      <c r="K2895" s="121">
        <v>7.0999999999999995E-3</v>
      </c>
      <c r="L2895" s="121">
        <v>-7.0000000000000001E-3</v>
      </c>
      <c r="M2895" s="75" t="s">
        <v>146</v>
      </c>
      <c r="N2895" s="75" t="b">
        <v>1</v>
      </c>
      <c r="O2895" s="75" t="s">
        <v>145</v>
      </c>
      <c r="P2895" s="75">
        <v>2014</v>
      </c>
      <c r="Q2895" s="107">
        <f t="shared" si="83"/>
        <v>2015</v>
      </c>
      <c r="R2895" s="107">
        <v>2</v>
      </c>
      <c r="S2895" s="43">
        <v>215097</v>
      </c>
      <c r="T2895" s="74">
        <v>42311</v>
      </c>
    </row>
    <row r="2896" spans="1:20" x14ac:dyDescent="0.3">
      <c r="A2896" s="42">
        <v>42344</v>
      </c>
      <c r="B2896" s="37">
        <v>20151206</v>
      </c>
      <c r="C2896" s="109">
        <v>2.1700000000000001E-2</v>
      </c>
      <c r="D2896" s="109">
        <v>8.0000000000000002E-3</v>
      </c>
      <c r="E2896" s="109">
        <v>1.0999999999999999E-2</v>
      </c>
      <c r="F2896" s="109">
        <v>1.2E-2</v>
      </c>
      <c r="G2896" s="130">
        <v>0</v>
      </c>
      <c r="H2896" s="71">
        <v>8.4</v>
      </c>
      <c r="I2896" s="71">
        <v>11</v>
      </c>
      <c r="J2896" s="71">
        <v>13.4</v>
      </c>
      <c r="K2896" s="121">
        <v>7.0999999999999995E-3</v>
      </c>
      <c r="L2896" s="121">
        <v>-7.0000000000000001E-3</v>
      </c>
      <c r="M2896" s="75" t="s">
        <v>146</v>
      </c>
      <c r="N2896" s="75" t="b">
        <v>1</v>
      </c>
      <c r="O2896" s="75" t="s">
        <v>145</v>
      </c>
      <c r="P2896" s="75">
        <v>2014</v>
      </c>
      <c r="Q2896" s="107">
        <f t="shared" si="83"/>
        <v>2015</v>
      </c>
      <c r="R2896" s="107">
        <v>2</v>
      </c>
      <c r="S2896" s="43">
        <v>215097</v>
      </c>
      <c r="T2896" s="74">
        <v>42311</v>
      </c>
    </row>
    <row r="2897" spans="1:20" x14ac:dyDescent="0.3">
      <c r="A2897" s="42">
        <v>42345</v>
      </c>
      <c r="B2897" s="37">
        <v>20151207</v>
      </c>
      <c r="C2897" s="109">
        <v>2.1099999999999997E-2</v>
      </c>
      <c r="D2897" s="109">
        <v>8.0000000000000002E-3</v>
      </c>
      <c r="E2897" s="109">
        <v>1.0999999999999999E-2</v>
      </c>
      <c r="F2897" s="109">
        <v>1.2E-2</v>
      </c>
      <c r="G2897" s="130">
        <v>0</v>
      </c>
      <c r="H2897" s="71">
        <v>8.4</v>
      </c>
      <c r="I2897" s="71">
        <v>11</v>
      </c>
      <c r="J2897" s="71">
        <v>13.4</v>
      </c>
      <c r="K2897" s="121">
        <v>6.6E-3</v>
      </c>
      <c r="L2897" s="121">
        <v>-7.0000000000000001E-3</v>
      </c>
      <c r="M2897" s="75" t="s">
        <v>146</v>
      </c>
      <c r="N2897" s="75" t="b">
        <v>1</v>
      </c>
      <c r="O2897" s="75" t="s">
        <v>145</v>
      </c>
      <c r="P2897" s="75">
        <v>2014</v>
      </c>
      <c r="Q2897" s="107">
        <f t="shared" si="83"/>
        <v>2015</v>
      </c>
      <c r="R2897" s="107">
        <v>2</v>
      </c>
      <c r="S2897" s="43">
        <v>215097</v>
      </c>
      <c r="T2897" s="74">
        <v>42311</v>
      </c>
    </row>
    <row r="2898" spans="1:20" x14ac:dyDescent="0.3">
      <c r="A2898" s="42">
        <v>42346</v>
      </c>
      <c r="B2898" s="37">
        <v>20151208</v>
      </c>
      <c r="C2898" s="109">
        <v>2.1099999999999997E-2</v>
      </c>
      <c r="D2898" s="109">
        <v>8.0000000000000002E-3</v>
      </c>
      <c r="E2898" s="109">
        <v>1.0999999999999999E-2</v>
      </c>
      <c r="F2898" s="109">
        <v>1.2E-2</v>
      </c>
      <c r="G2898" s="130">
        <v>0</v>
      </c>
      <c r="H2898" s="71">
        <v>8.4</v>
      </c>
      <c r="I2898" s="71">
        <v>11</v>
      </c>
      <c r="J2898" s="71">
        <v>13.4</v>
      </c>
      <c r="K2898" s="121">
        <v>6.9999999999999993E-3</v>
      </c>
      <c r="L2898" s="121">
        <v>-7.0000000000000001E-3</v>
      </c>
      <c r="M2898" s="75" t="s">
        <v>146</v>
      </c>
      <c r="N2898" s="75" t="b">
        <v>1</v>
      </c>
      <c r="O2898" s="75" t="s">
        <v>145</v>
      </c>
      <c r="P2898" s="75">
        <v>2014</v>
      </c>
      <c r="Q2898" s="107">
        <f t="shared" si="83"/>
        <v>2015</v>
      </c>
      <c r="R2898" s="107">
        <v>2</v>
      </c>
      <c r="S2898" s="43">
        <v>215097</v>
      </c>
      <c r="T2898" s="74">
        <v>42311</v>
      </c>
    </row>
    <row r="2899" spans="1:20" x14ac:dyDescent="0.3">
      <c r="A2899" s="42">
        <v>42347</v>
      </c>
      <c r="B2899" s="37">
        <v>20151209</v>
      </c>
      <c r="C2899" s="109">
        <v>2.1099999999999997E-2</v>
      </c>
      <c r="D2899" s="109">
        <v>8.0000000000000002E-3</v>
      </c>
      <c r="E2899" s="109">
        <v>1.0999999999999999E-2</v>
      </c>
      <c r="F2899" s="109">
        <v>1.2E-2</v>
      </c>
      <c r="G2899" s="130">
        <v>0</v>
      </c>
      <c r="H2899" s="71">
        <v>8.4</v>
      </c>
      <c r="I2899" s="71">
        <v>11</v>
      </c>
      <c r="J2899" s="71">
        <v>13.4</v>
      </c>
      <c r="K2899" s="121">
        <v>7.1999999999999998E-3</v>
      </c>
      <c r="L2899" s="121">
        <v>-7.0000000000000001E-3</v>
      </c>
      <c r="M2899" s="75" t="s">
        <v>146</v>
      </c>
      <c r="N2899" s="75" t="b">
        <v>1</v>
      </c>
      <c r="O2899" s="75" t="s">
        <v>145</v>
      </c>
      <c r="P2899" s="75">
        <v>2014</v>
      </c>
      <c r="Q2899" s="107">
        <f t="shared" si="83"/>
        <v>2015</v>
      </c>
      <c r="R2899" s="107">
        <v>2</v>
      </c>
      <c r="S2899" s="43">
        <v>215097</v>
      </c>
      <c r="T2899" s="74">
        <v>42311</v>
      </c>
    </row>
    <row r="2900" spans="1:20" x14ac:dyDescent="0.3">
      <c r="A2900" s="42">
        <v>42348</v>
      </c>
      <c r="B2900" s="37">
        <v>20151210</v>
      </c>
      <c r="C2900" s="109">
        <v>2.1000000000000001E-2</v>
      </c>
      <c r="D2900" s="109">
        <v>8.0000000000000002E-3</v>
      </c>
      <c r="E2900" s="109">
        <v>1.0999999999999999E-2</v>
      </c>
      <c r="F2900" s="109">
        <v>1.2E-2</v>
      </c>
      <c r="G2900" s="130">
        <v>0</v>
      </c>
      <c r="H2900" s="71">
        <v>8.4</v>
      </c>
      <c r="I2900" s="71">
        <v>11</v>
      </c>
      <c r="J2900" s="71">
        <v>13.4</v>
      </c>
      <c r="K2900" s="121">
        <v>7.3000000000000001E-3</v>
      </c>
      <c r="L2900" s="121">
        <v>-7.0000000000000001E-3</v>
      </c>
      <c r="M2900" s="75" t="s">
        <v>146</v>
      </c>
      <c r="N2900" s="75" t="b">
        <v>1</v>
      </c>
      <c r="O2900" s="75" t="s">
        <v>145</v>
      </c>
      <c r="P2900" s="75">
        <v>2014</v>
      </c>
      <c r="Q2900" s="107">
        <f t="shared" si="83"/>
        <v>2015</v>
      </c>
      <c r="R2900" s="107">
        <v>2</v>
      </c>
      <c r="S2900" s="43">
        <v>215097</v>
      </c>
      <c r="T2900" s="74">
        <v>42311</v>
      </c>
    </row>
    <row r="2901" spans="1:20" x14ac:dyDescent="0.3">
      <c r="A2901" s="42">
        <v>42349</v>
      </c>
      <c r="B2901" s="37">
        <v>20151211</v>
      </c>
      <c r="C2901" s="109">
        <v>2.0299999999999999E-2</v>
      </c>
      <c r="D2901" s="109">
        <v>8.0000000000000002E-3</v>
      </c>
      <c r="E2901" s="109">
        <v>1.0999999999999999E-2</v>
      </c>
      <c r="F2901" s="109">
        <v>1.2E-2</v>
      </c>
      <c r="G2901" s="130">
        <v>0</v>
      </c>
      <c r="H2901" s="71">
        <v>8.4</v>
      </c>
      <c r="I2901" s="71">
        <v>11</v>
      </c>
      <c r="J2901" s="71">
        <v>13.4</v>
      </c>
      <c r="K2901" s="121">
        <v>6.8999999999999999E-3</v>
      </c>
      <c r="L2901" s="121">
        <v>-7.0000000000000001E-3</v>
      </c>
      <c r="M2901" s="75" t="s">
        <v>146</v>
      </c>
      <c r="N2901" s="75" t="b">
        <v>1</v>
      </c>
      <c r="O2901" s="75" t="s">
        <v>145</v>
      </c>
      <c r="P2901" s="75">
        <v>2014</v>
      </c>
      <c r="Q2901" s="107">
        <f t="shared" si="83"/>
        <v>2015</v>
      </c>
      <c r="R2901" s="107">
        <v>2</v>
      </c>
      <c r="S2901" s="43">
        <v>215097</v>
      </c>
      <c r="T2901" s="74">
        <v>42311</v>
      </c>
    </row>
    <row r="2902" spans="1:20" x14ac:dyDescent="0.3">
      <c r="A2902" s="42">
        <v>42350</v>
      </c>
      <c r="B2902" s="37">
        <v>20151212</v>
      </c>
      <c r="C2902" s="109">
        <v>2.0299999999999999E-2</v>
      </c>
      <c r="D2902" s="109">
        <v>8.0000000000000002E-3</v>
      </c>
      <c r="E2902" s="109">
        <v>1.0999999999999999E-2</v>
      </c>
      <c r="F2902" s="109">
        <v>1.2E-2</v>
      </c>
      <c r="G2902" s="130">
        <v>0</v>
      </c>
      <c r="H2902" s="71">
        <v>8.4</v>
      </c>
      <c r="I2902" s="71">
        <v>11</v>
      </c>
      <c r="J2902" s="71">
        <v>13.4</v>
      </c>
      <c r="K2902" s="121">
        <v>6.8999999999999999E-3</v>
      </c>
      <c r="L2902" s="121">
        <v>-7.0000000000000001E-3</v>
      </c>
      <c r="M2902" s="75" t="s">
        <v>146</v>
      </c>
      <c r="N2902" s="75" t="b">
        <v>1</v>
      </c>
      <c r="O2902" s="75" t="s">
        <v>145</v>
      </c>
      <c r="P2902" s="75">
        <v>2014</v>
      </c>
      <c r="Q2902" s="107">
        <f t="shared" si="83"/>
        <v>2015</v>
      </c>
      <c r="R2902" s="107">
        <v>2</v>
      </c>
      <c r="S2902" s="43">
        <v>215097</v>
      </c>
      <c r="T2902" s="74">
        <v>42311</v>
      </c>
    </row>
    <row r="2903" spans="1:20" x14ac:dyDescent="0.3">
      <c r="A2903" s="42">
        <v>42351</v>
      </c>
      <c r="B2903" s="37">
        <v>20151213</v>
      </c>
      <c r="C2903" s="109">
        <v>2.0299999999999999E-2</v>
      </c>
      <c r="D2903" s="109">
        <v>8.0000000000000002E-3</v>
      </c>
      <c r="E2903" s="109">
        <v>1.0999999999999999E-2</v>
      </c>
      <c r="F2903" s="109">
        <v>1.2E-2</v>
      </c>
      <c r="G2903" s="130">
        <v>0</v>
      </c>
      <c r="H2903" s="71">
        <v>8.4</v>
      </c>
      <c r="I2903" s="71">
        <v>11</v>
      </c>
      <c r="J2903" s="71">
        <v>13.4</v>
      </c>
      <c r="K2903" s="121">
        <v>6.8999999999999999E-3</v>
      </c>
      <c r="L2903" s="121">
        <v>-7.0000000000000001E-3</v>
      </c>
      <c r="M2903" s="75" t="s">
        <v>146</v>
      </c>
      <c r="N2903" s="75" t="b">
        <v>1</v>
      </c>
      <c r="O2903" s="75" t="s">
        <v>145</v>
      </c>
      <c r="P2903" s="75">
        <v>2014</v>
      </c>
      <c r="Q2903" s="107">
        <f t="shared" si="83"/>
        <v>2015</v>
      </c>
      <c r="R2903" s="107">
        <v>2</v>
      </c>
      <c r="S2903" s="43">
        <v>215097</v>
      </c>
      <c r="T2903" s="74">
        <v>42311</v>
      </c>
    </row>
    <row r="2904" spans="1:20" x14ac:dyDescent="0.3">
      <c r="A2904" s="42">
        <v>42352</v>
      </c>
      <c r="B2904" s="37">
        <v>20151214</v>
      </c>
      <c r="C2904" s="109">
        <v>2.0799999999999999E-2</v>
      </c>
      <c r="D2904" s="109">
        <v>8.0000000000000002E-3</v>
      </c>
      <c r="E2904" s="109">
        <v>1.0999999999999999E-2</v>
      </c>
      <c r="F2904" s="109">
        <v>1.2E-2</v>
      </c>
      <c r="G2904" s="130">
        <v>0</v>
      </c>
      <c r="H2904" s="71">
        <v>8.4</v>
      </c>
      <c r="I2904" s="71">
        <v>11</v>
      </c>
      <c r="J2904" s="71">
        <v>13.4</v>
      </c>
      <c r="K2904" s="121">
        <v>7.4000000000000003E-3</v>
      </c>
      <c r="L2904" s="121">
        <v>-7.0000000000000001E-3</v>
      </c>
      <c r="M2904" s="75" t="s">
        <v>146</v>
      </c>
      <c r="N2904" s="75" t="b">
        <v>1</v>
      </c>
      <c r="O2904" s="75" t="s">
        <v>145</v>
      </c>
      <c r="P2904" s="75">
        <v>2014</v>
      </c>
      <c r="Q2904" s="107">
        <f t="shared" si="83"/>
        <v>2015</v>
      </c>
      <c r="R2904" s="107">
        <v>2</v>
      </c>
      <c r="S2904" s="43">
        <v>215097</v>
      </c>
      <c r="T2904" s="74">
        <v>42311</v>
      </c>
    </row>
    <row r="2905" spans="1:20" x14ac:dyDescent="0.3">
      <c r="A2905" s="42">
        <v>42353</v>
      </c>
      <c r="B2905" s="37">
        <v>20151215</v>
      </c>
      <c r="C2905" s="109">
        <v>2.1000000000000001E-2</v>
      </c>
      <c r="D2905" s="109">
        <v>8.0000000000000002E-3</v>
      </c>
      <c r="E2905" s="109">
        <v>1.0999999999999999E-2</v>
      </c>
      <c r="F2905" s="109">
        <v>1.2E-2</v>
      </c>
      <c r="G2905" s="130">
        <v>0</v>
      </c>
      <c r="H2905" s="71">
        <v>8.4</v>
      </c>
      <c r="I2905" s="71">
        <v>11</v>
      </c>
      <c r="J2905" s="71">
        <v>13.4</v>
      </c>
      <c r="K2905" s="121">
        <v>7.4000000000000003E-3</v>
      </c>
      <c r="L2905" s="121">
        <v>-7.0000000000000001E-3</v>
      </c>
      <c r="M2905" s="75" t="s">
        <v>146</v>
      </c>
      <c r="N2905" s="75" t="b">
        <v>1</v>
      </c>
      <c r="O2905" s="75" t="s">
        <v>145</v>
      </c>
      <c r="P2905" s="75">
        <v>2014</v>
      </c>
      <c r="Q2905" s="107">
        <f t="shared" si="83"/>
        <v>2015</v>
      </c>
      <c r="R2905" s="107">
        <v>2</v>
      </c>
      <c r="S2905" s="43">
        <v>215097</v>
      </c>
      <c r="T2905" s="74">
        <v>42311</v>
      </c>
    </row>
    <row r="2906" spans="1:20" x14ac:dyDescent="0.3">
      <c r="A2906" s="42">
        <v>42354</v>
      </c>
      <c r="B2906" s="37">
        <v>20151216</v>
      </c>
      <c r="C2906" s="121">
        <v>2.1000000000000001E-2</v>
      </c>
      <c r="D2906" s="109">
        <v>8.0000000000000002E-3</v>
      </c>
      <c r="E2906" s="109">
        <v>1.0999999999999999E-2</v>
      </c>
      <c r="F2906" s="109">
        <v>1.2E-2</v>
      </c>
      <c r="G2906" s="130">
        <v>0</v>
      </c>
      <c r="H2906" s="71">
        <v>8.4</v>
      </c>
      <c r="I2906" s="71">
        <v>11</v>
      </c>
      <c r="J2906" s="71">
        <v>13.4</v>
      </c>
      <c r="K2906" s="121">
        <v>7.4000000000000003E-3</v>
      </c>
      <c r="L2906" s="121">
        <v>-7.0000000000000001E-3</v>
      </c>
      <c r="M2906" s="75" t="s">
        <v>146</v>
      </c>
      <c r="N2906" s="75" t="b">
        <v>1</v>
      </c>
      <c r="O2906" s="75" t="s">
        <v>145</v>
      </c>
      <c r="P2906" s="75">
        <v>2014</v>
      </c>
      <c r="Q2906" s="107">
        <f t="shared" si="83"/>
        <v>2015</v>
      </c>
      <c r="R2906" s="107">
        <v>2</v>
      </c>
      <c r="S2906" s="43">
        <v>215097</v>
      </c>
      <c r="T2906" s="74">
        <v>42311</v>
      </c>
    </row>
    <row r="2907" spans="1:20" x14ac:dyDescent="0.3">
      <c r="A2907" s="42">
        <v>42355</v>
      </c>
      <c r="B2907" s="37">
        <v>20151217</v>
      </c>
      <c r="C2907" s="121">
        <v>2.0400000000000001E-2</v>
      </c>
      <c r="D2907" s="109">
        <v>8.0000000000000002E-3</v>
      </c>
      <c r="E2907" s="109">
        <v>1.0999999999999999E-2</v>
      </c>
      <c r="F2907" s="109">
        <v>1.2E-2</v>
      </c>
      <c r="G2907" s="130">
        <v>0</v>
      </c>
      <c r="H2907" s="71">
        <v>8.4</v>
      </c>
      <c r="I2907" s="71">
        <v>11</v>
      </c>
      <c r="J2907" s="71">
        <v>13.4</v>
      </c>
      <c r="K2907" s="121">
        <v>6.8000000000000005E-3</v>
      </c>
      <c r="L2907" s="121">
        <v>-7.0000000000000001E-3</v>
      </c>
      <c r="M2907" s="75" t="s">
        <v>146</v>
      </c>
      <c r="N2907" s="75" t="b">
        <v>1</v>
      </c>
      <c r="O2907" s="75" t="s">
        <v>145</v>
      </c>
      <c r="P2907" s="75">
        <v>2014</v>
      </c>
      <c r="Q2907" s="107">
        <f t="shared" si="83"/>
        <v>2015</v>
      </c>
      <c r="R2907" s="107">
        <v>2</v>
      </c>
      <c r="S2907" s="43">
        <v>215097</v>
      </c>
      <c r="T2907" s="74">
        <v>42311</v>
      </c>
    </row>
    <row r="2908" spans="1:20" x14ac:dyDescent="0.3">
      <c r="A2908" s="42">
        <v>42356</v>
      </c>
      <c r="B2908" s="37">
        <v>20151218</v>
      </c>
      <c r="C2908" s="121">
        <v>0.02</v>
      </c>
      <c r="D2908" s="109">
        <v>8.0000000000000002E-3</v>
      </c>
      <c r="E2908" s="109">
        <v>1.0999999999999999E-2</v>
      </c>
      <c r="F2908" s="109">
        <v>1.2E-2</v>
      </c>
      <c r="G2908" s="130">
        <v>0</v>
      </c>
      <c r="H2908" s="71">
        <v>8.4</v>
      </c>
      <c r="I2908" s="71">
        <v>11</v>
      </c>
      <c r="J2908" s="71">
        <v>13.4</v>
      </c>
      <c r="K2908" s="121">
        <v>6.4000000000000003E-3</v>
      </c>
      <c r="L2908" s="121">
        <v>-7.0000000000000001E-3</v>
      </c>
      <c r="M2908" s="75" t="s">
        <v>146</v>
      </c>
      <c r="N2908" s="75" t="b">
        <v>1</v>
      </c>
      <c r="O2908" s="75" t="s">
        <v>145</v>
      </c>
      <c r="P2908" s="75">
        <v>2014</v>
      </c>
      <c r="Q2908" s="107">
        <f t="shared" si="83"/>
        <v>2015</v>
      </c>
      <c r="R2908" s="107">
        <v>2</v>
      </c>
      <c r="S2908" s="43">
        <v>215097</v>
      </c>
      <c r="T2908" s="74">
        <v>42311</v>
      </c>
    </row>
    <row r="2909" spans="1:20" x14ac:dyDescent="0.3">
      <c r="A2909" s="42">
        <v>42357</v>
      </c>
      <c r="B2909" s="37">
        <v>20151219</v>
      </c>
      <c r="C2909" s="121">
        <v>0.02</v>
      </c>
      <c r="D2909" s="109">
        <v>8.0000000000000002E-3</v>
      </c>
      <c r="E2909" s="109">
        <v>1.0999999999999999E-2</v>
      </c>
      <c r="F2909" s="109">
        <v>1.2E-2</v>
      </c>
      <c r="G2909" s="130">
        <v>0</v>
      </c>
      <c r="H2909" s="71">
        <v>8.4</v>
      </c>
      <c r="I2909" s="71">
        <v>11</v>
      </c>
      <c r="J2909" s="71">
        <v>13.4</v>
      </c>
      <c r="K2909" s="121">
        <v>6.4000000000000003E-3</v>
      </c>
      <c r="L2909" s="121">
        <v>-7.0000000000000001E-3</v>
      </c>
      <c r="M2909" s="75" t="s">
        <v>146</v>
      </c>
      <c r="N2909" s="75" t="b">
        <v>1</v>
      </c>
      <c r="O2909" s="75" t="s">
        <v>145</v>
      </c>
      <c r="P2909" s="75">
        <v>2014</v>
      </c>
      <c r="Q2909" s="107">
        <f t="shared" si="83"/>
        <v>2015</v>
      </c>
      <c r="R2909" s="107">
        <v>2</v>
      </c>
      <c r="S2909" s="43">
        <v>215097</v>
      </c>
      <c r="T2909" s="74">
        <v>42311</v>
      </c>
    </row>
    <row r="2910" spans="1:20" x14ac:dyDescent="0.3">
      <c r="A2910" s="42">
        <v>42358</v>
      </c>
      <c r="B2910" s="37">
        <v>20151220</v>
      </c>
      <c r="C2910" s="121">
        <v>0.02</v>
      </c>
      <c r="D2910" s="109">
        <v>8.0000000000000002E-3</v>
      </c>
      <c r="E2910" s="109">
        <v>1.0999999999999999E-2</v>
      </c>
      <c r="F2910" s="109">
        <v>1.2E-2</v>
      </c>
      <c r="G2910" s="130">
        <v>0</v>
      </c>
      <c r="H2910" s="71">
        <v>8.4</v>
      </c>
      <c r="I2910" s="71">
        <v>11</v>
      </c>
      <c r="J2910" s="71">
        <v>13.4</v>
      </c>
      <c r="K2910" s="121">
        <v>6.4000000000000003E-3</v>
      </c>
      <c r="L2910" s="121">
        <v>-7.0000000000000001E-3</v>
      </c>
      <c r="M2910" s="75" t="s">
        <v>146</v>
      </c>
      <c r="N2910" s="75" t="b">
        <v>1</v>
      </c>
      <c r="O2910" s="75" t="s">
        <v>145</v>
      </c>
      <c r="P2910" s="75">
        <v>2014</v>
      </c>
      <c r="Q2910" s="107">
        <f t="shared" si="83"/>
        <v>2015</v>
      </c>
      <c r="R2910" s="107">
        <v>2</v>
      </c>
      <c r="S2910" s="43">
        <v>215097</v>
      </c>
      <c r="T2910" s="74">
        <v>42311</v>
      </c>
    </row>
    <row r="2911" spans="1:20" x14ac:dyDescent="0.3">
      <c r="A2911" s="42">
        <v>42359</v>
      </c>
      <c r="B2911" s="37">
        <v>20151221</v>
      </c>
      <c r="C2911" s="121">
        <v>1.9900000000000001E-2</v>
      </c>
      <c r="D2911" s="109">
        <v>8.0000000000000002E-3</v>
      </c>
      <c r="E2911" s="109">
        <v>1.0999999999999999E-2</v>
      </c>
      <c r="F2911" s="109">
        <v>1.2E-2</v>
      </c>
      <c r="G2911" s="130">
        <v>0</v>
      </c>
      <c r="H2911" s="71">
        <v>8.4</v>
      </c>
      <c r="I2911" s="71">
        <v>11</v>
      </c>
      <c r="J2911" s="71">
        <v>13.4</v>
      </c>
      <c r="K2911" s="121">
        <v>6.4000000000000003E-3</v>
      </c>
      <c r="L2911" s="121">
        <v>-7.0000000000000001E-3</v>
      </c>
      <c r="M2911" s="75" t="s">
        <v>146</v>
      </c>
      <c r="N2911" s="75" t="b">
        <v>1</v>
      </c>
      <c r="O2911" s="75" t="s">
        <v>145</v>
      </c>
      <c r="P2911" s="75">
        <v>2014</v>
      </c>
      <c r="Q2911" s="107">
        <f t="shared" si="83"/>
        <v>2015</v>
      </c>
      <c r="R2911" s="107">
        <v>2</v>
      </c>
      <c r="S2911" s="43">
        <v>215097</v>
      </c>
      <c r="T2911" s="74">
        <v>42311</v>
      </c>
    </row>
    <row r="2912" spans="1:20" x14ac:dyDescent="0.3">
      <c r="A2912" s="42">
        <v>42360</v>
      </c>
      <c r="B2912" s="37">
        <v>20151222</v>
      </c>
      <c r="C2912" s="121">
        <v>2.0199999999999999E-2</v>
      </c>
      <c r="D2912" s="109">
        <v>8.0000000000000002E-3</v>
      </c>
      <c r="E2912" s="109">
        <v>1.0999999999999999E-2</v>
      </c>
      <c r="F2912" s="109">
        <v>1.2E-2</v>
      </c>
      <c r="G2912" s="130">
        <v>0</v>
      </c>
      <c r="H2912" s="71">
        <v>8.4</v>
      </c>
      <c r="I2912" s="71">
        <v>11</v>
      </c>
      <c r="J2912" s="71">
        <v>13.4</v>
      </c>
      <c r="K2912" s="121">
        <v>6.6E-3</v>
      </c>
      <c r="L2912" s="121">
        <v>-7.0000000000000001E-3</v>
      </c>
      <c r="M2912" s="75" t="s">
        <v>146</v>
      </c>
      <c r="N2912" s="75" t="b">
        <v>1</v>
      </c>
      <c r="O2912" s="75" t="s">
        <v>145</v>
      </c>
      <c r="P2912" s="75">
        <v>2014</v>
      </c>
      <c r="Q2912" s="107">
        <f t="shared" si="83"/>
        <v>2015</v>
      </c>
      <c r="R2912" s="107">
        <v>2</v>
      </c>
      <c r="S2912" s="43">
        <v>215097</v>
      </c>
      <c r="T2912" s="74">
        <v>42311</v>
      </c>
    </row>
    <row r="2913" spans="1:21" x14ac:dyDescent="0.3">
      <c r="A2913" s="42">
        <v>42361</v>
      </c>
      <c r="B2913" s="37">
        <v>20151223</v>
      </c>
      <c r="C2913" s="121">
        <v>2.0400000000000001E-2</v>
      </c>
      <c r="D2913" s="109">
        <v>8.0000000000000002E-3</v>
      </c>
      <c r="E2913" s="109">
        <v>1.0999999999999999E-2</v>
      </c>
      <c r="F2913" s="109">
        <v>1.2E-2</v>
      </c>
      <c r="G2913" s="130">
        <v>0</v>
      </c>
      <c r="H2913" s="71">
        <v>8.4</v>
      </c>
      <c r="I2913" s="71">
        <v>11</v>
      </c>
      <c r="J2913" s="71">
        <v>13.4</v>
      </c>
      <c r="K2913" s="121">
        <v>6.8000000000000005E-3</v>
      </c>
      <c r="L2913" s="121">
        <v>-7.0000000000000001E-3</v>
      </c>
      <c r="M2913" s="75" t="s">
        <v>146</v>
      </c>
      <c r="N2913" s="75" t="b">
        <v>1</v>
      </c>
      <c r="O2913" s="75" t="s">
        <v>145</v>
      </c>
      <c r="P2913" s="75">
        <v>2014</v>
      </c>
      <c r="Q2913" s="107">
        <f t="shared" si="83"/>
        <v>2015</v>
      </c>
      <c r="R2913" s="107">
        <v>2</v>
      </c>
      <c r="S2913" s="43">
        <v>215097</v>
      </c>
      <c r="T2913" s="74">
        <v>42311</v>
      </c>
    </row>
    <row r="2914" spans="1:21" x14ac:dyDescent="0.3">
      <c r="A2914" s="42">
        <v>42362</v>
      </c>
      <c r="B2914" s="37">
        <v>20151224</v>
      </c>
      <c r="C2914" s="121">
        <v>2.0099999999999996E-2</v>
      </c>
      <c r="D2914" s="109">
        <v>8.0000000000000002E-3</v>
      </c>
      <c r="E2914" s="109">
        <v>1.0999999999999999E-2</v>
      </c>
      <c r="F2914" s="109">
        <v>1.2E-2</v>
      </c>
      <c r="G2914" s="130">
        <v>0</v>
      </c>
      <c r="H2914" s="71">
        <v>8.4</v>
      </c>
      <c r="I2914" s="71">
        <v>11</v>
      </c>
      <c r="J2914" s="71">
        <v>13.4</v>
      </c>
      <c r="K2914" s="121">
        <v>6.5000000000000006E-3</v>
      </c>
      <c r="L2914" s="121">
        <v>-7.0000000000000001E-3</v>
      </c>
      <c r="M2914" s="75" t="s">
        <v>146</v>
      </c>
      <c r="N2914" s="75" t="b">
        <v>1</v>
      </c>
      <c r="O2914" s="75" t="s">
        <v>145</v>
      </c>
      <c r="P2914" s="75">
        <v>2014</v>
      </c>
      <c r="Q2914" s="107">
        <f t="shared" si="83"/>
        <v>2015</v>
      </c>
      <c r="R2914" s="107">
        <v>2</v>
      </c>
      <c r="S2914" s="43">
        <v>215097</v>
      </c>
      <c r="T2914" s="74">
        <v>42311</v>
      </c>
    </row>
    <row r="2915" spans="1:21" x14ac:dyDescent="0.3">
      <c r="A2915" s="42">
        <v>42363</v>
      </c>
      <c r="B2915" s="37">
        <v>20151225</v>
      </c>
      <c r="C2915" s="121">
        <v>2.0099999999999996E-2</v>
      </c>
      <c r="D2915" s="109">
        <v>8.0000000000000002E-3</v>
      </c>
      <c r="E2915" s="109">
        <v>1.0999999999999999E-2</v>
      </c>
      <c r="F2915" s="109">
        <v>1.2E-2</v>
      </c>
      <c r="G2915" s="130">
        <v>0</v>
      </c>
      <c r="H2915" s="71">
        <v>8.4</v>
      </c>
      <c r="I2915" s="71">
        <v>11</v>
      </c>
      <c r="J2915" s="71">
        <v>13.4</v>
      </c>
      <c r="K2915" s="121">
        <v>6.5000000000000006E-3</v>
      </c>
      <c r="L2915" s="121">
        <v>-7.0000000000000001E-3</v>
      </c>
      <c r="M2915" s="75" t="s">
        <v>146</v>
      </c>
      <c r="N2915" s="75" t="b">
        <v>1</v>
      </c>
      <c r="O2915" s="75" t="s">
        <v>145</v>
      </c>
      <c r="P2915" s="75">
        <v>2014</v>
      </c>
      <c r="Q2915" s="107">
        <f t="shared" si="83"/>
        <v>2015</v>
      </c>
      <c r="R2915" s="107">
        <v>2</v>
      </c>
      <c r="S2915" s="43">
        <v>215097</v>
      </c>
      <c r="T2915" s="74">
        <v>42311</v>
      </c>
    </row>
    <row r="2916" spans="1:21" x14ac:dyDescent="0.3">
      <c r="A2916" s="42">
        <v>42364</v>
      </c>
      <c r="B2916" s="37">
        <v>20151226</v>
      </c>
      <c r="C2916" s="121">
        <v>2.0099999999999996E-2</v>
      </c>
      <c r="D2916" s="109">
        <v>8.0000000000000002E-3</v>
      </c>
      <c r="E2916" s="109">
        <v>1.0999999999999999E-2</v>
      </c>
      <c r="F2916" s="109">
        <v>1.2E-2</v>
      </c>
      <c r="G2916" s="130">
        <v>0</v>
      </c>
      <c r="H2916" s="71">
        <v>8.4</v>
      </c>
      <c r="I2916" s="71">
        <v>11</v>
      </c>
      <c r="J2916" s="71">
        <v>13.4</v>
      </c>
      <c r="K2916" s="121">
        <v>6.5000000000000006E-3</v>
      </c>
      <c r="L2916" s="121">
        <v>-7.0000000000000001E-3</v>
      </c>
      <c r="M2916" s="75" t="s">
        <v>146</v>
      </c>
      <c r="N2916" s="75" t="b">
        <v>1</v>
      </c>
      <c r="O2916" s="75" t="s">
        <v>145</v>
      </c>
      <c r="P2916" s="75">
        <v>2014</v>
      </c>
      <c r="Q2916" s="107">
        <f t="shared" si="83"/>
        <v>2015</v>
      </c>
      <c r="R2916" s="107">
        <v>2</v>
      </c>
      <c r="S2916" s="43">
        <v>215097</v>
      </c>
      <c r="T2916" s="74">
        <v>42311</v>
      </c>
    </row>
    <row r="2917" spans="1:21" x14ac:dyDescent="0.3">
      <c r="A2917" s="42">
        <v>42365</v>
      </c>
      <c r="B2917" s="37">
        <v>20151227</v>
      </c>
      <c r="C2917" s="121">
        <v>2.0099999999999996E-2</v>
      </c>
      <c r="D2917" s="109">
        <v>8.0000000000000002E-3</v>
      </c>
      <c r="E2917" s="109">
        <v>1.0999999999999999E-2</v>
      </c>
      <c r="F2917" s="109">
        <v>1.2E-2</v>
      </c>
      <c r="G2917" s="130">
        <v>0</v>
      </c>
      <c r="H2917" s="71">
        <v>8.4</v>
      </c>
      <c r="I2917" s="71">
        <v>11</v>
      </c>
      <c r="J2917" s="71">
        <v>13.4</v>
      </c>
      <c r="K2917" s="121">
        <v>6.5000000000000006E-3</v>
      </c>
      <c r="L2917" s="121">
        <v>-7.0000000000000001E-3</v>
      </c>
      <c r="M2917" s="75" t="s">
        <v>146</v>
      </c>
      <c r="N2917" s="75" t="b">
        <v>1</v>
      </c>
      <c r="O2917" s="75" t="s">
        <v>145</v>
      </c>
      <c r="P2917" s="75">
        <v>2014</v>
      </c>
      <c r="Q2917" s="107">
        <f t="shared" si="83"/>
        <v>2015</v>
      </c>
      <c r="R2917" s="107">
        <v>2</v>
      </c>
      <c r="S2917" s="43">
        <v>215097</v>
      </c>
      <c r="T2917" s="74">
        <v>42311</v>
      </c>
    </row>
    <row r="2918" spans="1:21" x14ac:dyDescent="0.3">
      <c r="A2918" s="42">
        <v>42366</v>
      </c>
      <c r="B2918" s="37">
        <v>20151228</v>
      </c>
      <c r="C2918" s="121">
        <v>2.0099999999999996E-2</v>
      </c>
      <c r="D2918" s="109">
        <v>8.0000000000000002E-3</v>
      </c>
      <c r="E2918" s="109">
        <v>1.0999999999999999E-2</v>
      </c>
      <c r="F2918" s="109">
        <v>1.2E-2</v>
      </c>
      <c r="G2918" s="130">
        <v>0</v>
      </c>
      <c r="H2918" s="71">
        <v>8.4</v>
      </c>
      <c r="I2918" s="71">
        <v>11</v>
      </c>
      <c r="J2918" s="71">
        <v>13.4</v>
      </c>
      <c r="K2918" s="121">
        <v>6.5000000000000006E-3</v>
      </c>
      <c r="L2918" s="121">
        <v>-7.0000000000000001E-3</v>
      </c>
      <c r="M2918" s="75" t="s">
        <v>146</v>
      </c>
      <c r="N2918" s="75" t="b">
        <v>1</v>
      </c>
      <c r="O2918" s="75" t="s">
        <v>145</v>
      </c>
      <c r="P2918" s="75">
        <v>2014</v>
      </c>
      <c r="Q2918" s="107">
        <f t="shared" si="83"/>
        <v>2015</v>
      </c>
      <c r="R2918" s="107">
        <v>2</v>
      </c>
      <c r="S2918" s="43">
        <v>215097</v>
      </c>
      <c r="T2918" s="74">
        <v>42311</v>
      </c>
    </row>
    <row r="2919" spans="1:21" x14ac:dyDescent="0.3">
      <c r="A2919" s="42">
        <v>42367</v>
      </c>
      <c r="B2919" s="37">
        <v>20151229</v>
      </c>
      <c r="C2919" s="121">
        <v>2.0400000000000001E-2</v>
      </c>
      <c r="D2919" s="109">
        <v>8.0000000000000002E-3</v>
      </c>
      <c r="E2919" s="109">
        <v>1.0999999999999999E-2</v>
      </c>
      <c r="F2919" s="109">
        <v>1.2E-2</v>
      </c>
      <c r="G2919" s="130">
        <v>0</v>
      </c>
      <c r="H2919" s="71">
        <v>8.4</v>
      </c>
      <c r="I2919" s="71">
        <v>11</v>
      </c>
      <c r="J2919" s="71">
        <v>13.4</v>
      </c>
      <c r="K2919" s="121">
        <v>6.8000000000000005E-3</v>
      </c>
      <c r="L2919" s="121">
        <v>-7.0000000000000001E-3</v>
      </c>
      <c r="M2919" s="75" t="s">
        <v>146</v>
      </c>
      <c r="N2919" s="75" t="b">
        <v>1</v>
      </c>
      <c r="O2919" s="75" t="s">
        <v>145</v>
      </c>
      <c r="P2919" s="75">
        <v>2014</v>
      </c>
      <c r="Q2919" s="107">
        <f t="shared" si="83"/>
        <v>2015</v>
      </c>
      <c r="R2919" s="107">
        <v>2</v>
      </c>
      <c r="S2919" s="43">
        <v>215097</v>
      </c>
      <c r="T2919" s="74">
        <v>42311</v>
      </c>
    </row>
    <row r="2920" spans="1:21" x14ac:dyDescent="0.3">
      <c r="A2920" s="42">
        <v>42368</v>
      </c>
      <c r="B2920" s="37">
        <v>20151230</v>
      </c>
      <c r="C2920" s="121">
        <v>2.0400000000000001E-2</v>
      </c>
      <c r="D2920" s="109">
        <v>8.0000000000000002E-3</v>
      </c>
      <c r="E2920" s="109">
        <v>1.0999999999999999E-2</v>
      </c>
      <c r="F2920" s="109">
        <v>1.2E-2</v>
      </c>
      <c r="G2920" s="130">
        <v>0</v>
      </c>
      <c r="H2920" s="71">
        <v>8.4</v>
      </c>
      <c r="I2920" s="71">
        <v>11</v>
      </c>
      <c r="J2920" s="71">
        <v>13.4</v>
      </c>
      <c r="K2920" s="121">
        <v>6.7000000000000002E-3</v>
      </c>
      <c r="L2920" s="121">
        <v>-7.0000000000000001E-3</v>
      </c>
      <c r="M2920" s="75" t="s">
        <v>146</v>
      </c>
      <c r="N2920" s="75" t="b">
        <v>1</v>
      </c>
      <c r="O2920" s="75" t="s">
        <v>145</v>
      </c>
      <c r="P2920" s="75">
        <v>2014</v>
      </c>
      <c r="Q2920" s="107">
        <f t="shared" si="83"/>
        <v>2015</v>
      </c>
      <c r="R2920" s="107">
        <v>2</v>
      </c>
      <c r="S2920" s="43">
        <v>215097</v>
      </c>
      <c r="T2920" s="74">
        <v>42311</v>
      </c>
    </row>
    <row r="2921" spans="1:21" s="116" customFormat="1" x14ac:dyDescent="0.3">
      <c r="A2921" s="110">
        <v>42369</v>
      </c>
      <c r="B2921" s="86">
        <v>20151231</v>
      </c>
      <c r="C2921" s="111">
        <v>2.0299999999999999E-2</v>
      </c>
      <c r="D2921" s="89">
        <v>6.0000000000000001E-3</v>
      </c>
      <c r="E2921" s="89">
        <v>0.01</v>
      </c>
      <c r="F2921" s="89">
        <v>1.0999999999999999E-2</v>
      </c>
      <c r="G2921" s="90">
        <v>0</v>
      </c>
      <c r="H2921" s="124">
        <v>8.5</v>
      </c>
      <c r="I2921" s="124">
        <v>11.1</v>
      </c>
      <c r="J2921" s="124">
        <v>13.6</v>
      </c>
      <c r="K2921" s="131">
        <v>6.4999999999999997E-3</v>
      </c>
      <c r="L2921" s="120">
        <v>-7.0000000000000001E-3</v>
      </c>
      <c r="M2921" s="98" t="s">
        <v>146</v>
      </c>
      <c r="N2921" s="98" t="b">
        <v>1</v>
      </c>
      <c r="O2921" s="98" t="s">
        <v>145</v>
      </c>
      <c r="P2921" s="98">
        <v>2014</v>
      </c>
      <c r="Q2921" s="105">
        <f t="shared" si="83"/>
        <v>2015</v>
      </c>
      <c r="R2921" s="105">
        <v>2</v>
      </c>
      <c r="S2921" s="114">
        <v>216006</v>
      </c>
      <c r="T2921" s="115">
        <v>42397</v>
      </c>
      <c r="U2921" s="98" t="s">
        <v>176</v>
      </c>
    </row>
    <row r="2922" spans="1:21" x14ac:dyDescent="0.3">
      <c r="A2922" s="42">
        <v>42370</v>
      </c>
      <c r="B2922" s="37">
        <v>20160101</v>
      </c>
      <c r="C2922" s="121">
        <v>2.0299999999999999E-2</v>
      </c>
      <c r="D2922" s="109">
        <v>6.0000000000000001E-3</v>
      </c>
      <c r="E2922" s="109">
        <v>0.01</v>
      </c>
      <c r="F2922" s="109">
        <v>1.0999999999999999E-2</v>
      </c>
      <c r="G2922" s="130">
        <v>0</v>
      </c>
      <c r="H2922" s="71">
        <v>8.5</v>
      </c>
      <c r="I2922" s="71">
        <v>11.1</v>
      </c>
      <c r="J2922" s="71">
        <v>13.6</v>
      </c>
      <c r="K2922" s="121">
        <v>6.4999999999999997E-3</v>
      </c>
      <c r="L2922" s="121">
        <v>-7.0000000000000001E-3</v>
      </c>
      <c r="M2922" s="75" t="s">
        <v>146</v>
      </c>
      <c r="N2922" s="75" t="b">
        <v>1</v>
      </c>
      <c r="O2922" s="75" t="s">
        <v>145</v>
      </c>
      <c r="P2922" s="75">
        <v>2014</v>
      </c>
      <c r="Q2922" s="107">
        <f t="shared" si="83"/>
        <v>2016</v>
      </c>
      <c r="R2922" s="107">
        <v>2</v>
      </c>
      <c r="S2922" s="43">
        <v>216006</v>
      </c>
      <c r="T2922" s="74">
        <v>42397</v>
      </c>
    </row>
    <row r="2923" spans="1:21" x14ac:dyDescent="0.3">
      <c r="A2923" s="42">
        <v>42371</v>
      </c>
      <c r="B2923" s="37">
        <v>20160102</v>
      </c>
      <c r="C2923" s="121">
        <v>2.0299999999999999E-2</v>
      </c>
      <c r="D2923" s="109">
        <v>6.0000000000000001E-3</v>
      </c>
      <c r="E2923" s="109">
        <v>0.01</v>
      </c>
      <c r="F2923" s="109">
        <v>1.0999999999999999E-2</v>
      </c>
      <c r="G2923" s="130">
        <v>0</v>
      </c>
      <c r="H2923" s="71">
        <v>8.5</v>
      </c>
      <c r="I2923" s="71">
        <v>11.1</v>
      </c>
      <c r="J2923" s="71">
        <v>13.6</v>
      </c>
      <c r="K2923" s="121">
        <v>6.4999999999999997E-3</v>
      </c>
      <c r="L2923" s="121">
        <v>-7.0000000000000001E-3</v>
      </c>
      <c r="M2923" s="75" t="s">
        <v>146</v>
      </c>
      <c r="N2923" s="75" t="b">
        <v>1</v>
      </c>
      <c r="O2923" s="75" t="s">
        <v>145</v>
      </c>
      <c r="P2923" s="75">
        <v>2014</v>
      </c>
      <c r="Q2923" s="107">
        <f t="shared" si="83"/>
        <v>2016</v>
      </c>
      <c r="R2923" s="107">
        <v>2</v>
      </c>
      <c r="S2923" s="43">
        <v>216006</v>
      </c>
      <c r="T2923" s="74">
        <v>42397</v>
      </c>
    </row>
    <row r="2924" spans="1:21" x14ac:dyDescent="0.3">
      <c r="A2924" s="42">
        <v>42372</v>
      </c>
      <c r="B2924" s="37">
        <v>20160103</v>
      </c>
      <c r="C2924" s="121">
        <v>2.0299999999999999E-2</v>
      </c>
      <c r="D2924" s="109">
        <v>6.0000000000000001E-3</v>
      </c>
      <c r="E2924" s="109">
        <v>0.01</v>
      </c>
      <c r="F2924" s="109">
        <v>1.0999999999999999E-2</v>
      </c>
      <c r="G2924" s="130">
        <v>0</v>
      </c>
      <c r="H2924" s="71">
        <v>8.5</v>
      </c>
      <c r="I2924" s="71">
        <v>11.1</v>
      </c>
      <c r="J2924" s="71">
        <v>13.6</v>
      </c>
      <c r="K2924" s="121">
        <v>6.4999999999999997E-3</v>
      </c>
      <c r="L2924" s="121">
        <v>-7.0000000000000001E-3</v>
      </c>
      <c r="M2924" s="75" t="s">
        <v>146</v>
      </c>
      <c r="N2924" s="75" t="b">
        <v>1</v>
      </c>
      <c r="O2924" s="75" t="s">
        <v>145</v>
      </c>
      <c r="P2924" s="75">
        <v>2014</v>
      </c>
      <c r="Q2924" s="107">
        <f t="shared" si="83"/>
        <v>2016</v>
      </c>
      <c r="R2924" s="107">
        <v>2</v>
      </c>
      <c r="S2924" s="43">
        <v>216006</v>
      </c>
      <c r="T2924" s="74">
        <v>42397</v>
      </c>
    </row>
    <row r="2925" spans="1:21" x14ac:dyDescent="0.3">
      <c r="A2925" s="42">
        <v>42373</v>
      </c>
      <c r="B2925" s="37">
        <v>20160104</v>
      </c>
      <c r="C2925" s="109">
        <v>2.0099999999999996E-2</v>
      </c>
      <c r="D2925" s="109">
        <v>6.0000000000000001E-3</v>
      </c>
      <c r="E2925" s="109">
        <v>0.01</v>
      </c>
      <c r="F2925" s="109">
        <v>1.0999999999999999E-2</v>
      </c>
      <c r="G2925" s="130">
        <v>0</v>
      </c>
      <c r="H2925" s="71">
        <v>8.5</v>
      </c>
      <c r="I2925" s="71">
        <v>11.1</v>
      </c>
      <c r="J2925" s="71">
        <v>13.6</v>
      </c>
      <c r="K2925" s="121">
        <v>6.4000000000000003E-3</v>
      </c>
      <c r="L2925" s="121">
        <v>-7.0000000000000001E-3</v>
      </c>
      <c r="M2925" s="75" t="s">
        <v>146</v>
      </c>
      <c r="N2925" s="75" t="b">
        <v>1</v>
      </c>
      <c r="O2925" s="75" t="s">
        <v>145</v>
      </c>
      <c r="P2925" s="75">
        <v>2014</v>
      </c>
      <c r="Q2925" s="107">
        <f t="shared" si="83"/>
        <v>2016</v>
      </c>
      <c r="R2925" s="107">
        <v>2</v>
      </c>
      <c r="S2925" s="43">
        <v>216006</v>
      </c>
      <c r="T2925" s="74">
        <v>42397</v>
      </c>
    </row>
    <row r="2926" spans="1:21" x14ac:dyDescent="0.3">
      <c r="A2926" s="42">
        <v>42374</v>
      </c>
      <c r="B2926" s="37">
        <v>20160105</v>
      </c>
      <c r="C2926" s="109">
        <v>2.0099999999999996E-2</v>
      </c>
      <c r="D2926" s="109">
        <v>6.0000000000000001E-3</v>
      </c>
      <c r="E2926" s="109">
        <v>0.01</v>
      </c>
      <c r="F2926" s="109">
        <v>1.0999999999999999E-2</v>
      </c>
      <c r="G2926" s="130">
        <v>0</v>
      </c>
      <c r="H2926" s="71">
        <v>8.5</v>
      </c>
      <c r="I2926" s="71">
        <v>11.1</v>
      </c>
      <c r="J2926" s="71">
        <v>13.6</v>
      </c>
      <c r="K2926" s="121">
        <v>6.4000000000000003E-3</v>
      </c>
      <c r="L2926" s="121">
        <v>-7.0000000000000001E-3</v>
      </c>
      <c r="M2926" s="75" t="s">
        <v>146</v>
      </c>
      <c r="N2926" s="75" t="b">
        <v>1</v>
      </c>
      <c r="O2926" s="75" t="s">
        <v>145</v>
      </c>
      <c r="P2926" s="75">
        <v>2014</v>
      </c>
      <c r="Q2926" s="107">
        <f t="shared" ref="Q2926:Q2989" si="84">YEAR(A2926)</f>
        <v>2016</v>
      </c>
      <c r="R2926" s="107">
        <v>2</v>
      </c>
      <c r="S2926" s="43">
        <v>216006</v>
      </c>
      <c r="T2926" s="74">
        <v>42397</v>
      </c>
    </row>
    <row r="2927" spans="1:21" x14ac:dyDescent="0.3">
      <c r="A2927" s="42">
        <v>42375</v>
      </c>
      <c r="B2927" s="37">
        <v>20160106</v>
      </c>
      <c r="C2927" s="109">
        <v>1.9599999999999999E-2</v>
      </c>
      <c r="D2927" s="109">
        <v>6.0000000000000001E-3</v>
      </c>
      <c r="E2927" s="109">
        <v>0.01</v>
      </c>
      <c r="F2927" s="109">
        <v>1.0999999999999999E-2</v>
      </c>
      <c r="G2927" s="130">
        <v>0</v>
      </c>
      <c r="H2927" s="71">
        <v>8.5</v>
      </c>
      <c r="I2927" s="71">
        <v>11.1</v>
      </c>
      <c r="J2927" s="71">
        <v>13.6</v>
      </c>
      <c r="K2927" s="121">
        <v>6.0999999999999995E-3</v>
      </c>
      <c r="L2927" s="121">
        <v>-7.0000000000000001E-3</v>
      </c>
      <c r="M2927" s="75" t="s">
        <v>146</v>
      </c>
      <c r="N2927" s="75" t="b">
        <v>1</v>
      </c>
      <c r="O2927" s="75" t="s">
        <v>145</v>
      </c>
      <c r="P2927" s="75">
        <v>2014</v>
      </c>
      <c r="Q2927" s="107">
        <f t="shared" si="84"/>
        <v>2016</v>
      </c>
      <c r="R2927" s="107">
        <v>2</v>
      </c>
      <c r="S2927" s="43">
        <v>216006</v>
      </c>
      <c r="T2927" s="74">
        <v>42397</v>
      </c>
    </row>
    <row r="2928" spans="1:21" x14ac:dyDescent="0.3">
      <c r="A2928" s="42">
        <v>42376</v>
      </c>
      <c r="B2928" s="37">
        <v>20160107</v>
      </c>
      <c r="C2928" s="109">
        <v>1.95E-2</v>
      </c>
      <c r="D2928" s="109">
        <v>6.0000000000000001E-3</v>
      </c>
      <c r="E2928" s="109">
        <v>0.01</v>
      </c>
      <c r="F2928" s="109">
        <v>1.0999999999999999E-2</v>
      </c>
      <c r="G2928" s="130">
        <v>0</v>
      </c>
      <c r="H2928" s="71">
        <v>8.5</v>
      </c>
      <c r="I2928" s="71">
        <v>11.1</v>
      </c>
      <c r="J2928" s="71">
        <v>13.6</v>
      </c>
      <c r="K2928" s="121">
        <v>6.3E-3</v>
      </c>
      <c r="L2928" s="121">
        <v>-7.0000000000000001E-3</v>
      </c>
      <c r="M2928" s="75" t="s">
        <v>146</v>
      </c>
      <c r="N2928" s="75" t="b">
        <v>1</v>
      </c>
      <c r="O2928" s="75" t="s">
        <v>145</v>
      </c>
      <c r="P2928" s="75">
        <v>2014</v>
      </c>
      <c r="Q2928" s="107">
        <f t="shared" si="84"/>
        <v>2016</v>
      </c>
      <c r="R2928" s="107">
        <v>2</v>
      </c>
      <c r="S2928" s="43">
        <v>216006</v>
      </c>
      <c r="T2928" s="74">
        <v>42397</v>
      </c>
    </row>
    <row r="2929" spans="1:20" x14ac:dyDescent="0.3">
      <c r="A2929" s="42">
        <v>42377</v>
      </c>
      <c r="B2929" s="37">
        <v>20160108</v>
      </c>
      <c r="C2929" s="109">
        <v>1.9299999999999998E-2</v>
      </c>
      <c r="D2929" s="109">
        <v>6.0000000000000001E-3</v>
      </c>
      <c r="E2929" s="109">
        <v>0.01</v>
      </c>
      <c r="F2929" s="109">
        <v>1.0999999999999999E-2</v>
      </c>
      <c r="G2929" s="130">
        <v>0</v>
      </c>
      <c r="H2929" s="71">
        <v>8.5</v>
      </c>
      <c r="I2929" s="71">
        <v>11.1</v>
      </c>
      <c r="J2929" s="71">
        <v>13.6</v>
      </c>
      <c r="K2929" s="121">
        <v>6.5000000000000006E-3</v>
      </c>
      <c r="L2929" s="121">
        <v>-7.0000000000000001E-3</v>
      </c>
      <c r="M2929" s="75" t="s">
        <v>146</v>
      </c>
      <c r="N2929" s="75" t="b">
        <v>1</v>
      </c>
      <c r="O2929" s="75" t="s">
        <v>145</v>
      </c>
      <c r="P2929" s="75">
        <v>2014</v>
      </c>
      <c r="Q2929" s="107">
        <f t="shared" si="84"/>
        <v>2016</v>
      </c>
      <c r="R2929" s="107">
        <v>2</v>
      </c>
      <c r="S2929" s="43">
        <v>216006</v>
      </c>
      <c r="T2929" s="74">
        <v>42397</v>
      </c>
    </row>
    <row r="2930" spans="1:20" x14ac:dyDescent="0.3">
      <c r="A2930" s="42">
        <v>42378</v>
      </c>
      <c r="B2930" s="37">
        <v>20160109</v>
      </c>
      <c r="C2930" s="109">
        <v>1.9299999999999998E-2</v>
      </c>
      <c r="D2930" s="109">
        <v>6.0000000000000001E-3</v>
      </c>
      <c r="E2930" s="109">
        <v>0.01</v>
      </c>
      <c r="F2930" s="109">
        <v>1.0999999999999999E-2</v>
      </c>
      <c r="G2930" s="130">
        <v>0</v>
      </c>
      <c r="H2930" s="71">
        <v>8.5</v>
      </c>
      <c r="I2930" s="71">
        <v>11.1</v>
      </c>
      <c r="J2930" s="71">
        <v>13.6</v>
      </c>
      <c r="K2930" s="121">
        <v>6.5000000000000006E-3</v>
      </c>
      <c r="L2930" s="121">
        <v>-7.0000000000000001E-3</v>
      </c>
      <c r="M2930" s="75" t="s">
        <v>146</v>
      </c>
      <c r="N2930" s="75" t="b">
        <v>1</v>
      </c>
      <c r="O2930" s="75" t="s">
        <v>145</v>
      </c>
      <c r="P2930" s="75">
        <v>2014</v>
      </c>
      <c r="Q2930" s="107">
        <f t="shared" si="84"/>
        <v>2016</v>
      </c>
      <c r="R2930" s="107">
        <v>2</v>
      </c>
      <c r="S2930" s="43">
        <v>216006</v>
      </c>
      <c r="T2930" s="74">
        <v>42397</v>
      </c>
    </row>
    <row r="2931" spans="1:20" x14ac:dyDescent="0.3">
      <c r="A2931" s="42">
        <v>42379</v>
      </c>
      <c r="B2931" s="37">
        <v>20160110</v>
      </c>
      <c r="C2931" s="109">
        <v>1.9299999999999998E-2</v>
      </c>
      <c r="D2931" s="109">
        <v>6.0000000000000001E-3</v>
      </c>
      <c r="E2931" s="109">
        <v>0.01</v>
      </c>
      <c r="F2931" s="109">
        <v>1.0999999999999999E-2</v>
      </c>
      <c r="G2931" s="130">
        <v>0</v>
      </c>
      <c r="H2931" s="71">
        <v>8.5</v>
      </c>
      <c r="I2931" s="71">
        <v>11.1</v>
      </c>
      <c r="J2931" s="71">
        <v>13.6</v>
      </c>
      <c r="K2931" s="121">
        <v>6.5000000000000006E-3</v>
      </c>
      <c r="L2931" s="121">
        <v>-7.0000000000000001E-3</v>
      </c>
      <c r="M2931" s="75" t="s">
        <v>146</v>
      </c>
      <c r="N2931" s="75" t="b">
        <v>1</v>
      </c>
      <c r="O2931" s="75" t="s">
        <v>145</v>
      </c>
      <c r="P2931" s="75">
        <v>2014</v>
      </c>
      <c r="Q2931" s="107">
        <f t="shared" si="84"/>
        <v>2016</v>
      </c>
      <c r="R2931" s="107">
        <v>2</v>
      </c>
      <c r="S2931" s="43">
        <v>216006</v>
      </c>
      <c r="T2931" s="74">
        <v>42397</v>
      </c>
    </row>
    <row r="2932" spans="1:20" x14ac:dyDescent="0.3">
      <c r="A2932" s="42">
        <v>42380</v>
      </c>
      <c r="B2932" s="37">
        <v>20160111</v>
      </c>
      <c r="C2932" s="109">
        <v>1.9599999999999999E-2</v>
      </c>
      <c r="D2932" s="109">
        <v>6.0000000000000001E-3</v>
      </c>
      <c r="E2932" s="109">
        <v>0.01</v>
      </c>
      <c r="F2932" s="109">
        <v>1.0999999999999999E-2</v>
      </c>
      <c r="G2932" s="130">
        <v>0</v>
      </c>
      <c r="H2932" s="71">
        <v>8.5</v>
      </c>
      <c r="I2932" s="71">
        <v>11.1</v>
      </c>
      <c r="J2932" s="71">
        <v>13.6</v>
      </c>
      <c r="K2932" s="121">
        <v>6.8999999999999999E-3</v>
      </c>
      <c r="L2932" s="121">
        <v>-7.0000000000000001E-3</v>
      </c>
      <c r="M2932" s="75" t="s">
        <v>146</v>
      </c>
      <c r="N2932" s="75" t="b">
        <v>1</v>
      </c>
      <c r="O2932" s="75" t="s">
        <v>145</v>
      </c>
      <c r="P2932" s="75">
        <v>2014</v>
      </c>
      <c r="Q2932" s="107">
        <f t="shared" si="84"/>
        <v>2016</v>
      </c>
      <c r="R2932" s="107">
        <v>2</v>
      </c>
      <c r="S2932" s="43">
        <v>216006</v>
      </c>
      <c r="T2932" s="74">
        <v>42397</v>
      </c>
    </row>
    <row r="2933" spans="1:20" x14ac:dyDescent="0.3">
      <c r="A2933" s="42">
        <v>42381</v>
      </c>
      <c r="B2933" s="37">
        <v>20160112</v>
      </c>
      <c r="C2933" s="109">
        <v>1.9099999999999999E-2</v>
      </c>
      <c r="D2933" s="109">
        <v>6.0000000000000001E-3</v>
      </c>
      <c r="E2933" s="109">
        <v>0.01</v>
      </c>
      <c r="F2933" s="109">
        <v>1.0999999999999999E-2</v>
      </c>
      <c r="G2933" s="130">
        <v>0</v>
      </c>
      <c r="H2933" s="71">
        <v>8.5</v>
      </c>
      <c r="I2933" s="71">
        <v>11.1</v>
      </c>
      <c r="J2933" s="71">
        <v>13.6</v>
      </c>
      <c r="K2933" s="121">
        <v>6.7000000000000002E-3</v>
      </c>
      <c r="L2933" s="121">
        <v>-7.0000000000000001E-3</v>
      </c>
      <c r="M2933" s="75" t="s">
        <v>146</v>
      </c>
      <c r="N2933" s="75" t="b">
        <v>1</v>
      </c>
      <c r="O2933" s="75" t="s">
        <v>145</v>
      </c>
      <c r="P2933" s="75">
        <v>2014</v>
      </c>
      <c r="Q2933" s="107">
        <f t="shared" si="84"/>
        <v>2016</v>
      </c>
      <c r="R2933" s="107">
        <v>2</v>
      </c>
      <c r="S2933" s="43">
        <v>216006</v>
      </c>
      <c r="T2933" s="74">
        <v>42397</v>
      </c>
    </row>
    <row r="2934" spans="1:20" x14ac:dyDescent="0.3">
      <c r="A2934" s="42">
        <v>42382</v>
      </c>
      <c r="B2934" s="37">
        <v>20160113</v>
      </c>
      <c r="C2934" s="109">
        <v>1.8799999999999997E-2</v>
      </c>
      <c r="D2934" s="109">
        <v>6.0000000000000001E-3</v>
      </c>
      <c r="E2934" s="109">
        <v>0.01</v>
      </c>
      <c r="F2934" s="109">
        <v>1.0999999999999999E-2</v>
      </c>
      <c r="G2934" s="130">
        <v>0</v>
      </c>
      <c r="H2934" s="71">
        <v>8.5</v>
      </c>
      <c r="I2934" s="71">
        <v>11.1</v>
      </c>
      <c r="J2934" s="71">
        <v>13.6</v>
      </c>
      <c r="K2934" s="121">
        <v>6.4000000000000003E-3</v>
      </c>
      <c r="L2934" s="121">
        <v>-7.0000000000000001E-3</v>
      </c>
      <c r="M2934" s="75" t="s">
        <v>146</v>
      </c>
      <c r="N2934" s="75" t="b">
        <v>1</v>
      </c>
      <c r="O2934" s="75" t="s">
        <v>145</v>
      </c>
      <c r="P2934" s="75">
        <v>2014</v>
      </c>
      <c r="Q2934" s="107">
        <f t="shared" si="84"/>
        <v>2016</v>
      </c>
      <c r="R2934" s="107">
        <v>2</v>
      </c>
      <c r="S2934" s="43">
        <v>216006</v>
      </c>
      <c r="T2934" s="74">
        <v>42397</v>
      </c>
    </row>
    <row r="2935" spans="1:20" x14ac:dyDescent="0.3">
      <c r="A2935" s="42">
        <v>42383</v>
      </c>
      <c r="B2935" s="37">
        <v>20160114</v>
      </c>
      <c r="C2935" s="109">
        <v>1.9099999999999999E-2</v>
      </c>
      <c r="D2935" s="109">
        <v>6.0000000000000001E-3</v>
      </c>
      <c r="E2935" s="109">
        <v>0.01</v>
      </c>
      <c r="F2935" s="109">
        <v>1.0999999999999999E-2</v>
      </c>
      <c r="G2935" s="130">
        <v>0</v>
      </c>
      <c r="H2935" s="71">
        <v>8.5</v>
      </c>
      <c r="I2935" s="71">
        <v>11.1</v>
      </c>
      <c r="J2935" s="71">
        <v>13.6</v>
      </c>
      <c r="K2935" s="121">
        <v>6.8000000000000005E-3</v>
      </c>
      <c r="L2935" s="121">
        <v>-7.0000000000000001E-3</v>
      </c>
      <c r="M2935" s="75" t="s">
        <v>146</v>
      </c>
      <c r="N2935" s="75" t="b">
        <v>1</v>
      </c>
      <c r="O2935" s="75" t="s">
        <v>145</v>
      </c>
      <c r="P2935" s="75">
        <v>2014</v>
      </c>
      <c r="Q2935" s="107">
        <f t="shared" si="84"/>
        <v>2016</v>
      </c>
      <c r="R2935" s="107">
        <v>2</v>
      </c>
      <c r="S2935" s="43">
        <v>216006</v>
      </c>
      <c r="T2935" s="74">
        <v>42397</v>
      </c>
    </row>
    <row r="2936" spans="1:20" x14ac:dyDescent="0.3">
      <c r="A2936" s="42">
        <v>42384</v>
      </c>
      <c r="B2936" s="37">
        <v>20160115</v>
      </c>
      <c r="C2936" s="109">
        <v>1.83E-2</v>
      </c>
      <c r="D2936" s="109">
        <v>6.0000000000000001E-3</v>
      </c>
      <c r="E2936" s="109">
        <v>0.01</v>
      </c>
      <c r="F2936" s="109">
        <v>1.0999999999999999E-2</v>
      </c>
      <c r="G2936" s="130">
        <v>0</v>
      </c>
      <c r="H2936" s="71">
        <v>8.5</v>
      </c>
      <c r="I2936" s="71">
        <v>11.1</v>
      </c>
      <c r="J2936" s="71">
        <v>13.6</v>
      </c>
      <c r="K2936" s="121">
        <v>6.4000000000000003E-3</v>
      </c>
      <c r="L2936" s="121">
        <v>-7.0000000000000001E-3</v>
      </c>
      <c r="M2936" s="75" t="s">
        <v>146</v>
      </c>
      <c r="N2936" s="75" t="b">
        <v>1</v>
      </c>
      <c r="O2936" s="75" t="s">
        <v>145</v>
      </c>
      <c r="P2936" s="75">
        <v>2014</v>
      </c>
      <c r="Q2936" s="107">
        <f t="shared" si="84"/>
        <v>2016</v>
      </c>
      <c r="R2936" s="107">
        <v>2</v>
      </c>
      <c r="S2936" s="43">
        <v>216006</v>
      </c>
      <c r="T2936" s="74">
        <v>42397</v>
      </c>
    </row>
    <row r="2937" spans="1:20" x14ac:dyDescent="0.3">
      <c r="A2937" s="42">
        <v>42385</v>
      </c>
      <c r="B2937" s="37">
        <v>20160116</v>
      </c>
      <c r="C2937" s="109">
        <v>1.83E-2</v>
      </c>
      <c r="D2937" s="109">
        <v>6.0000000000000001E-3</v>
      </c>
      <c r="E2937" s="109">
        <v>0.01</v>
      </c>
      <c r="F2937" s="109">
        <v>1.0999999999999999E-2</v>
      </c>
      <c r="G2937" s="130">
        <v>0</v>
      </c>
      <c r="H2937" s="71">
        <v>8.5</v>
      </c>
      <c r="I2937" s="71">
        <v>11.1</v>
      </c>
      <c r="J2937" s="71">
        <v>13.6</v>
      </c>
      <c r="K2937" s="121">
        <v>6.4000000000000003E-3</v>
      </c>
      <c r="L2937" s="121">
        <v>-7.0000000000000001E-3</v>
      </c>
      <c r="M2937" s="75" t="s">
        <v>146</v>
      </c>
      <c r="N2937" s="75" t="b">
        <v>1</v>
      </c>
      <c r="O2937" s="75" t="s">
        <v>145</v>
      </c>
      <c r="P2937" s="75">
        <v>2014</v>
      </c>
      <c r="Q2937" s="107">
        <f t="shared" si="84"/>
        <v>2016</v>
      </c>
      <c r="R2937" s="107">
        <v>2</v>
      </c>
      <c r="S2937" s="43">
        <v>216006</v>
      </c>
      <c r="T2937" s="74">
        <v>42397</v>
      </c>
    </row>
    <row r="2938" spans="1:20" x14ac:dyDescent="0.3">
      <c r="A2938" s="42">
        <v>42386</v>
      </c>
      <c r="B2938" s="37">
        <v>20160117</v>
      </c>
      <c r="C2938" s="109">
        <v>1.83E-2</v>
      </c>
      <c r="D2938" s="109">
        <v>6.0000000000000001E-3</v>
      </c>
      <c r="E2938" s="109">
        <v>0.01</v>
      </c>
      <c r="F2938" s="109">
        <v>1.0999999999999999E-2</v>
      </c>
      <c r="G2938" s="130">
        <v>0</v>
      </c>
      <c r="H2938" s="71">
        <v>8.5</v>
      </c>
      <c r="I2938" s="71">
        <v>11.1</v>
      </c>
      <c r="J2938" s="71">
        <v>13.6</v>
      </c>
      <c r="K2938" s="121">
        <v>6.4000000000000003E-3</v>
      </c>
      <c r="L2938" s="121">
        <v>-7.0000000000000001E-3</v>
      </c>
      <c r="M2938" s="75" t="s">
        <v>146</v>
      </c>
      <c r="N2938" s="75" t="b">
        <v>1</v>
      </c>
      <c r="O2938" s="75" t="s">
        <v>145</v>
      </c>
      <c r="P2938" s="75">
        <v>2014</v>
      </c>
      <c r="Q2938" s="107">
        <f t="shared" si="84"/>
        <v>2016</v>
      </c>
      <c r="R2938" s="107">
        <v>2</v>
      </c>
      <c r="S2938" s="43">
        <v>216006</v>
      </c>
      <c r="T2938" s="74">
        <v>42397</v>
      </c>
    </row>
    <row r="2939" spans="1:20" x14ac:dyDescent="0.3">
      <c r="A2939" s="42">
        <v>42387</v>
      </c>
      <c r="B2939" s="37">
        <v>20160118</v>
      </c>
      <c r="C2939" s="109">
        <v>1.84E-2</v>
      </c>
      <c r="D2939" s="109">
        <v>6.0000000000000001E-3</v>
      </c>
      <c r="E2939" s="109">
        <v>0.01</v>
      </c>
      <c r="F2939" s="109">
        <v>1.0999999999999999E-2</v>
      </c>
      <c r="G2939" s="130">
        <v>0</v>
      </c>
      <c r="H2939" s="71">
        <v>8.5</v>
      </c>
      <c r="I2939" s="71">
        <v>11.1</v>
      </c>
      <c r="J2939" s="71">
        <v>13.6</v>
      </c>
      <c r="K2939" s="121">
        <v>6.7000000000000002E-3</v>
      </c>
      <c r="L2939" s="121">
        <v>-7.0000000000000001E-3</v>
      </c>
      <c r="M2939" s="75" t="s">
        <v>146</v>
      </c>
      <c r="N2939" s="75" t="b">
        <v>1</v>
      </c>
      <c r="O2939" s="75" t="s">
        <v>145</v>
      </c>
      <c r="P2939" s="75">
        <v>2014</v>
      </c>
      <c r="Q2939" s="107">
        <f t="shared" si="84"/>
        <v>2016</v>
      </c>
      <c r="R2939" s="107">
        <v>2</v>
      </c>
      <c r="S2939" s="43">
        <v>216006</v>
      </c>
      <c r="T2939" s="74">
        <v>42397</v>
      </c>
    </row>
    <row r="2940" spans="1:20" x14ac:dyDescent="0.3">
      <c r="A2940" s="42">
        <v>42388</v>
      </c>
      <c r="B2940" s="37">
        <v>20160119</v>
      </c>
      <c r="C2940" s="109">
        <v>1.8500000000000003E-2</v>
      </c>
      <c r="D2940" s="109">
        <v>6.0000000000000001E-3</v>
      </c>
      <c r="E2940" s="109">
        <v>0.01</v>
      </c>
      <c r="F2940" s="109">
        <v>1.0999999999999999E-2</v>
      </c>
      <c r="G2940" s="130">
        <v>0</v>
      </c>
      <c r="H2940" s="71">
        <v>8.5</v>
      </c>
      <c r="I2940" s="71">
        <v>11.1</v>
      </c>
      <c r="J2940" s="71">
        <v>13.6</v>
      </c>
      <c r="K2940" s="121">
        <v>6.8000000000000005E-3</v>
      </c>
      <c r="L2940" s="121">
        <v>-7.0000000000000001E-3</v>
      </c>
      <c r="M2940" s="75" t="s">
        <v>146</v>
      </c>
      <c r="N2940" s="75" t="b">
        <v>1</v>
      </c>
      <c r="O2940" s="75" t="s">
        <v>145</v>
      </c>
      <c r="P2940" s="75">
        <v>2014</v>
      </c>
      <c r="Q2940" s="107">
        <f t="shared" si="84"/>
        <v>2016</v>
      </c>
      <c r="R2940" s="107">
        <v>2</v>
      </c>
      <c r="S2940" s="43">
        <v>216006</v>
      </c>
      <c r="T2940" s="74">
        <v>42397</v>
      </c>
    </row>
    <row r="2941" spans="1:20" x14ac:dyDescent="0.3">
      <c r="A2941" s="42">
        <v>42389</v>
      </c>
      <c r="B2941" s="37">
        <v>20160120</v>
      </c>
      <c r="C2941" s="109">
        <v>1.8000000000000002E-2</v>
      </c>
      <c r="D2941" s="109">
        <v>6.0000000000000001E-3</v>
      </c>
      <c r="E2941" s="109">
        <v>0.01</v>
      </c>
      <c r="F2941" s="109">
        <v>1.0999999999999999E-2</v>
      </c>
      <c r="G2941" s="130">
        <v>0</v>
      </c>
      <c r="H2941" s="71">
        <v>8.5</v>
      </c>
      <c r="I2941" s="71">
        <v>11.1</v>
      </c>
      <c r="J2941" s="71">
        <v>13.6</v>
      </c>
      <c r="K2941" s="121">
        <v>6.7000000000000002E-3</v>
      </c>
      <c r="L2941" s="121">
        <v>-7.0000000000000001E-3</v>
      </c>
      <c r="M2941" s="75" t="s">
        <v>146</v>
      </c>
      <c r="N2941" s="75" t="b">
        <v>1</v>
      </c>
      <c r="O2941" s="75" t="s">
        <v>145</v>
      </c>
      <c r="P2941" s="75">
        <v>2014</v>
      </c>
      <c r="Q2941" s="107">
        <f t="shared" si="84"/>
        <v>2016</v>
      </c>
      <c r="R2941" s="107">
        <v>2</v>
      </c>
      <c r="S2941" s="43">
        <v>216006</v>
      </c>
      <c r="T2941" s="74">
        <v>42397</v>
      </c>
    </row>
    <row r="2942" spans="1:20" x14ac:dyDescent="0.3">
      <c r="A2942" s="42">
        <v>42390</v>
      </c>
      <c r="B2942" s="37">
        <v>20160121</v>
      </c>
      <c r="C2942" s="109">
        <v>1.8799999999999997E-2</v>
      </c>
      <c r="D2942" s="109">
        <v>6.0000000000000001E-3</v>
      </c>
      <c r="E2942" s="109">
        <v>0.01</v>
      </c>
      <c r="F2942" s="109">
        <v>1.0999999999999999E-2</v>
      </c>
      <c r="G2942" s="130">
        <v>0</v>
      </c>
      <c r="H2942" s="71">
        <v>8.5</v>
      </c>
      <c r="I2942" s="71">
        <v>11.1</v>
      </c>
      <c r="J2942" s="71">
        <v>13.6</v>
      </c>
      <c r="K2942" s="121">
        <v>7.0999999999999995E-3</v>
      </c>
      <c r="L2942" s="121">
        <v>-7.0000000000000001E-3</v>
      </c>
      <c r="M2942" s="75" t="s">
        <v>146</v>
      </c>
      <c r="N2942" s="75" t="b">
        <v>1</v>
      </c>
      <c r="O2942" s="75" t="s">
        <v>145</v>
      </c>
      <c r="P2942" s="75">
        <v>2014</v>
      </c>
      <c r="Q2942" s="107">
        <f t="shared" si="84"/>
        <v>2016</v>
      </c>
      <c r="R2942" s="107">
        <v>2</v>
      </c>
      <c r="S2942" s="43">
        <v>216006</v>
      </c>
      <c r="T2942" s="74">
        <v>42397</v>
      </c>
    </row>
    <row r="2943" spans="1:20" x14ac:dyDescent="0.3">
      <c r="A2943" s="42">
        <v>42391</v>
      </c>
      <c r="B2943" s="37">
        <v>20160122</v>
      </c>
      <c r="C2943" s="109">
        <v>1.95E-2</v>
      </c>
      <c r="D2943" s="109">
        <v>6.0000000000000001E-3</v>
      </c>
      <c r="E2943" s="109">
        <v>0.01</v>
      </c>
      <c r="F2943" s="109">
        <v>1.0999999999999999E-2</v>
      </c>
      <c r="G2943" s="130">
        <v>0</v>
      </c>
      <c r="H2943" s="71">
        <v>8.5</v>
      </c>
      <c r="I2943" s="71">
        <v>11.1</v>
      </c>
      <c r="J2943" s="71">
        <v>13.6</v>
      </c>
      <c r="K2943" s="121">
        <v>7.6E-3</v>
      </c>
      <c r="L2943" s="121">
        <v>-7.0000000000000001E-3</v>
      </c>
      <c r="M2943" s="75" t="s">
        <v>146</v>
      </c>
      <c r="N2943" s="75" t="b">
        <v>1</v>
      </c>
      <c r="O2943" s="75" t="s">
        <v>145</v>
      </c>
      <c r="P2943" s="75">
        <v>2014</v>
      </c>
      <c r="Q2943" s="107">
        <f t="shared" si="84"/>
        <v>2016</v>
      </c>
      <c r="R2943" s="107">
        <v>2</v>
      </c>
      <c r="S2943" s="43">
        <v>216006</v>
      </c>
      <c r="T2943" s="74">
        <v>42397</v>
      </c>
    </row>
    <row r="2944" spans="1:20" x14ac:dyDescent="0.3">
      <c r="A2944" s="42">
        <v>42392</v>
      </c>
      <c r="B2944" s="37">
        <v>20160123</v>
      </c>
      <c r="C2944" s="109">
        <v>1.95E-2</v>
      </c>
      <c r="D2944" s="109">
        <v>6.0000000000000001E-3</v>
      </c>
      <c r="E2944" s="109">
        <v>0.01</v>
      </c>
      <c r="F2944" s="109">
        <v>1.0999999999999999E-2</v>
      </c>
      <c r="G2944" s="130">
        <v>0</v>
      </c>
      <c r="H2944" s="71">
        <v>8.5</v>
      </c>
      <c r="I2944" s="71">
        <v>11.1</v>
      </c>
      <c r="J2944" s="71">
        <v>13.6</v>
      </c>
      <c r="K2944" s="121">
        <v>7.6E-3</v>
      </c>
      <c r="L2944" s="121">
        <v>-7.0000000000000001E-3</v>
      </c>
      <c r="M2944" s="75" t="s">
        <v>146</v>
      </c>
      <c r="N2944" s="75" t="b">
        <v>1</v>
      </c>
      <c r="O2944" s="75" t="s">
        <v>145</v>
      </c>
      <c r="P2944" s="75">
        <v>2014</v>
      </c>
      <c r="Q2944" s="107">
        <f t="shared" si="84"/>
        <v>2016</v>
      </c>
      <c r="R2944" s="107">
        <v>2</v>
      </c>
      <c r="S2944" s="43">
        <v>216006</v>
      </c>
      <c r="T2944" s="74">
        <v>42397</v>
      </c>
    </row>
    <row r="2945" spans="1:20" x14ac:dyDescent="0.3">
      <c r="A2945" s="42">
        <v>42393</v>
      </c>
      <c r="B2945" s="37">
        <v>20160124</v>
      </c>
      <c r="C2945" s="109">
        <v>1.95E-2</v>
      </c>
      <c r="D2945" s="109">
        <v>6.0000000000000001E-3</v>
      </c>
      <c r="E2945" s="109">
        <v>0.01</v>
      </c>
      <c r="F2945" s="109">
        <v>1.0999999999999999E-2</v>
      </c>
      <c r="G2945" s="130">
        <v>0</v>
      </c>
      <c r="H2945" s="71">
        <v>8.5</v>
      </c>
      <c r="I2945" s="71">
        <v>11.1</v>
      </c>
      <c r="J2945" s="71">
        <v>13.6</v>
      </c>
      <c r="K2945" s="121">
        <v>7.6E-3</v>
      </c>
      <c r="L2945" s="121">
        <v>-7.0000000000000001E-3</v>
      </c>
      <c r="M2945" s="75" t="s">
        <v>146</v>
      </c>
      <c r="N2945" s="75" t="b">
        <v>1</v>
      </c>
      <c r="O2945" s="75" t="s">
        <v>145</v>
      </c>
      <c r="P2945" s="75">
        <v>2014</v>
      </c>
      <c r="Q2945" s="107">
        <f t="shared" si="84"/>
        <v>2016</v>
      </c>
      <c r="R2945" s="107">
        <v>2</v>
      </c>
      <c r="S2945" s="43">
        <v>216006</v>
      </c>
      <c r="T2945" s="74">
        <v>42397</v>
      </c>
    </row>
    <row r="2946" spans="1:20" x14ac:dyDescent="0.3">
      <c r="A2946" s="42">
        <v>42394</v>
      </c>
      <c r="B2946" s="37">
        <v>20160125</v>
      </c>
      <c r="C2946" s="109">
        <v>1.9199999999999998E-2</v>
      </c>
      <c r="D2946" s="109">
        <v>6.0000000000000001E-3</v>
      </c>
      <c r="E2946" s="109">
        <v>0.01</v>
      </c>
      <c r="F2946" s="109">
        <v>1.0999999999999999E-2</v>
      </c>
      <c r="G2946" s="130">
        <v>0</v>
      </c>
      <c r="H2946" s="71">
        <v>8.5</v>
      </c>
      <c r="I2946" s="71">
        <v>11.1</v>
      </c>
      <c r="J2946" s="71">
        <v>13.6</v>
      </c>
      <c r="K2946" s="121">
        <v>7.4000000000000003E-3</v>
      </c>
      <c r="L2946" s="121">
        <v>-7.0000000000000001E-3</v>
      </c>
      <c r="M2946" s="75" t="s">
        <v>146</v>
      </c>
      <c r="N2946" s="75" t="b">
        <v>1</v>
      </c>
      <c r="O2946" s="75" t="s">
        <v>145</v>
      </c>
      <c r="P2946" s="75">
        <v>2014</v>
      </c>
      <c r="Q2946" s="107">
        <f t="shared" si="84"/>
        <v>2016</v>
      </c>
      <c r="R2946" s="107">
        <v>2</v>
      </c>
      <c r="S2946" s="43">
        <v>216006</v>
      </c>
      <c r="T2946" s="74">
        <v>42397</v>
      </c>
    </row>
    <row r="2947" spans="1:20" x14ac:dyDescent="0.3">
      <c r="A2947" s="42">
        <v>42395</v>
      </c>
      <c r="B2947" s="37">
        <v>20160126</v>
      </c>
      <c r="C2947" s="109">
        <v>1.9199999999999998E-2</v>
      </c>
      <c r="D2947" s="109">
        <v>6.0000000000000001E-3</v>
      </c>
      <c r="E2947" s="109">
        <v>0.01</v>
      </c>
      <c r="F2947" s="109">
        <v>1.0999999999999999E-2</v>
      </c>
      <c r="G2947" s="130">
        <v>0</v>
      </c>
      <c r="H2947" s="71">
        <v>8.5</v>
      </c>
      <c r="I2947" s="71">
        <v>11.1</v>
      </c>
      <c r="J2947" s="71">
        <v>13.6</v>
      </c>
      <c r="K2947" s="121">
        <v>7.3000000000000001E-3</v>
      </c>
      <c r="L2947" s="121">
        <v>-7.0000000000000001E-3</v>
      </c>
      <c r="M2947" s="75" t="s">
        <v>146</v>
      </c>
      <c r="N2947" s="75" t="b">
        <v>1</v>
      </c>
      <c r="O2947" s="75" t="s">
        <v>145</v>
      </c>
      <c r="P2947" s="75">
        <v>2014</v>
      </c>
      <c r="Q2947" s="107">
        <f t="shared" si="84"/>
        <v>2016</v>
      </c>
      <c r="R2947" s="107">
        <v>2</v>
      </c>
      <c r="S2947" s="43">
        <v>216006</v>
      </c>
      <c r="T2947" s="74">
        <v>42397</v>
      </c>
    </row>
    <row r="2948" spans="1:20" x14ac:dyDescent="0.3">
      <c r="A2948" s="42">
        <v>42396</v>
      </c>
      <c r="B2948" s="37">
        <v>20160127</v>
      </c>
      <c r="C2948" s="109">
        <v>1.9E-2</v>
      </c>
      <c r="D2948" s="109">
        <v>6.0000000000000001E-3</v>
      </c>
      <c r="E2948" s="109">
        <v>0.01</v>
      </c>
      <c r="F2948" s="109">
        <v>1.0999999999999999E-2</v>
      </c>
      <c r="G2948" s="130">
        <v>0</v>
      </c>
      <c r="H2948" s="71">
        <v>8.5</v>
      </c>
      <c r="I2948" s="71">
        <v>11.1</v>
      </c>
      <c r="J2948" s="71">
        <v>13.6</v>
      </c>
      <c r="K2948" s="121">
        <v>6.8000000000000005E-3</v>
      </c>
      <c r="L2948" s="121">
        <v>-7.0000000000000001E-3</v>
      </c>
      <c r="M2948" s="75" t="s">
        <v>146</v>
      </c>
      <c r="N2948" s="75" t="b">
        <v>1</v>
      </c>
      <c r="O2948" s="75" t="s">
        <v>145</v>
      </c>
      <c r="P2948" s="75">
        <v>2014</v>
      </c>
      <c r="Q2948" s="107">
        <f t="shared" si="84"/>
        <v>2016</v>
      </c>
      <c r="R2948" s="107">
        <v>2</v>
      </c>
      <c r="S2948" s="43">
        <v>216006</v>
      </c>
      <c r="T2948" s="74">
        <v>42397</v>
      </c>
    </row>
    <row r="2949" spans="1:20" x14ac:dyDescent="0.3">
      <c r="A2949" s="42">
        <v>42397</v>
      </c>
      <c r="B2949" s="37">
        <v>20160128</v>
      </c>
      <c r="C2949" s="109">
        <v>1.89E-2</v>
      </c>
      <c r="D2949" s="109">
        <v>6.0000000000000001E-3</v>
      </c>
      <c r="E2949" s="109">
        <v>0.01</v>
      </c>
      <c r="F2949" s="109">
        <v>1.0999999999999999E-2</v>
      </c>
      <c r="G2949" s="130">
        <v>0</v>
      </c>
      <c r="H2949" s="71">
        <v>8.5</v>
      </c>
      <c r="I2949" s="71">
        <v>11.1</v>
      </c>
      <c r="J2949" s="71">
        <v>13.6</v>
      </c>
      <c r="K2949" s="121">
        <v>6.6E-3</v>
      </c>
      <c r="L2949" s="121">
        <v>-7.0000000000000001E-3</v>
      </c>
      <c r="M2949" s="75" t="s">
        <v>146</v>
      </c>
      <c r="N2949" s="75" t="b">
        <v>1</v>
      </c>
      <c r="O2949" s="75" t="s">
        <v>145</v>
      </c>
      <c r="P2949" s="75">
        <v>2014</v>
      </c>
      <c r="Q2949" s="107">
        <f t="shared" si="84"/>
        <v>2016</v>
      </c>
      <c r="R2949" s="107">
        <v>2</v>
      </c>
      <c r="S2949" s="43">
        <v>216006</v>
      </c>
      <c r="T2949" s="74">
        <v>42397</v>
      </c>
    </row>
    <row r="2950" spans="1:20" x14ac:dyDescent="0.3">
      <c r="A2950" s="42">
        <v>42398</v>
      </c>
      <c r="B2950" s="37">
        <v>20160129</v>
      </c>
      <c r="C2950" s="109">
        <v>1.8700000000000001E-2</v>
      </c>
      <c r="D2950" s="109">
        <v>6.0000000000000001E-3</v>
      </c>
      <c r="E2950" s="109">
        <v>0.01</v>
      </c>
      <c r="F2950" s="109">
        <v>1.0999999999999999E-2</v>
      </c>
      <c r="G2950" s="130">
        <v>0</v>
      </c>
      <c r="H2950" s="71">
        <v>8.5</v>
      </c>
      <c r="I2950" s="71">
        <v>11.1</v>
      </c>
      <c r="J2950" s="71">
        <v>13.6</v>
      </c>
      <c r="K2950" s="121">
        <v>6.4999999999999997E-3</v>
      </c>
      <c r="L2950" s="121">
        <v>-7.0000000000000001E-3</v>
      </c>
      <c r="M2950" s="75" t="s">
        <v>146</v>
      </c>
      <c r="N2950" s="75" t="b">
        <v>1</v>
      </c>
      <c r="O2950" s="75" t="s">
        <v>145</v>
      </c>
      <c r="P2950" s="75">
        <v>2014</v>
      </c>
      <c r="Q2950" s="107">
        <f t="shared" si="84"/>
        <v>2016</v>
      </c>
      <c r="R2950" s="107">
        <v>2</v>
      </c>
      <c r="S2950" s="43">
        <v>216006</v>
      </c>
      <c r="T2950" s="74">
        <v>42397</v>
      </c>
    </row>
    <row r="2951" spans="1:20" x14ac:dyDescent="0.3">
      <c r="A2951" s="42">
        <v>42399</v>
      </c>
      <c r="B2951" s="37">
        <v>20160130</v>
      </c>
      <c r="C2951" s="109">
        <v>1.8700000000000001E-2</v>
      </c>
      <c r="D2951" s="109">
        <v>6.0000000000000001E-3</v>
      </c>
      <c r="E2951" s="109">
        <v>0.01</v>
      </c>
      <c r="F2951" s="109">
        <v>1.0999999999999999E-2</v>
      </c>
      <c r="G2951" s="130">
        <v>0</v>
      </c>
      <c r="H2951" s="71">
        <v>8.5</v>
      </c>
      <c r="I2951" s="71">
        <v>11.1</v>
      </c>
      <c r="J2951" s="71">
        <v>13.6</v>
      </c>
      <c r="K2951" s="121">
        <v>6.4999999999999997E-3</v>
      </c>
      <c r="L2951" s="121">
        <v>-7.0000000000000001E-3</v>
      </c>
      <c r="M2951" s="75" t="s">
        <v>146</v>
      </c>
      <c r="N2951" s="75" t="b">
        <v>1</v>
      </c>
      <c r="O2951" s="75" t="s">
        <v>145</v>
      </c>
      <c r="P2951" s="75">
        <v>2014</v>
      </c>
      <c r="Q2951" s="107">
        <f t="shared" si="84"/>
        <v>2016</v>
      </c>
      <c r="R2951" s="107">
        <v>2</v>
      </c>
      <c r="S2951" s="43">
        <v>216006</v>
      </c>
      <c r="T2951" s="74">
        <v>42397</v>
      </c>
    </row>
    <row r="2952" spans="1:20" x14ac:dyDescent="0.3">
      <c r="A2952" s="42">
        <v>42400</v>
      </c>
      <c r="B2952" s="37">
        <v>20160131</v>
      </c>
      <c r="C2952" s="109">
        <v>1.89E-2</v>
      </c>
      <c r="D2952" s="109">
        <v>6.0000000000000001E-3</v>
      </c>
      <c r="E2952" s="109">
        <v>0.01</v>
      </c>
      <c r="F2952" s="109">
        <v>1.0999999999999999E-2</v>
      </c>
      <c r="G2952" s="130">
        <v>0</v>
      </c>
      <c r="H2952" s="71">
        <v>8.5</v>
      </c>
      <c r="I2952" s="71">
        <v>11.1</v>
      </c>
      <c r="J2952" s="71">
        <v>13.6</v>
      </c>
      <c r="K2952" s="121">
        <v>6.4999999999999997E-3</v>
      </c>
      <c r="L2952" s="121">
        <v>-7.0000000000000001E-3</v>
      </c>
      <c r="M2952" s="75" t="s">
        <v>146</v>
      </c>
      <c r="N2952" s="75" t="b">
        <v>1</v>
      </c>
      <c r="O2952" s="75" t="s">
        <v>145</v>
      </c>
      <c r="P2952" s="75">
        <v>2014</v>
      </c>
      <c r="Q2952" s="107">
        <f t="shared" si="84"/>
        <v>2016</v>
      </c>
      <c r="R2952" s="107">
        <v>2</v>
      </c>
      <c r="S2952" s="43">
        <v>216006</v>
      </c>
      <c r="T2952" s="74">
        <v>42397</v>
      </c>
    </row>
    <row r="2953" spans="1:20" x14ac:dyDescent="0.3">
      <c r="A2953" s="42">
        <v>42401</v>
      </c>
      <c r="B2953" s="37">
        <v>20160201</v>
      </c>
      <c r="C2953" s="109">
        <v>1.89E-2</v>
      </c>
      <c r="D2953" s="109">
        <v>6.0000000000000001E-3</v>
      </c>
      <c r="E2953" s="109">
        <v>0.01</v>
      </c>
      <c r="F2953" s="109">
        <v>1.0999999999999999E-2</v>
      </c>
      <c r="G2953" s="130">
        <v>0</v>
      </c>
      <c r="H2953" s="71">
        <v>8.5</v>
      </c>
      <c r="I2953" s="71">
        <v>11.1</v>
      </c>
      <c r="J2953" s="71">
        <v>13.6</v>
      </c>
      <c r="K2953" s="121">
        <v>6.7000000000000002E-3</v>
      </c>
      <c r="L2953" s="121">
        <v>-7.0000000000000001E-3</v>
      </c>
      <c r="M2953" s="75" t="s">
        <v>146</v>
      </c>
      <c r="N2953" s="75" t="b">
        <v>1</v>
      </c>
      <c r="O2953" s="75" t="s">
        <v>145</v>
      </c>
      <c r="P2953" s="75">
        <v>2014</v>
      </c>
      <c r="Q2953" s="107">
        <f t="shared" si="84"/>
        <v>2016</v>
      </c>
      <c r="R2953" s="107">
        <v>2</v>
      </c>
      <c r="S2953" s="43">
        <v>216006</v>
      </c>
      <c r="T2953" s="74">
        <v>42397</v>
      </c>
    </row>
    <row r="2954" spans="1:20" x14ac:dyDescent="0.3">
      <c r="A2954" s="42">
        <v>42402</v>
      </c>
      <c r="B2954" s="37">
        <v>20160202</v>
      </c>
      <c r="C2954" s="109">
        <v>1.78E-2</v>
      </c>
      <c r="D2954" s="109">
        <v>6.0000000000000001E-3</v>
      </c>
      <c r="E2954" s="109">
        <v>0.01</v>
      </c>
      <c r="F2954" s="109">
        <v>1.0999999999999999E-2</v>
      </c>
      <c r="G2954" s="130">
        <v>0</v>
      </c>
      <c r="H2954" s="71">
        <v>8.5</v>
      </c>
      <c r="I2954" s="71">
        <v>11.1</v>
      </c>
      <c r="J2954" s="71">
        <v>13.6</v>
      </c>
      <c r="K2954" s="121">
        <v>5.7999999999999996E-3</v>
      </c>
      <c r="L2954" s="121">
        <v>-7.0000000000000001E-3</v>
      </c>
      <c r="M2954" s="75" t="s">
        <v>146</v>
      </c>
      <c r="N2954" s="75" t="b">
        <v>1</v>
      </c>
      <c r="O2954" s="75" t="s">
        <v>145</v>
      </c>
      <c r="P2954" s="75">
        <v>2014</v>
      </c>
      <c r="Q2954" s="107">
        <f t="shared" si="84"/>
        <v>2016</v>
      </c>
      <c r="R2954" s="107">
        <v>2</v>
      </c>
      <c r="S2954" s="43">
        <v>216006</v>
      </c>
      <c r="T2954" s="74">
        <v>42397</v>
      </c>
    </row>
    <row r="2955" spans="1:20" x14ac:dyDescent="0.3">
      <c r="A2955" s="42">
        <v>42403</v>
      </c>
      <c r="B2955" s="37">
        <v>20160203</v>
      </c>
      <c r="C2955" s="109">
        <v>1.8100000000000002E-2</v>
      </c>
      <c r="D2955" s="109">
        <v>6.0000000000000001E-3</v>
      </c>
      <c r="E2955" s="109">
        <v>0.01</v>
      </c>
      <c r="F2955" s="109">
        <v>1.0999999999999999E-2</v>
      </c>
      <c r="G2955" s="130">
        <v>0</v>
      </c>
      <c r="H2955" s="71">
        <v>8.5</v>
      </c>
      <c r="I2955" s="71">
        <v>11.1</v>
      </c>
      <c r="J2955" s="71">
        <v>13.6</v>
      </c>
      <c r="K2955" s="121">
        <v>6.0000000000000001E-3</v>
      </c>
      <c r="L2955" s="121">
        <v>-7.0000000000000001E-3</v>
      </c>
      <c r="M2955" s="75" t="s">
        <v>146</v>
      </c>
      <c r="N2955" s="75" t="b">
        <v>1</v>
      </c>
      <c r="O2955" s="75" t="s">
        <v>145</v>
      </c>
      <c r="P2955" s="75">
        <v>2014</v>
      </c>
      <c r="Q2955" s="107">
        <f t="shared" si="84"/>
        <v>2016</v>
      </c>
      <c r="R2955" s="107">
        <v>2</v>
      </c>
      <c r="S2955" s="43">
        <v>216006</v>
      </c>
      <c r="T2955" s="74">
        <v>42397</v>
      </c>
    </row>
    <row r="2956" spans="1:20" x14ac:dyDescent="0.3">
      <c r="A2956" s="42">
        <v>42404</v>
      </c>
      <c r="B2956" s="37">
        <v>20160204</v>
      </c>
      <c r="C2956" s="109">
        <v>1.8200000000000001E-2</v>
      </c>
      <c r="D2956" s="109">
        <v>6.0000000000000001E-3</v>
      </c>
      <c r="E2956" s="109">
        <v>0.01</v>
      </c>
      <c r="F2956" s="109">
        <v>1.0999999999999999E-2</v>
      </c>
      <c r="G2956" s="130">
        <v>0</v>
      </c>
      <c r="H2956" s="71">
        <v>8.5</v>
      </c>
      <c r="I2956" s="71">
        <v>11.1</v>
      </c>
      <c r="J2956" s="71">
        <v>13.6</v>
      </c>
      <c r="K2956" s="121">
        <v>5.8999999999999999E-3</v>
      </c>
      <c r="L2956" s="121">
        <v>-7.0000000000000001E-3</v>
      </c>
      <c r="M2956" s="75" t="s">
        <v>146</v>
      </c>
      <c r="N2956" s="75" t="b">
        <v>1</v>
      </c>
      <c r="O2956" s="75" t="s">
        <v>145</v>
      </c>
      <c r="P2956" s="75">
        <v>2014</v>
      </c>
      <c r="Q2956" s="107">
        <f t="shared" si="84"/>
        <v>2016</v>
      </c>
      <c r="R2956" s="107">
        <v>2</v>
      </c>
      <c r="S2956" s="43">
        <v>216006</v>
      </c>
      <c r="T2956" s="74">
        <v>42397</v>
      </c>
    </row>
    <row r="2957" spans="1:20" x14ac:dyDescent="0.3">
      <c r="A2957" s="42">
        <v>42405</v>
      </c>
      <c r="B2957" s="37">
        <v>20160205</v>
      </c>
      <c r="C2957" s="109">
        <v>1.7899999999999999E-2</v>
      </c>
      <c r="D2957" s="109">
        <v>6.0000000000000001E-3</v>
      </c>
      <c r="E2957" s="109">
        <v>0.01</v>
      </c>
      <c r="F2957" s="109">
        <v>1.0999999999999999E-2</v>
      </c>
      <c r="G2957" s="130">
        <v>0</v>
      </c>
      <c r="H2957" s="71">
        <v>8.5</v>
      </c>
      <c r="I2957" s="71">
        <v>11.1</v>
      </c>
      <c r="J2957" s="71">
        <v>13.6</v>
      </c>
      <c r="K2957" s="121">
        <v>5.7000000000000002E-3</v>
      </c>
      <c r="L2957" s="121">
        <v>-7.0000000000000001E-3</v>
      </c>
      <c r="M2957" s="75" t="s">
        <v>146</v>
      </c>
      <c r="N2957" s="75" t="b">
        <v>1</v>
      </c>
      <c r="O2957" s="75" t="s">
        <v>145</v>
      </c>
      <c r="P2957" s="75">
        <v>2014</v>
      </c>
      <c r="Q2957" s="107">
        <f t="shared" si="84"/>
        <v>2016</v>
      </c>
      <c r="R2957" s="107">
        <v>2</v>
      </c>
      <c r="S2957" s="43">
        <v>216006</v>
      </c>
      <c r="T2957" s="74">
        <v>42397</v>
      </c>
    </row>
    <row r="2958" spans="1:20" x14ac:dyDescent="0.3">
      <c r="A2958" s="42">
        <v>42406</v>
      </c>
      <c r="B2958" s="37">
        <v>20160206</v>
      </c>
      <c r="C2958" s="109">
        <v>1.7899999999999999E-2</v>
      </c>
      <c r="D2958" s="109">
        <v>6.0000000000000001E-3</v>
      </c>
      <c r="E2958" s="109">
        <v>0.01</v>
      </c>
      <c r="F2958" s="109">
        <v>1.0999999999999999E-2</v>
      </c>
      <c r="G2958" s="130">
        <v>0</v>
      </c>
      <c r="H2958" s="71">
        <v>8.5</v>
      </c>
      <c r="I2958" s="71">
        <v>11.1</v>
      </c>
      <c r="J2958" s="71">
        <v>13.6</v>
      </c>
      <c r="K2958" s="121">
        <v>5.7000000000000002E-3</v>
      </c>
      <c r="L2958" s="121">
        <v>-7.0000000000000001E-3</v>
      </c>
      <c r="M2958" s="75" t="s">
        <v>146</v>
      </c>
      <c r="N2958" s="75" t="b">
        <v>1</v>
      </c>
      <c r="O2958" s="75" t="s">
        <v>145</v>
      </c>
      <c r="P2958" s="75">
        <v>2014</v>
      </c>
      <c r="Q2958" s="107">
        <f t="shared" si="84"/>
        <v>2016</v>
      </c>
      <c r="R2958" s="107">
        <v>2</v>
      </c>
      <c r="S2958" s="43">
        <v>216006</v>
      </c>
      <c r="T2958" s="74">
        <v>42397</v>
      </c>
    </row>
    <row r="2959" spans="1:20" x14ac:dyDescent="0.3">
      <c r="A2959" s="42">
        <v>42407</v>
      </c>
      <c r="B2959" s="37">
        <v>20160207</v>
      </c>
      <c r="C2959" s="109">
        <v>1.7899999999999999E-2</v>
      </c>
      <c r="D2959" s="109">
        <v>6.0000000000000001E-3</v>
      </c>
      <c r="E2959" s="109">
        <v>0.01</v>
      </c>
      <c r="F2959" s="109">
        <v>1.0999999999999999E-2</v>
      </c>
      <c r="G2959" s="130">
        <v>0</v>
      </c>
      <c r="H2959" s="71">
        <v>8.5</v>
      </c>
      <c r="I2959" s="71">
        <v>11.1</v>
      </c>
      <c r="J2959" s="71">
        <v>13.6</v>
      </c>
      <c r="K2959" s="121">
        <v>5.7000000000000002E-3</v>
      </c>
      <c r="L2959" s="121">
        <v>-7.0000000000000001E-3</v>
      </c>
      <c r="M2959" s="75" t="s">
        <v>146</v>
      </c>
      <c r="N2959" s="75" t="b">
        <v>1</v>
      </c>
      <c r="O2959" s="75" t="s">
        <v>145</v>
      </c>
      <c r="P2959" s="75">
        <v>2014</v>
      </c>
      <c r="Q2959" s="107">
        <f t="shared" si="84"/>
        <v>2016</v>
      </c>
      <c r="R2959" s="107">
        <v>2</v>
      </c>
      <c r="S2959" s="43">
        <v>216006</v>
      </c>
      <c r="T2959" s="74">
        <v>42397</v>
      </c>
    </row>
    <row r="2960" spans="1:20" x14ac:dyDescent="0.3">
      <c r="A2960" s="42">
        <v>42408</v>
      </c>
      <c r="B2960" s="37">
        <v>20160208</v>
      </c>
      <c r="C2960" s="109">
        <v>1.7100000000000001E-2</v>
      </c>
      <c r="D2960" s="109">
        <v>6.0000000000000001E-3</v>
      </c>
      <c r="E2960" s="109">
        <v>0.01</v>
      </c>
      <c r="F2960" s="109">
        <v>1.0999999999999999E-2</v>
      </c>
      <c r="G2960" s="130">
        <v>0</v>
      </c>
      <c r="H2960" s="71">
        <v>8.5</v>
      </c>
      <c r="I2960" s="71">
        <v>11.1</v>
      </c>
      <c r="J2960" s="71">
        <v>13.6</v>
      </c>
      <c r="K2960" s="121">
        <v>5.1999999999999998E-3</v>
      </c>
      <c r="L2960" s="121">
        <v>-7.0000000000000001E-3</v>
      </c>
      <c r="M2960" s="75" t="s">
        <v>146</v>
      </c>
      <c r="N2960" s="75" t="b">
        <v>1</v>
      </c>
      <c r="O2960" s="75" t="s">
        <v>145</v>
      </c>
      <c r="P2960" s="75">
        <v>2014</v>
      </c>
      <c r="Q2960" s="107">
        <f t="shared" si="84"/>
        <v>2016</v>
      </c>
      <c r="R2960" s="107">
        <v>2</v>
      </c>
      <c r="S2960" s="43">
        <v>216006</v>
      </c>
      <c r="T2960" s="74">
        <v>42397</v>
      </c>
    </row>
    <row r="2961" spans="1:20" x14ac:dyDescent="0.3">
      <c r="A2961" s="42">
        <v>42409</v>
      </c>
      <c r="B2961" s="37">
        <v>20160209</v>
      </c>
      <c r="C2961" s="109">
        <v>1.7100000000000001E-2</v>
      </c>
      <c r="D2961" s="109">
        <v>6.0000000000000001E-3</v>
      </c>
      <c r="E2961" s="109">
        <v>0.01</v>
      </c>
      <c r="F2961" s="109">
        <v>1.0999999999999999E-2</v>
      </c>
      <c r="G2961" s="130">
        <v>0</v>
      </c>
      <c r="H2961" s="71">
        <v>8.5</v>
      </c>
      <c r="I2961" s="71">
        <v>11.1</v>
      </c>
      <c r="J2961" s="71">
        <v>13.6</v>
      </c>
      <c r="K2961" s="121">
        <v>5.5000000000000005E-3</v>
      </c>
      <c r="L2961" s="121">
        <v>-7.0000000000000001E-3</v>
      </c>
      <c r="M2961" s="75" t="s">
        <v>146</v>
      </c>
      <c r="N2961" s="75" t="b">
        <v>1</v>
      </c>
      <c r="O2961" s="75" t="s">
        <v>145</v>
      </c>
      <c r="P2961" s="75">
        <v>2014</v>
      </c>
      <c r="Q2961" s="107">
        <f t="shared" si="84"/>
        <v>2016</v>
      </c>
      <c r="R2961" s="107">
        <v>2</v>
      </c>
      <c r="S2961" s="43">
        <v>216006</v>
      </c>
      <c r="T2961" s="74">
        <v>42397</v>
      </c>
    </row>
    <row r="2962" spans="1:20" x14ac:dyDescent="0.3">
      <c r="A2962" s="42">
        <v>42410</v>
      </c>
      <c r="B2962" s="37">
        <v>20160210</v>
      </c>
      <c r="C2962" s="109">
        <v>1.66E-2</v>
      </c>
      <c r="D2962" s="109">
        <v>6.0000000000000001E-3</v>
      </c>
      <c r="E2962" s="109">
        <v>0.01</v>
      </c>
      <c r="F2962" s="109">
        <v>1.0999999999999999E-2</v>
      </c>
      <c r="G2962" s="130">
        <v>0</v>
      </c>
      <c r="H2962" s="71">
        <v>8.5</v>
      </c>
      <c r="I2962" s="71">
        <v>11.1</v>
      </c>
      <c r="J2962" s="71">
        <v>13.6</v>
      </c>
      <c r="K2962" s="121">
        <v>5.1000000000000004E-3</v>
      </c>
      <c r="L2962" s="121">
        <v>-7.0000000000000001E-3</v>
      </c>
      <c r="M2962" s="75" t="s">
        <v>146</v>
      </c>
      <c r="N2962" s="75" t="b">
        <v>1</v>
      </c>
      <c r="O2962" s="75" t="s">
        <v>145</v>
      </c>
      <c r="P2962" s="75">
        <v>2014</v>
      </c>
      <c r="Q2962" s="107">
        <f t="shared" si="84"/>
        <v>2016</v>
      </c>
      <c r="R2962" s="107">
        <v>2</v>
      </c>
      <c r="S2962" s="43">
        <v>216006</v>
      </c>
      <c r="T2962" s="74">
        <v>42397</v>
      </c>
    </row>
    <row r="2963" spans="1:20" x14ac:dyDescent="0.3">
      <c r="A2963" s="42">
        <v>42411</v>
      </c>
      <c r="B2963" s="37">
        <v>20160211</v>
      </c>
      <c r="C2963" s="109">
        <v>1.67E-2</v>
      </c>
      <c r="D2963" s="109">
        <v>6.0000000000000001E-3</v>
      </c>
      <c r="E2963" s="109">
        <v>0.01</v>
      </c>
      <c r="F2963" s="109">
        <v>1.0999999999999999E-2</v>
      </c>
      <c r="G2963" s="130">
        <v>0</v>
      </c>
      <c r="H2963" s="71">
        <v>8.5</v>
      </c>
      <c r="I2963" s="71">
        <v>11.1</v>
      </c>
      <c r="J2963" s="71">
        <v>13.6</v>
      </c>
      <c r="K2963" s="121">
        <v>5.4000000000000003E-3</v>
      </c>
      <c r="L2963" s="121">
        <v>-7.0000000000000001E-3</v>
      </c>
      <c r="M2963" s="75" t="s">
        <v>146</v>
      </c>
      <c r="N2963" s="75" t="b">
        <v>1</v>
      </c>
      <c r="O2963" s="75" t="s">
        <v>145</v>
      </c>
      <c r="P2963" s="75">
        <v>2014</v>
      </c>
      <c r="Q2963" s="107">
        <f t="shared" si="84"/>
        <v>2016</v>
      </c>
      <c r="R2963" s="107">
        <v>2</v>
      </c>
      <c r="S2963" s="43">
        <v>216006</v>
      </c>
      <c r="T2963" s="74">
        <v>42397</v>
      </c>
    </row>
    <row r="2964" spans="1:20" x14ac:dyDescent="0.3">
      <c r="A2964" s="42">
        <v>42412</v>
      </c>
      <c r="B2964" s="37">
        <v>20160212</v>
      </c>
      <c r="C2964" s="109">
        <v>1.77E-2</v>
      </c>
      <c r="D2964" s="109">
        <v>6.0000000000000001E-3</v>
      </c>
      <c r="E2964" s="109">
        <v>0.01</v>
      </c>
      <c r="F2964" s="109">
        <v>1.0999999999999999E-2</v>
      </c>
      <c r="G2964" s="130">
        <v>0</v>
      </c>
      <c r="H2964" s="71">
        <v>8.5</v>
      </c>
      <c r="I2964" s="71">
        <v>11.1</v>
      </c>
      <c r="J2964" s="71">
        <v>13.6</v>
      </c>
      <c r="K2964" s="121">
        <v>6.0999999999999995E-3</v>
      </c>
      <c r="L2964" s="121">
        <v>-7.0000000000000001E-3</v>
      </c>
      <c r="M2964" s="75" t="s">
        <v>146</v>
      </c>
      <c r="N2964" s="75" t="b">
        <v>1</v>
      </c>
      <c r="O2964" s="75" t="s">
        <v>145</v>
      </c>
      <c r="P2964" s="75">
        <v>2014</v>
      </c>
      <c r="Q2964" s="107">
        <f t="shared" si="84"/>
        <v>2016</v>
      </c>
      <c r="R2964" s="107">
        <v>2</v>
      </c>
      <c r="S2964" s="43">
        <v>216006</v>
      </c>
      <c r="T2964" s="74">
        <v>42397</v>
      </c>
    </row>
    <row r="2965" spans="1:20" x14ac:dyDescent="0.3">
      <c r="A2965" s="42">
        <v>42413</v>
      </c>
      <c r="B2965" s="37">
        <v>20160213</v>
      </c>
      <c r="C2965" s="109">
        <v>1.77E-2</v>
      </c>
      <c r="D2965" s="109">
        <v>6.0000000000000001E-3</v>
      </c>
      <c r="E2965" s="109">
        <v>0.01</v>
      </c>
      <c r="F2965" s="109">
        <v>1.0999999999999999E-2</v>
      </c>
      <c r="G2965" s="130">
        <v>0</v>
      </c>
      <c r="H2965" s="71">
        <v>8.5</v>
      </c>
      <c r="I2965" s="71">
        <v>11.1</v>
      </c>
      <c r="J2965" s="71">
        <v>13.6</v>
      </c>
      <c r="K2965" s="121">
        <v>6.0999999999999995E-3</v>
      </c>
      <c r="L2965" s="121">
        <v>-7.0000000000000001E-3</v>
      </c>
      <c r="M2965" s="75" t="s">
        <v>146</v>
      </c>
      <c r="N2965" s="75" t="b">
        <v>1</v>
      </c>
      <c r="O2965" s="75" t="s">
        <v>145</v>
      </c>
      <c r="P2965" s="75">
        <v>2014</v>
      </c>
      <c r="Q2965" s="107">
        <f t="shared" si="84"/>
        <v>2016</v>
      </c>
      <c r="R2965" s="107">
        <v>2</v>
      </c>
      <c r="S2965" s="43">
        <v>216006</v>
      </c>
      <c r="T2965" s="74">
        <v>42397</v>
      </c>
    </row>
    <row r="2966" spans="1:20" x14ac:dyDescent="0.3">
      <c r="A2966" s="42">
        <v>42414</v>
      </c>
      <c r="B2966" s="37">
        <v>20160214</v>
      </c>
      <c r="C2966" s="109">
        <v>1.77E-2</v>
      </c>
      <c r="D2966" s="109">
        <v>6.0000000000000001E-3</v>
      </c>
      <c r="E2966" s="109">
        <v>0.01</v>
      </c>
      <c r="F2966" s="109">
        <v>1.0999999999999999E-2</v>
      </c>
      <c r="G2966" s="130">
        <v>0</v>
      </c>
      <c r="H2966" s="71">
        <v>8.5</v>
      </c>
      <c r="I2966" s="71">
        <v>11.1</v>
      </c>
      <c r="J2966" s="71">
        <v>13.6</v>
      </c>
      <c r="K2966" s="121">
        <v>6.0999999999999995E-3</v>
      </c>
      <c r="L2966" s="121">
        <v>-7.0000000000000001E-3</v>
      </c>
      <c r="M2966" s="75" t="s">
        <v>146</v>
      </c>
      <c r="N2966" s="75" t="b">
        <v>1</v>
      </c>
      <c r="O2966" s="75" t="s">
        <v>145</v>
      </c>
      <c r="P2966" s="75">
        <v>2014</v>
      </c>
      <c r="Q2966" s="107">
        <f t="shared" si="84"/>
        <v>2016</v>
      </c>
      <c r="R2966" s="107">
        <v>2</v>
      </c>
      <c r="S2966" s="43">
        <v>216006</v>
      </c>
      <c r="T2966" s="74">
        <v>42397</v>
      </c>
    </row>
    <row r="2967" spans="1:20" x14ac:dyDescent="0.3">
      <c r="A2967" s="42">
        <v>42415</v>
      </c>
      <c r="B2967" s="37">
        <v>20160215</v>
      </c>
      <c r="C2967" s="109">
        <v>1.77E-2</v>
      </c>
      <c r="D2967" s="109">
        <v>6.0000000000000001E-3</v>
      </c>
      <c r="E2967" s="109">
        <v>0.01</v>
      </c>
      <c r="F2967" s="109">
        <v>1.0999999999999999E-2</v>
      </c>
      <c r="G2967" s="130">
        <v>0</v>
      </c>
      <c r="H2967" s="71">
        <v>8.5</v>
      </c>
      <c r="I2967" s="71">
        <v>11.1</v>
      </c>
      <c r="J2967" s="71">
        <v>13.6</v>
      </c>
      <c r="K2967" s="121">
        <v>6.0999999999999995E-3</v>
      </c>
      <c r="L2967" s="121">
        <v>-7.0000000000000001E-3</v>
      </c>
      <c r="M2967" s="75" t="s">
        <v>146</v>
      </c>
      <c r="N2967" s="75" t="b">
        <v>1</v>
      </c>
      <c r="O2967" s="75" t="s">
        <v>145</v>
      </c>
      <c r="P2967" s="75">
        <v>2014</v>
      </c>
      <c r="Q2967" s="107">
        <f t="shared" si="84"/>
        <v>2016</v>
      </c>
      <c r="R2967" s="107">
        <v>2</v>
      </c>
      <c r="S2967" s="43">
        <v>216006</v>
      </c>
      <c r="T2967" s="74">
        <v>42397</v>
      </c>
    </row>
    <row r="2968" spans="1:20" x14ac:dyDescent="0.3">
      <c r="A2968" s="42">
        <v>42416</v>
      </c>
      <c r="B2968" s="37">
        <v>20160216</v>
      </c>
      <c r="C2968" s="109">
        <v>1.8100000000000002E-2</v>
      </c>
      <c r="D2968" s="109">
        <v>6.0000000000000001E-3</v>
      </c>
      <c r="E2968" s="109">
        <v>0.01</v>
      </c>
      <c r="F2968" s="109">
        <v>1.0999999999999999E-2</v>
      </c>
      <c r="G2968" s="130">
        <v>0</v>
      </c>
      <c r="H2968" s="71">
        <v>8.5</v>
      </c>
      <c r="I2968" s="71">
        <v>11.1</v>
      </c>
      <c r="J2968" s="71">
        <v>13.6</v>
      </c>
      <c r="K2968" s="121">
        <v>6.4000000000000003E-3</v>
      </c>
      <c r="L2968" s="121">
        <v>-7.0000000000000001E-3</v>
      </c>
      <c r="M2968" s="75" t="s">
        <v>146</v>
      </c>
      <c r="N2968" s="75" t="b">
        <v>1</v>
      </c>
      <c r="O2968" s="75" t="s">
        <v>145</v>
      </c>
      <c r="P2968" s="75">
        <v>2014</v>
      </c>
      <c r="Q2968" s="107">
        <f t="shared" si="84"/>
        <v>2016</v>
      </c>
      <c r="R2968" s="107">
        <v>2</v>
      </c>
      <c r="S2968" s="43">
        <v>216006</v>
      </c>
      <c r="T2968" s="74">
        <v>42397</v>
      </c>
    </row>
    <row r="2969" spans="1:20" x14ac:dyDescent="0.3">
      <c r="A2969" s="42">
        <v>42417</v>
      </c>
      <c r="B2969" s="37">
        <v>20160217</v>
      </c>
      <c r="C2969" s="109">
        <v>1.8100000000000002E-2</v>
      </c>
      <c r="D2969" s="109">
        <v>6.0000000000000001E-3</v>
      </c>
      <c r="E2969" s="109">
        <v>0.01</v>
      </c>
      <c r="F2969" s="109">
        <v>1.0999999999999999E-2</v>
      </c>
      <c r="G2969" s="130">
        <v>0</v>
      </c>
      <c r="H2969" s="71">
        <v>8.5</v>
      </c>
      <c r="I2969" s="71">
        <v>11.1</v>
      </c>
      <c r="J2969" s="71">
        <v>13.6</v>
      </c>
      <c r="K2969" s="121">
        <v>6.5000000000000006E-3</v>
      </c>
      <c r="L2969" s="121">
        <v>-7.0000000000000001E-3</v>
      </c>
      <c r="M2969" s="75" t="s">
        <v>146</v>
      </c>
      <c r="N2969" s="75" t="b">
        <v>1</v>
      </c>
      <c r="O2969" s="75" t="s">
        <v>145</v>
      </c>
      <c r="P2969" s="75">
        <v>2014</v>
      </c>
      <c r="Q2969" s="107">
        <f t="shared" si="84"/>
        <v>2016</v>
      </c>
      <c r="R2969" s="107">
        <v>2</v>
      </c>
      <c r="S2969" s="43">
        <v>216006</v>
      </c>
      <c r="T2969" s="74">
        <v>42397</v>
      </c>
    </row>
    <row r="2970" spans="1:20" x14ac:dyDescent="0.3">
      <c r="A2970" s="42">
        <v>42418</v>
      </c>
      <c r="B2970" s="37">
        <v>20160218</v>
      </c>
      <c r="C2970" s="109">
        <v>1.7600000000000001E-2</v>
      </c>
      <c r="D2970" s="109">
        <v>6.0000000000000001E-3</v>
      </c>
      <c r="E2970" s="109">
        <v>0.01</v>
      </c>
      <c r="F2970" s="109">
        <v>1.0999999999999999E-2</v>
      </c>
      <c r="G2970" s="130">
        <v>0</v>
      </c>
      <c r="H2970" s="71">
        <v>8.5</v>
      </c>
      <c r="I2970" s="71">
        <v>11.1</v>
      </c>
      <c r="J2970" s="71">
        <v>13.6</v>
      </c>
      <c r="K2970" s="121">
        <v>6.1999999999999998E-3</v>
      </c>
      <c r="L2970" s="121">
        <v>-7.0000000000000001E-3</v>
      </c>
      <c r="M2970" s="75" t="s">
        <v>146</v>
      </c>
      <c r="N2970" s="75" t="b">
        <v>1</v>
      </c>
      <c r="O2970" s="75" t="s">
        <v>145</v>
      </c>
      <c r="P2970" s="75">
        <v>2014</v>
      </c>
      <c r="Q2970" s="107">
        <f t="shared" si="84"/>
        <v>2016</v>
      </c>
      <c r="R2970" s="107">
        <v>2</v>
      </c>
      <c r="S2970" s="43">
        <v>216006</v>
      </c>
      <c r="T2970" s="74">
        <v>42397</v>
      </c>
    </row>
    <row r="2971" spans="1:20" x14ac:dyDescent="0.3">
      <c r="A2971" s="42">
        <v>42419</v>
      </c>
      <c r="B2971" s="37">
        <v>20160219</v>
      </c>
      <c r="C2971" s="109">
        <v>1.77E-2</v>
      </c>
      <c r="D2971" s="109">
        <v>6.0000000000000001E-3</v>
      </c>
      <c r="E2971" s="109">
        <v>0.01</v>
      </c>
      <c r="F2971" s="109">
        <v>1.0999999999999999E-2</v>
      </c>
      <c r="G2971" s="130">
        <v>0</v>
      </c>
      <c r="H2971" s="71">
        <v>8.5</v>
      </c>
      <c r="I2971" s="71">
        <v>11.1</v>
      </c>
      <c r="J2971" s="71">
        <v>13.6</v>
      </c>
      <c r="K2971" s="121">
        <v>6.0000000000000001E-3</v>
      </c>
      <c r="L2971" s="121">
        <v>-7.0000000000000001E-3</v>
      </c>
      <c r="M2971" s="75" t="s">
        <v>146</v>
      </c>
      <c r="N2971" s="75" t="b">
        <v>1</v>
      </c>
      <c r="O2971" s="75" t="s">
        <v>145</v>
      </c>
      <c r="P2971" s="75">
        <v>2014</v>
      </c>
      <c r="Q2971" s="107">
        <f t="shared" si="84"/>
        <v>2016</v>
      </c>
      <c r="R2971" s="107">
        <v>2</v>
      </c>
      <c r="S2971" s="43">
        <v>216006</v>
      </c>
      <c r="T2971" s="74">
        <v>42397</v>
      </c>
    </row>
    <row r="2972" spans="1:20" x14ac:dyDescent="0.3">
      <c r="A2972" s="42">
        <v>42420</v>
      </c>
      <c r="B2972" s="37">
        <v>20160220</v>
      </c>
      <c r="C2972" s="109">
        <v>1.77E-2</v>
      </c>
      <c r="D2972" s="109">
        <v>6.0000000000000001E-3</v>
      </c>
      <c r="E2972" s="109">
        <v>0.01</v>
      </c>
      <c r="F2972" s="109">
        <v>1.0999999999999999E-2</v>
      </c>
      <c r="G2972" s="130">
        <v>0</v>
      </c>
      <c r="H2972" s="71">
        <v>8.5</v>
      </c>
      <c r="I2972" s="71">
        <v>11.1</v>
      </c>
      <c r="J2972" s="71">
        <v>13.6</v>
      </c>
      <c r="K2972" s="121">
        <v>6.0000000000000001E-3</v>
      </c>
      <c r="L2972" s="121">
        <v>-7.0000000000000001E-3</v>
      </c>
      <c r="M2972" s="75" t="s">
        <v>146</v>
      </c>
      <c r="N2972" s="75" t="b">
        <v>1</v>
      </c>
      <c r="O2972" s="75" t="s">
        <v>145</v>
      </c>
      <c r="P2972" s="75">
        <v>2014</v>
      </c>
      <c r="Q2972" s="107">
        <f t="shared" si="84"/>
        <v>2016</v>
      </c>
      <c r="R2972" s="107">
        <v>2</v>
      </c>
      <c r="S2972" s="43">
        <v>216006</v>
      </c>
      <c r="T2972" s="74">
        <v>42397</v>
      </c>
    </row>
    <row r="2973" spans="1:20" x14ac:dyDescent="0.3">
      <c r="A2973" s="42">
        <v>42421</v>
      </c>
      <c r="B2973" s="37">
        <v>20160221</v>
      </c>
      <c r="C2973" s="109">
        <v>1.77E-2</v>
      </c>
      <c r="D2973" s="109">
        <v>6.0000000000000001E-3</v>
      </c>
      <c r="E2973" s="109">
        <v>0.01</v>
      </c>
      <c r="F2973" s="109">
        <v>1.0999999999999999E-2</v>
      </c>
      <c r="G2973" s="130">
        <v>0</v>
      </c>
      <c r="H2973" s="71">
        <v>8.5</v>
      </c>
      <c r="I2973" s="71">
        <v>11.1</v>
      </c>
      <c r="J2973" s="71">
        <v>13.6</v>
      </c>
      <c r="K2973" s="121">
        <v>6.0000000000000001E-3</v>
      </c>
      <c r="L2973" s="121">
        <v>-7.0000000000000001E-3</v>
      </c>
      <c r="M2973" s="75" t="s">
        <v>146</v>
      </c>
      <c r="N2973" s="75" t="b">
        <v>1</v>
      </c>
      <c r="O2973" s="75" t="s">
        <v>145</v>
      </c>
      <c r="P2973" s="75">
        <v>2014</v>
      </c>
      <c r="Q2973" s="107">
        <f t="shared" si="84"/>
        <v>2016</v>
      </c>
      <c r="R2973" s="107">
        <v>2</v>
      </c>
      <c r="S2973" s="43">
        <v>216006</v>
      </c>
      <c r="T2973" s="74">
        <v>42397</v>
      </c>
    </row>
    <row r="2974" spans="1:20" x14ac:dyDescent="0.3">
      <c r="A2974" s="42">
        <v>42422</v>
      </c>
      <c r="B2974" s="37">
        <v>20160222</v>
      </c>
      <c r="C2974" s="109">
        <v>1.77E-2</v>
      </c>
      <c r="D2974" s="109">
        <v>6.0000000000000001E-3</v>
      </c>
      <c r="E2974" s="109">
        <v>0.01</v>
      </c>
      <c r="F2974" s="109">
        <v>1.0999999999999999E-2</v>
      </c>
      <c r="G2974" s="130">
        <v>0</v>
      </c>
      <c r="H2974" s="71">
        <v>8.5</v>
      </c>
      <c r="I2974" s="71">
        <v>11.1</v>
      </c>
      <c r="J2974" s="71">
        <v>13.6</v>
      </c>
      <c r="K2974" s="121">
        <v>5.7999999999999996E-3</v>
      </c>
      <c r="L2974" s="121">
        <v>-7.0000000000000001E-3</v>
      </c>
      <c r="M2974" s="75" t="s">
        <v>146</v>
      </c>
      <c r="N2974" s="75" t="b">
        <v>1</v>
      </c>
      <c r="O2974" s="75" t="s">
        <v>145</v>
      </c>
      <c r="P2974" s="75">
        <v>2014</v>
      </c>
      <c r="Q2974" s="107">
        <f t="shared" si="84"/>
        <v>2016</v>
      </c>
      <c r="R2974" s="107">
        <v>2</v>
      </c>
      <c r="S2974" s="43">
        <v>216006</v>
      </c>
      <c r="T2974" s="74">
        <v>42397</v>
      </c>
    </row>
    <row r="2975" spans="1:20" x14ac:dyDescent="0.3">
      <c r="A2975" s="42">
        <v>42423</v>
      </c>
      <c r="B2975" s="37">
        <v>20160223</v>
      </c>
      <c r="C2975" s="109">
        <v>1.78E-2</v>
      </c>
      <c r="D2975" s="109">
        <v>6.0000000000000001E-3</v>
      </c>
      <c r="E2975" s="109">
        <v>0.01</v>
      </c>
      <c r="F2975" s="109">
        <v>1.0999999999999999E-2</v>
      </c>
      <c r="G2975" s="130">
        <v>0</v>
      </c>
      <c r="H2975" s="71">
        <v>8.5</v>
      </c>
      <c r="I2975" s="71">
        <v>11.1</v>
      </c>
      <c r="J2975" s="71">
        <v>13.6</v>
      </c>
      <c r="K2975" s="121">
        <v>5.8999999999999999E-3</v>
      </c>
      <c r="L2975" s="121">
        <v>-7.0000000000000001E-3</v>
      </c>
      <c r="M2975" s="75" t="s">
        <v>146</v>
      </c>
      <c r="N2975" s="75" t="b">
        <v>1</v>
      </c>
      <c r="O2975" s="75" t="s">
        <v>145</v>
      </c>
      <c r="P2975" s="75">
        <v>2014</v>
      </c>
      <c r="Q2975" s="107">
        <f t="shared" si="84"/>
        <v>2016</v>
      </c>
      <c r="R2975" s="107">
        <v>2</v>
      </c>
      <c r="S2975" s="43">
        <v>216006</v>
      </c>
      <c r="T2975" s="74">
        <v>42397</v>
      </c>
    </row>
    <row r="2976" spans="1:20" x14ac:dyDescent="0.3">
      <c r="A2976" s="42">
        <v>42424</v>
      </c>
      <c r="B2976" s="37">
        <v>20160224</v>
      </c>
      <c r="C2976" s="109">
        <v>1.78E-2</v>
      </c>
      <c r="D2976" s="109">
        <v>6.0000000000000001E-3</v>
      </c>
      <c r="E2976" s="109">
        <v>0.01</v>
      </c>
      <c r="F2976" s="109">
        <v>1.0999999999999999E-2</v>
      </c>
      <c r="G2976" s="130">
        <v>0</v>
      </c>
      <c r="H2976" s="71">
        <v>8.5</v>
      </c>
      <c r="I2976" s="71">
        <v>11.1</v>
      </c>
      <c r="J2976" s="71">
        <v>13.6</v>
      </c>
      <c r="K2976" s="121">
        <v>6.0000000000000001E-3</v>
      </c>
      <c r="L2976" s="121">
        <v>-7.0000000000000001E-3</v>
      </c>
      <c r="M2976" s="75" t="s">
        <v>146</v>
      </c>
      <c r="N2976" s="75" t="b">
        <v>1</v>
      </c>
      <c r="O2976" s="75" t="s">
        <v>145</v>
      </c>
      <c r="P2976" s="75">
        <v>2014</v>
      </c>
      <c r="Q2976" s="107">
        <f t="shared" si="84"/>
        <v>2016</v>
      </c>
      <c r="R2976" s="107">
        <v>2</v>
      </c>
      <c r="S2976" s="43">
        <v>216006</v>
      </c>
      <c r="T2976" s="74">
        <v>42397</v>
      </c>
    </row>
    <row r="2977" spans="1:20" x14ac:dyDescent="0.3">
      <c r="A2977" s="42">
        <v>42425</v>
      </c>
      <c r="B2977" s="37">
        <v>20160225</v>
      </c>
      <c r="C2977" s="109">
        <v>1.77E-2</v>
      </c>
      <c r="D2977" s="109">
        <v>6.0000000000000001E-3</v>
      </c>
      <c r="E2977" s="109">
        <v>0.01</v>
      </c>
      <c r="F2977" s="109">
        <v>1.0999999999999999E-2</v>
      </c>
      <c r="G2977" s="130">
        <v>0</v>
      </c>
      <c r="H2977" s="71">
        <v>8.5</v>
      </c>
      <c r="I2977" s="71">
        <v>11.1</v>
      </c>
      <c r="J2977" s="71">
        <v>13.6</v>
      </c>
      <c r="K2977" s="121">
        <v>5.6999999999999993E-3</v>
      </c>
      <c r="L2977" s="121">
        <v>-7.0000000000000001E-3</v>
      </c>
      <c r="M2977" s="75" t="s">
        <v>146</v>
      </c>
      <c r="N2977" s="75" t="b">
        <v>1</v>
      </c>
      <c r="O2977" s="75" t="s">
        <v>145</v>
      </c>
      <c r="P2977" s="75">
        <v>2014</v>
      </c>
      <c r="Q2977" s="107">
        <f t="shared" si="84"/>
        <v>2016</v>
      </c>
      <c r="R2977" s="107">
        <v>2</v>
      </c>
      <c r="S2977" s="43">
        <v>216006</v>
      </c>
      <c r="T2977" s="74">
        <v>42397</v>
      </c>
    </row>
    <row r="2978" spans="1:20" x14ac:dyDescent="0.3">
      <c r="A2978" s="42">
        <v>42426</v>
      </c>
      <c r="B2978" s="37">
        <v>20160226</v>
      </c>
      <c r="C2978" s="109">
        <v>1.8100000000000002E-2</v>
      </c>
      <c r="D2978" s="109">
        <v>6.0000000000000001E-3</v>
      </c>
      <c r="E2978" s="109">
        <v>0.01</v>
      </c>
      <c r="F2978" s="109">
        <v>1.0999999999999999E-2</v>
      </c>
      <c r="G2978" s="130">
        <v>0</v>
      </c>
      <c r="H2978" s="71">
        <v>8.5</v>
      </c>
      <c r="I2978" s="71">
        <v>11.1</v>
      </c>
      <c r="J2978" s="71">
        <v>13.6</v>
      </c>
      <c r="K2978" s="121">
        <v>5.7999999999999996E-3</v>
      </c>
      <c r="L2978" s="121">
        <v>-7.0000000000000001E-3</v>
      </c>
      <c r="M2978" s="75" t="s">
        <v>146</v>
      </c>
      <c r="N2978" s="75" t="b">
        <v>1</v>
      </c>
      <c r="O2978" s="75" t="s">
        <v>145</v>
      </c>
      <c r="P2978" s="75">
        <v>2014</v>
      </c>
      <c r="Q2978" s="107">
        <f t="shared" si="84"/>
        <v>2016</v>
      </c>
      <c r="R2978" s="107">
        <v>2</v>
      </c>
      <c r="S2978" s="43">
        <v>216006</v>
      </c>
      <c r="T2978" s="74">
        <v>42397</v>
      </c>
    </row>
    <row r="2979" spans="1:20" x14ac:dyDescent="0.3">
      <c r="A2979" s="42">
        <v>42427</v>
      </c>
      <c r="B2979" s="37">
        <v>20160227</v>
      </c>
      <c r="C2979" s="109">
        <v>1.8100000000000002E-2</v>
      </c>
      <c r="D2979" s="109">
        <v>6.0000000000000001E-3</v>
      </c>
      <c r="E2979" s="109">
        <v>0.01</v>
      </c>
      <c r="F2979" s="109">
        <v>1.0999999999999999E-2</v>
      </c>
      <c r="G2979" s="130">
        <v>0</v>
      </c>
      <c r="H2979" s="71">
        <v>8.5</v>
      </c>
      <c r="I2979" s="71">
        <v>11.1</v>
      </c>
      <c r="J2979" s="71">
        <v>13.6</v>
      </c>
      <c r="K2979" s="121">
        <v>5.7999999999999996E-3</v>
      </c>
      <c r="L2979" s="121">
        <v>-7.0000000000000001E-3</v>
      </c>
      <c r="M2979" s="75" t="s">
        <v>146</v>
      </c>
      <c r="N2979" s="75" t="b">
        <v>1</v>
      </c>
      <c r="O2979" s="75" t="s">
        <v>145</v>
      </c>
      <c r="P2979" s="75">
        <v>2014</v>
      </c>
      <c r="Q2979" s="107">
        <f t="shared" si="84"/>
        <v>2016</v>
      </c>
      <c r="R2979" s="107">
        <v>2</v>
      </c>
      <c r="S2979" s="43">
        <v>216006</v>
      </c>
      <c r="T2979" s="74">
        <v>42397</v>
      </c>
    </row>
    <row r="2980" spans="1:20" x14ac:dyDescent="0.3">
      <c r="A2980" s="42">
        <v>42428</v>
      </c>
      <c r="B2980" s="37">
        <v>20160228</v>
      </c>
      <c r="C2980" s="109">
        <v>1.8100000000000002E-2</v>
      </c>
      <c r="D2980" s="109">
        <v>6.0000000000000001E-3</v>
      </c>
      <c r="E2980" s="109">
        <v>0.01</v>
      </c>
      <c r="F2980" s="109">
        <v>1.0999999999999999E-2</v>
      </c>
      <c r="G2980" s="130">
        <v>0</v>
      </c>
      <c r="H2980" s="71">
        <v>8.5</v>
      </c>
      <c r="I2980" s="71">
        <v>11.1</v>
      </c>
      <c r="J2980" s="71">
        <v>13.6</v>
      </c>
      <c r="K2980" s="121">
        <v>5.7999999999999996E-3</v>
      </c>
      <c r="L2980" s="121">
        <v>-7.0000000000000001E-3</v>
      </c>
      <c r="M2980" s="75" t="s">
        <v>146</v>
      </c>
      <c r="N2980" s="75" t="b">
        <v>1</v>
      </c>
      <c r="O2980" s="75" t="s">
        <v>145</v>
      </c>
      <c r="P2980" s="75">
        <v>2014</v>
      </c>
      <c r="Q2980" s="107">
        <f t="shared" si="84"/>
        <v>2016</v>
      </c>
      <c r="R2980" s="107">
        <v>2</v>
      </c>
      <c r="S2980" s="43">
        <v>216006</v>
      </c>
      <c r="T2980" s="74">
        <v>42397</v>
      </c>
    </row>
    <row r="2981" spans="1:20" x14ac:dyDescent="0.3">
      <c r="A2981" s="42">
        <v>42429</v>
      </c>
      <c r="B2981" s="37">
        <v>20160229</v>
      </c>
      <c r="C2981" s="109">
        <v>1.8200000000000001E-2</v>
      </c>
      <c r="D2981" s="109">
        <v>6.0000000000000001E-3</v>
      </c>
      <c r="E2981" s="109">
        <v>0.01</v>
      </c>
      <c r="F2981" s="109">
        <v>1.0999999999999999E-2</v>
      </c>
      <c r="G2981" s="130">
        <v>0</v>
      </c>
      <c r="H2981" s="71">
        <v>8.5</v>
      </c>
      <c r="I2981" s="71">
        <v>11.1</v>
      </c>
      <c r="J2981" s="71">
        <v>13.6</v>
      </c>
      <c r="K2981" s="121">
        <v>6.1000000000000004E-3</v>
      </c>
      <c r="L2981" s="121">
        <v>-7.0000000000000001E-3</v>
      </c>
      <c r="M2981" s="75" t="s">
        <v>146</v>
      </c>
      <c r="N2981" s="75" t="b">
        <v>1</v>
      </c>
      <c r="O2981" s="75" t="s">
        <v>145</v>
      </c>
      <c r="P2981" s="75">
        <v>2014</v>
      </c>
      <c r="Q2981" s="107">
        <f t="shared" si="84"/>
        <v>2016</v>
      </c>
      <c r="R2981" s="107">
        <v>2</v>
      </c>
      <c r="S2981" s="43">
        <v>216006</v>
      </c>
      <c r="T2981" s="74">
        <v>42397</v>
      </c>
    </row>
    <row r="2982" spans="1:20" x14ac:dyDescent="0.3">
      <c r="A2982" s="42">
        <v>42430</v>
      </c>
      <c r="B2982" s="37">
        <v>20160301</v>
      </c>
      <c r="C2982" s="109">
        <v>1.8799999999999997E-2</v>
      </c>
      <c r="D2982" s="109">
        <v>6.0000000000000001E-3</v>
      </c>
      <c r="E2982" s="109">
        <v>0.01</v>
      </c>
      <c r="F2982" s="109">
        <v>1.0999999999999999E-2</v>
      </c>
      <c r="G2982" s="130">
        <v>0</v>
      </c>
      <c r="H2982" s="71">
        <v>8.5</v>
      </c>
      <c r="I2982" s="71">
        <v>11.1</v>
      </c>
      <c r="J2982" s="71">
        <v>13.6</v>
      </c>
      <c r="K2982" s="121">
        <v>6.5000000000000006E-3</v>
      </c>
      <c r="L2982" s="121">
        <v>-7.0000000000000001E-3</v>
      </c>
      <c r="M2982" s="75" t="s">
        <v>146</v>
      </c>
      <c r="N2982" s="75" t="b">
        <v>1</v>
      </c>
      <c r="O2982" s="75" t="s">
        <v>145</v>
      </c>
      <c r="P2982" s="75">
        <v>2014</v>
      </c>
      <c r="Q2982" s="107">
        <f t="shared" si="84"/>
        <v>2016</v>
      </c>
      <c r="R2982" s="107">
        <v>2</v>
      </c>
      <c r="S2982" s="43">
        <v>216006</v>
      </c>
      <c r="T2982" s="74">
        <v>42397</v>
      </c>
    </row>
    <row r="2983" spans="1:20" x14ac:dyDescent="0.3">
      <c r="A2983" s="42">
        <v>42431</v>
      </c>
      <c r="B2983" s="37">
        <v>20160302</v>
      </c>
      <c r="C2983" s="109">
        <v>1.9E-2</v>
      </c>
      <c r="D2983" s="109">
        <v>6.0000000000000001E-3</v>
      </c>
      <c r="E2983" s="109">
        <v>0.01</v>
      </c>
      <c r="F2983" s="109">
        <v>1.0999999999999999E-2</v>
      </c>
      <c r="G2983" s="130">
        <v>0</v>
      </c>
      <c r="H2983" s="71">
        <v>8.5</v>
      </c>
      <c r="I2983" s="71">
        <v>11.1</v>
      </c>
      <c r="J2983" s="71">
        <v>13.6</v>
      </c>
      <c r="K2983" s="121">
        <v>5.8999999999999999E-3</v>
      </c>
      <c r="L2983" s="121">
        <v>-7.0000000000000001E-3</v>
      </c>
      <c r="M2983" s="75" t="s">
        <v>146</v>
      </c>
      <c r="N2983" s="75" t="b">
        <v>1</v>
      </c>
      <c r="O2983" s="75" t="s">
        <v>145</v>
      </c>
      <c r="P2983" s="75">
        <v>2014</v>
      </c>
      <c r="Q2983" s="107">
        <f t="shared" si="84"/>
        <v>2016</v>
      </c>
      <c r="R2983" s="107">
        <v>2</v>
      </c>
      <c r="S2983" s="43">
        <v>216006</v>
      </c>
      <c r="T2983" s="74">
        <v>42397</v>
      </c>
    </row>
    <row r="2984" spans="1:20" x14ac:dyDescent="0.3">
      <c r="A2984" s="42">
        <v>42432</v>
      </c>
      <c r="B2984" s="37">
        <v>20160303</v>
      </c>
      <c r="C2984" s="109">
        <v>1.8799999999999997E-2</v>
      </c>
      <c r="D2984" s="109">
        <v>6.0000000000000001E-3</v>
      </c>
      <c r="E2984" s="109">
        <v>0.01</v>
      </c>
      <c r="F2984" s="109">
        <v>1.0999999999999999E-2</v>
      </c>
      <c r="G2984" s="130">
        <v>0</v>
      </c>
      <c r="H2984" s="71">
        <v>8.5</v>
      </c>
      <c r="I2984" s="71">
        <v>11.1</v>
      </c>
      <c r="J2984" s="71">
        <v>13.6</v>
      </c>
      <c r="K2984" s="121">
        <v>5.8999999999999999E-3</v>
      </c>
      <c r="L2984" s="121">
        <v>-7.0000000000000001E-3</v>
      </c>
      <c r="M2984" s="75" t="s">
        <v>146</v>
      </c>
      <c r="N2984" s="75" t="b">
        <v>1</v>
      </c>
      <c r="O2984" s="75" t="s">
        <v>145</v>
      </c>
      <c r="P2984" s="75">
        <v>2014</v>
      </c>
      <c r="Q2984" s="107">
        <f t="shared" si="84"/>
        <v>2016</v>
      </c>
      <c r="R2984" s="107">
        <v>2</v>
      </c>
      <c r="S2984" s="43">
        <v>216006</v>
      </c>
      <c r="T2984" s="74">
        <v>42397</v>
      </c>
    </row>
    <row r="2985" spans="1:20" x14ac:dyDescent="0.3">
      <c r="A2985" s="42">
        <v>42433</v>
      </c>
      <c r="B2985" s="37">
        <v>20160304</v>
      </c>
      <c r="C2985" s="109">
        <v>1.9099999999999999E-2</v>
      </c>
      <c r="D2985" s="109">
        <v>6.0000000000000001E-3</v>
      </c>
      <c r="E2985" s="109">
        <v>0.01</v>
      </c>
      <c r="F2985" s="109">
        <v>1.0999999999999999E-2</v>
      </c>
      <c r="G2985" s="130">
        <v>0</v>
      </c>
      <c r="H2985" s="71">
        <v>8.5</v>
      </c>
      <c r="I2985" s="71">
        <v>11.1</v>
      </c>
      <c r="J2985" s="71">
        <v>13.6</v>
      </c>
      <c r="K2985" s="121">
        <v>6.1999999999999998E-3</v>
      </c>
      <c r="L2985" s="121">
        <v>-7.0000000000000001E-3</v>
      </c>
      <c r="M2985" s="75" t="s">
        <v>146</v>
      </c>
      <c r="N2985" s="75" t="b">
        <v>1</v>
      </c>
      <c r="O2985" s="75" t="s">
        <v>145</v>
      </c>
      <c r="P2985" s="75">
        <v>2014</v>
      </c>
      <c r="Q2985" s="107">
        <f t="shared" si="84"/>
        <v>2016</v>
      </c>
      <c r="R2985" s="107">
        <v>2</v>
      </c>
      <c r="S2985" s="43">
        <v>216006</v>
      </c>
      <c r="T2985" s="74">
        <v>42397</v>
      </c>
    </row>
    <row r="2986" spans="1:20" x14ac:dyDescent="0.3">
      <c r="A2986" s="42">
        <v>42434</v>
      </c>
      <c r="B2986" s="37">
        <v>20160305</v>
      </c>
      <c r="C2986" s="109">
        <v>1.9099999999999999E-2</v>
      </c>
      <c r="D2986" s="109">
        <v>6.0000000000000001E-3</v>
      </c>
      <c r="E2986" s="109">
        <v>0.01</v>
      </c>
      <c r="F2986" s="109">
        <v>1.0999999999999999E-2</v>
      </c>
      <c r="G2986" s="130">
        <v>0</v>
      </c>
      <c r="H2986" s="71">
        <v>8.5</v>
      </c>
      <c r="I2986" s="71">
        <v>11.1</v>
      </c>
      <c r="J2986" s="71">
        <v>13.6</v>
      </c>
      <c r="K2986" s="121">
        <v>6.1999999999999998E-3</v>
      </c>
      <c r="L2986" s="121">
        <v>-7.0000000000000001E-3</v>
      </c>
      <c r="M2986" s="75" t="s">
        <v>146</v>
      </c>
      <c r="N2986" s="75" t="b">
        <v>1</v>
      </c>
      <c r="O2986" s="75" t="s">
        <v>145</v>
      </c>
      <c r="P2986" s="75">
        <v>2014</v>
      </c>
      <c r="Q2986" s="107">
        <f t="shared" si="84"/>
        <v>2016</v>
      </c>
      <c r="R2986" s="107">
        <v>2</v>
      </c>
      <c r="S2986" s="43">
        <v>216006</v>
      </c>
      <c r="T2986" s="74">
        <v>42397</v>
      </c>
    </row>
    <row r="2987" spans="1:20" x14ac:dyDescent="0.3">
      <c r="A2987" s="42">
        <v>42435</v>
      </c>
      <c r="B2987" s="37">
        <v>20160306</v>
      </c>
      <c r="C2987" s="109">
        <v>1.9099999999999999E-2</v>
      </c>
      <c r="D2987" s="109">
        <v>6.0000000000000001E-3</v>
      </c>
      <c r="E2987" s="109">
        <v>0.01</v>
      </c>
      <c r="F2987" s="109">
        <v>1.0999999999999999E-2</v>
      </c>
      <c r="G2987" s="130">
        <v>0</v>
      </c>
      <c r="H2987" s="71">
        <v>8.5</v>
      </c>
      <c r="I2987" s="71">
        <v>11.1</v>
      </c>
      <c r="J2987" s="71">
        <v>13.6</v>
      </c>
      <c r="K2987" s="121">
        <v>6.1999999999999998E-3</v>
      </c>
      <c r="L2987" s="121">
        <v>-7.0000000000000001E-3</v>
      </c>
      <c r="M2987" s="75" t="s">
        <v>146</v>
      </c>
      <c r="N2987" s="75" t="b">
        <v>1</v>
      </c>
      <c r="O2987" s="75" t="s">
        <v>145</v>
      </c>
      <c r="P2987" s="75">
        <v>2014</v>
      </c>
      <c r="Q2987" s="107">
        <f t="shared" si="84"/>
        <v>2016</v>
      </c>
      <c r="R2987" s="107">
        <v>2</v>
      </c>
      <c r="S2987" s="43">
        <v>216006</v>
      </c>
      <c r="T2987" s="74">
        <v>42397</v>
      </c>
    </row>
    <row r="2988" spans="1:20" x14ac:dyDescent="0.3">
      <c r="A2988" s="42">
        <v>42436</v>
      </c>
      <c r="B2988" s="37">
        <v>20160307</v>
      </c>
      <c r="C2988" s="109">
        <v>1.9299999999999998E-2</v>
      </c>
      <c r="D2988" s="109">
        <v>6.0000000000000001E-3</v>
      </c>
      <c r="E2988" s="109">
        <v>0.01</v>
      </c>
      <c r="F2988" s="109">
        <v>1.0999999999999999E-2</v>
      </c>
      <c r="G2988" s="130">
        <v>0</v>
      </c>
      <c r="H2988" s="71">
        <v>8.5</v>
      </c>
      <c r="I2988" s="71">
        <v>11.1</v>
      </c>
      <c r="J2988" s="71">
        <v>13.6</v>
      </c>
      <c r="K2988" s="121">
        <v>6.3E-3</v>
      </c>
      <c r="L2988" s="121">
        <v>-7.0000000000000001E-3</v>
      </c>
      <c r="M2988" s="75" t="s">
        <v>146</v>
      </c>
      <c r="N2988" s="75" t="b">
        <v>1</v>
      </c>
      <c r="O2988" s="75" t="s">
        <v>145</v>
      </c>
      <c r="P2988" s="75">
        <v>2014</v>
      </c>
      <c r="Q2988" s="107">
        <f t="shared" si="84"/>
        <v>2016</v>
      </c>
      <c r="R2988" s="107">
        <v>2</v>
      </c>
      <c r="S2988" s="43">
        <v>216006</v>
      </c>
      <c r="T2988" s="74">
        <v>42397</v>
      </c>
    </row>
    <row r="2989" spans="1:20" x14ac:dyDescent="0.3">
      <c r="A2989" s="42">
        <v>42437</v>
      </c>
      <c r="B2989" s="37">
        <v>20160308</v>
      </c>
      <c r="C2989" s="109">
        <v>1.84E-2</v>
      </c>
      <c r="D2989" s="109">
        <v>6.0000000000000001E-3</v>
      </c>
      <c r="E2989" s="109">
        <v>0.01</v>
      </c>
      <c r="F2989" s="109">
        <v>1.0999999999999999E-2</v>
      </c>
      <c r="G2989" s="130">
        <v>0</v>
      </c>
      <c r="H2989" s="71">
        <v>8.5</v>
      </c>
      <c r="I2989" s="71">
        <v>11.1</v>
      </c>
      <c r="J2989" s="71">
        <v>13.6</v>
      </c>
      <c r="K2989" s="121">
        <v>5.5000000000000005E-3</v>
      </c>
      <c r="L2989" s="121">
        <v>-7.0000000000000001E-3</v>
      </c>
      <c r="M2989" s="75" t="s">
        <v>146</v>
      </c>
      <c r="N2989" s="75" t="b">
        <v>1</v>
      </c>
      <c r="O2989" s="75" t="s">
        <v>145</v>
      </c>
      <c r="P2989" s="75">
        <v>2014</v>
      </c>
      <c r="Q2989" s="107">
        <f t="shared" si="84"/>
        <v>2016</v>
      </c>
      <c r="R2989" s="107">
        <v>2</v>
      </c>
      <c r="S2989" s="43">
        <v>216006</v>
      </c>
      <c r="T2989" s="74">
        <v>42397</v>
      </c>
    </row>
    <row r="2990" spans="1:20" x14ac:dyDescent="0.3">
      <c r="A2990" s="42">
        <v>42438</v>
      </c>
      <c r="B2990" s="37">
        <v>20160309</v>
      </c>
      <c r="C2990" s="109">
        <v>1.9E-2</v>
      </c>
      <c r="D2990" s="109">
        <v>6.0000000000000001E-3</v>
      </c>
      <c r="E2990" s="109">
        <v>0.01</v>
      </c>
      <c r="F2990" s="109">
        <v>1.0999999999999999E-2</v>
      </c>
      <c r="G2990" s="130">
        <v>0</v>
      </c>
      <c r="H2990" s="71">
        <v>8.5</v>
      </c>
      <c r="I2990" s="71">
        <v>11.1</v>
      </c>
      <c r="J2990" s="71">
        <v>13.6</v>
      </c>
      <c r="K2990" s="121">
        <v>6.0000000000000001E-3</v>
      </c>
      <c r="L2990" s="121">
        <v>-7.0000000000000001E-3</v>
      </c>
      <c r="M2990" s="75" t="s">
        <v>146</v>
      </c>
      <c r="N2990" s="75" t="b">
        <v>1</v>
      </c>
      <c r="O2990" s="75" t="s">
        <v>145</v>
      </c>
      <c r="P2990" s="75">
        <v>2014</v>
      </c>
      <c r="Q2990" s="107">
        <f t="shared" ref="Q2990:Q3053" si="85">YEAR(A2990)</f>
        <v>2016</v>
      </c>
      <c r="R2990" s="107">
        <v>2</v>
      </c>
      <c r="S2990" s="43">
        <v>216006</v>
      </c>
      <c r="T2990" s="74">
        <v>42397</v>
      </c>
    </row>
    <row r="2991" spans="1:20" x14ac:dyDescent="0.3">
      <c r="A2991" s="42">
        <v>42439</v>
      </c>
      <c r="B2991" s="37">
        <v>20160310</v>
      </c>
      <c r="C2991" s="109">
        <v>1.9199999999999998E-2</v>
      </c>
      <c r="D2991" s="109">
        <v>6.0000000000000001E-3</v>
      </c>
      <c r="E2991" s="109">
        <v>0.01</v>
      </c>
      <c r="F2991" s="109">
        <v>1.0999999999999999E-2</v>
      </c>
      <c r="G2991" s="130">
        <v>0</v>
      </c>
      <c r="H2991" s="71">
        <v>8.5</v>
      </c>
      <c r="I2991" s="71">
        <v>11.1</v>
      </c>
      <c r="J2991" s="71">
        <v>13.6</v>
      </c>
      <c r="K2991" s="121">
        <v>6.1999999999999998E-3</v>
      </c>
      <c r="L2991" s="121">
        <v>-7.0000000000000001E-3</v>
      </c>
      <c r="M2991" s="75" t="s">
        <v>146</v>
      </c>
      <c r="N2991" s="75" t="b">
        <v>1</v>
      </c>
      <c r="O2991" s="75" t="s">
        <v>145</v>
      </c>
      <c r="P2991" s="75">
        <v>2014</v>
      </c>
      <c r="Q2991" s="107">
        <f t="shared" si="85"/>
        <v>2016</v>
      </c>
      <c r="R2991" s="107">
        <v>2</v>
      </c>
      <c r="S2991" s="43">
        <v>216006</v>
      </c>
      <c r="T2991" s="74">
        <v>42397</v>
      </c>
    </row>
    <row r="2992" spans="1:20" x14ac:dyDescent="0.3">
      <c r="A2992" s="42">
        <v>42440</v>
      </c>
      <c r="B2992" s="37">
        <v>20160311</v>
      </c>
      <c r="C2992" s="109">
        <v>1.9699999999999999E-2</v>
      </c>
      <c r="D2992" s="109">
        <v>6.0000000000000001E-3</v>
      </c>
      <c r="E2992" s="109">
        <v>0.01</v>
      </c>
      <c r="F2992" s="109">
        <v>1.0999999999999999E-2</v>
      </c>
      <c r="G2992" s="130">
        <v>0</v>
      </c>
      <c r="H2992" s="71">
        <v>8.5</v>
      </c>
      <c r="I2992" s="71">
        <v>11.1</v>
      </c>
      <c r="J2992" s="71">
        <v>13.6</v>
      </c>
      <c r="K2992" s="121">
        <v>6.5000000000000006E-3</v>
      </c>
      <c r="L2992" s="121">
        <v>-7.0000000000000001E-3</v>
      </c>
      <c r="M2992" s="75" t="s">
        <v>146</v>
      </c>
      <c r="N2992" s="75" t="b">
        <v>1</v>
      </c>
      <c r="O2992" s="75" t="s">
        <v>145</v>
      </c>
      <c r="P2992" s="75">
        <v>2014</v>
      </c>
      <c r="Q2992" s="107">
        <f t="shared" si="85"/>
        <v>2016</v>
      </c>
      <c r="R2992" s="107">
        <v>2</v>
      </c>
      <c r="S2992" s="43">
        <v>216006</v>
      </c>
      <c r="T2992" s="74">
        <v>42397</v>
      </c>
    </row>
    <row r="2993" spans="1:20" x14ac:dyDescent="0.3">
      <c r="A2993" s="42">
        <v>42441</v>
      </c>
      <c r="B2993" s="37">
        <v>20160312</v>
      </c>
      <c r="C2993" s="109">
        <v>1.9699999999999999E-2</v>
      </c>
      <c r="D2993" s="109">
        <v>6.0000000000000001E-3</v>
      </c>
      <c r="E2993" s="109">
        <v>0.01</v>
      </c>
      <c r="F2993" s="109">
        <v>1.0999999999999999E-2</v>
      </c>
      <c r="G2993" s="130">
        <v>0</v>
      </c>
      <c r="H2993" s="71">
        <v>8.5</v>
      </c>
      <c r="I2993" s="71">
        <v>11.1</v>
      </c>
      <c r="J2993" s="71">
        <v>13.6</v>
      </c>
      <c r="K2993" s="121">
        <v>6.5000000000000006E-3</v>
      </c>
      <c r="L2993" s="121">
        <v>-7.0000000000000001E-3</v>
      </c>
      <c r="M2993" s="75" t="s">
        <v>146</v>
      </c>
      <c r="N2993" s="75" t="b">
        <v>1</v>
      </c>
      <c r="O2993" s="75" t="s">
        <v>145</v>
      </c>
      <c r="P2993" s="75">
        <v>2014</v>
      </c>
      <c r="Q2993" s="107">
        <f t="shared" si="85"/>
        <v>2016</v>
      </c>
      <c r="R2993" s="107">
        <v>2</v>
      </c>
      <c r="S2993" s="43">
        <v>216006</v>
      </c>
      <c r="T2993" s="74">
        <v>42397</v>
      </c>
    </row>
    <row r="2994" spans="1:20" x14ac:dyDescent="0.3">
      <c r="A2994" s="42">
        <v>42442</v>
      </c>
      <c r="B2994" s="37">
        <v>20160313</v>
      </c>
      <c r="C2994" s="109">
        <v>1.9699999999999999E-2</v>
      </c>
      <c r="D2994" s="109">
        <v>6.0000000000000001E-3</v>
      </c>
      <c r="E2994" s="109">
        <v>0.01</v>
      </c>
      <c r="F2994" s="109">
        <v>1.0999999999999999E-2</v>
      </c>
      <c r="G2994" s="130">
        <v>0</v>
      </c>
      <c r="H2994" s="71">
        <v>8.5</v>
      </c>
      <c r="I2994" s="71">
        <v>11.1</v>
      </c>
      <c r="J2994" s="71">
        <v>13.6</v>
      </c>
      <c r="K2994" s="121">
        <v>6.5000000000000006E-3</v>
      </c>
      <c r="L2994" s="121">
        <v>-7.0000000000000001E-3</v>
      </c>
      <c r="M2994" s="75" t="s">
        <v>146</v>
      </c>
      <c r="N2994" s="75" t="b">
        <v>1</v>
      </c>
      <c r="O2994" s="75" t="s">
        <v>145</v>
      </c>
      <c r="P2994" s="75">
        <v>2014</v>
      </c>
      <c r="Q2994" s="107">
        <f t="shared" si="85"/>
        <v>2016</v>
      </c>
      <c r="R2994" s="107">
        <v>2</v>
      </c>
      <c r="S2994" s="43">
        <v>216006</v>
      </c>
      <c r="T2994" s="74">
        <v>42397</v>
      </c>
    </row>
    <row r="2995" spans="1:20" x14ac:dyDescent="0.3">
      <c r="A2995" s="42">
        <v>42443</v>
      </c>
      <c r="B2995" s="37">
        <v>20160314</v>
      </c>
      <c r="C2995" s="109">
        <v>1.9699999999999999E-2</v>
      </c>
      <c r="D2995" s="109">
        <v>6.0000000000000001E-3</v>
      </c>
      <c r="E2995" s="109">
        <v>0.01</v>
      </c>
      <c r="F2995" s="109">
        <v>1.0999999999999999E-2</v>
      </c>
      <c r="G2995" s="130">
        <v>0</v>
      </c>
      <c r="H2995" s="71">
        <v>8.5</v>
      </c>
      <c r="I2995" s="71">
        <v>11.1</v>
      </c>
      <c r="J2995" s="71">
        <v>13.6</v>
      </c>
      <c r="K2995" s="121">
        <v>6.5000000000000006E-3</v>
      </c>
      <c r="L2995" s="121">
        <v>-7.0000000000000001E-3</v>
      </c>
      <c r="M2995" s="75" t="s">
        <v>146</v>
      </c>
      <c r="N2995" s="75" t="b">
        <v>1</v>
      </c>
      <c r="O2995" s="75" t="s">
        <v>145</v>
      </c>
      <c r="P2995" s="75">
        <v>2014</v>
      </c>
      <c r="Q2995" s="107">
        <f t="shared" si="85"/>
        <v>2016</v>
      </c>
      <c r="R2995" s="107">
        <v>2</v>
      </c>
      <c r="S2995" s="43">
        <v>216006</v>
      </c>
      <c r="T2995" s="74">
        <v>42397</v>
      </c>
    </row>
    <row r="2996" spans="1:20" x14ac:dyDescent="0.3">
      <c r="A2996" s="42">
        <v>42444</v>
      </c>
      <c r="B2996" s="37">
        <v>20160315</v>
      </c>
      <c r="C2996" s="109">
        <v>1.9400000000000001E-2</v>
      </c>
      <c r="D2996" s="109">
        <v>6.0000000000000001E-3</v>
      </c>
      <c r="E2996" s="109">
        <v>0.01</v>
      </c>
      <c r="F2996" s="109">
        <v>1.0999999999999999E-2</v>
      </c>
      <c r="G2996" s="130">
        <v>0</v>
      </c>
      <c r="H2996" s="71">
        <v>8.5</v>
      </c>
      <c r="I2996" s="71">
        <v>11.1</v>
      </c>
      <c r="J2996" s="71">
        <v>13.6</v>
      </c>
      <c r="K2996" s="121">
        <v>6.3E-3</v>
      </c>
      <c r="L2996" s="121">
        <v>-7.0000000000000001E-3</v>
      </c>
      <c r="M2996" s="75" t="s">
        <v>146</v>
      </c>
      <c r="N2996" s="75" t="b">
        <v>1</v>
      </c>
      <c r="O2996" s="75" t="s">
        <v>145</v>
      </c>
      <c r="P2996" s="75">
        <v>2014</v>
      </c>
      <c r="Q2996" s="107">
        <f t="shared" si="85"/>
        <v>2016</v>
      </c>
      <c r="R2996" s="107">
        <v>2</v>
      </c>
      <c r="S2996" s="43">
        <v>216006</v>
      </c>
      <c r="T2996" s="74">
        <v>42397</v>
      </c>
    </row>
    <row r="2997" spans="1:20" x14ac:dyDescent="0.3">
      <c r="A2997" s="42">
        <v>42445</v>
      </c>
      <c r="B2997" s="37">
        <v>20160316</v>
      </c>
      <c r="C2997" s="109">
        <v>1.9400000000000001E-2</v>
      </c>
      <c r="D2997" s="109">
        <v>6.0000000000000001E-3</v>
      </c>
      <c r="E2997" s="109">
        <v>0.01</v>
      </c>
      <c r="F2997" s="109">
        <v>1.0999999999999999E-2</v>
      </c>
      <c r="G2997" s="130">
        <v>0</v>
      </c>
      <c r="H2997" s="71">
        <v>8.5</v>
      </c>
      <c r="I2997" s="71">
        <v>11.1</v>
      </c>
      <c r="J2997" s="71">
        <v>13.6</v>
      </c>
      <c r="K2997" s="121">
        <v>5.8999999999999999E-3</v>
      </c>
      <c r="L2997" s="121">
        <v>-7.0000000000000001E-3</v>
      </c>
      <c r="M2997" s="75" t="s">
        <v>146</v>
      </c>
      <c r="N2997" s="75" t="b">
        <v>1</v>
      </c>
      <c r="O2997" s="75" t="s">
        <v>145</v>
      </c>
      <c r="P2997" s="75">
        <v>2014</v>
      </c>
      <c r="Q2997" s="107">
        <f t="shared" si="85"/>
        <v>2016</v>
      </c>
      <c r="R2997" s="107">
        <v>2</v>
      </c>
      <c r="S2997" s="43">
        <v>216006</v>
      </c>
      <c r="T2997" s="74">
        <v>42397</v>
      </c>
    </row>
    <row r="2998" spans="1:20" x14ac:dyDescent="0.3">
      <c r="A2998" s="42">
        <v>42446</v>
      </c>
      <c r="B2998" s="37">
        <v>20160317</v>
      </c>
      <c r="C2998" s="109">
        <v>1.9299999999999998E-2</v>
      </c>
      <c r="D2998" s="109">
        <v>6.0000000000000001E-3</v>
      </c>
      <c r="E2998" s="109">
        <v>0.01</v>
      </c>
      <c r="F2998" s="109">
        <v>1.0999999999999999E-2</v>
      </c>
      <c r="G2998" s="130">
        <v>0</v>
      </c>
      <c r="H2998" s="71">
        <v>8.5</v>
      </c>
      <c r="I2998" s="71">
        <v>11.1</v>
      </c>
      <c r="J2998" s="71">
        <v>13.6</v>
      </c>
      <c r="K2998" s="121">
        <v>5.6000000000000008E-3</v>
      </c>
      <c r="L2998" s="121">
        <v>-7.0000000000000001E-3</v>
      </c>
      <c r="M2998" s="75" t="s">
        <v>146</v>
      </c>
      <c r="N2998" s="75" t="b">
        <v>1</v>
      </c>
      <c r="O2998" s="75" t="s">
        <v>145</v>
      </c>
      <c r="P2998" s="75">
        <v>2014</v>
      </c>
      <c r="Q2998" s="107">
        <f t="shared" si="85"/>
        <v>2016</v>
      </c>
      <c r="R2998" s="107">
        <v>2</v>
      </c>
      <c r="S2998" s="43">
        <v>216006</v>
      </c>
      <c r="T2998" s="74">
        <v>42397</v>
      </c>
    </row>
    <row r="2999" spans="1:20" x14ac:dyDescent="0.3">
      <c r="A2999" s="42">
        <v>42447</v>
      </c>
      <c r="B2999" s="37">
        <v>20160318</v>
      </c>
      <c r="C2999" s="109">
        <v>1.9299999999999998E-2</v>
      </c>
      <c r="D2999" s="109">
        <v>6.0000000000000001E-3</v>
      </c>
      <c r="E2999" s="109">
        <v>0.01</v>
      </c>
      <c r="F2999" s="109">
        <v>1.0999999999999999E-2</v>
      </c>
      <c r="G2999" s="130">
        <v>0</v>
      </c>
      <c r="H2999" s="71">
        <v>8.5</v>
      </c>
      <c r="I2999" s="71">
        <v>11.1</v>
      </c>
      <c r="J2999" s="71">
        <v>13.6</v>
      </c>
      <c r="K2999" s="121">
        <v>5.5000000000000005E-3</v>
      </c>
      <c r="L2999" s="121">
        <v>-7.0000000000000001E-3</v>
      </c>
      <c r="M2999" s="75" t="s">
        <v>146</v>
      </c>
      <c r="N2999" s="75" t="b">
        <v>1</v>
      </c>
      <c r="O2999" s="75" t="s">
        <v>145</v>
      </c>
      <c r="P2999" s="75">
        <v>2014</v>
      </c>
      <c r="Q2999" s="107">
        <f t="shared" si="85"/>
        <v>2016</v>
      </c>
      <c r="R2999" s="107">
        <v>2</v>
      </c>
      <c r="S2999" s="43">
        <v>216006</v>
      </c>
      <c r="T2999" s="74">
        <v>42397</v>
      </c>
    </row>
    <row r="3000" spans="1:20" x14ac:dyDescent="0.3">
      <c r="A3000" s="42">
        <v>42448</v>
      </c>
      <c r="B3000" s="37">
        <v>20160319</v>
      </c>
      <c r="C3000" s="109">
        <v>1.9299999999999998E-2</v>
      </c>
      <c r="D3000" s="109">
        <v>6.0000000000000001E-3</v>
      </c>
      <c r="E3000" s="109">
        <v>0.01</v>
      </c>
      <c r="F3000" s="109">
        <v>1.0999999999999999E-2</v>
      </c>
      <c r="G3000" s="130">
        <v>0</v>
      </c>
      <c r="H3000" s="71">
        <v>8.5</v>
      </c>
      <c r="I3000" s="71">
        <v>11.1</v>
      </c>
      <c r="J3000" s="71">
        <v>13.6</v>
      </c>
      <c r="K3000" s="121">
        <v>5.5000000000000005E-3</v>
      </c>
      <c r="L3000" s="121">
        <v>-7.0000000000000001E-3</v>
      </c>
      <c r="M3000" s="75" t="s">
        <v>146</v>
      </c>
      <c r="N3000" s="75" t="b">
        <v>1</v>
      </c>
      <c r="O3000" s="75" t="s">
        <v>145</v>
      </c>
      <c r="P3000" s="75">
        <v>2014</v>
      </c>
      <c r="Q3000" s="107">
        <f t="shared" si="85"/>
        <v>2016</v>
      </c>
      <c r="R3000" s="107">
        <v>2</v>
      </c>
      <c r="S3000" s="43">
        <v>216006</v>
      </c>
      <c r="T3000" s="74">
        <v>42397</v>
      </c>
    </row>
    <row r="3001" spans="1:20" x14ac:dyDescent="0.3">
      <c r="A3001" s="42">
        <v>42449</v>
      </c>
      <c r="B3001" s="37">
        <v>20160320</v>
      </c>
      <c r="C3001" s="109">
        <v>1.9299999999999998E-2</v>
      </c>
      <c r="D3001" s="109">
        <v>6.0000000000000001E-3</v>
      </c>
      <c r="E3001" s="109">
        <v>0.01</v>
      </c>
      <c r="F3001" s="109">
        <v>1.0999999999999999E-2</v>
      </c>
      <c r="G3001" s="130">
        <v>0</v>
      </c>
      <c r="H3001" s="71">
        <v>8.5</v>
      </c>
      <c r="I3001" s="71">
        <v>11.1</v>
      </c>
      <c r="J3001" s="71">
        <v>13.6</v>
      </c>
      <c r="K3001" s="121">
        <v>5.5000000000000005E-3</v>
      </c>
      <c r="L3001" s="121">
        <v>-7.0000000000000001E-3</v>
      </c>
      <c r="M3001" s="75" t="s">
        <v>146</v>
      </c>
      <c r="N3001" s="75" t="b">
        <v>1</v>
      </c>
      <c r="O3001" s="75" t="s">
        <v>145</v>
      </c>
      <c r="P3001" s="75">
        <v>2014</v>
      </c>
      <c r="Q3001" s="107">
        <f t="shared" si="85"/>
        <v>2016</v>
      </c>
      <c r="R3001" s="107">
        <v>2</v>
      </c>
      <c r="S3001" s="43">
        <v>216006</v>
      </c>
      <c r="T3001" s="74">
        <v>42397</v>
      </c>
    </row>
    <row r="3002" spans="1:20" x14ac:dyDescent="0.3">
      <c r="A3002" s="42">
        <v>42450</v>
      </c>
      <c r="B3002" s="37">
        <v>20160321</v>
      </c>
      <c r="C3002" s="109">
        <v>1.95E-2</v>
      </c>
      <c r="D3002" s="109">
        <v>6.0000000000000001E-3</v>
      </c>
      <c r="E3002" s="109">
        <v>0.01</v>
      </c>
      <c r="F3002" s="109">
        <v>1.0999999999999999E-2</v>
      </c>
      <c r="G3002" s="130">
        <v>0</v>
      </c>
      <c r="H3002" s="71">
        <v>8.5</v>
      </c>
      <c r="I3002" s="71">
        <v>11.1</v>
      </c>
      <c r="J3002" s="71">
        <v>13.6</v>
      </c>
      <c r="K3002" s="121">
        <v>5.6000000000000008E-3</v>
      </c>
      <c r="L3002" s="121">
        <v>-7.0000000000000001E-3</v>
      </c>
      <c r="M3002" s="75" t="s">
        <v>146</v>
      </c>
      <c r="N3002" s="75" t="b">
        <v>1</v>
      </c>
      <c r="O3002" s="75" t="s">
        <v>145</v>
      </c>
      <c r="P3002" s="75">
        <v>2014</v>
      </c>
      <c r="Q3002" s="107">
        <f t="shared" si="85"/>
        <v>2016</v>
      </c>
      <c r="R3002" s="107">
        <v>2</v>
      </c>
      <c r="S3002" s="43">
        <v>216006</v>
      </c>
      <c r="T3002" s="74">
        <v>42397</v>
      </c>
    </row>
    <row r="3003" spans="1:20" x14ac:dyDescent="0.3">
      <c r="A3003" s="42">
        <v>42451</v>
      </c>
      <c r="B3003" s="37">
        <v>20160322</v>
      </c>
      <c r="C3003" s="109">
        <v>1.9400000000000001E-2</v>
      </c>
      <c r="D3003" s="109">
        <v>6.0000000000000001E-3</v>
      </c>
      <c r="E3003" s="109">
        <v>0.01</v>
      </c>
      <c r="F3003" s="109">
        <v>1.0999999999999999E-2</v>
      </c>
      <c r="G3003" s="130">
        <v>0</v>
      </c>
      <c r="H3003" s="71">
        <v>8.5</v>
      </c>
      <c r="I3003" s="71">
        <v>11.1</v>
      </c>
      <c r="J3003" s="71">
        <v>13.6</v>
      </c>
      <c r="K3003" s="121">
        <v>5.6999999999999993E-3</v>
      </c>
      <c r="L3003" s="121">
        <v>-7.0000000000000001E-3</v>
      </c>
      <c r="M3003" s="75" t="s">
        <v>146</v>
      </c>
      <c r="N3003" s="75" t="b">
        <v>1</v>
      </c>
      <c r="O3003" s="75" t="s">
        <v>145</v>
      </c>
      <c r="P3003" s="75">
        <v>2014</v>
      </c>
      <c r="Q3003" s="107">
        <f t="shared" si="85"/>
        <v>2016</v>
      </c>
      <c r="R3003" s="107">
        <v>2</v>
      </c>
      <c r="S3003" s="43">
        <v>216006</v>
      </c>
      <c r="T3003" s="74">
        <v>42397</v>
      </c>
    </row>
    <row r="3004" spans="1:20" x14ac:dyDescent="0.3">
      <c r="A3004" s="42">
        <v>42452</v>
      </c>
      <c r="B3004" s="37">
        <v>20160323</v>
      </c>
      <c r="C3004" s="109">
        <v>1.89E-2</v>
      </c>
      <c r="D3004" s="109">
        <v>6.0000000000000001E-3</v>
      </c>
      <c r="E3004" s="109">
        <v>0.01</v>
      </c>
      <c r="F3004" s="109">
        <v>1.0999999999999999E-2</v>
      </c>
      <c r="G3004" s="130">
        <v>0</v>
      </c>
      <c r="H3004" s="71">
        <v>8.5</v>
      </c>
      <c r="I3004" s="71">
        <v>11.1</v>
      </c>
      <c r="J3004" s="71">
        <v>13.6</v>
      </c>
      <c r="K3004" s="121">
        <v>5.1999999999999998E-3</v>
      </c>
      <c r="L3004" s="121">
        <v>-7.0000000000000001E-3</v>
      </c>
      <c r="M3004" s="75" t="s">
        <v>146</v>
      </c>
      <c r="N3004" s="75" t="b">
        <v>1</v>
      </c>
      <c r="O3004" s="75" t="s">
        <v>145</v>
      </c>
      <c r="P3004" s="75">
        <v>2014</v>
      </c>
      <c r="Q3004" s="107">
        <f t="shared" si="85"/>
        <v>2016</v>
      </c>
      <c r="R3004" s="107">
        <v>2</v>
      </c>
      <c r="S3004" s="43">
        <v>216006</v>
      </c>
      <c r="T3004" s="74">
        <v>42397</v>
      </c>
    </row>
    <row r="3005" spans="1:20" x14ac:dyDescent="0.3">
      <c r="A3005" s="42">
        <v>42453</v>
      </c>
      <c r="B3005" s="37">
        <v>20160324</v>
      </c>
      <c r="C3005" s="109">
        <v>1.9E-2</v>
      </c>
      <c r="D3005" s="109">
        <v>6.0000000000000001E-3</v>
      </c>
      <c r="E3005" s="109">
        <v>0.01</v>
      </c>
      <c r="F3005" s="109">
        <v>1.0999999999999999E-2</v>
      </c>
      <c r="G3005" s="130">
        <v>0</v>
      </c>
      <c r="H3005" s="71">
        <v>8.5</v>
      </c>
      <c r="I3005" s="71">
        <v>11.1</v>
      </c>
      <c r="J3005" s="71">
        <v>13.6</v>
      </c>
      <c r="K3005" s="121">
        <v>5.5000000000000005E-3</v>
      </c>
      <c r="L3005" s="121">
        <v>-7.0000000000000001E-3</v>
      </c>
      <c r="M3005" s="75" t="s">
        <v>146</v>
      </c>
      <c r="N3005" s="75" t="b">
        <v>1</v>
      </c>
      <c r="O3005" s="75" t="s">
        <v>145</v>
      </c>
      <c r="P3005" s="75">
        <v>2014</v>
      </c>
      <c r="Q3005" s="107">
        <f t="shared" si="85"/>
        <v>2016</v>
      </c>
      <c r="R3005" s="107">
        <v>2</v>
      </c>
      <c r="S3005" s="43">
        <v>216006</v>
      </c>
      <c r="T3005" s="74">
        <v>42397</v>
      </c>
    </row>
    <row r="3006" spans="1:20" x14ac:dyDescent="0.3">
      <c r="A3006" s="42">
        <v>42454</v>
      </c>
      <c r="B3006" s="37">
        <v>20160325</v>
      </c>
      <c r="C3006" s="109">
        <v>1.9E-2</v>
      </c>
      <c r="D3006" s="109">
        <v>6.0000000000000001E-3</v>
      </c>
      <c r="E3006" s="109">
        <v>0.01</v>
      </c>
      <c r="F3006" s="109">
        <v>1.0999999999999999E-2</v>
      </c>
      <c r="G3006" s="130">
        <v>0</v>
      </c>
      <c r="H3006" s="71">
        <v>8.5</v>
      </c>
      <c r="I3006" s="71">
        <v>11.1</v>
      </c>
      <c r="J3006" s="71">
        <v>13.6</v>
      </c>
      <c r="K3006" s="121">
        <v>5.5000000000000005E-3</v>
      </c>
      <c r="L3006" s="121">
        <v>-7.0000000000000001E-3</v>
      </c>
      <c r="M3006" s="75" t="s">
        <v>146</v>
      </c>
      <c r="N3006" s="75" t="b">
        <v>1</v>
      </c>
      <c r="O3006" s="75" t="s">
        <v>145</v>
      </c>
      <c r="P3006" s="75">
        <v>2014</v>
      </c>
      <c r="Q3006" s="107">
        <f t="shared" si="85"/>
        <v>2016</v>
      </c>
      <c r="R3006" s="107">
        <v>2</v>
      </c>
      <c r="S3006" s="43">
        <v>216006</v>
      </c>
      <c r="T3006" s="74">
        <v>42397</v>
      </c>
    </row>
    <row r="3007" spans="1:20" x14ac:dyDescent="0.3">
      <c r="A3007" s="42">
        <v>42455</v>
      </c>
      <c r="B3007" s="37">
        <v>20160326</v>
      </c>
      <c r="C3007" s="109">
        <v>1.9E-2</v>
      </c>
      <c r="D3007" s="109">
        <v>6.0000000000000001E-3</v>
      </c>
      <c r="E3007" s="109">
        <v>0.01</v>
      </c>
      <c r="F3007" s="109">
        <v>1.0999999999999999E-2</v>
      </c>
      <c r="G3007" s="130">
        <v>0</v>
      </c>
      <c r="H3007" s="71">
        <v>8.5</v>
      </c>
      <c r="I3007" s="71">
        <v>11.1</v>
      </c>
      <c r="J3007" s="71">
        <v>13.6</v>
      </c>
      <c r="K3007" s="121">
        <v>5.5000000000000005E-3</v>
      </c>
      <c r="L3007" s="121">
        <v>-7.0000000000000001E-3</v>
      </c>
      <c r="M3007" s="75" t="s">
        <v>146</v>
      </c>
      <c r="N3007" s="75" t="b">
        <v>1</v>
      </c>
      <c r="O3007" s="75" t="s">
        <v>145</v>
      </c>
      <c r="P3007" s="75">
        <v>2014</v>
      </c>
      <c r="Q3007" s="107">
        <f t="shared" si="85"/>
        <v>2016</v>
      </c>
      <c r="R3007" s="107">
        <v>2</v>
      </c>
      <c r="S3007" s="43">
        <v>216006</v>
      </c>
      <c r="T3007" s="74">
        <v>42397</v>
      </c>
    </row>
    <row r="3008" spans="1:20" x14ac:dyDescent="0.3">
      <c r="A3008" s="42">
        <v>42456</v>
      </c>
      <c r="B3008" s="37">
        <v>20160327</v>
      </c>
      <c r="C3008" s="109">
        <v>1.9E-2</v>
      </c>
      <c r="D3008" s="109">
        <v>6.0000000000000001E-3</v>
      </c>
      <c r="E3008" s="109">
        <v>0.01</v>
      </c>
      <c r="F3008" s="109">
        <v>1.0999999999999999E-2</v>
      </c>
      <c r="G3008" s="130">
        <v>0</v>
      </c>
      <c r="H3008" s="71">
        <v>8.5</v>
      </c>
      <c r="I3008" s="71">
        <v>11.1</v>
      </c>
      <c r="J3008" s="71">
        <v>13.6</v>
      </c>
      <c r="K3008" s="121">
        <v>5.5000000000000005E-3</v>
      </c>
      <c r="L3008" s="121">
        <v>-7.0000000000000001E-3</v>
      </c>
      <c r="M3008" s="75" t="s">
        <v>146</v>
      </c>
      <c r="N3008" s="75" t="b">
        <v>1</v>
      </c>
      <c r="O3008" s="75" t="s">
        <v>145</v>
      </c>
      <c r="P3008" s="75">
        <v>2014</v>
      </c>
      <c r="Q3008" s="107">
        <f t="shared" si="85"/>
        <v>2016</v>
      </c>
      <c r="R3008" s="107">
        <v>2</v>
      </c>
      <c r="S3008" s="43">
        <v>216006</v>
      </c>
      <c r="T3008" s="74">
        <v>42397</v>
      </c>
    </row>
    <row r="3009" spans="1:21" x14ac:dyDescent="0.3">
      <c r="A3009" s="42">
        <v>42457</v>
      </c>
      <c r="B3009" s="37">
        <v>20160328</v>
      </c>
      <c r="C3009" s="109">
        <v>1.89E-2</v>
      </c>
      <c r="D3009" s="109">
        <v>6.0000000000000001E-3</v>
      </c>
      <c r="E3009" s="109">
        <v>0.01</v>
      </c>
      <c r="F3009" s="109">
        <v>1.0999999999999999E-2</v>
      </c>
      <c r="G3009" s="130">
        <v>0</v>
      </c>
      <c r="H3009" s="71">
        <v>8.5</v>
      </c>
      <c r="I3009" s="71">
        <v>11.1</v>
      </c>
      <c r="J3009" s="71">
        <v>13.6</v>
      </c>
      <c r="K3009" s="121">
        <v>5.4000000000000003E-3</v>
      </c>
      <c r="L3009" s="121">
        <v>-7.0000000000000001E-3</v>
      </c>
      <c r="M3009" s="75" t="s">
        <v>146</v>
      </c>
      <c r="N3009" s="75" t="b">
        <v>1</v>
      </c>
      <c r="O3009" s="75" t="s">
        <v>145</v>
      </c>
      <c r="P3009" s="75">
        <v>2014</v>
      </c>
      <c r="Q3009" s="107">
        <f t="shared" si="85"/>
        <v>2016</v>
      </c>
      <c r="R3009" s="107">
        <v>2</v>
      </c>
      <c r="S3009" s="43">
        <v>216006</v>
      </c>
      <c r="T3009" s="74">
        <v>42397</v>
      </c>
    </row>
    <row r="3010" spans="1:21" x14ac:dyDescent="0.3">
      <c r="A3010" s="42">
        <v>42458</v>
      </c>
      <c r="B3010" s="37">
        <v>20160329</v>
      </c>
      <c r="C3010" s="109">
        <v>1.8200000000000001E-2</v>
      </c>
      <c r="D3010" s="109">
        <v>6.0000000000000001E-3</v>
      </c>
      <c r="E3010" s="109">
        <v>0.01</v>
      </c>
      <c r="F3010" s="109">
        <v>1.0999999999999999E-2</v>
      </c>
      <c r="G3010" s="130">
        <v>0</v>
      </c>
      <c r="H3010" s="71">
        <v>8.5</v>
      </c>
      <c r="I3010" s="71">
        <v>11.1</v>
      </c>
      <c r="J3010" s="71">
        <v>13.6</v>
      </c>
      <c r="K3010" s="121">
        <v>4.6999999999999993E-3</v>
      </c>
      <c r="L3010" s="121">
        <v>-7.0000000000000001E-3</v>
      </c>
      <c r="M3010" s="75" t="s">
        <v>146</v>
      </c>
      <c r="N3010" s="75" t="b">
        <v>1</v>
      </c>
      <c r="O3010" s="75" t="s">
        <v>145</v>
      </c>
      <c r="P3010" s="75">
        <v>2014</v>
      </c>
      <c r="Q3010" s="107">
        <f t="shared" si="85"/>
        <v>2016</v>
      </c>
      <c r="R3010" s="107">
        <v>2</v>
      </c>
      <c r="S3010" s="43">
        <v>216006</v>
      </c>
      <c r="T3010" s="74">
        <v>42397</v>
      </c>
    </row>
    <row r="3011" spans="1:21" x14ac:dyDescent="0.3">
      <c r="A3011" s="42">
        <v>42459</v>
      </c>
      <c r="B3011" s="37">
        <v>20160330</v>
      </c>
      <c r="C3011" s="109">
        <v>1.8600000000000002E-2</v>
      </c>
      <c r="D3011" s="109">
        <v>6.0000000000000001E-3</v>
      </c>
      <c r="E3011" s="109">
        <v>0.01</v>
      </c>
      <c r="F3011" s="109">
        <v>1.0999999999999999E-2</v>
      </c>
      <c r="G3011" s="130">
        <v>0</v>
      </c>
      <c r="H3011" s="71">
        <v>8.5</v>
      </c>
      <c r="I3011" s="71">
        <v>11.1</v>
      </c>
      <c r="J3011" s="71">
        <v>13.6</v>
      </c>
      <c r="K3011" s="121">
        <v>4.8999999999999998E-3</v>
      </c>
      <c r="L3011" s="121">
        <v>-7.0000000000000001E-3</v>
      </c>
      <c r="M3011" s="75" t="s">
        <v>146</v>
      </c>
      <c r="N3011" s="75" t="b">
        <v>1</v>
      </c>
      <c r="O3011" s="75" t="s">
        <v>145</v>
      </c>
      <c r="P3011" s="75">
        <v>2014</v>
      </c>
      <c r="Q3011" s="107">
        <f t="shared" si="85"/>
        <v>2016</v>
      </c>
      <c r="R3011" s="107">
        <v>2</v>
      </c>
      <c r="S3011" s="43">
        <v>216006</v>
      </c>
      <c r="T3011" s="74">
        <v>42397</v>
      </c>
    </row>
    <row r="3012" spans="1:21" s="116" customFormat="1" x14ac:dyDescent="0.3">
      <c r="A3012" s="110">
        <v>42460</v>
      </c>
      <c r="B3012" s="132">
        <f>YEAR(A3012)*10000+MONTH(A3012)*100+DAY(A3012)</f>
        <v>20160331</v>
      </c>
      <c r="C3012" s="111">
        <v>1.8600000000000002E-2</v>
      </c>
      <c r="D3012" s="120">
        <v>8.9999999999999993E-3</v>
      </c>
      <c r="E3012" s="120">
        <v>1.2E-2</v>
      </c>
      <c r="F3012" s="120">
        <v>1.2999999999999999E-2</v>
      </c>
      <c r="G3012" s="133">
        <v>0</v>
      </c>
      <c r="H3012" s="112">
        <v>8.5</v>
      </c>
      <c r="I3012" s="112">
        <v>11.1</v>
      </c>
      <c r="J3012" s="112">
        <v>13.6</v>
      </c>
      <c r="K3012" s="131">
        <v>4.8999999999999998E-3</v>
      </c>
      <c r="L3012" s="131">
        <v>-7.0000000000000001E-3</v>
      </c>
      <c r="M3012" s="98" t="s">
        <v>146</v>
      </c>
      <c r="N3012" s="98" t="b">
        <v>1</v>
      </c>
      <c r="O3012" s="98" t="s">
        <v>145</v>
      </c>
      <c r="P3012" s="98">
        <v>2014</v>
      </c>
      <c r="Q3012" s="105">
        <f t="shared" si="85"/>
        <v>2016</v>
      </c>
      <c r="R3012" s="105">
        <v>2</v>
      </c>
      <c r="S3012" s="114">
        <v>216045</v>
      </c>
      <c r="T3012" s="115">
        <v>42500</v>
      </c>
      <c r="U3012" s="98" t="s">
        <v>176</v>
      </c>
    </row>
    <row r="3013" spans="1:21" x14ac:dyDescent="0.3">
      <c r="A3013" s="42">
        <v>42461</v>
      </c>
      <c r="B3013" s="37">
        <f t="shared" ref="B3013:B3042" si="86">YEAR(A3013)*10000+MONTH(A3013)*100+DAY(A3013)</f>
        <v>20160401</v>
      </c>
      <c r="C3013" s="109">
        <v>1.8700000000000001E-2</v>
      </c>
      <c r="D3013" s="109">
        <v>8.9999999999999993E-3</v>
      </c>
      <c r="E3013" s="109">
        <v>1.2E-2</v>
      </c>
      <c r="F3013" s="109">
        <v>1.2999999999999999E-2</v>
      </c>
      <c r="G3013" s="130">
        <v>0</v>
      </c>
      <c r="H3013" s="71">
        <v>8.5</v>
      </c>
      <c r="I3013" s="71">
        <v>11.1</v>
      </c>
      <c r="J3013" s="71">
        <v>13.6</v>
      </c>
      <c r="K3013" s="121">
        <v>5.0000000000000001E-3</v>
      </c>
      <c r="L3013" s="121">
        <v>-7.0000000000000001E-3</v>
      </c>
      <c r="M3013" s="75" t="s">
        <v>146</v>
      </c>
      <c r="N3013" s="75" t="b">
        <v>1</v>
      </c>
      <c r="O3013" s="75" t="s">
        <v>145</v>
      </c>
      <c r="P3013" s="75">
        <v>2014</v>
      </c>
      <c r="Q3013" s="107">
        <f t="shared" si="85"/>
        <v>2016</v>
      </c>
      <c r="R3013" s="107">
        <v>2</v>
      </c>
      <c r="S3013" s="117">
        <v>216045</v>
      </c>
      <c r="T3013" s="118">
        <v>42500</v>
      </c>
    </row>
    <row r="3014" spans="1:21" x14ac:dyDescent="0.3">
      <c r="A3014" s="42">
        <v>42462</v>
      </c>
      <c r="B3014" s="37">
        <f t="shared" si="86"/>
        <v>20160402</v>
      </c>
      <c r="C3014" s="109">
        <v>1.8700000000000001E-2</v>
      </c>
      <c r="D3014" s="109">
        <v>8.9999999999999993E-3</v>
      </c>
      <c r="E3014" s="109">
        <v>1.2E-2</v>
      </c>
      <c r="F3014" s="109">
        <v>1.2999999999999999E-2</v>
      </c>
      <c r="G3014" s="130">
        <v>0</v>
      </c>
      <c r="H3014" s="71">
        <v>8.5</v>
      </c>
      <c r="I3014" s="71">
        <v>11.1</v>
      </c>
      <c r="J3014" s="71">
        <v>13.6</v>
      </c>
      <c r="K3014" s="121">
        <v>5.0000000000000001E-3</v>
      </c>
      <c r="L3014" s="121">
        <v>-7.0000000000000001E-3</v>
      </c>
      <c r="M3014" s="75" t="s">
        <v>146</v>
      </c>
      <c r="N3014" s="75" t="b">
        <v>1</v>
      </c>
      <c r="O3014" s="75" t="s">
        <v>145</v>
      </c>
      <c r="P3014" s="75">
        <v>2014</v>
      </c>
      <c r="Q3014" s="107">
        <f t="shared" si="85"/>
        <v>2016</v>
      </c>
      <c r="R3014" s="107">
        <v>2</v>
      </c>
      <c r="S3014" s="117">
        <v>216045</v>
      </c>
      <c r="T3014" s="118">
        <v>42500</v>
      </c>
    </row>
    <row r="3015" spans="1:21" x14ac:dyDescent="0.3">
      <c r="A3015" s="42">
        <v>42463</v>
      </c>
      <c r="B3015" s="37">
        <f t="shared" si="86"/>
        <v>20160403</v>
      </c>
      <c r="C3015" s="109">
        <v>1.8700000000000001E-2</v>
      </c>
      <c r="D3015" s="109">
        <v>8.9999999999999993E-3</v>
      </c>
      <c r="E3015" s="109">
        <v>1.2E-2</v>
      </c>
      <c r="F3015" s="109">
        <v>1.2999999999999999E-2</v>
      </c>
      <c r="G3015" s="130">
        <v>0</v>
      </c>
      <c r="H3015" s="71">
        <v>8.5</v>
      </c>
      <c r="I3015" s="71">
        <v>11.1</v>
      </c>
      <c r="J3015" s="71">
        <v>13.6</v>
      </c>
      <c r="K3015" s="121">
        <v>5.0000000000000001E-3</v>
      </c>
      <c r="L3015" s="121">
        <v>-7.0000000000000001E-3</v>
      </c>
      <c r="M3015" s="75" t="s">
        <v>146</v>
      </c>
      <c r="N3015" s="75" t="b">
        <v>1</v>
      </c>
      <c r="O3015" s="75" t="s">
        <v>145</v>
      </c>
      <c r="P3015" s="75">
        <v>2014</v>
      </c>
      <c r="Q3015" s="107">
        <f t="shared" si="85"/>
        <v>2016</v>
      </c>
      <c r="R3015" s="107">
        <v>2</v>
      </c>
      <c r="S3015" s="117">
        <v>216045</v>
      </c>
      <c r="T3015" s="118">
        <v>42500</v>
      </c>
    </row>
    <row r="3016" spans="1:21" x14ac:dyDescent="0.3">
      <c r="A3016" s="42">
        <v>42464</v>
      </c>
      <c r="B3016" s="37">
        <f t="shared" si="86"/>
        <v>20160404</v>
      </c>
      <c r="C3016" s="109">
        <v>1.8500000000000003E-2</v>
      </c>
      <c r="D3016" s="109">
        <v>8.9999999999999993E-3</v>
      </c>
      <c r="E3016" s="109">
        <v>1.2E-2</v>
      </c>
      <c r="F3016" s="109">
        <v>1.2999999999999999E-2</v>
      </c>
      <c r="G3016" s="130">
        <v>0</v>
      </c>
      <c r="H3016" s="71">
        <v>8.5</v>
      </c>
      <c r="I3016" s="71">
        <v>11.1</v>
      </c>
      <c r="J3016" s="71">
        <v>13.6</v>
      </c>
      <c r="K3016" s="121">
        <v>4.7999999999999996E-3</v>
      </c>
      <c r="L3016" s="121">
        <v>-7.0000000000000001E-3</v>
      </c>
      <c r="M3016" s="75" t="s">
        <v>146</v>
      </c>
      <c r="N3016" s="75" t="b">
        <v>1</v>
      </c>
      <c r="O3016" s="75" t="s">
        <v>145</v>
      </c>
      <c r="P3016" s="75">
        <v>2014</v>
      </c>
      <c r="Q3016" s="107">
        <f t="shared" si="85"/>
        <v>2016</v>
      </c>
      <c r="R3016" s="107">
        <v>2</v>
      </c>
      <c r="S3016" s="117">
        <v>216045</v>
      </c>
      <c r="T3016" s="118">
        <v>42500</v>
      </c>
    </row>
    <row r="3017" spans="1:21" x14ac:dyDescent="0.3">
      <c r="A3017" s="42">
        <v>42465</v>
      </c>
      <c r="B3017" s="37">
        <f t="shared" si="86"/>
        <v>20160405</v>
      </c>
      <c r="C3017" s="109">
        <v>1.7899999999999999E-2</v>
      </c>
      <c r="D3017" s="109">
        <v>8.9999999999999993E-3</v>
      </c>
      <c r="E3017" s="109">
        <v>1.2E-2</v>
      </c>
      <c r="F3017" s="109">
        <v>1.2999999999999999E-2</v>
      </c>
      <c r="G3017" s="130">
        <v>0</v>
      </c>
      <c r="H3017" s="71">
        <v>8.5</v>
      </c>
      <c r="I3017" s="71">
        <v>11.1</v>
      </c>
      <c r="J3017" s="71">
        <v>13.6</v>
      </c>
      <c r="K3017" s="121">
        <v>4.3E-3</v>
      </c>
      <c r="L3017" s="121">
        <v>-7.0000000000000001E-3</v>
      </c>
      <c r="M3017" s="75" t="s">
        <v>146</v>
      </c>
      <c r="N3017" s="75" t="b">
        <v>1</v>
      </c>
      <c r="O3017" s="75" t="s">
        <v>145</v>
      </c>
      <c r="P3017" s="75">
        <v>2014</v>
      </c>
      <c r="Q3017" s="107">
        <f t="shared" si="85"/>
        <v>2016</v>
      </c>
      <c r="R3017" s="107">
        <v>2</v>
      </c>
      <c r="S3017" s="117">
        <v>216045</v>
      </c>
      <c r="T3017" s="118">
        <v>42500</v>
      </c>
    </row>
    <row r="3018" spans="1:21" x14ac:dyDescent="0.3">
      <c r="A3018" s="42">
        <v>42466</v>
      </c>
      <c r="B3018" s="37">
        <f t="shared" si="86"/>
        <v>20160406</v>
      </c>
      <c r="C3018" s="109">
        <v>1.8200000000000001E-2</v>
      </c>
      <c r="D3018" s="109">
        <v>8.9999999999999993E-3</v>
      </c>
      <c r="E3018" s="109">
        <v>1.2E-2</v>
      </c>
      <c r="F3018" s="109">
        <v>1.2999999999999999E-2</v>
      </c>
      <c r="G3018" s="130">
        <v>0</v>
      </c>
      <c r="H3018" s="71">
        <v>8.5</v>
      </c>
      <c r="I3018" s="71">
        <v>11.1</v>
      </c>
      <c r="J3018" s="71">
        <v>13.6</v>
      </c>
      <c r="K3018" s="121">
        <v>4.3E-3</v>
      </c>
      <c r="L3018" s="121">
        <v>-7.0000000000000001E-3</v>
      </c>
      <c r="M3018" s="75" t="s">
        <v>146</v>
      </c>
      <c r="N3018" s="75" t="b">
        <v>1</v>
      </c>
      <c r="O3018" s="75" t="s">
        <v>145</v>
      </c>
      <c r="P3018" s="75">
        <v>2014</v>
      </c>
      <c r="Q3018" s="107">
        <f t="shared" si="85"/>
        <v>2016</v>
      </c>
      <c r="R3018" s="107">
        <v>2</v>
      </c>
      <c r="S3018" s="117">
        <v>216045</v>
      </c>
      <c r="T3018" s="118">
        <v>42500</v>
      </c>
    </row>
    <row r="3019" spans="1:21" x14ac:dyDescent="0.3">
      <c r="A3019" s="42">
        <v>42467</v>
      </c>
      <c r="B3019" s="37">
        <f t="shared" si="86"/>
        <v>20160407</v>
      </c>
      <c r="C3019" s="109">
        <v>1.78E-2</v>
      </c>
      <c r="D3019" s="109">
        <v>8.9999999999999993E-3</v>
      </c>
      <c r="E3019" s="109">
        <v>1.2E-2</v>
      </c>
      <c r="F3019" s="109">
        <v>1.2999999999999999E-2</v>
      </c>
      <c r="G3019" s="130">
        <v>0</v>
      </c>
      <c r="H3019" s="71">
        <v>8.5</v>
      </c>
      <c r="I3019" s="71">
        <v>11.1</v>
      </c>
      <c r="J3019" s="71">
        <v>13.6</v>
      </c>
      <c r="K3019" s="121">
        <v>3.8E-3</v>
      </c>
      <c r="L3019" s="121">
        <v>-7.0000000000000001E-3</v>
      </c>
      <c r="M3019" s="75" t="s">
        <v>146</v>
      </c>
      <c r="N3019" s="75" t="b">
        <v>1</v>
      </c>
      <c r="O3019" s="75" t="s">
        <v>145</v>
      </c>
      <c r="P3019" s="75">
        <v>2014</v>
      </c>
      <c r="Q3019" s="107">
        <f t="shared" si="85"/>
        <v>2016</v>
      </c>
      <c r="R3019" s="107">
        <v>2</v>
      </c>
      <c r="S3019" s="117">
        <v>216045</v>
      </c>
      <c r="T3019" s="118">
        <v>42500</v>
      </c>
    </row>
    <row r="3020" spans="1:21" x14ac:dyDescent="0.3">
      <c r="A3020" s="42">
        <v>42468</v>
      </c>
      <c r="B3020" s="37">
        <f t="shared" si="86"/>
        <v>20160408</v>
      </c>
      <c r="C3020" s="109">
        <v>1.8200000000000001E-2</v>
      </c>
      <c r="D3020" s="109">
        <v>8.9999999999999993E-3</v>
      </c>
      <c r="E3020" s="109">
        <v>1.2E-2</v>
      </c>
      <c r="F3020" s="109">
        <v>1.2999999999999999E-2</v>
      </c>
      <c r="G3020" s="130">
        <v>0</v>
      </c>
      <c r="H3020" s="71">
        <v>8.5</v>
      </c>
      <c r="I3020" s="71">
        <v>11.1</v>
      </c>
      <c r="J3020" s="71">
        <v>13.6</v>
      </c>
      <c r="K3020" s="121">
        <v>3.8E-3</v>
      </c>
      <c r="L3020" s="121">
        <v>-7.0000000000000001E-3</v>
      </c>
      <c r="M3020" s="75" t="s">
        <v>146</v>
      </c>
      <c r="N3020" s="75" t="b">
        <v>1</v>
      </c>
      <c r="O3020" s="75" t="s">
        <v>145</v>
      </c>
      <c r="P3020" s="75">
        <v>2014</v>
      </c>
      <c r="Q3020" s="107">
        <f t="shared" si="85"/>
        <v>2016</v>
      </c>
      <c r="R3020" s="107">
        <v>2</v>
      </c>
      <c r="S3020" s="117">
        <v>216045</v>
      </c>
      <c r="T3020" s="118">
        <v>42500</v>
      </c>
    </row>
    <row r="3021" spans="1:21" x14ac:dyDescent="0.3">
      <c r="A3021" s="42">
        <v>42469</v>
      </c>
      <c r="B3021" s="37">
        <f t="shared" si="86"/>
        <v>20160409</v>
      </c>
      <c r="C3021" s="109">
        <v>1.8200000000000001E-2</v>
      </c>
      <c r="D3021" s="109">
        <v>8.9999999999999993E-3</v>
      </c>
      <c r="E3021" s="109">
        <v>1.2E-2</v>
      </c>
      <c r="F3021" s="109">
        <v>1.2999999999999999E-2</v>
      </c>
      <c r="G3021" s="130">
        <v>0</v>
      </c>
      <c r="H3021" s="71">
        <v>8.5</v>
      </c>
      <c r="I3021" s="71">
        <v>11.1</v>
      </c>
      <c r="J3021" s="71">
        <v>13.6</v>
      </c>
      <c r="K3021" s="121">
        <v>3.8E-3</v>
      </c>
      <c r="L3021" s="121">
        <v>-7.0000000000000001E-3</v>
      </c>
      <c r="M3021" s="75" t="s">
        <v>146</v>
      </c>
      <c r="N3021" s="75" t="b">
        <v>1</v>
      </c>
      <c r="O3021" s="75" t="s">
        <v>145</v>
      </c>
      <c r="P3021" s="75">
        <v>2014</v>
      </c>
      <c r="Q3021" s="107">
        <f t="shared" si="85"/>
        <v>2016</v>
      </c>
      <c r="R3021" s="107">
        <v>2</v>
      </c>
      <c r="S3021" s="117">
        <v>216045</v>
      </c>
      <c r="T3021" s="118">
        <v>42500</v>
      </c>
    </row>
    <row r="3022" spans="1:21" x14ac:dyDescent="0.3">
      <c r="A3022" s="42">
        <v>42470</v>
      </c>
      <c r="B3022" s="37">
        <f t="shared" si="86"/>
        <v>20160410</v>
      </c>
      <c r="C3022" s="109">
        <v>1.8200000000000001E-2</v>
      </c>
      <c r="D3022" s="109">
        <v>8.9999999999999993E-3</v>
      </c>
      <c r="E3022" s="109">
        <v>1.2E-2</v>
      </c>
      <c r="F3022" s="109">
        <v>1.2999999999999999E-2</v>
      </c>
      <c r="G3022" s="130">
        <v>0</v>
      </c>
      <c r="H3022" s="71">
        <v>8.5</v>
      </c>
      <c r="I3022" s="71">
        <v>11.1</v>
      </c>
      <c r="J3022" s="71">
        <v>13.6</v>
      </c>
      <c r="K3022" s="121">
        <v>3.8E-3</v>
      </c>
      <c r="L3022" s="121">
        <v>-7.0000000000000001E-3</v>
      </c>
      <c r="M3022" s="75" t="s">
        <v>146</v>
      </c>
      <c r="N3022" s="75" t="b">
        <v>1</v>
      </c>
      <c r="O3022" s="75" t="s">
        <v>145</v>
      </c>
      <c r="P3022" s="75">
        <v>2014</v>
      </c>
      <c r="Q3022" s="107">
        <f t="shared" si="85"/>
        <v>2016</v>
      </c>
      <c r="R3022" s="107">
        <v>2</v>
      </c>
      <c r="S3022" s="117">
        <v>216045</v>
      </c>
      <c r="T3022" s="118">
        <v>42500</v>
      </c>
    </row>
    <row r="3023" spans="1:21" x14ac:dyDescent="0.3">
      <c r="A3023" s="42">
        <v>42471</v>
      </c>
      <c r="B3023" s="37">
        <f t="shared" si="86"/>
        <v>20160411</v>
      </c>
      <c r="C3023" s="109">
        <v>1.83E-2</v>
      </c>
      <c r="D3023" s="109">
        <v>8.9999999999999993E-3</v>
      </c>
      <c r="E3023" s="109">
        <v>1.2E-2</v>
      </c>
      <c r="F3023" s="109">
        <v>1.2999999999999999E-2</v>
      </c>
      <c r="G3023" s="130">
        <v>0</v>
      </c>
      <c r="H3023" s="71">
        <v>8.5</v>
      </c>
      <c r="I3023" s="71">
        <v>11.1</v>
      </c>
      <c r="J3023" s="71">
        <v>13.6</v>
      </c>
      <c r="K3023" s="121">
        <v>3.9000000000000003E-3</v>
      </c>
      <c r="L3023" s="121">
        <v>-7.0000000000000001E-3</v>
      </c>
      <c r="M3023" s="75" t="s">
        <v>146</v>
      </c>
      <c r="N3023" s="75" t="b">
        <v>1</v>
      </c>
      <c r="O3023" s="75" t="s">
        <v>145</v>
      </c>
      <c r="P3023" s="75">
        <v>2014</v>
      </c>
      <c r="Q3023" s="107">
        <f t="shared" si="85"/>
        <v>2016</v>
      </c>
      <c r="R3023" s="107">
        <v>2</v>
      </c>
      <c r="S3023" s="117">
        <v>216045</v>
      </c>
      <c r="T3023" s="118">
        <v>42500</v>
      </c>
    </row>
    <row r="3024" spans="1:21" x14ac:dyDescent="0.3">
      <c r="A3024" s="42">
        <v>42472</v>
      </c>
      <c r="B3024" s="37">
        <f t="shared" si="86"/>
        <v>20160412</v>
      </c>
      <c r="C3024" s="109">
        <v>1.8600000000000002E-2</v>
      </c>
      <c r="D3024" s="109">
        <v>8.9999999999999993E-3</v>
      </c>
      <c r="E3024" s="109">
        <v>1.2E-2</v>
      </c>
      <c r="F3024" s="109">
        <v>1.2999999999999999E-2</v>
      </c>
      <c r="G3024" s="130">
        <v>0</v>
      </c>
      <c r="H3024" s="71">
        <v>8.5</v>
      </c>
      <c r="I3024" s="71">
        <v>11.1</v>
      </c>
      <c r="J3024" s="71">
        <v>13.6</v>
      </c>
      <c r="K3024" s="121">
        <v>4.1999999999999997E-3</v>
      </c>
      <c r="L3024" s="121">
        <v>-7.0000000000000001E-3</v>
      </c>
      <c r="M3024" s="75" t="s">
        <v>146</v>
      </c>
      <c r="N3024" s="75" t="b">
        <v>1</v>
      </c>
      <c r="O3024" s="75" t="s">
        <v>145</v>
      </c>
      <c r="P3024" s="75">
        <v>2014</v>
      </c>
      <c r="Q3024" s="107">
        <f t="shared" si="85"/>
        <v>2016</v>
      </c>
      <c r="R3024" s="107">
        <v>2</v>
      </c>
      <c r="S3024" s="117">
        <v>216045</v>
      </c>
      <c r="T3024" s="118">
        <v>42500</v>
      </c>
    </row>
    <row r="3025" spans="1:20" x14ac:dyDescent="0.3">
      <c r="A3025" s="42">
        <v>42473</v>
      </c>
      <c r="B3025" s="37">
        <f t="shared" si="86"/>
        <v>20160413</v>
      </c>
      <c r="C3025" s="109">
        <v>1.84E-2</v>
      </c>
      <c r="D3025" s="109">
        <v>8.9999999999999993E-3</v>
      </c>
      <c r="E3025" s="109">
        <v>1.2E-2</v>
      </c>
      <c r="F3025" s="109">
        <v>1.2999999999999999E-2</v>
      </c>
      <c r="G3025" s="130">
        <v>0</v>
      </c>
      <c r="H3025" s="71">
        <v>8.5</v>
      </c>
      <c r="I3025" s="71">
        <v>11.1</v>
      </c>
      <c r="J3025" s="71">
        <v>13.6</v>
      </c>
      <c r="K3025" s="121">
        <v>4.0000000000000001E-3</v>
      </c>
      <c r="L3025" s="121">
        <v>-7.0000000000000001E-3</v>
      </c>
      <c r="M3025" s="75" t="s">
        <v>146</v>
      </c>
      <c r="N3025" s="75" t="b">
        <v>1</v>
      </c>
      <c r="O3025" s="75" t="s">
        <v>145</v>
      </c>
      <c r="P3025" s="75">
        <v>2014</v>
      </c>
      <c r="Q3025" s="107">
        <f t="shared" si="85"/>
        <v>2016</v>
      </c>
      <c r="R3025" s="107">
        <v>2</v>
      </c>
      <c r="S3025" s="117">
        <v>216045</v>
      </c>
      <c r="T3025" s="118">
        <v>42500</v>
      </c>
    </row>
    <row r="3026" spans="1:20" x14ac:dyDescent="0.3">
      <c r="A3026" s="42">
        <v>42474</v>
      </c>
      <c r="B3026" s="37">
        <f t="shared" si="86"/>
        <v>20160414</v>
      </c>
      <c r="C3026" s="109">
        <v>1.8700000000000001E-2</v>
      </c>
      <c r="D3026" s="109">
        <v>8.9999999999999993E-3</v>
      </c>
      <c r="E3026" s="109">
        <v>1.2E-2</v>
      </c>
      <c r="F3026" s="109">
        <v>1.2999999999999999E-2</v>
      </c>
      <c r="G3026" s="130">
        <v>0</v>
      </c>
      <c r="H3026" s="71">
        <v>8.5</v>
      </c>
      <c r="I3026" s="71">
        <v>11.1</v>
      </c>
      <c r="J3026" s="71">
        <v>13.6</v>
      </c>
      <c r="K3026" s="121">
        <v>4.1999999999999997E-3</v>
      </c>
      <c r="L3026" s="121">
        <v>-7.0000000000000001E-3</v>
      </c>
      <c r="M3026" s="75" t="s">
        <v>146</v>
      </c>
      <c r="N3026" s="75" t="b">
        <v>1</v>
      </c>
      <c r="O3026" s="75" t="s">
        <v>145</v>
      </c>
      <c r="P3026" s="75">
        <v>2014</v>
      </c>
      <c r="Q3026" s="107">
        <f t="shared" si="85"/>
        <v>2016</v>
      </c>
      <c r="R3026" s="107">
        <v>2</v>
      </c>
      <c r="S3026" s="117">
        <v>216045</v>
      </c>
      <c r="T3026" s="118">
        <v>42500</v>
      </c>
    </row>
    <row r="3027" spans="1:20" x14ac:dyDescent="0.3">
      <c r="A3027" s="42">
        <v>42475</v>
      </c>
      <c r="B3027" s="37">
        <f t="shared" si="86"/>
        <v>20160415</v>
      </c>
      <c r="C3027" s="109">
        <v>1.84E-2</v>
      </c>
      <c r="D3027" s="109">
        <v>8.9999999999999993E-3</v>
      </c>
      <c r="E3027" s="109">
        <v>1.2E-2</v>
      </c>
      <c r="F3027" s="109">
        <v>1.2999999999999999E-2</v>
      </c>
      <c r="G3027" s="130">
        <v>0</v>
      </c>
      <c r="H3027" s="71">
        <v>8.5</v>
      </c>
      <c r="I3027" s="71">
        <v>11.1</v>
      </c>
      <c r="J3027" s="71">
        <v>13.6</v>
      </c>
      <c r="K3027" s="121">
        <v>4.0000000000000001E-3</v>
      </c>
      <c r="L3027" s="121">
        <v>-7.0000000000000001E-3</v>
      </c>
      <c r="M3027" s="75" t="s">
        <v>146</v>
      </c>
      <c r="N3027" s="75" t="b">
        <v>1</v>
      </c>
      <c r="O3027" s="75" t="s">
        <v>145</v>
      </c>
      <c r="P3027" s="75">
        <v>2014</v>
      </c>
      <c r="Q3027" s="107">
        <f t="shared" si="85"/>
        <v>2016</v>
      </c>
      <c r="R3027" s="107">
        <v>2</v>
      </c>
      <c r="S3027" s="117">
        <v>216045</v>
      </c>
      <c r="T3027" s="118">
        <v>42500</v>
      </c>
    </row>
    <row r="3028" spans="1:20" x14ac:dyDescent="0.3">
      <c r="A3028" s="42">
        <v>42476</v>
      </c>
      <c r="B3028" s="37">
        <f t="shared" si="86"/>
        <v>20160416</v>
      </c>
      <c r="C3028" s="109">
        <v>1.84E-2</v>
      </c>
      <c r="D3028" s="109">
        <v>8.9999999999999993E-3</v>
      </c>
      <c r="E3028" s="109">
        <v>1.2E-2</v>
      </c>
      <c r="F3028" s="109">
        <v>1.2999999999999999E-2</v>
      </c>
      <c r="G3028" s="130">
        <v>0</v>
      </c>
      <c r="H3028" s="71">
        <v>8.5</v>
      </c>
      <c r="I3028" s="71">
        <v>11.1</v>
      </c>
      <c r="J3028" s="71">
        <v>13.6</v>
      </c>
      <c r="K3028" s="121">
        <v>4.0000000000000001E-3</v>
      </c>
      <c r="L3028" s="121">
        <v>-7.0000000000000001E-3</v>
      </c>
      <c r="M3028" s="75" t="s">
        <v>146</v>
      </c>
      <c r="N3028" s="75" t="b">
        <v>1</v>
      </c>
      <c r="O3028" s="75" t="s">
        <v>145</v>
      </c>
      <c r="P3028" s="75">
        <v>2014</v>
      </c>
      <c r="Q3028" s="107">
        <f t="shared" si="85"/>
        <v>2016</v>
      </c>
      <c r="R3028" s="107">
        <v>2</v>
      </c>
      <c r="S3028" s="117">
        <v>216045</v>
      </c>
      <c r="T3028" s="118">
        <v>42500</v>
      </c>
    </row>
    <row r="3029" spans="1:20" x14ac:dyDescent="0.3">
      <c r="A3029" s="42">
        <v>42477</v>
      </c>
      <c r="B3029" s="37">
        <f t="shared" si="86"/>
        <v>20160417</v>
      </c>
      <c r="C3029" s="109">
        <v>1.84E-2</v>
      </c>
      <c r="D3029" s="109">
        <v>8.9999999999999993E-3</v>
      </c>
      <c r="E3029" s="109">
        <v>1.2E-2</v>
      </c>
      <c r="F3029" s="109">
        <v>1.2999999999999999E-2</v>
      </c>
      <c r="G3029" s="130">
        <v>0</v>
      </c>
      <c r="H3029" s="71">
        <v>8.5</v>
      </c>
      <c r="I3029" s="71">
        <v>11.1</v>
      </c>
      <c r="J3029" s="71">
        <v>13.6</v>
      </c>
      <c r="K3029" s="121">
        <v>4.0000000000000001E-3</v>
      </c>
      <c r="L3029" s="121">
        <v>-7.0000000000000001E-3</v>
      </c>
      <c r="M3029" s="75" t="s">
        <v>146</v>
      </c>
      <c r="N3029" s="75" t="b">
        <v>1</v>
      </c>
      <c r="O3029" s="75" t="s">
        <v>145</v>
      </c>
      <c r="P3029" s="75">
        <v>2014</v>
      </c>
      <c r="Q3029" s="107">
        <f t="shared" si="85"/>
        <v>2016</v>
      </c>
      <c r="R3029" s="107">
        <v>2</v>
      </c>
      <c r="S3029" s="117">
        <v>216045</v>
      </c>
      <c r="T3029" s="118">
        <v>42500</v>
      </c>
    </row>
    <row r="3030" spans="1:20" x14ac:dyDescent="0.3">
      <c r="A3030" s="42">
        <v>42478</v>
      </c>
      <c r="B3030" s="37">
        <f t="shared" si="86"/>
        <v>20160418</v>
      </c>
      <c r="C3030" s="109">
        <v>1.8700000000000001E-2</v>
      </c>
      <c r="D3030" s="109">
        <v>8.9999999999999993E-3</v>
      </c>
      <c r="E3030" s="109">
        <v>1.2E-2</v>
      </c>
      <c r="F3030" s="109">
        <v>1.2999999999999999E-2</v>
      </c>
      <c r="G3030" s="130">
        <v>0</v>
      </c>
      <c r="H3030" s="71">
        <v>8.5</v>
      </c>
      <c r="I3030" s="71">
        <v>11.1</v>
      </c>
      <c r="J3030" s="71">
        <v>13.6</v>
      </c>
      <c r="K3030" s="121">
        <v>4.3E-3</v>
      </c>
      <c r="L3030" s="121">
        <v>-7.0000000000000001E-3</v>
      </c>
      <c r="M3030" s="75" t="s">
        <v>146</v>
      </c>
      <c r="N3030" s="75" t="b">
        <v>1</v>
      </c>
      <c r="O3030" s="75" t="s">
        <v>145</v>
      </c>
      <c r="P3030" s="75">
        <v>2014</v>
      </c>
      <c r="Q3030" s="107">
        <f t="shared" si="85"/>
        <v>2016</v>
      </c>
      <c r="R3030" s="107">
        <v>2</v>
      </c>
      <c r="S3030" s="117">
        <v>216045</v>
      </c>
      <c r="T3030" s="118">
        <v>42500</v>
      </c>
    </row>
    <row r="3031" spans="1:20" x14ac:dyDescent="0.3">
      <c r="A3031" s="42">
        <v>42479</v>
      </c>
      <c r="B3031" s="37">
        <f t="shared" si="86"/>
        <v>20160419</v>
      </c>
      <c r="C3031" s="109">
        <v>1.89E-2</v>
      </c>
      <c r="D3031" s="109">
        <v>8.9999999999999993E-3</v>
      </c>
      <c r="E3031" s="109">
        <v>1.2E-2</v>
      </c>
      <c r="F3031" s="109">
        <v>1.2999999999999999E-2</v>
      </c>
      <c r="G3031" s="130">
        <v>0</v>
      </c>
      <c r="H3031" s="71">
        <v>8.5</v>
      </c>
      <c r="I3031" s="71">
        <v>11.1</v>
      </c>
      <c r="J3031" s="71">
        <v>13.6</v>
      </c>
      <c r="K3031" s="121">
        <v>4.3E-3</v>
      </c>
      <c r="L3031" s="121">
        <v>-7.0000000000000001E-3</v>
      </c>
      <c r="M3031" s="75" t="s">
        <v>146</v>
      </c>
      <c r="N3031" s="75" t="b">
        <v>1</v>
      </c>
      <c r="O3031" s="75" t="s">
        <v>145</v>
      </c>
      <c r="P3031" s="75">
        <v>2014</v>
      </c>
      <c r="Q3031" s="107">
        <f t="shared" si="85"/>
        <v>2016</v>
      </c>
      <c r="R3031" s="107">
        <v>2</v>
      </c>
      <c r="S3031" s="117">
        <v>216045</v>
      </c>
      <c r="T3031" s="118">
        <v>42500</v>
      </c>
    </row>
    <row r="3032" spans="1:20" x14ac:dyDescent="0.3">
      <c r="A3032" s="42">
        <v>42480</v>
      </c>
      <c r="B3032" s="37">
        <f t="shared" si="86"/>
        <v>20160420</v>
      </c>
      <c r="C3032" s="109">
        <v>1.9099999999999999E-2</v>
      </c>
      <c r="D3032" s="109">
        <v>8.9999999999999993E-3</v>
      </c>
      <c r="E3032" s="109">
        <v>1.2E-2</v>
      </c>
      <c r="F3032" s="109">
        <v>1.2999999999999999E-2</v>
      </c>
      <c r="G3032" s="130">
        <v>0</v>
      </c>
      <c r="H3032" s="71">
        <v>8.5</v>
      </c>
      <c r="I3032" s="71">
        <v>11.1</v>
      </c>
      <c r="J3032" s="71">
        <v>13.6</v>
      </c>
      <c r="K3032" s="121">
        <v>4.4000000000000003E-3</v>
      </c>
      <c r="L3032" s="121">
        <v>-7.0000000000000001E-3</v>
      </c>
      <c r="M3032" s="75" t="s">
        <v>146</v>
      </c>
      <c r="N3032" s="75" t="b">
        <v>1</v>
      </c>
      <c r="O3032" s="75" t="s">
        <v>145</v>
      </c>
      <c r="P3032" s="75">
        <v>2014</v>
      </c>
      <c r="Q3032" s="107">
        <f t="shared" si="85"/>
        <v>2016</v>
      </c>
      <c r="R3032" s="107">
        <v>2</v>
      </c>
      <c r="S3032" s="117">
        <v>216045</v>
      </c>
      <c r="T3032" s="118">
        <v>42500</v>
      </c>
    </row>
    <row r="3033" spans="1:20" x14ac:dyDescent="0.3">
      <c r="A3033" s="42">
        <v>42481</v>
      </c>
      <c r="B3033" s="37">
        <f t="shared" si="86"/>
        <v>20160421</v>
      </c>
      <c r="C3033" s="109">
        <v>1.9299999999999998E-2</v>
      </c>
      <c r="D3033" s="109">
        <v>8.9999999999999993E-3</v>
      </c>
      <c r="E3033" s="109">
        <v>1.2E-2</v>
      </c>
      <c r="F3033" s="109">
        <v>1.2999999999999999E-2</v>
      </c>
      <c r="G3033" s="130">
        <v>0</v>
      </c>
      <c r="H3033" s="71">
        <v>8.5</v>
      </c>
      <c r="I3033" s="71">
        <v>11.1</v>
      </c>
      <c r="J3033" s="71">
        <v>13.6</v>
      </c>
      <c r="K3033" s="121">
        <v>4.4000000000000003E-3</v>
      </c>
      <c r="L3033" s="121">
        <v>-7.0000000000000001E-3</v>
      </c>
      <c r="M3033" s="75" t="s">
        <v>146</v>
      </c>
      <c r="N3033" s="75" t="b">
        <v>1</v>
      </c>
      <c r="O3033" s="75" t="s">
        <v>145</v>
      </c>
      <c r="P3033" s="75">
        <v>2014</v>
      </c>
      <c r="Q3033" s="107">
        <f t="shared" si="85"/>
        <v>2016</v>
      </c>
      <c r="R3033" s="107">
        <v>2</v>
      </c>
      <c r="S3033" s="117">
        <v>216045</v>
      </c>
      <c r="T3033" s="118">
        <v>42500</v>
      </c>
    </row>
    <row r="3034" spans="1:20" x14ac:dyDescent="0.3">
      <c r="A3034" s="42">
        <v>42482</v>
      </c>
      <c r="B3034" s="37">
        <f t="shared" si="86"/>
        <v>20160422</v>
      </c>
      <c r="C3034" s="109">
        <v>1.9599999999999999E-2</v>
      </c>
      <c r="D3034" s="109">
        <v>8.9999999999999993E-3</v>
      </c>
      <c r="E3034" s="109">
        <v>1.2E-2</v>
      </c>
      <c r="F3034" s="109">
        <v>1.2999999999999999E-2</v>
      </c>
      <c r="G3034" s="130">
        <v>0</v>
      </c>
      <c r="H3034" s="71">
        <v>8.5</v>
      </c>
      <c r="I3034" s="71">
        <v>11.1</v>
      </c>
      <c r="J3034" s="71">
        <v>13.6</v>
      </c>
      <c r="K3034" s="121">
        <v>4.5000000000000005E-3</v>
      </c>
      <c r="L3034" s="121">
        <v>-7.0000000000000001E-3</v>
      </c>
      <c r="M3034" s="75" t="s">
        <v>146</v>
      </c>
      <c r="N3034" s="75" t="b">
        <v>1</v>
      </c>
      <c r="O3034" s="75" t="s">
        <v>145</v>
      </c>
      <c r="P3034" s="75">
        <v>2014</v>
      </c>
      <c r="Q3034" s="107">
        <f t="shared" si="85"/>
        <v>2016</v>
      </c>
      <c r="R3034" s="107">
        <v>2</v>
      </c>
      <c r="S3034" s="117">
        <v>216045</v>
      </c>
      <c r="T3034" s="118">
        <v>42500</v>
      </c>
    </row>
    <row r="3035" spans="1:20" x14ac:dyDescent="0.3">
      <c r="A3035" s="42">
        <v>42483</v>
      </c>
      <c r="B3035" s="37">
        <f t="shared" si="86"/>
        <v>20160423</v>
      </c>
      <c r="C3035" s="109">
        <v>1.9599999999999999E-2</v>
      </c>
      <c r="D3035" s="109">
        <v>8.9999999999999993E-3</v>
      </c>
      <c r="E3035" s="109">
        <v>1.2E-2</v>
      </c>
      <c r="F3035" s="109">
        <v>1.2999999999999999E-2</v>
      </c>
      <c r="G3035" s="130">
        <v>0</v>
      </c>
      <c r="H3035" s="71">
        <v>8.5</v>
      </c>
      <c r="I3035" s="71">
        <v>11.1</v>
      </c>
      <c r="J3035" s="71">
        <v>13.6</v>
      </c>
      <c r="K3035" s="121">
        <v>4.5000000000000005E-3</v>
      </c>
      <c r="L3035" s="121">
        <v>-7.0000000000000001E-3</v>
      </c>
      <c r="M3035" s="75" t="s">
        <v>146</v>
      </c>
      <c r="N3035" s="75" t="b">
        <v>1</v>
      </c>
      <c r="O3035" s="75" t="s">
        <v>145</v>
      </c>
      <c r="P3035" s="75">
        <v>2014</v>
      </c>
      <c r="Q3035" s="107">
        <f t="shared" si="85"/>
        <v>2016</v>
      </c>
      <c r="R3035" s="107">
        <v>2</v>
      </c>
      <c r="S3035" s="117">
        <v>216045</v>
      </c>
      <c r="T3035" s="118">
        <v>42500</v>
      </c>
    </row>
    <row r="3036" spans="1:20" x14ac:dyDescent="0.3">
      <c r="A3036" s="42">
        <v>42484</v>
      </c>
      <c r="B3036" s="37">
        <f t="shared" si="86"/>
        <v>20160424</v>
      </c>
      <c r="C3036" s="109">
        <v>1.9599999999999999E-2</v>
      </c>
      <c r="D3036" s="109">
        <v>8.9999999999999993E-3</v>
      </c>
      <c r="E3036" s="109">
        <v>1.2E-2</v>
      </c>
      <c r="F3036" s="109">
        <v>1.2999999999999999E-2</v>
      </c>
      <c r="G3036" s="130">
        <v>0</v>
      </c>
      <c r="H3036" s="71">
        <v>8.5</v>
      </c>
      <c r="I3036" s="71">
        <v>11.1</v>
      </c>
      <c r="J3036" s="71">
        <v>13.6</v>
      </c>
      <c r="K3036" s="121">
        <v>4.5000000000000005E-3</v>
      </c>
      <c r="L3036" s="121">
        <v>-7.0000000000000001E-3</v>
      </c>
      <c r="M3036" s="75" t="s">
        <v>146</v>
      </c>
      <c r="N3036" s="75" t="b">
        <v>1</v>
      </c>
      <c r="O3036" s="75" t="s">
        <v>145</v>
      </c>
      <c r="P3036" s="75">
        <v>2014</v>
      </c>
      <c r="Q3036" s="107">
        <f t="shared" si="85"/>
        <v>2016</v>
      </c>
      <c r="R3036" s="107">
        <v>2</v>
      </c>
      <c r="S3036" s="117">
        <v>216045</v>
      </c>
      <c r="T3036" s="118">
        <v>42500</v>
      </c>
    </row>
    <row r="3037" spans="1:20" x14ac:dyDescent="0.3">
      <c r="A3037" s="42">
        <v>42485</v>
      </c>
      <c r="B3037" s="37">
        <f t="shared" si="86"/>
        <v>20160425</v>
      </c>
      <c r="C3037" s="109">
        <v>1.9799999999999998E-2</v>
      </c>
      <c r="D3037" s="109">
        <v>8.9999999999999993E-3</v>
      </c>
      <c r="E3037" s="109">
        <v>1.2E-2</v>
      </c>
      <c r="F3037" s="109">
        <v>1.2999999999999999E-2</v>
      </c>
      <c r="G3037" s="130">
        <v>0</v>
      </c>
      <c r="H3037" s="71">
        <v>8.5</v>
      </c>
      <c r="I3037" s="71">
        <v>11.1</v>
      </c>
      <c r="J3037" s="71">
        <v>13.6</v>
      </c>
      <c r="K3037" s="121">
        <v>4.7999999999999996E-3</v>
      </c>
      <c r="L3037" s="121">
        <v>-7.0000000000000001E-3</v>
      </c>
      <c r="M3037" s="75" t="s">
        <v>146</v>
      </c>
      <c r="N3037" s="75" t="b">
        <v>1</v>
      </c>
      <c r="O3037" s="75" t="s">
        <v>145</v>
      </c>
      <c r="P3037" s="75">
        <v>2014</v>
      </c>
      <c r="Q3037" s="107">
        <f t="shared" si="85"/>
        <v>2016</v>
      </c>
      <c r="R3037" s="107">
        <v>2</v>
      </c>
      <c r="S3037" s="117">
        <v>216045</v>
      </c>
      <c r="T3037" s="118">
        <v>42500</v>
      </c>
    </row>
    <row r="3038" spans="1:20" x14ac:dyDescent="0.3">
      <c r="A3038" s="42">
        <v>42486</v>
      </c>
      <c r="B3038" s="37">
        <f t="shared" si="86"/>
        <v>20160426</v>
      </c>
      <c r="C3038" s="109">
        <v>1.9799999999999998E-2</v>
      </c>
      <c r="D3038" s="109">
        <v>8.9999999999999993E-3</v>
      </c>
      <c r="E3038" s="109">
        <v>1.2E-2</v>
      </c>
      <c r="F3038" s="109">
        <v>1.2999999999999999E-2</v>
      </c>
      <c r="G3038" s="130">
        <v>0</v>
      </c>
      <c r="H3038" s="71">
        <v>8.5</v>
      </c>
      <c r="I3038" s="71">
        <v>11.1</v>
      </c>
      <c r="J3038" s="71">
        <v>13.6</v>
      </c>
      <c r="K3038" s="121">
        <v>4.7999999999999996E-3</v>
      </c>
      <c r="L3038" s="121">
        <v>-7.0000000000000001E-3</v>
      </c>
      <c r="M3038" s="75" t="s">
        <v>146</v>
      </c>
      <c r="N3038" s="75" t="b">
        <v>1</v>
      </c>
      <c r="O3038" s="75" t="s">
        <v>145</v>
      </c>
      <c r="P3038" s="75">
        <v>2014</v>
      </c>
      <c r="Q3038" s="107">
        <f t="shared" si="85"/>
        <v>2016</v>
      </c>
      <c r="R3038" s="107">
        <v>2</v>
      </c>
      <c r="S3038" s="117">
        <v>216045</v>
      </c>
      <c r="T3038" s="118">
        <v>42500</v>
      </c>
    </row>
    <row r="3039" spans="1:20" x14ac:dyDescent="0.3">
      <c r="A3039" s="42">
        <v>42487</v>
      </c>
      <c r="B3039" s="37">
        <f t="shared" si="86"/>
        <v>20160427</v>
      </c>
      <c r="C3039" s="109">
        <v>1.9400000000000001E-2</v>
      </c>
      <c r="D3039" s="109">
        <v>8.9999999999999993E-3</v>
      </c>
      <c r="E3039" s="109">
        <v>1.2E-2</v>
      </c>
      <c r="F3039" s="109">
        <v>1.2999999999999999E-2</v>
      </c>
      <c r="G3039" s="130">
        <v>0</v>
      </c>
      <c r="H3039" s="71">
        <v>8.5</v>
      </c>
      <c r="I3039" s="71">
        <v>11.1</v>
      </c>
      <c r="J3039" s="71">
        <v>13.6</v>
      </c>
      <c r="K3039" s="121">
        <v>4.5999999999999999E-3</v>
      </c>
      <c r="L3039" s="121">
        <v>-7.0000000000000001E-3</v>
      </c>
      <c r="M3039" s="75" t="s">
        <v>146</v>
      </c>
      <c r="N3039" s="75" t="b">
        <v>1</v>
      </c>
      <c r="O3039" s="75" t="s">
        <v>145</v>
      </c>
      <c r="P3039" s="75">
        <v>2014</v>
      </c>
      <c r="Q3039" s="107">
        <f t="shared" si="85"/>
        <v>2016</v>
      </c>
      <c r="R3039" s="107">
        <v>2</v>
      </c>
      <c r="S3039" s="117">
        <v>216045</v>
      </c>
      <c r="T3039" s="118">
        <v>42500</v>
      </c>
    </row>
    <row r="3040" spans="1:20" x14ac:dyDescent="0.3">
      <c r="A3040" s="42">
        <v>42488</v>
      </c>
      <c r="B3040" s="37">
        <f t="shared" si="86"/>
        <v>20160428</v>
      </c>
      <c r="C3040" s="109">
        <v>1.9199999999999998E-2</v>
      </c>
      <c r="D3040" s="109">
        <v>8.9999999999999993E-3</v>
      </c>
      <c r="E3040" s="109">
        <v>1.2E-2</v>
      </c>
      <c r="F3040" s="109">
        <v>1.2999999999999999E-2</v>
      </c>
      <c r="G3040" s="130">
        <v>0</v>
      </c>
      <c r="H3040" s="71">
        <v>8.5</v>
      </c>
      <c r="I3040" s="71">
        <v>11.1</v>
      </c>
      <c r="J3040" s="71">
        <v>13.6</v>
      </c>
      <c r="K3040" s="121">
        <v>4.4000000000000003E-3</v>
      </c>
      <c r="L3040" s="121">
        <v>-7.0000000000000001E-3</v>
      </c>
      <c r="M3040" s="75" t="s">
        <v>146</v>
      </c>
      <c r="N3040" s="75" t="b">
        <v>1</v>
      </c>
      <c r="O3040" s="75" t="s">
        <v>145</v>
      </c>
      <c r="P3040" s="75">
        <v>2014</v>
      </c>
      <c r="Q3040" s="107">
        <f t="shared" si="85"/>
        <v>2016</v>
      </c>
      <c r="R3040" s="107">
        <v>2</v>
      </c>
      <c r="S3040" s="117">
        <v>216045</v>
      </c>
      <c r="T3040" s="118">
        <v>42500</v>
      </c>
    </row>
    <row r="3041" spans="1:20" x14ac:dyDescent="0.3">
      <c r="A3041" s="42">
        <v>42489</v>
      </c>
      <c r="B3041" s="37">
        <f t="shared" si="86"/>
        <v>20160429</v>
      </c>
      <c r="C3041" s="109">
        <v>1.95E-2</v>
      </c>
      <c r="D3041" s="109">
        <v>8.9999999999999993E-3</v>
      </c>
      <c r="E3041" s="109">
        <v>1.2E-2</v>
      </c>
      <c r="F3041" s="109">
        <v>1.2999999999999999E-2</v>
      </c>
      <c r="G3041" s="130">
        <v>0</v>
      </c>
      <c r="H3041" s="71">
        <v>8.5</v>
      </c>
      <c r="I3041" s="71">
        <v>11.1</v>
      </c>
      <c r="J3041" s="71">
        <v>13.6</v>
      </c>
      <c r="K3041" s="121">
        <v>4.5999999999999999E-3</v>
      </c>
      <c r="L3041" s="121">
        <v>-7.0000000000000001E-3</v>
      </c>
      <c r="M3041" s="75" t="s">
        <v>146</v>
      </c>
      <c r="N3041" s="75" t="b">
        <v>1</v>
      </c>
      <c r="O3041" s="75" t="s">
        <v>145</v>
      </c>
      <c r="P3041" s="75">
        <v>2014</v>
      </c>
      <c r="Q3041" s="107">
        <f t="shared" si="85"/>
        <v>2016</v>
      </c>
      <c r="R3041" s="107">
        <v>2</v>
      </c>
      <c r="S3041" s="117">
        <v>216045</v>
      </c>
      <c r="T3041" s="118">
        <v>42500</v>
      </c>
    </row>
    <row r="3042" spans="1:20" x14ac:dyDescent="0.3">
      <c r="A3042" s="42">
        <v>42490</v>
      </c>
      <c r="B3042" s="37">
        <f t="shared" si="86"/>
        <v>20160430</v>
      </c>
      <c r="C3042" s="109">
        <v>1.95E-2</v>
      </c>
      <c r="D3042" s="109">
        <v>8.9999999999999993E-3</v>
      </c>
      <c r="E3042" s="109">
        <v>1.2E-2</v>
      </c>
      <c r="F3042" s="109">
        <v>1.2999999999999999E-2</v>
      </c>
      <c r="G3042" s="130">
        <v>0</v>
      </c>
      <c r="H3042" s="71">
        <v>8.5</v>
      </c>
      <c r="I3042" s="71">
        <v>11.1</v>
      </c>
      <c r="J3042" s="71">
        <v>13.6</v>
      </c>
      <c r="K3042" s="121">
        <v>4.5999999999999999E-3</v>
      </c>
      <c r="L3042" s="121">
        <v>-7.0000000000000001E-3</v>
      </c>
      <c r="M3042" s="75" t="s">
        <v>146</v>
      </c>
      <c r="N3042" s="75" t="b">
        <v>1</v>
      </c>
      <c r="O3042" s="75" t="s">
        <v>145</v>
      </c>
      <c r="P3042" s="75">
        <v>2014</v>
      </c>
      <c r="Q3042" s="107">
        <f t="shared" si="85"/>
        <v>2016</v>
      </c>
      <c r="R3042" s="107">
        <v>2</v>
      </c>
      <c r="S3042" s="117">
        <v>216045</v>
      </c>
      <c r="T3042" s="118">
        <v>42500</v>
      </c>
    </row>
    <row r="3043" spans="1:20" x14ac:dyDescent="0.3">
      <c r="A3043" s="42">
        <v>42491</v>
      </c>
      <c r="B3043" s="37">
        <f t="shared" ref="B3043:B3072" si="87">YEAR(A3043)*10000+MONTH(A3043)*100+DAY(A3043)</f>
        <v>20160501</v>
      </c>
      <c r="C3043" s="109">
        <v>1.95E-2</v>
      </c>
      <c r="D3043" s="109">
        <v>8.9999999999999993E-3</v>
      </c>
      <c r="E3043" s="109">
        <v>1.2E-2</v>
      </c>
      <c r="F3043" s="109">
        <v>1.2999999999999999E-2</v>
      </c>
      <c r="G3043" s="130">
        <v>0</v>
      </c>
      <c r="H3043" s="71">
        <v>8.5</v>
      </c>
      <c r="I3043" s="71">
        <v>11.1</v>
      </c>
      <c r="J3043" s="71">
        <v>13.6</v>
      </c>
      <c r="K3043" s="121">
        <v>4.5999999999999999E-3</v>
      </c>
      <c r="L3043" s="121">
        <v>-7.0000000000000001E-3</v>
      </c>
      <c r="M3043" s="75" t="s">
        <v>146</v>
      </c>
      <c r="N3043" s="75" t="b">
        <v>1</v>
      </c>
      <c r="O3043" s="75" t="s">
        <v>145</v>
      </c>
      <c r="P3043" s="75">
        <v>2014</v>
      </c>
      <c r="Q3043" s="107">
        <f t="shared" si="85"/>
        <v>2016</v>
      </c>
      <c r="R3043" s="107">
        <v>2</v>
      </c>
      <c r="S3043" s="117">
        <v>216045</v>
      </c>
      <c r="T3043" s="118">
        <v>42500</v>
      </c>
    </row>
    <row r="3044" spans="1:20" x14ac:dyDescent="0.3">
      <c r="A3044" s="42">
        <v>42492</v>
      </c>
      <c r="B3044" s="37">
        <f t="shared" si="87"/>
        <v>20160502</v>
      </c>
      <c r="C3044" s="109">
        <v>1.9799999999999998E-2</v>
      </c>
      <c r="D3044" s="109">
        <v>8.9999999999999993E-3</v>
      </c>
      <c r="E3044" s="109">
        <v>1.2E-2</v>
      </c>
      <c r="F3044" s="109">
        <v>1.2999999999999999E-2</v>
      </c>
      <c r="G3044" s="130">
        <v>0</v>
      </c>
      <c r="H3044" s="71">
        <v>8.5</v>
      </c>
      <c r="I3044" s="71">
        <v>11.1</v>
      </c>
      <c r="J3044" s="71">
        <v>13.6</v>
      </c>
      <c r="K3044" s="121">
        <v>5.1000000000000004E-3</v>
      </c>
      <c r="L3044" s="121">
        <v>-7.0000000000000001E-3</v>
      </c>
      <c r="M3044" s="75" t="s">
        <v>146</v>
      </c>
      <c r="N3044" s="75" t="b">
        <v>1</v>
      </c>
      <c r="O3044" s="75" t="s">
        <v>145</v>
      </c>
      <c r="P3044" s="75">
        <v>2014</v>
      </c>
      <c r="Q3044" s="107">
        <f t="shared" si="85"/>
        <v>2016</v>
      </c>
      <c r="R3044" s="107">
        <v>2</v>
      </c>
      <c r="S3044" s="117">
        <v>216045</v>
      </c>
      <c r="T3044" s="118">
        <v>42500</v>
      </c>
    </row>
    <row r="3045" spans="1:20" x14ac:dyDescent="0.3">
      <c r="A3045" s="42">
        <v>42493</v>
      </c>
      <c r="B3045" s="37">
        <f t="shared" si="87"/>
        <v>20160503</v>
      </c>
      <c r="C3045" s="109">
        <v>1.9299999999999998E-2</v>
      </c>
      <c r="D3045" s="109">
        <v>8.9999999999999993E-3</v>
      </c>
      <c r="E3045" s="109">
        <v>1.2E-2</v>
      </c>
      <c r="F3045" s="109">
        <v>1.2999999999999999E-2</v>
      </c>
      <c r="G3045" s="130">
        <v>0</v>
      </c>
      <c r="H3045" s="71">
        <v>8.5</v>
      </c>
      <c r="I3045" s="71">
        <v>11.1</v>
      </c>
      <c r="J3045" s="71">
        <v>13.6</v>
      </c>
      <c r="K3045" s="121">
        <v>4.7999999999999996E-3</v>
      </c>
      <c r="L3045" s="121">
        <v>-7.0000000000000001E-3</v>
      </c>
      <c r="M3045" s="75" t="s">
        <v>146</v>
      </c>
      <c r="N3045" s="75" t="b">
        <v>1</v>
      </c>
      <c r="O3045" s="75" t="s">
        <v>145</v>
      </c>
      <c r="P3045" s="75">
        <v>2014</v>
      </c>
      <c r="Q3045" s="107">
        <f t="shared" si="85"/>
        <v>2016</v>
      </c>
      <c r="R3045" s="107">
        <v>2</v>
      </c>
      <c r="S3045" s="117">
        <v>216045</v>
      </c>
      <c r="T3045" s="118">
        <v>42500</v>
      </c>
    </row>
    <row r="3046" spans="1:20" x14ac:dyDescent="0.3">
      <c r="A3046" s="42">
        <v>42494</v>
      </c>
      <c r="B3046" s="37">
        <f t="shared" si="87"/>
        <v>20160504</v>
      </c>
      <c r="C3046" s="109">
        <v>1.8799999999999997E-2</v>
      </c>
      <c r="D3046" s="109">
        <v>8.9999999999999993E-3</v>
      </c>
      <c r="E3046" s="109">
        <v>1.2E-2</v>
      </c>
      <c r="F3046" s="109">
        <v>1.2999999999999999E-2</v>
      </c>
      <c r="G3046" s="130">
        <v>0</v>
      </c>
      <c r="H3046" s="71">
        <v>8.5</v>
      </c>
      <c r="I3046" s="71">
        <v>11.1</v>
      </c>
      <c r="J3046" s="71">
        <v>13.6</v>
      </c>
      <c r="K3046" s="121">
        <v>4.5000000000000005E-3</v>
      </c>
      <c r="L3046" s="121">
        <v>-7.0000000000000001E-3</v>
      </c>
      <c r="M3046" s="75" t="s">
        <v>146</v>
      </c>
      <c r="N3046" s="75" t="b">
        <v>1</v>
      </c>
      <c r="O3046" s="75" t="s">
        <v>145</v>
      </c>
      <c r="P3046" s="75">
        <v>2014</v>
      </c>
      <c r="Q3046" s="107">
        <f t="shared" si="85"/>
        <v>2016</v>
      </c>
      <c r="R3046" s="107">
        <v>2</v>
      </c>
      <c r="S3046" s="117">
        <v>216045</v>
      </c>
      <c r="T3046" s="118">
        <v>42500</v>
      </c>
    </row>
    <row r="3047" spans="1:20" x14ac:dyDescent="0.3">
      <c r="A3047" s="42">
        <v>42495</v>
      </c>
      <c r="B3047" s="37">
        <f t="shared" si="87"/>
        <v>20160505</v>
      </c>
      <c r="C3047" s="109">
        <v>1.84E-2</v>
      </c>
      <c r="D3047" s="109">
        <v>8.9999999999999993E-3</v>
      </c>
      <c r="E3047" s="109">
        <v>1.2E-2</v>
      </c>
      <c r="F3047" s="109">
        <v>1.2999999999999999E-2</v>
      </c>
      <c r="G3047" s="130">
        <v>0</v>
      </c>
      <c r="H3047" s="71">
        <v>8.5</v>
      </c>
      <c r="I3047" s="71">
        <v>11.1</v>
      </c>
      <c r="J3047" s="71">
        <v>13.6</v>
      </c>
      <c r="K3047" s="121">
        <v>4.0999999999999995E-3</v>
      </c>
      <c r="L3047" s="121">
        <v>-7.0000000000000001E-3</v>
      </c>
      <c r="M3047" s="75" t="s">
        <v>146</v>
      </c>
      <c r="N3047" s="75" t="b">
        <v>1</v>
      </c>
      <c r="O3047" s="75" t="s">
        <v>145</v>
      </c>
      <c r="P3047" s="75">
        <v>2014</v>
      </c>
      <c r="Q3047" s="107">
        <f t="shared" si="85"/>
        <v>2016</v>
      </c>
      <c r="R3047" s="107">
        <v>2</v>
      </c>
      <c r="S3047" s="117">
        <v>216045</v>
      </c>
      <c r="T3047" s="118">
        <v>42500</v>
      </c>
    </row>
    <row r="3048" spans="1:20" x14ac:dyDescent="0.3">
      <c r="A3048" s="42">
        <v>42496</v>
      </c>
      <c r="B3048" s="37">
        <f t="shared" si="87"/>
        <v>20160506</v>
      </c>
      <c r="C3048" s="109">
        <v>1.84E-2</v>
      </c>
      <c r="D3048" s="109">
        <v>8.9999999999999993E-3</v>
      </c>
      <c r="E3048" s="109">
        <v>1.2E-2</v>
      </c>
      <c r="F3048" s="109">
        <v>1.2999999999999999E-2</v>
      </c>
      <c r="G3048" s="130">
        <v>0</v>
      </c>
      <c r="H3048" s="71">
        <v>8.5</v>
      </c>
      <c r="I3048" s="71">
        <v>11.1</v>
      </c>
      <c r="J3048" s="71">
        <v>13.6</v>
      </c>
      <c r="K3048" s="121">
        <v>4.0999999999999995E-3</v>
      </c>
      <c r="L3048" s="121">
        <v>-7.0000000000000001E-3</v>
      </c>
      <c r="M3048" s="75" t="s">
        <v>146</v>
      </c>
      <c r="N3048" s="75" t="b">
        <v>1</v>
      </c>
      <c r="O3048" s="75" t="s">
        <v>145</v>
      </c>
      <c r="P3048" s="75">
        <v>2014</v>
      </c>
      <c r="Q3048" s="107">
        <f t="shared" si="85"/>
        <v>2016</v>
      </c>
      <c r="R3048" s="107">
        <v>2</v>
      </c>
      <c r="S3048" s="117">
        <v>216045</v>
      </c>
      <c r="T3048" s="118">
        <v>42500</v>
      </c>
    </row>
    <row r="3049" spans="1:20" x14ac:dyDescent="0.3">
      <c r="A3049" s="42">
        <v>42497</v>
      </c>
      <c r="B3049" s="37">
        <f>YEAR(A3049)*10000+MONTH(A3049)*100+DAY(A3049)</f>
        <v>20160507</v>
      </c>
      <c r="C3049" s="109">
        <v>1.84E-2</v>
      </c>
      <c r="D3049" s="109">
        <v>8.9999999999999993E-3</v>
      </c>
      <c r="E3049" s="109">
        <v>1.2E-2</v>
      </c>
      <c r="F3049" s="109">
        <v>1.2999999999999999E-2</v>
      </c>
      <c r="G3049" s="130">
        <v>0</v>
      </c>
      <c r="H3049" s="71">
        <v>8.5</v>
      </c>
      <c r="I3049" s="71">
        <v>11.1</v>
      </c>
      <c r="J3049" s="71">
        <v>13.6</v>
      </c>
      <c r="K3049" s="121">
        <v>4.1000000000000003E-3</v>
      </c>
      <c r="L3049" s="121">
        <v>-7.0000000000000001E-3</v>
      </c>
      <c r="M3049" s="75" t="s">
        <v>146</v>
      </c>
      <c r="N3049" s="75" t="b">
        <v>1</v>
      </c>
      <c r="O3049" s="75" t="s">
        <v>145</v>
      </c>
      <c r="P3049" s="75">
        <v>2014</v>
      </c>
      <c r="Q3049" s="107">
        <f t="shared" si="85"/>
        <v>2016</v>
      </c>
      <c r="R3049" s="107">
        <v>2</v>
      </c>
      <c r="S3049" s="117">
        <v>216045</v>
      </c>
      <c r="T3049" s="118">
        <v>42500</v>
      </c>
    </row>
    <row r="3050" spans="1:20" x14ac:dyDescent="0.3">
      <c r="A3050" s="42">
        <v>42498</v>
      </c>
      <c r="B3050" s="37">
        <f>YEAR(A3050)*10000+MONTH(A3050)*100+DAY(A3050)</f>
        <v>20160508</v>
      </c>
      <c r="C3050" s="109">
        <v>1.84E-2</v>
      </c>
      <c r="D3050" s="109">
        <v>8.9999999999999993E-3</v>
      </c>
      <c r="E3050" s="109">
        <v>1.2E-2</v>
      </c>
      <c r="F3050" s="109">
        <v>1.2999999999999999E-2</v>
      </c>
      <c r="G3050" s="130">
        <v>0</v>
      </c>
      <c r="H3050" s="71">
        <v>8.5</v>
      </c>
      <c r="I3050" s="71">
        <v>11.1</v>
      </c>
      <c r="J3050" s="71">
        <v>13.6</v>
      </c>
      <c r="K3050" s="121">
        <v>4.1000000000000003E-3</v>
      </c>
      <c r="L3050" s="121">
        <v>-7.0000000000000001E-3</v>
      </c>
      <c r="M3050" s="75" t="s">
        <v>146</v>
      </c>
      <c r="N3050" s="75" t="b">
        <v>1</v>
      </c>
      <c r="O3050" s="75" t="s">
        <v>145</v>
      </c>
      <c r="P3050" s="75">
        <v>2014</v>
      </c>
      <c r="Q3050" s="107">
        <f t="shared" si="85"/>
        <v>2016</v>
      </c>
      <c r="R3050" s="107">
        <v>2</v>
      </c>
      <c r="S3050" s="117">
        <v>216045</v>
      </c>
      <c r="T3050" s="118">
        <v>42500</v>
      </c>
    </row>
    <row r="3051" spans="1:20" x14ac:dyDescent="0.3">
      <c r="A3051" s="42">
        <v>42499</v>
      </c>
      <c r="B3051" s="37">
        <f t="shared" si="87"/>
        <v>20160509</v>
      </c>
      <c r="C3051" s="109">
        <v>1.8100000000000002E-2</v>
      </c>
      <c r="D3051" s="109">
        <v>8.9999999999999993E-3</v>
      </c>
      <c r="E3051" s="109">
        <v>1.2E-2</v>
      </c>
      <c r="F3051" s="109">
        <v>1.2999999999999999E-2</v>
      </c>
      <c r="G3051" s="130">
        <v>0</v>
      </c>
      <c r="H3051" s="71">
        <v>8.5</v>
      </c>
      <c r="I3051" s="71">
        <v>11.1</v>
      </c>
      <c r="J3051" s="71">
        <v>13.6</v>
      </c>
      <c r="K3051" s="121">
        <v>4.0000000000000001E-3</v>
      </c>
      <c r="L3051" s="121">
        <v>-7.0000000000000001E-3</v>
      </c>
      <c r="M3051" s="75" t="s">
        <v>146</v>
      </c>
      <c r="N3051" s="75" t="b">
        <v>1</v>
      </c>
      <c r="O3051" s="75" t="s">
        <v>145</v>
      </c>
      <c r="P3051" s="75">
        <v>2014</v>
      </c>
      <c r="Q3051" s="107">
        <f t="shared" si="85"/>
        <v>2016</v>
      </c>
      <c r="R3051" s="107">
        <v>2</v>
      </c>
      <c r="S3051" s="117">
        <v>216045</v>
      </c>
      <c r="T3051" s="118">
        <v>42500</v>
      </c>
    </row>
    <row r="3052" spans="1:20" x14ac:dyDescent="0.3">
      <c r="A3052" s="42">
        <v>42500</v>
      </c>
      <c r="B3052" s="37">
        <f t="shared" si="87"/>
        <v>20160510</v>
      </c>
      <c r="C3052" s="109">
        <v>1.8100000000000002E-2</v>
      </c>
      <c r="D3052" s="109">
        <v>8.9999999999999993E-3</v>
      </c>
      <c r="E3052" s="109">
        <v>1.2E-2</v>
      </c>
      <c r="F3052" s="109">
        <v>1.2999999999999999E-2</v>
      </c>
      <c r="G3052" s="130">
        <v>0</v>
      </c>
      <c r="H3052" s="71">
        <v>8.5</v>
      </c>
      <c r="I3052" s="71">
        <v>11.1</v>
      </c>
      <c r="J3052" s="71">
        <v>13.6</v>
      </c>
      <c r="K3052" s="121">
        <v>4.0000000000000001E-3</v>
      </c>
      <c r="L3052" s="121">
        <v>-7.0000000000000001E-3</v>
      </c>
      <c r="M3052" s="75" t="s">
        <v>146</v>
      </c>
      <c r="N3052" s="75" t="b">
        <v>1</v>
      </c>
      <c r="O3052" s="75" t="s">
        <v>145</v>
      </c>
      <c r="P3052" s="75">
        <v>2014</v>
      </c>
      <c r="Q3052" s="107">
        <f t="shared" si="85"/>
        <v>2016</v>
      </c>
      <c r="R3052" s="107">
        <v>2</v>
      </c>
      <c r="S3052" s="117">
        <v>216045</v>
      </c>
      <c r="T3052" s="118">
        <v>42500</v>
      </c>
    </row>
    <row r="3053" spans="1:20" x14ac:dyDescent="0.3">
      <c r="A3053" s="42">
        <v>42501</v>
      </c>
      <c r="B3053" s="37">
        <f t="shared" si="87"/>
        <v>20160511</v>
      </c>
      <c r="C3053" s="109">
        <v>1.8100000000000002E-2</v>
      </c>
      <c r="D3053" s="109">
        <v>8.9999999999999993E-3</v>
      </c>
      <c r="E3053" s="109">
        <v>1.2E-2</v>
      </c>
      <c r="F3053" s="109">
        <v>1.2999999999999999E-2</v>
      </c>
      <c r="G3053" s="130">
        <v>0</v>
      </c>
      <c r="H3053" s="71">
        <v>8.5</v>
      </c>
      <c r="I3053" s="71">
        <v>11.1</v>
      </c>
      <c r="J3053" s="71">
        <v>13.6</v>
      </c>
      <c r="K3053" s="121">
        <v>4.0000000000000001E-3</v>
      </c>
      <c r="L3053" s="121">
        <v>-7.0000000000000001E-3</v>
      </c>
      <c r="M3053" s="75" t="s">
        <v>146</v>
      </c>
      <c r="N3053" s="75" t="b">
        <v>1</v>
      </c>
      <c r="O3053" s="75" t="s">
        <v>145</v>
      </c>
      <c r="P3053" s="75">
        <v>2014</v>
      </c>
      <c r="Q3053" s="107">
        <f t="shared" si="85"/>
        <v>2016</v>
      </c>
      <c r="R3053" s="107">
        <v>2</v>
      </c>
      <c r="S3053" s="117">
        <v>216045</v>
      </c>
      <c r="T3053" s="118">
        <v>42500</v>
      </c>
    </row>
    <row r="3054" spans="1:20" x14ac:dyDescent="0.3">
      <c r="A3054" s="42">
        <v>42502</v>
      </c>
      <c r="B3054" s="37">
        <f t="shared" si="87"/>
        <v>20160512</v>
      </c>
      <c r="C3054" s="109">
        <v>1.83E-2</v>
      </c>
      <c r="D3054" s="109">
        <v>8.9999999999999993E-3</v>
      </c>
      <c r="E3054" s="109">
        <v>1.2E-2</v>
      </c>
      <c r="F3054" s="109">
        <v>1.2999999999999999E-2</v>
      </c>
      <c r="G3054" s="130">
        <v>0</v>
      </c>
      <c r="H3054" s="71">
        <v>8.5</v>
      </c>
      <c r="I3054" s="71">
        <v>11.1</v>
      </c>
      <c r="J3054" s="71">
        <v>13.6</v>
      </c>
      <c r="K3054" s="121">
        <v>4.1999999999999997E-3</v>
      </c>
      <c r="L3054" s="121">
        <v>-7.0000000000000001E-3</v>
      </c>
      <c r="M3054" s="75" t="s">
        <v>146</v>
      </c>
      <c r="N3054" s="75" t="b">
        <v>1</v>
      </c>
      <c r="O3054" s="75" t="s">
        <v>145</v>
      </c>
      <c r="P3054" s="75">
        <v>2014</v>
      </c>
      <c r="Q3054" s="107">
        <f t="shared" ref="Q3054:Q3117" si="88">YEAR(A3054)</f>
        <v>2016</v>
      </c>
      <c r="R3054" s="107">
        <v>2</v>
      </c>
      <c r="S3054" s="117">
        <v>216045</v>
      </c>
      <c r="T3054" s="118">
        <v>42500</v>
      </c>
    </row>
    <row r="3055" spans="1:20" x14ac:dyDescent="0.3">
      <c r="A3055" s="42">
        <v>42503</v>
      </c>
      <c r="B3055" s="37">
        <f t="shared" si="87"/>
        <v>20160513</v>
      </c>
      <c r="C3055" s="109">
        <v>1.7899999999999999E-2</v>
      </c>
      <c r="D3055" s="109">
        <v>8.9999999999999993E-3</v>
      </c>
      <c r="E3055" s="109">
        <v>1.2E-2</v>
      </c>
      <c r="F3055" s="109">
        <v>1.2999999999999999E-2</v>
      </c>
      <c r="G3055" s="130">
        <v>0</v>
      </c>
      <c r="H3055" s="71">
        <v>8.5</v>
      </c>
      <c r="I3055" s="71">
        <v>11.1</v>
      </c>
      <c r="J3055" s="71">
        <v>13.6</v>
      </c>
      <c r="K3055" s="121">
        <v>3.9000000000000003E-3</v>
      </c>
      <c r="L3055" s="121">
        <v>-7.0000000000000001E-3</v>
      </c>
      <c r="M3055" s="75" t="s">
        <v>146</v>
      </c>
      <c r="N3055" s="75" t="b">
        <v>1</v>
      </c>
      <c r="O3055" s="75" t="s">
        <v>145</v>
      </c>
      <c r="P3055" s="75">
        <v>2014</v>
      </c>
      <c r="Q3055" s="107">
        <f t="shared" si="88"/>
        <v>2016</v>
      </c>
      <c r="R3055" s="107">
        <v>2</v>
      </c>
      <c r="S3055" s="117">
        <v>216045</v>
      </c>
      <c r="T3055" s="118">
        <v>42500</v>
      </c>
    </row>
    <row r="3056" spans="1:20" x14ac:dyDescent="0.3">
      <c r="A3056" s="42">
        <v>42504</v>
      </c>
      <c r="B3056" s="37">
        <f>YEAR(A3056)*10000+MONTH(A3056)*100+DAY(A3056)</f>
        <v>20160514</v>
      </c>
      <c r="C3056" s="109">
        <v>1.7899999999999999E-2</v>
      </c>
      <c r="D3056" s="109">
        <v>8.9999999999999993E-3</v>
      </c>
      <c r="E3056" s="109">
        <v>1.2E-2</v>
      </c>
      <c r="F3056" s="109">
        <v>1.2999999999999999E-2</v>
      </c>
      <c r="G3056" s="130">
        <v>0</v>
      </c>
      <c r="H3056" s="71">
        <v>8.5</v>
      </c>
      <c r="I3056" s="71">
        <v>11.1</v>
      </c>
      <c r="J3056" s="71">
        <v>13.6</v>
      </c>
      <c r="K3056" s="121">
        <v>3.9000000000000003E-3</v>
      </c>
      <c r="L3056" s="121">
        <v>-7.0000000000000001E-3</v>
      </c>
      <c r="M3056" s="75" t="s">
        <v>146</v>
      </c>
      <c r="N3056" s="75" t="b">
        <v>1</v>
      </c>
      <c r="O3056" s="75" t="s">
        <v>145</v>
      </c>
      <c r="P3056" s="75">
        <v>2014</v>
      </c>
      <c r="Q3056" s="107">
        <f t="shared" si="88"/>
        <v>2016</v>
      </c>
      <c r="R3056" s="107">
        <v>2</v>
      </c>
      <c r="S3056" s="117">
        <v>216045</v>
      </c>
      <c r="T3056" s="118">
        <v>42500</v>
      </c>
    </row>
    <row r="3057" spans="1:20" x14ac:dyDescent="0.3">
      <c r="A3057" s="42">
        <v>42505</v>
      </c>
      <c r="B3057" s="37">
        <f>YEAR(A3057)*10000+MONTH(A3057)*100+DAY(A3057)</f>
        <v>20160515</v>
      </c>
      <c r="C3057" s="109">
        <v>1.7899999999999999E-2</v>
      </c>
      <c r="D3057" s="109">
        <v>8.9999999999999993E-3</v>
      </c>
      <c r="E3057" s="109">
        <v>1.2E-2</v>
      </c>
      <c r="F3057" s="109">
        <v>1.2999999999999999E-2</v>
      </c>
      <c r="G3057" s="130">
        <v>0</v>
      </c>
      <c r="H3057" s="71">
        <v>8.5</v>
      </c>
      <c r="I3057" s="71">
        <v>11.1</v>
      </c>
      <c r="J3057" s="71">
        <v>13.6</v>
      </c>
      <c r="K3057" s="121">
        <v>3.9000000000000003E-3</v>
      </c>
      <c r="L3057" s="121">
        <v>-7.0000000000000001E-3</v>
      </c>
      <c r="M3057" s="75" t="s">
        <v>146</v>
      </c>
      <c r="N3057" s="75" t="b">
        <v>1</v>
      </c>
      <c r="O3057" s="75" t="s">
        <v>145</v>
      </c>
      <c r="P3057" s="75">
        <v>2014</v>
      </c>
      <c r="Q3057" s="107">
        <f t="shared" si="88"/>
        <v>2016</v>
      </c>
      <c r="R3057" s="107">
        <v>2</v>
      </c>
      <c r="S3057" s="117">
        <v>216045</v>
      </c>
      <c r="T3057" s="118">
        <v>42500</v>
      </c>
    </row>
    <row r="3058" spans="1:20" x14ac:dyDescent="0.3">
      <c r="A3058" s="42">
        <v>42506</v>
      </c>
      <c r="B3058" s="37">
        <f t="shared" si="87"/>
        <v>20160516</v>
      </c>
      <c r="C3058" s="109">
        <v>1.83E-2</v>
      </c>
      <c r="D3058" s="109">
        <v>8.9999999999999993E-3</v>
      </c>
      <c r="E3058" s="109">
        <v>1.2E-2</v>
      </c>
      <c r="F3058" s="109">
        <v>1.2999999999999999E-2</v>
      </c>
      <c r="G3058" s="130">
        <v>0</v>
      </c>
      <c r="H3058" s="71">
        <v>8.5</v>
      </c>
      <c r="I3058" s="71">
        <v>11.1</v>
      </c>
      <c r="J3058" s="71">
        <v>13.6</v>
      </c>
      <c r="K3058" s="121">
        <v>4.1999999999999997E-3</v>
      </c>
      <c r="L3058" s="121">
        <v>-7.0000000000000001E-3</v>
      </c>
      <c r="M3058" s="75" t="s">
        <v>146</v>
      </c>
      <c r="N3058" s="75" t="b">
        <v>1</v>
      </c>
      <c r="O3058" s="75" t="s">
        <v>145</v>
      </c>
      <c r="P3058" s="75">
        <v>2014</v>
      </c>
      <c r="Q3058" s="107">
        <f t="shared" si="88"/>
        <v>2016</v>
      </c>
      <c r="R3058" s="107">
        <v>2</v>
      </c>
      <c r="S3058" s="117">
        <v>216045</v>
      </c>
      <c r="T3058" s="118">
        <v>42500</v>
      </c>
    </row>
    <row r="3059" spans="1:20" x14ac:dyDescent="0.3">
      <c r="A3059" s="42">
        <v>42507</v>
      </c>
      <c r="B3059" s="37">
        <f t="shared" si="87"/>
        <v>20160517</v>
      </c>
      <c r="C3059" s="109">
        <v>1.8100000000000002E-2</v>
      </c>
      <c r="D3059" s="109">
        <v>8.9999999999999993E-3</v>
      </c>
      <c r="E3059" s="109">
        <v>1.2E-2</v>
      </c>
      <c r="F3059" s="109">
        <v>1.2999999999999999E-2</v>
      </c>
      <c r="G3059" s="130">
        <v>0</v>
      </c>
      <c r="H3059" s="71">
        <v>8.5</v>
      </c>
      <c r="I3059" s="71">
        <v>11.1</v>
      </c>
      <c r="J3059" s="71">
        <v>13.6</v>
      </c>
      <c r="K3059" s="121">
        <v>4.0999999999999995E-3</v>
      </c>
      <c r="L3059" s="121">
        <v>-7.0000000000000001E-3</v>
      </c>
      <c r="M3059" s="75" t="s">
        <v>146</v>
      </c>
      <c r="N3059" s="75" t="b">
        <v>1</v>
      </c>
      <c r="O3059" s="75" t="s">
        <v>145</v>
      </c>
      <c r="P3059" s="75">
        <v>2014</v>
      </c>
      <c r="Q3059" s="107">
        <f t="shared" si="88"/>
        <v>2016</v>
      </c>
      <c r="R3059" s="107">
        <v>2</v>
      </c>
      <c r="S3059" s="117">
        <v>216045</v>
      </c>
      <c r="T3059" s="118">
        <v>42500</v>
      </c>
    </row>
    <row r="3060" spans="1:20" x14ac:dyDescent="0.3">
      <c r="A3060" s="42">
        <v>42508</v>
      </c>
      <c r="B3060" s="37">
        <f t="shared" si="87"/>
        <v>20160518</v>
      </c>
      <c r="C3060" s="109">
        <v>1.8600000000000002E-2</v>
      </c>
      <c r="D3060" s="109">
        <v>8.9999999999999993E-3</v>
      </c>
      <c r="E3060" s="109">
        <v>1.2E-2</v>
      </c>
      <c r="F3060" s="109">
        <v>1.2999999999999999E-2</v>
      </c>
      <c r="G3060" s="130">
        <v>0</v>
      </c>
      <c r="H3060" s="71">
        <v>8.5</v>
      </c>
      <c r="I3060" s="71">
        <v>11.1</v>
      </c>
      <c r="J3060" s="71">
        <v>13.6</v>
      </c>
      <c r="K3060" s="121">
        <v>4.5000000000000005E-3</v>
      </c>
      <c r="L3060" s="121">
        <v>-7.0000000000000001E-3</v>
      </c>
      <c r="M3060" s="75" t="s">
        <v>146</v>
      </c>
      <c r="N3060" s="75" t="b">
        <v>1</v>
      </c>
      <c r="O3060" s="75" t="s">
        <v>145</v>
      </c>
      <c r="P3060" s="75">
        <v>2014</v>
      </c>
      <c r="Q3060" s="107">
        <f t="shared" si="88"/>
        <v>2016</v>
      </c>
      <c r="R3060" s="107">
        <v>2</v>
      </c>
      <c r="S3060" s="117">
        <v>216045</v>
      </c>
      <c r="T3060" s="118">
        <v>42500</v>
      </c>
    </row>
    <row r="3061" spans="1:20" x14ac:dyDescent="0.3">
      <c r="A3061" s="42">
        <v>42509</v>
      </c>
      <c r="B3061" s="37">
        <f t="shared" si="87"/>
        <v>20160519</v>
      </c>
      <c r="C3061" s="109">
        <v>1.83E-2</v>
      </c>
      <c r="D3061" s="109">
        <v>8.9999999999999993E-3</v>
      </c>
      <c r="E3061" s="109">
        <v>1.2E-2</v>
      </c>
      <c r="F3061" s="109">
        <v>1.2999999999999999E-2</v>
      </c>
      <c r="G3061" s="130">
        <v>0</v>
      </c>
      <c r="H3061" s="71">
        <v>8.5</v>
      </c>
      <c r="I3061" s="71">
        <v>11.1</v>
      </c>
      <c r="J3061" s="71">
        <v>13.6</v>
      </c>
      <c r="K3061" s="121">
        <v>4.4000000000000003E-3</v>
      </c>
      <c r="L3061" s="121">
        <v>-7.0000000000000001E-3</v>
      </c>
      <c r="M3061" s="75" t="s">
        <v>146</v>
      </c>
      <c r="N3061" s="75" t="b">
        <v>1</v>
      </c>
      <c r="O3061" s="75" t="s">
        <v>145</v>
      </c>
      <c r="P3061" s="75">
        <v>2014</v>
      </c>
      <c r="Q3061" s="107">
        <f t="shared" si="88"/>
        <v>2016</v>
      </c>
      <c r="R3061" s="107">
        <v>2</v>
      </c>
      <c r="S3061" s="117">
        <v>216045</v>
      </c>
      <c r="T3061" s="118">
        <v>42500</v>
      </c>
    </row>
    <row r="3062" spans="1:20" x14ac:dyDescent="0.3">
      <c r="A3062" s="42">
        <v>42510</v>
      </c>
      <c r="B3062" s="37">
        <f t="shared" si="87"/>
        <v>20160520</v>
      </c>
      <c r="C3062" s="109">
        <v>1.84E-2</v>
      </c>
      <c r="D3062" s="109">
        <v>8.9999999999999993E-3</v>
      </c>
      <c r="E3062" s="109">
        <v>1.2E-2</v>
      </c>
      <c r="F3062" s="109">
        <v>1.2999999999999999E-2</v>
      </c>
      <c r="G3062" s="130">
        <v>0</v>
      </c>
      <c r="H3062" s="71">
        <v>8.5</v>
      </c>
      <c r="I3062" s="71">
        <v>11.1</v>
      </c>
      <c r="J3062" s="71">
        <v>13.6</v>
      </c>
      <c r="K3062" s="121">
        <v>4.5999999999999999E-3</v>
      </c>
      <c r="L3062" s="121">
        <v>-7.0000000000000001E-3</v>
      </c>
      <c r="M3062" s="75" t="s">
        <v>146</v>
      </c>
      <c r="N3062" s="75" t="b">
        <v>1</v>
      </c>
      <c r="O3062" s="75" t="s">
        <v>145</v>
      </c>
      <c r="P3062" s="75">
        <v>2014</v>
      </c>
      <c r="Q3062" s="107">
        <f t="shared" si="88"/>
        <v>2016</v>
      </c>
      <c r="R3062" s="107">
        <v>2</v>
      </c>
      <c r="S3062" s="117">
        <v>216045</v>
      </c>
      <c r="T3062" s="118">
        <v>42500</v>
      </c>
    </row>
    <row r="3063" spans="1:20" x14ac:dyDescent="0.3">
      <c r="A3063" s="42">
        <v>42511</v>
      </c>
      <c r="B3063" s="37">
        <f>YEAR(A3063)*10000+MONTH(A3063)*100+DAY(A3063)</f>
        <v>20160521</v>
      </c>
      <c r="C3063" s="109">
        <v>1.84E-2</v>
      </c>
      <c r="D3063" s="109">
        <v>8.9999999999999993E-3</v>
      </c>
      <c r="E3063" s="109">
        <v>1.2E-2</v>
      </c>
      <c r="F3063" s="109">
        <v>1.2999999999999999E-2</v>
      </c>
      <c r="G3063" s="130">
        <v>0</v>
      </c>
      <c r="H3063" s="71">
        <v>8.5</v>
      </c>
      <c r="I3063" s="71">
        <v>11.1</v>
      </c>
      <c r="J3063" s="71">
        <v>13.6</v>
      </c>
      <c r="K3063" s="121">
        <v>4.5999999999999999E-3</v>
      </c>
      <c r="L3063" s="121">
        <v>-7.0000000000000001E-3</v>
      </c>
      <c r="M3063" s="75" t="s">
        <v>146</v>
      </c>
      <c r="N3063" s="75" t="b">
        <v>1</v>
      </c>
      <c r="O3063" s="75" t="s">
        <v>145</v>
      </c>
      <c r="P3063" s="75">
        <v>2014</v>
      </c>
      <c r="Q3063" s="107">
        <f t="shared" si="88"/>
        <v>2016</v>
      </c>
      <c r="R3063" s="107">
        <v>2</v>
      </c>
      <c r="S3063" s="117">
        <v>216045</v>
      </c>
      <c r="T3063" s="118">
        <v>42500</v>
      </c>
    </row>
    <row r="3064" spans="1:20" x14ac:dyDescent="0.3">
      <c r="A3064" s="42">
        <v>42512</v>
      </c>
      <c r="B3064" s="37">
        <f>YEAR(A3064)*10000+MONTH(A3064)*100+DAY(A3064)</f>
        <v>20160522</v>
      </c>
      <c r="C3064" s="109">
        <v>1.84E-2</v>
      </c>
      <c r="D3064" s="109">
        <v>8.9999999999999993E-3</v>
      </c>
      <c r="E3064" s="109">
        <v>1.2E-2</v>
      </c>
      <c r="F3064" s="109">
        <v>1.2999999999999999E-2</v>
      </c>
      <c r="G3064" s="130">
        <v>0</v>
      </c>
      <c r="H3064" s="71">
        <v>8.5</v>
      </c>
      <c r="I3064" s="71">
        <v>11.1</v>
      </c>
      <c r="J3064" s="71">
        <v>13.6</v>
      </c>
      <c r="K3064" s="121">
        <v>4.5999999999999999E-3</v>
      </c>
      <c r="L3064" s="121">
        <v>-7.0000000000000001E-3</v>
      </c>
      <c r="M3064" s="75" t="s">
        <v>146</v>
      </c>
      <c r="N3064" s="75" t="b">
        <v>1</v>
      </c>
      <c r="O3064" s="75" t="s">
        <v>145</v>
      </c>
      <c r="P3064" s="75">
        <v>2014</v>
      </c>
      <c r="Q3064" s="107">
        <f t="shared" si="88"/>
        <v>2016</v>
      </c>
      <c r="R3064" s="107">
        <v>2</v>
      </c>
      <c r="S3064" s="117">
        <v>216045</v>
      </c>
      <c r="T3064" s="118">
        <v>42500</v>
      </c>
    </row>
    <row r="3065" spans="1:20" x14ac:dyDescent="0.3">
      <c r="A3065" s="42">
        <v>42513</v>
      </c>
      <c r="B3065" s="37">
        <f>YEAR(A3065)*10000+MONTH(A3065)*100+DAY(A3065)</f>
        <v>20160523</v>
      </c>
      <c r="C3065" s="109">
        <v>1.84E-2</v>
      </c>
      <c r="D3065" s="109">
        <v>8.9999999999999993E-3</v>
      </c>
      <c r="E3065" s="109">
        <v>1.2E-2</v>
      </c>
      <c r="F3065" s="109">
        <v>1.2999999999999999E-2</v>
      </c>
      <c r="G3065" s="130">
        <v>0</v>
      </c>
      <c r="H3065" s="71">
        <v>8.5</v>
      </c>
      <c r="I3065" s="71">
        <v>11.1</v>
      </c>
      <c r="J3065" s="71">
        <v>13.6</v>
      </c>
      <c r="K3065" s="121">
        <v>4.5999999999999999E-3</v>
      </c>
      <c r="L3065" s="121">
        <v>-7.0000000000000001E-3</v>
      </c>
      <c r="M3065" s="75" t="s">
        <v>146</v>
      </c>
      <c r="N3065" s="75" t="b">
        <v>1</v>
      </c>
      <c r="O3065" s="75" t="s">
        <v>145</v>
      </c>
      <c r="P3065" s="75">
        <v>2014</v>
      </c>
      <c r="Q3065" s="107">
        <f t="shared" si="88"/>
        <v>2016</v>
      </c>
      <c r="R3065" s="107">
        <v>2</v>
      </c>
      <c r="S3065" s="117">
        <v>216045</v>
      </c>
      <c r="T3065" s="118">
        <v>42500</v>
      </c>
    </row>
    <row r="3066" spans="1:20" x14ac:dyDescent="0.3">
      <c r="A3066" s="42">
        <v>42514</v>
      </c>
      <c r="B3066" s="37">
        <f t="shared" si="87"/>
        <v>20160524</v>
      </c>
      <c r="C3066" s="109">
        <v>1.8600000000000002E-2</v>
      </c>
      <c r="D3066" s="109">
        <v>8.9999999999999993E-3</v>
      </c>
      <c r="E3066" s="109">
        <v>1.2E-2</v>
      </c>
      <c r="F3066" s="109">
        <v>1.2999999999999999E-2</v>
      </c>
      <c r="G3066" s="130">
        <v>0</v>
      </c>
      <c r="H3066" s="71">
        <v>8.5</v>
      </c>
      <c r="I3066" s="71">
        <v>11.1</v>
      </c>
      <c r="J3066" s="71">
        <v>13.6</v>
      </c>
      <c r="K3066" s="121">
        <v>4.7999999999999996E-3</v>
      </c>
      <c r="L3066" s="121">
        <v>-7.0000000000000001E-3</v>
      </c>
      <c r="M3066" s="75" t="s">
        <v>146</v>
      </c>
      <c r="N3066" s="75" t="b">
        <v>1</v>
      </c>
      <c r="O3066" s="75" t="s">
        <v>145</v>
      </c>
      <c r="P3066" s="75">
        <v>2014</v>
      </c>
      <c r="Q3066" s="107">
        <f t="shared" si="88"/>
        <v>2016</v>
      </c>
      <c r="R3066" s="107">
        <v>2</v>
      </c>
      <c r="S3066" s="117">
        <v>216045</v>
      </c>
      <c r="T3066" s="118">
        <v>42500</v>
      </c>
    </row>
    <row r="3067" spans="1:20" x14ac:dyDescent="0.3">
      <c r="A3067" s="42">
        <v>42515</v>
      </c>
      <c r="B3067" s="37">
        <f t="shared" si="87"/>
        <v>20160525</v>
      </c>
      <c r="C3067" s="109">
        <v>1.8700000000000001E-2</v>
      </c>
      <c r="D3067" s="109">
        <v>8.9999999999999993E-3</v>
      </c>
      <c r="E3067" s="109">
        <v>1.2E-2</v>
      </c>
      <c r="F3067" s="109">
        <v>1.2999999999999999E-2</v>
      </c>
      <c r="G3067" s="130">
        <v>0</v>
      </c>
      <c r="H3067" s="71">
        <v>8.5</v>
      </c>
      <c r="I3067" s="71">
        <v>11.1</v>
      </c>
      <c r="J3067" s="71">
        <v>13.6</v>
      </c>
      <c r="K3067" s="121">
        <v>4.6999999999999993E-3</v>
      </c>
      <c r="L3067" s="121">
        <v>-7.0000000000000001E-3</v>
      </c>
      <c r="M3067" s="75" t="s">
        <v>146</v>
      </c>
      <c r="N3067" s="75" t="b">
        <v>1</v>
      </c>
      <c r="O3067" s="75" t="s">
        <v>145</v>
      </c>
      <c r="P3067" s="75">
        <v>2014</v>
      </c>
      <c r="Q3067" s="107">
        <f t="shared" si="88"/>
        <v>2016</v>
      </c>
      <c r="R3067" s="107">
        <v>2</v>
      </c>
      <c r="S3067" s="117">
        <v>216045</v>
      </c>
      <c r="T3067" s="118">
        <v>42500</v>
      </c>
    </row>
    <row r="3068" spans="1:20" x14ac:dyDescent="0.3">
      <c r="A3068" s="42">
        <v>42516</v>
      </c>
      <c r="B3068" s="37">
        <f t="shared" si="87"/>
        <v>20160526</v>
      </c>
      <c r="C3068" s="109">
        <v>1.83E-2</v>
      </c>
      <c r="D3068" s="109">
        <v>8.9999999999999993E-3</v>
      </c>
      <c r="E3068" s="109">
        <v>1.2E-2</v>
      </c>
      <c r="F3068" s="109">
        <v>1.2999999999999999E-2</v>
      </c>
      <c r="G3068" s="130">
        <v>0</v>
      </c>
      <c r="H3068" s="71">
        <v>8.5</v>
      </c>
      <c r="I3068" s="71">
        <v>11.1</v>
      </c>
      <c r="J3068" s="71">
        <v>13.6</v>
      </c>
      <c r="K3068" s="121">
        <v>4.4000000000000003E-3</v>
      </c>
      <c r="L3068" s="121">
        <v>-7.0000000000000001E-3</v>
      </c>
      <c r="M3068" s="75" t="s">
        <v>146</v>
      </c>
      <c r="N3068" s="75" t="b">
        <v>1</v>
      </c>
      <c r="O3068" s="75" t="s">
        <v>145</v>
      </c>
      <c r="P3068" s="75">
        <v>2014</v>
      </c>
      <c r="Q3068" s="107">
        <f t="shared" si="88"/>
        <v>2016</v>
      </c>
      <c r="R3068" s="107">
        <v>2</v>
      </c>
      <c r="S3068" s="117">
        <v>216045</v>
      </c>
      <c r="T3068" s="118">
        <v>42500</v>
      </c>
    </row>
    <row r="3069" spans="1:20" x14ac:dyDescent="0.3">
      <c r="A3069" s="42">
        <v>42517</v>
      </c>
      <c r="B3069" s="37">
        <f t="shared" si="87"/>
        <v>20160527</v>
      </c>
      <c r="C3069" s="109">
        <v>1.84E-2</v>
      </c>
      <c r="D3069" s="109">
        <v>8.9999999999999993E-3</v>
      </c>
      <c r="E3069" s="109">
        <v>1.2E-2</v>
      </c>
      <c r="F3069" s="109">
        <v>1.2999999999999999E-2</v>
      </c>
      <c r="G3069" s="130">
        <v>0</v>
      </c>
      <c r="H3069" s="71">
        <v>8.5</v>
      </c>
      <c r="I3069" s="71">
        <v>11.1</v>
      </c>
      <c r="J3069" s="71">
        <v>13.6</v>
      </c>
      <c r="K3069" s="121">
        <v>4.4000000000000003E-3</v>
      </c>
      <c r="L3069" s="121">
        <v>-7.0000000000000001E-3</v>
      </c>
      <c r="M3069" s="75" t="s">
        <v>146</v>
      </c>
      <c r="N3069" s="75" t="b">
        <v>1</v>
      </c>
      <c r="O3069" s="75" t="s">
        <v>145</v>
      </c>
      <c r="P3069" s="75">
        <v>2014</v>
      </c>
      <c r="Q3069" s="107">
        <f t="shared" si="88"/>
        <v>2016</v>
      </c>
      <c r="R3069" s="107">
        <v>2</v>
      </c>
      <c r="S3069" s="117">
        <v>216045</v>
      </c>
      <c r="T3069" s="118">
        <v>42500</v>
      </c>
    </row>
    <row r="3070" spans="1:20" x14ac:dyDescent="0.3">
      <c r="A3070" s="42">
        <v>42518</v>
      </c>
      <c r="B3070" s="37">
        <f>YEAR(A3070)*10000+MONTH(A3070)*100+DAY(A3070)</f>
        <v>20160528</v>
      </c>
      <c r="C3070" s="109">
        <v>1.84E-2</v>
      </c>
      <c r="D3070" s="109">
        <v>8.9999999999999993E-3</v>
      </c>
      <c r="E3070" s="109">
        <v>1.2E-2</v>
      </c>
      <c r="F3070" s="109">
        <v>1.2999999999999999E-2</v>
      </c>
      <c r="G3070" s="130">
        <v>0</v>
      </c>
      <c r="H3070" s="71">
        <v>8.5</v>
      </c>
      <c r="I3070" s="71">
        <v>11.1</v>
      </c>
      <c r="J3070" s="71">
        <v>13.6</v>
      </c>
      <c r="K3070" s="121">
        <v>4.4000000000000003E-3</v>
      </c>
      <c r="L3070" s="121">
        <v>-7.0000000000000001E-3</v>
      </c>
      <c r="M3070" s="75" t="s">
        <v>146</v>
      </c>
      <c r="N3070" s="75" t="b">
        <v>1</v>
      </c>
      <c r="O3070" s="75" t="s">
        <v>145</v>
      </c>
      <c r="P3070" s="75">
        <v>2014</v>
      </c>
      <c r="Q3070" s="107">
        <f t="shared" si="88"/>
        <v>2016</v>
      </c>
      <c r="R3070" s="107">
        <v>2</v>
      </c>
      <c r="S3070" s="117">
        <v>216045</v>
      </c>
      <c r="T3070" s="118">
        <v>42500</v>
      </c>
    </row>
    <row r="3071" spans="1:20" x14ac:dyDescent="0.3">
      <c r="A3071" s="42">
        <v>42519</v>
      </c>
      <c r="B3071" s="37">
        <f>YEAR(A3071)*10000+MONTH(A3071)*100+DAY(A3071)</f>
        <v>20160529</v>
      </c>
      <c r="C3071" s="109">
        <v>1.84E-2</v>
      </c>
      <c r="D3071" s="109">
        <v>8.9999999999999993E-3</v>
      </c>
      <c r="E3071" s="109">
        <v>1.2E-2</v>
      </c>
      <c r="F3071" s="109">
        <v>1.2999999999999999E-2</v>
      </c>
      <c r="G3071" s="130">
        <v>0</v>
      </c>
      <c r="H3071" s="71">
        <v>8.5</v>
      </c>
      <c r="I3071" s="71">
        <v>11.1</v>
      </c>
      <c r="J3071" s="71">
        <v>13.6</v>
      </c>
      <c r="K3071" s="121">
        <v>4.4000000000000003E-3</v>
      </c>
      <c r="L3071" s="121">
        <v>-7.0000000000000001E-3</v>
      </c>
      <c r="M3071" s="75" t="s">
        <v>146</v>
      </c>
      <c r="N3071" s="75" t="b">
        <v>1</v>
      </c>
      <c r="O3071" s="75" t="s">
        <v>145</v>
      </c>
      <c r="P3071" s="75">
        <v>2014</v>
      </c>
      <c r="Q3071" s="107">
        <f t="shared" si="88"/>
        <v>2016</v>
      </c>
      <c r="R3071" s="107">
        <v>2</v>
      </c>
      <c r="S3071" s="117">
        <v>216045</v>
      </c>
      <c r="T3071" s="118">
        <v>42500</v>
      </c>
    </row>
    <row r="3072" spans="1:20" x14ac:dyDescent="0.3">
      <c r="A3072" s="42">
        <v>42520</v>
      </c>
      <c r="B3072" s="37">
        <f t="shared" si="87"/>
        <v>20160530</v>
      </c>
      <c r="C3072" s="109">
        <v>1.84E-2</v>
      </c>
      <c r="D3072" s="109">
        <v>8.9999999999999993E-3</v>
      </c>
      <c r="E3072" s="109">
        <v>1.2E-2</v>
      </c>
      <c r="F3072" s="109">
        <v>1.2999999999999999E-2</v>
      </c>
      <c r="G3072" s="130">
        <v>0</v>
      </c>
      <c r="H3072" s="71">
        <v>8.5</v>
      </c>
      <c r="I3072" s="71">
        <v>11.1</v>
      </c>
      <c r="J3072" s="71">
        <v>13.6</v>
      </c>
      <c r="K3072" s="121">
        <v>4.4000000000000003E-3</v>
      </c>
      <c r="L3072" s="121">
        <v>-7.0000000000000001E-3</v>
      </c>
      <c r="M3072" s="75" t="s">
        <v>146</v>
      </c>
      <c r="N3072" s="75" t="b">
        <v>1</v>
      </c>
      <c r="O3072" s="75" t="s">
        <v>145</v>
      </c>
      <c r="P3072" s="75">
        <v>2014</v>
      </c>
      <c r="Q3072" s="107">
        <f t="shared" si="88"/>
        <v>2016</v>
      </c>
      <c r="R3072" s="107">
        <v>2</v>
      </c>
      <c r="S3072" s="117">
        <v>216045</v>
      </c>
      <c r="T3072" s="118">
        <v>42500</v>
      </c>
    </row>
    <row r="3073" spans="1:20" x14ac:dyDescent="0.3">
      <c r="A3073" s="42">
        <v>42521</v>
      </c>
      <c r="B3073" s="37">
        <f>YEAR(A3073)*10000+MONTH(A3073)*100+DAY(A3073)</f>
        <v>20160531</v>
      </c>
      <c r="C3073" s="109">
        <v>1.8100000000000002E-2</v>
      </c>
      <c r="D3073" s="109">
        <v>8.9999999999999993E-3</v>
      </c>
      <c r="E3073" s="109">
        <v>1.2E-2</v>
      </c>
      <c r="F3073" s="109">
        <v>1.2999999999999999E-2</v>
      </c>
      <c r="G3073" s="130">
        <v>0</v>
      </c>
      <c r="H3073" s="71">
        <v>8.5</v>
      </c>
      <c r="I3073" s="71">
        <v>11.1</v>
      </c>
      <c r="J3073" s="71">
        <v>13.6</v>
      </c>
      <c r="K3073" s="121">
        <v>4.1000000000000003E-3</v>
      </c>
      <c r="L3073" s="121">
        <v>-7.0000000000000001E-3</v>
      </c>
      <c r="M3073" s="75" t="s">
        <v>146</v>
      </c>
      <c r="N3073" s="75" t="b">
        <v>1</v>
      </c>
      <c r="O3073" s="75" t="s">
        <v>145</v>
      </c>
      <c r="P3073" s="75">
        <v>2014</v>
      </c>
      <c r="Q3073" s="107">
        <f t="shared" si="88"/>
        <v>2016</v>
      </c>
      <c r="R3073" s="107">
        <v>2</v>
      </c>
      <c r="S3073" s="117">
        <v>216045</v>
      </c>
      <c r="T3073" s="118">
        <v>42500</v>
      </c>
    </row>
    <row r="3074" spans="1:20" x14ac:dyDescent="0.3">
      <c r="A3074" s="42">
        <v>42522</v>
      </c>
      <c r="B3074" s="37">
        <f t="shared" ref="B3074:B3143" si="89">YEAR(A3074)*10000+MONTH(A3074)*100+DAY(A3074)</f>
        <v>20160601</v>
      </c>
      <c r="C3074" s="109">
        <v>1.8000000000000002E-2</v>
      </c>
      <c r="D3074" s="109">
        <v>8.9999999999999993E-3</v>
      </c>
      <c r="E3074" s="109">
        <v>1.2E-2</v>
      </c>
      <c r="F3074" s="109">
        <v>1.2999999999999999E-2</v>
      </c>
      <c r="G3074" s="130">
        <v>0</v>
      </c>
      <c r="H3074" s="71">
        <v>8.5</v>
      </c>
      <c r="I3074" s="71">
        <v>11.1</v>
      </c>
      <c r="J3074" s="71">
        <v>13.6</v>
      </c>
      <c r="K3074" s="121">
        <v>4.0999999999999995E-3</v>
      </c>
      <c r="L3074" s="121">
        <v>-7.0000000000000001E-3</v>
      </c>
      <c r="M3074" s="75" t="s">
        <v>146</v>
      </c>
      <c r="N3074" s="75" t="b">
        <v>1</v>
      </c>
      <c r="O3074" s="75" t="s">
        <v>145</v>
      </c>
      <c r="P3074" s="75">
        <v>2014</v>
      </c>
      <c r="Q3074" s="107">
        <f t="shared" si="88"/>
        <v>2016</v>
      </c>
      <c r="R3074" s="107">
        <v>2</v>
      </c>
      <c r="S3074" s="117">
        <v>216045</v>
      </c>
      <c r="T3074" s="118">
        <v>42500</v>
      </c>
    </row>
    <row r="3075" spans="1:20" x14ac:dyDescent="0.3">
      <c r="A3075" s="42">
        <v>42523</v>
      </c>
      <c r="B3075" s="37">
        <f t="shared" si="89"/>
        <v>20160602</v>
      </c>
      <c r="C3075" s="109">
        <v>1.8100000000000002E-2</v>
      </c>
      <c r="D3075" s="109">
        <v>8.9999999999999993E-3</v>
      </c>
      <c r="E3075" s="109">
        <v>1.2E-2</v>
      </c>
      <c r="F3075" s="109">
        <v>1.2999999999999999E-2</v>
      </c>
      <c r="G3075" s="130">
        <v>0</v>
      </c>
      <c r="H3075" s="71">
        <v>8.5</v>
      </c>
      <c r="I3075" s="71">
        <v>11.1</v>
      </c>
      <c r="J3075" s="71">
        <v>13.6</v>
      </c>
      <c r="K3075" s="121">
        <v>3.8E-3</v>
      </c>
      <c r="L3075" s="121">
        <v>-7.0000000000000001E-3</v>
      </c>
      <c r="M3075" s="75" t="s">
        <v>146</v>
      </c>
      <c r="N3075" s="75" t="b">
        <v>1</v>
      </c>
      <c r="O3075" s="75" t="s">
        <v>145</v>
      </c>
      <c r="P3075" s="75">
        <v>2014</v>
      </c>
      <c r="Q3075" s="107">
        <f t="shared" si="88"/>
        <v>2016</v>
      </c>
      <c r="R3075" s="107">
        <v>2</v>
      </c>
      <c r="S3075" s="117">
        <v>216045</v>
      </c>
      <c r="T3075" s="118">
        <v>42500</v>
      </c>
    </row>
    <row r="3076" spans="1:20" x14ac:dyDescent="0.3">
      <c r="A3076" s="42">
        <v>42524</v>
      </c>
      <c r="B3076" s="37">
        <f t="shared" si="89"/>
        <v>20160603</v>
      </c>
      <c r="C3076" s="109">
        <v>1.7500000000000002E-2</v>
      </c>
      <c r="D3076" s="109">
        <v>8.9999999999999993E-3</v>
      </c>
      <c r="E3076" s="109">
        <v>1.2E-2</v>
      </c>
      <c r="F3076" s="109">
        <v>1.2999999999999999E-2</v>
      </c>
      <c r="G3076" s="130">
        <v>0</v>
      </c>
      <c r="H3076" s="71">
        <v>8.5</v>
      </c>
      <c r="I3076" s="71">
        <v>11.1</v>
      </c>
      <c r="J3076" s="71">
        <v>13.6</v>
      </c>
      <c r="K3076" s="121">
        <v>3.4000000000000002E-3</v>
      </c>
      <c r="L3076" s="121">
        <v>-7.0000000000000001E-3</v>
      </c>
      <c r="M3076" s="75" t="s">
        <v>146</v>
      </c>
      <c r="N3076" s="75" t="b">
        <v>1</v>
      </c>
      <c r="O3076" s="75" t="s">
        <v>145</v>
      </c>
      <c r="P3076" s="75">
        <v>2014</v>
      </c>
      <c r="Q3076" s="107">
        <f t="shared" si="88"/>
        <v>2016</v>
      </c>
      <c r="R3076" s="107">
        <v>2</v>
      </c>
      <c r="S3076" s="117">
        <v>216045</v>
      </c>
      <c r="T3076" s="118">
        <v>42500</v>
      </c>
    </row>
    <row r="3077" spans="1:20" x14ac:dyDescent="0.3">
      <c r="A3077" s="42">
        <v>42527</v>
      </c>
      <c r="B3077" s="37">
        <f t="shared" si="89"/>
        <v>20160606</v>
      </c>
      <c r="C3077" s="109">
        <v>1.7899999999999999E-2</v>
      </c>
      <c r="D3077" s="109">
        <v>8.9999999999999993E-3</v>
      </c>
      <c r="E3077" s="109">
        <v>1.2E-2</v>
      </c>
      <c r="F3077" s="109">
        <v>1.2999999999999999E-2</v>
      </c>
      <c r="G3077" s="130">
        <v>0</v>
      </c>
      <c r="H3077" s="71">
        <v>8.5</v>
      </c>
      <c r="I3077" s="71">
        <v>11.1</v>
      </c>
      <c r="J3077" s="71">
        <v>13.6</v>
      </c>
      <c r="K3077" s="121">
        <v>3.8E-3</v>
      </c>
      <c r="L3077" s="121">
        <v>-7.0000000000000001E-3</v>
      </c>
      <c r="M3077" s="75" t="s">
        <v>146</v>
      </c>
      <c r="N3077" s="75" t="b">
        <v>1</v>
      </c>
      <c r="O3077" s="75" t="s">
        <v>145</v>
      </c>
      <c r="P3077" s="75">
        <v>2014</v>
      </c>
      <c r="Q3077" s="107">
        <f t="shared" si="88"/>
        <v>2016</v>
      </c>
      <c r="R3077" s="107">
        <v>2</v>
      </c>
      <c r="S3077" s="117">
        <v>216045</v>
      </c>
      <c r="T3077" s="118">
        <v>42500</v>
      </c>
    </row>
    <row r="3078" spans="1:20" x14ac:dyDescent="0.3">
      <c r="A3078" s="42">
        <v>42528</v>
      </c>
      <c r="B3078" s="37">
        <f t="shared" si="89"/>
        <v>20160607</v>
      </c>
      <c r="C3078" s="109">
        <v>1.78E-2</v>
      </c>
      <c r="D3078" s="109">
        <v>8.9999999999999993E-3</v>
      </c>
      <c r="E3078" s="109">
        <v>1.2E-2</v>
      </c>
      <c r="F3078" s="109">
        <v>1.2999999999999999E-2</v>
      </c>
      <c r="G3078" s="130">
        <v>0</v>
      </c>
      <c r="H3078" s="71">
        <v>8.5</v>
      </c>
      <c r="I3078" s="71">
        <v>11.1</v>
      </c>
      <c r="J3078" s="71">
        <v>13.6</v>
      </c>
      <c r="K3078" s="121">
        <v>3.7000000000000002E-3</v>
      </c>
      <c r="L3078" s="121">
        <v>-7.0000000000000001E-3</v>
      </c>
      <c r="M3078" s="75" t="s">
        <v>146</v>
      </c>
      <c r="N3078" s="75" t="b">
        <v>1</v>
      </c>
      <c r="O3078" s="75" t="s">
        <v>145</v>
      </c>
      <c r="P3078" s="75">
        <v>2014</v>
      </c>
      <c r="Q3078" s="107">
        <f t="shared" si="88"/>
        <v>2016</v>
      </c>
      <c r="R3078" s="107">
        <v>2</v>
      </c>
      <c r="S3078" s="117">
        <v>216045</v>
      </c>
      <c r="T3078" s="118">
        <v>42500</v>
      </c>
    </row>
    <row r="3079" spans="1:20" x14ac:dyDescent="0.3">
      <c r="A3079" s="42">
        <v>42529</v>
      </c>
      <c r="B3079" s="37">
        <f t="shared" si="89"/>
        <v>20160608</v>
      </c>
      <c r="C3079" s="109">
        <v>1.77E-2</v>
      </c>
      <c r="D3079" s="109">
        <v>8.9999999999999993E-3</v>
      </c>
      <c r="E3079" s="109">
        <v>1.2E-2</v>
      </c>
      <c r="F3079" s="109">
        <v>1.2999999999999999E-2</v>
      </c>
      <c r="G3079" s="130">
        <v>0</v>
      </c>
      <c r="H3079" s="71">
        <v>8.5</v>
      </c>
      <c r="I3079" s="71">
        <v>11.1</v>
      </c>
      <c r="J3079" s="71">
        <v>13.6</v>
      </c>
      <c r="K3079" s="121">
        <v>3.5999999999999999E-3</v>
      </c>
      <c r="L3079" s="121">
        <v>-7.0000000000000001E-3</v>
      </c>
      <c r="M3079" s="75" t="s">
        <v>146</v>
      </c>
      <c r="N3079" s="75" t="b">
        <v>1</v>
      </c>
      <c r="O3079" s="75" t="s">
        <v>145</v>
      </c>
      <c r="P3079" s="75">
        <v>2014</v>
      </c>
      <c r="Q3079" s="107">
        <f t="shared" si="88"/>
        <v>2016</v>
      </c>
      <c r="R3079" s="107">
        <v>2</v>
      </c>
      <c r="S3079" s="117">
        <v>216045</v>
      </c>
      <c r="T3079" s="118">
        <v>42500</v>
      </c>
    </row>
    <row r="3080" spans="1:20" x14ac:dyDescent="0.3">
      <c r="A3080" s="42">
        <v>42530</v>
      </c>
      <c r="B3080" s="37">
        <f t="shared" si="89"/>
        <v>20160609</v>
      </c>
      <c r="C3080" s="109">
        <v>1.7500000000000002E-2</v>
      </c>
      <c r="D3080" s="109">
        <v>8.9999999999999993E-3</v>
      </c>
      <c r="E3080" s="109">
        <v>1.2E-2</v>
      </c>
      <c r="F3080" s="109">
        <v>1.2999999999999999E-2</v>
      </c>
      <c r="G3080" s="130">
        <v>0</v>
      </c>
      <c r="H3080" s="71">
        <v>8.5</v>
      </c>
      <c r="I3080" s="71">
        <v>11.1</v>
      </c>
      <c r="J3080" s="71">
        <v>13.6</v>
      </c>
      <c r="K3080" s="121">
        <v>3.4999999999999996E-3</v>
      </c>
      <c r="L3080" s="121">
        <v>-7.0000000000000001E-3</v>
      </c>
      <c r="M3080" s="75" t="s">
        <v>146</v>
      </c>
      <c r="N3080" s="75" t="b">
        <v>1</v>
      </c>
      <c r="O3080" s="75" t="s">
        <v>145</v>
      </c>
      <c r="P3080" s="75">
        <v>2014</v>
      </c>
      <c r="Q3080" s="107">
        <f t="shared" si="88"/>
        <v>2016</v>
      </c>
      <c r="R3080" s="107">
        <v>2</v>
      </c>
      <c r="S3080" s="117">
        <v>216045</v>
      </c>
      <c r="T3080" s="118">
        <v>42500</v>
      </c>
    </row>
    <row r="3081" spans="1:20" x14ac:dyDescent="0.3">
      <c r="A3081" s="42">
        <v>42531</v>
      </c>
      <c r="B3081" s="37">
        <f t="shared" si="89"/>
        <v>20160610</v>
      </c>
      <c r="C3081" s="109">
        <v>1.7000000000000001E-2</v>
      </c>
      <c r="D3081" s="109">
        <v>8.9999999999999993E-3</v>
      </c>
      <c r="E3081" s="109">
        <v>1.2E-2</v>
      </c>
      <c r="F3081" s="109">
        <v>1.2999999999999999E-2</v>
      </c>
      <c r="G3081" s="130">
        <v>0</v>
      </c>
      <c r="H3081" s="71">
        <v>8.5</v>
      </c>
      <c r="I3081" s="71">
        <v>11.1</v>
      </c>
      <c r="J3081" s="71">
        <v>13.6</v>
      </c>
      <c r="K3081" s="121">
        <v>3.2000000000000002E-3</v>
      </c>
      <c r="L3081" s="121">
        <v>-7.0000000000000001E-3</v>
      </c>
      <c r="M3081" s="75" t="s">
        <v>146</v>
      </c>
      <c r="N3081" s="75" t="b">
        <v>1</v>
      </c>
      <c r="O3081" s="75" t="s">
        <v>145</v>
      </c>
      <c r="P3081" s="75">
        <v>2014</v>
      </c>
      <c r="Q3081" s="107">
        <f t="shared" si="88"/>
        <v>2016</v>
      </c>
      <c r="R3081" s="107">
        <v>2</v>
      </c>
      <c r="S3081" s="117">
        <v>216045</v>
      </c>
      <c r="T3081" s="118">
        <v>42500</v>
      </c>
    </row>
    <row r="3082" spans="1:20" x14ac:dyDescent="0.3">
      <c r="A3082" s="42">
        <v>42534</v>
      </c>
      <c r="B3082" s="37">
        <f t="shared" si="89"/>
        <v>20160613</v>
      </c>
      <c r="C3082" s="109">
        <v>1.6899999999999998E-2</v>
      </c>
      <c r="D3082" s="109">
        <v>8.9999999999999993E-3</v>
      </c>
      <c r="E3082" s="109">
        <v>1.2E-2</v>
      </c>
      <c r="F3082" s="109">
        <v>1.2999999999999999E-2</v>
      </c>
      <c r="G3082" s="130">
        <v>0</v>
      </c>
      <c r="H3082" s="71">
        <v>8.5</v>
      </c>
      <c r="I3082" s="71">
        <v>11.1</v>
      </c>
      <c r="J3082" s="71">
        <v>13.6</v>
      </c>
      <c r="K3082" s="121">
        <v>3.3E-3</v>
      </c>
      <c r="L3082" s="121">
        <v>-7.0000000000000001E-3</v>
      </c>
      <c r="M3082" s="75" t="s">
        <v>146</v>
      </c>
      <c r="N3082" s="75" t="b">
        <v>1</v>
      </c>
      <c r="O3082" s="75" t="s">
        <v>145</v>
      </c>
      <c r="P3082" s="75">
        <v>2014</v>
      </c>
      <c r="Q3082" s="107">
        <f t="shared" si="88"/>
        <v>2016</v>
      </c>
      <c r="R3082" s="107">
        <v>2</v>
      </c>
      <c r="S3082" s="117">
        <v>216045</v>
      </c>
      <c r="T3082" s="118">
        <v>42500</v>
      </c>
    </row>
    <row r="3083" spans="1:20" x14ac:dyDescent="0.3">
      <c r="A3083" s="42">
        <v>42535</v>
      </c>
      <c r="B3083" s="37">
        <f t="shared" si="89"/>
        <v>20160614</v>
      </c>
      <c r="C3083" s="109">
        <v>1.6899999999999998E-2</v>
      </c>
      <c r="D3083" s="109">
        <v>8.9999999999999993E-3</v>
      </c>
      <c r="E3083" s="109">
        <v>1.2E-2</v>
      </c>
      <c r="F3083" s="109">
        <v>1.2999999999999999E-2</v>
      </c>
      <c r="G3083" s="130">
        <v>0</v>
      </c>
      <c r="H3083" s="71">
        <v>8.5</v>
      </c>
      <c r="I3083" s="71">
        <v>11.1</v>
      </c>
      <c r="J3083" s="71">
        <v>13.6</v>
      </c>
      <c r="K3083" s="121">
        <v>3.4000000000000002E-3</v>
      </c>
      <c r="L3083" s="121">
        <v>-7.0000000000000001E-3</v>
      </c>
      <c r="M3083" s="75" t="s">
        <v>146</v>
      </c>
      <c r="N3083" s="75" t="b">
        <v>1</v>
      </c>
      <c r="O3083" s="75" t="s">
        <v>145</v>
      </c>
      <c r="P3083" s="75">
        <v>2014</v>
      </c>
      <c r="Q3083" s="107">
        <f t="shared" si="88"/>
        <v>2016</v>
      </c>
      <c r="R3083" s="107">
        <v>2</v>
      </c>
      <c r="S3083" s="117">
        <v>216045</v>
      </c>
      <c r="T3083" s="118">
        <v>42500</v>
      </c>
    </row>
    <row r="3084" spans="1:20" x14ac:dyDescent="0.3">
      <c r="A3084" s="42">
        <v>42536</v>
      </c>
      <c r="B3084" s="37">
        <f t="shared" si="89"/>
        <v>20160615</v>
      </c>
      <c r="C3084" s="109">
        <v>1.67E-2</v>
      </c>
      <c r="D3084" s="109">
        <v>8.9999999999999993E-3</v>
      </c>
      <c r="E3084" s="109">
        <v>1.2E-2</v>
      </c>
      <c r="F3084" s="109">
        <v>1.2999999999999999E-2</v>
      </c>
      <c r="G3084" s="130">
        <v>0</v>
      </c>
      <c r="H3084" s="71">
        <v>8.5</v>
      </c>
      <c r="I3084" s="71">
        <v>11.1</v>
      </c>
      <c r="J3084" s="71">
        <v>13.6</v>
      </c>
      <c r="K3084" s="121">
        <v>3.4000000000000002E-3</v>
      </c>
      <c r="L3084" s="121">
        <v>-7.0000000000000001E-3</v>
      </c>
      <c r="M3084" s="75" t="s">
        <v>146</v>
      </c>
      <c r="N3084" s="75" t="b">
        <v>1</v>
      </c>
      <c r="O3084" s="75" t="s">
        <v>145</v>
      </c>
      <c r="P3084" s="75">
        <v>2014</v>
      </c>
      <c r="Q3084" s="107">
        <f t="shared" si="88"/>
        <v>2016</v>
      </c>
      <c r="R3084" s="107">
        <v>2</v>
      </c>
      <c r="S3084" s="117">
        <v>216045</v>
      </c>
      <c r="T3084" s="118">
        <v>42500</v>
      </c>
    </row>
    <row r="3085" spans="1:20" x14ac:dyDescent="0.3">
      <c r="A3085" s="42">
        <v>42537</v>
      </c>
      <c r="B3085" s="37">
        <f t="shared" si="89"/>
        <v>20160616</v>
      </c>
      <c r="C3085" s="109">
        <v>1.67E-2</v>
      </c>
      <c r="D3085" s="109">
        <v>8.9999999999999993E-3</v>
      </c>
      <c r="E3085" s="109">
        <v>1.2E-2</v>
      </c>
      <c r="F3085" s="109">
        <v>1.2999999999999999E-2</v>
      </c>
      <c r="G3085" s="130">
        <v>0</v>
      </c>
      <c r="H3085" s="71">
        <v>8.5</v>
      </c>
      <c r="I3085" s="71">
        <v>11.1</v>
      </c>
      <c r="J3085" s="71">
        <v>13.6</v>
      </c>
      <c r="K3085" s="121">
        <v>3.5999999999999999E-3</v>
      </c>
      <c r="L3085" s="121">
        <v>-7.0000000000000001E-3</v>
      </c>
      <c r="M3085" s="75" t="s">
        <v>146</v>
      </c>
      <c r="N3085" s="75" t="b">
        <v>1</v>
      </c>
      <c r="O3085" s="75" t="s">
        <v>145</v>
      </c>
      <c r="P3085" s="75">
        <v>2014</v>
      </c>
      <c r="Q3085" s="107">
        <f t="shared" si="88"/>
        <v>2016</v>
      </c>
      <c r="R3085" s="107">
        <v>2</v>
      </c>
      <c r="S3085" s="117">
        <v>216045</v>
      </c>
      <c r="T3085" s="118">
        <v>42500</v>
      </c>
    </row>
    <row r="3086" spans="1:20" x14ac:dyDescent="0.3">
      <c r="A3086" s="42">
        <v>42538</v>
      </c>
      <c r="B3086" s="37">
        <f t="shared" si="89"/>
        <v>20160617</v>
      </c>
      <c r="C3086" s="109">
        <v>1.6799999999999999E-2</v>
      </c>
      <c r="D3086" s="109">
        <v>8.9999999999999993E-3</v>
      </c>
      <c r="E3086" s="109">
        <v>1.2E-2</v>
      </c>
      <c r="F3086" s="109">
        <v>1.2999999999999999E-2</v>
      </c>
      <c r="G3086" s="130">
        <v>0</v>
      </c>
      <c r="H3086" s="71">
        <v>8.5</v>
      </c>
      <c r="I3086" s="71">
        <v>11.1</v>
      </c>
      <c r="J3086" s="71">
        <v>13.6</v>
      </c>
      <c r="K3086" s="121">
        <v>3.8E-3</v>
      </c>
      <c r="L3086" s="121">
        <v>-7.0000000000000001E-3</v>
      </c>
      <c r="M3086" s="75" t="s">
        <v>146</v>
      </c>
      <c r="N3086" s="75" t="b">
        <v>1</v>
      </c>
      <c r="O3086" s="75" t="s">
        <v>145</v>
      </c>
      <c r="P3086" s="75">
        <v>2014</v>
      </c>
      <c r="Q3086" s="107">
        <f t="shared" si="88"/>
        <v>2016</v>
      </c>
      <c r="R3086" s="107">
        <v>2</v>
      </c>
      <c r="S3086" s="117">
        <v>216045</v>
      </c>
      <c r="T3086" s="118">
        <v>42500</v>
      </c>
    </row>
    <row r="3087" spans="1:20" x14ac:dyDescent="0.3">
      <c r="A3087" s="42">
        <v>42541</v>
      </c>
      <c r="B3087" s="37">
        <f t="shared" si="89"/>
        <v>20160620</v>
      </c>
      <c r="C3087" s="109">
        <v>1.7500000000000002E-2</v>
      </c>
      <c r="D3087" s="109">
        <v>8.9999999999999993E-3</v>
      </c>
      <c r="E3087" s="109">
        <v>1.2E-2</v>
      </c>
      <c r="F3087" s="109">
        <v>1.2999999999999999E-2</v>
      </c>
      <c r="G3087" s="130">
        <v>0</v>
      </c>
      <c r="H3087" s="71">
        <v>8.5</v>
      </c>
      <c r="I3087" s="71">
        <v>11.1</v>
      </c>
      <c r="J3087" s="71">
        <v>13.6</v>
      </c>
      <c r="K3087" s="121">
        <v>4.5000000000000005E-3</v>
      </c>
      <c r="L3087" s="121">
        <v>-7.0000000000000001E-3</v>
      </c>
      <c r="M3087" s="75" t="s">
        <v>146</v>
      </c>
      <c r="N3087" s="75" t="b">
        <v>1</v>
      </c>
      <c r="O3087" s="75" t="s">
        <v>145</v>
      </c>
      <c r="P3087" s="75">
        <v>2014</v>
      </c>
      <c r="Q3087" s="107">
        <f t="shared" si="88"/>
        <v>2016</v>
      </c>
      <c r="R3087" s="107">
        <v>2</v>
      </c>
      <c r="S3087" s="117">
        <v>216045</v>
      </c>
      <c r="T3087" s="118">
        <v>42500</v>
      </c>
    </row>
    <row r="3088" spans="1:20" x14ac:dyDescent="0.3">
      <c r="A3088" s="42">
        <v>42542</v>
      </c>
      <c r="B3088" s="37">
        <f t="shared" si="89"/>
        <v>20160621</v>
      </c>
      <c r="C3088" s="109">
        <v>1.8000000000000002E-2</v>
      </c>
      <c r="D3088" s="109">
        <v>8.9999999999999993E-3</v>
      </c>
      <c r="E3088" s="109">
        <v>1.2E-2</v>
      </c>
      <c r="F3088" s="109">
        <v>1.2999999999999999E-2</v>
      </c>
      <c r="G3088" s="130">
        <v>0</v>
      </c>
      <c r="H3088" s="71">
        <v>8.5</v>
      </c>
      <c r="I3088" s="71">
        <v>11.1</v>
      </c>
      <c r="J3088" s="71">
        <v>13.6</v>
      </c>
      <c r="K3088" s="121">
        <v>4.8999999999999998E-3</v>
      </c>
      <c r="L3088" s="121">
        <v>-7.0000000000000001E-3</v>
      </c>
      <c r="M3088" s="75" t="s">
        <v>146</v>
      </c>
      <c r="N3088" s="75" t="b">
        <v>1</v>
      </c>
      <c r="O3088" s="75" t="s">
        <v>145</v>
      </c>
      <c r="P3088" s="75">
        <v>2014</v>
      </c>
      <c r="Q3088" s="107">
        <f t="shared" si="88"/>
        <v>2016</v>
      </c>
      <c r="R3088" s="107">
        <v>2</v>
      </c>
      <c r="S3088" s="117">
        <v>216045</v>
      </c>
      <c r="T3088" s="118">
        <v>42500</v>
      </c>
    </row>
    <row r="3089" spans="1:21" x14ac:dyDescent="0.3">
      <c r="A3089" s="42">
        <v>42543</v>
      </c>
      <c r="B3089" s="37">
        <f t="shared" si="89"/>
        <v>20160622</v>
      </c>
      <c r="C3089" s="109">
        <v>1.7899999999999999E-2</v>
      </c>
      <c r="D3089" s="109">
        <v>8.9999999999999993E-3</v>
      </c>
      <c r="E3089" s="109">
        <v>1.2E-2</v>
      </c>
      <c r="F3089" s="109">
        <v>1.2999999999999999E-2</v>
      </c>
      <c r="G3089" s="130">
        <v>0</v>
      </c>
      <c r="H3089" s="71">
        <v>8.5</v>
      </c>
      <c r="I3089" s="71">
        <v>11.1</v>
      </c>
      <c r="J3089" s="71">
        <v>13.6</v>
      </c>
      <c r="K3089" s="121">
        <v>4.6999999999999993E-3</v>
      </c>
      <c r="L3089" s="121">
        <v>-7.0000000000000001E-3</v>
      </c>
      <c r="M3089" s="75" t="s">
        <v>146</v>
      </c>
      <c r="N3089" s="75" t="b">
        <v>1</v>
      </c>
      <c r="O3089" s="75" t="s">
        <v>145</v>
      </c>
      <c r="P3089" s="75">
        <v>2014</v>
      </c>
      <c r="Q3089" s="107">
        <f t="shared" si="88"/>
        <v>2016</v>
      </c>
      <c r="R3089" s="107">
        <v>2</v>
      </c>
      <c r="S3089" s="117">
        <v>216045</v>
      </c>
      <c r="T3089" s="118">
        <v>42500</v>
      </c>
    </row>
    <row r="3090" spans="1:21" x14ac:dyDescent="0.3">
      <c r="A3090" s="42">
        <v>42544</v>
      </c>
      <c r="B3090" s="37">
        <f t="shared" si="89"/>
        <v>20160623</v>
      </c>
      <c r="C3090" s="109">
        <v>1.84E-2</v>
      </c>
      <c r="D3090" s="109">
        <v>8.9999999999999993E-3</v>
      </c>
      <c r="E3090" s="109">
        <v>1.2E-2</v>
      </c>
      <c r="F3090" s="109">
        <v>1.2999999999999999E-2</v>
      </c>
      <c r="G3090" s="130">
        <v>0</v>
      </c>
      <c r="H3090" s="71">
        <v>8.5</v>
      </c>
      <c r="I3090" s="71">
        <v>11.1</v>
      </c>
      <c r="J3090" s="71">
        <v>13.6</v>
      </c>
      <c r="K3090" s="121">
        <v>4.8999999999999998E-3</v>
      </c>
      <c r="L3090" s="121">
        <v>-7.0000000000000001E-3</v>
      </c>
      <c r="M3090" s="75" t="s">
        <v>146</v>
      </c>
      <c r="N3090" s="75" t="b">
        <v>1</v>
      </c>
      <c r="O3090" s="75" t="s">
        <v>145</v>
      </c>
      <c r="P3090" s="75">
        <v>2014</v>
      </c>
      <c r="Q3090" s="107">
        <f t="shared" si="88"/>
        <v>2016</v>
      </c>
      <c r="R3090" s="107">
        <v>2</v>
      </c>
      <c r="S3090" s="117">
        <v>216045</v>
      </c>
      <c r="T3090" s="118">
        <v>42500</v>
      </c>
    </row>
    <row r="3091" spans="1:21" x14ac:dyDescent="0.3">
      <c r="A3091" s="42">
        <v>42545</v>
      </c>
      <c r="B3091" s="37">
        <f t="shared" si="89"/>
        <v>20160624</v>
      </c>
      <c r="C3091" s="109">
        <v>1.7299999999999999E-2</v>
      </c>
      <c r="D3091" s="109">
        <v>8.9999999999999993E-3</v>
      </c>
      <c r="E3091" s="109">
        <v>1.2E-2</v>
      </c>
      <c r="F3091" s="109">
        <v>1.2999999999999999E-2</v>
      </c>
      <c r="G3091" s="130">
        <v>0</v>
      </c>
      <c r="H3091" s="71">
        <v>8.5</v>
      </c>
      <c r="I3091" s="71">
        <v>11.1</v>
      </c>
      <c r="J3091" s="71">
        <v>13.6</v>
      </c>
      <c r="K3091" s="121">
        <v>4.0999999999999995E-3</v>
      </c>
      <c r="L3091" s="121">
        <v>-7.0000000000000001E-3</v>
      </c>
      <c r="M3091" s="75" t="s">
        <v>146</v>
      </c>
      <c r="N3091" s="75" t="b">
        <v>1</v>
      </c>
      <c r="O3091" s="75" t="s">
        <v>145</v>
      </c>
      <c r="P3091" s="75">
        <v>2014</v>
      </c>
      <c r="Q3091" s="107">
        <f t="shared" si="88"/>
        <v>2016</v>
      </c>
      <c r="R3091" s="107">
        <v>2</v>
      </c>
      <c r="S3091" s="117">
        <v>216045</v>
      </c>
      <c r="T3091" s="118">
        <v>42500</v>
      </c>
    </row>
    <row r="3092" spans="1:21" x14ac:dyDescent="0.3">
      <c r="A3092" s="42">
        <v>42548</v>
      </c>
      <c r="B3092" s="37">
        <f t="shared" si="89"/>
        <v>20160627</v>
      </c>
      <c r="C3092" s="109">
        <v>1.6399999999999998E-2</v>
      </c>
      <c r="D3092" s="109">
        <v>8.9999999999999993E-3</v>
      </c>
      <c r="E3092" s="109">
        <v>1.2E-2</v>
      </c>
      <c r="F3092" s="109">
        <v>1.2999999999999999E-2</v>
      </c>
      <c r="G3092" s="130">
        <v>0</v>
      </c>
      <c r="H3092" s="71">
        <v>8.5</v>
      </c>
      <c r="I3092" s="71">
        <v>11.1</v>
      </c>
      <c r="J3092" s="71">
        <v>13.6</v>
      </c>
      <c r="K3092" s="121">
        <v>3.4999999999999996E-3</v>
      </c>
      <c r="L3092" s="121">
        <v>-7.0000000000000001E-3</v>
      </c>
      <c r="M3092" s="75" t="s">
        <v>146</v>
      </c>
      <c r="N3092" s="75" t="b">
        <v>1</v>
      </c>
      <c r="O3092" s="75" t="s">
        <v>145</v>
      </c>
      <c r="P3092" s="75">
        <v>2014</v>
      </c>
      <c r="Q3092" s="107">
        <f t="shared" si="88"/>
        <v>2016</v>
      </c>
      <c r="R3092" s="107">
        <v>2</v>
      </c>
      <c r="S3092" s="117">
        <v>216045</v>
      </c>
      <c r="T3092" s="118">
        <v>42500</v>
      </c>
    </row>
    <row r="3093" spans="1:21" x14ac:dyDescent="0.3">
      <c r="A3093" s="42">
        <v>42549</v>
      </c>
      <c r="B3093" s="37">
        <f t="shared" si="89"/>
        <v>20160628</v>
      </c>
      <c r="C3093" s="109">
        <v>1.6399999999999998E-2</v>
      </c>
      <c r="D3093" s="109">
        <v>8.9999999999999993E-3</v>
      </c>
      <c r="E3093" s="109">
        <v>1.2E-2</v>
      </c>
      <c r="F3093" s="109">
        <v>1.2999999999999999E-2</v>
      </c>
      <c r="G3093" s="130">
        <v>0</v>
      </c>
      <c r="H3093" s="71">
        <v>8.5</v>
      </c>
      <c r="I3093" s="71">
        <v>11.1</v>
      </c>
      <c r="J3093" s="71">
        <v>13.6</v>
      </c>
      <c r="K3093" s="121">
        <v>3.4999999999999996E-3</v>
      </c>
      <c r="L3093" s="121">
        <v>-7.0000000000000001E-3</v>
      </c>
      <c r="M3093" s="75" t="s">
        <v>146</v>
      </c>
      <c r="N3093" s="75" t="b">
        <v>1</v>
      </c>
      <c r="O3093" s="75" t="s">
        <v>145</v>
      </c>
      <c r="P3093" s="75">
        <v>2014</v>
      </c>
      <c r="Q3093" s="107">
        <f t="shared" si="88"/>
        <v>2016</v>
      </c>
      <c r="R3093" s="107">
        <v>2</v>
      </c>
      <c r="S3093" s="117">
        <v>216045</v>
      </c>
      <c r="T3093" s="118">
        <v>42500</v>
      </c>
    </row>
    <row r="3094" spans="1:21" x14ac:dyDescent="0.3">
      <c r="A3094" s="42">
        <v>42550</v>
      </c>
      <c r="B3094" s="37">
        <f t="shared" si="89"/>
        <v>20160629</v>
      </c>
      <c r="C3094" s="109">
        <v>1.67E-2</v>
      </c>
      <c r="D3094" s="109">
        <v>8.9999999999999993E-3</v>
      </c>
      <c r="E3094" s="109">
        <v>1.2E-2</v>
      </c>
      <c r="F3094" s="109">
        <v>1.2999999999999999E-2</v>
      </c>
      <c r="G3094" s="130">
        <v>0</v>
      </c>
      <c r="H3094" s="71">
        <v>8.5</v>
      </c>
      <c r="I3094" s="71">
        <v>11.1</v>
      </c>
      <c r="J3094" s="71">
        <v>13.6</v>
      </c>
      <c r="K3094" s="121">
        <v>3.5999999999999999E-3</v>
      </c>
      <c r="L3094" s="121">
        <v>-7.0000000000000001E-3</v>
      </c>
      <c r="M3094" s="75" t="s">
        <v>146</v>
      </c>
      <c r="N3094" s="75" t="b">
        <v>1</v>
      </c>
      <c r="O3094" s="75" t="s">
        <v>145</v>
      </c>
      <c r="P3094" s="75">
        <v>2014</v>
      </c>
      <c r="Q3094" s="107">
        <f t="shared" si="88"/>
        <v>2016</v>
      </c>
      <c r="R3094" s="107">
        <v>2</v>
      </c>
      <c r="S3094" s="117">
        <v>216045</v>
      </c>
      <c r="T3094" s="118">
        <v>42500</v>
      </c>
    </row>
    <row r="3095" spans="1:21" s="116" customFormat="1" x14ac:dyDescent="0.3">
      <c r="A3095" s="110">
        <v>42551</v>
      </c>
      <c r="B3095" s="132">
        <f t="shared" si="89"/>
        <v>20160630</v>
      </c>
      <c r="C3095" s="111">
        <v>1.6299999999999999E-2</v>
      </c>
      <c r="D3095" s="111">
        <v>8.9999999999999993E-3</v>
      </c>
      <c r="E3095" s="111">
        <v>1.2E-2</v>
      </c>
      <c r="F3095" s="111">
        <v>1.2999999999999999E-2</v>
      </c>
      <c r="G3095" s="133">
        <v>0</v>
      </c>
      <c r="H3095" s="124">
        <v>8.6</v>
      </c>
      <c r="I3095" s="124">
        <v>11.3</v>
      </c>
      <c r="J3095" s="124">
        <v>13.8</v>
      </c>
      <c r="K3095" s="131">
        <v>3.0000000000000001E-3</v>
      </c>
      <c r="L3095" s="131">
        <v>-7.0000000000000001E-3</v>
      </c>
      <c r="M3095" s="98" t="s">
        <v>146</v>
      </c>
      <c r="N3095" s="98" t="b">
        <v>1</v>
      </c>
      <c r="O3095" s="98" t="s">
        <v>145</v>
      </c>
      <c r="P3095" s="98">
        <v>2014</v>
      </c>
      <c r="Q3095" s="105">
        <f t="shared" si="88"/>
        <v>2016</v>
      </c>
      <c r="R3095" s="105">
        <v>2</v>
      </c>
      <c r="S3095" s="114">
        <v>216084</v>
      </c>
      <c r="T3095" s="115">
        <v>42599</v>
      </c>
      <c r="U3095" s="98" t="s">
        <v>176</v>
      </c>
    </row>
    <row r="3096" spans="1:21" x14ac:dyDescent="0.3">
      <c r="A3096" s="42">
        <v>42552</v>
      </c>
      <c r="B3096" s="37">
        <f t="shared" si="89"/>
        <v>20160701</v>
      </c>
      <c r="C3096" s="109">
        <v>1.6299999999999999E-2</v>
      </c>
      <c r="D3096" s="109">
        <v>8.9999999999999993E-3</v>
      </c>
      <c r="E3096" s="109">
        <v>1.2E-2</v>
      </c>
      <c r="F3096" s="109">
        <v>1.2999999999999999E-2</v>
      </c>
      <c r="G3096" s="130">
        <v>0</v>
      </c>
      <c r="H3096" s="71">
        <v>8.6</v>
      </c>
      <c r="I3096" s="71">
        <v>11.3</v>
      </c>
      <c r="J3096" s="71">
        <v>13.8</v>
      </c>
      <c r="K3096" s="121">
        <v>3.0000000000000001E-3</v>
      </c>
      <c r="L3096" s="121">
        <v>-7.0000000000000001E-3</v>
      </c>
      <c r="M3096" s="75" t="s">
        <v>146</v>
      </c>
      <c r="N3096" s="75" t="b">
        <v>1</v>
      </c>
      <c r="O3096" s="75" t="s">
        <v>145</v>
      </c>
      <c r="P3096" s="75">
        <v>2014</v>
      </c>
      <c r="Q3096" s="107">
        <f t="shared" si="88"/>
        <v>2016</v>
      </c>
      <c r="R3096" s="107">
        <v>2</v>
      </c>
      <c r="S3096" s="117">
        <v>216084</v>
      </c>
      <c r="T3096" s="118">
        <v>42599</v>
      </c>
    </row>
    <row r="3097" spans="1:21" x14ac:dyDescent="0.3">
      <c r="A3097" s="42">
        <v>42553</v>
      </c>
      <c r="B3097" s="37">
        <f>YEAR(A3097)*10000+MONTH(A3097)*100+DAY(A3097)</f>
        <v>20160702</v>
      </c>
      <c r="C3097" s="109">
        <v>1.6299999999999999E-2</v>
      </c>
      <c r="D3097" s="109">
        <v>8.9999999999999993E-3</v>
      </c>
      <c r="E3097" s="109">
        <v>1.2E-2</v>
      </c>
      <c r="F3097" s="109">
        <v>1.2999999999999999E-2</v>
      </c>
      <c r="G3097" s="130">
        <v>0</v>
      </c>
      <c r="H3097" s="71">
        <v>8.6</v>
      </c>
      <c r="I3097" s="71">
        <v>11.3</v>
      </c>
      <c r="J3097" s="71">
        <v>13.8</v>
      </c>
      <c r="K3097" s="121">
        <v>3.0000000000000001E-3</v>
      </c>
      <c r="L3097" s="121">
        <v>-7.0000000000000001E-3</v>
      </c>
      <c r="M3097" s="75" t="s">
        <v>146</v>
      </c>
      <c r="N3097" s="75" t="b">
        <v>1</v>
      </c>
      <c r="O3097" s="75" t="s">
        <v>145</v>
      </c>
      <c r="P3097" s="75">
        <v>2014</v>
      </c>
      <c r="Q3097" s="107">
        <f t="shared" si="88"/>
        <v>2016</v>
      </c>
      <c r="R3097" s="107">
        <v>2</v>
      </c>
      <c r="S3097" s="117">
        <v>216084</v>
      </c>
      <c r="T3097" s="118">
        <v>42599</v>
      </c>
    </row>
    <row r="3098" spans="1:21" x14ac:dyDescent="0.3">
      <c r="A3098" s="42">
        <v>42554</v>
      </c>
      <c r="B3098" s="37">
        <f>YEAR(A3098)*10000+MONTH(A3098)*100+DAY(A3098)</f>
        <v>20160703</v>
      </c>
      <c r="C3098" s="109">
        <v>1.6299999999999999E-2</v>
      </c>
      <c r="D3098" s="109">
        <v>8.9999999999999993E-3</v>
      </c>
      <c r="E3098" s="109">
        <v>1.2E-2</v>
      </c>
      <c r="F3098" s="109">
        <v>1.2999999999999999E-2</v>
      </c>
      <c r="G3098" s="130">
        <v>0</v>
      </c>
      <c r="H3098" s="71">
        <v>8.6</v>
      </c>
      <c r="I3098" s="71">
        <v>11.3</v>
      </c>
      <c r="J3098" s="71">
        <v>13.8</v>
      </c>
      <c r="K3098" s="121">
        <v>3.0000000000000001E-3</v>
      </c>
      <c r="L3098" s="121">
        <v>-7.0000000000000001E-3</v>
      </c>
      <c r="M3098" s="75" t="s">
        <v>146</v>
      </c>
      <c r="N3098" s="75" t="b">
        <v>1</v>
      </c>
      <c r="O3098" s="75" t="s">
        <v>145</v>
      </c>
      <c r="P3098" s="75">
        <v>2014</v>
      </c>
      <c r="Q3098" s="107">
        <f t="shared" si="88"/>
        <v>2016</v>
      </c>
      <c r="R3098" s="107">
        <v>2</v>
      </c>
      <c r="S3098" s="117">
        <v>216084</v>
      </c>
      <c r="T3098" s="118">
        <v>42599</v>
      </c>
    </row>
    <row r="3099" spans="1:21" x14ac:dyDescent="0.3">
      <c r="A3099" s="42">
        <v>42555</v>
      </c>
      <c r="B3099" s="37">
        <f t="shared" si="89"/>
        <v>20160704</v>
      </c>
      <c r="C3099" s="109">
        <v>1.5900000000000001E-2</v>
      </c>
      <c r="D3099" s="109">
        <v>8.9999999999999993E-3</v>
      </c>
      <c r="E3099" s="109">
        <v>1.2E-2</v>
      </c>
      <c r="F3099" s="109">
        <v>1.2999999999999999E-2</v>
      </c>
      <c r="G3099" s="130">
        <v>0</v>
      </c>
      <c r="H3099" s="71">
        <v>8.6</v>
      </c>
      <c r="I3099" s="71">
        <v>11.3</v>
      </c>
      <c r="J3099" s="71">
        <v>13.8</v>
      </c>
      <c r="K3099" s="121">
        <v>2.5999999999999999E-3</v>
      </c>
      <c r="L3099" s="121">
        <v>-7.0000000000000001E-3</v>
      </c>
      <c r="M3099" s="75" t="s">
        <v>146</v>
      </c>
      <c r="N3099" s="75" t="b">
        <v>1</v>
      </c>
      <c r="O3099" s="75" t="s">
        <v>145</v>
      </c>
      <c r="P3099" s="75">
        <v>2014</v>
      </c>
      <c r="Q3099" s="107">
        <f t="shared" si="88"/>
        <v>2016</v>
      </c>
      <c r="R3099" s="107">
        <v>2</v>
      </c>
      <c r="S3099" s="117">
        <v>216084</v>
      </c>
      <c r="T3099" s="118">
        <v>42599</v>
      </c>
    </row>
    <row r="3100" spans="1:21" x14ac:dyDescent="0.3">
      <c r="A3100" s="42">
        <v>42556</v>
      </c>
      <c r="B3100" s="37">
        <f t="shared" si="89"/>
        <v>20160705</v>
      </c>
      <c r="C3100" s="109">
        <v>1.52E-2</v>
      </c>
      <c r="D3100" s="109">
        <v>8.9999999999999993E-3</v>
      </c>
      <c r="E3100" s="109">
        <v>1.2E-2</v>
      </c>
      <c r="F3100" s="109">
        <v>1.2999999999999999E-2</v>
      </c>
      <c r="G3100" s="130">
        <v>0</v>
      </c>
      <c r="H3100" s="71">
        <v>8.6</v>
      </c>
      <c r="I3100" s="71">
        <v>11.3</v>
      </c>
      <c r="J3100" s="71">
        <v>13.8</v>
      </c>
      <c r="K3100" s="121">
        <v>2.0999999999999999E-3</v>
      </c>
      <c r="L3100" s="121">
        <v>-7.0000000000000001E-3</v>
      </c>
      <c r="M3100" s="75" t="s">
        <v>146</v>
      </c>
      <c r="N3100" s="75" t="b">
        <v>1</v>
      </c>
      <c r="O3100" s="75" t="s">
        <v>145</v>
      </c>
      <c r="P3100" s="75">
        <v>2014</v>
      </c>
      <c r="Q3100" s="107">
        <f t="shared" si="88"/>
        <v>2016</v>
      </c>
      <c r="R3100" s="107">
        <v>2</v>
      </c>
      <c r="S3100" s="117">
        <v>216084</v>
      </c>
      <c r="T3100" s="118">
        <v>42599</v>
      </c>
    </row>
    <row r="3101" spans="1:21" x14ac:dyDescent="0.3">
      <c r="A3101" s="42">
        <v>42557</v>
      </c>
      <c r="B3101" s="37">
        <f t="shared" si="89"/>
        <v>20160706</v>
      </c>
      <c r="C3101" s="109">
        <v>1.49E-2</v>
      </c>
      <c r="D3101" s="109">
        <v>8.9999999999999993E-3</v>
      </c>
      <c r="E3101" s="109">
        <v>1.2E-2</v>
      </c>
      <c r="F3101" s="109">
        <v>1.2999999999999999E-2</v>
      </c>
      <c r="G3101" s="130">
        <v>0</v>
      </c>
      <c r="H3101" s="71">
        <v>8.6</v>
      </c>
      <c r="I3101" s="71">
        <v>11.3</v>
      </c>
      <c r="J3101" s="71">
        <v>13.8</v>
      </c>
      <c r="K3101" s="121">
        <v>2E-3</v>
      </c>
      <c r="L3101" s="121">
        <v>-7.0000000000000001E-3</v>
      </c>
      <c r="M3101" s="75" t="s">
        <v>146</v>
      </c>
      <c r="N3101" s="75" t="b">
        <v>1</v>
      </c>
      <c r="O3101" s="75" t="s">
        <v>145</v>
      </c>
      <c r="P3101" s="75">
        <v>2014</v>
      </c>
      <c r="Q3101" s="107">
        <f t="shared" si="88"/>
        <v>2016</v>
      </c>
      <c r="R3101" s="107">
        <v>2</v>
      </c>
      <c r="S3101" s="117">
        <v>216084</v>
      </c>
      <c r="T3101" s="118">
        <v>42599</v>
      </c>
    </row>
    <row r="3102" spans="1:21" x14ac:dyDescent="0.3">
      <c r="A3102" s="42">
        <v>42558</v>
      </c>
      <c r="B3102" s="37">
        <f t="shared" si="89"/>
        <v>20160707</v>
      </c>
      <c r="C3102" s="109">
        <v>1.4800000000000001E-2</v>
      </c>
      <c r="D3102" s="109">
        <v>8.9999999999999993E-3</v>
      </c>
      <c r="E3102" s="109">
        <v>1.2E-2</v>
      </c>
      <c r="F3102" s="109">
        <v>1.2999999999999999E-2</v>
      </c>
      <c r="G3102" s="130">
        <v>0</v>
      </c>
      <c r="H3102" s="71">
        <v>8.6</v>
      </c>
      <c r="I3102" s="71">
        <v>11.3</v>
      </c>
      <c r="J3102" s="71">
        <v>13.8</v>
      </c>
      <c r="K3102" s="121">
        <v>1.9E-3</v>
      </c>
      <c r="L3102" s="121">
        <v>-7.0000000000000001E-3</v>
      </c>
      <c r="M3102" s="75" t="s">
        <v>146</v>
      </c>
      <c r="N3102" s="75" t="b">
        <v>1</v>
      </c>
      <c r="O3102" s="75" t="s">
        <v>145</v>
      </c>
      <c r="P3102" s="75">
        <v>2014</v>
      </c>
      <c r="Q3102" s="107">
        <f t="shared" si="88"/>
        <v>2016</v>
      </c>
      <c r="R3102" s="107">
        <v>2</v>
      </c>
      <c r="S3102" s="117">
        <v>216084</v>
      </c>
      <c r="T3102" s="118">
        <v>42599</v>
      </c>
    </row>
    <row r="3103" spans="1:21" x14ac:dyDescent="0.3">
      <c r="A3103" s="42">
        <v>42559</v>
      </c>
      <c r="B3103" s="37">
        <f t="shared" si="89"/>
        <v>20160708</v>
      </c>
      <c r="C3103" s="109">
        <v>1.47E-2</v>
      </c>
      <c r="D3103" s="109">
        <v>8.9999999999999993E-3</v>
      </c>
      <c r="E3103" s="109">
        <v>1.2E-2</v>
      </c>
      <c r="F3103" s="109">
        <v>1.2999999999999999E-2</v>
      </c>
      <c r="G3103" s="130">
        <v>0</v>
      </c>
      <c r="H3103" s="71">
        <v>8.6</v>
      </c>
      <c r="I3103" s="71">
        <v>11.3</v>
      </c>
      <c r="J3103" s="71">
        <v>13.8</v>
      </c>
      <c r="K3103" s="121">
        <v>1.8E-3</v>
      </c>
      <c r="L3103" s="121">
        <v>-7.0000000000000001E-3</v>
      </c>
      <c r="M3103" s="75" t="s">
        <v>146</v>
      </c>
      <c r="N3103" s="75" t="b">
        <v>1</v>
      </c>
      <c r="O3103" s="75" t="s">
        <v>145</v>
      </c>
      <c r="P3103" s="75">
        <v>2014</v>
      </c>
      <c r="Q3103" s="107">
        <f t="shared" si="88"/>
        <v>2016</v>
      </c>
      <c r="R3103" s="107">
        <v>2</v>
      </c>
      <c r="S3103" s="117">
        <v>216084</v>
      </c>
      <c r="T3103" s="118">
        <v>42599</v>
      </c>
    </row>
    <row r="3104" spans="1:21" x14ac:dyDescent="0.3">
      <c r="A3104" s="42">
        <v>42560</v>
      </c>
      <c r="B3104" s="37">
        <f>YEAR(A3104)*10000+MONTH(A3104)*100+DAY(A3104)</f>
        <v>20160709</v>
      </c>
      <c r="C3104" s="109">
        <v>1.47E-2</v>
      </c>
      <c r="D3104" s="109">
        <v>8.9999999999999993E-3</v>
      </c>
      <c r="E3104" s="109">
        <v>1.2E-2</v>
      </c>
      <c r="F3104" s="109">
        <v>1.2999999999999999E-2</v>
      </c>
      <c r="G3104" s="130">
        <v>0</v>
      </c>
      <c r="H3104" s="71">
        <v>8.6</v>
      </c>
      <c r="I3104" s="71">
        <v>11.3</v>
      </c>
      <c r="J3104" s="71">
        <v>13.8</v>
      </c>
      <c r="K3104" s="121">
        <v>1.8E-3</v>
      </c>
      <c r="L3104" s="121">
        <v>-7.0000000000000001E-3</v>
      </c>
      <c r="M3104" s="75" t="s">
        <v>146</v>
      </c>
      <c r="N3104" s="75" t="b">
        <v>1</v>
      </c>
      <c r="O3104" s="75" t="s">
        <v>145</v>
      </c>
      <c r="P3104" s="75">
        <v>2014</v>
      </c>
      <c r="Q3104" s="107">
        <f t="shared" si="88"/>
        <v>2016</v>
      </c>
      <c r="R3104" s="107">
        <v>2</v>
      </c>
      <c r="S3104" s="117">
        <v>216084</v>
      </c>
      <c r="T3104" s="118">
        <v>42599</v>
      </c>
    </row>
    <row r="3105" spans="1:20" x14ac:dyDescent="0.3">
      <c r="A3105" s="42">
        <v>42561</v>
      </c>
      <c r="B3105" s="37">
        <f>YEAR(A3105)*10000+MONTH(A3105)*100+DAY(A3105)</f>
        <v>20160710</v>
      </c>
      <c r="C3105" s="109">
        <v>1.47E-2</v>
      </c>
      <c r="D3105" s="109">
        <v>8.9999999999999993E-3</v>
      </c>
      <c r="E3105" s="109">
        <v>1.2E-2</v>
      </c>
      <c r="F3105" s="109">
        <v>1.2999999999999999E-2</v>
      </c>
      <c r="G3105" s="130">
        <v>0</v>
      </c>
      <c r="H3105" s="71">
        <v>8.6</v>
      </c>
      <c r="I3105" s="71">
        <v>11.3</v>
      </c>
      <c r="J3105" s="71">
        <v>13.8</v>
      </c>
      <c r="K3105" s="121">
        <v>1.8E-3</v>
      </c>
      <c r="L3105" s="121">
        <v>-7.0000000000000001E-3</v>
      </c>
      <c r="M3105" s="75" t="s">
        <v>146</v>
      </c>
      <c r="N3105" s="75" t="b">
        <v>1</v>
      </c>
      <c r="O3105" s="75" t="s">
        <v>145</v>
      </c>
      <c r="P3105" s="75">
        <v>2014</v>
      </c>
      <c r="Q3105" s="107">
        <f t="shared" si="88"/>
        <v>2016</v>
      </c>
      <c r="R3105" s="107">
        <v>2</v>
      </c>
      <c r="S3105" s="117">
        <v>216084</v>
      </c>
      <c r="T3105" s="118">
        <v>42599</v>
      </c>
    </row>
    <row r="3106" spans="1:20" x14ac:dyDescent="0.3">
      <c r="A3106" s="42">
        <v>42562</v>
      </c>
      <c r="B3106" s="37">
        <f t="shared" si="89"/>
        <v>20160711</v>
      </c>
      <c r="C3106" s="109">
        <v>1.4800000000000001E-2</v>
      </c>
      <c r="D3106" s="109">
        <v>8.9999999999999993E-3</v>
      </c>
      <c r="E3106" s="109">
        <v>1.2E-2</v>
      </c>
      <c r="F3106" s="109">
        <v>1.2999999999999999E-2</v>
      </c>
      <c r="G3106" s="130">
        <v>0</v>
      </c>
      <c r="H3106" s="71">
        <v>8.6</v>
      </c>
      <c r="I3106" s="71">
        <v>11.3</v>
      </c>
      <c r="J3106" s="71">
        <v>13.8</v>
      </c>
      <c r="K3106" s="121">
        <v>1.9E-3</v>
      </c>
      <c r="L3106" s="121">
        <v>-7.0000000000000001E-3</v>
      </c>
      <c r="M3106" s="75" t="s">
        <v>146</v>
      </c>
      <c r="N3106" s="75" t="b">
        <v>1</v>
      </c>
      <c r="O3106" s="75" t="s">
        <v>145</v>
      </c>
      <c r="P3106" s="75">
        <v>2014</v>
      </c>
      <c r="Q3106" s="107">
        <f t="shared" si="88"/>
        <v>2016</v>
      </c>
      <c r="R3106" s="107">
        <v>2</v>
      </c>
      <c r="S3106" s="117">
        <v>216084</v>
      </c>
      <c r="T3106" s="118">
        <v>42599</v>
      </c>
    </row>
    <row r="3107" spans="1:20" x14ac:dyDescent="0.3">
      <c r="A3107" s="42">
        <v>42563</v>
      </c>
      <c r="B3107" s="37">
        <f t="shared" si="89"/>
        <v>20160712</v>
      </c>
      <c r="C3107" s="109">
        <v>1.5700000000000002E-2</v>
      </c>
      <c r="D3107" s="109">
        <v>8.9999999999999993E-3</v>
      </c>
      <c r="E3107" s="109">
        <v>1.2E-2</v>
      </c>
      <c r="F3107" s="109">
        <v>1.2999999999999999E-2</v>
      </c>
      <c r="G3107" s="130">
        <v>0</v>
      </c>
      <c r="H3107" s="71">
        <v>8.6</v>
      </c>
      <c r="I3107" s="71">
        <v>11.3</v>
      </c>
      <c r="J3107" s="71">
        <v>13.8</v>
      </c>
      <c r="K3107" s="121">
        <v>2.7000000000000001E-3</v>
      </c>
      <c r="L3107" s="121">
        <v>-7.0000000000000001E-3</v>
      </c>
      <c r="M3107" s="75" t="s">
        <v>146</v>
      </c>
      <c r="N3107" s="75" t="b">
        <v>1</v>
      </c>
      <c r="O3107" s="75" t="s">
        <v>145</v>
      </c>
      <c r="P3107" s="75">
        <v>2014</v>
      </c>
      <c r="Q3107" s="107">
        <f t="shared" si="88"/>
        <v>2016</v>
      </c>
      <c r="R3107" s="107">
        <v>2</v>
      </c>
      <c r="S3107" s="117">
        <v>216084</v>
      </c>
      <c r="T3107" s="118">
        <v>42599</v>
      </c>
    </row>
    <row r="3108" spans="1:20" x14ac:dyDescent="0.3">
      <c r="A3108" s="42">
        <v>42564</v>
      </c>
      <c r="B3108" s="37">
        <f t="shared" si="89"/>
        <v>20160713</v>
      </c>
      <c r="C3108" s="109">
        <v>1.5300000000000001E-2</v>
      </c>
      <c r="D3108" s="109">
        <v>8.9999999999999993E-3</v>
      </c>
      <c r="E3108" s="109">
        <v>1.2E-2</v>
      </c>
      <c r="F3108" s="109">
        <v>1.2999999999999999E-2</v>
      </c>
      <c r="G3108" s="130">
        <v>0</v>
      </c>
      <c r="H3108" s="71">
        <v>8.6</v>
      </c>
      <c r="I3108" s="71">
        <v>11.3</v>
      </c>
      <c r="J3108" s="71">
        <v>13.8</v>
      </c>
      <c r="K3108" s="121">
        <v>2.3E-3</v>
      </c>
      <c r="L3108" s="121">
        <v>-7.0000000000000001E-3</v>
      </c>
      <c r="M3108" s="75" t="s">
        <v>146</v>
      </c>
      <c r="N3108" s="75" t="b">
        <v>1</v>
      </c>
      <c r="O3108" s="75" t="s">
        <v>145</v>
      </c>
      <c r="P3108" s="75">
        <v>2014</v>
      </c>
      <c r="Q3108" s="107">
        <f t="shared" si="88"/>
        <v>2016</v>
      </c>
      <c r="R3108" s="107">
        <v>2</v>
      </c>
      <c r="S3108" s="117">
        <v>216084</v>
      </c>
      <c r="T3108" s="118">
        <v>42599</v>
      </c>
    </row>
    <row r="3109" spans="1:20" x14ac:dyDescent="0.3">
      <c r="A3109" s="42">
        <v>42565</v>
      </c>
      <c r="B3109" s="37">
        <f t="shared" si="89"/>
        <v>20160714</v>
      </c>
      <c r="C3109" s="109">
        <v>1.5900000000000001E-2</v>
      </c>
      <c r="D3109" s="109">
        <v>8.9999999999999993E-3</v>
      </c>
      <c r="E3109" s="109">
        <v>1.2E-2</v>
      </c>
      <c r="F3109" s="109">
        <v>1.2999999999999999E-2</v>
      </c>
      <c r="G3109" s="130">
        <v>0</v>
      </c>
      <c r="H3109" s="71">
        <v>8.6</v>
      </c>
      <c r="I3109" s="71">
        <v>11.3</v>
      </c>
      <c r="J3109" s="71">
        <v>13.8</v>
      </c>
      <c r="K3109" s="121">
        <v>2.8999999999999998E-3</v>
      </c>
      <c r="L3109" s="121">
        <v>-7.0000000000000001E-3</v>
      </c>
      <c r="M3109" s="75" t="s">
        <v>146</v>
      </c>
      <c r="N3109" s="75" t="b">
        <v>1</v>
      </c>
      <c r="O3109" s="75" t="s">
        <v>145</v>
      </c>
      <c r="P3109" s="75">
        <v>2014</v>
      </c>
      <c r="Q3109" s="107">
        <f t="shared" si="88"/>
        <v>2016</v>
      </c>
      <c r="R3109" s="107">
        <v>2</v>
      </c>
      <c r="S3109" s="117">
        <v>216084</v>
      </c>
      <c r="T3109" s="118">
        <v>42599</v>
      </c>
    </row>
    <row r="3110" spans="1:20" x14ac:dyDescent="0.3">
      <c r="A3110" s="42">
        <v>42566</v>
      </c>
      <c r="B3110" s="37">
        <f t="shared" si="89"/>
        <v>20160715</v>
      </c>
      <c r="C3110" s="109">
        <v>1.66E-2</v>
      </c>
      <c r="D3110" s="109">
        <v>8.9999999999999993E-3</v>
      </c>
      <c r="E3110" s="109">
        <v>1.2E-2</v>
      </c>
      <c r="F3110" s="109">
        <v>1.2999999999999999E-2</v>
      </c>
      <c r="G3110" s="130">
        <v>0</v>
      </c>
      <c r="H3110" s="71">
        <v>8.6</v>
      </c>
      <c r="I3110" s="71">
        <v>11.3</v>
      </c>
      <c r="J3110" s="71">
        <v>13.8</v>
      </c>
      <c r="K3110" s="121">
        <v>3.5999999999999999E-3</v>
      </c>
      <c r="L3110" s="121">
        <v>-7.0000000000000001E-3</v>
      </c>
      <c r="M3110" s="75" t="s">
        <v>146</v>
      </c>
      <c r="N3110" s="75" t="b">
        <v>1</v>
      </c>
      <c r="O3110" s="75" t="s">
        <v>145</v>
      </c>
      <c r="P3110" s="75">
        <v>2014</v>
      </c>
      <c r="Q3110" s="107">
        <f t="shared" si="88"/>
        <v>2016</v>
      </c>
      <c r="R3110" s="107">
        <v>2</v>
      </c>
      <c r="S3110" s="117">
        <v>216084</v>
      </c>
      <c r="T3110" s="118">
        <v>42599</v>
      </c>
    </row>
    <row r="3111" spans="1:20" x14ac:dyDescent="0.3">
      <c r="A3111" s="42">
        <v>42567</v>
      </c>
      <c r="B3111" s="37">
        <f>YEAR(A3111)*10000+MONTH(A3111)*100+DAY(A3111)</f>
        <v>20160716</v>
      </c>
      <c r="C3111" s="109">
        <v>1.66E-2</v>
      </c>
      <c r="D3111" s="109">
        <v>8.9999999999999993E-3</v>
      </c>
      <c r="E3111" s="109">
        <v>1.2E-2</v>
      </c>
      <c r="F3111" s="109">
        <v>1.2999999999999999E-2</v>
      </c>
      <c r="G3111" s="130">
        <v>0</v>
      </c>
      <c r="H3111" s="71">
        <v>8.6</v>
      </c>
      <c r="I3111" s="71">
        <v>11.3</v>
      </c>
      <c r="J3111" s="71">
        <v>13.8</v>
      </c>
      <c r="K3111" s="121">
        <v>3.5999999999999999E-3</v>
      </c>
      <c r="L3111" s="121">
        <v>-7.0000000000000001E-3</v>
      </c>
      <c r="M3111" s="75" t="s">
        <v>146</v>
      </c>
      <c r="N3111" s="75" t="b">
        <v>1</v>
      </c>
      <c r="O3111" s="75" t="s">
        <v>145</v>
      </c>
      <c r="P3111" s="75">
        <v>2014</v>
      </c>
      <c r="Q3111" s="107">
        <f t="shared" si="88"/>
        <v>2016</v>
      </c>
      <c r="R3111" s="107">
        <v>2</v>
      </c>
      <c r="S3111" s="117">
        <v>216084</v>
      </c>
      <c r="T3111" s="118">
        <v>42599</v>
      </c>
    </row>
    <row r="3112" spans="1:20" x14ac:dyDescent="0.3">
      <c r="A3112" s="42">
        <v>42568</v>
      </c>
      <c r="B3112" s="37">
        <f>YEAR(A3112)*10000+MONTH(A3112)*100+DAY(A3112)</f>
        <v>20160717</v>
      </c>
      <c r="C3112" s="109">
        <v>1.66E-2</v>
      </c>
      <c r="D3112" s="109">
        <v>8.9999999999999993E-3</v>
      </c>
      <c r="E3112" s="109">
        <v>1.2E-2</v>
      </c>
      <c r="F3112" s="109">
        <v>1.2999999999999999E-2</v>
      </c>
      <c r="G3112" s="130">
        <v>0</v>
      </c>
      <c r="H3112" s="71">
        <v>8.6</v>
      </c>
      <c r="I3112" s="71">
        <v>11.3</v>
      </c>
      <c r="J3112" s="71">
        <v>13.8</v>
      </c>
      <c r="K3112" s="121">
        <v>3.5999999999999999E-3</v>
      </c>
      <c r="L3112" s="121">
        <v>-7.0000000000000001E-3</v>
      </c>
      <c r="M3112" s="75" t="s">
        <v>146</v>
      </c>
      <c r="N3112" s="75" t="b">
        <v>1</v>
      </c>
      <c r="O3112" s="75" t="s">
        <v>145</v>
      </c>
      <c r="P3112" s="75">
        <v>2014</v>
      </c>
      <c r="Q3112" s="107">
        <f t="shared" si="88"/>
        <v>2016</v>
      </c>
      <c r="R3112" s="107">
        <v>2</v>
      </c>
      <c r="S3112" s="117">
        <v>216084</v>
      </c>
      <c r="T3112" s="118">
        <v>42599</v>
      </c>
    </row>
    <row r="3113" spans="1:20" x14ac:dyDescent="0.3">
      <c r="A3113" s="42">
        <v>42569</v>
      </c>
      <c r="B3113" s="37">
        <f t="shared" si="89"/>
        <v>20160718</v>
      </c>
      <c r="C3113" s="109">
        <v>1.6500000000000001E-2</v>
      </c>
      <c r="D3113" s="109">
        <v>8.9999999999999993E-3</v>
      </c>
      <c r="E3113" s="109">
        <v>1.2E-2</v>
      </c>
      <c r="F3113" s="109">
        <v>1.2999999999999999E-2</v>
      </c>
      <c r="G3113" s="130">
        <v>0</v>
      </c>
      <c r="H3113" s="71">
        <v>8.6</v>
      </c>
      <c r="I3113" s="71">
        <v>11.3</v>
      </c>
      <c r="J3113" s="71">
        <v>13.8</v>
      </c>
      <c r="K3113" s="121">
        <v>3.4000000000000002E-3</v>
      </c>
      <c r="L3113" s="121">
        <v>-7.0000000000000001E-3</v>
      </c>
      <c r="M3113" s="75" t="s">
        <v>146</v>
      </c>
      <c r="N3113" s="75" t="b">
        <v>1</v>
      </c>
      <c r="O3113" s="75" t="s">
        <v>145</v>
      </c>
      <c r="P3113" s="75">
        <v>2014</v>
      </c>
      <c r="Q3113" s="107">
        <f t="shared" si="88"/>
        <v>2016</v>
      </c>
      <c r="R3113" s="107">
        <v>2</v>
      </c>
      <c r="S3113" s="117">
        <v>216084</v>
      </c>
      <c r="T3113" s="118">
        <v>42599</v>
      </c>
    </row>
    <row r="3114" spans="1:20" x14ac:dyDescent="0.3">
      <c r="A3114" s="42">
        <v>42570</v>
      </c>
      <c r="B3114" s="37">
        <f t="shared" si="89"/>
        <v>20160719</v>
      </c>
      <c r="C3114" s="109">
        <v>1.6299999999999999E-2</v>
      </c>
      <c r="D3114" s="109">
        <v>8.9999999999999993E-3</v>
      </c>
      <c r="E3114" s="109">
        <v>1.2E-2</v>
      </c>
      <c r="F3114" s="109">
        <v>1.2999999999999999E-2</v>
      </c>
      <c r="G3114" s="130">
        <v>0</v>
      </c>
      <c r="H3114" s="71">
        <v>8.6</v>
      </c>
      <c r="I3114" s="71">
        <v>11.3</v>
      </c>
      <c r="J3114" s="71">
        <v>13.8</v>
      </c>
      <c r="K3114" s="121">
        <v>3.3E-3</v>
      </c>
      <c r="L3114" s="121">
        <v>-7.0000000000000001E-3</v>
      </c>
      <c r="M3114" s="75" t="s">
        <v>146</v>
      </c>
      <c r="N3114" s="75" t="b">
        <v>1</v>
      </c>
      <c r="O3114" s="75" t="s">
        <v>145</v>
      </c>
      <c r="P3114" s="75">
        <v>2014</v>
      </c>
      <c r="Q3114" s="107">
        <f t="shared" si="88"/>
        <v>2016</v>
      </c>
      <c r="R3114" s="107">
        <v>2</v>
      </c>
      <c r="S3114" s="117">
        <v>216084</v>
      </c>
      <c r="T3114" s="118">
        <v>42599</v>
      </c>
    </row>
    <row r="3115" spans="1:20" x14ac:dyDescent="0.3">
      <c r="A3115" s="42">
        <v>42571</v>
      </c>
      <c r="B3115" s="37">
        <f t="shared" si="89"/>
        <v>20160720</v>
      </c>
      <c r="C3115" s="109">
        <v>1.66E-2</v>
      </c>
      <c r="D3115" s="109">
        <v>8.9999999999999993E-3</v>
      </c>
      <c r="E3115" s="109">
        <v>1.2E-2</v>
      </c>
      <c r="F3115" s="109">
        <v>1.2999999999999999E-2</v>
      </c>
      <c r="G3115" s="130">
        <v>0</v>
      </c>
      <c r="H3115" s="71">
        <v>8.6</v>
      </c>
      <c r="I3115" s="71">
        <v>11.3</v>
      </c>
      <c r="J3115" s="71">
        <v>13.8</v>
      </c>
      <c r="K3115" s="121">
        <v>3.5999999999999999E-3</v>
      </c>
      <c r="L3115" s="121">
        <v>-7.0000000000000001E-3</v>
      </c>
      <c r="M3115" s="75" t="s">
        <v>146</v>
      </c>
      <c r="N3115" s="75" t="b">
        <v>1</v>
      </c>
      <c r="O3115" s="75" t="s">
        <v>145</v>
      </c>
      <c r="P3115" s="75">
        <v>2014</v>
      </c>
      <c r="Q3115" s="107">
        <f t="shared" si="88"/>
        <v>2016</v>
      </c>
      <c r="R3115" s="107">
        <v>2</v>
      </c>
      <c r="S3115" s="117">
        <v>216084</v>
      </c>
      <c r="T3115" s="118">
        <v>42599</v>
      </c>
    </row>
    <row r="3116" spans="1:20" x14ac:dyDescent="0.3">
      <c r="A3116" s="42">
        <v>42572</v>
      </c>
      <c r="B3116" s="37">
        <f t="shared" si="89"/>
        <v>20160721</v>
      </c>
      <c r="C3116" s="109">
        <v>1.66E-2</v>
      </c>
      <c r="D3116" s="109">
        <v>8.9999999999999993E-3</v>
      </c>
      <c r="E3116" s="109">
        <v>1.2E-2</v>
      </c>
      <c r="F3116" s="109">
        <v>1.2999999999999999E-2</v>
      </c>
      <c r="G3116" s="130">
        <v>0</v>
      </c>
      <c r="H3116" s="71">
        <v>8.6</v>
      </c>
      <c r="I3116" s="71">
        <v>11.3</v>
      </c>
      <c r="J3116" s="71">
        <v>13.8</v>
      </c>
      <c r="K3116" s="121">
        <v>3.7000000000000002E-3</v>
      </c>
      <c r="L3116" s="121">
        <v>-7.0000000000000001E-3</v>
      </c>
      <c r="M3116" s="75" t="s">
        <v>146</v>
      </c>
      <c r="N3116" s="75" t="b">
        <v>1</v>
      </c>
      <c r="O3116" s="75" t="s">
        <v>145</v>
      </c>
      <c r="P3116" s="75">
        <v>2014</v>
      </c>
      <c r="Q3116" s="107">
        <f t="shared" si="88"/>
        <v>2016</v>
      </c>
      <c r="R3116" s="107">
        <v>2</v>
      </c>
      <c r="S3116" s="117">
        <v>216084</v>
      </c>
      <c r="T3116" s="118">
        <v>42599</v>
      </c>
    </row>
    <row r="3117" spans="1:20" x14ac:dyDescent="0.3">
      <c r="A3117" s="42">
        <v>42573</v>
      </c>
      <c r="B3117" s="37">
        <f t="shared" si="89"/>
        <v>20160722</v>
      </c>
      <c r="C3117" s="109">
        <v>1.6399999999999998E-2</v>
      </c>
      <c r="D3117" s="109">
        <v>8.9999999999999993E-3</v>
      </c>
      <c r="E3117" s="109">
        <v>1.2E-2</v>
      </c>
      <c r="F3117" s="109">
        <v>1.2999999999999999E-2</v>
      </c>
      <c r="G3117" s="130">
        <v>0</v>
      </c>
      <c r="H3117" s="71">
        <v>8.6</v>
      </c>
      <c r="I3117" s="71">
        <v>11.3</v>
      </c>
      <c r="J3117" s="71">
        <v>13.8</v>
      </c>
      <c r="K3117" s="121">
        <v>3.4999999999999996E-3</v>
      </c>
      <c r="L3117" s="121">
        <v>-7.0000000000000001E-3</v>
      </c>
      <c r="M3117" s="75" t="s">
        <v>146</v>
      </c>
      <c r="N3117" s="75" t="b">
        <v>1</v>
      </c>
      <c r="O3117" s="75" t="s">
        <v>145</v>
      </c>
      <c r="P3117" s="75">
        <v>2014</v>
      </c>
      <c r="Q3117" s="107">
        <f t="shared" si="88"/>
        <v>2016</v>
      </c>
      <c r="R3117" s="107">
        <v>2</v>
      </c>
      <c r="S3117" s="117">
        <v>216084</v>
      </c>
      <c r="T3117" s="118">
        <v>42599</v>
      </c>
    </row>
    <row r="3118" spans="1:20" x14ac:dyDescent="0.3">
      <c r="A3118" s="42">
        <v>42574</v>
      </c>
      <c r="B3118" s="37">
        <f>YEAR(A3118)*10000+MONTH(A3118)*100+DAY(A3118)</f>
        <v>20160723</v>
      </c>
      <c r="C3118" s="109">
        <v>1.6399999999999998E-2</v>
      </c>
      <c r="D3118" s="109">
        <v>8.9999999999999993E-3</v>
      </c>
      <c r="E3118" s="109">
        <v>1.2E-2</v>
      </c>
      <c r="F3118" s="109">
        <v>1.2999999999999999E-2</v>
      </c>
      <c r="G3118" s="130">
        <v>0</v>
      </c>
      <c r="H3118" s="71">
        <v>8.6</v>
      </c>
      <c r="I3118" s="71">
        <v>11.3</v>
      </c>
      <c r="J3118" s="71">
        <v>13.8</v>
      </c>
      <c r="K3118" s="121">
        <v>3.4999999999999996E-3</v>
      </c>
      <c r="L3118" s="121">
        <v>-7.0000000000000001E-3</v>
      </c>
      <c r="M3118" s="75" t="s">
        <v>146</v>
      </c>
      <c r="N3118" s="75" t="b">
        <v>1</v>
      </c>
      <c r="O3118" s="75" t="s">
        <v>145</v>
      </c>
      <c r="P3118" s="75">
        <v>2014</v>
      </c>
      <c r="Q3118" s="107">
        <f t="shared" ref="Q3118:Q3181" si="90">YEAR(A3118)</f>
        <v>2016</v>
      </c>
      <c r="R3118" s="107">
        <v>2</v>
      </c>
      <c r="S3118" s="117">
        <v>216084</v>
      </c>
      <c r="T3118" s="118">
        <v>42599</v>
      </c>
    </row>
    <row r="3119" spans="1:20" x14ac:dyDescent="0.3">
      <c r="A3119" s="42">
        <v>42575</v>
      </c>
      <c r="B3119" s="37">
        <f>YEAR(A3119)*10000+MONTH(A3119)*100+DAY(A3119)</f>
        <v>20160724</v>
      </c>
      <c r="C3119" s="109">
        <v>1.6399999999999998E-2</v>
      </c>
      <c r="D3119" s="109">
        <v>8.9999999999999993E-3</v>
      </c>
      <c r="E3119" s="109">
        <v>1.2E-2</v>
      </c>
      <c r="F3119" s="109">
        <v>1.2999999999999999E-2</v>
      </c>
      <c r="G3119" s="130">
        <v>0</v>
      </c>
      <c r="H3119" s="71">
        <v>8.6</v>
      </c>
      <c r="I3119" s="71">
        <v>11.3</v>
      </c>
      <c r="J3119" s="71">
        <v>13.8</v>
      </c>
      <c r="K3119" s="121">
        <v>3.4999999999999996E-3</v>
      </c>
      <c r="L3119" s="121">
        <v>-7.0000000000000001E-3</v>
      </c>
      <c r="M3119" s="75" t="s">
        <v>146</v>
      </c>
      <c r="N3119" s="75" t="b">
        <v>1</v>
      </c>
      <c r="O3119" s="75" t="s">
        <v>145</v>
      </c>
      <c r="P3119" s="75">
        <v>2014</v>
      </c>
      <c r="Q3119" s="107">
        <f t="shared" si="90"/>
        <v>2016</v>
      </c>
      <c r="R3119" s="107">
        <v>2</v>
      </c>
      <c r="S3119" s="117">
        <v>216084</v>
      </c>
      <c r="T3119" s="118">
        <v>42599</v>
      </c>
    </row>
    <row r="3120" spans="1:20" x14ac:dyDescent="0.3">
      <c r="A3120" s="42">
        <v>42576</v>
      </c>
      <c r="B3120" s="37">
        <f t="shared" si="89"/>
        <v>20160725</v>
      </c>
      <c r="C3120" s="109">
        <v>1.6399999999999998E-2</v>
      </c>
      <c r="D3120" s="109">
        <v>8.9999999999999993E-3</v>
      </c>
      <c r="E3120" s="109">
        <v>1.2E-2</v>
      </c>
      <c r="F3120" s="109">
        <v>1.2999999999999999E-2</v>
      </c>
      <c r="G3120" s="130">
        <v>0</v>
      </c>
      <c r="H3120" s="71">
        <v>8.6</v>
      </c>
      <c r="I3120" s="71">
        <v>11.3</v>
      </c>
      <c r="J3120" s="71">
        <v>13.8</v>
      </c>
      <c r="K3120" s="121">
        <v>3.5999999999999999E-3</v>
      </c>
      <c r="L3120" s="121">
        <v>-7.0000000000000001E-3</v>
      </c>
      <c r="M3120" s="75" t="s">
        <v>146</v>
      </c>
      <c r="N3120" s="75" t="b">
        <v>1</v>
      </c>
      <c r="O3120" s="75" t="s">
        <v>145</v>
      </c>
      <c r="P3120" s="75">
        <v>2014</v>
      </c>
      <c r="Q3120" s="107">
        <f t="shared" si="90"/>
        <v>2016</v>
      </c>
      <c r="R3120" s="107">
        <v>2</v>
      </c>
      <c r="S3120" s="117">
        <v>216084</v>
      </c>
      <c r="T3120" s="118">
        <v>42599</v>
      </c>
    </row>
    <row r="3121" spans="1:20" x14ac:dyDescent="0.3">
      <c r="A3121" s="42">
        <v>42577</v>
      </c>
      <c r="B3121" s="37">
        <f t="shared" si="89"/>
        <v>20160726</v>
      </c>
      <c r="C3121" s="109">
        <v>1.6399999999999998E-2</v>
      </c>
      <c r="D3121" s="109">
        <v>8.9999999999999993E-3</v>
      </c>
      <c r="E3121" s="109">
        <v>1.2E-2</v>
      </c>
      <c r="F3121" s="109">
        <v>1.2999999999999999E-2</v>
      </c>
      <c r="G3121" s="130">
        <v>0</v>
      </c>
      <c r="H3121" s="71">
        <v>8.6</v>
      </c>
      <c r="I3121" s="71">
        <v>11.3</v>
      </c>
      <c r="J3121" s="71">
        <v>13.8</v>
      </c>
      <c r="K3121" s="121">
        <v>3.7000000000000002E-3</v>
      </c>
      <c r="L3121" s="121">
        <v>-7.0000000000000001E-3</v>
      </c>
      <c r="M3121" s="75" t="s">
        <v>146</v>
      </c>
      <c r="N3121" s="75" t="b">
        <v>1</v>
      </c>
      <c r="O3121" s="75" t="s">
        <v>145</v>
      </c>
      <c r="P3121" s="75">
        <v>2014</v>
      </c>
      <c r="Q3121" s="107">
        <f t="shared" si="90"/>
        <v>2016</v>
      </c>
      <c r="R3121" s="107">
        <v>2</v>
      </c>
      <c r="S3121" s="117">
        <v>216084</v>
      </c>
      <c r="T3121" s="118">
        <v>42599</v>
      </c>
    </row>
    <row r="3122" spans="1:20" x14ac:dyDescent="0.3">
      <c r="A3122" s="42">
        <v>42578</v>
      </c>
      <c r="B3122" s="37">
        <f t="shared" si="89"/>
        <v>20160727</v>
      </c>
      <c r="C3122" s="109">
        <v>1.6E-2</v>
      </c>
      <c r="D3122" s="109">
        <v>8.9999999999999993E-3</v>
      </c>
      <c r="E3122" s="109">
        <v>1.2E-2</v>
      </c>
      <c r="F3122" s="109">
        <v>1.2999999999999999E-2</v>
      </c>
      <c r="G3122" s="130">
        <v>0</v>
      </c>
      <c r="H3122" s="71">
        <v>8.6</v>
      </c>
      <c r="I3122" s="71">
        <v>11.3</v>
      </c>
      <c r="J3122" s="71">
        <v>13.8</v>
      </c>
      <c r="K3122" s="121">
        <v>3.3E-3</v>
      </c>
      <c r="L3122" s="121">
        <v>-7.0000000000000001E-3</v>
      </c>
      <c r="M3122" s="75" t="s">
        <v>146</v>
      </c>
      <c r="N3122" s="75" t="b">
        <v>1</v>
      </c>
      <c r="O3122" s="75" t="s">
        <v>145</v>
      </c>
      <c r="P3122" s="75">
        <v>2014</v>
      </c>
      <c r="Q3122" s="107">
        <f t="shared" si="90"/>
        <v>2016</v>
      </c>
      <c r="R3122" s="107">
        <v>2</v>
      </c>
      <c r="S3122" s="117">
        <v>216084</v>
      </c>
      <c r="T3122" s="118">
        <v>42599</v>
      </c>
    </row>
    <row r="3123" spans="1:20" x14ac:dyDescent="0.3">
      <c r="A3123" s="42">
        <v>42579</v>
      </c>
      <c r="B3123" s="37">
        <f t="shared" si="89"/>
        <v>20160728</v>
      </c>
      <c r="C3123" s="109">
        <v>1.5800000000000002E-2</v>
      </c>
      <c r="D3123" s="109">
        <v>8.9999999999999993E-3</v>
      </c>
      <c r="E3123" s="109">
        <v>1.2E-2</v>
      </c>
      <c r="F3123" s="109">
        <v>1.2999999999999999E-2</v>
      </c>
      <c r="G3123" s="130">
        <v>0</v>
      </c>
      <c r="H3123" s="71">
        <v>8.6</v>
      </c>
      <c r="I3123" s="71">
        <v>11.3</v>
      </c>
      <c r="J3123" s="71">
        <v>13.8</v>
      </c>
      <c r="K3123" s="121">
        <v>3.3E-3</v>
      </c>
      <c r="L3123" s="121">
        <v>-7.0000000000000001E-3</v>
      </c>
      <c r="M3123" s="75" t="s">
        <v>146</v>
      </c>
      <c r="N3123" s="75" t="b">
        <v>1</v>
      </c>
      <c r="O3123" s="75" t="s">
        <v>145</v>
      </c>
      <c r="P3123" s="75">
        <v>2014</v>
      </c>
      <c r="Q3123" s="107">
        <f t="shared" si="90"/>
        <v>2016</v>
      </c>
      <c r="R3123" s="107">
        <v>2</v>
      </c>
      <c r="S3123" s="117">
        <v>216084</v>
      </c>
      <c r="T3123" s="118">
        <v>42599</v>
      </c>
    </row>
    <row r="3124" spans="1:20" x14ac:dyDescent="0.3">
      <c r="A3124" s="42">
        <v>42580</v>
      </c>
      <c r="B3124" s="37">
        <f t="shared" si="89"/>
        <v>20160729</v>
      </c>
      <c r="C3124" s="109">
        <v>1.54E-2</v>
      </c>
      <c r="D3124" s="109">
        <v>8.9999999999999993E-3</v>
      </c>
      <c r="E3124" s="109">
        <v>1.2E-2</v>
      </c>
      <c r="F3124" s="109">
        <v>1.2999999999999999E-2</v>
      </c>
      <c r="G3124" s="130">
        <v>0</v>
      </c>
      <c r="H3124" s="71">
        <v>8.6</v>
      </c>
      <c r="I3124" s="71">
        <v>11.3</v>
      </c>
      <c r="J3124" s="71">
        <v>13.8</v>
      </c>
      <c r="K3124" s="121">
        <v>2.7000000000000001E-3</v>
      </c>
      <c r="L3124" s="121">
        <v>-7.0000000000000001E-3</v>
      </c>
      <c r="M3124" s="75" t="s">
        <v>146</v>
      </c>
      <c r="N3124" s="75" t="b">
        <v>1</v>
      </c>
      <c r="O3124" s="75" t="s">
        <v>145</v>
      </c>
      <c r="P3124" s="75">
        <v>2014</v>
      </c>
      <c r="Q3124" s="107">
        <f t="shared" si="90"/>
        <v>2016</v>
      </c>
      <c r="R3124" s="107">
        <v>2</v>
      </c>
      <c r="S3124" s="117">
        <v>216084</v>
      </c>
      <c r="T3124" s="118">
        <v>42599</v>
      </c>
    </row>
    <row r="3125" spans="1:20" x14ac:dyDescent="0.3">
      <c r="A3125" s="42">
        <v>42581</v>
      </c>
      <c r="B3125" s="37">
        <f>YEAR(A3125)*10000+MONTH(A3125)*100+DAY(A3125)</f>
        <v>20160730</v>
      </c>
      <c r="C3125" s="109">
        <v>1.54E-2</v>
      </c>
      <c r="D3125" s="109">
        <v>8.9999999999999993E-3</v>
      </c>
      <c r="E3125" s="109">
        <v>1.2E-2</v>
      </c>
      <c r="F3125" s="109">
        <v>1.2999999999999999E-2</v>
      </c>
      <c r="G3125" s="130">
        <v>0</v>
      </c>
      <c r="H3125" s="71">
        <v>8.6</v>
      </c>
      <c r="I3125" s="71">
        <v>11.3</v>
      </c>
      <c r="J3125" s="71">
        <v>13.8</v>
      </c>
      <c r="K3125" s="121">
        <v>2.7000000000000001E-3</v>
      </c>
      <c r="L3125" s="121">
        <v>-7.0000000000000001E-3</v>
      </c>
      <c r="M3125" s="75" t="s">
        <v>146</v>
      </c>
      <c r="N3125" s="75" t="b">
        <v>1</v>
      </c>
      <c r="O3125" s="75" t="s">
        <v>145</v>
      </c>
      <c r="P3125" s="75">
        <v>2014</v>
      </c>
      <c r="Q3125" s="107">
        <f t="shared" si="90"/>
        <v>2016</v>
      </c>
      <c r="R3125" s="107">
        <v>2</v>
      </c>
      <c r="S3125" s="117">
        <v>216084</v>
      </c>
      <c r="T3125" s="118">
        <v>42599</v>
      </c>
    </row>
    <row r="3126" spans="1:20" x14ac:dyDescent="0.3">
      <c r="A3126" s="42">
        <v>42582</v>
      </c>
      <c r="B3126" s="37">
        <f>YEAR(A3126)*10000+MONTH(A3126)*100+DAY(A3126)</f>
        <v>20160731</v>
      </c>
      <c r="C3126" s="109">
        <v>1.54E-2</v>
      </c>
      <c r="D3126" s="109">
        <v>8.9999999999999993E-3</v>
      </c>
      <c r="E3126" s="109">
        <v>1.2E-2</v>
      </c>
      <c r="F3126" s="109">
        <v>1.2999999999999999E-2</v>
      </c>
      <c r="G3126" s="130">
        <v>0</v>
      </c>
      <c r="H3126" s="71">
        <v>8.6</v>
      </c>
      <c r="I3126" s="71">
        <v>11.3</v>
      </c>
      <c r="J3126" s="71">
        <v>13.8</v>
      </c>
      <c r="K3126" s="121">
        <v>2.7000000000000001E-3</v>
      </c>
      <c r="L3126" s="121">
        <v>-7.0000000000000001E-3</v>
      </c>
      <c r="M3126" s="75" t="s">
        <v>146</v>
      </c>
      <c r="N3126" s="75" t="b">
        <v>1</v>
      </c>
      <c r="O3126" s="75" t="s">
        <v>145</v>
      </c>
      <c r="P3126" s="75">
        <v>2014</v>
      </c>
      <c r="Q3126" s="107">
        <f t="shared" si="90"/>
        <v>2016</v>
      </c>
      <c r="R3126" s="107">
        <v>2</v>
      </c>
      <c r="S3126" s="117">
        <v>216084</v>
      </c>
      <c r="T3126" s="118">
        <v>42599</v>
      </c>
    </row>
    <row r="3127" spans="1:20" x14ac:dyDescent="0.3">
      <c r="A3127" s="42">
        <v>42583</v>
      </c>
      <c r="B3127" s="37">
        <f t="shared" si="89"/>
        <v>20160801</v>
      </c>
      <c r="C3127" s="109">
        <v>1.54E-2</v>
      </c>
      <c r="D3127" s="109">
        <v>8.9999999999999993E-3</v>
      </c>
      <c r="E3127" s="109">
        <v>1.2E-2</v>
      </c>
      <c r="F3127" s="109">
        <v>1.2999999999999999E-2</v>
      </c>
      <c r="G3127" s="130">
        <v>0</v>
      </c>
      <c r="H3127" s="71">
        <v>8.6</v>
      </c>
      <c r="I3127" s="71">
        <v>11.3</v>
      </c>
      <c r="J3127" s="71">
        <v>13.8</v>
      </c>
      <c r="K3127" s="121">
        <v>2.7000000000000001E-3</v>
      </c>
      <c r="L3127" s="121">
        <v>-7.0000000000000001E-3</v>
      </c>
      <c r="M3127" s="75" t="s">
        <v>146</v>
      </c>
      <c r="N3127" s="75" t="b">
        <v>1</v>
      </c>
      <c r="O3127" s="75" t="s">
        <v>145</v>
      </c>
      <c r="P3127" s="75">
        <v>2014</v>
      </c>
      <c r="Q3127" s="107">
        <f t="shared" si="90"/>
        <v>2016</v>
      </c>
      <c r="R3127" s="107">
        <v>2</v>
      </c>
      <c r="S3127" s="117">
        <v>216084</v>
      </c>
      <c r="T3127" s="118">
        <v>42599</v>
      </c>
    </row>
    <row r="3128" spans="1:20" x14ac:dyDescent="0.3">
      <c r="A3128" s="42">
        <v>42584</v>
      </c>
      <c r="B3128" s="37">
        <f t="shared" si="89"/>
        <v>20160802</v>
      </c>
      <c r="C3128" s="109">
        <v>1.5700000000000002E-2</v>
      </c>
      <c r="D3128" s="109">
        <v>8.9999999999999993E-3</v>
      </c>
      <c r="E3128" s="109">
        <v>1.2E-2</v>
      </c>
      <c r="F3128" s="109">
        <v>1.2999999999999999E-2</v>
      </c>
      <c r="G3128" s="130">
        <v>0</v>
      </c>
      <c r="H3128" s="71">
        <v>8.6</v>
      </c>
      <c r="I3128" s="71">
        <v>11.3</v>
      </c>
      <c r="J3128" s="71">
        <v>13.8</v>
      </c>
      <c r="K3128" s="121">
        <v>2.8999999999999998E-3</v>
      </c>
      <c r="L3128" s="121">
        <v>-7.0000000000000001E-3</v>
      </c>
      <c r="M3128" s="75" t="s">
        <v>146</v>
      </c>
      <c r="N3128" s="75" t="b">
        <v>1</v>
      </c>
      <c r="O3128" s="75" t="s">
        <v>145</v>
      </c>
      <c r="P3128" s="75">
        <v>2014</v>
      </c>
      <c r="Q3128" s="107">
        <f t="shared" si="90"/>
        <v>2016</v>
      </c>
      <c r="R3128" s="107">
        <v>2</v>
      </c>
      <c r="S3128" s="117">
        <v>216084</v>
      </c>
      <c r="T3128" s="118">
        <v>42599</v>
      </c>
    </row>
    <row r="3129" spans="1:20" x14ac:dyDescent="0.3">
      <c r="A3129" s="42">
        <v>42585</v>
      </c>
      <c r="B3129" s="37">
        <f t="shared" si="89"/>
        <v>20160803</v>
      </c>
      <c r="C3129" s="109">
        <v>1.5800000000000002E-2</v>
      </c>
      <c r="D3129" s="109">
        <v>8.9999999999999993E-3</v>
      </c>
      <c r="E3129" s="109">
        <v>1.2E-2</v>
      </c>
      <c r="F3129" s="109">
        <v>1.2999999999999999E-2</v>
      </c>
      <c r="G3129" s="130">
        <v>0</v>
      </c>
      <c r="H3129" s="71">
        <v>8.6</v>
      </c>
      <c r="I3129" s="71">
        <v>11.3</v>
      </c>
      <c r="J3129" s="71">
        <v>13.8</v>
      </c>
      <c r="K3129" s="121">
        <v>3.0000000000000001E-3</v>
      </c>
      <c r="L3129" s="121">
        <v>-7.0000000000000001E-3</v>
      </c>
      <c r="M3129" s="75" t="s">
        <v>146</v>
      </c>
      <c r="N3129" s="75" t="b">
        <v>1</v>
      </c>
      <c r="O3129" s="75" t="s">
        <v>145</v>
      </c>
      <c r="P3129" s="75">
        <v>2014</v>
      </c>
      <c r="Q3129" s="107">
        <f t="shared" si="90"/>
        <v>2016</v>
      </c>
      <c r="R3129" s="107">
        <v>2</v>
      </c>
      <c r="S3129" s="117">
        <v>216084</v>
      </c>
      <c r="T3129" s="118">
        <v>42599</v>
      </c>
    </row>
    <row r="3130" spans="1:20" x14ac:dyDescent="0.3">
      <c r="A3130" s="42">
        <v>42586</v>
      </c>
      <c r="B3130" s="37">
        <f t="shared" si="89"/>
        <v>20160804</v>
      </c>
      <c r="C3130" s="109">
        <v>1.55E-2</v>
      </c>
      <c r="D3130" s="109">
        <v>8.9999999999999993E-3</v>
      </c>
      <c r="E3130" s="109">
        <v>1.2E-2</v>
      </c>
      <c r="F3130" s="109">
        <v>1.2999999999999999E-2</v>
      </c>
      <c r="G3130" s="130">
        <v>0</v>
      </c>
      <c r="H3130" s="71">
        <v>8.6</v>
      </c>
      <c r="I3130" s="71">
        <v>11.3</v>
      </c>
      <c r="J3130" s="71">
        <v>13.8</v>
      </c>
      <c r="K3130" s="121">
        <v>2.5999999999999999E-3</v>
      </c>
      <c r="L3130" s="121">
        <v>-7.0000000000000001E-3</v>
      </c>
      <c r="M3130" s="75" t="s">
        <v>146</v>
      </c>
      <c r="N3130" s="75" t="b">
        <v>1</v>
      </c>
      <c r="O3130" s="75" t="s">
        <v>145</v>
      </c>
      <c r="P3130" s="75">
        <v>2014</v>
      </c>
      <c r="Q3130" s="107">
        <f t="shared" si="90"/>
        <v>2016</v>
      </c>
      <c r="R3130" s="107">
        <v>2</v>
      </c>
      <c r="S3130" s="117">
        <v>216084</v>
      </c>
      <c r="T3130" s="118">
        <v>42599</v>
      </c>
    </row>
    <row r="3131" spans="1:20" x14ac:dyDescent="0.3">
      <c r="A3131" s="42">
        <v>42587</v>
      </c>
      <c r="B3131" s="37">
        <f t="shared" si="89"/>
        <v>20160805</v>
      </c>
      <c r="C3131" s="109">
        <v>1.5800000000000002E-2</v>
      </c>
      <c r="D3131" s="109">
        <v>8.9999999999999993E-3</v>
      </c>
      <c r="E3131" s="109">
        <v>1.2E-2</v>
      </c>
      <c r="F3131" s="109">
        <v>1.2999999999999999E-2</v>
      </c>
      <c r="G3131" s="130">
        <v>0</v>
      </c>
      <c r="H3131" s="71">
        <v>8.6</v>
      </c>
      <c r="I3131" s="71">
        <v>11.3</v>
      </c>
      <c r="J3131" s="71">
        <v>13.8</v>
      </c>
      <c r="K3131" s="121">
        <v>3.0000000000000001E-3</v>
      </c>
      <c r="L3131" s="121">
        <v>-7.0000000000000001E-3</v>
      </c>
      <c r="M3131" s="75" t="s">
        <v>146</v>
      </c>
      <c r="N3131" s="75" t="b">
        <v>1</v>
      </c>
      <c r="O3131" s="75" t="s">
        <v>145</v>
      </c>
      <c r="P3131" s="75">
        <v>2014</v>
      </c>
      <c r="Q3131" s="107">
        <f t="shared" si="90"/>
        <v>2016</v>
      </c>
      <c r="R3131" s="107">
        <v>2</v>
      </c>
      <c r="S3131" s="117">
        <v>216084</v>
      </c>
      <c r="T3131" s="118">
        <v>42599</v>
      </c>
    </row>
    <row r="3132" spans="1:20" x14ac:dyDescent="0.3">
      <c r="A3132" s="42">
        <v>42588</v>
      </c>
      <c r="B3132" s="37">
        <f>YEAR(A3132)*10000+MONTH(A3132)*100+DAY(A3132)</f>
        <v>20160806</v>
      </c>
      <c r="C3132" s="109">
        <v>1.5800000000000002E-2</v>
      </c>
      <c r="D3132" s="109">
        <v>8.9999999999999993E-3</v>
      </c>
      <c r="E3132" s="109">
        <v>1.2E-2</v>
      </c>
      <c r="F3132" s="109">
        <v>1.2999999999999999E-2</v>
      </c>
      <c r="G3132" s="130">
        <v>0</v>
      </c>
      <c r="H3132" s="71">
        <v>8.6</v>
      </c>
      <c r="I3132" s="71">
        <v>11.3</v>
      </c>
      <c r="J3132" s="71">
        <v>13.8</v>
      </c>
      <c r="K3132" s="121">
        <v>3.0000000000000001E-3</v>
      </c>
      <c r="L3132" s="121">
        <v>-7.0000000000000001E-3</v>
      </c>
      <c r="M3132" s="75" t="s">
        <v>146</v>
      </c>
      <c r="N3132" s="75" t="b">
        <v>1</v>
      </c>
      <c r="O3132" s="75" t="s">
        <v>145</v>
      </c>
      <c r="P3132" s="75">
        <v>2014</v>
      </c>
      <c r="Q3132" s="107">
        <f t="shared" si="90"/>
        <v>2016</v>
      </c>
      <c r="R3132" s="107">
        <v>2</v>
      </c>
      <c r="S3132" s="117">
        <v>216084</v>
      </c>
      <c r="T3132" s="118">
        <v>42599</v>
      </c>
    </row>
    <row r="3133" spans="1:20" x14ac:dyDescent="0.3">
      <c r="A3133" s="42">
        <v>42589</v>
      </c>
      <c r="B3133" s="37">
        <f>YEAR(A3133)*10000+MONTH(A3133)*100+DAY(A3133)</f>
        <v>20160807</v>
      </c>
      <c r="C3133" s="109">
        <v>1.5800000000000002E-2</v>
      </c>
      <c r="D3133" s="109">
        <v>8.9999999999999993E-3</v>
      </c>
      <c r="E3133" s="109">
        <v>1.2E-2</v>
      </c>
      <c r="F3133" s="109">
        <v>1.2999999999999999E-2</v>
      </c>
      <c r="G3133" s="130">
        <v>0</v>
      </c>
      <c r="H3133" s="71">
        <v>8.6</v>
      </c>
      <c r="I3133" s="71">
        <v>11.3</v>
      </c>
      <c r="J3133" s="71">
        <v>13.8</v>
      </c>
      <c r="K3133" s="121">
        <v>3.0000000000000001E-3</v>
      </c>
      <c r="L3133" s="121">
        <v>-7.0000000000000001E-3</v>
      </c>
      <c r="M3133" s="75" t="s">
        <v>146</v>
      </c>
      <c r="N3133" s="75" t="b">
        <v>1</v>
      </c>
      <c r="O3133" s="75" t="s">
        <v>145</v>
      </c>
      <c r="P3133" s="75">
        <v>2014</v>
      </c>
      <c r="Q3133" s="107">
        <f t="shared" si="90"/>
        <v>2016</v>
      </c>
      <c r="R3133" s="107">
        <v>2</v>
      </c>
      <c r="S3133" s="117">
        <v>216084</v>
      </c>
      <c r="T3133" s="118">
        <v>42599</v>
      </c>
    </row>
    <row r="3134" spans="1:20" x14ac:dyDescent="0.3">
      <c r="A3134" s="42">
        <v>42590</v>
      </c>
      <c r="B3134" s="37">
        <f t="shared" si="89"/>
        <v>20160808</v>
      </c>
      <c r="C3134" s="109">
        <v>1.5800000000000002E-2</v>
      </c>
      <c r="D3134" s="109">
        <v>8.9999999999999993E-3</v>
      </c>
      <c r="E3134" s="109">
        <v>1.2E-2</v>
      </c>
      <c r="F3134" s="109">
        <v>1.2999999999999999E-2</v>
      </c>
      <c r="G3134" s="130">
        <v>0</v>
      </c>
      <c r="H3134" s="71">
        <v>8.6</v>
      </c>
      <c r="I3134" s="71">
        <v>11.3</v>
      </c>
      <c r="J3134" s="71">
        <v>13.8</v>
      </c>
      <c r="K3134" s="121">
        <v>2.8999999999999998E-3</v>
      </c>
      <c r="L3134" s="121">
        <v>-7.0000000000000001E-3</v>
      </c>
      <c r="M3134" s="75" t="s">
        <v>146</v>
      </c>
      <c r="N3134" s="75" t="b">
        <v>1</v>
      </c>
      <c r="O3134" s="75" t="s">
        <v>145</v>
      </c>
      <c r="P3134" s="75">
        <v>2014</v>
      </c>
      <c r="Q3134" s="107">
        <f t="shared" si="90"/>
        <v>2016</v>
      </c>
      <c r="R3134" s="107">
        <v>2</v>
      </c>
      <c r="S3134" s="117">
        <v>216084</v>
      </c>
      <c r="T3134" s="118">
        <v>42599</v>
      </c>
    </row>
    <row r="3135" spans="1:20" x14ac:dyDescent="0.3">
      <c r="A3135" s="42">
        <v>42591</v>
      </c>
      <c r="B3135" s="37">
        <f t="shared" si="89"/>
        <v>20160809</v>
      </c>
      <c r="C3135" s="109">
        <v>1.52E-2</v>
      </c>
      <c r="D3135" s="109">
        <v>8.9999999999999993E-3</v>
      </c>
      <c r="E3135" s="109">
        <v>1.2E-2</v>
      </c>
      <c r="F3135" s="109">
        <v>1.2999999999999999E-2</v>
      </c>
      <c r="G3135" s="130">
        <v>0</v>
      </c>
      <c r="H3135" s="71">
        <v>8.6</v>
      </c>
      <c r="I3135" s="71">
        <v>11.3</v>
      </c>
      <c r="J3135" s="71">
        <v>13.8</v>
      </c>
      <c r="K3135" s="121">
        <v>2.5000000000000001E-3</v>
      </c>
      <c r="L3135" s="121">
        <v>-7.0000000000000001E-3</v>
      </c>
      <c r="M3135" s="75" t="s">
        <v>146</v>
      </c>
      <c r="N3135" s="75" t="b">
        <v>1</v>
      </c>
      <c r="O3135" s="75" t="s">
        <v>145</v>
      </c>
      <c r="P3135" s="75">
        <v>2014</v>
      </c>
      <c r="Q3135" s="107">
        <f t="shared" si="90"/>
        <v>2016</v>
      </c>
      <c r="R3135" s="107">
        <v>2</v>
      </c>
      <c r="S3135" s="117">
        <v>216084</v>
      </c>
      <c r="T3135" s="118">
        <v>42599</v>
      </c>
    </row>
    <row r="3136" spans="1:20" x14ac:dyDescent="0.3">
      <c r="A3136" s="42">
        <v>42592</v>
      </c>
      <c r="B3136" s="37">
        <f t="shared" si="89"/>
        <v>20160810</v>
      </c>
      <c r="C3136" s="109">
        <v>1.5100000000000001E-2</v>
      </c>
      <c r="D3136" s="109">
        <v>8.9999999999999993E-3</v>
      </c>
      <c r="E3136" s="109">
        <v>1.2E-2</v>
      </c>
      <c r="F3136" s="109">
        <v>1.2999999999999999E-2</v>
      </c>
      <c r="G3136" s="130">
        <v>0</v>
      </c>
      <c r="H3136" s="71">
        <v>8.6</v>
      </c>
      <c r="I3136" s="71">
        <v>11.3</v>
      </c>
      <c r="J3136" s="71">
        <v>13.8</v>
      </c>
      <c r="K3136" s="121">
        <v>2.3E-3</v>
      </c>
      <c r="L3136" s="121">
        <v>-7.0000000000000001E-3</v>
      </c>
      <c r="M3136" s="75" t="s">
        <v>146</v>
      </c>
      <c r="N3136" s="75" t="b">
        <v>1</v>
      </c>
      <c r="O3136" s="75" t="s">
        <v>145</v>
      </c>
      <c r="P3136" s="75">
        <v>2014</v>
      </c>
      <c r="Q3136" s="107">
        <f t="shared" si="90"/>
        <v>2016</v>
      </c>
      <c r="R3136" s="107">
        <v>2</v>
      </c>
      <c r="S3136" s="117">
        <v>216084</v>
      </c>
      <c r="T3136" s="118">
        <v>42599</v>
      </c>
    </row>
    <row r="3137" spans="1:20" x14ac:dyDescent="0.3">
      <c r="A3137" s="42">
        <v>42593</v>
      </c>
      <c r="B3137" s="37">
        <f t="shared" si="89"/>
        <v>20160811</v>
      </c>
      <c r="C3137" s="109">
        <v>1.55E-2</v>
      </c>
      <c r="D3137" s="109">
        <v>8.9999999999999993E-3</v>
      </c>
      <c r="E3137" s="109">
        <v>1.2E-2</v>
      </c>
      <c r="F3137" s="109">
        <v>1.2999999999999999E-2</v>
      </c>
      <c r="G3137" s="130">
        <v>0</v>
      </c>
      <c r="H3137" s="71">
        <v>8.6</v>
      </c>
      <c r="I3137" s="71">
        <v>11.3</v>
      </c>
      <c r="J3137" s="71">
        <v>13.8</v>
      </c>
      <c r="K3137" s="121">
        <v>2.5999999999999999E-3</v>
      </c>
      <c r="L3137" s="121">
        <v>-7.0000000000000001E-3</v>
      </c>
      <c r="M3137" s="75" t="s">
        <v>146</v>
      </c>
      <c r="N3137" s="75" t="b">
        <v>1</v>
      </c>
      <c r="O3137" s="75" t="s">
        <v>145</v>
      </c>
      <c r="P3137" s="75">
        <v>2014</v>
      </c>
      <c r="Q3137" s="107">
        <f t="shared" si="90"/>
        <v>2016</v>
      </c>
      <c r="R3137" s="107">
        <v>2</v>
      </c>
      <c r="S3137" s="117">
        <v>216084</v>
      </c>
      <c r="T3137" s="118">
        <v>42599</v>
      </c>
    </row>
    <row r="3138" spans="1:20" x14ac:dyDescent="0.3">
      <c r="A3138" s="42">
        <v>42594</v>
      </c>
      <c r="B3138" s="37">
        <f t="shared" si="89"/>
        <v>20160812</v>
      </c>
      <c r="C3138" s="109">
        <v>1.52E-2</v>
      </c>
      <c r="D3138" s="109">
        <v>8.9999999999999993E-3</v>
      </c>
      <c r="E3138" s="109">
        <v>1.2E-2</v>
      </c>
      <c r="F3138" s="109">
        <v>1.2999999999999999E-2</v>
      </c>
      <c r="G3138" s="130">
        <v>0</v>
      </c>
      <c r="H3138" s="71">
        <v>8.6</v>
      </c>
      <c r="I3138" s="71">
        <v>11.3</v>
      </c>
      <c r="J3138" s="71">
        <v>13.8</v>
      </c>
      <c r="K3138" s="121">
        <v>2.3999999999999998E-3</v>
      </c>
      <c r="L3138" s="121">
        <v>-7.0000000000000001E-3</v>
      </c>
      <c r="M3138" s="75" t="s">
        <v>146</v>
      </c>
      <c r="N3138" s="75" t="b">
        <v>1</v>
      </c>
      <c r="O3138" s="75" t="s">
        <v>145</v>
      </c>
      <c r="P3138" s="75">
        <v>2014</v>
      </c>
      <c r="Q3138" s="107">
        <f t="shared" si="90"/>
        <v>2016</v>
      </c>
      <c r="R3138" s="107">
        <v>2</v>
      </c>
      <c r="S3138" s="117">
        <v>216084</v>
      </c>
      <c r="T3138" s="118">
        <v>42599</v>
      </c>
    </row>
    <row r="3139" spans="1:20" x14ac:dyDescent="0.3">
      <c r="A3139" s="42">
        <v>42595</v>
      </c>
      <c r="B3139" s="37">
        <f>YEAR(A3139)*10000+MONTH(A3139)*100+DAY(A3139)</f>
        <v>20160813</v>
      </c>
      <c r="C3139" s="109">
        <v>1.52E-2</v>
      </c>
      <c r="D3139" s="109">
        <v>8.9999999999999993E-3</v>
      </c>
      <c r="E3139" s="109">
        <v>1.2E-2</v>
      </c>
      <c r="F3139" s="109">
        <v>1.2999999999999999E-2</v>
      </c>
      <c r="G3139" s="130">
        <v>0</v>
      </c>
      <c r="H3139" s="71">
        <v>8.6</v>
      </c>
      <c r="I3139" s="71">
        <v>11.3</v>
      </c>
      <c r="J3139" s="71">
        <v>13.8</v>
      </c>
      <c r="K3139" s="121">
        <v>2.3999999999999998E-3</v>
      </c>
      <c r="L3139" s="121">
        <v>-7.0000000000000001E-3</v>
      </c>
      <c r="M3139" s="75" t="s">
        <v>146</v>
      </c>
      <c r="N3139" s="75" t="b">
        <v>1</v>
      </c>
      <c r="O3139" s="75" t="s">
        <v>145</v>
      </c>
      <c r="P3139" s="75">
        <v>2014</v>
      </c>
      <c r="Q3139" s="107">
        <f t="shared" si="90"/>
        <v>2016</v>
      </c>
      <c r="R3139" s="107">
        <v>2</v>
      </c>
      <c r="S3139" s="117">
        <v>216084</v>
      </c>
      <c r="T3139" s="118">
        <v>42599</v>
      </c>
    </row>
    <row r="3140" spans="1:20" x14ac:dyDescent="0.3">
      <c r="A3140" s="42">
        <v>42596</v>
      </c>
      <c r="B3140" s="37">
        <f>YEAR(A3140)*10000+MONTH(A3140)*100+DAY(A3140)</f>
        <v>20160814</v>
      </c>
      <c r="C3140" s="109">
        <v>1.52E-2</v>
      </c>
      <c r="D3140" s="109">
        <v>8.9999999999999993E-3</v>
      </c>
      <c r="E3140" s="109">
        <v>1.2E-2</v>
      </c>
      <c r="F3140" s="109">
        <v>1.2999999999999999E-2</v>
      </c>
      <c r="G3140" s="130">
        <v>0</v>
      </c>
      <c r="H3140" s="71">
        <v>8.6</v>
      </c>
      <c r="I3140" s="71">
        <v>11.3</v>
      </c>
      <c r="J3140" s="71">
        <v>13.8</v>
      </c>
      <c r="K3140" s="121">
        <v>2.3999999999999998E-3</v>
      </c>
      <c r="L3140" s="121">
        <v>-7.0000000000000001E-3</v>
      </c>
      <c r="M3140" s="75" t="s">
        <v>146</v>
      </c>
      <c r="N3140" s="75" t="b">
        <v>1</v>
      </c>
      <c r="O3140" s="75" t="s">
        <v>145</v>
      </c>
      <c r="P3140" s="75">
        <v>2014</v>
      </c>
      <c r="Q3140" s="107">
        <f t="shared" si="90"/>
        <v>2016</v>
      </c>
      <c r="R3140" s="107">
        <v>2</v>
      </c>
      <c r="S3140" s="117">
        <v>216084</v>
      </c>
      <c r="T3140" s="118">
        <v>42599</v>
      </c>
    </row>
    <row r="3141" spans="1:20" x14ac:dyDescent="0.3">
      <c r="A3141" s="42">
        <v>42597</v>
      </c>
      <c r="B3141" s="37">
        <f t="shared" si="89"/>
        <v>20160815</v>
      </c>
      <c r="C3141" s="109">
        <v>1.55E-2</v>
      </c>
      <c r="D3141" s="109">
        <v>8.9999999999999993E-3</v>
      </c>
      <c r="E3141" s="109">
        <v>1.2E-2</v>
      </c>
      <c r="F3141" s="109">
        <v>1.2999999999999999E-2</v>
      </c>
      <c r="G3141" s="130">
        <v>0</v>
      </c>
      <c r="H3141" s="71">
        <v>8.6</v>
      </c>
      <c r="I3141" s="71">
        <v>11.3</v>
      </c>
      <c r="J3141" s="71">
        <v>13.8</v>
      </c>
      <c r="K3141" s="121">
        <v>2.5999999999999999E-3</v>
      </c>
      <c r="L3141" s="121">
        <v>-7.0000000000000001E-3</v>
      </c>
      <c r="M3141" s="75" t="s">
        <v>146</v>
      </c>
      <c r="N3141" s="75" t="b">
        <v>1</v>
      </c>
      <c r="O3141" s="75" t="s">
        <v>145</v>
      </c>
      <c r="P3141" s="75">
        <v>2014</v>
      </c>
      <c r="Q3141" s="107">
        <f t="shared" si="90"/>
        <v>2016</v>
      </c>
      <c r="R3141" s="107">
        <v>2</v>
      </c>
      <c r="S3141" s="117">
        <v>216084</v>
      </c>
      <c r="T3141" s="118">
        <v>42599</v>
      </c>
    </row>
    <row r="3142" spans="1:20" x14ac:dyDescent="0.3">
      <c r="A3142" s="42">
        <v>42598</v>
      </c>
      <c r="B3142" s="37">
        <f t="shared" si="89"/>
        <v>20160816</v>
      </c>
      <c r="C3142" s="109">
        <v>1.5700000000000002E-2</v>
      </c>
      <c r="D3142" s="109">
        <v>8.9999999999999993E-3</v>
      </c>
      <c r="E3142" s="109">
        <v>1.2E-2</v>
      </c>
      <c r="F3142" s="109">
        <v>1.2999999999999999E-2</v>
      </c>
      <c r="G3142" s="130">
        <v>0</v>
      </c>
      <c r="H3142" s="71">
        <v>8.6</v>
      </c>
      <c r="I3142" s="71">
        <v>11.3</v>
      </c>
      <c r="J3142" s="71">
        <v>13.8</v>
      </c>
      <c r="K3142" s="121">
        <v>2.8000000000000004E-3</v>
      </c>
      <c r="L3142" s="121">
        <v>-7.0000000000000001E-3</v>
      </c>
      <c r="M3142" s="75" t="s">
        <v>146</v>
      </c>
      <c r="N3142" s="75" t="b">
        <v>1</v>
      </c>
      <c r="O3142" s="75" t="s">
        <v>145</v>
      </c>
      <c r="P3142" s="75">
        <v>2014</v>
      </c>
      <c r="Q3142" s="107">
        <f t="shared" si="90"/>
        <v>2016</v>
      </c>
      <c r="R3142" s="107">
        <v>2</v>
      </c>
      <c r="S3142" s="117">
        <v>216084</v>
      </c>
      <c r="T3142" s="118">
        <v>42599</v>
      </c>
    </row>
    <row r="3143" spans="1:20" x14ac:dyDescent="0.3">
      <c r="A3143" s="42">
        <v>42599</v>
      </c>
      <c r="B3143" s="37">
        <f t="shared" si="89"/>
        <v>20160817</v>
      </c>
      <c r="C3143" s="109">
        <v>1.5700000000000002E-2</v>
      </c>
      <c r="D3143" s="109">
        <v>8.9999999999999993E-3</v>
      </c>
      <c r="E3143" s="109">
        <v>1.2E-2</v>
      </c>
      <c r="F3143" s="109">
        <v>1.2999999999999999E-2</v>
      </c>
      <c r="G3143" s="130">
        <v>0</v>
      </c>
      <c r="H3143" s="71">
        <v>8.6</v>
      </c>
      <c r="I3143" s="71">
        <v>11.3</v>
      </c>
      <c r="J3143" s="71">
        <v>13.8</v>
      </c>
      <c r="K3143" s="121">
        <v>2.8999999999999998E-3</v>
      </c>
      <c r="L3143" s="121">
        <v>-7.0000000000000001E-3</v>
      </c>
      <c r="M3143" s="75" t="s">
        <v>146</v>
      </c>
      <c r="N3143" s="75" t="b">
        <v>1</v>
      </c>
      <c r="O3143" s="75" t="s">
        <v>145</v>
      </c>
      <c r="P3143" s="75">
        <v>2014</v>
      </c>
      <c r="Q3143" s="107">
        <f t="shared" si="90"/>
        <v>2016</v>
      </c>
      <c r="R3143" s="107">
        <v>2</v>
      </c>
      <c r="S3143" s="117">
        <v>216084</v>
      </c>
      <c r="T3143" s="118">
        <v>42599</v>
      </c>
    </row>
    <row r="3144" spans="1:20" x14ac:dyDescent="0.3">
      <c r="A3144" s="42">
        <v>42600</v>
      </c>
      <c r="B3144" s="37">
        <f t="shared" ref="B3144:B3208" si="91">YEAR(A3144)*10000+MONTH(A3144)*100+DAY(A3144)</f>
        <v>20160818</v>
      </c>
      <c r="C3144" s="109">
        <v>1.5600000000000001E-2</v>
      </c>
      <c r="D3144" s="109">
        <v>8.9999999999999993E-3</v>
      </c>
      <c r="E3144" s="109">
        <v>1.2E-2</v>
      </c>
      <c r="F3144" s="109">
        <v>1.2999999999999999E-2</v>
      </c>
      <c r="G3144" s="130">
        <v>0</v>
      </c>
      <c r="H3144" s="71">
        <v>8.6</v>
      </c>
      <c r="I3144" s="71">
        <v>11.3</v>
      </c>
      <c r="J3144" s="71">
        <v>13.8</v>
      </c>
      <c r="K3144" s="121">
        <v>2.7000000000000001E-3</v>
      </c>
      <c r="L3144" s="121">
        <v>-7.0000000000000001E-3</v>
      </c>
      <c r="M3144" s="75" t="s">
        <v>146</v>
      </c>
      <c r="N3144" s="75" t="b">
        <v>1</v>
      </c>
      <c r="O3144" s="75" t="s">
        <v>145</v>
      </c>
      <c r="P3144" s="75">
        <v>2014</v>
      </c>
      <c r="Q3144" s="107">
        <f t="shared" si="90"/>
        <v>2016</v>
      </c>
      <c r="R3144" s="107">
        <v>2</v>
      </c>
      <c r="S3144" s="117">
        <v>216084</v>
      </c>
      <c r="T3144" s="118">
        <v>42599</v>
      </c>
    </row>
    <row r="3145" spans="1:20" x14ac:dyDescent="0.3">
      <c r="A3145" s="42">
        <v>42601</v>
      </c>
      <c r="B3145" s="37">
        <f t="shared" si="91"/>
        <v>20160819</v>
      </c>
      <c r="C3145" s="109">
        <v>1.5900000000000001E-2</v>
      </c>
      <c r="D3145" s="109">
        <v>8.9999999999999993E-3</v>
      </c>
      <c r="E3145" s="109">
        <v>1.2E-2</v>
      </c>
      <c r="F3145" s="109">
        <v>1.2999999999999999E-2</v>
      </c>
      <c r="G3145" s="130">
        <v>0</v>
      </c>
      <c r="H3145" s="71">
        <v>8.6</v>
      </c>
      <c r="I3145" s="71">
        <v>11.3</v>
      </c>
      <c r="J3145" s="71">
        <v>13.8</v>
      </c>
      <c r="K3145" s="121">
        <v>3.0000000000000001E-3</v>
      </c>
      <c r="L3145" s="121">
        <v>-7.0000000000000001E-3</v>
      </c>
      <c r="M3145" s="75" t="s">
        <v>146</v>
      </c>
      <c r="N3145" s="75" t="b">
        <v>1</v>
      </c>
      <c r="O3145" s="75" t="s">
        <v>145</v>
      </c>
      <c r="P3145" s="75">
        <v>2014</v>
      </c>
      <c r="Q3145" s="107">
        <f t="shared" si="90"/>
        <v>2016</v>
      </c>
      <c r="R3145" s="107">
        <v>2</v>
      </c>
      <c r="S3145" s="117">
        <v>216084</v>
      </c>
      <c r="T3145" s="118">
        <v>42599</v>
      </c>
    </row>
    <row r="3146" spans="1:20" x14ac:dyDescent="0.3">
      <c r="A3146" s="42">
        <v>42602</v>
      </c>
      <c r="B3146" s="37">
        <f t="shared" si="91"/>
        <v>20160820</v>
      </c>
      <c r="C3146" s="109">
        <v>1.5900000000000001E-2</v>
      </c>
      <c r="D3146" s="109">
        <v>8.9999999999999993E-3</v>
      </c>
      <c r="E3146" s="109">
        <v>1.2E-2</v>
      </c>
      <c r="F3146" s="109">
        <v>1.2999999999999999E-2</v>
      </c>
      <c r="G3146" s="130">
        <v>0</v>
      </c>
      <c r="H3146" s="71">
        <v>8.6</v>
      </c>
      <c r="I3146" s="71">
        <v>11.3</v>
      </c>
      <c r="J3146" s="71">
        <v>13.8</v>
      </c>
      <c r="K3146" s="121">
        <v>3.0000000000000001E-3</v>
      </c>
      <c r="L3146" s="121">
        <v>-7.0000000000000001E-3</v>
      </c>
      <c r="M3146" s="75" t="s">
        <v>146</v>
      </c>
      <c r="N3146" s="75" t="b">
        <v>1</v>
      </c>
      <c r="O3146" s="75" t="s">
        <v>145</v>
      </c>
      <c r="P3146" s="75">
        <v>2014</v>
      </c>
      <c r="Q3146" s="107">
        <f t="shared" si="90"/>
        <v>2016</v>
      </c>
      <c r="R3146" s="107">
        <v>2</v>
      </c>
      <c r="S3146" s="117">
        <v>216084</v>
      </c>
      <c r="T3146" s="118">
        <v>42599</v>
      </c>
    </row>
    <row r="3147" spans="1:20" x14ac:dyDescent="0.3">
      <c r="A3147" s="42">
        <v>42603</v>
      </c>
      <c r="B3147" s="37">
        <f t="shared" si="91"/>
        <v>20160821</v>
      </c>
      <c r="C3147" s="109">
        <v>1.5900000000000001E-2</v>
      </c>
      <c r="D3147" s="109">
        <v>8.9999999999999993E-3</v>
      </c>
      <c r="E3147" s="109">
        <v>1.2E-2</v>
      </c>
      <c r="F3147" s="109">
        <v>1.2999999999999999E-2</v>
      </c>
      <c r="G3147" s="130">
        <v>0</v>
      </c>
      <c r="H3147" s="71">
        <v>8.6</v>
      </c>
      <c r="I3147" s="71">
        <v>11.3</v>
      </c>
      <c r="J3147" s="71">
        <v>13.8</v>
      </c>
      <c r="K3147" s="121">
        <v>3.0000000000000001E-3</v>
      </c>
      <c r="L3147" s="121">
        <v>-7.0000000000000001E-3</v>
      </c>
      <c r="M3147" s="75" t="s">
        <v>146</v>
      </c>
      <c r="N3147" s="75" t="b">
        <v>1</v>
      </c>
      <c r="O3147" s="75" t="s">
        <v>145</v>
      </c>
      <c r="P3147" s="75">
        <v>2014</v>
      </c>
      <c r="Q3147" s="107">
        <f t="shared" si="90"/>
        <v>2016</v>
      </c>
      <c r="R3147" s="107">
        <v>2</v>
      </c>
      <c r="S3147" s="117">
        <v>216084</v>
      </c>
      <c r="T3147" s="118">
        <v>42599</v>
      </c>
    </row>
    <row r="3148" spans="1:20" x14ac:dyDescent="0.3">
      <c r="A3148" s="42">
        <v>42604</v>
      </c>
      <c r="B3148" s="37">
        <f t="shared" si="91"/>
        <v>20160822</v>
      </c>
      <c r="C3148" s="109">
        <v>1.54E-2</v>
      </c>
      <c r="D3148" s="109">
        <v>8.9999999999999993E-3</v>
      </c>
      <c r="E3148" s="109">
        <v>1.2E-2</v>
      </c>
      <c r="F3148" s="109">
        <v>1.2999999999999999E-2</v>
      </c>
      <c r="G3148" s="130">
        <v>0</v>
      </c>
      <c r="H3148" s="71">
        <v>8.6</v>
      </c>
      <c r="I3148" s="71">
        <v>11.3</v>
      </c>
      <c r="J3148" s="71">
        <v>13.8</v>
      </c>
      <c r="K3148" s="121">
        <v>2.3999999999999998E-3</v>
      </c>
      <c r="L3148" s="121">
        <v>-7.0000000000000001E-3</v>
      </c>
      <c r="M3148" s="75" t="s">
        <v>146</v>
      </c>
      <c r="N3148" s="75" t="b">
        <v>1</v>
      </c>
      <c r="O3148" s="75" t="s">
        <v>145</v>
      </c>
      <c r="P3148" s="75">
        <v>2014</v>
      </c>
      <c r="Q3148" s="107">
        <f t="shared" si="90"/>
        <v>2016</v>
      </c>
      <c r="R3148" s="107">
        <v>2</v>
      </c>
      <c r="S3148" s="117">
        <v>216084</v>
      </c>
      <c r="T3148" s="118">
        <v>42599</v>
      </c>
    </row>
    <row r="3149" spans="1:20" x14ac:dyDescent="0.3">
      <c r="A3149" s="42">
        <v>42605</v>
      </c>
      <c r="B3149" s="37">
        <f t="shared" si="91"/>
        <v>20160823</v>
      </c>
      <c r="C3149" s="109">
        <v>1.54E-2</v>
      </c>
      <c r="D3149" s="109">
        <v>8.9999999999999993E-3</v>
      </c>
      <c r="E3149" s="109">
        <v>1.2E-2</v>
      </c>
      <c r="F3149" s="109">
        <v>1.2999999999999999E-2</v>
      </c>
      <c r="G3149" s="130">
        <v>0</v>
      </c>
      <c r="H3149" s="71">
        <v>8.6</v>
      </c>
      <c r="I3149" s="71">
        <v>11.3</v>
      </c>
      <c r="J3149" s="71">
        <v>13.8</v>
      </c>
      <c r="K3149" s="121">
        <v>2.3E-3</v>
      </c>
      <c r="L3149" s="121">
        <v>-7.0000000000000001E-3</v>
      </c>
      <c r="M3149" s="75" t="s">
        <v>146</v>
      </c>
      <c r="N3149" s="75" t="b">
        <v>1</v>
      </c>
      <c r="O3149" s="75" t="s">
        <v>145</v>
      </c>
      <c r="P3149" s="75">
        <v>2014</v>
      </c>
      <c r="Q3149" s="107">
        <f t="shared" si="90"/>
        <v>2016</v>
      </c>
      <c r="R3149" s="107">
        <v>2</v>
      </c>
      <c r="S3149" s="117">
        <v>216084</v>
      </c>
      <c r="T3149" s="118">
        <v>42599</v>
      </c>
    </row>
    <row r="3150" spans="1:20" x14ac:dyDescent="0.3">
      <c r="A3150" s="42">
        <v>42606</v>
      </c>
      <c r="B3150" s="37">
        <f t="shared" si="91"/>
        <v>20160824</v>
      </c>
      <c r="C3150" s="109">
        <v>1.54E-2</v>
      </c>
      <c r="D3150" s="109">
        <v>8.9999999999999993E-3</v>
      </c>
      <c r="E3150" s="109">
        <v>1.2E-2</v>
      </c>
      <c r="F3150" s="109">
        <v>1.2999999999999999E-2</v>
      </c>
      <c r="G3150" s="130">
        <v>0</v>
      </c>
      <c r="H3150" s="71">
        <v>8.6</v>
      </c>
      <c r="I3150" s="71">
        <v>11.3</v>
      </c>
      <c r="J3150" s="71">
        <v>13.8</v>
      </c>
      <c r="K3150" s="121">
        <v>2.3E-3</v>
      </c>
      <c r="L3150" s="121">
        <v>-7.0000000000000001E-3</v>
      </c>
      <c r="M3150" s="75" t="s">
        <v>146</v>
      </c>
      <c r="N3150" s="75" t="b">
        <v>1</v>
      </c>
      <c r="O3150" s="75" t="s">
        <v>145</v>
      </c>
      <c r="P3150" s="75">
        <v>2014</v>
      </c>
      <c r="Q3150" s="107">
        <f t="shared" si="90"/>
        <v>2016</v>
      </c>
      <c r="R3150" s="107">
        <v>2</v>
      </c>
      <c r="S3150" s="117">
        <v>216084</v>
      </c>
      <c r="T3150" s="118">
        <v>42599</v>
      </c>
    </row>
    <row r="3151" spans="1:20" x14ac:dyDescent="0.3">
      <c r="A3151" s="42">
        <v>42607</v>
      </c>
      <c r="B3151" s="37">
        <f t="shared" si="91"/>
        <v>20160825</v>
      </c>
      <c r="C3151" s="109">
        <v>1.5700000000000002E-2</v>
      </c>
      <c r="D3151" s="109">
        <v>8.9999999999999993E-3</v>
      </c>
      <c r="E3151" s="109">
        <v>1.2E-2</v>
      </c>
      <c r="F3151" s="109">
        <v>1.2999999999999999E-2</v>
      </c>
      <c r="G3151" s="130">
        <v>0</v>
      </c>
      <c r="H3151" s="71">
        <v>8.6</v>
      </c>
      <c r="I3151" s="71">
        <v>11.3</v>
      </c>
      <c r="J3151" s="71">
        <v>13.8</v>
      </c>
      <c r="K3151" s="121">
        <v>2.5999999999999999E-3</v>
      </c>
      <c r="L3151" s="121">
        <v>-7.0000000000000001E-3</v>
      </c>
      <c r="M3151" s="75" t="s">
        <v>146</v>
      </c>
      <c r="N3151" s="75" t="b">
        <v>1</v>
      </c>
      <c r="O3151" s="75" t="s">
        <v>145</v>
      </c>
      <c r="P3151" s="75">
        <v>2014</v>
      </c>
      <c r="Q3151" s="107">
        <f t="shared" si="90"/>
        <v>2016</v>
      </c>
      <c r="R3151" s="107">
        <v>2</v>
      </c>
      <c r="S3151" s="117">
        <v>216084</v>
      </c>
      <c r="T3151" s="118">
        <v>42599</v>
      </c>
    </row>
    <row r="3152" spans="1:20" x14ac:dyDescent="0.3">
      <c r="A3152" s="42">
        <v>42608</v>
      </c>
      <c r="B3152" s="37">
        <f t="shared" si="91"/>
        <v>20160826</v>
      </c>
      <c r="C3152" s="109">
        <v>1.5900000000000001E-2</v>
      </c>
      <c r="D3152" s="109">
        <v>8.9999999999999993E-3</v>
      </c>
      <c r="E3152" s="109">
        <v>1.2E-2</v>
      </c>
      <c r="F3152" s="109">
        <v>1.2999999999999999E-2</v>
      </c>
      <c r="G3152" s="130">
        <v>0</v>
      </c>
      <c r="H3152" s="71">
        <v>8.6</v>
      </c>
      <c r="I3152" s="71">
        <v>11.3</v>
      </c>
      <c r="J3152" s="71">
        <v>13.8</v>
      </c>
      <c r="K3152" s="121">
        <v>2.8000000000000004E-3</v>
      </c>
      <c r="L3152" s="121">
        <v>-7.0000000000000001E-3</v>
      </c>
      <c r="M3152" s="75" t="s">
        <v>146</v>
      </c>
      <c r="N3152" s="75" t="b">
        <v>1</v>
      </c>
      <c r="O3152" s="75" t="s">
        <v>145</v>
      </c>
      <c r="P3152" s="75">
        <v>2014</v>
      </c>
      <c r="Q3152" s="107">
        <f t="shared" si="90"/>
        <v>2016</v>
      </c>
      <c r="R3152" s="107">
        <v>2</v>
      </c>
      <c r="S3152" s="117">
        <v>216084</v>
      </c>
      <c r="T3152" s="118">
        <v>42599</v>
      </c>
    </row>
    <row r="3153" spans="1:20" x14ac:dyDescent="0.3">
      <c r="A3153" s="42">
        <v>42609</v>
      </c>
      <c r="B3153" s="37">
        <f t="shared" si="91"/>
        <v>20160827</v>
      </c>
      <c r="C3153" s="109">
        <v>1.5900000000000001E-2</v>
      </c>
      <c r="D3153" s="109">
        <v>8.9999999999999993E-3</v>
      </c>
      <c r="E3153" s="109">
        <v>1.2E-2</v>
      </c>
      <c r="F3153" s="109">
        <v>1.2999999999999999E-2</v>
      </c>
      <c r="G3153" s="130">
        <v>0</v>
      </c>
      <c r="H3153" s="71">
        <v>8.6</v>
      </c>
      <c r="I3153" s="71">
        <v>11.3</v>
      </c>
      <c r="J3153" s="71">
        <v>13.8</v>
      </c>
      <c r="K3153" s="121">
        <v>2.8000000000000004E-3</v>
      </c>
      <c r="L3153" s="121">
        <v>-7.0000000000000001E-3</v>
      </c>
      <c r="M3153" s="75" t="s">
        <v>146</v>
      </c>
      <c r="N3153" s="75" t="b">
        <v>1</v>
      </c>
      <c r="O3153" s="75" t="s">
        <v>145</v>
      </c>
      <c r="P3153" s="75">
        <v>2014</v>
      </c>
      <c r="Q3153" s="107">
        <f t="shared" si="90"/>
        <v>2016</v>
      </c>
      <c r="R3153" s="107">
        <v>2</v>
      </c>
      <c r="S3153" s="117">
        <v>216084</v>
      </c>
      <c r="T3153" s="118">
        <v>42599</v>
      </c>
    </row>
    <row r="3154" spans="1:20" x14ac:dyDescent="0.3">
      <c r="A3154" s="42">
        <v>42610</v>
      </c>
      <c r="B3154" s="37">
        <f t="shared" si="91"/>
        <v>20160828</v>
      </c>
      <c r="C3154" s="109">
        <v>1.5900000000000001E-2</v>
      </c>
      <c r="D3154" s="109">
        <v>8.9999999999999993E-3</v>
      </c>
      <c r="E3154" s="109">
        <v>1.2E-2</v>
      </c>
      <c r="F3154" s="109">
        <v>1.2999999999999999E-2</v>
      </c>
      <c r="G3154" s="130">
        <v>0</v>
      </c>
      <c r="H3154" s="71">
        <v>8.6</v>
      </c>
      <c r="I3154" s="71">
        <v>11.3</v>
      </c>
      <c r="J3154" s="71">
        <v>13.8</v>
      </c>
      <c r="K3154" s="121">
        <v>2.8000000000000004E-3</v>
      </c>
      <c r="L3154" s="121">
        <v>-7.0000000000000001E-3</v>
      </c>
      <c r="M3154" s="75" t="s">
        <v>146</v>
      </c>
      <c r="N3154" s="75" t="b">
        <v>1</v>
      </c>
      <c r="O3154" s="75" t="s">
        <v>145</v>
      </c>
      <c r="P3154" s="75">
        <v>2014</v>
      </c>
      <c r="Q3154" s="107">
        <f t="shared" si="90"/>
        <v>2016</v>
      </c>
      <c r="R3154" s="107">
        <v>2</v>
      </c>
      <c r="S3154" s="117">
        <v>216084</v>
      </c>
      <c r="T3154" s="118">
        <v>42599</v>
      </c>
    </row>
    <row r="3155" spans="1:20" x14ac:dyDescent="0.3">
      <c r="A3155" s="42">
        <v>42611</v>
      </c>
      <c r="B3155" s="37">
        <f t="shared" si="91"/>
        <v>20160829</v>
      </c>
      <c r="C3155" s="109">
        <v>1.5300000000000001E-2</v>
      </c>
      <c r="D3155" s="109">
        <v>8.9999999999999993E-3</v>
      </c>
      <c r="E3155" s="109">
        <v>1.2E-2</v>
      </c>
      <c r="F3155" s="109">
        <v>1.2999999999999999E-2</v>
      </c>
      <c r="G3155" s="130">
        <v>0</v>
      </c>
      <c r="H3155" s="71">
        <v>8.6</v>
      </c>
      <c r="I3155" s="71">
        <v>11.3</v>
      </c>
      <c r="J3155" s="71">
        <v>13.8</v>
      </c>
      <c r="K3155" s="121">
        <v>2.3E-3</v>
      </c>
      <c r="L3155" s="121">
        <v>-7.0000000000000001E-3</v>
      </c>
      <c r="M3155" s="75" t="s">
        <v>146</v>
      </c>
      <c r="N3155" s="75" t="b">
        <v>1</v>
      </c>
      <c r="O3155" s="75" t="s">
        <v>145</v>
      </c>
      <c r="P3155" s="75">
        <v>2014</v>
      </c>
      <c r="Q3155" s="107">
        <f t="shared" si="90"/>
        <v>2016</v>
      </c>
      <c r="R3155" s="107">
        <v>2</v>
      </c>
      <c r="S3155" s="117">
        <v>216084</v>
      </c>
      <c r="T3155" s="118">
        <v>42599</v>
      </c>
    </row>
    <row r="3156" spans="1:20" x14ac:dyDescent="0.3">
      <c r="A3156" s="42">
        <v>42612</v>
      </c>
      <c r="B3156" s="37">
        <f t="shared" si="91"/>
        <v>20160830</v>
      </c>
      <c r="C3156" s="109">
        <v>1.5300000000000001E-2</v>
      </c>
      <c r="D3156" s="109">
        <v>8.9999999999999993E-3</v>
      </c>
      <c r="E3156" s="109">
        <v>1.2E-2</v>
      </c>
      <c r="F3156" s="109">
        <v>1.2999999999999999E-2</v>
      </c>
      <c r="G3156" s="130">
        <v>0</v>
      </c>
      <c r="H3156" s="71">
        <v>8.6</v>
      </c>
      <c r="I3156" s="71">
        <v>11.3</v>
      </c>
      <c r="J3156" s="71">
        <v>13.8</v>
      </c>
      <c r="K3156" s="121">
        <v>2.2000000000000001E-3</v>
      </c>
      <c r="L3156" s="121">
        <v>-7.0000000000000001E-3</v>
      </c>
      <c r="M3156" s="75" t="s">
        <v>146</v>
      </c>
      <c r="N3156" s="75" t="b">
        <v>1</v>
      </c>
      <c r="O3156" s="75" t="s">
        <v>145</v>
      </c>
      <c r="P3156" s="75">
        <v>2014</v>
      </c>
      <c r="Q3156" s="107">
        <f t="shared" si="90"/>
        <v>2016</v>
      </c>
      <c r="R3156" s="107">
        <v>2</v>
      </c>
      <c r="S3156" s="117">
        <v>216084</v>
      </c>
      <c r="T3156" s="118">
        <v>42599</v>
      </c>
    </row>
    <row r="3157" spans="1:20" x14ac:dyDescent="0.3">
      <c r="A3157" s="42">
        <v>42613</v>
      </c>
      <c r="B3157" s="37">
        <f t="shared" si="91"/>
        <v>20160831</v>
      </c>
      <c r="C3157" s="109">
        <v>1.5300000000000001E-2</v>
      </c>
      <c r="D3157" s="109">
        <v>8.9999999999999993E-3</v>
      </c>
      <c r="E3157" s="109">
        <v>1.2E-2</v>
      </c>
      <c r="F3157" s="109">
        <v>1.2999999999999999E-2</v>
      </c>
      <c r="G3157" s="130">
        <v>0</v>
      </c>
      <c r="H3157" s="71">
        <v>8.6</v>
      </c>
      <c r="I3157" s="71">
        <v>11.3</v>
      </c>
      <c r="J3157" s="71">
        <v>13.8</v>
      </c>
      <c r="K3157" s="121">
        <v>2.2000000000000001E-3</v>
      </c>
      <c r="L3157" s="121">
        <v>-7.0000000000000001E-3</v>
      </c>
      <c r="M3157" s="75" t="s">
        <v>146</v>
      </c>
      <c r="N3157" s="75" t="b">
        <v>1</v>
      </c>
      <c r="O3157" s="75" t="s">
        <v>145</v>
      </c>
      <c r="P3157" s="75">
        <v>2014</v>
      </c>
      <c r="Q3157" s="107">
        <f t="shared" si="90"/>
        <v>2016</v>
      </c>
      <c r="R3157" s="107">
        <v>2</v>
      </c>
      <c r="S3157" s="117">
        <v>216084</v>
      </c>
      <c r="T3157" s="118">
        <v>42599</v>
      </c>
    </row>
    <row r="3158" spans="1:20" x14ac:dyDescent="0.3">
      <c r="A3158" s="42">
        <v>42614</v>
      </c>
      <c r="B3158" s="37">
        <f t="shared" si="91"/>
        <v>20160901</v>
      </c>
      <c r="C3158" s="109">
        <v>1.52E-2</v>
      </c>
      <c r="D3158" s="109">
        <v>8.9999999999999993E-3</v>
      </c>
      <c r="E3158" s="109">
        <v>1.2E-2</v>
      </c>
      <c r="F3158" s="109">
        <v>1.2999999999999999E-2</v>
      </c>
      <c r="G3158" s="130">
        <v>0</v>
      </c>
      <c r="H3158" s="71">
        <v>8.6</v>
      </c>
      <c r="I3158" s="71">
        <v>11.3</v>
      </c>
      <c r="J3158" s="71">
        <v>13.8</v>
      </c>
      <c r="K3158" s="121">
        <v>2.0999999999999999E-3</v>
      </c>
      <c r="L3158" s="121">
        <v>-7.0000000000000001E-3</v>
      </c>
      <c r="M3158" s="75" t="s">
        <v>146</v>
      </c>
      <c r="N3158" s="75" t="b">
        <v>1</v>
      </c>
      <c r="O3158" s="75" t="s">
        <v>145</v>
      </c>
      <c r="P3158" s="75">
        <v>2014</v>
      </c>
      <c r="Q3158" s="107">
        <f t="shared" si="90"/>
        <v>2016</v>
      </c>
      <c r="R3158" s="107">
        <v>2</v>
      </c>
      <c r="S3158" s="117">
        <v>216084</v>
      </c>
      <c r="T3158" s="118">
        <v>42599</v>
      </c>
    </row>
    <row r="3159" spans="1:20" x14ac:dyDescent="0.3">
      <c r="A3159" s="42">
        <v>42615</v>
      </c>
      <c r="B3159" s="37">
        <f t="shared" si="91"/>
        <v>20160902</v>
      </c>
      <c r="C3159" s="109">
        <v>1.5600000000000001E-2</v>
      </c>
      <c r="D3159" s="109">
        <v>8.9999999999999993E-3</v>
      </c>
      <c r="E3159" s="109">
        <v>1.2E-2</v>
      </c>
      <c r="F3159" s="109">
        <v>1.2999999999999999E-2</v>
      </c>
      <c r="G3159" s="130">
        <v>0</v>
      </c>
      <c r="H3159" s="71">
        <v>8.6</v>
      </c>
      <c r="I3159" s="71">
        <v>11.3</v>
      </c>
      <c r="J3159" s="71">
        <v>13.8</v>
      </c>
      <c r="K3159" s="121">
        <v>2.3E-3</v>
      </c>
      <c r="L3159" s="121">
        <v>-7.0000000000000001E-3</v>
      </c>
      <c r="M3159" s="75" t="s">
        <v>146</v>
      </c>
      <c r="N3159" s="75" t="b">
        <v>1</v>
      </c>
      <c r="O3159" s="75" t="s">
        <v>145</v>
      </c>
      <c r="P3159" s="75">
        <v>2014</v>
      </c>
      <c r="Q3159" s="107">
        <f t="shared" si="90"/>
        <v>2016</v>
      </c>
      <c r="R3159" s="107">
        <v>2</v>
      </c>
      <c r="S3159" s="117">
        <v>216084</v>
      </c>
      <c r="T3159" s="118">
        <v>42599</v>
      </c>
    </row>
    <row r="3160" spans="1:20" x14ac:dyDescent="0.3">
      <c r="A3160" s="42">
        <v>42616</v>
      </c>
      <c r="B3160" s="37">
        <f>YEAR(A3160)*10000+MONTH(A3160)*100+DAY(A3160)</f>
        <v>20160903</v>
      </c>
      <c r="C3160" s="109">
        <v>1.5600000000000001E-2</v>
      </c>
      <c r="D3160" s="109">
        <v>8.9999999999999993E-3</v>
      </c>
      <c r="E3160" s="109">
        <v>1.2E-2</v>
      </c>
      <c r="F3160" s="109">
        <v>1.2999999999999999E-2</v>
      </c>
      <c r="G3160" s="130">
        <v>0</v>
      </c>
      <c r="H3160" s="71">
        <v>8.6</v>
      </c>
      <c r="I3160" s="71">
        <v>11.3</v>
      </c>
      <c r="J3160" s="71">
        <v>13.8</v>
      </c>
      <c r="K3160" s="121">
        <v>2.3E-3</v>
      </c>
      <c r="L3160" s="121">
        <v>-7.0000000000000001E-3</v>
      </c>
      <c r="M3160" s="75" t="s">
        <v>146</v>
      </c>
      <c r="N3160" s="75" t="b">
        <v>1</v>
      </c>
      <c r="O3160" s="75" t="s">
        <v>145</v>
      </c>
      <c r="P3160" s="75">
        <v>2014</v>
      </c>
      <c r="Q3160" s="107">
        <f t="shared" si="90"/>
        <v>2016</v>
      </c>
      <c r="R3160" s="107">
        <v>2</v>
      </c>
      <c r="S3160" s="117">
        <v>216084</v>
      </c>
      <c r="T3160" s="118">
        <v>42599</v>
      </c>
    </row>
    <row r="3161" spans="1:20" x14ac:dyDescent="0.3">
      <c r="A3161" s="42">
        <v>42617</v>
      </c>
      <c r="B3161" s="37">
        <f>YEAR(A3161)*10000+MONTH(A3161)*100+DAY(A3161)</f>
        <v>20160904</v>
      </c>
      <c r="C3161" s="109">
        <v>1.5600000000000001E-2</v>
      </c>
      <c r="D3161" s="109">
        <v>8.9999999999999993E-3</v>
      </c>
      <c r="E3161" s="109">
        <v>1.2E-2</v>
      </c>
      <c r="F3161" s="109">
        <v>1.2999999999999999E-2</v>
      </c>
      <c r="G3161" s="130">
        <v>0</v>
      </c>
      <c r="H3161" s="71">
        <v>8.6</v>
      </c>
      <c r="I3161" s="71">
        <v>11.3</v>
      </c>
      <c r="J3161" s="71">
        <v>13.8</v>
      </c>
      <c r="K3161" s="121">
        <v>2.3E-3</v>
      </c>
      <c r="L3161" s="121">
        <v>-7.0000000000000001E-3</v>
      </c>
      <c r="M3161" s="75" t="s">
        <v>146</v>
      </c>
      <c r="N3161" s="75" t="b">
        <v>1</v>
      </c>
      <c r="O3161" s="75" t="s">
        <v>145</v>
      </c>
      <c r="P3161" s="75">
        <v>2014</v>
      </c>
      <c r="Q3161" s="107">
        <f t="shared" si="90"/>
        <v>2016</v>
      </c>
      <c r="R3161" s="107">
        <v>2</v>
      </c>
      <c r="S3161" s="117">
        <v>216084</v>
      </c>
      <c r="T3161" s="118">
        <v>42599</v>
      </c>
    </row>
    <row r="3162" spans="1:20" x14ac:dyDescent="0.3">
      <c r="A3162" s="42">
        <v>42618</v>
      </c>
      <c r="B3162" s="37">
        <f t="shared" si="91"/>
        <v>20160905</v>
      </c>
      <c r="C3162" s="109">
        <v>1.5600000000000001E-2</v>
      </c>
      <c r="D3162" s="109">
        <v>8.9999999999999993E-3</v>
      </c>
      <c r="E3162" s="109">
        <v>1.2E-2</v>
      </c>
      <c r="F3162" s="109">
        <v>1.2999999999999999E-2</v>
      </c>
      <c r="G3162" s="130">
        <v>0</v>
      </c>
      <c r="H3162" s="71">
        <v>8.6</v>
      </c>
      <c r="I3162" s="71">
        <v>11.3</v>
      </c>
      <c r="J3162" s="71">
        <v>13.8</v>
      </c>
      <c r="K3162" s="121">
        <v>2.3E-3</v>
      </c>
      <c r="L3162" s="121">
        <v>-7.0000000000000001E-3</v>
      </c>
      <c r="M3162" s="75" t="s">
        <v>146</v>
      </c>
      <c r="N3162" s="75" t="b">
        <v>1</v>
      </c>
      <c r="O3162" s="75" t="s">
        <v>145</v>
      </c>
      <c r="P3162" s="75">
        <v>2014</v>
      </c>
      <c r="Q3162" s="107">
        <f t="shared" si="90"/>
        <v>2016</v>
      </c>
      <c r="R3162" s="107">
        <v>2</v>
      </c>
      <c r="S3162" s="117">
        <v>216084</v>
      </c>
      <c r="T3162" s="118">
        <v>42599</v>
      </c>
    </row>
    <row r="3163" spans="1:20" x14ac:dyDescent="0.3">
      <c r="A3163" s="42">
        <v>42619</v>
      </c>
      <c r="B3163" s="37">
        <f t="shared" si="91"/>
        <v>20160906</v>
      </c>
      <c r="C3163" s="109">
        <v>1.5300000000000001E-2</v>
      </c>
      <c r="D3163" s="109">
        <v>8.9999999999999993E-3</v>
      </c>
      <c r="E3163" s="109">
        <v>1.2E-2</v>
      </c>
      <c r="F3163" s="109">
        <v>1.2999999999999999E-2</v>
      </c>
      <c r="G3163" s="130">
        <v>0</v>
      </c>
      <c r="H3163" s="71">
        <v>8.6</v>
      </c>
      <c r="I3163" s="71">
        <v>11.3</v>
      </c>
      <c r="J3163" s="71">
        <v>13.8</v>
      </c>
      <c r="K3163" s="121">
        <v>2.0999999999999999E-3</v>
      </c>
      <c r="L3163" s="121">
        <v>-7.0000000000000001E-3</v>
      </c>
      <c r="M3163" s="75" t="s">
        <v>146</v>
      </c>
      <c r="N3163" s="75" t="b">
        <v>1</v>
      </c>
      <c r="O3163" s="75" t="s">
        <v>145</v>
      </c>
      <c r="P3163" s="75">
        <v>2014</v>
      </c>
      <c r="Q3163" s="107">
        <f t="shared" si="90"/>
        <v>2016</v>
      </c>
      <c r="R3163" s="107">
        <v>2</v>
      </c>
      <c r="S3163" s="117">
        <v>216084</v>
      </c>
      <c r="T3163" s="118">
        <v>42599</v>
      </c>
    </row>
    <row r="3164" spans="1:20" x14ac:dyDescent="0.3">
      <c r="A3164" s="42">
        <v>42620</v>
      </c>
      <c r="B3164" s="37">
        <f t="shared" si="91"/>
        <v>20160907</v>
      </c>
      <c r="C3164" s="109">
        <v>1.5100000000000001E-2</v>
      </c>
      <c r="D3164" s="109">
        <v>8.9999999999999993E-3</v>
      </c>
      <c r="E3164" s="109">
        <v>1.2E-2</v>
      </c>
      <c r="F3164" s="109">
        <v>1.2999999999999999E-2</v>
      </c>
      <c r="G3164" s="130">
        <v>0</v>
      </c>
      <c r="H3164" s="71">
        <v>8.6</v>
      </c>
      <c r="I3164" s="71">
        <v>11.3</v>
      </c>
      <c r="J3164" s="71">
        <v>13.8</v>
      </c>
      <c r="K3164" s="121">
        <v>1.9E-3</v>
      </c>
      <c r="L3164" s="121">
        <v>-7.0000000000000001E-3</v>
      </c>
      <c r="M3164" s="75" t="s">
        <v>146</v>
      </c>
      <c r="N3164" s="75" t="b">
        <v>1</v>
      </c>
      <c r="O3164" s="75" t="s">
        <v>145</v>
      </c>
      <c r="P3164" s="75">
        <v>2014</v>
      </c>
      <c r="Q3164" s="107">
        <f t="shared" si="90"/>
        <v>2016</v>
      </c>
      <c r="R3164" s="107">
        <v>2</v>
      </c>
      <c r="S3164" s="117">
        <v>216084</v>
      </c>
      <c r="T3164" s="118">
        <v>42599</v>
      </c>
    </row>
    <row r="3165" spans="1:20" x14ac:dyDescent="0.3">
      <c r="A3165" s="42">
        <v>42621</v>
      </c>
      <c r="B3165" s="37">
        <f t="shared" si="91"/>
        <v>20160908</v>
      </c>
      <c r="C3165" s="109">
        <v>1.6E-2</v>
      </c>
      <c r="D3165" s="109">
        <v>8.9999999999999993E-3</v>
      </c>
      <c r="E3165" s="109">
        <v>1.2E-2</v>
      </c>
      <c r="F3165" s="109">
        <v>1.2999999999999999E-2</v>
      </c>
      <c r="G3165" s="130">
        <v>0</v>
      </c>
      <c r="H3165" s="71">
        <v>8.6</v>
      </c>
      <c r="I3165" s="71">
        <v>11.3</v>
      </c>
      <c r="J3165" s="71">
        <v>13.8</v>
      </c>
      <c r="K3165" s="121">
        <v>2.7000000000000001E-3</v>
      </c>
      <c r="L3165" s="121">
        <v>-7.0000000000000001E-3</v>
      </c>
      <c r="M3165" s="75" t="s">
        <v>146</v>
      </c>
      <c r="N3165" s="75" t="b">
        <v>1</v>
      </c>
      <c r="O3165" s="75" t="s">
        <v>145</v>
      </c>
      <c r="P3165" s="75">
        <v>2014</v>
      </c>
      <c r="Q3165" s="107">
        <f t="shared" si="90"/>
        <v>2016</v>
      </c>
      <c r="R3165" s="107">
        <v>2</v>
      </c>
      <c r="S3165" s="117">
        <v>216084</v>
      </c>
      <c r="T3165" s="118">
        <v>42599</v>
      </c>
    </row>
    <row r="3166" spans="1:20" x14ac:dyDescent="0.3">
      <c r="A3166" s="42">
        <v>42622</v>
      </c>
      <c r="B3166" s="37">
        <f t="shared" si="91"/>
        <v>20160909</v>
      </c>
      <c r="C3166" s="109">
        <v>1.67E-2</v>
      </c>
      <c r="D3166" s="109">
        <v>8.9999999999999993E-3</v>
      </c>
      <c r="E3166" s="109">
        <v>1.2E-2</v>
      </c>
      <c r="F3166" s="109">
        <v>1.2999999999999999E-2</v>
      </c>
      <c r="G3166" s="130">
        <v>0</v>
      </c>
      <c r="H3166" s="71">
        <v>8.6</v>
      </c>
      <c r="I3166" s="71">
        <v>11.3</v>
      </c>
      <c r="J3166" s="71">
        <v>13.8</v>
      </c>
      <c r="K3166" s="121">
        <v>3.4999999999999996E-3</v>
      </c>
      <c r="L3166" s="121">
        <v>-7.0000000000000001E-3</v>
      </c>
      <c r="M3166" s="75" t="s">
        <v>146</v>
      </c>
      <c r="N3166" s="75" t="b">
        <v>1</v>
      </c>
      <c r="O3166" s="75" t="s">
        <v>145</v>
      </c>
      <c r="P3166" s="75">
        <v>2014</v>
      </c>
      <c r="Q3166" s="107">
        <f t="shared" si="90"/>
        <v>2016</v>
      </c>
      <c r="R3166" s="107">
        <v>2</v>
      </c>
      <c r="S3166" s="117">
        <v>216084</v>
      </c>
      <c r="T3166" s="118">
        <v>42599</v>
      </c>
    </row>
    <row r="3167" spans="1:20" x14ac:dyDescent="0.3">
      <c r="A3167" s="42">
        <v>42623</v>
      </c>
      <c r="B3167" s="37">
        <f>YEAR(A3167)*10000+MONTH(A3167)*100+DAY(A3167)</f>
        <v>20160910</v>
      </c>
      <c r="C3167" s="109">
        <v>1.67E-2</v>
      </c>
      <c r="D3167" s="109">
        <v>8.9999999999999993E-3</v>
      </c>
      <c r="E3167" s="109">
        <v>1.2E-2</v>
      </c>
      <c r="F3167" s="109">
        <v>1.2999999999999999E-2</v>
      </c>
      <c r="G3167" s="130">
        <v>0</v>
      </c>
      <c r="H3167" s="71">
        <v>8.6</v>
      </c>
      <c r="I3167" s="71">
        <v>11.3</v>
      </c>
      <c r="J3167" s="71">
        <v>13.8</v>
      </c>
      <c r="K3167" s="121">
        <v>3.4999999999999996E-3</v>
      </c>
      <c r="L3167" s="121">
        <v>-7.0000000000000001E-3</v>
      </c>
      <c r="M3167" s="75" t="s">
        <v>146</v>
      </c>
      <c r="N3167" s="75" t="b">
        <v>1</v>
      </c>
      <c r="O3167" s="75" t="s">
        <v>145</v>
      </c>
      <c r="P3167" s="75">
        <v>2014</v>
      </c>
      <c r="Q3167" s="107">
        <f t="shared" si="90"/>
        <v>2016</v>
      </c>
      <c r="R3167" s="107">
        <v>2</v>
      </c>
      <c r="S3167" s="117">
        <v>216084</v>
      </c>
      <c r="T3167" s="118">
        <v>42599</v>
      </c>
    </row>
    <row r="3168" spans="1:20" x14ac:dyDescent="0.3">
      <c r="A3168" s="42">
        <v>42624</v>
      </c>
      <c r="B3168" s="37">
        <f>YEAR(A3168)*10000+MONTH(A3168)*100+DAY(A3168)</f>
        <v>20160911</v>
      </c>
      <c r="C3168" s="109">
        <v>1.67E-2</v>
      </c>
      <c r="D3168" s="109">
        <v>8.9999999999999993E-3</v>
      </c>
      <c r="E3168" s="109">
        <v>1.2E-2</v>
      </c>
      <c r="F3168" s="109">
        <v>1.2999999999999999E-2</v>
      </c>
      <c r="G3168" s="130">
        <v>0</v>
      </c>
      <c r="H3168" s="71">
        <v>8.6</v>
      </c>
      <c r="I3168" s="71">
        <v>11.3</v>
      </c>
      <c r="J3168" s="71">
        <v>13.8</v>
      </c>
      <c r="K3168" s="121">
        <v>3.4999999999999996E-3</v>
      </c>
      <c r="L3168" s="121">
        <v>-7.0000000000000001E-3</v>
      </c>
      <c r="M3168" s="75" t="s">
        <v>146</v>
      </c>
      <c r="N3168" s="75" t="b">
        <v>1</v>
      </c>
      <c r="O3168" s="75" t="s">
        <v>145</v>
      </c>
      <c r="P3168" s="75">
        <v>2014</v>
      </c>
      <c r="Q3168" s="107">
        <f t="shared" si="90"/>
        <v>2016</v>
      </c>
      <c r="R3168" s="107">
        <v>2</v>
      </c>
      <c r="S3168" s="117">
        <v>216084</v>
      </c>
      <c r="T3168" s="118">
        <v>42599</v>
      </c>
    </row>
    <row r="3169" spans="1:20" x14ac:dyDescent="0.3">
      <c r="A3169" s="42">
        <v>42625</v>
      </c>
      <c r="B3169" s="37">
        <f t="shared" si="91"/>
        <v>20160912</v>
      </c>
      <c r="C3169" s="109">
        <v>1.6799999999999999E-2</v>
      </c>
      <c r="D3169" s="109">
        <v>8.9999999999999993E-3</v>
      </c>
      <c r="E3169" s="109">
        <v>1.2E-2</v>
      </c>
      <c r="F3169" s="109">
        <v>1.2999999999999999E-2</v>
      </c>
      <c r="G3169" s="130">
        <v>0</v>
      </c>
      <c r="H3169" s="71">
        <v>8.6</v>
      </c>
      <c r="I3169" s="71">
        <v>11.3</v>
      </c>
      <c r="J3169" s="71">
        <v>13.8</v>
      </c>
      <c r="K3169" s="121">
        <v>3.5999999999999999E-3</v>
      </c>
      <c r="L3169" s="121">
        <v>-7.0000000000000001E-3</v>
      </c>
      <c r="M3169" s="75" t="s">
        <v>146</v>
      </c>
      <c r="N3169" s="75" t="b">
        <v>1</v>
      </c>
      <c r="O3169" s="75" t="s">
        <v>145</v>
      </c>
      <c r="P3169" s="75">
        <v>2014</v>
      </c>
      <c r="Q3169" s="107">
        <f t="shared" si="90"/>
        <v>2016</v>
      </c>
      <c r="R3169" s="107">
        <v>2</v>
      </c>
      <c r="S3169" s="117">
        <v>216084</v>
      </c>
      <c r="T3169" s="118">
        <v>42599</v>
      </c>
    </row>
    <row r="3170" spans="1:20" x14ac:dyDescent="0.3">
      <c r="A3170" s="42">
        <v>42626</v>
      </c>
      <c r="B3170" s="37">
        <f t="shared" si="91"/>
        <v>20160913</v>
      </c>
      <c r="C3170" s="109">
        <v>1.7500000000000002E-2</v>
      </c>
      <c r="D3170" s="109">
        <v>8.9999999999999993E-3</v>
      </c>
      <c r="E3170" s="109">
        <v>1.2E-2</v>
      </c>
      <c r="F3170" s="109">
        <v>1.2999999999999999E-2</v>
      </c>
      <c r="G3170" s="130">
        <v>0</v>
      </c>
      <c r="H3170" s="71">
        <v>8.6</v>
      </c>
      <c r="I3170" s="71">
        <v>11.3</v>
      </c>
      <c r="J3170" s="71">
        <v>13.8</v>
      </c>
      <c r="K3170" s="121">
        <v>4.0000000000000001E-3</v>
      </c>
      <c r="L3170" s="121">
        <v>-7.0000000000000001E-3</v>
      </c>
      <c r="M3170" s="75" t="s">
        <v>146</v>
      </c>
      <c r="N3170" s="75" t="b">
        <v>1</v>
      </c>
      <c r="O3170" s="75" t="s">
        <v>145</v>
      </c>
      <c r="P3170" s="75">
        <v>2014</v>
      </c>
      <c r="Q3170" s="107">
        <f t="shared" si="90"/>
        <v>2016</v>
      </c>
      <c r="R3170" s="107">
        <v>2</v>
      </c>
      <c r="S3170" s="117">
        <v>216084</v>
      </c>
      <c r="T3170" s="118">
        <v>42599</v>
      </c>
    </row>
    <row r="3171" spans="1:20" x14ac:dyDescent="0.3">
      <c r="A3171" s="42">
        <v>42627</v>
      </c>
      <c r="B3171" s="37">
        <f t="shared" si="91"/>
        <v>20160914</v>
      </c>
      <c r="C3171" s="109">
        <v>1.72E-2</v>
      </c>
      <c r="D3171" s="109">
        <v>8.9999999999999993E-3</v>
      </c>
      <c r="E3171" s="109">
        <v>1.2E-2</v>
      </c>
      <c r="F3171" s="109">
        <v>1.2999999999999999E-2</v>
      </c>
      <c r="G3171" s="130">
        <v>0</v>
      </c>
      <c r="H3171" s="71">
        <v>8.6</v>
      </c>
      <c r="I3171" s="71">
        <v>11.3</v>
      </c>
      <c r="J3171" s="71">
        <v>13.8</v>
      </c>
      <c r="K3171" s="121">
        <v>3.5999999999999999E-3</v>
      </c>
      <c r="L3171" s="121">
        <v>-7.0000000000000001E-3</v>
      </c>
      <c r="M3171" s="75" t="s">
        <v>146</v>
      </c>
      <c r="N3171" s="75" t="b">
        <v>1</v>
      </c>
      <c r="O3171" s="75" t="s">
        <v>145</v>
      </c>
      <c r="P3171" s="75">
        <v>2014</v>
      </c>
      <c r="Q3171" s="107">
        <f t="shared" si="90"/>
        <v>2016</v>
      </c>
      <c r="R3171" s="107">
        <v>2</v>
      </c>
      <c r="S3171" s="117">
        <v>216084</v>
      </c>
      <c r="T3171" s="118">
        <v>42599</v>
      </c>
    </row>
    <row r="3172" spans="1:20" x14ac:dyDescent="0.3">
      <c r="A3172" s="42">
        <v>42628</v>
      </c>
      <c r="B3172" s="37">
        <f t="shared" si="91"/>
        <v>20160915</v>
      </c>
      <c r="C3172" s="109">
        <v>1.7299999999999999E-2</v>
      </c>
      <c r="D3172" s="109">
        <v>8.9999999999999993E-3</v>
      </c>
      <c r="E3172" s="109">
        <v>1.2E-2</v>
      </c>
      <c r="F3172" s="109">
        <v>1.2999999999999999E-2</v>
      </c>
      <c r="G3172" s="130">
        <v>0</v>
      </c>
      <c r="H3172" s="71">
        <v>8.6</v>
      </c>
      <c r="I3172" s="71">
        <v>11.3</v>
      </c>
      <c r="J3172" s="71">
        <v>13.8</v>
      </c>
      <c r="K3172" s="121">
        <v>3.4999999999999996E-3</v>
      </c>
      <c r="L3172" s="121">
        <v>-7.0000000000000001E-3</v>
      </c>
      <c r="M3172" s="75" t="s">
        <v>146</v>
      </c>
      <c r="N3172" s="75" t="b">
        <v>1</v>
      </c>
      <c r="O3172" s="75" t="s">
        <v>145</v>
      </c>
      <c r="P3172" s="75">
        <v>2014</v>
      </c>
      <c r="Q3172" s="107">
        <f t="shared" si="90"/>
        <v>2016</v>
      </c>
      <c r="R3172" s="107">
        <v>2</v>
      </c>
      <c r="S3172" s="117">
        <v>216084</v>
      </c>
      <c r="T3172" s="118">
        <v>42599</v>
      </c>
    </row>
    <row r="3173" spans="1:20" x14ac:dyDescent="0.3">
      <c r="A3173" s="42">
        <v>42629</v>
      </c>
      <c r="B3173" s="37">
        <f t="shared" si="91"/>
        <v>20160916</v>
      </c>
      <c r="C3173" s="109">
        <v>1.72E-2</v>
      </c>
      <c r="D3173" s="109">
        <v>8.9999999999999993E-3</v>
      </c>
      <c r="E3173" s="109">
        <v>1.2E-2</v>
      </c>
      <c r="F3173" s="109">
        <v>1.2999999999999999E-2</v>
      </c>
      <c r="G3173" s="130">
        <v>0</v>
      </c>
      <c r="H3173" s="71">
        <v>8.6</v>
      </c>
      <c r="I3173" s="71">
        <v>11.3</v>
      </c>
      <c r="J3173" s="71">
        <v>13.8</v>
      </c>
      <c r="K3173" s="121">
        <v>3.4000000000000002E-3</v>
      </c>
      <c r="L3173" s="121">
        <v>-7.0000000000000001E-3</v>
      </c>
      <c r="M3173" s="75" t="s">
        <v>146</v>
      </c>
      <c r="N3173" s="75" t="b">
        <v>1</v>
      </c>
      <c r="O3173" s="75" t="s">
        <v>145</v>
      </c>
      <c r="P3173" s="75">
        <v>2014</v>
      </c>
      <c r="Q3173" s="107">
        <f t="shared" si="90"/>
        <v>2016</v>
      </c>
      <c r="R3173" s="107">
        <v>2</v>
      </c>
      <c r="S3173" s="117">
        <v>216084</v>
      </c>
      <c r="T3173" s="118">
        <v>42599</v>
      </c>
    </row>
    <row r="3174" spans="1:20" x14ac:dyDescent="0.3">
      <c r="A3174" s="42">
        <v>42630</v>
      </c>
      <c r="B3174" s="37">
        <f>YEAR(A3174)*10000+MONTH(A3174)*100+DAY(A3174)</f>
        <v>20160917</v>
      </c>
      <c r="C3174" s="109">
        <v>1.72E-2</v>
      </c>
      <c r="D3174" s="109">
        <v>8.9999999999999993E-3</v>
      </c>
      <c r="E3174" s="109">
        <v>1.2E-2</v>
      </c>
      <c r="F3174" s="109">
        <v>1.2999999999999999E-2</v>
      </c>
      <c r="G3174" s="130">
        <v>0</v>
      </c>
      <c r="H3174" s="71">
        <v>8.6</v>
      </c>
      <c r="I3174" s="71">
        <v>11.3</v>
      </c>
      <c r="J3174" s="71">
        <v>13.8</v>
      </c>
      <c r="K3174" s="121">
        <v>3.4000000000000002E-3</v>
      </c>
      <c r="L3174" s="121">
        <v>-7.0000000000000001E-3</v>
      </c>
      <c r="M3174" s="75" t="s">
        <v>146</v>
      </c>
      <c r="N3174" s="75" t="b">
        <v>1</v>
      </c>
      <c r="O3174" s="75" t="s">
        <v>145</v>
      </c>
      <c r="P3174" s="75">
        <v>2014</v>
      </c>
      <c r="Q3174" s="107">
        <f t="shared" si="90"/>
        <v>2016</v>
      </c>
      <c r="R3174" s="107">
        <v>2</v>
      </c>
      <c r="S3174" s="117">
        <v>216084</v>
      </c>
      <c r="T3174" s="118">
        <v>42599</v>
      </c>
    </row>
    <row r="3175" spans="1:20" x14ac:dyDescent="0.3">
      <c r="A3175" s="42">
        <v>42631</v>
      </c>
      <c r="B3175" s="37">
        <f>YEAR(A3175)*10000+MONTH(A3175)*100+DAY(A3175)</f>
        <v>20160918</v>
      </c>
      <c r="C3175" s="109">
        <v>1.72E-2</v>
      </c>
      <c r="D3175" s="109">
        <v>8.9999999999999993E-3</v>
      </c>
      <c r="E3175" s="109">
        <v>1.2E-2</v>
      </c>
      <c r="F3175" s="109">
        <v>1.2999999999999999E-2</v>
      </c>
      <c r="G3175" s="130">
        <v>0</v>
      </c>
      <c r="H3175" s="71">
        <v>8.6</v>
      </c>
      <c r="I3175" s="71">
        <v>11.3</v>
      </c>
      <c r="J3175" s="71">
        <v>13.8</v>
      </c>
      <c r="K3175" s="121">
        <v>3.4000000000000002E-3</v>
      </c>
      <c r="L3175" s="121">
        <v>-7.0000000000000001E-3</v>
      </c>
      <c r="M3175" s="75" t="s">
        <v>146</v>
      </c>
      <c r="N3175" s="75" t="b">
        <v>1</v>
      </c>
      <c r="O3175" s="75" t="s">
        <v>145</v>
      </c>
      <c r="P3175" s="75">
        <v>2014</v>
      </c>
      <c r="Q3175" s="107">
        <f t="shared" si="90"/>
        <v>2016</v>
      </c>
      <c r="R3175" s="107">
        <v>2</v>
      </c>
      <c r="S3175" s="117">
        <v>216084</v>
      </c>
      <c r="T3175" s="118">
        <v>42599</v>
      </c>
    </row>
    <row r="3176" spans="1:20" x14ac:dyDescent="0.3">
      <c r="A3176" s="42">
        <v>42632</v>
      </c>
      <c r="B3176" s="37">
        <f t="shared" si="91"/>
        <v>20160919</v>
      </c>
      <c r="C3176" s="109">
        <v>1.7100000000000001E-2</v>
      </c>
      <c r="D3176" s="109">
        <v>8.9999999999999993E-3</v>
      </c>
      <c r="E3176" s="109">
        <v>1.2E-2</v>
      </c>
      <c r="F3176" s="109">
        <v>1.2999999999999999E-2</v>
      </c>
      <c r="G3176" s="130">
        <v>0</v>
      </c>
      <c r="H3176" s="71">
        <v>8.6</v>
      </c>
      <c r="I3176" s="71">
        <v>11.3</v>
      </c>
      <c r="J3176" s="71">
        <v>13.8</v>
      </c>
      <c r="K3176" s="121">
        <v>3.3E-3</v>
      </c>
      <c r="L3176" s="121">
        <v>-7.0000000000000001E-3</v>
      </c>
      <c r="M3176" s="75" t="s">
        <v>146</v>
      </c>
      <c r="N3176" s="75" t="b">
        <v>1</v>
      </c>
      <c r="O3176" s="75" t="s">
        <v>145</v>
      </c>
      <c r="P3176" s="75">
        <v>2014</v>
      </c>
      <c r="Q3176" s="107">
        <f t="shared" si="90"/>
        <v>2016</v>
      </c>
      <c r="R3176" s="107">
        <v>2</v>
      </c>
      <c r="S3176" s="117">
        <v>216084</v>
      </c>
      <c r="T3176" s="118">
        <v>42599</v>
      </c>
    </row>
    <row r="3177" spans="1:20" x14ac:dyDescent="0.3">
      <c r="A3177" s="42">
        <v>42633</v>
      </c>
      <c r="B3177" s="37">
        <f t="shared" si="91"/>
        <v>20160920</v>
      </c>
      <c r="C3177" s="109">
        <v>1.6799999999999999E-2</v>
      </c>
      <c r="D3177" s="109">
        <v>8.9999999999999993E-3</v>
      </c>
      <c r="E3177" s="109">
        <v>1.2E-2</v>
      </c>
      <c r="F3177" s="109">
        <v>1.2999999999999999E-2</v>
      </c>
      <c r="G3177" s="130">
        <v>0</v>
      </c>
      <c r="H3177" s="71">
        <v>8.6</v>
      </c>
      <c r="I3177" s="71">
        <v>11.3</v>
      </c>
      <c r="J3177" s="71">
        <v>13.8</v>
      </c>
      <c r="K3177" s="121">
        <v>3.0000000000000001E-3</v>
      </c>
      <c r="L3177" s="121">
        <v>-7.0000000000000001E-3</v>
      </c>
      <c r="M3177" s="75" t="s">
        <v>146</v>
      </c>
      <c r="N3177" s="75" t="b">
        <v>1</v>
      </c>
      <c r="O3177" s="75" t="s">
        <v>145</v>
      </c>
      <c r="P3177" s="75">
        <v>2014</v>
      </c>
      <c r="Q3177" s="107">
        <f t="shared" si="90"/>
        <v>2016</v>
      </c>
      <c r="R3177" s="107">
        <v>2</v>
      </c>
      <c r="S3177" s="117">
        <v>216084</v>
      </c>
      <c r="T3177" s="118">
        <v>42599</v>
      </c>
    </row>
    <row r="3178" spans="1:20" x14ac:dyDescent="0.3">
      <c r="A3178" s="42">
        <v>42634</v>
      </c>
      <c r="B3178" s="37">
        <f t="shared" si="91"/>
        <v>20160921</v>
      </c>
      <c r="C3178" s="109">
        <v>1.67E-2</v>
      </c>
      <c r="D3178" s="109">
        <v>8.9999999999999993E-3</v>
      </c>
      <c r="E3178" s="109">
        <v>1.2E-2</v>
      </c>
      <c r="F3178" s="109">
        <v>1.2999999999999999E-2</v>
      </c>
      <c r="G3178" s="130">
        <v>0</v>
      </c>
      <c r="H3178" s="71">
        <v>8.6</v>
      </c>
      <c r="I3178" s="71">
        <v>11.3</v>
      </c>
      <c r="J3178" s="71">
        <v>13.8</v>
      </c>
      <c r="K3178" s="121">
        <v>2.8999999999999998E-3</v>
      </c>
      <c r="L3178" s="121">
        <v>-7.0000000000000001E-3</v>
      </c>
      <c r="M3178" s="75" t="s">
        <v>146</v>
      </c>
      <c r="N3178" s="75" t="b">
        <v>1</v>
      </c>
      <c r="O3178" s="75" t="s">
        <v>145</v>
      </c>
      <c r="P3178" s="75">
        <v>2014</v>
      </c>
      <c r="Q3178" s="107">
        <f t="shared" si="90"/>
        <v>2016</v>
      </c>
      <c r="R3178" s="107">
        <v>2</v>
      </c>
      <c r="S3178" s="117">
        <v>216084</v>
      </c>
      <c r="T3178" s="118">
        <v>42599</v>
      </c>
    </row>
    <row r="3179" spans="1:20" x14ac:dyDescent="0.3">
      <c r="A3179" s="42">
        <v>42635</v>
      </c>
      <c r="B3179" s="37">
        <f t="shared" si="91"/>
        <v>20160922</v>
      </c>
      <c r="C3179" s="109">
        <v>1.6200000000000003E-2</v>
      </c>
      <c r="D3179" s="109">
        <v>8.9999999999999993E-3</v>
      </c>
      <c r="E3179" s="109">
        <v>1.2E-2</v>
      </c>
      <c r="F3179" s="109">
        <v>1.2999999999999999E-2</v>
      </c>
      <c r="G3179" s="130">
        <v>0</v>
      </c>
      <c r="H3179" s="71">
        <v>8.6</v>
      </c>
      <c r="I3179" s="71">
        <v>11.3</v>
      </c>
      <c r="J3179" s="71">
        <v>13.8</v>
      </c>
      <c r="K3179" s="121">
        <v>2.3999999999999998E-3</v>
      </c>
      <c r="L3179" s="121">
        <v>-7.0000000000000001E-3</v>
      </c>
      <c r="M3179" s="75" t="s">
        <v>146</v>
      </c>
      <c r="N3179" s="75" t="b">
        <v>1</v>
      </c>
      <c r="O3179" s="75" t="s">
        <v>145</v>
      </c>
      <c r="P3179" s="75">
        <v>2014</v>
      </c>
      <c r="Q3179" s="107">
        <f t="shared" si="90"/>
        <v>2016</v>
      </c>
      <c r="R3179" s="107">
        <v>2</v>
      </c>
      <c r="S3179" s="117">
        <v>216084</v>
      </c>
      <c r="T3179" s="118">
        <v>42599</v>
      </c>
    </row>
    <row r="3180" spans="1:20" x14ac:dyDescent="0.3">
      <c r="A3180" s="42">
        <v>42636</v>
      </c>
      <c r="B3180" s="37">
        <f t="shared" si="91"/>
        <v>20160923</v>
      </c>
      <c r="C3180" s="109">
        <v>1.5800000000000002E-2</v>
      </c>
      <c r="D3180" s="109">
        <v>8.9999999999999993E-3</v>
      </c>
      <c r="E3180" s="109">
        <v>1.2E-2</v>
      </c>
      <c r="F3180" s="109">
        <v>1.2999999999999999E-2</v>
      </c>
      <c r="G3180" s="130">
        <v>0</v>
      </c>
      <c r="H3180" s="71">
        <v>8.6</v>
      </c>
      <c r="I3180" s="71">
        <v>11.3</v>
      </c>
      <c r="J3180" s="71">
        <v>13.8</v>
      </c>
      <c r="K3180" s="121">
        <v>2.0999999999999999E-3</v>
      </c>
      <c r="L3180" s="121">
        <v>-7.0000000000000001E-3</v>
      </c>
      <c r="M3180" s="75" t="s">
        <v>146</v>
      </c>
      <c r="N3180" s="75" t="b">
        <v>1</v>
      </c>
      <c r="O3180" s="75" t="s">
        <v>145</v>
      </c>
      <c r="P3180" s="75">
        <v>2014</v>
      </c>
      <c r="Q3180" s="107">
        <f t="shared" si="90"/>
        <v>2016</v>
      </c>
      <c r="R3180" s="107">
        <v>2</v>
      </c>
      <c r="S3180" s="117">
        <v>216084</v>
      </c>
      <c r="T3180" s="118">
        <v>42599</v>
      </c>
    </row>
    <row r="3181" spans="1:20" x14ac:dyDescent="0.3">
      <c r="A3181" s="42">
        <v>42637</v>
      </c>
      <c r="B3181" s="37">
        <f>YEAR(A3181)*10000+MONTH(A3181)*100+DAY(A3181)</f>
        <v>20160924</v>
      </c>
      <c r="C3181" s="109">
        <v>1.5800000000000002E-2</v>
      </c>
      <c r="D3181" s="109">
        <v>8.9999999999999993E-3</v>
      </c>
      <c r="E3181" s="109">
        <v>1.2E-2</v>
      </c>
      <c r="F3181" s="109">
        <v>1.2999999999999999E-2</v>
      </c>
      <c r="G3181" s="130">
        <v>0</v>
      </c>
      <c r="H3181" s="71">
        <v>8.6</v>
      </c>
      <c r="I3181" s="71">
        <v>11.3</v>
      </c>
      <c r="J3181" s="71">
        <v>13.8</v>
      </c>
      <c r="K3181" s="121">
        <v>2.0999999999999999E-3</v>
      </c>
      <c r="L3181" s="121">
        <v>-7.0000000000000001E-3</v>
      </c>
      <c r="M3181" s="75" t="s">
        <v>146</v>
      </c>
      <c r="N3181" s="75" t="b">
        <v>1</v>
      </c>
      <c r="O3181" s="75" t="s">
        <v>145</v>
      </c>
      <c r="P3181" s="75">
        <v>2014</v>
      </c>
      <c r="Q3181" s="107">
        <f t="shared" si="90"/>
        <v>2016</v>
      </c>
      <c r="R3181" s="107">
        <v>2</v>
      </c>
      <c r="S3181" s="117">
        <v>216084</v>
      </c>
      <c r="T3181" s="118">
        <v>42599</v>
      </c>
    </row>
    <row r="3182" spans="1:20" x14ac:dyDescent="0.3">
      <c r="A3182" s="42">
        <v>42638</v>
      </c>
      <c r="B3182" s="37">
        <f>YEAR(A3182)*10000+MONTH(A3182)*100+DAY(A3182)</f>
        <v>20160925</v>
      </c>
      <c r="C3182" s="109">
        <v>1.5800000000000002E-2</v>
      </c>
      <c r="D3182" s="109">
        <v>8.9999999999999993E-3</v>
      </c>
      <c r="E3182" s="109">
        <v>1.2E-2</v>
      </c>
      <c r="F3182" s="109">
        <v>1.2999999999999999E-2</v>
      </c>
      <c r="G3182" s="130">
        <v>0</v>
      </c>
      <c r="H3182" s="71">
        <v>8.6</v>
      </c>
      <c r="I3182" s="71">
        <v>11.3</v>
      </c>
      <c r="J3182" s="71">
        <v>13.8</v>
      </c>
      <c r="K3182" s="121">
        <v>2.0999999999999999E-3</v>
      </c>
      <c r="L3182" s="121">
        <v>-7.0000000000000001E-3</v>
      </c>
      <c r="M3182" s="75" t="s">
        <v>146</v>
      </c>
      <c r="N3182" s="75" t="b">
        <v>1</v>
      </c>
      <c r="O3182" s="75" t="s">
        <v>145</v>
      </c>
      <c r="P3182" s="75">
        <v>2014</v>
      </c>
      <c r="Q3182" s="107">
        <f t="shared" ref="Q3182:Q3245" si="92">YEAR(A3182)</f>
        <v>2016</v>
      </c>
      <c r="R3182" s="107">
        <v>2</v>
      </c>
      <c r="S3182" s="117">
        <v>216084</v>
      </c>
      <c r="T3182" s="118">
        <v>42599</v>
      </c>
    </row>
    <row r="3183" spans="1:20" x14ac:dyDescent="0.3">
      <c r="A3183" s="42">
        <v>42639</v>
      </c>
      <c r="B3183" s="37">
        <f t="shared" si="91"/>
        <v>20160926</v>
      </c>
      <c r="C3183" s="109">
        <v>1.5300000000000001E-2</v>
      </c>
      <c r="D3183" s="109">
        <v>8.9999999999999993E-3</v>
      </c>
      <c r="E3183" s="109">
        <v>1.2E-2</v>
      </c>
      <c r="F3183" s="109">
        <v>1.2999999999999999E-2</v>
      </c>
      <c r="G3183" s="130">
        <v>0</v>
      </c>
      <c r="H3183" s="71">
        <v>8.6</v>
      </c>
      <c r="I3183" s="71">
        <v>11.3</v>
      </c>
      <c r="J3183" s="71">
        <v>13.8</v>
      </c>
      <c r="K3183" s="121">
        <v>1.8E-3</v>
      </c>
      <c r="L3183" s="121">
        <v>-7.0000000000000001E-3</v>
      </c>
      <c r="M3183" s="75" t="s">
        <v>146</v>
      </c>
      <c r="N3183" s="75" t="b">
        <v>1</v>
      </c>
      <c r="O3183" s="75" t="s">
        <v>145</v>
      </c>
      <c r="P3183" s="75">
        <v>2014</v>
      </c>
      <c r="Q3183" s="107">
        <f t="shared" si="92"/>
        <v>2016</v>
      </c>
      <c r="R3183" s="107">
        <v>2</v>
      </c>
      <c r="S3183" s="117">
        <v>216084</v>
      </c>
      <c r="T3183" s="118">
        <v>42599</v>
      </c>
    </row>
    <row r="3184" spans="1:20" x14ac:dyDescent="0.3">
      <c r="A3184" s="42">
        <v>42640</v>
      </c>
      <c r="B3184" s="37">
        <f t="shared" si="91"/>
        <v>20160927</v>
      </c>
      <c r="C3184" s="109">
        <v>1.5100000000000001E-2</v>
      </c>
      <c r="D3184" s="109">
        <v>8.9999999999999993E-3</v>
      </c>
      <c r="E3184" s="109">
        <v>1.2E-2</v>
      </c>
      <c r="F3184" s="109">
        <v>1.2999999999999999E-2</v>
      </c>
      <c r="G3184" s="130">
        <v>0</v>
      </c>
      <c r="H3184" s="71">
        <v>8.6</v>
      </c>
      <c r="I3184" s="71">
        <v>11.3</v>
      </c>
      <c r="J3184" s="71">
        <v>13.8</v>
      </c>
      <c r="K3184" s="121">
        <v>1.7000000000000001E-3</v>
      </c>
      <c r="L3184" s="121">
        <v>-7.0000000000000001E-3</v>
      </c>
      <c r="M3184" s="75" t="s">
        <v>146</v>
      </c>
      <c r="N3184" s="75" t="b">
        <v>1</v>
      </c>
      <c r="O3184" s="75" t="s">
        <v>145</v>
      </c>
      <c r="P3184" s="75">
        <v>2014</v>
      </c>
      <c r="Q3184" s="107">
        <f t="shared" si="92"/>
        <v>2016</v>
      </c>
      <c r="R3184" s="107">
        <v>2</v>
      </c>
      <c r="S3184" s="117">
        <v>216084</v>
      </c>
      <c r="T3184" s="118">
        <v>42599</v>
      </c>
    </row>
    <row r="3185" spans="1:21" x14ac:dyDescent="0.3">
      <c r="A3185" s="42">
        <v>42641</v>
      </c>
      <c r="B3185" s="37">
        <f t="shared" si="91"/>
        <v>20160928</v>
      </c>
      <c r="C3185" s="109">
        <v>1.52E-2</v>
      </c>
      <c r="D3185" s="109">
        <v>8.9999999999999993E-3</v>
      </c>
      <c r="E3185" s="109">
        <v>1.2E-2</v>
      </c>
      <c r="F3185" s="109">
        <v>1.2999999999999999E-2</v>
      </c>
      <c r="G3185" s="130">
        <v>0</v>
      </c>
      <c r="H3185" s="71">
        <v>8.6</v>
      </c>
      <c r="I3185" s="71">
        <v>11.3</v>
      </c>
      <c r="J3185" s="71">
        <v>13.8</v>
      </c>
      <c r="K3185" s="121">
        <v>1.8E-3</v>
      </c>
      <c r="L3185" s="121">
        <v>-7.0000000000000001E-3</v>
      </c>
      <c r="M3185" s="75" t="s">
        <v>146</v>
      </c>
      <c r="N3185" s="75" t="b">
        <v>1</v>
      </c>
      <c r="O3185" s="75" t="s">
        <v>145</v>
      </c>
      <c r="P3185" s="75">
        <v>2014</v>
      </c>
      <c r="Q3185" s="107">
        <f t="shared" si="92"/>
        <v>2016</v>
      </c>
      <c r="R3185" s="107">
        <v>2</v>
      </c>
      <c r="S3185" s="117">
        <v>216084</v>
      </c>
      <c r="T3185" s="118">
        <v>42599</v>
      </c>
    </row>
    <row r="3186" spans="1:21" x14ac:dyDescent="0.3">
      <c r="A3186" s="42">
        <v>42642</v>
      </c>
      <c r="B3186" s="37">
        <f t="shared" si="91"/>
        <v>20160929</v>
      </c>
      <c r="C3186" s="109">
        <v>1.4999999999999999E-2</v>
      </c>
      <c r="D3186" s="109">
        <v>8.9999999999999993E-3</v>
      </c>
      <c r="E3186" s="109">
        <v>1.2E-2</v>
      </c>
      <c r="F3186" s="109">
        <v>1.2999999999999999E-2</v>
      </c>
      <c r="G3186" s="130">
        <v>0</v>
      </c>
      <c r="H3186" s="71">
        <v>8.6</v>
      </c>
      <c r="I3186" s="71">
        <v>11.3</v>
      </c>
      <c r="J3186" s="71">
        <v>13.8</v>
      </c>
      <c r="K3186" s="121">
        <v>1.5E-3</v>
      </c>
      <c r="L3186" s="121">
        <v>-7.0000000000000001E-3</v>
      </c>
      <c r="M3186" s="75" t="s">
        <v>146</v>
      </c>
      <c r="N3186" s="75" t="b">
        <v>1</v>
      </c>
      <c r="O3186" s="75" t="s">
        <v>145</v>
      </c>
      <c r="P3186" s="75">
        <v>2014</v>
      </c>
      <c r="Q3186" s="107">
        <f t="shared" si="92"/>
        <v>2016</v>
      </c>
      <c r="R3186" s="107">
        <v>2</v>
      </c>
      <c r="S3186" s="117">
        <v>216084</v>
      </c>
      <c r="T3186" s="118">
        <v>42599</v>
      </c>
    </row>
    <row r="3187" spans="1:21" s="116" customFormat="1" x14ac:dyDescent="0.3">
      <c r="A3187" s="110">
        <v>42643</v>
      </c>
      <c r="B3187" s="132">
        <f t="shared" si="91"/>
        <v>20160930</v>
      </c>
      <c r="C3187" s="111">
        <v>1.55E-2</v>
      </c>
      <c r="D3187" s="120">
        <v>8.0000000000000002E-3</v>
      </c>
      <c r="E3187" s="120">
        <v>1.0999999999999999E-2</v>
      </c>
      <c r="F3187" s="120">
        <v>1.2E-2</v>
      </c>
      <c r="G3187" s="133">
        <v>0</v>
      </c>
      <c r="H3187" s="124">
        <v>8.6999999999999993</v>
      </c>
      <c r="I3187" s="124">
        <v>11.4</v>
      </c>
      <c r="J3187" s="124">
        <v>14</v>
      </c>
      <c r="K3187" s="131">
        <v>1.9E-3</v>
      </c>
      <c r="L3187" s="131">
        <v>-7.0000000000000001E-3</v>
      </c>
      <c r="M3187" s="98" t="s">
        <v>146</v>
      </c>
      <c r="N3187" s="98" t="b">
        <v>1</v>
      </c>
      <c r="O3187" s="98" t="s">
        <v>145</v>
      </c>
      <c r="P3187" s="98">
        <v>2014</v>
      </c>
      <c r="Q3187" s="105">
        <f t="shared" si="92"/>
        <v>2016</v>
      </c>
      <c r="R3187" s="105">
        <v>2</v>
      </c>
      <c r="S3187" s="114">
        <v>216111</v>
      </c>
      <c r="T3187" s="115">
        <v>42691</v>
      </c>
      <c r="U3187" s="98" t="s">
        <v>176</v>
      </c>
    </row>
    <row r="3188" spans="1:21" x14ac:dyDescent="0.3">
      <c r="A3188" s="42">
        <v>42644</v>
      </c>
      <c r="B3188" s="37">
        <f>YEAR(A3188)*10000+MONTH(A3188)*100+DAY(A3188)</f>
        <v>20161001</v>
      </c>
      <c r="C3188" s="109">
        <v>1.55E-2</v>
      </c>
      <c r="D3188" s="109">
        <v>8.0000000000000002E-3</v>
      </c>
      <c r="E3188" s="109">
        <v>1.0999999999999999E-2</v>
      </c>
      <c r="F3188" s="109">
        <v>1.2E-2</v>
      </c>
      <c r="G3188" s="130">
        <v>0</v>
      </c>
      <c r="H3188" s="71">
        <v>8.6999999999999993</v>
      </c>
      <c r="I3188" s="71">
        <v>11.4</v>
      </c>
      <c r="J3188" s="71">
        <v>14</v>
      </c>
      <c r="K3188" s="121">
        <v>1.9E-3</v>
      </c>
      <c r="L3188" s="121">
        <v>-7.0000000000000001E-3</v>
      </c>
      <c r="M3188" s="75" t="s">
        <v>146</v>
      </c>
      <c r="N3188" s="75" t="b">
        <v>1</v>
      </c>
      <c r="O3188" s="75" t="s">
        <v>145</v>
      </c>
      <c r="P3188" s="75">
        <v>2014</v>
      </c>
      <c r="Q3188" s="107">
        <f t="shared" si="92"/>
        <v>2016</v>
      </c>
      <c r="R3188" s="107">
        <v>2</v>
      </c>
      <c r="S3188" s="43">
        <v>216111</v>
      </c>
      <c r="T3188" s="74">
        <v>42691</v>
      </c>
    </row>
    <row r="3189" spans="1:21" x14ac:dyDescent="0.3">
      <c r="A3189" s="42">
        <v>42645</v>
      </c>
      <c r="B3189" s="37">
        <f>YEAR(A3189)*10000+MONTH(A3189)*100+DAY(A3189)</f>
        <v>20161002</v>
      </c>
      <c r="C3189" s="109">
        <v>1.55E-2</v>
      </c>
      <c r="D3189" s="109">
        <v>8.0000000000000002E-3</v>
      </c>
      <c r="E3189" s="109">
        <v>1.0999999999999999E-2</v>
      </c>
      <c r="F3189" s="109">
        <v>1.2E-2</v>
      </c>
      <c r="G3189" s="130">
        <v>0</v>
      </c>
      <c r="H3189" s="71">
        <v>8.6999999999999993</v>
      </c>
      <c r="I3189" s="71">
        <v>11.4</v>
      </c>
      <c r="J3189" s="71">
        <v>14</v>
      </c>
      <c r="K3189" s="121">
        <v>1.9E-3</v>
      </c>
      <c r="L3189" s="121">
        <v>-7.0000000000000001E-3</v>
      </c>
      <c r="M3189" s="75" t="s">
        <v>146</v>
      </c>
      <c r="N3189" s="75" t="b">
        <v>1</v>
      </c>
      <c r="O3189" s="75" t="s">
        <v>145</v>
      </c>
      <c r="P3189" s="75">
        <v>2014</v>
      </c>
      <c r="Q3189" s="107">
        <f t="shared" si="92"/>
        <v>2016</v>
      </c>
      <c r="R3189" s="107">
        <v>2</v>
      </c>
      <c r="S3189" s="43">
        <v>216111</v>
      </c>
      <c r="T3189" s="74">
        <v>42691</v>
      </c>
    </row>
    <row r="3190" spans="1:21" x14ac:dyDescent="0.3">
      <c r="A3190" s="42">
        <v>42646</v>
      </c>
      <c r="B3190" s="37">
        <f t="shared" si="91"/>
        <v>20161003</v>
      </c>
      <c r="C3190" s="109">
        <v>1.55E-2</v>
      </c>
      <c r="D3190" s="109">
        <v>8.0000000000000002E-3</v>
      </c>
      <c r="E3190" s="109">
        <v>1.0999999999999999E-2</v>
      </c>
      <c r="F3190" s="109">
        <v>1.2E-2</v>
      </c>
      <c r="G3190" s="130">
        <v>0</v>
      </c>
      <c r="H3190" s="71">
        <v>8.6999999999999993</v>
      </c>
      <c r="I3190" s="71">
        <v>11.4</v>
      </c>
      <c r="J3190" s="71">
        <v>14</v>
      </c>
      <c r="K3190" s="121">
        <v>1.8E-3</v>
      </c>
      <c r="L3190" s="121">
        <v>-7.0000000000000001E-3</v>
      </c>
      <c r="M3190" s="75" t="s">
        <v>146</v>
      </c>
      <c r="N3190" s="75" t="b">
        <v>1</v>
      </c>
      <c r="O3190" s="75" t="s">
        <v>145</v>
      </c>
      <c r="P3190" s="75">
        <v>2014</v>
      </c>
      <c r="Q3190" s="107">
        <f t="shared" si="92"/>
        <v>2016</v>
      </c>
      <c r="R3190" s="107">
        <v>2</v>
      </c>
      <c r="S3190" s="43">
        <v>216111</v>
      </c>
      <c r="T3190" s="74">
        <v>42691</v>
      </c>
    </row>
    <row r="3191" spans="1:21" x14ac:dyDescent="0.3">
      <c r="A3191" s="42">
        <v>42647</v>
      </c>
      <c r="B3191" s="37">
        <f t="shared" si="91"/>
        <v>20161004</v>
      </c>
      <c r="C3191" s="109">
        <v>1.61E-2</v>
      </c>
      <c r="D3191" s="109">
        <v>8.0000000000000002E-3</v>
      </c>
      <c r="E3191" s="109">
        <v>1.0999999999999999E-2</v>
      </c>
      <c r="F3191" s="109">
        <v>1.2E-2</v>
      </c>
      <c r="G3191" s="130">
        <v>0</v>
      </c>
      <c r="H3191" s="71">
        <v>8.6999999999999993</v>
      </c>
      <c r="I3191" s="71">
        <v>11.4</v>
      </c>
      <c r="J3191" s="71">
        <v>14</v>
      </c>
      <c r="K3191" s="121">
        <v>2.3999999999999998E-3</v>
      </c>
      <c r="L3191" s="121">
        <v>-7.0000000000000001E-3</v>
      </c>
      <c r="M3191" s="75" t="s">
        <v>146</v>
      </c>
      <c r="N3191" s="75" t="b">
        <v>1</v>
      </c>
      <c r="O3191" s="75" t="s">
        <v>145</v>
      </c>
      <c r="P3191" s="75">
        <v>2014</v>
      </c>
      <c r="Q3191" s="107">
        <f t="shared" si="92"/>
        <v>2016</v>
      </c>
      <c r="R3191" s="107">
        <v>2</v>
      </c>
      <c r="S3191" s="43">
        <v>216111</v>
      </c>
      <c r="T3191" s="74">
        <v>42691</v>
      </c>
    </row>
    <row r="3192" spans="1:21" x14ac:dyDescent="0.3">
      <c r="A3192" s="42">
        <v>42648</v>
      </c>
      <c r="B3192" s="37">
        <f t="shared" si="91"/>
        <v>20161005</v>
      </c>
      <c r="C3192" s="109">
        <v>1.6500000000000001E-2</v>
      </c>
      <c r="D3192" s="109">
        <v>8.0000000000000002E-3</v>
      </c>
      <c r="E3192" s="109">
        <v>1.0999999999999999E-2</v>
      </c>
      <c r="F3192" s="109">
        <v>1.2E-2</v>
      </c>
      <c r="G3192" s="130">
        <v>0</v>
      </c>
      <c r="H3192" s="71">
        <v>8.6999999999999993</v>
      </c>
      <c r="I3192" s="71">
        <v>11.4</v>
      </c>
      <c r="J3192" s="71">
        <v>14</v>
      </c>
      <c r="K3192" s="121">
        <v>2.8000000000000004E-3</v>
      </c>
      <c r="L3192" s="121">
        <v>-7.0000000000000001E-3</v>
      </c>
      <c r="M3192" s="75" t="s">
        <v>146</v>
      </c>
      <c r="N3192" s="75" t="b">
        <v>1</v>
      </c>
      <c r="O3192" s="75" t="s">
        <v>145</v>
      </c>
      <c r="P3192" s="75">
        <v>2014</v>
      </c>
      <c r="Q3192" s="107">
        <f t="shared" si="92"/>
        <v>2016</v>
      </c>
      <c r="R3192" s="107">
        <v>2</v>
      </c>
      <c r="S3192" s="43">
        <v>216111</v>
      </c>
      <c r="T3192" s="74">
        <v>42691</v>
      </c>
    </row>
    <row r="3193" spans="1:21" x14ac:dyDescent="0.3">
      <c r="A3193" s="42">
        <v>42649</v>
      </c>
      <c r="B3193" s="37">
        <f t="shared" si="91"/>
        <v>20161006</v>
      </c>
      <c r="C3193" s="109">
        <v>1.6799999999999999E-2</v>
      </c>
      <c r="D3193" s="109">
        <v>8.0000000000000002E-3</v>
      </c>
      <c r="E3193" s="109">
        <v>1.0999999999999999E-2</v>
      </c>
      <c r="F3193" s="109">
        <v>1.2E-2</v>
      </c>
      <c r="G3193" s="130">
        <v>0</v>
      </c>
      <c r="H3193" s="71">
        <v>8.6999999999999993</v>
      </c>
      <c r="I3193" s="71">
        <v>11.4</v>
      </c>
      <c r="J3193" s="71">
        <v>14</v>
      </c>
      <c r="K3193" s="121">
        <v>2.8999999999999998E-3</v>
      </c>
      <c r="L3193" s="121">
        <v>-7.0000000000000001E-3</v>
      </c>
      <c r="M3193" s="75" t="s">
        <v>146</v>
      </c>
      <c r="N3193" s="75" t="b">
        <v>1</v>
      </c>
      <c r="O3193" s="75" t="s">
        <v>145</v>
      </c>
      <c r="P3193" s="75">
        <v>2014</v>
      </c>
      <c r="Q3193" s="107">
        <f t="shared" si="92"/>
        <v>2016</v>
      </c>
      <c r="R3193" s="107">
        <v>2</v>
      </c>
      <c r="S3193" s="43">
        <v>216111</v>
      </c>
      <c r="T3193" s="74">
        <v>42691</v>
      </c>
    </row>
    <row r="3194" spans="1:21" x14ac:dyDescent="0.3">
      <c r="A3194" s="42">
        <v>42650</v>
      </c>
      <c r="B3194" s="37">
        <f t="shared" si="91"/>
        <v>20161007</v>
      </c>
      <c r="C3194" s="109">
        <v>1.7000000000000001E-2</v>
      </c>
      <c r="D3194" s="109">
        <v>8.0000000000000002E-3</v>
      </c>
      <c r="E3194" s="109">
        <v>1.0999999999999999E-2</v>
      </c>
      <c r="F3194" s="109">
        <v>1.2E-2</v>
      </c>
      <c r="G3194" s="130">
        <v>0</v>
      </c>
      <c r="H3194" s="71">
        <v>8.6999999999999993</v>
      </c>
      <c r="I3194" s="71">
        <v>11.4</v>
      </c>
      <c r="J3194" s="71">
        <v>14</v>
      </c>
      <c r="K3194" s="121">
        <v>3.0000000000000001E-3</v>
      </c>
      <c r="L3194" s="121">
        <v>-7.0000000000000001E-3</v>
      </c>
      <c r="M3194" s="75" t="s">
        <v>146</v>
      </c>
      <c r="N3194" s="75" t="b">
        <v>1</v>
      </c>
      <c r="O3194" s="75" t="s">
        <v>145</v>
      </c>
      <c r="P3194" s="75">
        <v>2014</v>
      </c>
      <c r="Q3194" s="107">
        <f t="shared" si="92"/>
        <v>2016</v>
      </c>
      <c r="R3194" s="107">
        <v>2</v>
      </c>
      <c r="S3194" s="43">
        <v>216111</v>
      </c>
      <c r="T3194" s="74">
        <v>42691</v>
      </c>
    </row>
    <row r="3195" spans="1:21" x14ac:dyDescent="0.3">
      <c r="A3195" s="42">
        <v>42651</v>
      </c>
      <c r="B3195" s="37">
        <f>YEAR(A3195)*10000+MONTH(A3195)*100+DAY(A3195)</f>
        <v>20161008</v>
      </c>
      <c r="C3195" s="109">
        <v>1.7000000000000001E-2</v>
      </c>
      <c r="D3195" s="109">
        <v>8.0000000000000002E-3</v>
      </c>
      <c r="E3195" s="109">
        <v>1.0999999999999999E-2</v>
      </c>
      <c r="F3195" s="109">
        <v>1.2E-2</v>
      </c>
      <c r="G3195" s="130">
        <v>0</v>
      </c>
      <c r="H3195" s="71">
        <v>8.6999999999999993</v>
      </c>
      <c r="I3195" s="71">
        <v>11.4</v>
      </c>
      <c r="J3195" s="71">
        <v>14</v>
      </c>
      <c r="K3195" s="121">
        <v>3.0000000000000001E-3</v>
      </c>
      <c r="L3195" s="121">
        <v>-7.0000000000000001E-3</v>
      </c>
      <c r="M3195" s="75" t="s">
        <v>146</v>
      </c>
      <c r="N3195" s="75" t="b">
        <v>1</v>
      </c>
      <c r="O3195" s="75" t="s">
        <v>145</v>
      </c>
      <c r="P3195" s="75">
        <v>2014</v>
      </c>
      <c r="Q3195" s="107">
        <f t="shared" si="92"/>
        <v>2016</v>
      </c>
      <c r="R3195" s="107">
        <v>2</v>
      </c>
      <c r="S3195" s="43">
        <v>216111</v>
      </c>
      <c r="T3195" s="74">
        <v>42691</v>
      </c>
    </row>
    <row r="3196" spans="1:21" x14ac:dyDescent="0.3">
      <c r="A3196" s="42">
        <v>42652</v>
      </c>
      <c r="B3196" s="37">
        <f>YEAR(A3196)*10000+MONTH(A3196)*100+DAY(A3196)</f>
        <v>20161009</v>
      </c>
      <c r="C3196" s="109">
        <v>1.7000000000000001E-2</v>
      </c>
      <c r="D3196" s="109">
        <v>8.0000000000000002E-3</v>
      </c>
      <c r="E3196" s="109">
        <v>1.0999999999999999E-2</v>
      </c>
      <c r="F3196" s="109">
        <v>1.2E-2</v>
      </c>
      <c r="G3196" s="130">
        <v>0</v>
      </c>
      <c r="H3196" s="71">
        <v>8.6999999999999993</v>
      </c>
      <c r="I3196" s="71">
        <v>11.4</v>
      </c>
      <c r="J3196" s="71">
        <v>14</v>
      </c>
      <c r="K3196" s="121">
        <v>3.0000000000000001E-3</v>
      </c>
      <c r="L3196" s="121">
        <v>-7.0000000000000001E-3</v>
      </c>
      <c r="M3196" s="75" t="s">
        <v>146</v>
      </c>
      <c r="N3196" s="75" t="b">
        <v>1</v>
      </c>
      <c r="O3196" s="75" t="s">
        <v>145</v>
      </c>
      <c r="P3196" s="75">
        <v>2014</v>
      </c>
      <c r="Q3196" s="107">
        <f t="shared" si="92"/>
        <v>2016</v>
      </c>
      <c r="R3196" s="107">
        <v>2</v>
      </c>
      <c r="S3196" s="43">
        <v>216111</v>
      </c>
      <c r="T3196" s="74">
        <v>42691</v>
      </c>
    </row>
    <row r="3197" spans="1:21" x14ac:dyDescent="0.3">
      <c r="A3197" s="42">
        <v>42653</v>
      </c>
      <c r="B3197" s="37">
        <f t="shared" si="91"/>
        <v>20161010</v>
      </c>
      <c r="C3197" s="109">
        <v>1.7000000000000001E-2</v>
      </c>
      <c r="D3197" s="109">
        <v>8.0000000000000002E-3</v>
      </c>
      <c r="E3197" s="109">
        <v>1.0999999999999999E-2</v>
      </c>
      <c r="F3197" s="109">
        <v>1.2E-2</v>
      </c>
      <c r="G3197" s="130">
        <v>0</v>
      </c>
      <c r="H3197" s="71">
        <v>8.6999999999999993</v>
      </c>
      <c r="I3197" s="71">
        <v>11.4</v>
      </c>
      <c r="J3197" s="71">
        <v>14</v>
      </c>
      <c r="K3197" s="121">
        <v>3.0000000000000001E-3</v>
      </c>
      <c r="L3197" s="121">
        <v>-7.0000000000000001E-3</v>
      </c>
      <c r="M3197" s="75" t="s">
        <v>146</v>
      </c>
      <c r="N3197" s="75" t="b">
        <v>1</v>
      </c>
      <c r="O3197" s="75" t="s">
        <v>145</v>
      </c>
      <c r="P3197" s="75">
        <v>2014</v>
      </c>
      <c r="Q3197" s="107">
        <f t="shared" si="92"/>
        <v>2016</v>
      </c>
      <c r="R3197" s="107">
        <v>2</v>
      </c>
      <c r="S3197" s="43">
        <v>216111</v>
      </c>
      <c r="T3197" s="74">
        <v>42691</v>
      </c>
    </row>
    <row r="3198" spans="1:21" x14ac:dyDescent="0.3">
      <c r="A3198" s="42">
        <v>42654</v>
      </c>
      <c r="B3198" s="37">
        <f t="shared" si="91"/>
        <v>20161011</v>
      </c>
      <c r="C3198" s="109">
        <v>1.72E-2</v>
      </c>
      <c r="D3198" s="109">
        <v>8.0000000000000002E-3</v>
      </c>
      <c r="E3198" s="109">
        <v>1.0999999999999999E-2</v>
      </c>
      <c r="F3198" s="109">
        <v>1.2E-2</v>
      </c>
      <c r="G3198" s="130">
        <v>0</v>
      </c>
      <c r="H3198" s="71">
        <v>8.6999999999999993</v>
      </c>
      <c r="I3198" s="71">
        <v>11.4</v>
      </c>
      <c r="J3198" s="71">
        <v>14</v>
      </c>
      <c r="K3198" s="121">
        <v>3.0000000000000001E-3</v>
      </c>
      <c r="L3198" s="121">
        <v>-7.0000000000000001E-3</v>
      </c>
      <c r="M3198" s="75" t="s">
        <v>146</v>
      </c>
      <c r="N3198" s="75" t="b">
        <v>1</v>
      </c>
      <c r="O3198" s="75" t="s">
        <v>145</v>
      </c>
      <c r="P3198" s="75">
        <v>2014</v>
      </c>
      <c r="Q3198" s="107">
        <f t="shared" si="92"/>
        <v>2016</v>
      </c>
      <c r="R3198" s="107">
        <v>2</v>
      </c>
      <c r="S3198" s="43">
        <v>216111</v>
      </c>
      <c r="T3198" s="74">
        <v>42691</v>
      </c>
    </row>
    <row r="3199" spans="1:21" x14ac:dyDescent="0.3">
      <c r="A3199" s="42">
        <v>42655</v>
      </c>
      <c r="B3199" s="37">
        <f t="shared" si="91"/>
        <v>20161012</v>
      </c>
      <c r="C3199" s="109">
        <v>1.7299999999999999E-2</v>
      </c>
      <c r="D3199" s="109">
        <v>8.0000000000000002E-3</v>
      </c>
      <c r="E3199" s="109">
        <v>1.0999999999999999E-2</v>
      </c>
      <c r="F3199" s="109">
        <v>1.2E-2</v>
      </c>
      <c r="G3199" s="130">
        <v>0</v>
      </c>
      <c r="H3199" s="71">
        <v>8.6999999999999993</v>
      </c>
      <c r="I3199" s="71">
        <v>11.4</v>
      </c>
      <c r="J3199" s="71">
        <v>14</v>
      </c>
      <c r="K3199" s="121">
        <v>2.8999999999999998E-3</v>
      </c>
      <c r="L3199" s="121">
        <v>-7.0000000000000001E-3</v>
      </c>
      <c r="M3199" s="75" t="s">
        <v>146</v>
      </c>
      <c r="N3199" s="75" t="b">
        <v>1</v>
      </c>
      <c r="O3199" s="75" t="s">
        <v>145</v>
      </c>
      <c r="P3199" s="75">
        <v>2014</v>
      </c>
      <c r="Q3199" s="107">
        <f t="shared" si="92"/>
        <v>2016</v>
      </c>
      <c r="R3199" s="107">
        <v>2</v>
      </c>
      <c r="S3199" s="43">
        <v>216111</v>
      </c>
      <c r="T3199" s="74">
        <v>42691</v>
      </c>
    </row>
    <row r="3200" spans="1:21" x14ac:dyDescent="0.3">
      <c r="A3200" s="42">
        <v>42656</v>
      </c>
      <c r="B3200" s="37">
        <f t="shared" si="91"/>
        <v>20161013</v>
      </c>
      <c r="C3200" s="109">
        <v>1.6899999999999998E-2</v>
      </c>
      <c r="D3200" s="109">
        <v>8.0000000000000002E-3</v>
      </c>
      <c r="E3200" s="109">
        <v>1.0999999999999999E-2</v>
      </c>
      <c r="F3200" s="109">
        <v>1.2E-2</v>
      </c>
      <c r="G3200" s="130">
        <v>0</v>
      </c>
      <c r="H3200" s="71">
        <v>8.6999999999999993</v>
      </c>
      <c r="I3200" s="71">
        <v>11.4</v>
      </c>
      <c r="J3200" s="71">
        <v>14</v>
      </c>
      <c r="K3200" s="121">
        <v>2.5000000000000001E-3</v>
      </c>
      <c r="L3200" s="121">
        <v>-7.0000000000000001E-3</v>
      </c>
      <c r="M3200" s="75" t="s">
        <v>146</v>
      </c>
      <c r="N3200" s="75" t="b">
        <v>1</v>
      </c>
      <c r="O3200" s="75" t="s">
        <v>145</v>
      </c>
      <c r="P3200" s="75">
        <v>2014</v>
      </c>
      <c r="Q3200" s="107">
        <f t="shared" si="92"/>
        <v>2016</v>
      </c>
      <c r="R3200" s="107">
        <v>2</v>
      </c>
      <c r="S3200" s="43">
        <v>216111</v>
      </c>
      <c r="T3200" s="74">
        <v>42691</v>
      </c>
    </row>
    <row r="3201" spans="1:20" x14ac:dyDescent="0.3">
      <c r="A3201" s="42">
        <v>42657</v>
      </c>
      <c r="B3201" s="37">
        <f t="shared" si="91"/>
        <v>20161014</v>
      </c>
      <c r="C3201" s="109">
        <v>1.7600000000000001E-2</v>
      </c>
      <c r="D3201" s="109">
        <v>8.0000000000000002E-3</v>
      </c>
      <c r="E3201" s="109">
        <v>1.0999999999999999E-2</v>
      </c>
      <c r="F3201" s="109">
        <v>1.2E-2</v>
      </c>
      <c r="G3201" s="130">
        <v>0</v>
      </c>
      <c r="H3201" s="71">
        <v>8.6999999999999993</v>
      </c>
      <c r="I3201" s="71">
        <v>11.4</v>
      </c>
      <c r="J3201" s="71">
        <v>14</v>
      </c>
      <c r="K3201" s="121">
        <v>3.0999999999999999E-3</v>
      </c>
      <c r="L3201" s="121">
        <v>-7.0000000000000001E-3</v>
      </c>
      <c r="M3201" s="75" t="s">
        <v>146</v>
      </c>
      <c r="N3201" s="75" t="b">
        <v>1</v>
      </c>
      <c r="O3201" s="75" t="s">
        <v>145</v>
      </c>
      <c r="P3201" s="75">
        <v>2014</v>
      </c>
      <c r="Q3201" s="107">
        <f t="shared" si="92"/>
        <v>2016</v>
      </c>
      <c r="R3201" s="107">
        <v>2</v>
      </c>
      <c r="S3201" s="43">
        <v>216111</v>
      </c>
      <c r="T3201" s="74">
        <v>42691</v>
      </c>
    </row>
    <row r="3202" spans="1:20" x14ac:dyDescent="0.3">
      <c r="A3202" s="42">
        <v>42658</v>
      </c>
      <c r="B3202" s="37">
        <f>YEAR(A3202)*10000+MONTH(A3202)*100+DAY(A3202)</f>
        <v>20161015</v>
      </c>
      <c r="C3202" s="109">
        <v>1.7600000000000001E-2</v>
      </c>
      <c r="D3202" s="109">
        <v>8.0000000000000002E-3</v>
      </c>
      <c r="E3202" s="109">
        <v>1.0999999999999999E-2</v>
      </c>
      <c r="F3202" s="109">
        <v>1.2E-2</v>
      </c>
      <c r="G3202" s="130">
        <v>0</v>
      </c>
      <c r="H3202" s="71">
        <v>8.6999999999999993</v>
      </c>
      <c r="I3202" s="71">
        <v>11.4</v>
      </c>
      <c r="J3202" s="71">
        <v>14</v>
      </c>
      <c r="K3202" s="121">
        <v>3.0999999999999999E-3</v>
      </c>
      <c r="L3202" s="121">
        <v>-7.0000000000000001E-3</v>
      </c>
      <c r="M3202" s="75" t="s">
        <v>146</v>
      </c>
      <c r="N3202" s="75" t="b">
        <v>1</v>
      </c>
      <c r="O3202" s="75" t="s">
        <v>145</v>
      </c>
      <c r="P3202" s="75">
        <v>2014</v>
      </c>
      <c r="Q3202" s="107">
        <f t="shared" si="92"/>
        <v>2016</v>
      </c>
      <c r="R3202" s="107">
        <v>2</v>
      </c>
      <c r="S3202" s="43">
        <v>216111</v>
      </c>
      <c r="T3202" s="74">
        <v>42691</v>
      </c>
    </row>
    <row r="3203" spans="1:20" x14ac:dyDescent="0.3">
      <c r="A3203" s="42">
        <v>42659</v>
      </c>
      <c r="B3203" s="37">
        <f>YEAR(A3203)*10000+MONTH(A3203)*100+DAY(A3203)</f>
        <v>20161016</v>
      </c>
      <c r="C3203" s="109">
        <v>1.7600000000000001E-2</v>
      </c>
      <c r="D3203" s="109">
        <v>8.0000000000000002E-3</v>
      </c>
      <c r="E3203" s="109">
        <v>1.0999999999999999E-2</v>
      </c>
      <c r="F3203" s="109">
        <v>1.2E-2</v>
      </c>
      <c r="G3203" s="130">
        <v>0</v>
      </c>
      <c r="H3203" s="71">
        <v>8.6999999999999993</v>
      </c>
      <c r="I3203" s="71">
        <v>11.4</v>
      </c>
      <c r="J3203" s="71">
        <v>14</v>
      </c>
      <c r="K3203" s="121">
        <v>3.0999999999999999E-3</v>
      </c>
      <c r="L3203" s="121">
        <v>-7.0000000000000001E-3</v>
      </c>
      <c r="M3203" s="75" t="s">
        <v>146</v>
      </c>
      <c r="N3203" s="75" t="b">
        <v>1</v>
      </c>
      <c r="O3203" s="75" t="s">
        <v>145</v>
      </c>
      <c r="P3203" s="75">
        <v>2014</v>
      </c>
      <c r="Q3203" s="107">
        <f t="shared" si="92"/>
        <v>2016</v>
      </c>
      <c r="R3203" s="107">
        <v>2</v>
      </c>
      <c r="S3203" s="43">
        <v>216111</v>
      </c>
      <c r="T3203" s="74">
        <v>42691</v>
      </c>
    </row>
    <row r="3204" spans="1:20" x14ac:dyDescent="0.3">
      <c r="A3204" s="42">
        <v>42660</v>
      </c>
      <c r="B3204" s="37">
        <f t="shared" si="91"/>
        <v>20161017</v>
      </c>
      <c r="C3204" s="109">
        <v>1.7299999999999999E-2</v>
      </c>
      <c r="D3204" s="109">
        <v>8.0000000000000002E-3</v>
      </c>
      <c r="E3204" s="109">
        <v>1.0999999999999999E-2</v>
      </c>
      <c r="F3204" s="109">
        <v>1.2E-2</v>
      </c>
      <c r="G3204" s="130">
        <v>0</v>
      </c>
      <c r="H3204" s="71">
        <v>8.6999999999999993</v>
      </c>
      <c r="I3204" s="71">
        <v>11.4</v>
      </c>
      <c r="J3204" s="71">
        <v>14</v>
      </c>
      <c r="K3204" s="121">
        <v>2.8000000000000004E-3</v>
      </c>
      <c r="L3204" s="121">
        <v>-7.0000000000000001E-3</v>
      </c>
      <c r="M3204" s="75" t="s">
        <v>146</v>
      </c>
      <c r="N3204" s="75" t="b">
        <v>1</v>
      </c>
      <c r="O3204" s="75" t="s">
        <v>145</v>
      </c>
      <c r="P3204" s="75">
        <v>2014</v>
      </c>
      <c r="Q3204" s="107">
        <f t="shared" si="92"/>
        <v>2016</v>
      </c>
      <c r="R3204" s="107">
        <v>2</v>
      </c>
      <c r="S3204" s="43">
        <v>216111</v>
      </c>
      <c r="T3204" s="74">
        <v>42691</v>
      </c>
    </row>
    <row r="3205" spans="1:20" x14ac:dyDescent="0.3">
      <c r="A3205" s="42">
        <v>42661</v>
      </c>
      <c r="B3205" s="37">
        <f t="shared" si="91"/>
        <v>20161018</v>
      </c>
      <c r="C3205" s="109">
        <v>1.72E-2</v>
      </c>
      <c r="D3205" s="109">
        <v>8.0000000000000002E-3</v>
      </c>
      <c r="E3205" s="109">
        <v>1.0999999999999999E-2</v>
      </c>
      <c r="F3205" s="109">
        <v>1.2E-2</v>
      </c>
      <c r="G3205" s="130">
        <v>0</v>
      </c>
      <c r="H3205" s="71">
        <v>8.6999999999999993</v>
      </c>
      <c r="I3205" s="71">
        <v>11.4</v>
      </c>
      <c r="J3205" s="71">
        <v>14</v>
      </c>
      <c r="K3205" s="121">
        <v>2.5000000000000001E-3</v>
      </c>
      <c r="L3205" s="121">
        <v>-7.0000000000000001E-3</v>
      </c>
      <c r="M3205" s="75" t="s">
        <v>146</v>
      </c>
      <c r="N3205" s="75" t="b">
        <v>1</v>
      </c>
      <c r="O3205" s="75" t="s">
        <v>145</v>
      </c>
      <c r="P3205" s="75">
        <v>2014</v>
      </c>
      <c r="Q3205" s="107">
        <f t="shared" si="92"/>
        <v>2016</v>
      </c>
      <c r="R3205" s="107">
        <v>2</v>
      </c>
      <c r="S3205" s="43">
        <v>216111</v>
      </c>
      <c r="T3205" s="74">
        <v>42691</v>
      </c>
    </row>
    <row r="3206" spans="1:20" x14ac:dyDescent="0.3">
      <c r="A3206" s="42">
        <v>42662</v>
      </c>
      <c r="B3206" s="37">
        <f t="shared" si="91"/>
        <v>20161019</v>
      </c>
      <c r="C3206" s="109">
        <v>1.72E-2</v>
      </c>
      <c r="D3206" s="109">
        <v>8.0000000000000002E-3</v>
      </c>
      <c r="E3206" s="109">
        <v>1.0999999999999999E-2</v>
      </c>
      <c r="F3206" s="109">
        <v>1.2E-2</v>
      </c>
      <c r="G3206" s="130">
        <v>0</v>
      </c>
      <c r="H3206" s="71">
        <v>8.6999999999999993</v>
      </c>
      <c r="I3206" s="71">
        <v>11.4</v>
      </c>
      <c r="J3206" s="71">
        <v>14</v>
      </c>
      <c r="K3206" s="121">
        <v>2.5000000000000001E-3</v>
      </c>
      <c r="L3206" s="121">
        <v>-7.0000000000000001E-3</v>
      </c>
      <c r="M3206" s="75" t="s">
        <v>146</v>
      </c>
      <c r="N3206" s="75" t="b">
        <v>1</v>
      </c>
      <c r="O3206" s="75" t="s">
        <v>145</v>
      </c>
      <c r="P3206" s="75">
        <v>2014</v>
      </c>
      <c r="Q3206" s="107">
        <f t="shared" si="92"/>
        <v>2016</v>
      </c>
      <c r="R3206" s="107">
        <v>2</v>
      </c>
      <c r="S3206" s="43">
        <v>216111</v>
      </c>
      <c r="T3206" s="74">
        <v>42691</v>
      </c>
    </row>
    <row r="3207" spans="1:20" x14ac:dyDescent="0.3">
      <c r="A3207" s="42">
        <v>42663</v>
      </c>
      <c r="B3207" s="37">
        <f t="shared" si="91"/>
        <v>20161020</v>
      </c>
      <c r="C3207" s="109">
        <v>1.72E-2</v>
      </c>
      <c r="D3207" s="109">
        <v>8.0000000000000002E-3</v>
      </c>
      <c r="E3207" s="109">
        <v>1.0999999999999999E-2</v>
      </c>
      <c r="F3207" s="109">
        <v>1.2E-2</v>
      </c>
      <c r="G3207" s="130">
        <v>0</v>
      </c>
      <c r="H3207" s="71">
        <v>8.6999999999999993</v>
      </c>
      <c r="I3207" s="71">
        <v>11.4</v>
      </c>
      <c r="J3207" s="71">
        <v>14</v>
      </c>
      <c r="K3207" s="121">
        <v>2.5999999999999999E-3</v>
      </c>
      <c r="L3207" s="121">
        <v>-7.0000000000000001E-3</v>
      </c>
      <c r="M3207" s="75" t="s">
        <v>146</v>
      </c>
      <c r="N3207" s="75" t="b">
        <v>1</v>
      </c>
      <c r="O3207" s="75" t="s">
        <v>145</v>
      </c>
      <c r="P3207" s="75">
        <v>2014</v>
      </c>
      <c r="Q3207" s="107">
        <f t="shared" si="92"/>
        <v>2016</v>
      </c>
      <c r="R3207" s="107">
        <v>2</v>
      </c>
      <c r="S3207" s="43">
        <v>216111</v>
      </c>
      <c r="T3207" s="74">
        <v>42691</v>
      </c>
    </row>
    <row r="3208" spans="1:20" x14ac:dyDescent="0.3">
      <c r="A3208" s="42">
        <v>42664</v>
      </c>
      <c r="B3208" s="37">
        <f t="shared" si="91"/>
        <v>20161021</v>
      </c>
      <c r="C3208" s="109">
        <v>1.6799999999999999E-2</v>
      </c>
      <c r="D3208" s="109">
        <v>8.0000000000000002E-3</v>
      </c>
      <c r="E3208" s="109">
        <v>1.0999999999999999E-2</v>
      </c>
      <c r="F3208" s="109">
        <v>1.2E-2</v>
      </c>
      <c r="G3208" s="130">
        <v>0</v>
      </c>
      <c r="H3208" s="71">
        <v>8.6999999999999993</v>
      </c>
      <c r="I3208" s="71">
        <v>11.4</v>
      </c>
      <c r="J3208" s="71">
        <v>14</v>
      </c>
      <c r="K3208" s="121">
        <v>2.3E-3</v>
      </c>
      <c r="L3208" s="121">
        <v>-7.0000000000000001E-3</v>
      </c>
      <c r="M3208" s="75" t="s">
        <v>146</v>
      </c>
      <c r="N3208" s="75" t="b">
        <v>1</v>
      </c>
      <c r="O3208" s="75" t="s">
        <v>145</v>
      </c>
      <c r="P3208" s="75">
        <v>2014</v>
      </c>
      <c r="Q3208" s="107">
        <f t="shared" si="92"/>
        <v>2016</v>
      </c>
      <c r="R3208" s="107">
        <v>2</v>
      </c>
      <c r="S3208" s="43">
        <v>216111</v>
      </c>
      <c r="T3208" s="74">
        <v>42691</v>
      </c>
    </row>
    <row r="3209" spans="1:20" x14ac:dyDescent="0.3">
      <c r="A3209" s="42">
        <v>42665</v>
      </c>
      <c r="B3209" s="37">
        <f t="shared" ref="B3209:B3282" si="93">YEAR(A3209)*10000+MONTH(A3209)*100+DAY(A3209)</f>
        <v>20161022</v>
      </c>
      <c r="C3209" s="109">
        <v>1.6799999999999999E-2</v>
      </c>
      <c r="D3209" s="109">
        <v>8.0000000000000002E-3</v>
      </c>
      <c r="E3209" s="109">
        <v>1.0999999999999999E-2</v>
      </c>
      <c r="F3209" s="109">
        <v>1.2E-2</v>
      </c>
      <c r="G3209" s="130">
        <v>0</v>
      </c>
      <c r="H3209" s="71">
        <v>8.6999999999999993</v>
      </c>
      <c r="I3209" s="71">
        <v>11.4</v>
      </c>
      <c r="J3209" s="71">
        <v>14</v>
      </c>
      <c r="K3209" s="121">
        <v>2.3E-3</v>
      </c>
      <c r="L3209" s="121">
        <v>-7.0000000000000001E-3</v>
      </c>
      <c r="M3209" s="75" t="s">
        <v>146</v>
      </c>
      <c r="N3209" s="75" t="b">
        <v>1</v>
      </c>
      <c r="O3209" s="75" t="s">
        <v>145</v>
      </c>
      <c r="P3209" s="75">
        <v>2014</v>
      </c>
      <c r="Q3209" s="107">
        <f t="shared" si="92"/>
        <v>2016</v>
      </c>
      <c r="R3209" s="107">
        <v>2</v>
      </c>
      <c r="S3209" s="43">
        <v>216111</v>
      </c>
      <c r="T3209" s="74">
        <v>42691</v>
      </c>
    </row>
    <row r="3210" spans="1:20" x14ac:dyDescent="0.3">
      <c r="A3210" s="42">
        <v>42666</v>
      </c>
      <c r="B3210" s="37">
        <f t="shared" si="93"/>
        <v>20161023</v>
      </c>
      <c r="C3210" s="109">
        <v>1.6799999999999999E-2</v>
      </c>
      <c r="D3210" s="109">
        <v>8.0000000000000002E-3</v>
      </c>
      <c r="E3210" s="109">
        <v>1.0999999999999999E-2</v>
      </c>
      <c r="F3210" s="109">
        <v>1.2E-2</v>
      </c>
      <c r="G3210" s="130">
        <v>0</v>
      </c>
      <c r="H3210" s="71">
        <v>8.6999999999999993</v>
      </c>
      <c r="I3210" s="71">
        <v>11.4</v>
      </c>
      <c r="J3210" s="71">
        <v>14</v>
      </c>
      <c r="K3210" s="121">
        <v>2.3E-3</v>
      </c>
      <c r="L3210" s="121">
        <v>-7.0000000000000001E-3</v>
      </c>
      <c r="M3210" s="75" t="s">
        <v>146</v>
      </c>
      <c r="N3210" s="75" t="b">
        <v>1</v>
      </c>
      <c r="O3210" s="75" t="s">
        <v>145</v>
      </c>
      <c r="P3210" s="75">
        <v>2014</v>
      </c>
      <c r="Q3210" s="107">
        <f t="shared" si="92"/>
        <v>2016</v>
      </c>
      <c r="R3210" s="107">
        <v>2</v>
      </c>
      <c r="S3210" s="43">
        <v>216111</v>
      </c>
      <c r="T3210" s="74">
        <v>42691</v>
      </c>
    </row>
    <row r="3211" spans="1:20" x14ac:dyDescent="0.3">
      <c r="A3211" s="42">
        <v>42667</v>
      </c>
      <c r="B3211" s="37">
        <f t="shared" si="93"/>
        <v>20161024</v>
      </c>
      <c r="C3211" s="109">
        <v>1.7000000000000001E-2</v>
      </c>
      <c r="D3211" s="109">
        <v>8.0000000000000002E-3</v>
      </c>
      <c r="E3211" s="109">
        <v>1.0999999999999999E-2</v>
      </c>
      <c r="F3211" s="109">
        <v>1.2E-2</v>
      </c>
      <c r="G3211" s="130">
        <v>0</v>
      </c>
      <c r="H3211" s="71">
        <v>8.6999999999999993</v>
      </c>
      <c r="I3211" s="71">
        <v>11.4</v>
      </c>
      <c r="J3211" s="71">
        <v>14</v>
      </c>
      <c r="K3211" s="121">
        <v>2.5000000000000001E-3</v>
      </c>
      <c r="L3211" s="121">
        <v>-7.0000000000000001E-3</v>
      </c>
      <c r="M3211" s="75" t="s">
        <v>146</v>
      </c>
      <c r="N3211" s="75" t="b">
        <v>1</v>
      </c>
      <c r="O3211" s="75" t="s">
        <v>145</v>
      </c>
      <c r="P3211" s="75">
        <v>2014</v>
      </c>
      <c r="Q3211" s="107">
        <f t="shared" si="92"/>
        <v>2016</v>
      </c>
      <c r="R3211" s="107">
        <v>2</v>
      </c>
      <c r="S3211" s="43">
        <v>216111</v>
      </c>
      <c r="T3211" s="74">
        <v>42691</v>
      </c>
    </row>
    <row r="3212" spans="1:20" x14ac:dyDescent="0.3">
      <c r="A3212" s="42">
        <v>42668</v>
      </c>
      <c r="B3212" s="37">
        <f t="shared" si="93"/>
        <v>20161025</v>
      </c>
      <c r="C3212" s="109">
        <v>1.6899999999999998E-2</v>
      </c>
      <c r="D3212" s="109">
        <v>8.0000000000000002E-3</v>
      </c>
      <c r="E3212" s="109">
        <v>1.0999999999999999E-2</v>
      </c>
      <c r="F3212" s="109">
        <v>1.2E-2</v>
      </c>
      <c r="G3212" s="130">
        <v>0</v>
      </c>
      <c r="H3212" s="71">
        <v>8.6999999999999993</v>
      </c>
      <c r="I3212" s="71">
        <v>11.4</v>
      </c>
      <c r="J3212" s="71">
        <v>14</v>
      </c>
      <c r="K3212" s="121">
        <v>2.3999999999999998E-3</v>
      </c>
      <c r="L3212" s="121">
        <v>-7.0000000000000001E-3</v>
      </c>
      <c r="M3212" s="75" t="s">
        <v>146</v>
      </c>
      <c r="N3212" s="75" t="b">
        <v>1</v>
      </c>
      <c r="O3212" s="75" t="s">
        <v>145</v>
      </c>
      <c r="P3212" s="75">
        <v>2014</v>
      </c>
      <c r="Q3212" s="107">
        <f t="shared" si="92"/>
        <v>2016</v>
      </c>
      <c r="R3212" s="107">
        <v>2</v>
      </c>
      <c r="S3212" s="43">
        <v>216111</v>
      </c>
      <c r="T3212" s="74">
        <v>42691</v>
      </c>
    </row>
    <row r="3213" spans="1:20" x14ac:dyDescent="0.3">
      <c r="A3213" s="42">
        <v>42669</v>
      </c>
      <c r="B3213" s="37">
        <f t="shared" si="93"/>
        <v>20161026</v>
      </c>
      <c r="C3213" s="109">
        <v>1.6799999999999999E-2</v>
      </c>
      <c r="D3213" s="109">
        <v>8.0000000000000002E-3</v>
      </c>
      <c r="E3213" s="109">
        <v>1.0999999999999999E-2</v>
      </c>
      <c r="F3213" s="109">
        <v>1.2E-2</v>
      </c>
      <c r="G3213" s="130">
        <v>0</v>
      </c>
      <c r="H3213" s="71">
        <v>8.6999999999999993</v>
      </c>
      <c r="I3213" s="71">
        <v>11.4</v>
      </c>
      <c r="J3213" s="71">
        <v>14</v>
      </c>
      <c r="K3213" s="121">
        <v>2.5000000000000001E-3</v>
      </c>
      <c r="L3213" s="121">
        <v>-7.0000000000000001E-3</v>
      </c>
      <c r="M3213" s="75" t="s">
        <v>146</v>
      </c>
      <c r="N3213" s="75" t="b">
        <v>1</v>
      </c>
      <c r="O3213" s="75" t="s">
        <v>145</v>
      </c>
      <c r="P3213" s="75">
        <v>2014</v>
      </c>
      <c r="Q3213" s="107">
        <f t="shared" si="92"/>
        <v>2016</v>
      </c>
      <c r="R3213" s="107">
        <v>2</v>
      </c>
      <c r="S3213" s="43">
        <v>216111</v>
      </c>
      <c r="T3213" s="74">
        <v>42691</v>
      </c>
    </row>
    <row r="3214" spans="1:20" x14ac:dyDescent="0.3">
      <c r="A3214" s="42">
        <v>42670</v>
      </c>
      <c r="B3214" s="37">
        <f t="shared" si="93"/>
        <v>20161027</v>
      </c>
      <c r="C3214" s="109">
        <v>1.7500000000000002E-2</v>
      </c>
      <c r="D3214" s="109">
        <v>8.0000000000000002E-3</v>
      </c>
      <c r="E3214" s="109">
        <v>1.0999999999999999E-2</v>
      </c>
      <c r="F3214" s="109">
        <v>1.2E-2</v>
      </c>
      <c r="G3214" s="130">
        <v>0</v>
      </c>
      <c r="H3214" s="71">
        <v>8.6999999999999993</v>
      </c>
      <c r="I3214" s="71">
        <v>11.4</v>
      </c>
      <c r="J3214" s="71">
        <v>14</v>
      </c>
      <c r="K3214" s="121">
        <v>2.8000000000000004E-3</v>
      </c>
      <c r="L3214" s="121">
        <v>-7.0000000000000001E-3</v>
      </c>
      <c r="M3214" s="75" t="s">
        <v>146</v>
      </c>
      <c r="N3214" s="75" t="b">
        <v>1</v>
      </c>
      <c r="O3214" s="75" t="s">
        <v>145</v>
      </c>
      <c r="P3214" s="75">
        <v>2014</v>
      </c>
      <c r="Q3214" s="107">
        <f t="shared" si="92"/>
        <v>2016</v>
      </c>
      <c r="R3214" s="107">
        <v>2</v>
      </c>
      <c r="S3214" s="43">
        <v>216111</v>
      </c>
      <c r="T3214" s="74">
        <v>42691</v>
      </c>
    </row>
    <row r="3215" spans="1:20" x14ac:dyDescent="0.3">
      <c r="A3215" s="42">
        <v>42671</v>
      </c>
      <c r="B3215" s="37">
        <f t="shared" si="93"/>
        <v>20161028</v>
      </c>
      <c r="C3215" s="109">
        <v>1.7500000000000002E-2</v>
      </c>
      <c r="D3215" s="109">
        <v>8.0000000000000002E-3</v>
      </c>
      <c r="E3215" s="109">
        <v>1.0999999999999999E-2</v>
      </c>
      <c r="F3215" s="109">
        <v>1.2E-2</v>
      </c>
      <c r="G3215" s="130">
        <v>0</v>
      </c>
      <c r="H3215" s="71">
        <v>8.6999999999999993</v>
      </c>
      <c r="I3215" s="71">
        <v>11.4</v>
      </c>
      <c r="J3215" s="71">
        <v>14</v>
      </c>
      <c r="K3215" s="121">
        <v>2.8000000000000004E-3</v>
      </c>
      <c r="L3215" s="121">
        <v>-7.0000000000000001E-3</v>
      </c>
      <c r="M3215" s="75" t="s">
        <v>146</v>
      </c>
      <c r="N3215" s="75" t="b">
        <v>1</v>
      </c>
      <c r="O3215" s="75" t="s">
        <v>145</v>
      </c>
      <c r="P3215" s="75">
        <v>2014</v>
      </c>
      <c r="Q3215" s="107">
        <f t="shared" si="92"/>
        <v>2016</v>
      </c>
      <c r="R3215" s="107">
        <v>2</v>
      </c>
      <c r="S3215" s="43">
        <v>216111</v>
      </c>
      <c r="T3215" s="74">
        <v>42691</v>
      </c>
    </row>
    <row r="3216" spans="1:20" x14ac:dyDescent="0.3">
      <c r="A3216" s="42">
        <v>42672</v>
      </c>
      <c r="B3216" s="37">
        <f t="shared" si="93"/>
        <v>20161029</v>
      </c>
      <c r="C3216" s="109">
        <v>1.7500000000000002E-2</v>
      </c>
      <c r="D3216" s="109">
        <v>8.0000000000000002E-3</v>
      </c>
      <c r="E3216" s="109">
        <v>1.0999999999999999E-2</v>
      </c>
      <c r="F3216" s="109">
        <v>1.2E-2</v>
      </c>
      <c r="G3216" s="130">
        <v>0</v>
      </c>
      <c r="H3216" s="71">
        <v>8.6999999999999993</v>
      </c>
      <c r="I3216" s="71">
        <v>11.4</v>
      </c>
      <c r="J3216" s="71">
        <v>14</v>
      </c>
      <c r="K3216" s="121">
        <v>2.8E-3</v>
      </c>
      <c r="L3216" s="121">
        <v>-7.0000000000000001E-3</v>
      </c>
      <c r="M3216" s="75" t="s">
        <v>146</v>
      </c>
      <c r="N3216" s="75" t="b">
        <v>1</v>
      </c>
      <c r="O3216" s="75" t="s">
        <v>145</v>
      </c>
      <c r="P3216" s="75">
        <v>2014</v>
      </c>
      <c r="Q3216" s="107">
        <f t="shared" si="92"/>
        <v>2016</v>
      </c>
      <c r="R3216" s="107">
        <v>2</v>
      </c>
      <c r="S3216" s="43">
        <v>216111</v>
      </c>
      <c r="T3216" s="74">
        <v>42691</v>
      </c>
    </row>
    <row r="3217" spans="1:20" x14ac:dyDescent="0.3">
      <c r="A3217" s="42">
        <v>42673</v>
      </c>
      <c r="B3217" s="37">
        <f t="shared" si="93"/>
        <v>20161030</v>
      </c>
      <c r="C3217" s="109">
        <v>1.7500000000000002E-2</v>
      </c>
      <c r="D3217" s="109">
        <v>8.0000000000000002E-3</v>
      </c>
      <c r="E3217" s="109">
        <v>1.0999999999999999E-2</v>
      </c>
      <c r="F3217" s="109">
        <v>1.2E-2</v>
      </c>
      <c r="G3217" s="130">
        <v>0</v>
      </c>
      <c r="H3217" s="71">
        <v>8.6999999999999993</v>
      </c>
      <c r="I3217" s="71">
        <v>11.4</v>
      </c>
      <c r="J3217" s="71">
        <v>14</v>
      </c>
      <c r="K3217" s="121">
        <v>2.8E-3</v>
      </c>
      <c r="L3217" s="121">
        <v>-7.0000000000000001E-3</v>
      </c>
      <c r="M3217" s="75" t="s">
        <v>146</v>
      </c>
      <c r="N3217" s="75" t="b">
        <v>1</v>
      </c>
      <c r="O3217" s="75" t="s">
        <v>145</v>
      </c>
      <c r="P3217" s="75">
        <v>2014</v>
      </c>
      <c r="Q3217" s="107">
        <f t="shared" si="92"/>
        <v>2016</v>
      </c>
      <c r="R3217" s="107">
        <v>2</v>
      </c>
      <c r="S3217" s="43">
        <v>216111</v>
      </c>
      <c r="T3217" s="74">
        <v>42691</v>
      </c>
    </row>
    <row r="3218" spans="1:20" x14ac:dyDescent="0.3">
      <c r="A3218" s="42">
        <v>42674</v>
      </c>
      <c r="B3218" s="37">
        <f t="shared" si="93"/>
        <v>20161031</v>
      </c>
      <c r="C3218" s="109">
        <v>1.7100000000000001E-2</v>
      </c>
      <c r="D3218" s="109">
        <v>8.0000000000000002E-3</v>
      </c>
      <c r="E3218" s="109">
        <v>1.0999999999999999E-2</v>
      </c>
      <c r="F3218" s="109">
        <v>1.2E-2</v>
      </c>
      <c r="G3218" s="130">
        <v>0</v>
      </c>
      <c r="H3218" s="71">
        <v>8.6999999999999993</v>
      </c>
      <c r="I3218" s="71">
        <v>11.4</v>
      </c>
      <c r="J3218" s="71">
        <v>14</v>
      </c>
      <c r="K3218" s="121">
        <v>2.3E-3</v>
      </c>
      <c r="L3218" s="121">
        <v>-7.0000000000000001E-3</v>
      </c>
      <c r="M3218" s="75" t="s">
        <v>146</v>
      </c>
      <c r="N3218" s="75" t="b">
        <v>1</v>
      </c>
      <c r="O3218" s="75" t="s">
        <v>145</v>
      </c>
      <c r="P3218" s="75">
        <v>2014</v>
      </c>
      <c r="Q3218" s="107">
        <f t="shared" si="92"/>
        <v>2016</v>
      </c>
      <c r="R3218" s="107">
        <v>2</v>
      </c>
      <c r="S3218" s="43">
        <v>216111</v>
      </c>
      <c r="T3218" s="74">
        <v>42691</v>
      </c>
    </row>
    <row r="3219" spans="1:20" x14ac:dyDescent="0.3">
      <c r="A3219" s="42">
        <v>42675</v>
      </c>
      <c r="B3219" s="37">
        <f t="shared" si="93"/>
        <v>20161101</v>
      </c>
      <c r="C3219" s="109">
        <v>1.72E-2</v>
      </c>
      <c r="D3219" s="109">
        <v>8.0000000000000002E-3</v>
      </c>
      <c r="E3219" s="109">
        <v>1.0999999999999999E-2</v>
      </c>
      <c r="F3219" s="109">
        <v>1.2E-2</v>
      </c>
      <c r="G3219" s="130">
        <v>0</v>
      </c>
      <c r="H3219" s="71">
        <v>8.6999999999999993</v>
      </c>
      <c r="I3219" s="71">
        <v>11.4</v>
      </c>
      <c r="J3219" s="71">
        <v>14</v>
      </c>
      <c r="K3219" s="121">
        <v>2.3E-3</v>
      </c>
      <c r="L3219" s="121">
        <v>-7.0000000000000001E-3</v>
      </c>
      <c r="M3219" s="75" t="s">
        <v>146</v>
      </c>
      <c r="N3219" s="75" t="b">
        <v>1</v>
      </c>
      <c r="O3219" s="75" t="s">
        <v>145</v>
      </c>
      <c r="P3219" s="75">
        <v>2014</v>
      </c>
      <c r="Q3219" s="107">
        <f t="shared" si="92"/>
        <v>2016</v>
      </c>
      <c r="R3219" s="107">
        <v>2</v>
      </c>
      <c r="S3219" s="43">
        <v>216111</v>
      </c>
      <c r="T3219" s="74">
        <v>42691</v>
      </c>
    </row>
    <row r="3220" spans="1:20" x14ac:dyDescent="0.3">
      <c r="A3220" s="42">
        <v>42676</v>
      </c>
      <c r="B3220" s="37">
        <f t="shared" si="93"/>
        <v>20161102</v>
      </c>
      <c r="C3220" s="109">
        <v>1.6899999999999998E-2</v>
      </c>
      <c r="D3220" s="109">
        <v>8.0000000000000002E-3</v>
      </c>
      <c r="E3220" s="109">
        <v>1.0999999999999999E-2</v>
      </c>
      <c r="F3220" s="109">
        <v>1.2E-2</v>
      </c>
      <c r="G3220" s="130">
        <v>0</v>
      </c>
      <c r="H3220" s="71">
        <v>8.6999999999999993</v>
      </c>
      <c r="I3220" s="71">
        <v>11.4</v>
      </c>
      <c r="J3220" s="71">
        <v>14</v>
      </c>
      <c r="K3220" s="121">
        <v>2.2000000000000001E-3</v>
      </c>
      <c r="L3220" s="121">
        <v>-7.0000000000000001E-3</v>
      </c>
      <c r="M3220" s="75" t="s">
        <v>146</v>
      </c>
      <c r="N3220" s="75" t="b">
        <v>1</v>
      </c>
      <c r="O3220" s="75" t="s">
        <v>145</v>
      </c>
      <c r="P3220" s="75">
        <v>2014</v>
      </c>
      <c r="Q3220" s="107">
        <f t="shared" si="92"/>
        <v>2016</v>
      </c>
      <c r="R3220" s="107">
        <v>2</v>
      </c>
      <c r="S3220" s="43">
        <v>216111</v>
      </c>
      <c r="T3220" s="74">
        <v>42691</v>
      </c>
    </row>
    <row r="3221" spans="1:20" x14ac:dyDescent="0.3">
      <c r="A3221" s="42">
        <v>42677</v>
      </c>
      <c r="B3221" s="37">
        <f t="shared" si="93"/>
        <v>20161103</v>
      </c>
      <c r="C3221" s="109">
        <v>1.7100000000000001E-2</v>
      </c>
      <c r="D3221" s="109">
        <v>8.0000000000000002E-3</v>
      </c>
      <c r="E3221" s="109">
        <v>1.0999999999999999E-2</v>
      </c>
      <c r="F3221" s="109">
        <v>1.2E-2</v>
      </c>
      <c r="G3221" s="130">
        <v>0</v>
      </c>
      <c r="H3221" s="71">
        <v>8.6999999999999993</v>
      </c>
      <c r="I3221" s="71">
        <v>11.4</v>
      </c>
      <c r="J3221" s="71">
        <v>14</v>
      </c>
      <c r="K3221" s="121">
        <v>2.3999999999999998E-3</v>
      </c>
      <c r="L3221" s="121">
        <v>-7.0000000000000001E-3</v>
      </c>
      <c r="M3221" s="75" t="s">
        <v>146</v>
      </c>
      <c r="N3221" s="75" t="b">
        <v>1</v>
      </c>
      <c r="O3221" s="75" t="s">
        <v>145</v>
      </c>
      <c r="P3221" s="75">
        <v>2014</v>
      </c>
      <c r="Q3221" s="107">
        <f t="shared" si="92"/>
        <v>2016</v>
      </c>
      <c r="R3221" s="107">
        <v>2</v>
      </c>
      <c r="S3221" s="43">
        <v>216111</v>
      </c>
      <c r="T3221" s="74">
        <v>42691</v>
      </c>
    </row>
    <row r="3222" spans="1:20" x14ac:dyDescent="0.3">
      <c r="A3222" s="42">
        <v>42678</v>
      </c>
      <c r="B3222" s="37">
        <f t="shared" si="93"/>
        <v>20161104</v>
      </c>
      <c r="C3222" s="109">
        <v>1.6799999999999999E-2</v>
      </c>
      <c r="D3222" s="109">
        <v>8.0000000000000002E-3</v>
      </c>
      <c r="E3222" s="109">
        <v>1.0999999999999999E-2</v>
      </c>
      <c r="F3222" s="109">
        <v>1.2E-2</v>
      </c>
      <c r="G3222" s="130">
        <v>0</v>
      </c>
      <c r="H3222" s="71">
        <v>8.6999999999999993</v>
      </c>
      <c r="I3222" s="71">
        <v>11.4</v>
      </c>
      <c r="J3222" s="71">
        <v>14</v>
      </c>
      <c r="K3222" s="121">
        <v>2E-3</v>
      </c>
      <c r="L3222" s="121">
        <v>-7.0000000000000001E-3</v>
      </c>
      <c r="M3222" s="75" t="s">
        <v>146</v>
      </c>
      <c r="N3222" s="75" t="b">
        <v>1</v>
      </c>
      <c r="O3222" s="75" t="s">
        <v>145</v>
      </c>
      <c r="P3222" s="75">
        <v>2014</v>
      </c>
      <c r="Q3222" s="107">
        <f t="shared" si="92"/>
        <v>2016</v>
      </c>
      <c r="R3222" s="107">
        <v>2</v>
      </c>
      <c r="S3222" s="43">
        <v>216111</v>
      </c>
      <c r="T3222" s="74">
        <v>42691</v>
      </c>
    </row>
    <row r="3223" spans="1:20" x14ac:dyDescent="0.3">
      <c r="A3223" s="42">
        <v>42679</v>
      </c>
      <c r="B3223" s="37">
        <f t="shared" si="93"/>
        <v>20161105</v>
      </c>
      <c r="C3223" s="109">
        <v>1.6799999999999999E-2</v>
      </c>
      <c r="D3223" s="109">
        <v>8.0000000000000002E-3</v>
      </c>
      <c r="E3223" s="109">
        <v>1.0999999999999999E-2</v>
      </c>
      <c r="F3223" s="109">
        <v>1.2E-2</v>
      </c>
      <c r="G3223" s="130">
        <v>0</v>
      </c>
      <c r="H3223" s="71">
        <v>8.6999999999999993</v>
      </c>
      <c r="I3223" s="71">
        <v>11.4</v>
      </c>
      <c r="J3223" s="71">
        <v>14</v>
      </c>
      <c r="K3223" s="121">
        <v>2E-3</v>
      </c>
      <c r="L3223" s="121">
        <v>-7.0000000000000001E-3</v>
      </c>
      <c r="M3223" s="75" t="s">
        <v>146</v>
      </c>
      <c r="N3223" s="75" t="b">
        <v>1</v>
      </c>
      <c r="O3223" s="75" t="s">
        <v>145</v>
      </c>
      <c r="P3223" s="75">
        <v>2014</v>
      </c>
      <c r="Q3223" s="107">
        <f t="shared" si="92"/>
        <v>2016</v>
      </c>
      <c r="R3223" s="107">
        <v>2</v>
      </c>
      <c r="S3223" s="43">
        <v>216111</v>
      </c>
      <c r="T3223" s="74">
        <v>42691</v>
      </c>
    </row>
    <row r="3224" spans="1:20" x14ac:dyDescent="0.3">
      <c r="A3224" s="42">
        <v>42680</v>
      </c>
      <c r="B3224" s="37">
        <f t="shared" si="93"/>
        <v>20161106</v>
      </c>
      <c r="C3224" s="109">
        <v>1.6799999999999999E-2</v>
      </c>
      <c r="D3224" s="109">
        <v>8.0000000000000002E-3</v>
      </c>
      <c r="E3224" s="109">
        <v>1.0999999999999999E-2</v>
      </c>
      <c r="F3224" s="109">
        <v>1.2E-2</v>
      </c>
      <c r="G3224" s="130">
        <v>0</v>
      </c>
      <c r="H3224" s="71">
        <v>8.6999999999999993</v>
      </c>
      <c r="I3224" s="71">
        <v>11.4</v>
      </c>
      <c r="J3224" s="71">
        <v>14</v>
      </c>
      <c r="K3224" s="121">
        <v>2E-3</v>
      </c>
      <c r="L3224" s="121">
        <v>-7.0000000000000001E-3</v>
      </c>
      <c r="M3224" s="75" t="s">
        <v>146</v>
      </c>
      <c r="N3224" s="75" t="b">
        <v>1</v>
      </c>
      <c r="O3224" s="75" t="s">
        <v>145</v>
      </c>
      <c r="P3224" s="75">
        <v>2014</v>
      </c>
      <c r="Q3224" s="107">
        <f t="shared" si="92"/>
        <v>2016</v>
      </c>
      <c r="R3224" s="107">
        <v>2</v>
      </c>
      <c r="S3224" s="43">
        <v>216111</v>
      </c>
      <c r="T3224" s="74">
        <v>42691</v>
      </c>
    </row>
    <row r="3225" spans="1:20" x14ac:dyDescent="0.3">
      <c r="A3225" s="42">
        <v>42681</v>
      </c>
      <c r="B3225" s="37">
        <f t="shared" si="93"/>
        <v>20161107</v>
      </c>
      <c r="C3225" s="109">
        <v>1.7299999999999999E-2</v>
      </c>
      <c r="D3225" s="109">
        <v>8.0000000000000002E-3</v>
      </c>
      <c r="E3225" s="109">
        <v>1.0999999999999999E-2</v>
      </c>
      <c r="F3225" s="109">
        <v>1.2E-2</v>
      </c>
      <c r="G3225" s="130">
        <v>0</v>
      </c>
      <c r="H3225" s="71">
        <v>8.6999999999999993</v>
      </c>
      <c r="I3225" s="71">
        <v>11.4</v>
      </c>
      <c r="J3225" s="71">
        <v>14</v>
      </c>
      <c r="K3225" s="121">
        <v>2.5000000000000001E-3</v>
      </c>
      <c r="L3225" s="121">
        <v>-7.0000000000000001E-3</v>
      </c>
      <c r="M3225" s="75" t="s">
        <v>146</v>
      </c>
      <c r="N3225" s="75" t="b">
        <v>1</v>
      </c>
      <c r="O3225" s="75" t="s">
        <v>145</v>
      </c>
      <c r="P3225" s="75">
        <v>2014</v>
      </c>
      <c r="Q3225" s="107">
        <f t="shared" si="92"/>
        <v>2016</v>
      </c>
      <c r="R3225" s="107">
        <v>2</v>
      </c>
      <c r="S3225" s="43">
        <v>216111</v>
      </c>
      <c r="T3225" s="74">
        <v>42691</v>
      </c>
    </row>
    <row r="3226" spans="1:20" x14ac:dyDescent="0.3">
      <c r="A3226" s="42">
        <v>42682</v>
      </c>
      <c r="B3226" s="37">
        <f t="shared" si="93"/>
        <v>20161108</v>
      </c>
      <c r="C3226" s="109">
        <v>1.78E-2</v>
      </c>
      <c r="D3226" s="109">
        <v>8.0000000000000002E-3</v>
      </c>
      <c r="E3226" s="109">
        <v>1.0999999999999999E-2</v>
      </c>
      <c r="F3226" s="109">
        <v>1.2E-2</v>
      </c>
      <c r="G3226" s="130">
        <v>0</v>
      </c>
      <c r="H3226" s="71">
        <v>8.6999999999999993</v>
      </c>
      <c r="I3226" s="71">
        <v>11.4</v>
      </c>
      <c r="J3226" s="71">
        <v>14</v>
      </c>
      <c r="K3226" s="121">
        <v>2.7000000000000001E-3</v>
      </c>
      <c r="L3226" s="121">
        <v>-7.0000000000000001E-3</v>
      </c>
      <c r="M3226" s="75" t="s">
        <v>146</v>
      </c>
      <c r="N3226" s="75" t="b">
        <v>1</v>
      </c>
      <c r="O3226" s="75" t="s">
        <v>145</v>
      </c>
      <c r="P3226" s="75">
        <v>2014</v>
      </c>
      <c r="Q3226" s="107">
        <f t="shared" si="92"/>
        <v>2016</v>
      </c>
      <c r="R3226" s="107">
        <v>2</v>
      </c>
      <c r="S3226" s="43">
        <v>216111</v>
      </c>
      <c r="T3226" s="74">
        <v>42691</v>
      </c>
    </row>
    <row r="3227" spans="1:20" x14ac:dyDescent="0.3">
      <c r="A3227" s="42">
        <v>42683</v>
      </c>
      <c r="B3227" s="37">
        <f t="shared" si="93"/>
        <v>20161109</v>
      </c>
      <c r="C3227" s="109">
        <v>1.89E-2</v>
      </c>
      <c r="D3227" s="109">
        <v>8.0000000000000002E-3</v>
      </c>
      <c r="E3227" s="109">
        <v>1.0999999999999999E-2</v>
      </c>
      <c r="F3227" s="109">
        <v>1.2E-2</v>
      </c>
      <c r="G3227" s="130">
        <v>0</v>
      </c>
      <c r="H3227" s="71">
        <v>8.6999999999999993</v>
      </c>
      <c r="I3227" s="71">
        <v>11.4</v>
      </c>
      <c r="J3227" s="71">
        <v>14</v>
      </c>
      <c r="K3227" s="121">
        <v>2.7000000000000001E-3</v>
      </c>
      <c r="L3227" s="121">
        <v>-7.0000000000000001E-3</v>
      </c>
      <c r="M3227" s="75" t="s">
        <v>146</v>
      </c>
      <c r="N3227" s="75" t="b">
        <v>1</v>
      </c>
      <c r="O3227" s="75" t="s">
        <v>145</v>
      </c>
      <c r="P3227" s="75">
        <v>2014</v>
      </c>
      <c r="Q3227" s="107">
        <f t="shared" si="92"/>
        <v>2016</v>
      </c>
      <c r="R3227" s="107">
        <v>2</v>
      </c>
      <c r="S3227" s="43">
        <v>216111</v>
      </c>
      <c r="T3227" s="74">
        <v>42691</v>
      </c>
    </row>
    <row r="3228" spans="1:20" x14ac:dyDescent="0.3">
      <c r="A3228" s="42">
        <v>42684</v>
      </c>
      <c r="B3228" s="37">
        <f t="shared" si="93"/>
        <v>20161110</v>
      </c>
      <c r="C3228" s="109">
        <v>1.9400000000000001E-2</v>
      </c>
      <c r="D3228" s="109">
        <v>8.0000000000000002E-3</v>
      </c>
      <c r="E3228" s="109">
        <v>1.0999999999999999E-2</v>
      </c>
      <c r="F3228" s="109">
        <v>1.2E-2</v>
      </c>
      <c r="G3228" s="130">
        <v>0</v>
      </c>
      <c r="H3228" s="71">
        <v>8.6999999999999993</v>
      </c>
      <c r="I3228" s="71">
        <v>11.4</v>
      </c>
      <c r="J3228" s="71">
        <v>14</v>
      </c>
      <c r="K3228" s="121">
        <v>2.8999999999999998E-3</v>
      </c>
      <c r="L3228" s="121">
        <v>-7.0000000000000001E-3</v>
      </c>
      <c r="M3228" s="75" t="s">
        <v>146</v>
      </c>
      <c r="N3228" s="75" t="b">
        <v>1</v>
      </c>
      <c r="O3228" s="75" t="s">
        <v>145</v>
      </c>
      <c r="P3228" s="75">
        <v>2014</v>
      </c>
      <c r="Q3228" s="107">
        <f t="shared" si="92"/>
        <v>2016</v>
      </c>
      <c r="R3228" s="107">
        <v>2</v>
      </c>
      <c r="S3228" s="43">
        <v>216111</v>
      </c>
      <c r="T3228" s="74">
        <v>42691</v>
      </c>
    </row>
    <row r="3229" spans="1:20" x14ac:dyDescent="0.3">
      <c r="A3229" s="42">
        <v>42685</v>
      </c>
      <c r="B3229" s="37">
        <f t="shared" si="93"/>
        <v>20161111</v>
      </c>
      <c r="C3229" s="109">
        <v>1.9400000000000001E-2</v>
      </c>
      <c r="D3229" s="109">
        <v>8.0000000000000002E-3</v>
      </c>
      <c r="E3229" s="109">
        <v>1.0999999999999999E-2</v>
      </c>
      <c r="F3229" s="109">
        <v>1.2E-2</v>
      </c>
      <c r="G3229" s="130">
        <v>0</v>
      </c>
      <c r="H3229" s="71">
        <v>8.6999999999999993</v>
      </c>
      <c r="I3229" s="71">
        <v>11.4</v>
      </c>
      <c r="J3229" s="71">
        <v>14</v>
      </c>
      <c r="K3229" s="121">
        <v>2.8999999999999998E-3</v>
      </c>
      <c r="L3229" s="121">
        <v>-7.0000000000000001E-3</v>
      </c>
      <c r="M3229" s="75" t="s">
        <v>146</v>
      </c>
      <c r="N3229" s="75" t="b">
        <v>1</v>
      </c>
      <c r="O3229" s="75" t="s">
        <v>145</v>
      </c>
      <c r="P3229" s="75">
        <v>2014</v>
      </c>
      <c r="Q3229" s="107">
        <f t="shared" si="92"/>
        <v>2016</v>
      </c>
      <c r="R3229" s="107">
        <v>2</v>
      </c>
      <c r="S3229" s="43">
        <v>216111</v>
      </c>
      <c r="T3229" s="74">
        <v>42691</v>
      </c>
    </row>
    <row r="3230" spans="1:20" x14ac:dyDescent="0.3">
      <c r="A3230" s="42">
        <v>42686</v>
      </c>
      <c r="B3230" s="37">
        <f t="shared" si="93"/>
        <v>20161112</v>
      </c>
      <c r="C3230" s="109">
        <v>1.9400000000000001E-2</v>
      </c>
      <c r="D3230" s="109">
        <v>8.0000000000000002E-3</v>
      </c>
      <c r="E3230" s="109">
        <v>1.0999999999999999E-2</v>
      </c>
      <c r="F3230" s="109">
        <v>1.2E-2</v>
      </c>
      <c r="G3230" s="130">
        <v>0</v>
      </c>
      <c r="H3230" s="71">
        <v>8.6999999999999993</v>
      </c>
      <c r="I3230" s="71">
        <v>11.4</v>
      </c>
      <c r="J3230" s="71">
        <v>14</v>
      </c>
      <c r="K3230" s="121">
        <v>2.8999999999999998E-3</v>
      </c>
      <c r="L3230" s="121">
        <v>-7.0000000000000001E-3</v>
      </c>
      <c r="M3230" s="75" t="s">
        <v>146</v>
      </c>
      <c r="N3230" s="75" t="b">
        <v>1</v>
      </c>
      <c r="O3230" s="75" t="s">
        <v>145</v>
      </c>
      <c r="P3230" s="75">
        <v>2014</v>
      </c>
      <c r="Q3230" s="107">
        <f t="shared" si="92"/>
        <v>2016</v>
      </c>
      <c r="R3230" s="107">
        <v>2</v>
      </c>
      <c r="S3230" s="43">
        <v>216111</v>
      </c>
      <c r="T3230" s="74">
        <v>42691</v>
      </c>
    </row>
    <row r="3231" spans="1:20" x14ac:dyDescent="0.3">
      <c r="A3231" s="42">
        <v>42687</v>
      </c>
      <c r="B3231" s="37">
        <f t="shared" si="93"/>
        <v>20161113</v>
      </c>
      <c r="C3231" s="109">
        <v>1.9400000000000001E-2</v>
      </c>
      <c r="D3231" s="109">
        <v>8.0000000000000002E-3</v>
      </c>
      <c r="E3231" s="109">
        <v>1.0999999999999999E-2</v>
      </c>
      <c r="F3231" s="109">
        <v>1.2E-2</v>
      </c>
      <c r="G3231" s="130">
        <v>0</v>
      </c>
      <c r="H3231" s="71">
        <v>8.6999999999999993</v>
      </c>
      <c r="I3231" s="71">
        <v>11.4</v>
      </c>
      <c r="J3231" s="71">
        <v>14</v>
      </c>
      <c r="K3231" s="121">
        <v>2.8999999999999998E-3</v>
      </c>
      <c r="L3231" s="121">
        <v>-7.0000000000000001E-3</v>
      </c>
      <c r="M3231" s="75" t="s">
        <v>146</v>
      </c>
      <c r="N3231" s="75" t="b">
        <v>1</v>
      </c>
      <c r="O3231" s="75" t="s">
        <v>145</v>
      </c>
      <c r="P3231" s="75">
        <v>2014</v>
      </c>
      <c r="Q3231" s="107">
        <f t="shared" si="92"/>
        <v>2016</v>
      </c>
      <c r="R3231" s="107">
        <v>2</v>
      </c>
      <c r="S3231" s="43">
        <v>216111</v>
      </c>
      <c r="T3231" s="74">
        <v>42691</v>
      </c>
    </row>
    <row r="3232" spans="1:20" x14ac:dyDescent="0.3">
      <c r="A3232" s="42">
        <v>42688</v>
      </c>
      <c r="B3232" s="37">
        <f t="shared" si="93"/>
        <v>20161114</v>
      </c>
      <c r="C3232" s="109">
        <v>2.0499999999999997E-2</v>
      </c>
      <c r="D3232" s="109">
        <v>8.0000000000000002E-3</v>
      </c>
      <c r="E3232" s="109">
        <v>1.0999999999999999E-2</v>
      </c>
      <c r="F3232" s="109">
        <v>1.2E-2</v>
      </c>
      <c r="G3232" s="130">
        <v>0</v>
      </c>
      <c r="H3232" s="71">
        <v>8.6999999999999993</v>
      </c>
      <c r="I3232" s="71">
        <v>11.4</v>
      </c>
      <c r="J3232" s="71">
        <v>14</v>
      </c>
      <c r="K3232" s="121">
        <v>4.0999999999999995E-3</v>
      </c>
      <c r="L3232" s="121">
        <v>-7.0000000000000001E-3</v>
      </c>
      <c r="M3232" s="75" t="s">
        <v>146</v>
      </c>
      <c r="N3232" s="75" t="b">
        <v>1</v>
      </c>
      <c r="O3232" s="75" t="s">
        <v>145</v>
      </c>
      <c r="P3232" s="75">
        <v>2014</v>
      </c>
      <c r="Q3232" s="107">
        <f t="shared" si="92"/>
        <v>2016</v>
      </c>
      <c r="R3232" s="107">
        <v>2</v>
      </c>
      <c r="S3232" s="43">
        <v>216111</v>
      </c>
      <c r="T3232" s="74">
        <v>42691</v>
      </c>
    </row>
    <row r="3233" spans="1:20" x14ac:dyDescent="0.3">
      <c r="A3233" s="42">
        <v>42689</v>
      </c>
      <c r="B3233" s="37">
        <f t="shared" si="93"/>
        <v>20161115</v>
      </c>
      <c r="C3233" s="109">
        <v>2.0400000000000001E-2</v>
      </c>
      <c r="D3233" s="109">
        <v>8.0000000000000002E-3</v>
      </c>
      <c r="E3233" s="109">
        <v>1.0999999999999999E-2</v>
      </c>
      <c r="F3233" s="109">
        <v>1.2E-2</v>
      </c>
      <c r="G3233" s="130">
        <v>0</v>
      </c>
      <c r="H3233" s="71">
        <v>8.6999999999999993</v>
      </c>
      <c r="I3233" s="71">
        <v>11.4</v>
      </c>
      <c r="J3233" s="71">
        <v>14</v>
      </c>
      <c r="K3233" s="121">
        <v>4.0000000000000001E-3</v>
      </c>
      <c r="L3233" s="121">
        <v>-7.0000000000000001E-3</v>
      </c>
      <c r="M3233" s="75" t="s">
        <v>146</v>
      </c>
      <c r="N3233" s="75" t="b">
        <v>1</v>
      </c>
      <c r="O3233" s="75" t="s">
        <v>145</v>
      </c>
      <c r="P3233" s="75">
        <v>2014</v>
      </c>
      <c r="Q3233" s="107">
        <f t="shared" si="92"/>
        <v>2016</v>
      </c>
      <c r="R3233" s="107">
        <v>2</v>
      </c>
      <c r="S3233" s="43">
        <v>216111</v>
      </c>
      <c r="T3233" s="74">
        <v>42691</v>
      </c>
    </row>
    <row r="3234" spans="1:20" x14ac:dyDescent="0.3">
      <c r="A3234" s="42">
        <v>42690</v>
      </c>
      <c r="B3234" s="37">
        <f t="shared" si="93"/>
        <v>20161116</v>
      </c>
      <c r="C3234" s="109">
        <v>0.02</v>
      </c>
      <c r="D3234" s="109">
        <v>8.0000000000000002E-3</v>
      </c>
      <c r="E3234" s="109">
        <v>1.0999999999999999E-2</v>
      </c>
      <c r="F3234" s="109">
        <v>1.2E-2</v>
      </c>
      <c r="G3234" s="130">
        <v>0</v>
      </c>
      <c r="H3234" s="71">
        <v>8.6999999999999993</v>
      </c>
      <c r="I3234" s="71">
        <v>11.4</v>
      </c>
      <c r="J3234" s="71">
        <v>14</v>
      </c>
      <c r="K3234" s="121">
        <v>3.4999999999999996E-3</v>
      </c>
      <c r="L3234" s="121">
        <v>-7.0000000000000001E-3</v>
      </c>
      <c r="M3234" s="75" t="s">
        <v>146</v>
      </c>
      <c r="N3234" s="75" t="b">
        <v>1</v>
      </c>
      <c r="O3234" s="75" t="s">
        <v>145</v>
      </c>
      <c r="P3234" s="75">
        <v>2014</v>
      </c>
      <c r="Q3234" s="107">
        <f t="shared" si="92"/>
        <v>2016</v>
      </c>
      <c r="R3234" s="107">
        <v>2</v>
      </c>
      <c r="S3234" s="43">
        <v>216111</v>
      </c>
      <c r="T3234" s="74">
        <v>42691</v>
      </c>
    </row>
    <row r="3235" spans="1:20" x14ac:dyDescent="0.3">
      <c r="A3235" s="42">
        <v>42691</v>
      </c>
      <c r="B3235" s="37">
        <f t="shared" si="93"/>
        <v>20161117</v>
      </c>
      <c r="C3235" s="109">
        <v>2.0400000000000001E-2</v>
      </c>
      <c r="D3235" s="109">
        <v>8.0000000000000002E-3</v>
      </c>
      <c r="E3235" s="109">
        <v>1.0999999999999999E-2</v>
      </c>
      <c r="F3235" s="109">
        <v>1.2E-2</v>
      </c>
      <c r="G3235" s="130">
        <v>0</v>
      </c>
      <c r="H3235" s="71">
        <v>8.6999999999999993</v>
      </c>
      <c r="I3235" s="71">
        <v>11.4</v>
      </c>
      <c r="J3235" s="71">
        <v>14</v>
      </c>
      <c r="K3235" s="121">
        <v>3.9000000000000003E-3</v>
      </c>
      <c r="L3235" s="121">
        <v>-7.0000000000000001E-3</v>
      </c>
      <c r="M3235" s="75" t="s">
        <v>146</v>
      </c>
      <c r="N3235" s="75" t="b">
        <v>1</v>
      </c>
      <c r="O3235" s="75" t="s">
        <v>145</v>
      </c>
      <c r="P3235" s="75">
        <v>2014</v>
      </c>
      <c r="Q3235" s="107">
        <f t="shared" si="92"/>
        <v>2016</v>
      </c>
      <c r="R3235" s="107">
        <v>2</v>
      </c>
      <c r="S3235" s="43">
        <v>216111</v>
      </c>
      <c r="T3235" s="74">
        <v>42691</v>
      </c>
    </row>
    <row r="3236" spans="1:20" x14ac:dyDescent="0.3">
      <c r="A3236" s="42">
        <v>42692</v>
      </c>
      <c r="B3236" s="37">
        <f t="shared" si="93"/>
        <v>20161118</v>
      </c>
      <c r="C3236" s="109">
        <v>2.0799999999999999E-2</v>
      </c>
      <c r="D3236" s="109">
        <v>8.0000000000000002E-3</v>
      </c>
      <c r="E3236" s="109">
        <v>1.0999999999999999E-2</v>
      </c>
      <c r="F3236" s="109">
        <v>1.2E-2</v>
      </c>
      <c r="G3236" s="130">
        <v>0</v>
      </c>
      <c r="H3236" s="71">
        <v>8.6999999999999993</v>
      </c>
      <c r="I3236" s="71">
        <v>11.4</v>
      </c>
      <c r="J3236" s="71">
        <v>14</v>
      </c>
      <c r="K3236" s="121">
        <v>3.9000000000000003E-3</v>
      </c>
      <c r="L3236" s="121">
        <v>-7.0000000000000001E-3</v>
      </c>
      <c r="M3236" s="75" t="s">
        <v>146</v>
      </c>
      <c r="N3236" s="75" t="b">
        <v>1</v>
      </c>
      <c r="O3236" s="75" t="s">
        <v>145</v>
      </c>
      <c r="P3236" s="75">
        <v>2014</v>
      </c>
      <c r="Q3236" s="107">
        <f t="shared" si="92"/>
        <v>2016</v>
      </c>
      <c r="R3236" s="107">
        <v>2</v>
      </c>
      <c r="S3236" s="43">
        <v>216111</v>
      </c>
      <c r="T3236" s="74">
        <v>42691</v>
      </c>
    </row>
    <row r="3237" spans="1:20" x14ac:dyDescent="0.3">
      <c r="A3237" s="42">
        <v>42693</v>
      </c>
      <c r="B3237" s="37">
        <f t="shared" si="93"/>
        <v>20161119</v>
      </c>
      <c r="C3237" s="109">
        <v>2.0799999999999999E-2</v>
      </c>
      <c r="D3237" s="109">
        <v>8.0000000000000002E-3</v>
      </c>
      <c r="E3237" s="109">
        <v>1.0999999999999999E-2</v>
      </c>
      <c r="F3237" s="109">
        <v>1.2E-2</v>
      </c>
      <c r="G3237" s="130">
        <v>0</v>
      </c>
      <c r="H3237" s="71">
        <v>8.6999999999999993</v>
      </c>
      <c r="I3237" s="71">
        <v>11.4</v>
      </c>
      <c r="J3237" s="71">
        <v>14</v>
      </c>
      <c r="K3237" s="121">
        <v>3.9000000000000003E-3</v>
      </c>
      <c r="L3237" s="121">
        <v>-7.0000000000000001E-3</v>
      </c>
      <c r="M3237" s="75" t="s">
        <v>146</v>
      </c>
      <c r="N3237" s="75" t="b">
        <v>1</v>
      </c>
      <c r="O3237" s="75" t="s">
        <v>145</v>
      </c>
      <c r="P3237" s="75">
        <v>2014</v>
      </c>
      <c r="Q3237" s="107">
        <f t="shared" si="92"/>
        <v>2016</v>
      </c>
      <c r="R3237" s="107">
        <v>2</v>
      </c>
      <c r="S3237" s="43">
        <v>216111</v>
      </c>
      <c r="T3237" s="74">
        <v>42691</v>
      </c>
    </row>
    <row r="3238" spans="1:20" x14ac:dyDescent="0.3">
      <c r="A3238" s="42">
        <v>42694</v>
      </c>
      <c r="B3238" s="37">
        <f t="shared" si="93"/>
        <v>20161120</v>
      </c>
      <c r="C3238" s="109">
        <v>2.0799999999999999E-2</v>
      </c>
      <c r="D3238" s="109">
        <v>8.0000000000000002E-3</v>
      </c>
      <c r="E3238" s="109">
        <v>1.0999999999999999E-2</v>
      </c>
      <c r="F3238" s="109">
        <v>1.2E-2</v>
      </c>
      <c r="G3238" s="130">
        <v>0</v>
      </c>
      <c r="H3238" s="71">
        <v>8.6999999999999993</v>
      </c>
      <c r="I3238" s="71">
        <v>11.4</v>
      </c>
      <c r="J3238" s="71">
        <v>14</v>
      </c>
      <c r="K3238" s="121">
        <v>3.9000000000000003E-3</v>
      </c>
      <c r="L3238" s="121">
        <v>-7.0000000000000001E-3</v>
      </c>
      <c r="M3238" s="75" t="s">
        <v>146</v>
      </c>
      <c r="N3238" s="75" t="b">
        <v>1</v>
      </c>
      <c r="O3238" s="75" t="s">
        <v>145</v>
      </c>
      <c r="P3238" s="75">
        <v>2014</v>
      </c>
      <c r="Q3238" s="107">
        <f t="shared" si="92"/>
        <v>2016</v>
      </c>
      <c r="R3238" s="107">
        <v>2</v>
      </c>
      <c r="S3238" s="43">
        <v>216111</v>
      </c>
      <c r="T3238" s="74">
        <v>42691</v>
      </c>
    </row>
    <row r="3239" spans="1:20" x14ac:dyDescent="0.3">
      <c r="A3239" s="42">
        <v>42695</v>
      </c>
      <c r="B3239" s="37">
        <f t="shared" si="93"/>
        <v>20161121</v>
      </c>
      <c r="C3239" s="109">
        <v>2.07E-2</v>
      </c>
      <c r="D3239" s="109">
        <v>8.0000000000000002E-3</v>
      </c>
      <c r="E3239" s="109">
        <v>1.0999999999999999E-2</v>
      </c>
      <c r="F3239" s="109">
        <v>1.2E-2</v>
      </c>
      <c r="G3239" s="130">
        <v>0</v>
      </c>
      <c r="H3239" s="71">
        <v>8.6999999999999993</v>
      </c>
      <c r="I3239" s="71">
        <v>11.4</v>
      </c>
      <c r="J3239" s="71">
        <v>14</v>
      </c>
      <c r="K3239" s="121">
        <v>3.9000000000000003E-3</v>
      </c>
      <c r="L3239" s="121">
        <v>-7.0000000000000001E-3</v>
      </c>
      <c r="M3239" s="75" t="s">
        <v>146</v>
      </c>
      <c r="N3239" s="75" t="b">
        <v>1</v>
      </c>
      <c r="O3239" s="75" t="s">
        <v>145</v>
      </c>
      <c r="P3239" s="75">
        <v>2014</v>
      </c>
      <c r="Q3239" s="107">
        <f t="shared" si="92"/>
        <v>2016</v>
      </c>
      <c r="R3239" s="107">
        <v>2</v>
      </c>
      <c r="S3239" s="43">
        <v>216111</v>
      </c>
      <c r="T3239" s="74">
        <v>42691</v>
      </c>
    </row>
    <row r="3240" spans="1:20" x14ac:dyDescent="0.3">
      <c r="A3240" s="42">
        <v>42696</v>
      </c>
      <c r="B3240" s="37">
        <f t="shared" si="93"/>
        <v>20161122</v>
      </c>
      <c r="C3240" s="109">
        <v>2.0499999999999997E-2</v>
      </c>
      <c r="D3240" s="109">
        <v>8.0000000000000002E-3</v>
      </c>
      <c r="E3240" s="109">
        <v>1.0999999999999999E-2</v>
      </c>
      <c r="F3240" s="109">
        <v>1.2E-2</v>
      </c>
      <c r="G3240" s="130">
        <v>0</v>
      </c>
      <c r="H3240" s="71">
        <v>8.6999999999999993</v>
      </c>
      <c r="I3240" s="71">
        <v>11.4</v>
      </c>
      <c r="J3240" s="71">
        <v>14</v>
      </c>
      <c r="K3240" s="121">
        <v>3.7000000000000002E-3</v>
      </c>
      <c r="L3240" s="121">
        <v>-7.0000000000000001E-3</v>
      </c>
      <c r="M3240" s="75" t="s">
        <v>146</v>
      </c>
      <c r="N3240" s="75" t="b">
        <v>1</v>
      </c>
      <c r="O3240" s="75" t="s">
        <v>145</v>
      </c>
      <c r="P3240" s="75">
        <v>2014</v>
      </c>
      <c r="Q3240" s="107">
        <f t="shared" si="92"/>
        <v>2016</v>
      </c>
      <c r="R3240" s="107">
        <v>2</v>
      </c>
      <c r="S3240" s="43">
        <v>216111</v>
      </c>
      <c r="T3240" s="74">
        <v>42691</v>
      </c>
    </row>
    <row r="3241" spans="1:20" x14ac:dyDescent="0.3">
      <c r="A3241" s="42">
        <v>42697</v>
      </c>
      <c r="B3241" s="37">
        <f t="shared" si="93"/>
        <v>20161123</v>
      </c>
      <c r="C3241" s="109">
        <v>2.0499999999999997E-2</v>
      </c>
      <c r="D3241" s="109">
        <v>8.0000000000000002E-3</v>
      </c>
      <c r="E3241" s="109">
        <v>1.0999999999999999E-2</v>
      </c>
      <c r="F3241" s="109">
        <v>1.2E-2</v>
      </c>
      <c r="G3241" s="130">
        <v>0</v>
      </c>
      <c r="H3241" s="71">
        <v>8.6999999999999993</v>
      </c>
      <c r="I3241" s="71">
        <v>11.4</v>
      </c>
      <c r="J3241" s="71">
        <v>14</v>
      </c>
      <c r="K3241" s="121">
        <v>3.4999999999999996E-3</v>
      </c>
      <c r="L3241" s="121">
        <v>-7.0000000000000001E-3</v>
      </c>
      <c r="M3241" s="75" t="s">
        <v>146</v>
      </c>
      <c r="N3241" s="75" t="b">
        <v>1</v>
      </c>
      <c r="O3241" s="75" t="s">
        <v>145</v>
      </c>
      <c r="P3241" s="75">
        <v>2014</v>
      </c>
      <c r="Q3241" s="107">
        <f t="shared" si="92"/>
        <v>2016</v>
      </c>
      <c r="R3241" s="107">
        <v>2</v>
      </c>
      <c r="S3241" s="43">
        <v>216111</v>
      </c>
      <c r="T3241" s="74">
        <v>42691</v>
      </c>
    </row>
    <row r="3242" spans="1:20" x14ac:dyDescent="0.3">
      <c r="A3242" s="42">
        <v>42698</v>
      </c>
      <c r="B3242" s="37">
        <f t="shared" si="93"/>
        <v>20161124</v>
      </c>
      <c r="C3242" s="109">
        <v>2.07E-2</v>
      </c>
      <c r="D3242" s="109">
        <v>8.0000000000000002E-3</v>
      </c>
      <c r="E3242" s="109">
        <v>1.0999999999999999E-2</v>
      </c>
      <c r="F3242" s="109">
        <v>1.2E-2</v>
      </c>
      <c r="G3242" s="130">
        <v>0</v>
      </c>
      <c r="H3242" s="71">
        <v>8.6999999999999993</v>
      </c>
      <c r="I3242" s="71">
        <v>11.4</v>
      </c>
      <c r="J3242" s="71">
        <v>14</v>
      </c>
      <c r="K3242" s="121">
        <v>3.7000000000000002E-3</v>
      </c>
      <c r="L3242" s="121">
        <v>-7.0000000000000001E-3</v>
      </c>
      <c r="M3242" s="75" t="s">
        <v>146</v>
      </c>
      <c r="N3242" s="75" t="b">
        <v>1</v>
      </c>
      <c r="O3242" s="75" t="s">
        <v>145</v>
      </c>
      <c r="P3242" s="75">
        <v>2014</v>
      </c>
      <c r="Q3242" s="107">
        <f t="shared" si="92"/>
        <v>2016</v>
      </c>
      <c r="R3242" s="107">
        <v>2</v>
      </c>
      <c r="S3242" s="43">
        <v>216111</v>
      </c>
      <c r="T3242" s="74">
        <v>42691</v>
      </c>
    </row>
    <row r="3243" spans="1:20" x14ac:dyDescent="0.3">
      <c r="A3243" s="42">
        <v>42699</v>
      </c>
      <c r="B3243" s="37">
        <f t="shared" si="93"/>
        <v>20161125</v>
      </c>
      <c r="C3243" s="109">
        <v>2.0499999999999997E-2</v>
      </c>
      <c r="D3243" s="109">
        <v>8.0000000000000002E-3</v>
      </c>
      <c r="E3243" s="109">
        <v>1.0999999999999999E-2</v>
      </c>
      <c r="F3243" s="109">
        <v>1.2E-2</v>
      </c>
      <c r="G3243" s="130">
        <v>0</v>
      </c>
      <c r="H3243" s="71">
        <v>8.6999999999999993</v>
      </c>
      <c r="I3243" s="71">
        <v>11.4</v>
      </c>
      <c r="J3243" s="71">
        <v>14</v>
      </c>
      <c r="K3243" s="121">
        <v>3.4000000000000002E-3</v>
      </c>
      <c r="L3243" s="121">
        <v>-7.0000000000000001E-3</v>
      </c>
      <c r="M3243" s="75" t="s">
        <v>146</v>
      </c>
      <c r="N3243" s="75" t="b">
        <v>1</v>
      </c>
      <c r="O3243" s="75" t="s">
        <v>145</v>
      </c>
      <c r="P3243" s="75">
        <v>2014</v>
      </c>
      <c r="Q3243" s="107">
        <f t="shared" si="92"/>
        <v>2016</v>
      </c>
      <c r="R3243" s="107">
        <v>2</v>
      </c>
      <c r="S3243" s="43">
        <v>216111</v>
      </c>
      <c r="T3243" s="74">
        <v>42691</v>
      </c>
    </row>
    <row r="3244" spans="1:20" x14ac:dyDescent="0.3">
      <c r="A3244" s="42">
        <v>42700</v>
      </c>
      <c r="B3244" s="37">
        <f t="shared" si="93"/>
        <v>20161126</v>
      </c>
      <c r="C3244" s="109">
        <v>2.0499999999999997E-2</v>
      </c>
      <c r="D3244" s="109">
        <v>8.0000000000000002E-3</v>
      </c>
      <c r="E3244" s="109">
        <v>1.0999999999999999E-2</v>
      </c>
      <c r="F3244" s="109">
        <v>1.2E-2</v>
      </c>
      <c r="G3244" s="130">
        <v>0</v>
      </c>
      <c r="H3244" s="71">
        <v>8.6999999999999993</v>
      </c>
      <c r="I3244" s="71">
        <v>11.4</v>
      </c>
      <c r="J3244" s="71">
        <v>14</v>
      </c>
      <c r="K3244" s="121">
        <v>3.4000000000000002E-3</v>
      </c>
      <c r="L3244" s="121">
        <v>-7.0000000000000001E-3</v>
      </c>
      <c r="M3244" s="75" t="s">
        <v>146</v>
      </c>
      <c r="N3244" s="75" t="b">
        <v>1</v>
      </c>
      <c r="O3244" s="75" t="s">
        <v>145</v>
      </c>
      <c r="P3244" s="75">
        <v>2014</v>
      </c>
      <c r="Q3244" s="107">
        <f t="shared" si="92"/>
        <v>2016</v>
      </c>
      <c r="R3244" s="107">
        <v>2</v>
      </c>
      <c r="S3244" s="43">
        <v>216111</v>
      </c>
      <c r="T3244" s="74">
        <v>42691</v>
      </c>
    </row>
    <row r="3245" spans="1:20" x14ac:dyDescent="0.3">
      <c r="A3245" s="42">
        <v>42701</v>
      </c>
      <c r="B3245" s="37">
        <f t="shared" si="93"/>
        <v>20161127</v>
      </c>
      <c r="C3245" s="109">
        <v>2.0499999999999997E-2</v>
      </c>
      <c r="D3245" s="109">
        <v>8.0000000000000002E-3</v>
      </c>
      <c r="E3245" s="109">
        <v>1.0999999999999999E-2</v>
      </c>
      <c r="F3245" s="109">
        <v>1.2E-2</v>
      </c>
      <c r="G3245" s="130">
        <v>0</v>
      </c>
      <c r="H3245" s="71">
        <v>8.6999999999999993</v>
      </c>
      <c r="I3245" s="71">
        <v>11.4</v>
      </c>
      <c r="J3245" s="71">
        <v>14</v>
      </c>
      <c r="K3245" s="121">
        <v>3.4000000000000002E-3</v>
      </c>
      <c r="L3245" s="121">
        <v>-7.0000000000000001E-3</v>
      </c>
      <c r="M3245" s="75" t="s">
        <v>146</v>
      </c>
      <c r="N3245" s="75" t="b">
        <v>1</v>
      </c>
      <c r="O3245" s="75" t="s">
        <v>145</v>
      </c>
      <c r="P3245" s="75">
        <v>2014</v>
      </c>
      <c r="Q3245" s="107">
        <f t="shared" si="92"/>
        <v>2016</v>
      </c>
      <c r="R3245" s="107">
        <v>2</v>
      </c>
      <c r="S3245" s="43">
        <v>216111</v>
      </c>
      <c r="T3245" s="74">
        <v>42691</v>
      </c>
    </row>
    <row r="3246" spans="1:20" x14ac:dyDescent="0.3">
      <c r="A3246" s="42">
        <v>42702</v>
      </c>
      <c r="B3246" s="37">
        <f t="shared" si="93"/>
        <v>20161128</v>
      </c>
      <c r="C3246" s="109">
        <v>2.0099999999999996E-2</v>
      </c>
      <c r="D3246" s="109">
        <v>8.0000000000000002E-3</v>
      </c>
      <c r="E3246" s="109">
        <v>1.0999999999999999E-2</v>
      </c>
      <c r="F3246" s="109">
        <v>1.2E-2</v>
      </c>
      <c r="G3246" s="130">
        <v>0</v>
      </c>
      <c r="H3246" s="71">
        <v>8.6999999999999993</v>
      </c>
      <c r="I3246" s="71">
        <v>11.4</v>
      </c>
      <c r="J3246" s="71">
        <v>14</v>
      </c>
      <c r="K3246" s="121">
        <v>3.2000000000000002E-3</v>
      </c>
      <c r="L3246" s="121">
        <v>-7.0000000000000001E-3</v>
      </c>
      <c r="M3246" s="75" t="s">
        <v>146</v>
      </c>
      <c r="N3246" s="75" t="b">
        <v>1</v>
      </c>
      <c r="O3246" s="75" t="s">
        <v>145</v>
      </c>
      <c r="P3246" s="75">
        <v>2014</v>
      </c>
      <c r="Q3246" s="107">
        <f t="shared" ref="Q3246:Q3309" si="94">YEAR(A3246)</f>
        <v>2016</v>
      </c>
      <c r="R3246" s="107">
        <v>2</v>
      </c>
      <c r="S3246" s="43">
        <v>216111</v>
      </c>
      <c r="T3246" s="74">
        <v>42691</v>
      </c>
    </row>
    <row r="3247" spans="1:20" x14ac:dyDescent="0.3">
      <c r="A3247" s="42">
        <v>42703</v>
      </c>
      <c r="B3247" s="37">
        <f t="shared" si="93"/>
        <v>20161129</v>
      </c>
      <c r="C3247" s="109">
        <v>0.02</v>
      </c>
      <c r="D3247" s="109">
        <v>8.0000000000000002E-3</v>
      </c>
      <c r="E3247" s="109">
        <v>1.0999999999999999E-2</v>
      </c>
      <c r="F3247" s="109">
        <v>1.2E-2</v>
      </c>
      <c r="G3247" s="130">
        <v>0</v>
      </c>
      <c r="H3247" s="71">
        <v>8.6999999999999993</v>
      </c>
      <c r="I3247" s="71">
        <v>11.4</v>
      </c>
      <c r="J3247" s="71">
        <v>14</v>
      </c>
      <c r="K3247" s="121">
        <v>3.0000000000000001E-3</v>
      </c>
      <c r="L3247" s="121">
        <v>-7.0000000000000001E-3</v>
      </c>
      <c r="M3247" s="75" t="s">
        <v>146</v>
      </c>
      <c r="N3247" s="75" t="b">
        <v>1</v>
      </c>
      <c r="O3247" s="75" t="s">
        <v>145</v>
      </c>
      <c r="P3247" s="75">
        <v>2014</v>
      </c>
      <c r="Q3247" s="107">
        <f t="shared" si="94"/>
        <v>2016</v>
      </c>
      <c r="R3247" s="107">
        <v>2</v>
      </c>
      <c r="S3247" s="43">
        <v>216111</v>
      </c>
      <c r="T3247" s="74">
        <v>42691</v>
      </c>
    </row>
    <row r="3248" spans="1:20" x14ac:dyDescent="0.3">
      <c r="A3248" s="42">
        <v>42704</v>
      </c>
      <c r="B3248" s="37">
        <f t="shared" si="93"/>
        <v>20161130</v>
      </c>
      <c r="C3248" s="109">
        <v>2.06E-2</v>
      </c>
      <c r="D3248" s="109">
        <v>8.0000000000000002E-3</v>
      </c>
      <c r="E3248" s="109">
        <v>1.0999999999999999E-2</v>
      </c>
      <c r="F3248" s="109">
        <v>1.2E-2</v>
      </c>
      <c r="G3248" s="130">
        <v>0</v>
      </c>
      <c r="H3248" s="71">
        <v>8.6999999999999993</v>
      </c>
      <c r="I3248" s="71">
        <v>11.4</v>
      </c>
      <c r="J3248" s="71">
        <v>14</v>
      </c>
      <c r="K3248" s="121">
        <v>3.4999999999999996E-3</v>
      </c>
      <c r="L3248" s="121">
        <v>-7.0000000000000001E-3</v>
      </c>
      <c r="M3248" s="75" t="s">
        <v>146</v>
      </c>
      <c r="N3248" s="75" t="b">
        <v>1</v>
      </c>
      <c r="O3248" s="75" t="s">
        <v>145</v>
      </c>
      <c r="P3248" s="75">
        <v>2014</v>
      </c>
      <c r="Q3248" s="107">
        <f t="shared" si="94"/>
        <v>2016</v>
      </c>
      <c r="R3248" s="107">
        <v>2</v>
      </c>
      <c r="S3248" s="43">
        <v>216111</v>
      </c>
      <c r="T3248" s="74">
        <v>42691</v>
      </c>
    </row>
    <row r="3249" spans="1:20" x14ac:dyDescent="0.3">
      <c r="A3249" s="42">
        <v>42705</v>
      </c>
      <c r="B3249" s="37">
        <f t="shared" si="93"/>
        <v>20161201</v>
      </c>
      <c r="C3249" s="109">
        <v>2.1499999999999998E-2</v>
      </c>
      <c r="D3249" s="109">
        <v>8.0000000000000002E-3</v>
      </c>
      <c r="E3249" s="109">
        <v>1.0999999999999999E-2</v>
      </c>
      <c r="F3249" s="109">
        <v>1.2E-2</v>
      </c>
      <c r="G3249" s="130">
        <v>0</v>
      </c>
      <c r="H3249" s="71">
        <v>8.6999999999999993</v>
      </c>
      <c r="I3249" s="71">
        <v>11.4</v>
      </c>
      <c r="J3249" s="71">
        <v>14</v>
      </c>
      <c r="K3249" s="121">
        <v>4.3E-3</v>
      </c>
      <c r="L3249" s="121">
        <v>-7.0000000000000001E-3</v>
      </c>
      <c r="M3249" s="75" t="s">
        <v>146</v>
      </c>
      <c r="N3249" s="75" t="b">
        <v>1</v>
      </c>
      <c r="O3249" s="75" t="s">
        <v>145</v>
      </c>
      <c r="P3249" s="75">
        <v>2014</v>
      </c>
      <c r="Q3249" s="107">
        <f t="shared" si="94"/>
        <v>2016</v>
      </c>
      <c r="R3249" s="107">
        <v>2</v>
      </c>
      <c r="S3249" s="43">
        <v>216111</v>
      </c>
      <c r="T3249" s="74">
        <v>42691</v>
      </c>
    </row>
    <row r="3250" spans="1:20" x14ac:dyDescent="0.3">
      <c r="A3250" s="42">
        <v>42706</v>
      </c>
      <c r="B3250" s="37">
        <f t="shared" si="93"/>
        <v>20161202</v>
      </c>
      <c r="C3250" s="109">
        <v>2.1299999999999999E-2</v>
      </c>
      <c r="D3250" s="109">
        <v>8.0000000000000002E-3</v>
      </c>
      <c r="E3250" s="109">
        <v>1.0999999999999999E-2</v>
      </c>
      <c r="F3250" s="109">
        <v>1.2E-2</v>
      </c>
      <c r="G3250" s="130">
        <v>0</v>
      </c>
      <c r="H3250" s="71">
        <v>8.6999999999999993</v>
      </c>
      <c r="I3250" s="71">
        <v>11.4</v>
      </c>
      <c r="J3250" s="71">
        <v>14</v>
      </c>
      <c r="K3250" s="121">
        <v>4.3E-3</v>
      </c>
      <c r="L3250" s="121">
        <v>-7.0000000000000001E-3</v>
      </c>
      <c r="M3250" s="75" t="s">
        <v>146</v>
      </c>
      <c r="N3250" s="75" t="b">
        <v>1</v>
      </c>
      <c r="O3250" s="75" t="s">
        <v>145</v>
      </c>
      <c r="P3250" s="75">
        <v>2014</v>
      </c>
      <c r="Q3250" s="107">
        <f t="shared" si="94"/>
        <v>2016</v>
      </c>
      <c r="R3250" s="107">
        <v>2</v>
      </c>
      <c r="S3250" s="43">
        <v>216111</v>
      </c>
      <c r="T3250" s="74">
        <v>42691</v>
      </c>
    </row>
    <row r="3251" spans="1:20" x14ac:dyDescent="0.3">
      <c r="A3251" s="42">
        <v>42707</v>
      </c>
      <c r="B3251" s="37">
        <f>YEAR(A3251)*10000+MONTH(A3251)*100+DAY(A3251)</f>
        <v>20161203</v>
      </c>
      <c r="C3251" s="109">
        <v>2.1299999999999999E-2</v>
      </c>
      <c r="D3251" s="109">
        <v>8.0000000000000002E-3</v>
      </c>
      <c r="E3251" s="109">
        <v>1.0999999999999999E-2</v>
      </c>
      <c r="F3251" s="109">
        <v>1.2E-2</v>
      </c>
      <c r="G3251" s="130">
        <v>0</v>
      </c>
      <c r="H3251" s="71">
        <v>8.6999999999999993</v>
      </c>
      <c r="I3251" s="71">
        <v>11.4</v>
      </c>
      <c r="J3251" s="71">
        <v>14</v>
      </c>
      <c r="K3251" s="121">
        <v>4.3E-3</v>
      </c>
      <c r="L3251" s="121">
        <v>-7.0000000000000001E-3</v>
      </c>
      <c r="M3251" s="75" t="s">
        <v>146</v>
      </c>
      <c r="N3251" s="75" t="b">
        <v>1</v>
      </c>
      <c r="O3251" s="75" t="s">
        <v>145</v>
      </c>
      <c r="P3251" s="75">
        <v>2014</v>
      </c>
      <c r="Q3251" s="107">
        <f t="shared" si="94"/>
        <v>2016</v>
      </c>
      <c r="R3251" s="107">
        <v>2</v>
      </c>
      <c r="S3251" s="43">
        <v>216111</v>
      </c>
      <c r="T3251" s="74">
        <v>42691</v>
      </c>
    </row>
    <row r="3252" spans="1:20" x14ac:dyDescent="0.3">
      <c r="A3252" s="42">
        <v>42708</v>
      </c>
      <c r="B3252" s="37">
        <f>YEAR(A3252)*10000+MONTH(A3252)*100+DAY(A3252)</f>
        <v>20161204</v>
      </c>
      <c r="C3252" s="109">
        <v>2.1299999999999999E-2</v>
      </c>
      <c r="D3252" s="109">
        <v>8.0000000000000002E-3</v>
      </c>
      <c r="E3252" s="109">
        <v>1.0999999999999999E-2</v>
      </c>
      <c r="F3252" s="109">
        <v>1.2E-2</v>
      </c>
      <c r="G3252" s="130">
        <v>0</v>
      </c>
      <c r="H3252" s="71">
        <v>8.6999999999999993</v>
      </c>
      <c r="I3252" s="71">
        <v>11.4</v>
      </c>
      <c r="J3252" s="71">
        <v>14</v>
      </c>
      <c r="K3252" s="121">
        <v>4.3E-3</v>
      </c>
      <c r="L3252" s="121">
        <v>-7.0000000000000001E-3</v>
      </c>
      <c r="M3252" s="75" t="s">
        <v>146</v>
      </c>
      <c r="N3252" s="75" t="b">
        <v>1</v>
      </c>
      <c r="O3252" s="75" t="s">
        <v>145</v>
      </c>
      <c r="P3252" s="75">
        <v>2014</v>
      </c>
      <c r="Q3252" s="107">
        <f t="shared" si="94"/>
        <v>2016</v>
      </c>
      <c r="R3252" s="107">
        <v>2</v>
      </c>
      <c r="S3252" s="43">
        <v>216111</v>
      </c>
      <c r="T3252" s="74">
        <v>42691</v>
      </c>
    </row>
    <row r="3253" spans="1:20" x14ac:dyDescent="0.3">
      <c r="A3253" s="42">
        <v>42709</v>
      </c>
      <c r="B3253" s="37">
        <f t="shared" si="93"/>
        <v>20161205</v>
      </c>
      <c r="C3253" s="109">
        <v>2.12E-2</v>
      </c>
      <c r="D3253" s="109">
        <v>8.0000000000000002E-3</v>
      </c>
      <c r="E3253" s="109">
        <v>1.0999999999999999E-2</v>
      </c>
      <c r="F3253" s="109">
        <v>1.2E-2</v>
      </c>
      <c r="G3253" s="130">
        <v>0</v>
      </c>
      <c r="H3253" s="71">
        <v>8.6999999999999993</v>
      </c>
      <c r="I3253" s="71">
        <v>11.4</v>
      </c>
      <c r="J3253" s="71">
        <v>14</v>
      </c>
      <c r="K3253" s="121">
        <v>4.1999999999999997E-3</v>
      </c>
      <c r="L3253" s="121">
        <v>-7.0000000000000001E-3</v>
      </c>
      <c r="M3253" s="75" t="s">
        <v>146</v>
      </c>
      <c r="N3253" s="75" t="b">
        <v>1</v>
      </c>
      <c r="O3253" s="75" t="s">
        <v>145</v>
      </c>
      <c r="P3253" s="75">
        <v>2014</v>
      </c>
      <c r="Q3253" s="107">
        <f t="shared" si="94"/>
        <v>2016</v>
      </c>
      <c r="R3253" s="107">
        <v>2</v>
      </c>
      <c r="S3253" s="43">
        <v>216111</v>
      </c>
      <c r="T3253" s="74">
        <v>42691</v>
      </c>
    </row>
    <row r="3254" spans="1:20" x14ac:dyDescent="0.3">
      <c r="A3254" s="42">
        <v>42710</v>
      </c>
      <c r="B3254" s="37">
        <f t="shared" si="93"/>
        <v>20161206</v>
      </c>
      <c r="C3254" s="109">
        <v>2.1299999999999999E-2</v>
      </c>
      <c r="D3254" s="109">
        <v>8.0000000000000002E-3</v>
      </c>
      <c r="E3254" s="109">
        <v>1.0999999999999999E-2</v>
      </c>
      <c r="F3254" s="109">
        <v>1.2E-2</v>
      </c>
      <c r="G3254" s="130">
        <v>0</v>
      </c>
      <c r="H3254" s="71">
        <v>8.6999999999999993</v>
      </c>
      <c r="I3254" s="71">
        <v>11.4</v>
      </c>
      <c r="J3254" s="71">
        <v>14</v>
      </c>
      <c r="K3254" s="121">
        <v>4.5999999999999999E-3</v>
      </c>
      <c r="L3254" s="121">
        <v>-7.0000000000000001E-3</v>
      </c>
      <c r="M3254" s="75" t="s">
        <v>146</v>
      </c>
      <c r="N3254" s="75" t="b">
        <v>1</v>
      </c>
      <c r="O3254" s="75" t="s">
        <v>145</v>
      </c>
      <c r="P3254" s="75">
        <v>2014</v>
      </c>
      <c r="Q3254" s="107">
        <f t="shared" si="94"/>
        <v>2016</v>
      </c>
      <c r="R3254" s="107">
        <v>2</v>
      </c>
      <c r="S3254" s="43">
        <v>216111</v>
      </c>
      <c r="T3254" s="74">
        <v>42691</v>
      </c>
    </row>
    <row r="3255" spans="1:20" x14ac:dyDescent="0.3">
      <c r="A3255" s="42">
        <v>42711</v>
      </c>
      <c r="B3255" s="37">
        <f t="shared" si="93"/>
        <v>20161207</v>
      </c>
      <c r="C3255" s="109">
        <v>2.1000000000000001E-2</v>
      </c>
      <c r="D3255" s="109">
        <v>8.0000000000000002E-3</v>
      </c>
      <c r="E3255" s="109">
        <v>1.0999999999999999E-2</v>
      </c>
      <c r="F3255" s="109">
        <v>1.2E-2</v>
      </c>
      <c r="G3255" s="130">
        <v>0</v>
      </c>
      <c r="H3255" s="71">
        <v>8.6999999999999993</v>
      </c>
      <c r="I3255" s="71">
        <v>11.4</v>
      </c>
      <c r="J3255" s="71">
        <v>14</v>
      </c>
      <c r="K3255" s="121">
        <v>4.3E-3</v>
      </c>
      <c r="L3255" s="121">
        <v>-7.0000000000000001E-3</v>
      </c>
      <c r="M3255" s="75" t="s">
        <v>146</v>
      </c>
      <c r="N3255" s="75" t="b">
        <v>1</v>
      </c>
      <c r="O3255" s="75" t="s">
        <v>145</v>
      </c>
      <c r="P3255" s="75">
        <v>2014</v>
      </c>
      <c r="Q3255" s="107">
        <f t="shared" si="94"/>
        <v>2016</v>
      </c>
      <c r="R3255" s="107">
        <v>2</v>
      </c>
      <c r="S3255" s="43">
        <v>216111</v>
      </c>
      <c r="T3255" s="74">
        <v>42691</v>
      </c>
    </row>
    <row r="3256" spans="1:20" x14ac:dyDescent="0.3">
      <c r="A3256" s="42">
        <v>42712</v>
      </c>
      <c r="B3256" s="37">
        <f t="shared" si="93"/>
        <v>20161208</v>
      </c>
      <c r="C3256" s="109">
        <v>2.1600000000000001E-2</v>
      </c>
      <c r="D3256" s="109">
        <v>8.0000000000000002E-3</v>
      </c>
      <c r="E3256" s="109">
        <v>1.0999999999999999E-2</v>
      </c>
      <c r="F3256" s="109">
        <v>1.2E-2</v>
      </c>
      <c r="G3256" s="130">
        <v>0</v>
      </c>
      <c r="H3256" s="71">
        <v>8.6999999999999993</v>
      </c>
      <c r="I3256" s="71">
        <v>11.4</v>
      </c>
      <c r="J3256" s="71">
        <v>14</v>
      </c>
      <c r="K3256" s="121">
        <v>5.1000000000000004E-3</v>
      </c>
      <c r="L3256" s="121">
        <v>-7.0000000000000001E-3</v>
      </c>
      <c r="M3256" s="75" t="s">
        <v>146</v>
      </c>
      <c r="N3256" s="75" t="b">
        <v>1</v>
      </c>
      <c r="O3256" s="75" t="s">
        <v>145</v>
      </c>
      <c r="P3256" s="75">
        <v>2014</v>
      </c>
      <c r="Q3256" s="107">
        <f t="shared" si="94"/>
        <v>2016</v>
      </c>
      <c r="R3256" s="107">
        <v>2</v>
      </c>
      <c r="S3256" s="43">
        <v>216111</v>
      </c>
      <c r="T3256" s="74">
        <v>42691</v>
      </c>
    </row>
    <row r="3257" spans="1:20" x14ac:dyDescent="0.3">
      <c r="A3257" s="42">
        <v>42713</v>
      </c>
      <c r="B3257" s="37">
        <f t="shared" si="93"/>
        <v>20161209</v>
      </c>
      <c r="C3257" s="109">
        <v>2.23E-2</v>
      </c>
      <c r="D3257" s="109">
        <v>8.0000000000000002E-3</v>
      </c>
      <c r="E3257" s="109">
        <v>1.0999999999999999E-2</v>
      </c>
      <c r="F3257" s="109">
        <v>1.2E-2</v>
      </c>
      <c r="G3257" s="130">
        <v>0</v>
      </c>
      <c r="H3257" s="71">
        <v>8.6999999999999993</v>
      </c>
      <c r="I3257" s="71">
        <v>11.4</v>
      </c>
      <c r="J3257" s="71">
        <v>14</v>
      </c>
      <c r="K3257" s="121">
        <v>5.8999999999999999E-3</v>
      </c>
      <c r="L3257" s="121">
        <v>-7.0000000000000001E-3</v>
      </c>
      <c r="M3257" s="75" t="s">
        <v>146</v>
      </c>
      <c r="N3257" s="75" t="b">
        <v>1</v>
      </c>
      <c r="O3257" s="75" t="s">
        <v>145</v>
      </c>
      <c r="P3257" s="75">
        <v>2014</v>
      </c>
      <c r="Q3257" s="107">
        <f t="shared" si="94"/>
        <v>2016</v>
      </c>
      <c r="R3257" s="107">
        <v>2</v>
      </c>
      <c r="S3257" s="43">
        <v>216111</v>
      </c>
      <c r="T3257" s="74">
        <v>42691</v>
      </c>
    </row>
    <row r="3258" spans="1:20" x14ac:dyDescent="0.3">
      <c r="A3258" s="42">
        <v>42714</v>
      </c>
      <c r="B3258" s="37">
        <f>YEAR(A3258)*10000+MONTH(A3258)*100+DAY(A3258)</f>
        <v>20161210</v>
      </c>
      <c r="C3258" s="109">
        <v>2.23E-2</v>
      </c>
      <c r="D3258" s="109">
        <v>8.0000000000000002E-3</v>
      </c>
      <c r="E3258" s="109">
        <v>1.0999999999999999E-2</v>
      </c>
      <c r="F3258" s="109">
        <v>1.2E-2</v>
      </c>
      <c r="G3258" s="130">
        <v>0</v>
      </c>
      <c r="H3258" s="71">
        <v>8.6999999999999993</v>
      </c>
      <c r="I3258" s="71">
        <v>11.4</v>
      </c>
      <c r="J3258" s="71">
        <v>14</v>
      </c>
      <c r="K3258" s="121">
        <v>5.8999999999999999E-3</v>
      </c>
      <c r="L3258" s="121">
        <v>-7.0000000000000001E-3</v>
      </c>
      <c r="M3258" s="75" t="s">
        <v>146</v>
      </c>
      <c r="N3258" s="75" t="b">
        <v>1</v>
      </c>
      <c r="O3258" s="75" t="s">
        <v>145</v>
      </c>
      <c r="P3258" s="75">
        <v>2014</v>
      </c>
      <c r="Q3258" s="107">
        <f t="shared" si="94"/>
        <v>2016</v>
      </c>
      <c r="R3258" s="107">
        <v>2</v>
      </c>
      <c r="S3258" s="43">
        <v>216111</v>
      </c>
      <c r="T3258" s="74">
        <v>42691</v>
      </c>
    </row>
    <row r="3259" spans="1:20" x14ac:dyDescent="0.3">
      <c r="A3259" s="42">
        <v>42715</v>
      </c>
      <c r="B3259" s="37">
        <f>YEAR(A3259)*10000+MONTH(A3259)*100+DAY(A3259)</f>
        <v>20161211</v>
      </c>
      <c r="C3259" s="109">
        <v>2.23E-2</v>
      </c>
      <c r="D3259" s="109">
        <v>8.0000000000000002E-3</v>
      </c>
      <c r="E3259" s="109">
        <v>1.0999999999999999E-2</v>
      </c>
      <c r="F3259" s="109">
        <v>1.2E-2</v>
      </c>
      <c r="G3259" s="130">
        <v>0</v>
      </c>
      <c r="H3259" s="71">
        <v>8.6999999999999993</v>
      </c>
      <c r="I3259" s="71">
        <v>11.4</v>
      </c>
      <c r="J3259" s="71">
        <v>14</v>
      </c>
      <c r="K3259" s="121">
        <v>5.8999999999999999E-3</v>
      </c>
      <c r="L3259" s="121">
        <v>-7.0000000000000001E-3</v>
      </c>
      <c r="M3259" s="75" t="s">
        <v>146</v>
      </c>
      <c r="N3259" s="75" t="b">
        <v>1</v>
      </c>
      <c r="O3259" s="75" t="s">
        <v>145</v>
      </c>
      <c r="P3259" s="75">
        <v>2014</v>
      </c>
      <c r="Q3259" s="107">
        <f t="shared" si="94"/>
        <v>2016</v>
      </c>
      <c r="R3259" s="107">
        <v>2</v>
      </c>
      <c r="S3259" s="43">
        <v>216111</v>
      </c>
      <c r="T3259" s="74">
        <v>42691</v>
      </c>
    </row>
    <row r="3260" spans="1:20" x14ac:dyDescent="0.3">
      <c r="A3260" s="42">
        <v>42716</v>
      </c>
      <c r="B3260" s="37">
        <f t="shared" si="93"/>
        <v>20161212</v>
      </c>
      <c r="C3260" s="109">
        <v>2.2700000000000001E-2</v>
      </c>
      <c r="D3260" s="109">
        <v>8.0000000000000002E-3</v>
      </c>
      <c r="E3260" s="109">
        <v>1.0999999999999999E-2</v>
      </c>
      <c r="F3260" s="109">
        <v>1.2E-2</v>
      </c>
      <c r="G3260" s="130">
        <v>0</v>
      </c>
      <c r="H3260" s="71">
        <v>8.6999999999999993</v>
      </c>
      <c r="I3260" s="71">
        <v>11.4</v>
      </c>
      <c r="J3260" s="71">
        <v>14</v>
      </c>
      <c r="K3260" s="121">
        <v>6.3E-3</v>
      </c>
      <c r="L3260" s="121">
        <v>-7.0000000000000001E-3</v>
      </c>
      <c r="M3260" s="75" t="s">
        <v>146</v>
      </c>
      <c r="N3260" s="75" t="b">
        <v>1</v>
      </c>
      <c r="O3260" s="75" t="s">
        <v>145</v>
      </c>
      <c r="P3260" s="75">
        <v>2014</v>
      </c>
      <c r="Q3260" s="107">
        <f t="shared" si="94"/>
        <v>2016</v>
      </c>
      <c r="R3260" s="107">
        <v>2</v>
      </c>
      <c r="S3260" s="43">
        <v>216111</v>
      </c>
      <c r="T3260" s="74">
        <v>42691</v>
      </c>
    </row>
    <row r="3261" spans="1:20" x14ac:dyDescent="0.3">
      <c r="A3261" s="42">
        <v>42717</v>
      </c>
      <c r="B3261" s="37">
        <f t="shared" si="93"/>
        <v>20161213</v>
      </c>
      <c r="C3261" s="109">
        <v>2.2700000000000001E-2</v>
      </c>
      <c r="D3261" s="109">
        <v>8.0000000000000002E-3</v>
      </c>
      <c r="E3261" s="109">
        <v>1.0999999999999999E-2</v>
      </c>
      <c r="F3261" s="109">
        <v>1.2E-2</v>
      </c>
      <c r="G3261" s="130">
        <v>0</v>
      </c>
      <c r="H3261" s="71">
        <v>8.6999999999999993</v>
      </c>
      <c r="I3261" s="71">
        <v>11.4</v>
      </c>
      <c r="J3261" s="71">
        <v>14</v>
      </c>
      <c r="K3261" s="121">
        <v>6.3E-3</v>
      </c>
      <c r="L3261" s="121">
        <v>-7.0000000000000001E-3</v>
      </c>
      <c r="M3261" s="75" t="s">
        <v>146</v>
      </c>
      <c r="N3261" s="75" t="b">
        <v>1</v>
      </c>
      <c r="O3261" s="75" t="s">
        <v>145</v>
      </c>
      <c r="P3261" s="75">
        <v>2014</v>
      </c>
      <c r="Q3261" s="107">
        <f t="shared" si="94"/>
        <v>2016</v>
      </c>
      <c r="R3261" s="107">
        <v>2</v>
      </c>
      <c r="S3261" s="43">
        <v>216111</v>
      </c>
      <c r="T3261" s="74">
        <v>42691</v>
      </c>
    </row>
    <row r="3262" spans="1:20" x14ac:dyDescent="0.3">
      <c r="A3262" s="42">
        <v>42718</v>
      </c>
      <c r="B3262" s="37">
        <f t="shared" si="93"/>
        <v>20161214</v>
      </c>
      <c r="C3262" s="109">
        <v>2.2799999999999997E-2</v>
      </c>
      <c r="D3262" s="109">
        <v>8.0000000000000002E-3</v>
      </c>
      <c r="E3262" s="109">
        <v>1.0999999999999999E-2</v>
      </c>
      <c r="F3262" s="109">
        <v>1.2E-2</v>
      </c>
      <c r="G3262" s="130">
        <v>0</v>
      </c>
      <c r="H3262" s="71">
        <v>8.6999999999999993</v>
      </c>
      <c r="I3262" s="71">
        <v>11.4</v>
      </c>
      <c r="J3262" s="71">
        <v>14</v>
      </c>
      <c r="K3262" s="121">
        <v>6.4000000000000003E-3</v>
      </c>
      <c r="L3262" s="121">
        <v>-7.0000000000000001E-3</v>
      </c>
      <c r="M3262" s="75" t="s">
        <v>146</v>
      </c>
      <c r="N3262" s="75" t="b">
        <v>1</v>
      </c>
      <c r="O3262" s="75" t="s">
        <v>145</v>
      </c>
      <c r="P3262" s="75">
        <v>2014</v>
      </c>
      <c r="Q3262" s="107">
        <f t="shared" si="94"/>
        <v>2016</v>
      </c>
      <c r="R3262" s="107">
        <v>2</v>
      </c>
      <c r="S3262" s="43">
        <v>216111</v>
      </c>
      <c r="T3262" s="74">
        <v>42691</v>
      </c>
    </row>
    <row r="3263" spans="1:20" x14ac:dyDescent="0.3">
      <c r="A3263" s="42">
        <v>42719</v>
      </c>
      <c r="B3263" s="37">
        <f t="shared" si="93"/>
        <v>20161215</v>
      </c>
      <c r="C3263" s="109">
        <v>2.3199999999999998E-2</v>
      </c>
      <c r="D3263" s="109">
        <v>8.0000000000000002E-3</v>
      </c>
      <c r="E3263" s="109">
        <v>1.0999999999999999E-2</v>
      </c>
      <c r="F3263" s="109">
        <v>1.2E-2</v>
      </c>
      <c r="G3263" s="130">
        <v>0</v>
      </c>
      <c r="H3263" s="71">
        <v>8.6999999999999993</v>
      </c>
      <c r="I3263" s="71">
        <v>11.4</v>
      </c>
      <c r="J3263" s="71">
        <v>14</v>
      </c>
      <c r="K3263" s="121">
        <v>6.8000000000000005E-3</v>
      </c>
      <c r="L3263" s="121">
        <v>-7.0000000000000001E-3</v>
      </c>
      <c r="M3263" s="75" t="s">
        <v>146</v>
      </c>
      <c r="N3263" s="75" t="b">
        <v>1</v>
      </c>
      <c r="O3263" s="75" t="s">
        <v>145</v>
      </c>
      <c r="P3263" s="75">
        <v>2014</v>
      </c>
      <c r="Q3263" s="107">
        <f t="shared" si="94"/>
        <v>2016</v>
      </c>
      <c r="R3263" s="107">
        <v>2</v>
      </c>
      <c r="S3263" s="43">
        <v>216111</v>
      </c>
      <c r="T3263" s="74">
        <v>42691</v>
      </c>
    </row>
    <row r="3264" spans="1:20" x14ac:dyDescent="0.3">
      <c r="A3264" s="42">
        <v>42720</v>
      </c>
      <c r="B3264" s="37">
        <f t="shared" si="93"/>
        <v>20161216</v>
      </c>
      <c r="C3264" s="109">
        <v>2.3300000000000001E-2</v>
      </c>
      <c r="D3264" s="109">
        <v>8.0000000000000002E-3</v>
      </c>
      <c r="E3264" s="109">
        <v>1.0999999999999999E-2</v>
      </c>
      <c r="F3264" s="109">
        <v>1.2E-2</v>
      </c>
      <c r="G3264" s="130">
        <v>0</v>
      </c>
      <c r="H3264" s="71">
        <v>8.6999999999999993</v>
      </c>
      <c r="I3264" s="71">
        <v>11.4</v>
      </c>
      <c r="J3264" s="71">
        <v>14</v>
      </c>
      <c r="K3264" s="121">
        <v>6.8999999999999999E-3</v>
      </c>
      <c r="L3264" s="121">
        <v>-7.0000000000000001E-3</v>
      </c>
      <c r="M3264" s="75" t="s">
        <v>146</v>
      </c>
      <c r="N3264" s="75" t="b">
        <v>1</v>
      </c>
      <c r="O3264" s="75" t="s">
        <v>145</v>
      </c>
      <c r="P3264" s="75">
        <v>2014</v>
      </c>
      <c r="Q3264" s="107">
        <f t="shared" si="94"/>
        <v>2016</v>
      </c>
      <c r="R3264" s="107">
        <v>2</v>
      </c>
      <c r="S3264" s="43">
        <v>216111</v>
      </c>
      <c r="T3264" s="74">
        <v>42691</v>
      </c>
    </row>
    <row r="3265" spans="1:21" x14ac:dyDescent="0.3">
      <c r="A3265" s="42">
        <v>42721</v>
      </c>
      <c r="B3265" s="37">
        <f>YEAR(A3265)*10000+MONTH(A3265)*100+DAY(A3265)</f>
        <v>20161217</v>
      </c>
      <c r="C3265" s="109">
        <v>2.3300000000000001E-2</v>
      </c>
      <c r="D3265" s="109">
        <v>8.0000000000000002E-3</v>
      </c>
      <c r="E3265" s="109">
        <v>1.0999999999999999E-2</v>
      </c>
      <c r="F3265" s="109">
        <v>1.2E-2</v>
      </c>
      <c r="G3265" s="130">
        <v>0</v>
      </c>
      <c r="H3265" s="71">
        <v>8.6999999999999993</v>
      </c>
      <c r="I3265" s="71">
        <v>11.4</v>
      </c>
      <c r="J3265" s="71">
        <v>14</v>
      </c>
      <c r="K3265" s="121">
        <v>6.8999999999999999E-3</v>
      </c>
      <c r="L3265" s="121">
        <v>-7.0000000000000001E-3</v>
      </c>
      <c r="M3265" s="75" t="s">
        <v>146</v>
      </c>
      <c r="N3265" s="75" t="b">
        <v>1</v>
      </c>
      <c r="O3265" s="75" t="s">
        <v>145</v>
      </c>
      <c r="P3265" s="75">
        <v>2014</v>
      </c>
      <c r="Q3265" s="107">
        <f t="shared" si="94"/>
        <v>2016</v>
      </c>
      <c r="R3265" s="107">
        <v>2</v>
      </c>
      <c r="S3265" s="43">
        <v>216111</v>
      </c>
      <c r="T3265" s="74">
        <v>42691</v>
      </c>
    </row>
    <row r="3266" spans="1:21" x14ac:dyDescent="0.3">
      <c r="A3266" s="42">
        <v>42722</v>
      </c>
      <c r="B3266" s="37">
        <f>YEAR(A3266)*10000+MONTH(A3266)*100+DAY(A3266)</f>
        <v>20161218</v>
      </c>
      <c r="C3266" s="109">
        <v>2.3300000000000001E-2</v>
      </c>
      <c r="D3266" s="109">
        <v>8.0000000000000002E-3</v>
      </c>
      <c r="E3266" s="109">
        <v>1.0999999999999999E-2</v>
      </c>
      <c r="F3266" s="109">
        <v>1.2E-2</v>
      </c>
      <c r="G3266" s="130">
        <v>0</v>
      </c>
      <c r="H3266" s="71">
        <v>8.6999999999999993</v>
      </c>
      <c r="I3266" s="71">
        <v>11.4</v>
      </c>
      <c r="J3266" s="71">
        <v>14</v>
      </c>
      <c r="K3266" s="121">
        <v>6.8999999999999999E-3</v>
      </c>
      <c r="L3266" s="121">
        <v>-7.0000000000000001E-3</v>
      </c>
      <c r="M3266" s="75" t="s">
        <v>146</v>
      </c>
      <c r="N3266" s="75" t="b">
        <v>1</v>
      </c>
      <c r="O3266" s="75" t="s">
        <v>145</v>
      </c>
      <c r="P3266" s="75">
        <v>2014</v>
      </c>
      <c r="Q3266" s="107">
        <f t="shared" si="94"/>
        <v>2016</v>
      </c>
      <c r="R3266" s="107">
        <v>2</v>
      </c>
      <c r="S3266" s="43">
        <v>216111</v>
      </c>
      <c r="T3266" s="74">
        <v>42691</v>
      </c>
    </row>
    <row r="3267" spans="1:21" x14ac:dyDescent="0.3">
      <c r="A3267" s="42">
        <v>42723</v>
      </c>
      <c r="B3267" s="37">
        <f t="shared" si="93"/>
        <v>20161219</v>
      </c>
      <c r="C3267" s="109">
        <v>2.29E-2</v>
      </c>
      <c r="D3267" s="109">
        <v>8.0000000000000002E-3</v>
      </c>
      <c r="E3267" s="109">
        <v>1.0999999999999999E-2</v>
      </c>
      <c r="F3267" s="109">
        <v>1.2E-2</v>
      </c>
      <c r="G3267" s="130">
        <v>0</v>
      </c>
      <c r="H3267" s="71">
        <v>8.6999999999999993</v>
      </c>
      <c r="I3267" s="71">
        <v>11.4</v>
      </c>
      <c r="J3267" s="71">
        <v>14</v>
      </c>
      <c r="K3267" s="121">
        <v>6.5000000000000006E-3</v>
      </c>
      <c r="L3267" s="121">
        <v>-7.0000000000000001E-3</v>
      </c>
      <c r="M3267" s="75" t="s">
        <v>146</v>
      </c>
      <c r="N3267" s="75" t="b">
        <v>1</v>
      </c>
      <c r="O3267" s="75" t="s">
        <v>145</v>
      </c>
      <c r="P3267" s="75">
        <v>2014</v>
      </c>
      <c r="Q3267" s="107">
        <f t="shared" si="94"/>
        <v>2016</v>
      </c>
      <c r="R3267" s="107">
        <v>2</v>
      </c>
      <c r="S3267" s="43">
        <v>216111</v>
      </c>
      <c r="T3267" s="74">
        <v>42691</v>
      </c>
    </row>
    <row r="3268" spans="1:21" x14ac:dyDescent="0.3">
      <c r="A3268" s="42">
        <v>42724</v>
      </c>
      <c r="B3268" s="37">
        <f t="shared" si="93"/>
        <v>20161220</v>
      </c>
      <c r="C3268" s="109">
        <v>2.3099999999999999E-2</v>
      </c>
      <c r="D3268" s="109">
        <v>8.0000000000000002E-3</v>
      </c>
      <c r="E3268" s="109">
        <v>1.0999999999999999E-2</v>
      </c>
      <c r="F3268" s="109">
        <v>1.2E-2</v>
      </c>
      <c r="G3268" s="130">
        <v>0</v>
      </c>
      <c r="H3268" s="71">
        <v>8.6999999999999993</v>
      </c>
      <c r="I3268" s="71">
        <v>11.4</v>
      </c>
      <c r="J3268" s="71">
        <v>14</v>
      </c>
      <c r="K3268" s="121">
        <v>6.6E-3</v>
      </c>
      <c r="L3268" s="121">
        <v>-7.0000000000000001E-3</v>
      </c>
      <c r="M3268" s="75" t="s">
        <v>146</v>
      </c>
      <c r="N3268" s="75" t="b">
        <v>1</v>
      </c>
      <c r="O3268" s="75" t="s">
        <v>145</v>
      </c>
      <c r="P3268" s="75">
        <v>2014</v>
      </c>
      <c r="Q3268" s="107">
        <f t="shared" si="94"/>
        <v>2016</v>
      </c>
      <c r="R3268" s="107">
        <v>2</v>
      </c>
      <c r="S3268" s="43">
        <v>216111</v>
      </c>
      <c r="T3268" s="74">
        <v>42691</v>
      </c>
    </row>
    <row r="3269" spans="1:21" x14ac:dyDescent="0.3">
      <c r="A3269" s="42">
        <v>42725</v>
      </c>
      <c r="B3269" s="37">
        <f t="shared" si="93"/>
        <v>20161221</v>
      </c>
      <c r="C3269" s="109">
        <v>2.3E-2</v>
      </c>
      <c r="D3269" s="109">
        <v>8.0000000000000002E-3</v>
      </c>
      <c r="E3269" s="109">
        <v>1.0999999999999999E-2</v>
      </c>
      <c r="F3269" s="109">
        <v>1.2E-2</v>
      </c>
      <c r="G3269" s="130">
        <v>0</v>
      </c>
      <c r="H3269" s="71">
        <v>8.6999999999999993</v>
      </c>
      <c r="I3269" s="71">
        <v>11.4</v>
      </c>
      <c r="J3269" s="71">
        <v>14</v>
      </c>
      <c r="K3269" s="121">
        <v>6.5000000000000006E-3</v>
      </c>
      <c r="L3269" s="121">
        <v>-7.0000000000000001E-3</v>
      </c>
      <c r="M3269" s="75" t="s">
        <v>146</v>
      </c>
      <c r="N3269" s="75" t="b">
        <v>1</v>
      </c>
      <c r="O3269" s="75" t="s">
        <v>145</v>
      </c>
      <c r="P3269" s="75">
        <v>2014</v>
      </c>
      <c r="Q3269" s="107">
        <f t="shared" si="94"/>
        <v>2016</v>
      </c>
      <c r="R3269" s="107">
        <v>2</v>
      </c>
      <c r="S3269" s="43">
        <v>216111</v>
      </c>
      <c r="T3269" s="74">
        <v>42691</v>
      </c>
    </row>
    <row r="3270" spans="1:21" x14ac:dyDescent="0.3">
      <c r="A3270" s="42">
        <v>42726</v>
      </c>
      <c r="B3270" s="37">
        <f t="shared" si="93"/>
        <v>20161222</v>
      </c>
      <c r="C3270" s="109">
        <v>2.3099999999999999E-2</v>
      </c>
      <c r="D3270" s="109">
        <v>8.0000000000000002E-3</v>
      </c>
      <c r="E3270" s="109">
        <v>1.0999999999999999E-2</v>
      </c>
      <c r="F3270" s="109">
        <v>1.2E-2</v>
      </c>
      <c r="G3270" s="130">
        <v>0</v>
      </c>
      <c r="H3270" s="71">
        <v>8.6999999999999993</v>
      </c>
      <c r="I3270" s="71">
        <v>11.4</v>
      </c>
      <c r="J3270" s="71">
        <v>14</v>
      </c>
      <c r="K3270" s="121">
        <v>6.5000000000000006E-3</v>
      </c>
      <c r="L3270" s="121">
        <v>-7.0000000000000001E-3</v>
      </c>
      <c r="M3270" s="75" t="s">
        <v>146</v>
      </c>
      <c r="N3270" s="75" t="b">
        <v>1</v>
      </c>
      <c r="O3270" s="75" t="s">
        <v>145</v>
      </c>
      <c r="P3270" s="75">
        <v>2014</v>
      </c>
      <c r="Q3270" s="107">
        <f t="shared" si="94"/>
        <v>2016</v>
      </c>
      <c r="R3270" s="107">
        <v>2</v>
      </c>
      <c r="S3270" s="43">
        <v>216111</v>
      </c>
      <c r="T3270" s="74">
        <v>42691</v>
      </c>
    </row>
    <row r="3271" spans="1:21" x14ac:dyDescent="0.3">
      <c r="A3271" s="42">
        <v>42727</v>
      </c>
      <c r="B3271" s="37">
        <f t="shared" si="93"/>
        <v>20161223</v>
      </c>
      <c r="C3271" s="109">
        <v>2.29E-2</v>
      </c>
      <c r="D3271" s="109">
        <v>8.0000000000000002E-3</v>
      </c>
      <c r="E3271" s="109">
        <v>1.0999999999999999E-2</v>
      </c>
      <c r="F3271" s="109">
        <v>1.2E-2</v>
      </c>
      <c r="G3271" s="130">
        <v>0</v>
      </c>
      <c r="H3271" s="71">
        <v>8.6999999999999993</v>
      </c>
      <c r="I3271" s="71">
        <v>11.4</v>
      </c>
      <c r="J3271" s="71">
        <v>14</v>
      </c>
      <c r="K3271" s="121">
        <v>6.3E-3</v>
      </c>
      <c r="L3271" s="121">
        <v>-7.0000000000000001E-3</v>
      </c>
      <c r="M3271" s="75" t="s">
        <v>146</v>
      </c>
      <c r="N3271" s="75" t="b">
        <v>1</v>
      </c>
      <c r="O3271" s="75" t="s">
        <v>145</v>
      </c>
      <c r="P3271" s="75">
        <v>2014</v>
      </c>
      <c r="Q3271" s="107">
        <f t="shared" si="94"/>
        <v>2016</v>
      </c>
      <c r="R3271" s="107">
        <v>2</v>
      </c>
      <c r="S3271" s="43">
        <v>216111</v>
      </c>
      <c r="T3271" s="74">
        <v>42691</v>
      </c>
    </row>
    <row r="3272" spans="1:21" x14ac:dyDescent="0.3">
      <c r="A3272" s="42">
        <v>42728</v>
      </c>
      <c r="B3272" s="37">
        <f>YEAR(A3272)*10000+MONTH(A3272)*100+DAY(A3272)</f>
        <v>20161224</v>
      </c>
      <c r="C3272" s="109">
        <v>2.29E-2</v>
      </c>
      <c r="D3272" s="109">
        <v>8.0000000000000002E-3</v>
      </c>
      <c r="E3272" s="109">
        <v>1.0999999999999999E-2</v>
      </c>
      <c r="F3272" s="109">
        <v>1.2E-2</v>
      </c>
      <c r="G3272" s="130">
        <v>0</v>
      </c>
      <c r="H3272" s="71">
        <v>8.6999999999999993</v>
      </c>
      <c r="I3272" s="71">
        <v>11.4</v>
      </c>
      <c r="J3272" s="71">
        <v>14</v>
      </c>
      <c r="K3272" s="121">
        <v>6.3E-3</v>
      </c>
      <c r="L3272" s="121">
        <v>-7.0000000000000001E-3</v>
      </c>
      <c r="M3272" s="75" t="s">
        <v>146</v>
      </c>
      <c r="N3272" s="75" t="b">
        <v>1</v>
      </c>
      <c r="O3272" s="75" t="s">
        <v>145</v>
      </c>
      <c r="P3272" s="75">
        <v>2014</v>
      </c>
      <c r="Q3272" s="107">
        <f t="shared" si="94"/>
        <v>2016</v>
      </c>
      <c r="R3272" s="107">
        <v>2</v>
      </c>
      <c r="S3272" s="43">
        <v>216111</v>
      </c>
      <c r="T3272" s="74">
        <v>42691</v>
      </c>
    </row>
    <row r="3273" spans="1:21" x14ac:dyDescent="0.3">
      <c r="A3273" s="42">
        <v>42729</v>
      </c>
      <c r="B3273" s="37">
        <f>YEAR(A3273)*10000+MONTH(A3273)*100+DAY(A3273)</f>
        <v>20161225</v>
      </c>
      <c r="C3273" s="109">
        <v>2.29E-2</v>
      </c>
      <c r="D3273" s="109">
        <v>8.0000000000000002E-3</v>
      </c>
      <c r="E3273" s="109">
        <v>1.0999999999999999E-2</v>
      </c>
      <c r="F3273" s="109">
        <v>1.2E-2</v>
      </c>
      <c r="G3273" s="130">
        <v>0</v>
      </c>
      <c r="H3273" s="71">
        <v>8.6999999999999993</v>
      </c>
      <c r="I3273" s="71">
        <v>11.4</v>
      </c>
      <c r="J3273" s="71">
        <v>14</v>
      </c>
      <c r="K3273" s="121">
        <v>6.3E-3</v>
      </c>
      <c r="L3273" s="121">
        <v>-7.0000000000000001E-3</v>
      </c>
      <c r="M3273" s="75" t="s">
        <v>146</v>
      </c>
      <c r="N3273" s="75" t="b">
        <v>1</v>
      </c>
      <c r="O3273" s="75" t="s">
        <v>145</v>
      </c>
      <c r="P3273" s="75">
        <v>2014</v>
      </c>
      <c r="Q3273" s="107">
        <f t="shared" si="94"/>
        <v>2016</v>
      </c>
      <c r="R3273" s="107">
        <v>2</v>
      </c>
      <c r="S3273" s="43">
        <v>216111</v>
      </c>
      <c r="T3273" s="74">
        <v>42691</v>
      </c>
    </row>
    <row r="3274" spans="1:21" x14ac:dyDescent="0.3">
      <c r="A3274" s="42">
        <v>42730</v>
      </c>
      <c r="B3274" s="37">
        <f t="shared" si="93"/>
        <v>20161226</v>
      </c>
      <c r="C3274" s="109">
        <v>2.29E-2</v>
      </c>
      <c r="D3274" s="109">
        <v>8.0000000000000002E-3</v>
      </c>
      <c r="E3274" s="109">
        <v>1.0999999999999999E-2</v>
      </c>
      <c r="F3274" s="109">
        <v>1.2E-2</v>
      </c>
      <c r="G3274" s="130">
        <v>0</v>
      </c>
      <c r="H3274" s="71">
        <v>8.6999999999999993</v>
      </c>
      <c r="I3274" s="71">
        <v>11.4</v>
      </c>
      <c r="J3274" s="71">
        <v>14</v>
      </c>
      <c r="K3274" s="121">
        <v>6.3E-3</v>
      </c>
      <c r="L3274" s="121">
        <v>-7.0000000000000001E-3</v>
      </c>
      <c r="M3274" s="75" t="s">
        <v>146</v>
      </c>
      <c r="N3274" s="75" t="b">
        <v>1</v>
      </c>
      <c r="O3274" s="75" t="s">
        <v>145</v>
      </c>
      <c r="P3274" s="75">
        <v>2014</v>
      </c>
      <c r="Q3274" s="107">
        <f t="shared" si="94"/>
        <v>2016</v>
      </c>
      <c r="R3274" s="107">
        <v>2</v>
      </c>
      <c r="S3274" s="43">
        <v>216111</v>
      </c>
      <c r="T3274" s="74">
        <v>42691</v>
      </c>
    </row>
    <row r="3275" spans="1:21" x14ac:dyDescent="0.3">
      <c r="A3275" s="42">
        <v>42731</v>
      </c>
      <c r="B3275" s="37">
        <f t="shared" si="93"/>
        <v>20161227</v>
      </c>
      <c r="C3275" s="109">
        <v>2.29E-2</v>
      </c>
      <c r="D3275" s="109">
        <v>8.0000000000000002E-3</v>
      </c>
      <c r="E3275" s="109">
        <v>1.0999999999999999E-2</v>
      </c>
      <c r="F3275" s="109">
        <v>1.2E-2</v>
      </c>
      <c r="G3275" s="130">
        <v>0</v>
      </c>
      <c r="H3275" s="71">
        <v>8.6999999999999993</v>
      </c>
      <c r="I3275" s="71">
        <v>11.4</v>
      </c>
      <c r="J3275" s="71">
        <v>14</v>
      </c>
      <c r="K3275" s="121">
        <v>6.3E-3</v>
      </c>
      <c r="L3275" s="121">
        <v>-7.0000000000000001E-3</v>
      </c>
      <c r="M3275" s="75" t="s">
        <v>146</v>
      </c>
      <c r="N3275" s="75" t="b">
        <v>1</v>
      </c>
      <c r="O3275" s="75" t="s">
        <v>145</v>
      </c>
      <c r="P3275" s="75">
        <v>2014</v>
      </c>
      <c r="Q3275" s="107">
        <f t="shared" si="94"/>
        <v>2016</v>
      </c>
      <c r="R3275" s="107">
        <v>2</v>
      </c>
      <c r="S3275" s="43">
        <v>216111</v>
      </c>
      <c r="T3275" s="74">
        <v>42691</v>
      </c>
    </row>
    <row r="3276" spans="1:21" x14ac:dyDescent="0.3">
      <c r="A3276" s="42">
        <v>42732</v>
      </c>
      <c r="B3276" s="37">
        <f t="shared" si="93"/>
        <v>20161228</v>
      </c>
      <c r="C3276" s="109">
        <v>2.2400000000000003E-2</v>
      </c>
      <c r="D3276" s="109">
        <v>8.0000000000000002E-3</v>
      </c>
      <c r="E3276" s="109">
        <v>1.0999999999999999E-2</v>
      </c>
      <c r="F3276" s="109">
        <v>1.2E-2</v>
      </c>
      <c r="G3276" s="130">
        <v>0</v>
      </c>
      <c r="H3276" s="71">
        <v>8.6999999999999993</v>
      </c>
      <c r="I3276" s="71">
        <v>11.4</v>
      </c>
      <c r="J3276" s="71">
        <v>14</v>
      </c>
      <c r="K3276" s="121">
        <v>5.7999999999999996E-3</v>
      </c>
      <c r="L3276" s="121">
        <v>-7.0000000000000001E-3</v>
      </c>
      <c r="M3276" s="75" t="s">
        <v>146</v>
      </c>
      <c r="N3276" s="75" t="b">
        <v>1</v>
      </c>
      <c r="O3276" s="75" t="s">
        <v>145</v>
      </c>
      <c r="P3276" s="75">
        <v>2014</v>
      </c>
      <c r="Q3276" s="107">
        <f t="shared" si="94"/>
        <v>2016</v>
      </c>
      <c r="R3276" s="107">
        <v>2</v>
      </c>
      <c r="S3276" s="43">
        <v>216111</v>
      </c>
      <c r="T3276" s="74">
        <v>42691</v>
      </c>
    </row>
    <row r="3277" spans="1:21" x14ac:dyDescent="0.3">
      <c r="A3277" s="42">
        <v>42733</v>
      </c>
      <c r="B3277" s="37">
        <f t="shared" si="93"/>
        <v>20161229</v>
      </c>
      <c r="C3277" s="109">
        <v>2.23E-2</v>
      </c>
      <c r="D3277" s="109">
        <v>8.0000000000000002E-3</v>
      </c>
      <c r="E3277" s="109">
        <v>1.0999999999999999E-2</v>
      </c>
      <c r="F3277" s="109">
        <v>1.2E-2</v>
      </c>
      <c r="G3277" s="130">
        <v>0</v>
      </c>
      <c r="H3277" s="71">
        <v>8.6999999999999993</v>
      </c>
      <c r="I3277" s="71">
        <v>11.4</v>
      </c>
      <c r="J3277" s="71">
        <v>14</v>
      </c>
      <c r="K3277" s="121">
        <v>5.6000000000000008E-3</v>
      </c>
      <c r="L3277" s="121">
        <v>-7.0000000000000001E-3</v>
      </c>
      <c r="M3277" s="75" t="s">
        <v>146</v>
      </c>
      <c r="N3277" s="75" t="b">
        <v>1</v>
      </c>
      <c r="O3277" s="75" t="s">
        <v>145</v>
      </c>
      <c r="P3277" s="75">
        <v>2014</v>
      </c>
      <c r="Q3277" s="107">
        <f t="shared" si="94"/>
        <v>2016</v>
      </c>
      <c r="R3277" s="107">
        <v>2</v>
      </c>
      <c r="S3277" s="43">
        <v>216111</v>
      </c>
      <c r="T3277" s="74">
        <v>42691</v>
      </c>
    </row>
    <row r="3278" spans="1:21" x14ac:dyDescent="0.3">
      <c r="A3278" s="42">
        <v>42734</v>
      </c>
      <c r="B3278" s="37">
        <f t="shared" si="93"/>
        <v>20161230</v>
      </c>
      <c r="C3278" s="109">
        <v>2.2099999999999998E-2</v>
      </c>
      <c r="D3278" s="109">
        <v>8.0000000000000002E-3</v>
      </c>
      <c r="E3278" s="109">
        <v>1.0999999999999999E-2</v>
      </c>
      <c r="F3278" s="109">
        <v>1.2E-2</v>
      </c>
      <c r="G3278" s="130">
        <v>0</v>
      </c>
      <c r="H3278" s="71">
        <v>8.6999999999999993</v>
      </c>
      <c r="I3278" s="71">
        <v>11.4</v>
      </c>
      <c r="J3278" s="71">
        <v>14</v>
      </c>
      <c r="K3278" s="121">
        <v>5.1000000000000004E-3</v>
      </c>
      <c r="L3278" s="121">
        <v>-7.0000000000000001E-3</v>
      </c>
      <c r="M3278" s="75" t="s">
        <v>146</v>
      </c>
      <c r="N3278" s="75" t="b">
        <v>1</v>
      </c>
      <c r="O3278" s="75" t="s">
        <v>145</v>
      </c>
      <c r="P3278" s="75">
        <v>2014</v>
      </c>
      <c r="Q3278" s="107">
        <f t="shared" si="94"/>
        <v>2016</v>
      </c>
      <c r="R3278" s="107">
        <v>2</v>
      </c>
      <c r="S3278" s="43">
        <v>216111</v>
      </c>
      <c r="T3278" s="74">
        <v>42691</v>
      </c>
    </row>
    <row r="3279" spans="1:21" s="116" customFormat="1" x14ac:dyDescent="0.3">
      <c r="A3279" s="110">
        <v>42735</v>
      </c>
      <c r="B3279" s="132">
        <f>YEAR(A3279)*10000+MONTH(A3279)*100+DAY(A3279)</f>
        <v>20161231</v>
      </c>
      <c r="C3279" s="111">
        <v>2.2099999999999998E-2</v>
      </c>
      <c r="D3279" s="120">
        <v>7.0000000000000001E-3</v>
      </c>
      <c r="E3279" s="120">
        <v>8.9999999999999993E-3</v>
      </c>
      <c r="F3279" s="120">
        <v>0.01</v>
      </c>
      <c r="G3279" s="133">
        <v>0</v>
      </c>
      <c r="H3279" s="124">
        <v>8.5</v>
      </c>
      <c r="I3279" s="124">
        <v>11</v>
      </c>
      <c r="J3279" s="124">
        <v>13.5</v>
      </c>
      <c r="K3279" s="131">
        <v>5.1000000000000004E-3</v>
      </c>
      <c r="L3279" s="125">
        <v>-6.0000000000000001E-3</v>
      </c>
      <c r="M3279" s="98" t="s">
        <v>146</v>
      </c>
      <c r="N3279" s="98" t="b">
        <v>1</v>
      </c>
      <c r="O3279" s="98" t="s">
        <v>145</v>
      </c>
      <c r="P3279" s="98">
        <v>2014</v>
      </c>
      <c r="Q3279" s="105">
        <f t="shared" si="94"/>
        <v>2016</v>
      </c>
      <c r="R3279" s="105">
        <v>2</v>
      </c>
      <c r="S3279" s="114">
        <v>217022</v>
      </c>
      <c r="T3279" s="115">
        <v>42795</v>
      </c>
      <c r="U3279" s="134" t="s">
        <v>176</v>
      </c>
    </row>
    <row r="3280" spans="1:21" x14ac:dyDescent="0.3">
      <c r="A3280" s="42">
        <v>42736</v>
      </c>
      <c r="B3280" s="37">
        <f>YEAR(A3280)*10000+MONTH(A3280)*100+DAY(A3280)</f>
        <v>20170101</v>
      </c>
      <c r="C3280" s="109">
        <v>2.2099999999999998E-2</v>
      </c>
      <c r="D3280" s="109">
        <v>7.0000000000000001E-3</v>
      </c>
      <c r="E3280" s="109">
        <v>8.9999999999999993E-3</v>
      </c>
      <c r="F3280" s="109">
        <v>0.01</v>
      </c>
      <c r="G3280" s="130">
        <v>0</v>
      </c>
      <c r="H3280" s="71">
        <v>8.5</v>
      </c>
      <c r="I3280" s="71">
        <v>11</v>
      </c>
      <c r="J3280" s="71">
        <v>13.5</v>
      </c>
      <c r="K3280" s="121">
        <v>5.1000000000000004E-3</v>
      </c>
      <c r="L3280" s="121">
        <v>-6.0000000000000001E-3</v>
      </c>
      <c r="M3280" s="75" t="s">
        <v>146</v>
      </c>
      <c r="N3280" s="75" t="b">
        <v>1</v>
      </c>
      <c r="O3280" s="75" t="s">
        <v>145</v>
      </c>
      <c r="P3280" s="75">
        <v>2014</v>
      </c>
      <c r="Q3280" s="107">
        <f t="shared" si="94"/>
        <v>2017</v>
      </c>
      <c r="R3280" s="107">
        <v>2</v>
      </c>
      <c r="S3280" s="43">
        <v>217022</v>
      </c>
      <c r="T3280" s="74">
        <v>42795</v>
      </c>
    </row>
    <row r="3281" spans="1:20" x14ac:dyDescent="0.3">
      <c r="A3281" s="42">
        <v>42737</v>
      </c>
      <c r="B3281" s="37">
        <f t="shared" si="93"/>
        <v>20170102</v>
      </c>
      <c r="C3281" s="109">
        <v>2.2099999999999998E-2</v>
      </c>
      <c r="D3281" s="109">
        <v>7.0000000000000001E-3</v>
      </c>
      <c r="E3281" s="109">
        <v>8.9999999999999993E-3</v>
      </c>
      <c r="F3281" s="109">
        <v>0.01</v>
      </c>
      <c r="G3281" s="130">
        <v>0</v>
      </c>
      <c r="H3281" s="71">
        <v>8.5</v>
      </c>
      <c r="I3281" s="71">
        <v>11</v>
      </c>
      <c r="J3281" s="71">
        <v>13.5</v>
      </c>
      <c r="K3281" s="121">
        <v>5.1000000000000004E-3</v>
      </c>
      <c r="L3281" s="121">
        <v>-6.0000000000000001E-3</v>
      </c>
      <c r="M3281" s="75" t="s">
        <v>146</v>
      </c>
      <c r="N3281" s="75" t="b">
        <v>1</v>
      </c>
      <c r="O3281" s="75" t="s">
        <v>145</v>
      </c>
      <c r="P3281" s="75">
        <v>2014</v>
      </c>
      <c r="Q3281" s="107">
        <f t="shared" si="94"/>
        <v>2017</v>
      </c>
      <c r="R3281" s="107">
        <v>2</v>
      </c>
      <c r="S3281" s="43">
        <v>217022</v>
      </c>
      <c r="T3281" s="74">
        <v>42795</v>
      </c>
    </row>
    <row r="3282" spans="1:20" x14ac:dyDescent="0.3">
      <c r="A3282" s="42">
        <v>42738</v>
      </c>
      <c r="B3282" s="37">
        <f t="shared" si="93"/>
        <v>20170103</v>
      </c>
      <c r="C3282" s="109">
        <v>2.2400000000000003E-2</v>
      </c>
      <c r="D3282" s="109">
        <v>7.0000000000000001E-3</v>
      </c>
      <c r="E3282" s="109">
        <v>8.9999999999999993E-3</v>
      </c>
      <c r="F3282" s="109">
        <v>0.01</v>
      </c>
      <c r="G3282" s="130">
        <v>0</v>
      </c>
      <c r="H3282" s="71">
        <v>8.5</v>
      </c>
      <c r="I3282" s="71">
        <v>11</v>
      </c>
      <c r="J3282" s="71">
        <v>13.5</v>
      </c>
      <c r="K3282" s="121">
        <v>5.3E-3</v>
      </c>
      <c r="L3282" s="121">
        <v>-6.0000000000000001E-3</v>
      </c>
      <c r="M3282" s="75" t="s">
        <v>146</v>
      </c>
      <c r="N3282" s="75" t="b">
        <v>1</v>
      </c>
      <c r="O3282" s="75" t="s">
        <v>145</v>
      </c>
      <c r="P3282" s="75">
        <v>2014</v>
      </c>
      <c r="Q3282" s="107">
        <f t="shared" si="94"/>
        <v>2017</v>
      </c>
      <c r="R3282" s="107">
        <v>2</v>
      </c>
      <c r="S3282" s="43">
        <v>217022</v>
      </c>
      <c r="T3282" s="74">
        <v>42795</v>
      </c>
    </row>
    <row r="3283" spans="1:20" x14ac:dyDescent="0.3">
      <c r="A3283" s="42">
        <v>42739</v>
      </c>
      <c r="B3283" s="37">
        <f>YEAR(A3283)*10000+MONTH(A3283)*100+DAY(A3283)</f>
        <v>20170104</v>
      </c>
      <c r="C3283" s="109">
        <v>2.2000000000000002E-2</v>
      </c>
      <c r="D3283" s="109">
        <v>7.0000000000000001E-3</v>
      </c>
      <c r="E3283" s="109">
        <v>8.9999999999999993E-3</v>
      </c>
      <c r="F3283" s="109">
        <v>0.01</v>
      </c>
      <c r="G3283" s="130">
        <v>0</v>
      </c>
      <c r="H3283" s="71">
        <v>8.5</v>
      </c>
      <c r="I3283" s="71">
        <v>11</v>
      </c>
      <c r="J3283" s="71">
        <v>13.5</v>
      </c>
      <c r="K3283" s="121">
        <v>4.8999999999999998E-3</v>
      </c>
      <c r="L3283" s="121">
        <v>-6.0000000000000001E-3</v>
      </c>
      <c r="M3283" s="75" t="s">
        <v>146</v>
      </c>
      <c r="N3283" s="75" t="b">
        <v>1</v>
      </c>
      <c r="O3283" s="75" t="s">
        <v>145</v>
      </c>
      <c r="P3283" s="75">
        <v>2014</v>
      </c>
      <c r="Q3283" s="107">
        <f t="shared" si="94"/>
        <v>2017</v>
      </c>
      <c r="R3283" s="107">
        <v>2</v>
      </c>
      <c r="S3283" s="43">
        <v>217022</v>
      </c>
      <c r="T3283" s="74">
        <v>42795</v>
      </c>
    </row>
    <row r="3284" spans="1:20" x14ac:dyDescent="0.3">
      <c r="A3284" s="42">
        <v>42740</v>
      </c>
      <c r="B3284" s="37">
        <f>YEAR(A3284)*10000+MONTH(A3284)*100+DAY(A3284)</f>
        <v>20170105</v>
      </c>
      <c r="C3284" s="109">
        <v>2.1700000000000001E-2</v>
      </c>
      <c r="D3284" s="109">
        <v>7.0000000000000001E-3</v>
      </c>
      <c r="E3284" s="109">
        <v>8.9999999999999993E-3</v>
      </c>
      <c r="F3284" s="109">
        <v>0.01</v>
      </c>
      <c r="G3284" s="130">
        <v>0</v>
      </c>
      <c r="H3284" s="71">
        <v>8.5</v>
      </c>
      <c r="I3284" s="71">
        <v>11</v>
      </c>
      <c r="J3284" s="71">
        <v>13.5</v>
      </c>
      <c r="K3284" s="121">
        <v>4.6999999999999993E-3</v>
      </c>
      <c r="L3284" s="121">
        <v>-6.0000000000000001E-3</v>
      </c>
      <c r="M3284" s="75" t="s">
        <v>146</v>
      </c>
      <c r="N3284" s="75" t="b">
        <v>1</v>
      </c>
      <c r="O3284" s="75" t="s">
        <v>145</v>
      </c>
      <c r="P3284" s="75">
        <v>2014</v>
      </c>
      <c r="Q3284" s="107">
        <f t="shared" si="94"/>
        <v>2017</v>
      </c>
      <c r="R3284" s="107">
        <v>2</v>
      </c>
      <c r="S3284" s="43">
        <v>217022</v>
      </c>
      <c r="T3284" s="74">
        <v>42795</v>
      </c>
    </row>
    <row r="3285" spans="1:20" x14ac:dyDescent="0.3">
      <c r="A3285" s="42">
        <v>42741</v>
      </c>
      <c r="B3285" s="37">
        <f>YEAR(A3285)*10000+MONTH(A3285)*100+DAY(A3285)</f>
        <v>20170106</v>
      </c>
      <c r="C3285" s="109">
        <v>2.2200000000000001E-2</v>
      </c>
      <c r="D3285" s="109">
        <v>7.0000000000000001E-3</v>
      </c>
      <c r="E3285" s="109">
        <v>8.9999999999999993E-3</v>
      </c>
      <c r="F3285" s="109">
        <v>0.01</v>
      </c>
      <c r="G3285" s="130">
        <v>0</v>
      </c>
      <c r="H3285" s="71">
        <v>8.5</v>
      </c>
      <c r="I3285" s="71">
        <v>11</v>
      </c>
      <c r="J3285" s="71">
        <v>13.5</v>
      </c>
      <c r="K3285" s="121">
        <v>5.1000000000000004E-3</v>
      </c>
      <c r="L3285" s="121">
        <v>-6.0000000000000001E-3</v>
      </c>
      <c r="M3285" s="75" t="s">
        <v>146</v>
      </c>
      <c r="N3285" s="75" t="b">
        <v>1</v>
      </c>
      <c r="O3285" s="75" t="s">
        <v>145</v>
      </c>
      <c r="P3285" s="75">
        <v>2014</v>
      </c>
      <c r="Q3285" s="107">
        <f t="shared" si="94"/>
        <v>2017</v>
      </c>
      <c r="R3285" s="107">
        <v>2</v>
      </c>
      <c r="S3285" s="43">
        <v>217022</v>
      </c>
      <c r="T3285" s="74">
        <v>42795</v>
      </c>
    </row>
    <row r="3286" spans="1:20" x14ac:dyDescent="0.3">
      <c r="A3286" s="42">
        <v>42742</v>
      </c>
      <c r="B3286" s="37">
        <f>YEAR(A3286)*10000+MONTH(A3286)*100+DAY(A3286)</f>
        <v>20170107</v>
      </c>
      <c r="C3286" s="109">
        <v>2.2200000000000001E-2</v>
      </c>
      <c r="D3286" s="109">
        <v>7.0000000000000001E-3</v>
      </c>
      <c r="E3286" s="109">
        <v>8.9999999999999993E-3</v>
      </c>
      <c r="F3286" s="109">
        <v>0.01</v>
      </c>
      <c r="G3286" s="130">
        <v>0</v>
      </c>
      <c r="H3286" s="71">
        <v>8.5</v>
      </c>
      <c r="I3286" s="71">
        <v>11</v>
      </c>
      <c r="J3286" s="71">
        <v>13.5</v>
      </c>
      <c r="K3286" s="121">
        <v>5.1000000000000004E-3</v>
      </c>
      <c r="L3286" s="121">
        <v>-6.0000000000000001E-3</v>
      </c>
      <c r="M3286" s="75" t="s">
        <v>146</v>
      </c>
      <c r="N3286" s="75" t="b">
        <v>1</v>
      </c>
      <c r="O3286" s="75" t="s">
        <v>145</v>
      </c>
      <c r="P3286" s="75">
        <v>2014</v>
      </c>
      <c r="Q3286" s="107">
        <f t="shared" si="94"/>
        <v>2017</v>
      </c>
      <c r="R3286" s="107">
        <v>2</v>
      </c>
      <c r="S3286" s="43">
        <v>217022</v>
      </c>
      <c r="T3286" s="74">
        <v>42795</v>
      </c>
    </row>
    <row r="3287" spans="1:20" x14ac:dyDescent="0.3">
      <c r="A3287" s="42">
        <v>42743</v>
      </c>
      <c r="B3287" s="37">
        <f>YEAR(A3287)*10000+MONTH(A3287)*100+DAY(A3287)</f>
        <v>20170108</v>
      </c>
      <c r="C3287" s="109">
        <v>2.2200000000000001E-2</v>
      </c>
      <c r="D3287" s="109">
        <v>7.0000000000000001E-3</v>
      </c>
      <c r="E3287" s="109">
        <v>8.9999999999999993E-3</v>
      </c>
      <c r="F3287" s="109">
        <v>0.01</v>
      </c>
      <c r="G3287" s="130">
        <v>0</v>
      </c>
      <c r="H3287" s="71">
        <v>8.5</v>
      </c>
      <c r="I3287" s="71">
        <v>11</v>
      </c>
      <c r="J3287" s="71">
        <v>13.5</v>
      </c>
      <c r="K3287" s="121">
        <v>5.1000000000000004E-3</v>
      </c>
      <c r="L3287" s="121">
        <v>-6.0000000000000001E-3</v>
      </c>
      <c r="M3287" s="75" t="s">
        <v>146</v>
      </c>
      <c r="N3287" s="75" t="b">
        <v>1</v>
      </c>
      <c r="O3287" s="75" t="s">
        <v>145</v>
      </c>
      <c r="P3287" s="75">
        <v>2014</v>
      </c>
      <c r="Q3287" s="107">
        <f t="shared" si="94"/>
        <v>2017</v>
      </c>
      <c r="R3287" s="107">
        <v>2</v>
      </c>
      <c r="S3287" s="43">
        <v>217022</v>
      </c>
      <c r="T3287" s="74">
        <v>42795</v>
      </c>
    </row>
    <row r="3288" spans="1:20" x14ac:dyDescent="0.3">
      <c r="A3288" s="42">
        <v>42744</v>
      </c>
      <c r="B3288" s="37">
        <f t="shared" ref="B3288:B3308" si="95">YEAR(A3288)*10000+MONTH(A3288)*100+DAY(A3288)</f>
        <v>20170109</v>
      </c>
      <c r="C3288" s="109">
        <v>2.1899999999999999E-2</v>
      </c>
      <c r="D3288" s="109">
        <v>7.0000000000000001E-3</v>
      </c>
      <c r="E3288" s="109">
        <v>8.9999999999999993E-3</v>
      </c>
      <c r="F3288" s="109">
        <v>0.01</v>
      </c>
      <c r="G3288" s="130">
        <v>0</v>
      </c>
      <c r="H3288" s="71">
        <v>8.5</v>
      </c>
      <c r="I3288" s="71">
        <v>11</v>
      </c>
      <c r="J3288" s="71">
        <v>13.5</v>
      </c>
      <c r="K3288" s="121">
        <v>5.0000000000000001E-3</v>
      </c>
      <c r="L3288" s="121">
        <v>-6.0000000000000001E-3</v>
      </c>
      <c r="M3288" s="75" t="s">
        <v>146</v>
      </c>
      <c r="N3288" s="75" t="b">
        <v>1</v>
      </c>
      <c r="O3288" s="75" t="s">
        <v>145</v>
      </c>
      <c r="P3288" s="75">
        <v>2014</v>
      </c>
      <c r="Q3288" s="107">
        <f t="shared" si="94"/>
        <v>2017</v>
      </c>
      <c r="R3288" s="107">
        <v>2</v>
      </c>
      <c r="S3288" s="43">
        <v>217022</v>
      </c>
      <c r="T3288" s="74">
        <v>42795</v>
      </c>
    </row>
    <row r="3289" spans="1:20" x14ac:dyDescent="0.3">
      <c r="A3289" s="42">
        <v>42745</v>
      </c>
      <c r="B3289" s="37">
        <f t="shared" si="95"/>
        <v>20170110</v>
      </c>
      <c r="C3289" s="109">
        <v>2.1899999999999999E-2</v>
      </c>
      <c r="D3289" s="109">
        <v>7.0000000000000001E-3</v>
      </c>
      <c r="E3289" s="109">
        <v>8.9999999999999993E-3</v>
      </c>
      <c r="F3289" s="109">
        <v>0.01</v>
      </c>
      <c r="G3289" s="130">
        <v>0</v>
      </c>
      <c r="H3289" s="71">
        <v>8.5</v>
      </c>
      <c r="I3289" s="71">
        <v>11</v>
      </c>
      <c r="J3289" s="71">
        <v>13.5</v>
      </c>
      <c r="K3289" s="121">
        <v>5.0000000000000001E-3</v>
      </c>
      <c r="L3289" s="121">
        <v>-6.0000000000000001E-3</v>
      </c>
      <c r="M3289" s="75" t="s">
        <v>146</v>
      </c>
      <c r="N3289" s="75" t="b">
        <v>1</v>
      </c>
      <c r="O3289" s="75" t="s">
        <v>145</v>
      </c>
      <c r="P3289" s="75">
        <v>2014</v>
      </c>
      <c r="Q3289" s="107">
        <f t="shared" si="94"/>
        <v>2017</v>
      </c>
      <c r="R3289" s="107">
        <v>2</v>
      </c>
      <c r="S3289" s="43">
        <v>217022</v>
      </c>
      <c r="T3289" s="74">
        <v>42795</v>
      </c>
    </row>
    <row r="3290" spans="1:20" x14ac:dyDescent="0.3">
      <c r="A3290" s="42">
        <v>42746</v>
      </c>
      <c r="B3290" s="37">
        <f t="shared" si="95"/>
        <v>20170111</v>
      </c>
      <c r="C3290" s="109">
        <v>2.18E-2</v>
      </c>
      <c r="D3290" s="109">
        <v>7.0000000000000001E-3</v>
      </c>
      <c r="E3290" s="109">
        <v>8.9999999999999993E-3</v>
      </c>
      <c r="F3290" s="109">
        <v>0.01</v>
      </c>
      <c r="G3290" s="130">
        <v>0</v>
      </c>
      <c r="H3290" s="71">
        <v>8.5</v>
      </c>
      <c r="I3290" s="71">
        <v>11</v>
      </c>
      <c r="J3290" s="71">
        <v>13.5</v>
      </c>
      <c r="K3290" s="121">
        <v>5.0000000000000001E-3</v>
      </c>
      <c r="L3290" s="121">
        <v>-6.0000000000000001E-3</v>
      </c>
      <c r="M3290" s="75" t="s">
        <v>146</v>
      </c>
      <c r="N3290" s="75" t="b">
        <v>1</v>
      </c>
      <c r="O3290" s="75" t="s">
        <v>145</v>
      </c>
      <c r="P3290" s="75">
        <v>2014</v>
      </c>
      <c r="Q3290" s="107">
        <f t="shared" si="94"/>
        <v>2017</v>
      </c>
      <c r="R3290" s="107">
        <v>2</v>
      </c>
      <c r="S3290" s="43">
        <v>217022</v>
      </c>
      <c r="T3290" s="74">
        <v>42795</v>
      </c>
    </row>
    <row r="3291" spans="1:20" x14ac:dyDescent="0.3">
      <c r="A3291" s="42">
        <v>42747</v>
      </c>
      <c r="B3291" s="37">
        <f t="shared" si="95"/>
        <v>20170112</v>
      </c>
      <c r="C3291" s="109">
        <v>2.1600000000000001E-2</v>
      </c>
      <c r="D3291" s="109">
        <v>7.0000000000000001E-3</v>
      </c>
      <c r="E3291" s="109">
        <v>8.9999999999999993E-3</v>
      </c>
      <c r="F3291" s="109">
        <v>0.01</v>
      </c>
      <c r="G3291" s="130">
        <v>0</v>
      </c>
      <c r="H3291" s="71">
        <v>8.5</v>
      </c>
      <c r="I3291" s="71">
        <v>11</v>
      </c>
      <c r="J3291" s="71">
        <v>13.5</v>
      </c>
      <c r="K3291" s="121">
        <v>4.8999999999999998E-3</v>
      </c>
      <c r="L3291" s="121">
        <v>-6.0000000000000001E-3</v>
      </c>
      <c r="M3291" s="75" t="s">
        <v>146</v>
      </c>
      <c r="N3291" s="75" t="b">
        <v>1</v>
      </c>
      <c r="O3291" s="75" t="s">
        <v>145</v>
      </c>
      <c r="P3291" s="75">
        <v>2014</v>
      </c>
      <c r="Q3291" s="107">
        <f t="shared" si="94"/>
        <v>2017</v>
      </c>
      <c r="R3291" s="107">
        <v>2</v>
      </c>
      <c r="S3291" s="43">
        <v>217022</v>
      </c>
      <c r="T3291" s="74">
        <v>42795</v>
      </c>
    </row>
    <row r="3292" spans="1:20" x14ac:dyDescent="0.3">
      <c r="A3292" s="42">
        <v>42748</v>
      </c>
      <c r="B3292" s="37">
        <f t="shared" si="95"/>
        <v>20170113</v>
      </c>
      <c r="C3292" s="109">
        <v>2.2099999999999998E-2</v>
      </c>
      <c r="D3292" s="109">
        <v>7.0000000000000001E-3</v>
      </c>
      <c r="E3292" s="109">
        <v>8.9999999999999993E-3</v>
      </c>
      <c r="F3292" s="109">
        <v>0.01</v>
      </c>
      <c r="G3292" s="130">
        <v>0</v>
      </c>
      <c r="H3292" s="71">
        <v>8.5</v>
      </c>
      <c r="I3292" s="71">
        <v>11</v>
      </c>
      <c r="J3292" s="71">
        <v>13.5</v>
      </c>
      <c r="K3292" s="121">
        <v>5.3E-3</v>
      </c>
      <c r="L3292" s="121">
        <v>-6.0000000000000001E-3</v>
      </c>
      <c r="M3292" s="75" t="s">
        <v>146</v>
      </c>
      <c r="N3292" s="75" t="b">
        <v>1</v>
      </c>
      <c r="O3292" s="75" t="s">
        <v>145</v>
      </c>
      <c r="P3292" s="75">
        <v>2014</v>
      </c>
      <c r="Q3292" s="107">
        <f t="shared" si="94"/>
        <v>2017</v>
      </c>
      <c r="R3292" s="107">
        <v>2</v>
      </c>
      <c r="S3292" s="43">
        <v>217022</v>
      </c>
      <c r="T3292" s="74">
        <v>42795</v>
      </c>
    </row>
    <row r="3293" spans="1:20" x14ac:dyDescent="0.3">
      <c r="A3293" s="42">
        <v>42749</v>
      </c>
      <c r="B3293" s="37">
        <f t="shared" si="95"/>
        <v>20170114</v>
      </c>
      <c r="C3293" s="109">
        <v>2.2099999999999998E-2</v>
      </c>
      <c r="D3293" s="109">
        <v>7.0000000000000001E-3</v>
      </c>
      <c r="E3293" s="109">
        <v>8.9999999999999993E-3</v>
      </c>
      <c r="F3293" s="109">
        <v>0.01</v>
      </c>
      <c r="G3293" s="130">
        <v>0</v>
      </c>
      <c r="H3293" s="71">
        <v>8.5</v>
      </c>
      <c r="I3293" s="71">
        <v>11</v>
      </c>
      <c r="J3293" s="71">
        <v>13.5</v>
      </c>
      <c r="K3293" s="121">
        <v>5.3E-3</v>
      </c>
      <c r="L3293" s="121">
        <v>-6.0000000000000001E-3</v>
      </c>
      <c r="M3293" s="75" t="s">
        <v>146</v>
      </c>
      <c r="N3293" s="75" t="b">
        <v>1</v>
      </c>
      <c r="O3293" s="75" t="s">
        <v>145</v>
      </c>
      <c r="P3293" s="75">
        <v>2014</v>
      </c>
      <c r="Q3293" s="107">
        <f t="shared" si="94"/>
        <v>2017</v>
      </c>
      <c r="R3293" s="107">
        <v>2</v>
      </c>
      <c r="S3293" s="43">
        <v>217022</v>
      </c>
      <c r="T3293" s="74">
        <v>42795</v>
      </c>
    </row>
    <row r="3294" spans="1:20" x14ac:dyDescent="0.3">
      <c r="A3294" s="42">
        <v>42750</v>
      </c>
      <c r="B3294" s="37">
        <f t="shared" si="95"/>
        <v>20170115</v>
      </c>
      <c r="C3294" s="109">
        <v>2.2099999999999998E-2</v>
      </c>
      <c r="D3294" s="109">
        <v>7.0000000000000001E-3</v>
      </c>
      <c r="E3294" s="109">
        <v>8.9999999999999993E-3</v>
      </c>
      <c r="F3294" s="109">
        <v>0.01</v>
      </c>
      <c r="G3294" s="130">
        <v>0</v>
      </c>
      <c r="H3294" s="71">
        <v>8.5</v>
      </c>
      <c r="I3294" s="71">
        <v>11</v>
      </c>
      <c r="J3294" s="71">
        <v>13.5</v>
      </c>
      <c r="K3294" s="121">
        <v>5.3E-3</v>
      </c>
      <c r="L3294" s="121">
        <v>-6.0000000000000001E-3</v>
      </c>
      <c r="M3294" s="75" t="s">
        <v>146</v>
      </c>
      <c r="N3294" s="75" t="b">
        <v>1</v>
      </c>
      <c r="O3294" s="75" t="s">
        <v>145</v>
      </c>
      <c r="P3294" s="75">
        <v>2014</v>
      </c>
      <c r="Q3294" s="107">
        <f t="shared" si="94"/>
        <v>2017</v>
      </c>
      <c r="R3294" s="107">
        <v>2</v>
      </c>
      <c r="S3294" s="43">
        <v>217022</v>
      </c>
      <c r="T3294" s="74">
        <v>42795</v>
      </c>
    </row>
    <row r="3295" spans="1:20" x14ac:dyDescent="0.3">
      <c r="A3295" s="42">
        <v>42751</v>
      </c>
      <c r="B3295" s="37">
        <f t="shared" si="95"/>
        <v>20170116</v>
      </c>
      <c r="C3295" s="109">
        <v>2.1899999999999999E-2</v>
      </c>
      <c r="D3295" s="109">
        <v>7.0000000000000001E-3</v>
      </c>
      <c r="E3295" s="109">
        <v>8.9999999999999993E-3</v>
      </c>
      <c r="F3295" s="109">
        <v>0.01</v>
      </c>
      <c r="G3295" s="130">
        <v>0</v>
      </c>
      <c r="H3295" s="71">
        <v>8.5</v>
      </c>
      <c r="I3295" s="71">
        <v>11</v>
      </c>
      <c r="J3295" s="71">
        <v>13.5</v>
      </c>
      <c r="K3295" s="121">
        <v>5.1000000000000004E-3</v>
      </c>
      <c r="L3295" s="121">
        <v>-6.0000000000000001E-3</v>
      </c>
      <c r="M3295" s="75" t="s">
        <v>146</v>
      </c>
      <c r="N3295" s="75" t="b">
        <v>1</v>
      </c>
      <c r="O3295" s="75" t="s">
        <v>145</v>
      </c>
      <c r="P3295" s="75">
        <v>2014</v>
      </c>
      <c r="Q3295" s="107">
        <f t="shared" si="94"/>
        <v>2017</v>
      </c>
      <c r="R3295" s="107">
        <v>2</v>
      </c>
      <c r="S3295" s="43">
        <v>217022</v>
      </c>
      <c r="T3295" s="74">
        <v>42795</v>
      </c>
    </row>
    <row r="3296" spans="1:20" x14ac:dyDescent="0.3">
      <c r="A3296" s="42">
        <v>42752</v>
      </c>
      <c r="B3296" s="37">
        <f t="shared" si="95"/>
        <v>20170117</v>
      </c>
      <c r="C3296" s="109">
        <v>2.18E-2</v>
      </c>
      <c r="D3296" s="109">
        <v>7.0000000000000001E-3</v>
      </c>
      <c r="E3296" s="109">
        <v>8.9999999999999993E-3</v>
      </c>
      <c r="F3296" s="109">
        <v>0.01</v>
      </c>
      <c r="G3296" s="130">
        <v>0</v>
      </c>
      <c r="H3296" s="71">
        <v>8.5</v>
      </c>
      <c r="I3296" s="71">
        <v>11</v>
      </c>
      <c r="J3296" s="71">
        <v>13.5</v>
      </c>
      <c r="K3296" s="121">
        <v>5.1000000000000004E-3</v>
      </c>
      <c r="L3296" s="121">
        <v>-6.0000000000000001E-3</v>
      </c>
      <c r="M3296" s="75" t="s">
        <v>146</v>
      </c>
      <c r="N3296" s="75" t="b">
        <v>1</v>
      </c>
      <c r="O3296" s="75" t="s">
        <v>145</v>
      </c>
      <c r="P3296" s="75">
        <v>2014</v>
      </c>
      <c r="Q3296" s="107">
        <f t="shared" si="94"/>
        <v>2017</v>
      </c>
      <c r="R3296" s="107">
        <v>2</v>
      </c>
      <c r="S3296" s="43">
        <v>217022</v>
      </c>
      <c r="T3296" s="74">
        <v>42795</v>
      </c>
    </row>
    <row r="3297" spans="1:20" x14ac:dyDescent="0.3">
      <c r="A3297" s="42">
        <v>42753</v>
      </c>
      <c r="B3297" s="37">
        <f t="shared" si="95"/>
        <v>20170118</v>
      </c>
      <c r="C3297" s="109">
        <v>2.2099999999999998E-2</v>
      </c>
      <c r="D3297" s="109">
        <v>7.0000000000000001E-3</v>
      </c>
      <c r="E3297" s="109">
        <v>8.9999999999999993E-3</v>
      </c>
      <c r="F3297" s="109">
        <v>0.01</v>
      </c>
      <c r="G3297" s="130">
        <v>0</v>
      </c>
      <c r="H3297" s="71">
        <v>8.5</v>
      </c>
      <c r="I3297" s="71">
        <v>11</v>
      </c>
      <c r="J3297" s="71">
        <v>13.5</v>
      </c>
      <c r="K3297" s="121">
        <v>5.5000000000000005E-3</v>
      </c>
      <c r="L3297" s="121">
        <v>-6.0000000000000001E-3</v>
      </c>
      <c r="M3297" s="75" t="s">
        <v>146</v>
      </c>
      <c r="N3297" s="75" t="b">
        <v>1</v>
      </c>
      <c r="O3297" s="75" t="s">
        <v>145</v>
      </c>
      <c r="P3297" s="75">
        <v>2014</v>
      </c>
      <c r="Q3297" s="107">
        <f t="shared" si="94"/>
        <v>2017</v>
      </c>
      <c r="R3297" s="107">
        <v>2</v>
      </c>
      <c r="S3297" s="43">
        <v>217022</v>
      </c>
      <c r="T3297" s="74">
        <v>42795</v>
      </c>
    </row>
    <row r="3298" spans="1:20" x14ac:dyDescent="0.3">
      <c r="A3298" s="42">
        <v>42754</v>
      </c>
      <c r="B3298" s="37">
        <f t="shared" si="95"/>
        <v>20170119</v>
      </c>
      <c r="C3298" s="109">
        <v>2.2599999999999999E-2</v>
      </c>
      <c r="D3298" s="109">
        <v>7.0000000000000001E-3</v>
      </c>
      <c r="E3298" s="109">
        <v>8.9999999999999993E-3</v>
      </c>
      <c r="F3298" s="109">
        <v>0.01</v>
      </c>
      <c r="G3298" s="130">
        <v>0</v>
      </c>
      <c r="H3298" s="71">
        <v>8.5</v>
      </c>
      <c r="I3298" s="71">
        <v>11</v>
      </c>
      <c r="J3298" s="71">
        <v>13.5</v>
      </c>
      <c r="K3298" s="121">
        <v>5.8999999999999999E-3</v>
      </c>
      <c r="L3298" s="121">
        <v>-6.0000000000000001E-3</v>
      </c>
      <c r="M3298" s="75" t="s">
        <v>146</v>
      </c>
      <c r="N3298" s="75" t="b">
        <v>1</v>
      </c>
      <c r="O3298" s="75" t="s">
        <v>145</v>
      </c>
      <c r="P3298" s="75">
        <v>2014</v>
      </c>
      <c r="Q3298" s="107">
        <f t="shared" si="94"/>
        <v>2017</v>
      </c>
      <c r="R3298" s="107">
        <v>2</v>
      </c>
      <c r="S3298" s="43">
        <v>217022</v>
      </c>
      <c r="T3298" s="74">
        <v>42795</v>
      </c>
    </row>
    <row r="3299" spans="1:20" x14ac:dyDescent="0.3">
      <c r="A3299" s="42">
        <v>42755</v>
      </c>
      <c r="B3299" s="37">
        <f t="shared" si="95"/>
        <v>20170120</v>
      </c>
      <c r="C3299" s="109">
        <v>2.2700000000000001E-2</v>
      </c>
      <c r="D3299" s="109">
        <v>7.0000000000000001E-3</v>
      </c>
      <c r="E3299" s="109">
        <v>8.9999999999999993E-3</v>
      </c>
      <c r="F3299" s="109">
        <v>0.01</v>
      </c>
      <c r="G3299" s="130">
        <v>0</v>
      </c>
      <c r="H3299" s="71">
        <v>8.5</v>
      </c>
      <c r="I3299" s="71">
        <v>11</v>
      </c>
      <c r="J3299" s="71">
        <v>13.5</v>
      </c>
      <c r="K3299" s="121">
        <v>6.1999999999999998E-3</v>
      </c>
      <c r="L3299" s="121">
        <v>-6.0000000000000001E-3</v>
      </c>
      <c r="M3299" s="75" t="s">
        <v>146</v>
      </c>
      <c r="N3299" s="75" t="b">
        <v>1</v>
      </c>
      <c r="O3299" s="75" t="s">
        <v>145</v>
      </c>
      <c r="P3299" s="75">
        <v>2014</v>
      </c>
      <c r="Q3299" s="107">
        <f t="shared" si="94"/>
        <v>2017</v>
      </c>
      <c r="R3299" s="107">
        <v>2</v>
      </c>
      <c r="S3299" s="43">
        <v>217022</v>
      </c>
      <c r="T3299" s="74">
        <v>42795</v>
      </c>
    </row>
    <row r="3300" spans="1:20" x14ac:dyDescent="0.3">
      <c r="A3300" s="42">
        <v>42756</v>
      </c>
      <c r="B3300" s="37">
        <f t="shared" si="95"/>
        <v>20170121</v>
      </c>
      <c r="C3300" s="109">
        <v>2.2700000000000001E-2</v>
      </c>
      <c r="D3300" s="109">
        <v>7.0000000000000001E-3</v>
      </c>
      <c r="E3300" s="109">
        <v>8.9999999999999993E-3</v>
      </c>
      <c r="F3300" s="109">
        <v>0.01</v>
      </c>
      <c r="G3300" s="130">
        <v>0</v>
      </c>
      <c r="H3300" s="71">
        <v>8.5</v>
      </c>
      <c r="I3300" s="71">
        <v>11</v>
      </c>
      <c r="J3300" s="71">
        <v>13.5</v>
      </c>
      <c r="K3300" s="121">
        <v>6.1999999999999998E-3</v>
      </c>
      <c r="L3300" s="121">
        <v>-6.0000000000000001E-3</v>
      </c>
      <c r="M3300" s="75" t="s">
        <v>146</v>
      </c>
      <c r="N3300" s="75" t="b">
        <v>1</v>
      </c>
      <c r="O3300" s="75" t="s">
        <v>145</v>
      </c>
      <c r="P3300" s="75">
        <v>2014</v>
      </c>
      <c r="Q3300" s="107">
        <f t="shared" si="94"/>
        <v>2017</v>
      </c>
      <c r="R3300" s="107">
        <v>2</v>
      </c>
      <c r="S3300" s="43">
        <v>217022</v>
      </c>
      <c r="T3300" s="74">
        <v>42795</v>
      </c>
    </row>
    <row r="3301" spans="1:20" x14ac:dyDescent="0.3">
      <c r="A3301" s="42">
        <v>42757</v>
      </c>
      <c r="B3301" s="37">
        <f t="shared" si="95"/>
        <v>20170122</v>
      </c>
      <c r="C3301" s="109">
        <v>2.2700000000000001E-2</v>
      </c>
      <c r="D3301" s="109">
        <v>7.0000000000000001E-3</v>
      </c>
      <c r="E3301" s="109">
        <v>8.9999999999999993E-3</v>
      </c>
      <c r="F3301" s="109">
        <v>0.01</v>
      </c>
      <c r="G3301" s="130">
        <v>0</v>
      </c>
      <c r="H3301" s="71">
        <v>8.5</v>
      </c>
      <c r="I3301" s="71">
        <v>11</v>
      </c>
      <c r="J3301" s="71">
        <v>13.5</v>
      </c>
      <c r="K3301" s="121">
        <v>6.1999999999999998E-3</v>
      </c>
      <c r="L3301" s="121">
        <v>-6.0000000000000001E-3</v>
      </c>
      <c r="M3301" s="75" t="s">
        <v>146</v>
      </c>
      <c r="N3301" s="75" t="b">
        <v>1</v>
      </c>
      <c r="O3301" s="75" t="s">
        <v>145</v>
      </c>
      <c r="P3301" s="75">
        <v>2014</v>
      </c>
      <c r="Q3301" s="107">
        <f t="shared" si="94"/>
        <v>2017</v>
      </c>
      <c r="R3301" s="107">
        <v>2</v>
      </c>
      <c r="S3301" s="43">
        <v>217022</v>
      </c>
      <c r="T3301" s="74">
        <v>42795</v>
      </c>
    </row>
    <row r="3302" spans="1:20" x14ac:dyDescent="0.3">
      <c r="A3302" s="42">
        <v>42758</v>
      </c>
      <c r="B3302" s="37">
        <f t="shared" si="95"/>
        <v>20170123</v>
      </c>
      <c r="C3302" s="109">
        <v>2.2099999999999998E-2</v>
      </c>
      <c r="D3302" s="109">
        <v>7.0000000000000001E-3</v>
      </c>
      <c r="E3302" s="109">
        <v>8.9999999999999993E-3</v>
      </c>
      <c r="F3302" s="109">
        <v>0.01</v>
      </c>
      <c r="G3302" s="130">
        <v>0</v>
      </c>
      <c r="H3302" s="71">
        <v>8.5</v>
      </c>
      <c r="I3302" s="71">
        <v>11</v>
      </c>
      <c r="J3302" s="71">
        <v>13.5</v>
      </c>
      <c r="K3302" s="121">
        <v>5.8999999999999999E-3</v>
      </c>
      <c r="L3302" s="121">
        <v>-6.0000000000000001E-3</v>
      </c>
      <c r="M3302" s="75" t="s">
        <v>146</v>
      </c>
      <c r="N3302" s="75" t="b">
        <v>1</v>
      </c>
      <c r="O3302" s="75" t="s">
        <v>145</v>
      </c>
      <c r="P3302" s="75">
        <v>2014</v>
      </c>
      <c r="Q3302" s="107">
        <f t="shared" si="94"/>
        <v>2017</v>
      </c>
      <c r="R3302" s="107">
        <v>2</v>
      </c>
      <c r="S3302" s="43">
        <v>217022</v>
      </c>
      <c r="T3302" s="74">
        <v>42795</v>
      </c>
    </row>
    <row r="3303" spans="1:20" x14ac:dyDescent="0.3">
      <c r="A3303" s="42">
        <v>42759</v>
      </c>
      <c r="B3303" s="37">
        <f t="shared" si="95"/>
        <v>20170124</v>
      </c>
      <c r="C3303" s="109">
        <v>2.2799999999999997E-2</v>
      </c>
      <c r="D3303" s="109">
        <v>7.0000000000000001E-3</v>
      </c>
      <c r="E3303" s="109">
        <v>8.9999999999999993E-3</v>
      </c>
      <c r="F3303" s="109">
        <v>0.01</v>
      </c>
      <c r="G3303" s="130">
        <v>0</v>
      </c>
      <c r="H3303" s="71">
        <v>8.5</v>
      </c>
      <c r="I3303" s="71">
        <v>11</v>
      </c>
      <c r="J3303" s="71">
        <v>13.5</v>
      </c>
      <c r="K3303" s="121">
        <v>6.4000000000000003E-3</v>
      </c>
      <c r="L3303" s="121">
        <v>-6.0000000000000001E-3</v>
      </c>
      <c r="M3303" s="75" t="s">
        <v>146</v>
      </c>
      <c r="N3303" s="75" t="b">
        <v>1</v>
      </c>
      <c r="O3303" s="75" t="s">
        <v>145</v>
      </c>
      <c r="P3303" s="75">
        <v>2014</v>
      </c>
      <c r="Q3303" s="107">
        <f t="shared" si="94"/>
        <v>2017</v>
      </c>
      <c r="R3303" s="107">
        <v>2</v>
      </c>
      <c r="S3303" s="43">
        <v>217022</v>
      </c>
      <c r="T3303" s="74">
        <v>42795</v>
      </c>
    </row>
    <row r="3304" spans="1:20" x14ac:dyDescent="0.3">
      <c r="A3304" s="42">
        <v>42760</v>
      </c>
      <c r="B3304" s="37">
        <f t="shared" si="95"/>
        <v>20170125</v>
      </c>
      <c r="C3304" s="109">
        <v>2.3399999999999997E-2</v>
      </c>
      <c r="D3304" s="109">
        <v>7.0000000000000001E-3</v>
      </c>
      <c r="E3304" s="109">
        <v>8.9999999999999993E-3</v>
      </c>
      <c r="F3304" s="109">
        <v>0.01</v>
      </c>
      <c r="G3304" s="130">
        <v>0</v>
      </c>
      <c r="H3304" s="71">
        <v>8.5</v>
      </c>
      <c r="I3304" s="71">
        <v>11</v>
      </c>
      <c r="J3304" s="71">
        <v>13.5</v>
      </c>
      <c r="K3304" s="121">
        <v>6.9999999999999993E-3</v>
      </c>
      <c r="L3304" s="121">
        <v>-6.0000000000000001E-3</v>
      </c>
      <c r="M3304" s="75" t="s">
        <v>146</v>
      </c>
      <c r="N3304" s="75" t="b">
        <v>1</v>
      </c>
      <c r="O3304" s="75" t="s">
        <v>145</v>
      </c>
      <c r="P3304" s="75">
        <v>2014</v>
      </c>
      <c r="Q3304" s="107">
        <f t="shared" si="94"/>
        <v>2017</v>
      </c>
      <c r="R3304" s="107">
        <v>2</v>
      </c>
      <c r="S3304" s="43">
        <v>217022</v>
      </c>
      <c r="T3304" s="74">
        <v>42795</v>
      </c>
    </row>
    <row r="3305" spans="1:20" x14ac:dyDescent="0.3">
      <c r="A3305" s="42">
        <v>42761</v>
      </c>
      <c r="B3305" s="37">
        <f t="shared" si="95"/>
        <v>20170126</v>
      </c>
      <c r="C3305" s="109">
        <v>2.3399999999999997E-2</v>
      </c>
      <c r="D3305" s="109">
        <v>7.0000000000000001E-3</v>
      </c>
      <c r="E3305" s="109">
        <v>8.9999999999999993E-3</v>
      </c>
      <c r="F3305" s="109">
        <v>0.01</v>
      </c>
      <c r="G3305" s="130">
        <v>0</v>
      </c>
      <c r="H3305" s="71">
        <v>8.5</v>
      </c>
      <c r="I3305" s="71">
        <v>11</v>
      </c>
      <c r="J3305" s="71">
        <v>13.5</v>
      </c>
      <c r="K3305" s="121">
        <v>6.8999999999999999E-3</v>
      </c>
      <c r="L3305" s="121">
        <v>-6.0000000000000001E-3</v>
      </c>
      <c r="M3305" s="75" t="s">
        <v>146</v>
      </c>
      <c r="N3305" s="75" t="b">
        <v>1</v>
      </c>
      <c r="O3305" s="75" t="s">
        <v>145</v>
      </c>
      <c r="P3305" s="75">
        <v>2014</v>
      </c>
      <c r="Q3305" s="107">
        <f t="shared" si="94"/>
        <v>2017</v>
      </c>
      <c r="R3305" s="107">
        <v>2</v>
      </c>
      <c r="S3305" s="43">
        <v>217022</v>
      </c>
      <c r="T3305" s="74">
        <v>42795</v>
      </c>
    </row>
    <row r="3306" spans="1:20" x14ac:dyDescent="0.3">
      <c r="A3306" s="42">
        <v>42762</v>
      </c>
      <c r="B3306" s="37">
        <f t="shared" si="95"/>
        <v>20170127</v>
      </c>
      <c r="C3306" s="109">
        <v>2.3099999999999999E-2</v>
      </c>
      <c r="D3306" s="109">
        <v>7.0000000000000001E-3</v>
      </c>
      <c r="E3306" s="109">
        <v>8.9999999999999993E-3</v>
      </c>
      <c r="F3306" s="109">
        <v>0.01</v>
      </c>
      <c r="G3306" s="130">
        <v>0</v>
      </c>
      <c r="H3306" s="71">
        <v>8.5</v>
      </c>
      <c r="I3306" s="71">
        <v>11</v>
      </c>
      <c r="J3306" s="71">
        <v>13.5</v>
      </c>
      <c r="K3306" s="121">
        <v>6.6E-3</v>
      </c>
      <c r="L3306" s="121">
        <v>-6.0000000000000001E-3</v>
      </c>
      <c r="M3306" s="75" t="s">
        <v>146</v>
      </c>
      <c r="N3306" s="75" t="b">
        <v>1</v>
      </c>
      <c r="O3306" s="75" t="s">
        <v>145</v>
      </c>
      <c r="P3306" s="75">
        <v>2014</v>
      </c>
      <c r="Q3306" s="107">
        <f t="shared" si="94"/>
        <v>2017</v>
      </c>
      <c r="R3306" s="107">
        <v>2</v>
      </c>
      <c r="S3306" s="43">
        <v>217022</v>
      </c>
      <c r="T3306" s="74">
        <v>42795</v>
      </c>
    </row>
    <row r="3307" spans="1:20" x14ac:dyDescent="0.3">
      <c r="A3307" s="42">
        <v>42763</v>
      </c>
      <c r="B3307" s="37">
        <f t="shared" si="95"/>
        <v>20170128</v>
      </c>
      <c r="C3307" s="109">
        <v>2.3099999999999999E-2</v>
      </c>
      <c r="D3307" s="109">
        <v>7.0000000000000001E-3</v>
      </c>
      <c r="E3307" s="109">
        <v>8.9999999999999993E-3</v>
      </c>
      <c r="F3307" s="109">
        <v>0.01</v>
      </c>
      <c r="G3307" s="130">
        <v>0</v>
      </c>
      <c r="H3307" s="71">
        <v>8.5</v>
      </c>
      <c r="I3307" s="71">
        <v>11</v>
      </c>
      <c r="J3307" s="71">
        <v>13.5</v>
      </c>
      <c r="K3307" s="121">
        <v>6.6E-3</v>
      </c>
      <c r="L3307" s="121">
        <v>-6.0000000000000001E-3</v>
      </c>
      <c r="M3307" s="75" t="s">
        <v>146</v>
      </c>
      <c r="N3307" s="75" t="b">
        <v>1</v>
      </c>
      <c r="O3307" s="75" t="s">
        <v>145</v>
      </c>
      <c r="P3307" s="75">
        <v>2014</v>
      </c>
      <c r="Q3307" s="107">
        <f t="shared" si="94"/>
        <v>2017</v>
      </c>
      <c r="R3307" s="107">
        <v>2</v>
      </c>
      <c r="S3307" s="43">
        <v>217022</v>
      </c>
      <c r="T3307" s="74">
        <v>42795</v>
      </c>
    </row>
    <row r="3308" spans="1:20" x14ac:dyDescent="0.3">
      <c r="A3308" s="42">
        <v>42764</v>
      </c>
      <c r="B3308" s="37">
        <f t="shared" si="95"/>
        <v>20170129</v>
      </c>
      <c r="C3308" s="109">
        <v>2.3099999999999999E-2</v>
      </c>
      <c r="D3308" s="109">
        <v>7.0000000000000001E-3</v>
      </c>
      <c r="E3308" s="109">
        <v>8.9999999999999993E-3</v>
      </c>
      <c r="F3308" s="109">
        <v>0.01</v>
      </c>
      <c r="G3308" s="130">
        <v>0</v>
      </c>
      <c r="H3308" s="71">
        <v>8.5</v>
      </c>
      <c r="I3308" s="71">
        <v>11</v>
      </c>
      <c r="J3308" s="71">
        <v>13.5</v>
      </c>
      <c r="K3308" s="121">
        <v>6.6E-3</v>
      </c>
      <c r="L3308" s="121">
        <v>-6.0000000000000001E-3</v>
      </c>
      <c r="M3308" s="75" t="s">
        <v>146</v>
      </c>
      <c r="N3308" s="75" t="b">
        <v>1</v>
      </c>
      <c r="O3308" s="75" t="s">
        <v>145</v>
      </c>
      <c r="P3308" s="75">
        <v>2014</v>
      </c>
      <c r="Q3308" s="107">
        <f t="shared" si="94"/>
        <v>2017</v>
      </c>
      <c r="R3308" s="107">
        <v>2</v>
      </c>
      <c r="S3308" s="43">
        <v>217022</v>
      </c>
      <c r="T3308" s="74">
        <v>42795</v>
      </c>
    </row>
    <row r="3309" spans="1:20" x14ac:dyDescent="0.3">
      <c r="A3309" s="42">
        <v>42765</v>
      </c>
      <c r="B3309" s="37">
        <f>YEAR(A3309)*10000+MONTH(A3309)*100+DAY(A3309)</f>
        <v>20170130</v>
      </c>
      <c r="C3309" s="109">
        <v>2.3199999999999998E-2</v>
      </c>
      <c r="D3309" s="109">
        <v>7.0000000000000001E-3</v>
      </c>
      <c r="E3309" s="109">
        <v>8.9999999999999993E-3</v>
      </c>
      <c r="F3309" s="109">
        <v>0.01</v>
      </c>
      <c r="G3309" s="130">
        <v>0</v>
      </c>
      <c r="H3309" s="71">
        <v>8.5</v>
      </c>
      <c r="I3309" s="71">
        <v>11</v>
      </c>
      <c r="J3309" s="71">
        <v>13.5</v>
      </c>
      <c r="K3309" s="121">
        <v>6.7000000000000002E-3</v>
      </c>
      <c r="L3309" s="121">
        <v>-6.0000000000000001E-3</v>
      </c>
      <c r="M3309" s="75" t="s">
        <v>146</v>
      </c>
      <c r="N3309" s="75" t="b">
        <v>1</v>
      </c>
      <c r="O3309" s="75" t="s">
        <v>145</v>
      </c>
      <c r="P3309" s="75">
        <v>2014</v>
      </c>
      <c r="Q3309" s="107">
        <f t="shared" si="94"/>
        <v>2017</v>
      </c>
      <c r="R3309" s="107">
        <v>2</v>
      </c>
      <c r="S3309" s="43">
        <v>217022</v>
      </c>
      <c r="T3309" s="74">
        <v>42795</v>
      </c>
    </row>
    <row r="3310" spans="1:20" x14ac:dyDescent="0.3">
      <c r="A3310" s="42">
        <v>42766</v>
      </c>
      <c r="B3310" s="37">
        <f>YEAR(A3310)*10000+MONTH(A3310)*100+DAY(A3310)</f>
        <v>20170131</v>
      </c>
      <c r="C3310" s="109">
        <v>2.29E-2</v>
      </c>
      <c r="D3310" s="109">
        <v>7.0000000000000001E-3</v>
      </c>
      <c r="E3310" s="109">
        <v>8.9999999999999993E-3</v>
      </c>
      <c r="F3310" s="109">
        <v>0.01</v>
      </c>
      <c r="G3310" s="130">
        <v>0</v>
      </c>
      <c r="H3310" s="71">
        <v>8.5</v>
      </c>
      <c r="I3310" s="71">
        <v>11</v>
      </c>
      <c r="J3310" s="71">
        <v>13.5</v>
      </c>
      <c r="K3310" s="121">
        <v>6.4000000000000003E-3</v>
      </c>
      <c r="L3310" s="121">
        <v>-6.0000000000000001E-3</v>
      </c>
      <c r="M3310" s="75" t="s">
        <v>146</v>
      </c>
      <c r="N3310" s="75" t="b">
        <v>1</v>
      </c>
      <c r="O3310" s="75" t="s">
        <v>145</v>
      </c>
      <c r="P3310" s="75">
        <v>2014</v>
      </c>
      <c r="Q3310" s="107">
        <f t="shared" ref="Q3310:Q3373" si="96">YEAR(A3310)</f>
        <v>2017</v>
      </c>
      <c r="R3310" s="107">
        <v>2</v>
      </c>
      <c r="S3310" s="43">
        <v>217022</v>
      </c>
      <c r="T3310" s="74">
        <v>42795</v>
      </c>
    </row>
    <row r="3311" spans="1:20" x14ac:dyDescent="0.3">
      <c r="A3311" s="42">
        <v>42767</v>
      </c>
      <c r="B3311" s="37">
        <f t="shared" ref="B3311:B3374" si="97">YEAR(A3311)*10000+MONTH(A3311)*100+DAY(A3311)</f>
        <v>20170201</v>
      </c>
      <c r="C3311" s="109">
        <v>2.3E-2</v>
      </c>
      <c r="D3311" s="109">
        <v>7.0000000000000001E-3</v>
      </c>
      <c r="E3311" s="109">
        <v>8.9999999999999993E-3</v>
      </c>
      <c r="F3311" s="109">
        <v>0.01</v>
      </c>
      <c r="G3311" s="130">
        <v>0</v>
      </c>
      <c r="H3311" s="71">
        <v>8.5</v>
      </c>
      <c r="I3311" s="71">
        <v>11</v>
      </c>
      <c r="J3311" s="71">
        <v>13.5</v>
      </c>
      <c r="K3311" s="121">
        <v>6.5000000000000006E-3</v>
      </c>
      <c r="L3311" s="121">
        <v>-6.0000000000000001E-3</v>
      </c>
      <c r="M3311" s="75" t="s">
        <v>146</v>
      </c>
      <c r="N3311" s="75" t="b">
        <v>1</v>
      </c>
      <c r="O3311" s="75" t="s">
        <v>145</v>
      </c>
      <c r="P3311" s="75">
        <v>2014</v>
      </c>
      <c r="Q3311" s="107">
        <f t="shared" si="96"/>
        <v>2017</v>
      </c>
      <c r="R3311" s="107">
        <v>2</v>
      </c>
      <c r="S3311" s="43">
        <v>217022</v>
      </c>
      <c r="T3311" s="74">
        <v>42795</v>
      </c>
    </row>
    <row r="3312" spans="1:20" x14ac:dyDescent="0.3">
      <c r="A3312" s="42">
        <v>42768</v>
      </c>
      <c r="B3312" s="37">
        <f t="shared" si="97"/>
        <v>20170202</v>
      </c>
      <c r="C3312" s="109">
        <v>2.29E-2</v>
      </c>
      <c r="D3312" s="109">
        <v>7.0000000000000001E-3</v>
      </c>
      <c r="E3312" s="109">
        <v>8.9999999999999993E-3</v>
      </c>
      <c r="F3312" s="109">
        <v>0.01</v>
      </c>
      <c r="G3312" s="130">
        <v>0</v>
      </c>
      <c r="H3312" s="71">
        <v>8.5</v>
      </c>
      <c r="I3312" s="71">
        <v>11</v>
      </c>
      <c r="J3312" s="71">
        <v>13.5</v>
      </c>
      <c r="K3312" s="121">
        <v>6.5000000000000006E-3</v>
      </c>
      <c r="L3312" s="121">
        <v>-6.0000000000000001E-3</v>
      </c>
      <c r="M3312" s="75" t="s">
        <v>146</v>
      </c>
      <c r="N3312" s="75" t="b">
        <v>1</v>
      </c>
      <c r="O3312" s="75" t="s">
        <v>145</v>
      </c>
      <c r="P3312" s="75">
        <v>2014</v>
      </c>
      <c r="Q3312" s="107">
        <f t="shared" si="96"/>
        <v>2017</v>
      </c>
      <c r="R3312" s="107">
        <v>2</v>
      </c>
      <c r="S3312" s="43">
        <v>217022</v>
      </c>
      <c r="T3312" s="74">
        <v>42795</v>
      </c>
    </row>
    <row r="3313" spans="1:20" x14ac:dyDescent="0.3">
      <c r="A3313" s="42">
        <v>42769</v>
      </c>
      <c r="B3313" s="37">
        <f t="shared" si="97"/>
        <v>20170203</v>
      </c>
      <c r="C3313" s="109">
        <v>2.3099999999999999E-2</v>
      </c>
      <c r="D3313" s="109">
        <v>7.0000000000000001E-3</v>
      </c>
      <c r="E3313" s="109">
        <v>8.9999999999999993E-3</v>
      </c>
      <c r="F3313" s="109">
        <v>0.01</v>
      </c>
      <c r="G3313" s="130">
        <v>0</v>
      </c>
      <c r="H3313" s="71">
        <v>8.5</v>
      </c>
      <c r="I3313" s="71">
        <v>11</v>
      </c>
      <c r="J3313" s="71">
        <v>13.5</v>
      </c>
      <c r="K3313" s="121">
        <v>6.8000000000000005E-3</v>
      </c>
      <c r="L3313" s="121">
        <v>-6.0000000000000001E-3</v>
      </c>
      <c r="M3313" s="75" t="s">
        <v>146</v>
      </c>
      <c r="N3313" s="75" t="b">
        <v>1</v>
      </c>
      <c r="O3313" s="75" t="s">
        <v>145</v>
      </c>
      <c r="P3313" s="75">
        <v>2014</v>
      </c>
      <c r="Q3313" s="107">
        <f t="shared" si="96"/>
        <v>2017</v>
      </c>
      <c r="R3313" s="107">
        <v>2</v>
      </c>
      <c r="S3313" s="43">
        <v>217022</v>
      </c>
      <c r="T3313" s="74">
        <v>42795</v>
      </c>
    </row>
    <row r="3314" spans="1:20" x14ac:dyDescent="0.3">
      <c r="A3314" s="42">
        <v>42770</v>
      </c>
      <c r="B3314" s="37">
        <f t="shared" si="97"/>
        <v>20170204</v>
      </c>
      <c r="C3314" s="109">
        <v>2.3099999999999999E-2</v>
      </c>
      <c r="D3314" s="109">
        <v>7.0000000000000001E-3</v>
      </c>
      <c r="E3314" s="109">
        <v>8.9999999999999993E-3</v>
      </c>
      <c r="F3314" s="109">
        <v>0.01</v>
      </c>
      <c r="G3314" s="130">
        <v>0</v>
      </c>
      <c r="H3314" s="71">
        <v>8.5</v>
      </c>
      <c r="I3314" s="71">
        <v>11</v>
      </c>
      <c r="J3314" s="71">
        <v>13.5</v>
      </c>
      <c r="K3314" s="121">
        <v>6.8000000000000005E-3</v>
      </c>
      <c r="L3314" s="121">
        <v>-6.0000000000000001E-3</v>
      </c>
      <c r="M3314" s="75" t="s">
        <v>146</v>
      </c>
      <c r="N3314" s="75" t="b">
        <v>1</v>
      </c>
      <c r="O3314" s="75" t="s">
        <v>145</v>
      </c>
      <c r="P3314" s="75">
        <v>2014</v>
      </c>
      <c r="Q3314" s="107">
        <f t="shared" si="96"/>
        <v>2017</v>
      </c>
      <c r="R3314" s="107">
        <v>2</v>
      </c>
      <c r="S3314" s="43">
        <v>217022</v>
      </c>
      <c r="T3314" s="74">
        <v>42795</v>
      </c>
    </row>
    <row r="3315" spans="1:20" x14ac:dyDescent="0.3">
      <c r="A3315" s="42">
        <v>42771</v>
      </c>
      <c r="B3315" s="37">
        <f t="shared" si="97"/>
        <v>20170205</v>
      </c>
      <c r="C3315" s="109">
        <v>2.3099999999999999E-2</v>
      </c>
      <c r="D3315" s="109">
        <v>7.0000000000000001E-3</v>
      </c>
      <c r="E3315" s="109">
        <v>8.9999999999999993E-3</v>
      </c>
      <c r="F3315" s="109">
        <v>0.01</v>
      </c>
      <c r="G3315" s="130">
        <v>0</v>
      </c>
      <c r="H3315" s="71">
        <v>8.5</v>
      </c>
      <c r="I3315" s="71">
        <v>11</v>
      </c>
      <c r="J3315" s="71">
        <v>13.5</v>
      </c>
      <c r="K3315" s="121">
        <v>6.8000000000000005E-3</v>
      </c>
      <c r="L3315" s="121">
        <v>-6.0000000000000001E-3</v>
      </c>
      <c r="M3315" s="75" t="s">
        <v>146</v>
      </c>
      <c r="N3315" s="75" t="b">
        <v>1</v>
      </c>
      <c r="O3315" s="75" t="s">
        <v>145</v>
      </c>
      <c r="P3315" s="75">
        <v>2014</v>
      </c>
      <c r="Q3315" s="107">
        <f t="shared" si="96"/>
        <v>2017</v>
      </c>
      <c r="R3315" s="107">
        <v>2</v>
      </c>
      <c r="S3315" s="43">
        <v>217022</v>
      </c>
      <c r="T3315" s="74">
        <v>42795</v>
      </c>
    </row>
    <row r="3316" spans="1:20" x14ac:dyDescent="0.3">
      <c r="A3316" s="42">
        <v>42772</v>
      </c>
      <c r="B3316" s="37">
        <f t="shared" si="97"/>
        <v>20170206</v>
      </c>
      <c r="C3316" s="109">
        <v>2.2599999999999999E-2</v>
      </c>
      <c r="D3316" s="109">
        <v>7.0000000000000001E-3</v>
      </c>
      <c r="E3316" s="109">
        <v>8.9999999999999993E-3</v>
      </c>
      <c r="F3316" s="109">
        <v>0.01</v>
      </c>
      <c r="G3316" s="130">
        <v>0</v>
      </c>
      <c r="H3316" s="71">
        <v>8.5</v>
      </c>
      <c r="I3316" s="71">
        <v>11</v>
      </c>
      <c r="J3316" s="71">
        <v>13.5</v>
      </c>
      <c r="K3316" s="121">
        <v>6.5000000000000006E-3</v>
      </c>
      <c r="L3316" s="121">
        <v>-6.0000000000000001E-3</v>
      </c>
      <c r="M3316" s="75" t="s">
        <v>146</v>
      </c>
      <c r="N3316" s="75" t="b">
        <v>1</v>
      </c>
      <c r="O3316" s="75" t="s">
        <v>145</v>
      </c>
      <c r="P3316" s="75">
        <v>2014</v>
      </c>
      <c r="Q3316" s="107">
        <f t="shared" si="96"/>
        <v>2017</v>
      </c>
      <c r="R3316" s="107">
        <v>2</v>
      </c>
      <c r="S3316" s="43">
        <v>217022</v>
      </c>
      <c r="T3316" s="74">
        <v>42795</v>
      </c>
    </row>
    <row r="3317" spans="1:20" x14ac:dyDescent="0.3">
      <c r="A3317" s="42">
        <v>42773</v>
      </c>
      <c r="B3317" s="37">
        <f t="shared" si="97"/>
        <v>20170207</v>
      </c>
      <c r="C3317" s="109">
        <v>2.2400000000000003E-2</v>
      </c>
      <c r="D3317" s="109">
        <v>7.0000000000000001E-3</v>
      </c>
      <c r="E3317" s="109">
        <v>8.9999999999999993E-3</v>
      </c>
      <c r="F3317" s="109">
        <v>0.01</v>
      </c>
      <c r="G3317" s="130">
        <v>0</v>
      </c>
      <c r="H3317" s="71">
        <v>8.5</v>
      </c>
      <c r="I3317" s="71">
        <v>11</v>
      </c>
      <c r="J3317" s="71">
        <v>13.5</v>
      </c>
      <c r="K3317" s="121">
        <v>6.4000000000000003E-3</v>
      </c>
      <c r="L3317" s="121">
        <v>-6.0000000000000001E-3</v>
      </c>
      <c r="M3317" s="75" t="s">
        <v>146</v>
      </c>
      <c r="N3317" s="75" t="b">
        <v>1</v>
      </c>
      <c r="O3317" s="75" t="s">
        <v>145</v>
      </c>
      <c r="P3317" s="75">
        <v>2014</v>
      </c>
      <c r="Q3317" s="107">
        <f t="shared" si="96"/>
        <v>2017</v>
      </c>
      <c r="R3317" s="107">
        <v>2</v>
      </c>
      <c r="S3317" s="43">
        <v>217022</v>
      </c>
      <c r="T3317" s="74">
        <v>42795</v>
      </c>
    </row>
    <row r="3318" spans="1:20" x14ac:dyDescent="0.3">
      <c r="A3318" s="42">
        <v>42774</v>
      </c>
      <c r="B3318" s="37">
        <f t="shared" si="97"/>
        <v>20170208</v>
      </c>
      <c r="C3318" s="109">
        <v>2.1700000000000001E-2</v>
      </c>
      <c r="D3318" s="109">
        <v>7.0000000000000001E-3</v>
      </c>
      <c r="E3318" s="109">
        <v>8.9999999999999993E-3</v>
      </c>
      <c r="F3318" s="109">
        <v>0.01</v>
      </c>
      <c r="G3318" s="130">
        <v>0</v>
      </c>
      <c r="H3318" s="71">
        <v>8.5</v>
      </c>
      <c r="I3318" s="71">
        <v>11</v>
      </c>
      <c r="J3318" s="71">
        <v>13.5</v>
      </c>
      <c r="K3318" s="121">
        <v>5.6999999999999993E-3</v>
      </c>
      <c r="L3318" s="121">
        <v>-6.0000000000000001E-3</v>
      </c>
      <c r="M3318" s="75" t="s">
        <v>146</v>
      </c>
      <c r="N3318" s="75" t="b">
        <v>1</v>
      </c>
      <c r="O3318" s="75" t="s">
        <v>145</v>
      </c>
      <c r="P3318" s="75">
        <v>2014</v>
      </c>
      <c r="Q3318" s="107">
        <f t="shared" si="96"/>
        <v>2017</v>
      </c>
      <c r="R3318" s="107">
        <v>2</v>
      </c>
      <c r="S3318" s="43">
        <v>217022</v>
      </c>
      <c r="T3318" s="74">
        <v>42795</v>
      </c>
    </row>
    <row r="3319" spans="1:20" x14ac:dyDescent="0.3">
      <c r="A3319" s="42">
        <v>42775</v>
      </c>
      <c r="B3319" s="37">
        <f t="shared" si="97"/>
        <v>20170209</v>
      </c>
      <c r="C3319" s="109">
        <v>2.23E-2</v>
      </c>
      <c r="D3319" s="109">
        <v>7.0000000000000001E-3</v>
      </c>
      <c r="E3319" s="109">
        <v>8.9999999999999993E-3</v>
      </c>
      <c r="F3319" s="109">
        <v>0.01</v>
      </c>
      <c r="G3319" s="130">
        <v>0</v>
      </c>
      <c r="H3319" s="71">
        <v>8.5</v>
      </c>
      <c r="I3319" s="71">
        <v>11</v>
      </c>
      <c r="J3319" s="71">
        <v>13.5</v>
      </c>
      <c r="K3319" s="121">
        <v>6.4000000000000003E-3</v>
      </c>
      <c r="L3319" s="121">
        <v>-6.0000000000000001E-3</v>
      </c>
      <c r="M3319" s="75" t="s">
        <v>146</v>
      </c>
      <c r="N3319" s="75" t="b">
        <v>1</v>
      </c>
      <c r="O3319" s="75" t="s">
        <v>145</v>
      </c>
      <c r="P3319" s="75">
        <v>2014</v>
      </c>
      <c r="Q3319" s="107">
        <f t="shared" si="96"/>
        <v>2017</v>
      </c>
      <c r="R3319" s="107">
        <v>2</v>
      </c>
      <c r="S3319" s="43">
        <v>217022</v>
      </c>
      <c r="T3319" s="74">
        <v>42795</v>
      </c>
    </row>
    <row r="3320" spans="1:20" x14ac:dyDescent="0.3">
      <c r="A3320" s="42">
        <v>42776</v>
      </c>
      <c r="B3320" s="37">
        <f t="shared" si="97"/>
        <v>20170210</v>
      </c>
      <c r="C3320" s="109">
        <v>2.2499999999999999E-2</v>
      </c>
      <c r="D3320" s="109">
        <v>7.0000000000000001E-3</v>
      </c>
      <c r="E3320" s="109">
        <v>8.9999999999999993E-3</v>
      </c>
      <c r="F3320" s="109">
        <v>0.01</v>
      </c>
      <c r="G3320" s="130">
        <v>0</v>
      </c>
      <c r="H3320" s="71">
        <v>8.5</v>
      </c>
      <c r="I3320" s="71">
        <v>11</v>
      </c>
      <c r="J3320" s="71">
        <v>13.5</v>
      </c>
      <c r="K3320" s="121">
        <v>6.4000000000000003E-3</v>
      </c>
      <c r="L3320" s="121">
        <v>-6.0000000000000001E-3</v>
      </c>
      <c r="M3320" s="75" t="s">
        <v>146</v>
      </c>
      <c r="N3320" s="75" t="b">
        <v>1</v>
      </c>
      <c r="O3320" s="75" t="s">
        <v>145</v>
      </c>
      <c r="P3320" s="75">
        <v>2014</v>
      </c>
      <c r="Q3320" s="107">
        <f t="shared" si="96"/>
        <v>2017</v>
      </c>
      <c r="R3320" s="107">
        <v>2</v>
      </c>
      <c r="S3320" s="43">
        <v>217022</v>
      </c>
      <c r="T3320" s="74">
        <v>42795</v>
      </c>
    </row>
    <row r="3321" spans="1:20" x14ac:dyDescent="0.3">
      <c r="A3321" s="42">
        <v>42777</v>
      </c>
      <c r="B3321" s="37">
        <f t="shared" si="97"/>
        <v>20170211</v>
      </c>
      <c r="C3321" s="109">
        <v>2.2499999999999999E-2</v>
      </c>
      <c r="D3321" s="109">
        <v>7.0000000000000001E-3</v>
      </c>
      <c r="E3321" s="109">
        <v>8.9999999999999993E-3</v>
      </c>
      <c r="F3321" s="109">
        <v>0.01</v>
      </c>
      <c r="G3321" s="130">
        <v>0</v>
      </c>
      <c r="H3321" s="71">
        <v>8.5</v>
      </c>
      <c r="I3321" s="71">
        <v>11</v>
      </c>
      <c r="J3321" s="71">
        <v>13.5</v>
      </c>
      <c r="K3321" s="121">
        <v>6.4000000000000003E-3</v>
      </c>
      <c r="L3321" s="121">
        <v>-6.0000000000000001E-3</v>
      </c>
      <c r="M3321" s="75" t="s">
        <v>146</v>
      </c>
      <c r="N3321" s="75" t="b">
        <v>1</v>
      </c>
      <c r="O3321" s="75" t="s">
        <v>145</v>
      </c>
      <c r="P3321" s="75">
        <v>2014</v>
      </c>
      <c r="Q3321" s="107">
        <f t="shared" si="96"/>
        <v>2017</v>
      </c>
      <c r="R3321" s="107">
        <v>2</v>
      </c>
      <c r="S3321" s="43">
        <v>217022</v>
      </c>
      <c r="T3321" s="74">
        <v>42795</v>
      </c>
    </row>
    <row r="3322" spans="1:20" x14ac:dyDescent="0.3">
      <c r="A3322" s="42">
        <v>42778</v>
      </c>
      <c r="B3322" s="37">
        <f t="shared" si="97"/>
        <v>20170212</v>
      </c>
      <c r="C3322" s="109">
        <v>2.2499999999999999E-2</v>
      </c>
      <c r="D3322" s="109">
        <v>7.0000000000000001E-3</v>
      </c>
      <c r="E3322" s="109">
        <v>8.9999999999999993E-3</v>
      </c>
      <c r="F3322" s="109">
        <v>0.01</v>
      </c>
      <c r="G3322" s="130">
        <v>0</v>
      </c>
      <c r="H3322" s="71">
        <v>8.5</v>
      </c>
      <c r="I3322" s="71">
        <v>11</v>
      </c>
      <c r="J3322" s="71">
        <v>13.5</v>
      </c>
      <c r="K3322" s="121">
        <v>6.4000000000000003E-3</v>
      </c>
      <c r="L3322" s="121">
        <v>-6.0000000000000001E-3</v>
      </c>
      <c r="M3322" s="75" t="s">
        <v>146</v>
      </c>
      <c r="N3322" s="75" t="b">
        <v>1</v>
      </c>
      <c r="O3322" s="75" t="s">
        <v>145</v>
      </c>
      <c r="P3322" s="75">
        <v>2014</v>
      </c>
      <c r="Q3322" s="107">
        <f t="shared" si="96"/>
        <v>2017</v>
      </c>
      <c r="R3322" s="107">
        <v>2</v>
      </c>
      <c r="S3322" s="43">
        <v>217022</v>
      </c>
      <c r="T3322" s="74">
        <v>42795</v>
      </c>
    </row>
    <row r="3323" spans="1:20" x14ac:dyDescent="0.3">
      <c r="A3323" s="42">
        <v>42779</v>
      </c>
      <c r="B3323" s="37">
        <f t="shared" si="97"/>
        <v>20170213</v>
      </c>
      <c r="C3323" s="109">
        <v>2.2799999999999997E-2</v>
      </c>
      <c r="D3323" s="109">
        <v>7.0000000000000001E-3</v>
      </c>
      <c r="E3323" s="109">
        <v>8.9999999999999993E-3</v>
      </c>
      <c r="F3323" s="109">
        <v>0.01</v>
      </c>
      <c r="G3323" s="130">
        <v>0</v>
      </c>
      <c r="H3323" s="71">
        <v>8.5</v>
      </c>
      <c r="I3323" s="71">
        <v>11</v>
      </c>
      <c r="J3323" s="71">
        <v>13.5</v>
      </c>
      <c r="K3323" s="121">
        <v>6.8000000000000005E-3</v>
      </c>
      <c r="L3323" s="121">
        <v>-6.0000000000000001E-3</v>
      </c>
      <c r="M3323" s="75" t="s">
        <v>146</v>
      </c>
      <c r="N3323" s="75" t="b">
        <v>1</v>
      </c>
      <c r="O3323" s="75" t="s">
        <v>145</v>
      </c>
      <c r="P3323" s="75">
        <v>2014</v>
      </c>
      <c r="Q3323" s="107">
        <f t="shared" si="96"/>
        <v>2017</v>
      </c>
      <c r="R3323" s="107">
        <v>2</v>
      </c>
      <c r="S3323" s="43">
        <v>217022</v>
      </c>
      <c r="T3323" s="74">
        <v>42795</v>
      </c>
    </row>
    <row r="3324" spans="1:20" x14ac:dyDescent="0.3">
      <c r="A3324" s="42">
        <v>42780</v>
      </c>
      <c r="B3324" s="37">
        <f t="shared" si="97"/>
        <v>20170214</v>
      </c>
      <c r="C3324" s="109">
        <v>2.3199999999999998E-2</v>
      </c>
      <c r="D3324" s="109">
        <v>7.0000000000000001E-3</v>
      </c>
      <c r="E3324" s="109">
        <v>8.9999999999999993E-3</v>
      </c>
      <c r="F3324" s="109">
        <v>0.01</v>
      </c>
      <c r="G3324" s="130">
        <v>0</v>
      </c>
      <c r="H3324" s="71">
        <v>8.5</v>
      </c>
      <c r="I3324" s="71">
        <v>11</v>
      </c>
      <c r="J3324" s="71">
        <v>13.5</v>
      </c>
      <c r="K3324" s="121">
        <v>7.0999999999999995E-3</v>
      </c>
      <c r="L3324" s="121">
        <v>-6.0000000000000001E-3</v>
      </c>
      <c r="M3324" s="75" t="s">
        <v>146</v>
      </c>
      <c r="N3324" s="75" t="b">
        <v>1</v>
      </c>
      <c r="O3324" s="75" t="s">
        <v>145</v>
      </c>
      <c r="P3324" s="75">
        <v>2014</v>
      </c>
      <c r="Q3324" s="107">
        <f t="shared" si="96"/>
        <v>2017</v>
      </c>
      <c r="R3324" s="107">
        <v>2</v>
      </c>
      <c r="S3324" s="43">
        <v>217022</v>
      </c>
      <c r="T3324" s="74">
        <v>42795</v>
      </c>
    </row>
    <row r="3325" spans="1:20" x14ac:dyDescent="0.3">
      <c r="A3325" s="42">
        <v>42781</v>
      </c>
      <c r="B3325" s="37">
        <f t="shared" si="97"/>
        <v>20170215</v>
      </c>
      <c r="C3325" s="109">
        <v>2.3399999999999997E-2</v>
      </c>
      <c r="D3325" s="109">
        <v>7.0000000000000001E-3</v>
      </c>
      <c r="E3325" s="109">
        <v>8.9999999999999993E-3</v>
      </c>
      <c r="F3325" s="109">
        <v>0.01</v>
      </c>
      <c r="G3325" s="130">
        <v>0</v>
      </c>
      <c r="H3325" s="71">
        <v>8.5</v>
      </c>
      <c r="I3325" s="71">
        <v>11</v>
      </c>
      <c r="J3325" s="71">
        <v>13.5</v>
      </c>
      <c r="K3325" s="121">
        <v>7.1999999999999998E-3</v>
      </c>
      <c r="L3325" s="121">
        <v>-6.0000000000000001E-3</v>
      </c>
      <c r="M3325" s="75" t="s">
        <v>146</v>
      </c>
      <c r="N3325" s="75" t="b">
        <v>1</v>
      </c>
      <c r="O3325" s="75" t="s">
        <v>145</v>
      </c>
      <c r="P3325" s="75">
        <v>2014</v>
      </c>
      <c r="Q3325" s="107">
        <f t="shared" si="96"/>
        <v>2017</v>
      </c>
      <c r="R3325" s="107">
        <v>2</v>
      </c>
      <c r="S3325" s="43">
        <v>217022</v>
      </c>
      <c r="T3325" s="74">
        <v>42795</v>
      </c>
    </row>
    <row r="3326" spans="1:20" x14ac:dyDescent="0.3">
      <c r="A3326" s="42">
        <v>42782</v>
      </c>
      <c r="B3326" s="37">
        <f t="shared" si="97"/>
        <v>20170216</v>
      </c>
      <c r="C3326" s="109">
        <v>2.3099999999999999E-2</v>
      </c>
      <c r="D3326" s="109">
        <v>7.0000000000000001E-3</v>
      </c>
      <c r="E3326" s="109">
        <v>8.9999999999999993E-3</v>
      </c>
      <c r="F3326" s="109">
        <v>0.01</v>
      </c>
      <c r="G3326" s="130">
        <v>0</v>
      </c>
      <c r="H3326" s="71">
        <v>8.5</v>
      </c>
      <c r="I3326" s="71">
        <v>11</v>
      </c>
      <c r="J3326" s="71">
        <v>13.5</v>
      </c>
      <c r="K3326" s="121">
        <v>6.8999999999999999E-3</v>
      </c>
      <c r="L3326" s="121">
        <v>-6.0000000000000001E-3</v>
      </c>
      <c r="M3326" s="75" t="s">
        <v>146</v>
      </c>
      <c r="N3326" s="75" t="b">
        <v>1</v>
      </c>
      <c r="O3326" s="75" t="s">
        <v>145</v>
      </c>
      <c r="P3326" s="75">
        <v>2014</v>
      </c>
      <c r="Q3326" s="107">
        <f t="shared" si="96"/>
        <v>2017</v>
      </c>
      <c r="R3326" s="107">
        <v>2</v>
      </c>
      <c r="S3326" s="43">
        <v>217022</v>
      </c>
      <c r="T3326" s="74">
        <v>42795</v>
      </c>
    </row>
    <row r="3327" spans="1:20" x14ac:dyDescent="0.3">
      <c r="A3327" s="42">
        <v>42783</v>
      </c>
      <c r="B3327" s="37">
        <f t="shared" si="97"/>
        <v>20170217</v>
      </c>
      <c r="C3327" s="109">
        <v>2.2799999999999997E-2</v>
      </c>
      <c r="D3327" s="109">
        <v>7.0000000000000001E-3</v>
      </c>
      <c r="E3327" s="109">
        <v>8.9999999999999993E-3</v>
      </c>
      <c r="F3327" s="109">
        <v>0.01</v>
      </c>
      <c r="G3327" s="130">
        <v>0</v>
      </c>
      <c r="H3327" s="71">
        <v>8.5</v>
      </c>
      <c r="I3327" s="71">
        <v>11</v>
      </c>
      <c r="J3327" s="71">
        <v>13.5</v>
      </c>
      <c r="K3327" s="121">
        <v>6.8000000000000005E-3</v>
      </c>
      <c r="L3327" s="121">
        <v>-6.0000000000000001E-3</v>
      </c>
      <c r="M3327" s="75" t="s">
        <v>146</v>
      </c>
      <c r="N3327" s="75" t="b">
        <v>1</v>
      </c>
      <c r="O3327" s="75" t="s">
        <v>145</v>
      </c>
      <c r="P3327" s="75">
        <v>2014</v>
      </c>
      <c r="Q3327" s="107">
        <f t="shared" si="96"/>
        <v>2017</v>
      </c>
      <c r="R3327" s="107">
        <v>2</v>
      </c>
      <c r="S3327" s="43">
        <v>217022</v>
      </c>
      <c r="T3327" s="74">
        <v>42795</v>
      </c>
    </row>
    <row r="3328" spans="1:20" x14ac:dyDescent="0.3">
      <c r="A3328" s="42">
        <v>42784</v>
      </c>
      <c r="B3328" s="37">
        <f t="shared" si="97"/>
        <v>20170218</v>
      </c>
      <c r="C3328" s="109">
        <v>2.2799999999999997E-2</v>
      </c>
      <c r="D3328" s="109">
        <v>7.0000000000000001E-3</v>
      </c>
      <c r="E3328" s="109">
        <v>8.9999999999999993E-3</v>
      </c>
      <c r="F3328" s="109">
        <v>0.01</v>
      </c>
      <c r="G3328" s="130">
        <v>0</v>
      </c>
      <c r="H3328" s="71">
        <v>8.5</v>
      </c>
      <c r="I3328" s="71">
        <v>11</v>
      </c>
      <c r="J3328" s="71">
        <v>13.5</v>
      </c>
      <c r="K3328" s="121">
        <v>6.8000000000000005E-3</v>
      </c>
      <c r="L3328" s="121">
        <v>-6.0000000000000001E-3</v>
      </c>
      <c r="M3328" s="75" t="s">
        <v>146</v>
      </c>
      <c r="N3328" s="75" t="b">
        <v>1</v>
      </c>
      <c r="O3328" s="75" t="s">
        <v>145</v>
      </c>
      <c r="P3328" s="75">
        <v>2014</v>
      </c>
      <c r="Q3328" s="107">
        <f t="shared" si="96"/>
        <v>2017</v>
      </c>
      <c r="R3328" s="107">
        <v>2</v>
      </c>
      <c r="S3328" s="43">
        <v>217022</v>
      </c>
      <c r="T3328" s="74">
        <v>42795</v>
      </c>
    </row>
    <row r="3329" spans="1:20" x14ac:dyDescent="0.3">
      <c r="A3329" s="42">
        <v>42785</v>
      </c>
      <c r="B3329" s="37">
        <f t="shared" si="97"/>
        <v>20170219</v>
      </c>
      <c r="C3329" s="109">
        <v>2.2799999999999997E-2</v>
      </c>
      <c r="D3329" s="109">
        <v>7.0000000000000001E-3</v>
      </c>
      <c r="E3329" s="109">
        <v>8.9999999999999993E-3</v>
      </c>
      <c r="F3329" s="109">
        <v>0.01</v>
      </c>
      <c r="G3329" s="130">
        <v>0</v>
      </c>
      <c r="H3329" s="71">
        <v>8.5</v>
      </c>
      <c r="I3329" s="71">
        <v>11</v>
      </c>
      <c r="J3329" s="71">
        <v>13.5</v>
      </c>
      <c r="K3329" s="121">
        <v>6.8000000000000005E-3</v>
      </c>
      <c r="L3329" s="121">
        <v>-6.0000000000000001E-3</v>
      </c>
      <c r="M3329" s="75" t="s">
        <v>146</v>
      </c>
      <c r="N3329" s="75" t="b">
        <v>1</v>
      </c>
      <c r="O3329" s="75" t="s">
        <v>145</v>
      </c>
      <c r="P3329" s="75">
        <v>2014</v>
      </c>
      <c r="Q3329" s="107">
        <f t="shared" si="96"/>
        <v>2017</v>
      </c>
      <c r="R3329" s="107">
        <v>2</v>
      </c>
      <c r="S3329" s="43">
        <v>217022</v>
      </c>
      <c r="T3329" s="74">
        <v>42795</v>
      </c>
    </row>
    <row r="3330" spans="1:20" x14ac:dyDescent="0.3">
      <c r="A3330" s="42">
        <v>42786</v>
      </c>
      <c r="B3330" s="37">
        <f t="shared" si="97"/>
        <v>20170220</v>
      </c>
      <c r="C3330" s="109">
        <v>2.2799999999999997E-2</v>
      </c>
      <c r="D3330" s="109">
        <v>7.0000000000000001E-3</v>
      </c>
      <c r="E3330" s="109">
        <v>8.9999999999999993E-3</v>
      </c>
      <c r="F3330" s="109">
        <v>0.01</v>
      </c>
      <c r="G3330" s="130">
        <v>0</v>
      </c>
      <c r="H3330" s="71">
        <v>8.5</v>
      </c>
      <c r="I3330" s="71">
        <v>11</v>
      </c>
      <c r="J3330" s="71">
        <v>13.5</v>
      </c>
      <c r="K3330" s="121">
        <v>6.8000000000000005E-3</v>
      </c>
      <c r="L3330" s="121">
        <v>-6.0000000000000001E-3</v>
      </c>
      <c r="M3330" s="75" t="s">
        <v>146</v>
      </c>
      <c r="N3330" s="75" t="b">
        <v>1</v>
      </c>
      <c r="O3330" s="75" t="s">
        <v>145</v>
      </c>
      <c r="P3330" s="75">
        <v>2014</v>
      </c>
      <c r="Q3330" s="107">
        <f t="shared" si="96"/>
        <v>2017</v>
      </c>
      <c r="R3330" s="107">
        <v>2</v>
      </c>
      <c r="S3330" s="43">
        <v>217022</v>
      </c>
      <c r="T3330" s="74">
        <v>42795</v>
      </c>
    </row>
    <row r="3331" spans="1:20" x14ac:dyDescent="0.3">
      <c r="A3331" s="42">
        <v>42787</v>
      </c>
      <c r="B3331" s="37">
        <f t="shared" si="97"/>
        <v>20170221</v>
      </c>
      <c r="C3331" s="109">
        <v>2.29E-2</v>
      </c>
      <c r="D3331" s="109">
        <v>7.0000000000000001E-3</v>
      </c>
      <c r="E3331" s="109">
        <v>8.9999999999999993E-3</v>
      </c>
      <c r="F3331" s="109">
        <v>0.01</v>
      </c>
      <c r="G3331" s="130">
        <v>0</v>
      </c>
      <c r="H3331" s="71">
        <v>8.5</v>
      </c>
      <c r="I3331" s="71">
        <v>11</v>
      </c>
      <c r="J3331" s="71">
        <v>13.5</v>
      </c>
      <c r="K3331" s="121">
        <v>6.8999999999999999E-3</v>
      </c>
      <c r="L3331" s="121">
        <v>-6.0000000000000001E-3</v>
      </c>
      <c r="M3331" s="75" t="s">
        <v>146</v>
      </c>
      <c r="N3331" s="75" t="b">
        <v>1</v>
      </c>
      <c r="O3331" s="75" t="s">
        <v>145</v>
      </c>
      <c r="P3331" s="75">
        <v>2014</v>
      </c>
      <c r="Q3331" s="107">
        <f t="shared" si="96"/>
        <v>2017</v>
      </c>
      <c r="R3331" s="107">
        <v>2</v>
      </c>
      <c r="S3331" s="43">
        <v>217022</v>
      </c>
      <c r="T3331" s="74">
        <v>42795</v>
      </c>
    </row>
    <row r="3332" spans="1:20" x14ac:dyDescent="0.3">
      <c r="A3332" s="42">
        <v>42788</v>
      </c>
      <c r="B3332" s="37">
        <f t="shared" si="97"/>
        <v>20170222</v>
      </c>
      <c r="C3332" s="109">
        <v>2.29E-2</v>
      </c>
      <c r="D3332" s="109">
        <v>7.0000000000000001E-3</v>
      </c>
      <c r="E3332" s="109">
        <v>8.9999999999999993E-3</v>
      </c>
      <c r="F3332" s="109">
        <v>0.01</v>
      </c>
      <c r="G3332" s="130">
        <v>0</v>
      </c>
      <c r="H3332" s="71">
        <v>8.5</v>
      </c>
      <c r="I3332" s="71">
        <v>11</v>
      </c>
      <c r="J3332" s="71">
        <v>13.5</v>
      </c>
      <c r="K3332" s="121">
        <v>6.9999999999999993E-3</v>
      </c>
      <c r="L3332" s="121">
        <v>-6.0000000000000001E-3</v>
      </c>
      <c r="M3332" s="75" t="s">
        <v>146</v>
      </c>
      <c r="N3332" s="75" t="b">
        <v>1</v>
      </c>
      <c r="O3332" s="75" t="s">
        <v>145</v>
      </c>
      <c r="P3332" s="75">
        <v>2014</v>
      </c>
      <c r="Q3332" s="107">
        <f t="shared" si="96"/>
        <v>2017</v>
      </c>
      <c r="R3332" s="107">
        <v>2</v>
      </c>
      <c r="S3332" s="43">
        <v>217022</v>
      </c>
      <c r="T3332" s="74">
        <v>42795</v>
      </c>
    </row>
    <row r="3333" spans="1:20" x14ac:dyDescent="0.3">
      <c r="A3333" s="42">
        <v>42789</v>
      </c>
      <c r="B3333" s="37">
        <f t="shared" si="97"/>
        <v>20170223</v>
      </c>
      <c r="C3333" s="109">
        <v>2.2599999999999999E-2</v>
      </c>
      <c r="D3333" s="109">
        <v>7.0000000000000001E-3</v>
      </c>
      <c r="E3333" s="109">
        <v>8.9999999999999993E-3</v>
      </c>
      <c r="F3333" s="109">
        <v>0.01</v>
      </c>
      <c r="G3333" s="130">
        <v>0</v>
      </c>
      <c r="H3333" s="71">
        <v>8.5</v>
      </c>
      <c r="I3333" s="71">
        <v>11</v>
      </c>
      <c r="J3333" s="71">
        <v>13.5</v>
      </c>
      <c r="K3333" s="121">
        <v>6.7000000000000002E-3</v>
      </c>
      <c r="L3333" s="121">
        <v>-6.0000000000000001E-3</v>
      </c>
      <c r="M3333" s="75" t="s">
        <v>146</v>
      </c>
      <c r="N3333" s="75" t="b">
        <v>1</v>
      </c>
      <c r="O3333" s="75" t="s">
        <v>145</v>
      </c>
      <c r="P3333" s="75">
        <v>2014</v>
      </c>
      <c r="Q3333" s="107">
        <f t="shared" si="96"/>
        <v>2017</v>
      </c>
      <c r="R3333" s="107">
        <v>2</v>
      </c>
      <c r="S3333" s="43">
        <v>217022</v>
      </c>
      <c r="T3333" s="74">
        <v>42795</v>
      </c>
    </row>
    <row r="3334" spans="1:20" x14ac:dyDescent="0.3">
      <c r="A3334" s="42">
        <v>42790</v>
      </c>
      <c r="B3334" s="37">
        <f t="shared" si="97"/>
        <v>20170224</v>
      </c>
      <c r="C3334" s="109">
        <v>2.1899999999999999E-2</v>
      </c>
      <c r="D3334" s="109">
        <v>7.0000000000000001E-3</v>
      </c>
      <c r="E3334" s="109">
        <v>8.9999999999999993E-3</v>
      </c>
      <c r="F3334" s="109">
        <v>0.01</v>
      </c>
      <c r="G3334" s="130">
        <v>0</v>
      </c>
      <c r="H3334" s="71">
        <v>8.5</v>
      </c>
      <c r="I3334" s="71">
        <v>11</v>
      </c>
      <c r="J3334" s="71">
        <v>13.5</v>
      </c>
      <c r="K3334" s="121">
        <v>5.8999999999999999E-3</v>
      </c>
      <c r="L3334" s="121">
        <v>-6.0000000000000001E-3</v>
      </c>
      <c r="M3334" s="75" t="s">
        <v>146</v>
      </c>
      <c r="N3334" s="75" t="b">
        <v>1</v>
      </c>
      <c r="O3334" s="75" t="s">
        <v>145</v>
      </c>
      <c r="P3334" s="75">
        <v>2014</v>
      </c>
      <c r="Q3334" s="107">
        <f t="shared" si="96"/>
        <v>2017</v>
      </c>
      <c r="R3334" s="107">
        <v>2</v>
      </c>
      <c r="S3334" s="43">
        <v>217022</v>
      </c>
      <c r="T3334" s="74">
        <v>42795</v>
      </c>
    </row>
    <row r="3335" spans="1:20" x14ac:dyDescent="0.3">
      <c r="A3335" s="42">
        <v>42791</v>
      </c>
      <c r="B3335" s="37">
        <f t="shared" si="97"/>
        <v>20170225</v>
      </c>
      <c r="C3335" s="109">
        <v>2.1899999999999999E-2</v>
      </c>
      <c r="D3335" s="109">
        <v>7.0000000000000001E-3</v>
      </c>
      <c r="E3335" s="109">
        <v>8.9999999999999993E-3</v>
      </c>
      <c r="F3335" s="109">
        <v>0.01</v>
      </c>
      <c r="G3335" s="130">
        <v>0</v>
      </c>
      <c r="H3335" s="71">
        <v>8.5</v>
      </c>
      <c r="I3335" s="71">
        <v>11</v>
      </c>
      <c r="J3335" s="71">
        <v>13.5</v>
      </c>
      <c r="K3335" s="121">
        <v>5.8999999999999999E-3</v>
      </c>
      <c r="L3335" s="121">
        <v>-6.0000000000000001E-3</v>
      </c>
      <c r="M3335" s="75" t="s">
        <v>146</v>
      </c>
      <c r="N3335" s="75" t="b">
        <v>1</v>
      </c>
      <c r="O3335" s="75" t="s">
        <v>145</v>
      </c>
      <c r="P3335" s="75">
        <v>2014</v>
      </c>
      <c r="Q3335" s="107">
        <f t="shared" si="96"/>
        <v>2017</v>
      </c>
      <c r="R3335" s="107">
        <v>2</v>
      </c>
      <c r="S3335" s="43">
        <v>217022</v>
      </c>
      <c r="T3335" s="74">
        <v>42795</v>
      </c>
    </row>
    <row r="3336" spans="1:20" x14ac:dyDescent="0.3">
      <c r="A3336" s="42">
        <v>42792</v>
      </c>
      <c r="B3336" s="37">
        <f t="shared" si="97"/>
        <v>20170226</v>
      </c>
      <c r="C3336" s="109">
        <v>2.1899999999999999E-2</v>
      </c>
      <c r="D3336" s="109">
        <v>7.0000000000000001E-3</v>
      </c>
      <c r="E3336" s="109">
        <v>8.9999999999999993E-3</v>
      </c>
      <c r="F3336" s="109">
        <v>0.01</v>
      </c>
      <c r="G3336" s="130">
        <v>0</v>
      </c>
      <c r="H3336" s="71">
        <v>8.5</v>
      </c>
      <c r="I3336" s="71">
        <v>11</v>
      </c>
      <c r="J3336" s="71">
        <v>13.5</v>
      </c>
      <c r="K3336" s="121">
        <v>5.8999999999999999E-3</v>
      </c>
      <c r="L3336" s="121">
        <v>-6.0000000000000001E-3</v>
      </c>
      <c r="M3336" s="75" t="s">
        <v>146</v>
      </c>
      <c r="N3336" s="75" t="b">
        <v>1</v>
      </c>
      <c r="O3336" s="75" t="s">
        <v>145</v>
      </c>
      <c r="P3336" s="75">
        <v>2014</v>
      </c>
      <c r="Q3336" s="107">
        <f t="shared" si="96"/>
        <v>2017</v>
      </c>
      <c r="R3336" s="107">
        <v>2</v>
      </c>
      <c r="S3336" s="43">
        <v>217022</v>
      </c>
      <c r="T3336" s="74">
        <v>42795</v>
      </c>
    </row>
    <row r="3337" spans="1:20" x14ac:dyDescent="0.3">
      <c r="A3337" s="42">
        <v>42793</v>
      </c>
      <c r="B3337" s="37">
        <f t="shared" si="97"/>
        <v>20170227</v>
      </c>
      <c r="C3337" s="109">
        <v>2.23E-2</v>
      </c>
      <c r="D3337" s="109">
        <v>7.0000000000000001E-3</v>
      </c>
      <c r="E3337" s="109">
        <v>8.9999999999999993E-3</v>
      </c>
      <c r="F3337" s="109">
        <v>0.01</v>
      </c>
      <c r="G3337" s="130">
        <v>0</v>
      </c>
      <c r="H3337" s="71">
        <v>8.5</v>
      </c>
      <c r="I3337" s="71">
        <v>11</v>
      </c>
      <c r="J3337" s="71">
        <v>13.5</v>
      </c>
      <c r="K3337" s="121">
        <v>6.3E-3</v>
      </c>
      <c r="L3337" s="121">
        <v>-6.0000000000000001E-3</v>
      </c>
      <c r="M3337" s="75" t="s">
        <v>146</v>
      </c>
      <c r="N3337" s="75" t="b">
        <v>1</v>
      </c>
      <c r="O3337" s="75" t="s">
        <v>145</v>
      </c>
      <c r="P3337" s="75">
        <v>2014</v>
      </c>
      <c r="Q3337" s="107">
        <f t="shared" si="96"/>
        <v>2017</v>
      </c>
      <c r="R3337" s="107">
        <v>2</v>
      </c>
      <c r="S3337" s="43">
        <v>217022</v>
      </c>
      <c r="T3337" s="74">
        <v>42795</v>
      </c>
    </row>
    <row r="3338" spans="1:20" x14ac:dyDescent="0.3">
      <c r="A3338" s="42">
        <v>42794</v>
      </c>
      <c r="B3338" s="37">
        <f t="shared" si="97"/>
        <v>20170228</v>
      </c>
      <c r="C3338" s="109">
        <v>2.2099999999999998E-2</v>
      </c>
      <c r="D3338" s="109">
        <v>7.0000000000000001E-3</v>
      </c>
      <c r="E3338" s="109">
        <v>8.9999999999999993E-3</v>
      </c>
      <c r="F3338" s="109">
        <v>0.01</v>
      </c>
      <c r="G3338" s="130">
        <v>0</v>
      </c>
      <c r="H3338" s="71">
        <v>8.5</v>
      </c>
      <c r="I3338" s="71">
        <v>11</v>
      </c>
      <c r="J3338" s="71">
        <v>13.5</v>
      </c>
      <c r="K3338" s="121">
        <v>6.1999999999999998E-3</v>
      </c>
      <c r="L3338" s="121">
        <v>-6.0000000000000001E-3</v>
      </c>
      <c r="M3338" s="75" t="s">
        <v>146</v>
      </c>
      <c r="N3338" s="75" t="b">
        <v>1</v>
      </c>
      <c r="O3338" s="75" t="s">
        <v>145</v>
      </c>
      <c r="P3338" s="75">
        <v>2014</v>
      </c>
      <c r="Q3338" s="107">
        <f t="shared" si="96"/>
        <v>2017</v>
      </c>
      <c r="R3338" s="107">
        <v>2</v>
      </c>
      <c r="S3338" s="43">
        <v>217022</v>
      </c>
      <c r="T3338" s="74">
        <v>42795</v>
      </c>
    </row>
    <row r="3339" spans="1:20" x14ac:dyDescent="0.3">
      <c r="A3339" s="42">
        <v>42795</v>
      </c>
      <c r="B3339" s="37">
        <f t="shared" si="97"/>
        <v>20170301</v>
      </c>
      <c r="C3339" s="109">
        <v>2.2700000000000001E-2</v>
      </c>
      <c r="D3339" s="109">
        <v>7.0000000000000001E-3</v>
      </c>
      <c r="E3339" s="109">
        <v>8.9999999999999993E-3</v>
      </c>
      <c r="F3339" s="109">
        <v>0.01</v>
      </c>
      <c r="G3339" s="130">
        <v>0</v>
      </c>
      <c r="H3339" s="71">
        <v>8.5</v>
      </c>
      <c r="I3339" s="71">
        <v>11</v>
      </c>
      <c r="J3339" s="71">
        <v>13.5</v>
      </c>
      <c r="K3339" s="121">
        <v>6.6E-3</v>
      </c>
      <c r="L3339" s="121">
        <v>-6.0000000000000001E-3</v>
      </c>
      <c r="M3339" s="75" t="s">
        <v>146</v>
      </c>
      <c r="N3339" s="75" t="b">
        <v>1</v>
      </c>
      <c r="O3339" s="75" t="s">
        <v>145</v>
      </c>
      <c r="P3339" s="75">
        <v>2014</v>
      </c>
      <c r="Q3339" s="107">
        <f t="shared" si="96"/>
        <v>2017</v>
      </c>
      <c r="R3339" s="107">
        <v>2</v>
      </c>
      <c r="S3339" s="43">
        <v>217022</v>
      </c>
      <c r="T3339" s="74">
        <v>42795</v>
      </c>
    </row>
    <row r="3340" spans="1:20" x14ac:dyDescent="0.3">
      <c r="A3340" s="42">
        <v>42796</v>
      </c>
      <c r="B3340" s="37">
        <f t="shared" si="97"/>
        <v>20170302</v>
      </c>
      <c r="C3340" s="109">
        <v>2.2799999999999997E-2</v>
      </c>
      <c r="D3340" s="109">
        <v>7.0000000000000001E-3</v>
      </c>
      <c r="E3340" s="109">
        <v>8.9999999999999993E-3</v>
      </c>
      <c r="F3340" s="109">
        <v>0.01</v>
      </c>
      <c r="G3340" s="130">
        <v>0</v>
      </c>
      <c r="H3340" s="71">
        <v>8.5</v>
      </c>
      <c r="I3340" s="71">
        <v>11</v>
      </c>
      <c r="J3340" s="71">
        <v>13.5</v>
      </c>
      <c r="K3340" s="121">
        <v>6.7000000000000002E-3</v>
      </c>
      <c r="L3340" s="121">
        <v>-6.0000000000000001E-3</v>
      </c>
      <c r="M3340" s="75" t="s">
        <v>146</v>
      </c>
      <c r="N3340" s="75" t="b">
        <v>1</v>
      </c>
      <c r="O3340" s="75" t="s">
        <v>145</v>
      </c>
      <c r="P3340" s="75">
        <v>2014</v>
      </c>
      <c r="Q3340" s="107">
        <f t="shared" si="96"/>
        <v>2017</v>
      </c>
      <c r="R3340" s="107">
        <v>2</v>
      </c>
      <c r="S3340" s="43">
        <v>217022</v>
      </c>
      <c r="T3340" s="74">
        <v>42795</v>
      </c>
    </row>
    <row r="3341" spans="1:20" x14ac:dyDescent="0.3">
      <c r="A3341" s="42">
        <v>42797</v>
      </c>
      <c r="B3341" s="37">
        <f t="shared" si="97"/>
        <v>20170303</v>
      </c>
      <c r="C3341" s="109">
        <v>2.2799999999999997E-2</v>
      </c>
      <c r="D3341" s="109">
        <v>7.0000000000000001E-3</v>
      </c>
      <c r="E3341" s="109">
        <v>8.9999999999999993E-3</v>
      </c>
      <c r="F3341" s="109">
        <v>0.01</v>
      </c>
      <c r="G3341" s="130">
        <v>0</v>
      </c>
      <c r="H3341" s="71">
        <v>8.5</v>
      </c>
      <c r="I3341" s="71">
        <v>11</v>
      </c>
      <c r="J3341" s="71">
        <v>13.5</v>
      </c>
      <c r="K3341" s="121">
        <v>6.8000000000000005E-3</v>
      </c>
      <c r="L3341" s="121">
        <v>-6.0000000000000001E-3</v>
      </c>
      <c r="M3341" s="75" t="s">
        <v>146</v>
      </c>
      <c r="N3341" s="75" t="b">
        <v>1</v>
      </c>
      <c r="O3341" s="75" t="s">
        <v>145</v>
      </c>
      <c r="P3341" s="75">
        <v>2014</v>
      </c>
      <c r="Q3341" s="107">
        <f t="shared" si="96"/>
        <v>2017</v>
      </c>
      <c r="R3341" s="107">
        <v>2</v>
      </c>
      <c r="S3341" s="43">
        <v>217022</v>
      </c>
      <c r="T3341" s="74">
        <v>42795</v>
      </c>
    </row>
    <row r="3342" spans="1:20" x14ac:dyDescent="0.3">
      <c r="A3342" s="42">
        <v>42798</v>
      </c>
      <c r="B3342" s="37">
        <f>YEAR(A3342)*10000+MONTH(A3342)*100+DAY(A3342)</f>
        <v>20170304</v>
      </c>
      <c r="C3342" s="109">
        <v>2.2799999999999997E-2</v>
      </c>
      <c r="D3342" s="109">
        <v>7.0000000000000001E-3</v>
      </c>
      <c r="E3342" s="109">
        <v>8.9999999999999993E-3</v>
      </c>
      <c r="F3342" s="109">
        <v>0.01</v>
      </c>
      <c r="G3342" s="130">
        <v>0</v>
      </c>
      <c r="H3342" s="71">
        <v>8.5</v>
      </c>
      <c r="I3342" s="71">
        <v>11</v>
      </c>
      <c r="J3342" s="71">
        <v>13.5</v>
      </c>
      <c r="K3342" s="121">
        <v>6.8000000000000005E-3</v>
      </c>
      <c r="L3342" s="121">
        <v>-6.0000000000000001E-3</v>
      </c>
      <c r="M3342" s="75" t="s">
        <v>146</v>
      </c>
      <c r="N3342" s="75" t="b">
        <v>1</v>
      </c>
      <c r="O3342" s="75" t="s">
        <v>145</v>
      </c>
      <c r="P3342" s="75">
        <v>2014</v>
      </c>
      <c r="Q3342" s="107">
        <f t="shared" si="96"/>
        <v>2017</v>
      </c>
      <c r="R3342" s="107">
        <v>2</v>
      </c>
      <c r="S3342" s="43">
        <v>217022</v>
      </c>
      <c r="T3342" s="74">
        <v>42795</v>
      </c>
    </row>
    <row r="3343" spans="1:20" x14ac:dyDescent="0.3">
      <c r="A3343" s="42">
        <v>42799</v>
      </c>
      <c r="B3343" s="37">
        <f>YEAR(A3343)*10000+MONTH(A3343)*100+DAY(A3343)</f>
        <v>20170305</v>
      </c>
      <c r="C3343" s="109">
        <v>2.2799999999999997E-2</v>
      </c>
      <c r="D3343" s="109">
        <v>7.0000000000000001E-3</v>
      </c>
      <c r="E3343" s="109">
        <v>8.9999999999999993E-3</v>
      </c>
      <c r="F3343" s="109">
        <v>0.01</v>
      </c>
      <c r="G3343" s="130">
        <v>0</v>
      </c>
      <c r="H3343" s="71">
        <v>8.5</v>
      </c>
      <c r="I3343" s="71">
        <v>11</v>
      </c>
      <c r="J3343" s="71">
        <v>13.5</v>
      </c>
      <c r="K3343" s="121">
        <v>6.8000000000000005E-3</v>
      </c>
      <c r="L3343" s="121">
        <v>-6.0000000000000001E-3</v>
      </c>
      <c r="M3343" s="75" t="s">
        <v>146</v>
      </c>
      <c r="N3343" s="75" t="b">
        <v>1</v>
      </c>
      <c r="O3343" s="75" t="s">
        <v>145</v>
      </c>
      <c r="P3343" s="75">
        <v>2014</v>
      </c>
      <c r="Q3343" s="107">
        <f t="shared" si="96"/>
        <v>2017</v>
      </c>
      <c r="R3343" s="107">
        <v>2</v>
      </c>
      <c r="S3343" s="43">
        <v>217022</v>
      </c>
      <c r="T3343" s="74">
        <v>42795</v>
      </c>
    </row>
    <row r="3344" spans="1:20" x14ac:dyDescent="0.3">
      <c r="A3344" s="42">
        <v>42800</v>
      </c>
      <c r="B3344" s="37">
        <f t="shared" si="97"/>
        <v>20170306</v>
      </c>
      <c r="C3344" s="109">
        <v>2.2799999999999997E-2</v>
      </c>
      <c r="D3344" s="109">
        <v>7.0000000000000001E-3</v>
      </c>
      <c r="E3344" s="109">
        <v>8.9999999999999993E-3</v>
      </c>
      <c r="F3344" s="109">
        <v>0.01</v>
      </c>
      <c r="G3344" s="130">
        <v>0</v>
      </c>
      <c r="H3344" s="71">
        <v>8.5</v>
      </c>
      <c r="I3344" s="71">
        <v>11</v>
      </c>
      <c r="J3344" s="71">
        <v>13.5</v>
      </c>
      <c r="K3344" s="121">
        <v>6.8000000000000005E-3</v>
      </c>
      <c r="L3344" s="121">
        <v>-6.0000000000000001E-3</v>
      </c>
      <c r="M3344" s="75" t="s">
        <v>146</v>
      </c>
      <c r="N3344" s="75" t="b">
        <v>1</v>
      </c>
      <c r="O3344" s="75" t="s">
        <v>145</v>
      </c>
      <c r="P3344" s="75">
        <v>2014</v>
      </c>
      <c r="Q3344" s="107">
        <f t="shared" si="96"/>
        <v>2017</v>
      </c>
      <c r="R3344" s="107">
        <v>2</v>
      </c>
      <c r="S3344" s="43">
        <v>217022</v>
      </c>
      <c r="T3344" s="74">
        <v>42795</v>
      </c>
    </row>
    <row r="3345" spans="1:20" x14ac:dyDescent="0.3">
      <c r="A3345" s="42">
        <v>42801</v>
      </c>
      <c r="B3345" s="37">
        <f t="shared" si="97"/>
        <v>20170307</v>
      </c>
      <c r="C3345" s="109">
        <v>2.29E-2</v>
      </c>
      <c r="D3345" s="109">
        <v>7.0000000000000001E-3</v>
      </c>
      <c r="E3345" s="109">
        <v>8.9999999999999993E-3</v>
      </c>
      <c r="F3345" s="109">
        <v>0.01</v>
      </c>
      <c r="G3345" s="130">
        <v>0</v>
      </c>
      <c r="H3345" s="71">
        <v>8.5</v>
      </c>
      <c r="I3345" s="71">
        <v>11</v>
      </c>
      <c r="J3345" s="71">
        <v>13.5</v>
      </c>
      <c r="K3345" s="121">
        <v>6.9999999999999993E-3</v>
      </c>
      <c r="L3345" s="121">
        <v>-6.0000000000000001E-3</v>
      </c>
      <c r="M3345" s="75" t="s">
        <v>146</v>
      </c>
      <c r="N3345" s="75" t="b">
        <v>1</v>
      </c>
      <c r="O3345" s="75" t="s">
        <v>145</v>
      </c>
      <c r="P3345" s="75">
        <v>2014</v>
      </c>
      <c r="Q3345" s="107">
        <f t="shared" si="96"/>
        <v>2017</v>
      </c>
      <c r="R3345" s="107">
        <v>2</v>
      </c>
      <c r="S3345" s="43">
        <v>217022</v>
      </c>
      <c r="T3345" s="74">
        <v>42795</v>
      </c>
    </row>
    <row r="3346" spans="1:20" x14ac:dyDescent="0.3">
      <c r="A3346" s="42">
        <v>42802</v>
      </c>
      <c r="B3346" s="37">
        <f t="shared" si="97"/>
        <v>20170308</v>
      </c>
      <c r="C3346" s="109">
        <v>2.3199999999999998E-2</v>
      </c>
      <c r="D3346" s="109">
        <v>7.0000000000000001E-3</v>
      </c>
      <c r="E3346" s="109">
        <v>8.9999999999999993E-3</v>
      </c>
      <c r="F3346" s="109">
        <v>0.01</v>
      </c>
      <c r="G3346" s="130">
        <v>0</v>
      </c>
      <c r="H3346" s="71">
        <v>8.5</v>
      </c>
      <c r="I3346" s="71">
        <v>11</v>
      </c>
      <c r="J3346" s="71">
        <v>13.5</v>
      </c>
      <c r="K3346" s="121">
        <v>7.4999999999999997E-3</v>
      </c>
      <c r="L3346" s="121">
        <v>-6.0000000000000001E-3</v>
      </c>
      <c r="M3346" s="75" t="s">
        <v>146</v>
      </c>
      <c r="N3346" s="75" t="b">
        <v>1</v>
      </c>
      <c r="O3346" s="75" t="s">
        <v>145</v>
      </c>
      <c r="P3346" s="75">
        <v>2014</v>
      </c>
      <c r="Q3346" s="107">
        <f t="shared" si="96"/>
        <v>2017</v>
      </c>
      <c r="R3346" s="107">
        <v>2</v>
      </c>
      <c r="S3346" s="43">
        <v>217022</v>
      </c>
      <c r="T3346" s="74">
        <v>42795</v>
      </c>
    </row>
    <row r="3347" spans="1:20" x14ac:dyDescent="0.3">
      <c r="A3347" s="42">
        <v>42803</v>
      </c>
      <c r="B3347" s="37">
        <f t="shared" si="97"/>
        <v>20170309</v>
      </c>
      <c r="C3347" s="109">
        <v>2.35E-2</v>
      </c>
      <c r="D3347" s="109">
        <v>7.0000000000000001E-3</v>
      </c>
      <c r="E3347" s="109">
        <v>8.9999999999999993E-3</v>
      </c>
      <c r="F3347" s="109">
        <v>0.01</v>
      </c>
      <c r="G3347" s="130">
        <v>0</v>
      </c>
      <c r="H3347" s="71">
        <v>8.5</v>
      </c>
      <c r="I3347" s="71">
        <v>11</v>
      </c>
      <c r="J3347" s="71">
        <v>13.5</v>
      </c>
      <c r="K3347" s="121">
        <v>8.0000000000000002E-3</v>
      </c>
      <c r="L3347" s="121">
        <v>-6.0000000000000001E-3</v>
      </c>
      <c r="M3347" s="75" t="s">
        <v>146</v>
      </c>
      <c r="N3347" s="75" t="b">
        <v>1</v>
      </c>
      <c r="O3347" s="75" t="s">
        <v>145</v>
      </c>
      <c r="P3347" s="75">
        <v>2014</v>
      </c>
      <c r="Q3347" s="107">
        <f t="shared" si="96"/>
        <v>2017</v>
      </c>
      <c r="R3347" s="107">
        <v>2</v>
      </c>
      <c r="S3347" s="43">
        <v>217022</v>
      </c>
      <c r="T3347" s="74">
        <v>42795</v>
      </c>
    </row>
    <row r="3348" spans="1:20" x14ac:dyDescent="0.3">
      <c r="A3348" s="42">
        <v>42804</v>
      </c>
      <c r="B3348" s="37">
        <f t="shared" si="97"/>
        <v>20170310</v>
      </c>
      <c r="C3348" s="109">
        <v>2.35E-2</v>
      </c>
      <c r="D3348" s="109">
        <v>7.0000000000000001E-3</v>
      </c>
      <c r="E3348" s="109">
        <v>8.9999999999999993E-3</v>
      </c>
      <c r="F3348" s="109">
        <v>0.01</v>
      </c>
      <c r="G3348" s="130">
        <v>0</v>
      </c>
      <c r="H3348" s="71">
        <v>8.5</v>
      </c>
      <c r="I3348" s="71">
        <v>11</v>
      </c>
      <c r="J3348" s="71">
        <v>13.5</v>
      </c>
      <c r="K3348" s="121">
        <v>7.8000000000000005E-3</v>
      </c>
      <c r="L3348" s="121">
        <v>-6.0000000000000001E-3</v>
      </c>
      <c r="M3348" s="75" t="s">
        <v>146</v>
      </c>
      <c r="N3348" s="75" t="b">
        <v>1</v>
      </c>
      <c r="O3348" s="75" t="s">
        <v>145</v>
      </c>
      <c r="P3348" s="75">
        <v>2014</v>
      </c>
      <c r="Q3348" s="107">
        <f t="shared" si="96"/>
        <v>2017</v>
      </c>
      <c r="R3348" s="107">
        <v>2</v>
      </c>
      <c r="S3348" s="43">
        <v>217022</v>
      </c>
      <c r="T3348" s="74">
        <v>42795</v>
      </c>
    </row>
    <row r="3349" spans="1:20" x14ac:dyDescent="0.3">
      <c r="A3349" s="42">
        <v>42805</v>
      </c>
      <c r="B3349" s="37">
        <f>YEAR(A3349)*10000+MONTH(A3349)*100+DAY(A3349)</f>
        <v>20170311</v>
      </c>
      <c r="C3349" s="109">
        <v>2.35E-2</v>
      </c>
      <c r="D3349" s="109">
        <v>7.0000000000000001E-3</v>
      </c>
      <c r="E3349" s="109">
        <v>8.9999999999999993E-3</v>
      </c>
      <c r="F3349" s="109">
        <v>0.01</v>
      </c>
      <c r="G3349" s="130">
        <v>0</v>
      </c>
      <c r="H3349" s="71">
        <v>8.5</v>
      </c>
      <c r="I3349" s="71">
        <v>11</v>
      </c>
      <c r="J3349" s="71">
        <v>13.5</v>
      </c>
      <c r="K3349" s="121">
        <v>7.8000000000000005E-3</v>
      </c>
      <c r="L3349" s="121">
        <v>-6.0000000000000001E-3</v>
      </c>
      <c r="M3349" s="75" t="s">
        <v>146</v>
      </c>
      <c r="N3349" s="75" t="b">
        <v>1</v>
      </c>
      <c r="O3349" s="75" t="s">
        <v>145</v>
      </c>
      <c r="P3349" s="75">
        <v>2014</v>
      </c>
      <c r="Q3349" s="107">
        <f t="shared" si="96"/>
        <v>2017</v>
      </c>
      <c r="R3349" s="107">
        <v>2</v>
      </c>
      <c r="S3349" s="43">
        <v>217022</v>
      </c>
      <c r="T3349" s="74">
        <v>42795</v>
      </c>
    </row>
    <row r="3350" spans="1:20" x14ac:dyDescent="0.3">
      <c r="A3350" s="42">
        <v>42806</v>
      </c>
      <c r="B3350" s="37">
        <f>YEAR(A3350)*10000+MONTH(A3350)*100+DAY(A3350)</f>
        <v>20170312</v>
      </c>
      <c r="C3350" s="109">
        <v>2.35E-2</v>
      </c>
      <c r="D3350" s="109">
        <v>7.0000000000000001E-3</v>
      </c>
      <c r="E3350" s="109">
        <v>8.9999999999999993E-3</v>
      </c>
      <c r="F3350" s="109">
        <v>0.01</v>
      </c>
      <c r="G3350" s="130">
        <v>0</v>
      </c>
      <c r="H3350" s="71">
        <v>8.5</v>
      </c>
      <c r="I3350" s="71">
        <v>11</v>
      </c>
      <c r="J3350" s="71">
        <v>13.5</v>
      </c>
      <c r="K3350" s="121">
        <v>7.8000000000000005E-3</v>
      </c>
      <c r="L3350" s="121">
        <v>-6.0000000000000001E-3</v>
      </c>
      <c r="M3350" s="75" t="s">
        <v>146</v>
      </c>
      <c r="N3350" s="75" t="b">
        <v>1</v>
      </c>
      <c r="O3350" s="75" t="s">
        <v>145</v>
      </c>
      <c r="P3350" s="75">
        <v>2014</v>
      </c>
      <c r="Q3350" s="107">
        <f t="shared" si="96"/>
        <v>2017</v>
      </c>
      <c r="R3350" s="107">
        <v>2</v>
      </c>
      <c r="S3350" s="43">
        <v>217022</v>
      </c>
      <c r="T3350" s="74">
        <v>42795</v>
      </c>
    </row>
    <row r="3351" spans="1:20" x14ac:dyDescent="0.3">
      <c r="A3351" s="42">
        <v>42807</v>
      </c>
      <c r="B3351" s="37">
        <f t="shared" si="97"/>
        <v>20170313</v>
      </c>
      <c r="C3351" s="109">
        <v>2.3900000000000001E-2</v>
      </c>
      <c r="D3351" s="109">
        <v>7.0000000000000001E-3</v>
      </c>
      <c r="E3351" s="109">
        <v>8.9999999999999993E-3</v>
      </c>
      <c r="F3351" s="109">
        <v>0.01</v>
      </c>
      <c r="G3351" s="130">
        <v>0</v>
      </c>
      <c r="H3351" s="71">
        <v>8.5</v>
      </c>
      <c r="I3351" s="71">
        <v>11</v>
      </c>
      <c r="J3351" s="71">
        <v>13.5</v>
      </c>
      <c r="K3351" s="121">
        <v>8.1000000000000013E-3</v>
      </c>
      <c r="L3351" s="121">
        <v>-6.0000000000000001E-3</v>
      </c>
      <c r="M3351" s="75" t="s">
        <v>146</v>
      </c>
      <c r="N3351" s="75" t="b">
        <v>1</v>
      </c>
      <c r="O3351" s="75" t="s">
        <v>145</v>
      </c>
      <c r="P3351" s="75">
        <v>2014</v>
      </c>
      <c r="Q3351" s="107">
        <f t="shared" si="96"/>
        <v>2017</v>
      </c>
      <c r="R3351" s="107">
        <v>2</v>
      </c>
      <c r="S3351" s="43">
        <v>217022</v>
      </c>
      <c r="T3351" s="74">
        <v>42795</v>
      </c>
    </row>
    <row r="3352" spans="1:20" x14ac:dyDescent="0.3">
      <c r="A3352" s="42">
        <v>42808</v>
      </c>
      <c r="B3352" s="37">
        <f t="shared" si="97"/>
        <v>20170314</v>
      </c>
      <c r="C3352" s="109">
        <v>2.3599999999999999E-2</v>
      </c>
      <c r="D3352" s="109">
        <v>7.0000000000000001E-3</v>
      </c>
      <c r="E3352" s="109">
        <v>8.9999999999999993E-3</v>
      </c>
      <c r="F3352" s="109">
        <v>0.01</v>
      </c>
      <c r="G3352" s="130">
        <v>0</v>
      </c>
      <c r="H3352" s="71">
        <v>8.5</v>
      </c>
      <c r="I3352" s="71">
        <v>11</v>
      </c>
      <c r="J3352" s="71">
        <v>13.5</v>
      </c>
      <c r="K3352" s="121">
        <v>8.0000000000000002E-3</v>
      </c>
      <c r="L3352" s="121">
        <v>-6.0000000000000001E-3</v>
      </c>
      <c r="M3352" s="75" t="s">
        <v>146</v>
      </c>
      <c r="N3352" s="75" t="b">
        <v>1</v>
      </c>
      <c r="O3352" s="75" t="s">
        <v>145</v>
      </c>
      <c r="P3352" s="75">
        <v>2014</v>
      </c>
      <c r="Q3352" s="107">
        <f t="shared" si="96"/>
        <v>2017</v>
      </c>
      <c r="R3352" s="107">
        <v>2</v>
      </c>
      <c r="S3352" s="43">
        <v>217022</v>
      </c>
      <c r="T3352" s="74">
        <v>42795</v>
      </c>
    </row>
    <row r="3353" spans="1:20" x14ac:dyDescent="0.3">
      <c r="A3353" s="42">
        <v>42809</v>
      </c>
      <c r="B3353" s="37">
        <f t="shared" si="97"/>
        <v>20170315</v>
      </c>
      <c r="C3353" s="109">
        <v>2.29E-2</v>
      </c>
      <c r="D3353" s="109">
        <v>7.0000000000000001E-3</v>
      </c>
      <c r="E3353" s="109">
        <v>8.9999999999999993E-3</v>
      </c>
      <c r="F3353" s="109">
        <v>0.01</v>
      </c>
      <c r="G3353" s="130">
        <v>0</v>
      </c>
      <c r="H3353" s="71">
        <v>8.5</v>
      </c>
      <c r="I3353" s="71">
        <v>11</v>
      </c>
      <c r="J3353" s="71">
        <v>13.5</v>
      </c>
      <c r="K3353" s="121">
        <v>7.3000000000000001E-3</v>
      </c>
      <c r="L3353" s="121">
        <v>-6.0000000000000001E-3</v>
      </c>
      <c r="M3353" s="75" t="s">
        <v>146</v>
      </c>
      <c r="N3353" s="75" t="b">
        <v>1</v>
      </c>
      <c r="O3353" s="75" t="s">
        <v>145</v>
      </c>
      <c r="P3353" s="75">
        <v>2014</v>
      </c>
      <c r="Q3353" s="107">
        <f t="shared" si="96"/>
        <v>2017</v>
      </c>
      <c r="R3353" s="107">
        <v>2</v>
      </c>
      <c r="S3353" s="43">
        <v>217022</v>
      </c>
      <c r="T3353" s="74">
        <v>42795</v>
      </c>
    </row>
    <row r="3354" spans="1:20" x14ac:dyDescent="0.3">
      <c r="A3354" s="42">
        <v>42810</v>
      </c>
      <c r="B3354" s="37">
        <f t="shared" si="97"/>
        <v>20170316</v>
      </c>
      <c r="C3354" s="109">
        <v>2.3199999999999998E-2</v>
      </c>
      <c r="D3354" s="109">
        <v>7.0000000000000001E-3</v>
      </c>
      <c r="E3354" s="109">
        <v>8.9999999999999993E-3</v>
      </c>
      <c r="F3354" s="109">
        <v>0.01</v>
      </c>
      <c r="G3354" s="130">
        <v>0</v>
      </c>
      <c r="H3354" s="71">
        <v>8.5</v>
      </c>
      <c r="I3354" s="71">
        <v>11</v>
      </c>
      <c r="J3354" s="71">
        <v>13.5</v>
      </c>
      <c r="K3354" s="121">
        <v>7.4999999999999997E-3</v>
      </c>
      <c r="L3354" s="121">
        <v>-6.0000000000000001E-3</v>
      </c>
      <c r="M3354" s="75" t="s">
        <v>146</v>
      </c>
      <c r="N3354" s="75" t="b">
        <v>1</v>
      </c>
      <c r="O3354" s="75" t="s">
        <v>145</v>
      </c>
      <c r="P3354" s="75">
        <v>2014</v>
      </c>
      <c r="Q3354" s="107">
        <f t="shared" si="96"/>
        <v>2017</v>
      </c>
      <c r="R3354" s="107">
        <v>2</v>
      </c>
      <c r="S3354" s="43">
        <v>217022</v>
      </c>
      <c r="T3354" s="74">
        <v>42795</v>
      </c>
    </row>
    <row r="3355" spans="1:20" x14ac:dyDescent="0.3">
      <c r="A3355" s="42">
        <v>42811</v>
      </c>
      <c r="B3355" s="37">
        <f t="shared" si="97"/>
        <v>20170317</v>
      </c>
      <c r="C3355" s="109">
        <v>2.2799999999999997E-2</v>
      </c>
      <c r="D3355" s="109">
        <v>7.0000000000000001E-3</v>
      </c>
      <c r="E3355" s="109">
        <v>8.9999999999999993E-3</v>
      </c>
      <c r="F3355" s="109">
        <v>0.01</v>
      </c>
      <c r="G3355" s="130">
        <v>0</v>
      </c>
      <c r="H3355" s="71">
        <v>8.5</v>
      </c>
      <c r="I3355" s="71">
        <v>11</v>
      </c>
      <c r="J3355" s="71">
        <v>13.5</v>
      </c>
      <c r="K3355" s="121">
        <v>7.1999999999999998E-3</v>
      </c>
      <c r="L3355" s="121">
        <v>-6.0000000000000001E-3</v>
      </c>
      <c r="M3355" s="75" t="s">
        <v>146</v>
      </c>
      <c r="N3355" s="75" t="b">
        <v>1</v>
      </c>
      <c r="O3355" s="75" t="s">
        <v>145</v>
      </c>
      <c r="P3355" s="75">
        <v>2014</v>
      </c>
      <c r="Q3355" s="107">
        <f t="shared" si="96"/>
        <v>2017</v>
      </c>
      <c r="R3355" s="107">
        <v>2</v>
      </c>
      <c r="S3355" s="43">
        <v>217022</v>
      </c>
      <c r="T3355" s="74">
        <v>42795</v>
      </c>
    </row>
    <row r="3356" spans="1:20" x14ac:dyDescent="0.3">
      <c r="A3356" s="42">
        <v>42812</v>
      </c>
      <c r="B3356" s="37">
        <f>YEAR(A3356)*10000+MONTH(A3356)*100+DAY(A3356)</f>
        <v>20170318</v>
      </c>
      <c r="C3356" s="109">
        <v>2.2799999999999997E-2</v>
      </c>
      <c r="D3356" s="109">
        <v>7.0000000000000001E-3</v>
      </c>
      <c r="E3356" s="109">
        <v>8.9999999999999993E-3</v>
      </c>
      <c r="F3356" s="109">
        <v>0.01</v>
      </c>
      <c r="G3356" s="130">
        <v>0</v>
      </c>
      <c r="H3356" s="71">
        <v>8.5</v>
      </c>
      <c r="I3356" s="71">
        <v>11</v>
      </c>
      <c r="J3356" s="71">
        <v>13.5</v>
      </c>
      <c r="K3356" s="121">
        <v>7.1999999999999998E-3</v>
      </c>
      <c r="L3356" s="121">
        <v>-6.0000000000000001E-3</v>
      </c>
      <c r="M3356" s="75" t="s">
        <v>146</v>
      </c>
      <c r="N3356" s="75" t="b">
        <v>1</v>
      </c>
      <c r="O3356" s="75" t="s">
        <v>145</v>
      </c>
      <c r="P3356" s="75">
        <v>2014</v>
      </c>
      <c r="Q3356" s="107">
        <f t="shared" si="96"/>
        <v>2017</v>
      </c>
      <c r="R3356" s="107">
        <v>2</v>
      </c>
      <c r="S3356" s="43">
        <v>217022</v>
      </c>
      <c r="T3356" s="74">
        <v>42795</v>
      </c>
    </row>
    <row r="3357" spans="1:20" x14ac:dyDescent="0.3">
      <c r="A3357" s="42">
        <v>42813</v>
      </c>
      <c r="B3357" s="37">
        <f>YEAR(A3357)*10000+MONTH(A3357)*100+DAY(A3357)</f>
        <v>20170319</v>
      </c>
      <c r="C3357" s="109">
        <v>2.2799999999999997E-2</v>
      </c>
      <c r="D3357" s="109">
        <v>7.0000000000000001E-3</v>
      </c>
      <c r="E3357" s="109">
        <v>8.9999999999999993E-3</v>
      </c>
      <c r="F3357" s="109">
        <v>0.01</v>
      </c>
      <c r="G3357" s="130">
        <v>0</v>
      </c>
      <c r="H3357" s="71">
        <v>8.5</v>
      </c>
      <c r="I3357" s="71">
        <v>11</v>
      </c>
      <c r="J3357" s="71">
        <v>13.5</v>
      </c>
      <c r="K3357" s="121">
        <v>7.1999999999999998E-3</v>
      </c>
      <c r="L3357" s="121">
        <v>-6.0000000000000001E-3</v>
      </c>
      <c r="M3357" s="75" t="s">
        <v>146</v>
      </c>
      <c r="N3357" s="75" t="b">
        <v>1</v>
      </c>
      <c r="O3357" s="75" t="s">
        <v>145</v>
      </c>
      <c r="P3357" s="75">
        <v>2014</v>
      </c>
      <c r="Q3357" s="107">
        <f t="shared" si="96"/>
        <v>2017</v>
      </c>
      <c r="R3357" s="107">
        <v>2</v>
      </c>
      <c r="S3357" s="43">
        <v>217022</v>
      </c>
      <c r="T3357" s="74">
        <v>42795</v>
      </c>
    </row>
    <row r="3358" spans="1:20" x14ac:dyDescent="0.3">
      <c r="A3358" s="42">
        <v>42814</v>
      </c>
      <c r="B3358" s="37">
        <f t="shared" si="97"/>
        <v>20170320</v>
      </c>
      <c r="C3358" s="109">
        <v>2.2599999999999999E-2</v>
      </c>
      <c r="D3358" s="109">
        <v>7.0000000000000001E-3</v>
      </c>
      <c r="E3358" s="109">
        <v>8.9999999999999993E-3</v>
      </c>
      <c r="F3358" s="109">
        <v>0.01</v>
      </c>
      <c r="G3358" s="130">
        <v>0</v>
      </c>
      <c r="H3358" s="71">
        <v>8.5</v>
      </c>
      <c r="I3358" s="71">
        <v>11</v>
      </c>
      <c r="J3358" s="71">
        <v>13.5</v>
      </c>
      <c r="K3358" s="121">
        <v>7.0999999999999995E-3</v>
      </c>
      <c r="L3358" s="121">
        <v>-6.0000000000000001E-3</v>
      </c>
      <c r="M3358" s="75" t="s">
        <v>146</v>
      </c>
      <c r="N3358" s="75" t="b">
        <v>1</v>
      </c>
      <c r="O3358" s="75" t="s">
        <v>145</v>
      </c>
      <c r="P3358" s="75">
        <v>2014</v>
      </c>
      <c r="Q3358" s="107">
        <f t="shared" si="96"/>
        <v>2017</v>
      </c>
      <c r="R3358" s="107">
        <v>2</v>
      </c>
      <c r="S3358" s="43">
        <v>217022</v>
      </c>
      <c r="T3358" s="74">
        <v>42795</v>
      </c>
    </row>
    <row r="3359" spans="1:20" x14ac:dyDescent="0.3">
      <c r="A3359" s="42">
        <v>42815</v>
      </c>
      <c r="B3359" s="37">
        <f t="shared" si="97"/>
        <v>20170321</v>
      </c>
      <c r="C3359" s="109">
        <v>2.2400000000000003E-2</v>
      </c>
      <c r="D3359" s="109">
        <v>7.0000000000000001E-3</v>
      </c>
      <c r="E3359" s="109">
        <v>8.9999999999999993E-3</v>
      </c>
      <c r="F3359" s="109">
        <v>0.01</v>
      </c>
      <c r="G3359" s="130">
        <v>0</v>
      </c>
      <c r="H3359" s="71">
        <v>8.5</v>
      </c>
      <c r="I3359" s="71">
        <v>11</v>
      </c>
      <c r="J3359" s="71">
        <v>13.5</v>
      </c>
      <c r="K3359" s="121">
        <v>7.0999999999999995E-3</v>
      </c>
      <c r="L3359" s="121">
        <v>-6.0000000000000001E-3</v>
      </c>
      <c r="M3359" s="75" t="s">
        <v>146</v>
      </c>
      <c r="N3359" s="75" t="b">
        <v>1</v>
      </c>
      <c r="O3359" s="75" t="s">
        <v>145</v>
      </c>
      <c r="P3359" s="75">
        <v>2014</v>
      </c>
      <c r="Q3359" s="107">
        <f t="shared" si="96"/>
        <v>2017</v>
      </c>
      <c r="R3359" s="107">
        <v>2</v>
      </c>
      <c r="S3359" s="43">
        <v>217022</v>
      </c>
      <c r="T3359" s="74">
        <v>42795</v>
      </c>
    </row>
    <row r="3360" spans="1:20" x14ac:dyDescent="0.3">
      <c r="A3360" s="42">
        <v>42816</v>
      </c>
      <c r="B3360" s="37">
        <f t="shared" si="97"/>
        <v>20170322</v>
      </c>
      <c r="C3360" s="109">
        <v>2.2099999999999998E-2</v>
      </c>
      <c r="D3360" s="109">
        <v>7.0000000000000001E-3</v>
      </c>
      <c r="E3360" s="109">
        <v>8.9999999999999993E-3</v>
      </c>
      <c r="F3360" s="109">
        <v>0.01</v>
      </c>
      <c r="G3360" s="130">
        <v>0</v>
      </c>
      <c r="H3360" s="71">
        <v>8.5</v>
      </c>
      <c r="I3360" s="71">
        <v>11</v>
      </c>
      <c r="J3360" s="71">
        <v>13.5</v>
      </c>
      <c r="K3360" s="121">
        <v>6.8999999999999999E-3</v>
      </c>
      <c r="L3360" s="121">
        <v>-6.0000000000000001E-3</v>
      </c>
      <c r="M3360" s="75" t="s">
        <v>146</v>
      </c>
      <c r="N3360" s="75" t="b">
        <v>1</v>
      </c>
      <c r="O3360" s="75" t="s">
        <v>145</v>
      </c>
      <c r="P3360" s="75">
        <v>2014</v>
      </c>
      <c r="Q3360" s="107">
        <f t="shared" si="96"/>
        <v>2017</v>
      </c>
      <c r="R3360" s="107">
        <v>2</v>
      </c>
      <c r="S3360" s="43">
        <v>217022</v>
      </c>
      <c r="T3360" s="74">
        <v>42795</v>
      </c>
    </row>
    <row r="3361" spans="1:21" x14ac:dyDescent="0.3">
      <c r="A3361" s="42">
        <v>42817</v>
      </c>
      <c r="B3361" s="37">
        <f t="shared" si="97"/>
        <v>20170323</v>
      </c>
      <c r="C3361" s="109">
        <v>2.2000000000000002E-2</v>
      </c>
      <c r="D3361" s="109">
        <v>7.0000000000000001E-3</v>
      </c>
      <c r="E3361" s="109">
        <v>8.9999999999999993E-3</v>
      </c>
      <c r="F3361" s="109">
        <v>0.01</v>
      </c>
      <c r="G3361" s="130">
        <v>0</v>
      </c>
      <c r="H3361" s="71">
        <v>8.5</v>
      </c>
      <c r="I3361" s="71">
        <v>11</v>
      </c>
      <c r="J3361" s="71">
        <v>13.5</v>
      </c>
      <c r="K3361" s="121">
        <v>6.8999999999999999E-3</v>
      </c>
      <c r="L3361" s="121">
        <v>-6.0000000000000001E-3</v>
      </c>
      <c r="M3361" s="75" t="s">
        <v>146</v>
      </c>
      <c r="N3361" s="75" t="b">
        <v>1</v>
      </c>
      <c r="O3361" s="75" t="s">
        <v>145</v>
      </c>
      <c r="P3361" s="75">
        <v>2014</v>
      </c>
      <c r="Q3361" s="107">
        <f t="shared" si="96"/>
        <v>2017</v>
      </c>
      <c r="R3361" s="107">
        <v>2</v>
      </c>
      <c r="S3361" s="43">
        <v>217022</v>
      </c>
      <c r="T3361" s="74">
        <v>42795</v>
      </c>
    </row>
    <row r="3362" spans="1:21" x14ac:dyDescent="0.3">
      <c r="A3362" s="42">
        <v>42818</v>
      </c>
      <c r="B3362" s="37">
        <f t="shared" si="97"/>
        <v>20170324</v>
      </c>
      <c r="C3362" s="109">
        <v>2.1600000000000001E-2</v>
      </c>
      <c r="D3362" s="109">
        <v>7.0000000000000001E-3</v>
      </c>
      <c r="E3362" s="109">
        <v>8.9999999999999993E-3</v>
      </c>
      <c r="F3362" s="109">
        <v>0.01</v>
      </c>
      <c r="G3362" s="130">
        <v>0</v>
      </c>
      <c r="H3362" s="71">
        <v>8.5</v>
      </c>
      <c r="I3362" s="71">
        <v>11</v>
      </c>
      <c r="J3362" s="71">
        <v>13.5</v>
      </c>
      <c r="K3362" s="121">
        <v>6.5000000000000006E-3</v>
      </c>
      <c r="L3362" s="121">
        <v>-6.0000000000000001E-3</v>
      </c>
      <c r="M3362" s="75" t="s">
        <v>146</v>
      </c>
      <c r="N3362" s="75" t="b">
        <v>1</v>
      </c>
      <c r="O3362" s="75" t="s">
        <v>145</v>
      </c>
      <c r="P3362" s="75">
        <v>2014</v>
      </c>
      <c r="Q3362" s="107">
        <f t="shared" si="96"/>
        <v>2017</v>
      </c>
      <c r="R3362" s="107">
        <v>2</v>
      </c>
      <c r="S3362" s="43">
        <v>217022</v>
      </c>
      <c r="T3362" s="74">
        <v>42795</v>
      </c>
    </row>
    <row r="3363" spans="1:21" x14ac:dyDescent="0.3">
      <c r="A3363" s="42">
        <v>42819</v>
      </c>
      <c r="B3363" s="37">
        <f>YEAR(A3363)*10000+MONTH(A3363)*100+DAY(A3363)</f>
        <v>20170325</v>
      </c>
      <c r="C3363" s="109">
        <v>2.1600000000000001E-2</v>
      </c>
      <c r="D3363" s="109">
        <v>7.0000000000000001E-3</v>
      </c>
      <c r="E3363" s="109">
        <v>8.9999999999999993E-3</v>
      </c>
      <c r="F3363" s="109">
        <v>0.01</v>
      </c>
      <c r="G3363" s="130">
        <v>0</v>
      </c>
      <c r="H3363" s="71">
        <v>8.5</v>
      </c>
      <c r="I3363" s="71">
        <v>11</v>
      </c>
      <c r="J3363" s="71">
        <v>13.5</v>
      </c>
      <c r="K3363" s="121">
        <v>6.5000000000000006E-3</v>
      </c>
      <c r="L3363" s="121">
        <v>-6.0000000000000001E-3</v>
      </c>
      <c r="M3363" s="75" t="s">
        <v>146</v>
      </c>
      <c r="N3363" s="75" t="b">
        <v>1</v>
      </c>
      <c r="O3363" s="75" t="s">
        <v>145</v>
      </c>
      <c r="P3363" s="75">
        <v>2014</v>
      </c>
      <c r="Q3363" s="107">
        <f t="shared" si="96"/>
        <v>2017</v>
      </c>
      <c r="R3363" s="107">
        <v>2</v>
      </c>
      <c r="S3363" s="43">
        <v>217022</v>
      </c>
      <c r="T3363" s="74">
        <v>42795</v>
      </c>
    </row>
    <row r="3364" spans="1:21" x14ac:dyDescent="0.3">
      <c r="A3364" s="42">
        <v>42820</v>
      </c>
      <c r="B3364" s="37">
        <f>YEAR(A3364)*10000+MONTH(A3364)*100+DAY(A3364)</f>
        <v>20170326</v>
      </c>
      <c r="C3364" s="109">
        <v>2.1600000000000001E-2</v>
      </c>
      <c r="D3364" s="109">
        <v>7.0000000000000001E-3</v>
      </c>
      <c r="E3364" s="109">
        <v>8.9999999999999993E-3</v>
      </c>
      <c r="F3364" s="109">
        <v>0.01</v>
      </c>
      <c r="G3364" s="130">
        <v>0</v>
      </c>
      <c r="H3364" s="71">
        <v>8.5</v>
      </c>
      <c r="I3364" s="71">
        <v>11</v>
      </c>
      <c r="J3364" s="71">
        <v>13.5</v>
      </c>
      <c r="K3364" s="121">
        <v>6.5000000000000006E-3</v>
      </c>
      <c r="L3364" s="121">
        <v>-6.0000000000000001E-3</v>
      </c>
      <c r="M3364" s="75" t="s">
        <v>146</v>
      </c>
      <c r="N3364" s="75" t="b">
        <v>1</v>
      </c>
      <c r="O3364" s="75" t="s">
        <v>145</v>
      </c>
      <c r="P3364" s="75">
        <v>2014</v>
      </c>
      <c r="Q3364" s="107">
        <f t="shared" si="96"/>
        <v>2017</v>
      </c>
      <c r="R3364" s="107">
        <v>2</v>
      </c>
      <c r="S3364" s="43">
        <v>217022</v>
      </c>
      <c r="T3364" s="74">
        <v>42795</v>
      </c>
    </row>
    <row r="3365" spans="1:21" x14ac:dyDescent="0.3">
      <c r="A3365" s="42">
        <v>42821</v>
      </c>
      <c r="B3365" s="37">
        <f t="shared" si="97"/>
        <v>20170327</v>
      </c>
      <c r="C3365" s="109">
        <v>2.1400000000000002E-2</v>
      </c>
      <c r="D3365" s="109">
        <v>7.0000000000000001E-3</v>
      </c>
      <c r="E3365" s="109">
        <v>8.9999999999999993E-3</v>
      </c>
      <c r="F3365" s="109">
        <v>0.01</v>
      </c>
      <c r="G3365" s="130">
        <v>0</v>
      </c>
      <c r="H3365" s="71">
        <v>8.5</v>
      </c>
      <c r="I3365" s="71">
        <v>11</v>
      </c>
      <c r="J3365" s="71">
        <v>13.5</v>
      </c>
      <c r="K3365" s="121">
        <v>6.4000000000000003E-3</v>
      </c>
      <c r="L3365" s="121">
        <v>-6.0000000000000001E-3</v>
      </c>
      <c r="M3365" s="75" t="s">
        <v>146</v>
      </c>
      <c r="N3365" s="75" t="b">
        <v>1</v>
      </c>
      <c r="O3365" s="75" t="s">
        <v>145</v>
      </c>
      <c r="P3365" s="75">
        <v>2014</v>
      </c>
      <c r="Q3365" s="107">
        <f t="shared" si="96"/>
        <v>2017</v>
      </c>
      <c r="R3365" s="107">
        <v>2</v>
      </c>
      <c r="S3365" s="43">
        <v>217022</v>
      </c>
      <c r="T3365" s="74">
        <v>42795</v>
      </c>
    </row>
    <row r="3366" spans="1:21" x14ac:dyDescent="0.3">
      <c r="A3366" s="42">
        <v>42822</v>
      </c>
      <c r="B3366" s="37">
        <f t="shared" si="97"/>
        <v>20170328</v>
      </c>
      <c r="C3366" s="109">
        <v>2.1700000000000001E-2</v>
      </c>
      <c r="D3366" s="109">
        <v>7.0000000000000001E-3</v>
      </c>
      <c r="E3366" s="109">
        <v>8.9999999999999993E-3</v>
      </c>
      <c r="F3366" s="109">
        <v>0.01</v>
      </c>
      <c r="G3366" s="130">
        <v>0</v>
      </c>
      <c r="H3366" s="71">
        <v>8.5</v>
      </c>
      <c r="I3366" s="71">
        <v>11</v>
      </c>
      <c r="J3366" s="71">
        <v>13.5</v>
      </c>
      <c r="K3366" s="121">
        <v>6.8000000000000005E-3</v>
      </c>
      <c r="L3366" s="121">
        <v>-6.0000000000000001E-3</v>
      </c>
      <c r="M3366" s="75" t="s">
        <v>146</v>
      </c>
      <c r="N3366" s="75" t="b">
        <v>1</v>
      </c>
      <c r="O3366" s="75" t="s">
        <v>145</v>
      </c>
      <c r="P3366" s="75">
        <v>2014</v>
      </c>
      <c r="Q3366" s="107">
        <f t="shared" si="96"/>
        <v>2017</v>
      </c>
      <c r="R3366" s="107">
        <v>2</v>
      </c>
      <c r="S3366" s="43">
        <v>217022</v>
      </c>
      <c r="T3366" s="74">
        <v>42795</v>
      </c>
    </row>
    <row r="3367" spans="1:21" x14ac:dyDescent="0.3">
      <c r="A3367" s="42">
        <v>42823</v>
      </c>
      <c r="B3367" s="37">
        <f t="shared" si="97"/>
        <v>20170329</v>
      </c>
      <c r="C3367" s="109">
        <v>2.1400000000000002E-2</v>
      </c>
      <c r="D3367" s="109">
        <v>7.0000000000000001E-3</v>
      </c>
      <c r="E3367" s="109">
        <v>8.9999999999999993E-3</v>
      </c>
      <c r="F3367" s="109">
        <v>0.01</v>
      </c>
      <c r="G3367" s="130">
        <v>0</v>
      </c>
      <c r="H3367" s="71">
        <v>8.5</v>
      </c>
      <c r="I3367" s="71">
        <v>11</v>
      </c>
      <c r="J3367" s="71">
        <v>13.5</v>
      </c>
      <c r="K3367" s="121">
        <v>6.6E-3</v>
      </c>
      <c r="L3367" s="121">
        <v>-6.0000000000000001E-3</v>
      </c>
      <c r="M3367" s="75" t="s">
        <v>146</v>
      </c>
      <c r="N3367" s="75" t="b">
        <v>1</v>
      </c>
      <c r="O3367" s="75" t="s">
        <v>145</v>
      </c>
      <c r="P3367" s="75">
        <v>2014</v>
      </c>
      <c r="Q3367" s="107">
        <f t="shared" si="96"/>
        <v>2017</v>
      </c>
      <c r="R3367" s="107">
        <v>2</v>
      </c>
      <c r="S3367" s="43">
        <v>217022</v>
      </c>
      <c r="T3367" s="74">
        <v>42795</v>
      </c>
    </row>
    <row r="3368" spans="1:21" x14ac:dyDescent="0.3">
      <c r="A3368" s="42">
        <v>42824</v>
      </c>
      <c r="B3368" s="37">
        <f t="shared" si="97"/>
        <v>20170330</v>
      </c>
      <c r="C3368" s="109">
        <v>2.18E-2</v>
      </c>
      <c r="D3368" s="109">
        <v>7.0000000000000001E-3</v>
      </c>
      <c r="E3368" s="109">
        <v>8.9999999999999993E-3</v>
      </c>
      <c r="F3368" s="109">
        <v>0.01</v>
      </c>
      <c r="G3368" s="130">
        <v>0</v>
      </c>
      <c r="H3368" s="71">
        <v>8.5</v>
      </c>
      <c r="I3368" s="71">
        <v>11</v>
      </c>
      <c r="J3368" s="71">
        <v>13.5</v>
      </c>
      <c r="K3368" s="121">
        <v>6.8999999999999999E-3</v>
      </c>
      <c r="L3368" s="121">
        <v>-6.0000000000000001E-3</v>
      </c>
      <c r="M3368" s="75" t="s">
        <v>146</v>
      </c>
      <c r="N3368" s="75" t="b">
        <v>1</v>
      </c>
      <c r="O3368" s="75" t="s">
        <v>145</v>
      </c>
      <c r="P3368" s="75">
        <v>2014</v>
      </c>
      <c r="Q3368" s="107">
        <f t="shared" si="96"/>
        <v>2017</v>
      </c>
      <c r="R3368" s="107">
        <v>2</v>
      </c>
      <c r="S3368" s="43">
        <v>217022</v>
      </c>
      <c r="T3368" s="74">
        <v>42795</v>
      </c>
    </row>
    <row r="3369" spans="1:21" s="116" customFormat="1" x14ac:dyDescent="0.3">
      <c r="A3369" s="110">
        <v>42825</v>
      </c>
      <c r="B3369" s="132">
        <f t="shared" si="97"/>
        <v>20170331</v>
      </c>
      <c r="C3369" s="111">
        <v>2.1700000000000001E-2</v>
      </c>
      <c r="D3369" s="111">
        <v>7.0000000000000001E-3</v>
      </c>
      <c r="E3369" s="135">
        <v>0.01</v>
      </c>
      <c r="F3369" s="135">
        <v>1.0999999999999999E-2</v>
      </c>
      <c r="G3369" s="133">
        <v>0</v>
      </c>
      <c r="H3369" s="112">
        <v>8.5</v>
      </c>
      <c r="I3369" s="112">
        <v>11</v>
      </c>
      <c r="J3369" s="112">
        <v>13.5</v>
      </c>
      <c r="K3369" s="131">
        <v>6.8000000000000005E-3</v>
      </c>
      <c r="L3369" s="131">
        <v>-6.0000000000000001E-3</v>
      </c>
      <c r="M3369" s="98" t="s">
        <v>146</v>
      </c>
      <c r="N3369" s="98" t="b">
        <v>1</v>
      </c>
      <c r="O3369" s="98" t="s">
        <v>145</v>
      </c>
      <c r="P3369" s="98">
        <v>2014</v>
      </c>
      <c r="Q3369" s="105">
        <f t="shared" si="96"/>
        <v>2017</v>
      </c>
      <c r="R3369" s="105">
        <v>2</v>
      </c>
      <c r="S3369" s="114">
        <v>217050</v>
      </c>
      <c r="T3369" s="115">
        <v>42862</v>
      </c>
      <c r="U3369" s="98" t="s">
        <v>176</v>
      </c>
    </row>
    <row r="3370" spans="1:21" x14ac:dyDescent="0.3">
      <c r="A3370" s="42">
        <v>42826</v>
      </c>
      <c r="B3370" s="37">
        <f t="shared" si="97"/>
        <v>20170401</v>
      </c>
      <c r="C3370" s="109">
        <v>2.1700000000000001E-2</v>
      </c>
      <c r="D3370" s="109">
        <v>7.0000000000000001E-3</v>
      </c>
      <c r="E3370" s="109">
        <v>0.01</v>
      </c>
      <c r="F3370" s="109">
        <v>1.0999999999999999E-2</v>
      </c>
      <c r="G3370" s="130">
        <v>0</v>
      </c>
      <c r="H3370" s="71">
        <v>8.5</v>
      </c>
      <c r="I3370" s="71">
        <v>11</v>
      </c>
      <c r="J3370" s="71">
        <v>13.5</v>
      </c>
      <c r="K3370" s="121">
        <v>6.8000000000000005E-3</v>
      </c>
      <c r="L3370" s="121">
        <v>-6.0000000000000001E-3</v>
      </c>
      <c r="M3370" s="75" t="s">
        <v>146</v>
      </c>
      <c r="N3370" s="75" t="b">
        <v>1</v>
      </c>
      <c r="O3370" s="75" t="s">
        <v>145</v>
      </c>
      <c r="P3370" s="75">
        <v>2014</v>
      </c>
      <c r="Q3370" s="107">
        <f t="shared" si="96"/>
        <v>2017</v>
      </c>
      <c r="R3370" s="107">
        <v>2</v>
      </c>
      <c r="S3370" s="43">
        <v>217050</v>
      </c>
      <c r="T3370" s="74">
        <v>42862</v>
      </c>
    </row>
    <row r="3371" spans="1:21" x14ac:dyDescent="0.3">
      <c r="A3371" s="42">
        <v>42827</v>
      </c>
      <c r="B3371" s="37">
        <f t="shared" si="97"/>
        <v>20170402</v>
      </c>
      <c r="C3371" s="109">
        <v>2.1700000000000001E-2</v>
      </c>
      <c r="D3371" s="109">
        <v>7.0000000000000001E-3</v>
      </c>
      <c r="E3371" s="109">
        <v>0.01</v>
      </c>
      <c r="F3371" s="109">
        <v>1.0999999999999999E-2</v>
      </c>
      <c r="G3371" s="130">
        <v>0</v>
      </c>
      <c r="H3371" s="71">
        <v>8.5</v>
      </c>
      <c r="I3371" s="71">
        <v>11</v>
      </c>
      <c r="J3371" s="71">
        <v>13.5</v>
      </c>
      <c r="K3371" s="121">
        <v>6.8000000000000005E-3</v>
      </c>
      <c r="L3371" s="121">
        <v>-6.0000000000000001E-3</v>
      </c>
      <c r="M3371" s="75" t="s">
        <v>146</v>
      </c>
      <c r="N3371" s="75" t="b">
        <v>1</v>
      </c>
      <c r="O3371" s="75" t="s">
        <v>145</v>
      </c>
      <c r="P3371" s="75">
        <v>2014</v>
      </c>
      <c r="Q3371" s="107">
        <f t="shared" si="96"/>
        <v>2017</v>
      </c>
      <c r="R3371" s="107">
        <v>2</v>
      </c>
      <c r="S3371" s="43">
        <v>217050</v>
      </c>
      <c r="T3371" s="74">
        <v>42862</v>
      </c>
    </row>
    <row r="3372" spans="1:21" x14ac:dyDescent="0.3">
      <c r="A3372" s="42">
        <v>42828</v>
      </c>
      <c r="B3372" s="37">
        <f t="shared" si="97"/>
        <v>20170403</v>
      </c>
      <c r="C3372" s="109">
        <v>2.12E-2</v>
      </c>
      <c r="D3372" s="109">
        <v>7.0000000000000001E-3</v>
      </c>
      <c r="E3372" s="109">
        <v>0.01</v>
      </c>
      <c r="F3372" s="109">
        <v>1.0999999999999999E-2</v>
      </c>
      <c r="G3372" s="130">
        <v>0</v>
      </c>
      <c r="H3372" s="71">
        <v>8.5</v>
      </c>
      <c r="I3372" s="71">
        <v>11</v>
      </c>
      <c r="J3372" s="71">
        <v>13.5</v>
      </c>
      <c r="K3372" s="121">
        <v>6.4000000000000003E-3</v>
      </c>
      <c r="L3372" s="121">
        <v>-6.0000000000000001E-3</v>
      </c>
      <c r="M3372" s="75" t="s">
        <v>146</v>
      </c>
      <c r="N3372" s="75" t="b">
        <v>1</v>
      </c>
      <c r="O3372" s="75" t="s">
        <v>145</v>
      </c>
      <c r="P3372" s="75">
        <v>2014</v>
      </c>
      <c r="Q3372" s="107">
        <f t="shared" si="96"/>
        <v>2017</v>
      </c>
      <c r="R3372" s="107">
        <v>2</v>
      </c>
      <c r="S3372" s="43">
        <v>217050</v>
      </c>
      <c r="T3372" s="74">
        <v>42862</v>
      </c>
    </row>
    <row r="3373" spans="1:21" x14ac:dyDescent="0.3">
      <c r="A3373" s="42">
        <v>42829</v>
      </c>
      <c r="B3373" s="37">
        <f t="shared" si="97"/>
        <v>20170404</v>
      </c>
      <c r="C3373" s="109">
        <v>2.12E-2</v>
      </c>
      <c r="D3373" s="109">
        <v>7.0000000000000001E-3</v>
      </c>
      <c r="E3373" s="109">
        <v>0.01</v>
      </c>
      <c r="F3373" s="109">
        <v>1.0999999999999999E-2</v>
      </c>
      <c r="G3373" s="130">
        <v>0</v>
      </c>
      <c r="H3373" s="71">
        <v>8.5</v>
      </c>
      <c r="I3373" s="71">
        <v>11</v>
      </c>
      <c r="J3373" s="71">
        <v>13.5</v>
      </c>
      <c r="K3373" s="121">
        <v>6.5000000000000006E-3</v>
      </c>
      <c r="L3373" s="121">
        <v>-6.0000000000000001E-3</v>
      </c>
      <c r="M3373" s="75" t="s">
        <v>146</v>
      </c>
      <c r="N3373" s="75" t="b">
        <v>1</v>
      </c>
      <c r="O3373" s="75" t="s">
        <v>145</v>
      </c>
      <c r="P3373" s="75">
        <v>2014</v>
      </c>
      <c r="Q3373" s="107">
        <f t="shared" si="96"/>
        <v>2017</v>
      </c>
      <c r="R3373" s="107">
        <v>2</v>
      </c>
      <c r="S3373" s="43">
        <v>217050</v>
      </c>
      <c r="T3373" s="74">
        <v>42862</v>
      </c>
    </row>
    <row r="3374" spans="1:21" x14ac:dyDescent="0.3">
      <c r="A3374" s="42">
        <v>42830</v>
      </c>
      <c r="B3374" s="37">
        <f t="shared" si="97"/>
        <v>20170405</v>
      </c>
      <c r="C3374" s="109">
        <v>2.1000000000000001E-2</v>
      </c>
      <c r="D3374" s="109">
        <v>7.0000000000000001E-3</v>
      </c>
      <c r="E3374" s="109">
        <v>0.01</v>
      </c>
      <c r="F3374" s="109">
        <v>1.0999999999999999E-2</v>
      </c>
      <c r="G3374" s="130">
        <v>0</v>
      </c>
      <c r="H3374" s="71">
        <v>8.5</v>
      </c>
      <c r="I3374" s="71">
        <v>11</v>
      </c>
      <c r="J3374" s="71">
        <v>13.5</v>
      </c>
      <c r="K3374" s="121">
        <v>6.3E-3</v>
      </c>
      <c r="L3374" s="121">
        <v>-6.0000000000000001E-3</v>
      </c>
      <c r="M3374" s="75" t="s">
        <v>146</v>
      </c>
      <c r="N3374" s="75" t="b">
        <v>1</v>
      </c>
      <c r="O3374" s="75" t="s">
        <v>145</v>
      </c>
      <c r="P3374" s="75">
        <v>2014</v>
      </c>
      <c r="Q3374" s="107">
        <f t="shared" ref="Q3374:Q3437" si="98">YEAR(A3374)</f>
        <v>2017</v>
      </c>
      <c r="R3374" s="107">
        <v>2</v>
      </c>
      <c r="S3374" s="43">
        <v>217050</v>
      </c>
      <c r="T3374" s="74">
        <v>42862</v>
      </c>
    </row>
    <row r="3375" spans="1:21" x14ac:dyDescent="0.3">
      <c r="A3375" s="42">
        <v>42831</v>
      </c>
      <c r="B3375" s="37">
        <f t="shared" ref="B3375:B3396" si="99">YEAR(A3375)*10000+MONTH(A3375)*100+DAY(A3375)</f>
        <v>20170406</v>
      </c>
      <c r="C3375" s="109">
        <v>2.0899999999999998E-2</v>
      </c>
      <c r="D3375" s="109">
        <v>7.0000000000000001E-3</v>
      </c>
      <c r="E3375" s="109">
        <v>0.01</v>
      </c>
      <c r="F3375" s="109">
        <v>1.0999999999999999E-2</v>
      </c>
      <c r="G3375" s="130">
        <v>0</v>
      </c>
      <c r="H3375" s="71">
        <v>8.5</v>
      </c>
      <c r="I3375" s="71">
        <v>11</v>
      </c>
      <c r="J3375" s="71">
        <v>13.5</v>
      </c>
      <c r="K3375" s="121">
        <v>6.0999999999999995E-3</v>
      </c>
      <c r="L3375" s="121">
        <v>-6.0000000000000001E-3</v>
      </c>
      <c r="M3375" s="75" t="s">
        <v>146</v>
      </c>
      <c r="N3375" s="75" t="b">
        <v>1</v>
      </c>
      <c r="O3375" s="75" t="s">
        <v>145</v>
      </c>
      <c r="P3375" s="75">
        <v>2014</v>
      </c>
      <c r="Q3375" s="107">
        <f t="shared" si="98"/>
        <v>2017</v>
      </c>
      <c r="R3375" s="107">
        <v>2</v>
      </c>
      <c r="S3375" s="43">
        <v>217050</v>
      </c>
      <c r="T3375" s="74">
        <v>42862</v>
      </c>
    </row>
    <row r="3376" spans="1:21" x14ac:dyDescent="0.3">
      <c r="A3376" s="42">
        <v>42832</v>
      </c>
      <c r="B3376" s="37">
        <f t="shared" si="99"/>
        <v>20170407</v>
      </c>
      <c r="C3376" s="109">
        <v>2.12E-2</v>
      </c>
      <c r="D3376" s="109">
        <v>7.0000000000000001E-3</v>
      </c>
      <c r="E3376" s="109">
        <v>0.01</v>
      </c>
      <c r="F3376" s="109">
        <v>1.0999999999999999E-2</v>
      </c>
      <c r="G3376" s="130">
        <v>0</v>
      </c>
      <c r="H3376" s="71">
        <v>8.5</v>
      </c>
      <c r="I3376" s="71">
        <v>11</v>
      </c>
      <c r="J3376" s="71">
        <v>13.5</v>
      </c>
      <c r="K3376" s="121">
        <v>6.4000000000000003E-3</v>
      </c>
      <c r="L3376" s="121">
        <v>-6.0000000000000001E-3</v>
      </c>
      <c r="M3376" s="75" t="s">
        <v>146</v>
      </c>
      <c r="N3376" s="75" t="b">
        <v>1</v>
      </c>
      <c r="O3376" s="75" t="s">
        <v>145</v>
      </c>
      <c r="P3376" s="75">
        <v>2014</v>
      </c>
      <c r="Q3376" s="107">
        <f t="shared" si="98"/>
        <v>2017</v>
      </c>
      <c r="R3376" s="107">
        <v>2</v>
      </c>
      <c r="S3376" s="43">
        <v>217050</v>
      </c>
      <c r="T3376" s="74">
        <v>42862</v>
      </c>
    </row>
    <row r="3377" spans="1:20" x14ac:dyDescent="0.3">
      <c r="A3377" s="42">
        <v>42833</v>
      </c>
      <c r="B3377" s="37">
        <f t="shared" si="99"/>
        <v>20170408</v>
      </c>
      <c r="C3377" s="109">
        <v>2.12E-2</v>
      </c>
      <c r="D3377" s="109">
        <v>7.0000000000000001E-3</v>
      </c>
      <c r="E3377" s="109">
        <v>0.01</v>
      </c>
      <c r="F3377" s="109">
        <v>1.0999999999999999E-2</v>
      </c>
      <c r="G3377" s="130">
        <v>0</v>
      </c>
      <c r="H3377" s="71">
        <v>8.5</v>
      </c>
      <c r="I3377" s="71">
        <v>11</v>
      </c>
      <c r="J3377" s="71">
        <v>13.5</v>
      </c>
      <c r="K3377" s="121">
        <v>6.4000000000000003E-3</v>
      </c>
      <c r="L3377" s="121">
        <v>-6.0000000000000001E-3</v>
      </c>
      <c r="M3377" s="75" t="s">
        <v>146</v>
      </c>
      <c r="N3377" s="75" t="b">
        <v>1</v>
      </c>
      <c r="O3377" s="75" t="s">
        <v>145</v>
      </c>
      <c r="P3377" s="75">
        <v>2014</v>
      </c>
      <c r="Q3377" s="107">
        <f t="shared" si="98"/>
        <v>2017</v>
      </c>
      <c r="R3377" s="107">
        <v>2</v>
      </c>
      <c r="S3377" s="43">
        <v>217050</v>
      </c>
      <c r="T3377" s="74">
        <v>42862</v>
      </c>
    </row>
    <row r="3378" spans="1:20" x14ac:dyDescent="0.3">
      <c r="A3378" s="42">
        <v>42834</v>
      </c>
      <c r="B3378" s="37">
        <f t="shared" si="99"/>
        <v>20170409</v>
      </c>
      <c r="C3378" s="109">
        <v>2.12E-2</v>
      </c>
      <c r="D3378" s="109">
        <v>7.0000000000000001E-3</v>
      </c>
      <c r="E3378" s="109">
        <v>0.01</v>
      </c>
      <c r="F3378" s="109">
        <v>1.0999999999999999E-2</v>
      </c>
      <c r="G3378" s="130">
        <v>0</v>
      </c>
      <c r="H3378" s="71">
        <v>8.5</v>
      </c>
      <c r="I3378" s="71">
        <v>11</v>
      </c>
      <c r="J3378" s="71">
        <v>13.5</v>
      </c>
      <c r="K3378" s="121">
        <v>6.4000000000000003E-3</v>
      </c>
      <c r="L3378" s="121">
        <v>-6.0000000000000001E-3</v>
      </c>
      <c r="M3378" s="75" t="s">
        <v>146</v>
      </c>
      <c r="N3378" s="75" t="b">
        <v>1</v>
      </c>
      <c r="O3378" s="75" t="s">
        <v>145</v>
      </c>
      <c r="P3378" s="75">
        <v>2014</v>
      </c>
      <c r="Q3378" s="107">
        <f t="shared" si="98"/>
        <v>2017</v>
      </c>
      <c r="R3378" s="107">
        <v>2</v>
      </c>
      <c r="S3378" s="43">
        <v>217050</v>
      </c>
      <c r="T3378" s="74">
        <v>42862</v>
      </c>
    </row>
    <row r="3379" spans="1:20" x14ac:dyDescent="0.3">
      <c r="A3379" s="42">
        <v>42835</v>
      </c>
      <c r="B3379" s="37">
        <f t="shared" si="99"/>
        <v>20170410</v>
      </c>
      <c r="C3379" s="109">
        <v>2.12E-2</v>
      </c>
      <c r="D3379" s="109">
        <v>7.0000000000000001E-3</v>
      </c>
      <c r="E3379" s="109">
        <v>0.01</v>
      </c>
      <c r="F3379" s="109">
        <v>1.0999999999999999E-2</v>
      </c>
      <c r="G3379" s="130">
        <v>0</v>
      </c>
      <c r="H3379" s="71">
        <v>8.5</v>
      </c>
      <c r="I3379" s="71">
        <v>11</v>
      </c>
      <c r="J3379" s="71">
        <v>13.5</v>
      </c>
      <c r="K3379" s="121">
        <v>6.4000000000000003E-3</v>
      </c>
      <c r="L3379" s="121">
        <v>-6.0000000000000001E-3</v>
      </c>
      <c r="M3379" s="75" t="s">
        <v>146</v>
      </c>
      <c r="N3379" s="75" t="b">
        <v>1</v>
      </c>
      <c r="O3379" s="75" t="s">
        <v>145</v>
      </c>
      <c r="P3379" s="75">
        <v>2014</v>
      </c>
      <c r="Q3379" s="107">
        <f t="shared" si="98"/>
        <v>2017</v>
      </c>
      <c r="R3379" s="107">
        <v>2</v>
      </c>
      <c r="S3379" s="43">
        <v>217050</v>
      </c>
      <c r="T3379" s="74">
        <v>42862</v>
      </c>
    </row>
    <row r="3380" spans="1:20" x14ac:dyDescent="0.3">
      <c r="A3380" s="42">
        <v>42836</v>
      </c>
      <c r="B3380" s="37">
        <f t="shared" si="99"/>
        <v>20170411</v>
      </c>
      <c r="C3380" s="109">
        <v>2.0799999999999999E-2</v>
      </c>
      <c r="D3380" s="109">
        <v>7.0000000000000001E-3</v>
      </c>
      <c r="E3380" s="109">
        <v>0.01</v>
      </c>
      <c r="F3380" s="109">
        <v>1.0999999999999999E-2</v>
      </c>
      <c r="G3380" s="130">
        <v>0</v>
      </c>
      <c r="H3380" s="71">
        <v>8.5</v>
      </c>
      <c r="I3380" s="71">
        <v>11</v>
      </c>
      <c r="J3380" s="71">
        <v>13.5</v>
      </c>
      <c r="K3380" s="121">
        <v>6.0999999999999995E-3</v>
      </c>
      <c r="L3380" s="121">
        <v>-6.0000000000000001E-3</v>
      </c>
      <c r="M3380" s="75" t="s">
        <v>146</v>
      </c>
      <c r="N3380" s="75" t="b">
        <v>1</v>
      </c>
      <c r="O3380" s="75" t="s">
        <v>145</v>
      </c>
      <c r="P3380" s="75">
        <v>2014</v>
      </c>
      <c r="Q3380" s="107">
        <f t="shared" si="98"/>
        <v>2017</v>
      </c>
      <c r="R3380" s="107">
        <v>2</v>
      </c>
      <c r="S3380" s="43">
        <v>217050</v>
      </c>
      <c r="T3380" s="74">
        <v>42862</v>
      </c>
    </row>
    <row r="3381" spans="1:20" x14ac:dyDescent="0.3">
      <c r="A3381" s="42">
        <v>42837</v>
      </c>
      <c r="B3381" s="37">
        <f t="shared" si="99"/>
        <v>20170412</v>
      </c>
      <c r="C3381" s="109">
        <v>2.0499999999999997E-2</v>
      </c>
      <c r="D3381" s="109">
        <v>7.0000000000000001E-3</v>
      </c>
      <c r="E3381" s="109">
        <v>0.01</v>
      </c>
      <c r="F3381" s="109">
        <v>1.0999999999999999E-2</v>
      </c>
      <c r="G3381" s="130">
        <v>0</v>
      </c>
      <c r="H3381" s="71">
        <v>8.5</v>
      </c>
      <c r="I3381" s="71">
        <v>11</v>
      </c>
      <c r="J3381" s="71">
        <v>13.5</v>
      </c>
      <c r="K3381" s="121">
        <v>5.7999999999999996E-3</v>
      </c>
      <c r="L3381" s="121">
        <v>-6.0000000000000001E-3</v>
      </c>
      <c r="M3381" s="75" t="s">
        <v>146</v>
      </c>
      <c r="N3381" s="75" t="b">
        <v>1</v>
      </c>
      <c r="O3381" s="75" t="s">
        <v>145</v>
      </c>
      <c r="P3381" s="75">
        <v>2014</v>
      </c>
      <c r="Q3381" s="107">
        <f t="shared" si="98"/>
        <v>2017</v>
      </c>
      <c r="R3381" s="107">
        <v>2</v>
      </c>
      <c r="S3381" s="43">
        <v>217050</v>
      </c>
      <c r="T3381" s="74">
        <v>42862</v>
      </c>
    </row>
    <row r="3382" spans="1:20" x14ac:dyDescent="0.3">
      <c r="A3382" s="42">
        <v>42838</v>
      </c>
      <c r="B3382" s="37">
        <f t="shared" si="99"/>
        <v>20170413</v>
      </c>
      <c r="C3382" s="109">
        <v>2.0199999999999999E-2</v>
      </c>
      <c r="D3382" s="109">
        <v>7.0000000000000001E-3</v>
      </c>
      <c r="E3382" s="109">
        <v>0.01</v>
      </c>
      <c r="F3382" s="109">
        <v>1.0999999999999999E-2</v>
      </c>
      <c r="G3382" s="130">
        <v>0</v>
      </c>
      <c r="H3382" s="71">
        <v>8.5</v>
      </c>
      <c r="I3382" s="71">
        <v>11</v>
      </c>
      <c r="J3382" s="71">
        <v>13.5</v>
      </c>
      <c r="K3382" s="121">
        <v>5.5000000000000005E-3</v>
      </c>
      <c r="L3382" s="121">
        <v>-6.0000000000000001E-3</v>
      </c>
      <c r="M3382" s="75" t="s">
        <v>146</v>
      </c>
      <c r="N3382" s="75" t="b">
        <v>1</v>
      </c>
      <c r="O3382" s="75" t="s">
        <v>145</v>
      </c>
      <c r="P3382" s="75">
        <v>2014</v>
      </c>
      <c r="Q3382" s="107">
        <f t="shared" si="98"/>
        <v>2017</v>
      </c>
      <c r="R3382" s="107">
        <v>2</v>
      </c>
      <c r="S3382" s="43">
        <v>217050</v>
      </c>
      <c r="T3382" s="74">
        <v>42862</v>
      </c>
    </row>
    <row r="3383" spans="1:20" x14ac:dyDescent="0.3">
      <c r="A3383" s="42">
        <v>42839</v>
      </c>
      <c r="B3383" s="37">
        <f t="shared" si="99"/>
        <v>20170414</v>
      </c>
      <c r="C3383" s="109">
        <v>2.0199999999999999E-2</v>
      </c>
      <c r="D3383" s="109">
        <v>7.0000000000000001E-3</v>
      </c>
      <c r="E3383" s="109">
        <v>0.01</v>
      </c>
      <c r="F3383" s="109">
        <v>1.0999999999999999E-2</v>
      </c>
      <c r="G3383" s="130">
        <v>0</v>
      </c>
      <c r="H3383" s="71">
        <v>8.5</v>
      </c>
      <c r="I3383" s="71">
        <v>11</v>
      </c>
      <c r="J3383" s="71">
        <v>13.5</v>
      </c>
      <c r="K3383" s="121">
        <v>5.5000000000000005E-3</v>
      </c>
      <c r="L3383" s="121">
        <v>-6.0000000000000001E-3</v>
      </c>
      <c r="M3383" s="75" t="s">
        <v>146</v>
      </c>
      <c r="N3383" s="75" t="b">
        <v>1</v>
      </c>
      <c r="O3383" s="75" t="s">
        <v>145</v>
      </c>
      <c r="P3383" s="75">
        <v>2014</v>
      </c>
      <c r="Q3383" s="107">
        <f t="shared" si="98"/>
        <v>2017</v>
      </c>
      <c r="R3383" s="107">
        <v>2</v>
      </c>
      <c r="S3383" s="43">
        <v>217050</v>
      </c>
      <c r="T3383" s="74">
        <v>42862</v>
      </c>
    </row>
    <row r="3384" spans="1:20" x14ac:dyDescent="0.3">
      <c r="A3384" s="42">
        <v>42840</v>
      </c>
      <c r="B3384" s="37">
        <f>YEAR(A3384)*10000+MONTH(A3384)*100+DAY(A3384)</f>
        <v>20170415</v>
      </c>
      <c r="C3384" s="109">
        <v>2.0199999999999999E-2</v>
      </c>
      <c r="D3384" s="109">
        <v>7.0000000000000001E-3</v>
      </c>
      <c r="E3384" s="109">
        <v>0.01</v>
      </c>
      <c r="F3384" s="109">
        <v>1.0999999999999999E-2</v>
      </c>
      <c r="G3384" s="130">
        <v>0</v>
      </c>
      <c r="H3384" s="71">
        <v>8.5</v>
      </c>
      <c r="I3384" s="71">
        <v>11</v>
      </c>
      <c r="J3384" s="71">
        <v>13.5</v>
      </c>
      <c r="K3384" s="121">
        <v>5.5000000000000005E-3</v>
      </c>
      <c r="L3384" s="121">
        <v>-6.0000000000000001E-3</v>
      </c>
      <c r="M3384" s="75" t="s">
        <v>146</v>
      </c>
      <c r="N3384" s="75" t="b">
        <v>1</v>
      </c>
      <c r="O3384" s="75" t="s">
        <v>145</v>
      </c>
      <c r="P3384" s="75">
        <v>2014</v>
      </c>
      <c r="Q3384" s="107">
        <f t="shared" si="98"/>
        <v>2017</v>
      </c>
      <c r="R3384" s="107">
        <v>2</v>
      </c>
      <c r="S3384" s="43">
        <v>217050</v>
      </c>
      <c r="T3384" s="74">
        <v>42862</v>
      </c>
    </row>
    <row r="3385" spans="1:20" x14ac:dyDescent="0.3">
      <c r="A3385" s="42">
        <v>42841</v>
      </c>
      <c r="B3385" s="37">
        <f>YEAR(A3385)*10000+MONTH(A3385)*100+DAY(A3385)</f>
        <v>20170416</v>
      </c>
      <c r="C3385" s="109">
        <v>2.0199999999999999E-2</v>
      </c>
      <c r="D3385" s="109">
        <v>7.0000000000000001E-3</v>
      </c>
      <c r="E3385" s="109">
        <v>0.01</v>
      </c>
      <c r="F3385" s="109">
        <v>1.0999999999999999E-2</v>
      </c>
      <c r="G3385" s="130">
        <v>0</v>
      </c>
      <c r="H3385" s="71">
        <v>8.5</v>
      </c>
      <c r="I3385" s="71">
        <v>11</v>
      </c>
      <c r="J3385" s="71">
        <v>13.5</v>
      </c>
      <c r="K3385" s="121">
        <v>5.5000000000000005E-3</v>
      </c>
      <c r="L3385" s="121">
        <v>-6.0000000000000001E-3</v>
      </c>
      <c r="M3385" s="75" t="s">
        <v>146</v>
      </c>
      <c r="N3385" s="75" t="b">
        <v>1</v>
      </c>
      <c r="O3385" s="75" t="s">
        <v>145</v>
      </c>
      <c r="P3385" s="75">
        <v>2014</v>
      </c>
      <c r="Q3385" s="107">
        <f t="shared" si="98"/>
        <v>2017</v>
      </c>
      <c r="R3385" s="107">
        <v>2</v>
      </c>
      <c r="S3385" s="43">
        <v>217050</v>
      </c>
      <c r="T3385" s="74">
        <v>42862</v>
      </c>
    </row>
    <row r="3386" spans="1:20" x14ac:dyDescent="0.3">
      <c r="A3386" s="42">
        <v>42842</v>
      </c>
      <c r="B3386" s="37">
        <f t="shared" si="99"/>
        <v>20170417</v>
      </c>
      <c r="C3386" s="109">
        <v>2.0400000000000001E-2</v>
      </c>
      <c r="D3386" s="109">
        <v>7.0000000000000001E-3</v>
      </c>
      <c r="E3386" s="109">
        <v>0.01</v>
      </c>
      <c r="F3386" s="109">
        <v>1.0999999999999999E-2</v>
      </c>
      <c r="G3386" s="130">
        <v>0</v>
      </c>
      <c r="H3386" s="71">
        <v>8.5</v>
      </c>
      <c r="I3386" s="71">
        <v>11</v>
      </c>
      <c r="J3386" s="71">
        <v>13.5</v>
      </c>
      <c r="K3386" s="121">
        <v>5.6000000000000008E-3</v>
      </c>
      <c r="L3386" s="121">
        <v>-6.0000000000000001E-3</v>
      </c>
      <c r="M3386" s="75" t="s">
        <v>146</v>
      </c>
      <c r="N3386" s="75" t="b">
        <v>1</v>
      </c>
      <c r="O3386" s="75" t="s">
        <v>145</v>
      </c>
      <c r="P3386" s="75">
        <v>2014</v>
      </c>
      <c r="Q3386" s="107">
        <f t="shared" si="98"/>
        <v>2017</v>
      </c>
      <c r="R3386" s="107">
        <v>2</v>
      </c>
      <c r="S3386" s="43">
        <v>217050</v>
      </c>
      <c r="T3386" s="74">
        <v>42862</v>
      </c>
    </row>
    <row r="3387" spans="1:20" x14ac:dyDescent="0.3">
      <c r="A3387" s="42">
        <v>42843</v>
      </c>
      <c r="B3387" s="37">
        <f t="shared" si="99"/>
        <v>20170418</v>
      </c>
      <c r="C3387" s="109">
        <v>1.9699999999999999E-2</v>
      </c>
      <c r="D3387" s="109">
        <v>7.0000000000000001E-3</v>
      </c>
      <c r="E3387" s="109">
        <v>0.01</v>
      </c>
      <c r="F3387" s="109">
        <v>1.0999999999999999E-2</v>
      </c>
      <c r="G3387" s="130">
        <v>0</v>
      </c>
      <c r="H3387" s="71">
        <v>8.5</v>
      </c>
      <c r="I3387" s="71">
        <v>11</v>
      </c>
      <c r="J3387" s="71">
        <v>13.5</v>
      </c>
      <c r="K3387" s="121">
        <v>5.1000000000000004E-3</v>
      </c>
      <c r="L3387" s="121">
        <v>-6.0000000000000001E-3</v>
      </c>
      <c r="M3387" s="75" t="s">
        <v>146</v>
      </c>
      <c r="N3387" s="75" t="b">
        <v>1</v>
      </c>
      <c r="O3387" s="75" t="s">
        <v>145</v>
      </c>
      <c r="P3387" s="75">
        <v>2014</v>
      </c>
      <c r="Q3387" s="107">
        <f t="shared" si="98"/>
        <v>2017</v>
      </c>
      <c r="R3387" s="107">
        <v>2</v>
      </c>
      <c r="S3387" s="43">
        <v>217050</v>
      </c>
      <c r="T3387" s="74">
        <v>42862</v>
      </c>
    </row>
    <row r="3388" spans="1:20" x14ac:dyDescent="0.3">
      <c r="A3388" s="42">
        <v>42844</v>
      </c>
      <c r="B3388" s="37">
        <f t="shared" si="99"/>
        <v>20170419</v>
      </c>
      <c r="C3388" s="109">
        <v>1.9900000000000001E-2</v>
      </c>
      <c r="D3388" s="109">
        <v>7.0000000000000001E-3</v>
      </c>
      <c r="E3388" s="109">
        <v>0.01</v>
      </c>
      <c r="F3388" s="109">
        <v>1.0999999999999999E-2</v>
      </c>
      <c r="G3388" s="130">
        <v>0</v>
      </c>
      <c r="H3388" s="71">
        <v>8.5</v>
      </c>
      <c r="I3388" s="71">
        <v>11</v>
      </c>
      <c r="J3388" s="71">
        <v>13.5</v>
      </c>
      <c r="K3388" s="121">
        <v>5.4000000000000003E-3</v>
      </c>
      <c r="L3388" s="121">
        <v>-6.0000000000000001E-3</v>
      </c>
      <c r="M3388" s="75" t="s">
        <v>146</v>
      </c>
      <c r="N3388" s="75" t="b">
        <v>1</v>
      </c>
      <c r="O3388" s="75" t="s">
        <v>145</v>
      </c>
      <c r="P3388" s="75">
        <v>2014</v>
      </c>
      <c r="Q3388" s="107">
        <f t="shared" si="98"/>
        <v>2017</v>
      </c>
      <c r="R3388" s="107">
        <v>2</v>
      </c>
      <c r="S3388" s="43">
        <v>217050</v>
      </c>
      <c r="T3388" s="74">
        <v>42862</v>
      </c>
    </row>
    <row r="3389" spans="1:20" x14ac:dyDescent="0.3">
      <c r="A3389" s="42">
        <v>42845</v>
      </c>
      <c r="B3389" s="37">
        <f t="shared" si="99"/>
        <v>20170420</v>
      </c>
      <c r="C3389" s="109">
        <v>2.0099999999999996E-2</v>
      </c>
      <c r="D3389" s="109">
        <v>7.0000000000000001E-3</v>
      </c>
      <c r="E3389" s="109">
        <v>0.01</v>
      </c>
      <c r="F3389" s="109">
        <v>1.0999999999999999E-2</v>
      </c>
      <c r="G3389" s="130">
        <v>0</v>
      </c>
      <c r="H3389" s="71">
        <v>8.5</v>
      </c>
      <c r="I3389" s="71">
        <v>11</v>
      </c>
      <c r="J3389" s="71">
        <v>13.5</v>
      </c>
      <c r="K3389" s="121">
        <v>5.5000000000000005E-3</v>
      </c>
      <c r="L3389" s="121">
        <v>-6.0000000000000001E-3</v>
      </c>
      <c r="M3389" s="75" t="s">
        <v>146</v>
      </c>
      <c r="N3389" s="75" t="b">
        <v>1</v>
      </c>
      <c r="O3389" s="75" t="s">
        <v>145</v>
      </c>
      <c r="P3389" s="75">
        <v>2014</v>
      </c>
      <c r="Q3389" s="107">
        <f t="shared" si="98"/>
        <v>2017</v>
      </c>
      <c r="R3389" s="107">
        <v>2</v>
      </c>
      <c r="S3389" s="43">
        <v>217050</v>
      </c>
      <c r="T3389" s="74">
        <v>42862</v>
      </c>
    </row>
    <row r="3390" spans="1:20" x14ac:dyDescent="0.3">
      <c r="A3390" s="42">
        <v>42846</v>
      </c>
      <c r="B3390" s="37">
        <f t="shared" si="99"/>
        <v>20170421</v>
      </c>
      <c r="C3390" s="109">
        <v>1.9900000000000001E-2</v>
      </c>
      <c r="D3390" s="109">
        <v>7.0000000000000001E-3</v>
      </c>
      <c r="E3390" s="109">
        <v>0.01</v>
      </c>
      <c r="F3390" s="109">
        <v>1.0999999999999999E-2</v>
      </c>
      <c r="G3390" s="130">
        <v>0</v>
      </c>
      <c r="H3390" s="71">
        <v>8.5</v>
      </c>
      <c r="I3390" s="71">
        <v>11</v>
      </c>
      <c r="J3390" s="71">
        <v>13.5</v>
      </c>
      <c r="K3390" s="121">
        <v>5.4000000000000003E-3</v>
      </c>
      <c r="L3390" s="121">
        <v>-6.0000000000000001E-3</v>
      </c>
      <c r="M3390" s="75" t="s">
        <v>146</v>
      </c>
      <c r="N3390" s="75" t="b">
        <v>1</v>
      </c>
      <c r="O3390" s="75" t="s">
        <v>145</v>
      </c>
      <c r="P3390" s="75">
        <v>2014</v>
      </c>
      <c r="Q3390" s="107">
        <f t="shared" si="98"/>
        <v>2017</v>
      </c>
      <c r="R3390" s="107">
        <v>2</v>
      </c>
      <c r="S3390" s="43">
        <v>217050</v>
      </c>
      <c r="T3390" s="74">
        <v>42862</v>
      </c>
    </row>
    <row r="3391" spans="1:20" x14ac:dyDescent="0.3">
      <c r="A3391" s="42">
        <v>42847</v>
      </c>
      <c r="B3391" s="37">
        <f>YEAR(A3391)*10000+MONTH(A3391)*100+DAY(A3391)</f>
        <v>20170422</v>
      </c>
      <c r="C3391" s="109">
        <v>1.9900000000000001E-2</v>
      </c>
      <c r="D3391" s="109">
        <v>7.0000000000000001E-3</v>
      </c>
      <c r="E3391" s="109">
        <v>0.01</v>
      </c>
      <c r="F3391" s="109">
        <v>1.0999999999999999E-2</v>
      </c>
      <c r="G3391" s="130">
        <v>0</v>
      </c>
      <c r="H3391" s="71">
        <v>8.5</v>
      </c>
      <c r="I3391" s="71">
        <v>11</v>
      </c>
      <c r="J3391" s="71">
        <v>13.5</v>
      </c>
      <c r="K3391" s="121">
        <v>5.4000000000000003E-3</v>
      </c>
      <c r="L3391" s="121">
        <v>-6.0000000000000001E-3</v>
      </c>
      <c r="M3391" s="75" t="s">
        <v>146</v>
      </c>
      <c r="N3391" s="75" t="b">
        <v>1</v>
      </c>
      <c r="O3391" s="75" t="s">
        <v>145</v>
      </c>
      <c r="P3391" s="75">
        <v>2014</v>
      </c>
      <c r="Q3391" s="107">
        <f t="shared" si="98"/>
        <v>2017</v>
      </c>
      <c r="R3391" s="107">
        <v>2</v>
      </c>
      <c r="S3391" s="43">
        <v>217050</v>
      </c>
      <c r="T3391" s="74">
        <v>42862</v>
      </c>
    </row>
    <row r="3392" spans="1:20" x14ac:dyDescent="0.3">
      <c r="A3392" s="42">
        <v>42848</v>
      </c>
      <c r="B3392" s="37">
        <f>YEAR(A3392)*10000+MONTH(A3392)*100+DAY(A3392)</f>
        <v>20170423</v>
      </c>
      <c r="C3392" s="109">
        <v>1.9900000000000001E-2</v>
      </c>
      <c r="D3392" s="109">
        <v>7.0000000000000001E-3</v>
      </c>
      <c r="E3392" s="109">
        <v>0.01</v>
      </c>
      <c r="F3392" s="109">
        <v>1.0999999999999999E-2</v>
      </c>
      <c r="G3392" s="130">
        <v>0</v>
      </c>
      <c r="H3392" s="71">
        <v>8.5</v>
      </c>
      <c r="I3392" s="71">
        <v>11</v>
      </c>
      <c r="J3392" s="71">
        <v>13.5</v>
      </c>
      <c r="K3392" s="121">
        <v>5.4000000000000003E-3</v>
      </c>
      <c r="L3392" s="121">
        <v>-6.0000000000000001E-3</v>
      </c>
      <c r="M3392" s="75" t="s">
        <v>146</v>
      </c>
      <c r="N3392" s="75" t="b">
        <v>1</v>
      </c>
      <c r="O3392" s="75" t="s">
        <v>145</v>
      </c>
      <c r="P3392" s="75">
        <v>2014</v>
      </c>
      <c r="Q3392" s="107">
        <f t="shared" si="98"/>
        <v>2017</v>
      </c>
      <c r="R3392" s="107">
        <v>2</v>
      </c>
      <c r="S3392" s="43">
        <v>217050</v>
      </c>
      <c r="T3392" s="74">
        <v>42862</v>
      </c>
    </row>
    <row r="3393" spans="1:20" x14ac:dyDescent="0.3">
      <c r="A3393" s="42">
        <v>42849</v>
      </c>
      <c r="B3393" s="37">
        <f t="shared" si="99"/>
        <v>20170424</v>
      </c>
      <c r="C3393" s="109">
        <v>2.0099999999999996E-2</v>
      </c>
      <c r="D3393" s="109">
        <v>7.0000000000000001E-3</v>
      </c>
      <c r="E3393" s="109">
        <v>0.01</v>
      </c>
      <c r="F3393" s="109">
        <v>1.0999999999999999E-2</v>
      </c>
      <c r="G3393" s="130">
        <v>0</v>
      </c>
      <c r="H3393" s="71">
        <v>8.5</v>
      </c>
      <c r="I3393" s="71">
        <v>11</v>
      </c>
      <c r="J3393" s="71">
        <v>13.5</v>
      </c>
      <c r="K3393" s="121">
        <v>5.5000000000000005E-3</v>
      </c>
      <c r="L3393" s="121">
        <v>-6.0000000000000001E-3</v>
      </c>
      <c r="M3393" s="75" t="s">
        <v>146</v>
      </c>
      <c r="N3393" s="75" t="b">
        <v>1</v>
      </c>
      <c r="O3393" s="75" t="s">
        <v>145</v>
      </c>
      <c r="P3393" s="75">
        <v>2014</v>
      </c>
      <c r="Q3393" s="107">
        <f t="shared" si="98"/>
        <v>2017</v>
      </c>
      <c r="R3393" s="107">
        <v>2</v>
      </c>
      <c r="S3393" s="43">
        <v>217050</v>
      </c>
      <c r="T3393" s="74">
        <v>42862</v>
      </c>
    </row>
    <row r="3394" spans="1:20" x14ac:dyDescent="0.3">
      <c r="A3394" s="42">
        <v>42850</v>
      </c>
      <c r="B3394" s="37">
        <f t="shared" si="99"/>
        <v>20170425</v>
      </c>
      <c r="C3394" s="109">
        <v>2.0400000000000001E-2</v>
      </c>
      <c r="D3394" s="109">
        <v>7.0000000000000001E-3</v>
      </c>
      <c r="E3394" s="109">
        <v>0.01</v>
      </c>
      <c r="F3394" s="109">
        <v>1.0999999999999999E-2</v>
      </c>
      <c r="G3394" s="130">
        <v>0</v>
      </c>
      <c r="H3394" s="71">
        <v>8.5</v>
      </c>
      <c r="I3394" s="71">
        <v>11</v>
      </c>
      <c r="J3394" s="71">
        <v>13.5</v>
      </c>
      <c r="K3394" s="121">
        <v>5.8999999999999999E-3</v>
      </c>
      <c r="L3394" s="121">
        <v>-6.0000000000000001E-3</v>
      </c>
      <c r="M3394" s="75" t="s">
        <v>146</v>
      </c>
      <c r="N3394" s="75" t="b">
        <v>1</v>
      </c>
      <c r="O3394" s="75" t="s">
        <v>145</v>
      </c>
      <c r="P3394" s="75">
        <v>2014</v>
      </c>
      <c r="Q3394" s="107">
        <f t="shared" si="98"/>
        <v>2017</v>
      </c>
      <c r="R3394" s="107">
        <v>2</v>
      </c>
      <c r="S3394" s="43">
        <v>217050</v>
      </c>
      <c r="T3394" s="74">
        <v>42862</v>
      </c>
    </row>
    <row r="3395" spans="1:20" x14ac:dyDescent="0.3">
      <c r="A3395" s="42">
        <v>42851</v>
      </c>
      <c r="B3395" s="37">
        <f t="shared" si="99"/>
        <v>20170426</v>
      </c>
      <c r="C3395" s="109">
        <v>2.0099999999999996E-2</v>
      </c>
      <c r="D3395" s="109">
        <v>7.0000000000000001E-3</v>
      </c>
      <c r="E3395" s="109">
        <v>0.01</v>
      </c>
      <c r="F3395" s="109">
        <v>1.0999999999999999E-2</v>
      </c>
      <c r="G3395" s="130">
        <v>0</v>
      </c>
      <c r="H3395" s="71">
        <v>8.5</v>
      </c>
      <c r="I3395" s="71">
        <v>11</v>
      </c>
      <c r="J3395" s="71">
        <v>13.5</v>
      </c>
      <c r="K3395" s="121">
        <v>5.6999999999999993E-3</v>
      </c>
      <c r="L3395" s="121">
        <v>-6.0000000000000001E-3</v>
      </c>
      <c r="M3395" s="75" t="s">
        <v>146</v>
      </c>
      <c r="N3395" s="75" t="b">
        <v>1</v>
      </c>
      <c r="O3395" s="75" t="s">
        <v>145</v>
      </c>
      <c r="P3395" s="75">
        <v>2014</v>
      </c>
      <c r="Q3395" s="107">
        <f t="shared" si="98"/>
        <v>2017</v>
      </c>
      <c r="R3395" s="107">
        <v>2</v>
      </c>
      <c r="S3395" s="43">
        <v>217050</v>
      </c>
      <c r="T3395" s="74">
        <v>42862</v>
      </c>
    </row>
    <row r="3396" spans="1:20" x14ac:dyDescent="0.3">
      <c r="A3396" s="42">
        <v>42852</v>
      </c>
      <c r="B3396" s="37">
        <f t="shared" si="99"/>
        <v>20170427</v>
      </c>
      <c r="C3396" s="109">
        <v>2.0199999999999999E-2</v>
      </c>
      <c r="D3396" s="109">
        <v>7.0000000000000001E-3</v>
      </c>
      <c r="E3396" s="109">
        <v>0.01</v>
      </c>
      <c r="F3396" s="109">
        <v>1.0999999999999999E-2</v>
      </c>
      <c r="G3396" s="130">
        <v>0</v>
      </c>
      <c r="H3396" s="71">
        <v>8.5</v>
      </c>
      <c r="I3396" s="71">
        <v>11</v>
      </c>
      <c r="J3396" s="71">
        <v>13.5</v>
      </c>
      <c r="K3396" s="121">
        <v>5.7999999999999996E-3</v>
      </c>
      <c r="L3396" s="121">
        <v>-6.0000000000000001E-3</v>
      </c>
      <c r="M3396" s="75" t="s">
        <v>146</v>
      </c>
      <c r="N3396" s="75" t="b">
        <v>1</v>
      </c>
      <c r="O3396" s="75" t="s">
        <v>145</v>
      </c>
      <c r="P3396" s="75">
        <v>2014</v>
      </c>
      <c r="Q3396" s="107">
        <f t="shared" si="98"/>
        <v>2017</v>
      </c>
      <c r="R3396" s="107">
        <v>2</v>
      </c>
      <c r="S3396" s="43">
        <v>217050</v>
      </c>
      <c r="T3396" s="74">
        <v>42862</v>
      </c>
    </row>
    <row r="3397" spans="1:20" x14ac:dyDescent="0.3">
      <c r="A3397" s="42">
        <v>42853</v>
      </c>
      <c r="B3397" s="37">
        <f>YEAR(A3397)*10000+MONTH(A3397)*100+DAY(A3397)</f>
        <v>20170428</v>
      </c>
      <c r="C3397" s="109">
        <v>1.9900000000000001E-2</v>
      </c>
      <c r="D3397" s="109">
        <v>7.0000000000000001E-3</v>
      </c>
      <c r="E3397" s="109">
        <v>0.01</v>
      </c>
      <c r="F3397" s="109">
        <v>1.0999999999999999E-2</v>
      </c>
      <c r="G3397" s="130">
        <v>0</v>
      </c>
      <c r="H3397" s="71">
        <v>8.5</v>
      </c>
      <c r="I3397" s="71">
        <v>11</v>
      </c>
      <c r="J3397" s="71">
        <v>13.5</v>
      </c>
      <c r="K3397" s="121">
        <v>5.4999999999999997E-3</v>
      </c>
      <c r="L3397" s="121">
        <v>-6.0000000000000001E-3</v>
      </c>
      <c r="M3397" s="75" t="s">
        <v>146</v>
      </c>
      <c r="N3397" s="75" t="b">
        <v>1</v>
      </c>
      <c r="O3397" s="75" t="s">
        <v>145</v>
      </c>
      <c r="P3397" s="75">
        <v>2014</v>
      </c>
      <c r="Q3397" s="107">
        <f t="shared" si="98"/>
        <v>2017</v>
      </c>
      <c r="R3397" s="107">
        <v>2</v>
      </c>
      <c r="S3397" s="43">
        <v>217050</v>
      </c>
      <c r="T3397" s="74">
        <v>42862</v>
      </c>
    </row>
    <row r="3398" spans="1:20" x14ac:dyDescent="0.3">
      <c r="A3398" s="42">
        <v>42854</v>
      </c>
      <c r="B3398" s="37">
        <f>YEAR(A3398)*10000+MONTH(A3398)*100+DAY(A3398)</f>
        <v>20170429</v>
      </c>
      <c r="C3398" s="109">
        <v>1.9900000000000001E-2</v>
      </c>
      <c r="D3398" s="109">
        <v>7.0000000000000001E-3</v>
      </c>
      <c r="E3398" s="109">
        <v>0.01</v>
      </c>
      <c r="F3398" s="109">
        <v>1.0999999999999999E-2</v>
      </c>
      <c r="G3398" s="130">
        <v>0</v>
      </c>
      <c r="H3398" s="71">
        <v>8.5</v>
      </c>
      <c r="I3398" s="71">
        <v>11</v>
      </c>
      <c r="J3398" s="71">
        <v>13.5</v>
      </c>
      <c r="K3398" s="121">
        <v>5.4999999999999997E-3</v>
      </c>
      <c r="L3398" s="121">
        <v>-6.0000000000000001E-3</v>
      </c>
      <c r="M3398" s="75" t="s">
        <v>146</v>
      </c>
      <c r="N3398" s="75" t="b">
        <v>1</v>
      </c>
      <c r="O3398" s="75" t="s">
        <v>145</v>
      </c>
      <c r="P3398" s="75">
        <v>2014</v>
      </c>
      <c r="Q3398" s="107">
        <f t="shared" si="98"/>
        <v>2017</v>
      </c>
      <c r="R3398" s="107">
        <v>2</v>
      </c>
      <c r="S3398" s="43">
        <v>217050</v>
      </c>
      <c r="T3398" s="74">
        <v>42862</v>
      </c>
    </row>
    <row r="3399" spans="1:20" x14ac:dyDescent="0.3">
      <c r="A3399" s="42">
        <v>42855</v>
      </c>
      <c r="B3399" s="37">
        <f>YEAR(A3399)*10000+MONTH(A3399)*100+DAY(A3399)</f>
        <v>20170430</v>
      </c>
      <c r="C3399" s="109">
        <v>1.9900000000000001E-2</v>
      </c>
      <c r="D3399" s="109">
        <v>7.0000000000000001E-3</v>
      </c>
      <c r="E3399" s="109">
        <v>0.01</v>
      </c>
      <c r="F3399" s="109">
        <v>1.0999999999999999E-2</v>
      </c>
      <c r="G3399" s="130">
        <v>0</v>
      </c>
      <c r="H3399" s="71">
        <v>8.5</v>
      </c>
      <c r="I3399" s="71">
        <v>11</v>
      </c>
      <c r="J3399" s="71">
        <v>13.5</v>
      </c>
      <c r="K3399" s="121">
        <v>5.4999999999999997E-3</v>
      </c>
      <c r="L3399" s="121">
        <v>-6.0000000000000001E-3</v>
      </c>
      <c r="M3399" s="75" t="s">
        <v>146</v>
      </c>
      <c r="N3399" s="75" t="b">
        <v>1</v>
      </c>
      <c r="O3399" s="75" t="s">
        <v>145</v>
      </c>
      <c r="P3399" s="75">
        <v>2014</v>
      </c>
      <c r="Q3399" s="107">
        <f t="shared" si="98"/>
        <v>2017</v>
      </c>
      <c r="R3399" s="107">
        <v>2</v>
      </c>
      <c r="S3399" s="43">
        <v>217050</v>
      </c>
      <c r="T3399" s="74">
        <v>42862</v>
      </c>
    </row>
    <row r="3400" spans="1:20" x14ac:dyDescent="0.3">
      <c r="A3400" s="42">
        <v>42856</v>
      </c>
      <c r="B3400" s="37">
        <f t="shared" ref="B3400:B3429" si="100">YEAR(A3400)*10000+MONTH(A3400)*100+DAY(A3400)</f>
        <v>20170501</v>
      </c>
      <c r="C3400" s="109">
        <v>2.0099999999999996E-2</v>
      </c>
      <c r="D3400" s="109">
        <v>7.0000000000000001E-3</v>
      </c>
      <c r="E3400" s="109">
        <v>0.01</v>
      </c>
      <c r="F3400" s="109">
        <v>1.0999999999999999E-2</v>
      </c>
      <c r="G3400" s="130">
        <v>0</v>
      </c>
      <c r="H3400" s="71">
        <v>8.5</v>
      </c>
      <c r="I3400" s="71">
        <v>11</v>
      </c>
      <c r="J3400" s="71">
        <v>13.5</v>
      </c>
      <c r="K3400" s="121">
        <v>5.7999999999999996E-3</v>
      </c>
      <c r="L3400" s="121">
        <v>-6.0000000000000001E-3</v>
      </c>
      <c r="M3400" s="75" t="s">
        <v>146</v>
      </c>
      <c r="N3400" s="75" t="b">
        <v>1</v>
      </c>
      <c r="O3400" s="75" t="s">
        <v>145</v>
      </c>
      <c r="P3400" s="75">
        <v>2014</v>
      </c>
      <c r="Q3400" s="107">
        <f t="shared" si="98"/>
        <v>2017</v>
      </c>
      <c r="R3400" s="107">
        <v>2</v>
      </c>
      <c r="S3400" s="43">
        <v>217050</v>
      </c>
      <c r="T3400" s="74">
        <v>42862</v>
      </c>
    </row>
    <row r="3401" spans="1:20" x14ac:dyDescent="0.3">
      <c r="A3401" s="42">
        <v>42857</v>
      </c>
      <c r="B3401" s="37">
        <f t="shared" si="100"/>
        <v>20170502</v>
      </c>
      <c r="C3401" s="109">
        <v>1.9599999999999999E-2</v>
      </c>
      <c r="D3401" s="109">
        <v>7.0000000000000001E-3</v>
      </c>
      <c r="E3401" s="109">
        <v>0.01</v>
      </c>
      <c r="F3401" s="109">
        <v>1.0999999999999999E-2</v>
      </c>
      <c r="G3401" s="130">
        <v>0</v>
      </c>
      <c r="H3401" s="71">
        <v>8.5</v>
      </c>
      <c r="I3401" s="71">
        <v>11</v>
      </c>
      <c r="J3401" s="71">
        <v>13.5</v>
      </c>
      <c r="K3401" s="121">
        <v>5.3E-3</v>
      </c>
      <c r="L3401" s="121">
        <v>-6.0000000000000001E-3</v>
      </c>
      <c r="M3401" s="75" t="s">
        <v>146</v>
      </c>
      <c r="N3401" s="75" t="b">
        <v>1</v>
      </c>
      <c r="O3401" s="75" t="s">
        <v>145</v>
      </c>
      <c r="P3401" s="75">
        <v>2014</v>
      </c>
      <c r="Q3401" s="107">
        <f t="shared" si="98"/>
        <v>2017</v>
      </c>
      <c r="R3401" s="107">
        <v>2</v>
      </c>
      <c r="S3401" s="43">
        <v>217050</v>
      </c>
      <c r="T3401" s="74">
        <v>42862</v>
      </c>
    </row>
    <row r="3402" spans="1:20" x14ac:dyDescent="0.3">
      <c r="A3402" s="42">
        <v>42858</v>
      </c>
      <c r="B3402" s="37">
        <f t="shared" si="100"/>
        <v>20170503</v>
      </c>
      <c r="C3402" s="109">
        <v>1.9699999999999999E-2</v>
      </c>
      <c r="D3402" s="109">
        <v>7.0000000000000001E-3</v>
      </c>
      <c r="E3402" s="109">
        <v>0.01</v>
      </c>
      <c r="F3402" s="109">
        <v>1.0999999999999999E-2</v>
      </c>
      <c r="G3402" s="130">
        <v>0</v>
      </c>
      <c r="H3402" s="71">
        <v>8.5</v>
      </c>
      <c r="I3402" s="71">
        <v>11</v>
      </c>
      <c r="J3402" s="71">
        <v>13.5</v>
      </c>
      <c r="K3402" s="121">
        <v>5.4000000000000003E-3</v>
      </c>
      <c r="L3402" s="121">
        <v>-6.0000000000000001E-3</v>
      </c>
      <c r="M3402" s="75" t="s">
        <v>146</v>
      </c>
      <c r="N3402" s="75" t="b">
        <v>1</v>
      </c>
      <c r="O3402" s="75" t="s">
        <v>145</v>
      </c>
      <c r="P3402" s="75">
        <v>2014</v>
      </c>
      <c r="Q3402" s="107">
        <f t="shared" si="98"/>
        <v>2017</v>
      </c>
      <c r="R3402" s="107">
        <v>2</v>
      </c>
      <c r="S3402" s="43">
        <v>217050</v>
      </c>
      <c r="T3402" s="74">
        <v>42862</v>
      </c>
    </row>
    <row r="3403" spans="1:20" x14ac:dyDescent="0.3">
      <c r="A3403" s="42">
        <v>42859</v>
      </c>
      <c r="B3403" s="37">
        <f t="shared" si="100"/>
        <v>20170504</v>
      </c>
      <c r="C3403" s="109">
        <v>1.9699999999999999E-2</v>
      </c>
      <c r="D3403" s="109">
        <v>7.0000000000000001E-3</v>
      </c>
      <c r="E3403" s="109">
        <v>0.01</v>
      </c>
      <c r="F3403" s="109">
        <v>1.0999999999999999E-2</v>
      </c>
      <c r="G3403" s="130">
        <v>0</v>
      </c>
      <c r="H3403" s="71">
        <v>8.5</v>
      </c>
      <c r="I3403" s="71">
        <v>11</v>
      </c>
      <c r="J3403" s="71">
        <v>13.5</v>
      </c>
      <c r="K3403" s="121">
        <v>5.6000000000000008E-3</v>
      </c>
      <c r="L3403" s="121">
        <v>-6.0000000000000001E-3</v>
      </c>
      <c r="M3403" s="75" t="s">
        <v>146</v>
      </c>
      <c r="N3403" s="75" t="b">
        <v>1</v>
      </c>
      <c r="O3403" s="75" t="s">
        <v>145</v>
      </c>
      <c r="P3403" s="75">
        <v>2014</v>
      </c>
      <c r="Q3403" s="107">
        <f t="shared" si="98"/>
        <v>2017</v>
      </c>
      <c r="R3403" s="107">
        <v>2</v>
      </c>
      <c r="S3403" s="43">
        <v>217050</v>
      </c>
      <c r="T3403" s="74">
        <v>42862</v>
      </c>
    </row>
    <row r="3404" spans="1:20" x14ac:dyDescent="0.3">
      <c r="A3404" s="42">
        <v>42860</v>
      </c>
      <c r="B3404" s="37">
        <f t="shared" si="100"/>
        <v>20170505</v>
      </c>
      <c r="C3404" s="109">
        <v>1.9799999999999998E-2</v>
      </c>
      <c r="D3404" s="109">
        <v>7.0000000000000001E-3</v>
      </c>
      <c r="E3404" s="109">
        <v>0.01</v>
      </c>
      <c r="F3404" s="109">
        <v>1.0999999999999999E-2</v>
      </c>
      <c r="G3404" s="130">
        <v>0</v>
      </c>
      <c r="H3404" s="71">
        <v>8.5</v>
      </c>
      <c r="I3404" s="71">
        <v>11</v>
      </c>
      <c r="J3404" s="71">
        <v>13.5</v>
      </c>
      <c r="K3404" s="121">
        <v>5.6999999999999993E-3</v>
      </c>
      <c r="L3404" s="121">
        <v>-6.0000000000000001E-3</v>
      </c>
      <c r="M3404" s="75" t="s">
        <v>146</v>
      </c>
      <c r="N3404" s="75" t="b">
        <v>1</v>
      </c>
      <c r="O3404" s="75" t="s">
        <v>145</v>
      </c>
      <c r="P3404" s="75">
        <v>2014</v>
      </c>
      <c r="Q3404" s="107">
        <f t="shared" si="98"/>
        <v>2017</v>
      </c>
      <c r="R3404" s="107">
        <v>2</v>
      </c>
      <c r="S3404" s="43">
        <v>217050</v>
      </c>
      <c r="T3404" s="74">
        <v>42862</v>
      </c>
    </row>
    <row r="3405" spans="1:20" x14ac:dyDescent="0.3">
      <c r="A3405" s="42">
        <v>42861</v>
      </c>
      <c r="B3405" s="37">
        <f t="shared" si="100"/>
        <v>20170506</v>
      </c>
      <c r="C3405" s="109">
        <v>1.9799999999999998E-2</v>
      </c>
      <c r="D3405" s="109">
        <v>7.0000000000000001E-3</v>
      </c>
      <c r="E3405" s="109">
        <v>0.01</v>
      </c>
      <c r="F3405" s="109">
        <v>1.0999999999999999E-2</v>
      </c>
      <c r="G3405" s="130">
        <v>0</v>
      </c>
      <c r="H3405" s="71">
        <v>8.5</v>
      </c>
      <c r="I3405" s="71">
        <v>11</v>
      </c>
      <c r="J3405" s="71">
        <v>13.5</v>
      </c>
      <c r="K3405" s="121">
        <v>5.6999999999999993E-3</v>
      </c>
      <c r="L3405" s="121">
        <v>-6.0000000000000001E-3</v>
      </c>
      <c r="M3405" s="75" t="s">
        <v>146</v>
      </c>
      <c r="N3405" s="75" t="b">
        <v>1</v>
      </c>
      <c r="O3405" s="75" t="s">
        <v>145</v>
      </c>
      <c r="P3405" s="75">
        <v>2014</v>
      </c>
      <c r="Q3405" s="107">
        <f t="shared" si="98"/>
        <v>2017</v>
      </c>
      <c r="R3405" s="107">
        <v>2</v>
      </c>
      <c r="S3405" s="43">
        <v>217050</v>
      </c>
      <c r="T3405" s="74">
        <v>42862</v>
      </c>
    </row>
    <row r="3406" spans="1:20" x14ac:dyDescent="0.3">
      <c r="A3406" s="42">
        <v>42862</v>
      </c>
      <c r="B3406" s="37">
        <f t="shared" si="100"/>
        <v>20170507</v>
      </c>
      <c r="C3406" s="109">
        <v>1.9799999999999998E-2</v>
      </c>
      <c r="D3406" s="109">
        <v>7.0000000000000001E-3</v>
      </c>
      <c r="E3406" s="109">
        <v>0.01</v>
      </c>
      <c r="F3406" s="109">
        <v>1.0999999999999999E-2</v>
      </c>
      <c r="G3406" s="130">
        <v>0</v>
      </c>
      <c r="H3406" s="71">
        <v>8.5</v>
      </c>
      <c r="I3406" s="71">
        <v>11</v>
      </c>
      <c r="J3406" s="71">
        <v>13.5</v>
      </c>
      <c r="K3406" s="121">
        <v>5.6999999999999993E-3</v>
      </c>
      <c r="L3406" s="121">
        <v>-6.0000000000000001E-3</v>
      </c>
      <c r="M3406" s="75" t="s">
        <v>146</v>
      </c>
      <c r="N3406" s="75" t="b">
        <v>1</v>
      </c>
      <c r="O3406" s="75" t="s">
        <v>145</v>
      </c>
      <c r="P3406" s="75">
        <v>2014</v>
      </c>
      <c r="Q3406" s="107">
        <f t="shared" si="98"/>
        <v>2017</v>
      </c>
      <c r="R3406" s="107">
        <v>2</v>
      </c>
      <c r="S3406" s="43">
        <v>217050</v>
      </c>
      <c r="T3406" s="74">
        <v>42862</v>
      </c>
    </row>
    <row r="3407" spans="1:20" x14ac:dyDescent="0.3">
      <c r="A3407" s="42">
        <v>42863</v>
      </c>
      <c r="B3407" s="37">
        <f t="shared" si="100"/>
        <v>20170508</v>
      </c>
      <c r="C3407" s="109">
        <v>2.0099999999999996E-2</v>
      </c>
      <c r="D3407" s="109">
        <v>7.0000000000000001E-3</v>
      </c>
      <c r="E3407" s="109">
        <v>0.01</v>
      </c>
      <c r="F3407" s="109">
        <v>1.0999999999999999E-2</v>
      </c>
      <c r="G3407" s="130">
        <v>0</v>
      </c>
      <c r="H3407" s="71">
        <v>8.5</v>
      </c>
      <c r="I3407" s="71">
        <v>11</v>
      </c>
      <c r="J3407" s="71">
        <v>13.5</v>
      </c>
      <c r="K3407" s="121">
        <v>6.0999999999999995E-3</v>
      </c>
      <c r="L3407" s="121">
        <v>-6.0000000000000001E-3</v>
      </c>
      <c r="M3407" s="75" t="s">
        <v>146</v>
      </c>
      <c r="N3407" s="75" t="b">
        <v>1</v>
      </c>
      <c r="O3407" s="75" t="s">
        <v>145</v>
      </c>
      <c r="P3407" s="75">
        <v>2014</v>
      </c>
      <c r="Q3407" s="107">
        <f t="shared" si="98"/>
        <v>2017</v>
      </c>
      <c r="R3407" s="107">
        <v>2</v>
      </c>
      <c r="S3407" s="43">
        <v>217050</v>
      </c>
      <c r="T3407" s="74">
        <v>42862</v>
      </c>
    </row>
    <row r="3408" spans="1:20" x14ac:dyDescent="0.3">
      <c r="A3408" s="42">
        <v>42864</v>
      </c>
      <c r="B3408" s="37">
        <f t="shared" si="100"/>
        <v>20170509</v>
      </c>
      <c r="C3408" s="109">
        <v>2.0499999999999997E-2</v>
      </c>
      <c r="D3408" s="109">
        <v>7.0000000000000001E-3</v>
      </c>
      <c r="E3408" s="109">
        <v>0.01</v>
      </c>
      <c r="F3408" s="109">
        <v>1.0999999999999999E-2</v>
      </c>
      <c r="G3408" s="130">
        <v>0</v>
      </c>
      <c r="H3408" s="71">
        <v>8.5</v>
      </c>
      <c r="I3408" s="71">
        <v>11</v>
      </c>
      <c r="J3408" s="71">
        <v>13.5</v>
      </c>
      <c r="K3408" s="121">
        <v>6.5000000000000006E-3</v>
      </c>
      <c r="L3408" s="121">
        <v>-6.0000000000000001E-3</v>
      </c>
      <c r="M3408" s="75" t="s">
        <v>146</v>
      </c>
      <c r="N3408" s="75" t="b">
        <v>1</v>
      </c>
      <c r="O3408" s="75" t="s">
        <v>145</v>
      </c>
      <c r="P3408" s="75">
        <v>2014</v>
      </c>
      <c r="Q3408" s="107">
        <f t="shared" si="98"/>
        <v>2017</v>
      </c>
      <c r="R3408" s="107">
        <v>2</v>
      </c>
      <c r="S3408" s="43">
        <v>217050</v>
      </c>
      <c r="T3408" s="74">
        <v>42862</v>
      </c>
    </row>
    <row r="3409" spans="1:20" x14ac:dyDescent="0.3">
      <c r="A3409" s="42">
        <v>42865</v>
      </c>
      <c r="B3409" s="37">
        <f t="shared" si="100"/>
        <v>20170510</v>
      </c>
      <c r="C3409" s="109">
        <v>2.0799999999999999E-2</v>
      </c>
      <c r="D3409" s="109">
        <v>7.0000000000000001E-3</v>
      </c>
      <c r="E3409" s="109">
        <v>0.01</v>
      </c>
      <c r="F3409" s="109">
        <v>1.0999999999999999E-2</v>
      </c>
      <c r="G3409" s="130">
        <v>0</v>
      </c>
      <c r="H3409" s="71">
        <v>8.5</v>
      </c>
      <c r="I3409" s="71">
        <v>11</v>
      </c>
      <c r="J3409" s="71">
        <v>13.5</v>
      </c>
      <c r="K3409" s="121">
        <v>6.8000000000000005E-3</v>
      </c>
      <c r="L3409" s="121">
        <v>-6.0000000000000001E-3</v>
      </c>
      <c r="M3409" s="75" t="s">
        <v>146</v>
      </c>
      <c r="N3409" s="75" t="b">
        <v>1</v>
      </c>
      <c r="O3409" s="75" t="s">
        <v>145</v>
      </c>
      <c r="P3409" s="75">
        <v>2014</v>
      </c>
      <c r="Q3409" s="107">
        <f t="shared" si="98"/>
        <v>2017</v>
      </c>
      <c r="R3409" s="107">
        <v>2</v>
      </c>
      <c r="S3409" s="43">
        <v>217050</v>
      </c>
      <c r="T3409" s="74">
        <v>42862</v>
      </c>
    </row>
    <row r="3410" spans="1:20" x14ac:dyDescent="0.3">
      <c r="A3410" s="42">
        <v>42866</v>
      </c>
      <c r="B3410" s="37">
        <f t="shared" si="100"/>
        <v>20170511</v>
      </c>
      <c r="C3410" s="109">
        <v>2.06E-2</v>
      </c>
      <c r="D3410" s="109">
        <v>7.0000000000000001E-3</v>
      </c>
      <c r="E3410" s="109">
        <v>0.01</v>
      </c>
      <c r="F3410" s="109">
        <v>1.0999999999999999E-2</v>
      </c>
      <c r="G3410" s="130">
        <v>0</v>
      </c>
      <c r="H3410" s="71">
        <v>8.5</v>
      </c>
      <c r="I3410" s="71">
        <v>11</v>
      </c>
      <c r="J3410" s="71">
        <v>13.5</v>
      </c>
      <c r="K3410" s="121">
        <v>6.4000000000000003E-3</v>
      </c>
      <c r="L3410" s="121">
        <v>-6.0000000000000001E-3</v>
      </c>
      <c r="M3410" s="75" t="s">
        <v>146</v>
      </c>
      <c r="N3410" s="75" t="b">
        <v>1</v>
      </c>
      <c r="O3410" s="75" t="s">
        <v>145</v>
      </c>
      <c r="P3410" s="75">
        <v>2014</v>
      </c>
      <c r="Q3410" s="107">
        <f t="shared" si="98"/>
        <v>2017</v>
      </c>
      <c r="R3410" s="107">
        <v>2</v>
      </c>
      <c r="S3410" s="43">
        <v>217050</v>
      </c>
      <c r="T3410" s="74">
        <v>42862</v>
      </c>
    </row>
    <row r="3411" spans="1:20" x14ac:dyDescent="0.3">
      <c r="A3411" s="42">
        <v>42867</v>
      </c>
      <c r="B3411" s="37">
        <f t="shared" si="100"/>
        <v>20170512</v>
      </c>
      <c r="C3411" s="109">
        <v>2.0400000000000001E-2</v>
      </c>
      <c r="D3411" s="109">
        <v>7.0000000000000001E-3</v>
      </c>
      <c r="E3411" s="109">
        <v>0.01</v>
      </c>
      <c r="F3411" s="109">
        <v>1.0999999999999999E-2</v>
      </c>
      <c r="G3411" s="130">
        <v>0</v>
      </c>
      <c r="H3411" s="71">
        <v>8.5</v>
      </c>
      <c r="I3411" s="71">
        <v>11</v>
      </c>
      <c r="J3411" s="71">
        <v>13.5</v>
      </c>
      <c r="K3411" s="121">
        <v>6.4000000000000003E-3</v>
      </c>
      <c r="L3411" s="121">
        <v>-6.0000000000000001E-3</v>
      </c>
      <c r="M3411" s="75" t="s">
        <v>146</v>
      </c>
      <c r="N3411" s="75" t="b">
        <v>1</v>
      </c>
      <c r="O3411" s="75" t="s">
        <v>145</v>
      </c>
      <c r="P3411" s="75">
        <v>2014</v>
      </c>
      <c r="Q3411" s="107">
        <f t="shared" si="98"/>
        <v>2017</v>
      </c>
      <c r="R3411" s="107">
        <v>2</v>
      </c>
      <c r="S3411" s="43">
        <v>217050</v>
      </c>
      <c r="T3411" s="74">
        <v>42862</v>
      </c>
    </row>
    <row r="3412" spans="1:20" x14ac:dyDescent="0.3">
      <c r="A3412" s="42">
        <v>42868</v>
      </c>
      <c r="B3412" s="37">
        <f t="shared" si="100"/>
        <v>20170513</v>
      </c>
      <c r="C3412" s="109">
        <v>2.0400000000000001E-2</v>
      </c>
      <c r="D3412" s="109">
        <v>7.0000000000000001E-3</v>
      </c>
      <c r="E3412" s="109">
        <v>0.01</v>
      </c>
      <c r="F3412" s="109">
        <v>1.0999999999999999E-2</v>
      </c>
      <c r="G3412" s="130">
        <v>0</v>
      </c>
      <c r="H3412" s="71">
        <v>8.5</v>
      </c>
      <c r="I3412" s="71">
        <v>11</v>
      </c>
      <c r="J3412" s="71">
        <v>13.5</v>
      </c>
      <c r="K3412" s="121">
        <v>6.4000000000000003E-3</v>
      </c>
      <c r="L3412" s="121">
        <v>-6.0000000000000001E-3</v>
      </c>
      <c r="M3412" s="75" t="s">
        <v>146</v>
      </c>
      <c r="N3412" s="75" t="b">
        <v>1</v>
      </c>
      <c r="O3412" s="75" t="s">
        <v>145</v>
      </c>
      <c r="P3412" s="75">
        <v>2014</v>
      </c>
      <c r="Q3412" s="107">
        <f t="shared" si="98"/>
        <v>2017</v>
      </c>
      <c r="R3412" s="107">
        <v>2</v>
      </c>
      <c r="S3412" s="43">
        <v>217050</v>
      </c>
      <c r="T3412" s="74">
        <v>42862</v>
      </c>
    </row>
    <row r="3413" spans="1:20" x14ac:dyDescent="0.3">
      <c r="A3413" s="42">
        <v>42869</v>
      </c>
      <c r="B3413" s="37">
        <f t="shared" si="100"/>
        <v>20170514</v>
      </c>
      <c r="C3413" s="109">
        <v>2.0400000000000001E-2</v>
      </c>
      <c r="D3413" s="109">
        <v>7.0000000000000001E-3</v>
      </c>
      <c r="E3413" s="109">
        <v>0.01</v>
      </c>
      <c r="F3413" s="109">
        <v>1.0999999999999999E-2</v>
      </c>
      <c r="G3413" s="130">
        <v>0</v>
      </c>
      <c r="H3413" s="71">
        <v>8.5</v>
      </c>
      <c r="I3413" s="71">
        <v>11</v>
      </c>
      <c r="J3413" s="71">
        <v>13.5</v>
      </c>
      <c r="K3413" s="121">
        <v>6.4000000000000003E-3</v>
      </c>
      <c r="L3413" s="121">
        <v>-6.0000000000000001E-3</v>
      </c>
      <c r="M3413" s="75" t="s">
        <v>146</v>
      </c>
      <c r="N3413" s="75" t="b">
        <v>1</v>
      </c>
      <c r="O3413" s="75" t="s">
        <v>145</v>
      </c>
      <c r="P3413" s="75">
        <v>2014</v>
      </c>
      <c r="Q3413" s="107">
        <f t="shared" si="98"/>
        <v>2017</v>
      </c>
      <c r="R3413" s="107">
        <v>2</v>
      </c>
      <c r="S3413" s="43">
        <v>217050</v>
      </c>
      <c r="T3413" s="74">
        <v>42862</v>
      </c>
    </row>
    <row r="3414" spans="1:20" x14ac:dyDescent="0.3">
      <c r="A3414" s="42">
        <v>42870</v>
      </c>
      <c r="B3414" s="37">
        <f t="shared" si="100"/>
        <v>20170515</v>
      </c>
      <c r="C3414" s="109">
        <v>2.0499999999999997E-2</v>
      </c>
      <c r="D3414" s="109">
        <v>7.0000000000000001E-3</v>
      </c>
      <c r="E3414" s="109">
        <v>0.01</v>
      </c>
      <c r="F3414" s="109">
        <v>1.0999999999999999E-2</v>
      </c>
      <c r="G3414" s="130">
        <v>0</v>
      </c>
      <c r="H3414" s="71">
        <v>8.5</v>
      </c>
      <c r="I3414" s="71">
        <v>11</v>
      </c>
      <c r="J3414" s="71">
        <v>13.5</v>
      </c>
      <c r="K3414" s="121">
        <v>6.6E-3</v>
      </c>
      <c r="L3414" s="121">
        <v>-6.0000000000000001E-3</v>
      </c>
      <c r="M3414" s="75" t="s">
        <v>146</v>
      </c>
      <c r="N3414" s="75" t="b">
        <v>1</v>
      </c>
      <c r="O3414" s="75" t="s">
        <v>145</v>
      </c>
      <c r="P3414" s="75">
        <v>2014</v>
      </c>
      <c r="Q3414" s="107">
        <f t="shared" si="98"/>
        <v>2017</v>
      </c>
      <c r="R3414" s="107">
        <v>2</v>
      </c>
      <c r="S3414" s="43">
        <v>217050</v>
      </c>
      <c r="T3414" s="74">
        <v>42862</v>
      </c>
    </row>
    <row r="3415" spans="1:20" x14ac:dyDescent="0.3">
      <c r="A3415" s="42">
        <v>42871</v>
      </c>
      <c r="B3415" s="37">
        <f t="shared" si="100"/>
        <v>20170516</v>
      </c>
      <c r="C3415" s="109">
        <v>2.0400000000000001E-2</v>
      </c>
      <c r="D3415" s="109">
        <v>7.0000000000000001E-3</v>
      </c>
      <c r="E3415" s="109">
        <v>0.01</v>
      </c>
      <c r="F3415" s="109">
        <v>1.0999999999999999E-2</v>
      </c>
      <c r="G3415" s="130">
        <v>0</v>
      </c>
      <c r="H3415" s="71">
        <v>8.5</v>
      </c>
      <c r="I3415" s="71">
        <v>11</v>
      </c>
      <c r="J3415" s="71">
        <v>13.5</v>
      </c>
      <c r="K3415" s="121">
        <v>6.4000000000000003E-3</v>
      </c>
      <c r="L3415" s="121">
        <v>-6.0000000000000001E-3</v>
      </c>
      <c r="M3415" s="75" t="s">
        <v>146</v>
      </c>
      <c r="N3415" s="75" t="b">
        <v>1</v>
      </c>
      <c r="O3415" s="75" t="s">
        <v>145</v>
      </c>
      <c r="P3415" s="75">
        <v>2014</v>
      </c>
      <c r="Q3415" s="107">
        <f t="shared" si="98"/>
        <v>2017</v>
      </c>
      <c r="R3415" s="107">
        <v>2</v>
      </c>
      <c r="S3415" s="43">
        <v>217050</v>
      </c>
      <c r="T3415" s="74">
        <v>42862</v>
      </c>
    </row>
    <row r="3416" spans="1:20" x14ac:dyDescent="0.3">
      <c r="A3416" s="42">
        <v>42872</v>
      </c>
      <c r="B3416" s="37">
        <f t="shared" si="100"/>
        <v>20170517</v>
      </c>
      <c r="C3416" s="109">
        <v>1.9199999999999998E-2</v>
      </c>
      <c r="D3416" s="109">
        <v>7.0000000000000001E-3</v>
      </c>
      <c r="E3416" s="109">
        <v>0.01</v>
      </c>
      <c r="F3416" s="109">
        <v>1.0999999999999999E-2</v>
      </c>
      <c r="G3416" s="130">
        <v>0</v>
      </c>
      <c r="H3416" s="71">
        <v>8.5</v>
      </c>
      <c r="I3416" s="71">
        <v>11</v>
      </c>
      <c r="J3416" s="71">
        <v>13.5</v>
      </c>
      <c r="K3416" s="121">
        <v>5.4000000000000003E-3</v>
      </c>
      <c r="L3416" s="121">
        <v>-6.0000000000000001E-3</v>
      </c>
      <c r="M3416" s="75" t="s">
        <v>146</v>
      </c>
      <c r="N3416" s="75" t="b">
        <v>1</v>
      </c>
      <c r="O3416" s="75" t="s">
        <v>145</v>
      </c>
      <c r="P3416" s="75">
        <v>2014</v>
      </c>
      <c r="Q3416" s="107">
        <f t="shared" si="98"/>
        <v>2017</v>
      </c>
      <c r="R3416" s="107">
        <v>2</v>
      </c>
      <c r="S3416" s="43">
        <v>217050</v>
      </c>
      <c r="T3416" s="74">
        <v>42862</v>
      </c>
    </row>
    <row r="3417" spans="1:20" x14ac:dyDescent="0.3">
      <c r="A3417" s="42">
        <v>42873</v>
      </c>
      <c r="B3417" s="37">
        <f t="shared" si="100"/>
        <v>20170518</v>
      </c>
      <c r="C3417" s="109">
        <v>1.9E-2</v>
      </c>
      <c r="D3417" s="109">
        <v>7.0000000000000001E-3</v>
      </c>
      <c r="E3417" s="109">
        <v>0.01</v>
      </c>
      <c r="F3417" s="109">
        <v>1.0999999999999999E-2</v>
      </c>
      <c r="G3417" s="130">
        <v>0</v>
      </c>
      <c r="H3417" s="71">
        <v>8.5</v>
      </c>
      <c r="I3417" s="71">
        <v>11</v>
      </c>
      <c r="J3417" s="71">
        <v>13.5</v>
      </c>
      <c r="K3417" s="121">
        <v>5.1000000000000004E-3</v>
      </c>
      <c r="L3417" s="121">
        <v>-6.0000000000000001E-3</v>
      </c>
      <c r="M3417" s="75" t="s">
        <v>146</v>
      </c>
      <c r="N3417" s="75" t="b">
        <v>1</v>
      </c>
      <c r="O3417" s="75" t="s">
        <v>145</v>
      </c>
      <c r="P3417" s="75">
        <v>2014</v>
      </c>
      <c r="Q3417" s="107">
        <f t="shared" si="98"/>
        <v>2017</v>
      </c>
      <c r="R3417" s="107">
        <v>2</v>
      </c>
      <c r="S3417" s="43">
        <v>217050</v>
      </c>
      <c r="T3417" s="74">
        <v>42862</v>
      </c>
    </row>
    <row r="3418" spans="1:20" x14ac:dyDescent="0.3">
      <c r="A3418" s="42">
        <v>42874</v>
      </c>
      <c r="B3418" s="37">
        <f t="shared" si="100"/>
        <v>20170519</v>
      </c>
      <c r="C3418" s="109">
        <v>1.9199999999999998E-2</v>
      </c>
      <c r="D3418" s="109">
        <v>7.0000000000000001E-3</v>
      </c>
      <c r="E3418" s="109">
        <v>0.01</v>
      </c>
      <c r="F3418" s="109">
        <v>1.0999999999999999E-2</v>
      </c>
      <c r="G3418" s="130">
        <v>0</v>
      </c>
      <c r="H3418" s="71">
        <v>8.5</v>
      </c>
      <c r="I3418" s="71">
        <v>11</v>
      </c>
      <c r="J3418" s="71">
        <v>13.5</v>
      </c>
      <c r="K3418" s="121">
        <v>5.3E-3</v>
      </c>
      <c r="L3418" s="121">
        <v>-6.0000000000000001E-3</v>
      </c>
      <c r="M3418" s="75" t="s">
        <v>146</v>
      </c>
      <c r="N3418" s="75" t="b">
        <v>1</v>
      </c>
      <c r="O3418" s="75" t="s">
        <v>145</v>
      </c>
      <c r="P3418" s="75">
        <v>2014</v>
      </c>
      <c r="Q3418" s="107">
        <f t="shared" si="98"/>
        <v>2017</v>
      </c>
      <c r="R3418" s="107">
        <v>2</v>
      </c>
      <c r="S3418" s="43">
        <v>217050</v>
      </c>
      <c r="T3418" s="74">
        <v>42862</v>
      </c>
    </row>
    <row r="3419" spans="1:20" x14ac:dyDescent="0.3">
      <c r="A3419" s="42">
        <v>42875</v>
      </c>
      <c r="B3419" s="37">
        <f t="shared" si="100"/>
        <v>20170520</v>
      </c>
      <c r="C3419" s="109">
        <v>1.9199999999999998E-2</v>
      </c>
      <c r="D3419" s="109">
        <v>7.0000000000000001E-3</v>
      </c>
      <c r="E3419" s="109">
        <v>0.01</v>
      </c>
      <c r="F3419" s="109">
        <v>1.0999999999999999E-2</v>
      </c>
      <c r="G3419" s="130">
        <v>0</v>
      </c>
      <c r="H3419" s="71">
        <v>8.5</v>
      </c>
      <c r="I3419" s="71">
        <v>11</v>
      </c>
      <c r="J3419" s="71">
        <v>13.5</v>
      </c>
      <c r="K3419" s="121">
        <v>5.3E-3</v>
      </c>
      <c r="L3419" s="121">
        <v>-6.0000000000000001E-3</v>
      </c>
      <c r="M3419" s="75" t="s">
        <v>146</v>
      </c>
      <c r="N3419" s="75" t="b">
        <v>1</v>
      </c>
      <c r="O3419" s="75" t="s">
        <v>145</v>
      </c>
      <c r="P3419" s="75">
        <v>2014</v>
      </c>
      <c r="Q3419" s="107">
        <f t="shared" si="98"/>
        <v>2017</v>
      </c>
      <c r="R3419" s="107">
        <v>2</v>
      </c>
      <c r="S3419" s="43">
        <v>217050</v>
      </c>
      <c r="T3419" s="74">
        <v>42862</v>
      </c>
    </row>
    <row r="3420" spans="1:20" x14ac:dyDescent="0.3">
      <c r="A3420" s="42">
        <v>42876</v>
      </c>
      <c r="B3420" s="37">
        <f t="shared" si="100"/>
        <v>20170521</v>
      </c>
      <c r="C3420" s="109">
        <v>1.9199999999999998E-2</v>
      </c>
      <c r="D3420" s="109">
        <v>7.0000000000000001E-3</v>
      </c>
      <c r="E3420" s="109">
        <v>0.01</v>
      </c>
      <c r="F3420" s="109">
        <v>1.0999999999999999E-2</v>
      </c>
      <c r="G3420" s="130">
        <v>0</v>
      </c>
      <c r="H3420" s="71">
        <v>8.5</v>
      </c>
      <c r="I3420" s="71">
        <v>11</v>
      </c>
      <c r="J3420" s="71">
        <v>13.5</v>
      </c>
      <c r="K3420" s="121">
        <v>5.3E-3</v>
      </c>
      <c r="L3420" s="121">
        <v>-6.0000000000000001E-3</v>
      </c>
      <c r="M3420" s="75" t="s">
        <v>146</v>
      </c>
      <c r="N3420" s="75" t="b">
        <v>1</v>
      </c>
      <c r="O3420" s="75" t="s">
        <v>145</v>
      </c>
      <c r="P3420" s="75">
        <v>2014</v>
      </c>
      <c r="Q3420" s="107">
        <f t="shared" si="98"/>
        <v>2017</v>
      </c>
      <c r="R3420" s="107">
        <v>2</v>
      </c>
      <c r="S3420" s="43">
        <v>217050</v>
      </c>
      <c r="T3420" s="74">
        <v>42862</v>
      </c>
    </row>
    <row r="3421" spans="1:20" x14ac:dyDescent="0.3">
      <c r="A3421" s="42">
        <v>42877</v>
      </c>
      <c r="B3421" s="37">
        <f t="shared" si="100"/>
        <v>20170522</v>
      </c>
      <c r="C3421" s="109">
        <v>1.9199999999999998E-2</v>
      </c>
      <c r="D3421" s="109">
        <v>7.0000000000000001E-3</v>
      </c>
      <c r="E3421" s="109">
        <v>0.01</v>
      </c>
      <c r="F3421" s="109">
        <v>1.0999999999999999E-2</v>
      </c>
      <c r="G3421" s="130">
        <v>0</v>
      </c>
      <c r="H3421" s="71">
        <v>8.5</v>
      </c>
      <c r="I3421" s="71">
        <v>11</v>
      </c>
      <c r="J3421" s="71">
        <v>13.5</v>
      </c>
      <c r="K3421" s="121">
        <v>5.3E-3</v>
      </c>
      <c r="L3421" s="121">
        <v>-6.0000000000000001E-3</v>
      </c>
      <c r="M3421" s="75" t="s">
        <v>146</v>
      </c>
      <c r="N3421" s="75" t="b">
        <v>1</v>
      </c>
      <c r="O3421" s="75" t="s">
        <v>145</v>
      </c>
      <c r="P3421" s="75">
        <v>2014</v>
      </c>
      <c r="Q3421" s="107">
        <f t="shared" si="98"/>
        <v>2017</v>
      </c>
      <c r="R3421" s="107">
        <v>2</v>
      </c>
      <c r="S3421" s="43">
        <v>217050</v>
      </c>
      <c r="T3421" s="74">
        <v>42862</v>
      </c>
    </row>
    <row r="3422" spans="1:20" x14ac:dyDescent="0.3">
      <c r="A3422" s="42">
        <v>42878</v>
      </c>
      <c r="B3422" s="37">
        <f t="shared" si="100"/>
        <v>20170523</v>
      </c>
      <c r="C3422" s="109">
        <v>1.95E-2</v>
      </c>
      <c r="D3422" s="109">
        <v>7.0000000000000001E-3</v>
      </c>
      <c r="E3422" s="109">
        <v>0.01</v>
      </c>
      <c r="F3422" s="109">
        <v>1.0999999999999999E-2</v>
      </c>
      <c r="G3422" s="130">
        <v>0</v>
      </c>
      <c r="H3422" s="71">
        <v>8.5</v>
      </c>
      <c r="I3422" s="71">
        <v>11</v>
      </c>
      <c r="J3422" s="71">
        <v>13.5</v>
      </c>
      <c r="K3422" s="121">
        <v>5.5000000000000005E-3</v>
      </c>
      <c r="L3422" s="121">
        <v>-6.0000000000000001E-3</v>
      </c>
      <c r="M3422" s="75" t="s">
        <v>146</v>
      </c>
      <c r="N3422" s="75" t="b">
        <v>1</v>
      </c>
      <c r="O3422" s="75" t="s">
        <v>145</v>
      </c>
      <c r="P3422" s="75">
        <v>2014</v>
      </c>
      <c r="Q3422" s="107">
        <f t="shared" si="98"/>
        <v>2017</v>
      </c>
      <c r="R3422" s="107">
        <v>2</v>
      </c>
      <c r="S3422" s="43">
        <v>217050</v>
      </c>
      <c r="T3422" s="74">
        <v>42862</v>
      </c>
    </row>
    <row r="3423" spans="1:20" x14ac:dyDescent="0.3">
      <c r="A3423" s="42">
        <v>42879</v>
      </c>
      <c r="B3423" s="37">
        <f t="shared" si="100"/>
        <v>20170524</v>
      </c>
      <c r="C3423" s="109">
        <v>1.9400000000000001E-2</v>
      </c>
      <c r="D3423" s="109">
        <v>7.0000000000000001E-3</v>
      </c>
      <c r="E3423" s="109">
        <v>0.01</v>
      </c>
      <c r="F3423" s="109">
        <v>1.0999999999999999E-2</v>
      </c>
      <c r="G3423" s="130">
        <v>0</v>
      </c>
      <c r="H3423" s="71">
        <v>8.5</v>
      </c>
      <c r="I3423" s="71">
        <v>11</v>
      </c>
      <c r="J3423" s="71">
        <v>13.5</v>
      </c>
      <c r="K3423" s="121">
        <v>5.3E-3</v>
      </c>
      <c r="L3423" s="121">
        <v>-6.0000000000000001E-3</v>
      </c>
      <c r="M3423" s="75" t="s">
        <v>146</v>
      </c>
      <c r="N3423" s="75" t="b">
        <v>1</v>
      </c>
      <c r="O3423" s="75" t="s">
        <v>145</v>
      </c>
      <c r="P3423" s="75">
        <v>2014</v>
      </c>
      <c r="Q3423" s="107">
        <f t="shared" si="98"/>
        <v>2017</v>
      </c>
      <c r="R3423" s="107">
        <v>2</v>
      </c>
      <c r="S3423" s="43">
        <v>217050</v>
      </c>
      <c r="T3423" s="74">
        <v>42862</v>
      </c>
    </row>
    <row r="3424" spans="1:20" x14ac:dyDescent="0.3">
      <c r="A3424" s="42">
        <v>42880</v>
      </c>
      <c r="B3424" s="37">
        <f t="shared" si="100"/>
        <v>20170525</v>
      </c>
      <c r="C3424" s="109">
        <v>1.9099999999999999E-2</v>
      </c>
      <c r="D3424" s="109">
        <v>7.0000000000000001E-3</v>
      </c>
      <c r="E3424" s="109">
        <v>0.01</v>
      </c>
      <c r="F3424" s="109">
        <v>1.0999999999999999E-2</v>
      </c>
      <c r="G3424" s="130">
        <v>0</v>
      </c>
      <c r="H3424" s="71">
        <v>8.5</v>
      </c>
      <c r="I3424" s="71">
        <v>11</v>
      </c>
      <c r="J3424" s="71">
        <v>13.5</v>
      </c>
      <c r="K3424" s="121">
        <v>5.0000000000000001E-3</v>
      </c>
      <c r="L3424" s="121">
        <v>-6.0000000000000001E-3</v>
      </c>
      <c r="M3424" s="75" t="s">
        <v>146</v>
      </c>
      <c r="N3424" s="75" t="b">
        <v>1</v>
      </c>
      <c r="O3424" s="75" t="s">
        <v>145</v>
      </c>
      <c r="P3424" s="75">
        <v>2014</v>
      </c>
      <c r="Q3424" s="107">
        <f t="shared" si="98"/>
        <v>2017</v>
      </c>
      <c r="R3424" s="107">
        <v>2</v>
      </c>
      <c r="S3424" s="43">
        <v>217050</v>
      </c>
      <c r="T3424" s="74">
        <v>42862</v>
      </c>
    </row>
    <row r="3425" spans="1:20" x14ac:dyDescent="0.3">
      <c r="A3425" s="42">
        <v>42881</v>
      </c>
      <c r="B3425" s="37">
        <f t="shared" si="100"/>
        <v>20170526</v>
      </c>
      <c r="C3425" s="109">
        <v>1.89E-2</v>
      </c>
      <c r="D3425" s="109">
        <v>7.0000000000000001E-3</v>
      </c>
      <c r="E3425" s="109">
        <v>0.01</v>
      </c>
      <c r="F3425" s="109">
        <v>1.0999999999999999E-2</v>
      </c>
      <c r="G3425" s="130">
        <v>0</v>
      </c>
      <c r="H3425" s="71">
        <v>8.5</v>
      </c>
      <c r="I3425" s="71">
        <v>11</v>
      </c>
      <c r="J3425" s="71">
        <v>13.5</v>
      </c>
      <c r="K3425" s="121">
        <v>4.7999999999999996E-3</v>
      </c>
      <c r="L3425" s="121">
        <v>-6.0000000000000001E-3</v>
      </c>
      <c r="M3425" s="75" t="s">
        <v>146</v>
      </c>
      <c r="N3425" s="75" t="b">
        <v>1</v>
      </c>
      <c r="O3425" s="75" t="s">
        <v>145</v>
      </c>
      <c r="P3425" s="75">
        <v>2014</v>
      </c>
      <c r="Q3425" s="107">
        <f t="shared" si="98"/>
        <v>2017</v>
      </c>
      <c r="R3425" s="107">
        <v>2</v>
      </c>
      <c r="S3425" s="43">
        <v>217050</v>
      </c>
      <c r="T3425" s="74">
        <v>42862</v>
      </c>
    </row>
    <row r="3426" spans="1:20" x14ac:dyDescent="0.3">
      <c r="A3426" s="42">
        <v>42882</v>
      </c>
      <c r="B3426" s="37">
        <f t="shared" si="100"/>
        <v>20170527</v>
      </c>
      <c r="C3426" s="109">
        <v>1.89E-2</v>
      </c>
      <c r="D3426" s="109">
        <v>7.0000000000000001E-3</v>
      </c>
      <c r="E3426" s="109">
        <v>0.01</v>
      </c>
      <c r="F3426" s="109">
        <v>1.0999999999999999E-2</v>
      </c>
      <c r="G3426" s="130">
        <v>0</v>
      </c>
      <c r="H3426" s="71">
        <v>8.5</v>
      </c>
      <c r="I3426" s="71">
        <v>11</v>
      </c>
      <c r="J3426" s="71">
        <v>13.5</v>
      </c>
      <c r="K3426" s="121">
        <v>4.7999999999999996E-3</v>
      </c>
      <c r="L3426" s="121">
        <v>-6.0000000000000001E-3</v>
      </c>
      <c r="M3426" s="75" t="s">
        <v>146</v>
      </c>
      <c r="N3426" s="75" t="b">
        <v>1</v>
      </c>
      <c r="O3426" s="75" t="s">
        <v>145</v>
      </c>
      <c r="P3426" s="75">
        <v>2014</v>
      </c>
      <c r="Q3426" s="107">
        <f t="shared" si="98"/>
        <v>2017</v>
      </c>
      <c r="R3426" s="107">
        <v>2</v>
      </c>
      <c r="S3426" s="43">
        <v>217050</v>
      </c>
      <c r="T3426" s="74">
        <v>42862</v>
      </c>
    </row>
    <row r="3427" spans="1:20" x14ac:dyDescent="0.3">
      <c r="A3427" s="42">
        <v>42883</v>
      </c>
      <c r="B3427" s="37">
        <f t="shared" si="100"/>
        <v>20170528</v>
      </c>
      <c r="C3427" s="109">
        <v>1.89E-2</v>
      </c>
      <c r="D3427" s="109">
        <v>7.0000000000000001E-3</v>
      </c>
      <c r="E3427" s="109">
        <v>0.01</v>
      </c>
      <c r="F3427" s="109">
        <v>1.0999999999999999E-2</v>
      </c>
      <c r="G3427" s="130">
        <v>0</v>
      </c>
      <c r="H3427" s="71">
        <v>8.5</v>
      </c>
      <c r="I3427" s="71">
        <v>11</v>
      </c>
      <c r="J3427" s="71">
        <v>13.5</v>
      </c>
      <c r="K3427" s="121">
        <v>4.7999999999999996E-3</v>
      </c>
      <c r="L3427" s="121">
        <v>-6.0000000000000001E-3</v>
      </c>
      <c r="M3427" s="75" t="s">
        <v>146</v>
      </c>
      <c r="N3427" s="75" t="b">
        <v>1</v>
      </c>
      <c r="O3427" s="75" t="s">
        <v>145</v>
      </c>
      <c r="P3427" s="75">
        <v>2014</v>
      </c>
      <c r="Q3427" s="107">
        <f t="shared" si="98"/>
        <v>2017</v>
      </c>
      <c r="R3427" s="107">
        <v>2</v>
      </c>
      <c r="S3427" s="43">
        <v>217050</v>
      </c>
      <c r="T3427" s="74">
        <v>42862</v>
      </c>
    </row>
    <row r="3428" spans="1:20" x14ac:dyDescent="0.3">
      <c r="A3428" s="42">
        <v>42884</v>
      </c>
      <c r="B3428" s="37">
        <f t="shared" si="100"/>
        <v>20170529</v>
      </c>
      <c r="C3428" s="109">
        <v>1.8600000000000002E-2</v>
      </c>
      <c r="D3428" s="109">
        <v>7.0000000000000001E-3</v>
      </c>
      <c r="E3428" s="109">
        <v>0.01</v>
      </c>
      <c r="F3428" s="109">
        <v>1.0999999999999999E-2</v>
      </c>
      <c r="G3428" s="130">
        <v>0</v>
      </c>
      <c r="H3428" s="71">
        <v>8.5</v>
      </c>
      <c r="I3428" s="71">
        <v>11</v>
      </c>
      <c r="J3428" s="71">
        <v>13.5</v>
      </c>
      <c r="K3428" s="121">
        <v>4.5000000000000005E-3</v>
      </c>
      <c r="L3428" s="121">
        <v>-6.0000000000000001E-3</v>
      </c>
      <c r="M3428" s="75" t="s">
        <v>146</v>
      </c>
      <c r="N3428" s="75" t="b">
        <v>1</v>
      </c>
      <c r="O3428" s="75" t="s">
        <v>145</v>
      </c>
      <c r="P3428" s="75">
        <v>2014</v>
      </c>
      <c r="Q3428" s="107">
        <f t="shared" si="98"/>
        <v>2017</v>
      </c>
      <c r="R3428" s="107">
        <v>2</v>
      </c>
      <c r="S3428" s="43">
        <v>217050</v>
      </c>
      <c r="T3428" s="74">
        <v>42862</v>
      </c>
    </row>
    <row r="3429" spans="1:20" x14ac:dyDescent="0.3">
      <c r="A3429" s="42">
        <v>42885</v>
      </c>
      <c r="B3429" s="37">
        <f t="shared" si="100"/>
        <v>20170530</v>
      </c>
      <c r="C3429" s="109">
        <v>1.8799999999999997E-2</v>
      </c>
      <c r="D3429" s="109">
        <v>7.0000000000000001E-3</v>
      </c>
      <c r="E3429" s="109">
        <v>0.01</v>
      </c>
      <c r="F3429" s="109">
        <v>1.0999999999999999E-2</v>
      </c>
      <c r="G3429" s="130">
        <v>0</v>
      </c>
      <c r="H3429" s="71">
        <v>8.5</v>
      </c>
      <c r="I3429" s="71">
        <v>11</v>
      </c>
      <c r="J3429" s="71">
        <v>13.5</v>
      </c>
      <c r="K3429" s="121">
        <v>4.6999999999999993E-3</v>
      </c>
      <c r="L3429" s="121">
        <v>-6.0000000000000001E-3</v>
      </c>
      <c r="M3429" s="75" t="s">
        <v>146</v>
      </c>
      <c r="N3429" s="75" t="b">
        <v>1</v>
      </c>
      <c r="O3429" s="75" t="s">
        <v>145</v>
      </c>
      <c r="P3429" s="75">
        <v>2014</v>
      </c>
      <c r="Q3429" s="107">
        <f t="shared" si="98"/>
        <v>2017</v>
      </c>
      <c r="R3429" s="107">
        <v>2</v>
      </c>
      <c r="S3429" s="43">
        <v>217050</v>
      </c>
      <c r="T3429" s="74">
        <v>42862</v>
      </c>
    </row>
    <row r="3430" spans="1:20" x14ac:dyDescent="0.3">
      <c r="A3430" s="42">
        <v>42886</v>
      </c>
      <c r="B3430" s="37">
        <f>YEAR(A3430)*10000+MONTH(A3430)*100+DAY(A3430)</f>
        <v>20170531</v>
      </c>
      <c r="C3430" s="109">
        <v>1.8700000000000001E-2</v>
      </c>
      <c r="D3430" s="109">
        <v>7.0000000000000001E-3</v>
      </c>
      <c r="E3430" s="109">
        <v>0.01</v>
      </c>
      <c r="F3430" s="109">
        <v>1.0999999999999999E-2</v>
      </c>
      <c r="G3430" s="130">
        <v>0</v>
      </c>
      <c r="H3430" s="71">
        <v>8.5</v>
      </c>
      <c r="I3430" s="71">
        <v>11</v>
      </c>
      <c r="J3430" s="71">
        <v>13.5</v>
      </c>
      <c r="K3430" s="121">
        <v>4.8999999999999998E-3</v>
      </c>
      <c r="L3430" s="121">
        <v>-6.0000000000000001E-3</v>
      </c>
      <c r="M3430" s="75" t="s">
        <v>146</v>
      </c>
      <c r="N3430" s="75" t="b">
        <v>1</v>
      </c>
      <c r="O3430" s="75" t="s">
        <v>145</v>
      </c>
      <c r="P3430" s="75">
        <v>2014</v>
      </c>
      <c r="Q3430" s="107">
        <f t="shared" si="98"/>
        <v>2017</v>
      </c>
      <c r="R3430" s="107">
        <v>2</v>
      </c>
      <c r="S3430" s="43">
        <v>217050</v>
      </c>
      <c r="T3430" s="74">
        <v>42862</v>
      </c>
    </row>
    <row r="3431" spans="1:20" x14ac:dyDescent="0.3">
      <c r="A3431" s="42">
        <v>42887</v>
      </c>
      <c r="B3431" s="37">
        <f>YEAR(A3431)*10000+MONTH(A3431)*100+DAY(A3431)</f>
        <v>20170601</v>
      </c>
      <c r="C3431" s="109">
        <v>1.8700000000000001E-2</v>
      </c>
      <c r="D3431" s="109">
        <v>7.0000000000000001E-3</v>
      </c>
      <c r="E3431" s="109">
        <v>0.01</v>
      </c>
      <c r="F3431" s="109">
        <v>1.0999999999999999E-2</v>
      </c>
      <c r="G3431" s="130">
        <v>0</v>
      </c>
      <c r="H3431" s="71">
        <v>8.5</v>
      </c>
      <c r="I3431" s="71">
        <v>11</v>
      </c>
      <c r="J3431" s="71">
        <v>13.5</v>
      </c>
      <c r="K3431" s="121">
        <v>4.7999999999999996E-3</v>
      </c>
      <c r="L3431" s="121">
        <v>-6.0000000000000001E-3</v>
      </c>
      <c r="M3431" s="75" t="s">
        <v>146</v>
      </c>
      <c r="N3431" s="75" t="b">
        <v>1</v>
      </c>
      <c r="O3431" s="75" t="s">
        <v>145</v>
      </c>
      <c r="P3431" s="75">
        <v>2014</v>
      </c>
      <c r="Q3431" s="107">
        <f t="shared" si="98"/>
        <v>2017</v>
      </c>
      <c r="R3431" s="107">
        <v>2</v>
      </c>
      <c r="S3431" s="43">
        <v>217050</v>
      </c>
      <c r="T3431" s="74">
        <v>42862</v>
      </c>
    </row>
    <row r="3432" spans="1:20" x14ac:dyDescent="0.3">
      <c r="A3432" s="42">
        <v>42888</v>
      </c>
      <c r="B3432" s="37">
        <f t="shared" ref="B3432:B3488" si="101">YEAR(A3432)*10000+MONTH(A3432)*100+DAY(A3432)</f>
        <v>20170602</v>
      </c>
      <c r="C3432" s="109">
        <v>1.9099999999999999E-2</v>
      </c>
      <c r="D3432" s="109">
        <v>7.0000000000000001E-3</v>
      </c>
      <c r="E3432" s="109">
        <v>0.01</v>
      </c>
      <c r="F3432" s="109">
        <v>1.0999999999999999E-2</v>
      </c>
      <c r="G3432" s="130">
        <v>0</v>
      </c>
      <c r="H3432" s="71">
        <v>8.5</v>
      </c>
      <c r="I3432" s="71">
        <v>11</v>
      </c>
      <c r="J3432" s="71">
        <v>13.5</v>
      </c>
      <c r="K3432" s="121">
        <v>4.4000000000000003E-3</v>
      </c>
      <c r="L3432" s="121">
        <v>-6.0000000000000001E-3</v>
      </c>
      <c r="M3432" s="75" t="s">
        <v>146</v>
      </c>
      <c r="N3432" s="75" t="b">
        <v>1</v>
      </c>
      <c r="O3432" s="75" t="s">
        <v>145</v>
      </c>
      <c r="P3432" s="75">
        <v>2014</v>
      </c>
      <c r="Q3432" s="107">
        <f t="shared" si="98"/>
        <v>2017</v>
      </c>
      <c r="R3432" s="107">
        <v>2</v>
      </c>
      <c r="S3432" s="43">
        <v>217050</v>
      </c>
      <c r="T3432" s="74">
        <v>42862</v>
      </c>
    </row>
    <row r="3433" spans="1:20" x14ac:dyDescent="0.3">
      <c r="A3433" s="42">
        <v>42889</v>
      </c>
      <c r="B3433" s="37">
        <f>YEAR(A3433)*10000+MONTH(A3433)*100+DAY(A3433)</f>
        <v>20170603</v>
      </c>
      <c r="C3433" s="109">
        <v>1.9099999999999999E-2</v>
      </c>
      <c r="D3433" s="109">
        <v>7.0000000000000001E-3</v>
      </c>
      <c r="E3433" s="109">
        <v>0.01</v>
      </c>
      <c r="F3433" s="109">
        <v>1.0999999999999999E-2</v>
      </c>
      <c r="G3433" s="130">
        <v>0</v>
      </c>
      <c r="H3433" s="71">
        <v>8.5</v>
      </c>
      <c r="I3433" s="71">
        <v>11</v>
      </c>
      <c r="J3433" s="71">
        <v>13.5</v>
      </c>
      <c r="K3433" s="121">
        <v>4.4000000000000003E-3</v>
      </c>
      <c r="L3433" s="121">
        <v>-6.0000000000000001E-3</v>
      </c>
      <c r="M3433" s="75" t="s">
        <v>146</v>
      </c>
      <c r="N3433" s="75" t="b">
        <v>1</v>
      </c>
      <c r="O3433" s="75" t="s">
        <v>145</v>
      </c>
      <c r="P3433" s="75">
        <v>2014</v>
      </c>
      <c r="Q3433" s="107">
        <f t="shared" si="98"/>
        <v>2017</v>
      </c>
      <c r="R3433" s="107">
        <v>2</v>
      </c>
      <c r="S3433" s="43">
        <v>217050</v>
      </c>
      <c r="T3433" s="74">
        <v>42862</v>
      </c>
    </row>
    <row r="3434" spans="1:20" x14ac:dyDescent="0.3">
      <c r="A3434" s="42">
        <v>42890</v>
      </c>
      <c r="B3434" s="37">
        <f t="shared" si="101"/>
        <v>20170604</v>
      </c>
      <c r="C3434" s="109">
        <v>1.9099999999999999E-2</v>
      </c>
      <c r="D3434" s="109">
        <v>7.0000000000000001E-3</v>
      </c>
      <c r="E3434" s="109">
        <v>0.01</v>
      </c>
      <c r="F3434" s="109">
        <v>1.0999999999999999E-2</v>
      </c>
      <c r="G3434" s="130">
        <v>0</v>
      </c>
      <c r="H3434" s="71">
        <v>8.5</v>
      </c>
      <c r="I3434" s="71">
        <v>11</v>
      </c>
      <c r="J3434" s="71">
        <v>13.5</v>
      </c>
      <c r="K3434" s="121">
        <v>4.4000000000000003E-3</v>
      </c>
      <c r="L3434" s="121">
        <v>-6.0000000000000001E-3</v>
      </c>
      <c r="M3434" s="75" t="s">
        <v>146</v>
      </c>
      <c r="N3434" s="75" t="b">
        <v>1</v>
      </c>
      <c r="O3434" s="75" t="s">
        <v>145</v>
      </c>
      <c r="P3434" s="75">
        <v>2014</v>
      </c>
      <c r="Q3434" s="107">
        <f t="shared" si="98"/>
        <v>2017</v>
      </c>
      <c r="R3434" s="107">
        <v>2</v>
      </c>
      <c r="S3434" s="43">
        <v>217050</v>
      </c>
      <c r="T3434" s="74">
        <v>42862</v>
      </c>
    </row>
    <row r="3435" spans="1:20" x14ac:dyDescent="0.3">
      <c r="A3435" s="42">
        <v>42891</v>
      </c>
      <c r="B3435" s="37">
        <f t="shared" si="101"/>
        <v>20170605</v>
      </c>
      <c r="C3435" s="109">
        <v>1.9299999999999998E-2</v>
      </c>
      <c r="D3435" s="109">
        <v>7.0000000000000001E-3</v>
      </c>
      <c r="E3435" s="109">
        <v>0.01</v>
      </c>
      <c r="F3435" s="109">
        <v>1.0999999999999999E-2</v>
      </c>
      <c r="G3435" s="130">
        <v>0</v>
      </c>
      <c r="H3435" s="71">
        <v>8.5</v>
      </c>
      <c r="I3435" s="71">
        <v>11</v>
      </c>
      <c r="J3435" s="71">
        <v>13.5</v>
      </c>
      <c r="K3435" s="121">
        <v>4.5999999999999999E-3</v>
      </c>
      <c r="L3435" s="121">
        <v>-6.0000000000000001E-3</v>
      </c>
      <c r="M3435" s="75" t="s">
        <v>146</v>
      </c>
      <c r="N3435" s="75" t="b">
        <v>1</v>
      </c>
      <c r="O3435" s="75" t="s">
        <v>145</v>
      </c>
      <c r="P3435" s="75">
        <v>2014</v>
      </c>
      <c r="Q3435" s="107">
        <f t="shared" si="98"/>
        <v>2017</v>
      </c>
      <c r="R3435" s="107">
        <v>2</v>
      </c>
      <c r="S3435" s="43">
        <v>217050</v>
      </c>
      <c r="T3435" s="74">
        <v>42862</v>
      </c>
    </row>
    <row r="3436" spans="1:20" x14ac:dyDescent="0.3">
      <c r="A3436" s="42">
        <v>42892</v>
      </c>
      <c r="B3436" s="37">
        <f t="shared" si="101"/>
        <v>20170606</v>
      </c>
      <c r="C3436" s="109">
        <v>1.9099999999999999E-2</v>
      </c>
      <c r="D3436" s="109">
        <v>7.0000000000000001E-3</v>
      </c>
      <c r="E3436" s="109">
        <v>0.01</v>
      </c>
      <c r="F3436" s="109">
        <v>1.0999999999999999E-2</v>
      </c>
      <c r="G3436" s="130">
        <v>0</v>
      </c>
      <c r="H3436" s="71">
        <v>8.5</v>
      </c>
      <c r="I3436" s="71">
        <v>11</v>
      </c>
      <c r="J3436" s="71">
        <v>13.5</v>
      </c>
      <c r="K3436" s="121">
        <v>4.4000000000000003E-3</v>
      </c>
      <c r="L3436" s="121">
        <v>-6.0000000000000001E-3</v>
      </c>
      <c r="M3436" s="75" t="s">
        <v>146</v>
      </c>
      <c r="N3436" s="75" t="b">
        <v>1</v>
      </c>
      <c r="O3436" s="75" t="s">
        <v>145</v>
      </c>
      <c r="P3436" s="75">
        <v>2014</v>
      </c>
      <c r="Q3436" s="107">
        <f t="shared" si="98"/>
        <v>2017</v>
      </c>
      <c r="R3436" s="107">
        <v>2</v>
      </c>
      <c r="S3436" s="43">
        <v>217050</v>
      </c>
      <c r="T3436" s="74">
        <v>42862</v>
      </c>
    </row>
    <row r="3437" spans="1:20" x14ac:dyDescent="0.3">
      <c r="A3437" s="42">
        <v>42893</v>
      </c>
      <c r="B3437" s="37">
        <f t="shared" si="101"/>
        <v>20170607</v>
      </c>
      <c r="C3437" s="109">
        <v>1.9199999999999998E-2</v>
      </c>
      <c r="D3437" s="109">
        <v>7.0000000000000001E-3</v>
      </c>
      <c r="E3437" s="109">
        <v>0.01</v>
      </c>
      <c r="F3437" s="109">
        <v>1.0999999999999999E-2</v>
      </c>
      <c r="G3437" s="130">
        <v>0</v>
      </c>
      <c r="H3437" s="71">
        <v>8.5</v>
      </c>
      <c r="I3437" s="71">
        <v>11</v>
      </c>
      <c r="J3437" s="71">
        <v>13.5</v>
      </c>
      <c r="K3437" s="121">
        <v>4.5999999999999999E-3</v>
      </c>
      <c r="L3437" s="121">
        <v>-6.0000000000000001E-3</v>
      </c>
      <c r="M3437" s="75" t="s">
        <v>146</v>
      </c>
      <c r="N3437" s="75" t="b">
        <v>1</v>
      </c>
      <c r="O3437" s="75" t="s">
        <v>145</v>
      </c>
      <c r="P3437" s="75">
        <v>2014</v>
      </c>
      <c r="Q3437" s="107">
        <f t="shared" si="98"/>
        <v>2017</v>
      </c>
      <c r="R3437" s="107">
        <v>2</v>
      </c>
      <c r="S3437" s="43">
        <v>217050</v>
      </c>
      <c r="T3437" s="74">
        <v>42862</v>
      </c>
    </row>
    <row r="3438" spans="1:20" x14ac:dyDescent="0.3">
      <c r="A3438" s="42">
        <v>42894</v>
      </c>
      <c r="B3438" s="37">
        <f t="shared" si="101"/>
        <v>20170608</v>
      </c>
      <c r="C3438" s="109">
        <v>1.9400000000000001E-2</v>
      </c>
      <c r="D3438" s="109">
        <v>7.0000000000000001E-3</v>
      </c>
      <c r="E3438" s="109">
        <v>0.01</v>
      </c>
      <c r="F3438" s="109">
        <v>1.0999999999999999E-2</v>
      </c>
      <c r="G3438" s="130">
        <v>0</v>
      </c>
      <c r="H3438" s="71">
        <v>8.5</v>
      </c>
      <c r="I3438" s="71">
        <v>11</v>
      </c>
      <c r="J3438" s="71">
        <v>13.5</v>
      </c>
      <c r="K3438" s="121">
        <v>4.7999999999999996E-3</v>
      </c>
      <c r="L3438" s="121">
        <v>-6.0000000000000001E-3</v>
      </c>
      <c r="M3438" s="75" t="s">
        <v>146</v>
      </c>
      <c r="N3438" s="75" t="b">
        <v>1</v>
      </c>
      <c r="O3438" s="75" t="s">
        <v>145</v>
      </c>
      <c r="P3438" s="75">
        <v>2014</v>
      </c>
      <c r="Q3438" s="107">
        <f t="shared" ref="Q3438:Q3501" si="102">YEAR(A3438)</f>
        <v>2017</v>
      </c>
      <c r="R3438" s="107">
        <v>2</v>
      </c>
      <c r="S3438" s="43">
        <v>217050</v>
      </c>
      <c r="T3438" s="74">
        <v>42862</v>
      </c>
    </row>
    <row r="3439" spans="1:20" x14ac:dyDescent="0.3">
      <c r="A3439" s="42">
        <v>42895</v>
      </c>
      <c r="B3439" s="37">
        <f t="shared" si="101"/>
        <v>20170609</v>
      </c>
      <c r="C3439" s="109">
        <v>1.9400000000000001E-2</v>
      </c>
      <c r="D3439" s="109">
        <v>7.0000000000000001E-3</v>
      </c>
      <c r="E3439" s="109">
        <v>0.01</v>
      </c>
      <c r="F3439" s="109">
        <v>1.0999999999999999E-2</v>
      </c>
      <c r="G3439" s="130">
        <v>0</v>
      </c>
      <c r="H3439" s="71">
        <v>8.5</v>
      </c>
      <c r="I3439" s="71">
        <v>11</v>
      </c>
      <c r="J3439" s="71">
        <v>13.5</v>
      </c>
      <c r="K3439" s="121">
        <v>4.7999999999999996E-3</v>
      </c>
      <c r="L3439" s="121">
        <v>-6.0000000000000001E-3</v>
      </c>
      <c r="M3439" s="75" t="s">
        <v>146</v>
      </c>
      <c r="N3439" s="75" t="b">
        <v>1</v>
      </c>
      <c r="O3439" s="75" t="s">
        <v>145</v>
      </c>
      <c r="P3439" s="75">
        <v>2014</v>
      </c>
      <c r="Q3439" s="107">
        <f t="shared" si="102"/>
        <v>2017</v>
      </c>
      <c r="R3439" s="107">
        <v>2</v>
      </c>
      <c r="S3439" s="43">
        <v>217050</v>
      </c>
      <c r="T3439" s="74">
        <v>42862</v>
      </c>
    </row>
    <row r="3440" spans="1:20" x14ac:dyDescent="0.3">
      <c r="A3440" s="42">
        <v>42896</v>
      </c>
      <c r="B3440" s="37">
        <f t="shared" si="101"/>
        <v>20170610</v>
      </c>
      <c r="C3440" s="109">
        <v>1.9400000000000001E-2</v>
      </c>
      <c r="D3440" s="109">
        <v>7.0000000000000001E-3</v>
      </c>
      <c r="E3440" s="109">
        <v>0.01</v>
      </c>
      <c r="F3440" s="109">
        <v>1.0999999999999999E-2</v>
      </c>
      <c r="G3440" s="130">
        <v>0</v>
      </c>
      <c r="H3440" s="71">
        <v>8.5</v>
      </c>
      <c r="I3440" s="71">
        <v>11</v>
      </c>
      <c r="J3440" s="71">
        <v>13.5</v>
      </c>
      <c r="K3440" s="121">
        <v>4.7999999999999996E-3</v>
      </c>
      <c r="L3440" s="121">
        <v>-6.0000000000000001E-3</v>
      </c>
      <c r="M3440" s="75" t="s">
        <v>146</v>
      </c>
      <c r="N3440" s="75" t="b">
        <v>1</v>
      </c>
      <c r="O3440" s="75" t="s">
        <v>145</v>
      </c>
      <c r="P3440" s="75">
        <v>2014</v>
      </c>
      <c r="Q3440" s="107">
        <f t="shared" si="102"/>
        <v>2017</v>
      </c>
      <c r="R3440" s="107">
        <v>2</v>
      </c>
      <c r="S3440" s="43">
        <v>217050</v>
      </c>
      <c r="T3440" s="74">
        <v>42862</v>
      </c>
    </row>
    <row r="3441" spans="1:20" x14ac:dyDescent="0.3">
      <c r="A3441" s="42">
        <v>42897</v>
      </c>
      <c r="B3441" s="37">
        <f t="shared" si="101"/>
        <v>20170611</v>
      </c>
      <c r="C3441" s="109">
        <v>1.9400000000000001E-2</v>
      </c>
      <c r="D3441" s="109">
        <v>7.0000000000000001E-3</v>
      </c>
      <c r="E3441" s="109">
        <v>0.01</v>
      </c>
      <c r="F3441" s="109">
        <v>1.0999999999999999E-2</v>
      </c>
      <c r="G3441" s="130">
        <v>0</v>
      </c>
      <c r="H3441" s="71">
        <v>8.5</v>
      </c>
      <c r="I3441" s="71">
        <v>11</v>
      </c>
      <c r="J3441" s="71">
        <v>13.5</v>
      </c>
      <c r="K3441" s="121">
        <v>4.7999999999999996E-3</v>
      </c>
      <c r="L3441" s="121">
        <v>-6.0000000000000001E-3</v>
      </c>
      <c r="M3441" s="75" t="s">
        <v>146</v>
      </c>
      <c r="N3441" s="75" t="b">
        <v>1</v>
      </c>
      <c r="O3441" s="75" t="s">
        <v>145</v>
      </c>
      <c r="P3441" s="75">
        <v>2014</v>
      </c>
      <c r="Q3441" s="107">
        <f t="shared" si="102"/>
        <v>2017</v>
      </c>
      <c r="R3441" s="107">
        <v>2</v>
      </c>
      <c r="S3441" s="43">
        <v>217050</v>
      </c>
      <c r="T3441" s="74">
        <v>42862</v>
      </c>
    </row>
    <row r="3442" spans="1:20" x14ac:dyDescent="0.3">
      <c r="A3442" s="42">
        <v>42898</v>
      </c>
      <c r="B3442" s="37">
        <f t="shared" si="101"/>
        <v>20170612</v>
      </c>
      <c r="C3442" s="109">
        <v>1.9799999999999998E-2</v>
      </c>
      <c r="D3442" s="109">
        <v>7.0000000000000001E-3</v>
      </c>
      <c r="E3442" s="109">
        <v>0.01</v>
      </c>
      <c r="F3442" s="109">
        <v>1.0999999999999999E-2</v>
      </c>
      <c r="G3442" s="130">
        <v>0</v>
      </c>
      <c r="H3442" s="71">
        <v>8.5</v>
      </c>
      <c r="I3442" s="71">
        <v>11</v>
      </c>
      <c r="J3442" s="71">
        <v>13.5</v>
      </c>
      <c r="K3442" s="121">
        <v>5.3E-3</v>
      </c>
      <c r="L3442" s="121">
        <v>-6.0000000000000001E-3</v>
      </c>
      <c r="M3442" s="75" t="s">
        <v>146</v>
      </c>
      <c r="N3442" s="75" t="b">
        <v>1</v>
      </c>
      <c r="O3442" s="75" t="s">
        <v>145</v>
      </c>
      <c r="P3442" s="75">
        <v>2014</v>
      </c>
      <c r="Q3442" s="107">
        <f t="shared" si="102"/>
        <v>2017</v>
      </c>
      <c r="R3442" s="107">
        <v>2</v>
      </c>
      <c r="S3442" s="43">
        <v>217050</v>
      </c>
      <c r="T3442" s="74">
        <v>42862</v>
      </c>
    </row>
    <row r="3443" spans="1:20" x14ac:dyDescent="0.3">
      <c r="A3443" s="42">
        <v>42899</v>
      </c>
      <c r="B3443" s="37">
        <f t="shared" si="101"/>
        <v>20170613</v>
      </c>
      <c r="C3443" s="109">
        <v>2.0199999999999999E-2</v>
      </c>
      <c r="D3443" s="109">
        <v>7.0000000000000001E-3</v>
      </c>
      <c r="E3443" s="109">
        <v>0.01</v>
      </c>
      <c r="F3443" s="109">
        <v>1.0999999999999999E-2</v>
      </c>
      <c r="G3443" s="130">
        <v>0</v>
      </c>
      <c r="H3443" s="71">
        <v>8.5</v>
      </c>
      <c r="I3443" s="71">
        <v>11</v>
      </c>
      <c r="J3443" s="71">
        <v>13.5</v>
      </c>
      <c r="K3443" s="121">
        <v>6.0000000000000001E-3</v>
      </c>
      <c r="L3443" s="121">
        <v>-6.0000000000000001E-3</v>
      </c>
      <c r="M3443" s="75" t="s">
        <v>146</v>
      </c>
      <c r="N3443" s="75" t="b">
        <v>1</v>
      </c>
      <c r="O3443" s="75" t="s">
        <v>145</v>
      </c>
      <c r="P3443" s="75">
        <v>2014</v>
      </c>
      <c r="Q3443" s="107">
        <f t="shared" si="102"/>
        <v>2017</v>
      </c>
      <c r="R3443" s="107">
        <v>2</v>
      </c>
      <c r="S3443" s="43">
        <v>217050</v>
      </c>
      <c r="T3443" s="74">
        <v>42862</v>
      </c>
    </row>
    <row r="3444" spans="1:20" x14ac:dyDescent="0.3">
      <c r="A3444" s="42">
        <v>42900</v>
      </c>
      <c r="B3444" s="37">
        <f t="shared" si="101"/>
        <v>20170614</v>
      </c>
      <c r="C3444" s="109">
        <v>1.9599999999999999E-2</v>
      </c>
      <c r="D3444" s="109">
        <v>7.0000000000000001E-3</v>
      </c>
      <c r="E3444" s="109">
        <v>0.01</v>
      </c>
      <c r="F3444" s="109">
        <v>1.0999999999999999E-2</v>
      </c>
      <c r="G3444" s="130">
        <v>0</v>
      </c>
      <c r="H3444" s="71">
        <v>8.5</v>
      </c>
      <c r="I3444" s="71">
        <v>11</v>
      </c>
      <c r="J3444" s="71">
        <v>13.5</v>
      </c>
      <c r="K3444" s="121">
        <v>5.6000000000000008E-3</v>
      </c>
      <c r="L3444" s="121">
        <v>-6.0000000000000001E-3</v>
      </c>
      <c r="M3444" s="75" t="s">
        <v>146</v>
      </c>
      <c r="N3444" s="75" t="b">
        <v>1</v>
      </c>
      <c r="O3444" s="75" t="s">
        <v>145</v>
      </c>
      <c r="P3444" s="75">
        <v>2014</v>
      </c>
      <c r="Q3444" s="107">
        <f t="shared" si="102"/>
        <v>2017</v>
      </c>
      <c r="R3444" s="107">
        <v>2</v>
      </c>
      <c r="S3444" s="43">
        <v>217050</v>
      </c>
      <c r="T3444" s="74">
        <v>42862</v>
      </c>
    </row>
    <row r="3445" spans="1:20" x14ac:dyDescent="0.3">
      <c r="A3445" s="42">
        <v>42901</v>
      </c>
      <c r="B3445" s="37">
        <f t="shared" si="101"/>
        <v>20170615</v>
      </c>
      <c r="C3445" s="109">
        <v>1.9699999999999999E-2</v>
      </c>
      <c r="D3445" s="109">
        <v>7.0000000000000001E-3</v>
      </c>
      <c r="E3445" s="109">
        <v>0.01</v>
      </c>
      <c r="F3445" s="109">
        <v>1.0999999999999999E-2</v>
      </c>
      <c r="G3445" s="130">
        <v>0</v>
      </c>
      <c r="H3445" s="71">
        <v>8.5</v>
      </c>
      <c r="I3445" s="71">
        <v>11</v>
      </c>
      <c r="J3445" s="71">
        <v>13.5</v>
      </c>
      <c r="K3445" s="121">
        <v>5.8999999999999999E-3</v>
      </c>
      <c r="L3445" s="121">
        <v>-6.0000000000000001E-3</v>
      </c>
      <c r="M3445" s="75" t="s">
        <v>146</v>
      </c>
      <c r="N3445" s="75" t="b">
        <v>1</v>
      </c>
      <c r="O3445" s="75" t="s">
        <v>145</v>
      </c>
      <c r="P3445" s="75">
        <v>2014</v>
      </c>
      <c r="Q3445" s="107">
        <f t="shared" si="102"/>
        <v>2017</v>
      </c>
      <c r="R3445" s="107">
        <v>2</v>
      </c>
      <c r="S3445" s="43">
        <v>217050</v>
      </c>
      <c r="T3445" s="74">
        <v>42862</v>
      </c>
    </row>
    <row r="3446" spans="1:20" x14ac:dyDescent="0.3">
      <c r="A3446" s="42">
        <v>42902</v>
      </c>
      <c r="B3446" s="37">
        <f t="shared" si="101"/>
        <v>20170616</v>
      </c>
      <c r="C3446" s="109">
        <v>1.9599999999999999E-2</v>
      </c>
      <c r="D3446" s="109">
        <v>7.0000000000000001E-3</v>
      </c>
      <c r="E3446" s="109">
        <v>0.01</v>
      </c>
      <c r="F3446" s="109">
        <v>1.0999999999999999E-2</v>
      </c>
      <c r="G3446" s="130">
        <v>0</v>
      </c>
      <c r="H3446" s="71">
        <v>8.5</v>
      </c>
      <c r="I3446" s="71">
        <v>11</v>
      </c>
      <c r="J3446" s="71">
        <v>13.5</v>
      </c>
      <c r="K3446" s="121">
        <v>5.7999999999999996E-3</v>
      </c>
      <c r="L3446" s="121">
        <v>-6.0000000000000001E-3</v>
      </c>
      <c r="M3446" s="75" t="s">
        <v>146</v>
      </c>
      <c r="N3446" s="75" t="b">
        <v>1</v>
      </c>
      <c r="O3446" s="75" t="s">
        <v>145</v>
      </c>
      <c r="P3446" s="75">
        <v>2014</v>
      </c>
      <c r="Q3446" s="107">
        <f t="shared" si="102"/>
        <v>2017</v>
      </c>
      <c r="R3446" s="107">
        <v>2</v>
      </c>
      <c r="S3446" s="43">
        <v>217050</v>
      </c>
      <c r="T3446" s="74">
        <v>42862</v>
      </c>
    </row>
    <row r="3447" spans="1:20" x14ac:dyDescent="0.3">
      <c r="A3447" s="42">
        <v>42903</v>
      </c>
      <c r="B3447" s="37">
        <f t="shared" si="101"/>
        <v>20170617</v>
      </c>
      <c r="C3447" s="109">
        <v>1.9599999999999999E-2</v>
      </c>
      <c r="D3447" s="109">
        <v>7.0000000000000001E-3</v>
      </c>
      <c r="E3447" s="109">
        <v>0.01</v>
      </c>
      <c r="F3447" s="109">
        <v>1.0999999999999999E-2</v>
      </c>
      <c r="G3447" s="130">
        <v>0</v>
      </c>
      <c r="H3447" s="71">
        <v>8.5</v>
      </c>
      <c r="I3447" s="71">
        <v>11</v>
      </c>
      <c r="J3447" s="71">
        <v>13.5</v>
      </c>
      <c r="K3447" s="121">
        <v>5.7999999999999996E-3</v>
      </c>
      <c r="L3447" s="121">
        <v>-6.0000000000000001E-3</v>
      </c>
      <c r="M3447" s="75" t="s">
        <v>146</v>
      </c>
      <c r="N3447" s="75" t="b">
        <v>1</v>
      </c>
      <c r="O3447" s="75" t="s">
        <v>145</v>
      </c>
      <c r="P3447" s="75">
        <v>2014</v>
      </c>
      <c r="Q3447" s="107">
        <f t="shared" si="102"/>
        <v>2017</v>
      </c>
      <c r="R3447" s="107">
        <v>2</v>
      </c>
      <c r="S3447" s="43">
        <v>217050</v>
      </c>
      <c r="T3447" s="74">
        <v>42862</v>
      </c>
    </row>
    <row r="3448" spans="1:20" x14ac:dyDescent="0.3">
      <c r="A3448" s="42">
        <v>42904</v>
      </c>
      <c r="B3448" s="37">
        <f t="shared" si="101"/>
        <v>20170618</v>
      </c>
      <c r="C3448" s="109">
        <v>1.9599999999999999E-2</v>
      </c>
      <c r="D3448" s="109">
        <v>7.0000000000000001E-3</v>
      </c>
      <c r="E3448" s="109">
        <v>0.01</v>
      </c>
      <c r="F3448" s="109">
        <v>1.0999999999999999E-2</v>
      </c>
      <c r="G3448" s="130">
        <v>0</v>
      </c>
      <c r="H3448" s="71">
        <v>8.5</v>
      </c>
      <c r="I3448" s="71">
        <v>11</v>
      </c>
      <c r="J3448" s="71">
        <v>13.5</v>
      </c>
      <c r="K3448" s="121">
        <v>5.7999999999999996E-3</v>
      </c>
      <c r="L3448" s="121">
        <v>-6.0000000000000001E-3</v>
      </c>
      <c r="M3448" s="75" t="s">
        <v>146</v>
      </c>
      <c r="N3448" s="75" t="b">
        <v>1</v>
      </c>
      <c r="O3448" s="75" t="s">
        <v>145</v>
      </c>
      <c r="P3448" s="75">
        <v>2014</v>
      </c>
      <c r="Q3448" s="107">
        <f t="shared" si="102"/>
        <v>2017</v>
      </c>
      <c r="R3448" s="107">
        <v>2</v>
      </c>
      <c r="S3448" s="43">
        <v>217050</v>
      </c>
      <c r="T3448" s="74">
        <v>42862</v>
      </c>
    </row>
    <row r="3449" spans="1:20" x14ac:dyDescent="0.3">
      <c r="A3449" s="42">
        <v>42905</v>
      </c>
      <c r="B3449" s="37">
        <f t="shared" si="101"/>
        <v>20170619</v>
      </c>
      <c r="C3449" s="109">
        <v>1.9599999999999999E-2</v>
      </c>
      <c r="D3449" s="109">
        <v>7.0000000000000001E-3</v>
      </c>
      <c r="E3449" s="109">
        <v>0.01</v>
      </c>
      <c r="F3449" s="109">
        <v>1.0999999999999999E-2</v>
      </c>
      <c r="G3449" s="130">
        <v>0</v>
      </c>
      <c r="H3449" s="71">
        <v>8.5</v>
      </c>
      <c r="I3449" s="71">
        <v>11</v>
      </c>
      <c r="J3449" s="71">
        <v>13.5</v>
      </c>
      <c r="K3449" s="121">
        <v>5.7999999999999996E-3</v>
      </c>
      <c r="L3449" s="121">
        <v>-6.0000000000000001E-3</v>
      </c>
      <c r="M3449" s="75" t="s">
        <v>146</v>
      </c>
      <c r="N3449" s="75" t="b">
        <v>1</v>
      </c>
      <c r="O3449" s="75" t="s">
        <v>145</v>
      </c>
      <c r="P3449" s="75">
        <v>2014</v>
      </c>
      <c r="Q3449" s="107">
        <f t="shared" si="102"/>
        <v>2017</v>
      </c>
      <c r="R3449" s="107">
        <v>2</v>
      </c>
      <c r="S3449" s="43">
        <v>217050</v>
      </c>
      <c r="T3449" s="74">
        <v>42862</v>
      </c>
    </row>
    <row r="3450" spans="1:20" x14ac:dyDescent="0.3">
      <c r="A3450" s="42">
        <v>42906</v>
      </c>
      <c r="B3450" s="37">
        <f t="shared" si="101"/>
        <v>20170620</v>
      </c>
      <c r="C3450" s="109">
        <v>1.9299999999999998E-2</v>
      </c>
      <c r="D3450" s="109">
        <v>7.0000000000000001E-3</v>
      </c>
      <c r="E3450" s="109">
        <v>0.01</v>
      </c>
      <c r="F3450" s="109">
        <v>1.0999999999999999E-2</v>
      </c>
      <c r="G3450" s="130">
        <v>0</v>
      </c>
      <c r="H3450" s="71">
        <v>8.5</v>
      </c>
      <c r="I3450" s="71">
        <v>11</v>
      </c>
      <c r="J3450" s="71">
        <v>13.5</v>
      </c>
      <c r="K3450" s="121">
        <v>5.6000000000000008E-3</v>
      </c>
      <c r="L3450" s="121">
        <v>-6.0000000000000001E-3</v>
      </c>
      <c r="M3450" s="75" t="s">
        <v>146</v>
      </c>
      <c r="N3450" s="75" t="b">
        <v>1</v>
      </c>
      <c r="O3450" s="75" t="s">
        <v>145</v>
      </c>
      <c r="P3450" s="75">
        <v>2014</v>
      </c>
      <c r="Q3450" s="107">
        <f t="shared" si="102"/>
        <v>2017</v>
      </c>
      <c r="R3450" s="107">
        <v>2</v>
      </c>
      <c r="S3450" s="43">
        <v>217050</v>
      </c>
      <c r="T3450" s="74">
        <v>42862</v>
      </c>
    </row>
    <row r="3451" spans="1:20" x14ac:dyDescent="0.3">
      <c r="A3451" s="42">
        <v>42907</v>
      </c>
      <c r="B3451" s="37">
        <f t="shared" si="101"/>
        <v>20170621</v>
      </c>
      <c r="C3451" s="109">
        <v>1.9199999999999998E-2</v>
      </c>
      <c r="D3451" s="109">
        <v>7.0000000000000001E-3</v>
      </c>
      <c r="E3451" s="109">
        <v>0.01</v>
      </c>
      <c r="F3451" s="109">
        <v>1.0999999999999999E-2</v>
      </c>
      <c r="G3451" s="130">
        <v>0</v>
      </c>
      <c r="H3451" s="71">
        <v>8.5</v>
      </c>
      <c r="I3451" s="71">
        <v>11</v>
      </c>
      <c r="J3451" s="71">
        <v>13.5</v>
      </c>
      <c r="K3451" s="121">
        <v>5.5000000000000005E-3</v>
      </c>
      <c r="L3451" s="121">
        <v>-6.0000000000000001E-3</v>
      </c>
      <c r="M3451" s="75" t="s">
        <v>146</v>
      </c>
      <c r="N3451" s="75" t="b">
        <v>1</v>
      </c>
      <c r="O3451" s="75" t="s">
        <v>145</v>
      </c>
      <c r="P3451" s="75">
        <v>2014</v>
      </c>
      <c r="Q3451" s="107">
        <f t="shared" si="102"/>
        <v>2017</v>
      </c>
      <c r="R3451" s="107">
        <v>2</v>
      </c>
      <c r="S3451" s="43">
        <v>217050</v>
      </c>
      <c r="T3451" s="74">
        <v>42862</v>
      </c>
    </row>
    <row r="3452" spans="1:20" x14ac:dyDescent="0.3">
      <c r="A3452" s="42">
        <v>42908</v>
      </c>
      <c r="B3452" s="37">
        <f t="shared" si="101"/>
        <v>20170622</v>
      </c>
      <c r="C3452" s="109">
        <v>1.9099999999999999E-2</v>
      </c>
      <c r="D3452" s="109">
        <v>7.0000000000000001E-3</v>
      </c>
      <c r="E3452" s="109">
        <v>0.01</v>
      </c>
      <c r="F3452" s="109">
        <v>1.0999999999999999E-2</v>
      </c>
      <c r="G3452" s="130">
        <v>0</v>
      </c>
      <c r="H3452" s="71">
        <v>8.5</v>
      </c>
      <c r="I3452" s="71">
        <v>11</v>
      </c>
      <c r="J3452" s="71">
        <v>13.5</v>
      </c>
      <c r="K3452" s="121">
        <v>5.5000000000000005E-3</v>
      </c>
      <c r="L3452" s="121">
        <v>-6.0000000000000001E-3</v>
      </c>
      <c r="M3452" s="75" t="s">
        <v>146</v>
      </c>
      <c r="N3452" s="75" t="b">
        <v>1</v>
      </c>
      <c r="O3452" s="75" t="s">
        <v>145</v>
      </c>
      <c r="P3452" s="75">
        <v>2014</v>
      </c>
      <c r="Q3452" s="107">
        <f t="shared" si="102"/>
        <v>2017</v>
      </c>
      <c r="R3452" s="107">
        <v>2</v>
      </c>
      <c r="S3452" s="43">
        <v>217050</v>
      </c>
      <c r="T3452" s="74">
        <v>42862</v>
      </c>
    </row>
    <row r="3453" spans="1:20" x14ac:dyDescent="0.3">
      <c r="A3453" s="42">
        <v>42909</v>
      </c>
      <c r="B3453" s="37">
        <f t="shared" si="101"/>
        <v>20170623</v>
      </c>
      <c r="C3453" s="109">
        <v>1.9E-2</v>
      </c>
      <c r="D3453" s="109">
        <v>7.0000000000000001E-3</v>
      </c>
      <c r="E3453" s="109">
        <v>0.01</v>
      </c>
      <c r="F3453" s="109">
        <v>1.0999999999999999E-2</v>
      </c>
      <c r="G3453" s="130">
        <v>0</v>
      </c>
      <c r="H3453" s="71">
        <v>8.5</v>
      </c>
      <c r="I3453" s="71">
        <v>11</v>
      </c>
      <c r="J3453" s="71">
        <v>13.5</v>
      </c>
      <c r="K3453" s="121">
        <v>5.4000000000000003E-3</v>
      </c>
      <c r="L3453" s="121">
        <v>-6.0000000000000001E-3</v>
      </c>
      <c r="M3453" s="75" t="s">
        <v>146</v>
      </c>
      <c r="N3453" s="75" t="b">
        <v>1</v>
      </c>
      <c r="O3453" s="75" t="s">
        <v>145</v>
      </c>
      <c r="P3453" s="75">
        <v>2014</v>
      </c>
      <c r="Q3453" s="107">
        <f t="shared" si="102"/>
        <v>2017</v>
      </c>
      <c r="R3453" s="107">
        <v>2</v>
      </c>
      <c r="S3453" s="43">
        <v>217050</v>
      </c>
      <c r="T3453" s="74">
        <v>42862</v>
      </c>
    </row>
    <row r="3454" spans="1:20" x14ac:dyDescent="0.3">
      <c r="A3454" s="42">
        <v>42910</v>
      </c>
      <c r="B3454" s="37">
        <f t="shared" si="101"/>
        <v>20170624</v>
      </c>
      <c r="C3454" s="109">
        <v>1.9E-2</v>
      </c>
      <c r="D3454" s="109">
        <v>7.0000000000000001E-3</v>
      </c>
      <c r="E3454" s="109">
        <v>0.01</v>
      </c>
      <c r="F3454" s="109">
        <v>1.0999999999999999E-2</v>
      </c>
      <c r="G3454" s="130">
        <v>0</v>
      </c>
      <c r="H3454" s="71">
        <v>8.5</v>
      </c>
      <c r="I3454" s="71">
        <v>11</v>
      </c>
      <c r="J3454" s="71">
        <v>13.5</v>
      </c>
      <c r="K3454" s="121">
        <v>5.4000000000000003E-3</v>
      </c>
      <c r="L3454" s="121">
        <v>-6.0000000000000001E-3</v>
      </c>
      <c r="M3454" s="75" t="s">
        <v>146</v>
      </c>
      <c r="N3454" s="75" t="b">
        <v>1</v>
      </c>
      <c r="O3454" s="75" t="s">
        <v>145</v>
      </c>
      <c r="P3454" s="75">
        <v>2014</v>
      </c>
      <c r="Q3454" s="107">
        <f t="shared" si="102"/>
        <v>2017</v>
      </c>
      <c r="R3454" s="107">
        <v>2</v>
      </c>
      <c r="S3454" s="43">
        <v>217050</v>
      </c>
      <c r="T3454" s="74">
        <v>42862</v>
      </c>
    </row>
    <row r="3455" spans="1:20" x14ac:dyDescent="0.3">
      <c r="A3455" s="42">
        <v>42911</v>
      </c>
      <c r="B3455" s="37">
        <f t="shared" si="101"/>
        <v>20170625</v>
      </c>
      <c r="C3455" s="109">
        <v>1.9E-2</v>
      </c>
      <c r="D3455" s="109">
        <v>7.0000000000000001E-3</v>
      </c>
      <c r="E3455" s="109">
        <v>0.01</v>
      </c>
      <c r="F3455" s="109">
        <v>1.0999999999999999E-2</v>
      </c>
      <c r="G3455" s="130">
        <v>0</v>
      </c>
      <c r="H3455" s="71">
        <v>8.5</v>
      </c>
      <c r="I3455" s="71">
        <v>11</v>
      </c>
      <c r="J3455" s="71">
        <v>13.5</v>
      </c>
      <c r="K3455" s="121">
        <v>5.4000000000000003E-3</v>
      </c>
      <c r="L3455" s="121">
        <v>-6.0000000000000001E-3</v>
      </c>
      <c r="M3455" s="75" t="s">
        <v>146</v>
      </c>
      <c r="N3455" s="75" t="b">
        <v>1</v>
      </c>
      <c r="O3455" s="75" t="s">
        <v>145</v>
      </c>
      <c r="P3455" s="75">
        <v>2014</v>
      </c>
      <c r="Q3455" s="107">
        <f t="shared" si="102"/>
        <v>2017</v>
      </c>
      <c r="R3455" s="107">
        <v>2</v>
      </c>
      <c r="S3455" s="43">
        <v>217050</v>
      </c>
      <c r="T3455" s="74">
        <v>42862</v>
      </c>
    </row>
    <row r="3456" spans="1:20" x14ac:dyDescent="0.3">
      <c r="A3456" s="42">
        <v>42912</v>
      </c>
      <c r="B3456" s="37">
        <f t="shared" si="101"/>
        <v>20170626</v>
      </c>
      <c r="C3456" s="109">
        <v>1.8799999999999997E-2</v>
      </c>
      <c r="D3456" s="109">
        <v>7.0000000000000001E-3</v>
      </c>
      <c r="E3456" s="109">
        <v>0.01</v>
      </c>
      <c r="F3456" s="109">
        <v>1.0999999999999999E-2</v>
      </c>
      <c r="G3456" s="130">
        <v>0</v>
      </c>
      <c r="H3456" s="71">
        <v>8.5</v>
      </c>
      <c r="I3456" s="71">
        <v>11</v>
      </c>
      <c r="J3456" s="71">
        <v>13.5</v>
      </c>
      <c r="K3456" s="121">
        <v>5.4000000000000003E-3</v>
      </c>
      <c r="L3456" s="121">
        <v>-6.0000000000000001E-3</v>
      </c>
      <c r="M3456" s="75" t="s">
        <v>146</v>
      </c>
      <c r="N3456" s="75" t="b">
        <v>1</v>
      </c>
      <c r="O3456" s="75" t="s">
        <v>145</v>
      </c>
      <c r="P3456" s="75">
        <v>2014</v>
      </c>
      <c r="Q3456" s="107">
        <f t="shared" si="102"/>
        <v>2017</v>
      </c>
      <c r="R3456" s="107">
        <v>2</v>
      </c>
      <c r="S3456" s="43">
        <v>217050</v>
      </c>
      <c r="T3456" s="74">
        <v>42862</v>
      </c>
    </row>
    <row r="3457" spans="1:21" x14ac:dyDescent="0.3">
      <c r="A3457" s="42">
        <v>42913</v>
      </c>
      <c r="B3457" s="37">
        <f t="shared" si="101"/>
        <v>20170627</v>
      </c>
      <c r="C3457" s="109">
        <v>1.9599999999999999E-2</v>
      </c>
      <c r="D3457" s="109">
        <v>7.0000000000000001E-3</v>
      </c>
      <c r="E3457" s="109">
        <v>0.01</v>
      </c>
      <c r="F3457" s="109">
        <v>1.0999999999999999E-2</v>
      </c>
      <c r="G3457" s="130">
        <v>0</v>
      </c>
      <c r="H3457" s="71">
        <v>8.5</v>
      </c>
      <c r="I3457" s="71">
        <v>11</v>
      </c>
      <c r="J3457" s="71">
        <v>13.5</v>
      </c>
      <c r="K3457" s="121">
        <v>5.8999999999999999E-3</v>
      </c>
      <c r="L3457" s="121">
        <v>-6.0000000000000001E-3</v>
      </c>
      <c r="M3457" s="75" t="s">
        <v>146</v>
      </c>
      <c r="N3457" s="75" t="b">
        <v>1</v>
      </c>
      <c r="O3457" s="75" t="s">
        <v>145</v>
      </c>
      <c r="P3457" s="75">
        <v>2014</v>
      </c>
      <c r="Q3457" s="107">
        <f t="shared" si="102"/>
        <v>2017</v>
      </c>
      <c r="R3457" s="107">
        <v>2</v>
      </c>
      <c r="S3457" s="43">
        <v>217050</v>
      </c>
      <c r="T3457" s="74">
        <v>42862</v>
      </c>
    </row>
    <row r="3458" spans="1:21" x14ac:dyDescent="0.3">
      <c r="A3458" s="42">
        <v>42914</v>
      </c>
      <c r="B3458" s="37">
        <f t="shared" si="101"/>
        <v>20170628</v>
      </c>
      <c r="C3458" s="109">
        <v>1.9900000000000001E-2</v>
      </c>
      <c r="D3458" s="109">
        <v>7.0000000000000001E-3</v>
      </c>
      <c r="E3458" s="109">
        <v>0.01</v>
      </c>
      <c r="F3458" s="109">
        <v>1.0999999999999999E-2</v>
      </c>
      <c r="G3458" s="130">
        <v>0</v>
      </c>
      <c r="H3458" s="71">
        <v>8.5</v>
      </c>
      <c r="I3458" s="71">
        <v>11</v>
      </c>
      <c r="J3458" s="71">
        <v>13.5</v>
      </c>
      <c r="K3458" s="121">
        <v>5.7999999999999996E-3</v>
      </c>
      <c r="L3458" s="121">
        <v>-6.0000000000000001E-3</v>
      </c>
      <c r="M3458" s="75" t="s">
        <v>146</v>
      </c>
      <c r="N3458" s="75" t="b">
        <v>1</v>
      </c>
      <c r="O3458" s="75" t="s">
        <v>145</v>
      </c>
      <c r="P3458" s="75">
        <v>2014</v>
      </c>
      <c r="Q3458" s="107">
        <f t="shared" si="102"/>
        <v>2017</v>
      </c>
      <c r="R3458" s="107">
        <v>2</v>
      </c>
      <c r="S3458" s="43">
        <v>217050</v>
      </c>
      <c r="T3458" s="74">
        <v>42862</v>
      </c>
    </row>
    <row r="3459" spans="1:21" x14ac:dyDescent="0.3">
      <c r="A3459" s="42">
        <v>42915</v>
      </c>
      <c r="B3459" s="37">
        <f t="shared" si="101"/>
        <v>20170629</v>
      </c>
      <c r="C3459" s="109">
        <v>2.0499999999999997E-2</v>
      </c>
      <c r="D3459" s="109">
        <v>7.0000000000000001E-3</v>
      </c>
      <c r="E3459" s="109">
        <v>0.01</v>
      </c>
      <c r="F3459" s="109">
        <v>1.0999999999999999E-2</v>
      </c>
      <c r="G3459" s="130">
        <v>0</v>
      </c>
      <c r="H3459" s="71">
        <v>8.5</v>
      </c>
      <c r="I3459" s="71">
        <v>11</v>
      </c>
      <c r="J3459" s="71">
        <v>13.5</v>
      </c>
      <c r="K3459" s="121">
        <v>6.0999999999999995E-3</v>
      </c>
      <c r="L3459" s="121">
        <v>-6.0000000000000001E-3</v>
      </c>
      <c r="M3459" s="75" t="s">
        <v>146</v>
      </c>
      <c r="N3459" s="75" t="b">
        <v>1</v>
      </c>
      <c r="O3459" s="75" t="s">
        <v>145</v>
      </c>
      <c r="P3459" s="75">
        <v>2014</v>
      </c>
      <c r="Q3459" s="107">
        <f t="shared" si="102"/>
        <v>2017</v>
      </c>
      <c r="R3459" s="107">
        <v>2</v>
      </c>
      <c r="S3459" s="43">
        <v>217050</v>
      </c>
      <c r="T3459" s="74">
        <v>42862</v>
      </c>
    </row>
    <row r="3460" spans="1:21" s="116" customFormat="1" x14ac:dyDescent="0.3">
      <c r="A3460" s="110">
        <v>42916</v>
      </c>
      <c r="B3460" s="132">
        <f t="shared" si="101"/>
        <v>20170630</v>
      </c>
      <c r="C3460" s="111">
        <v>2.07E-2</v>
      </c>
      <c r="D3460" s="120">
        <v>6.0000000000000001E-3</v>
      </c>
      <c r="E3460" s="120">
        <v>8.0000000000000002E-3</v>
      </c>
      <c r="F3460" s="120">
        <v>8.9999999999999993E-3</v>
      </c>
      <c r="G3460" s="133">
        <v>0</v>
      </c>
      <c r="H3460" s="124">
        <v>8.6</v>
      </c>
      <c r="I3460" s="124">
        <v>11.2</v>
      </c>
      <c r="J3460" s="124">
        <v>13.8</v>
      </c>
      <c r="K3460" s="131">
        <v>5.7999999999999996E-3</v>
      </c>
      <c r="L3460" s="125">
        <v>-7.0000000000000001E-3</v>
      </c>
      <c r="M3460" s="98" t="s">
        <v>146</v>
      </c>
      <c r="N3460" s="98" t="b">
        <v>1</v>
      </c>
      <c r="O3460" s="98" t="s">
        <v>145</v>
      </c>
      <c r="P3460" s="98">
        <v>2014</v>
      </c>
      <c r="Q3460" s="105">
        <f t="shared" si="102"/>
        <v>2017</v>
      </c>
      <c r="R3460" s="105">
        <v>2</v>
      </c>
      <c r="S3460" s="114">
        <v>217084</v>
      </c>
      <c r="T3460" s="115">
        <v>42956</v>
      </c>
      <c r="U3460" s="98" t="s">
        <v>176</v>
      </c>
    </row>
    <row r="3461" spans="1:21" x14ac:dyDescent="0.3">
      <c r="A3461" s="42">
        <v>42917</v>
      </c>
      <c r="B3461" s="37">
        <f>YEAR(A3461)*10000+MONTH(A3461)*100+DAY(A3461)</f>
        <v>20170701</v>
      </c>
      <c r="C3461" s="109">
        <v>2.07E-2</v>
      </c>
      <c r="D3461" s="109">
        <v>6.0000000000000001E-3</v>
      </c>
      <c r="E3461" s="109">
        <v>8.0000000000000002E-3</v>
      </c>
      <c r="F3461" s="109">
        <v>8.9999999999999993E-3</v>
      </c>
      <c r="G3461" s="130">
        <v>0</v>
      </c>
      <c r="H3461" s="71">
        <v>8.6</v>
      </c>
      <c r="I3461" s="71">
        <v>11.2</v>
      </c>
      <c r="J3461" s="71">
        <v>13.8</v>
      </c>
      <c r="K3461" s="121">
        <v>5.7999999999999996E-3</v>
      </c>
      <c r="L3461" s="121">
        <v>-7.0000000000000001E-3</v>
      </c>
      <c r="M3461" s="75" t="s">
        <v>146</v>
      </c>
      <c r="N3461" s="75" t="b">
        <v>1</v>
      </c>
      <c r="O3461" s="75" t="s">
        <v>145</v>
      </c>
      <c r="P3461" s="75">
        <v>2014</v>
      </c>
      <c r="Q3461" s="107">
        <f t="shared" si="102"/>
        <v>2017</v>
      </c>
      <c r="R3461" s="107">
        <v>2</v>
      </c>
      <c r="S3461" s="43">
        <v>217084</v>
      </c>
      <c r="T3461" s="74">
        <v>42956</v>
      </c>
    </row>
    <row r="3462" spans="1:21" x14ac:dyDescent="0.3">
      <c r="A3462" s="42">
        <v>42918</v>
      </c>
      <c r="B3462" s="37">
        <f>YEAR(A3462)*10000+MONTH(A3462)*100+DAY(A3462)</f>
        <v>20170702</v>
      </c>
      <c r="C3462" s="109">
        <v>2.07E-2</v>
      </c>
      <c r="D3462" s="109">
        <v>6.0000000000000001E-3</v>
      </c>
      <c r="E3462" s="109">
        <v>8.0000000000000002E-3</v>
      </c>
      <c r="F3462" s="109">
        <v>8.9999999999999993E-3</v>
      </c>
      <c r="G3462" s="130">
        <v>0</v>
      </c>
      <c r="H3462" s="71">
        <v>8.6</v>
      </c>
      <c r="I3462" s="71">
        <v>11.2</v>
      </c>
      <c r="J3462" s="71">
        <v>13.8</v>
      </c>
      <c r="K3462" s="121">
        <v>5.7999999999999996E-3</v>
      </c>
      <c r="L3462" s="121">
        <v>-7.0000000000000001E-3</v>
      </c>
      <c r="M3462" s="75" t="s">
        <v>146</v>
      </c>
      <c r="N3462" s="75" t="b">
        <v>1</v>
      </c>
      <c r="O3462" s="75" t="s">
        <v>145</v>
      </c>
      <c r="P3462" s="75">
        <v>2014</v>
      </c>
      <c r="Q3462" s="107">
        <f t="shared" si="102"/>
        <v>2017</v>
      </c>
      <c r="R3462" s="107">
        <v>2</v>
      </c>
      <c r="S3462" s="43">
        <v>217084</v>
      </c>
      <c r="T3462" s="74">
        <v>42956</v>
      </c>
    </row>
    <row r="3463" spans="1:21" x14ac:dyDescent="0.3">
      <c r="A3463" s="42">
        <v>42919</v>
      </c>
      <c r="B3463" s="37">
        <f t="shared" si="101"/>
        <v>20170703</v>
      </c>
      <c r="C3463" s="109">
        <v>2.07E-2</v>
      </c>
      <c r="D3463" s="109">
        <v>6.0000000000000001E-3</v>
      </c>
      <c r="E3463" s="109">
        <v>8.0000000000000002E-3</v>
      </c>
      <c r="F3463" s="109">
        <v>8.9999999999999993E-3</v>
      </c>
      <c r="G3463" s="130">
        <v>0</v>
      </c>
      <c r="H3463" s="71">
        <v>8.6</v>
      </c>
      <c r="I3463" s="71">
        <v>11.2</v>
      </c>
      <c r="J3463" s="71">
        <v>13.8</v>
      </c>
      <c r="K3463" s="121">
        <v>5.7999999999999996E-3</v>
      </c>
      <c r="L3463" s="121">
        <v>-7.0000000000000001E-3</v>
      </c>
      <c r="M3463" s="75" t="s">
        <v>146</v>
      </c>
      <c r="N3463" s="75" t="b">
        <v>1</v>
      </c>
      <c r="O3463" s="75" t="s">
        <v>145</v>
      </c>
      <c r="P3463" s="75">
        <v>2014</v>
      </c>
      <c r="Q3463" s="107">
        <f t="shared" si="102"/>
        <v>2017</v>
      </c>
      <c r="R3463" s="107">
        <v>2</v>
      </c>
      <c r="S3463" s="43">
        <v>217084</v>
      </c>
      <c r="T3463" s="74">
        <v>42956</v>
      </c>
    </row>
    <row r="3464" spans="1:21" x14ac:dyDescent="0.3">
      <c r="A3464" s="42">
        <v>42920</v>
      </c>
      <c r="B3464" s="37">
        <f t="shared" si="101"/>
        <v>20170704</v>
      </c>
      <c r="C3464" s="109">
        <v>2.1299999999999999E-2</v>
      </c>
      <c r="D3464" s="109">
        <v>6.0000000000000001E-3</v>
      </c>
      <c r="E3464" s="109">
        <v>8.0000000000000002E-3</v>
      </c>
      <c r="F3464" s="109">
        <v>8.9999999999999993E-3</v>
      </c>
      <c r="G3464" s="130">
        <v>0</v>
      </c>
      <c r="H3464" s="71">
        <v>8.6</v>
      </c>
      <c r="I3464" s="71">
        <v>11.2</v>
      </c>
      <c r="J3464" s="71">
        <v>13.8</v>
      </c>
      <c r="K3464" s="121">
        <v>6.4000000000000003E-3</v>
      </c>
      <c r="L3464" s="121">
        <v>-7.0000000000000001E-3</v>
      </c>
      <c r="M3464" s="75" t="s">
        <v>146</v>
      </c>
      <c r="N3464" s="75" t="b">
        <v>1</v>
      </c>
      <c r="O3464" s="75" t="s">
        <v>145</v>
      </c>
      <c r="P3464" s="75">
        <v>2014</v>
      </c>
      <c r="Q3464" s="107">
        <f t="shared" si="102"/>
        <v>2017</v>
      </c>
      <c r="R3464" s="107">
        <v>2</v>
      </c>
      <c r="S3464" s="43">
        <v>217084</v>
      </c>
      <c r="T3464" s="74">
        <v>42956</v>
      </c>
    </row>
    <row r="3465" spans="1:21" x14ac:dyDescent="0.3">
      <c r="A3465" s="42">
        <v>42921</v>
      </c>
      <c r="B3465" s="37">
        <f t="shared" si="101"/>
        <v>20170705</v>
      </c>
      <c r="C3465" s="109">
        <v>2.1099999999999997E-2</v>
      </c>
      <c r="D3465" s="109">
        <v>6.0000000000000001E-3</v>
      </c>
      <c r="E3465" s="109">
        <v>8.0000000000000002E-3</v>
      </c>
      <c r="F3465" s="109">
        <v>8.9999999999999993E-3</v>
      </c>
      <c r="G3465" s="130">
        <v>0</v>
      </c>
      <c r="H3465" s="71">
        <v>8.6</v>
      </c>
      <c r="I3465" s="71">
        <v>11.2</v>
      </c>
      <c r="J3465" s="71">
        <v>13.8</v>
      </c>
      <c r="K3465" s="121">
        <v>6.0000000000000001E-3</v>
      </c>
      <c r="L3465" s="121">
        <v>-7.0000000000000001E-3</v>
      </c>
      <c r="M3465" s="75" t="s">
        <v>146</v>
      </c>
      <c r="N3465" s="75" t="b">
        <v>1</v>
      </c>
      <c r="O3465" s="75" t="s">
        <v>145</v>
      </c>
      <c r="P3465" s="75">
        <v>2014</v>
      </c>
      <c r="Q3465" s="107">
        <f t="shared" si="102"/>
        <v>2017</v>
      </c>
      <c r="R3465" s="107">
        <v>2</v>
      </c>
      <c r="S3465" s="43">
        <v>217084</v>
      </c>
      <c r="T3465" s="74">
        <v>42956</v>
      </c>
    </row>
    <row r="3466" spans="1:21" x14ac:dyDescent="0.3">
      <c r="A3466" s="42">
        <v>42922</v>
      </c>
      <c r="B3466" s="37">
        <f t="shared" si="101"/>
        <v>20170706</v>
      </c>
      <c r="C3466" s="109">
        <v>2.1499999999999998E-2</v>
      </c>
      <c r="D3466" s="109">
        <v>6.0000000000000001E-3</v>
      </c>
      <c r="E3466" s="109">
        <v>8.0000000000000002E-3</v>
      </c>
      <c r="F3466" s="109">
        <v>8.9999999999999993E-3</v>
      </c>
      <c r="G3466" s="130">
        <v>0</v>
      </c>
      <c r="H3466" s="71">
        <v>8.6</v>
      </c>
      <c r="I3466" s="71">
        <v>11.2</v>
      </c>
      <c r="J3466" s="71">
        <v>13.8</v>
      </c>
      <c r="K3466" s="121">
        <v>6.4000000000000003E-3</v>
      </c>
      <c r="L3466" s="121">
        <v>-7.0000000000000001E-3</v>
      </c>
      <c r="M3466" s="75" t="s">
        <v>146</v>
      </c>
      <c r="N3466" s="75" t="b">
        <v>1</v>
      </c>
      <c r="O3466" s="75" t="s">
        <v>145</v>
      </c>
      <c r="P3466" s="75">
        <v>2014</v>
      </c>
      <c r="Q3466" s="107">
        <f t="shared" si="102"/>
        <v>2017</v>
      </c>
      <c r="R3466" s="107">
        <v>2</v>
      </c>
      <c r="S3466" s="43">
        <v>217084</v>
      </c>
      <c r="T3466" s="74">
        <v>42956</v>
      </c>
    </row>
    <row r="3467" spans="1:21" x14ac:dyDescent="0.3">
      <c r="A3467" s="42">
        <v>42923</v>
      </c>
      <c r="B3467" s="37">
        <f t="shared" si="101"/>
        <v>20170707</v>
      </c>
      <c r="C3467" s="109">
        <v>2.1999999999999999E-2</v>
      </c>
      <c r="D3467" s="109">
        <v>6.0000000000000001E-3</v>
      </c>
      <c r="E3467" s="109">
        <v>8.0000000000000002E-3</v>
      </c>
      <c r="F3467" s="109">
        <v>8.9999999999999993E-3</v>
      </c>
      <c r="G3467" s="130">
        <v>0</v>
      </c>
      <c r="H3467" s="71">
        <v>8.6</v>
      </c>
      <c r="I3467" s="71">
        <v>11.2</v>
      </c>
      <c r="J3467" s="71">
        <v>13.8</v>
      </c>
      <c r="K3467" s="121">
        <v>6.9999999999999993E-3</v>
      </c>
      <c r="L3467" s="121">
        <v>-7.0000000000000001E-3</v>
      </c>
      <c r="M3467" s="75" t="s">
        <v>146</v>
      </c>
      <c r="N3467" s="75" t="b">
        <v>1</v>
      </c>
      <c r="O3467" s="75" t="s">
        <v>145</v>
      </c>
      <c r="P3467" s="75">
        <v>2014</v>
      </c>
      <c r="Q3467" s="107">
        <f t="shared" si="102"/>
        <v>2017</v>
      </c>
      <c r="R3467" s="107">
        <v>2</v>
      </c>
      <c r="S3467" s="43">
        <v>217084</v>
      </c>
      <c r="T3467" s="74">
        <v>42956</v>
      </c>
    </row>
    <row r="3468" spans="1:21" x14ac:dyDescent="0.3">
      <c r="A3468" s="42">
        <v>42924</v>
      </c>
      <c r="B3468" s="37">
        <f>YEAR(A3468)*10000+MONTH(A3468)*100+DAY(A3468)</f>
        <v>20170708</v>
      </c>
      <c r="C3468" s="109">
        <v>2.1999999999999999E-2</v>
      </c>
      <c r="D3468" s="109">
        <v>6.0000000000000001E-3</v>
      </c>
      <c r="E3468" s="109">
        <v>8.0000000000000002E-3</v>
      </c>
      <c r="F3468" s="109">
        <v>8.9999999999999993E-3</v>
      </c>
      <c r="G3468" s="130">
        <v>0</v>
      </c>
      <c r="H3468" s="71">
        <v>8.6</v>
      </c>
      <c r="I3468" s="71">
        <v>11.2</v>
      </c>
      <c r="J3468" s="71">
        <v>13.8</v>
      </c>
      <c r="K3468" s="121">
        <v>6.9999999999999993E-3</v>
      </c>
      <c r="L3468" s="121">
        <v>-7.0000000000000001E-3</v>
      </c>
      <c r="M3468" s="75" t="s">
        <v>146</v>
      </c>
      <c r="N3468" s="75" t="b">
        <v>1</v>
      </c>
      <c r="O3468" s="75" t="s">
        <v>145</v>
      </c>
      <c r="P3468" s="75">
        <v>2014</v>
      </c>
      <c r="Q3468" s="107">
        <f t="shared" si="102"/>
        <v>2017</v>
      </c>
      <c r="R3468" s="107">
        <v>2</v>
      </c>
      <c r="S3468" s="43">
        <v>217084</v>
      </c>
      <c r="T3468" s="74">
        <v>42956</v>
      </c>
    </row>
    <row r="3469" spans="1:21" x14ac:dyDescent="0.3">
      <c r="A3469" s="42">
        <v>42925</v>
      </c>
      <c r="B3469" s="37">
        <f>YEAR(A3469)*10000+MONTH(A3469)*100+DAY(A3469)</f>
        <v>20170709</v>
      </c>
      <c r="C3469" s="109">
        <v>2.1999999999999999E-2</v>
      </c>
      <c r="D3469" s="109">
        <v>6.0000000000000001E-3</v>
      </c>
      <c r="E3469" s="109">
        <v>8.0000000000000002E-3</v>
      </c>
      <c r="F3469" s="109">
        <v>8.9999999999999993E-3</v>
      </c>
      <c r="G3469" s="130">
        <v>0</v>
      </c>
      <c r="H3469" s="71">
        <v>8.6</v>
      </c>
      <c r="I3469" s="71">
        <v>11.2</v>
      </c>
      <c r="J3469" s="71">
        <v>13.8</v>
      </c>
      <c r="K3469" s="121">
        <v>6.9999999999999993E-3</v>
      </c>
      <c r="L3469" s="121">
        <v>-7.0000000000000001E-3</v>
      </c>
      <c r="M3469" s="75" t="s">
        <v>146</v>
      </c>
      <c r="N3469" s="75" t="b">
        <v>1</v>
      </c>
      <c r="O3469" s="75" t="s">
        <v>145</v>
      </c>
      <c r="P3469" s="75">
        <v>2014</v>
      </c>
      <c r="Q3469" s="107">
        <f t="shared" si="102"/>
        <v>2017</v>
      </c>
      <c r="R3469" s="107">
        <v>2</v>
      </c>
      <c r="S3469" s="43">
        <v>217084</v>
      </c>
      <c r="T3469" s="74">
        <v>42956</v>
      </c>
    </row>
    <row r="3470" spans="1:21" x14ac:dyDescent="0.3">
      <c r="A3470" s="42">
        <v>42926</v>
      </c>
      <c r="B3470" s="37">
        <f t="shared" si="101"/>
        <v>20170710</v>
      </c>
      <c r="C3470" s="109">
        <v>2.2000000000000002E-2</v>
      </c>
      <c r="D3470" s="109">
        <v>6.0000000000000001E-3</v>
      </c>
      <c r="E3470" s="109">
        <v>8.0000000000000002E-3</v>
      </c>
      <c r="F3470" s="109">
        <v>8.9999999999999993E-3</v>
      </c>
      <c r="G3470" s="130">
        <v>0</v>
      </c>
      <c r="H3470" s="71">
        <v>8.6</v>
      </c>
      <c r="I3470" s="71">
        <v>11.2</v>
      </c>
      <c r="J3470" s="71">
        <v>13.8</v>
      </c>
      <c r="K3470" s="121">
        <v>6.9999999999999993E-3</v>
      </c>
      <c r="L3470" s="121">
        <v>-7.0000000000000001E-3</v>
      </c>
      <c r="M3470" s="75" t="s">
        <v>146</v>
      </c>
      <c r="N3470" s="75" t="b">
        <v>1</v>
      </c>
      <c r="O3470" s="75" t="s">
        <v>145</v>
      </c>
      <c r="P3470" s="75">
        <v>2014</v>
      </c>
      <c r="Q3470" s="107">
        <f t="shared" si="102"/>
        <v>2017</v>
      </c>
      <c r="R3470" s="107">
        <v>2</v>
      </c>
      <c r="S3470" s="43">
        <v>217084</v>
      </c>
      <c r="T3470" s="74">
        <v>42956</v>
      </c>
    </row>
    <row r="3471" spans="1:21" x14ac:dyDescent="0.3">
      <c r="A3471" s="42">
        <v>42927</v>
      </c>
      <c r="B3471" s="37">
        <f t="shared" si="101"/>
        <v>20170711</v>
      </c>
      <c r="C3471" s="109">
        <v>2.1899999999999999E-2</v>
      </c>
      <c r="D3471" s="109">
        <v>6.0000000000000001E-3</v>
      </c>
      <c r="E3471" s="109">
        <v>8.0000000000000002E-3</v>
      </c>
      <c r="F3471" s="109">
        <v>8.9999999999999993E-3</v>
      </c>
      <c r="G3471" s="130">
        <v>0</v>
      </c>
      <c r="H3471" s="71">
        <v>8.6</v>
      </c>
      <c r="I3471" s="71">
        <v>11.2</v>
      </c>
      <c r="J3471" s="71">
        <v>13.8</v>
      </c>
      <c r="K3471" s="121">
        <v>6.8999999999999999E-3</v>
      </c>
      <c r="L3471" s="121">
        <v>-7.0000000000000001E-3</v>
      </c>
      <c r="M3471" s="75" t="s">
        <v>146</v>
      </c>
      <c r="N3471" s="75" t="b">
        <v>1</v>
      </c>
      <c r="O3471" s="75" t="s">
        <v>145</v>
      </c>
      <c r="P3471" s="75">
        <v>2014</v>
      </c>
      <c r="Q3471" s="107">
        <f t="shared" si="102"/>
        <v>2017</v>
      </c>
      <c r="R3471" s="107">
        <v>2</v>
      </c>
      <c r="S3471" s="43">
        <v>217084</v>
      </c>
      <c r="T3471" s="74">
        <v>42956</v>
      </c>
    </row>
    <row r="3472" spans="1:21" x14ac:dyDescent="0.3">
      <c r="A3472" s="42">
        <v>42928</v>
      </c>
      <c r="B3472" s="37">
        <f t="shared" si="101"/>
        <v>20170712</v>
      </c>
      <c r="C3472" s="109">
        <v>2.18E-2</v>
      </c>
      <c r="D3472" s="109">
        <v>6.0000000000000001E-3</v>
      </c>
      <c r="E3472" s="109">
        <v>8.0000000000000002E-3</v>
      </c>
      <c r="F3472" s="109">
        <v>8.9999999999999993E-3</v>
      </c>
      <c r="G3472" s="130">
        <v>0</v>
      </c>
      <c r="H3472" s="71">
        <v>8.6</v>
      </c>
      <c r="I3472" s="71">
        <v>11.2</v>
      </c>
      <c r="J3472" s="71">
        <v>13.8</v>
      </c>
      <c r="K3472" s="121">
        <v>6.7000000000000002E-3</v>
      </c>
      <c r="L3472" s="121">
        <v>-7.0000000000000001E-3</v>
      </c>
      <c r="M3472" s="75" t="s">
        <v>146</v>
      </c>
      <c r="N3472" s="75" t="b">
        <v>1</v>
      </c>
      <c r="O3472" s="75" t="s">
        <v>145</v>
      </c>
      <c r="P3472" s="75">
        <v>2014</v>
      </c>
      <c r="Q3472" s="107">
        <f t="shared" si="102"/>
        <v>2017</v>
      </c>
      <c r="R3472" s="107">
        <v>2</v>
      </c>
      <c r="S3472" s="43">
        <v>217084</v>
      </c>
      <c r="T3472" s="74">
        <v>42956</v>
      </c>
    </row>
    <row r="3473" spans="1:20" x14ac:dyDescent="0.3">
      <c r="A3473" s="42">
        <v>42929</v>
      </c>
      <c r="B3473" s="37">
        <f t="shared" si="101"/>
        <v>20170713</v>
      </c>
      <c r="C3473" s="109">
        <v>2.2099999999999998E-2</v>
      </c>
      <c r="D3473" s="109">
        <v>6.0000000000000001E-3</v>
      </c>
      <c r="E3473" s="109">
        <v>8.0000000000000002E-3</v>
      </c>
      <c r="F3473" s="109">
        <v>8.9999999999999993E-3</v>
      </c>
      <c r="G3473" s="130">
        <v>0</v>
      </c>
      <c r="H3473" s="71">
        <v>8.6</v>
      </c>
      <c r="I3473" s="71">
        <v>11.2</v>
      </c>
      <c r="J3473" s="71">
        <v>13.8</v>
      </c>
      <c r="K3473" s="121">
        <v>6.8999999999999999E-3</v>
      </c>
      <c r="L3473" s="121">
        <v>-7.0000000000000001E-3</v>
      </c>
      <c r="M3473" s="75" t="s">
        <v>146</v>
      </c>
      <c r="N3473" s="75" t="b">
        <v>1</v>
      </c>
      <c r="O3473" s="75" t="s">
        <v>145</v>
      </c>
      <c r="P3473" s="75">
        <v>2014</v>
      </c>
      <c r="Q3473" s="107">
        <f t="shared" si="102"/>
        <v>2017</v>
      </c>
      <c r="R3473" s="107">
        <v>2</v>
      </c>
      <c r="S3473" s="43">
        <v>217084</v>
      </c>
      <c r="T3473" s="74">
        <v>42956</v>
      </c>
    </row>
    <row r="3474" spans="1:20" x14ac:dyDescent="0.3">
      <c r="A3474" s="42">
        <v>42930</v>
      </c>
      <c r="B3474" s="37">
        <f t="shared" si="101"/>
        <v>20170714</v>
      </c>
      <c r="C3474" s="109">
        <v>2.1899999999999999E-2</v>
      </c>
      <c r="D3474" s="109">
        <v>6.0000000000000001E-3</v>
      </c>
      <c r="E3474" s="109">
        <v>8.0000000000000002E-3</v>
      </c>
      <c r="F3474" s="109">
        <v>8.9999999999999993E-3</v>
      </c>
      <c r="G3474" s="130">
        <v>0</v>
      </c>
      <c r="H3474" s="71">
        <v>8.6</v>
      </c>
      <c r="I3474" s="71">
        <v>11.2</v>
      </c>
      <c r="J3474" s="71">
        <v>13.8</v>
      </c>
      <c r="K3474" s="121">
        <v>6.7000000000000002E-3</v>
      </c>
      <c r="L3474" s="121">
        <v>-7.0000000000000001E-3</v>
      </c>
      <c r="M3474" s="75" t="s">
        <v>146</v>
      </c>
      <c r="N3474" s="75" t="b">
        <v>1</v>
      </c>
      <c r="O3474" s="75" t="s">
        <v>145</v>
      </c>
      <c r="P3474" s="75">
        <v>2014</v>
      </c>
      <c r="Q3474" s="107">
        <f t="shared" si="102"/>
        <v>2017</v>
      </c>
      <c r="R3474" s="107">
        <v>2</v>
      </c>
      <c r="S3474" s="43">
        <v>217084</v>
      </c>
      <c r="T3474" s="74">
        <v>42956</v>
      </c>
    </row>
    <row r="3475" spans="1:20" x14ac:dyDescent="0.3">
      <c r="A3475" s="42">
        <v>42931</v>
      </c>
      <c r="B3475" s="37">
        <f>YEAR(A3475)*10000+MONTH(A3475)*100+DAY(A3475)</f>
        <v>20170715</v>
      </c>
      <c r="C3475" s="109">
        <v>2.1899999999999999E-2</v>
      </c>
      <c r="D3475" s="109">
        <v>6.0000000000000001E-3</v>
      </c>
      <c r="E3475" s="109">
        <v>8.0000000000000002E-3</v>
      </c>
      <c r="F3475" s="109">
        <v>8.9999999999999993E-3</v>
      </c>
      <c r="G3475" s="130">
        <v>0</v>
      </c>
      <c r="H3475" s="71">
        <v>8.6</v>
      </c>
      <c r="I3475" s="71">
        <v>11.2</v>
      </c>
      <c r="J3475" s="71">
        <v>13.8</v>
      </c>
      <c r="K3475" s="121">
        <v>6.7000000000000002E-3</v>
      </c>
      <c r="L3475" s="121">
        <v>-7.0000000000000001E-3</v>
      </c>
      <c r="M3475" s="75" t="s">
        <v>146</v>
      </c>
      <c r="N3475" s="75" t="b">
        <v>1</v>
      </c>
      <c r="O3475" s="75" t="s">
        <v>145</v>
      </c>
      <c r="P3475" s="75">
        <v>2014</v>
      </c>
      <c r="Q3475" s="107">
        <f t="shared" si="102"/>
        <v>2017</v>
      </c>
      <c r="R3475" s="107">
        <v>2</v>
      </c>
      <c r="S3475" s="43">
        <v>217084</v>
      </c>
      <c r="T3475" s="74">
        <v>42956</v>
      </c>
    </row>
    <row r="3476" spans="1:20" x14ac:dyDescent="0.3">
      <c r="A3476" s="42">
        <v>42932</v>
      </c>
      <c r="B3476" s="37">
        <f>YEAR(A3476)*10000+MONTH(A3476)*100+DAY(A3476)</f>
        <v>20170716</v>
      </c>
      <c r="C3476" s="109">
        <v>2.1899999999999999E-2</v>
      </c>
      <c r="D3476" s="109">
        <v>6.0000000000000001E-3</v>
      </c>
      <c r="E3476" s="109">
        <v>8.0000000000000002E-3</v>
      </c>
      <c r="F3476" s="109">
        <v>8.9999999999999993E-3</v>
      </c>
      <c r="G3476" s="130">
        <v>0</v>
      </c>
      <c r="H3476" s="71">
        <v>8.6</v>
      </c>
      <c r="I3476" s="71">
        <v>11.2</v>
      </c>
      <c r="J3476" s="71">
        <v>13.8</v>
      </c>
      <c r="K3476" s="121">
        <v>6.7000000000000002E-3</v>
      </c>
      <c r="L3476" s="121">
        <v>-7.0000000000000001E-3</v>
      </c>
      <c r="M3476" s="75" t="s">
        <v>146</v>
      </c>
      <c r="N3476" s="75" t="b">
        <v>1</v>
      </c>
      <c r="O3476" s="75" t="s">
        <v>145</v>
      </c>
      <c r="P3476" s="75">
        <v>2014</v>
      </c>
      <c r="Q3476" s="107">
        <f t="shared" si="102"/>
        <v>2017</v>
      </c>
      <c r="R3476" s="107">
        <v>2</v>
      </c>
      <c r="S3476" s="43">
        <v>217084</v>
      </c>
      <c r="T3476" s="74">
        <v>42956</v>
      </c>
    </row>
    <row r="3477" spans="1:20" x14ac:dyDescent="0.3">
      <c r="A3477" s="42">
        <v>42933</v>
      </c>
      <c r="B3477" s="37">
        <f t="shared" si="101"/>
        <v>20170717</v>
      </c>
      <c r="C3477" s="109">
        <v>2.2000000000000002E-2</v>
      </c>
      <c r="D3477" s="109">
        <v>6.0000000000000001E-3</v>
      </c>
      <c r="E3477" s="109">
        <v>8.0000000000000002E-3</v>
      </c>
      <c r="F3477" s="109">
        <v>8.9999999999999993E-3</v>
      </c>
      <c r="G3477" s="130">
        <v>0</v>
      </c>
      <c r="H3477" s="71">
        <v>8.6</v>
      </c>
      <c r="I3477" s="71">
        <v>11.2</v>
      </c>
      <c r="J3477" s="71">
        <v>13.8</v>
      </c>
      <c r="K3477" s="121">
        <v>6.8000000000000005E-3</v>
      </c>
      <c r="L3477" s="121">
        <v>-7.0000000000000001E-3</v>
      </c>
      <c r="M3477" s="75" t="s">
        <v>146</v>
      </c>
      <c r="N3477" s="75" t="b">
        <v>1</v>
      </c>
      <c r="O3477" s="75" t="s">
        <v>145</v>
      </c>
      <c r="P3477" s="75">
        <v>2014</v>
      </c>
      <c r="Q3477" s="107">
        <f t="shared" si="102"/>
        <v>2017</v>
      </c>
      <c r="R3477" s="107">
        <v>2</v>
      </c>
      <c r="S3477" s="43">
        <v>217084</v>
      </c>
      <c r="T3477" s="74">
        <v>42956</v>
      </c>
    </row>
    <row r="3478" spans="1:20" x14ac:dyDescent="0.3">
      <c r="A3478" s="42">
        <v>42934</v>
      </c>
      <c r="B3478" s="37">
        <f t="shared" si="101"/>
        <v>20170718</v>
      </c>
      <c r="C3478" s="109">
        <v>2.18E-2</v>
      </c>
      <c r="D3478" s="109">
        <v>6.0000000000000001E-3</v>
      </c>
      <c r="E3478" s="109">
        <v>8.0000000000000002E-3</v>
      </c>
      <c r="F3478" s="109">
        <v>8.9999999999999993E-3</v>
      </c>
      <c r="G3478" s="130">
        <v>0</v>
      </c>
      <c r="H3478" s="71">
        <v>8.6</v>
      </c>
      <c r="I3478" s="71">
        <v>11.2</v>
      </c>
      <c r="J3478" s="71">
        <v>13.8</v>
      </c>
      <c r="K3478" s="121">
        <v>6.6E-3</v>
      </c>
      <c r="L3478" s="121">
        <v>-7.0000000000000001E-3</v>
      </c>
      <c r="M3478" s="75" t="s">
        <v>146</v>
      </c>
      <c r="N3478" s="75" t="b">
        <v>1</v>
      </c>
      <c r="O3478" s="75" t="s">
        <v>145</v>
      </c>
      <c r="P3478" s="75">
        <v>2014</v>
      </c>
      <c r="Q3478" s="107">
        <f t="shared" si="102"/>
        <v>2017</v>
      </c>
      <c r="R3478" s="107">
        <v>2</v>
      </c>
      <c r="S3478" s="43">
        <v>217084</v>
      </c>
      <c r="T3478" s="74">
        <v>42956</v>
      </c>
    </row>
    <row r="3479" spans="1:20" x14ac:dyDescent="0.3">
      <c r="A3479" s="42">
        <v>42935</v>
      </c>
      <c r="B3479" s="37">
        <f t="shared" si="101"/>
        <v>20170719</v>
      </c>
      <c r="C3479" s="109">
        <v>2.2000000000000002E-2</v>
      </c>
      <c r="D3479" s="109">
        <v>6.0000000000000001E-3</v>
      </c>
      <c r="E3479" s="109">
        <v>8.0000000000000002E-3</v>
      </c>
      <c r="F3479" s="109">
        <v>8.9999999999999993E-3</v>
      </c>
      <c r="G3479" s="130">
        <v>0</v>
      </c>
      <c r="H3479" s="71">
        <v>8.6</v>
      </c>
      <c r="I3479" s="71">
        <v>11.2</v>
      </c>
      <c r="J3479" s="71">
        <v>13.8</v>
      </c>
      <c r="K3479" s="121">
        <v>6.8000000000000005E-3</v>
      </c>
      <c r="L3479" s="121">
        <v>-7.0000000000000001E-3</v>
      </c>
      <c r="M3479" s="75" t="s">
        <v>146</v>
      </c>
      <c r="N3479" s="75" t="b">
        <v>1</v>
      </c>
      <c r="O3479" s="75" t="s">
        <v>145</v>
      </c>
      <c r="P3479" s="75">
        <v>2014</v>
      </c>
      <c r="Q3479" s="107">
        <f t="shared" si="102"/>
        <v>2017</v>
      </c>
      <c r="R3479" s="107">
        <v>2</v>
      </c>
      <c r="S3479" s="43">
        <v>217084</v>
      </c>
      <c r="T3479" s="74">
        <v>42956</v>
      </c>
    </row>
    <row r="3480" spans="1:20" x14ac:dyDescent="0.3">
      <c r="A3480" s="42">
        <v>42936</v>
      </c>
      <c r="B3480" s="37">
        <f t="shared" si="101"/>
        <v>20170720</v>
      </c>
      <c r="C3480" s="109">
        <v>2.2000000000000002E-2</v>
      </c>
      <c r="D3480" s="109">
        <v>6.0000000000000001E-3</v>
      </c>
      <c r="E3480" s="109">
        <v>8.0000000000000002E-3</v>
      </c>
      <c r="F3480" s="109">
        <v>8.9999999999999993E-3</v>
      </c>
      <c r="G3480" s="130">
        <v>0</v>
      </c>
      <c r="H3480" s="71">
        <v>8.6</v>
      </c>
      <c r="I3480" s="71">
        <v>11.2</v>
      </c>
      <c r="J3480" s="71">
        <v>13.8</v>
      </c>
      <c r="K3480" s="121">
        <v>6.7000000000000002E-3</v>
      </c>
      <c r="L3480" s="121">
        <v>-7.0000000000000001E-3</v>
      </c>
      <c r="M3480" s="75" t="s">
        <v>146</v>
      </c>
      <c r="N3480" s="75" t="b">
        <v>1</v>
      </c>
      <c r="O3480" s="75" t="s">
        <v>145</v>
      </c>
      <c r="P3480" s="75">
        <v>2014</v>
      </c>
      <c r="Q3480" s="107">
        <f t="shared" si="102"/>
        <v>2017</v>
      </c>
      <c r="R3480" s="107">
        <v>2</v>
      </c>
      <c r="S3480" s="43">
        <v>217084</v>
      </c>
      <c r="T3480" s="74">
        <v>42956</v>
      </c>
    </row>
    <row r="3481" spans="1:20" x14ac:dyDescent="0.3">
      <c r="A3481" s="42">
        <v>42937</v>
      </c>
      <c r="B3481" s="37">
        <f t="shared" si="101"/>
        <v>20170721</v>
      </c>
      <c r="C3481" s="109">
        <v>2.2000000000000002E-2</v>
      </c>
      <c r="D3481" s="109">
        <v>6.0000000000000001E-3</v>
      </c>
      <c r="E3481" s="109">
        <v>8.0000000000000002E-3</v>
      </c>
      <c r="F3481" s="109">
        <v>8.9999999999999993E-3</v>
      </c>
      <c r="G3481" s="130">
        <v>0</v>
      </c>
      <c r="H3481" s="71">
        <v>8.6</v>
      </c>
      <c r="I3481" s="71">
        <v>11.2</v>
      </c>
      <c r="J3481" s="71">
        <v>13.8</v>
      </c>
      <c r="K3481" s="121">
        <v>6.7000000000000002E-3</v>
      </c>
      <c r="L3481" s="121">
        <v>-7.0000000000000001E-3</v>
      </c>
      <c r="M3481" s="75" t="s">
        <v>146</v>
      </c>
      <c r="N3481" s="75" t="b">
        <v>1</v>
      </c>
      <c r="O3481" s="75" t="s">
        <v>145</v>
      </c>
      <c r="P3481" s="75">
        <v>2014</v>
      </c>
      <c r="Q3481" s="107">
        <f t="shared" si="102"/>
        <v>2017</v>
      </c>
      <c r="R3481" s="107">
        <v>2</v>
      </c>
      <c r="S3481" s="43">
        <v>217084</v>
      </c>
      <c r="T3481" s="74">
        <v>42956</v>
      </c>
    </row>
    <row r="3482" spans="1:20" x14ac:dyDescent="0.3">
      <c r="A3482" s="42">
        <v>42938</v>
      </c>
      <c r="B3482" s="37">
        <f>YEAR(A3482)*10000+MONTH(A3482)*100+DAY(A3482)</f>
        <v>20170722</v>
      </c>
      <c r="C3482" s="109">
        <v>2.2000000000000002E-2</v>
      </c>
      <c r="D3482" s="109">
        <v>6.0000000000000001E-3</v>
      </c>
      <c r="E3482" s="109">
        <v>8.0000000000000002E-3</v>
      </c>
      <c r="F3482" s="109">
        <v>8.9999999999999993E-3</v>
      </c>
      <c r="G3482" s="130">
        <v>0</v>
      </c>
      <c r="H3482" s="71">
        <v>8.6</v>
      </c>
      <c r="I3482" s="71">
        <v>11.2</v>
      </c>
      <c r="J3482" s="71">
        <v>13.8</v>
      </c>
      <c r="K3482" s="121">
        <v>6.7000000000000002E-3</v>
      </c>
      <c r="L3482" s="121">
        <v>-7.0000000000000001E-3</v>
      </c>
      <c r="M3482" s="75" t="s">
        <v>146</v>
      </c>
      <c r="N3482" s="75" t="b">
        <v>1</v>
      </c>
      <c r="O3482" s="75" t="s">
        <v>145</v>
      </c>
      <c r="P3482" s="75">
        <v>2014</v>
      </c>
      <c r="Q3482" s="107">
        <f t="shared" si="102"/>
        <v>2017</v>
      </c>
      <c r="R3482" s="107">
        <v>2</v>
      </c>
      <c r="S3482" s="43">
        <v>217084</v>
      </c>
      <c r="T3482" s="74">
        <v>42956</v>
      </c>
    </row>
    <row r="3483" spans="1:20" x14ac:dyDescent="0.3">
      <c r="A3483" s="42">
        <v>42939</v>
      </c>
      <c r="B3483" s="37">
        <f>YEAR(A3483)*10000+MONTH(A3483)*100+DAY(A3483)</f>
        <v>20170723</v>
      </c>
      <c r="C3483" s="109">
        <v>2.2000000000000002E-2</v>
      </c>
      <c r="D3483" s="109">
        <v>6.0000000000000001E-3</v>
      </c>
      <c r="E3483" s="109">
        <v>8.0000000000000002E-3</v>
      </c>
      <c r="F3483" s="109">
        <v>8.9999999999999993E-3</v>
      </c>
      <c r="G3483" s="130">
        <v>0</v>
      </c>
      <c r="H3483" s="71">
        <v>8.6</v>
      </c>
      <c r="I3483" s="71">
        <v>11.2</v>
      </c>
      <c r="J3483" s="71">
        <v>13.8</v>
      </c>
      <c r="K3483" s="121">
        <v>6.7000000000000002E-3</v>
      </c>
      <c r="L3483" s="121">
        <v>-7.0000000000000001E-3</v>
      </c>
      <c r="M3483" s="75" t="s">
        <v>146</v>
      </c>
      <c r="N3483" s="75" t="b">
        <v>1</v>
      </c>
      <c r="O3483" s="75" t="s">
        <v>145</v>
      </c>
      <c r="P3483" s="75">
        <v>2014</v>
      </c>
      <c r="Q3483" s="107">
        <f t="shared" si="102"/>
        <v>2017</v>
      </c>
      <c r="R3483" s="107">
        <v>2</v>
      </c>
      <c r="S3483" s="43">
        <v>217084</v>
      </c>
      <c r="T3483" s="74">
        <v>42956</v>
      </c>
    </row>
    <row r="3484" spans="1:20" x14ac:dyDescent="0.3">
      <c r="A3484" s="42">
        <v>42940</v>
      </c>
      <c r="B3484" s="37">
        <f t="shared" si="101"/>
        <v>20170724</v>
      </c>
      <c r="C3484" s="109">
        <v>2.2200000000000001E-2</v>
      </c>
      <c r="D3484" s="109">
        <v>6.0000000000000001E-3</v>
      </c>
      <c r="E3484" s="109">
        <v>8.0000000000000002E-3</v>
      </c>
      <c r="F3484" s="109">
        <v>8.9999999999999993E-3</v>
      </c>
      <c r="G3484" s="130">
        <v>0</v>
      </c>
      <c r="H3484" s="71">
        <v>8.6</v>
      </c>
      <c r="I3484" s="71">
        <v>11.2</v>
      </c>
      <c r="J3484" s="71">
        <v>13.8</v>
      </c>
      <c r="K3484" s="121">
        <v>6.8000000000000005E-3</v>
      </c>
      <c r="L3484" s="121">
        <v>-7.0000000000000001E-3</v>
      </c>
      <c r="M3484" s="75" t="s">
        <v>146</v>
      </c>
      <c r="N3484" s="75" t="b">
        <v>1</v>
      </c>
      <c r="O3484" s="75" t="s">
        <v>145</v>
      </c>
      <c r="P3484" s="75">
        <v>2014</v>
      </c>
      <c r="Q3484" s="107">
        <f t="shared" si="102"/>
        <v>2017</v>
      </c>
      <c r="R3484" s="107">
        <v>2</v>
      </c>
      <c r="S3484" s="43">
        <v>217084</v>
      </c>
      <c r="T3484" s="74">
        <v>42956</v>
      </c>
    </row>
    <row r="3485" spans="1:20" x14ac:dyDescent="0.3">
      <c r="A3485" s="42">
        <v>42941</v>
      </c>
      <c r="B3485" s="37">
        <f t="shared" si="101"/>
        <v>20170725</v>
      </c>
      <c r="C3485" s="109">
        <v>2.3099999999999999E-2</v>
      </c>
      <c r="D3485" s="109">
        <v>6.0000000000000001E-3</v>
      </c>
      <c r="E3485" s="109">
        <v>8.0000000000000002E-3</v>
      </c>
      <c r="F3485" s="109">
        <v>8.9999999999999993E-3</v>
      </c>
      <c r="G3485" s="130">
        <v>0</v>
      </c>
      <c r="H3485" s="71">
        <v>8.6</v>
      </c>
      <c r="I3485" s="71">
        <v>11.2</v>
      </c>
      <c r="J3485" s="71">
        <v>13.8</v>
      </c>
      <c r="K3485" s="121">
        <v>7.6E-3</v>
      </c>
      <c r="L3485" s="121">
        <v>-7.0000000000000001E-3</v>
      </c>
      <c r="M3485" s="75" t="s">
        <v>146</v>
      </c>
      <c r="N3485" s="75" t="b">
        <v>1</v>
      </c>
      <c r="O3485" s="75" t="s">
        <v>145</v>
      </c>
      <c r="P3485" s="75">
        <v>2014</v>
      </c>
      <c r="Q3485" s="107">
        <f t="shared" si="102"/>
        <v>2017</v>
      </c>
      <c r="R3485" s="107">
        <v>2</v>
      </c>
      <c r="S3485" s="43">
        <v>217084</v>
      </c>
      <c r="T3485" s="74">
        <v>42956</v>
      </c>
    </row>
    <row r="3486" spans="1:20" x14ac:dyDescent="0.3">
      <c r="A3486" s="42">
        <v>42942</v>
      </c>
      <c r="B3486" s="37">
        <f t="shared" si="101"/>
        <v>20170726</v>
      </c>
      <c r="C3486" s="109">
        <v>2.29E-2</v>
      </c>
      <c r="D3486" s="109">
        <v>6.0000000000000001E-3</v>
      </c>
      <c r="E3486" s="109">
        <v>8.0000000000000002E-3</v>
      </c>
      <c r="F3486" s="109">
        <v>8.9999999999999993E-3</v>
      </c>
      <c r="G3486" s="130">
        <v>0</v>
      </c>
      <c r="H3486" s="71">
        <v>8.6</v>
      </c>
      <c r="I3486" s="71">
        <v>11.2</v>
      </c>
      <c r="J3486" s="71">
        <v>13.8</v>
      </c>
      <c r="K3486" s="121">
        <v>7.4000000000000003E-3</v>
      </c>
      <c r="L3486" s="121">
        <v>-7.0000000000000001E-3</v>
      </c>
      <c r="M3486" s="75" t="s">
        <v>146</v>
      </c>
      <c r="N3486" s="75" t="b">
        <v>1</v>
      </c>
      <c r="O3486" s="75" t="s">
        <v>145</v>
      </c>
      <c r="P3486" s="75">
        <v>2014</v>
      </c>
      <c r="Q3486" s="107">
        <f t="shared" si="102"/>
        <v>2017</v>
      </c>
      <c r="R3486" s="107">
        <v>2</v>
      </c>
      <c r="S3486" s="43">
        <v>217084</v>
      </c>
      <c r="T3486" s="74">
        <v>42956</v>
      </c>
    </row>
    <row r="3487" spans="1:20" x14ac:dyDescent="0.3">
      <c r="A3487" s="42">
        <v>42943</v>
      </c>
      <c r="B3487" s="37">
        <f t="shared" si="101"/>
        <v>20170727</v>
      </c>
      <c r="C3487" s="109">
        <v>2.3399999999999997E-2</v>
      </c>
      <c r="D3487" s="109">
        <v>6.0000000000000001E-3</v>
      </c>
      <c r="E3487" s="109">
        <v>8.0000000000000002E-3</v>
      </c>
      <c r="F3487" s="109">
        <v>8.9999999999999993E-3</v>
      </c>
      <c r="G3487" s="130">
        <v>0</v>
      </c>
      <c r="H3487" s="71">
        <v>8.6</v>
      </c>
      <c r="I3487" s="71">
        <v>11.2</v>
      </c>
      <c r="J3487" s="71">
        <v>13.8</v>
      </c>
      <c r="K3487" s="121">
        <v>7.9000000000000008E-3</v>
      </c>
      <c r="L3487" s="121">
        <v>-7.0000000000000001E-3</v>
      </c>
      <c r="M3487" s="75" t="s">
        <v>146</v>
      </c>
      <c r="N3487" s="75" t="b">
        <v>1</v>
      </c>
      <c r="O3487" s="75" t="s">
        <v>145</v>
      </c>
      <c r="P3487" s="75">
        <v>2014</v>
      </c>
      <c r="Q3487" s="107">
        <f t="shared" si="102"/>
        <v>2017</v>
      </c>
      <c r="R3487" s="107">
        <v>2</v>
      </c>
      <c r="S3487" s="43">
        <v>217084</v>
      </c>
      <c r="T3487" s="74">
        <v>42956</v>
      </c>
    </row>
    <row r="3488" spans="1:20" x14ac:dyDescent="0.3">
      <c r="A3488" s="42">
        <v>42944</v>
      </c>
      <c r="B3488" s="37">
        <f t="shared" si="101"/>
        <v>20170728</v>
      </c>
      <c r="C3488" s="109">
        <v>2.3799999999999998E-2</v>
      </c>
      <c r="D3488" s="109">
        <v>6.0000000000000001E-3</v>
      </c>
      <c r="E3488" s="109">
        <v>8.0000000000000002E-3</v>
      </c>
      <c r="F3488" s="109">
        <v>8.9999999999999993E-3</v>
      </c>
      <c r="G3488" s="130">
        <v>0</v>
      </c>
      <c r="H3488" s="71">
        <v>8.6</v>
      </c>
      <c r="I3488" s="71">
        <v>11.2</v>
      </c>
      <c r="J3488" s="71">
        <v>13.8</v>
      </c>
      <c r="K3488" s="121">
        <v>7.9000000000000008E-3</v>
      </c>
      <c r="L3488" s="121">
        <v>-7.0000000000000001E-3</v>
      </c>
      <c r="M3488" s="75" t="s">
        <v>146</v>
      </c>
      <c r="N3488" s="75" t="b">
        <v>1</v>
      </c>
      <c r="O3488" s="75" t="s">
        <v>145</v>
      </c>
      <c r="P3488" s="75">
        <v>2014</v>
      </c>
      <c r="Q3488" s="107">
        <f t="shared" si="102"/>
        <v>2017</v>
      </c>
      <c r="R3488" s="107">
        <v>2</v>
      </c>
      <c r="S3488" s="43">
        <v>217084</v>
      </c>
      <c r="T3488" s="74">
        <v>42956</v>
      </c>
    </row>
    <row r="3489" spans="1:20" x14ac:dyDescent="0.3">
      <c r="A3489" s="42">
        <v>42945</v>
      </c>
      <c r="B3489" s="37">
        <f>YEAR(A3489)*10000+MONTH(A3489)*100+DAY(A3489)</f>
        <v>20170729</v>
      </c>
      <c r="C3489" s="109">
        <v>2.3799999999999998E-2</v>
      </c>
      <c r="D3489" s="109">
        <v>6.0000000000000001E-3</v>
      </c>
      <c r="E3489" s="109">
        <v>8.0000000000000002E-3</v>
      </c>
      <c r="F3489" s="109">
        <v>8.9999999999999993E-3</v>
      </c>
      <c r="G3489" s="130">
        <v>0</v>
      </c>
      <c r="H3489" s="71">
        <v>8.6</v>
      </c>
      <c r="I3489" s="71">
        <v>11.2</v>
      </c>
      <c r="J3489" s="71">
        <v>13.8</v>
      </c>
      <c r="K3489" s="121">
        <v>7.9000000000000008E-3</v>
      </c>
      <c r="L3489" s="121">
        <v>-7.0000000000000001E-3</v>
      </c>
      <c r="M3489" s="75" t="s">
        <v>146</v>
      </c>
      <c r="N3489" s="75" t="b">
        <v>1</v>
      </c>
      <c r="O3489" s="75" t="s">
        <v>145</v>
      </c>
      <c r="P3489" s="75">
        <v>2014</v>
      </c>
      <c r="Q3489" s="107">
        <f t="shared" si="102"/>
        <v>2017</v>
      </c>
      <c r="R3489" s="107">
        <v>2</v>
      </c>
      <c r="S3489" s="43">
        <v>217084</v>
      </c>
      <c r="T3489" s="74">
        <v>42956</v>
      </c>
    </row>
    <row r="3490" spans="1:20" x14ac:dyDescent="0.3">
      <c r="A3490" s="42">
        <v>42946</v>
      </c>
      <c r="B3490" s="37">
        <f>YEAR(A3490)*10000+MONTH(A3490)*100+DAY(A3490)</f>
        <v>20170730</v>
      </c>
      <c r="C3490" s="109">
        <v>2.3799999999999998E-2</v>
      </c>
      <c r="D3490" s="109">
        <v>6.0000000000000001E-3</v>
      </c>
      <c r="E3490" s="109">
        <v>8.0000000000000002E-3</v>
      </c>
      <c r="F3490" s="109">
        <v>8.9999999999999993E-3</v>
      </c>
      <c r="G3490" s="130">
        <v>0</v>
      </c>
      <c r="H3490" s="71">
        <v>8.6</v>
      </c>
      <c r="I3490" s="71">
        <v>11.2</v>
      </c>
      <c r="J3490" s="71">
        <v>13.8</v>
      </c>
      <c r="K3490" s="121">
        <v>7.9000000000000008E-3</v>
      </c>
      <c r="L3490" s="121">
        <v>-7.0000000000000001E-3</v>
      </c>
      <c r="M3490" s="75" t="s">
        <v>146</v>
      </c>
      <c r="N3490" s="75" t="b">
        <v>1</v>
      </c>
      <c r="O3490" s="75" t="s">
        <v>145</v>
      </c>
      <c r="P3490" s="75">
        <v>2014</v>
      </c>
      <c r="Q3490" s="107">
        <f t="shared" si="102"/>
        <v>2017</v>
      </c>
      <c r="R3490" s="107">
        <v>2</v>
      </c>
      <c r="S3490" s="43">
        <v>217084</v>
      </c>
      <c r="T3490" s="74">
        <v>42956</v>
      </c>
    </row>
    <row r="3491" spans="1:20" x14ac:dyDescent="0.3">
      <c r="A3491" s="42">
        <v>42947</v>
      </c>
      <c r="B3491" s="37">
        <f t="shared" ref="B3491:B3550" si="103">YEAR(A3491)*10000+MONTH(A3491)*100+DAY(A3491)</f>
        <v>20170731</v>
      </c>
      <c r="C3491" s="109">
        <v>2.4E-2</v>
      </c>
      <c r="D3491" s="109">
        <v>6.0000000000000001E-3</v>
      </c>
      <c r="E3491" s="109">
        <v>8.0000000000000002E-3</v>
      </c>
      <c r="F3491" s="109">
        <v>8.9999999999999993E-3</v>
      </c>
      <c r="G3491" s="130">
        <v>0</v>
      </c>
      <c r="H3491" s="71">
        <v>8.6</v>
      </c>
      <c r="I3491" s="71">
        <v>11.2</v>
      </c>
      <c r="J3491" s="71">
        <v>13.8</v>
      </c>
      <c r="K3491" s="121">
        <v>8.1000000000000013E-3</v>
      </c>
      <c r="L3491" s="121">
        <v>-7.0000000000000001E-3</v>
      </c>
      <c r="M3491" s="75" t="s">
        <v>146</v>
      </c>
      <c r="N3491" s="75" t="b">
        <v>1</v>
      </c>
      <c r="O3491" s="75" t="s">
        <v>145</v>
      </c>
      <c r="P3491" s="75">
        <v>2014</v>
      </c>
      <c r="Q3491" s="107">
        <f t="shared" si="102"/>
        <v>2017</v>
      </c>
      <c r="R3491" s="107">
        <v>2</v>
      </c>
      <c r="S3491" s="43">
        <v>217084</v>
      </c>
      <c r="T3491" s="74">
        <v>42956</v>
      </c>
    </row>
    <row r="3492" spans="1:20" x14ac:dyDescent="0.3">
      <c r="A3492" s="42">
        <v>42948</v>
      </c>
      <c r="B3492" s="37">
        <f t="shared" si="103"/>
        <v>20170801</v>
      </c>
      <c r="C3492" s="109">
        <v>2.3099999999999999E-2</v>
      </c>
      <c r="D3492" s="109">
        <v>6.0000000000000001E-3</v>
      </c>
      <c r="E3492" s="109">
        <v>8.0000000000000002E-3</v>
      </c>
      <c r="F3492" s="109">
        <v>8.9999999999999993E-3</v>
      </c>
      <c r="G3492" s="130">
        <v>0</v>
      </c>
      <c r="H3492" s="71">
        <v>8.6</v>
      </c>
      <c r="I3492" s="71">
        <v>11.2</v>
      </c>
      <c r="J3492" s="71">
        <v>13.8</v>
      </c>
      <c r="K3492" s="121">
        <v>7.3000000000000001E-3</v>
      </c>
      <c r="L3492" s="121">
        <v>-7.0000000000000001E-3</v>
      </c>
      <c r="M3492" s="75" t="s">
        <v>146</v>
      </c>
      <c r="N3492" s="75" t="b">
        <v>1</v>
      </c>
      <c r="O3492" s="75" t="s">
        <v>145</v>
      </c>
      <c r="P3492" s="75">
        <v>2014</v>
      </c>
      <c r="Q3492" s="107">
        <f t="shared" si="102"/>
        <v>2017</v>
      </c>
      <c r="R3492" s="107">
        <v>2</v>
      </c>
      <c r="S3492" s="43">
        <v>217084</v>
      </c>
      <c r="T3492" s="74">
        <v>42956</v>
      </c>
    </row>
    <row r="3493" spans="1:20" x14ac:dyDescent="0.3">
      <c r="A3493" s="42">
        <v>42949</v>
      </c>
      <c r="B3493" s="37">
        <f t="shared" si="103"/>
        <v>20170802</v>
      </c>
      <c r="C3493" s="109">
        <v>2.29E-2</v>
      </c>
      <c r="D3493" s="109">
        <v>6.0000000000000001E-3</v>
      </c>
      <c r="E3493" s="109">
        <v>8.0000000000000002E-3</v>
      </c>
      <c r="F3493" s="109">
        <v>8.9999999999999993E-3</v>
      </c>
      <c r="G3493" s="130">
        <v>0</v>
      </c>
      <c r="H3493" s="71">
        <v>8.6</v>
      </c>
      <c r="I3493" s="71">
        <v>11.2</v>
      </c>
      <c r="J3493" s="71">
        <v>13.8</v>
      </c>
      <c r="K3493" s="121">
        <v>7.0999999999999995E-3</v>
      </c>
      <c r="L3493" s="121">
        <v>-7.0000000000000001E-3</v>
      </c>
      <c r="M3493" s="75" t="s">
        <v>146</v>
      </c>
      <c r="N3493" s="75" t="b">
        <v>1</v>
      </c>
      <c r="O3493" s="75" t="s">
        <v>145</v>
      </c>
      <c r="P3493" s="75">
        <v>2014</v>
      </c>
      <c r="Q3493" s="107">
        <f t="shared" si="102"/>
        <v>2017</v>
      </c>
      <c r="R3493" s="107">
        <v>2</v>
      </c>
      <c r="S3493" s="43">
        <v>217084</v>
      </c>
      <c r="T3493" s="74">
        <v>42956</v>
      </c>
    </row>
    <row r="3494" spans="1:20" x14ac:dyDescent="0.3">
      <c r="A3494" s="42">
        <v>42950</v>
      </c>
      <c r="B3494" s="37">
        <f t="shared" si="103"/>
        <v>20170803</v>
      </c>
      <c r="C3494" s="109">
        <v>2.2499999999999999E-2</v>
      </c>
      <c r="D3494" s="109">
        <v>6.0000000000000001E-3</v>
      </c>
      <c r="E3494" s="109">
        <v>8.0000000000000002E-3</v>
      </c>
      <c r="F3494" s="109">
        <v>8.9999999999999993E-3</v>
      </c>
      <c r="G3494" s="130">
        <v>0</v>
      </c>
      <c r="H3494" s="71">
        <v>8.6</v>
      </c>
      <c r="I3494" s="71">
        <v>11.2</v>
      </c>
      <c r="J3494" s="71">
        <v>13.8</v>
      </c>
      <c r="K3494" s="121">
        <v>6.7000000000000002E-3</v>
      </c>
      <c r="L3494" s="121">
        <v>-7.0000000000000001E-3</v>
      </c>
      <c r="M3494" s="75" t="s">
        <v>146</v>
      </c>
      <c r="N3494" s="75" t="b">
        <v>1</v>
      </c>
      <c r="O3494" s="75" t="s">
        <v>145</v>
      </c>
      <c r="P3494" s="75">
        <v>2014</v>
      </c>
      <c r="Q3494" s="107">
        <f t="shared" si="102"/>
        <v>2017</v>
      </c>
      <c r="R3494" s="107">
        <v>2</v>
      </c>
      <c r="S3494" s="43">
        <v>217084</v>
      </c>
      <c r="T3494" s="74">
        <v>42956</v>
      </c>
    </row>
    <row r="3495" spans="1:20" x14ac:dyDescent="0.3">
      <c r="A3495" s="42">
        <v>42951</v>
      </c>
      <c r="B3495" s="37">
        <f t="shared" si="103"/>
        <v>20170804</v>
      </c>
      <c r="C3495" s="109">
        <v>2.2700000000000001E-2</v>
      </c>
      <c r="D3495" s="109">
        <v>6.0000000000000001E-3</v>
      </c>
      <c r="E3495" s="109">
        <v>8.0000000000000002E-3</v>
      </c>
      <c r="F3495" s="109">
        <v>8.9999999999999993E-3</v>
      </c>
      <c r="G3495" s="130">
        <v>0</v>
      </c>
      <c r="H3495" s="71">
        <v>8.6</v>
      </c>
      <c r="I3495" s="71">
        <v>11.2</v>
      </c>
      <c r="J3495" s="71">
        <v>13.8</v>
      </c>
      <c r="K3495" s="121">
        <v>7.0999999999999995E-3</v>
      </c>
      <c r="L3495" s="121">
        <v>-7.0000000000000001E-3</v>
      </c>
      <c r="M3495" s="75" t="s">
        <v>146</v>
      </c>
      <c r="N3495" s="75" t="b">
        <v>1</v>
      </c>
      <c r="O3495" s="75" t="s">
        <v>145</v>
      </c>
      <c r="P3495" s="75">
        <v>2014</v>
      </c>
      <c r="Q3495" s="107">
        <f t="shared" si="102"/>
        <v>2017</v>
      </c>
      <c r="R3495" s="107">
        <v>2</v>
      </c>
      <c r="S3495" s="43">
        <v>217084</v>
      </c>
      <c r="T3495" s="74">
        <v>42956</v>
      </c>
    </row>
    <row r="3496" spans="1:20" x14ac:dyDescent="0.3">
      <c r="A3496" s="42">
        <v>42952</v>
      </c>
      <c r="B3496" s="37">
        <f t="shared" si="103"/>
        <v>20170805</v>
      </c>
      <c r="C3496" s="109">
        <v>2.2700000000000001E-2</v>
      </c>
      <c r="D3496" s="109">
        <v>6.0000000000000001E-3</v>
      </c>
      <c r="E3496" s="109">
        <v>8.0000000000000002E-3</v>
      </c>
      <c r="F3496" s="109">
        <v>8.9999999999999993E-3</v>
      </c>
      <c r="G3496" s="130">
        <v>0</v>
      </c>
      <c r="H3496" s="71">
        <v>8.6</v>
      </c>
      <c r="I3496" s="71">
        <v>11.2</v>
      </c>
      <c r="J3496" s="71">
        <v>13.8</v>
      </c>
      <c r="K3496" s="121">
        <v>7.0999999999999995E-3</v>
      </c>
      <c r="L3496" s="121">
        <v>-7.0000000000000001E-3</v>
      </c>
      <c r="M3496" s="75" t="s">
        <v>146</v>
      </c>
      <c r="N3496" s="75" t="b">
        <v>1</v>
      </c>
      <c r="O3496" s="75" t="s">
        <v>145</v>
      </c>
      <c r="P3496" s="75">
        <v>2014</v>
      </c>
      <c r="Q3496" s="107">
        <f t="shared" si="102"/>
        <v>2017</v>
      </c>
      <c r="R3496" s="107">
        <v>2</v>
      </c>
      <c r="S3496" s="43">
        <v>217084</v>
      </c>
      <c r="T3496" s="74">
        <v>42956</v>
      </c>
    </row>
    <row r="3497" spans="1:20" x14ac:dyDescent="0.3">
      <c r="A3497" s="42">
        <v>42953</v>
      </c>
      <c r="B3497" s="37">
        <f t="shared" si="103"/>
        <v>20170806</v>
      </c>
      <c r="C3497" s="109">
        <v>2.2700000000000001E-2</v>
      </c>
      <c r="D3497" s="109">
        <v>6.0000000000000001E-3</v>
      </c>
      <c r="E3497" s="109">
        <v>8.0000000000000002E-3</v>
      </c>
      <c r="F3497" s="109">
        <v>8.9999999999999993E-3</v>
      </c>
      <c r="G3497" s="130">
        <v>0</v>
      </c>
      <c r="H3497" s="71">
        <v>8.6</v>
      </c>
      <c r="I3497" s="71">
        <v>11.2</v>
      </c>
      <c r="J3497" s="71">
        <v>13.8</v>
      </c>
      <c r="K3497" s="121">
        <v>7.0999999999999995E-3</v>
      </c>
      <c r="L3497" s="121">
        <v>-7.0000000000000001E-3</v>
      </c>
      <c r="M3497" s="75" t="s">
        <v>146</v>
      </c>
      <c r="N3497" s="75" t="b">
        <v>1</v>
      </c>
      <c r="O3497" s="75" t="s">
        <v>145</v>
      </c>
      <c r="P3497" s="75">
        <v>2014</v>
      </c>
      <c r="Q3497" s="107">
        <f t="shared" si="102"/>
        <v>2017</v>
      </c>
      <c r="R3497" s="107">
        <v>2</v>
      </c>
      <c r="S3497" s="43">
        <v>217084</v>
      </c>
      <c r="T3497" s="74">
        <v>42956</v>
      </c>
    </row>
    <row r="3498" spans="1:20" x14ac:dyDescent="0.3">
      <c r="A3498" s="42">
        <v>42954</v>
      </c>
      <c r="B3498" s="37">
        <f t="shared" si="103"/>
        <v>20170807</v>
      </c>
      <c r="C3498" s="109">
        <v>2.2700000000000001E-2</v>
      </c>
      <c r="D3498" s="109">
        <v>6.0000000000000001E-3</v>
      </c>
      <c r="E3498" s="109">
        <v>8.0000000000000002E-3</v>
      </c>
      <c r="F3498" s="109">
        <v>8.9999999999999993E-3</v>
      </c>
      <c r="G3498" s="130">
        <v>0</v>
      </c>
      <c r="H3498" s="71">
        <v>8.6</v>
      </c>
      <c r="I3498" s="71">
        <v>11.2</v>
      </c>
      <c r="J3498" s="71">
        <v>13.8</v>
      </c>
      <c r="K3498" s="121">
        <v>7.1000000000000004E-3</v>
      </c>
      <c r="L3498" s="121">
        <v>-7.0000000000000001E-3</v>
      </c>
      <c r="M3498" s="75" t="s">
        <v>146</v>
      </c>
      <c r="N3498" s="75" t="b">
        <v>1</v>
      </c>
      <c r="O3498" s="75" t="s">
        <v>145</v>
      </c>
      <c r="P3498" s="75">
        <v>2014</v>
      </c>
      <c r="Q3498" s="107">
        <f t="shared" si="102"/>
        <v>2017</v>
      </c>
      <c r="R3498" s="107">
        <v>2</v>
      </c>
      <c r="S3498" s="43">
        <v>217084</v>
      </c>
      <c r="T3498" s="74">
        <v>42956</v>
      </c>
    </row>
    <row r="3499" spans="1:20" x14ac:dyDescent="0.3">
      <c r="A3499" s="42">
        <v>42955</v>
      </c>
      <c r="B3499" s="37">
        <f t="shared" si="103"/>
        <v>20170808</v>
      </c>
      <c r="C3499" s="109">
        <v>2.29E-2</v>
      </c>
      <c r="D3499" s="109">
        <v>6.0000000000000001E-3</v>
      </c>
      <c r="E3499" s="109">
        <v>8.0000000000000002E-3</v>
      </c>
      <c r="F3499" s="109">
        <v>8.9999999999999993E-3</v>
      </c>
      <c r="G3499" s="130">
        <v>0</v>
      </c>
      <c r="H3499" s="71">
        <v>8.6</v>
      </c>
      <c r="I3499" s="71">
        <v>11.2</v>
      </c>
      <c r="J3499" s="71">
        <v>13.8</v>
      </c>
      <c r="K3499" s="121">
        <v>7.0999999999999995E-3</v>
      </c>
      <c r="L3499" s="121">
        <v>-7.0000000000000001E-3</v>
      </c>
      <c r="M3499" s="75" t="s">
        <v>146</v>
      </c>
      <c r="N3499" s="75" t="b">
        <v>1</v>
      </c>
      <c r="O3499" s="75" t="s">
        <v>145</v>
      </c>
      <c r="P3499" s="75">
        <v>2014</v>
      </c>
      <c r="Q3499" s="107">
        <f t="shared" si="102"/>
        <v>2017</v>
      </c>
      <c r="R3499" s="107">
        <v>2</v>
      </c>
      <c r="S3499" s="43">
        <v>217084</v>
      </c>
      <c r="T3499" s="74">
        <v>42956</v>
      </c>
    </row>
    <row r="3500" spans="1:20" x14ac:dyDescent="0.3">
      <c r="A3500" s="42">
        <v>42956</v>
      </c>
      <c r="B3500" s="37">
        <f t="shared" si="103"/>
        <v>20170809</v>
      </c>
      <c r="C3500" s="109">
        <v>2.2599999999999999E-2</v>
      </c>
      <c r="D3500" s="109">
        <v>6.0000000000000001E-3</v>
      </c>
      <c r="E3500" s="109">
        <v>8.0000000000000002E-3</v>
      </c>
      <c r="F3500" s="109">
        <v>8.9999999999999993E-3</v>
      </c>
      <c r="G3500" s="130">
        <v>0</v>
      </c>
      <c r="H3500" s="71">
        <v>8.6</v>
      </c>
      <c r="I3500" s="71">
        <v>11.2</v>
      </c>
      <c r="J3500" s="71">
        <v>13.8</v>
      </c>
      <c r="K3500" s="121">
        <v>6.8999999999999999E-3</v>
      </c>
      <c r="L3500" s="121">
        <v>-7.0000000000000001E-3</v>
      </c>
      <c r="M3500" s="75" t="s">
        <v>146</v>
      </c>
      <c r="N3500" s="75" t="b">
        <v>1</v>
      </c>
      <c r="O3500" s="75" t="s">
        <v>145</v>
      </c>
      <c r="P3500" s="75">
        <v>2014</v>
      </c>
      <c r="Q3500" s="107">
        <f t="shared" si="102"/>
        <v>2017</v>
      </c>
      <c r="R3500" s="107">
        <v>2</v>
      </c>
      <c r="S3500" s="43">
        <v>217084</v>
      </c>
      <c r="T3500" s="74">
        <v>42956</v>
      </c>
    </row>
    <row r="3501" spans="1:20" x14ac:dyDescent="0.3">
      <c r="A3501" s="42">
        <v>42957</v>
      </c>
      <c r="B3501" s="37">
        <f t="shared" si="103"/>
        <v>20170810</v>
      </c>
      <c r="C3501" s="109">
        <v>2.2099999999999998E-2</v>
      </c>
      <c r="D3501" s="109">
        <v>6.0000000000000001E-3</v>
      </c>
      <c r="E3501" s="109">
        <v>8.0000000000000002E-3</v>
      </c>
      <c r="F3501" s="109">
        <v>8.9999999999999993E-3</v>
      </c>
      <c r="G3501" s="130">
        <v>0</v>
      </c>
      <c r="H3501" s="71">
        <v>8.6</v>
      </c>
      <c r="I3501" s="71">
        <v>11.2</v>
      </c>
      <c r="J3501" s="71">
        <v>13.8</v>
      </c>
      <c r="K3501" s="121">
        <v>6.4000000000000003E-3</v>
      </c>
      <c r="L3501" s="121">
        <v>-7.0000000000000001E-3</v>
      </c>
      <c r="M3501" s="75" t="s">
        <v>146</v>
      </c>
      <c r="N3501" s="75" t="b">
        <v>1</v>
      </c>
      <c r="O3501" s="75" t="s">
        <v>145</v>
      </c>
      <c r="P3501" s="75">
        <v>2014</v>
      </c>
      <c r="Q3501" s="107">
        <f t="shared" si="102"/>
        <v>2017</v>
      </c>
      <c r="R3501" s="107">
        <v>2</v>
      </c>
      <c r="S3501" s="43">
        <v>217084</v>
      </c>
      <c r="T3501" s="74">
        <v>42956</v>
      </c>
    </row>
    <row r="3502" spans="1:20" x14ac:dyDescent="0.3">
      <c r="A3502" s="42">
        <v>42958</v>
      </c>
      <c r="B3502" s="37">
        <f t="shared" si="103"/>
        <v>20170811</v>
      </c>
      <c r="C3502" s="109">
        <v>2.2099999999999998E-2</v>
      </c>
      <c r="D3502" s="109">
        <v>6.0000000000000001E-3</v>
      </c>
      <c r="E3502" s="109">
        <v>8.0000000000000002E-3</v>
      </c>
      <c r="F3502" s="109">
        <v>8.9999999999999993E-3</v>
      </c>
      <c r="G3502" s="130">
        <v>0</v>
      </c>
      <c r="H3502" s="71">
        <v>8.6</v>
      </c>
      <c r="I3502" s="71">
        <v>11.2</v>
      </c>
      <c r="J3502" s="71">
        <v>13.8</v>
      </c>
      <c r="K3502" s="121">
        <v>6.5000000000000006E-3</v>
      </c>
      <c r="L3502" s="121">
        <v>-7.0000000000000001E-3</v>
      </c>
      <c r="M3502" s="75" t="s">
        <v>146</v>
      </c>
      <c r="N3502" s="75" t="b">
        <v>1</v>
      </c>
      <c r="O3502" s="75" t="s">
        <v>145</v>
      </c>
      <c r="P3502" s="75">
        <v>2014</v>
      </c>
      <c r="Q3502" s="107">
        <f t="shared" ref="Q3502:Q3565" si="104">YEAR(A3502)</f>
        <v>2017</v>
      </c>
      <c r="R3502" s="107">
        <v>2</v>
      </c>
      <c r="S3502" s="43">
        <v>217084</v>
      </c>
      <c r="T3502" s="74">
        <v>42956</v>
      </c>
    </row>
    <row r="3503" spans="1:20" x14ac:dyDescent="0.3">
      <c r="A3503" s="42">
        <v>42959</v>
      </c>
      <c r="B3503" s="37">
        <f t="shared" si="103"/>
        <v>20170812</v>
      </c>
      <c r="C3503" s="109">
        <v>2.2099999999999998E-2</v>
      </c>
      <c r="D3503" s="109">
        <v>6.0000000000000001E-3</v>
      </c>
      <c r="E3503" s="109">
        <v>8.0000000000000002E-3</v>
      </c>
      <c r="F3503" s="109">
        <v>8.9999999999999993E-3</v>
      </c>
      <c r="G3503" s="130">
        <v>0</v>
      </c>
      <c r="H3503" s="71">
        <v>8.6</v>
      </c>
      <c r="I3503" s="71">
        <v>11.2</v>
      </c>
      <c r="J3503" s="71">
        <v>13.8</v>
      </c>
      <c r="K3503" s="121">
        <v>6.5000000000000006E-3</v>
      </c>
      <c r="L3503" s="121">
        <v>-7.0000000000000001E-3</v>
      </c>
      <c r="M3503" s="75" t="s">
        <v>146</v>
      </c>
      <c r="N3503" s="75" t="b">
        <v>1</v>
      </c>
      <c r="O3503" s="75" t="s">
        <v>145</v>
      </c>
      <c r="P3503" s="75">
        <v>2014</v>
      </c>
      <c r="Q3503" s="107">
        <f t="shared" si="104"/>
        <v>2017</v>
      </c>
      <c r="R3503" s="107">
        <v>2</v>
      </c>
      <c r="S3503" s="43">
        <v>217084</v>
      </c>
      <c r="T3503" s="74">
        <v>42956</v>
      </c>
    </row>
    <row r="3504" spans="1:20" x14ac:dyDescent="0.3">
      <c r="A3504" s="42">
        <v>42960</v>
      </c>
      <c r="B3504" s="37">
        <f t="shared" si="103"/>
        <v>20170813</v>
      </c>
      <c r="C3504" s="109">
        <v>2.2099999999999998E-2</v>
      </c>
      <c r="D3504" s="109">
        <v>6.0000000000000001E-3</v>
      </c>
      <c r="E3504" s="109">
        <v>8.0000000000000002E-3</v>
      </c>
      <c r="F3504" s="109">
        <v>8.9999999999999993E-3</v>
      </c>
      <c r="G3504" s="130">
        <v>0</v>
      </c>
      <c r="H3504" s="71">
        <v>8.6</v>
      </c>
      <c r="I3504" s="71">
        <v>11.2</v>
      </c>
      <c r="J3504" s="71">
        <v>13.8</v>
      </c>
      <c r="K3504" s="121">
        <v>6.5000000000000006E-3</v>
      </c>
      <c r="L3504" s="121">
        <v>-7.0000000000000001E-3</v>
      </c>
      <c r="M3504" s="75" t="s">
        <v>146</v>
      </c>
      <c r="N3504" s="75" t="b">
        <v>1</v>
      </c>
      <c r="O3504" s="75" t="s">
        <v>145</v>
      </c>
      <c r="P3504" s="75">
        <v>2014</v>
      </c>
      <c r="Q3504" s="107">
        <f t="shared" si="104"/>
        <v>2017</v>
      </c>
      <c r="R3504" s="107">
        <v>2</v>
      </c>
      <c r="S3504" s="43">
        <v>217084</v>
      </c>
      <c r="T3504" s="74">
        <v>42956</v>
      </c>
    </row>
    <row r="3505" spans="1:20" x14ac:dyDescent="0.3">
      <c r="A3505" s="42">
        <v>42961</v>
      </c>
      <c r="B3505" s="37">
        <f t="shared" si="103"/>
        <v>20170814</v>
      </c>
      <c r="C3505" s="109">
        <v>2.2400000000000003E-2</v>
      </c>
      <c r="D3505" s="109">
        <v>6.0000000000000001E-3</v>
      </c>
      <c r="E3505" s="109">
        <v>8.0000000000000002E-3</v>
      </c>
      <c r="F3505" s="109">
        <v>8.9999999999999993E-3</v>
      </c>
      <c r="G3505" s="130">
        <v>0</v>
      </c>
      <c r="H3505" s="71">
        <v>8.6</v>
      </c>
      <c r="I3505" s="71">
        <v>11.2</v>
      </c>
      <c r="J3505" s="71">
        <v>13.8</v>
      </c>
      <c r="K3505" s="121">
        <v>6.7000000000000002E-3</v>
      </c>
      <c r="L3505" s="121">
        <v>-7.0000000000000001E-3</v>
      </c>
      <c r="M3505" s="75" t="s">
        <v>146</v>
      </c>
      <c r="N3505" s="75" t="b">
        <v>1</v>
      </c>
      <c r="O3505" s="75" t="s">
        <v>145</v>
      </c>
      <c r="P3505" s="75">
        <v>2014</v>
      </c>
      <c r="Q3505" s="107">
        <f t="shared" si="104"/>
        <v>2017</v>
      </c>
      <c r="R3505" s="107">
        <v>2</v>
      </c>
      <c r="S3505" s="43">
        <v>217084</v>
      </c>
      <c r="T3505" s="74">
        <v>42956</v>
      </c>
    </row>
    <row r="3506" spans="1:20" x14ac:dyDescent="0.3">
      <c r="A3506" s="42">
        <v>42962</v>
      </c>
      <c r="B3506" s="37">
        <f t="shared" si="103"/>
        <v>20170815</v>
      </c>
      <c r="C3506" s="109">
        <v>2.2599999999999999E-2</v>
      </c>
      <c r="D3506" s="109">
        <v>6.0000000000000001E-3</v>
      </c>
      <c r="E3506" s="109">
        <v>8.0000000000000002E-3</v>
      </c>
      <c r="F3506" s="109">
        <v>8.9999999999999993E-3</v>
      </c>
      <c r="G3506" s="130">
        <v>0</v>
      </c>
      <c r="H3506" s="71">
        <v>8.6</v>
      </c>
      <c r="I3506" s="71">
        <v>11.2</v>
      </c>
      <c r="J3506" s="71">
        <v>13.8</v>
      </c>
      <c r="K3506" s="121">
        <v>6.8999999999999999E-3</v>
      </c>
      <c r="L3506" s="121">
        <v>-7.0000000000000001E-3</v>
      </c>
      <c r="M3506" s="75" t="s">
        <v>146</v>
      </c>
      <c r="N3506" s="75" t="b">
        <v>1</v>
      </c>
      <c r="O3506" s="75" t="s">
        <v>145</v>
      </c>
      <c r="P3506" s="75">
        <v>2014</v>
      </c>
      <c r="Q3506" s="107">
        <f t="shared" si="104"/>
        <v>2017</v>
      </c>
      <c r="R3506" s="107">
        <v>2</v>
      </c>
      <c r="S3506" s="43">
        <v>217084</v>
      </c>
      <c r="T3506" s="74">
        <v>42956</v>
      </c>
    </row>
    <row r="3507" spans="1:20" x14ac:dyDescent="0.3">
      <c r="A3507" s="42">
        <v>42963</v>
      </c>
      <c r="B3507" s="37">
        <f t="shared" si="103"/>
        <v>20170816</v>
      </c>
      <c r="C3507" s="109">
        <v>2.23E-2</v>
      </c>
      <c r="D3507" s="109">
        <v>6.0000000000000001E-3</v>
      </c>
      <c r="E3507" s="109">
        <v>8.0000000000000002E-3</v>
      </c>
      <c r="F3507" s="109">
        <v>8.9999999999999993E-3</v>
      </c>
      <c r="G3507" s="130">
        <v>0</v>
      </c>
      <c r="H3507" s="71">
        <v>8.6</v>
      </c>
      <c r="I3507" s="71">
        <v>11.2</v>
      </c>
      <c r="J3507" s="71">
        <v>13.8</v>
      </c>
      <c r="K3507" s="121">
        <v>6.8000000000000005E-3</v>
      </c>
      <c r="L3507" s="121">
        <v>-7.0000000000000001E-3</v>
      </c>
      <c r="M3507" s="75" t="s">
        <v>146</v>
      </c>
      <c r="N3507" s="75" t="b">
        <v>1</v>
      </c>
      <c r="O3507" s="75" t="s">
        <v>145</v>
      </c>
      <c r="P3507" s="75">
        <v>2014</v>
      </c>
      <c r="Q3507" s="107">
        <f t="shared" si="104"/>
        <v>2017</v>
      </c>
      <c r="R3507" s="107">
        <v>2</v>
      </c>
      <c r="S3507" s="43">
        <v>217084</v>
      </c>
      <c r="T3507" s="74">
        <v>42956</v>
      </c>
    </row>
    <row r="3508" spans="1:20" x14ac:dyDescent="0.3">
      <c r="A3508" s="42">
        <v>42964</v>
      </c>
      <c r="B3508" s="37">
        <f t="shared" si="103"/>
        <v>20170817</v>
      </c>
      <c r="C3508" s="109">
        <v>2.2099999999999998E-2</v>
      </c>
      <c r="D3508" s="109">
        <v>6.0000000000000001E-3</v>
      </c>
      <c r="E3508" s="109">
        <v>8.0000000000000002E-3</v>
      </c>
      <c r="F3508" s="109">
        <v>8.9999999999999993E-3</v>
      </c>
      <c r="G3508" s="130">
        <v>0</v>
      </c>
      <c r="H3508" s="71">
        <v>8.6</v>
      </c>
      <c r="I3508" s="71">
        <v>11.2</v>
      </c>
      <c r="J3508" s="71">
        <v>13.8</v>
      </c>
      <c r="K3508" s="121">
        <v>6.8000000000000005E-3</v>
      </c>
      <c r="L3508" s="121">
        <v>-7.0000000000000001E-3</v>
      </c>
      <c r="M3508" s="75" t="s">
        <v>146</v>
      </c>
      <c r="N3508" s="75" t="b">
        <v>1</v>
      </c>
      <c r="O3508" s="75" t="s">
        <v>145</v>
      </c>
      <c r="P3508" s="75">
        <v>2014</v>
      </c>
      <c r="Q3508" s="107">
        <f t="shared" si="104"/>
        <v>2017</v>
      </c>
      <c r="R3508" s="107">
        <v>2</v>
      </c>
      <c r="S3508" s="43">
        <v>217084</v>
      </c>
      <c r="T3508" s="74">
        <v>42956</v>
      </c>
    </row>
    <row r="3509" spans="1:20" x14ac:dyDescent="0.3">
      <c r="A3509" s="42">
        <v>42965</v>
      </c>
      <c r="B3509" s="37">
        <f t="shared" si="103"/>
        <v>20170818</v>
      </c>
      <c r="C3509" s="109">
        <v>2.2099999999999998E-2</v>
      </c>
      <c r="D3509" s="109">
        <v>6.0000000000000001E-3</v>
      </c>
      <c r="E3509" s="109">
        <v>8.0000000000000002E-3</v>
      </c>
      <c r="F3509" s="109">
        <v>8.9999999999999993E-3</v>
      </c>
      <c r="G3509" s="130">
        <v>0</v>
      </c>
      <c r="H3509" s="71">
        <v>8.6</v>
      </c>
      <c r="I3509" s="71">
        <v>11.2</v>
      </c>
      <c r="J3509" s="71">
        <v>13.8</v>
      </c>
      <c r="K3509" s="121">
        <v>6.9999999999999993E-3</v>
      </c>
      <c r="L3509" s="121">
        <v>-7.0000000000000001E-3</v>
      </c>
      <c r="M3509" s="75" t="s">
        <v>146</v>
      </c>
      <c r="N3509" s="75" t="b">
        <v>1</v>
      </c>
      <c r="O3509" s="75" t="s">
        <v>145</v>
      </c>
      <c r="P3509" s="75">
        <v>2014</v>
      </c>
      <c r="Q3509" s="107">
        <f t="shared" si="104"/>
        <v>2017</v>
      </c>
      <c r="R3509" s="107">
        <v>2</v>
      </c>
      <c r="S3509" s="43">
        <v>217084</v>
      </c>
      <c r="T3509" s="74">
        <v>42956</v>
      </c>
    </row>
    <row r="3510" spans="1:20" x14ac:dyDescent="0.3">
      <c r="A3510" s="42">
        <v>42966</v>
      </c>
      <c r="B3510" s="37">
        <f t="shared" si="103"/>
        <v>20170819</v>
      </c>
      <c r="C3510" s="109">
        <v>2.2099999999999998E-2</v>
      </c>
      <c r="D3510" s="109">
        <v>6.0000000000000001E-3</v>
      </c>
      <c r="E3510" s="109">
        <v>8.0000000000000002E-3</v>
      </c>
      <c r="F3510" s="109">
        <v>8.9999999999999993E-3</v>
      </c>
      <c r="G3510" s="130">
        <v>0</v>
      </c>
      <c r="H3510" s="71">
        <v>8.6</v>
      </c>
      <c r="I3510" s="71">
        <v>11.2</v>
      </c>
      <c r="J3510" s="71">
        <v>13.8</v>
      </c>
      <c r="K3510" s="121">
        <v>6.9999999999999993E-3</v>
      </c>
      <c r="L3510" s="121">
        <v>-7.0000000000000001E-3</v>
      </c>
      <c r="M3510" s="75" t="s">
        <v>146</v>
      </c>
      <c r="N3510" s="75" t="b">
        <v>1</v>
      </c>
      <c r="O3510" s="75" t="s">
        <v>145</v>
      </c>
      <c r="P3510" s="75">
        <v>2014</v>
      </c>
      <c r="Q3510" s="107">
        <f t="shared" si="104"/>
        <v>2017</v>
      </c>
      <c r="R3510" s="107">
        <v>2</v>
      </c>
      <c r="S3510" s="43">
        <v>217084</v>
      </c>
      <c r="T3510" s="74">
        <v>42956</v>
      </c>
    </row>
    <row r="3511" spans="1:20" x14ac:dyDescent="0.3">
      <c r="A3511" s="42">
        <v>42967</v>
      </c>
      <c r="B3511" s="37">
        <f t="shared" si="103"/>
        <v>20170820</v>
      </c>
      <c r="C3511" s="109">
        <v>2.2099999999999998E-2</v>
      </c>
      <c r="D3511" s="109">
        <v>6.0000000000000001E-3</v>
      </c>
      <c r="E3511" s="109">
        <v>8.0000000000000002E-3</v>
      </c>
      <c r="F3511" s="109">
        <v>8.9999999999999993E-3</v>
      </c>
      <c r="G3511" s="130">
        <v>0</v>
      </c>
      <c r="H3511" s="71">
        <v>8.6</v>
      </c>
      <c r="I3511" s="71">
        <v>11.2</v>
      </c>
      <c r="J3511" s="71">
        <v>13.8</v>
      </c>
      <c r="K3511" s="121">
        <v>6.9999999999999993E-3</v>
      </c>
      <c r="L3511" s="121">
        <v>-7.0000000000000001E-3</v>
      </c>
      <c r="M3511" s="75" t="s">
        <v>146</v>
      </c>
      <c r="N3511" s="75" t="b">
        <v>1</v>
      </c>
      <c r="O3511" s="75" t="s">
        <v>145</v>
      </c>
      <c r="P3511" s="75">
        <v>2014</v>
      </c>
      <c r="Q3511" s="107">
        <f t="shared" si="104"/>
        <v>2017</v>
      </c>
      <c r="R3511" s="107">
        <v>2</v>
      </c>
      <c r="S3511" s="43">
        <v>217084</v>
      </c>
      <c r="T3511" s="74">
        <v>42956</v>
      </c>
    </row>
    <row r="3512" spans="1:20" x14ac:dyDescent="0.3">
      <c r="A3512" s="42">
        <v>42968</v>
      </c>
      <c r="B3512" s="37">
        <f t="shared" si="103"/>
        <v>20170821</v>
      </c>
      <c r="C3512" s="109">
        <v>2.2200000000000001E-2</v>
      </c>
      <c r="D3512" s="109">
        <v>6.0000000000000001E-3</v>
      </c>
      <c r="E3512" s="109">
        <v>8.0000000000000002E-3</v>
      </c>
      <c r="F3512" s="109">
        <v>8.9999999999999993E-3</v>
      </c>
      <c r="G3512" s="130">
        <v>0</v>
      </c>
      <c r="H3512" s="71">
        <v>8.6</v>
      </c>
      <c r="I3512" s="71">
        <v>11.2</v>
      </c>
      <c r="J3512" s="71">
        <v>13.8</v>
      </c>
      <c r="K3512" s="121">
        <v>7.0999999999999995E-3</v>
      </c>
      <c r="L3512" s="121">
        <v>-7.0000000000000001E-3</v>
      </c>
      <c r="M3512" s="75" t="s">
        <v>146</v>
      </c>
      <c r="N3512" s="75" t="b">
        <v>1</v>
      </c>
      <c r="O3512" s="75" t="s">
        <v>145</v>
      </c>
      <c r="P3512" s="75">
        <v>2014</v>
      </c>
      <c r="Q3512" s="107">
        <f t="shared" si="104"/>
        <v>2017</v>
      </c>
      <c r="R3512" s="107">
        <v>2</v>
      </c>
      <c r="S3512" s="43">
        <v>217084</v>
      </c>
      <c r="T3512" s="74">
        <v>42956</v>
      </c>
    </row>
    <row r="3513" spans="1:20" x14ac:dyDescent="0.3">
      <c r="A3513" s="42">
        <v>42969</v>
      </c>
      <c r="B3513" s="37">
        <f t="shared" si="103"/>
        <v>20170822</v>
      </c>
      <c r="C3513" s="109">
        <v>2.2400000000000003E-2</v>
      </c>
      <c r="D3513" s="109">
        <v>6.0000000000000001E-3</v>
      </c>
      <c r="E3513" s="109">
        <v>8.0000000000000002E-3</v>
      </c>
      <c r="F3513" s="109">
        <v>8.9999999999999993E-3</v>
      </c>
      <c r="G3513" s="130">
        <v>0</v>
      </c>
      <c r="H3513" s="71">
        <v>8.6</v>
      </c>
      <c r="I3513" s="71">
        <v>11.2</v>
      </c>
      <c r="J3513" s="71">
        <v>13.8</v>
      </c>
      <c r="K3513" s="121">
        <v>7.3000000000000001E-3</v>
      </c>
      <c r="L3513" s="121">
        <v>-7.0000000000000001E-3</v>
      </c>
      <c r="M3513" s="75" t="s">
        <v>146</v>
      </c>
      <c r="N3513" s="75" t="b">
        <v>1</v>
      </c>
      <c r="O3513" s="75" t="s">
        <v>145</v>
      </c>
      <c r="P3513" s="75">
        <v>2014</v>
      </c>
      <c r="Q3513" s="107">
        <f t="shared" si="104"/>
        <v>2017</v>
      </c>
      <c r="R3513" s="107">
        <v>2</v>
      </c>
      <c r="S3513" s="43">
        <v>217084</v>
      </c>
      <c r="T3513" s="74">
        <v>42956</v>
      </c>
    </row>
    <row r="3514" spans="1:20" x14ac:dyDescent="0.3">
      <c r="A3514" s="42">
        <v>42970</v>
      </c>
      <c r="B3514" s="37">
        <f t="shared" si="103"/>
        <v>20170823</v>
      </c>
      <c r="C3514" s="109">
        <v>2.2200000000000001E-2</v>
      </c>
      <c r="D3514" s="109">
        <v>6.0000000000000001E-3</v>
      </c>
      <c r="E3514" s="109">
        <v>8.0000000000000002E-3</v>
      </c>
      <c r="F3514" s="109">
        <v>8.9999999999999993E-3</v>
      </c>
      <c r="G3514" s="130">
        <v>0</v>
      </c>
      <c r="H3514" s="71">
        <v>8.6</v>
      </c>
      <c r="I3514" s="71">
        <v>11.2</v>
      </c>
      <c r="J3514" s="71">
        <v>13.8</v>
      </c>
      <c r="K3514" s="121">
        <v>7.0999999999999995E-3</v>
      </c>
      <c r="L3514" s="121">
        <v>-7.0000000000000001E-3</v>
      </c>
      <c r="M3514" s="75" t="s">
        <v>146</v>
      </c>
      <c r="N3514" s="75" t="b">
        <v>1</v>
      </c>
      <c r="O3514" s="75" t="s">
        <v>145</v>
      </c>
      <c r="P3514" s="75">
        <v>2014</v>
      </c>
      <c r="Q3514" s="107">
        <f t="shared" si="104"/>
        <v>2017</v>
      </c>
      <c r="R3514" s="107">
        <v>2</v>
      </c>
      <c r="S3514" s="43">
        <v>217084</v>
      </c>
      <c r="T3514" s="74">
        <v>42956</v>
      </c>
    </row>
    <row r="3515" spans="1:20" x14ac:dyDescent="0.3">
      <c r="A3515" s="42">
        <v>42971</v>
      </c>
      <c r="B3515" s="37">
        <f t="shared" si="103"/>
        <v>20170824</v>
      </c>
      <c r="C3515" s="109">
        <v>2.23E-2</v>
      </c>
      <c r="D3515" s="109">
        <v>6.0000000000000001E-3</v>
      </c>
      <c r="E3515" s="109">
        <v>8.0000000000000002E-3</v>
      </c>
      <c r="F3515" s="109">
        <v>8.9999999999999993E-3</v>
      </c>
      <c r="G3515" s="130">
        <v>0</v>
      </c>
      <c r="H3515" s="71">
        <v>8.6</v>
      </c>
      <c r="I3515" s="71">
        <v>11.2</v>
      </c>
      <c r="J3515" s="71">
        <v>13.8</v>
      </c>
      <c r="K3515" s="121">
        <v>7.3000000000000001E-3</v>
      </c>
      <c r="L3515" s="121">
        <v>-7.0000000000000001E-3</v>
      </c>
      <c r="M3515" s="75" t="s">
        <v>146</v>
      </c>
      <c r="N3515" s="75" t="b">
        <v>1</v>
      </c>
      <c r="O3515" s="75" t="s">
        <v>145</v>
      </c>
      <c r="P3515" s="75">
        <v>2014</v>
      </c>
      <c r="Q3515" s="107">
        <f t="shared" si="104"/>
        <v>2017</v>
      </c>
      <c r="R3515" s="107">
        <v>2</v>
      </c>
      <c r="S3515" s="43">
        <v>217084</v>
      </c>
      <c r="T3515" s="74">
        <v>42956</v>
      </c>
    </row>
    <row r="3516" spans="1:20" x14ac:dyDescent="0.3">
      <c r="A3516" s="42">
        <v>42972</v>
      </c>
      <c r="B3516" s="37">
        <f t="shared" si="103"/>
        <v>20170825</v>
      </c>
      <c r="C3516" s="109">
        <v>2.2200000000000001E-2</v>
      </c>
      <c r="D3516" s="109">
        <v>6.0000000000000001E-3</v>
      </c>
      <c r="E3516" s="109">
        <v>8.0000000000000002E-3</v>
      </c>
      <c r="F3516" s="109">
        <v>8.9999999999999993E-3</v>
      </c>
      <c r="G3516" s="130">
        <v>0</v>
      </c>
      <c r="H3516" s="71">
        <v>8.6</v>
      </c>
      <c r="I3516" s="71">
        <v>11.2</v>
      </c>
      <c r="J3516" s="71">
        <v>13.8</v>
      </c>
      <c r="K3516" s="121">
        <v>7.1999999999999998E-3</v>
      </c>
      <c r="L3516" s="121">
        <v>-7.0000000000000001E-3</v>
      </c>
      <c r="M3516" s="75" t="s">
        <v>146</v>
      </c>
      <c r="N3516" s="75" t="b">
        <v>1</v>
      </c>
      <c r="O3516" s="75" t="s">
        <v>145</v>
      </c>
      <c r="P3516" s="75">
        <v>2014</v>
      </c>
      <c r="Q3516" s="107">
        <f t="shared" si="104"/>
        <v>2017</v>
      </c>
      <c r="R3516" s="107">
        <v>2</v>
      </c>
      <c r="S3516" s="43">
        <v>217084</v>
      </c>
      <c r="T3516" s="74">
        <v>42956</v>
      </c>
    </row>
    <row r="3517" spans="1:20" x14ac:dyDescent="0.3">
      <c r="A3517" s="42">
        <v>42973</v>
      </c>
      <c r="B3517" s="37">
        <f t="shared" si="103"/>
        <v>20170826</v>
      </c>
      <c r="C3517" s="109">
        <v>2.2200000000000001E-2</v>
      </c>
      <c r="D3517" s="109">
        <v>6.0000000000000001E-3</v>
      </c>
      <c r="E3517" s="109">
        <v>8.0000000000000002E-3</v>
      </c>
      <c r="F3517" s="109">
        <v>8.9999999999999993E-3</v>
      </c>
      <c r="G3517" s="130">
        <v>0</v>
      </c>
      <c r="H3517" s="71">
        <v>8.6</v>
      </c>
      <c r="I3517" s="71">
        <v>11.2</v>
      </c>
      <c r="J3517" s="71">
        <v>13.8</v>
      </c>
      <c r="K3517" s="121">
        <v>7.1999999999999998E-3</v>
      </c>
      <c r="L3517" s="121">
        <v>-7.0000000000000001E-3</v>
      </c>
      <c r="M3517" s="75" t="s">
        <v>146</v>
      </c>
      <c r="N3517" s="75" t="b">
        <v>1</v>
      </c>
      <c r="O3517" s="75" t="s">
        <v>145</v>
      </c>
      <c r="P3517" s="75">
        <v>2014</v>
      </c>
      <c r="Q3517" s="107">
        <f t="shared" si="104"/>
        <v>2017</v>
      </c>
      <c r="R3517" s="107">
        <v>2</v>
      </c>
      <c r="S3517" s="43">
        <v>217084</v>
      </c>
      <c r="T3517" s="74">
        <v>42956</v>
      </c>
    </row>
    <row r="3518" spans="1:20" x14ac:dyDescent="0.3">
      <c r="A3518" s="42">
        <v>42974</v>
      </c>
      <c r="B3518" s="37">
        <f t="shared" si="103"/>
        <v>20170827</v>
      </c>
      <c r="C3518" s="109">
        <v>2.2200000000000001E-2</v>
      </c>
      <c r="D3518" s="109">
        <v>6.0000000000000001E-3</v>
      </c>
      <c r="E3518" s="109">
        <v>8.0000000000000002E-3</v>
      </c>
      <c r="F3518" s="109">
        <v>8.9999999999999993E-3</v>
      </c>
      <c r="G3518" s="130">
        <v>0</v>
      </c>
      <c r="H3518" s="71">
        <v>8.6</v>
      </c>
      <c r="I3518" s="71">
        <v>11.2</v>
      </c>
      <c r="J3518" s="71">
        <v>13.8</v>
      </c>
      <c r="K3518" s="121">
        <v>7.1999999999999998E-3</v>
      </c>
      <c r="L3518" s="121">
        <v>-7.0000000000000001E-3</v>
      </c>
      <c r="M3518" s="75" t="s">
        <v>146</v>
      </c>
      <c r="N3518" s="75" t="b">
        <v>1</v>
      </c>
      <c r="O3518" s="75" t="s">
        <v>145</v>
      </c>
      <c r="P3518" s="75">
        <v>2014</v>
      </c>
      <c r="Q3518" s="107">
        <f t="shared" si="104"/>
        <v>2017</v>
      </c>
      <c r="R3518" s="107">
        <v>2</v>
      </c>
      <c r="S3518" s="43">
        <v>217084</v>
      </c>
      <c r="T3518" s="74">
        <v>42956</v>
      </c>
    </row>
    <row r="3519" spans="1:20" x14ac:dyDescent="0.3">
      <c r="A3519" s="42">
        <v>42975</v>
      </c>
      <c r="B3519" s="37">
        <f t="shared" si="103"/>
        <v>20170828</v>
      </c>
      <c r="C3519" s="109">
        <v>2.2200000000000001E-2</v>
      </c>
      <c r="D3519" s="109">
        <v>6.0000000000000001E-3</v>
      </c>
      <c r="E3519" s="109">
        <v>8.0000000000000002E-3</v>
      </c>
      <c r="F3519" s="109">
        <v>8.9999999999999993E-3</v>
      </c>
      <c r="G3519" s="130">
        <v>0</v>
      </c>
      <c r="H3519" s="71">
        <v>8.6</v>
      </c>
      <c r="I3519" s="71">
        <v>11.2</v>
      </c>
      <c r="J3519" s="71">
        <v>13.8</v>
      </c>
      <c r="K3519" s="121">
        <v>7.3000000000000001E-3</v>
      </c>
      <c r="L3519" s="121">
        <v>-7.0000000000000001E-3</v>
      </c>
      <c r="M3519" s="75" t="s">
        <v>146</v>
      </c>
      <c r="N3519" s="75" t="b">
        <v>1</v>
      </c>
      <c r="O3519" s="75" t="s">
        <v>145</v>
      </c>
      <c r="P3519" s="75">
        <v>2014</v>
      </c>
      <c r="Q3519" s="107">
        <f t="shared" si="104"/>
        <v>2017</v>
      </c>
      <c r="R3519" s="107">
        <v>2</v>
      </c>
      <c r="S3519" s="43">
        <v>217084</v>
      </c>
      <c r="T3519" s="74">
        <v>42956</v>
      </c>
    </row>
    <row r="3520" spans="1:20" x14ac:dyDescent="0.3">
      <c r="A3520" s="42">
        <v>42976</v>
      </c>
      <c r="B3520" s="37">
        <f t="shared" si="103"/>
        <v>20170829</v>
      </c>
      <c r="C3520" s="109">
        <v>2.1899999999999999E-2</v>
      </c>
      <c r="D3520" s="109">
        <v>6.0000000000000001E-3</v>
      </c>
      <c r="E3520" s="109">
        <v>8.0000000000000002E-3</v>
      </c>
      <c r="F3520" s="109">
        <v>8.9999999999999993E-3</v>
      </c>
      <c r="G3520" s="130">
        <v>0</v>
      </c>
      <c r="H3520" s="71">
        <v>8.6</v>
      </c>
      <c r="I3520" s="71">
        <v>11.2</v>
      </c>
      <c r="J3520" s="71">
        <v>13.8</v>
      </c>
      <c r="K3520" s="121">
        <v>6.9999999999999993E-3</v>
      </c>
      <c r="L3520" s="121">
        <v>-7.0000000000000001E-3</v>
      </c>
      <c r="M3520" s="75" t="s">
        <v>146</v>
      </c>
      <c r="N3520" s="75" t="b">
        <v>1</v>
      </c>
      <c r="O3520" s="75" t="s">
        <v>145</v>
      </c>
      <c r="P3520" s="75">
        <v>2014</v>
      </c>
      <c r="Q3520" s="107">
        <f t="shared" si="104"/>
        <v>2017</v>
      </c>
      <c r="R3520" s="107">
        <v>2</v>
      </c>
      <c r="S3520" s="43">
        <v>217084</v>
      </c>
      <c r="T3520" s="74">
        <v>42956</v>
      </c>
    </row>
    <row r="3521" spans="1:20" x14ac:dyDescent="0.3">
      <c r="A3521" s="42">
        <v>42977</v>
      </c>
      <c r="B3521" s="37">
        <f t="shared" si="103"/>
        <v>20170830</v>
      </c>
      <c r="C3521" s="109">
        <v>2.1899999999999999E-2</v>
      </c>
      <c r="D3521" s="109">
        <v>6.0000000000000001E-3</v>
      </c>
      <c r="E3521" s="109">
        <v>8.0000000000000002E-3</v>
      </c>
      <c r="F3521" s="109">
        <v>8.9999999999999993E-3</v>
      </c>
      <c r="G3521" s="130">
        <v>0</v>
      </c>
      <c r="H3521" s="71">
        <v>8.6</v>
      </c>
      <c r="I3521" s="71">
        <v>11.2</v>
      </c>
      <c r="J3521" s="71">
        <v>13.8</v>
      </c>
      <c r="K3521" s="121">
        <v>6.9999999999999993E-3</v>
      </c>
      <c r="L3521" s="121">
        <v>-7.0000000000000001E-3</v>
      </c>
      <c r="M3521" s="75" t="s">
        <v>146</v>
      </c>
      <c r="N3521" s="75" t="b">
        <v>1</v>
      </c>
      <c r="O3521" s="75" t="s">
        <v>145</v>
      </c>
      <c r="P3521" s="75">
        <v>2014</v>
      </c>
      <c r="Q3521" s="107">
        <f t="shared" si="104"/>
        <v>2017</v>
      </c>
      <c r="R3521" s="107">
        <v>2</v>
      </c>
      <c r="S3521" s="43">
        <v>217084</v>
      </c>
      <c r="T3521" s="74">
        <v>42956</v>
      </c>
    </row>
    <row r="3522" spans="1:20" x14ac:dyDescent="0.3">
      <c r="A3522" s="42">
        <v>42978</v>
      </c>
      <c r="B3522" s="37">
        <f t="shared" si="103"/>
        <v>20170831</v>
      </c>
      <c r="C3522" s="109">
        <v>2.1899999999999999E-2</v>
      </c>
      <c r="D3522" s="109">
        <v>6.0000000000000001E-3</v>
      </c>
      <c r="E3522" s="109">
        <v>8.0000000000000002E-3</v>
      </c>
      <c r="F3522" s="109">
        <v>8.9999999999999993E-3</v>
      </c>
      <c r="G3522" s="130">
        <v>0</v>
      </c>
      <c r="H3522" s="71">
        <v>8.6</v>
      </c>
      <c r="I3522" s="71">
        <v>11.2</v>
      </c>
      <c r="J3522" s="71">
        <v>13.8</v>
      </c>
      <c r="K3522" s="121">
        <v>6.7000000000000002E-3</v>
      </c>
      <c r="L3522" s="121">
        <v>-7.0000000000000001E-3</v>
      </c>
      <c r="M3522" s="75" t="s">
        <v>146</v>
      </c>
      <c r="N3522" s="75" t="b">
        <v>1</v>
      </c>
      <c r="O3522" s="75" t="s">
        <v>145</v>
      </c>
      <c r="P3522" s="75">
        <v>2014</v>
      </c>
      <c r="Q3522" s="107">
        <f t="shared" si="104"/>
        <v>2017</v>
      </c>
      <c r="R3522" s="107">
        <v>2</v>
      </c>
      <c r="S3522" s="43">
        <v>217084</v>
      </c>
      <c r="T3522" s="74">
        <v>42956</v>
      </c>
    </row>
    <row r="3523" spans="1:20" x14ac:dyDescent="0.3">
      <c r="A3523" s="42">
        <v>42979</v>
      </c>
      <c r="B3523" s="37">
        <f t="shared" si="103"/>
        <v>20170901</v>
      </c>
      <c r="C3523" s="109">
        <v>2.23E-2</v>
      </c>
      <c r="D3523" s="109">
        <v>6.0000000000000001E-3</v>
      </c>
      <c r="E3523" s="109">
        <v>8.0000000000000002E-3</v>
      </c>
      <c r="F3523" s="109">
        <v>8.9999999999999993E-3</v>
      </c>
      <c r="G3523" s="130">
        <v>0</v>
      </c>
      <c r="H3523" s="71">
        <v>8.6</v>
      </c>
      <c r="I3523" s="71">
        <v>11.2</v>
      </c>
      <c r="J3523" s="71">
        <v>13.8</v>
      </c>
      <c r="K3523" s="121">
        <v>7.0999999999999995E-3</v>
      </c>
      <c r="L3523" s="121">
        <v>-7.0000000000000001E-3</v>
      </c>
      <c r="M3523" s="75" t="s">
        <v>146</v>
      </c>
      <c r="N3523" s="75" t="b">
        <v>1</v>
      </c>
      <c r="O3523" s="75" t="s">
        <v>145</v>
      </c>
      <c r="P3523" s="75">
        <v>2014</v>
      </c>
      <c r="Q3523" s="107">
        <f t="shared" si="104"/>
        <v>2017</v>
      </c>
      <c r="R3523" s="107">
        <v>2</v>
      </c>
      <c r="S3523" s="43">
        <v>217084</v>
      </c>
      <c r="T3523" s="74">
        <v>42956</v>
      </c>
    </row>
    <row r="3524" spans="1:20" x14ac:dyDescent="0.3">
      <c r="A3524" s="42">
        <v>42980</v>
      </c>
      <c r="B3524" s="37">
        <f>YEAR(A3524)*10000+MONTH(A3524)*100+DAY(A3524)</f>
        <v>20170902</v>
      </c>
      <c r="C3524" s="109">
        <v>2.23E-2</v>
      </c>
      <c r="D3524" s="109">
        <v>6.0000000000000001E-3</v>
      </c>
      <c r="E3524" s="109">
        <v>8.0000000000000002E-3</v>
      </c>
      <c r="F3524" s="109">
        <v>8.9999999999999993E-3</v>
      </c>
      <c r="G3524" s="130">
        <v>0</v>
      </c>
      <c r="H3524" s="71">
        <v>8.6</v>
      </c>
      <c r="I3524" s="71">
        <v>11.2</v>
      </c>
      <c r="J3524" s="71">
        <v>13.8</v>
      </c>
      <c r="K3524" s="121">
        <v>7.0999999999999995E-3</v>
      </c>
      <c r="L3524" s="121">
        <v>-7.0000000000000001E-3</v>
      </c>
      <c r="M3524" s="75" t="s">
        <v>146</v>
      </c>
      <c r="N3524" s="75" t="b">
        <v>1</v>
      </c>
      <c r="O3524" s="75" t="s">
        <v>145</v>
      </c>
      <c r="P3524" s="75">
        <v>2014</v>
      </c>
      <c r="Q3524" s="107">
        <f t="shared" si="104"/>
        <v>2017</v>
      </c>
      <c r="R3524" s="107">
        <v>2</v>
      </c>
      <c r="S3524" s="43">
        <v>217084</v>
      </c>
      <c r="T3524" s="74">
        <v>42956</v>
      </c>
    </row>
    <row r="3525" spans="1:20" x14ac:dyDescent="0.3">
      <c r="A3525" s="42">
        <v>42981</v>
      </c>
      <c r="B3525" s="37">
        <f>YEAR(A3525)*10000+MONTH(A3525)*100+DAY(A3525)</f>
        <v>20170903</v>
      </c>
      <c r="C3525" s="109">
        <v>2.23E-2</v>
      </c>
      <c r="D3525" s="109">
        <v>6.0000000000000001E-3</v>
      </c>
      <c r="E3525" s="109">
        <v>8.0000000000000002E-3</v>
      </c>
      <c r="F3525" s="109">
        <v>8.9999999999999993E-3</v>
      </c>
      <c r="G3525" s="130">
        <v>0</v>
      </c>
      <c r="H3525" s="71">
        <v>8.6</v>
      </c>
      <c r="I3525" s="71">
        <v>11.2</v>
      </c>
      <c r="J3525" s="71">
        <v>13.8</v>
      </c>
      <c r="K3525" s="121">
        <v>7.0999999999999995E-3</v>
      </c>
      <c r="L3525" s="121">
        <v>-7.0000000000000001E-3</v>
      </c>
      <c r="M3525" s="75" t="s">
        <v>146</v>
      </c>
      <c r="N3525" s="75" t="b">
        <v>1</v>
      </c>
      <c r="O3525" s="75" t="s">
        <v>145</v>
      </c>
      <c r="P3525" s="75">
        <v>2014</v>
      </c>
      <c r="Q3525" s="107">
        <f t="shared" si="104"/>
        <v>2017</v>
      </c>
      <c r="R3525" s="107">
        <v>2</v>
      </c>
      <c r="S3525" s="43">
        <v>217084</v>
      </c>
      <c r="T3525" s="74">
        <v>42956</v>
      </c>
    </row>
    <row r="3526" spans="1:20" x14ac:dyDescent="0.3">
      <c r="A3526" s="42">
        <v>42982</v>
      </c>
      <c r="B3526" s="37">
        <f t="shared" si="103"/>
        <v>20170904</v>
      </c>
      <c r="C3526" s="109">
        <v>2.23E-2</v>
      </c>
      <c r="D3526" s="109">
        <v>6.0000000000000001E-3</v>
      </c>
      <c r="E3526" s="109">
        <v>8.0000000000000002E-3</v>
      </c>
      <c r="F3526" s="109">
        <v>8.9999999999999993E-3</v>
      </c>
      <c r="G3526" s="130">
        <v>0</v>
      </c>
      <c r="H3526" s="71">
        <v>8.6</v>
      </c>
      <c r="I3526" s="71">
        <v>11.2</v>
      </c>
      <c r="J3526" s="71">
        <v>13.8</v>
      </c>
      <c r="K3526" s="121">
        <v>7.0999999999999995E-3</v>
      </c>
      <c r="L3526" s="121">
        <v>-7.0000000000000001E-3</v>
      </c>
      <c r="M3526" s="75" t="s">
        <v>146</v>
      </c>
      <c r="N3526" s="75" t="b">
        <v>1</v>
      </c>
      <c r="O3526" s="75" t="s">
        <v>145</v>
      </c>
      <c r="P3526" s="75">
        <v>2014</v>
      </c>
      <c r="Q3526" s="107">
        <f t="shared" si="104"/>
        <v>2017</v>
      </c>
      <c r="R3526" s="107">
        <v>2</v>
      </c>
      <c r="S3526" s="43">
        <v>217084</v>
      </c>
      <c r="T3526" s="74">
        <v>42956</v>
      </c>
    </row>
    <row r="3527" spans="1:20" x14ac:dyDescent="0.3">
      <c r="A3527" s="42">
        <v>42983</v>
      </c>
      <c r="B3527" s="37">
        <f t="shared" si="103"/>
        <v>20170905</v>
      </c>
      <c r="C3527" s="109">
        <v>2.2000000000000002E-2</v>
      </c>
      <c r="D3527" s="109">
        <v>6.0000000000000001E-3</v>
      </c>
      <c r="E3527" s="109">
        <v>8.0000000000000002E-3</v>
      </c>
      <c r="F3527" s="109">
        <v>8.9999999999999993E-3</v>
      </c>
      <c r="G3527" s="130">
        <v>0</v>
      </c>
      <c r="H3527" s="71">
        <v>8.6</v>
      </c>
      <c r="I3527" s="71">
        <v>11.2</v>
      </c>
      <c r="J3527" s="71">
        <v>13.8</v>
      </c>
      <c r="K3527" s="121">
        <v>6.8000000000000005E-3</v>
      </c>
      <c r="L3527" s="121">
        <v>-7.0000000000000001E-3</v>
      </c>
      <c r="M3527" s="75" t="s">
        <v>146</v>
      </c>
      <c r="N3527" s="75" t="b">
        <v>1</v>
      </c>
      <c r="O3527" s="75" t="s">
        <v>145</v>
      </c>
      <c r="P3527" s="75">
        <v>2014</v>
      </c>
      <c r="Q3527" s="107">
        <f t="shared" si="104"/>
        <v>2017</v>
      </c>
      <c r="R3527" s="107">
        <v>2</v>
      </c>
      <c r="S3527" s="43">
        <v>217084</v>
      </c>
      <c r="T3527" s="74">
        <v>42956</v>
      </c>
    </row>
    <row r="3528" spans="1:20" x14ac:dyDescent="0.3">
      <c r="A3528" s="42">
        <v>42984</v>
      </c>
      <c r="B3528" s="37">
        <f t="shared" si="103"/>
        <v>20170906</v>
      </c>
      <c r="C3528" s="109">
        <v>2.2599999999999999E-2</v>
      </c>
      <c r="D3528" s="109">
        <v>6.0000000000000001E-3</v>
      </c>
      <c r="E3528" s="109">
        <v>8.0000000000000002E-3</v>
      </c>
      <c r="F3528" s="109">
        <v>8.9999999999999993E-3</v>
      </c>
      <c r="G3528" s="130">
        <v>0</v>
      </c>
      <c r="H3528" s="71">
        <v>8.6</v>
      </c>
      <c r="I3528" s="71">
        <v>11.2</v>
      </c>
      <c r="J3528" s="71">
        <v>13.8</v>
      </c>
      <c r="K3528" s="121">
        <v>7.3000000000000001E-3</v>
      </c>
      <c r="L3528" s="121">
        <v>-7.0000000000000001E-3</v>
      </c>
      <c r="M3528" s="75" t="s">
        <v>146</v>
      </c>
      <c r="N3528" s="75" t="b">
        <v>1</v>
      </c>
      <c r="O3528" s="75" t="s">
        <v>145</v>
      </c>
      <c r="P3528" s="75">
        <v>2014</v>
      </c>
      <c r="Q3528" s="107">
        <f t="shared" si="104"/>
        <v>2017</v>
      </c>
      <c r="R3528" s="107">
        <v>2</v>
      </c>
      <c r="S3528" s="43">
        <v>217084</v>
      </c>
      <c r="T3528" s="74">
        <v>42956</v>
      </c>
    </row>
    <row r="3529" spans="1:20" x14ac:dyDescent="0.3">
      <c r="A3529" s="42">
        <v>42985</v>
      </c>
      <c r="B3529" s="37">
        <f t="shared" si="103"/>
        <v>20170907</v>
      </c>
      <c r="C3529" s="109">
        <v>2.2599999999999999E-2</v>
      </c>
      <c r="D3529" s="109">
        <v>6.0000000000000001E-3</v>
      </c>
      <c r="E3529" s="109">
        <v>8.0000000000000002E-3</v>
      </c>
      <c r="F3529" s="109">
        <v>8.9999999999999993E-3</v>
      </c>
      <c r="G3529" s="130">
        <v>0</v>
      </c>
      <c r="H3529" s="71">
        <v>8.6</v>
      </c>
      <c r="I3529" s="71">
        <v>11.2</v>
      </c>
      <c r="J3529" s="71">
        <v>13.8</v>
      </c>
      <c r="K3529" s="121">
        <v>7.3000000000000001E-3</v>
      </c>
      <c r="L3529" s="121">
        <v>-7.0000000000000001E-3</v>
      </c>
      <c r="M3529" s="75" t="s">
        <v>146</v>
      </c>
      <c r="N3529" s="75" t="b">
        <v>1</v>
      </c>
      <c r="O3529" s="75" t="s">
        <v>145</v>
      </c>
      <c r="P3529" s="75">
        <v>2014</v>
      </c>
      <c r="Q3529" s="107">
        <f t="shared" si="104"/>
        <v>2017</v>
      </c>
      <c r="R3529" s="107">
        <v>2</v>
      </c>
      <c r="S3529" s="43">
        <v>217084</v>
      </c>
      <c r="T3529" s="74">
        <v>42956</v>
      </c>
    </row>
    <row r="3530" spans="1:20" x14ac:dyDescent="0.3">
      <c r="A3530" s="42">
        <v>42986</v>
      </c>
      <c r="B3530" s="37">
        <f t="shared" si="103"/>
        <v>20170908</v>
      </c>
      <c r="C3530" s="109">
        <v>2.2799999999999997E-2</v>
      </c>
      <c r="D3530" s="109">
        <v>6.0000000000000001E-3</v>
      </c>
      <c r="E3530" s="109">
        <v>8.0000000000000002E-3</v>
      </c>
      <c r="F3530" s="109">
        <v>8.9999999999999993E-3</v>
      </c>
      <c r="G3530" s="130">
        <v>0</v>
      </c>
      <c r="H3530" s="71">
        <v>8.6</v>
      </c>
      <c r="I3530" s="71">
        <v>11.2</v>
      </c>
      <c r="J3530" s="71">
        <v>13.8</v>
      </c>
      <c r="K3530" s="121">
        <v>7.4000000000000003E-3</v>
      </c>
      <c r="L3530" s="121">
        <v>-7.0000000000000001E-3</v>
      </c>
      <c r="M3530" s="75" t="s">
        <v>146</v>
      </c>
      <c r="N3530" s="75" t="b">
        <v>1</v>
      </c>
      <c r="O3530" s="75" t="s">
        <v>145</v>
      </c>
      <c r="P3530" s="75">
        <v>2014</v>
      </c>
      <c r="Q3530" s="107">
        <f t="shared" si="104"/>
        <v>2017</v>
      </c>
      <c r="R3530" s="107">
        <v>2</v>
      </c>
      <c r="S3530" s="43">
        <v>217084</v>
      </c>
      <c r="T3530" s="74">
        <v>42956</v>
      </c>
    </row>
    <row r="3531" spans="1:20" x14ac:dyDescent="0.3">
      <c r="A3531" s="42">
        <v>42987</v>
      </c>
      <c r="B3531" s="37">
        <f>YEAR(A3531)*10000+MONTH(A3531)*100+DAY(A3531)</f>
        <v>20170909</v>
      </c>
      <c r="C3531" s="109">
        <v>2.2799999999999997E-2</v>
      </c>
      <c r="D3531" s="109">
        <v>6.0000000000000001E-3</v>
      </c>
      <c r="E3531" s="109">
        <v>8.0000000000000002E-3</v>
      </c>
      <c r="F3531" s="109">
        <v>8.9999999999999993E-3</v>
      </c>
      <c r="G3531" s="130">
        <v>0</v>
      </c>
      <c r="H3531" s="71">
        <v>8.6</v>
      </c>
      <c r="I3531" s="71">
        <v>11.2</v>
      </c>
      <c r="J3531" s="71">
        <v>13.8</v>
      </c>
      <c r="K3531" s="121">
        <v>7.4000000000000003E-3</v>
      </c>
      <c r="L3531" s="121">
        <v>-7.0000000000000001E-3</v>
      </c>
      <c r="M3531" s="75" t="s">
        <v>146</v>
      </c>
      <c r="N3531" s="75" t="b">
        <v>1</v>
      </c>
      <c r="O3531" s="75" t="s">
        <v>145</v>
      </c>
      <c r="P3531" s="75">
        <v>2014</v>
      </c>
      <c r="Q3531" s="107">
        <f t="shared" si="104"/>
        <v>2017</v>
      </c>
      <c r="R3531" s="107">
        <v>2</v>
      </c>
      <c r="S3531" s="43">
        <v>217084</v>
      </c>
      <c r="T3531" s="74">
        <v>42956</v>
      </c>
    </row>
    <row r="3532" spans="1:20" x14ac:dyDescent="0.3">
      <c r="A3532" s="42">
        <v>42988</v>
      </c>
      <c r="B3532" s="37">
        <f>YEAR(A3532)*10000+MONTH(A3532)*100+DAY(A3532)</f>
        <v>20170910</v>
      </c>
      <c r="C3532" s="109">
        <v>2.2799999999999997E-2</v>
      </c>
      <c r="D3532" s="109">
        <v>6.0000000000000001E-3</v>
      </c>
      <c r="E3532" s="109">
        <v>8.0000000000000002E-3</v>
      </c>
      <c r="F3532" s="109">
        <v>8.9999999999999993E-3</v>
      </c>
      <c r="G3532" s="130">
        <v>0</v>
      </c>
      <c r="H3532" s="71">
        <v>8.6</v>
      </c>
      <c r="I3532" s="71">
        <v>11.2</v>
      </c>
      <c r="J3532" s="71">
        <v>13.8</v>
      </c>
      <c r="K3532" s="121">
        <v>7.4000000000000003E-3</v>
      </c>
      <c r="L3532" s="121">
        <v>-7.0000000000000001E-3</v>
      </c>
      <c r="M3532" s="75" t="s">
        <v>146</v>
      </c>
      <c r="N3532" s="75" t="b">
        <v>1</v>
      </c>
      <c r="O3532" s="75" t="s">
        <v>145</v>
      </c>
      <c r="P3532" s="75">
        <v>2014</v>
      </c>
      <c r="Q3532" s="107">
        <f t="shared" si="104"/>
        <v>2017</v>
      </c>
      <c r="R3532" s="107">
        <v>2</v>
      </c>
      <c r="S3532" s="43">
        <v>217084</v>
      </c>
      <c r="T3532" s="74">
        <v>42956</v>
      </c>
    </row>
    <row r="3533" spans="1:20" x14ac:dyDescent="0.3">
      <c r="A3533" s="42">
        <v>42989</v>
      </c>
      <c r="B3533" s="37">
        <f t="shared" si="103"/>
        <v>20170911</v>
      </c>
      <c r="C3533" s="109">
        <v>2.3099999999999999E-2</v>
      </c>
      <c r="D3533" s="109">
        <v>6.0000000000000001E-3</v>
      </c>
      <c r="E3533" s="109">
        <v>8.0000000000000002E-3</v>
      </c>
      <c r="F3533" s="109">
        <v>8.9999999999999993E-3</v>
      </c>
      <c r="G3533" s="130">
        <v>0</v>
      </c>
      <c r="H3533" s="71">
        <v>8.6</v>
      </c>
      <c r="I3533" s="71">
        <v>11.2</v>
      </c>
      <c r="J3533" s="71">
        <v>13.8</v>
      </c>
      <c r="K3533" s="121">
        <v>7.6E-3</v>
      </c>
      <c r="L3533" s="121">
        <v>-7.0000000000000001E-3</v>
      </c>
      <c r="M3533" s="75" t="s">
        <v>146</v>
      </c>
      <c r="N3533" s="75" t="b">
        <v>1</v>
      </c>
      <c r="O3533" s="75" t="s">
        <v>145</v>
      </c>
      <c r="P3533" s="75">
        <v>2014</v>
      </c>
      <c r="Q3533" s="107">
        <f t="shared" si="104"/>
        <v>2017</v>
      </c>
      <c r="R3533" s="107">
        <v>2</v>
      </c>
      <c r="S3533" s="43">
        <v>217084</v>
      </c>
      <c r="T3533" s="74">
        <v>42956</v>
      </c>
    </row>
    <row r="3534" spans="1:20" x14ac:dyDescent="0.3">
      <c r="A3534" s="42">
        <v>42990</v>
      </c>
      <c r="B3534" s="37">
        <f t="shared" si="103"/>
        <v>20170912</v>
      </c>
      <c r="C3534" s="109">
        <v>2.3399999999999997E-2</v>
      </c>
      <c r="D3534" s="109">
        <v>6.0000000000000001E-3</v>
      </c>
      <c r="E3534" s="109">
        <v>8.0000000000000002E-3</v>
      </c>
      <c r="F3534" s="109">
        <v>8.9999999999999993E-3</v>
      </c>
      <c r="G3534" s="130">
        <v>0</v>
      </c>
      <c r="H3534" s="71">
        <v>8.6</v>
      </c>
      <c r="I3534" s="71">
        <v>11.2</v>
      </c>
      <c r="J3534" s="71">
        <v>13.8</v>
      </c>
      <c r="K3534" s="121">
        <v>7.8000000000000005E-3</v>
      </c>
      <c r="L3534" s="121">
        <v>-7.0000000000000001E-3</v>
      </c>
      <c r="M3534" s="75" t="s">
        <v>146</v>
      </c>
      <c r="N3534" s="75" t="b">
        <v>1</v>
      </c>
      <c r="O3534" s="75" t="s">
        <v>145</v>
      </c>
      <c r="P3534" s="75">
        <v>2014</v>
      </c>
      <c r="Q3534" s="107">
        <f t="shared" si="104"/>
        <v>2017</v>
      </c>
      <c r="R3534" s="107">
        <v>2</v>
      </c>
      <c r="S3534" s="43">
        <v>217084</v>
      </c>
      <c r="T3534" s="74">
        <v>42956</v>
      </c>
    </row>
    <row r="3535" spans="1:20" x14ac:dyDescent="0.3">
      <c r="A3535" s="42">
        <v>42991</v>
      </c>
      <c r="B3535" s="37">
        <f t="shared" si="103"/>
        <v>20170913</v>
      </c>
      <c r="C3535" s="109">
        <v>2.3599999999999999E-2</v>
      </c>
      <c r="D3535" s="109">
        <v>6.0000000000000001E-3</v>
      </c>
      <c r="E3535" s="109">
        <v>8.0000000000000002E-3</v>
      </c>
      <c r="F3535" s="109">
        <v>8.9999999999999993E-3</v>
      </c>
      <c r="G3535" s="130">
        <v>0</v>
      </c>
      <c r="H3535" s="71">
        <v>8.6</v>
      </c>
      <c r="I3535" s="71">
        <v>11.2</v>
      </c>
      <c r="J3535" s="71">
        <v>13.8</v>
      </c>
      <c r="K3535" s="121">
        <v>7.7000000000000002E-3</v>
      </c>
      <c r="L3535" s="121">
        <v>-7.0000000000000001E-3</v>
      </c>
      <c r="M3535" s="75" t="s">
        <v>146</v>
      </c>
      <c r="N3535" s="75" t="b">
        <v>1</v>
      </c>
      <c r="O3535" s="75" t="s">
        <v>145</v>
      </c>
      <c r="P3535" s="75">
        <v>2014</v>
      </c>
      <c r="Q3535" s="107">
        <f t="shared" si="104"/>
        <v>2017</v>
      </c>
      <c r="R3535" s="107">
        <v>2</v>
      </c>
      <c r="S3535" s="43">
        <v>217084</v>
      </c>
      <c r="T3535" s="74">
        <v>42956</v>
      </c>
    </row>
    <row r="3536" spans="1:20" x14ac:dyDescent="0.3">
      <c r="A3536" s="42">
        <v>42992</v>
      </c>
      <c r="B3536" s="37">
        <f t="shared" si="103"/>
        <v>20170914</v>
      </c>
      <c r="C3536" s="109">
        <v>2.3599999999999999E-2</v>
      </c>
      <c r="D3536" s="109">
        <v>6.0000000000000001E-3</v>
      </c>
      <c r="E3536" s="109">
        <v>8.0000000000000002E-3</v>
      </c>
      <c r="F3536" s="109">
        <v>8.9999999999999993E-3</v>
      </c>
      <c r="G3536" s="130">
        <v>0</v>
      </c>
      <c r="H3536" s="71">
        <v>8.6</v>
      </c>
      <c r="I3536" s="71">
        <v>11.2</v>
      </c>
      <c r="J3536" s="71">
        <v>13.8</v>
      </c>
      <c r="K3536" s="121">
        <v>7.7000000000000002E-3</v>
      </c>
      <c r="L3536" s="121">
        <v>-7.0000000000000001E-3</v>
      </c>
      <c r="M3536" s="75" t="s">
        <v>146</v>
      </c>
      <c r="N3536" s="75" t="b">
        <v>1</v>
      </c>
      <c r="O3536" s="75" t="s">
        <v>145</v>
      </c>
      <c r="P3536" s="75">
        <v>2014</v>
      </c>
      <c r="Q3536" s="107">
        <f t="shared" si="104"/>
        <v>2017</v>
      </c>
      <c r="R3536" s="107">
        <v>2</v>
      </c>
      <c r="S3536" s="43">
        <v>217084</v>
      </c>
      <c r="T3536" s="74">
        <v>42956</v>
      </c>
    </row>
    <row r="3537" spans="1:21" x14ac:dyDescent="0.3">
      <c r="A3537" s="42">
        <v>42993</v>
      </c>
      <c r="B3537" s="37">
        <f t="shared" si="103"/>
        <v>20170915</v>
      </c>
      <c r="C3537" s="109">
        <v>2.3700000000000002E-2</v>
      </c>
      <c r="D3537" s="109">
        <v>6.0000000000000001E-3</v>
      </c>
      <c r="E3537" s="109">
        <v>8.0000000000000002E-3</v>
      </c>
      <c r="F3537" s="109">
        <v>8.9999999999999993E-3</v>
      </c>
      <c r="G3537" s="130">
        <v>0</v>
      </c>
      <c r="H3537" s="71">
        <v>8.6</v>
      </c>
      <c r="I3537" s="71">
        <v>11.2</v>
      </c>
      <c r="J3537" s="71">
        <v>13.8</v>
      </c>
      <c r="K3537" s="121">
        <v>7.9000000000000008E-3</v>
      </c>
      <c r="L3537" s="121">
        <v>-7.0000000000000001E-3</v>
      </c>
      <c r="M3537" s="75" t="s">
        <v>146</v>
      </c>
      <c r="N3537" s="75" t="b">
        <v>1</v>
      </c>
      <c r="O3537" s="75" t="s">
        <v>145</v>
      </c>
      <c r="P3537" s="75">
        <v>2014</v>
      </c>
      <c r="Q3537" s="107">
        <f t="shared" si="104"/>
        <v>2017</v>
      </c>
      <c r="R3537" s="107">
        <v>2</v>
      </c>
      <c r="S3537" s="43">
        <v>217084</v>
      </c>
      <c r="T3537" s="74">
        <v>42956</v>
      </c>
    </row>
    <row r="3538" spans="1:21" x14ac:dyDescent="0.3">
      <c r="A3538" s="42">
        <v>42994</v>
      </c>
      <c r="B3538" s="37">
        <f>YEAR(A3538)*10000+MONTH(A3538)*100+DAY(A3538)</f>
        <v>20170916</v>
      </c>
      <c r="C3538" s="109">
        <v>2.3700000000000002E-2</v>
      </c>
      <c r="D3538" s="109">
        <v>6.0000000000000001E-3</v>
      </c>
      <c r="E3538" s="109">
        <v>8.0000000000000002E-3</v>
      </c>
      <c r="F3538" s="109">
        <v>8.9999999999999993E-3</v>
      </c>
      <c r="G3538" s="130">
        <v>0</v>
      </c>
      <c r="H3538" s="71">
        <v>8.6</v>
      </c>
      <c r="I3538" s="71">
        <v>11.2</v>
      </c>
      <c r="J3538" s="71">
        <v>13.8</v>
      </c>
      <c r="K3538" s="121">
        <v>7.9000000000000008E-3</v>
      </c>
      <c r="L3538" s="121">
        <v>-7.0000000000000001E-3</v>
      </c>
      <c r="M3538" s="75" t="s">
        <v>146</v>
      </c>
      <c r="N3538" s="75" t="b">
        <v>1</v>
      </c>
      <c r="O3538" s="75" t="s">
        <v>145</v>
      </c>
      <c r="P3538" s="75">
        <v>2014</v>
      </c>
      <c r="Q3538" s="107">
        <f t="shared" si="104"/>
        <v>2017</v>
      </c>
      <c r="R3538" s="107">
        <v>2</v>
      </c>
      <c r="S3538" s="43">
        <v>217084</v>
      </c>
      <c r="T3538" s="74">
        <v>42956</v>
      </c>
    </row>
    <row r="3539" spans="1:21" x14ac:dyDescent="0.3">
      <c r="A3539" s="42">
        <v>42995</v>
      </c>
      <c r="B3539" s="37">
        <f>YEAR(A3539)*10000+MONTH(A3539)*100+DAY(A3539)</f>
        <v>20170917</v>
      </c>
      <c r="C3539" s="109">
        <v>2.3700000000000002E-2</v>
      </c>
      <c r="D3539" s="109">
        <v>6.0000000000000001E-3</v>
      </c>
      <c r="E3539" s="109">
        <v>8.0000000000000002E-3</v>
      </c>
      <c r="F3539" s="109">
        <v>8.9999999999999993E-3</v>
      </c>
      <c r="G3539" s="130">
        <v>0</v>
      </c>
      <c r="H3539" s="71">
        <v>8.6</v>
      </c>
      <c r="I3539" s="71">
        <v>11.2</v>
      </c>
      <c r="J3539" s="71">
        <v>13.8</v>
      </c>
      <c r="K3539" s="121">
        <v>7.9000000000000008E-3</v>
      </c>
      <c r="L3539" s="121">
        <v>-7.0000000000000001E-3</v>
      </c>
      <c r="M3539" s="75" t="s">
        <v>146</v>
      </c>
      <c r="N3539" s="75" t="b">
        <v>1</v>
      </c>
      <c r="O3539" s="75" t="s">
        <v>145</v>
      </c>
      <c r="P3539" s="75">
        <v>2014</v>
      </c>
      <c r="Q3539" s="107">
        <f t="shared" si="104"/>
        <v>2017</v>
      </c>
      <c r="R3539" s="107">
        <v>2</v>
      </c>
      <c r="S3539" s="43">
        <v>217084</v>
      </c>
      <c r="T3539" s="74">
        <v>42956</v>
      </c>
    </row>
    <row r="3540" spans="1:21" x14ac:dyDescent="0.3">
      <c r="A3540" s="42">
        <v>42996</v>
      </c>
      <c r="B3540" s="37">
        <f t="shared" si="103"/>
        <v>20170918</v>
      </c>
      <c r="C3540" s="109">
        <v>2.3700000000000002E-2</v>
      </c>
      <c r="D3540" s="109">
        <v>6.0000000000000001E-3</v>
      </c>
      <c r="E3540" s="109">
        <v>8.0000000000000002E-3</v>
      </c>
      <c r="F3540" s="109">
        <v>8.9999999999999993E-3</v>
      </c>
      <c r="G3540" s="130">
        <v>0</v>
      </c>
      <c r="H3540" s="71">
        <v>8.6</v>
      </c>
      <c r="I3540" s="71">
        <v>11.2</v>
      </c>
      <c r="J3540" s="71">
        <v>13.8</v>
      </c>
      <c r="K3540" s="121">
        <v>7.9000000000000008E-3</v>
      </c>
      <c r="L3540" s="121">
        <v>-7.0000000000000001E-3</v>
      </c>
      <c r="M3540" s="75" t="s">
        <v>146</v>
      </c>
      <c r="N3540" s="75" t="b">
        <v>1</v>
      </c>
      <c r="O3540" s="75" t="s">
        <v>145</v>
      </c>
      <c r="P3540" s="75">
        <v>2014</v>
      </c>
      <c r="Q3540" s="107">
        <f t="shared" si="104"/>
        <v>2017</v>
      </c>
      <c r="R3540" s="107">
        <v>2</v>
      </c>
      <c r="S3540" s="43">
        <v>217084</v>
      </c>
      <c r="T3540" s="74">
        <v>42956</v>
      </c>
    </row>
    <row r="3541" spans="1:21" x14ac:dyDescent="0.3">
      <c r="A3541" s="42">
        <v>42997</v>
      </c>
      <c r="B3541" s="37">
        <f t="shared" si="103"/>
        <v>20170919</v>
      </c>
      <c r="C3541" s="109">
        <v>2.3799999999999998E-2</v>
      </c>
      <c r="D3541" s="109">
        <v>6.0000000000000001E-3</v>
      </c>
      <c r="E3541" s="109">
        <v>8.0000000000000002E-3</v>
      </c>
      <c r="F3541" s="109">
        <v>8.9999999999999993E-3</v>
      </c>
      <c r="G3541" s="130">
        <v>0</v>
      </c>
      <c r="H3541" s="71">
        <v>8.6</v>
      </c>
      <c r="I3541" s="71">
        <v>11.2</v>
      </c>
      <c r="J3541" s="71">
        <v>13.8</v>
      </c>
      <c r="K3541" s="121">
        <v>7.9000000000000008E-3</v>
      </c>
      <c r="L3541" s="121">
        <v>-7.0000000000000001E-3</v>
      </c>
      <c r="M3541" s="75" t="s">
        <v>146</v>
      </c>
      <c r="N3541" s="75" t="b">
        <v>1</v>
      </c>
      <c r="O3541" s="75" t="s">
        <v>145</v>
      </c>
      <c r="P3541" s="75">
        <v>2014</v>
      </c>
      <c r="Q3541" s="107">
        <f t="shared" si="104"/>
        <v>2017</v>
      </c>
      <c r="R3541" s="107">
        <v>2</v>
      </c>
      <c r="S3541" s="43">
        <v>217084</v>
      </c>
      <c r="T3541" s="74">
        <v>42956</v>
      </c>
    </row>
    <row r="3542" spans="1:21" x14ac:dyDescent="0.3">
      <c r="A3542" s="42">
        <v>42998</v>
      </c>
      <c r="B3542" s="37">
        <f t="shared" si="103"/>
        <v>20170920</v>
      </c>
      <c r="C3542" s="109">
        <v>2.3900000000000001E-2</v>
      </c>
      <c r="D3542" s="109">
        <v>6.0000000000000001E-3</v>
      </c>
      <c r="E3542" s="109">
        <v>8.0000000000000002E-3</v>
      </c>
      <c r="F3542" s="109">
        <v>8.9999999999999993E-3</v>
      </c>
      <c r="G3542" s="130">
        <v>0</v>
      </c>
      <c r="H3542" s="71">
        <v>8.6</v>
      </c>
      <c r="I3542" s="71">
        <v>11.2</v>
      </c>
      <c r="J3542" s="71">
        <v>13.8</v>
      </c>
      <c r="K3542" s="121">
        <v>8.0000000000000002E-3</v>
      </c>
      <c r="L3542" s="121">
        <v>-7.0000000000000001E-3</v>
      </c>
      <c r="M3542" s="75" t="s">
        <v>146</v>
      </c>
      <c r="N3542" s="75" t="b">
        <v>1</v>
      </c>
      <c r="O3542" s="75" t="s">
        <v>145</v>
      </c>
      <c r="P3542" s="75">
        <v>2014</v>
      </c>
      <c r="Q3542" s="107">
        <f t="shared" si="104"/>
        <v>2017</v>
      </c>
      <c r="R3542" s="107">
        <v>2</v>
      </c>
      <c r="S3542" s="43">
        <v>217084</v>
      </c>
      <c r="T3542" s="74">
        <v>42956</v>
      </c>
    </row>
    <row r="3543" spans="1:21" x14ac:dyDescent="0.3">
      <c r="A3543" s="42">
        <v>42999</v>
      </c>
      <c r="B3543" s="37">
        <f t="shared" si="103"/>
        <v>20170921</v>
      </c>
      <c r="C3543" s="109">
        <v>2.4E-2</v>
      </c>
      <c r="D3543" s="109">
        <v>6.0000000000000001E-3</v>
      </c>
      <c r="E3543" s="109">
        <v>8.0000000000000002E-3</v>
      </c>
      <c r="F3543" s="109">
        <v>8.9999999999999993E-3</v>
      </c>
      <c r="G3543" s="130">
        <v>0</v>
      </c>
      <c r="H3543" s="71">
        <v>8.6</v>
      </c>
      <c r="I3543" s="71">
        <v>11.2</v>
      </c>
      <c r="J3543" s="71">
        <v>13.8</v>
      </c>
      <c r="K3543" s="121">
        <v>8.199999999999999E-3</v>
      </c>
      <c r="L3543" s="121">
        <v>-7.0000000000000001E-3</v>
      </c>
      <c r="M3543" s="75" t="s">
        <v>146</v>
      </c>
      <c r="N3543" s="75" t="b">
        <v>1</v>
      </c>
      <c r="O3543" s="75" t="s">
        <v>145</v>
      </c>
      <c r="P3543" s="75">
        <v>2014</v>
      </c>
      <c r="Q3543" s="107">
        <f t="shared" si="104"/>
        <v>2017</v>
      </c>
      <c r="R3543" s="107">
        <v>2</v>
      </c>
      <c r="S3543" s="43">
        <v>217084</v>
      </c>
      <c r="T3543" s="74">
        <v>42956</v>
      </c>
    </row>
    <row r="3544" spans="1:21" x14ac:dyDescent="0.3">
      <c r="A3544" s="42">
        <v>43000</v>
      </c>
      <c r="B3544" s="37">
        <f t="shared" si="103"/>
        <v>20170922</v>
      </c>
      <c r="C3544" s="109">
        <v>2.3900000000000001E-2</v>
      </c>
      <c r="D3544" s="109">
        <v>6.0000000000000001E-3</v>
      </c>
      <c r="E3544" s="109">
        <v>8.0000000000000002E-3</v>
      </c>
      <c r="F3544" s="109">
        <v>8.9999999999999993E-3</v>
      </c>
      <c r="G3544" s="130">
        <v>0</v>
      </c>
      <c r="H3544" s="71">
        <v>8.6</v>
      </c>
      <c r="I3544" s="71">
        <v>11.2</v>
      </c>
      <c r="J3544" s="71">
        <v>13.8</v>
      </c>
      <c r="K3544" s="121">
        <v>8.199999999999999E-3</v>
      </c>
      <c r="L3544" s="121">
        <v>-7.0000000000000001E-3</v>
      </c>
      <c r="M3544" s="75" t="s">
        <v>146</v>
      </c>
      <c r="N3544" s="75" t="b">
        <v>1</v>
      </c>
      <c r="O3544" s="75" t="s">
        <v>145</v>
      </c>
      <c r="P3544" s="75">
        <v>2014</v>
      </c>
      <c r="Q3544" s="107">
        <f t="shared" si="104"/>
        <v>2017</v>
      </c>
      <c r="R3544" s="107">
        <v>2</v>
      </c>
      <c r="S3544" s="43">
        <v>217084</v>
      </c>
      <c r="T3544" s="74">
        <v>42956</v>
      </c>
    </row>
    <row r="3545" spans="1:21" x14ac:dyDescent="0.3">
      <c r="A3545" s="42">
        <v>43001</v>
      </c>
      <c r="B3545" s="37">
        <f t="shared" si="103"/>
        <v>20170923</v>
      </c>
      <c r="C3545" s="109">
        <v>2.3900000000000001E-2</v>
      </c>
      <c r="D3545" s="109">
        <v>6.0000000000000001E-3</v>
      </c>
      <c r="E3545" s="109">
        <v>8.0000000000000002E-3</v>
      </c>
      <c r="F3545" s="109">
        <v>8.9999999999999993E-3</v>
      </c>
      <c r="G3545" s="130">
        <v>0</v>
      </c>
      <c r="H3545" s="71">
        <v>8.6</v>
      </c>
      <c r="I3545" s="71">
        <v>11.2</v>
      </c>
      <c r="J3545" s="71">
        <v>13.8</v>
      </c>
      <c r="K3545" s="121">
        <v>8.199999999999999E-3</v>
      </c>
      <c r="L3545" s="121">
        <v>-7.0000000000000001E-3</v>
      </c>
      <c r="M3545" s="75" t="s">
        <v>146</v>
      </c>
      <c r="N3545" s="75" t="b">
        <v>1</v>
      </c>
      <c r="O3545" s="75" t="s">
        <v>145</v>
      </c>
      <c r="P3545" s="75">
        <v>2014</v>
      </c>
      <c r="Q3545" s="107">
        <f t="shared" si="104"/>
        <v>2017</v>
      </c>
      <c r="R3545" s="107">
        <v>2</v>
      </c>
      <c r="S3545" s="43">
        <v>217084</v>
      </c>
      <c r="T3545" s="74">
        <v>42956</v>
      </c>
    </row>
    <row r="3546" spans="1:21" x14ac:dyDescent="0.3">
      <c r="A3546" s="42">
        <v>43002</v>
      </c>
      <c r="B3546" s="37">
        <f t="shared" si="103"/>
        <v>20170924</v>
      </c>
      <c r="C3546" s="109">
        <v>2.3900000000000001E-2</v>
      </c>
      <c r="D3546" s="109">
        <v>6.0000000000000001E-3</v>
      </c>
      <c r="E3546" s="109">
        <v>8.0000000000000002E-3</v>
      </c>
      <c r="F3546" s="109">
        <v>8.9999999999999993E-3</v>
      </c>
      <c r="G3546" s="130">
        <v>0</v>
      </c>
      <c r="H3546" s="71">
        <v>8.6</v>
      </c>
      <c r="I3546" s="71">
        <v>11.2</v>
      </c>
      <c r="J3546" s="71">
        <v>13.8</v>
      </c>
      <c r="K3546" s="121">
        <v>8.199999999999999E-3</v>
      </c>
      <c r="L3546" s="121">
        <v>-7.0000000000000001E-3</v>
      </c>
      <c r="M3546" s="75" t="s">
        <v>146</v>
      </c>
      <c r="N3546" s="75" t="b">
        <v>1</v>
      </c>
      <c r="O3546" s="75" t="s">
        <v>145</v>
      </c>
      <c r="P3546" s="75">
        <v>2014</v>
      </c>
      <c r="Q3546" s="107">
        <f t="shared" si="104"/>
        <v>2017</v>
      </c>
      <c r="R3546" s="107">
        <v>2</v>
      </c>
      <c r="S3546" s="43">
        <v>217084</v>
      </c>
      <c r="T3546" s="74">
        <v>42956</v>
      </c>
    </row>
    <row r="3547" spans="1:21" x14ac:dyDescent="0.3">
      <c r="A3547" s="42">
        <v>43003</v>
      </c>
      <c r="B3547" s="37">
        <f t="shared" si="103"/>
        <v>20170925</v>
      </c>
      <c r="C3547" s="109">
        <v>2.3700000000000002E-2</v>
      </c>
      <c r="D3547" s="109">
        <v>6.0000000000000001E-3</v>
      </c>
      <c r="E3547" s="109">
        <v>8.0000000000000002E-3</v>
      </c>
      <c r="F3547" s="109">
        <v>8.9999999999999993E-3</v>
      </c>
      <c r="G3547" s="130">
        <v>0</v>
      </c>
      <c r="H3547" s="71">
        <v>8.6</v>
      </c>
      <c r="I3547" s="71">
        <v>11.2</v>
      </c>
      <c r="J3547" s="71">
        <v>13.8</v>
      </c>
      <c r="K3547" s="121">
        <v>8.0000000000000002E-3</v>
      </c>
      <c r="L3547" s="121">
        <v>-7.0000000000000001E-3</v>
      </c>
      <c r="M3547" s="75" t="s">
        <v>146</v>
      </c>
      <c r="N3547" s="75" t="b">
        <v>1</v>
      </c>
      <c r="O3547" s="75" t="s">
        <v>145</v>
      </c>
      <c r="P3547" s="75">
        <v>2014</v>
      </c>
      <c r="Q3547" s="107">
        <f t="shared" si="104"/>
        <v>2017</v>
      </c>
      <c r="R3547" s="107">
        <v>2</v>
      </c>
      <c r="S3547" s="43">
        <v>217084</v>
      </c>
      <c r="T3547" s="74">
        <v>42956</v>
      </c>
    </row>
    <row r="3548" spans="1:21" x14ac:dyDescent="0.3">
      <c r="A3548" s="42">
        <v>43004</v>
      </c>
      <c r="B3548" s="37">
        <f t="shared" si="103"/>
        <v>20170926</v>
      </c>
      <c r="C3548" s="109">
        <v>2.3900000000000001E-2</v>
      </c>
      <c r="D3548" s="109">
        <v>6.0000000000000001E-3</v>
      </c>
      <c r="E3548" s="109">
        <v>8.0000000000000002E-3</v>
      </c>
      <c r="F3548" s="109">
        <v>8.9999999999999993E-3</v>
      </c>
      <c r="G3548" s="130">
        <v>0</v>
      </c>
      <c r="H3548" s="71">
        <v>8.6</v>
      </c>
      <c r="I3548" s="71">
        <v>11.2</v>
      </c>
      <c r="J3548" s="71">
        <v>13.8</v>
      </c>
      <c r="K3548" s="121">
        <v>8.0000000000000002E-3</v>
      </c>
      <c r="L3548" s="121">
        <v>-7.0000000000000001E-3</v>
      </c>
      <c r="M3548" s="75" t="s">
        <v>146</v>
      </c>
      <c r="N3548" s="75" t="b">
        <v>1</v>
      </c>
      <c r="O3548" s="75" t="s">
        <v>145</v>
      </c>
      <c r="P3548" s="75">
        <v>2014</v>
      </c>
      <c r="Q3548" s="107">
        <f t="shared" si="104"/>
        <v>2017</v>
      </c>
      <c r="R3548" s="107">
        <v>2</v>
      </c>
      <c r="S3548" s="43">
        <v>217084</v>
      </c>
      <c r="T3548" s="74">
        <v>42956</v>
      </c>
    </row>
    <row r="3549" spans="1:21" x14ac:dyDescent="0.3">
      <c r="A3549" s="42">
        <v>43005</v>
      </c>
      <c r="B3549" s="37">
        <f t="shared" si="103"/>
        <v>20170927</v>
      </c>
      <c r="C3549" s="109">
        <v>2.4199999999999999E-2</v>
      </c>
      <c r="D3549" s="109">
        <v>6.0000000000000001E-3</v>
      </c>
      <c r="E3549" s="109">
        <v>8.0000000000000002E-3</v>
      </c>
      <c r="F3549" s="109">
        <v>8.9999999999999993E-3</v>
      </c>
      <c r="G3549" s="130">
        <v>0</v>
      </c>
      <c r="H3549" s="71">
        <v>8.6</v>
      </c>
      <c r="I3549" s="71">
        <v>11.2</v>
      </c>
      <c r="J3549" s="71">
        <v>13.8</v>
      </c>
      <c r="K3549" s="121">
        <v>8.3000000000000001E-3</v>
      </c>
      <c r="L3549" s="121">
        <v>-7.0000000000000001E-3</v>
      </c>
      <c r="M3549" s="75" t="s">
        <v>146</v>
      </c>
      <c r="N3549" s="75" t="b">
        <v>1</v>
      </c>
      <c r="O3549" s="75" t="s">
        <v>145</v>
      </c>
      <c r="P3549" s="75">
        <v>2014</v>
      </c>
      <c r="Q3549" s="107">
        <f t="shared" si="104"/>
        <v>2017</v>
      </c>
      <c r="R3549" s="107">
        <v>2</v>
      </c>
      <c r="S3549" s="43">
        <v>217084</v>
      </c>
      <c r="T3549" s="74">
        <v>42956</v>
      </c>
    </row>
    <row r="3550" spans="1:21" x14ac:dyDescent="0.3">
      <c r="A3550" s="42">
        <v>43006</v>
      </c>
      <c r="B3550" s="37">
        <f t="shared" si="103"/>
        <v>20170928</v>
      </c>
      <c r="C3550" s="109">
        <v>2.4300000000000002E-2</v>
      </c>
      <c r="D3550" s="109">
        <v>6.0000000000000001E-3</v>
      </c>
      <c r="E3550" s="109">
        <v>8.0000000000000002E-3</v>
      </c>
      <c r="F3550" s="109">
        <v>8.9999999999999993E-3</v>
      </c>
      <c r="G3550" s="130">
        <v>0</v>
      </c>
      <c r="H3550" s="71">
        <v>8.6</v>
      </c>
      <c r="I3550" s="71">
        <v>11.2</v>
      </c>
      <c r="J3550" s="71">
        <v>13.8</v>
      </c>
      <c r="K3550" s="121">
        <v>8.3999999999999995E-3</v>
      </c>
      <c r="L3550" s="121">
        <v>-7.0000000000000001E-3</v>
      </c>
      <c r="M3550" s="75" t="s">
        <v>146</v>
      </c>
      <c r="N3550" s="75" t="b">
        <v>1</v>
      </c>
      <c r="O3550" s="75" t="s">
        <v>145</v>
      </c>
      <c r="P3550" s="75">
        <v>2014</v>
      </c>
      <c r="Q3550" s="107">
        <f t="shared" si="104"/>
        <v>2017</v>
      </c>
      <c r="R3550" s="107">
        <v>2</v>
      </c>
      <c r="S3550" s="43">
        <v>217084</v>
      </c>
      <c r="T3550" s="74">
        <v>42956</v>
      </c>
    </row>
    <row r="3551" spans="1:21" x14ac:dyDescent="0.3">
      <c r="A3551" s="42">
        <v>43007</v>
      </c>
      <c r="B3551" s="37">
        <f>YEAR(A3551)*10000+MONTH(A3551)*100+DAY(A3551)</f>
        <v>20170929</v>
      </c>
      <c r="C3551" s="109">
        <v>2.4E-2</v>
      </c>
      <c r="D3551" s="109">
        <v>6.0000000000000001E-3</v>
      </c>
      <c r="E3551" s="109">
        <v>8.0000000000000002E-3</v>
      </c>
      <c r="F3551" s="109">
        <v>8.9999999999999993E-3</v>
      </c>
      <c r="G3551" s="130">
        <v>0</v>
      </c>
      <c r="H3551" s="71">
        <v>8.6</v>
      </c>
      <c r="I3551" s="71">
        <v>11.2</v>
      </c>
      <c r="J3551" s="71">
        <v>13.8</v>
      </c>
      <c r="K3551" s="121">
        <v>8.2000000000000007E-3</v>
      </c>
      <c r="L3551" s="121">
        <v>-7.0000000000000001E-3</v>
      </c>
      <c r="M3551" s="75" t="s">
        <v>146</v>
      </c>
      <c r="N3551" s="75" t="b">
        <v>1</v>
      </c>
      <c r="O3551" s="75" t="s">
        <v>145</v>
      </c>
      <c r="P3551" s="75">
        <v>2014</v>
      </c>
      <c r="Q3551" s="107">
        <f t="shared" si="104"/>
        <v>2017</v>
      </c>
      <c r="R3551" s="107">
        <v>2</v>
      </c>
      <c r="S3551" s="43">
        <v>217084</v>
      </c>
      <c r="T3551" s="74">
        <v>42956</v>
      </c>
    </row>
    <row r="3552" spans="1:21" s="116" customFormat="1" x14ac:dyDescent="0.3">
      <c r="A3552" s="110">
        <v>43008</v>
      </c>
      <c r="B3552" s="132">
        <f>YEAR(A3552)*10000+MONTH(A3552)*100+DAY(A3552)</f>
        <v>20170930</v>
      </c>
      <c r="C3552" s="111">
        <v>2.4E-2</v>
      </c>
      <c r="D3552" s="111">
        <v>6.0000000000000001E-3</v>
      </c>
      <c r="E3552" s="120">
        <v>7.0000000000000001E-3</v>
      </c>
      <c r="F3552" s="120">
        <v>8.0000000000000002E-3</v>
      </c>
      <c r="G3552" s="136">
        <v>0</v>
      </c>
      <c r="H3552" s="124">
        <v>8.5</v>
      </c>
      <c r="I3552" s="124">
        <v>11.1</v>
      </c>
      <c r="J3552" s="124">
        <v>13.5</v>
      </c>
      <c r="K3552" s="131">
        <v>8.2000000000000007E-3</v>
      </c>
      <c r="L3552" s="131">
        <v>-7.0000000000000001E-3</v>
      </c>
      <c r="M3552" s="98" t="s">
        <v>146</v>
      </c>
      <c r="N3552" s="98" t="b">
        <v>1</v>
      </c>
      <c r="O3552" s="98" t="s">
        <v>145</v>
      </c>
      <c r="P3552" s="98">
        <v>2014</v>
      </c>
      <c r="Q3552" s="105">
        <f t="shared" si="104"/>
        <v>2017</v>
      </c>
      <c r="R3552" s="105">
        <v>2</v>
      </c>
      <c r="S3552" s="114">
        <v>217115</v>
      </c>
      <c r="T3552" s="115">
        <v>43040</v>
      </c>
      <c r="U3552" s="98" t="s">
        <v>176</v>
      </c>
    </row>
    <row r="3553" spans="1:20" x14ac:dyDescent="0.3">
      <c r="A3553" s="42">
        <v>43009</v>
      </c>
      <c r="B3553" s="37">
        <f>YEAR(A3553)*10000+MONTH(A3553)*100+DAY(A3553)</f>
        <v>20171001</v>
      </c>
      <c r="C3553" s="109">
        <v>2.4E-2</v>
      </c>
      <c r="D3553" s="109">
        <v>6.0000000000000001E-3</v>
      </c>
      <c r="E3553" s="109">
        <v>7.0000000000000001E-3</v>
      </c>
      <c r="F3553" s="109">
        <v>8.0000000000000002E-3</v>
      </c>
      <c r="G3553" s="130">
        <v>0</v>
      </c>
      <c r="H3553" s="71">
        <v>8.5</v>
      </c>
      <c r="I3553" s="71">
        <v>11.1</v>
      </c>
      <c r="J3553" s="71">
        <v>13.5</v>
      </c>
      <c r="K3553" s="121">
        <v>8.2000000000000007E-3</v>
      </c>
      <c r="L3553" s="121">
        <v>-7.0000000000000001E-3</v>
      </c>
      <c r="M3553" s="75" t="s">
        <v>146</v>
      </c>
      <c r="N3553" s="75" t="b">
        <v>1</v>
      </c>
      <c r="O3553" s="75" t="s">
        <v>145</v>
      </c>
      <c r="P3553" s="75">
        <v>2014</v>
      </c>
      <c r="Q3553" s="107">
        <f t="shared" si="104"/>
        <v>2017</v>
      </c>
      <c r="R3553" s="107">
        <v>2</v>
      </c>
      <c r="S3553" s="43">
        <v>217115</v>
      </c>
      <c r="T3553" s="74">
        <v>43040</v>
      </c>
    </row>
    <row r="3554" spans="1:20" x14ac:dyDescent="0.3">
      <c r="A3554" s="42">
        <v>43010</v>
      </c>
      <c r="B3554" s="37">
        <f t="shared" ref="B3554:B3619" si="105">YEAR(A3554)*10000+MONTH(A3554)*100+DAY(A3554)</f>
        <v>20171002</v>
      </c>
      <c r="C3554" s="109">
        <v>2.4300000000000002E-2</v>
      </c>
      <c r="D3554" s="109">
        <v>6.0000000000000001E-3</v>
      </c>
      <c r="E3554" s="109">
        <v>7.0000000000000001E-3</v>
      </c>
      <c r="F3554" s="109">
        <v>8.0000000000000002E-3</v>
      </c>
      <c r="G3554" s="130">
        <v>0</v>
      </c>
      <c r="H3554" s="71">
        <v>8.5</v>
      </c>
      <c r="I3554" s="71">
        <v>11.1</v>
      </c>
      <c r="J3554" s="71">
        <v>13.5</v>
      </c>
      <c r="K3554" s="121">
        <v>8.6E-3</v>
      </c>
      <c r="L3554" s="121">
        <v>-7.0000000000000001E-3</v>
      </c>
      <c r="M3554" s="75" t="s">
        <v>146</v>
      </c>
      <c r="N3554" s="75" t="b">
        <v>1</v>
      </c>
      <c r="O3554" s="75" t="s">
        <v>145</v>
      </c>
      <c r="P3554" s="75">
        <v>2014</v>
      </c>
      <c r="Q3554" s="107">
        <f t="shared" si="104"/>
        <v>2017</v>
      </c>
      <c r="R3554" s="107">
        <v>2</v>
      </c>
      <c r="S3554" s="43">
        <v>217115</v>
      </c>
      <c r="T3554" s="74">
        <v>43040</v>
      </c>
    </row>
    <row r="3555" spans="1:20" x14ac:dyDescent="0.3">
      <c r="A3555" s="42">
        <v>43011</v>
      </c>
      <c r="B3555" s="37">
        <f t="shared" si="105"/>
        <v>20171003</v>
      </c>
      <c r="C3555" s="109">
        <v>2.4300000000000002E-2</v>
      </c>
      <c r="D3555" s="109">
        <v>6.0000000000000001E-3</v>
      </c>
      <c r="E3555" s="109">
        <v>7.0000000000000001E-3</v>
      </c>
      <c r="F3555" s="109">
        <v>8.0000000000000002E-3</v>
      </c>
      <c r="G3555" s="130">
        <v>0</v>
      </c>
      <c r="H3555" s="71">
        <v>8.5</v>
      </c>
      <c r="I3555" s="71">
        <v>11.1</v>
      </c>
      <c r="J3555" s="71">
        <v>13.5</v>
      </c>
      <c r="K3555" s="121">
        <v>8.6E-3</v>
      </c>
      <c r="L3555" s="121">
        <v>-7.0000000000000001E-3</v>
      </c>
      <c r="M3555" s="75" t="s">
        <v>146</v>
      </c>
      <c r="N3555" s="75" t="b">
        <v>1</v>
      </c>
      <c r="O3555" s="75" t="s">
        <v>145</v>
      </c>
      <c r="P3555" s="75">
        <v>2014</v>
      </c>
      <c r="Q3555" s="107">
        <f t="shared" si="104"/>
        <v>2017</v>
      </c>
      <c r="R3555" s="107">
        <v>2</v>
      </c>
      <c r="S3555" s="43">
        <v>217115</v>
      </c>
      <c r="T3555" s="74">
        <v>43040</v>
      </c>
    </row>
    <row r="3556" spans="1:20" x14ac:dyDescent="0.3">
      <c r="A3556" s="42">
        <v>43012</v>
      </c>
      <c r="B3556" s="37">
        <f t="shared" si="105"/>
        <v>20171004</v>
      </c>
      <c r="C3556" s="109">
        <v>2.4199999999999999E-2</v>
      </c>
      <c r="D3556" s="109">
        <v>6.0000000000000001E-3</v>
      </c>
      <c r="E3556" s="109">
        <v>7.0000000000000001E-3</v>
      </c>
      <c r="F3556" s="109">
        <v>8.0000000000000002E-3</v>
      </c>
      <c r="G3556" s="130">
        <v>0</v>
      </c>
      <c r="H3556" s="71">
        <v>8.5</v>
      </c>
      <c r="I3556" s="71">
        <v>11.1</v>
      </c>
      <c r="J3556" s="71">
        <v>13.5</v>
      </c>
      <c r="K3556" s="121">
        <v>8.5000000000000006E-3</v>
      </c>
      <c r="L3556" s="121">
        <v>-7.0000000000000001E-3</v>
      </c>
      <c r="M3556" s="75" t="s">
        <v>146</v>
      </c>
      <c r="N3556" s="75" t="b">
        <v>1</v>
      </c>
      <c r="O3556" s="75" t="s">
        <v>145</v>
      </c>
      <c r="P3556" s="75">
        <v>2014</v>
      </c>
      <c r="Q3556" s="107">
        <f t="shared" si="104"/>
        <v>2017</v>
      </c>
      <c r="R3556" s="107">
        <v>2</v>
      </c>
      <c r="S3556" s="43">
        <v>217115</v>
      </c>
      <c r="T3556" s="74">
        <v>43040</v>
      </c>
    </row>
    <row r="3557" spans="1:20" x14ac:dyDescent="0.3">
      <c r="A3557" s="42">
        <v>43013</v>
      </c>
      <c r="B3557" s="37">
        <f t="shared" si="105"/>
        <v>20171005</v>
      </c>
      <c r="C3557" s="109">
        <v>2.41E-2</v>
      </c>
      <c r="D3557" s="109">
        <v>6.0000000000000001E-3</v>
      </c>
      <c r="E3557" s="109">
        <v>7.0000000000000001E-3</v>
      </c>
      <c r="F3557" s="109">
        <v>8.0000000000000002E-3</v>
      </c>
      <c r="G3557" s="130">
        <v>0</v>
      </c>
      <c r="H3557" s="71">
        <v>8.5</v>
      </c>
      <c r="I3557" s="71">
        <v>11.1</v>
      </c>
      <c r="J3557" s="71">
        <v>13.5</v>
      </c>
      <c r="K3557" s="121">
        <v>8.3999999999999995E-3</v>
      </c>
      <c r="L3557" s="121">
        <v>-7.0000000000000001E-3</v>
      </c>
      <c r="M3557" s="75" t="s">
        <v>146</v>
      </c>
      <c r="N3557" s="75" t="b">
        <v>1</v>
      </c>
      <c r="O3557" s="75" t="s">
        <v>145</v>
      </c>
      <c r="P3557" s="75">
        <v>2014</v>
      </c>
      <c r="Q3557" s="107">
        <f t="shared" si="104"/>
        <v>2017</v>
      </c>
      <c r="R3557" s="107">
        <v>2</v>
      </c>
      <c r="S3557" s="43">
        <v>217115</v>
      </c>
      <c r="T3557" s="74">
        <v>43040</v>
      </c>
    </row>
    <row r="3558" spans="1:20" x14ac:dyDescent="0.3">
      <c r="A3558" s="42">
        <v>43014</v>
      </c>
      <c r="B3558" s="37">
        <f t="shared" si="105"/>
        <v>20171006</v>
      </c>
      <c r="C3558" s="109">
        <v>2.4300000000000002E-2</v>
      </c>
      <c r="D3558" s="109">
        <v>6.0000000000000001E-3</v>
      </c>
      <c r="E3558" s="109">
        <v>7.0000000000000001E-3</v>
      </c>
      <c r="F3558" s="109">
        <v>8.0000000000000002E-3</v>
      </c>
      <c r="G3558" s="130">
        <v>0</v>
      </c>
      <c r="H3558" s="71">
        <v>8.5</v>
      </c>
      <c r="I3558" s="71">
        <v>11.1</v>
      </c>
      <c r="J3558" s="71">
        <v>13.5</v>
      </c>
      <c r="K3558" s="121">
        <v>8.5000000000000006E-3</v>
      </c>
      <c r="L3558" s="121">
        <v>-7.0000000000000001E-3</v>
      </c>
      <c r="M3558" s="75" t="s">
        <v>146</v>
      </c>
      <c r="N3558" s="75" t="b">
        <v>1</v>
      </c>
      <c r="O3558" s="75" t="s">
        <v>145</v>
      </c>
      <c r="P3558" s="75">
        <v>2014</v>
      </c>
      <c r="Q3558" s="107">
        <f t="shared" si="104"/>
        <v>2017</v>
      </c>
      <c r="R3558" s="107">
        <v>2</v>
      </c>
      <c r="S3558" s="43">
        <v>217115</v>
      </c>
      <c r="T3558" s="74">
        <v>43040</v>
      </c>
    </row>
    <row r="3559" spans="1:20" x14ac:dyDescent="0.3">
      <c r="A3559" s="42">
        <v>43015</v>
      </c>
      <c r="B3559" s="37">
        <f t="shared" si="105"/>
        <v>20171007</v>
      </c>
      <c r="C3559" s="109">
        <v>2.4300000000000002E-2</v>
      </c>
      <c r="D3559" s="109">
        <v>6.0000000000000001E-3</v>
      </c>
      <c r="E3559" s="109">
        <v>7.0000000000000001E-3</v>
      </c>
      <c r="F3559" s="109">
        <v>8.0000000000000002E-3</v>
      </c>
      <c r="G3559" s="130">
        <v>0</v>
      </c>
      <c r="H3559" s="71">
        <v>8.5</v>
      </c>
      <c r="I3559" s="71">
        <v>11.1</v>
      </c>
      <c r="J3559" s="71">
        <v>13.5</v>
      </c>
      <c r="K3559" s="121">
        <v>8.6E-3</v>
      </c>
      <c r="L3559" s="121">
        <v>-7.0000000000000001E-3</v>
      </c>
      <c r="M3559" s="75" t="s">
        <v>146</v>
      </c>
      <c r="N3559" s="75" t="b">
        <v>1</v>
      </c>
      <c r="O3559" s="75" t="s">
        <v>145</v>
      </c>
      <c r="P3559" s="75">
        <v>2014</v>
      </c>
      <c r="Q3559" s="107">
        <f t="shared" si="104"/>
        <v>2017</v>
      </c>
      <c r="R3559" s="107">
        <v>2</v>
      </c>
      <c r="S3559" s="43">
        <v>217115</v>
      </c>
      <c r="T3559" s="74">
        <v>43040</v>
      </c>
    </row>
    <row r="3560" spans="1:20" x14ac:dyDescent="0.3">
      <c r="A3560" s="42">
        <v>43016</v>
      </c>
      <c r="B3560" s="37">
        <f t="shared" si="105"/>
        <v>20171008</v>
      </c>
      <c r="C3560" s="109">
        <v>2.4300000000000002E-2</v>
      </c>
      <c r="D3560" s="109">
        <v>6.0000000000000001E-3</v>
      </c>
      <c r="E3560" s="109">
        <v>7.0000000000000001E-3</v>
      </c>
      <c r="F3560" s="109">
        <v>8.0000000000000002E-3</v>
      </c>
      <c r="G3560" s="130">
        <v>0</v>
      </c>
      <c r="H3560" s="71">
        <v>8.5</v>
      </c>
      <c r="I3560" s="71">
        <v>11.1</v>
      </c>
      <c r="J3560" s="71">
        <v>13.5</v>
      </c>
      <c r="K3560" s="121">
        <v>8.6999999999999994E-3</v>
      </c>
      <c r="L3560" s="121">
        <v>-7.0000000000000001E-3</v>
      </c>
      <c r="M3560" s="75" t="s">
        <v>146</v>
      </c>
      <c r="N3560" s="75" t="b">
        <v>1</v>
      </c>
      <c r="O3560" s="75" t="s">
        <v>145</v>
      </c>
      <c r="P3560" s="75">
        <v>2014</v>
      </c>
      <c r="Q3560" s="107">
        <f t="shared" si="104"/>
        <v>2017</v>
      </c>
      <c r="R3560" s="107">
        <v>2</v>
      </c>
      <c r="S3560" s="43">
        <v>217115</v>
      </c>
      <c r="T3560" s="74">
        <v>43040</v>
      </c>
    </row>
    <row r="3561" spans="1:20" x14ac:dyDescent="0.3">
      <c r="A3561" s="42">
        <v>43017</v>
      </c>
      <c r="B3561" s="37">
        <f t="shared" si="105"/>
        <v>20171009</v>
      </c>
      <c r="C3561" s="109">
        <v>2.4300000000000002E-2</v>
      </c>
      <c r="D3561" s="109">
        <v>6.0000000000000001E-3</v>
      </c>
      <c r="E3561" s="109">
        <v>7.0000000000000001E-3</v>
      </c>
      <c r="F3561" s="109">
        <v>8.0000000000000002E-3</v>
      </c>
      <c r="G3561" s="130">
        <v>0</v>
      </c>
      <c r="H3561" s="71">
        <v>8.5</v>
      </c>
      <c r="I3561" s="71">
        <v>11.1</v>
      </c>
      <c r="J3561" s="71">
        <v>13.5</v>
      </c>
      <c r="K3561" s="121">
        <v>8.8000000000000005E-3</v>
      </c>
      <c r="L3561" s="121">
        <v>-7.0000000000000001E-3</v>
      </c>
      <c r="M3561" s="75" t="s">
        <v>146</v>
      </c>
      <c r="N3561" s="75" t="b">
        <v>1</v>
      </c>
      <c r="O3561" s="75" t="s">
        <v>145</v>
      </c>
      <c r="P3561" s="75">
        <v>2014</v>
      </c>
      <c r="Q3561" s="107">
        <f t="shared" si="104"/>
        <v>2017</v>
      </c>
      <c r="R3561" s="107">
        <v>2</v>
      </c>
      <c r="S3561" s="43">
        <v>217115</v>
      </c>
      <c r="T3561" s="74">
        <v>43040</v>
      </c>
    </row>
    <row r="3562" spans="1:20" x14ac:dyDescent="0.3">
      <c r="A3562" s="42">
        <v>43018</v>
      </c>
      <c r="B3562" s="37">
        <f t="shared" si="105"/>
        <v>20171010</v>
      </c>
      <c r="C3562" s="109">
        <v>2.41E-2</v>
      </c>
      <c r="D3562" s="109">
        <v>6.0000000000000001E-3</v>
      </c>
      <c r="E3562" s="109">
        <v>7.0000000000000001E-3</v>
      </c>
      <c r="F3562" s="109">
        <v>8.0000000000000002E-3</v>
      </c>
      <c r="G3562" s="130">
        <v>0</v>
      </c>
      <c r="H3562" s="71">
        <v>8.5</v>
      </c>
      <c r="I3562" s="71">
        <v>11.1</v>
      </c>
      <c r="J3562" s="71">
        <v>13.5</v>
      </c>
      <c r="K3562" s="121">
        <v>8.3000000000000001E-3</v>
      </c>
      <c r="L3562" s="121">
        <v>-7.0000000000000001E-3</v>
      </c>
      <c r="M3562" s="75" t="s">
        <v>146</v>
      </c>
      <c r="N3562" s="75" t="b">
        <v>1</v>
      </c>
      <c r="O3562" s="75" t="s">
        <v>145</v>
      </c>
      <c r="P3562" s="75">
        <v>2014</v>
      </c>
      <c r="Q3562" s="107">
        <f t="shared" si="104"/>
        <v>2017</v>
      </c>
      <c r="R3562" s="107">
        <v>2</v>
      </c>
      <c r="S3562" s="43">
        <v>217115</v>
      </c>
      <c r="T3562" s="74">
        <v>43040</v>
      </c>
    </row>
    <row r="3563" spans="1:20" x14ac:dyDescent="0.3">
      <c r="A3563" s="42">
        <v>43019</v>
      </c>
      <c r="B3563" s="37">
        <f t="shared" si="105"/>
        <v>20171011</v>
      </c>
      <c r="C3563" s="109">
        <v>2.3900000000000001E-2</v>
      </c>
      <c r="D3563" s="109">
        <v>6.0000000000000001E-3</v>
      </c>
      <c r="E3563" s="109">
        <v>7.0000000000000001E-3</v>
      </c>
      <c r="F3563" s="109">
        <v>8.0000000000000002E-3</v>
      </c>
      <c r="G3563" s="130">
        <v>0</v>
      </c>
      <c r="H3563" s="71">
        <v>8.5</v>
      </c>
      <c r="I3563" s="71">
        <v>11.1</v>
      </c>
      <c r="J3563" s="71">
        <v>13.5</v>
      </c>
      <c r="K3563" s="121">
        <v>8.0000000000000002E-3</v>
      </c>
      <c r="L3563" s="121">
        <v>-7.0000000000000001E-3</v>
      </c>
      <c r="M3563" s="75" t="s">
        <v>146</v>
      </c>
      <c r="N3563" s="75" t="b">
        <v>1</v>
      </c>
      <c r="O3563" s="75" t="s">
        <v>145</v>
      </c>
      <c r="P3563" s="75">
        <v>2014</v>
      </c>
      <c r="Q3563" s="107">
        <f t="shared" si="104"/>
        <v>2017</v>
      </c>
      <c r="R3563" s="107">
        <v>2</v>
      </c>
      <c r="S3563" s="43">
        <v>217115</v>
      </c>
      <c r="T3563" s="74">
        <v>43040</v>
      </c>
    </row>
    <row r="3564" spans="1:20" x14ac:dyDescent="0.3">
      <c r="A3564" s="42">
        <v>43020</v>
      </c>
      <c r="B3564" s="37">
        <f t="shared" si="105"/>
        <v>20171012</v>
      </c>
      <c r="C3564" s="109">
        <v>2.3700000000000002E-2</v>
      </c>
      <c r="D3564" s="109">
        <v>6.0000000000000001E-3</v>
      </c>
      <c r="E3564" s="109">
        <v>7.0000000000000001E-3</v>
      </c>
      <c r="F3564" s="109">
        <v>8.0000000000000002E-3</v>
      </c>
      <c r="G3564" s="130">
        <v>0</v>
      </c>
      <c r="H3564" s="71">
        <v>8.5</v>
      </c>
      <c r="I3564" s="71">
        <v>11.1</v>
      </c>
      <c r="J3564" s="71">
        <v>13.5</v>
      </c>
      <c r="K3564" s="121">
        <v>7.7000000000000002E-3</v>
      </c>
      <c r="L3564" s="121">
        <v>-7.0000000000000001E-3</v>
      </c>
      <c r="M3564" s="75" t="s">
        <v>146</v>
      </c>
      <c r="N3564" s="75" t="b">
        <v>1</v>
      </c>
      <c r="O3564" s="75" t="s">
        <v>145</v>
      </c>
      <c r="P3564" s="75">
        <v>2014</v>
      </c>
      <c r="Q3564" s="107">
        <f t="shared" si="104"/>
        <v>2017</v>
      </c>
      <c r="R3564" s="107">
        <v>2</v>
      </c>
      <c r="S3564" s="43">
        <v>217115</v>
      </c>
      <c r="T3564" s="74">
        <v>43040</v>
      </c>
    </row>
    <row r="3565" spans="1:20" x14ac:dyDescent="0.3">
      <c r="A3565" s="42">
        <v>43021</v>
      </c>
      <c r="B3565" s="37">
        <f t="shared" si="105"/>
        <v>20171013</v>
      </c>
      <c r="C3565" s="109">
        <v>2.3300000000000001E-2</v>
      </c>
      <c r="D3565" s="109">
        <v>6.0000000000000001E-3</v>
      </c>
      <c r="E3565" s="109">
        <v>7.0000000000000001E-3</v>
      </c>
      <c r="F3565" s="109">
        <v>8.0000000000000002E-3</v>
      </c>
      <c r="G3565" s="130">
        <v>0</v>
      </c>
      <c r="H3565" s="71">
        <v>8.5</v>
      </c>
      <c r="I3565" s="71">
        <v>11.1</v>
      </c>
      <c r="J3565" s="71">
        <v>13.5</v>
      </c>
      <c r="K3565" s="121">
        <v>7.4000000000000003E-3</v>
      </c>
      <c r="L3565" s="121">
        <v>-7.0000000000000001E-3</v>
      </c>
      <c r="M3565" s="75" t="s">
        <v>146</v>
      </c>
      <c r="N3565" s="75" t="b">
        <v>1</v>
      </c>
      <c r="O3565" s="75" t="s">
        <v>145</v>
      </c>
      <c r="P3565" s="75">
        <v>2014</v>
      </c>
      <c r="Q3565" s="107">
        <f t="shared" si="104"/>
        <v>2017</v>
      </c>
      <c r="R3565" s="107">
        <v>2</v>
      </c>
      <c r="S3565" s="43">
        <v>217115</v>
      </c>
      <c r="T3565" s="74">
        <v>43040</v>
      </c>
    </row>
    <row r="3566" spans="1:20" x14ac:dyDescent="0.3">
      <c r="A3566" s="42">
        <v>43022</v>
      </c>
      <c r="B3566" s="37">
        <f>YEAR(A3566)*10000+MONTH(A3566)*100+DAY(A3566)</f>
        <v>20171014</v>
      </c>
      <c r="C3566" s="109">
        <v>2.3300000000000001E-2</v>
      </c>
      <c r="D3566" s="109">
        <v>6.0000000000000001E-3</v>
      </c>
      <c r="E3566" s="109">
        <v>7.0000000000000001E-3</v>
      </c>
      <c r="F3566" s="109">
        <v>8.0000000000000002E-3</v>
      </c>
      <c r="G3566" s="130">
        <v>0</v>
      </c>
      <c r="H3566" s="71">
        <v>8.5</v>
      </c>
      <c r="I3566" s="71">
        <v>11.1</v>
      </c>
      <c r="J3566" s="71">
        <v>13.5</v>
      </c>
      <c r="K3566" s="121">
        <v>7.4000000000000003E-3</v>
      </c>
      <c r="L3566" s="121">
        <v>-7.0000000000000001E-3</v>
      </c>
      <c r="M3566" s="75" t="s">
        <v>146</v>
      </c>
      <c r="N3566" s="75" t="b">
        <v>1</v>
      </c>
      <c r="O3566" s="75" t="s">
        <v>145</v>
      </c>
      <c r="P3566" s="75">
        <v>2014</v>
      </c>
      <c r="Q3566" s="107">
        <f t="shared" ref="Q3566:Q3629" si="106">YEAR(A3566)</f>
        <v>2017</v>
      </c>
      <c r="R3566" s="107">
        <v>2</v>
      </c>
      <c r="S3566" s="43">
        <v>217115</v>
      </c>
      <c r="T3566" s="74">
        <v>43040</v>
      </c>
    </row>
    <row r="3567" spans="1:20" x14ac:dyDescent="0.3">
      <c r="A3567" s="42">
        <v>43023</v>
      </c>
      <c r="B3567" s="37">
        <f>YEAR(A3567)*10000+MONTH(A3567)*100+DAY(A3567)</f>
        <v>20171015</v>
      </c>
      <c r="C3567" s="109">
        <v>2.3300000000000001E-2</v>
      </c>
      <c r="D3567" s="109">
        <v>6.0000000000000001E-3</v>
      </c>
      <c r="E3567" s="109">
        <v>7.0000000000000001E-3</v>
      </c>
      <c r="F3567" s="109">
        <v>8.0000000000000002E-3</v>
      </c>
      <c r="G3567" s="130">
        <v>0</v>
      </c>
      <c r="H3567" s="71">
        <v>8.5</v>
      </c>
      <c r="I3567" s="71">
        <v>11.1</v>
      </c>
      <c r="J3567" s="71">
        <v>13.5</v>
      </c>
      <c r="K3567" s="121">
        <v>7.4000000000000003E-3</v>
      </c>
      <c r="L3567" s="121">
        <v>-7.0000000000000001E-3</v>
      </c>
      <c r="M3567" s="75" t="s">
        <v>146</v>
      </c>
      <c r="N3567" s="75" t="b">
        <v>1</v>
      </c>
      <c r="O3567" s="75" t="s">
        <v>145</v>
      </c>
      <c r="P3567" s="75">
        <v>2014</v>
      </c>
      <c r="Q3567" s="107">
        <f t="shared" si="106"/>
        <v>2017</v>
      </c>
      <c r="R3567" s="107">
        <v>2</v>
      </c>
      <c r="S3567" s="43">
        <v>217115</v>
      </c>
      <c r="T3567" s="74">
        <v>43040</v>
      </c>
    </row>
    <row r="3568" spans="1:20" x14ac:dyDescent="0.3">
      <c r="A3568" s="42">
        <v>43024</v>
      </c>
      <c r="B3568" s="37">
        <f t="shared" si="105"/>
        <v>20171016</v>
      </c>
      <c r="C3568" s="109">
        <v>2.3099999999999999E-2</v>
      </c>
      <c r="D3568" s="109">
        <v>6.0000000000000001E-3</v>
      </c>
      <c r="E3568" s="109">
        <v>7.0000000000000001E-3</v>
      </c>
      <c r="F3568" s="109">
        <v>8.0000000000000002E-3</v>
      </c>
      <c r="G3568" s="130">
        <v>0</v>
      </c>
      <c r="H3568" s="71">
        <v>8.5</v>
      </c>
      <c r="I3568" s="71">
        <v>11.1</v>
      </c>
      <c r="J3568" s="71">
        <v>13.5</v>
      </c>
      <c r="K3568" s="121">
        <v>7.4000000000000003E-3</v>
      </c>
      <c r="L3568" s="121">
        <v>-7.0000000000000001E-3</v>
      </c>
      <c r="M3568" s="75" t="s">
        <v>146</v>
      </c>
      <c r="N3568" s="75" t="b">
        <v>1</v>
      </c>
      <c r="O3568" s="75" t="s">
        <v>145</v>
      </c>
      <c r="P3568" s="75">
        <v>2014</v>
      </c>
      <c r="Q3568" s="107">
        <f t="shared" si="106"/>
        <v>2017</v>
      </c>
      <c r="R3568" s="107">
        <v>2</v>
      </c>
      <c r="S3568" s="43">
        <v>217115</v>
      </c>
      <c r="T3568" s="74">
        <v>43040</v>
      </c>
    </row>
    <row r="3569" spans="1:20" x14ac:dyDescent="0.3">
      <c r="A3569" s="42">
        <v>43025</v>
      </c>
      <c r="B3569" s="37">
        <f t="shared" si="105"/>
        <v>20171017</v>
      </c>
      <c r="C3569" s="109">
        <v>2.3E-2</v>
      </c>
      <c r="D3569" s="109">
        <v>6.0000000000000001E-3</v>
      </c>
      <c r="E3569" s="109">
        <v>7.0000000000000001E-3</v>
      </c>
      <c r="F3569" s="109">
        <v>8.0000000000000002E-3</v>
      </c>
      <c r="G3569" s="130">
        <v>0</v>
      </c>
      <c r="H3569" s="71">
        <v>8.5</v>
      </c>
      <c r="I3569" s="71">
        <v>11.1</v>
      </c>
      <c r="J3569" s="71">
        <v>13.5</v>
      </c>
      <c r="K3569" s="121">
        <v>7.1999999999999998E-3</v>
      </c>
      <c r="L3569" s="121">
        <v>-7.0000000000000001E-3</v>
      </c>
      <c r="M3569" s="75" t="s">
        <v>146</v>
      </c>
      <c r="N3569" s="75" t="b">
        <v>1</v>
      </c>
      <c r="O3569" s="75" t="s">
        <v>145</v>
      </c>
      <c r="P3569" s="75">
        <v>2014</v>
      </c>
      <c r="Q3569" s="107">
        <f t="shared" si="106"/>
        <v>2017</v>
      </c>
      <c r="R3569" s="107">
        <v>2</v>
      </c>
      <c r="S3569" s="43">
        <v>217115</v>
      </c>
      <c r="T3569" s="74">
        <v>43040</v>
      </c>
    </row>
    <row r="3570" spans="1:20" x14ac:dyDescent="0.3">
      <c r="A3570" s="42">
        <v>43026</v>
      </c>
      <c r="B3570" s="37">
        <f t="shared" si="105"/>
        <v>20171018</v>
      </c>
      <c r="C3570" s="109">
        <v>2.3099999999999999E-2</v>
      </c>
      <c r="D3570" s="109">
        <v>6.0000000000000001E-3</v>
      </c>
      <c r="E3570" s="109">
        <v>7.0000000000000001E-3</v>
      </c>
      <c r="F3570" s="109">
        <v>8.0000000000000002E-3</v>
      </c>
      <c r="G3570" s="130">
        <v>0</v>
      </c>
      <c r="H3570" s="71">
        <v>8.5</v>
      </c>
      <c r="I3570" s="71">
        <v>11.1</v>
      </c>
      <c r="J3570" s="71">
        <v>13.5</v>
      </c>
      <c r="K3570" s="121">
        <v>7.3000000000000001E-3</v>
      </c>
      <c r="L3570" s="121">
        <v>-7.0000000000000001E-3</v>
      </c>
      <c r="M3570" s="75" t="s">
        <v>146</v>
      </c>
      <c r="N3570" s="75" t="b">
        <v>1</v>
      </c>
      <c r="O3570" s="75" t="s">
        <v>145</v>
      </c>
      <c r="P3570" s="75">
        <v>2014</v>
      </c>
      <c r="Q3570" s="107">
        <f t="shared" si="106"/>
        <v>2017</v>
      </c>
      <c r="R3570" s="107">
        <v>2</v>
      </c>
      <c r="S3570" s="43">
        <v>217115</v>
      </c>
      <c r="T3570" s="74">
        <v>43040</v>
      </c>
    </row>
    <row r="3571" spans="1:20" x14ac:dyDescent="0.3">
      <c r="A3571" s="42">
        <v>43027</v>
      </c>
      <c r="B3571" s="37">
        <f t="shared" si="105"/>
        <v>20171019</v>
      </c>
      <c r="C3571" s="109">
        <v>2.29E-2</v>
      </c>
      <c r="D3571" s="109">
        <v>6.0000000000000001E-3</v>
      </c>
      <c r="E3571" s="109">
        <v>7.0000000000000001E-3</v>
      </c>
      <c r="F3571" s="109">
        <v>8.0000000000000002E-3</v>
      </c>
      <c r="G3571" s="130">
        <v>0</v>
      </c>
      <c r="H3571" s="71">
        <v>8.5</v>
      </c>
      <c r="I3571" s="71">
        <v>11.1</v>
      </c>
      <c r="J3571" s="71">
        <v>13.5</v>
      </c>
      <c r="K3571" s="121">
        <v>7.3000000000000001E-3</v>
      </c>
      <c r="L3571" s="121">
        <v>-7.0000000000000001E-3</v>
      </c>
      <c r="M3571" s="75" t="s">
        <v>146</v>
      </c>
      <c r="N3571" s="75" t="b">
        <v>1</v>
      </c>
      <c r="O3571" s="75" t="s">
        <v>145</v>
      </c>
      <c r="P3571" s="75">
        <v>2014</v>
      </c>
      <c r="Q3571" s="107">
        <f t="shared" si="106"/>
        <v>2017</v>
      </c>
      <c r="R3571" s="107">
        <v>2</v>
      </c>
      <c r="S3571" s="43">
        <v>217115</v>
      </c>
      <c r="T3571" s="74">
        <v>43040</v>
      </c>
    </row>
    <row r="3572" spans="1:20" x14ac:dyDescent="0.3">
      <c r="A3572" s="42">
        <v>43028</v>
      </c>
      <c r="B3572" s="37">
        <f t="shared" si="105"/>
        <v>20171020</v>
      </c>
      <c r="C3572" s="109">
        <v>2.3099999999999999E-2</v>
      </c>
      <c r="D3572" s="109">
        <v>6.0000000000000001E-3</v>
      </c>
      <c r="E3572" s="109">
        <v>7.0000000000000001E-3</v>
      </c>
      <c r="F3572" s="109">
        <v>8.0000000000000002E-3</v>
      </c>
      <c r="G3572" s="130">
        <v>0</v>
      </c>
      <c r="H3572" s="71">
        <v>8.5</v>
      </c>
      <c r="I3572" s="71">
        <v>11.1</v>
      </c>
      <c r="J3572" s="71">
        <v>13.5</v>
      </c>
      <c r="K3572" s="121">
        <v>7.6E-3</v>
      </c>
      <c r="L3572" s="121">
        <v>-7.0000000000000001E-3</v>
      </c>
      <c r="M3572" s="75" t="s">
        <v>146</v>
      </c>
      <c r="N3572" s="75" t="b">
        <v>1</v>
      </c>
      <c r="O3572" s="75" t="s">
        <v>145</v>
      </c>
      <c r="P3572" s="75">
        <v>2014</v>
      </c>
      <c r="Q3572" s="107">
        <f t="shared" si="106"/>
        <v>2017</v>
      </c>
      <c r="R3572" s="107">
        <v>2</v>
      </c>
      <c r="S3572" s="43">
        <v>217115</v>
      </c>
      <c r="T3572" s="74">
        <v>43040</v>
      </c>
    </row>
    <row r="3573" spans="1:20" x14ac:dyDescent="0.3">
      <c r="A3573" s="42">
        <v>43029</v>
      </c>
      <c r="B3573" s="37">
        <f>YEAR(A3573)*10000+MONTH(A3573)*100+DAY(A3573)</f>
        <v>20171021</v>
      </c>
      <c r="C3573" s="109">
        <v>2.3099999999999999E-2</v>
      </c>
      <c r="D3573" s="109">
        <v>6.0000000000000001E-3</v>
      </c>
      <c r="E3573" s="109">
        <v>7.0000000000000001E-3</v>
      </c>
      <c r="F3573" s="109">
        <v>8.0000000000000002E-3</v>
      </c>
      <c r="G3573" s="130">
        <v>0</v>
      </c>
      <c r="H3573" s="71">
        <v>8.5</v>
      </c>
      <c r="I3573" s="71">
        <v>11.1</v>
      </c>
      <c r="J3573" s="71">
        <v>13.5</v>
      </c>
      <c r="K3573" s="121">
        <v>7.6E-3</v>
      </c>
      <c r="L3573" s="121">
        <v>-7.0000000000000001E-3</v>
      </c>
      <c r="M3573" s="75" t="s">
        <v>146</v>
      </c>
      <c r="N3573" s="75" t="b">
        <v>1</v>
      </c>
      <c r="O3573" s="75" t="s">
        <v>145</v>
      </c>
      <c r="P3573" s="75">
        <v>2014</v>
      </c>
      <c r="Q3573" s="107">
        <f t="shared" si="106"/>
        <v>2017</v>
      </c>
      <c r="R3573" s="107">
        <v>2</v>
      </c>
      <c r="S3573" s="43">
        <v>217115</v>
      </c>
      <c r="T3573" s="74">
        <v>43040</v>
      </c>
    </row>
    <row r="3574" spans="1:20" x14ac:dyDescent="0.3">
      <c r="A3574" s="42">
        <v>43030</v>
      </c>
      <c r="B3574" s="37">
        <f>YEAR(A3574)*10000+MONTH(A3574)*100+DAY(A3574)</f>
        <v>20171022</v>
      </c>
      <c r="C3574" s="109">
        <v>2.3099999999999999E-2</v>
      </c>
      <c r="D3574" s="109">
        <v>6.0000000000000001E-3</v>
      </c>
      <c r="E3574" s="109">
        <v>7.0000000000000001E-3</v>
      </c>
      <c r="F3574" s="109">
        <v>8.0000000000000002E-3</v>
      </c>
      <c r="G3574" s="130">
        <v>0</v>
      </c>
      <c r="H3574" s="71">
        <v>8.5</v>
      </c>
      <c r="I3574" s="71">
        <v>11.1</v>
      </c>
      <c r="J3574" s="71">
        <v>13.5</v>
      </c>
      <c r="K3574" s="121">
        <v>7.6E-3</v>
      </c>
      <c r="L3574" s="121">
        <v>-7.0000000000000001E-3</v>
      </c>
      <c r="M3574" s="75" t="s">
        <v>146</v>
      </c>
      <c r="N3574" s="75" t="b">
        <v>1</v>
      </c>
      <c r="O3574" s="75" t="s">
        <v>145</v>
      </c>
      <c r="P3574" s="75">
        <v>2014</v>
      </c>
      <c r="Q3574" s="107">
        <f t="shared" si="106"/>
        <v>2017</v>
      </c>
      <c r="R3574" s="107">
        <v>2</v>
      </c>
      <c r="S3574" s="43">
        <v>217115</v>
      </c>
      <c r="T3574" s="74">
        <v>43040</v>
      </c>
    </row>
    <row r="3575" spans="1:20" x14ac:dyDescent="0.3">
      <c r="A3575" s="42">
        <v>43031</v>
      </c>
      <c r="B3575" s="37">
        <f t="shared" si="105"/>
        <v>20171023</v>
      </c>
      <c r="C3575" s="109">
        <v>2.3099999999999999E-2</v>
      </c>
      <c r="D3575" s="109">
        <v>6.0000000000000001E-3</v>
      </c>
      <c r="E3575" s="109">
        <v>7.0000000000000001E-3</v>
      </c>
      <c r="F3575" s="109">
        <v>8.0000000000000002E-3</v>
      </c>
      <c r="G3575" s="130">
        <v>0</v>
      </c>
      <c r="H3575" s="71">
        <v>8.5</v>
      </c>
      <c r="I3575" s="71">
        <v>11.1</v>
      </c>
      <c r="J3575" s="71">
        <v>13.5</v>
      </c>
      <c r="K3575" s="121">
        <v>7.4999999999999997E-3</v>
      </c>
      <c r="L3575" s="121">
        <v>-7.0000000000000001E-3</v>
      </c>
      <c r="M3575" s="75" t="s">
        <v>146</v>
      </c>
      <c r="N3575" s="75" t="b">
        <v>1</v>
      </c>
      <c r="O3575" s="75" t="s">
        <v>145</v>
      </c>
      <c r="P3575" s="75">
        <v>2014</v>
      </c>
      <c r="Q3575" s="107">
        <f t="shared" si="106"/>
        <v>2017</v>
      </c>
      <c r="R3575" s="107">
        <v>2</v>
      </c>
      <c r="S3575" s="43">
        <v>217115</v>
      </c>
      <c r="T3575" s="74">
        <v>43040</v>
      </c>
    </row>
    <row r="3576" spans="1:20" x14ac:dyDescent="0.3">
      <c r="A3576" s="42">
        <v>43032</v>
      </c>
      <c r="B3576" s="37">
        <f t="shared" si="105"/>
        <v>20171024</v>
      </c>
      <c r="C3576" s="109">
        <v>2.3300000000000001E-2</v>
      </c>
      <c r="D3576" s="109">
        <v>6.0000000000000001E-3</v>
      </c>
      <c r="E3576" s="109">
        <v>7.0000000000000001E-3</v>
      </c>
      <c r="F3576" s="109">
        <v>8.0000000000000002E-3</v>
      </c>
      <c r="G3576" s="130">
        <v>0</v>
      </c>
      <c r="H3576" s="71">
        <v>8.5</v>
      </c>
      <c r="I3576" s="71">
        <v>11.1</v>
      </c>
      <c r="J3576" s="71">
        <v>13.5</v>
      </c>
      <c r="K3576" s="121">
        <v>7.8000000000000005E-3</v>
      </c>
      <c r="L3576" s="121">
        <v>-7.0000000000000001E-3</v>
      </c>
      <c r="M3576" s="75" t="s">
        <v>146</v>
      </c>
      <c r="N3576" s="75" t="b">
        <v>1</v>
      </c>
      <c r="O3576" s="75" t="s">
        <v>145</v>
      </c>
      <c r="P3576" s="75">
        <v>2014</v>
      </c>
      <c r="Q3576" s="107">
        <f t="shared" si="106"/>
        <v>2017</v>
      </c>
      <c r="R3576" s="107">
        <v>2</v>
      </c>
      <c r="S3576" s="43">
        <v>217115</v>
      </c>
      <c r="T3576" s="74">
        <v>43040</v>
      </c>
    </row>
    <row r="3577" spans="1:20" x14ac:dyDescent="0.3">
      <c r="A3577" s="42">
        <v>43033</v>
      </c>
      <c r="B3577" s="37">
        <f t="shared" si="105"/>
        <v>20171025</v>
      </c>
      <c r="C3577" s="109">
        <v>2.3199999999999998E-2</v>
      </c>
      <c r="D3577" s="109">
        <v>6.0000000000000001E-3</v>
      </c>
      <c r="E3577" s="109">
        <v>7.0000000000000001E-3</v>
      </c>
      <c r="F3577" s="109">
        <v>8.0000000000000002E-3</v>
      </c>
      <c r="G3577" s="130">
        <v>0</v>
      </c>
      <c r="H3577" s="71">
        <v>8.5</v>
      </c>
      <c r="I3577" s="71">
        <v>11.1</v>
      </c>
      <c r="J3577" s="71">
        <v>13.5</v>
      </c>
      <c r="K3577" s="121">
        <v>7.6E-3</v>
      </c>
      <c r="L3577" s="121">
        <v>-7.0000000000000001E-3</v>
      </c>
      <c r="M3577" s="75" t="s">
        <v>146</v>
      </c>
      <c r="N3577" s="75" t="b">
        <v>1</v>
      </c>
      <c r="O3577" s="75" t="s">
        <v>145</v>
      </c>
      <c r="P3577" s="75">
        <v>2014</v>
      </c>
      <c r="Q3577" s="107">
        <f t="shared" si="106"/>
        <v>2017</v>
      </c>
      <c r="R3577" s="107">
        <v>2</v>
      </c>
      <c r="S3577" s="43">
        <v>217115</v>
      </c>
      <c r="T3577" s="74">
        <v>43040</v>
      </c>
    </row>
    <row r="3578" spans="1:20" x14ac:dyDescent="0.3">
      <c r="A3578" s="42">
        <v>43034</v>
      </c>
      <c r="B3578" s="37">
        <f t="shared" si="105"/>
        <v>20171026</v>
      </c>
      <c r="C3578" s="109">
        <v>2.3199999999999998E-2</v>
      </c>
      <c r="D3578" s="109">
        <v>6.0000000000000001E-3</v>
      </c>
      <c r="E3578" s="109">
        <v>7.0000000000000001E-3</v>
      </c>
      <c r="F3578" s="109">
        <v>8.0000000000000002E-3</v>
      </c>
      <c r="G3578" s="130">
        <v>0</v>
      </c>
      <c r="H3578" s="71">
        <v>8.5</v>
      </c>
      <c r="I3578" s="71">
        <v>11.1</v>
      </c>
      <c r="J3578" s="71">
        <v>13.5</v>
      </c>
      <c r="K3578" s="121">
        <v>7.4999999999999997E-3</v>
      </c>
      <c r="L3578" s="121">
        <v>-7.0000000000000001E-3</v>
      </c>
      <c r="M3578" s="75" t="s">
        <v>146</v>
      </c>
      <c r="N3578" s="75" t="b">
        <v>1</v>
      </c>
      <c r="O3578" s="75" t="s">
        <v>145</v>
      </c>
      <c r="P3578" s="75">
        <v>2014</v>
      </c>
      <c r="Q3578" s="107">
        <f t="shared" si="106"/>
        <v>2017</v>
      </c>
      <c r="R3578" s="107">
        <v>2</v>
      </c>
      <c r="S3578" s="43">
        <v>217115</v>
      </c>
      <c r="T3578" s="74">
        <v>43040</v>
      </c>
    </row>
    <row r="3579" spans="1:20" x14ac:dyDescent="0.3">
      <c r="A3579" s="42">
        <v>43035</v>
      </c>
      <c r="B3579" s="37">
        <f t="shared" si="105"/>
        <v>20171027</v>
      </c>
      <c r="C3579" s="109">
        <v>2.2700000000000001E-2</v>
      </c>
      <c r="D3579" s="109">
        <v>6.0000000000000001E-3</v>
      </c>
      <c r="E3579" s="109">
        <v>7.0000000000000001E-3</v>
      </c>
      <c r="F3579" s="109">
        <v>8.0000000000000002E-3</v>
      </c>
      <c r="G3579" s="130">
        <v>0</v>
      </c>
      <c r="H3579" s="71">
        <v>8.5</v>
      </c>
      <c r="I3579" s="71">
        <v>11.1</v>
      </c>
      <c r="J3579" s="71">
        <v>13.5</v>
      </c>
      <c r="K3579" s="121">
        <v>7.1999999999999998E-3</v>
      </c>
      <c r="L3579" s="121">
        <v>-7.0000000000000001E-3</v>
      </c>
      <c r="M3579" s="75" t="s">
        <v>146</v>
      </c>
      <c r="N3579" s="75" t="b">
        <v>1</v>
      </c>
      <c r="O3579" s="75" t="s">
        <v>145</v>
      </c>
      <c r="P3579" s="75">
        <v>2014</v>
      </c>
      <c r="Q3579" s="107">
        <f t="shared" si="106"/>
        <v>2017</v>
      </c>
      <c r="R3579" s="107">
        <v>2</v>
      </c>
      <c r="S3579" s="43">
        <v>217115</v>
      </c>
      <c r="T3579" s="74">
        <v>43040</v>
      </c>
    </row>
    <row r="3580" spans="1:20" x14ac:dyDescent="0.3">
      <c r="A3580" s="42">
        <v>43038</v>
      </c>
      <c r="B3580" s="37">
        <f t="shared" si="105"/>
        <v>20171030</v>
      </c>
      <c r="C3580" s="109">
        <v>2.2400000000000003E-2</v>
      </c>
      <c r="D3580" s="109">
        <v>6.0000000000000001E-3</v>
      </c>
      <c r="E3580" s="109">
        <v>7.0000000000000001E-3</v>
      </c>
      <c r="F3580" s="109">
        <v>8.0000000000000002E-3</v>
      </c>
      <c r="G3580" s="130">
        <v>0</v>
      </c>
      <c r="H3580" s="71">
        <v>8.5</v>
      </c>
      <c r="I3580" s="71">
        <v>11.1</v>
      </c>
      <c r="J3580" s="71">
        <v>13.5</v>
      </c>
      <c r="K3580" s="121">
        <v>6.9999999999999993E-3</v>
      </c>
      <c r="L3580" s="121">
        <v>-7.0000000000000001E-3</v>
      </c>
      <c r="M3580" s="75" t="s">
        <v>146</v>
      </c>
      <c r="N3580" s="75" t="b">
        <v>1</v>
      </c>
      <c r="O3580" s="75" t="s">
        <v>145</v>
      </c>
      <c r="P3580" s="75">
        <v>2014</v>
      </c>
      <c r="Q3580" s="107">
        <f t="shared" si="106"/>
        <v>2017</v>
      </c>
      <c r="R3580" s="107">
        <v>2</v>
      </c>
      <c r="S3580" s="43">
        <v>217115</v>
      </c>
      <c r="T3580" s="74">
        <v>43040</v>
      </c>
    </row>
    <row r="3581" spans="1:20" x14ac:dyDescent="0.3">
      <c r="A3581" s="42">
        <v>43039</v>
      </c>
      <c r="B3581" s="37">
        <f t="shared" si="105"/>
        <v>20171031</v>
      </c>
      <c r="C3581" s="109">
        <v>2.23E-2</v>
      </c>
      <c r="D3581" s="109">
        <v>6.0000000000000001E-3</v>
      </c>
      <c r="E3581" s="109">
        <v>7.0000000000000001E-3</v>
      </c>
      <c r="F3581" s="109">
        <v>8.0000000000000002E-3</v>
      </c>
      <c r="G3581" s="130">
        <v>0</v>
      </c>
      <c r="H3581" s="71">
        <v>8.5</v>
      </c>
      <c r="I3581" s="71">
        <v>11.1</v>
      </c>
      <c r="J3581" s="71">
        <v>13.5</v>
      </c>
      <c r="K3581" s="121">
        <v>6.7000000000000002E-3</v>
      </c>
      <c r="L3581" s="121">
        <v>-7.0000000000000001E-3</v>
      </c>
      <c r="M3581" s="75" t="s">
        <v>146</v>
      </c>
      <c r="N3581" s="75" t="b">
        <v>1</v>
      </c>
      <c r="O3581" s="75" t="s">
        <v>145</v>
      </c>
      <c r="P3581" s="75">
        <v>2014</v>
      </c>
      <c r="Q3581" s="107">
        <f t="shared" si="106"/>
        <v>2017</v>
      </c>
      <c r="R3581" s="107">
        <v>2</v>
      </c>
      <c r="S3581" s="43">
        <v>217115</v>
      </c>
      <c r="T3581" s="74">
        <v>43040</v>
      </c>
    </row>
    <row r="3582" spans="1:20" x14ac:dyDescent="0.3">
      <c r="A3582" s="42">
        <v>43040</v>
      </c>
      <c r="B3582" s="37">
        <f t="shared" si="105"/>
        <v>20171101</v>
      </c>
      <c r="C3582" s="109">
        <v>2.23E-2</v>
      </c>
      <c r="D3582" s="109">
        <v>6.0000000000000001E-3</v>
      </c>
      <c r="E3582" s="109">
        <v>7.0000000000000001E-3</v>
      </c>
      <c r="F3582" s="109">
        <v>8.0000000000000002E-3</v>
      </c>
      <c r="G3582" s="130">
        <v>0</v>
      </c>
      <c r="H3582" s="71">
        <v>8.5</v>
      </c>
      <c r="I3582" s="71">
        <v>11.1</v>
      </c>
      <c r="J3582" s="71">
        <v>13.5</v>
      </c>
      <c r="K3582" s="121">
        <v>6.5000000000000006E-3</v>
      </c>
      <c r="L3582" s="121">
        <v>-7.0000000000000001E-3</v>
      </c>
      <c r="M3582" s="75" t="s">
        <v>146</v>
      </c>
      <c r="N3582" s="75" t="b">
        <v>1</v>
      </c>
      <c r="O3582" s="75" t="s">
        <v>145</v>
      </c>
      <c r="P3582" s="75">
        <v>2014</v>
      </c>
      <c r="Q3582" s="107">
        <f t="shared" si="106"/>
        <v>2017</v>
      </c>
      <c r="R3582" s="107">
        <v>2</v>
      </c>
      <c r="S3582" s="43">
        <v>217115</v>
      </c>
      <c r="T3582" s="74">
        <v>43040</v>
      </c>
    </row>
    <row r="3583" spans="1:20" x14ac:dyDescent="0.3">
      <c r="A3583" s="42">
        <v>43041</v>
      </c>
      <c r="B3583" s="37">
        <f t="shared" si="105"/>
        <v>20171102</v>
      </c>
      <c r="C3583" s="109">
        <v>2.2200000000000001E-2</v>
      </c>
      <c r="D3583" s="109">
        <v>6.0000000000000001E-3</v>
      </c>
      <c r="E3583" s="109">
        <v>7.0000000000000001E-3</v>
      </c>
      <c r="F3583" s="109">
        <v>8.0000000000000002E-3</v>
      </c>
      <c r="G3583" s="130">
        <v>0</v>
      </c>
      <c r="H3583" s="71">
        <v>8.5</v>
      </c>
      <c r="I3583" s="71">
        <v>11.1</v>
      </c>
      <c r="J3583" s="71">
        <v>13.5</v>
      </c>
      <c r="K3583" s="121">
        <v>6.4000000000000003E-3</v>
      </c>
      <c r="L3583" s="121">
        <v>-7.0000000000000001E-3</v>
      </c>
      <c r="M3583" s="75" t="s">
        <v>146</v>
      </c>
      <c r="N3583" s="75" t="b">
        <v>1</v>
      </c>
      <c r="O3583" s="75" t="s">
        <v>145</v>
      </c>
      <c r="P3583" s="75">
        <v>2014</v>
      </c>
      <c r="Q3583" s="107">
        <f t="shared" si="106"/>
        <v>2017</v>
      </c>
      <c r="R3583" s="107">
        <v>2</v>
      </c>
      <c r="S3583" s="43">
        <v>217115</v>
      </c>
      <c r="T3583" s="74">
        <v>43040</v>
      </c>
    </row>
    <row r="3584" spans="1:20" x14ac:dyDescent="0.3">
      <c r="A3584" s="42">
        <v>43042</v>
      </c>
      <c r="B3584" s="37">
        <f t="shared" si="105"/>
        <v>20171103</v>
      </c>
      <c r="C3584" s="109">
        <v>2.2000000000000002E-2</v>
      </c>
      <c r="D3584" s="109">
        <v>6.0000000000000001E-3</v>
      </c>
      <c r="E3584" s="109">
        <v>7.0000000000000001E-3</v>
      </c>
      <c r="F3584" s="109">
        <v>8.0000000000000002E-3</v>
      </c>
      <c r="G3584" s="130">
        <v>0</v>
      </c>
      <c r="H3584" s="71">
        <v>8.5</v>
      </c>
      <c r="I3584" s="71">
        <v>11.1</v>
      </c>
      <c r="J3584" s="71">
        <v>13.5</v>
      </c>
      <c r="K3584" s="121">
        <v>6.4000000000000003E-3</v>
      </c>
      <c r="L3584" s="121">
        <v>-7.0000000000000001E-3</v>
      </c>
      <c r="M3584" s="75" t="s">
        <v>146</v>
      </c>
      <c r="N3584" s="75" t="b">
        <v>1</v>
      </c>
      <c r="O3584" s="75" t="s">
        <v>145</v>
      </c>
      <c r="P3584" s="75">
        <v>2014</v>
      </c>
      <c r="Q3584" s="107">
        <f t="shared" si="106"/>
        <v>2017</v>
      </c>
      <c r="R3584" s="107">
        <v>2</v>
      </c>
      <c r="S3584" s="43">
        <v>217115</v>
      </c>
      <c r="T3584" s="74">
        <v>43040</v>
      </c>
    </row>
    <row r="3585" spans="1:20" x14ac:dyDescent="0.3">
      <c r="A3585" s="42">
        <v>43043</v>
      </c>
      <c r="B3585" s="37">
        <f>YEAR(A3585)*10000+MONTH(A3585)*100+DAY(A3585)</f>
        <v>20171104</v>
      </c>
      <c r="C3585" s="109">
        <v>2.2000000000000002E-2</v>
      </c>
      <c r="D3585" s="109">
        <v>6.0000000000000001E-3</v>
      </c>
      <c r="E3585" s="109">
        <v>7.0000000000000001E-3</v>
      </c>
      <c r="F3585" s="109">
        <v>8.0000000000000002E-3</v>
      </c>
      <c r="G3585" s="130">
        <v>0</v>
      </c>
      <c r="H3585" s="71">
        <v>8.5</v>
      </c>
      <c r="I3585" s="71">
        <v>11.1</v>
      </c>
      <c r="J3585" s="71">
        <v>13.5</v>
      </c>
      <c r="K3585" s="121">
        <v>6.4000000000000003E-3</v>
      </c>
      <c r="L3585" s="121">
        <v>-7.0000000000000001E-3</v>
      </c>
      <c r="M3585" s="75" t="s">
        <v>146</v>
      </c>
      <c r="N3585" s="75" t="b">
        <v>1</v>
      </c>
      <c r="O3585" s="75" t="s">
        <v>145</v>
      </c>
      <c r="P3585" s="75">
        <v>2014</v>
      </c>
      <c r="Q3585" s="107">
        <f t="shared" si="106"/>
        <v>2017</v>
      </c>
      <c r="R3585" s="107">
        <v>2</v>
      </c>
      <c r="S3585" s="43">
        <v>217115</v>
      </c>
      <c r="T3585" s="74">
        <v>43040</v>
      </c>
    </row>
    <row r="3586" spans="1:20" x14ac:dyDescent="0.3">
      <c r="A3586" s="42">
        <v>43044</v>
      </c>
      <c r="B3586" s="37">
        <f>YEAR(A3586)*10000+MONTH(A3586)*100+DAY(A3586)</f>
        <v>20171105</v>
      </c>
      <c r="C3586" s="109">
        <v>2.2000000000000002E-2</v>
      </c>
      <c r="D3586" s="109">
        <v>6.0000000000000001E-3</v>
      </c>
      <c r="E3586" s="109">
        <v>7.0000000000000001E-3</v>
      </c>
      <c r="F3586" s="109">
        <v>8.0000000000000002E-3</v>
      </c>
      <c r="G3586" s="130">
        <v>0</v>
      </c>
      <c r="H3586" s="71">
        <v>8.5</v>
      </c>
      <c r="I3586" s="71">
        <v>11.1</v>
      </c>
      <c r="J3586" s="71">
        <v>13.5</v>
      </c>
      <c r="K3586" s="121">
        <v>6.4000000000000003E-3</v>
      </c>
      <c r="L3586" s="121">
        <v>-7.0000000000000001E-3</v>
      </c>
      <c r="M3586" s="75" t="s">
        <v>146</v>
      </c>
      <c r="N3586" s="75" t="b">
        <v>1</v>
      </c>
      <c r="O3586" s="75" t="s">
        <v>145</v>
      </c>
      <c r="P3586" s="75">
        <v>2014</v>
      </c>
      <c r="Q3586" s="107">
        <f t="shared" si="106"/>
        <v>2017</v>
      </c>
      <c r="R3586" s="107">
        <v>2</v>
      </c>
      <c r="S3586" s="43">
        <v>217115</v>
      </c>
      <c r="T3586" s="74">
        <v>43040</v>
      </c>
    </row>
    <row r="3587" spans="1:20" x14ac:dyDescent="0.3">
      <c r="A3587" s="42">
        <v>43045</v>
      </c>
      <c r="B3587" s="37">
        <f t="shared" si="105"/>
        <v>20171106</v>
      </c>
      <c r="C3587" s="109">
        <v>2.18E-2</v>
      </c>
      <c r="D3587" s="109">
        <v>6.0000000000000001E-3</v>
      </c>
      <c r="E3587" s="109">
        <v>7.0000000000000001E-3</v>
      </c>
      <c r="F3587" s="109">
        <v>8.0000000000000002E-3</v>
      </c>
      <c r="G3587" s="130">
        <v>0</v>
      </c>
      <c r="H3587" s="71">
        <v>8.5</v>
      </c>
      <c r="I3587" s="71">
        <v>11.1</v>
      </c>
      <c r="J3587" s="71">
        <v>13.5</v>
      </c>
      <c r="K3587" s="121">
        <v>6.0999999999999995E-3</v>
      </c>
      <c r="L3587" s="121">
        <v>-7.0000000000000001E-3</v>
      </c>
      <c r="M3587" s="75" t="s">
        <v>146</v>
      </c>
      <c r="N3587" s="75" t="b">
        <v>1</v>
      </c>
      <c r="O3587" s="75" t="s">
        <v>145</v>
      </c>
      <c r="P3587" s="75">
        <v>2014</v>
      </c>
      <c r="Q3587" s="107">
        <f t="shared" si="106"/>
        <v>2017</v>
      </c>
      <c r="R3587" s="107">
        <v>2</v>
      </c>
      <c r="S3587" s="43">
        <v>217115</v>
      </c>
      <c r="T3587" s="74">
        <v>43040</v>
      </c>
    </row>
    <row r="3588" spans="1:20" x14ac:dyDescent="0.3">
      <c r="A3588" s="42">
        <v>43046</v>
      </c>
      <c r="B3588" s="37">
        <f t="shared" si="105"/>
        <v>20171107</v>
      </c>
      <c r="C3588" s="109">
        <v>2.1499999999999998E-2</v>
      </c>
      <c r="D3588" s="109">
        <v>6.0000000000000001E-3</v>
      </c>
      <c r="E3588" s="109">
        <v>7.0000000000000001E-3</v>
      </c>
      <c r="F3588" s="109">
        <v>8.0000000000000002E-3</v>
      </c>
      <c r="G3588" s="130">
        <v>0</v>
      </c>
      <c r="H3588" s="71">
        <v>8.5</v>
      </c>
      <c r="I3588" s="71">
        <v>11.1</v>
      </c>
      <c r="J3588" s="71">
        <v>13.5</v>
      </c>
      <c r="K3588" s="121">
        <v>5.8999999999999999E-3</v>
      </c>
      <c r="L3588" s="121">
        <v>-7.0000000000000001E-3</v>
      </c>
      <c r="M3588" s="75" t="s">
        <v>146</v>
      </c>
      <c r="N3588" s="75" t="b">
        <v>1</v>
      </c>
      <c r="O3588" s="75" t="s">
        <v>145</v>
      </c>
      <c r="P3588" s="75">
        <v>2014</v>
      </c>
      <c r="Q3588" s="107">
        <f t="shared" si="106"/>
        <v>2017</v>
      </c>
      <c r="R3588" s="107">
        <v>2</v>
      </c>
      <c r="S3588" s="43">
        <v>217115</v>
      </c>
      <c r="T3588" s="74">
        <v>43040</v>
      </c>
    </row>
    <row r="3589" spans="1:20" x14ac:dyDescent="0.3">
      <c r="A3589" s="42">
        <v>43047</v>
      </c>
      <c r="B3589" s="37">
        <f t="shared" si="105"/>
        <v>20171108</v>
      </c>
      <c r="C3589" s="109">
        <v>2.1700000000000001E-2</v>
      </c>
      <c r="D3589" s="109">
        <v>6.0000000000000001E-3</v>
      </c>
      <c r="E3589" s="109">
        <v>7.0000000000000001E-3</v>
      </c>
      <c r="F3589" s="109">
        <v>8.0000000000000002E-3</v>
      </c>
      <c r="G3589" s="130">
        <v>0</v>
      </c>
      <c r="H3589" s="71">
        <v>8.5</v>
      </c>
      <c r="I3589" s="71">
        <v>11.1</v>
      </c>
      <c r="J3589" s="71">
        <v>13.5</v>
      </c>
      <c r="K3589" s="121">
        <v>6.0999999999999995E-3</v>
      </c>
      <c r="L3589" s="121">
        <v>-7.0000000000000001E-3</v>
      </c>
      <c r="M3589" s="75" t="s">
        <v>146</v>
      </c>
      <c r="N3589" s="75" t="b">
        <v>1</v>
      </c>
      <c r="O3589" s="75" t="s">
        <v>145</v>
      </c>
      <c r="P3589" s="75">
        <v>2014</v>
      </c>
      <c r="Q3589" s="107">
        <f t="shared" si="106"/>
        <v>2017</v>
      </c>
      <c r="R3589" s="107">
        <v>2</v>
      </c>
      <c r="S3589" s="43">
        <v>217115</v>
      </c>
      <c r="T3589" s="74">
        <v>43040</v>
      </c>
    </row>
    <row r="3590" spans="1:20" x14ac:dyDescent="0.3">
      <c r="A3590" s="42">
        <v>43048</v>
      </c>
      <c r="B3590" s="37">
        <f t="shared" si="105"/>
        <v>20171109</v>
      </c>
      <c r="C3590" s="109">
        <v>2.2000000000000002E-2</v>
      </c>
      <c r="D3590" s="109">
        <v>6.0000000000000001E-3</v>
      </c>
      <c r="E3590" s="109">
        <v>7.0000000000000001E-3</v>
      </c>
      <c r="F3590" s="109">
        <v>8.0000000000000002E-3</v>
      </c>
      <c r="G3590" s="130">
        <v>0</v>
      </c>
      <c r="H3590" s="71">
        <v>8.5</v>
      </c>
      <c r="I3590" s="71">
        <v>11.1</v>
      </c>
      <c r="J3590" s="71">
        <v>13.5</v>
      </c>
      <c r="K3590" s="121">
        <v>6.3E-3</v>
      </c>
      <c r="L3590" s="121">
        <v>-7.0000000000000001E-3</v>
      </c>
      <c r="M3590" s="75" t="s">
        <v>146</v>
      </c>
      <c r="N3590" s="75" t="b">
        <v>1</v>
      </c>
      <c r="O3590" s="75" t="s">
        <v>145</v>
      </c>
      <c r="P3590" s="75">
        <v>2014</v>
      </c>
      <c r="Q3590" s="107">
        <f t="shared" si="106"/>
        <v>2017</v>
      </c>
      <c r="R3590" s="107">
        <v>2</v>
      </c>
      <c r="S3590" s="43">
        <v>217115</v>
      </c>
      <c r="T3590" s="74">
        <v>43040</v>
      </c>
    </row>
    <row r="3591" spans="1:20" x14ac:dyDescent="0.3">
      <c r="A3591" s="42">
        <v>43049</v>
      </c>
      <c r="B3591" s="37">
        <f t="shared" si="105"/>
        <v>20171110</v>
      </c>
      <c r="C3591" s="109">
        <v>2.23E-2</v>
      </c>
      <c r="D3591" s="109">
        <v>6.0000000000000001E-3</v>
      </c>
      <c r="E3591" s="109">
        <v>7.0000000000000001E-3</v>
      </c>
      <c r="F3591" s="109">
        <v>8.0000000000000002E-3</v>
      </c>
      <c r="G3591" s="130">
        <v>0</v>
      </c>
      <c r="H3591" s="71">
        <v>8.5</v>
      </c>
      <c r="I3591" s="71">
        <v>11.1</v>
      </c>
      <c r="J3591" s="71">
        <v>13.5</v>
      </c>
      <c r="K3591" s="121">
        <v>6.7000000000000002E-3</v>
      </c>
      <c r="L3591" s="121">
        <v>-7.0000000000000001E-3</v>
      </c>
      <c r="M3591" s="75" t="s">
        <v>146</v>
      </c>
      <c r="N3591" s="75" t="b">
        <v>1</v>
      </c>
      <c r="O3591" s="75" t="s">
        <v>145</v>
      </c>
      <c r="P3591" s="75">
        <v>2014</v>
      </c>
      <c r="Q3591" s="107">
        <f t="shared" si="106"/>
        <v>2017</v>
      </c>
      <c r="R3591" s="107">
        <v>2</v>
      </c>
      <c r="S3591" s="43">
        <v>217115</v>
      </c>
      <c r="T3591" s="74">
        <v>43040</v>
      </c>
    </row>
    <row r="3592" spans="1:20" x14ac:dyDescent="0.3">
      <c r="A3592" s="42">
        <v>43050</v>
      </c>
      <c r="B3592" s="37">
        <f>YEAR(A3592)*10000+MONTH(A3592)*100+DAY(A3592)</f>
        <v>20171111</v>
      </c>
      <c r="C3592" s="109">
        <v>2.23E-2</v>
      </c>
      <c r="D3592" s="109">
        <v>6.0000000000000001E-3</v>
      </c>
      <c r="E3592" s="109">
        <v>7.0000000000000001E-3</v>
      </c>
      <c r="F3592" s="109">
        <v>8.0000000000000002E-3</v>
      </c>
      <c r="G3592" s="130">
        <v>0</v>
      </c>
      <c r="H3592" s="71">
        <v>8.5</v>
      </c>
      <c r="I3592" s="71">
        <v>11.1</v>
      </c>
      <c r="J3592" s="71">
        <v>13.5</v>
      </c>
      <c r="K3592" s="121">
        <v>6.7000000000000002E-3</v>
      </c>
      <c r="L3592" s="121">
        <v>-7.0000000000000001E-3</v>
      </c>
      <c r="M3592" s="75" t="s">
        <v>146</v>
      </c>
      <c r="N3592" s="75" t="b">
        <v>1</v>
      </c>
      <c r="O3592" s="75" t="s">
        <v>145</v>
      </c>
      <c r="P3592" s="75">
        <v>2014</v>
      </c>
      <c r="Q3592" s="107">
        <f t="shared" si="106"/>
        <v>2017</v>
      </c>
      <c r="R3592" s="107">
        <v>2</v>
      </c>
      <c r="S3592" s="43">
        <v>217115</v>
      </c>
      <c r="T3592" s="74">
        <v>43040</v>
      </c>
    </row>
    <row r="3593" spans="1:20" x14ac:dyDescent="0.3">
      <c r="A3593" s="42">
        <v>43051</v>
      </c>
      <c r="B3593" s="37">
        <f>YEAR(A3593)*10000+MONTH(A3593)*100+DAY(A3593)</f>
        <v>20171112</v>
      </c>
      <c r="C3593" s="109">
        <v>2.23E-2</v>
      </c>
      <c r="D3593" s="109">
        <v>6.0000000000000001E-3</v>
      </c>
      <c r="E3593" s="109">
        <v>7.0000000000000001E-3</v>
      </c>
      <c r="F3593" s="109">
        <v>8.0000000000000002E-3</v>
      </c>
      <c r="G3593" s="130">
        <v>0</v>
      </c>
      <c r="H3593" s="71">
        <v>8.5</v>
      </c>
      <c r="I3593" s="71">
        <v>11.1</v>
      </c>
      <c r="J3593" s="71">
        <v>13.5</v>
      </c>
      <c r="K3593" s="121">
        <v>6.7000000000000002E-3</v>
      </c>
      <c r="L3593" s="121">
        <v>-7.0000000000000001E-3</v>
      </c>
      <c r="M3593" s="75" t="s">
        <v>146</v>
      </c>
      <c r="N3593" s="75" t="b">
        <v>1</v>
      </c>
      <c r="O3593" s="75" t="s">
        <v>145</v>
      </c>
      <c r="P3593" s="75">
        <v>2014</v>
      </c>
      <c r="Q3593" s="107">
        <f t="shared" si="106"/>
        <v>2017</v>
      </c>
      <c r="R3593" s="107">
        <v>2</v>
      </c>
      <c r="S3593" s="43">
        <v>217115</v>
      </c>
      <c r="T3593" s="74">
        <v>43040</v>
      </c>
    </row>
    <row r="3594" spans="1:20" x14ac:dyDescent="0.3">
      <c r="A3594" s="42">
        <v>43052</v>
      </c>
      <c r="B3594" s="37">
        <f t="shared" si="105"/>
        <v>20171113</v>
      </c>
      <c r="C3594" s="109">
        <v>2.23E-2</v>
      </c>
      <c r="D3594" s="109">
        <v>6.0000000000000001E-3</v>
      </c>
      <c r="E3594" s="109">
        <v>7.0000000000000001E-3</v>
      </c>
      <c r="F3594" s="109">
        <v>8.0000000000000002E-3</v>
      </c>
      <c r="G3594" s="130">
        <v>0</v>
      </c>
      <c r="H3594" s="71">
        <v>8.5</v>
      </c>
      <c r="I3594" s="71">
        <v>11.1</v>
      </c>
      <c r="J3594" s="71">
        <v>13.5</v>
      </c>
      <c r="K3594" s="121">
        <v>6.7000000000000002E-3</v>
      </c>
      <c r="L3594" s="121">
        <v>-7.0000000000000001E-3</v>
      </c>
      <c r="M3594" s="75" t="s">
        <v>146</v>
      </c>
      <c r="N3594" s="75" t="b">
        <v>1</v>
      </c>
      <c r="O3594" s="75" t="s">
        <v>145</v>
      </c>
      <c r="P3594" s="75">
        <v>2014</v>
      </c>
      <c r="Q3594" s="107">
        <f t="shared" si="106"/>
        <v>2017</v>
      </c>
      <c r="R3594" s="107">
        <v>2</v>
      </c>
      <c r="S3594" s="43">
        <v>217115</v>
      </c>
      <c r="T3594" s="74">
        <v>43040</v>
      </c>
    </row>
    <row r="3595" spans="1:20" x14ac:dyDescent="0.3">
      <c r="A3595" s="42">
        <v>43053</v>
      </c>
      <c r="B3595" s="37">
        <f t="shared" si="105"/>
        <v>20171114</v>
      </c>
      <c r="C3595" s="109">
        <v>2.2099999999999998E-2</v>
      </c>
      <c r="D3595" s="109">
        <v>6.0000000000000001E-3</v>
      </c>
      <c r="E3595" s="109">
        <v>7.0000000000000001E-3</v>
      </c>
      <c r="F3595" s="109">
        <v>8.0000000000000002E-3</v>
      </c>
      <c r="G3595" s="130">
        <v>0</v>
      </c>
      <c r="H3595" s="71">
        <v>8.5</v>
      </c>
      <c r="I3595" s="71">
        <v>11.1</v>
      </c>
      <c r="J3595" s="71">
        <v>13.5</v>
      </c>
      <c r="K3595" s="121">
        <v>6.4000000000000003E-3</v>
      </c>
      <c r="L3595" s="121">
        <v>-7.0000000000000001E-3</v>
      </c>
      <c r="M3595" s="75" t="s">
        <v>146</v>
      </c>
      <c r="N3595" s="75" t="b">
        <v>1</v>
      </c>
      <c r="O3595" s="75" t="s">
        <v>145</v>
      </c>
      <c r="P3595" s="75">
        <v>2014</v>
      </c>
      <c r="Q3595" s="107">
        <f t="shared" si="106"/>
        <v>2017</v>
      </c>
      <c r="R3595" s="107">
        <v>2</v>
      </c>
      <c r="S3595" s="43">
        <v>217115</v>
      </c>
      <c r="T3595" s="74">
        <v>43040</v>
      </c>
    </row>
    <row r="3596" spans="1:20" x14ac:dyDescent="0.3">
      <c r="A3596" s="42">
        <v>43054</v>
      </c>
      <c r="B3596" s="37">
        <f t="shared" si="105"/>
        <v>20171115</v>
      </c>
      <c r="C3596" s="109">
        <v>2.1700000000000001E-2</v>
      </c>
      <c r="D3596" s="109">
        <v>6.0000000000000001E-3</v>
      </c>
      <c r="E3596" s="109">
        <v>7.0000000000000001E-3</v>
      </c>
      <c r="F3596" s="109">
        <v>8.0000000000000002E-3</v>
      </c>
      <c r="G3596" s="130">
        <v>0</v>
      </c>
      <c r="H3596" s="71">
        <v>8.5</v>
      </c>
      <c r="I3596" s="71">
        <v>11.1</v>
      </c>
      <c r="J3596" s="71">
        <v>13.5</v>
      </c>
      <c r="K3596" s="121">
        <v>6.0999999999999995E-3</v>
      </c>
      <c r="L3596" s="121">
        <v>-7.0000000000000001E-3</v>
      </c>
      <c r="M3596" s="75" t="s">
        <v>146</v>
      </c>
      <c r="N3596" s="75" t="b">
        <v>1</v>
      </c>
      <c r="O3596" s="75" t="s">
        <v>145</v>
      </c>
      <c r="P3596" s="75">
        <v>2014</v>
      </c>
      <c r="Q3596" s="107">
        <f t="shared" si="106"/>
        <v>2017</v>
      </c>
      <c r="R3596" s="107">
        <v>2</v>
      </c>
      <c r="S3596" s="43">
        <v>217115</v>
      </c>
      <c r="T3596" s="74">
        <v>43040</v>
      </c>
    </row>
    <row r="3597" spans="1:20" x14ac:dyDescent="0.3">
      <c r="A3597" s="42">
        <v>43055</v>
      </c>
      <c r="B3597" s="37">
        <f t="shared" si="105"/>
        <v>20171116</v>
      </c>
      <c r="C3597" s="109">
        <v>2.2200000000000001E-2</v>
      </c>
      <c r="D3597" s="109">
        <v>6.0000000000000001E-3</v>
      </c>
      <c r="E3597" s="109">
        <v>7.0000000000000001E-3</v>
      </c>
      <c r="F3597" s="109">
        <v>8.0000000000000002E-3</v>
      </c>
      <c r="G3597" s="130">
        <v>0</v>
      </c>
      <c r="H3597" s="71">
        <v>8.5</v>
      </c>
      <c r="I3597" s="71">
        <v>11.1</v>
      </c>
      <c r="J3597" s="71">
        <v>13.5</v>
      </c>
      <c r="K3597" s="121">
        <v>6.6E-3</v>
      </c>
      <c r="L3597" s="121">
        <v>-7.0000000000000001E-3</v>
      </c>
      <c r="M3597" s="75" t="s">
        <v>146</v>
      </c>
      <c r="N3597" s="75" t="b">
        <v>1</v>
      </c>
      <c r="O3597" s="75" t="s">
        <v>145</v>
      </c>
      <c r="P3597" s="75">
        <v>2014</v>
      </c>
      <c r="Q3597" s="107">
        <f t="shared" si="106"/>
        <v>2017</v>
      </c>
      <c r="R3597" s="107">
        <v>2</v>
      </c>
      <c r="S3597" s="43">
        <v>217115</v>
      </c>
      <c r="T3597" s="74">
        <v>43040</v>
      </c>
    </row>
    <row r="3598" spans="1:20" x14ac:dyDescent="0.3">
      <c r="A3598" s="42">
        <v>43056</v>
      </c>
      <c r="B3598" s="37">
        <f t="shared" si="105"/>
        <v>20171117</v>
      </c>
      <c r="C3598" s="109">
        <v>2.2000000000000002E-2</v>
      </c>
      <c r="D3598" s="109">
        <v>6.0000000000000001E-3</v>
      </c>
      <c r="E3598" s="109">
        <v>7.0000000000000001E-3</v>
      </c>
      <c r="F3598" s="109">
        <v>8.0000000000000002E-3</v>
      </c>
      <c r="G3598" s="130">
        <v>0</v>
      </c>
      <c r="H3598" s="71">
        <v>8.5</v>
      </c>
      <c r="I3598" s="71">
        <v>11.1</v>
      </c>
      <c r="J3598" s="71">
        <v>13.5</v>
      </c>
      <c r="K3598" s="121">
        <v>6.4000000000000003E-3</v>
      </c>
      <c r="L3598" s="121">
        <v>-7.0000000000000001E-3</v>
      </c>
      <c r="M3598" s="75" t="s">
        <v>146</v>
      </c>
      <c r="N3598" s="75" t="b">
        <v>1</v>
      </c>
      <c r="O3598" s="75" t="s">
        <v>145</v>
      </c>
      <c r="P3598" s="75">
        <v>2014</v>
      </c>
      <c r="Q3598" s="107">
        <f t="shared" si="106"/>
        <v>2017</v>
      </c>
      <c r="R3598" s="107">
        <v>2</v>
      </c>
      <c r="S3598" s="43">
        <v>217115</v>
      </c>
      <c r="T3598" s="74">
        <v>43040</v>
      </c>
    </row>
    <row r="3599" spans="1:20" x14ac:dyDescent="0.3">
      <c r="A3599" s="42">
        <v>43057</v>
      </c>
      <c r="B3599" s="37">
        <f>YEAR(A3599)*10000+MONTH(A3599)*100+DAY(A3599)</f>
        <v>20171118</v>
      </c>
      <c r="C3599" s="109">
        <v>2.2000000000000002E-2</v>
      </c>
      <c r="D3599" s="109">
        <v>6.0000000000000001E-3</v>
      </c>
      <c r="E3599" s="109">
        <v>7.0000000000000001E-3</v>
      </c>
      <c r="F3599" s="109">
        <v>8.0000000000000002E-3</v>
      </c>
      <c r="G3599" s="130">
        <v>0</v>
      </c>
      <c r="H3599" s="71">
        <v>8.5</v>
      </c>
      <c r="I3599" s="71">
        <v>11.1</v>
      </c>
      <c r="J3599" s="71">
        <v>13.5</v>
      </c>
      <c r="K3599" s="121">
        <v>6.4000000000000003E-3</v>
      </c>
      <c r="L3599" s="121">
        <v>-7.0000000000000001E-3</v>
      </c>
      <c r="M3599" s="75" t="s">
        <v>146</v>
      </c>
      <c r="N3599" s="75" t="b">
        <v>1</v>
      </c>
      <c r="O3599" s="75" t="s">
        <v>145</v>
      </c>
      <c r="P3599" s="75">
        <v>2014</v>
      </c>
      <c r="Q3599" s="107">
        <f t="shared" si="106"/>
        <v>2017</v>
      </c>
      <c r="R3599" s="107">
        <v>2</v>
      </c>
      <c r="S3599" s="43">
        <v>217115</v>
      </c>
      <c r="T3599" s="74">
        <v>43040</v>
      </c>
    </row>
    <row r="3600" spans="1:20" x14ac:dyDescent="0.3">
      <c r="A3600" s="42">
        <v>43058</v>
      </c>
      <c r="B3600" s="37">
        <f>YEAR(A3600)*10000+MONTH(A3600)*100+DAY(A3600)</f>
        <v>20171119</v>
      </c>
      <c r="C3600" s="109">
        <v>2.2000000000000002E-2</v>
      </c>
      <c r="D3600" s="109">
        <v>6.0000000000000001E-3</v>
      </c>
      <c r="E3600" s="109">
        <v>7.0000000000000001E-3</v>
      </c>
      <c r="F3600" s="109">
        <v>8.0000000000000002E-3</v>
      </c>
      <c r="G3600" s="130">
        <v>0</v>
      </c>
      <c r="H3600" s="71">
        <v>8.5</v>
      </c>
      <c r="I3600" s="71">
        <v>11.1</v>
      </c>
      <c r="J3600" s="71">
        <v>13.5</v>
      </c>
      <c r="K3600" s="121">
        <v>6.4000000000000003E-3</v>
      </c>
      <c r="L3600" s="121">
        <v>-7.0000000000000001E-3</v>
      </c>
      <c r="M3600" s="75" t="s">
        <v>146</v>
      </c>
      <c r="N3600" s="75" t="b">
        <v>1</v>
      </c>
      <c r="O3600" s="75" t="s">
        <v>145</v>
      </c>
      <c r="P3600" s="75">
        <v>2014</v>
      </c>
      <c r="Q3600" s="107">
        <f t="shared" si="106"/>
        <v>2017</v>
      </c>
      <c r="R3600" s="107">
        <v>2</v>
      </c>
      <c r="S3600" s="43">
        <v>217115</v>
      </c>
      <c r="T3600" s="74">
        <v>43040</v>
      </c>
    </row>
    <row r="3601" spans="1:21" x14ac:dyDescent="0.3">
      <c r="A3601" s="42">
        <v>43059</v>
      </c>
      <c r="B3601" s="37">
        <f t="shared" si="105"/>
        <v>20171120</v>
      </c>
      <c r="C3601" s="109">
        <v>2.23E-2</v>
      </c>
      <c r="D3601" s="109">
        <v>6.0000000000000001E-3</v>
      </c>
      <c r="E3601" s="109">
        <v>7.0000000000000001E-3</v>
      </c>
      <c r="F3601" s="109">
        <v>8.0000000000000002E-3</v>
      </c>
      <c r="G3601" s="130">
        <v>0</v>
      </c>
      <c r="H3601" s="71">
        <v>8.5</v>
      </c>
      <c r="I3601" s="71">
        <v>11.1</v>
      </c>
      <c r="J3601" s="71">
        <v>13.5</v>
      </c>
      <c r="K3601" s="121">
        <v>6.7000000000000002E-3</v>
      </c>
      <c r="L3601" s="121">
        <v>-7.0000000000000001E-3</v>
      </c>
      <c r="M3601" s="75" t="s">
        <v>146</v>
      </c>
      <c r="N3601" s="75" t="b">
        <v>1</v>
      </c>
      <c r="O3601" s="75" t="s">
        <v>145</v>
      </c>
      <c r="P3601" s="75">
        <v>2014</v>
      </c>
      <c r="Q3601" s="107">
        <f t="shared" si="106"/>
        <v>2017</v>
      </c>
      <c r="R3601" s="107">
        <v>2</v>
      </c>
      <c r="S3601" s="43">
        <v>217115</v>
      </c>
      <c r="T3601" s="74">
        <v>43040</v>
      </c>
    </row>
    <row r="3602" spans="1:21" x14ac:dyDescent="0.3">
      <c r="A3602" s="42">
        <v>43060</v>
      </c>
      <c r="B3602" s="37">
        <f t="shared" si="105"/>
        <v>20171121</v>
      </c>
      <c r="C3602" s="109">
        <v>2.1899999999999999E-2</v>
      </c>
      <c r="D3602" s="109">
        <v>6.0000000000000001E-3</v>
      </c>
      <c r="E3602" s="109">
        <v>7.0000000000000001E-3</v>
      </c>
      <c r="F3602" s="109">
        <v>8.0000000000000002E-3</v>
      </c>
      <c r="G3602" s="130">
        <v>0</v>
      </c>
      <c r="H3602" s="71">
        <v>8.5</v>
      </c>
      <c r="I3602" s="71">
        <v>11.1</v>
      </c>
      <c r="J3602" s="71">
        <v>13.5</v>
      </c>
      <c r="K3602" s="121">
        <v>6.4000000000000003E-3</v>
      </c>
      <c r="L3602" s="121">
        <v>-7.0000000000000001E-3</v>
      </c>
      <c r="M3602" s="75" t="s">
        <v>146</v>
      </c>
      <c r="N3602" s="75" t="b">
        <v>1</v>
      </c>
      <c r="O3602" s="75" t="s">
        <v>145</v>
      </c>
      <c r="P3602" s="75">
        <v>2014</v>
      </c>
      <c r="Q3602" s="107">
        <f t="shared" si="106"/>
        <v>2017</v>
      </c>
      <c r="R3602" s="107">
        <v>2</v>
      </c>
      <c r="S3602" s="43">
        <v>217115</v>
      </c>
      <c r="T3602" s="74">
        <v>43040</v>
      </c>
    </row>
    <row r="3603" spans="1:21" x14ac:dyDescent="0.3">
      <c r="A3603" s="42">
        <v>43061</v>
      </c>
      <c r="B3603" s="37">
        <f t="shared" si="105"/>
        <v>20171122</v>
      </c>
      <c r="C3603" s="109">
        <v>2.18E-2</v>
      </c>
      <c r="D3603" s="109">
        <v>6.0000000000000001E-3</v>
      </c>
      <c r="E3603" s="109">
        <v>7.0000000000000001E-3</v>
      </c>
      <c r="F3603" s="109">
        <v>8.0000000000000002E-3</v>
      </c>
      <c r="G3603" s="130">
        <v>0</v>
      </c>
      <c r="H3603" s="71">
        <v>8.5</v>
      </c>
      <c r="I3603" s="71">
        <v>11.1</v>
      </c>
      <c r="J3603" s="71">
        <v>13.5</v>
      </c>
      <c r="K3603" s="121">
        <v>6.3E-3</v>
      </c>
      <c r="L3603" s="121">
        <v>-7.0000000000000001E-3</v>
      </c>
      <c r="M3603" s="75" t="s">
        <v>146</v>
      </c>
      <c r="N3603" s="75" t="b">
        <v>1</v>
      </c>
      <c r="O3603" s="75" t="s">
        <v>145</v>
      </c>
      <c r="P3603" s="75">
        <v>2014</v>
      </c>
      <c r="Q3603" s="107">
        <f t="shared" si="106"/>
        <v>2017</v>
      </c>
      <c r="R3603" s="107">
        <v>2</v>
      </c>
      <c r="S3603" s="43">
        <v>217115</v>
      </c>
      <c r="T3603" s="74">
        <v>43040</v>
      </c>
    </row>
    <row r="3604" spans="1:21" x14ac:dyDescent="0.3">
      <c r="A3604" s="42">
        <v>43062</v>
      </c>
      <c r="B3604" s="37">
        <f t="shared" si="105"/>
        <v>20171123</v>
      </c>
      <c r="C3604" s="109">
        <v>2.1600000000000001E-2</v>
      </c>
      <c r="D3604" s="109">
        <v>6.0000000000000001E-3</v>
      </c>
      <c r="E3604" s="109">
        <v>7.0000000000000001E-3</v>
      </c>
      <c r="F3604" s="109">
        <v>8.0000000000000002E-3</v>
      </c>
      <c r="G3604" s="130">
        <v>0</v>
      </c>
      <c r="H3604" s="71">
        <v>8.5</v>
      </c>
      <c r="I3604" s="71">
        <v>11.1</v>
      </c>
      <c r="J3604" s="71">
        <v>13.5</v>
      </c>
      <c r="K3604" s="121">
        <v>6.1999999999999998E-3</v>
      </c>
      <c r="L3604" s="121">
        <v>-7.0000000000000001E-3</v>
      </c>
      <c r="M3604" s="75" t="s">
        <v>146</v>
      </c>
      <c r="N3604" s="75" t="b">
        <v>1</v>
      </c>
      <c r="O3604" s="75" t="s">
        <v>145</v>
      </c>
      <c r="P3604" s="75">
        <v>2014</v>
      </c>
      <c r="Q3604" s="107">
        <f t="shared" si="106"/>
        <v>2017</v>
      </c>
      <c r="R3604" s="107">
        <v>2</v>
      </c>
      <c r="S3604" s="43">
        <v>217115</v>
      </c>
      <c r="T3604" s="74">
        <v>43040</v>
      </c>
    </row>
    <row r="3605" spans="1:21" x14ac:dyDescent="0.3">
      <c r="A3605" s="42">
        <v>43063</v>
      </c>
      <c r="B3605" s="37">
        <f t="shared" si="105"/>
        <v>20171124</v>
      </c>
      <c r="C3605" s="109">
        <v>2.1600000000000001E-2</v>
      </c>
      <c r="D3605" s="109">
        <v>6.0000000000000001E-3</v>
      </c>
      <c r="E3605" s="109">
        <v>7.0000000000000001E-3</v>
      </c>
      <c r="F3605" s="109">
        <v>8.0000000000000002E-3</v>
      </c>
      <c r="G3605" s="130">
        <v>0</v>
      </c>
      <c r="H3605" s="71">
        <v>8.5</v>
      </c>
      <c r="I3605" s="71">
        <v>11.1</v>
      </c>
      <c r="J3605" s="71">
        <v>13.5</v>
      </c>
      <c r="K3605" s="121">
        <v>6.1999999999999998E-3</v>
      </c>
      <c r="L3605" s="121">
        <v>-7.0000000000000001E-3</v>
      </c>
      <c r="M3605" s="75" t="s">
        <v>146</v>
      </c>
      <c r="N3605" s="75" t="b">
        <v>1</v>
      </c>
      <c r="O3605" s="75" t="s">
        <v>145</v>
      </c>
      <c r="P3605" s="75">
        <v>2014</v>
      </c>
      <c r="Q3605" s="107">
        <f t="shared" si="106"/>
        <v>2017</v>
      </c>
      <c r="R3605" s="107">
        <v>2</v>
      </c>
      <c r="S3605" s="43">
        <v>217115</v>
      </c>
      <c r="T3605" s="74">
        <v>43040</v>
      </c>
    </row>
    <row r="3606" spans="1:21" x14ac:dyDescent="0.3">
      <c r="A3606" s="42">
        <v>43064</v>
      </c>
      <c r="B3606" s="37">
        <f>YEAR(A3606)*10000+MONTH(A3606)*100+DAY(A3606)</f>
        <v>20171125</v>
      </c>
      <c r="C3606" s="109">
        <v>2.1600000000000001E-2</v>
      </c>
      <c r="D3606" s="109">
        <v>6.0000000000000001E-3</v>
      </c>
      <c r="E3606" s="109">
        <v>7.0000000000000001E-3</v>
      </c>
      <c r="F3606" s="109">
        <v>8.0000000000000002E-3</v>
      </c>
      <c r="G3606" s="130">
        <v>0</v>
      </c>
      <c r="H3606" s="71">
        <v>8.5</v>
      </c>
      <c r="I3606" s="71">
        <v>11.1</v>
      </c>
      <c r="J3606" s="71">
        <v>13.5</v>
      </c>
      <c r="K3606" s="121">
        <v>6.1999999999999998E-3</v>
      </c>
      <c r="L3606" s="121">
        <v>-7.0000000000000001E-3</v>
      </c>
      <c r="M3606" s="75" t="s">
        <v>146</v>
      </c>
      <c r="N3606" s="75" t="b">
        <v>1</v>
      </c>
      <c r="O3606" s="75" t="s">
        <v>145</v>
      </c>
      <c r="P3606" s="75">
        <v>2014</v>
      </c>
      <c r="Q3606" s="107">
        <f t="shared" si="106"/>
        <v>2017</v>
      </c>
      <c r="R3606" s="107">
        <v>2</v>
      </c>
      <c r="S3606" s="43">
        <v>217115</v>
      </c>
      <c r="T3606" s="74">
        <v>43040</v>
      </c>
    </row>
    <row r="3607" spans="1:21" x14ac:dyDescent="0.3">
      <c r="A3607" s="42">
        <v>43065</v>
      </c>
      <c r="B3607" s="37">
        <f>YEAR(A3607)*10000+MONTH(A3607)*100+DAY(A3607)</f>
        <v>20171126</v>
      </c>
      <c r="C3607" s="109">
        <v>2.1600000000000001E-2</v>
      </c>
      <c r="D3607" s="109">
        <v>6.0000000000000001E-3</v>
      </c>
      <c r="E3607" s="109">
        <v>7.0000000000000001E-3</v>
      </c>
      <c r="F3607" s="109">
        <v>8.0000000000000002E-3</v>
      </c>
      <c r="G3607" s="130">
        <v>0</v>
      </c>
      <c r="H3607" s="71">
        <v>8.5</v>
      </c>
      <c r="I3607" s="71">
        <v>11.1</v>
      </c>
      <c r="J3607" s="71">
        <v>13.5</v>
      </c>
      <c r="K3607" s="121">
        <v>6.1999999999999998E-3</v>
      </c>
      <c r="L3607" s="121">
        <v>-7.0000000000000001E-3</v>
      </c>
      <c r="M3607" s="75" t="s">
        <v>146</v>
      </c>
      <c r="N3607" s="75" t="b">
        <v>1</v>
      </c>
      <c r="O3607" s="75" t="s">
        <v>145</v>
      </c>
      <c r="P3607" s="75">
        <v>2014</v>
      </c>
      <c r="Q3607" s="107">
        <f t="shared" si="106"/>
        <v>2017</v>
      </c>
      <c r="R3607" s="107">
        <v>2</v>
      </c>
      <c r="S3607" s="43">
        <v>217115</v>
      </c>
      <c r="T3607" s="74">
        <v>43040</v>
      </c>
    </row>
    <row r="3608" spans="1:21" x14ac:dyDescent="0.3">
      <c r="A3608" s="42">
        <v>43066</v>
      </c>
      <c r="B3608" s="37">
        <f t="shared" si="105"/>
        <v>20171127</v>
      </c>
      <c r="C3608" s="109">
        <v>2.1499999999999998E-2</v>
      </c>
      <c r="D3608" s="109">
        <v>6.0000000000000001E-3</v>
      </c>
      <c r="E3608" s="109">
        <v>7.0000000000000001E-3</v>
      </c>
      <c r="F3608" s="109">
        <v>8.0000000000000002E-3</v>
      </c>
      <c r="G3608" s="130">
        <v>0</v>
      </c>
      <c r="H3608" s="71">
        <v>8.5</v>
      </c>
      <c r="I3608" s="71">
        <v>11.1</v>
      </c>
      <c r="J3608" s="71">
        <v>13.5</v>
      </c>
      <c r="K3608" s="121">
        <v>6.0999999999999995E-3</v>
      </c>
      <c r="L3608" s="121">
        <v>-7.0000000000000001E-3</v>
      </c>
      <c r="M3608" s="75" t="s">
        <v>146</v>
      </c>
      <c r="N3608" s="75" t="b">
        <v>1</v>
      </c>
      <c r="O3608" s="75" t="s">
        <v>145</v>
      </c>
      <c r="P3608" s="75">
        <v>2014</v>
      </c>
      <c r="Q3608" s="107">
        <f t="shared" si="106"/>
        <v>2017</v>
      </c>
      <c r="R3608" s="107">
        <v>2</v>
      </c>
      <c r="S3608" s="43">
        <v>217115</v>
      </c>
      <c r="T3608" s="74">
        <v>43040</v>
      </c>
    </row>
    <row r="3609" spans="1:21" x14ac:dyDescent="0.3">
      <c r="A3609" s="42">
        <v>43067</v>
      </c>
      <c r="B3609" s="37">
        <f t="shared" si="105"/>
        <v>20171128</v>
      </c>
      <c r="C3609" s="109">
        <v>2.1299999999999999E-2</v>
      </c>
      <c r="D3609" s="109">
        <v>6.0000000000000001E-3</v>
      </c>
      <c r="E3609" s="109">
        <v>7.0000000000000001E-3</v>
      </c>
      <c r="F3609" s="109">
        <v>8.0000000000000002E-3</v>
      </c>
      <c r="G3609" s="130">
        <v>0</v>
      </c>
      <c r="H3609" s="71">
        <v>8.5</v>
      </c>
      <c r="I3609" s="71">
        <v>11.1</v>
      </c>
      <c r="J3609" s="71">
        <v>13.5</v>
      </c>
      <c r="K3609" s="121">
        <v>5.8999999999999999E-3</v>
      </c>
      <c r="L3609" s="121">
        <v>-7.0000000000000001E-3</v>
      </c>
      <c r="M3609" s="75" t="s">
        <v>146</v>
      </c>
      <c r="N3609" s="75" t="b">
        <v>1</v>
      </c>
      <c r="O3609" s="75" t="s">
        <v>145</v>
      </c>
      <c r="P3609" s="75">
        <v>2014</v>
      </c>
      <c r="Q3609" s="107">
        <f t="shared" si="106"/>
        <v>2017</v>
      </c>
      <c r="R3609" s="107">
        <v>2</v>
      </c>
      <c r="S3609" s="43">
        <v>217115</v>
      </c>
      <c r="T3609" s="74">
        <v>43040</v>
      </c>
    </row>
    <row r="3610" spans="1:21" x14ac:dyDescent="0.3">
      <c r="A3610" s="42">
        <v>43068</v>
      </c>
      <c r="B3610" s="37">
        <f t="shared" si="105"/>
        <v>20171129</v>
      </c>
      <c r="C3610" s="109">
        <v>2.1600000000000001E-2</v>
      </c>
      <c r="D3610" s="109">
        <v>6.0000000000000001E-3</v>
      </c>
      <c r="E3610" s="109">
        <v>7.0000000000000001E-3</v>
      </c>
      <c r="F3610" s="109">
        <v>8.0000000000000002E-3</v>
      </c>
      <c r="G3610" s="130">
        <v>0</v>
      </c>
      <c r="H3610" s="71">
        <v>8.5</v>
      </c>
      <c r="I3610" s="71">
        <v>11.1</v>
      </c>
      <c r="J3610" s="71">
        <v>13.5</v>
      </c>
      <c r="K3610" s="121">
        <v>6.0000000000000001E-3</v>
      </c>
      <c r="L3610" s="121">
        <v>-7.0000000000000001E-3</v>
      </c>
      <c r="M3610" s="75" t="s">
        <v>146</v>
      </c>
      <c r="N3610" s="75" t="b">
        <v>1</v>
      </c>
      <c r="O3610" s="75" t="s">
        <v>145</v>
      </c>
      <c r="P3610" s="75">
        <v>2014</v>
      </c>
      <c r="Q3610" s="107">
        <f t="shared" si="106"/>
        <v>2017</v>
      </c>
      <c r="R3610" s="107">
        <v>2</v>
      </c>
      <c r="S3610" s="43">
        <v>217115</v>
      </c>
      <c r="T3610" s="74">
        <v>43040</v>
      </c>
    </row>
    <row r="3611" spans="1:21" x14ac:dyDescent="0.3">
      <c r="A3611" s="42">
        <v>43069</v>
      </c>
      <c r="B3611" s="37">
        <f t="shared" si="105"/>
        <v>20171130</v>
      </c>
      <c r="C3611" s="109">
        <v>2.1600000000000001E-2</v>
      </c>
      <c r="D3611" s="109">
        <v>6.0000000000000001E-3</v>
      </c>
      <c r="E3611" s="109">
        <v>7.0000000000000001E-3</v>
      </c>
      <c r="F3611" s="109">
        <v>8.0000000000000002E-3</v>
      </c>
      <c r="G3611" s="130">
        <v>0</v>
      </c>
      <c r="H3611" s="71">
        <v>8.5</v>
      </c>
      <c r="I3611" s="71">
        <v>11.1</v>
      </c>
      <c r="J3611" s="71">
        <v>13.5</v>
      </c>
      <c r="K3611" s="121">
        <v>6.0000000000000001E-3</v>
      </c>
      <c r="L3611" s="121">
        <v>-7.0000000000000001E-3</v>
      </c>
      <c r="M3611" s="75" t="s">
        <v>146</v>
      </c>
      <c r="N3611" s="75" t="b">
        <v>1</v>
      </c>
      <c r="O3611" s="75" t="s">
        <v>145</v>
      </c>
      <c r="P3611" s="75">
        <v>2014</v>
      </c>
      <c r="Q3611" s="107">
        <f t="shared" si="106"/>
        <v>2017</v>
      </c>
      <c r="R3611" s="107">
        <v>2</v>
      </c>
      <c r="S3611" s="43">
        <v>217115</v>
      </c>
      <c r="T3611" s="74">
        <v>43040</v>
      </c>
      <c r="U3611" s="137"/>
    </row>
    <row r="3612" spans="1:21" x14ac:dyDescent="0.3">
      <c r="A3612" s="42">
        <v>43070</v>
      </c>
      <c r="B3612" s="37">
        <f t="shared" si="105"/>
        <v>20171201</v>
      </c>
      <c r="C3612" s="109">
        <v>2.1400000000000002E-2</v>
      </c>
      <c r="D3612" s="109">
        <v>6.0000000000000001E-3</v>
      </c>
      <c r="E3612" s="109">
        <v>7.0000000000000001E-3</v>
      </c>
      <c r="F3612" s="109">
        <v>8.0000000000000002E-3</v>
      </c>
      <c r="G3612" s="130">
        <v>0</v>
      </c>
      <c r="H3612" s="71">
        <v>8.5</v>
      </c>
      <c r="I3612" s="71">
        <v>11.1</v>
      </c>
      <c r="J3612" s="71">
        <v>13.5</v>
      </c>
      <c r="K3612" s="121">
        <v>5.4000000000000003E-3</v>
      </c>
      <c r="L3612" s="121">
        <v>-7.0000000000000001E-3</v>
      </c>
      <c r="M3612" s="75" t="s">
        <v>146</v>
      </c>
      <c r="N3612" s="75" t="b">
        <v>1</v>
      </c>
      <c r="O3612" s="75" t="s">
        <v>145</v>
      </c>
      <c r="P3612" s="75">
        <v>2014</v>
      </c>
      <c r="Q3612" s="107">
        <f t="shared" si="106"/>
        <v>2017</v>
      </c>
      <c r="R3612" s="107">
        <v>2</v>
      </c>
      <c r="S3612" s="43">
        <v>217115</v>
      </c>
      <c r="T3612" s="74">
        <v>43040</v>
      </c>
      <c r="U3612" s="137"/>
    </row>
    <row r="3613" spans="1:21" x14ac:dyDescent="0.3">
      <c r="A3613" s="42">
        <v>43071</v>
      </c>
      <c r="B3613" s="37">
        <f>YEAR(A3613)*10000+MONTH(A3613)*100+DAY(A3613)</f>
        <v>20171202</v>
      </c>
      <c r="C3613" s="109">
        <v>2.1400000000000002E-2</v>
      </c>
      <c r="D3613" s="109">
        <v>6.0000000000000001E-3</v>
      </c>
      <c r="E3613" s="109">
        <v>7.0000000000000001E-3</v>
      </c>
      <c r="F3613" s="109">
        <v>8.0000000000000002E-3</v>
      </c>
      <c r="G3613" s="130">
        <v>0</v>
      </c>
      <c r="H3613" s="71">
        <v>8.5</v>
      </c>
      <c r="I3613" s="71">
        <v>11.1</v>
      </c>
      <c r="J3613" s="71">
        <v>13.5</v>
      </c>
      <c r="K3613" s="121">
        <v>5.4000000000000003E-3</v>
      </c>
      <c r="L3613" s="121">
        <v>-7.0000000000000001E-3</v>
      </c>
      <c r="M3613" s="75" t="s">
        <v>146</v>
      </c>
      <c r="N3613" s="75" t="b">
        <v>1</v>
      </c>
      <c r="O3613" s="75" t="s">
        <v>145</v>
      </c>
      <c r="P3613" s="75">
        <v>2014</v>
      </c>
      <c r="Q3613" s="107">
        <f t="shared" si="106"/>
        <v>2017</v>
      </c>
      <c r="R3613" s="107">
        <v>2</v>
      </c>
      <c r="S3613" s="43">
        <v>217115</v>
      </c>
      <c r="T3613" s="74">
        <v>43040</v>
      </c>
      <c r="U3613" s="138"/>
    </row>
    <row r="3614" spans="1:21" x14ac:dyDescent="0.3">
      <c r="A3614" s="42">
        <v>43072</v>
      </c>
      <c r="B3614" s="37">
        <f>YEAR(A3614)*10000+MONTH(A3614)*100+DAY(A3614)</f>
        <v>20171203</v>
      </c>
      <c r="C3614" s="109">
        <v>2.1400000000000002E-2</v>
      </c>
      <c r="D3614" s="109">
        <v>6.0000000000000001E-3</v>
      </c>
      <c r="E3614" s="109">
        <v>7.0000000000000001E-3</v>
      </c>
      <c r="F3614" s="109">
        <v>8.0000000000000002E-3</v>
      </c>
      <c r="G3614" s="130">
        <v>0</v>
      </c>
      <c r="H3614" s="71">
        <v>8.5</v>
      </c>
      <c r="I3614" s="71">
        <v>11.1</v>
      </c>
      <c r="J3614" s="71">
        <v>13.5</v>
      </c>
      <c r="K3614" s="121">
        <v>5.4000000000000003E-3</v>
      </c>
      <c r="L3614" s="121">
        <v>-7.0000000000000001E-3</v>
      </c>
      <c r="M3614" s="75" t="s">
        <v>146</v>
      </c>
      <c r="N3614" s="75" t="b">
        <v>1</v>
      </c>
      <c r="O3614" s="75" t="s">
        <v>145</v>
      </c>
      <c r="P3614" s="75">
        <v>2014</v>
      </c>
      <c r="Q3614" s="107">
        <f t="shared" si="106"/>
        <v>2017</v>
      </c>
      <c r="R3614" s="107">
        <v>2</v>
      </c>
      <c r="S3614" s="43">
        <v>217115</v>
      </c>
      <c r="T3614" s="74">
        <v>43040</v>
      </c>
    </row>
    <row r="3615" spans="1:21" x14ac:dyDescent="0.3">
      <c r="A3615" s="42">
        <v>43073</v>
      </c>
      <c r="B3615" s="37">
        <f t="shared" si="105"/>
        <v>20171204</v>
      </c>
      <c r="C3615" s="109">
        <v>2.1600000000000001E-2</v>
      </c>
      <c r="D3615" s="109">
        <v>6.0000000000000001E-3</v>
      </c>
      <c r="E3615" s="109">
        <v>7.0000000000000001E-3</v>
      </c>
      <c r="F3615" s="109">
        <v>8.0000000000000002E-3</v>
      </c>
      <c r="G3615" s="130">
        <v>0</v>
      </c>
      <c r="H3615" s="71">
        <v>8.5</v>
      </c>
      <c r="I3615" s="71">
        <v>11.1</v>
      </c>
      <c r="J3615" s="71">
        <v>13.5</v>
      </c>
      <c r="K3615" s="121">
        <v>5.4000000000000003E-3</v>
      </c>
      <c r="L3615" s="121">
        <v>-7.0000000000000001E-3</v>
      </c>
      <c r="M3615" s="75" t="s">
        <v>146</v>
      </c>
      <c r="N3615" s="75" t="b">
        <v>1</v>
      </c>
      <c r="O3615" s="75" t="s">
        <v>145</v>
      </c>
      <c r="P3615" s="75">
        <v>2014</v>
      </c>
      <c r="Q3615" s="107">
        <f t="shared" si="106"/>
        <v>2017</v>
      </c>
      <c r="R3615" s="107">
        <v>2</v>
      </c>
      <c r="S3615" s="43">
        <v>217115</v>
      </c>
      <c r="T3615" s="74">
        <v>43040</v>
      </c>
    </row>
    <row r="3616" spans="1:21" x14ac:dyDescent="0.3">
      <c r="A3616" s="42">
        <v>43074</v>
      </c>
      <c r="B3616" s="37">
        <f t="shared" si="105"/>
        <v>20171205</v>
      </c>
      <c r="C3616" s="109">
        <v>2.1299999999999999E-2</v>
      </c>
      <c r="D3616" s="109">
        <v>6.0000000000000001E-3</v>
      </c>
      <c r="E3616" s="109">
        <v>7.0000000000000001E-3</v>
      </c>
      <c r="F3616" s="109">
        <v>8.0000000000000002E-3</v>
      </c>
      <c r="G3616" s="130">
        <v>0</v>
      </c>
      <c r="H3616" s="71">
        <v>8.5</v>
      </c>
      <c r="I3616" s="71">
        <v>11.1</v>
      </c>
      <c r="J3616" s="71">
        <v>13.5</v>
      </c>
      <c r="K3616" s="121">
        <v>5.1999999999999998E-3</v>
      </c>
      <c r="L3616" s="121">
        <v>-7.0000000000000001E-3</v>
      </c>
      <c r="M3616" s="75" t="s">
        <v>146</v>
      </c>
      <c r="N3616" s="75" t="b">
        <v>1</v>
      </c>
      <c r="O3616" s="75" t="s">
        <v>145</v>
      </c>
      <c r="P3616" s="75">
        <v>2014</v>
      </c>
      <c r="Q3616" s="107">
        <f t="shared" si="106"/>
        <v>2017</v>
      </c>
      <c r="R3616" s="107">
        <v>2</v>
      </c>
      <c r="S3616" s="43">
        <v>217115</v>
      </c>
      <c r="T3616" s="74">
        <v>43040</v>
      </c>
    </row>
    <row r="3617" spans="1:20" x14ac:dyDescent="0.3">
      <c r="A3617" s="42">
        <v>43075</v>
      </c>
      <c r="B3617" s="37">
        <f t="shared" si="105"/>
        <v>20171206</v>
      </c>
      <c r="C3617" s="109">
        <v>2.0899999999999998E-2</v>
      </c>
      <c r="D3617" s="109">
        <v>6.0000000000000001E-3</v>
      </c>
      <c r="E3617" s="109">
        <v>7.0000000000000001E-3</v>
      </c>
      <c r="F3617" s="109">
        <v>8.0000000000000002E-3</v>
      </c>
      <c r="G3617" s="130">
        <v>0</v>
      </c>
      <c r="H3617" s="71">
        <v>8.5</v>
      </c>
      <c r="I3617" s="71">
        <v>11.1</v>
      </c>
      <c r="J3617" s="71">
        <v>13.5</v>
      </c>
      <c r="K3617" s="121">
        <v>5.1000000000000004E-3</v>
      </c>
      <c r="L3617" s="121">
        <v>-7.0000000000000001E-3</v>
      </c>
      <c r="M3617" s="75" t="s">
        <v>146</v>
      </c>
      <c r="N3617" s="75" t="b">
        <v>1</v>
      </c>
      <c r="O3617" s="75" t="s">
        <v>145</v>
      </c>
      <c r="P3617" s="75">
        <v>2014</v>
      </c>
      <c r="Q3617" s="107">
        <f t="shared" si="106"/>
        <v>2017</v>
      </c>
      <c r="R3617" s="107">
        <v>2</v>
      </c>
      <c r="S3617" s="43">
        <v>217115</v>
      </c>
      <c r="T3617" s="74">
        <v>43040</v>
      </c>
    </row>
    <row r="3618" spans="1:20" x14ac:dyDescent="0.3">
      <c r="A3618" s="42">
        <v>43076</v>
      </c>
      <c r="B3618" s="37">
        <f t="shared" si="105"/>
        <v>20171207</v>
      </c>
      <c r="C3618" s="109">
        <v>2.1000000000000001E-2</v>
      </c>
      <c r="D3618" s="109">
        <v>6.0000000000000001E-3</v>
      </c>
      <c r="E3618" s="109">
        <v>7.0000000000000001E-3</v>
      </c>
      <c r="F3618" s="109">
        <v>8.0000000000000002E-3</v>
      </c>
      <c r="G3618" s="130">
        <v>0</v>
      </c>
      <c r="H3618" s="71">
        <v>8.5</v>
      </c>
      <c r="I3618" s="71">
        <v>11.1</v>
      </c>
      <c r="J3618" s="71">
        <v>13.5</v>
      </c>
      <c r="K3618" s="121">
        <v>5.1999999999999998E-3</v>
      </c>
      <c r="L3618" s="121">
        <v>-7.0000000000000001E-3</v>
      </c>
      <c r="M3618" s="75" t="s">
        <v>146</v>
      </c>
      <c r="N3618" s="75" t="b">
        <v>1</v>
      </c>
      <c r="O3618" s="75" t="s">
        <v>145</v>
      </c>
      <c r="P3618" s="75">
        <v>2014</v>
      </c>
      <c r="Q3618" s="107">
        <f t="shared" si="106"/>
        <v>2017</v>
      </c>
      <c r="R3618" s="107">
        <v>2</v>
      </c>
      <c r="S3618" s="43">
        <v>217115</v>
      </c>
      <c r="T3618" s="74">
        <v>43040</v>
      </c>
    </row>
    <row r="3619" spans="1:20" x14ac:dyDescent="0.3">
      <c r="A3619" s="42">
        <v>43077</v>
      </c>
      <c r="B3619" s="37">
        <f t="shared" si="105"/>
        <v>20171208</v>
      </c>
      <c r="C3619" s="109">
        <v>2.1000000000000001E-2</v>
      </c>
      <c r="D3619" s="109">
        <v>6.0000000000000001E-3</v>
      </c>
      <c r="E3619" s="109">
        <v>7.0000000000000001E-3</v>
      </c>
      <c r="F3619" s="109">
        <v>8.0000000000000002E-3</v>
      </c>
      <c r="G3619" s="130">
        <v>0</v>
      </c>
      <c r="H3619" s="71">
        <v>8.5</v>
      </c>
      <c r="I3619" s="71">
        <v>11.1</v>
      </c>
      <c r="J3619" s="71">
        <v>13.5</v>
      </c>
      <c r="K3619" s="121">
        <v>5.1999999999999998E-3</v>
      </c>
      <c r="L3619" s="121">
        <v>-7.0000000000000001E-3</v>
      </c>
      <c r="M3619" s="75" t="s">
        <v>146</v>
      </c>
      <c r="N3619" s="75" t="b">
        <v>1</v>
      </c>
      <c r="O3619" s="75" t="s">
        <v>145</v>
      </c>
      <c r="P3619" s="75">
        <v>2014</v>
      </c>
      <c r="Q3619" s="107">
        <f t="shared" si="106"/>
        <v>2017</v>
      </c>
      <c r="R3619" s="107">
        <v>2</v>
      </c>
      <c r="S3619" s="43">
        <v>217115</v>
      </c>
      <c r="T3619" s="74">
        <v>43040</v>
      </c>
    </row>
    <row r="3620" spans="1:20" x14ac:dyDescent="0.3">
      <c r="A3620" s="42">
        <v>43078</v>
      </c>
      <c r="B3620" s="37">
        <f>YEAR(A3620)*10000+MONTH(A3620)*100+DAY(A3620)</f>
        <v>20171209</v>
      </c>
      <c r="C3620" s="109">
        <v>2.1000000000000001E-2</v>
      </c>
      <c r="D3620" s="109">
        <v>6.0000000000000001E-3</v>
      </c>
      <c r="E3620" s="109">
        <v>7.0000000000000001E-3</v>
      </c>
      <c r="F3620" s="109">
        <v>8.0000000000000002E-3</v>
      </c>
      <c r="G3620" s="130">
        <v>0</v>
      </c>
      <c r="H3620" s="71">
        <v>8.5</v>
      </c>
      <c r="I3620" s="71">
        <v>11.1</v>
      </c>
      <c r="J3620" s="71">
        <v>13.5</v>
      </c>
      <c r="K3620" s="121">
        <v>5.1999999999999998E-3</v>
      </c>
      <c r="L3620" s="121">
        <v>-7.0000000000000001E-3</v>
      </c>
      <c r="M3620" s="75" t="s">
        <v>146</v>
      </c>
      <c r="N3620" s="75" t="b">
        <v>1</v>
      </c>
      <c r="O3620" s="75" t="s">
        <v>145</v>
      </c>
      <c r="P3620" s="75">
        <v>2014</v>
      </c>
      <c r="Q3620" s="107">
        <f t="shared" si="106"/>
        <v>2017</v>
      </c>
      <c r="R3620" s="107">
        <v>2</v>
      </c>
      <c r="S3620" s="43">
        <v>217115</v>
      </c>
      <c r="T3620" s="74">
        <v>43040</v>
      </c>
    </row>
    <row r="3621" spans="1:20" x14ac:dyDescent="0.3">
      <c r="A3621" s="42">
        <v>43079</v>
      </c>
      <c r="B3621" s="37">
        <f>YEAR(A3621)*10000+MONTH(A3621)*100+DAY(A3621)</f>
        <v>20171210</v>
      </c>
      <c r="C3621" s="109">
        <v>2.1000000000000001E-2</v>
      </c>
      <c r="D3621" s="109">
        <v>6.0000000000000001E-3</v>
      </c>
      <c r="E3621" s="109">
        <v>7.0000000000000001E-3</v>
      </c>
      <c r="F3621" s="109">
        <v>8.0000000000000002E-3</v>
      </c>
      <c r="G3621" s="130">
        <v>0</v>
      </c>
      <c r="H3621" s="71">
        <v>8.5</v>
      </c>
      <c r="I3621" s="71">
        <v>11.1</v>
      </c>
      <c r="J3621" s="71">
        <v>13.5</v>
      </c>
      <c r="K3621" s="121">
        <v>5.1999999999999998E-3</v>
      </c>
      <c r="L3621" s="121">
        <v>-7.0000000000000001E-3</v>
      </c>
      <c r="M3621" s="75" t="s">
        <v>146</v>
      </c>
      <c r="N3621" s="75" t="b">
        <v>1</v>
      </c>
      <c r="O3621" s="75" t="s">
        <v>145</v>
      </c>
      <c r="P3621" s="75">
        <v>2014</v>
      </c>
      <c r="Q3621" s="107">
        <f t="shared" si="106"/>
        <v>2017</v>
      </c>
      <c r="R3621" s="107">
        <v>2</v>
      </c>
      <c r="S3621" s="43">
        <v>217115</v>
      </c>
      <c r="T3621" s="74">
        <v>43040</v>
      </c>
    </row>
    <row r="3622" spans="1:20" x14ac:dyDescent="0.3">
      <c r="A3622" s="42">
        <v>43080</v>
      </c>
      <c r="B3622" s="37">
        <f t="shared" ref="B3622:B3689" si="107">YEAR(A3622)*10000+MONTH(A3622)*100+DAY(A3622)</f>
        <v>20171211</v>
      </c>
      <c r="C3622" s="109">
        <v>2.1000000000000001E-2</v>
      </c>
      <c r="D3622" s="109">
        <v>6.0000000000000001E-3</v>
      </c>
      <c r="E3622" s="109">
        <v>7.0000000000000001E-3</v>
      </c>
      <c r="F3622" s="109">
        <v>8.0000000000000002E-3</v>
      </c>
      <c r="G3622" s="130">
        <v>0</v>
      </c>
      <c r="H3622" s="71">
        <v>8.5</v>
      </c>
      <c r="I3622" s="71">
        <v>11.1</v>
      </c>
      <c r="J3622" s="71">
        <v>13.5</v>
      </c>
      <c r="K3622" s="121">
        <v>5.1000000000000004E-3</v>
      </c>
      <c r="L3622" s="121">
        <v>-7.0000000000000001E-3</v>
      </c>
      <c r="M3622" s="75" t="s">
        <v>146</v>
      </c>
      <c r="N3622" s="75" t="b">
        <v>1</v>
      </c>
      <c r="O3622" s="75" t="s">
        <v>145</v>
      </c>
      <c r="P3622" s="75">
        <v>2014</v>
      </c>
      <c r="Q3622" s="107">
        <f t="shared" si="106"/>
        <v>2017</v>
      </c>
      <c r="R3622" s="107">
        <v>2</v>
      </c>
      <c r="S3622" s="43">
        <v>217115</v>
      </c>
      <c r="T3622" s="74">
        <v>43040</v>
      </c>
    </row>
    <row r="3623" spans="1:20" x14ac:dyDescent="0.3">
      <c r="A3623" s="42">
        <v>43081</v>
      </c>
      <c r="B3623" s="37">
        <f t="shared" si="107"/>
        <v>20171212</v>
      </c>
      <c r="C3623" s="109">
        <v>2.1000000000000001E-2</v>
      </c>
      <c r="D3623" s="109">
        <v>6.0000000000000001E-3</v>
      </c>
      <c r="E3623" s="109">
        <v>7.0000000000000001E-3</v>
      </c>
      <c r="F3623" s="109">
        <v>8.0000000000000002E-3</v>
      </c>
      <c r="G3623" s="130">
        <v>0</v>
      </c>
      <c r="H3623" s="71">
        <v>8.5</v>
      </c>
      <c r="I3623" s="71">
        <v>11.1</v>
      </c>
      <c r="J3623" s="71">
        <v>13.5</v>
      </c>
      <c r="K3623" s="121">
        <v>5.0000000000000001E-3</v>
      </c>
      <c r="L3623" s="121">
        <v>-7.0000000000000001E-3</v>
      </c>
      <c r="M3623" s="75" t="s">
        <v>146</v>
      </c>
      <c r="N3623" s="75" t="b">
        <v>1</v>
      </c>
      <c r="O3623" s="75" t="s">
        <v>145</v>
      </c>
      <c r="P3623" s="75">
        <v>2014</v>
      </c>
      <c r="Q3623" s="107">
        <f t="shared" si="106"/>
        <v>2017</v>
      </c>
      <c r="R3623" s="107">
        <v>2</v>
      </c>
      <c r="S3623" s="43">
        <v>217115</v>
      </c>
      <c r="T3623" s="74">
        <v>43040</v>
      </c>
    </row>
    <row r="3624" spans="1:20" x14ac:dyDescent="0.3">
      <c r="A3624" s="42">
        <v>43082</v>
      </c>
      <c r="B3624" s="37">
        <f t="shared" si="107"/>
        <v>20171213</v>
      </c>
      <c r="C3624" s="109">
        <v>2.0899999999999998E-2</v>
      </c>
      <c r="D3624" s="109">
        <v>6.0000000000000001E-3</v>
      </c>
      <c r="E3624" s="109">
        <v>7.0000000000000001E-3</v>
      </c>
      <c r="F3624" s="109">
        <v>8.0000000000000002E-3</v>
      </c>
      <c r="G3624" s="130">
        <v>0</v>
      </c>
      <c r="H3624" s="71">
        <v>8.5</v>
      </c>
      <c r="I3624" s="71">
        <v>11.1</v>
      </c>
      <c r="J3624" s="71">
        <v>13.5</v>
      </c>
      <c r="K3624" s="121">
        <v>5.0000000000000001E-3</v>
      </c>
      <c r="L3624" s="121">
        <v>-7.0000000000000001E-3</v>
      </c>
      <c r="M3624" s="75" t="s">
        <v>146</v>
      </c>
      <c r="N3624" s="75" t="b">
        <v>1</v>
      </c>
      <c r="O3624" s="75" t="s">
        <v>145</v>
      </c>
      <c r="P3624" s="75">
        <v>2014</v>
      </c>
      <c r="Q3624" s="107">
        <f t="shared" si="106"/>
        <v>2017</v>
      </c>
      <c r="R3624" s="107">
        <v>2</v>
      </c>
      <c r="S3624" s="43">
        <v>217115</v>
      </c>
      <c r="T3624" s="74">
        <v>43040</v>
      </c>
    </row>
    <row r="3625" spans="1:20" x14ac:dyDescent="0.3">
      <c r="A3625" s="42">
        <v>43083</v>
      </c>
      <c r="B3625" s="37">
        <f t="shared" si="107"/>
        <v>20171214</v>
      </c>
      <c r="C3625" s="109">
        <v>2.0899999999999998E-2</v>
      </c>
      <c r="D3625" s="109">
        <v>6.0000000000000001E-3</v>
      </c>
      <c r="E3625" s="109">
        <v>7.0000000000000001E-3</v>
      </c>
      <c r="F3625" s="109">
        <v>8.0000000000000002E-3</v>
      </c>
      <c r="G3625" s="130">
        <v>0</v>
      </c>
      <c r="H3625" s="71">
        <v>8.5</v>
      </c>
      <c r="I3625" s="71">
        <v>11.1</v>
      </c>
      <c r="J3625" s="71">
        <v>13.5</v>
      </c>
      <c r="K3625" s="121">
        <v>5.0000000000000001E-3</v>
      </c>
      <c r="L3625" s="121">
        <v>-7.0000000000000001E-3</v>
      </c>
      <c r="M3625" s="75" t="s">
        <v>146</v>
      </c>
      <c r="N3625" s="75" t="b">
        <v>1</v>
      </c>
      <c r="O3625" s="75" t="s">
        <v>145</v>
      </c>
      <c r="P3625" s="75">
        <v>2014</v>
      </c>
      <c r="Q3625" s="107">
        <f t="shared" si="106"/>
        <v>2017</v>
      </c>
      <c r="R3625" s="107">
        <v>2</v>
      </c>
      <c r="S3625" s="43">
        <v>217115</v>
      </c>
      <c r="T3625" s="74">
        <v>43040</v>
      </c>
    </row>
    <row r="3626" spans="1:20" x14ac:dyDescent="0.3">
      <c r="A3626" s="42">
        <v>43084</v>
      </c>
      <c r="B3626" s="37">
        <f t="shared" si="107"/>
        <v>20171215</v>
      </c>
      <c r="C3626" s="109">
        <v>2.0499999999999997E-2</v>
      </c>
      <c r="D3626" s="109">
        <v>6.0000000000000001E-3</v>
      </c>
      <c r="E3626" s="109">
        <v>7.0000000000000001E-3</v>
      </c>
      <c r="F3626" s="109">
        <v>8.0000000000000002E-3</v>
      </c>
      <c r="G3626" s="130">
        <v>0</v>
      </c>
      <c r="H3626" s="71">
        <v>8.5</v>
      </c>
      <c r="I3626" s="71">
        <v>11.1</v>
      </c>
      <c r="J3626" s="71">
        <v>13.5</v>
      </c>
      <c r="K3626" s="121">
        <v>4.5000000000000005E-3</v>
      </c>
      <c r="L3626" s="121">
        <v>-7.0000000000000001E-3</v>
      </c>
      <c r="M3626" s="75" t="s">
        <v>146</v>
      </c>
      <c r="N3626" s="75" t="b">
        <v>1</v>
      </c>
      <c r="O3626" s="75" t="s">
        <v>145</v>
      </c>
      <c r="P3626" s="75">
        <v>2014</v>
      </c>
      <c r="Q3626" s="107">
        <f t="shared" si="106"/>
        <v>2017</v>
      </c>
      <c r="R3626" s="107">
        <v>2</v>
      </c>
      <c r="S3626" s="43">
        <v>217115</v>
      </c>
      <c r="T3626" s="74">
        <v>43040</v>
      </c>
    </row>
    <row r="3627" spans="1:20" x14ac:dyDescent="0.3">
      <c r="A3627" s="42">
        <v>43085</v>
      </c>
      <c r="B3627" s="37">
        <f>YEAR(A3627)*10000+MONTH(A3627)*100+DAY(A3627)</f>
        <v>20171216</v>
      </c>
      <c r="C3627" s="109">
        <v>2.0499999999999997E-2</v>
      </c>
      <c r="D3627" s="109">
        <v>6.0000000000000001E-3</v>
      </c>
      <c r="E3627" s="109">
        <v>7.0000000000000001E-3</v>
      </c>
      <c r="F3627" s="109">
        <v>8.0000000000000002E-3</v>
      </c>
      <c r="G3627" s="130">
        <v>0</v>
      </c>
      <c r="H3627" s="71">
        <v>8.5</v>
      </c>
      <c r="I3627" s="71">
        <v>11.1</v>
      </c>
      <c r="J3627" s="71">
        <v>13.5</v>
      </c>
      <c r="K3627" s="121">
        <v>4.5000000000000005E-3</v>
      </c>
      <c r="L3627" s="121">
        <v>-7.0000000000000001E-3</v>
      </c>
      <c r="M3627" s="75" t="s">
        <v>146</v>
      </c>
      <c r="N3627" s="75" t="b">
        <v>1</v>
      </c>
      <c r="O3627" s="75" t="s">
        <v>145</v>
      </c>
      <c r="P3627" s="75">
        <v>2014</v>
      </c>
      <c r="Q3627" s="107">
        <f t="shared" si="106"/>
        <v>2017</v>
      </c>
      <c r="R3627" s="107">
        <v>2</v>
      </c>
      <c r="S3627" s="43">
        <v>217115</v>
      </c>
      <c r="T3627" s="74">
        <v>43040</v>
      </c>
    </row>
    <row r="3628" spans="1:20" x14ac:dyDescent="0.3">
      <c r="A3628" s="42">
        <v>43086</v>
      </c>
      <c r="B3628" s="37">
        <f>YEAR(A3628)*10000+MONTH(A3628)*100+DAY(A3628)</f>
        <v>20171217</v>
      </c>
      <c r="C3628" s="109">
        <v>2.0499999999999997E-2</v>
      </c>
      <c r="D3628" s="109">
        <v>6.0000000000000001E-3</v>
      </c>
      <c r="E3628" s="109">
        <v>7.0000000000000001E-3</v>
      </c>
      <c r="F3628" s="109">
        <v>8.0000000000000002E-3</v>
      </c>
      <c r="G3628" s="130">
        <v>0</v>
      </c>
      <c r="H3628" s="71">
        <v>8.5</v>
      </c>
      <c r="I3628" s="71">
        <v>11.1</v>
      </c>
      <c r="J3628" s="71">
        <v>13.5</v>
      </c>
      <c r="K3628" s="121">
        <v>4.5000000000000005E-3</v>
      </c>
      <c r="L3628" s="121">
        <v>-7.0000000000000001E-3</v>
      </c>
      <c r="M3628" s="75" t="s">
        <v>146</v>
      </c>
      <c r="N3628" s="75" t="b">
        <v>1</v>
      </c>
      <c r="O3628" s="75" t="s">
        <v>145</v>
      </c>
      <c r="P3628" s="75">
        <v>2014</v>
      </c>
      <c r="Q3628" s="107">
        <f t="shared" si="106"/>
        <v>2017</v>
      </c>
      <c r="R3628" s="107">
        <v>2</v>
      </c>
      <c r="S3628" s="43">
        <v>217115</v>
      </c>
      <c r="T3628" s="74">
        <v>43040</v>
      </c>
    </row>
    <row r="3629" spans="1:20" x14ac:dyDescent="0.3">
      <c r="A3629" s="42">
        <v>43087</v>
      </c>
      <c r="B3629" s="37">
        <f t="shared" si="107"/>
        <v>20171218</v>
      </c>
      <c r="C3629" s="109">
        <v>2.0799999999999999E-2</v>
      </c>
      <c r="D3629" s="109">
        <v>6.0000000000000001E-3</v>
      </c>
      <c r="E3629" s="109">
        <v>7.0000000000000001E-3</v>
      </c>
      <c r="F3629" s="109">
        <v>8.0000000000000002E-3</v>
      </c>
      <c r="G3629" s="130">
        <v>0</v>
      </c>
      <c r="H3629" s="71">
        <v>8.5</v>
      </c>
      <c r="I3629" s="71">
        <v>11.1</v>
      </c>
      <c r="J3629" s="71">
        <v>13.5</v>
      </c>
      <c r="K3629" s="121">
        <v>4.7999999999999996E-3</v>
      </c>
      <c r="L3629" s="121">
        <v>-7.0000000000000001E-3</v>
      </c>
      <c r="M3629" s="75" t="s">
        <v>146</v>
      </c>
      <c r="N3629" s="75" t="b">
        <v>1</v>
      </c>
      <c r="O3629" s="75" t="s">
        <v>145</v>
      </c>
      <c r="P3629" s="75">
        <v>2014</v>
      </c>
      <c r="Q3629" s="107">
        <f t="shared" si="106"/>
        <v>2017</v>
      </c>
      <c r="R3629" s="107">
        <v>2</v>
      </c>
      <c r="S3629" s="43">
        <v>217115</v>
      </c>
      <c r="T3629" s="74">
        <v>43040</v>
      </c>
    </row>
    <row r="3630" spans="1:20" x14ac:dyDescent="0.3">
      <c r="A3630" s="42">
        <v>43088</v>
      </c>
      <c r="B3630" s="37">
        <f t="shared" si="107"/>
        <v>20171219</v>
      </c>
      <c r="C3630" s="109">
        <v>2.1400000000000002E-2</v>
      </c>
      <c r="D3630" s="109">
        <v>6.0000000000000001E-3</v>
      </c>
      <c r="E3630" s="109">
        <v>7.0000000000000001E-3</v>
      </c>
      <c r="F3630" s="109">
        <v>8.0000000000000002E-3</v>
      </c>
      <c r="G3630" s="130">
        <v>0</v>
      </c>
      <c r="H3630" s="71">
        <v>8.5</v>
      </c>
      <c r="I3630" s="71">
        <v>11.1</v>
      </c>
      <c r="J3630" s="71">
        <v>13.5</v>
      </c>
      <c r="K3630" s="121">
        <v>5.3E-3</v>
      </c>
      <c r="L3630" s="121">
        <v>-7.0000000000000001E-3</v>
      </c>
      <c r="M3630" s="75" t="s">
        <v>146</v>
      </c>
      <c r="N3630" s="75" t="b">
        <v>1</v>
      </c>
      <c r="O3630" s="75" t="s">
        <v>145</v>
      </c>
      <c r="P3630" s="75">
        <v>2014</v>
      </c>
      <c r="Q3630" s="107">
        <f t="shared" ref="Q3630:Q3693" si="108">YEAR(A3630)</f>
        <v>2017</v>
      </c>
      <c r="R3630" s="107">
        <v>2</v>
      </c>
      <c r="S3630" s="43">
        <v>217115</v>
      </c>
      <c r="T3630" s="74">
        <v>43040</v>
      </c>
    </row>
    <row r="3631" spans="1:20" x14ac:dyDescent="0.3">
      <c r="A3631" s="42">
        <v>43089</v>
      </c>
      <c r="B3631" s="37">
        <f t="shared" si="107"/>
        <v>20171220</v>
      </c>
      <c r="C3631" s="109">
        <v>2.1899999999999999E-2</v>
      </c>
      <c r="D3631" s="109">
        <v>6.0000000000000001E-3</v>
      </c>
      <c r="E3631" s="109">
        <v>7.0000000000000001E-3</v>
      </c>
      <c r="F3631" s="109">
        <v>8.0000000000000002E-3</v>
      </c>
      <c r="G3631" s="130">
        <v>0</v>
      </c>
      <c r="H3631" s="71">
        <v>8.5</v>
      </c>
      <c r="I3631" s="71">
        <v>11.1</v>
      </c>
      <c r="J3631" s="71">
        <v>13.5</v>
      </c>
      <c r="K3631" s="121">
        <v>5.6999999999999993E-3</v>
      </c>
      <c r="L3631" s="121">
        <v>-7.0000000000000001E-3</v>
      </c>
      <c r="M3631" s="75" t="s">
        <v>146</v>
      </c>
      <c r="N3631" s="75" t="b">
        <v>1</v>
      </c>
      <c r="O3631" s="75" t="s">
        <v>145</v>
      </c>
      <c r="P3631" s="75">
        <v>2014</v>
      </c>
      <c r="Q3631" s="107">
        <f t="shared" si="108"/>
        <v>2017</v>
      </c>
      <c r="R3631" s="107">
        <v>2</v>
      </c>
      <c r="S3631" s="43">
        <v>217115</v>
      </c>
      <c r="T3631" s="74">
        <v>43040</v>
      </c>
    </row>
    <row r="3632" spans="1:20" x14ac:dyDescent="0.3">
      <c r="A3632" s="42">
        <v>43090</v>
      </c>
      <c r="B3632" s="37">
        <f t="shared" si="107"/>
        <v>20171221</v>
      </c>
      <c r="C3632" s="109">
        <v>2.2000000000000002E-2</v>
      </c>
      <c r="D3632" s="109">
        <v>6.0000000000000001E-3</v>
      </c>
      <c r="E3632" s="109">
        <v>7.0000000000000001E-3</v>
      </c>
      <c r="F3632" s="109">
        <v>8.0000000000000002E-3</v>
      </c>
      <c r="G3632" s="130">
        <v>0</v>
      </c>
      <c r="H3632" s="71">
        <v>8.5</v>
      </c>
      <c r="I3632" s="71">
        <v>11.1</v>
      </c>
      <c r="J3632" s="71">
        <v>13.5</v>
      </c>
      <c r="K3632" s="121">
        <v>5.6000000000000008E-3</v>
      </c>
      <c r="L3632" s="121">
        <v>-7.0000000000000001E-3</v>
      </c>
      <c r="M3632" s="75" t="s">
        <v>146</v>
      </c>
      <c r="N3632" s="75" t="b">
        <v>1</v>
      </c>
      <c r="O3632" s="75" t="s">
        <v>145</v>
      </c>
      <c r="P3632" s="75">
        <v>2014</v>
      </c>
      <c r="Q3632" s="107">
        <f t="shared" si="108"/>
        <v>2017</v>
      </c>
      <c r="R3632" s="107">
        <v>2</v>
      </c>
      <c r="S3632" s="43">
        <v>217115</v>
      </c>
      <c r="T3632" s="74">
        <v>43040</v>
      </c>
    </row>
    <row r="3633" spans="1:21" x14ac:dyDescent="0.3">
      <c r="A3633" s="42">
        <v>43091</v>
      </c>
      <c r="B3633" s="37">
        <f t="shared" si="107"/>
        <v>20171222</v>
      </c>
      <c r="C3633" s="109">
        <v>2.2000000000000002E-2</v>
      </c>
      <c r="D3633" s="109">
        <v>6.0000000000000001E-3</v>
      </c>
      <c r="E3633" s="109">
        <v>7.0000000000000001E-3</v>
      </c>
      <c r="F3633" s="109">
        <v>8.0000000000000002E-3</v>
      </c>
      <c r="G3633" s="130">
        <v>0</v>
      </c>
      <c r="H3633" s="71">
        <v>8.5</v>
      </c>
      <c r="I3633" s="71">
        <v>11.1</v>
      </c>
      <c r="J3633" s="71">
        <v>13.5</v>
      </c>
      <c r="K3633" s="121">
        <v>5.6000000000000008E-3</v>
      </c>
      <c r="L3633" s="121">
        <v>-7.0000000000000001E-3</v>
      </c>
      <c r="M3633" s="75" t="s">
        <v>146</v>
      </c>
      <c r="N3633" s="75" t="b">
        <v>1</v>
      </c>
      <c r="O3633" s="75" t="s">
        <v>145</v>
      </c>
      <c r="P3633" s="75">
        <v>2014</v>
      </c>
      <c r="Q3633" s="107">
        <f t="shared" si="108"/>
        <v>2017</v>
      </c>
      <c r="R3633" s="107">
        <v>2</v>
      </c>
      <c r="S3633" s="43">
        <v>217115</v>
      </c>
      <c r="T3633" s="74">
        <v>43040</v>
      </c>
    </row>
    <row r="3634" spans="1:21" x14ac:dyDescent="0.3">
      <c r="A3634" s="42">
        <v>43092</v>
      </c>
      <c r="B3634" s="37">
        <f>YEAR(A3634)*10000+MONTH(A3634)*100+DAY(A3634)</f>
        <v>20171223</v>
      </c>
      <c r="C3634" s="109">
        <v>2.2000000000000002E-2</v>
      </c>
      <c r="D3634" s="109">
        <v>6.0000000000000001E-3</v>
      </c>
      <c r="E3634" s="109">
        <v>7.0000000000000001E-3</v>
      </c>
      <c r="F3634" s="109">
        <v>8.0000000000000002E-3</v>
      </c>
      <c r="G3634" s="130">
        <v>0</v>
      </c>
      <c r="H3634" s="71">
        <v>8.5</v>
      </c>
      <c r="I3634" s="71">
        <v>11.1</v>
      </c>
      <c r="J3634" s="71">
        <v>13.5</v>
      </c>
      <c r="K3634" s="121">
        <v>5.6000000000000008E-3</v>
      </c>
      <c r="L3634" s="121">
        <v>-7.0000000000000001E-3</v>
      </c>
      <c r="M3634" s="75" t="s">
        <v>146</v>
      </c>
      <c r="N3634" s="75" t="b">
        <v>1</v>
      </c>
      <c r="O3634" s="75" t="s">
        <v>145</v>
      </c>
      <c r="P3634" s="75">
        <v>2014</v>
      </c>
      <c r="Q3634" s="107">
        <f t="shared" si="108"/>
        <v>2017</v>
      </c>
      <c r="R3634" s="107">
        <v>2</v>
      </c>
      <c r="S3634" s="43">
        <v>217115</v>
      </c>
      <c r="T3634" s="74">
        <v>43040</v>
      </c>
    </row>
    <row r="3635" spans="1:21" x14ac:dyDescent="0.3">
      <c r="A3635" s="42">
        <v>43093</v>
      </c>
      <c r="B3635" s="37">
        <f>YEAR(A3635)*10000+MONTH(A3635)*100+DAY(A3635)</f>
        <v>20171224</v>
      </c>
      <c r="C3635" s="109">
        <v>2.2000000000000002E-2</v>
      </c>
      <c r="D3635" s="109">
        <v>6.0000000000000001E-3</v>
      </c>
      <c r="E3635" s="109">
        <v>7.0000000000000001E-3</v>
      </c>
      <c r="F3635" s="109">
        <v>8.0000000000000002E-3</v>
      </c>
      <c r="G3635" s="130">
        <v>0</v>
      </c>
      <c r="H3635" s="71">
        <v>8.5</v>
      </c>
      <c r="I3635" s="71">
        <v>11.1</v>
      </c>
      <c r="J3635" s="71">
        <v>13.5</v>
      </c>
      <c r="K3635" s="121">
        <v>5.6000000000000008E-3</v>
      </c>
      <c r="L3635" s="121">
        <v>-7.0000000000000001E-3</v>
      </c>
      <c r="M3635" s="75" t="s">
        <v>146</v>
      </c>
      <c r="N3635" s="75" t="b">
        <v>1</v>
      </c>
      <c r="O3635" s="75" t="s">
        <v>145</v>
      </c>
      <c r="P3635" s="75">
        <v>2014</v>
      </c>
      <c r="Q3635" s="107">
        <f t="shared" si="108"/>
        <v>2017</v>
      </c>
      <c r="R3635" s="107">
        <v>2</v>
      </c>
      <c r="S3635" s="43">
        <v>217115</v>
      </c>
      <c r="T3635" s="74">
        <v>43040</v>
      </c>
    </row>
    <row r="3636" spans="1:21" x14ac:dyDescent="0.3">
      <c r="A3636" s="42">
        <v>43094</v>
      </c>
      <c r="B3636" s="37">
        <f t="shared" si="107"/>
        <v>20171225</v>
      </c>
      <c r="C3636" s="109">
        <v>2.2000000000000002E-2</v>
      </c>
      <c r="D3636" s="109">
        <v>6.0000000000000001E-3</v>
      </c>
      <c r="E3636" s="109">
        <v>7.0000000000000001E-3</v>
      </c>
      <c r="F3636" s="109">
        <v>8.0000000000000002E-3</v>
      </c>
      <c r="G3636" s="130">
        <v>0</v>
      </c>
      <c r="H3636" s="71">
        <v>8.5</v>
      </c>
      <c r="I3636" s="71">
        <v>11.1</v>
      </c>
      <c r="J3636" s="71">
        <v>13.5</v>
      </c>
      <c r="K3636" s="121">
        <v>5.6000000000000008E-3</v>
      </c>
      <c r="L3636" s="121">
        <v>-7.0000000000000001E-3</v>
      </c>
      <c r="M3636" s="75" t="s">
        <v>146</v>
      </c>
      <c r="N3636" s="75" t="b">
        <v>1</v>
      </c>
      <c r="O3636" s="75" t="s">
        <v>145</v>
      </c>
      <c r="P3636" s="75">
        <v>2014</v>
      </c>
      <c r="Q3636" s="107">
        <f t="shared" si="108"/>
        <v>2017</v>
      </c>
      <c r="R3636" s="107">
        <v>2</v>
      </c>
      <c r="S3636" s="43">
        <v>217115</v>
      </c>
      <c r="T3636" s="74">
        <v>43040</v>
      </c>
    </row>
    <row r="3637" spans="1:21" x14ac:dyDescent="0.3">
      <c r="A3637" s="42">
        <v>43095</v>
      </c>
      <c r="B3637" s="37">
        <f t="shared" si="107"/>
        <v>20171226</v>
      </c>
      <c r="C3637" s="109">
        <v>2.2000000000000002E-2</v>
      </c>
      <c r="D3637" s="109">
        <v>6.0000000000000001E-3</v>
      </c>
      <c r="E3637" s="109">
        <v>7.0000000000000001E-3</v>
      </c>
      <c r="F3637" s="109">
        <v>8.0000000000000002E-3</v>
      </c>
      <c r="G3637" s="130">
        <v>0</v>
      </c>
      <c r="H3637" s="71">
        <v>8.5</v>
      </c>
      <c r="I3637" s="71">
        <v>11.1</v>
      </c>
      <c r="J3637" s="71">
        <v>13.5</v>
      </c>
      <c r="K3637" s="121">
        <v>5.6000000000000008E-3</v>
      </c>
      <c r="L3637" s="121">
        <v>-7.0000000000000001E-3</v>
      </c>
      <c r="M3637" s="75" t="s">
        <v>146</v>
      </c>
      <c r="N3637" s="75" t="b">
        <v>1</v>
      </c>
      <c r="O3637" s="75" t="s">
        <v>145</v>
      </c>
      <c r="P3637" s="75">
        <v>2014</v>
      </c>
      <c r="Q3637" s="107">
        <f t="shared" si="108"/>
        <v>2017</v>
      </c>
      <c r="R3637" s="107">
        <v>2</v>
      </c>
      <c r="S3637" s="43">
        <v>217115</v>
      </c>
      <c r="T3637" s="74">
        <v>43040</v>
      </c>
    </row>
    <row r="3638" spans="1:21" x14ac:dyDescent="0.3">
      <c r="A3638" s="42">
        <v>43096</v>
      </c>
      <c r="B3638" s="37">
        <f t="shared" si="107"/>
        <v>20171227</v>
      </c>
      <c r="C3638" s="109">
        <v>2.1499999999999998E-2</v>
      </c>
      <c r="D3638" s="109">
        <v>6.0000000000000001E-3</v>
      </c>
      <c r="E3638" s="109">
        <v>7.0000000000000001E-3</v>
      </c>
      <c r="F3638" s="109">
        <v>8.0000000000000002E-3</v>
      </c>
      <c r="G3638" s="130">
        <v>0</v>
      </c>
      <c r="H3638" s="71">
        <v>8.5</v>
      </c>
      <c r="I3638" s="71">
        <v>11.1</v>
      </c>
      <c r="J3638" s="71">
        <v>13.5</v>
      </c>
      <c r="K3638" s="121">
        <v>5.1999999999999998E-3</v>
      </c>
      <c r="L3638" s="121">
        <v>-7.0000000000000001E-3</v>
      </c>
      <c r="M3638" s="75" t="s">
        <v>146</v>
      </c>
      <c r="N3638" s="75" t="b">
        <v>1</v>
      </c>
      <c r="O3638" s="75" t="s">
        <v>145</v>
      </c>
      <c r="P3638" s="75">
        <v>2014</v>
      </c>
      <c r="Q3638" s="107">
        <f t="shared" si="108"/>
        <v>2017</v>
      </c>
      <c r="R3638" s="107">
        <v>2</v>
      </c>
      <c r="S3638" s="43">
        <v>217115</v>
      </c>
      <c r="T3638" s="74">
        <v>43040</v>
      </c>
    </row>
    <row r="3639" spans="1:21" x14ac:dyDescent="0.3">
      <c r="A3639" s="42">
        <v>43097</v>
      </c>
      <c r="B3639" s="37">
        <f t="shared" si="107"/>
        <v>20171228</v>
      </c>
      <c r="C3639" s="109">
        <v>2.1899999999999999E-2</v>
      </c>
      <c r="D3639" s="109">
        <v>6.0000000000000001E-3</v>
      </c>
      <c r="E3639" s="109">
        <v>7.0000000000000001E-3</v>
      </c>
      <c r="F3639" s="109">
        <v>8.0000000000000002E-3</v>
      </c>
      <c r="G3639" s="130">
        <v>0</v>
      </c>
      <c r="H3639" s="71">
        <v>8.5</v>
      </c>
      <c r="I3639" s="71">
        <v>11.1</v>
      </c>
      <c r="J3639" s="71">
        <v>13.5</v>
      </c>
      <c r="K3639" s="121">
        <v>5.5000000000000005E-3</v>
      </c>
      <c r="L3639" s="121">
        <v>-7.0000000000000001E-3</v>
      </c>
      <c r="M3639" s="75" t="s">
        <v>146</v>
      </c>
      <c r="N3639" s="75" t="b">
        <v>1</v>
      </c>
      <c r="O3639" s="75" t="s">
        <v>145</v>
      </c>
      <c r="P3639" s="75">
        <v>2014</v>
      </c>
      <c r="Q3639" s="107">
        <f t="shared" si="108"/>
        <v>2017</v>
      </c>
      <c r="R3639" s="107">
        <v>2</v>
      </c>
      <c r="S3639" s="43">
        <v>217115</v>
      </c>
      <c r="T3639" s="74">
        <v>43040</v>
      </c>
    </row>
    <row r="3640" spans="1:21" x14ac:dyDescent="0.3">
      <c r="A3640" s="42">
        <v>43098</v>
      </c>
      <c r="B3640" s="37">
        <f t="shared" si="107"/>
        <v>20171229</v>
      </c>
      <c r="C3640" s="109">
        <v>2.2200000000000001E-2</v>
      </c>
      <c r="D3640" s="109">
        <v>6.0000000000000001E-3</v>
      </c>
      <c r="E3640" s="109">
        <v>7.0000000000000001E-3</v>
      </c>
      <c r="F3640" s="109">
        <v>8.0000000000000002E-3</v>
      </c>
      <c r="G3640" s="130">
        <v>0</v>
      </c>
      <c r="H3640" s="71">
        <v>8.5</v>
      </c>
      <c r="I3640" s="71">
        <v>11.1</v>
      </c>
      <c r="J3640" s="71">
        <v>13.5</v>
      </c>
      <c r="K3640" s="121">
        <v>5.6999999999999993E-3</v>
      </c>
      <c r="L3640" s="121">
        <v>-7.0000000000000001E-3</v>
      </c>
      <c r="M3640" s="75" t="s">
        <v>146</v>
      </c>
      <c r="N3640" s="75" t="b">
        <v>1</v>
      </c>
      <c r="O3640" s="75" t="s">
        <v>145</v>
      </c>
      <c r="P3640" s="75">
        <v>2014</v>
      </c>
      <c r="Q3640" s="107">
        <f t="shared" si="108"/>
        <v>2017</v>
      </c>
      <c r="R3640" s="107">
        <v>2</v>
      </c>
      <c r="S3640" s="43">
        <v>217115</v>
      </c>
      <c r="T3640" s="74">
        <v>43040</v>
      </c>
    </row>
    <row r="3641" spans="1:21" x14ac:dyDescent="0.3">
      <c r="A3641" s="42">
        <v>43099</v>
      </c>
      <c r="B3641" s="37">
        <f>YEAR(A3641)*10000+MONTH(A3641)*100+DAY(A3641)</f>
        <v>20171230</v>
      </c>
      <c r="C3641" s="109">
        <v>2.2200000000000001E-2</v>
      </c>
      <c r="D3641" s="109">
        <v>6.0000000000000001E-3</v>
      </c>
      <c r="E3641" s="109">
        <v>7.0000000000000001E-3</v>
      </c>
      <c r="F3641" s="109">
        <v>8.0000000000000002E-3</v>
      </c>
      <c r="G3641" s="130">
        <v>0</v>
      </c>
      <c r="H3641" s="71">
        <v>8.5</v>
      </c>
      <c r="I3641" s="71">
        <v>11.1</v>
      </c>
      <c r="J3641" s="71">
        <v>13.5</v>
      </c>
      <c r="K3641" s="121">
        <v>5.6999999999999993E-3</v>
      </c>
      <c r="L3641" s="121">
        <v>-7.0000000000000001E-3</v>
      </c>
      <c r="M3641" s="75" t="s">
        <v>146</v>
      </c>
      <c r="N3641" s="75" t="b">
        <v>1</v>
      </c>
      <c r="O3641" s="75" t="s">
        <v>145</v>
      </c>
      <c r="P3641" s="75">
        <v>2014</v>
      </c>
      <c r="Q3641" s="107">
        <f t="shared" si="108"/>
        <v>2017</v>
      </c>
      <c r="R3641" s="107">
        <v>2</v>
      </c>
      <c r="S3641" s="43">
        <v>217115</v>
      </c>
      <c r="T3641" s="74">
        <v>43040</v>
      </c>
    </row>
    <row r="3642" spans="1:21" s="116" customFormat="1" x14ac:dyDescent="0.3">
      <c r="A3642" s="110">
        <v>43100</v>
      </c>
      <c r="B3642" s="132">
        <f>YEAR(A3642)*10000+MONTH(A3642)*100+DAY(A3642)</f>
        <v>20171231</v>
      </c>
      <c r="C3642" s="111">
        <v>2.2200000000000001E-2</v>
      </c>
      <c r="D3642" s="120">
        <v>7.0000000000000001E-3</v>
      </c>
      <c r="E3642" s="120">
        <v>8.0000000000000002E-3</v>
      </c>
      <c r="F3642" s="120">
        <v>8.9999999999999993E-3</v>
      </c>
      <c r="G3642" s="133">
        <v>0</v>
      </c>
      <c r="H3642" s="124">
        <v>8.6</v>
      </c>
      <c r="I3642" s="112">
        <v>11.1</v>
      </c>
      <c r="J3642" s="124">
        <v>13.6</v>
      </c>
      <c r="K3642" s="131">
        <v>5.6999999999999993E-3</v>
      </c>
      <c r="L3642" s="131">
        <v>-7.0000000000000001E-3</v>
      </c>
      <c r="M3642" s="98" t="s">
        <v>146</v>
      </c>
      <c r="N3642" s="98" t="b">
        <v>1</v>
      </c>
      <c r="O3642" s="98" t="s">
        <v>145</v>
      </c>
      <c r="P3642" s="98">
        <v>2014</v>
      </c>
      <c r="Q3642" s="105">
        <f t="shared" si="108"/>
        <v>2017</v>
      </c>
      <c r="R3642" s="105">
        <v>2</v>
      </c>
      <c r="S3642" s="114">
        <v>218031</v>
      </c>
      <c r="T3642" s="115">
        <v>43164</v>
      </c>
      <c r="U3642" s="98" t="s">
        <v>176</v>
      </c>
    </row>
    <row r="3643" spans="1:21" x14ac:dyDescent="0.3">
      <c r="A3643" s="42">
        <v>43101</v>
      </c>
      <c r="B3643" s="37">
        <f>YEAR(A3643)*10000+MONTH(A3643)*100+DAY(A3643)</f>
        <v>20180101</v>
      </c>
      <c r="C3643" s="109">
        <v>2.2200000000000001E-2</v>
      </c>
      <c r="D3643" s="109">
        <v>7.0000000000000001E-3</v>
      </c>
      <c r="E3643" s="109">
        <v>8.0000000000000002E-3</v>
      </c>
      <c r="F3643" s="109">
        <v>8.9999999999999993E-3</v>
      </c>
      <c r="G3643" s="130">
        <v>0</v>
      </c>
      <c r="H3643" s="71">
        <v>8.6</v>
      </c>
      <c r="I3643" s="71">
        <v>11.1</v>
      </c>
      <c r="J3643" s="71">
        <v>13.6</v>
      </c>
      <c r="K3643" s="121">
        <v>5.6999999999999993E-3</v>
      </c>
      <c r="L3643" s="121">
        <v>-7.0000000000000001E-3</v>
      </c>
      <c r="M3643" s="75" t="s">
        <v>146</v>
      </c>
      <c r="N3643" s="75" t="b">
        <v>1</v>
      </c>
      <c r="O3643" s="75" t="s">
        <v>145</v>
      </c>
      <c r="P3643" s="75">
        <v>2014</v>
      </c>
      <c r="Q3643" s="107">
        <f t="shared" si="108"/>
        <v>2018</v>
      </c>
      <c r="R3643" s="107">
        <v>2</v>
      </c>
      <c r="S3643" s="43">
        <v>218031</v>
      </c>
      <c r="T3643" s="74">
        <v>43164</v>
      </c>
    </row>
    <row r="3644" spans="1:21" x14ac:dyDescent="0.3">
      <c r="A3644" s="42">
        <v>43102</v>
      </c>
      <c r="B3644" s="37">
        <f t="shared" si="107"/>
        <v>20180102</v>
      </c>
      <c r="C3644" s="109">
        <v>2.2700000000000001E-2</v>
      </c>
      <c r="D3644" s="109">
        <v>7.0000000000000001E-3</v>
      </c>
      <c r="E3644" s="109">
        <v>8.0000000000000002E-3</v>
      </c>
      <c r="F3644" s="109">
        <v>8.9999999999999993E-3</v>
      </c>
      <c r="G3644" s="130">
        <v>0</v>
      </c>
      <c r="H3644" s="71">
        <v>8.6</v>
      </c>
      <c r="I3644" s="71">
        <v>11.1</v>
      </c>
      <c r="J3644" s="71">
        <v>13.6</v>
      </c>
      <c r="K3644" s="121">
        <v>6.1999999999999998E-3</v>
      </c>
      <c r="L3644" s="121">
        <v>-7.0000000000000001E-3</v>
      </c>
      <c r="M3644" s="75" t="s">
        <v>146</v>
      </c>
      <c r="N3644" s="75" t="b">
        <v>1</v>
      </c>
      <c r="O3644" s="75" t="s">
        <v>145</v>
      </c>
      <c r="P3644" s="75">
        <v>2014</v>
      </c>
      <c r="Q3644" s="107">
        <f t="shared" si="108"/>
        <v>2018</v>
      </c>
      <c r="R3644" s="107">
        <v>2</v>
      </c>
      <c r="S3644" s="43">
        <v>218031</v>
      </c>
      <c r="T3644" s="74">
        <v>43164</v>
      </c>
    </row>
    <row r="3645" spans="1:21" x14ac:dyDescent="0.3">
      <c r="A3645" s="42">
        <v>43103</v>
      </c>
      <c r="B3645" s="37">
        <f t="shared" si="107"/>
        <v>20180103</v>
      </c>
      <c r="C3645" s="109">
        <v>2.2400000000000003E-2</v>
      </c>
      <c r="D3645" s="109">
        <v>7.0000000000000001E-3</v>
      </c>
      <c r="E3645" s="109">
        <v>8.0000000000000002E-3</v>
      </c>
      <c r="F3645" s="109">
        <v>8.9999999999999993E-3</v>
      </c>
      <c r="G3645" s="130">
        <v>0</v>
      </c>
      <c r="H3645" s="71">
        <v>8.6</v>
      </c>
      <c r="I3645" s="71">
        <v>11.1</v>
      </c>
      <c r="J3645" s="71">
        <v>13.6</v>
      </c>
      <c r="K3645" s="121">
        <v>5.7999999999999996E-3</v>
      </c>
      <c r="L3645" s="121">
        <v>-7.0000000000000001E-3</v>
      </c>
      <c r="M3645" s="75" t="s">
        <v>146</v>
      </c>
      <c r="N3645" s="75" t="b">
        <v>1</v>
      </c>
      <c r="O3645" s="75" t="s">
        <v>145</v>
      </c>
      <c r="P3645" s="75">
        <v>2014</v>
      </c>
      <c r="Q3645" s="107">
        <f t="shared" si="108"/>
        <v>2018</v>
      </c>
      <c r="R3645" s="107">
        <v>2</v>
      </c>
      <c r="S3645" s="43">
        <v>218031</v>
      </c>
      <c r="T3645" s="74">
        <v>43164</v>
      </c>
    </row>
    <row r="3646" spans="1:21" x14ac:dyDescent="0.3">
      <c r="A3646" s="42">
        <v>43104</v>
      </c>
      <c r="B3646" s="37">
        <f t="shared" si="107"/>
        <v>20180104</v>
      </c>
      <c r="C3646" s="109">
        <v>2.2700000000000001E-2</v>
      </c>
      <c r="D3646" s="109">
        <v>7.0000000000000001E-3</v>
      </c>
      <c r="E3646" s="109">
        <v>8.0000000000000002E-3</v>
      </c>
      <c r="F3646" s="109">
        <v>8.9999999999999993E-3</v>
      </c>
      <c r="G3646" s="130">
        <v>0</v>
      </c>
      <c r="H3646" s="71">
        <v>8.6</v>
      </c>
      <c r="I3646" s="71">
        <v>11.1</v>
      </c>
      <c r="J3646" s="71">
        <v>13.6</v>
      </c>
      <c r="K3646" s="121">
        <v>5.7999999999999996E-3</v>
      </c>
      <c r="L3646" s="121">
        <v>-7.0000000000000001E-3</v>
      </c>
      <c r="M3646" s="75" t="s">
        <v>146</v>
      </c>
      <c r="N3646" s="75" t="b">
        <v>1</v>
      </c>
      <c r="O3646" s="75" t="s">
        <v>145</v>
      </c>
      <c r="P3646" s="75">
        <v>2014</v>
      </c>
      <c r="Q3646" s="107">
        <f t="shared" si="108"/>
        <v>2018</v>
      </c>
      <c r="R3646" s="107">
        <v>2</v>
      </c>
      <c r="S3646" s="43">
        <v>218031</v>
      </c>
      <c r="T3646" s="74">
        <v>43164</v>
      </c>
    </row>
    <row r="3647" spans="1:21" x14ac:dyDescent="0.3">
      <c r="A3647" s="42">
        <v>43105</v>
      </c>
      <c r="B3647" s="37">
        <f t="shared" si="107"/>
        <v>20180105</v>
      </c>
      <c r="C3647" s="109">
        <v>2.3099999999999999E-2</v>
      </c>
      <c r="D3647" s="109">
        <v>7.0000000000000001E-3</v>
      </c>
      <c r="E3647" s="109">
        <v>8.0000000000000002E-3</v>
      </c>
      <c r="F3647" s="109">
        <v>8.9999999999999993E-3</v>
      </c>
      <c r="G3647" s="130">
        <v>0</v>
      </c>
      <c r="H3647" s="71">
        <v>8.6</v>
      </c>
      <c r="I3647" s="71">
        <v>11.1</v>
      </c>
      <c r="J3647" s="71">
        <v>13.6</v>
      </c>
      <c r="K3647" s="121">
        <v>5.8999999999999999E-3</v>
      </c>
      <c r="L3647" s="121">
        <v>-7.0000000000000001E-3</v>
      </c>
      <c r="M3647" s="75" t="s">
        <v>146</v>
      </c>
      <c r="N3647" s="75" t="b">
        <v>1</v>
      </c>
      <c r="O3647" s="75" t="s">
        <v>145</v>
      </c>
      <c r="P3647" s="75">
        <v>2014</v>
      </c>
      <c r="Q3647" s="107">
        <f t="shared" si="108"/>
        <v>2018</v>
      </c>
      <c r="R3647" s="107">
        <v>2</v>
      </c>
      <c r="S3647" s="43">
        <v>218031</v>
      </c>
      <c r="T3647" s="74">
        <v>43164</v>
      </c>
    </row>
    <row r="3648" spans="1:21" x14ac:dyDescent="0.3">
      <c r="A3648" s="42">
        <v>43106</v>
      </c>
      <c r="B3648" s="37">
        <f>YEAR(A3648)*10000+MONTH(A3648)*100+DAY(A3648)</f>
        <v>20180106</v>
      </c>
      <c r="C3648" s="109">
        <v>2.3099999999999999E-2</v>
      </c>
      <c r="D3648" s="109">
        <v>7.0000000000000001E-3</v>
      </c>
      <c r="E3648" s="109">
        <v>8.0000000000000002E-3</v>
      </c>
      <c r="F3648" s="109">
        <v>8.9999999999999993E-3</v>
      </c>
      <c r="G3648" s="130">
        <v>0</v>
      </c>
      <c r="H3648" s="71">
        <v>8.6</v>
      </c>
      <c r="I3648" s="71">
        <v>11.1</v>
      </c>
      <c r="J3648" s="71">
        <v>13.6</v>
      </c>
      <c r="K3648" s="121">
        <v>5.8999999999999999E-3</v>
      </c>
      <c r="L3648" s="121">
        <v>-7.0000000000000001E-3</v>
      </c>
      <c r="M3648" s="75" t="s">
        <v>146</v>
      </c>
      <c r="N3648" s="75" t="b">
        <v>1</v>
      </c>
      <c r="O3648" s="75" t="s">
        <v>145</v>
      </c>
      <c r="P3648" s="75">
        <v>2014</v>
      </c>
      <c r="Q3648" s="107">
        <f t="shared" si="108"/>
        <v>2018</v>
      </c>
      <c r="R3648" s="107">
        <v>2</v>
      </c>
      <c r="S3648" s="43">
        <v>218031</v>
      </c>
      <c r="T3648" s="74">
        <v>43164</v>
      </c>
    </row>
    <row r="3649" spans="1:20" x14ac:dyDescent="0.3">
      <c r="A3649" s="42">
        <v>43107</v>
      </c>
      <c r="B3649" s="37">
        <f>YEAR(A3649)*10000+MONTH(A3649)*100+DAY(A3649)</f>
        <v>20180107</v>
      </c>
      <c r="C3649" s="109">
        <v>2.3099999999999999E-2</v>
      </c>
      <c r="D3649" s="109">
        <v>7.0000000000000001E-3</v>
      </c>
      <c r="E3649" s="109">
        <v>8.0000000000000002E-3</v>
      </c>
      <c r="F3649" s="109">
        <v>8.9999999999999993E-3</v>
      </c>
      <c r="G3649" s="130">
        <v>0</v>
      </c>
      <c r="H3649" s="71">
        <v>8.6</v>
      </c>
      <c r="I3649" s="71">
        <v>11.1</v>
      </c>
      <c r="J3649" s="71">
        <v>13.6</v>
      </c>
      <c r="K3649" s="121">
        <v>5.8999999999999999E-3</v>
      </c>
      <c r="L3649" s="121">
        <v>-7.0000000000000001E-3</v>
      </c>
      <c r="M3649" s="75" t="s">
        <v>146</v>
      </c>
      <c r="N3649" s="75" t="b">
        <v>1</v>
      </c>
      <c r="O3649" s="75" t="s">
        <v>145</v>
      </c>
      <c r="P3649" s="75">
        <v>2014</v>
      </c>
      <c r="Q3649" s="107">
        <f t="shared" si="108"/>
        <v>2018</v>
      </c>
      <c r="R3649" s="107">
        <v>2</v>
      </c>
      <c r="S3649" s="43">
        <v>218031</v>
      </c>
      <c r="T3649" s="74">
        <v>43164</v>
      </c>
    </row>
    <row r="3650" spans="1:20" x14ac:dyDescent="0.3">
      <c r="A3650" s="42">
        <v>43108</v>
      </c>
      <c r="B3650" s="37">
        <f t="shared" si="107"/>
        <v>20180108</v>
      </c>
      <c r="C3650" s="109">
        <v>2.3199999999999998E-2</v>
      </c>
      <c r="D3650" s="109">
        <v>7.0000000000000001E-3</v>
      </c>
      <c r="E3650" s="109">
        <v>8.0000000000000002E-3</v>
      </c>
      <c r="F3650" s="109">
        <v>8.9999999999999993E-3</v>
      </c>
      <c r="G3650" s="130">
        <v>0</v>
      </c>
      <c r="H3650" s="71">
        <v>8.6</v>
      </c>
      <c r="I3650" s="71">
        <v>11.1</v>
      </c>
      <c r="J3650" s="71">
        <v>13.6</v>
      </c>
      <c r="K3650" s="121">
        <v>6.0000000000000001E-3</v>
      </c>
      <c r="L3650" s="121">
        <v>-7.0000000000000001E-3</v>
      </c>
      <c r="M3650" s="75" t="s">
        <v>146</v>
      </c>
      <c r="N3650" s="75" t="b">
        <v>1</v>
      </c>
      <c r="O3650" s="75" t="s">
        <v>145</v>
      </c>
      <c r="P3650" s="75">
        <v>2014</v>
      </c>
      <c r="Q3650" s="107">
        <f t="shared" si="108"/>
        <v>2018</v>
      </c>
      <c r="R3650" s="107">
        <v>2</v>
      </c>
      <c r="S3650" s="43">
        <v>218031</v>
      </c>
      <c r="T3650" s="74">
        <v>43164</v>
      </c>
    </row>
    <row r="3651" spans="1:20" x14ac:dyDescent="0.3">
      <c r="A3651" s="42">
        <v>43109</v>
      </c>
      <c r="B3651" s="37">
        <f t="shared" si="107"/>
        <v>20180109</v>
      </c>
      <c r="C3651" s="109">
        <v>2.3599999999999999E-2</v>
      </c>
      <c r="D3651" s="109">
        <v>7.0000000000000001E-3</v>
      </c>
      <c r="E3651" s="109">
        <v>8.0000000000000002E-3</v>
      </c>
      <c r="F3651" s="109">
        <v>8.9999999999999993E-3</v>
      </c>
      <c r="G3651" s="130">
        <v>0</v>
      </c>
      <c r="H3651" s="71">
        <v>8.6</v>
      </c>
      <c r="I3651" s="71">
        <v>11.1</v>
      </c>
      <c r="J3651" s="71">
        <v>13.6</v>
      </c>
      <c r="K3651" s="121">
        <v>6.4000000000000003E-3</v>
      </c>
      <c r="L3651" s="121">
        <v>-7.0000000000000001E-3</v>
      </c>
      <c r="M3651" s="75" t="s">
        <v>146</v>
      </c>
      <c r="N3651" s="75" t="b">
        <v>1</v>
      </c>
      <c r="O3651" s="75" t="s">
        <v>145</v>
      </c>
      <c r="P3651" s="75">
        <v>2014</v>
      </c>
      <c r="Q3651" s="107">
        <f t="shared" si="108"/>
        <v>2018</v>
      </c>
      <c r="R3651" s="107">
        <v>2</v>
      </c>
      <c r="S3651" s="43">
        <v>218031</v>
      </c>
      <c r="T3651" s="74">
        <v>43164</v>
      </c>
    </row>
    <row r="3652" spans="1:20" x14ac:dyDescent="0.3">
      <c r="A3652" s="42">
        <v>43110</v>
      </c>
      <c r="B3652" s="37">
        <f t="shared" si="107"/>
        <v>20180110</v>
      </c>
      <c r="C3652" s="109">
        <v>2.3300000000000001E-2</v>
      </c>
      <c r="D3652" s="109">
        <v>7.0000000000000001E-3</v>
      </c>
      <c r="E3652" s="109">
        <v>8.0000000000000002E-3</v>
      </c>
      <c r="F3652" s="109">
        <v>8.9999999999999993E-3</v>
      </c>
      <c r="G3652" s="130">
        <v>0</v>
      </c>
      <c r="H3652" s="71">
        <v>8.6</v>
      </c>
      <c r="I3652" s="71">
        <v>11.1</v>
      </c>
      <c r="J3652" s="71">
        <v>13.6</v>
      </c>
      <c r="K3652" s="121">
        <v>6.3E-3</v>
      </c>
      <c r="L3652" s="121">
        <v>-7.0000000000000001E-3</v>
      </c>
      <c r="M3652" s="75" t="s">
        <v>146</v>
      </c>
      <c r="N3652" s="75" t="b">
        <v>1</v>
      </c>
      <c r="O3652" s="75" t="s">
        <v>145</v>
      </c>
      <c r="P3652" s="75">
        <v>2014</v>
      </c>
      <c r="Q3652" s="107">
        <f t="shared" si="108"/>
        <v>2018</v>
      </c>
      <c r="R3652" s="107">
        <v>2</v>
      </c>
      <c r="S3652" s="43">
        <v>218031</v>
      </c>
      <c r="T3652" s="74">
        <v>43164</v>
      </c>
    </row>
    <row r="3653" spans="1:20" x14ac:dyDescent="0.3">
      <c r="A3653" s="42">
        <v>43111</v>
      </c>
      <c r="B3653" s="37">
        <f t="shared" si="107"/>
        <v>20180111</v>
      </c>
      <c r="C3653" s="109">
        <v>2.3300000000000001E-2</v>
      </c>
      <c r="D3653" s="109">
        <v>7.0000000000000001E-3</v>
      </c>
      <c r="E3653" s="109">
        <v>8.0000000000000002E-3</v>
      </c>
      <c r="F3653" s="109">
        <v>8.9999999999999993E-3</v>
      </c>
      <c r="G3653" s="130">
        <v>0</v>
      </c>
      <c r="H3653" s="71">
        <v>8.6</v>
      </c>
      <c r="I3653" s="71">
        <v>11.1</v>
      </c>
      <c r="J3653" s="71">
        <v>13.6</v>
      </c>
      <c r="K3653" s="121">
        <v>6.3E-3</v>
      </c>
      <c r="L3653" s="121">
        <v>-7.0000000000000001E-3</v>
      </c>
      <c r="M3653" s="75" t="s">
        <v>146</v>
      </c>
      <c r="N3653" s="75" t="b">
        <v>1</v>
      </c>
      <c r="O3653" s="75" t="s">
        <v>145</v>
      </c>
      <c r="P3653" s="75">
        <v>2014</v>
      </c>
      <c r="Q3653" s="107">
        <f t="shared" si="108"/>
        <v>2018</v>
      </c>
      <c r="R3653" s="107">
        <v>2</v>
      </c>
      <c r="S3653" s="43">
        <v>218031</v>
      </c>
      <c r="T3653" s="74">
        <v>43164</v>
      </c>
    </row>
    <row r="3654" spans="1:20" x14ac:dyDescent="0.3">
      <c r="A3654" s="42">
        <v>43112</v>
      </c>
      <c r="B3654" s="37">
        <f t="shared" si="107"/>
        <v>20180112</v>
      </c>
      <c r="C3654" s="109">
        <v>2.3300000000000001E-2</v>
      </c>
      <c r="D3654" s="109">
        <v>7.0000000000000001E-3</v>
      </c>
      <c r="E3654" s="109">
        <v>8.0000000000000002E-3</v>
      </c>
      <c r="F3654" s="109">
        <v>8.9999999999999993E-3</v>
      </c>
      <c r="G3654" s="130">
        <v>0</v>
      </c>
      <c r="H3654" s="71">
        <v>8.6</v>
      </c>
      <c r="I3654" s="71">
        <v>11.1</v>
      </c>
      <c r="J3654" s="71">
        <v>13.6</v>
      </c>
      <c r="K3654" s="121">
        <v>6.1999999999999998E-3</v>
      </c>
      <c r="L3654" s="121">
        <v>-7.0000000000000001E-3</v>
      </c>
      <c r="M3654" s="75" t="s">
        <v>146</v>
      </c>
      <c r="N3654" s="75" t="b">
        <v>1</v>
      </c>
      <c r="O3654" s="75" t="s">
        <v>145</v>
      </c>
      <c r="P3654" s="75">
        <v>2014</v>
      </c>
      <c r="Q3654" s="107">
        <f t="shared" si="108"/>
        <v>2018</v>
      </c>
      <c r="R3654" s="107">
        <v>2</v>
      </c>
      <c r="S3654" s="43">
        <v>218031</v>
      </c>
      <c r="T3654" s="74">
        <v>43164</v>
      </c>
    </row>
    <row r="3655" spans="1:20" x14ac:dyDescent="0.3">
      <c r="A3655" s="42">
        <v>43113</v>
      </c>
      <c r="B3655" s="37">
        <f>YEAR(A3655)*10000+MONTH(A3655)*100+DAY(A3655)</f>
        <v>20180113</v>
      </c>
      <c r="C3655" s="109">
        <v>2.3300000000000001E-2</v>
      </c>
      <c r="D3655" s="109">
        <v>7.0000000000000001E-3</v>
      </c>
      <c r="E3655" s="109">
        <v>8.0000000000000002E-3</v>
      </c>
      <c r="F3655" s="109">
        <v>8.9999999999999993E-3</v>
      </c>
      <c r="G3655" s="130">
        <v>0</v>
      </c>
      <c r="H3655" s="71">
        <v>8.6</v>
      </c>
      <c r="I3655" s="71">
        <v>11.1</v>
      </c>
      <c r="J3655" s="71">
        <v>13.6</v>
      </c>
      <c r="K3655" s="121">
        <v>6.1999999999999998E-3</v>
      </c>
      <c r="L3655" s="121">
        <v>-7.0000000000000001E-3</v>
      </c>
      <c r="M3655" s="75" t="s">
        <v>146</v>
      </c>
      <c r="N3655" s="75" t="b">
        <v>1</v>
      </c>
      <c r="O3655" s="75" t="s">
        <v>145</v>
      </c>
      <c r="P3655" s="75">
        <v>2014</v>
      </c>
      <c r="Q3655" s="107">
        <f t="shared" si="108"/>
        <v>2018</v>
      </c>
      <c r="R3655" s="107">
        <v>2</v>
      </c>
      <c r="S3655" s="43">
        <v>218031</v>
      </c>
      <c r="T3655" s="74">
        <v>43164</v>
      </c>
    </row>
    <row r="3656" spans="1:20" x14ac:dyDescent="0.3">
      <c r="A3656" s="42">
        <v>43114</v>
      </c>
      <c r="B3656" s="37">
        <f>YEAR(A3656)*10000+MONTH(A3656)*100+DAY(A3656)</f>
        <v>20180114</v>
      </c>
      <c r="C3656" s="109">
        <v>2.3300000000000001E-2</v>
      </c>
      <c r="D3656" s="109">
        <v>7.0000000000000001E-3</v>
      </c>
      <c r="E3656" s="109">
        <v>8.0000000000000002E-3</v>
      </c>
      <c r="F3656" s="109">
        <v>8.9999999999999993E-3</v>
      </c>
      <c r="G3656" s="130">
        <v>0</v>
      </c>
      <c r="H3656" s="71">
        <v>8.6</v>
      </c>
      <c r="I3656" s="71">
        <v>11.1</v>
      </c>
      <c r="J3656" s="71">
        <v>13.6</v>
      </c>
      <c r="K3656" s="121">
        <v>6.1999999999999998E-3</v>
      </c>
      <c r="L3656" s="121">
        <v>-7.0000000000000001E-3</v>
      </c>
      <c r="M3656" s="75" t="s">
        <v>146</v>
      </c>
      <c r="N3656" s="75" t="b">
        <v>1</v>
      </c>
      <c r="O3656" s="75" t="s">
        <v>145</v>
      </c>
      <c r="P3656" s="75">
        <v>2014</v>
      </c>
      <c r="Q3656" s="107">
        <f t="shared" si="108"/>
        <v>2018</v>
      </c>
      <c r="R3656" s="107">
        <v>2</v>
      </c>
      <c r="S3656" s="43">
        <v>218031</v>
      </c>
      <c r="T3656" s="74">
        <v>43164</v>
      </c>
    </row>
    <row r="3657" spans="1:20" x14ac:dyDescent="0.3">
      <c r="A3657" s="42">
        <v>43115</v>
      </c>
      <c r="B3657" s="37">
        <f t="shared" si="107"/>
        <v>20180115</v>
      </c>
      <c r="C3657" s="109">
        <v>2.3300000000000001E-2</v>
      </c>
      <c r="D3657" s="109">
        <v>7.0000000000000001E-3</v>
      </c>
      <c r="E3657" s="109">
        <v>8.0000000000000002E-3</v>
      </c>
      <c r="F3657" s="109">
        <v>8.9999999999999993E-3</v>
      </c>
      <c r="G3657" s="130">
        <v>0</v>
      </c>
      <c r="H3657" s="71">
        <v>8.6</v>
      </c>
      <c r="I3657" s="71">
        <v>11.1</v>
      </c>
      <c r="J3657" s="71">
        <v>13.6</v>
      </c>
      <c r="K3657" s="121">
        <v>6.1999999999999998E-3</v>
      </c>
      <c r="L3657" s="121">
        <v>-7.0000000000000001E-3</v>
      </c>
      <c r="M3657" s="75" t="s">
        <v>146</v>
      </c>
      <c r="N3657" s="75" t="b">
        <v>1</v>
      </c>
      <c r="O3657" s="75" t="s">
        <v>145</v>
      </c>
      <c r="P3657" s="75">
        <v>2014</v>
      </c>
      <c r="Q3657" s="107">
        <f t="shared" si="108"/>
        <v>2018</v>
      </c>
      <c r="R3657" s="107">
        <v>2</v>
      </c>
      <c r="S3657" s="43">
        <v>218031</v>
      </c>
      <c r="T3657" s="74">
        <v>43164</v>
      </c>
    </row>
    <row r="3658" spans="1:20" x14ac:dyDescent="0.3">
      <c r="A3658" s="42">
        <v>43116</v>
      </c>
      <c r="B3658" s="37">
        <f t="shared" si="107"/>
        <v>20180116</v>
      </c>
      <c r="C3658" s="109">
        <v>2.3099999999999999E-2</v>
      </c>
      <c r="D3658" s="109">
        <v>7.0000000000000001E-3</v>
      </c>
      <c r="E3658" s="109">
        <v>8.0000000000000002E-3</v>
      </c>
      <c r="F3658" s="109">
        <v>8.9999999999999993E-3</v>
      </c>
      <c r="G3658" s="130">
        <v>0</v>
      </c>
      <c r="H3658" s="71">
        <v>8.6</v>
      </c>
      <c r="I3658" s="71">
        <v>11.1</v>
      </c>
      <c r="J3658" s="71">
        <v>13.6</v>
      </c>
      <c r="K3658" s="121">
        <v>6.0000000000000001E-3</v>
      </c>
      <c r="L3658" s="121">
        <v>-7.0000000000000001E-3</v>
      </c>
      <c r="M3658" s="75" t="s">
        <v>146</v>
      </c>
      <c r="N3658" s="75" t="b">
        <v>1</v>
      </c>
      <c r="O3658" s="75" t="s">
        <v>145</v>
      </c>
      <c r="P3658" s="75">
        <v>2014</v>
      </c>
      <c r="Q3658" s="107">
        <f t="shared" si="108"/>
        <v>2018</v>
      </c>
      <c r="R3658" s="107">
        <v>2</v>
      </c>
      <c r="S3658" s="43">
        <v>218031</v>
      </c>
      <c r="T3658" s="74">
        <v>43164</v>
      </c>
    </row>
    <row r="3659" spans="1:20" x14ac:dyDescent="0.3">
      <c r="A3659" s="42">
        <v>43117</v>
      </c>
      <c r="B3659" s="37">
        <f t="shared" si="107"/>
        <v>20180117</v>
      </c>
      <c r="C3659" s="109">
        <v>2.3099999999999999E-2</v>
      </c>
      <c r="D3659" s="109">
        <v>7.0000000000000001E-3</v>
      </c>
      <c r="E3659" s="109">
        <v>8.0000000000000002E-3</v>
      </c>
      <c r="F3659" s="109">
        <v>8.9999999999999993E-3</v>
      </c>
      <c r="G3659" s="130">
        <v>0</v>
      </c>
      <c r="H3659" s="71">
        <v>8.6</v>
      </c>
      <c r="I3659" s="71">
        <v>11.1</v>
      </c>
      <c r="J3659" s="71">
        <v>13.6</v>
      </c>
      <c r="K3659" s="121">
        <v>5.8999999999999999E-3</v>
      </c>
      <c r="L3659" s="121">
        <v>-7.0000000000000001E-3</v>
      </c>
      <c r="M3659" s="75" t="s">
        <v>146</v>
      </c>
      <c r="N3659" s="75" t="b">
        <v>1</v>
      </c>
      <c r="O3659" s="75" t="s">
        <v>145</v>
      </c>
      <c r="P3659" s="75">
        <v>2014</v>
      </c>
      <c r="Q3659" s="107">
        <f t="shared" si="108"/>
        <v>2018</v>
      </c>
      <c r="R3659" s="107">
        <v>2</v>
      </c>
      <c r="S3659" s="43">
        <v>218031</v>
      </c>
      <c r="T3659" s="74">
        <v>43164</v>
      </c>
    </row>
    <row r="3660" spans="1:20" x14ac:dyDescent="0.3">
      <c r="A3660" s="42">
        <v>43118</v>
      </c>
      <c r="B3660" s="37">
        <f t="shared" si="107"/>
        <v>20180118</v>
      </c>
      <c r="C3660" s="109">
        <v>2.3199999999999998E-2</v>
      </c>
      <c r="D3660" s="109">
        <v>7.0000000000000001E-3</v>
      </c>
      <c r="E3660" s="109">
        <v>8.0000000000000002E-3</v>
      </c>
      <c r="F3660" s="109">
        <v>8.9999999999999993E-3</v>
      </c>
      <c r="G3660" s="130">
        <v>0</v>
      </c>
      <c r="H3660" s="71">
        <v>8.6</v>
      </c>
      <c r="I3660" s="71">
        <v>11.1</v>
      </c>
      <c r="J3660" s="71">
        <v>13.6</v>
      </c>
      <c r="K3660" s="121">
        <v>5.8999999999999999E-3</v>
      </c>
      <c r="L3660" s="121">
        <v>-7.0000000000000001E-3</v>
      </c>
      <c r="M3660" s="75" t="s">
        <v>146</v>
      </c>
      <c r="N3660" s="75" t="b">
        <v>1</v>
      </c>
      <c r="O3660" s="75" t="s">
        <v>145</v>
      </c>
      <c r="P3660" s="75">
        <v>2014</v>
      </c>
      <c r="Q3660" s="107">
        <f t="shared" si="108"/>
        <v>2018</v>
      </c>
      <c r="R3660" s="107">
        <v>2</v>
      </c>
      <c r="S3660" s="43">
        <v>218031</v>
      </c>
      <c r="T3660" s="74">
        <v>43164</v>
      </c>
    </row>
    <row r="3661" spans="1:20" x14ac:dyDescent="0.3">
      <c r="A3661" s="42">
        <v>43119</v>
      </c>
      <c r="B3661" s="37">
        <f t="shared" si="107"/>
        <v>20180119</v>
      </c>
      <c r="C3661" s="109">
        <v>2.3399999999999997E-2</v>
      </c>
      <c r="D3661" s="109">
        <v>7.0000000000000001E-3</v>
      </c>
      <c r="E3661" s="109">
        <v>8.0000000000000002E-3</v>
      </c>
      <c r="F3661" s="109">
        <v>8.9999999999999993E-3</v>
      </c>
      <c r="G3661" s="130">
        <v>0</v>
      </c>
      <c r="H3661" s="71">
        <v>8.6</v>
      </c>
      <c r="I3661" s="71">
        <v>11.1</v>
      </c>
      <c r="J3661" s="71">
        <v>13.6</v>
      </c>
      <c r="K3661" s="121">
        <v>6.0000000000000001E-3</v>
      </c>
      <c r="L3661" s="121">
        <v>-7.0000000000000001E-3</v>
      </c>
      <c r="M3661" s="75" t="s">
        <v>146</v>
      </c>
      <c r="N3661" s="75" t="b">
        <v>1</v>
      </c>
      <c r="O3661" s="75" t="s">
        <v>145</v>
      </c>
      <c r="P3661" s="75">
        <v>2014</v>
      </c>
      <c r="Q3661" s="107">
        <f t="shared" si="108"/>
        <v>2018</v>
      </c>
      <c r="R3661" s="107">
        <v>2</v>
      </c>
      <c r="S3661" s="43">
        <v>218031</v>
      </c>
      <c r="T3661" s="74">
        <v>43164</v>
      </c>
    </row>
    <row r="3662" spans="1:20" x14ac:dyDescent="0.3">
      <c r="A3662" s="42">
        <v>43120</v>
      </c>
      <c r="B3662" s="37">
        <f>YEAR(A3662)*10000+MONTH(A3662)*100+DAY(A3662)</f>
        <v>20180120</v>
      </c>
      <c r="C3662" s="109">
        <v>2.3399999999999997E-2</v>
      </c>
      <c r="D3662" s="109">
        <v>7.0000000000000001E-3</v>
      </c>
      <c r="E3662" s="109">
        <v>8.0000000000000002E-3</v>
      </c>
      <c r="F3662" s="109">
        <v>8.9999999999999993E-3</v>
      </c>
      <c r="G3662" s="130">
        <v>0</v>
      </c>
      <c r="H3662" s="71">
        <v>8.6</v>
      </c>
      <c r="I3662" s="71">
        <v>11.1</v>
      </c>
      <c r="J3662" s="71">
        <v>13.6</v>
      </c>
      <c r="K3662" s="121">
        <v>6.0000000000000001E-3</v>
      </c>
      <c r="L3662" s="121">
        <v>-7.0000000000000001E-3</v>
      </c>
      <c r="M3662" s="75" t="s">
        <v>146</v>
      </c>
      <c r="N3662" s="75" t="b">
        <v>1</v>
      </c>
      <c r="O3662" s="75" t="s">
        <v>145</v>
      </c>
      <c r="P3662" s="75">
        <v>2014</v>
      </c>
      <c r="Q3662" s="107">
        <f t="shared" si="108"/>
        <v>2018</v>
      </c>
      <c r="R3662" s="107">
        <v>2</v>
      </c>
      <c r="S3662" s="43">
        <v>218031</v>
      </c>
      <c r="T3662" s="74">
        <v>43164</v>
      </c>
    </row>
    <row r="3663" spans="1:20" x14ac:dyDescent="0.3">
      <c r="A3663" s="42">
        <v>43121</v>
      </c>
      <c r="B3663" s="37">
        <f>YEAR(A3663)*10000+MONTH(A3663)*100+DAY(A3663)</f>
        <v>20180121</v>
      </c>
      <c r="C3663" s="109">
        <v>2.3399999999999997E-2</v>
      </c>
      <c r="D3663" s="109">
        <v>7.0000000000000001E-3</v>
      </c>
      <c r="E3663" s="109">
        <v>8.0000000000000002E-3</v>
      </c>
      <c r="F3663" s="109">
        <v>8.9999999999999993E-3</v>
      </c>
      <c r="G3663" s="130">
        <v>0</v>
      </c>
      <c r="H3663" s="71">
        <v>8.6</v>
      </c>
      <c r="I3663" s="71">
        <v>11.1</v>
      </c>
      <c r="J3663" s="71">
        <v>13.6</v>
      </c>
      <c r="K3663" s="121">
        <v>6.0000000000000001E-3</v>
      </c>
      <c r="L3663" s="121">
        <v>-7.0000000000000001E-3</v>
      </c>
      <c r="M3663" s="75" t="s">
        <v>146</v>
      </c>
      <c r="N3663" s="75" t="b">
        <v>1</v>
      </c>
      <c r="O3663" s="75" t="s">
        <v>145</v>
      </c>
      <c r="P3663" s="75">
        <v>2014</v>
      </c>
      <c r="Q3663" s="107">
        <f t="shared" si="108"/>
        <v>2018</v>
      </c>
      <c r="R3663" s="107">
        <v>2</v>
      </c>
      <c r="S3663" s="43">
        <v>218031</v>
      </c>
      <c r="T3663" s="74">
        <v>43164</v>
      </c>
    </row>
    <row r="3664" spans="1:20" x14ac:dyDescent="0.3">
      <c r="A3664" s="42">
        <v>43122</v>
      </c>
      <c r="B3664" s="37">
        <f t="shared" si="107"/>
        <v>20180122</v>
      </c>
      <c r="C3664" s="109">
        <v>2.3399999999999997E-2</v>
      </c>
      <c r="D3664" s="109">
        <v>7.0000000000000001E-3</v>
      </c>
      <c r="E3664" s="109">
        <v>8.0000000000000002E-3</v>
      </c>
      <c r="F3664" s="109">
        <v>8.9999999999999993E-3</v>
      </c>
      <c r="G3664" s="130">
        <v>0</v>
      </c>
      <c r="H3664" s="71">
        <v>8.6</v>
      </c>
      <c r="I3664" s="71">
        <v>11.1</v>
      </c>
      <c r="J3664" s="71">
        <v>13.6</v>
      </c>
      <c r="K3664" s="121">
        <v>6.0000000000000001E-3</v>
      </c>
      <c r="L3664" s="121">
        <v>-7.0000000000000001E-3</v>
      </c>
      <c r="M3664" s="75" t="s">
        <v>146</v>
      </c>
      <c r="N3664" s="75" t="b">
        <v>1</v>
      </c>
      <c r="O3664" s="75" t="s">
        <v>145</v>
      </c>
      <c r="P3664" s="75">
        <v>2014</v>
      </c>
      <c r="Q3664" s="107">
        <f t="shared" si="108"/>
        <v>2018</v>
      </c>
      <c r="R3664" s="107">
        <v>2</v>
      </c>
      <c r="S3664" s="43">
        <v>218031</v>
      </c>
      <c r="T3664" s="74">
        <v>43164</v>
      </c>
    </row>
    <row r="3665" spans="1:20" x14ac:dyDescent="0.3">
      <c r="A3665" s="42">
        <v>43123</v>
      </c>
      <c r="B3665" s="37">
        <f t="shared" si="107"/>
        <v>20180123</v>
      </c>
      <c r="C3665" s="109">
        <v>2.3300000000000001E-2</v>
      </c>
      <c r="D3665" s="109">
        <v>7.0000000000000001E-3</v>
      </c>
      <c r="E3665" s="109">
        <v>8.0000000000000002E-3</v>
      </c>
      <c r="F3665" s="109">
        <v>8.9999999999999993E-3</v>
      </c>
      <c r="G3665" s="130">
        <v>0</v>
      </c>
      <c r="H3665" s="71">
        <v>8.6</v>
      </c>
      <c r="I3665" s="71">
        <v>11.1</v>
      </c>
      <c r="J3665" s="71">
        <v>13.6</v>
      </c>
      <c r="K3665" s="121">
        <v>5.8999999999999999E-3</v>
      </c>
      <c r="L3665" s="121">
        <v>-7.0000000000000001E-3</v>
      </c>
      <c r="M3665" s="75" t="s">
        <v>146</v>
      </c>
      <c r="N3665" s="75" t="b">
        <v>1</v>
      </c>
      <c r="O3665" s="75" t="s">
        <v>145</v>
      </c>
      <c r="P3665" s="75">
        <v>2014</v>
      </c>
      <c r="Q3665" s="107">
        <f t="shared" si="108"/>
        <v>2018</v>
      </c>
      <c r="R3665" s="107">
        <v>2</v>
      </c>
      <c r="S3665" s="43">
        <v>218031</v>
      </c>
      <c r="T3665" s="74">
        <v>43164</v>
      </c>
    </row>
    <row r="3666" spans="1:20" x14ac:dyDescent="0.3">
      <c r="A3666" s="42">
        <v>43124</v>
      </c>
      <c r="B3666" s="37">
        <f t="shared" si="107"/>
        <v>20180124</v>
      </c>
      <c r="C3666" s="109">
        <v>2.35E-2</v>
      </c>
      <c r="D3666" s="109">
        <v>7.0000000000000001E-3</v>
      </c>
      <c r="E3666" s="109">
        <v>8.0000000000000002E-3</v>
      </c>
      <c r="F3666" s="109">
        <v>8.9999999999999993E-3</v>
      </c>
      <c r="G3666" s="130">
        <v>0</v>
      </c>
      <c r="H3666" s="71">
        <v>8.6</v>
      </c>
      <c r="I3666" s="71">
        <v>11.1</v>
      </c>
      <c r="J3666" s="71">
        <v>13.6</v>
      </c>
      <c r="K3666" s="121">
        <v>6.0000000000000001E-3</v>
      </c>
      <c r="L3666" s="121">
        <v>-7.0000000000000001E-3</v>
      </c>
      <c r="M3666" s="75" t="s">
        <v>146</v>
      </c>
      <c r="N3666" s="75" t="b">
        <v>1</v>
      </c>
      <c r="O3666" s="75" t="s">
        <v>145</v>
      </c>
      <c r="P3666" s="75">
        <v>2014</v>
      </c>
      <c r="Q3666" s="107">
        <f t="shared" si="108"/>
        <v>2018</v>
      </c>
      <c r="R3666" s="107">
        <v>2</v>
      </c>
      <c r="S3666" s="43">
        <v>218031</v>
      </c>
      <c r="T3666" s="74">
        <v>43164</v>
      </c>
    </row>
    <row r="3667" spans="1:20" x14ac:dyDescent="0.3">
      <c r="A3667" s="42">
        <v>43125</v>
      </c>
      <c r="B3667" s="37">
        <f t="shared" si="107"/>
        <v>20180125</v>
      </c>
      <c r="C3667" s="109">
        <v>2.3199999999999998E-2</v>
      </c>
      <c r="D3667" s="109">
        <v>7.0000000000000001E-3</v>
      </c>
      <c r="E3667" s="109">
        <v>8.0000000000000002E-3</v>
      </c>
      <c r="F3667" s="109">
        <v>8.9999999999999993E-3</v>
      </c>
      <c r="G3667" s="130">
        <v>0</v>
      </c>
      <c r="H3667" s="71">
        <v>8.6</v>
      </c>
      <c r="I3667" s="71">
        <v>11.1</v>
      </c>
      <c r="J3667" s="71">
        <v>13.6</v>
      </c>
      <c r="K3667" s="121">
        <v>5.7999999999999996E-3</v>
      </c>
      <c r="L3667" s="121">
        <v>-7.0000000000000001E-3</v>
      </c>
      <c r="M3667" s="75" t="s">
        <v>146</v>
      </c>
      <c r="N3667" s="75" t="b">
        <v>1</v>
      </c>
      <c r="O3667" s="75" t="s">
        <v>145</v>
      </c>
      <c r="P3667" s="75">
        <v>2014</v>
      </c>
      <c r="Q3667" s="107">
        <f t="shared" si="108"/>
        <v>2018</v>
      </c>
      <c r="R3667" s="107">
        <v>2</v>
      </c>
      <c r="S3667" s="43">
        <v>218031</v>
      </c>
      <c r="T3667" s="74">
        <v>43164</v>
      </c>
    </row>
    <row r="3668" spans="1:20" x14ac:dyDescent="0.3">
      <c r="A3668" s="42">
        <v>43126</v>
      </c>
      <c r="B3668" s="37">
        <f t="shared" si="107"/>
        <v>20180126</v>
      </c>
      <c r="C3668" s="109">
        <v>2.3199999999999998E-2</v>
      </c>
      <c r="D3668" s="109">
        <v>7.0000000000000001E-3</v>
      </c>
      <c r="E3668" s="109">
        <v>8.0000000000000002E-3</v>
      </c>
      <c r="F3668" s="109">
        <v>8.9999999999999993E-3</v>
      </c>
      <c r="G3668" s="130">
        <v>0</v>
      </c>
      <c r="H3668" s="71">
        <v>8.6</v>
      </c>
      <c r="I3668" s="71">
        <v>11.1</v>
      </c>
      <c r="J3668" s="71">
        <v>13.6</v>
      </c>
      <c r="K3668" s="121">
        <v>5.6999999999999993E-3</v>
      </c>
      <c r="L3668" s="121">
        <v>-7.0000000000000001E-3</v>
      </c>
      <c r="M3668" s="75" t="s">
        <v>146</v>
      </c>
      <c r="N3668" s="75" t="b">
        <v>1</v>
      </c>
      <c r="O3668" s="75" t="s">
        <v>145</v>
      </c>
      <c r="P3668" s="75">
        <v>2014</v>
      </c>
      <c r="Q3668" s="107">
        <f t="shared" si="108"/>
        <v>2018</v>
      </c>
      <c r="R3668" s="107">
        <v>2</v>
      </c>
      <c r="S3668" s="43">
        <v>218031</v>
      </c>
      <c r="T3668" s="74">
        <v>43164</v>
      </c>
    </row>
    <row r="3669" spans="1:20" x14ac:dyDescent="0.3">
      <c r="A3669" s="42">
        <v>43127</v>
      </c>
      <c r="B3669" s="37">
        <f>YEAR(A3669)*10000+MONTH(A3669)*100+DAY(A3669)</f>
        <v>20180127</v>
      </c>
      <c r="C3669" s="109">
        <v>2.3199999999999998E-2</v>
      </c>
      <c r="D3669" s="109">
        <v>7.0000000000000001E-3</v>
      </c>
      <c r="E3669" s="109">
        <v>8.0000000000000002E-3</v>
      </c>
      <c r="F3669" s="109">
        <v>8.9999999999999993E-3</v>
      </c>
      <c r="G3669" s="130">
        <v>0</v>
      </c>
      <c r="H3669" s="71">
        <v>8.6</v>
      </c>
      <c r="I3669" s="71">
        <v>11.1</v>
      </c>
      <c r="J3669" s="71">
        <v>13.6</v>
      </c>
      <c r="K3669" s="121">
        <v>5.6999999999999993E-3</v>
      </c>
      <c r="L3669" s="121">
        <v>-7.0000000000000001E-3</v>
      </c>
      <c r="M3669" s="75" t="s">
        <v>146</v>
      </c>
      <c r="N3669" s="75" t="b">
        <v>1</v>
      </c>
      <c r="O3669" s="75" t="s">
        <v>145</v>
      </c>
      <c r="P3669" s="75">
        <v>2014</v>
      </c>
      <c r="Q3669" s="107">
        <f t="shared" si="108"/>
        <v>2018</v>
      </c>
      <c r="R3669" s="107">
        <v>2</v>
      </c>
      <c r="S3669" s="43">
        <v>218031</v>
      </c>
      <c r="T3669" s="74">
        <v>43164</v>
      </c>
    </row>
    <row r="3670" spans="1:20" x14ac:dyDescent="0.3">
      <c r="A3670" s="42">
        <v>43128</v>
      </c>
      <c r="B3670" s="37">
        <f>YEAR(A3670)*10000+MONTH(A3670)*100+DAY(A3670)</f>
        <v>20180128</v>
      </c>
      <c r="C3670" s="109">
        <v>2.3199999999999998E-2</v>
      </c>
      <c r="D3670" s="109">
        <v>7.0000000000000001E-3</v>
      </c>
      <c r="E3670" s="109">
        <v>8.0000000000000002E-3</v>
      </c>
      <c r="F3670" s="109">
        <v>8.9999999999999993E-3</v>
      </c>
      <c r="G3670" s="130">
        <v>0</v>
      </c>
      <c r="H3670" s="71">
        <v>8.6</v>
      </c>
      <c r="I3670" s="71">
        <v>11.1</v>
      </c>
      <c r="J3670" s="71">
        <v>13.6</v>
      </c>
      <c r="K3670" s="121">
        <v>5.6999999999999993E-3</v>
      </c>
      <c r="L3670" s="121">
        <v>-7.0000000000000001E-3</v>
      </c>
      <c r="M3670" s="75" t="s">
        <v>146</v>
      </c>
      <c r="N3670" s="75" t="b">
        <v>1</v>
      </c>
      <c r="O3670" s="75" t="s">
        <v>145</v>
      </c>
      <c r="P3670" s="75">
        <v>2014</v>
      </c>
      <c r="Q3670" s="107">
        <f t="shared" si="108"/>
        <v>2018</v>
      </c>
      <c r="R3670" s="107">
        <v>2</v>
      </c>
      <c r="S3670" s="43">
        <v>218031</v>
      </c>
      <c r="T3670" s="74">
        <v>43164</v>
      </c>
    </row>
    <row r="3671" spans="1:20" x14ac:dyDescent="0.3">
      <c r="A3671" s="42">
        <v>43129</v>
      </c>
      <c r="B3671" s="37">
        <f t="shared" si="107"/>
        <v>20180129</v>
      </c>
      <c r="C3671" s="109">
        <v>2.3300000000000001E-2</v>
      </c>
      <c r="D3671" s="109">
        <v>7.0000000000000001E-3</v>
      </c>
      <c r="E3671" s="109">
        <v>8.0000000000000002E-3</v>
      </c>
      <c r="F3671" s="109">
        <v>8.9999999999999993E-3</v>
      </c>
      <c r="G3671" s="130">
        <v>0</v>
      </c>
      <c r="H3671" s="71">
        <v>8.6</v>
      </c>
      <c r="I3671" s="71">
        <v>11.1</v>
      </c>
      <c r="J3671" s="71">
        <v>13.6</v>
      </c>
      <c r="K3671" s="121">
        <v>5.6999999999999993E-3</v>
      </c>
      <c r="L3671" s="121">
        <v>-7.0000000000000001E-3</v>
      </c>
      <c r="M3671" s="75" t="s">
        <v>146</v>
      </c>
      <c r="N3671" s="75" t="b">
        <v>1</v>
      </c>
      <c r="O3671" s="75" t="s">
        <v>145</v>
      </c>
      <c r="P3671" s="75">
        <v>2014</v>
      </c>
      <c r="Q3671" s="107">
        <f t="shared" si="108"/>
        <v>2018</v>
      </c>
      <c r="R3671" s="107">
        <v>2</v>
      </c>
      <c r="S3671" s="43">
        <v>218031</v>
      </c>
      <c r="T3671" s="74">
        <v>43164</v>
      </c>
    </row>
    <row r="3672" spans="1:20" x14ac:dyDescent="0.3">
      <c r="A3672" s="42">
        <v>43130</v>
      </c>
      <c r="B3672" s="37">
        <f t="shared" si="107"/>
        <v>20180130</v>
      </c>
      <c r="C3672" s="109">
        <v>2.3599999999999999E-2</v>
      </c>
      <c r="D3672" s="109">
        <v>7.0000000000000001E-3</v>
      </c>
      <c r="E3672" s="109">
        <v>8.0000000000000002E-3</v>
      </c>
      <c r="F3672" s="109">
        <v>8.9999999999999993E-3</v>
      </c>
      <c r="G3672" s="130">
        <v>0</v>
      </c>
      <c r="H3672" s="71">
        <v>8.6</v>
      </c>
      <c r="I3672" s="71">
        <v>11.1</v>
      </c>
      <c r="J3672" s="71">
        <v>13.6</v>
      </c>
      <c r="K3672" s="121">
        <v>6.0000000000000001E-3</v>
      </c>
      <c r="L3672" s="121">
        <v>-7.0000000000000001E-3</v>
      </c>
      <c r="M3672" s="75" t="s">
        <v>146</v>
      </c>
      <c r="N3672" s="75" t="b">
        <v>1</v>
      </c>
      <c r="O3672" s="75" t="s">
        <v>145</v>
      </c>
      <c r="P3672" s="75">
        <v>2014</v>
      </c>
      <c r="Q3672" s="107">
        <f t="shared" si="108"/>
        <v>2018</v>
      </c>
      <c r="R3672" s="107">
        <v>2</v>
      </c>
      <c r="S3672" s="43">
        <v>218031</v>
      </c>
      <c r="T3672" s="74">
        <v>43164</v>
      </c>
    </row>
    <row r="3673" spans="1:20" x14ac:dyDescent="0.3">
      <c r="A3673" s="42">
        <v>43131</v>
      </c>
      <c r="B3673" s="37">
        <f t="shared" si="107"/>
        <v>20180131</v>
      </c>
      <c r="C3673" s="109">
        <v>2.35E-2</v>
      </c>
      <c r="D3673" s="109">
        <v>7.0000000000000001E-3</v>
      </c>
      <c r="E3673" s="109">
        <v>8.0000000000000002E-3</v>
      </c>
      <c r="F3673" s="109">
        <v>8.9999999999999993E-3</v>
      </c>
      <c r="G3673" s="130">
        <v>0</v>
      </c>
      <c r="H3673" s="71">
        <v>8.6</v>
      </c>
      <c r="I3673" s="71">
        <v>11.1</v>
      </c>
      <c r="J3673" s="71">
        <v>13.6</v>
      </c>
      <c r="K3673" s="121">
        <v>6.0000000000000001E-3</v>
      </c>
      <c r="L3673" s="121">
        <v>-7.0000000000000001E-3</v>
      </c>
      <c r="M3673" s="75" t="s">
        <v>146</v>
      </c>
      <c r="N3673" s="75" t="b">
        <v>1</v>
      </c>
      <c r="O3673" s="75" t="s">
        <v>145</v>
      </c>
      <c r="P3673" s="75">
        <v>2014</v>
      </c>
      <c r="Q3673" s="107">
        <f t="shared" si="108"/>
        <v>2018</v>
      </c>
      <c r="R3673" s="107">
        <v>2</v>
      </c>
      <c r="S3673" s="43">
        <v>218031</v>
      </c>
      <c r="T3673" s="74">
        <v>43164</v>
      </c>
    </row>
    <row r="3674" spans="1:20" x14ac:dyDescent="0.3">
      <c r="A3674" s="42">
        <v>43132</v>
      </c>
      <c r="B3674" s="37">
        <f t="shared" si="107"/>
        <v>20180201</v>
      </c>
      <c r="C3674" s="109">
        <v>2.4199999999999999E-2</v>
      </c>
      <c r="D3674" s="109">
        <v>7.0000000000000001E-3</v>
      </c>
      <c r="E3674" s="109">
        <v>8.0000000000000002E-3</v>
      </c>
      <c r="F3674" s="109">
        <v>8.9999999999999993E-3</v>
      </c>
      <c r="G3674" s="130">
        <v>0</v>
      </c>
      <c r="H3674" s="71">
        <v>8.6</v>
      </c>
      <c r="I3674" s="71">
        <v>11.1</v>
      </c>
      <c r="J3674" s="71">
        <v>13.6</v>
      </c>
      <c r="K3674" s="121">
        <v>6.4000000000000003E-3</v>
      </c>
      <c r="L3674" s="121">
        <v>-7.0000000000000001E-3</v>
      </c>
      <c r="M3674" s="75" t="s">
        <v>146</v>
      </c>
      <c r="N3674" s="75" t="b">
        <v>1</v>
      </c>
      <c r="O3674" s="75" t="s">
        <v>145</v>
      </c>
      <c r="P3674" s="75">
        <v>2014</v>
      </c>
      <c r="Q3674" s="107">
        <f t="shared" si="108"/>
        <v>2018</v>
      </c>
      <c r="R3674" s="107">
        <v>2</v>
      </c>
      <c r="S3674" s="43">
        <v>218031</v>
      </c>
      <c r="T3674" s="74">
        <v>43164</v>
      </c>
    </row>
    <row r="3675" spans="1:20" x14ac:dyDescent="0.3">
      <c r="A3675" s="42">
        <v>43133</v>
      </c>
      <c r="B3675" s="37">
        <f t="shared" si="107"/>
        <v>20180202</v>
      </c>
      <c r="C3675" s="109">
        <v>2.4300000000000002E-2</v>
      </c>
      <c r="D3675" s="109">
        <v>7.0000000000000001E-3</v>
      </c>
      <c r="E3675" s="109">
        <v>8.0000000000000002E-3</v>
      </c>
      <c r="F3675" s="109">
        <v>8.9999999999999993E-3</v>
      </c>
      <c r="G3675" s="130">
        <v>0</v>
      </c>
      <c r="H3675" s="71">
        <v>8.6</v>
      </c>
      <c r="I3675" s="71">
        <v>11.1</v>
      </c>
      <c r="J3675" s="71">
        <v>13.6</v>
      </c>
      <c r="K3675" s="121">
        <v>6.6E-3</v>
      </c>
      <c r="L3675" s="121">
        <v>-7.0000000000000001E-3</v>
      </c>
      <c r="M3675" s="75" t="s">
        <v>146</v>
      </c>
      <c r="N3675" s="75" t="b">
        <v>1</v>
      </c>
      <c r="O3675" s="75" t="s">
        <v>145</v>
      </c>
      <c r="P3675" s="75">
        <v>2014</v>
      </c>
      <c r="Q3675" s="107">
        <f t="shared" si="108"/>
        <v>2018</v>
      </c>
      <c r="R3675" s="107">
        <v>2</v>
      </c>
      <c r="S3675" s="43">
        <v>218031</v>
      </c>
      <c r="T3675" s="74">
        <v>43164</v>
      </c>
    </row>
    <row r="3676" spans="1:20" x14ac:dyDescent="0.3">
      <c r="A3676" s="42">
        <v>43134</v>
      </c>
      <c r="B3676" s="37">
        <f>YEAR(A3676)*10000+MONTH(A3676)*100+DAY(A3676)</f>
        <v>20180203</v>
      </c>
      <c r="C3676" s="109">
        <v>2.4300000000000002E-2</v>
      </c>
      <c r="D3676" s="109">
        <v>7.0000000000000001E-3</v>
      </c>
      <c r="E3676" s="109">
        <v>8.0000000000000002E-3</v>
      </c>
      <c r="F3676" s="109">
        <v>8.9999999999999993E-3</v>
      </c>
      <c r="G3676" s="130">
        <v>0</v>
      </c>
      <c r="H3676" s="71">
        <v>8.6</v>
      </c>
      <c r="I3676" s="71">
        <v>11.1</v>
      </c>
      <c r="J3676" s="71">
        <v>13.6</v>
      </c>
      <c r="K3676" s="121">
        <v>6.6E-3</v>
      </c>
      <c r="L3676" s="121">
        <v>-7.0000000000000001E-3</v>
      </c>
      <c r="M3676" s="75" t="s">
        <v>146</v>
      </c>
      <c r="N3676" s="75" t="b">
        <v>1</v>
      </c>
      <c r="O3676" s="75" t="s">
        <v>145</v>
      </c>
      <c r="P3676" s="75">
        <v>2014</v>
      </c>
      <c r="Q3676" s="107">
        <f t="shared" si="108"/>
        <v>2018</v>
      </c>
      <c r="R3676" s="107">
        <v>2</v>
      </c>
      <c r="S3676" s="43">
        <v>218031</v>
      </c>
      <c r="T3676" s="74">
        <v>43164</v>
      </c>
    </row>
    <row r="3677" spans="1:20" x14ac:dyDescent="0.3">
      <c r="A3677" s="42">
        <v>43135</v>
      </c>
      <c r="B3677" s="37">
        <f>YEAR(A3677)*10000+MONTH(A3677)*100+DAY(A3677)</f>
        <v>20180204</v>
      </c>
      <c r="C3677" s="109">
        <v>2.4300000000000002E-2</v>
      </c>
      <c r="D3677" s="109">
        <v>7.0000000000000001E-3</v>
      </c>
      <c r="E3677" s="109">
        <v>8.0000000000000002E-3</v>
      </c>
      <c r="F3677" s="109">
        <v>8.9999999999999993E-3</v>
      </c>
      <c r="G3677" s="130">
        <v>0</v>
      </c>
      <c r="H3677" s="71">
        <v>8.6</v>
      </c>
      <c r="I3677" s="71">
        <v>11.1</v>
      </c>
      <c r="J3677" s="71">
        <v>13.6</v>
      </c>
      <c r="K3677" s="121">
        <v>6.6E-3</v>
      </c>
      <c r="L3677" s="121">
        <v>-7.0000000000000001E-3</v>
      </c>
      <c r="M3677" s="75" t="s">
        <v>146</v>
      </c>
      <c r="N3677" s="75" t="b">
        <v>1</v>
      </c>
      <c r="O3677" s="75" t="s">
        <v>145</v>
      </c>
      <c r="P3677" s="75">
        <v>2014</v>
      </c>
      <c r="Q3677" s="107">
        <f t="shared" si="108"/>
        <v>2018</v>
      </c>
      <c r="R3677" s="107">
        <v>2</v>
      </c>
      <c r="S3677" s="43">
        <v>218031</v>
      </c>
      <c r="T3677" s="74">
        <v>43164</v>
      </c>
    </row>
    <row r="3678" spans="1:20" x14ac:dyDescent="0.3">
      <c r="A3678" s="42">
        <v>43136</v>
      </c>
      <c r="B3678" s="37">
        <f t="shared" si="107"/>
        <v>20180205</v>
      </c>
      <c r="C3678" s="109">
        <v>2.41E-2</v>
      </c>
      <c r="D3678" s="109">
        <v>7.0000000000000001E-3</v>
      </c>
      <c r="E3678" s="109">
        <v>8.0000000000000002E-3</v>
      </c>
      <c r="F3678" s="109">
        <v>8.9999999999999993E-3</v>
      </c>
      <c r="G3678" s="130">
        <v>0</v>
      </c>
      <c r="H3678" s="71">
        <v>8.6</v>
      </c>
      <c r="I3678" s="71">
        <v>11.1</v>
      </c>
      <c r="J3678" s="71">
        <v>13.6</v>
      </c>
      <c r="K3678" s="121">
        <v>6.7000000000000002E-3</v>
      </c>
      <c r="L3678" s="121">
        <v>-7.0000000000000001E-3</v>
      </c>
      <c r="M3678" s="75" t="s">
        <v>146</v>
      </c>
      <c r="N3678" s="75" t="b">
        <v>1</v>
      </c>
      <c r="O3678" s="75" t="s">
        <v>145</v>
      </c>
      <c r="P3678" s="75">
        <v>2014</v>
      </c>
      <c r="Q3678" s="107">
        <f t="shared" si="108"/>
        <v>2018</v>
      </c>
      <c r="R3678" s="107">
        <v>2</v>
      </c>
      <c r="S3678" s="43">
        <v>218031</v>
      </c>
      <c r="T3678" s="74">
        <v>43164</v>
      </c>
    </row>
    <row r="3679" spans="1:20" x14ac:dyDescent="0.3">
      <c r="A3679" s="42">
        <v>43137</v>
      </c>
      <c r="B3679" s="37">
        <f t="shared" si="107"/>
        <v>20180206</v>
      </c>
      <c r="C3679" s="109">
        <v>2.4399999999999998E-2</v>
      </c>
      <c r="D3679" s="109">
        <v>7.0000000000000001E-3</v>
      </c>
      <c r="E3679" s="109">
        <v>8.0000000000000002E-3</v>
      </c>
      <c r="F3679" s="109">
        <v>8.9999999999999993E-3</v>
      </c>
      <c r="G3679" s="130">
        <v>0</v>
      </c>
      <c r="H3679" s="71">
        <v>8.6</v>
      </c>
      <c r="I3679" s="71">
        <v>11.1</v>
      </c>
      <c r="J3679" s="71">
        <v>13.6</v>
      </c>
      <c r="K3679" s="121">
        <v>6.9999999999999993E-3</v>
      </c>
      <c r="L3679" s="121">
        <v>-7.0000000000000001E-3</v>
      </c>
      <c r="M3679" s="75" t="s">
        <v>146</v>
      </c>
      <c r="N3679" s="75" t="b">
        <v>1</v>
      </c>
      <c r="O3679" s="75" t="s">
        <v>145</v>
      </c>
      <c r="P3679" s="75">
        <v>2014</v>
      </c>
      <c r="Q3679" s="107">
        <f t="shared" si="108"/>
        <v>2018</v>
      </c>
      <c r="R3679" s="107">
        <v>2</v>
      </c>
      <c r="S3679" s="43">
        <v>218031</v>
      </c>
      <c r="T3679" s="74">
        <v>43164</v>
      </c>
    </row>
    <row r="3680" spans="1:20" x14ac:dyDescent="0.3">
      <c r="A3680" s="42">
        <v>43138</v>
      </c>
      <c r="B3680" s="37">
        <f t="shared" si="107"/>
        <v>20180207</v>
      </c>
      <c r="C3680" s="109">
        <v>2.46E-2</v>
      </c>
      <c r="D3680" s="109">
        <v>7.0000000000000001E-3</v>
      </c>
      <c r="E3680" s="109">
        <v>8.0000000000000002E-3</v>
      </c>
      <c r="F3680" s="109">
        <v>8.9999999999999993E-3</v>
      </c>
      <c r="G3680" s="130">
        <v>0</v>
      </c>
      <c r="H3680" s="71">
        <v>8.6</v>
      </c>
      <c r="I3680" s="71">
        <v>11.1</v>
      </c>
      <c r="J3680" s="71">
        <v>13.6</v>
      </c>
      <c r="K3680" s="121">
        <v>7.1999999999999998E-3</v>
      </c>
      <c r="L3680" s="121">
        <v>-7.0000000000000001E-3</v>
      </c>
      <c r="M3680" s="75" t="s">
        <v>146</v>
      </c>
      <c r="N3680" s="75" t="b">
        <v>1</v>
      </c>
      <c r="O3680" s="75" t="s">
        <v>145</v>
      </c>
      <c r="P3680" s="75">
        <v>2014</v>
      </c>
      <c r="Q3680" s="107">
        <f t="shared" si="108"/>
        <v>2018</v>
      </c>
      <c r="R3680" s="107">
        <v>2</v>
      </c>
      <c r="S3680" s="43">
        <v>218031</v>
      </c>
      <c r="T3680" s="74">
        <v>43164</v>
      </c>
    </row>
    <row r="3681" spans="1:20" x14ac:dyDescent="0.3">
      <c r="A3681" s="42">
        <v>43139</v>
      </c>
      <c r="B3681" s="37">
        <f t="shared" si="107"/>
        <v>20180208</v>
      </c>
      <c r="C3681" s="109">
        <v>2.4700000000000003E-2</v>
      </c>
      <c r="D3681" s="109">
        <v>7.0000000000000001E-3</v>
      </c>
      <c r="E3681" s="109">
        <v>8.0000000000000002E-3</v>
      </c>
      <c r="F3681" s="109">
        <v>8.9999999999999993E-3</v>
      </c>
      <c r="G3681" s="130">
        <v>0</v>
      </c>
      <c r="H3681" s="71">
        <v>8.6</v>
      </c>
      <c r="I3681" s="71">
        <v>11.1</v>
      </c>
      <c r="J3681" s="71">
        <v>13.6</v>
      </c>
      <c r="K3681" s="121">
        <v>7.4000000000000003E-3</v>
      </c>
      <c r="L3681" s="121">
        <v>-7.0000000000000001E-3</v>
      </c>
      <c r="M3681" s="75" t="s">
        <v>146</v>
      </c>
      <c r="N3681" s="75" t="b">
        <v>1</v>
      </c>
      <c r="O3681" s="75" t="s">
        <v>145</v>
      </c>
      <c r="P3681" s="75">
        <v>2014</v>
      </c>
      <c r="Q3681" s="107">
        <f t="shared" si="108"/>
        <v>2018</v>
      </c>
      <c r="R3681" s="107">
        <v>2</v>
      </c>
      <c r="S3681" s="43">
        <v>218031</v>
      </c>
      <c r="T3681" s="74">
        <v>43164</v>
      </c>
    </row>
    <row r="3682" spans="1:20" x14ac:dyDescent="0.3">
      <c r="A3682" s="42">
        <v>43140</v>
      </c>
      <c r="B3682" s="37">
        <f t="shared" si="107"/>
        <v>20180209</v>
      </c>
      <c r="C3682" s="109">
        <v>2.4799999999999999E-2</v>
      </c>
      <c r="D3682" s="109">
        <v>7.0000000000000001E-3</v>
      </c>
      <c r="E3682" s="109">
        <v>8.0000000000000002E-3</v>
      </c>
      <c r="F3682" s="109">
        <v>8.9999999999999993E-3</v>
      </c>
      <c r="G3682" s="130">
        <v>0</v>
      </c>
      <c r="H3682" s="71">
        <v>8.6</v>
      </c>
      <c r="I3682" s="71">
        <v>11.1</v>
      </c>
      <c r="J3682" s="71">
        <v>13.6</v>
      </c>
      <c r="K3682" s="121">
        <v>7.4999999999999997E-3</v>
      </c>
      <c r="L3682" s="121">
        <v>-7.0000000000000001E-3</v>
      </c>
      <c r="M3682" s="75" t="s">
        <v>146</v>
      </c>
      <c r="N3682" s="75" t="b">
        <v>1</v>
      </c>
      <c r="O3682" s="75" t="s">
        <v>145</v>
      </c>
      <c r="P3682" s="75">
        <v>2014</v>
      </c>
      <c r="Q3682" s="107">
        <f t="shared" si="108"/>
        <v>2018</v>
      </c>
      <c r="R3682" s="107">
        <v>2</v>
      </c>
      <c r="S3682" s="43">
        <v>218031</v>
      </c>
      <c r="T3682" s="74">
        <v>43164</v>
      </c>
    </row>
    <row r="3683" spans="1:20" x14ac:dyDescent="0.3">
      <c r="A3683" s="42">
        <v>43141</v>
      </c>
      <c r="B3683" s="37">
        <f>YEAR(A3683)*10000+MONTH(A3683)*100+DAY(A3683)</f>
        <v>20180210</v>
      </c>
      <c r="C3683" s="109">
        <v>2.4799999999999999E-2</v>
      </c>
      <c r="D3683" s="109">
        <v>7.0000000000000001E-3</v>
      </c>
      <c r="E3683" s="109">
        <v>8.0000000000000002E-3</v>
      </c>
      <c r="F3683" s="109">
        <v>8.9999999999999993E-3</v>
      </c>
      <c r="G3683" s="130">
        <v>0</v>
      </c>
      <c r="H3683" s="71">
        <v>8.6</v>
      </c>
      <c r="I3683" s="71">
        <v>11.1</v>
      </c>
      <c r="J3683" s="71">
        <v>13.6</v>
      </c>
      <c r="K3683" s="121">
        <v>7.4999999999999997E-3</v>
      </c>
      <c r="L3683" s="121">
        <v>-7.0000000000000001E-3</v>
      </c>
      <c r="M3683" s="75" t="s">
        <v>146</v>
      </c>
      <c r="N3683" s="75" t="b">
        <v>1</v>
      </c>
      <c r="O3683" s="75" t="s">
        <v>145</v>
      </c>
      <c r="P3683" s="75">
        <v>2014</v>
      </c>
      <c r="Q3683" s="107">
        <f t="shared" si="108"/>
        <v>2018</v>
      </c>
      <c r="R3683" s="107">
        <v>2</v>
      </c>
      <c r="S3683" s="43">
        <v>218031</v>
      </c>
      <c r="T3683" s="74">
        <v>43164</v>
      </c>
    </row>
    <row r="3684" spans="1:20" x14ac:dyDescent="0.3">
      <c r="A3684" s="42">
        <v>43142</v>
      </c>
      <c r="B3684" s="37">
        <f>YEAR(A3684)*10000+MONTH(A3684)*100+DAY(A3684)</f>
        <v>20180211</v>
      </c>
      <c r="C3684" s="109">
        <v>2.4799999999999999E-2</v>
      </c>
      <c r="D3684" s="109">
        <v>7.0000000000000001E-3</v>
      </c>
      <c r="E3684" s="109">
        <v>8.0000000000000002E-3</v>
      </c>
      <c r="F3684" s="109">
        <v>8.9999999999999993E-3</v>
      </c>
      <c r="G3684" s="130">
        <v>0</v>
      </c>
      <c r="H3684" s="71">
        <v>8.6</v>
      </c>
      <c r="I3684" s="71">
        <v>11.1</v>
      </c>
      <c r="J3684" s="71">
        <v>13.6</v>
      </c>
      <c r="K3684" s="121">
        <v>7.4999999999999997E-3</v>
      </c>
      <c r="L3684" s="121">
        <v>-7.0000000000000001E-3</v>
      </c>
      <c r="M3684" s="75" t="s">
        <v>146</v>
      </c>
      <c r="N3684" s="75" t="b">
        <v>1</v>
      </c>
      <c r="O3684" s="75" t="s">
        <v>145</v>
      </c>
      <c r="P3684" s="75">
        <v>2014</v>
      </c>
      <c r="Q3684" s="107">
        <f t="shared" si="108"/>
        <v>2018</v>
      </c>
      <c r="R3684" s="107">
        <v>2</v>
      </c>
      <c r="S3684" s="43">
        <v>218031</v>
      </c>
      <c r="T3684" s="74">
        <v>43164</v>
      </c>
    </row>
    <row r="3685" spans="1:20" x14ac:dyDescent="0.3">
      <c r="A3685" s="42">
        <v>43143</v>
      </c>
      <c r="B3685" s="37">
        <f t="shared" si="107"/>
        <v>20180212</v>
      </c>
      <c r="C3685" s="109">
        <v>2.46E-2</v>
      </c>
      <c r="D3685" s="109">
        <v>7.0000000000000001E-3</v>
      </c>
      <c r="E3685" s="109">
        <v>8.0000000000000002E-3</v>
      </c>
      <c r="F3685" s="109">
        <v>8.9999999999999993E-3</v>
      </c>
      <c r="G3685" s="130">
        <v>0</v>
      </c>
      <c r="H3685" s="71">
        <v>8.6</v>
      </c>
      <c r="I3685" s="71">
        <v>11.1</v>
      </c>
      <c r="J3685" s="71">
        <v>13.6</v>
      </c>
      <c r="K3685" s="121">
        <v>7.3000000000000001E-3</v>
      </c>
      <c r="L3685" s="121">
        <v>-7.0000000000000001E-3</v>
      </c>
      <c r="M3685" s="75" t="s">
        <v>146</v>
      </c>
      <c r="N3685" s="75" t="b">
        <v>1</v>
      </c>
      <c r="O3685" s="75" t="s">
        <v>145</v>
      </c>
      <c r="P3685" s="75">
        <v>2014</v>
      </c>
      <c r="Q3685" s="107">
        <f t="shared" si="108"/>
        <v>2018</v>
      </c>
      <c r="R3685" s="107">
        <v>2</v>
      </c>
      <c r="S3685" s="43">
        <v>218031</v>
      </c>
      <c r="T3685" s="74">
        <v>43164</v>
      </c>
    </row>
    <row r="3686" spans="1:20" x14ac:dyDescent="0.3">
      <c r="A3686" s="42">
        <v>43144</v>
      </c>
      <c r="B3686" s="37">
        <f t="shared" si="107"/>
        <v>20180213</v>
      </c>
      <c r="C3686" s="109">
        <v>2.4500000000000001E-2</v>
      </c>
      <c r="D3686" s="109">
        <v>7.0000000000000001E-3</v>
      </c>
      <c r="E3686" s="109">
        <v>8.0000000000000002E-3</v>
      </c>
      <c r="F3686" s="109">
        <v>8.9999999999999993E-3</v>
      </c>
      <c r="G3686" s="130">
        <v>0</v>
      </c>
      <c r="H3686" s="71">
        <v>8.6</v>
      </c>
      <c r="I3686" s="71">
        <v>11.1</v>
      </c>
      <c r="J3686" s="71">
        <v>13.6</v>
      </c>
      <c r="K3686" s="121">
        <v>7.3000000000000001E-3</v>
      </c>
      <c r="L3686" s="121">
        <v>-7.0000000000000001E-3</v>
      </c>
      <c r="M3686" s="75" t="s">
        <v>146</v>
      </c>
      <c r="N3686" s="75" t="b">
        <v>1</v>
      </c>
      <c r="O3686" s="75" t="s">
        <v>145</v>
      </c>
      <c r="P3686" s="75">
        <v>2014</v>
      </c>
      <c r="Q3686" s="107">
        <f t="shared" si="108"/>
        <v>2018</v>
      </c>
      <c r="R3686" s="107">
        <v>2</v>
      </c>
      <c r="S3686" s="43">
        <v>218031</v>
      </c>
      <c r="T3686" s="74">
        <v>43164</v>
      </c>
    </row>
    <row r="3687" spans="1:20" x14ac:dyDescent="0.3">
      <c r="A3687" s="42">
        <v>43145</v>
      </c>
      <c r="B3687" s="37">
        <f t="shared" si="107"/>
        <v>20180214</v>
      </c>
      <c r="C3687" s="109">
        <v>2.4900000000000002E-2</v>
      </c>
      <c r="D3687" s="109">
        <v>7.0000000000000001E-3</v>
      </c>
      <c r="E3687" s="109">
        <v>8.0000000000000002E-3</v>
      </c>
      <c r="F3687" s="109">
        <v>8.9999999999999993E-3</v>
      </c>
      <c r="G3687" s="130">
        <v>0</v>
      </c>
      <c r="H3687" s="71">
        <v>8.6</v>
      </c>
      <c r="I3687" s="71">
        <v>11.1</v>
      </c>
      <c r="J3687" s="71">
        <v>13.6</v>
      </c>
      <c r="K3687" s="121">
        <v>7.4000000000000003E-3</v>
      </c>
      <c r="L3687" s="121">
        <v>-7.0000000000000001E-3</v>
      </c>
      <c r="M3687" s="75" t="s">
        <v>146</v>
      </c>
      <c r="N3687" s="75" t="b">
        <v>1</v>
      </c>
      <c r="O3687" s="75" t="s">
        <v>145</v>
      </c>
      <c r="P3687" s="75">
        <v>2014</v>
      </c>
      <c r="Q3687" s="107">
        <f t="shared" si="108"/>
        <v>2018</v>
      </c>
      <c r="R3687" s="107">
        <v>2</v>
      </c>
      <c r="S3687" s="43">
        <v>218031</v>
      </c>
      <c r="T3687" s="74">
        <v>43164</v>
      </c>
    </row>
    <row r="3688" spans="1:20" x14ac:dyDescent="0.3">
      <c r="A3688" s="42">
        <v>43146</v>
      </c>
      <c r="B3688" s="37">
        <f t="shared" si="107"/>
        <v>20180215</v>
      </c>
      <c r="C3688" s="109">
        <v>2.4799999999999999E-2</v>
      </c>
      <c r="D3688" s="109">
        <v>7.0000000000000001E-3</v>
      </c>
      <c r="E3688" s="109">
        <v>8.0000000000000002E-3</v>
      </c>
      <c r="F3688" s="109">
        <v>8.9999999999999993E-3</v>
      </c>
      <c r="G3688" s="130">
        <v>0</v>
      </c>
      <c r="H3688" s="71">
        <v>8.6</v>
      </c>
      <c r="I3688" s="71">
        <v>11.1</v>
      </c>
      <c r="J3688" s="71">
        <v>13.6</v>
      </c>
      <c r="K3688" s="121">
        <v>7.3000000000000001E-3</v>
      </c>
      <c r="L3688" s="121">
        <v>-7.0000000000000001E-3</v>
      </c>
      <c r="M3688" s="75" t="s">
        <v>146</v>
      </c>
      <c r="N3688" s="75" t="b">
        <v>1</v>
      </c>
      <c r="O3688" s="75" t="s">
        <v>145</v>
      </c>
      <c r="P3688" s="75">
        <v>2014</v>
      </c>
      <c r="Q3688" s="107">
        <f t="shared" si="108"/>
        <v>2018</v>
      </c>
      <c r="R3688" s="107">
        <v>2</v>
      </c>
      <c r="S3688" s="43">
        <v>218031</v>
      </c>
      <c r="T3688" s="74">
        <v>43164</v>
      </c>
    </row>
    <row r="3689" spans="1:20" x14ac:dyDescent="0.3">
      <c r="A3689" s="42">
        <v>43147</v>
      </c>
      <c r="B3689" s="37">
        <f t="shared" si="107"/>
        <v>20180216</v>
      </c>
      <c r="C3689" s="109">
        <v>2.4399999999999998E-2</v>
      </c>
      <c r="D3689" s="109">
        <v>7.0000000000000001E-3</v>
      </c>
      <c r="E3689" s="109">
        <v>8.0000000000000002E-3</v>
      </c>
      <c r="F3689" s="109">
        <v>8.9999999999999993E-3</v>
      </c>
      <c r="G3689" s="130">
        <v>0</v>
      </c>
      <c r="H3689" s="71">
        <v>8.6</v>
      </c>
      <c r="I3689" s="71">
        <v>11.1</v>
      </c>
      <c r="J3689" s="71">
        <v>13.6</v>
      </c>
      <c r="K3689" s="121">
        <v>6.8999999999999999E-3</v>
      </c>
      <c r="L3689" s="121">
        <v>-7.0000000000000001E-3</v>
      </c>
      <c r="M3689" s="75" t="s">
        <v>146</v>
      </c>
      <c r="N3689" s="75" t="b">
        <v>1</v>
      </c>
      <c r="O3689" s="75" t="s">
        <v>145</v>
      </c>
      <c r="P3689" s="75">
        <v>2014</v>
      </c>
      <c r="Q3689" s="107">
        <f t="shared" si="108"/>
        <v>2018</v>
      </c>
      <c r="R3689" s="107">
        <v>2</v>
      </c>
      <c r="S3689" s="43">
        <v>218031</v>
      </c>
      <c r="T3689" s="74">
        <v>43164</v>
      </c>
    </row>
    <row r="3690" spans="1:20" x14ac:dyDescent="0.3">
      <c r="A3690" s="42">
        <v>43148</v>
      </c>
      <c r="B3690" s="37">
        <f>YEAR(A3690)*10000+MONTH(A3690)*100+DAY(A3690)</f>
        <v>20180217</v>
      </c>
      <c r="C3690" s="109">
        <v>2.4399999999999998E-2</v>
      </c>
      <c r="D3690" s="109">
        <v>7.0000000000000001E-3</v>
      </c>
      <c r="E3690" s="109">
        <v>8.0000000000000002E-3</v>
      </c>
      <c r="F3690" s="109">
        <v>8.9999999999999993E-3</v>
      </c>
      <c r="G3690" s="130">
        <v>0</v>
      </c>
      <c r="H3690" s="71">
        <v>8.6</v>
      </c>
      <c r="I3690" s="71">
        <v>11.1</v>
      </c>
      <c r="J3690" s="71">
        <v>13.6</v>
      </c>
      <c r="K3690" s="121">
        <v>6.8999999999999999E-3</v>
      </c>
      <c r="L3690" s="121">
        <v>-7.0000000000000001E-3</v>
      </c>
      <c r="M3690" s="75" t="s">
        <v>146</v>
      </c>
      <c r="N3690" s="75" t="b">
        <v>1</v>
      </c>
      <c r="O3690" s="75" t="s">
        <v>145</v>
      </c>
      <c r="P3690" s="75">
        <v>2014</v>
      </c>
      <c r="Q3690" s="107">
        <f t="shared" si="108"/>
        <v>2018</v>
      </c>
      <c r="R3690" s="107">
        <v>2</v>
      </c>
      <c r="S3690" s="43">
        <v>218031</v>
      </c>
      <c r="T3690" s="74">
        <v>43164</v>
      </c>
    </row>
    <row r="3691" spans="1:20" x14ac:dyDescent="0.3">
      <c r="A3691" s="42">
        <v>43149</v>
      </c>
      <c r="B3691" s="37">
        <f>YEAR(A3691)*10000+MONTH(A3691)*100+DAY(A3691)</f>
        <v>20180218</v>
      </c>
      <c r="C3691" s="109">
        <v>2.4399999999999998E-2</v>
      </c>
      <c r="D3691" s="109">
        <v>7.0000000000000001E-3</v>
      </c>
      <c r="E3691" s="109">
        <v>8.0000000000000002E-3</v>
      </c>
      <c r="F3691" s="109">
        <v>8.9999999999999993E-3</v>
      </c>
      <c r="G3691" s="130">
        <v>0</v>
      </c>
      <c r="H3691" s="71">
        <v>8.6</v>
      </c>
      <c r="I3691" s="71">
        <v>11.1</v>
      </c>
      <c r="J3691" s="71">
        <v>13.6</v>
      </c>
      <c r="K3691" s="121">
        <v>6.8999999999999999E-3</v>
      </c>
      <c r="L3691" s="121">
        <v>-7.0000000000000001E-3</v>
      </c>
      <c r="M3691" s="75" t="s">
        <v>146</v>
      </c>
      <c r="N3691" s="75" t="b">
        <v>1</v>
      </c>
      <c r="O3691" s="75" t="s">
        <v>145</v>
      </c>
      <c r="P3691" s="75">
        <v>2014</v>
      </c>
      <c r="Q3691" s="107">
        <f t="shared" si="108"/>
        <v>2018</v>
      </c>
      <c r="R3691" s="107">
        <v>2</v>
      </c>
      <c r="S3691" s="43">
        <v>218031</v>
      </c>
      <c r="T3691" s="74">
        <v>43164</v>
      </c>
    </row>
    <row r="3692" spans="1:20" x14ac:dyDescent="0.3">
      <c r="A3692" s="42">
        <v>43150</v>
      </c>
      <c r="B3692" s="37">
        <f t="shared" ref="B3692:B3757" si="109">YEAR(A3692)*10000+MONTH(A3692)*100+DAY(A3692)</f>
        <v>20180219</v>
      </c>
      <c r="C3692" s="109">
        <v>2.4399999999999998E-2</v>
      </c>
      <c r="D3692" s="109">
        <v>7.0000000000000001E-3</v>
      </c>
      <c r="E3692" s="109">
        <v>8.0000000000000002E-3</v>
      </c>
      <c r="F3692" s="109">
        <v>8.9999999999999993E-3</v>
      </c>
      <c r="G3692" s="130">
        <v>0</v>
      </c>
      <c r="H3692" s="71">
        <v>8.6</v>
      </c>
      <c r="I3692" s="71">
        <v>11.1</v>
      </c>
      <c r="J3692" s="71">
        <v>13.6</v>
      </c>
      <c r="K3692" s="121">
        <v>6.8999999999999999E-3</v>
      </c>
      <c r="L3692" s="121">
        <v>-7.0000000000000001E-3</v>
      </c>
      <c r="M3692" s="75" t="s">
        <v>146</v>
      </c>
      <c r="N3692" s="75" t="b">
        <v>1</v>
      </c>
      <c r="O3692" s="75" t="s">
        <v>145</v>
      </c>
      <c r="P3692" s="75">
        <v>2014</v>
      </c>
      <c r="Q3692" s="107">
        <f t="shared" si="108"/>
        <v>2018</v>
      </c>
      <c r="R3692" s="107">
        <v>2</v>
      </c>
      <c r="S3692" s="43">
        <v>218031</v>
      </c>
      <c r="T3692" s="74">
        <v>43164</v>
      </c>
    </row>
    <row r="3693" spans="1:20" x14ac:dyDescent="0.3">
      <c r="A3693" s="42">
        <v>43151</v>
      </c>
      <c r="B3693" s="37">
        <f t="shared" si="109"/>
        <v>20180220</v>
      </c>
      <c r="C3693" s="109">
        <v>2.4500000000000001E-2</v>
      </c>
      <c r="D3693" s="109">
        <v>7.0000000000000001E-3</v>
      </c>
      <c r="E3693" s="109">
        <v>8.0000000000000002E-3</v>
      </c>
      <c r="F3693" s="109">
        <v>8.9999999999999993E-3</v>
      </c>
      <c r="G3693" s="130">
        <v>0</v>
      </c>
      <c r="H3693" s="71">
        <v>8.6</v>
      </c>
      <c r="I3693" s="71">
        <v>11.1</v>
      </c>
      <c r="J3693" s="71">
        <v>13.6</v>
      </c>
      <c r="K3693" s="121">
        <v>6.9999999999999993E-3</v>
      </c>
      <c r="L3693" s="121">
        <v>-7.0000000000000001E-3</v>
      </c>
      <c r="M3693" s="75" t="s">
        <v>146</v>
      </c>
      <c r="N3693" s="75" t="b">
        <v>1</v>
      </c>
      <c r="O3693" s="75" t="s">
        <v>145</v>
      </c>
      <c r="P3693" s="75">
        <v>2014</v>
      </c>
      <c r="Q3693" s="107">
        <f t="shared" si="108"/>
        <v>2018</v>
      </c>
      <c r="R3693" s="107">
        <v>2</v>
      </c>
      <c r="S3693" s="43">
        <v>218031</v>
      </c>
      <c r="T3693" s="74">
        <v>43164</v>
      </c>
    </row>
    <row r="3694" spans="1:20" x14ac:dyDescent="0.3">
      <c r="A3694" s="42">
        <v>43152</v>
      </c>
      <c r="B3694" s="37">
        <f t="shared" si="109"/>
        <v>20180221</v>
      </c>
      <c r="C3694" s="109">
        <v>2.46E-2</v>
      </c>
      <c r="D3694" s="109">
        <v>7.0000000000000001E-3</v>
      </c>
      <c r="E3694" s="109">
        <v>8.0000000000000002E-3</v>
      </c>
      <c r="F3694" s="109">
        <v>8.9999999999999993E-3</v>
      </c>
      <c r="G3694" s="130">
        <v>0</v>
      </c>
      <c r="H3694" s="71">
        <v>8.6</v>
      </c>
      <c r="I3694" s="71">
        <v>11.1</v>
      </c>
      <c r="J3694" s="71">
        <v>13.6</v>
      </c>
      <c r="K3694" s="121">
        <v>7.0999999999999995E-3</v>
      </c>
      <c r="L3694" s="121">
        <v>-7.0000000000000001E-3</v>
      </c>
      <c r="M3694" s="75" t="s">
        <v>146</v>
      </c>
      <c r="N3694" s="75" t="b">
        <v>1</v>
      </c>
      <c r="O3694" s="75" t="s">
        <v>145</v>
      </c>
      <c r="P3694" s="75">
        <v>2014</v>
      </c>
      <c r="Q3694" s="107">
        <f t="shared" ref="Q3694:Q3757" si="110">YEAR(A3694)</f>
        <v>2018</v>
      </c>
      <c r="R3694" s="107">
        <v>2</v>
      </c>
      <c r="S3694" s="43">
        <v>218031</v>
      </c>
      <c r="T3694" s="74">
        <v>43164</v>
      </c>
    </row>
    <row r="3695" spans="1:20" x14ac:dyDescent="0.3">
      <c r="A3695" s="42">
        <v>43153</v>
      </c>
      <c r="B3695" s="37">
        <f t="shared" si="109"/>
        <v>20180222</v>
      </c>
      <c r="C3695" s="109">
        <v>2.4300000000000002E-2</v>
      </c>
      <c r="D3695" s="109">
        <v>7.0000000000000001E-3</v>
      </c>
      <c r="E3695" s="109">
        <v>8.0000000000000002E-3</v>
      </c>
      <c r="F3695" s="109">
        <v>8.9999999999999993E-3</v>
      </c>
      <c r="G3695" s="130">
        <v>0</v>
      </c>
      <c r="H3695" s="71">
        <v>8.6</v>
      </c>
      <c r="I3695" s="71">
        <v>11.1</v>
      </c>
      <c r="J3695" s="71">
        <v>13.6</v>
      </c>
      <c r="K3695" s="121">
        <v>6.8999999999999999E-3</v>
      </c>
      <c r="L3695" s="121">
        <v>-7.0000000000000001E-3</v>
      </c>
      <c r="M3695" s="75" t="s">
        <v>146</v>
      </c>
      <c r="N3695" s="75" t="b">
        <v>1</v>
      </c>
      <c r="O3695" s="75" t="s">
        <v>145</v>
      </c>
      <c r="P3695" s="75">
        <v>2014</v>
      </c>
      <c r="Q3695" s="107">
        <f t="shared" si="110"/>
        <v>2018</v>
      </c>
      <c r="R3695" s="107">
        <v>2</v>
      </c>
      <c r="S3695" s="43">
        <v>218031</v>
      </c>
      <c r="T3695" s="74">
        <v>43164</v>
      </c>
    </row>
    <row r="3696" spans="1:20" x14ac:dyDescent="0.3">
      <c r="A3696" s="42">
        <v>43154</v>
      </c>
      <c r="B3696" s="37">
        <f t="shared" si="109"/>
        <v>20180223</v>
      </c>
      <c r="C3696" s="109">
        <v>2.3799999999999998E-2</v>
      </c>
      <c r="D3696" s="109">
        <v>7.0000000000000001E-3</v>
      </c>
      <c r="E3696" s="109">
        <v>8.0000000000000002E-3</v>
      </c>
      <c r="F3696" s="109">
        <v>8.9999999999999993E-3</v>
      </c>
      <c r="G3696" s="130">
        <v>0</v>
      </c>
      <c r="H3696" s="71">
        <v>8.6</v>
      </c>
      <c r="I3696" s="71">
        <v>11.1</v>
      </c>
      <c r="J3696" s="71">
        <v>13.6</v>
      </c>
      <c r="K3696" s="121">
        <v>6.0999999999999995E-3</v>
      </c>
      <c r="L3696" s="121">
        <v>-7.0000000000000001E-3</v>
      </c>
      <c r="M3696" s="75" t="s">
        <v>146</v>
      </c>
      <c r="N3696" s="75" t="b">
        <v>1</v>
      </c>
      <c r="O3696" s="75" t="s">
        <v>145</v>
      </c>
      <c r="P3696" s="75">
        <v>2014</v>
      </c>
      <c r="Q3696" s="107">
        <f t="shared" si="110"/>
        <v>2018</v>
      </c>
      <c r="R3696" s="107">
        <v>2</v>
      </c>
      <c r="S3696" s="43">
        <v>218031</v>
      </c>
      <c r="T3696" s="74">
        <v>43164</v>
      </c>
    </row>
    <row r="3697" spans="1:20" x14ac:dyDescent="0.3">
      <c r="A3697" s="42">
        <v>43155</v>
      </c>
      <c r="B3697" s="37">
        <f>YEAR(A3697)*10000+MONTH(A3697)*100+DAY(A3697)</f>
        <v>20180224</v>
      </c>
      <c r="C3697" s="109">
        <v>2.3799999999999998E-2</v>
      </c>
      <c r="D3697" s="109">
        <v>7.0000000000000001E-3</v>
      </c>
      <c r="E3697" s="109">
        <v>8.0000000000000002E-3</v>
      </c>
      <c r="F3697" s="109">
        <v>8.9999999999999993E-3</v>
      </c>
      <c r="G3697" s="130">
        <v>0</v>
      </c>
      <c r="H3697" s="71">
        <v>8.6</v>
      </c>
      <c r="I3697" s="71">
        <v>11.1</v>
      </c>
      <c r="J3697" s="71">
        <v>13.6</v>
      </c>
      <c r="K3697" s="121">
        <v>6.0999999999999995E-3</v>
      </c>
      <c r="L3697" s="121">
        <v>-7.0000000000000001E-3</v>
      </c>
      <c r="M3697" s="75" t="s">
        <v>146</v>
      </c>
      <c r="N3697" s="75" t="b">
        <v>1</v>
      </c>
      <c r="O3697" s="75" t="s">
        <v>145</v>
      </c>
      <c r="P3697" s="75">
        <v>2014</v>
      </c>
      <c r="Q3697" s="107">
        <f t="shared" si="110"/>
        <v>2018</v>
      </c>
      <c r="R3697" s="107">
        <v>2</v>
      </c>
      <c r="S3697" s="43">
        <v>218031</v>
      </c>
      <c r="T3697" s="74">
        <v>43164</v>
      </c>
    </row>
    <row r="3698" spans="1:20" x14ac:dyDescent="0.3">
      <c r="A3698" s="42">
        <v>43156</v>
      </c>
      <c r="B3698" s="37">
        <f>YEAR(A3698)*10000+MONTH(A3698)*100+DAY(A3698)</f>
        <v>20180225</v>
      </c>
      <c r="C3698" s="109">
        <v>2.3799999999999998E-2</v>
      </c>
      <c r="D3698" s="109">
        <v>7.0000000000000001E-3</v>
      </c>
      <c r="E3698" s="109">
        <v>8.0000000000000002E-3</v>
      </c>
      <c r="F3698" s="109">
        <v>8.9999999999999993E-3</v>
      </c>
      <c r="G3698" s="130">
        <v>0</v>
      </c>
      <c r="H3698" s="71">
        <v>8.6</v>
      </c>
      <c r="I3698" s="71">
        <v>11.1</v>
      </c>
      <c r="J3698" s="71">
        <v>13.6</v>
      </c>
      <c r="K3698" s="121">
        <v>6.0999999999999995E-3</v>
      </c>
      <c r="L3698" s="121">
        <v>-7.0000000000000001E-3</v>
      </c>
      <c r="M3698" s="75" t="s">
        <v>146</v>
      </c>
      <c r="N3698" s="75" t="b">
        <v>1</v>
      </c>
      <c r="O3698" s="75" t="s">
        <v>145</v>
      </c>
      <c r="P3698" s="75">
        <v>2014</v>
      </c>
      <c r="Q3698" s="107">
        <f t="shared" si="110"/>
        <v>2018</v>
      </c>
      <c r="R3698" s="107">
        <v>2</v>
      </c>
      <c r="S3698" s="43">
        <v>218031</v>
      </c>
      <c r="T3698" s="74">
        <v>43164</v>
      </c>
    </row>
    <row r="3699" spans="1:20" x14ac:dyDescent="0.3">
      <c r="A3699" s="42">
        <v>43157</v>
      </c>
      <c r="B3699" s="37">
        <f t="shared" si="109"/>
        <v>20180226</v>
      </c>
      <c r="C3699" s="109">
        <v>2.3799999999999998E-2</v>
      </c>
      <c r="D3699" s="109">
        <v>7.0000000000000001E-3</v>
      </c>
      <c r="E3699" s="109">
        <v>8.0000000000000002E-3</v>
      </c>
      <c r="F3699" s="109">
        <v>8.9999999999999993E-3</v>
      </c>
      <c r="G3699" s="130">
        <v>0</v>
      </c>
      <c r="H3699" s="71">
        <v>8.6</v>
      </c>
      <c r="I3699" s="71">
        <v>11.1</v>
      </c>
      <c r="J3699" s="71">
        <v>13.6</v>
      </c>
      <c r="K3699" s="121">
        <v>6.1999999999999998E-3</v>
      </c>
      <c r="L3699" s="121">
        <v>-7.0000000000000001E-3</v>
      </c>
      <c r="M3699" s="75" t="s">
        <v>146</v>
      </c>
      <c r="N3699" s="75" t="b">
        <v>1</v>
      </c>
      <c r="O3699" s="75" t="s">
        <v>145</v>
      </c>
      <c r="P3699" s="75">
        <v>2014</v>
      </c>
      <c r="Q3699" s="107">
        <f t="shared" si="110"/>
        <v>2018</v>
      </c>
      <c r="R3699" s="107">
        <v>2</v>
      </c>
      <c r="S3699" s="43">
        <v>218031</v>
      </c>
      <c r="T3699" s="74">
        <v>43164</v>
      </c>
    </row>
    <row r="3700" spans="1:20" x14ac:dyDescent="0.3">
      <c r="A3700" s="42">
        <v>43158</v>
      </c>
      <c r="B3700" s="37">
        <f t="shared" si="109"/>
        <v>20180227</v>
      </c>
      <c r="C3700" s="109">
        <v>2.4E-2</v>
      </c>
      <c r="D3700" s="109">
        <v>7.0000000000000001E-3</v>
      </c>
      <c r="E3700" s="109">
        <v>8.0000000000000002E-3</v>
      </c>
      <c r="F3700" s="109">
        <v>8.9999999999999993E-3</v>
      </c>
      <c r="G3700" s="130">
        <v>0</v>
      </c>
      <c r="H3700" s="71">
        <v>8.6</v>
      </c>
      <c r="I3700" s="71">
        <v>11.1</v>
      </c>
      <c r="J3700" s="71">
        <v>13.6</v>
      </c>
      <c r="K3700" s="121">
        <v>6.5000000000000006E-3</v>
      </c>
      <c r="L3700" s="121">
        <v>-7.0000000000000001E-3</v>
      </c>
      <c r="M3700" s="75" t="s">
        <v>146</v>
      </c>
      <c r="N3700" s="75" t="b">
        <v>1</v>
      </c>
      <c r="O3700" s="75" t="s">
        <v>145</v>
      </c>
      <c r="P3700" s="75">
        <v>2014</v>
      </c>
      <c r="Q3700" s="107">
        <f t="shared" si="110"/>
        <v>2018</v>
      </c>
      <c r="R3700" s="107">
        <v>2</v>
      </c>
      <c r="S3700" s="43">
        <v>218031</v>
      </c>
      <c r="T3700" s="74">
        <v>43164</v>
      </c>
    </row>
    <row r="3701" spans="1:20" x14ac:dyDescent="0.3">
      <c r="A3701" s="42">
        <v>43159</v>
      </c>
      <c r="B3701" s="37">
        <f t="shared" si="109"/>
        <v>20180228</v>
      </c>
      <c r="C3701" s="109">
        <v>2.35E-2</v>
      </c>
      <c r="D3701" s="109">
        <v>7.0000000000000001E-3</v>
      </c>
      <c r="E3701" s="109">
        <v>8.0000000000000002E-3</v>
      </c>
      <c r="F3701" s="109">
        <v>8.9999999999999993E-3</v>
      </c>
      <c r="G3701" s="130">
        <v>0</v>
      </c>
      <c r="H3701" s="71">
        <v>8.6</v>
      </c>
      <c r="I3701" s="71">
        <v>11.1</v>
      </c>
      <c r="J3701" s="71">
        <v>13.6</v>
      </c>
      <c r="K3701" s="121">
        <v>5.8999999999999999E-3</v>
      </c>
      <c r="L3701" s="121">
        <v>-7.0000000000000001E-3</v>
      </c>
      <c r="M3701" s="75" t="s">
        <v>146</v>
      </c>
      <c r="N3701" s="75" t="b">
        <v>1</v>
      </c>
      <c r="O3701" s="75" t="s">
        <v>145</v>
      </c>
      <c r="P3701" s="75">
        <v>2014</v>
      </c>
      <c r="Q3701" s="107">
        <f t="shared" si="110"/>
        <v>2018</v>
      </c>
      <c r="R3701" s="107">
        <v>2</v>
      </c>
      <c r="S3701" s="43">
        <v>218031</v>
      </c>
      <c r="T3701" s="74">
        <v>43164</v>
      </c>
    </row>
    <row r="3702" spans="1:20" x14ac:dyDescent="0.3">
      <c r="A3702" s="42">
        <v>43160</v>
      </c>
      <c r="B3702" s="37">
        <f t="shared" si="109"/>
        <v>20180301</v>
      </c>
      <c r="C3702" s="109">
        <v>2.3E-2</v>
      </c>
      <c r="D3702" s="109">
        <v>7.0000000000000001E-3</v>
      </c>
      <c r="E3702" s="109">
        <v>8.0000000000000002E-3</v>
      </c>
      <c r="F3702" s="109">
        <v>8.9999999999999993E-3</v>
      </c>
      <c r="G3702" s="130">
        <v>0</v>
      </c>
      <c r="H3702" s="71">
        <v>8.6</v>
      </c>
      <c r="I3702" s="71">
        <v>11.1</v>
      </c>
      <c r="J3702" s="71">
        <v>13.6</v>
      </c>
      <c r="K3702" s="121">
        <v>5.7999999999999996E-3</v>
      </c>
      <c r="L3702" s="121">
        <v>-7.0000000000000001E-3</v>
      </c>
      <c r="M3702" s="75" t="s">
        <v>146</v>
      </c>
      <c r="N3702" s="75" t="b">
        <v>1</v>
      </c>
      <c r="O3702" s="75" t="s">
        <v>145</v>
      </c>
      <c r="P3702" s="75">
        <v>2014</v>
      </c>
      <c r="Q3702" s="107">
        <f t="shared" si="110"/>
        <v>2018</v>
      </c>
      <c r="R3702" s="107">
        <v>2</v>
      </c>
      <c r="S3702" s="43">
        <v>218031</v>
      </c>
      <c r="T3702" s="74">
        <v>43164</v>
      </c>
    </row>
    <row r="3703" spans="1:20" x14ac:dyDescent="0.3">
      <c r="A3703" s="42">
        <v>43161</v>
      </c>
      <c r="B3703" s="37">
        <f t="shared" si="109"/>
        <v>20180302</v>
      </c>
      <c r="C3703" s="109">
        <v>2.3300000000000001E-2</v>
      </c>
      <c r="D3703" s="109">
        <v>7.0000000000000001E-3</v>
      </c>
      <c r="E3703" s="109">
        <v>8.0000000000000002E-3</v>
      </c>
      <c r="F3703" s="109">
        <v>8.9999999999999993E-3</v>
      </c>
      <c r="G3703" s="130">
        <v>0</v>
      </c>
      <c r="H3703" s="71">
        <v>8.6</v>
      </c>
      <c r="I3703" s="71">
        <v>11.1</v>
      </c>
      <c r="J3703" s="71">
        <v>13.6</v>
      </c>
      <c r="K3703" s="121">
        <v>6.0000000000000001E-3</v>
      </c>
      <c r="L3703" s="121">
        <v>-7.0000000000000001E-3</v>
      </c>
      <c r="M3703" s="75" t="s">
        <v>146</v>
      </c>
      <c r="N3703" s="75" t="b">
        <v>1</v>
      </c>
      <c r="O3703" s="75" t="s">
        <v>145</v>
      </c>
      <c r="P3703" s="75">
        <v>2014</v>
      </c>
      <c r="Q3703" s="107">
        <f t="shared" si="110"/>
        <v>2018</v>
      </c>
      <c r="R3703" s="107">
        <v>2</v>
      </c>
      <c r="S3703" s="43">
        <v>218031</v>
      </c>
      <c r="T3703" s="74">
        <v>43164</v>
      </c>
    </row>
    <row r="3704" spans="1:20" x14ac:dyDescent="0.3">
      <c r="A3704" s="42">
        <v>43162</v>
      </c>
      <c r="B3704" s="37">
        <f>YEAR(A3704)*10000+MONTH(A3704)*100+DAY(A3704)</f>
        <v>20180303</v>
      </c>
      <c r="C3704" s="109">
        <v>2.3300000000000001E-2</v>
      </c>
      <c r="D3704" s="109">
        <v>7.0000000000000001E-3</v>
      </c>
      <c r="E3704" s="109">
        <v>8.0000000000000002E-3</v>
      </c>
      <c r="F3704" s="109">
        <v>8.9999999999999993E-3</v>
      </c>
      <c r="G3704" s="130">
        <v>0</v>
      </c>
      <c r="H3704" s="71">
        <v>8.6</v>
      </c>
      <c r="I3704" s="71">
        <v>11.1</v>
      </c>
      <c r="J3704" s="71">
        <v>13.6</v>
      </c>
      <c r="K3704" s="121">
        <v>6.0000000000000001E-3</v>
      </c>
      <c r="L3704" s="121">
        <v>-7.0000000000000001E-3</v>
      </c>
      <c r="M3704" s="75" t="s">
        <v>146</v>
      </c>
      <c r="N3704" s="75" t="b">
        <v>1</v>
      </c>
      <c r="O3704" s="75" t="s">
        <v>145</v>
      </c>
      <c r="P3704" s="75">
        <v>2014</v>
      </c>
      <c r="Q3704" s="107">
        <f t="shared" si="110"/>
        <v>2018</v>
      </c>
      <c r="R3704" s="107">
        <v>2</v>
      </c>
      <c r="S3704" s="43">
        <v>218031</v>
      </c>
      <c r="T3704" s="74">
        <v>43164</v>
      </c>
    </row>
    <row r="3705" spans="1:20" x14ac:dyDescent="0.3">
      <c r="A3705" s="42">
        <v>43163</v>
      </c>
      <c r="B3705" s="37">
        <f>YEAR(A3705)*10000+MONTH(A3705)*100+DAY(A3705)</f>
        <v>20180304</v>
      </c>
      <c r="C3705" s="109">
        <v>2.3300000000000001E-2</v>
      </c>
      <c r="D3705" s="109">
        <v>7.0000000000000001E-3</v>
      </c>
      <c r="E3705" s="109">
        <v>8.0000000000000002E-3</v>
      </c>
      <c r="F3705" s="109">
        <v>8.9999999999999993E-3</v>
      </c>
      <c r="G3705" s="130">
        <v>0</v>
      </c>
      <c r="H3705" s="71">
        <v>8.6</v>
      </c>
      <c r="I3705" s="71">
        <v>11.1</v>
      </c>
      <c r="J3705" s="71">
        <v>13.6</v>
      </c>
      <c r="K3705" s="121">
        <v>6.0000000000000001E-3</v>
      </c>
      <c r="L3705" s="121">
        <v>-7.0000000000000001E-3</v>
      </c>
      <c r="M3705" s="75" t="s">
        <v>146</v>
      </c>
      <c r="N3705" s="75" t="b">
        <v>1</v>
      </c>
      <c r="O3705" s="75" t="s">
        <v>145</v>
      </c>
      <c r="P3705" s="75">
        <v>2014</v>
      </c>
      <c r="Q3705" s="107">
        <f t="shared" si="110"/>
        <v>2018</v>
      </c>
      <c r="R3705" s="107">
        <v>2</v>
      </c>
      <c r="S3705" s="43">
        <v>218031</v>
      </c>
      <c r="T3705" s="74">
        <v>43164</v>
      </c>
    </row>
    <row r="3706" spans="1:20" x14ac:dyDescent="0.3">
      <c r="A3706" s="42">
        <v>43164</v>
      </c>
      <c r="B3706" s="37">
        <f t="shared" si="109"/>
        <v>20180305</v>
      </c>
      <c r="C3706" s="109">
        <v>2.3300000000000001E-2</v>
      </c>
      <c r="D3706" s="109">
        <v>7.0000000000000001E-3</v>
      </c>
      <c r="E3706" s="109">
        <v>8.0000000000000002E-3</v>
      </c>
      <c r="F3706" s="109">
        <v>8.9999999999999993E-3</v>
      </c>
      <c r="G3706" s="130">
        <v>0</v>
      </c>
      <c r="H3706" s="71">
        <v>8.6</v>
      </c>
      <c r="I3706" s="71">
        <v>11.1</v>
      </c>
      <c r="J3706" s="71">
        <v>13.6</v>
      </c>
      <c r="K3706" s="121">
        <v>6.0999999999999995E-3</v>
      </c>
      <c r="L3706" s="121">
        <v>-7.0000000000000001E-3</v>
      </c>
      <c r="M3706" s="75" t="s">
        <v>146</v>
      </c>
      <c r="N3706" s="75" t="b">
        <v>1</v>
      </c>
      <c r="O3706" s="75" t="s">
        <v>145</v>
      </c>
      <c r="P3706" s="75">
        <v>2014</v>
      </c>
      <c r="Q3706" s="107">
        <f t="shared" si="110"/>
        <v>2018</v>
      </c>
      <c r="R3706" s="107">
        <v>2</v>
      </c>
      <c r="S3706" s="43">
        <v>218031</v>
      </c>
      <c r="T3706" s="74">
        <v>43164</v>
      </c>
    </row>
    <row r="3707" spans="1:20" x14ac:dyDescent="0.3">
      <c r="A3707" s="42">
        <v>43165</v>
      </c>
      <c r="B3707" s="37">
        <f t="shared" si="109"/>
        <v>20180306</v>
      </c>
      <c r="C3707" s="109">
        <v>2.3599999999999999E-2</v>
      </c>
      <c r="D3707" s="109">
        <v>7.0000000000000001E-3</v>
      </c>
      <c r="E3707" s="109">
        <v>8.0000000000000002E-3</v>
      </c>
      <c r="F3707" s="109">
        <v>8.9999999999999993E-3</v>
      </c>
      <c r="G3707" s="130">
        <v>0</v>
      </c>
      <c r="H3707" s="71">
        <v>8.6</v>
      </c>
      <c r="I3707" s="71">
        <v>11.1</v>
      </c>
      <c r="J3707" s="71">
        <v>13.6</v>
      </c>
      <c r="K3707" s="121">
        <v>6.3E-3</v>
      </c>
      <c r="L3707" s="121">
        <v>-7.0000000000000001E-3</v>
      </c>
      <c r="M3707" s="75" t="s">
        <v>146</v>
      </c>
      <c r="N3707" s="75" t="b">
        <v>1</v>
      </c>
      <c r="O3707" s="75" t="s">
        <v>145</v>
      </c>
      <c r="P3707" s="75">
        <v>2014</v>
      </c>
      <c r="Q3707" s="107">
        <f t="shared" si="110"/>
        <v>2018</v>
      </c>
      <c r="R3707" s="107">
        <v>2</v>
      </c>
      <c r="S3707" s="43">
        <v>218031</v>
      </c>
      <c r="T3707" s="74">
        <v>43164</v>
      </c>
    </row>
    <row r="3708" spans="1:20" x14ac:dyDescent="0.3">
      <c r="A3708" s="42">
        <v>43166</v>
      </c>
      <c r="B3708" s="37">
        <f t="shared" si="109"/>
        <v>20180307</v>
      </c>
      <c r="C3708" s="109">
        <v>2.3700000000000002E-2</v>
      </c>
      <c r="D3708" s="109">
        <v>7.0000000000000001E-3</v>
      </c>
      <c r="E3708" s="109">
        <v>8.0000000000000002E-3</v>
      </c>
      <c r="F3708" s="109">
        <v>8.9999999999999993E-3</v>
      </c>
      <c r="G3708" s="130">
        <v>0</v>
      </c>
      <c r="H3708" s="71">
        <v>8.6</v>
      </c>
      <c r="I3708" s="71">
        <v>11.1</v>
      </c>
      <c r="J3708" s="71">
        <v>13.6</v>
      </c>
      <c r="K3708" s="121">
        <v>6.6E-3</v>
      </c>
      <c r="L3708" s="121">
        <v>-7.0000000000000001E-3</v>
      </c>
      <c r="M3708" s="75" t="s">
        <v>146</v>
      </c>
      <c r="N3708" s="75" t="b">
        <v>1</v>
      </c>
      <c r="O3708" s="75" t="s">
        <v>145</v>
      </c>
      <c r="P3708" s="75">
        <v>2014</v>
      </c>
      <c r="Q3708" s="107">
        <f t="shared" si="110"/>
        <v>2018</v>
      </c>
      <c r="R3708" s="107">
        <v>2</v>
      </c>
      <c r="S3708" s="43">
        <v>218031</v>
      </c>
      <c r="T3708" s="74">
        <v>43164</v>
      </c>
    </row>
    <row r="3709" spans="1:20" x14ac:dyDescent="0.3">
      <c r="A3709" s="42">
        <v>43167</v>
      </c>
      <c r="B3709" s="37">
        <f t="shared" si="109"/>
        <v>20180308</v>
      </c>
      <c r="C3709" s="109">
        <v>2.3700000000000002E-2</v>
      </c>
      <c r="D3709" s="109">
        <v>7.0000000000000001E-3</v>
      </c>
      <c r="E3709" s="109">
        <v>8.0000000000000002E-3</v>
      </c>
      <c r="F3709" s="109">
        <v>8.9999999999999993E-3</v>
      </c>
      <c r="G3709" s="130">
        <v>0</v>
      </c>
      <c r="H3709" s="71">
        <v>8.6</v>
      </c>
      <c r="I3709" s="71">
        <v>11.1</v>
      </c>
      <c r="J3709" s="71">
        <v>13.6</v>
      </c>
      <c r="K3709" s="121">
        <v>6.6E-3</v>
      </c>
      <c r="L3709" s="121">
        <v>-7.0000000000000001E-3</v>
      </c>
      <c r="M3709" s="75" t="s">
        <v>146</v>
      </c>
      <c r="N3709" s="75" t="b">
        <v>1</v>
      </c>
      <c r="O3709" s="75" t="s">
        <v>145</v>
      </c>
      <c r="P3709" s="75">
        <v>2014</v>
      </c>
      <c r="Q3709" s="107">
        <f t="shared" si="110"/>
        <v>2018</v>
      </c>
      <c r="R3709" s="107">
        <v>2</v>
      </c>
      <c r="S3709" s="43">
        <v>218031</v>
      </c>
      <c r="T3709" s="74">
        <v>43164</v>
      </c>
    </row>
    <row r="3710" spans="1:20" x14ac:dyDescent="0.3">
      <c r="A3710" s="42">
        <v>43168</v>
      </c>
      <c r="B3710" s="37">
        <f t="shared" si="109"/>
        <v>20180309</v>
      </c>
      <c r="C3710" s="109">
        <v>2.41E-2</v>
      </c>
      <c r="D3710" s="109">
        <v>7.0000000000000001E-3</v>
      </c>
      <c r="E3710" s="109">
        <v>8.0000000000000002E-3</v>
      </c>
      <c r="F3710" s="109">
        <v>8.9999999999999993E-3</v>
      </c>
      <c r="G3710" s="130">
        <v>0</v>
      </c>
      <c r="H3710" s="71">
        <v>8.6</v>
      </c>
      <c r="I3710" s="71">
        <v>11.1</v>
      </c>
      <c r="J3710" s="71">
        <v>13.6</v>
      </c>
      <c r="K3710" s="121">
        <v>6.8999999999999999E-3</v>
      </c>
      <c r="L3710" s="121">
        <v>-7.0000000000000001E-3</v>
      </c>
      <c r="M3710" s="75" t="s">
        <v>146</v>
      </c>
      <c r="N3710" s="75" t="b">
        <v>1</v>
      </c>
      <c r="O3710" s="75" t="s">
        <v>145</v>
      </c>
      <c r="P3710" s="75">
        <v>2014</v>
      </c>
      <c r="Q3710" s="107">
        <f t="shared" si="110"/>
        <v>2018</v>
      </c>
      <c r="R3710" s="107">
        <v>2</v>
      </c>
      <c r="S3710" s="43">
        <v>218031</v>
      </c>
      <c r="T3710" s="74">
        <v>43164</v>
      </c>
    </row>
    <row r="3711" spans="1:20" x14ac:dyDescent="0.3">
      <c r="A3711" s="42">
        <v>43169</v>
      </c>
      <c r="B3711" s="37">
        <f>YEAR(A3711)*10000+MONTH(A3711)*100+DAY(A3711)</f>
        <v>20180310</v>
      </c>
      <c r="C3711" s="109">
        <v>2.41E-2</v>
      </c>
      <c r="D3711" s="109">
        <v>7.0000000000000001E-3</v>
      </c>
      <c r="E3711" s="109">
        <v>8.0000000000000002E-3</v>
      </c>
      <c r="F3711" s="109">
        <v>8.9999999999999993E-3</v>
      </c>
      <c r="G3711" s="130">
        <v>0</v>
      </c>
      <c r="H3711" s="71">
        <v>8.6</v>
      </c>
      <c r="I3711" s="71">
        <v>11.1</v>
      </c>
      <c r="J3711" s="71">
        <v>13.6</v>
      </c>
      <c r="K3711" s="121">
        <v>6.8999999999999999E-3</v>
      </c>
      <c r="L3711" s="121">
        <v>-7.0000000000000001E-3</v>
      </c>
      <c r="M3711" s="75" t="s">
        <v>146</v>
      </c>
      <c r="N3711" s="75" t="b">
        <v>1</v>
      </c>
      <c r="O3711" s="75" t="s">
        <v>145</v>
      </c>
      <c r="P3711" s="75">
        <v>2014</v>
      </c>
      <c r="Q3711" s="107">
        <f t="shared" si="110"/>
        <v>2018</v>
      </c>
      <c r="R3711" s="107">
        <v>2</v>
      </c>
      <c r="S3711" s="43">
        <v>218031</v>
      </c>
      <c r="T3711" s="74">
        <v>43164</v>
      </c>
    </row>
    <row r="3712" spans="1:20" x14ac:dyDescent="0.3">
      <c r="A3712" s="42">
        <v>43170</v>
      </c>
      <c r="B3712" s="37">
        <f>YEAR(A3712)*10000+MONTH(A3712)*100+DAY(A3712)</f>
        <v>20180311</v>
      </c>
      <c r="C3712" s="109">
        <v>2.41E-2</v>
      </c>
      <c r="D3712" s="109">
        <v>7.0000000000000001E-3</v>
      </c>
      <c r="E3712" s="109">
        <v>8.0000000000000002E-3</v>
      </c>
      <c r="F3712" s="109">
        <v>8.9999999999999993E-3</v>
      </c>
      <c r="G3712" s="130">
        <v>0</v>
      </c>
      <c r="H3712" s="71">
        <v>8.6</v>
      </c>
      <c r="I3712" s="71">
        <v>11.1</v>
      </c>
      <c r="J3712" s="71">
        <v>13.6</v>
      </c>
      <c r="K3712" s="121">
        <v>6.8999999999999999E-3</v>
      </c>
      <c r="L3712" s="121">
        <v>-7.0000000000000001E-3</v>
      </c>
      <c r="M3712" s="75" t="s">
        <v>146</v>
      </c>
      <c r="N3712" s="75" t="b">
        <v>1</v>
      </c>
      <c r="O3712" s="75" t="s">
        <v>145</v>
      </c>
      <c r="P3712" s="75">
        <v>2014</v>
      </c>
      <c r="Q3712" s="107">
        <f t="shared" si="110"/>
        <v>2018</v>
      </c>
      <c r="R3712" s="107">
        <v>2</v>
      </c>
      <c r="S3712" s="43">
        <v>218031</v>
      </c>
      <c r="T3712" s="74">
        <v>43164</v>
      </c>
    </row>
    <row r="3713" spans="1:20" x14ac:dyDescent="0.3">
      <c r="A3713" s="42">
        <v>43171</v>
      </c>
      <c r="B3713" s="37">
        <f t="shared" si="109"/>
        <v>20180312</v>
      </c>
      <c r="C3713" s="109">
        <v>2.3799999999999998E-2</v>
      </c>
      <c r="D3713" s="109">
        <v>7.0000000000000001E-3</v>
      </c>
      <c r="E3713" s="109">
        <v>8.0000000000000002E-3</v>
      </c>
      <c r="F3713" s="109">
        <v>8.9999999999999993E-3</v>
      </c>
      <c r="G3713" s="130">
        <v>0</v>
      </c>
      <c r="H3713" s="71">
        <v>8.6</v>
      </c>
      <c r="I3713" s="71">
        <v>11.1</v>
      </c>
      <c r="J3713" s="71">
        <v>13.6</v>
      </c>
      <c r="K3713" s="121">
        <v>6.8000000000000005E-3</v>
      </c>
      <c r="L3713" s="121">
        <v>-7.0000000000000001E-3</v>
      </c>
      <c r="M3713" s="75" t="s">
        <v>146</v>
      </c>
      <c r="N3713" s="75" t="b">
        <v>1</v>
      </c>
      <c r="O3713" s="75" t="s">
        <v>145</v>
      </c>
      <c r="P3713" s="75">
        <v>2014</v>
      </c>
      <c r="Q3713" s="107">
        <f t="shared" si="110"/>
        <v>2018</v>
      </c>
      <c r="R3713" s="107">
        <v>2</v>
      </c>
      <c r="S3713" s="43">
        <v>218031</v>
      </c>
      <c r="T3713" s="74">
        <v>43164</v>
      </c>
    </row>
    <row r="3714" spans="1:20" x14ac:dyDescent="0.3">
      <c r="A3714" s="42">
        <v>43172</v>
      </c>
      <c r="B3714" s="37">
        <f t="shared" si="109"/>
        <v>20180313</v>
      </c>
      <c r="C3714" s="109">
        <v>2.35E-2</v>
      </c>
      <c r="D3714" s="109">
        <v>7.0000000000000001E-3</v>
      </c>
      <c r="E3714" s="109">
        <v>8.0000000000000002E-3</v>
      </c>
      <c r="F3714" s="109">
        <v>8.9999999999999993E-3</v>
      </c>
      <c r="G3714" s="130">
        <v>0</v>
      </c>
      <c r="H3714" s="71">
        <v>8.6</v>
      </c>
      <c r="I3714" s="71">
        <v>11.1</v>
      </c>
      <c r="J3714" s="71">
        <v>13.6</v>
      </c>
      <c r="K3714" s="121">
        <v>6.4000000000000003E-3</v>
      </c>
      <c r="L3714" s="121">
        <v>-7.0000000000000001E-3</v>
      </c>
      <c r="M3714" s="75" t="s">
        <v>146</v>
      </c>
      <c r="N3714" s="75" t="b">
        <v>1</v>
      </c>
      <c r="O3714" s="75" t="s">
        <v>145</v>
      </c>
      <c r="P3714" s="75">
        <v>2014</v>
      </c>
      <c r="Q3714" s="107">
        <f t="shared" si="110"/>
        <v>2018</v>
      </c>
      <c r="R3714" s="107">
        <v>2</v>
      </c>
      <c r="S3714" s="43">
        <v>218031</v>
      </c>
      <c r="T3714" s="74">
        <v>43164</v>
      </c>
    </row>
    <row r="3715" spans="1:20" x14ac:dyDescent="0.3">
      <c r="A3715" s="42">
        <v>43173</v>
      </c>
      <c r="B3715" s="37">
        <f t="shared" si="109"/>
        <v>20180314</v>
      </c>
      <c r="C3715" s="109">
        <v>2.29E-2</v>
      </c>
      <c r="D3715" s="109">
        <v>7.0000000000000001E-3</v>
      </c>
      <c r="E3715" s="109">
        <v>8.0000000000000002E-3</v>
      </c>
      <c r="F3715" s="109">
        <v>8.9999999999999993E-3</v>
      </c>
      <c r="G3715" s="130">
        <v>0</v>
      </c>
      <c r="H3715" s="71">
        <v>8.6</v>
      </c>
      <c r="I3715" s="71">
        <v>11.1</v>
      </c>
      <c r="J3715" s="71">
        <v>13.6</v>
      </c>
      <c r="K3715" s="121">
        <v>5.8999999999999999E-3</v>
      </c>
      <c r="L3715" s="121">
        <v>-7.0000000000000001E-3</v>
      </c>
      <c r="M3715" s="75" t="s">
        <v>146</v>
      </c>
      <c r="N3715" s="75" t="b">
        <v>1</v>
      </c>
      <c r="O3715" s="75" t="s">
        <v>145</v>
      </c>
      <c r="P3715" s="75">
        <v>2014</v>
      </c>
      <c r="Q3715" s="107">
        <f t="shared" si="110"/>
        <v>2018</v>
      </c>
      <c r="R3715" s="107">
        <v>2</v>
      </c>
      <c r="S3715" s="43">
        <v>218031</v>
      </c>
      <c r="T3715" s="74">
        <v>43164</v>
      </c>
    </row>
    <row r="3716" spans="1:20" x14ac:dyDescent="0.3">
      <c r="A3716" s="42">
        <v>43174</v>
      </c>
      <c r="B3716" s="37">
        <f t="shared" si="109"/>
        <v>20180315</v>
      </c>
      <c r="C3716" s="109">
        <v>2.2599999999999999E-2</v>
      </c>
      <c r="D3716" s="109">
        <v>7.0000000000000001E-3</v>
      </c>
      <c r="E3716" s="109">
        <v>8.0000000000000002E-3</v>
      </c>
      <c r="F3716" s="109">
        <v>8.9999999999999993E-3</v>
      </c>
      <c r="G3716" s="130">
        <v>0</v>
      </c>
      <c r="H3716" s="71">
        <v>8.6</v>
      </c>
      <c r="I3716" s="71">
        <v>11.1</v>
      </c>
      <c r="J3716" s="71">
        <v>13.6</v>
      </c>
      <c r="K3716" s="121">
        <v>5.6999999999999993E-3</v>
      </c>
      <c r="L3716" s="121">
        <v>-7.0000000000000001E-3</v>
      </c>
      <c r="M3716" s="75" t="s">
        <v>146</v>
      </c>
      <c r="N3716" s="75" t="b">
        <v>1</v>
      </c>
      <c r="O3716" s="75" t="s">
        <v>145</v>
      </c>
      <c r="P3716" s="75">
        <v>2014</v>
      </c>
      <c r="Q3716" s="107">
        <f t="shared" si="110"/>
        <v>2018</v>
      </c>
      <c r="R3716" s="107">
        <v>2</v>
      </c>
      <c r="S3716" s="43">
        <v>218031</v>
      </c>
      <c r="T3716" s="74">
        <v>43164</v>
      </c>
    </row>
    <row r="3717" spans="1:20" x14ac:dyDescent="0.3">
      <c r="A3717" s="42">
        <v>43175</v>
      </c>
      <c r="B3717" s="37">
        <f t="shared" si="109"/>
        <v>20180316</v>
      </c>
      <c r="C3717" s="109">
        <v>2.2599999999999999E-2</v>
      </c>
      <c r="D3717" s="109">
        <v>7.0000000000000001E-3</v>
      </c>
      <c r="E3717" s="109">
        <v>8.0000000000000002E-3</v>
      </c>
      <c r="F3717" s="109">
        <v>8.9999999999999993E-3</v>
      </c>
      <c r="G3717" s="130">
        <v>0</v>
      </c>
      <c r="H3717" s="71">
        <v>8.6</v>
      </c>
      <c r="I3717" s="71">
        <v>11.1</v>
      </c>
      <c r="J3717" s="71">
        <v>13.6</v>
      </c>
      <c r="K3717" s="121">
        <v>5.6999999999999993E-3</v>
      </c>
      <c r="L3717" s="121">
        <v>-7.0000000000000001E-3</v>
      </c>
      <c r="M3717" s="75" t="s">
        <v>146</v>
      </c>
      <c r="N3717" s="75" t="b">
        <v>1</v>
      </c>
      <c r="O3717" s="75" t="s">
        <v>145</v>
      </c>
      <c r="P3717" s="75">
        <v>2014</v>
      </c>
      <c r="Q3717" s="107">
        <f t="shared" si="110"/>
        <v>2018</v>
      </c>
      <c r="R3717" s="107">
        <v>2</v>
      </c>
      <c r="S3717" s="43">
        <v>218031</v>
      </c>
      <c r="T3717" s="74">
        <v>43164</v>
      </c>
    </row>
    <row r="3718" spans="1:20" x14ac:dyDescent="0.3">
      <c r="A3718" s="42">
        <v>43176</v>
      </c>
      <c r="B3718" s="37">
        <f>YEAR(A3718)*10000+MONTH(A3718)*100+DAY(A3718)</f>
        <v>20180317</v>
      </c>
      <c r="C3718" s="109">
        <v>2.2599999999999999E-2</v>
      </c>
      <c r="D3718" s="109">
        <v>7.0000000000000001E-3</v>
      </c>
      <c r="E3718" s="109">
        <v>8.0000000000000002E-3</v>
      </c>
      <c r="F3718" s="109">
        <v>8.9999999999999993E-3</v>
      </c>
      <c r="G3718" s="130">
        <v>0</v>
      </c>
      <c r="H3718" s="71">
        <v>8.6</v>
      </c>
      <c r="I3718" s="71">
        <v>11.1</v>
      </c>
      <c r="J3718" s="71">
        <v>13.6</v>
      </c>
      <c r="K3718" s="121">
        <v>5.6999999999999993E-3</v>
      </c>
      <c r="L3718" s="121">
        <v>-7.0000000000000001E-3</v>
      </c>
      <c r="M3718" s="75" t="s">
        <v>146</v>
      </c>
      <c r="N3718" s="75" t="b">
        <v>1</v>
      </c>
      <c r="O3718" s="75" t="s">
        <v>145</v>
      </c>
      <c r="P3718" s="75">
        <v>2014</v>
      </c>
      <c r="Q3718" s="107">
        <f t="shared" si="110"/>
        <v>2018</v>
      </c>
      <c r="R3718" s="107">
        <v>2</v>
      </c>
      <c r="S3718" s="43">
        <v>218031</v>
      </c>
      <c r="T3718" s="74">
        <v>43164</v>
      </c>
    </row>
    <row r="3719" spans="1:20" x14ac:dyDescent="0.3">
      <c r="A3719" s="42">
        <v>43177</v>
      </c>
      <c r="B3719" s="37">
        <f>YEAR(A3719)*10000+MONTH(A3719)*100+DAY(A3719)</f>
        <v>20180318</v>
      </c>
      <c r="C3719" s="109">
        <v>2.2599999999999999E-2</v>
      </c>
      <c r="D3719" s="109">
        <v>7.0000000000000001E-3</v>
      </c>
      <c r="E3719" s="109">
        <v>8.0000000000000002E-3</v>
      </c>
      <c r="F3719" s="109">
        <v>8.9999999999999993E-3</v>
      </c>
      <c r="G3719" s="130">
        <v>0</v>
      </c>
      <c r="H3719" s="71">
        <v>8.6</v>
      </c>
      <c r="I3719" s="71">
        <v>11.1</v>
      </c>
      <c r="J3719" s="71">
        <v>13.6</v>
      </c>
      <c r="K3719" s="121">
        <v>5.6999999999999993E-3</v>
      </c>
      <c r="L3719" s="121">
        <v>-7.0000000000000001E-3</v>
      </c>
      <c r="M3719" s="75" t="s">
        <v>146</v>
      </c>
      <c r="N3719" s="75" t="b">
        <v>1</v>
      </c>
      <c r="O3719" s="75" t="s">
        <v>145</v>
      </c>
      <c r="P3719" s="75">
        <v>2014</v>
      </c>
      <c r="Q3719" s="107">
        <f t="shared" si="110"/>
        <v>2018</v>
      </c>
      <c r="R3719" s="107">
        <v>2</v>
      </c>
      <c r="S3719" s="43">
        <v>218031</v>
      </c>
      <c r="T3719" s="74">
        <v>43164</v>
      </c>
    </row>
    <row r="3720" spans="1:20" x14ac:dyDescent="0.3">
      <c r="A3720" s="42">
        <v>43178</v>
      </c>
      <c r="B3720" s="37">
        <f t="shared" si="109"/>
        <v>20180319</v>
      </c>
      <c r="C3720" s="109">
        <v>2.2799999999999997E-2</v>
      </c>
      <c r="D3720" s="109">
        <v>7.0000000000000001E-3</v>
      </c>
      <c r="E3720" s="109">
        <v>8.0000000000000002E-3</v>
      </c>
      <c r="F3720" s="109">
        <v>8.9999999999999993E-3</v>
      </c>
      <c r="G3720" s="130">
        <v>0</v>
      </c>
      <c r="H3720" s="71">
        <v>8.6</v>
      </c>
      <c r="I3720" s="71">
        <v>11.1</v>
      </c>
      <c r="J3720" s="71">
        <v>13.6</v>
      </c>
      <c r="K3720" s="121">
        <v>5.7999999999999996E-3</v>
      </c>
      <c r="L3720" s="121">
        <v>-7.0000000000000001E-3</v>
      </c>
      <c r="M3720" s="75" t="s">
        <v>146</v>
      </c>
      <c r="N3720" s="75" t="b">
        <v>1</v>
      </c>
      <c r="O3720" s="75" t="s">
        <v>145</v>
      </c>
      <c r="P3720" s="75">
        <v>2014</v>
      </c>
      <c r="Q3720" s="107">
        <f t="shared" si="110"/>
        <v>2018</v>
      </c>
      <c r="R3720" s="107">
        <v>2</v>
      </c>
      <c r="S3720" s="43">
        <v>218031</v>
      </c>
      <c r="T3720" s="74">
        <v>43164</v>
      </c>
    </row>
    <row r="3721" spans="1:20" x14ac:dyDescent="0.3">
      <c r="A3721" s="42">
        <v>43179</v>
      </c>
      <c r="B3721" s="37">
        <f t="shared" si="109"/>
        <v>20180320</v>
      </c>
      <c r="C3721" s="109">
        <v>2.3099999999999999E-2</v>
      </c>
      <c r="D3721" s="109">
        <v>7.0000000000000001E-3</v>
      </c>
      <c r="E3721" s="109">
        <v>8.0000000000000002E-3</v>
      </c>
      <c r="F3721" s="109">
        <v>8.9999999999999993E-3</v>
      </c>
      <c r="G3721" s="130">
        <v>0</v>
      </c>
      <c r="H3721" s="71">
        <v>8.6</v>
      </c>
      <c r="I3721" s="71">
        <v>11.1</v>
      </c>
      <c r="J3721" s="71">
        <v>13.6</v>
      </c>
      <c r="K3721" s="121">
        <v>6.0999999999999995E-3</v>
      </c>
      <c r="L3721" s="121">
        <v>-7.0000000000000001E-3</v>
      </c>
      <c r="M3721" s="75" t="s">
        <v>146</v>
      </c>
      <c r="N3721" s="75" t="b">
        <v>1</v>
      </c>
      <c r="O3721" s="75" t="s">
        <v>145</v>
      </c>
      <c r="P3721" s="75">
        <v>2014</v>
      </c>
      <c r="Q3721" s="107">
        <f t="shared" si="110"/>
        <v>2018</v>
      </c>
      <c r="R3721" s="107">
        <v>2</v>
      </c>
      <c r="S3721" s="43">
        <v>218031</v>
      </c>
      <c r="T3721" s="74">
        <v>43164</v>
      </c>
    </row>
    <row r="3722" spans="1:20" x14ac:dyDescent="0.3">
      <c r="A3722" s="42">
        <v>43180</v>
      </c>
      <c r="B3722" s="37">
        <f t="shared" si="109"/>
        <v>20180321</v>
      </c>
      <c r="C3722" s="109">
        <v>2.35E-2</v>
      </c>
      <c r="D3722" s="109">
        <v>7.0000000000000001E-3</v>
      </c>
      <c r="E3722" s="109">
        <v>8.0000000000000002E-3</v>
      </c>
      <c r="F3722" s="109">
        <v>8.9999999999999993E-3</v>
      </c>
      <c r="G3722" s="130">
        <v>0</v>
      </c>
      <c r="H3722" s="71">
        <v>8.6</v>
      </c>
      <c r="I3722" s="71">
        <v>11.1</v>
      </c>
      <c r="J3722" s="71">
        <v>13.6</v>
      </c>
      <c r="K3722" s="121">
        <v>6.4000000000000003E-3</v>
      </c>
      <c r="L3722" s="121">
        <v>-7.0000000000000001E-3</v>
      </c>
      <c r="M3722" s="75" t="s">
        <v>146</v>
      </c>
      <c r="N3722" s="75" t="b">
        <v>1</v>
      </c>
      <c r="O3722" s="75" t="s">
        <v>145</v>
      </c>
      <c r="P3722" s="75">
        <v>2014</v>
      </c>
      <c r="Q3722" s="107">
        <f t="shared" si="110"/>
        <v>2018</v>
      </c>
      <c r="R3722" s="107">
        <v>2</v>
      </c>
      <c r="S3722" s="43">
        <v>218031</v>
      </c>
      <c r="T3722" s="74">
        <v>43164</v>
      </c>
    </row>
    <row r="3723" spans="1:20" x14ac:dyDescent="0.3">
      <c r="A3723" s="42">
        <v>43181</v>
      </c>
      <c r="B3723" s="37">
        <f t="shared" si="109"/>
        <v>20180322</v>
      </c>
      <c r="C3723" s="109">
        <v>2.2700000000000001E-2</v>
      </c>
      <c r="D3723" s="109">
        <v>7.0000000000000001E-3</v>
      </c>
      <c r="E3723" s="109">
        <v>8.0000000000000002E-3</v>
      </c>
      <c r="F3723" s="109">
        <v>8.9999999999999993E-3</v>
      </c>
      <c r="G3723" s="130">
        <v>0</v>
      </c>
      <c r="H3723" s="71">
        <v>8.6</v>
      </c>
      <c r="I3723" s="71">
        <v>11.1</v>
      </c>
      <c r="J3723" s="71">
        <v>13.6</v>
      </c>
      <c r="K3723" s="121">
        <v>5.6999999999999993E-3</v>
      </c>
      <c r="L3723" s="121">
        <v>-7.0000000000000001E-3</v>
      </c>
      <c r="M3723" s="75" t="s">
        <v>146</v>
      </c>
      <c r="N3723" s="75" t="b">
        <v>1</v>
      </c>
      <c r="O3723" s="75" t="s">
        <v>145</v>
      </c>
      <c r="P3723" s="75">
        <v>2014</v>
      </c>
      <c r="Q3723" s="107">
        <f t="shared" si="110"/>
        <v>2018</v>
      </c>
      <c r="R3723" s="107">
        <v>2</v>
      </c>
      <c r="S3723" s="43">
        <v>218031</v>
      </c>
      <c r="T3723" s="74">
        <v>43164</v>
      </c>
    </row>
    <row r="3724" spans="1:20" x14ac:dyDescent="0.3">
      <c r="A3724" s="42">
        <v>43182</v>
      </c>
      <c r="B3724" s="37">
        <f t="shared" si="109"/>
        <v>20180323</v>
      </c>
      <c r="C3724" s="109">
        <v>2.29E-2</v>
      </c>
      <c r="D3724" s="109">
        <v>7.0000000000000001E-3</v>
      </c>
      <c r="E3724" s="109">
        <v>8.0000000000000002E-3</v>
      </c>
      <c r="F3724" s="109">
        <v>8.9999999999999993E-3</v>
      </c>
      <c r="G3724" s="130">
        <v>0</v>
      </c>
      <c r="H3724" s="71">
        <v>8.6</v>
      </c>
      <c r="I3724" s="71">
        <v>11.1</v>
      </c>
      <c r="J3724" s="71">
        <v>13.6</v>
      </c>
      <c r="K3724" s="121">
        <v>5.7999999999999996E-3</v>
      </c>
      <c r="L3724" s="121">
        <v>-7.0000000000000001E-3</v>
      </c>
      <c r="M3724" s="75" t="s">
        <v>146</v>
      </c>
      <c r="N3724" s="75" t="b">
        <v>1</v>
      </c>
      <c r="O3724" s="75" t="s">
        <v>145</v>
      </c>
      <c r="P3724" s="75">
        <v>2014</v>
      </c>
      <c r="Q3724" s="107">
        <f t="shared" si="110"/>
        <v>2018</v>
      </c>
      <c r="R3724" s="107">
        <v>2</v>
      </c>
      <c r="S3724" s="43">
        <v>218031</v>
      </c>
      <c r="T3724" s="74">
        <v>43164</v>
      </c>
    </row>
    <row r="3725" spans="1:20" x14ac:dyDescent="0.3">
      <c r="A3725" s="42">
        <v>43183</v>
      </c>
      <c r="B3725" s="37">
        <f>YEAR(A3725)*10000+MONTH(A3725)*100+DAY(A3725)</f>
        <v>20180324</v>
      </c>
      <c r="C3725" s="109">
        <v>2.29E-2</v>
      </c>
      <c r="D3725" s="109">
        <v>7.0000000000000001E-3</v>
      </c>
      <c r="E3725" s="109">
        <v>8.0000000000000002E-3</v>
      </c>
      <c r="F3725" s="109">
        <v>8.9999999999999993E-3</v>
      </c>
      <c r="G3725" s="130">
        <v>0</v>
      </c>
      <c r="H3725" s="71">
        <v>8.6</v>
      </c>
      <c r="I3725" s="71">
        <v>11.1</v>
      </c>
      <c r="J3725" s="71">
        <v>13.6</v>
      </c>
      <c r="K3725" s="121">
        <v>5.7999999999999996E-3</v>
      </c>
      <c r="L3725" s="121">
        <v>-7.0000000000000001E-3</v>
      </c>
      <c r="M3725" s="75" t="s">
        <v>146</v>
      </c>
      <c r="N3725" s="75" t="b">
        <v>1</v>
      </c>
      <c r="O3725" s="75" t="s">
        <v>145</v>
      </c>
      <c r="P3725" s="75">
        <v>2014</v>
      </c>
      <c r="Q3725" s="107">
        <f t="shared" si="110"/>
        <v>2018</v>
      </c>
      <c r="R3725" s="107">
        <v>2</v>
      </c>
      <c r="S3725" s="43">
        <v>218031</v>
      </c>
      <c r="T3725" s="74">
        <v>43164</v>
      </c>
    </row>
    <row r="3726" spans="1:20" x14ac:dyDescent="0.3">
      <c r="A3726" s="42">
        <v>43184</v>
      </c>
      <c r="B3726" s="37">
        <f>YEAR(A3726)*10000+MONTH(A3726)*100+DAY(A3726)</f>
        <v>20180325</v>
      </c>
      <c r="C3726" s="109">
        <v>2.29E-2</v>
      </c>
      <c r="D3726" s="109">
        <v>7.0000000000000001E-3</v>
      </c>
      <c r="E3726" s="109">
        <v>8.0000000000000002E-3</v>
      </c>
      <c r="F3726" s="109">
        <v>8.9999999999999993E-3</v>
      </c>
      <c r="G3726" s="130">
        <v>0</v>
      </c>
      <c r="H3726" s="71">
        <v>8.6</v>
      </c>
      <c r="I3726" s="71">
        <v>11.1</v>
      </c>
      <c r="J3726" s="71">
        <v>13.6</v>
      </c>
      <c r="K3726" s="121">
        <v>5.7999999999999996E-3</v>
      </c>
      <c r="L3726" s="121">
        <v>-7.0000000000000001E-3</v>
      </c>
      <c r="M3726" s="75" t="s">
        <v>146</v>
      </c>
      <c r="N3726" s="75" t="b">
        <v>1</v>
      </c>
      <c r="O3726" s="75" t="s">
        <v>145</v>
      </c>
      <c r="P3726" s="75">
        <v>2014</v>
      </c>
      <c r="Q3726" s="107">
        <f t="shared" si="110"/>
        <v>2018</v>
      </c>
      <c r="R3726" s="107">
        <v>2</v>
      </c>
      <c r="S3726" s="43">
        <v>218031</v>
      </c>
      <c r="T3726" s="74">
        <v>43164</v>
      </c>
    </row>
    <row r="3727" spans="1:20" x14ac:dyDescent="0.3">
      <c r="A3727" s="42">
        <v>43185</v>
      </c>
      <c r="B3727" s="37">
        <f t="shared" si="109"/>
        <v>20180326</v>
      </c>
      <c r="C3727" s="109">
        <v>2.3300000000000001E-2</v>
      </c>
      <c r="D3727" s="109">
        <v>7.0000000000000001E-3</v>
      </c>
      <c r="E3727" s="109">
        <v>8.0000000000000002E-3</v>
      </c>
      <c r="F3727" s="109">
        <v>8.9999999999999993E-3</v>
      </c>
      <c r="G3727" s="130">
        <v>0</v>
      </c>
      <c r="H3727" s="71">
        <v>8.6</v>
      </c>
      <c r="I3727" s="71">
        <v>11.1</v>
      </c>
      <c r="J3727" s="71">
        <v>13.6</v>
      </c>
      <c r="K3727" s="121">
        <v>6.1999999999999998E-3</v>
      </c>
      <c r="L3727" s="121">
        <v>-7.0000000000000001E-3</v>
      </c>
      <c r="M3727" s="75" t="s">
        <v>146</v>
      </c>
      <c r="N3727" s="75" t="b">
        <v>1</v>
      </c>
      <c r="O3727" s="75" t="s">
        <v>145</v>
      </c>
      <c r="P3727" s="75">
        <v>2014</v>
      </c>
      <c r="Q3727" s="107">
        <f t="shared" si="110"/>
        <v>2018</v>
      </c>
      <c r="R3727" s="107">
        <v>2</v>
      </c>
      <c r="S3727" s="43">
        <v>218031</v>
      </c>
      <c r="T3727" s="74">
        <v>43164</v>
      </c>
    </row>
    <row r="3728" spans="1:20" x14ac:dyDescent="0.3">
      <c r="A3728" s="42">
        <v>43186</v>
      </c>
      <c r="B3728" s="37">
        <f t="shared" si="109"/>
        <v>20180327</v>
      </c>
      <c r="C3728" s="109">
        <v>2.2499999999999999E-2</v>
      </c>
      <c r="D3728" s="109">
        <v>7.0000000000000001E-3</v>
      </c>
      <c r="E3728" s="109">
        <v>8.0000000000000002E-3</v>
      </c>
      <c r="F3728" s="109">
        <v>8.9999999999999993E-3</v>
      </c>
      <c r="G3728" s="130">
        <v>0</v>
      </c>
      <c r="H3728" s="71">
        <v>8.6</v>
      </c>
      <c r="I3728" s="71">
        <v>11.1</v>
      </c>
      <c r="J3728" s="71">
        <v>13.6</v>
      </c>
      <c r="K3728" s="121">
        <v>5.6999999999999993E-3</v>
      </c>
      <c r="L3728" s="121">
        <v>-7.0000000000000001E-3</v>
      </c>
      <c r="M3728" s="75" t="s">
        <v>146</v>
      </c>
      <c r="N3728" s="75" t="b">
        <v>1</v>
      </c>
      <c r="O3728" s="75" t="s">
        <v>145</v>
      </c>
      <c r="P3728" s="75">
        <v>2014</v>
      </c>
      <c r="Q3728" s="107">
        <f t="shared" si="110"/>
        <v>2018</v>
      </c>
      <c r="R3728" s="107">
        <v>2</v>
      </c>
      <c r="S3728" s="43">
        <v>218031</v>
      </c>
      <c r="T3728" s="74">
        <v>43164</v>
      </c>
    </row>
    <row r="3729" spans="1:21" x14ac:dyDescent="0.3">
      <c r="A3729" s="42">
        <v>43187</v>
      </c>
      <c r="B3729" s="37">
        <f t="shared" si="109"/>
        <v>20180328</v>
      </c>
      <c r="C3729" s="109">
        <v>2.2200000000000001E-2</v>
      </c>
      <c r="D3729" s="109">
        <v>7.0000000000000001E-3</v>
      </c>
      <c r="E3729" s="109">
        <v>8.0000000000000002E-3</v>
      </c>
      <c r="F3729" s="109">
        <v>8.9999999999999993E-3</v>
      </c>
      <c r="G3729" s="130">
        <v>0</v>
      </c>
      <c r="H3729" s="71">
        <v>8.6</v>
      </c>
      <c r="I3729" s="71">
        <v>11.1</v>
      </c>
      <c r="J3729" s="71">
        <v>13.6</v>
      </c>
      <c r="K3729" s="121">
        <v>5.5000000000000005E-3</v>
      </c>
      <c r="L3729" s="121">
        <v>-7.0000000000000001E-3</v>
      </c>
      <c r="M3729" s="75" t="s">
        <v>146</v>
      </c>
      <c r="N3729" s="75" t="b">
        <v>1</v>
      </c>
      <c r="O3729" s="75" t="s">
        <v>145</v>
      </c>
      <c r="P3729" s="75">
        <v>2014</v>
      </c>
      <c r="Q3729" s="107">
        <f t="shared" si="110"/>
        <v>2018</v>
      </c>
      <c r="R3729" s="107">
        <v>2</v>
      </c>
      <c r="S3729" s="43">
        <v>218031</v>
      </c>
      <c r="T3729" s="74">
        <v>43164</v>
      </c>
    </row>
    <row r="3730" spans="1:21" x14ac:dyDescent="0.3">
      <c r="A3730" s="42">
        <v>43188</v>
      </c>
      <c r="B3730" s="37">
        <f t="shared" si="109"/>
        <v>20180329</v>
      </c>
      <c r="C3730" s="109">
        <v>2.2000000000000002E-2</v>
      </c>
      <c r="D3730" s="109">
        <v>7.0000000000000001E-3</v>
      </c>
      <c r="E3730" s="109">
        <v>8.0000000000000002E-3</v>
      </c>
      <c r="F3730" s="109">
        <v>8.9999999999999993E-3</v>
      </c>
      <c r="G3730" s="130">
        <v>0</v>
      </c>
      <c r="H3730" s="71">
        <v>8.6</v>
      </c>
      <c r="I3730" s="71">
        <v>11.1</v>
      </c>
      <c r="J3730" s="71">
        <v>13.6</v>
      </c>
      <c r="K3730" s="121">
        <v>5.3E-3</v>
      </c>
      <c r="L3730" s="121">
        <v>-7.0000000000000001E-3</v>
      </c>
      <c r="M3730" s="75" t="s">
        <v>146</v>
      </c>
      <c r="N3730" s="75" t="b">
        <v>1</v>
      </c>
      <c r="O3730" s="75" t="s">
        <v>145</v>
      </c>
      <c r="P3730" s="75">
        <v>2014</v>
      </c>
      <c r="Q3730" s="107">
        <f t="shared" si="110"/>
        <v>2018</v>
      </c>
      <c r="R3730" s="107">
        <v>2</v>
      </c>
      <c r="S3730" s="43">
        <v>218031</v>
      </c>
      <c r="T3730" s="74">
        <v>43164</v>
      </c>
    </row>
    <row r="3731" spans="1:21" x14ac:dyDescent="0.3">
      <c r="A3731" s="42">
        <v>43189</v>
      </c>
      <c r="B3731" s="37">
        <f t="shared" si="109"/>
        <v>20180330</v>
      </c>
      <c r="C3731" s="109">
        <v>2.2000000000000002E-2</v>
      </c>
      <c r="D3731" s="109">
        <v>7.0000000000000001E-3</v>
      </c>
      <c r="E3731" s="109">
        <v>8.0000000000000002E-3</v>
      </c>
      <c r="F3731" s="109">
        <v>8.9999999999999993E-3</v>
      </c>
      <c r="G3731" s="130">
        <v>0</v>
      </c>
      <c r="H3731" s="71">
        <v>8.6</v>
      </c>
      <c r="I3731" s="71">
        <v>11.1</v>
      </c>
      <c r="J3731" s="71">
        <v>13.6</v>
      </c>
      <c r="K3731" s="121">
        <v>5.3E-3</v>
      </c>
      <c r="L3731" s="121">
        <v>-7.0000000000000001E-3</v>
      </c>
      <c r="M3731" s="75" t="s">
        <v>146</v>
      </c>
      <c r="N3731" s="75" t="b">
        <v>1</v>
      </c>
      <c r="O3731" s="75" t="s">
        <v>145</v>
      </c>
      <c r="P3731" s="75">
        <v>2014</v>
      </c>
      <c r="Q3731" s="107">
        <f t="shared" si="110"/>
        <v>2018</v>
      </c>
      <c r="R3731" s="107">
        <v>2</v>
      </c>
      <c r="S3731" s="43">
        <v>218031</v>
      </c>
      <c r="T3731" s="74">
        <v>43164</v>
      </c>
    </row>
    <row r="3732" spans="1:21" s="116" customFormat="1" x14ac:dyDescent="0.3">
      <c r="A3732" s="110">
        <v>43190</v>
      </c>
      <c r="B3732" s="132">
        <f>YEAR(A3732)*10000+MONTH(A3732)*100+DAY(A3732)</f>
        <v>20180331</v>
      </c>
      <c r="C3732" s="111">
        <v>2.2000000000000002E-2</v>
      </c>
      <c r="D3732" s="111">
        <v>7.0000000000000001E-3</v>
      </c>
      <c r="E3732" s="111">
        <v>8.0000000000000002E-3</v>
      </c>
      <c r="F3732" s="111">
        <v>8.9999999999999993E-3</v>
      </c>
      <c r="G3732" s="133">
        <v>0</v>
      </c>
      <c r="H3732" s="124">
        <v>8.5</v>
      </c>
      <c r="I3732" s="112">
        <v>11.1</v>
      </c>
      <c r="J3732" s="112">
        <v>13.6</v>
      </c>
      <c r="K3732" s="131">
        <v>5.3E-3</v>
      </c>
      <c r="L3732" s="131">
        <v>-7.0000000000000001E-3</v>
      </c>
      <c r="M3732" s="98" t="s">
        <v>146</v>
      </c>
      <c r="N3732" s="98" t="b">
        <v>1</v>
      </c>
      <c r="O3732" s="98" t="s">
        <v>145</v>
      </c>
      <c r="P3732" s="98">
        <v>2014</v>
      </c>
      <c r="Q3732" s="105">
        <f t="shared" si="110"/>
        <v>2018</v>
      </c>
      <c r="R3732" s="105">
        <v>2</v>
      </c>
      <c r="S3732" s="127">
        <v>218046</v>
      </c>
      <c r="T3732" s="128">
        <v>43215</v>
      </c>
      <c r="U3732" s="104" t="s">
        <v>176</v>
      </c>
    </row>
    <row r="3733" spans="1:21" x14ac:dyDescent="0.3">
      <c r="A3733" s="42">
        <v>43191</v>
      </c>
      <c r="B3733" s="37">
        <f>YEAR(A3733)*10000+MONTH(A3733)*100+DAY(A3733)</f>
        <v>20180401</v>
      </c>
      <c r="C3733" s="109">
        <v>2.2000000000000002E-2</v>
      </c>
      <c r="D3733" s="109">
        <v>7.0000000000000001E-3</v>
      </c>
      <c r="E3733" s="109">
        <v>8.0000000000000002E-3</v>
      </c>
      <c r="F3733" s="109">
        <v>8.9999999999999993E-3</v>
      </c>
      <c r="G3733" s="130">
        <v>0</v>
      </c>
      <c r="H3733" s="71">
        <v>8.6</v>
      </c>
      <c r="I3733" s="71">
        <v>11.1</v>
      </c>
      <c r="J3733" s="71">
        <v>13.6</v>
      </c>
      <c r="K3733" s="121">
        <v>5.3E-3</v>
      </c>
      <c r="L3733" s="121">
        <v>-7.0000000000000001E-3</v>
      </c>
      <c r="M3733" s="75" t="s">
        <v>146</v>
      </c>
      <c r="N3733" s="75" t="b">
        <v>1</v>
      </c>
      <c r="O3733" s="75" t="s">
        <v>145</v>
      </c>
      <c r="P3733" s="75">
        <v>2014</v>
      </c>
      <c r="Q3733" s="107">
        <f t="shared" si="110"/>
        <v>2018</v>
      </c>
      <c r="R3733" s="107">
        <v>2</v>
      </c>
      <c r="S3733" s="43">
        <v>218046</v>
      </c>
      <c r="T3733" s="74">
        <v>43215</v>
      </c>
    </row>
    <row r="3734" spans="1:21" x14ac:dyDescent="0.3">
      <c r="A3734" s="42">
        <v>43192</v>
      </c>
      <c r="B3734" s="37">
        <f t="shared" si="109"/>
        <v>20180402</v>
      </c>
      <c r="C3734" s="109">
        <v>2.2200000000000001E-2</v>
      </c>
      <c r="D3734" s="109">
        <v>7.0000000000000001E-3</v>
      </c>
      <c r="E3734" s="109">
        <v>8.0000000000000002E-3</v>
      </c>
      <c r="F3734" s="109">
        <v>8.9999999999999993E-3</v>
      </c>
      <c r="G3734" s="130">
        <v>0</v>
      </c>
      <c r="H3734" s="71">
        <v>8.6</v>
      </c>
      <c r="I3734" s="71">
        <v>11.1</v>
      </c>
      <c r="J3734" s="71">
        <v>13.6</v>
      </c>
      <c r="K3734" s="121">
        <v>5.6000000000000008E-3</v>
      </c>
      <c r="L3734" s="121">
        <v>-7.0000000000000001E-3</v>
      </c>
      <c r="M3734" s="75" t="s">
        <v>146</v>
      </c>
      <c r="N3734" s="75" t="b">
        <v>1</v>
      </c>
      <c r="O3734" s="75" t="s">
        <v>145</v>
      </c>
      <c r="P3734" s="75">
        <v>2014</v>
      </c>
      <c r="Q3734" s="107">
        <f t="shared" si="110"/>
        <v>2018</v>
      </c>
      <c r="R3734" s="107">
        <v>2</v>
      </c>
      <c r="S3734" s="43">
        <v>218046</v>
      </c>
      <c r="T3734" s="74">
        <v>43215</v>
      </c>
    </row>
    <row r="3735" spans="1:21" x14ac:dyDescent="0.3">
      <c r="A3735" s="42">
        <v>43193</v>
      </c>
      <c r="B3735" s="37">
        <f t="shared" si="109"/>
        <v>20180403</v>
      </c>
      <c r="C3735" s="109">
        <v>2.2599999999999999E-2</v>
      </c>
      <c r="D3735" s="109">
        <v>7.0000000000000001E-3</v>
      </c>
      <c r="E3735" s="109">
        <v>8.0000000000000002E-3</v>
      </c>
      <c r="F3735" s="109">
        <v>8.9999999999999993E-3</v>
      </c>
      <c r="G3735" s="130">
        <v>0</v>
      </c>
      <c r="H3735" s="71">
        <v>8.6</v>
      </c>
      <c r="I3735" s="71">
        <v>11.1</v>
      </c>
      <c r="J3735" s="71">
        <v>13.6</v>
      </c>
      <c r="K3735" s="121">
        <v>6.0000000000000001E-3</v>
      </c>
      <c r="L3735" s="121">
        <v>-7.0000000000000001E-3</v>
      </c>
      <c r="M3735" s="75" t="s">
        <v>146</v>
      </c>
      <c r="N3735" s="75" t="b">
        <v>1</v>
      </c>
      <c r="O3735" s="75" t="s">
        <v>145</v>
      </c>
      <c r="P3735" s="75">
        <v>2014</v>
      </c>
      <c r="Q3735" s="107">
        <f t="shared" si="110"/>
        <v>2018</v>
      </c>
      <c r="R3735" s="107">
        <v>2</v>
      </c>
      <c r="S3735" s="43">
        <v>218046</v>
      </c>
      <c r="T3735" s="74">
        <v>43215</v>
      </c>
    </row>
    <row r="3736" spans="1:21" x14ac:dyDescent="0.3">
      <c r="A3736" s="42">
        <v>43194</v>
      </c>
      <c r="B3736" s="37">
        <f t="shared" si="109"/>
        <v>20180404</v>
      </c>
      <c r="C3736" s="109">
        <v>2.29E-2</v>
      </c>
      <c r="D3736" s="109">
        <v>7.0000000000000001E-3</v>
      </c>
      <c r="E3736" s="109">
        <v>8.0000000000000002E-3</v>
      </c>
      <c r="F3736" s="109">
        <v>8.9999999999999993E-3</v>
      </c>
      <c r="G3736" s="130">
        <v>0</v>
      </c>
      <c r="H3736" s="71">
        <v>8.6</v>
      </c>
      <c r="I3736" s="71">
        <v>11.1</v>
      </c>
      <c r="J3736" s="71">
        <v>13.6</v>
      </c>
      <c r="K3736" s="121">
        <v>6.4000000000000003E-3</v>
      </c>
      <c r="L3736" s="121">
        <v>-7.0000000000000001E-3</v>
      </c>
      <c r="M3736" s="75" t="s">
        <v>146</v>
      </c>
      <c r="N3736" s="75" t="b">
        <v>1</v>
      </c>
      <c r="O3736" s="75" t="s">
        <v>145</v>
      </c>
      <c r="P3736" s="75">
        <v>2014</v>
      </c>
      <c r="Q3736" s="107">
        <f t="shared" si="110"/>
        <v>2018</v>
      </c>
      <c r="R3736" s="107">
        <v>2</v>
      </c>
      <c r="S3736" s="43">
        <v>218046</v>
      </c>
      <c r="T3736" s="74">
        <v>43215</v>
      </c>
    </row>
    <row r="3737" spans="1:21" x14ac:dyDescent="0.3">
      <c r="A3737" s="42">
        <v>43195</v>
      </c>
      <c r="B3737" s="37">
        <f t="shared" si="109"/>
        <v>20180405</v>
      </c>
      <c r="C3737" s="109">
        <v>2.3099999999999999E-2</v>
      </c>
      <c r="D3737" s="109">
        <v>7.0000000000000001E-3</v>
      </c>
      <c r="E3737" s="109">
        <v>8.0000000000000002E-3</v>
      </c>
      <c r="F3737" s="109">
        <v>8.9999999999999993E-3</v>
      </c>
      <c r="G3737" s="130">
        <v>0</v>
      </c>
      <c r="H3737" s="71">
        <v>8.6</v>
      </c>
      <c r="I3737" s="71">
        <v>11.1</v>
      </c>
      <c r="J3737" s="71">
        <v>13.6</v>
      </c>
      <c r="K3737" s="121">
        <v>6.5000000000000006E-3</v>
      </c>
      <c r="L3737" s="121">
        <v>-7.0000000000000001E-3</v>
      </c>
      <c r="M3737" s="75" t="s">
        <v>146</v>
      </c>
      <c r="N3737" s="75" t="b">
        <v>1</v>
      </c>
      <c r="O3737" s="75" t="s">
        <v>145</v>
      </c>
      <c r="P3737" s="75">
        <v>2014</v>
      </c>
      <c r="Q3737" s="107">
        <f t="shared" si="110"/>
        <v>2018</v>
      </c>
      <c r="R3737" s="107">
        <v>2</v>
      </c>
      <c r="S3737" s="43">
        <v>218046</v>
      </c>
      <c r="T3737" s="74">
        <v>43215</v>
      </c>
    </row>
    <row r="3738" spans="1:21" x14ac:dyDescent="0.3">
      <c r="A3738" s="42">
        <v>43196</v>
      </c>
      <c r="B3738" s="37">
        <f t="shared" si="109"/>
        <v>20180406</v>
      </c>
      <c r="C3738" s="109">
        <v>2.2700000000000001E-2</v>
      </c>
      <c r="D3738" s="109">
        <v>7.0000000000000001E-3</v>
      </c>
      <c r="E3738" s="109">
        <v>8.0000000000000002E-3</v>
      </c>
      <c r="F3738" s="109">
        <v>8.9999999999999993E-3</v>
      </c>
      <c r="G3738" s="130">
        <v>0</v>
      </c>
      <c r="H3738" s="71">
        <v>8.6</v>
      </c>
      <c r="I3738" s="71">
        <v>11.1</v>
      </c>
      <c r="J3738" s="71">
        <v>13.6</v>
      </c>
      <c r="K3738" s="121">
        <v>6.1999999999999998E-3</v>
      </c>
      <c r="L3738" s="121">
        <v>-7.0000000000000001E-3</v>
      </c>
      <c r="M3738" s="75" t="s">
        <v>146</v>
      </c>
      <c r="N3738" s="75" t="b">
        <v>1</v>
      </c>
      <c r="O3738" s="75" t="s">
        <v>145</v>
      </c>
      <c r="P3738" s="75">
        <v>2014</v>
      </c>
      <c r="Q3738" s="107">
        <f t="shared" si="110"/>
        <v>2018</v>
      </c>
      <c r="R3738" s="107">
        <v>2</v>
      </c>
      <c r="S3738" s="43">
        <v>218046</v>
      </c>
      <c r="T3738" s="74">
        <v>43215</v>
      </c>
    </row>
    <row r="3739" spans="1:21" x14ac:dyDescent="0.3">
      <c r="A3739" s="42">
        <v>43197</v>
      </c>
      <c r="B3739" s="37">
        <f>YEAR(A3739)*10000+MONTH(A3739)*100+DAY(A3739)</f>
        <v>20180407</v>
      </c>
      <c r="C3739" s="109">
        <v>2.2700000000000001E-2</v>
      </c>
      <c r="D3739" s="109">
        <v>7.0000000000000001E-3</v>
      </c>
      <c r="E3739" s="109">
        <v>8.0000000000000002E-3</v>
      </c>
      <c r="F3739" s="109">
        <v>8.9999999999999993E-3</v>
      </c>
      <c r="G3739" s="130">
        <v>0</v>
      </c>
      <c r="H3739" s="71">
        <v>8.6</v>
      </c>
      <c r="I3739" s="71">
        <v>11.1</v>
      </c>
      <c r="J3739" s="71">
        <v>13.6</v>
      </c>
      <c r="K3739" s="121">
        <v>6.1999999999999998E-3</v>
      </c>
      <c r="L3739" s="121">
        <v>-7.0000000000000001E-3</v>
      </c>
      <c r="M3739" s="75" t="s">
        <v>146</v>
      </c>
      <c r="N3739" s="75" t="b">
        <v>1</v>
      </c>
      <c r="O3739" s="75" t="s">
        <v>145</v>
      </c>
      <c r="P3739" s="75">
        <v>2014</v>
      </c>
      <c r="Q3739" s="107">
        <f t="shared" si="110"/>
        <v>2018</v>
      </c>
      <c r="R3739" s="107">
        <v>2</v>
      </c>
      <c r="S3739" s="43">
        <v>218046</v>
      </c>
      <c r="T3739" s="74">
        <v>43215</v>
      </c>
    </row>
    <row r="3740" spans="1:21" x14ac:dyDescent="0.3">
      <c r="A3740" s="42">
        <v>43198</v>
      </c>
      <c r="B3740" s="37">
        <f>YEAR(A3740)*10000+MONTH(A3740)*100+DAY(A3740)</f>
        <v>20180408</v>
      </c>
      <c r="C3740" s="109">
        <v>2.2700000000000001E-2</v>
      </c>
      <c r="D3740" s="109">
        <v>7.0000000000000001E-3</v>
      </c>
      <c r="E3740" s="109">
        <v>8.0000000000000002E-3</v>
      </c>
      <c r="F3740" s="109">
        <v>8.9999999999999993E-3</v>
      </c>
      <c r="G3740" s="130">
        <v>0</v>
      </c>
      <c r="H3740" s="71">
        <v>8.6</v>
      </c>
      <c r="I3740" s="71">
        <v>11.1</v>
      </c>
      <c r="J3740" s="71">
        <v>13.6</v>
      </c>
      <c r="K3740" s="121">
        <v>6.1999999999999998E-3</v>
      </c>
      <c r="L3740" s="121">
        <v>-7.0000000000000001E-3</v>
      </c>
      <c r="M3740" s="75" t="s">
        <v>146</v>
      </c>
      <c r="N3740" s="75" t="b">
        <v>1</v>
      </c>
      <c r="O3740" s="75" t="s">
        <v>145</v>
      </c>
      <c r="P3740" s="75">
        <v>2014</v>
      </c>
      <c r="Q3740" s="107">
        <f t="shared" si="110"/>
        <v>2018</v>
      </c>
      <c r="R3740" s="107">
        <v>2</v>
      </c>
      <c r="S3740" s="43">
        <v>218046</v>
      </c>
      <c r="T3740" s="74">
        <v>43215</v>
      </c>
    </row>
    <row r="3741" spans="1:21" x14ac:dyDescent="0.3">
      <c r="A3741" s="42">
        <v>43199</v>
      </c>
      <c r="B3741" s="37">
        <f t="shared" si="109"/>
        <v>20180409</v>
      </c>
      <c r="C3741" s="109">
        <v>2.2599999999999999E-2</v>
      </c>
      <c r="D3741" s="109">
        <v>7.0000000000000001E-3</v>
      </c>
      <c r="E3741" s="109">
        <v>8.0000000000000002E-3</v>
      </c>
      <c r="F3741" s="109">
        <v>8.9999999999999993E-3</v>
      </c>
      <c r="G3741" s="130">
        <v>0</v>
      </c>
      <c r="H3741" s="71">
        <v>8.6</v>
      </c>
      <c r="I3741" s="71">
        <v>11.1</v>
      </c>
      <c r="J3741" s="71">
        <v>13.6</v>
      </c>
      <c r="K3741" s="121">
        <v>6.0000000000000001E-3</v>
      </c>
      <c r="L3741" s="121">
        <v>-7.0000000000000001E-3</v>
      </c>
      <c r="M3741" s="75" t="s">
        <v>146</v>
      </c>
      <c r="N3741" s="75" t="b">
        <v>1</v>
      </c>
      <c r="O3741" s="75" t="s">
        <v>145</v>
      </c>
      <c r="P3741" s="75">
        <v>2014</v>
      </c>
      <c r="Q3741" s="107">
        <f t="shared" si="110"/>
        <v>2018</v>
      </c>
      <c r="R3741" s="107">
        <v>2</v>
      </c>
      <c r="S3741" s="43">
        <v>218046</v>
      </c>
      <c r="T3741" s="74">
        <v>43215</v>
      </c>
    </row>
    <row r="3742" spans="1:21" x14ac:dyDescent="0.3">
      <c r="A3742" s="42">
        <v>43200</v>
      </c>
      <c r="B3742" s="37">
        <f t="shared" si="109"/>
        <v>20180410</v>
      </c>
      <c r="C3742" s="109">
        <v>2.29E-2</v>
      </c>
      <c r="D3742" s="109">
        <v>7.0000000000000001E-3</v>
      </c>
      <c r="E3742" s="109">
        <v>8.0000000000000002E-3</v>
      </c>
      <c r="F3742" s="109">
        <v>8.9999999999999993E-3</v>
      </c>
      <c r="G3742" s="130">
        <v>0</v>
      </c>
      <c r="H3742" s="71">
        <v>8.6</v>
      </c>
      <c r="I3742" s="71">
        <v>11.1</v>
      </c>
      <c r="J3742" s="71">
        <v>13.6</v>
      </c>
      <c r="K3742" s="121">
        <v>6.0999999999999995E-3</v>
      </c>
      <c r="L3742" s="121">
        <v>-7.0000000000000001E-3</v>
      </c>
      <c r="M3742" s="75" t="s">
        <v>146</v>
      </c>
      <c r="N3742" s="75" t="b">
        <v>1</v>
      </c>
      <c r="O3742" s="75" t="s">
        <v>145</v>
      </c>
      <c r="P3742" s="75">
        <v>2014</v>
      </c>
      <c r="Q3742" s="107">
        <f t="shared" si="110"/>
        <v>2018</v>
      </c>
      <c r="R3742" s="107">
        <v>2</v>
      </c>
      <c r="S3742" s="43">
        <v>218046</v>
      </c>
      <c r="T3742" s="74">
        <v>43215</v>
      </c>
    </row>
    <row r="3743" spans="1:21" x14ac:dyDescent="0.3">
      <c r="A3743" s="42">
        <v>43201</v>
      </c>
      <c r="B3743" s="37">
        <f t="shared" si="109"/>
        <v>20180411</v>
      </c>
      <c r="C3743" s="109">
        <v>2.3E-2</v>
      </c>
      <c r="D3743" s="109">
        <v>7.0000000000000001E-3</v>
      </c>
      <c r="E3743" s="109">
        <v>8.0000000000000002E-3</v>
      </c>
      <c r="F3743" s="109">
        <v>8.9999999999999993E-3</v>
      </c>
      <c r="G3743" s="130">
        <v>0</v>
      </c>
      <c r="H3743" s="71">
        <v>8.6</v>
      </c>
      <c r="I3743" s="71">
        <v>11.1</v>
      </c>
      <c r="J3743" s="71">
        <v>13.6</v>
      </c>
      <c r="K3743" s="121">
        <v>6.0999999999999995E-3</v>
      </c>
      <c r="L3743" s="121">
        <v>-7.0000000000000001E-3</v>
      </c>
      <c r="M3743" s="75" t="s">
        <v>146</v>
      </c>
      <c r="N3743" s="75" t="b">
        <v>1</v>
      </c>
      <c r="O3743" s="75" t="s">
        <v>145</v>
      </c>
      <c r="P3743" s="75">
        <v>2014</v>
      </c>
      <c r="Q3743" s="107">
        <f t="shared" si="110"/>
        <v>2018</v>
      </c>
      <c r="R3743" s="107">
        <v>2</v>
      </c>
      <c r="S3743" s="43">
        <v>218046</v>
      </c>
      <c r="T3743" s="74">
        <v>43215</v>
      </c>
    </row>
    <row r="3744" spans="1:21" x14ac:dyDescent="0.3">
      <c r="A3744" s="42">
        <v>43202</v>
      </c>
      <c r="B3744" s="37">
        <f t="shared" si="109"/>
        <v>20180412</v>
      </c>
      <c r="C3744" s="109">
        <v>2.3599999999999999E-2</v>
      </c>
      <c r="D3744" s="109">
        <v>7.0000000000000001E-3</v>
      </c>
      <c r="E3744" s="109">
        <v>8.0000000000000002E-3</v>
      </c>
      <c r="F3744" s="109">
        <v>8.9999999999999993E-3</v>
      </c>
      <c r="G3744" s="130">
        <v>0</v>
      </c>
      <c r="H3744" s="71">
        <v>8.6</v>
      </c>
      <c r="I3744" s="71">
        <v>11.1</v>
      </c>
      <c r="J3744" s="71">
        <v>13.6</v>
      </c>
      <c r="K3744" s="121">
        <v>6.5000000000000006E-3</v>
      </c>
      <c r="L3744" s="121">
        <v>-7.0000000000000001E-3</v>
      </c>
      <c r="M3744" s="75" t="s">
        <v>146</v>
      </c>
      <c r="N3744" s="75" t="b">
        <v>1</v>
      </c>
      <c r="O3744" s="75" t="s">
        <v>145</v>
      </c>
      <c r="P3744" s="75">
        <v>2014</v>
      </c>
      <c r="Q3744" s="107">
        <f t="shared" si="110"/>
        <v>2018</v>
      </c>
      <c r="R3744" s="107">
        <v>2</v>
      </c>
      <c r="S3744" s="43">
        <v>218046</v>
      </c>
      <c r="T3744" s="74">
        <v>43215</v>
      </c>
    </row>
    <row r="3745" spans="1:21" x14ac:dyDescent="0.3">
      <c r="A3745" s="42">
        <v>43203</v>
      </c>
      <c r="B3745" s="37">
        <f t="shared" si="109"/>
        <v>20180413</v>
      </c>
      <c r="C3745" s="109">
        <v>2.3199999999999998E-2</v>
      </c>
      <c r="D3745" s="109">
        <v>7.0000000000000001E-3</v>
      </c>
      <c r="E3745" s="109">
        <v>8.0000000000000002E-3</v>
      </c>
      <c r="F3745" s="109">
        <v>8.9999999999999993E-3</v>
      </c>
      <c r="G3745" s="130">
        <v>0</v>
      </c>
      <c r="H3745" s="71">
        <v>8.6</v>
      </c>
      <c r="I3745" s="71">
        <v>11.1</v>
      </c>
      <c r="J3745" s="71">
        <v>13.6</v>
      </c>
      <c r="K3745" s="121">
        <v>6.0999999999999995E-3</v>
      </c>
      <c r="L3745" s="121">
        <v>-7.0000000000000001E-3</v>
      </c>
      <c r="M3745" s="75" t="s">
        <v>146</v>
      </c>
      <c r="N3745" s="75" t="b">
        <v>1</v>
      </c>
      <c r="O3745" s="75" t="s">
        <v>145</v>
      </c>
      <c r="P3745" s="75">
        <v>2014</v>
      </c>
      <c r="Q3745" s="107">
        <f t="shared" si="110"/>
        <v>2018</v>
      </c>
      <c r="R3745" s="107">
        <v>2</v>
      </c>
      <c r="S3745" s="43">
        <v>218046</v>
      </c>
      <c r="T3745" s="74">
        <v>43215</v>
      </c>
    </row>
    <row r="3746" spans="1:21" x14ac:dyDescent="0.3">
      <c r="A3746" s="42">
        <v>43204</v>
      </c>
      <c r="B3746" s="37">
        <f>YEAR(A3746)*10000+MONTH(A3746)*100+DAY(A3746)</f>
        <v>20180414</v>
      </c>
      <c r="C3746" s="109">
        <v>2.3199999999999998E-2</v>
      </c>
      <c r="D3746" s="109">
        <v>7.0000000000000001E-3</v>
      </c>
      <c r="E3746" s="109">
        <v>8.0000000000000002E-3</v>
      </c>
      <c r="F3746" s="109">
        <v>8.9999999999999993E-3</v>
      </c>
      <c r="G3746" s="130">
        <v>0</v>
      </c>
      <c r="H3746" s="71">
        <v>8.6</v>
      </c>
      <c r="I3746" s="71">
        <v>11.1</v>
      </c>
      <c r="J3746" s="71">
        <v>13.6</v>
      </c>
      <c r="K3746" s="121">
        <v>6.0999999999999995E-3</v>
      </c>
      <c r="L3746" s="121">
        <v>-7.0000000000000001E-3</v>
      </c>
      <c r="M3746" s="75" t="s">
        <v>146</v>
      </c>
      <c r="N3746" s="75" t="b">
        <v>1</v>
      </c>
      <c r="O3746" s="75" t="s">
        <v>145</v>
      </c>
      <c r="P3746" s="75">
        <v>2014</v>
      </c>
      <c r="Q3746" s="107">
        <f t="shared" si="110"/>
        <v>2018</v>
      </c>
      <c r="R3746" s="107">
        <v>2</v>
      </c>
      <c r="S3746" s="43">
        <v>218046</v>
      </c>
      <c r="T3746" s="74">
        <v>43215</v>
      </c>
    </row>
    <row r="3747" spans="1:21" x14ac:dyDescent="0.3">
      <c r="A3747" s="42">
        <v>43205</v>
      </c>
      <c r="B3747" s="37">
        <f>YEAR(A3747)*10000+MONTH(A3747)*100+DAY(A3747)</f>
        <v>20180415</v>
      </c>
      <c r="C3747" s="109">
        <v>2.3199999999999998E-2</v>
      </c>
      <c r="D3747" s="109">
        <v>7.0000000000000001E-3</v>
      </c>
      <c r="E3747" s="109">
        <v>8.0000000000000002E-3</v>
      </c>
      <c r="F3747" s="109">
        <v>8.9999999999999993E-3</v>
      </c>
      <c r="G3747" s="130">
        <v>0</v>
      </c>
      <c r="H3747" s="71">
        <v>8.6</v>
      </c>
      <c r="I3747" s="71">
        <v>11.1</v>
      </c>
      <c r="J3747" s="71">
        <v>13.6</v>
      </c>
      <c r="K3747" s="121">
        <v>6.0999999999999995E-3</v>
      </c>
      <c r="L3747" s="121">
        <v>-7.0000000000000001E-3</v>
      </c>
      <c r="M3747" s="75" t="s">
        <v>146</v>
      </c>
      <c r="N3747" s="75" t="b">
        <v>1</v>
      </c>
      <c r="O3747" s="75" t="s">
        <v>145</v>
      </c>
      <c r="P3747" s="75">
        <v>2014</v>
      </c>
      <c r="Q3747" s="107">
        <f t="shared" si="110"/>
        <v>2018</v>
      </c>
      <c r="R3747" s="107">
        <v>2</v>
      </c>
      <c r="S3747" s="43">
        <v>218046</v>
      </c>
      <c r="T3747" s="74">
        <v>43215</v>
      </c>
    </row>
    <row r="3748" spans="1:21" x14ac:dyDescent="0.3">
      <c r="A3748" s="42">
        <v>43206</v>
      </c>
      <c r="B3748" s="37">
        <f t="shared" si="109"/>
        <v>20180416</v>
      </c>
      <c r="C3748" s="109">
        <v>2.35E-2</v>
      </c>
      <c r="D3748" s="109">
        <v>7.0000000000000001E-3</v>
      </c>
      <c r="E3748" s="109">
        <v>8.0000000000000002E-3</v>
      </c>
      <c r="F3748" s="109">
        <v>8.9999999999999993E-3</v>
      </c>
      <c r="G3748" s="130">
        <v>0</v>
      </c>
      <c r="H3748" s="71">
        <v>8.6</v>
      </c>
      <c r="I3748" s="71">
        <v>11.1</v>
      </c>
      <c r="J3748" s="71">
        <v>13.6</v>
      </c>
      <c r="K3748" s="121">
        <v>6.4000000000000003E-3</v>
      </c>
      <c r="L3748" s="121">
        <v>-7.0000000000000001E-3</v>
      </c>
      <c r="M3748" s="75" t="s">
        <v>146</v>
      </c>
      <c r="N3748" s="75" t="b">
        <v>1</v>
      </c>
      <c r="O3748" s="75" t="s">
        <v>145</v>
      </c>
      <c r="P3748" s="75">
        <v>2014</v>
      </c>
      <c r="Q3748" s="107">
        <f t="shared" si="110"/>
        <v>2018</v>
      </c>
      <c r="R3748" s="107">
        <v>2</v>
      </c>
      <c r="S3748" s="43">
        <v>218046</v>
      </c>
      <c r="T3748" s="74">
        <v>43215</v>
      </c>
    </row>
    <row r="3749" spans="1:21" x14ac:dyDescent="0.3">
      <c r="A3749" s="42">
        <v>43207</v>
      </c>
      <c r="B3749" s="37">
        <f t="shared" si="109"/>
        <v>20180417</v>
      </c>
      <c r="C3749" s="109">
        <v>2.3199999999999998E-2</v>
      </c>
      <c r="D3749" s="109">
        <v>7.0000000000000001E-3</v>
      </c>
      <c r="E3749" s="109">
        <v>8.0000000000000002E-3</v>
      </c>
      <c r="F3749" s="109">
        <v>8.9999999999999993E-3</v>
      </c>
      <c r="G3749" s="130">
        <v>0</v>
      </c>
      <c r="H3749" s="71">
        <v>8.6</v>
      </c>
      <c r="I3749" s="71">
        <v>11.1</v>
      </c>
      <c r="J3749" s="71">
        <v>13.6</v>
      </c>
      <c r="K3749" s="121">
        <v>6.0000000000000001E-3</v>
      </c>
      <c r="L3749" s="121">
        <v>-7.0000000000000001E-3</v>
      </c>
      <c r="M3749" s="75" t="s">
        <v>146</v>
      </c>
      <c r="N3749" s="75" t="b">
        <v>1</v>
      </c>
      <c r="O3749" s="75" t="s">
        <v>145</v>
      </c>
      <c r="P3749" s="75">
        <v>2014</v>
      </c>
      <c r="Q3749" s="107">
        <f t="shared" si="110"/>
        <v>2018</v>
      </c>
      <c r="R3749" s="107">
        <v>2</v>
      </c>
      <c r="S3749" s="43">
        <v>218046</v>
      </c>
      <c r="T3749" s="74">
        <v>43215</v>
      </c>
    </row>
    <row r="3750" spans="1:21" x14ac:dyDescent="0.3">
      <c r="A3750" s="42">
        <v>43208</v>
      </c>
      <c r="B3750" s="37">
        <f t="shared" si="109"/>
        <v>20180418</v>
      </c>
      <c r="C3750" s="109">
        <v>2.3599999999999999E-2</v>
      </c>
      <c r="D3750" s="109">
        <v>7.0000000000000001E-3</v>
      </c>
      <c r="E3750" s="109">
        <v>8.0000000000000002E-3</v>
      </c>
      <c r="F3750" s="109">
        <v>8.9999999999999993E-3</v>
      </c>
      <c r="G3750" s="130">
        <v>0</v>
      </c>
      <c r="H3750" s="71">
        <v>8.6</v>
      </c>
      <c r="I3750" s="71">
        <v>11.1</v>
      </c>
      <c r="J3750" s="71">
        <v>13.6</v>
      </c>
      <c r="K3750" s="121">
        <v>6.4000000000000003E-3</v>
      </c>
      <c r="L3750" s="121">
        <v>-7.0000000000000001E-3</v>
      </c>
      <c r="M3750" s="75" t="s">
        <v>146</v>
      </c>
      <c r="N3750" s="75" t="b">
        <v>1</v>
      </c>
      <c r="O3750" s="75" t="s">
        <v>145</v>
      </c>
      <c r="P3750" s="75">
        <v>2014</v>
      </c>
      <c r="Q3750" s="107">
        <f t="shared" si="110"/>
        <v>2018</v>
      </c>
      <c r="R3750" s="107">
        <v>2</v>
      </c>
      <c r="S3750" s="43">
        <v>218046</v>
      </c>
      <c r="T3750" s="74">
        <v>43215</v>
      </c>
    </row>
    <row r="3751" spans="1:21" x14ac:dyDescent="0.3">
      <c r="A3751" s="42">
        <v>43209</v>
      </c>
      <c r="B3751" s="37">
        <f t="shared" si="109"/>
        <v>20180419</v>
      </c>
      <c r="C3751" s="109">
        <v>2.4E-2</v>
      </c>
      <c r="D3751" s="109">
        <v>7.0000000000000001E-3</v>
      </c>
      <c r="E3751" s="109">
        <v>8.0000000000000002E-3</v>
      </c>
      <c r="F3751" s="109">
        <v>8.9999999999999993E-3</v>
      </c>
      <c r="G3751" s="130">
        <v>0</v>
      </c>
      <c r="H3751" s="71">
        <v>8.6</v>
      </c>
      <c r="I3751" s="71">
        <v>11.1</v>
      </c>
      <c r="J3751" s="71">
        <v>13.6</v>
      </c>
      <c r="K3751" s="121">
        <v>6.7000000000000002E-3</v>
      </c>
      <c r="L3751" s="121">
        <v>-7.0000000000000001E-3</v>
      </c>
      <c r="M3751" s="75" t="s">
        <v>146</v>
      </c>
      <c r="N3751" s="75" t="b">
        <v>1</v>
      </c>
      <c r="O3751" s="75" t="s">
        <v>145</v>
      </c>
      <c r="P3751" s="75">
        <v>2014</v>
      </c>
      <c r="Q3751" s="107">
        <f t="shared" si="110"/>
        <v>2018</v>
      </c>
      <c r="R3751" s="107">
        <v>2</v>
      </c>
      <c r="S3751" s="43">
        <v>218046</v>
      </c>
      <c r="T3751" s="74">
        <v>43215</v>
      </c>
    </row>
    <row r="3752" spans="1:21" x14ac:dyDescent="0.3">
      <c r="A3752" s="42">
        <v>43210</v>
      </c>
      <c r="B3752" s="37">
        <f t="shared" si="109"/>
        <v>20180420</v>
      </c>
      <c r="C3752" s="109">
        <v>2.4199999999999999E-2</v>
      </c>
      <c r="D3752" s="109">
        <v>7.0000000000000001E-3</v>
      </c>
      <c r="E3752" s="109">
        <v>8.0000000000000002E-3</v>
      </c>
      <c r="F3752" s="109">
        <v>8.9999999999999993E-3</v>
      </c>
      <c r="G3752" s="130">
        <v>0</v>
      </c>
      <c r="H3752" s="71">
        <v>8.6</v>
      </c>
      <c r="I3752" s="71">
        <v>11.1</v>
      </c>
      <c r="J3752" s="71">
        <v>13.6</v>
      </c>
      <c r="K3752" s="121">
        <v>6.8999999999999999E-3</v>
      </c>
      <c r="L3752" s="121">
        <v>-7.0000000000000001E-3</v>
      </c>
      <c r="M3752" s="75" t="s">
        <v>146</v>
      </c>
      <c r="N3752" s="75" t="b">
        <v>1</v>
      </c>
      <c r="O3752" s="75" t="s">
        <v>145</v>
      </c>
      <c r="P3752" s="75">
        <v>2014</v>
      </c>
      <c r="Q3752" s="107">
        <f t="shared" si="110"/>
        <v>2018</v>
      </c>
      <c r="R3752" s="107">
        <v>2</v>
      </c>
      <c r="S3752" s="43">
        <v>218046</v>
      </c>
      <c r="T3752" s="74">
        <v>43215</v>
      </c>
    </row>
    <row r="3753" spans="1:21" x14ac:dyDescent="0.3">
      <c r="A3753" s="42">
        <v>43211</v>
      </c>
      <c r="B3753" s="37">
        <f>YEAR(A3753)*10000+MONTH(A3753)*100+DAY(A3753)</f>
        <v>20180421</v>
      </c>
      <c r="C3753" s="109">
        <v>2.4199999999999999E-2</v>
      </c>
      <c r="D3753" s="109">
        <v>7.0000000000000001E-3</v>
      </c>
      <c r="E3753" s="109">
        <v>8.0000000000000002E-3</v>
      </c>
      <c r="F3753" s="109">
        <v>8.9999999999999993E-3</v>
      </c>
      <c r="G3753" s="130">
        <v>0</v>
      </c>
      <c r="H3753" s="71">
        <v>8.6</v>
      </c>
      <c r="I3753" s="71">
        <v>11.1</v>
      </c>
      <c r="J3753" s="71">
        <v>13.6</v>
      </c>
      <c r="K3753" s="121">
        <v>6.8999999999999999E-3</v>
      </c>
      <c r="L3753" s="121">
        <v>-7.0000000000000001E-3</v>
      </c>
      <c r="M3753" s="75" t="s">
        <v>146</v>
      </c>
      <c r="N3753" s="75" t="b">
        <v>1</v>
      </c>
      <c r="O3753" s="75" t="s">
        <v>145</v>
      </c>
      <c r="P3753" s="75">
        <v>2014</v>
      </c>
      <c r="Q3753" s="107">
        <f t="shared" si="110"/>
        <v>2018</v>
      </c>
      <c r="R3753" s="107">
        <v>2</v>
      </c>
      <c r="S3753" s="43">
        <v>218046</v>
      </c>
      <c r="T3753" s="74">
        <v>43215</v>
      </c>
    </row>
    <row r="3754" spans="1:21" x14ac:dyDescent="0.3">
      <c r="A3754" s="42">
        <v>43212</v>
      </c>
      <c r="B3754" s="37">
        <f>YEAR(A3754)*10000+MONTH(A3754)*100+DAY(A3754)</f>
        <v>20180422</v>
      </c>
      <c r="C3754" s="109">
        <v>2.4199999999999999E-2</v>
      </c>
      <c r="D3754" s="109">
        <v>7.0000000000000001E-3</v>
      </c>
      <c r="E3754" s="109">
        <v>8.0000000000000002E-3</v>
      </c>
      <c r="F3754" s="109">
        <v>8.9999999999999993E-3</v>
      </c>
      <c r="G3754" s="130">
        <v>0</v>
      </c>
      <c r="H3754" s="71">
        <v>8.6</v>
      </c>
      <c r="I3754" s="71">
        <v>11.1</v>
      </c>
      <c r="J3754" s="71">
        <v>13.6</v>
      </c>
      <c r="K3754" s="121">
        <v>6.8999999999999999E-3</v>
      </c>
      <c r="L3754" s="121">
        <v>-7.0000000000000001E-3</v>
      </c>
      <c r="M3754" s="75" t="s">
        <v>146</v>
      </c>
      <c r="N3754" s="75" t="b">
        <v>1</v>
      </c>
      <c r="O3754" s="75" t="s">
        <v>145</v>
      </c>
      <c r="P3754" s="75">
        <v>2014</v>
      </c>
      <c r="Q3754" s="107">
        <f t="shared" si="110"/>
        <v>2018</v>
      </c>
      <c r="R3754" s="107">
        <v>2</v>
      </c>
      <c r="S3754" s="43">
        <v>218046</v>
      </c>
      <c r="T3754" s="74">
        <v>43215</v>
      </c>
    </row>
    <row r="3755" spans="1:21" x14ac:dyDescent="0.3">
      <c r="A3755" s="42">
        <v>43213</v>
      </c>
      <c r="B3755" s="37">
        <f t="shared" si="109"/>
        <v>20180423</v>
      </c>
      <c r="C3755" s="109">
        <v>2.4199999999999999E-2</v>
      </c>
      <c r="D3755" s="109">
        <v>7.0000000000000001E-3</v>
      </c>
      <c r="E3755" s="109">
        <v>8.0000000000000002E-3</v>
      </c>
      <c r="F3755" s="109">
        <v>8.9999999999999993E-3</v>
      </c>
      <c r="G3755" s="130">
        <v>0</v>
      </c>
      <c r="H3755" s="71">
        <v>8.6</v>
      </c>
      <c r="I3755" s="71">
        <v>11.1</v>
      </c>
      <c r="J3755" s="71">
        <v>13.6</v>
      </c>
      <c r="K3755" s="121">
        <v>6.8999999999999999E-3</v>
      </c>
      <c r="L3755" s="121">
        <v>-7.0000000000000001E-3</v>
      </c>
      <c r="M3755" s="75" t="s">
        <v>146</v>
      </c>
      <c r="N3755" s="75" t="b">
        <v>1</v>
      </c>
      <c r="O3755" s="75" t="s">
        <v>145</v>
      </c>
      <c r="P3755" s="75">
        <v>2014</v>
      </c>
      <c r="Q3755" s="107">
        <f t="shared" si="110"/>
        <v>2018</v>
      </c>
      <c r="R3755" s="107">
        <v>2</v>
      </c>
      <c r="S3755" s="43">
        <v>218046</v>
      </c>
      <c r="T3755" s="74">
        <v>43215</v>
      </c>
      <c r="U3755" s="139"/>
    </row>
    <row r="3756" spans="1:21" x14ac:dyDescent="0.3">
      <c r="A3756" s="42">
        <v>43214</v>
      </c>
      <c r="B3756" s="37">
        <f t="shared" si="109"/>
        <v>20180424</v>
      </c>
      <c r="C3756" s="109">
        <v>2.4199999999999999E-2</v>
      </c>
      <c r="D3756" s="109">
        <v>7.0000000000000001E-3</v>
      </c>
      <c r="E3756" s="109">
        <v>8.0000000000000002E-3</v>
      </c>
      <c r="F3756" s="109">
        <v>8.9999999999999993E-3</v>
      </c>
      <c r="G3756" s="130">
        <v>0</v>
      </c>
      <c r="H3756" s="71">
        <v>8.6</v>
      </c>
      <c r="I3756" s="71">
        <v>11.1</v>
      </c>
      <c r="J3756" s="71">
        <v>13.6</v>
      </c>
      <c r="K3756" s="121">
        <v>6.8999999999999999E-3</v>
      </c>
      <c r="L3756" s="121">
        <v>-7.0000000000000001E-3</v>
      </c>
      <c r="M3756" s="75" t="s">
        <v>146</v>
      </c>
      <c r="N3756" s="75" t="b">
        <v>1</v>
      </c>
      <c r="O3756" s="75" t="s">
        <v>145</v>
      </c>
      <c r="P3756" s="75">
        <v>2014</v>
      </c>
      <c r="Q3756" s="107">
        <f t="shared" si="110"/>
        <v>2018</v>
      </c>
      <c r="R3756" s="107">
        <v>2</v>
      </c>
      <c r="S3756" s="43">
        <v>218046</v>
      </c>
      <c r="T3756" s="74">
        <v>43215</v>
      </c>
      <c r="U3756" s="139"/>
    </row>
    <row r="3757" spans="1:21" x14ac:dyDescent="0.3">
      <c r="A3757" s="42">
        <v>43215</v>
      </c>
      <c r="B3757" s="37">
        <f t="shared" si="109"/>
        <v>20180425</v>
      </c>
      <c r="C3757" s="109">
        <v>2.4500000000000001E-2</v>
      </c>
      <c r="D3757" s="109">
        <v>7.0000000000000001E-3</v>
      </c>
      <c r="E3757" s="109">
        <v>8.0000000000000002E-3</v>
      </c>
      <c r="F3757" s="109">
        <v>8.9999999999999993E-3</v>
      </c>
      <c r="G3757" s="130">
        <v>0</v>
      </c>
      <c r="H3757" s="71">
        <v>8.6</v>
      </c>
      <c r="I3757" s="71">
        <v>11.1</v>
      </c>
      <c r="J3757" s="71">
        <v>13.6</v>
      </c>
      <c r="K3757" s="121">
        <v>7.1999999999999998E-3</v>
      </c>
      <c r="L3757" s="121">
        <v>-7.0000000000000001E-3</v>
      </c>
      <c r="M3757" s="75" t="s">
        <v>146</v>
      </c>
      <c r="N3757" s="75" t="b">
        <v>1</v>
      </c>
      <c r="O3757" s="75" t="s">
        <v>145</v>
      </c>
      <c r="P3757" s="75">
        <v>2014</v>
      </c>
      <c r="Q3757" s="107">
        <f t="shared" si="110"/>
        <v>2018</v>
      </c>
      <c r="R3757" s="107">
        <v>2</v>
      </c>
      <c r="S3757" s="43">
        <v>218046</v>
      </c>
      <c r="T3757" s="74">
        <v>43215</v>
      </c>
      <c r="U3757" s="139"/>
    </row>
    <row r="3758" spans="1:21" x14ac:dyDescent="0.3">
      <c r="A3758" s="42">
        <v>43216</v>
      </c>
      <c r="B3758" s="37">
        <f>YEAR(A3758)*10000+MONTH(A3758)*100+DAY(A3758)</f>
        <v>20180426</v>
      </c>
      <c r="C3758" s="109">
        <v>2.4199999999999999E-2</v>
      </c>
      <c r="D3758" s="109">
        <v>7.0000000000000001E-3</v>
      </c>
      <c r="E3758" s="109">
        <v>8.0000000000000002E-3</v>
      </c>
      <c r="F3758" s="109">
        <v>8.9999999999999993E-3</v>
      </c>
      <c r="G3758" s="130">
        <v>0</v>
      </c>
      <c r="H3758" s="71">
        <v>8.6</v>
      </c>
      <c r="I3758" s="71">
        <v>11.1</v>
      </c>
      <c r="J3758" s="71">
        <v>13.6</v>
      </c>
      <c r="K3758" s="121">
        <v>6.8999999999999999E-3</v>
      </c>
      <c r="L3758" s="121">
        <v>-7.0000000000000001E-3</v>
      </c>
      <c r="M3758" s="75" t="s">
        <v>146</v>
      </c>
      <c r="N3758" s="75" t="b">
        <v>1</v>
      </c>
      <c r="O3758" s="75" t="s">
        <v>145</v>
      </c>
      <c r="P3758" s="75">
        <v>2014</v>
      </c>
      <c r="Q3758" s="107">
        <f t="shared" ref="Q3758:Q3821" si="111">YEAR(A3758)</f>
        <v>2018</v>
      </c>
      <c r="R3758" s="107">
        <v>2</v>
      </c>
      <c r="S3758" s="43">
        <v>218046</v>
      </c>
      <c r="T3758" s="74">
        <v>43215</v>
      </c>
      <c r="U3758" s="139"/>
    </row>
    <row r="3759" spans="1:21" x14ac:dyDescent="0.3">
      <c r="A3759" s="42">
        <v>43217</v>
      </c>
      <c r="B3759" s="37">
        <f>YEAR(A3759)*10000+MONTH(A3759)*100+DAY(A3759)</f>
        <v>20180427</v>
      </c>
      <c r="C3759" s="109">
        <v>2.3799999999999998E-2</v>
      </c>
      <c r="D3759" s="109">
        <v>7.0000000000000001E-3</v>
      </c>
      <c r="E3759" s="109">
        <v>8.0000000000000002E-3</v>
      </c>
      <c r="F3759" s="109">
        <v>8.9999999999999993E-3</v>
      </c>
      <c r="G3759" s="130">
        <v>0</v>
      </c>
      <c r="H3759" s="71">
        <v>8.6</v>
      </c>
      <c r="I3759" s="71">
        <v>11.1</v>
      </c>
      <c r="J3759" s="71">
        <v>13.6</v>
      </c>
      <c r="K3759" s="121">
        <v>6.5000000000000006E-3</v>
      </c>
      <c r="L3759" s="121">
        <v>-7.0000000000000001E-3</v>
      </c>
      <c r="M3759" s="75" t="s">
        <v>146</v>
      </c>
      <c r="N3759" s="75" t="b">
        <v>1</v>
      </c>
      <c r="O3759" s="75" t="s">
        <v>145</v>
      </c>
      <c r="P3759" s="75">
        <v>2014</v>
      </c>
      <c r="Q3759" s="107">
        <f t="shared" si="111"/>
        <v>2018</v>
      </c>
      <c r="R3759" s="107">
        <v>2</v>
      </c>
      <c r="S3759" s="43">
        <v>218046</v>
      </c>
      <c r="T3759" s="74">
        <v>43215</v>
      </c>
      <c r="U3759" s="139"/>
    </row>
    <row r="3760" spans="1:21" x14ac:dyDescent="0.3">
      <c r="A3760" s="42">
        <v>43218</v>
      </c>
      <c r="B3760" s="37">
        <f>YEAR(A3760)*10000+MONTH(A3760)*100+DAY(A3760)</f>
        <v>20180428</v>
      </c>
      <c r="C3760" s="109">
        <v>2.3799999999999998E-2</v>
      </c>
      <c r="D3760" s="109">
        <v>7.0000000000000001E-3</v>
      </c>
      <c r="E3760" s="109">
        <v>8.0000000000000002E-3</v>
      </c>
      <c r="F3760" s="109">
        <v>8.9999999999999993E-3</v>
      </c>
      <c r="G3760" s="130">
        <v>0</v>
      </c>
      <c r="H3760" s="71">
        <v>8.6</v>
      </c>
      <c r="I3760" s="71">
        <v>11.1</v>
      </c>
      <c r="J3760" s="71">
        <v>13.6</v>
      </c>
      <c r="K3760" s="121">
        <v>6.5000000000000006E-3</v>
      </c>
      <c r="L3760" s="121">
        <v>-7.0000000000000001E-3</v>
      </c>
      <c r="M3760" s="75" t="s">
        <v>146</v>
      </c>
      <c r="N3760" s="75" t="b">
        <v>1</v>
      </c>
      <c r="O3760" s="75" t="s">
        <v>145</v>
      </c>
      <c r="P3760" s="75">
        <v>2014</v>
      </c>
      <c r="Q3760" s="107">
        <f t="shared" si="111"/>
        <v>2018</v>
      </c>
      <c r="R3760" s="107">
        <v>2</v>
      </c>
      <c r="S3760" s="43">
        <v>218046</v>
      </c>
      <c r="T3760" s="74">
        <v>43215</v>
      </c>
      <c r="U3760" s="139"/>
    </row>
    <row r="3761" spans="1:21" x14ac:dyDescent="0.3">
      <c r="A3761" s="42">
        <v>43219</v>
      </c>
      <c r="B3761" s="37">
        <f>YEAR(A3761)*10000+MONTH(A3761)*100+DAY(A3761)</f>
        <v>20180429</v>
      </c>
      <c r="C3761" s="109">
        <v>2.3799999999999998E-2</v>
      </c>
      <c r="D3761" s="109">
        <v>7.0000000000000001E-3</v>
      </c>
      <c r="E3761" s="109">
        <v>8.0000000000000002E-3</v>
      </c>
      <c r="F3761" s="109">
        <v>8.9999999999999993E-3</v>
      </c>
      <c r="G3761" s="130">
        <v>0</v>
      </c>
      <c r="H3761" s="71">
        <v>8.6</v>
      </c>
      <c r="I3761" s="71">
        <v>11.1</v>
      </c>
      <c r="J3761" s="71">
        <v>13.6</v>
      </c>
      <c r="K3761" s="121">
        <v>6.5000000000000006E-3</v>
      </c>
      <c r="L3761" s="121">
        <v>-7.0000000000000001E-3</v>
      </c>
      <c r="M3761" s="75" t="s">
        <v>146</v>
      </c>
      <c r="N3761" s="75" t="b">
        <v>1</v>
      </c>
      <c r="O3761" s="75" t="s">
        <v>145</v>
      </c>
      <c r="P3761" s="75">
        <v>2014</v>
      </c>
      <c r="Q3761" s="107">
        <f t="shared" si="111"/>
        <v>2018</v>
      </c>
      <c r="R3761" s="107">
        <v>2</v>
      </c>
      <c r="S3761" s="43">
        <v>218046</v>
      </c>
      <c r="T3761" s="74">
        <v>43215</v>
      </c>
      <c r="U3761" s="139"/>
    </row>
    <row r="3762" spans="1:21" x14ac:dyDescent="0.3">
      <c r="A3762" s="42">
        <v>43220</v>
      </c>
      <c r="B3762" s="37">
        <f t="shared" ref="B3762:B3821" si="112">YEAR(A3762)*10000+MONTH(A3762)*100+DAY(A3762)</f>
        <v>20180430</v>
      </c>
      <c r="C3762" s="109">
        <v>2.3700000000000002E-2</v>
      </c>
      <c r="D3762" s="109">
        <v>7.0000000000000001E-3</v>
      </c>
      <c r="E3762" s="109">
        <v>8.0000000000000002E-3</v>
      </c>
      <c r="F3762" s="109">
        <v>8.9999999999999993E-3</v>
      </c>
      <c r="G3762" s="130">
        <v>0</v>
      </c>
      <c r="H3762" s="71">
        <v>8.6</v>
      </c>
      <c r="I3762" s="71">
        <v>11.1</v>
      </c>
      <c r="J3762" s="71">
        <v>13.6</v>
      </c>
      <c r="K3762" s="121">
        <v>6.1999999999999998E-3</v>
      </c>
      <c r="L3762" s="121">
        <v>-7.0000000000000001E-3</v>
      </c>
      <c r="M3762" s="75" t="s">
        <v>146</v>
      </c>
      <c r="N3762" s="75" t="b">
        <v>1</v>
      </c>
      <c r="O3762" s="75" t="s">
        <v>145</v>
      </c>
      <c r="P3762" s="75">
        <v>2014</v>
      </c>
      <c r="Q3762" s="107">
        <f t="shared" si="111"/>
        <v>2018</v>
      </c>
      <c r="R3762" s="107">
        <v>2</v>
      </c>
      <c r="S3762" s="43">
        <v>218046</v>
      </c>
      <c r="T3762" s="74">
        <v>43215</v>
      </c>
      <c r="U3762" s="139"/>
    </row>
    <row r="3763" spans="1:21" x14ac:dyDescent="0.3">
      <c r="A3763" s="42">
        <v>43221</v>
      </c>
      <c r="B3763" s="37">
        <f t="shared" si="112"/>
        <v>20180501</v>
      </c>
      <c r="C3763" s="109">
        <v>2.4E-2</v>
      </c>
      <c r="D3763" s="109">
        <v>7.0000000000000001E-3</v>
      </c>
      <c r="E3763" s="109">
        <v>8.0000000000000002E-3</v>
      </c>
      <c r="F3763" s="109">
        <v>8.9999999999999993E-3</v>
      </c>
      <c r="G3763" s="130">
        <v>0</v>
      </c>
      <c r="H3763" s="71">
        <v>8.6</v>
      </c>
      <c r="I3763" s="71">
        <v>11.1</v>
      </c>
      <c r="J3763" s="71">
        <v>13.6</v>
      </c>
      <c r="K3763" s="121">
        <v>6.4000000000000003E-3</v>
      </c>
      <c r="L3763" s="121">
        <v>-7.0000000000000001E-3</v>
      </c>
      <c r="M3763" s="75" t="s">
        <v>146</v>
      </c>
      <c r="N3763" s="75" t="b">
        <v>1</v>
      </c>
      <c r="O3763" s="75" t="s">
        <v>145</v>
      </c>
      <c r="P3763" s="75">
        <v>2014</v>
      </c>
      <c r="Q3763" s="107">
        <f t="shared" si="111"/>
        <v>2018</v>
      </c>
      <c r="R3763" s="107">
        <v>2</v>
      </c>
      <c r="S3763" s="43">
        <v>218046</v>
      </c>
      <c r="T3763" s="74">
        <v>43215</v>
      </c>
      <c r="U3763" s="139"/>
    </row>
    <row r="3764" spans="1:21" x14ac:dyDescent="0.3">
      <c r="A3764" s="42">
        <v>43222</v>
      </c>
      <c r="B3764" s="37">
        <f t="shared" si="112"/>
        <v>20180502</v>
      </c>
      <c r="C3764" s="109">
        <v>2.4199999999999999E-2</v>
      </c>
      <c r="D3764" s="109">
        <v>7.0000000000000001E-3</v>
      </c>
      <c r="E3764" s="109">
        <v>8.0000000000000002E-3</v>
      </c>
      <c r="F3764" s="109">
        <v>8.9999999999999993E-3</v>
      </c>
      <c r="G3764" s="130">
        <v>0</v>
      </c>
      <c r="H3764" s="71">
        <v>8.6</v>
      </c>
      <c r="I3764" s="71">
        <v>11.1</v>
      </c>
      <c r="J3764" s="71">
        <v>13.6</v>
      </c>
      <c r="K3764" s="121">
        <v>6.4000000000000003E-3</v>
      </c>
      <c r="L3764" s="121">
        <v>-7.0000000000000001E-3</v>
      </c>
      <c r="M3764" s="75" t="s">
        <v>146</v>
      </c>
      <c r="N3764" s="75" t="b">
        <v>1</v>
      </c>
      <c r="O3764" s="75" t="s">
        <v>145</v>
      </c>
      <c r="P3764" s="75">
        <v>2014</v>
      </c>
      <c r="Q3764" s="107">
        <f t="shared" si="111"/>
        <v>2018</v>
      </c>
      <c r="R3764" s="107">
        <v>2</v>
      </c>
      <c r="S3764" s="43">
        <v>218046</v>
      </c>
      <c r="T3764" s="74">
        <v>43215</v>
      </c>
      <c r="U3764" s="139"/>
    </row>
    <row r="3765" spans="1:21" x14ac:dyDescent="0.3">
      <c r="A3765" s="42">
        <v>43223</v>
      </c>
      <c r="B3765" s="37">
        <f t="shared" si="112"/>
        <v>20180503</v>
      </c>
      <c r="C3765" s="109">
        <v>2.3799999999999998E-2</v>
      </c>
      <c r="D3765" s="109">
        <v>7.0000000000000001E-3</v>
      </c>
      <c r="E3765" s="109">
        <v>8.0000000000000002E-3</v>
      </c>
      <c r="F3765" s="109">
        <v>8.9999999999999993E-3</v>
      </c>
      <c r="G3765" s="130">
        <v>0</v>
      </c>
      <c r="H3765" s="71">
        <v>8.6</v>
      </c>
      <c r="I3765" s="71">
        <v>11.1</v>
      </c>
      <c r="J3765" s="71">
        <v>13.6</v>
      </c>
      <c r="K3765" s="121">
        <v>6.0999999999999995E-3</v>
      </c>
      <c r="L3765" s="121">
        <v>-7.0000000000000001E-3</v>
      </c>
      <c r="M3765" s="75" t="s">
        <v>146</v>
      </c>
      <c r="N3765" s="75" t="b">
        <v>1</v>
      </c>
      <c r="O3765" s="75" t="s">
        <v>145</v>
      </c>
      <c r="P3765" s="75">
        <v>2014</v>
      </c>
      <c r="Q3765" s="107">
        <f t="shared" si="111"/>
        <v>2018</v>
      </c>
      <c r="R3765" s="107">
        <v>2</v>
      </c>
      <c r="S3765" s="43">
        <v>218046</v>
      </c>
      <c r="T3765" s="74">
        <v>43215</v>
      </c>
      <c r="U3765" s="139"/>
    </row>
    <row r="3766" spans="1:21" x14ac:dyDescent="0.3">
      <c r="A3766" s="42">
        <v>43224</v>
      </c>
      <c r="B3766" s="37">
        <f t="shared" si="112"/>
        <v>20180504</v>
      </c>
      <c r="C3766" s="109">
        <v>2.3900000000000001E-2</v>
      </c>
      <c r="D3766" s="109">
        <v>7.0000000000000001E-3</v>
      </c>
      <c r="E3766" s="109">
        <v>8.0000000000000002E-3</v>
      </c>
      <c r="F3766" s="109">
        <v>8.9999999999999993E-3</v>
      </c>
      <c r="G3766" s="130">
        <v>0</v>
      </c>
      <c r="H3766" s="71">
        <v>8.6</v>
      </c>
      <c r="I3766" s="71">
        <v>11.1</v>
      </c>
      <c r="J3766" s="71">
        <v>13.6</v>
      </c>
      <c r="K3766" s="121">
        <v>6.0000000000000001E-3</v>
      </c>
      <c r="L3766" s="121">
        <v>-7.0000000000000001E-3</v>
      </c>
      <c r="M3766" s="75" t="s">
        <v>146</v>
      </c>
      <c r="N3766" s="75" t="b">
        <v>1</v>
      </c>
      <c r="O3766" s="75" t="s">
        <v>145</v>
      </c>
      <c r="P3766" s="75">
        <v>2014</v>
      </c>
      <c r="Q3766" s="107">
        <f t="shared" si="111"/>
        <v>2018</v>
      </c>
      <c r="R3766" s="107">
        <v>2</v>
      </c>
      <c r="S3766" s="43">
        <v>218046</v>
      </c>
      <c r="T3766" s="74">
        <v>43215</v>
      </c>
      <c r="U3766" s="139"/>
    </row>
    <row r="3767" spans="1:21" x14ac:dyDescent="0.3">
      <c r="A3767" s="42">
        <v>43225</v>
      </c>
      <c r="B3767" s="37">
        <f t="shared" si="112"/>
        <v>20180505</v>
      </c>
      <c r="C3767" s="109">
        <v>2.3900000000000001E-2</v>
      </c>
      <c r="D3767" s="109">
        <v>7.0000000000000001E-3</v>
      </c>
      <c r="E3767" s="109">
        <v>8.0000000000000002E-3</v>
      </c>
      <c r="F3767" s="109">
        <v>8.9999999999999993E-3</v>
      </c>
      <c r="G3767" s="130">
        <v>0</v>
      </c>
      <c r="H3767" s="71">
        <v>8.6</v>
      </c>
      <c r="I3767" s="71">
        <v>11.1</v>
      </c>
      <c r="J3767" s="71">
        <v>13.6</v>
      </c>
      <c r="K3767" s="121">
        <v>6.0000000000000001E-3</v>
      </c>
      <c r="L3767" s="121">
        <v>-7.0000000000000001E-3</v>
      </c>
      <c r="M3767" s="75" t="s">
        <v>146</v>
      </c>
      <c r="N3767" s="75" t="b">
        <v>1</v>
      </c>
      <c r="O3767" s="75" t="s">
        <v>145</v>
      </c>
      <c r="P3767" s="75">
        <v>2014</v>
      </c>
      <c r="Q3767" s="107">
        <f t="shared" si="111"/>
        <v>2018</v>
      </c>
      <c r="R3767" s="107">
        <v>2</v>
      </c>
      <c r="S3767" s="43">
        <v>218046</v>
      </c>
      <c r="T3767" s="74">
        <v>43215</v>
      </c>
      <c r="U3767" s="139"/>
    </row>
    <row r="3768" spans="1:21" x14ac:dyDescent="0.3">
      <c r="A3768" s="42">
        <v>43226</v>
      </c>
      <c r="B3768" s="37">
        <f t="shared" si="112"/>
        <v>20180506</v>
      </c>
      <c r="C3768" s="109">
        <v>2.3900000000000001E-2</v>
      </c>
      <c r="D3768" s="109">
        <v>7.0000000000000001E-3</v>
      </c>
      <c r="E3768" s="109">
        <v>8.0000000000000002E-3</v>
      </c>
      <c r="F3768" s="109">
        <v>8.9999999999999993E-3</v>
      </c>
      <c r="G3768" s="130">
        <v>0</v>
      </c>
      <c r="H3768" s="71">
        <v>8.6</v>
      </c>
      <c r="I3768" s="71">
        <v>11.1</v>
      </c>
      <c r="J3768" s="71">
        <v>13.6</v>
      </c>
      <c r="K3768" s="121">
        <v>6.0000000000000001E-3</v>
      </c>
      <c r="L3768" s="121">
        <v>-7.0000000000000001E-3</v>
      </c>
      <c r="M3768" s="75" t="s">
        <v>146</v>
      </c>
      <c r="N3768" s="75" t="b">
        <v>1</v>
      </c>
      <c r="O3768" s="75" t="s">
        <v>145</v>
      </c>
      <c r="P3768" s="75">
        <v>2014</v>
      </c>
      <c r="Q3768" s="107">
        <f t="shared" si="111"/>
        <v>2018</v>
      </c>
      <c r="R3768" s="107">
        <v>2</v>
      </c>
      <c r="S3768" s="43">
        <v>218046</v>
      </c>
      <c r="T3768" s="74">
        <v>43215</v>
      </c>
      <c r="U3768" s="139"/>
    </row>
    <row r="3769" spans="1:21" x14ac:dyDescent="0.3">
      <c r="A3769" s="42">
        <v>43227</v>
      </c>
      <c r="B3769" s="37">
        <f t="shared" si="112"/>
        <v>20180507</v>
      </c>
      <c r="C3769" s="109">
        <v>2.3900000000000001E-2</v>
      </c>
      <c r="D3769" s="109">
        <v>7.0000000000000001E-3</v>
      </c>
      <c r="E3769" s="109">
        <v>8.0000000000000002E-3</v>
      </c>
      <c r="F3769" s="109">
        <v>8.9999999999999993E-3</v>
      </c>
      <c r="G3769" s="130">
        <v>0</v>
      </c>
      <c r="H3769" s="71">
        <v>8.6</v>
      </c>
      <c r="I3769" s="71">
        <v>11.1</v>
      </c>
      <c r="J3769" s="71">
        <v>13.6</v>
      </c>
      <c r="K3769" s="121">
        <v>6.0000000000000001E-3</v>
      </c>
      <c r="L3769" s="121">
        <v>-7.0000000000000001E-3</v>
      </c>
      <c r="M3769" s="75" t="s">
        <v>146</v>
      </c>
      <c r="N3769" s="75" t="b">
        <v>1</v>
      </c>
      <c r="O3769" s="75" t="s">
        <v>145</v>
      </c>
      <c r="P3769" s="75">
        <v>2014</v>
      </c>
      <c r="Q3769" s="107">
        <f t="shared" si="111"/>
        <v>2018</v>
      </c>
      <c r="R3769" s="107">
        <v>2</v>
      </c>
      <c r="S3769" s="43">
        <v>218046</v>
      </c>
      <c r="T3769" s="74">
        <v>43215</v>
      </c>
      <c r="U3769" s="139"/>
    </row>
    <row r="3770" spans="1:21" x14ac:dyDescent="0.3">
      <c r="A3770" s="42">
        <v>43228</v>
      </c>
      <c r="B3770" s="37">
        <f t="shared" si="112"/>
        <v>20180508</v>
      </c>
      <c r="C3770" s="109">
        <v>2.4E-2</v>
      </c>
      <c r="D3770" s="109">
        <v>7.0000000000000001E-3</v>
      </c>
      <c r="E3770" s="109">
        <v>8.0000000000000002E-3</v>
      </c>
      <c r="F3770" s="109">
        <v>8.9999999999999993E-3</v>
      </c>
      <c r="G3770" s="130">
        <v>0</v>
      </c>
      <c r="H3770" s="71">
        <v>8.6</v>
      </c>
      <c r="I3770" s="71">
        <v>11.1</v>
      </c>
      <c r="J3770" s="71">
        <v>13.6</v>
      </c>
      <c r="K3770" s="121">
        <v>6.0999999999999995E-3</v>
      </c>
      <c r="L3770" s="121">
        <v>-7.0000000000000001E-3</v>
      </c>
      <c r="M3770" s="75" t="s">
        <v>146</v>
      </c>
      <c r="N3770" s="75" t="b">
        <v>1</v>
      </c>
      <c r="O3770" s="75" t="s">
        <v>145</v>
      </c>
      <c r="P3770" s="75">
        <v>2014</v>
      </c>
      <c r="Q3770" s="107">
        <f t="shared" si="111"/>
        <v>2018</v>
      </c>
      <c r="R3770" s="107">
        <v>2</v>
      </c>
      <c r="S3770" s="43">
        <v>218046</v>
      </c>
      <c r="T3770" s="74">
        <v>43215</v>
      </c>
      <c r="U3770" s="139"/>
    </row>
    <row r="3771" spans="1:21" s="116" customFormat="1" x14ac:dyDescent="0.3">
      <c r="A3771" s="110">
        <v>43229</v>
      </c>
      <c r="B3771" s="132">
        <f t="shared" si="112"/>
        <v>20180509</v>
      </c>
      <c r="C3771" s="111">
        <v>2.4300000000000002E-2</v>
      </c>
      <c r="D3771" s="111">
        <v>7.0000000000000001E-3</v>
      </c>
      <c r="E3771" s="111">
        <v>8.0000000000000002E-3</v>
      </c>
      <c r="F3771" s="111">
        <v>8.9999999999999993E-3</v>
      </c>
      <c r="G3771" s="133">
        <v>0</v>
      </c>
      <c r="H3771" s="124">
        <v>8.5</v>
      </c>
      <c r="I3771" s="112">
        <v>11.1</v>
      </c>
      <c r="J3771" s="112">
        <v>13.6</v>
      </c>
      <c r="K3771" s="131">
        <v>6.1999999999999998E-3</v>
      </c>
      <c r="L3771" s="131">
        <v>-7.0000000000000001E-3</v>
      </c>
      <c r="M3771" s="98" t="s">
        <v>146</v>
      </c>
      <c r="N3771" s="98" t="b">
        <v>1</v>
      </c>
      <c r="O3771" s="98" t="s">
        <v>145</v>
      </c>
      <c r="P3771" s="98">
        <v>2014</v>
      </c>
      <c r="Q3771" s="105">
        <f t="shared" si="111"/>
        <v>2018</v>
      </c>
      <c r="R3771" s="105">
        <v>2</v>
      </c>
      <c r="S3771" s="127">
        <v>218070</v>
      </c>
      <c r="T3771" s="128">
        <v>43229</v>
      </c>
      <c r="U3771" s="140" t="s">
        <v>176</v>
      </c>
    </row>
    <row r="3772" spans="1:21" x14ac:dyDescent="0.3">
      <c r="A3772" s="42">
        <v>43230</v>
      </c>
      <c r="B3772" s="37">
        <f t="shared" si="112"/>
        <v>20180510</v>
      </c>
      <c r="C3772" s="109">
        <v>2.4300000000000002E-2</v>
      </c>
      <c r="D3772" s="109">
        <v>7.0000000000000001E-3</v>
      </c>
      <c r="E3772" s="109">
        <v>8.0000000000000002E-3</v>
      </c>
      <c r="F3772" s="109">
        <v>8.9999999999999993E-3</v>
      </c>
      <c r="G3772" s="130">
        <v>0</v>
      </c>
      <c r="H3772" s="71">
        <v>8.5</v>
      </c>
      <c r="I3772" s="71">
        <v>11.1</v>
      </c>
      <c r="J3772" s="71">
        <v>13.6</v>
      </c>
      <c r="K3772" s="121">
        <v>6.1999999999999998E-3</v>
      </c>
      <c r="L3772" s="121">
        <v>-7.0000000000000001E-3</v>
      </c>
      <c r="M3772" s="75" t="s">
        <v>146</v>
      </c>
      <c r="N3772" s="75" t="b">
        <v>1</v>
      </c>
      <c r="O3772" s="75" t="s">
        <v>145</v>
      </c>
      <c r="P3772" s="75">
        <v>2014</v>
      </c>
      <c r="Q3772" s="107">
        <f t="shared" si="111"/>
        <v>2018</v>
      </c>
      <c r="R3772" s="107">
        <v>2</v>
      </c>
      <c r="S3772" s="43">
        <v>218070</v>
      </c>
      <c r="T3772" s="74">
        <v>43229</v>
      </c>
      <c r="U3772" s="139"/>
    </row>
    <row r="3773" spans="1:21" x14ac:dyDescent="0.3">
      <c r="A3773" s="42">
        <v>43231</v>
      </c>
      <c r="B3773" s="37">
        <f t="shared" si="112"/>
        <v>20180511</v>
      </c>
      <c r="C3773" s="109">
        <v>2.41E-2</v>
      </c>
      <c r="D3773" s="109">
        <v>7.0000000000000001E-3</v>
      </c>
      <c r="E3773" s="109">
        <v>8.0000000000000002E-3</v>
      </c>
      <c r="F3773" s="109">
        <v>8.9999999999999993E-3</v>
      </c>
      <c r="G3773" s="130">
        <v>0</v>
      </c>
      <c r="H3773" s="71">
        <v>8.5</v>
      </c>
      <c r="I3773" s="71">
        <v>11.1</v>
      </c>
      <c r="J3773" s="71">
        <v>13.6</v>
      </c>
      <c r="K3773" s="121">
        <v>6.0999999999999995E-3</v>
      </c>
      <c r="L3773" s="121">
        <v>-7.0000000000000001E-3</v>
      </c>
      <c r="M3773" s="75" t="s">
        <v>146</v>
      </c>
      <c r="N3773" s="75" t="b">
        <v>1</v>
      </c>
      <c r="O3773" s="75" t="s">
        <v>145</v>
      </c>
      <c r="P3773" s="75">
        <v>2014</v>
      </c>
      <c r="Q3773" s="107">
        <f t="shared" si="111"/>
        <v>2018</v>
      </c>
      <c r="R3773" s="107">
        <v>2</v>
      </c>
      <c r="S3773" s="43">
        <v>218070</v>
      </c>
      <c r="T3773" s="74">
        <v>43229</v>
      </c>
      <c r="U3773" s="139"/>
    </row>
    <row r="3774" spans="1:21" x14ac:dyDescent="0.3">
      <c r="A3774" s="42">
        <v>43232</v>
      </c>
      <c r="B3774" s="37">
        <f t="shared" si="112"/>
        <v>20180512</v>
      </c>
      <c r="C3774" s="109">
        <v>2.41E-2</v>
      </c>
      <c r="D3774" s="109">
        <v>7.0000000000000001E-3</v>
      </c>
      <c r="E3774" s="109">
        <v>8.0000000000000002E-3</v>
      </c>
      <c r="F3774" s="109">
        <v>8.9999999999999993E-3</v>
      </c>
      <c r="G3774" s="130">
        <v>0</v>
      </c>
      <c r="H3774" s="71">
        <v>8.5</v>
      </c>
      <c r="I3774" s="71">
        <v>11.1</v>
      </c>
      <c r="J3774" s="71">
        <v>13.6</v>
      </c>
      <c r="K3774" s="121">
        <v>6.0999999999999995E-3</v>
      </c>
      <c r="L3774" s="121">
        <v>-7.0000000000000001E-3</v>
      </c>
      <c r="M3774" s="75" t="s">
        <v>146</v>
      </c>
      <c r="N3774" s="75" t="b">
        <v>1</v>
      </c>
      <c r="O3774" s="75" t="s">
        <v>145</v>
      </c>
      <c r="P3774" s="75">
        <v>2014</v>
      </c>
      <c r="Q3774" s="107">
        <f t="shared" si="111"/>
        <v>2018</v>
      </c>
      <c r="R3774" s="107">
        <v>2</v>
      </c>
      <c r="S3774" s="43">
        <v>218070</v>
      </c>
      <c r="T3774" s="74">
        <v>43229</v>
      </c>
      <c r="U3774" s="139"/>
    </row>
    <row r="3775" spans="1:21" x14ac:dyDescent="0.3">
      <c r="A3775" s="42">
        <v>43233</v>
      </c>
      <c r="B3775" s="37">
        <f t="shared" si="112"/>
        <v>20180513</v>
      </c>
      <c r="C3775" s="109">
        <v>2.41E-2</v>
      </c>
      <c r="D3775" s="109">
        <v>7.0000000000000001E-3</v>
      </c>
      <c r="E3775" s="109">
        <v>8.0000000000000002E-3</v>
      </c>
      <c r="F3775" s="109">
        <v>8.9999999999999993E-3</v>
      </c>
      <c r="G3775" s="130">
        <v>0</v>
      </c>
      <c r="H3775" s="71">
        <v>8.5</v>
      </c>
      <c r="I3775" s="71">
        <v>11.1</v>
      </c>
      <c r="J3775" s="71">
        <v>13.6</v>
      </c>
      <c r="K3775" s="121">
        <v>6.0999999999999995E-3</v>
      </c>
      <c r="L3775" s="121">
        <v>-7.0000000000000001E-3</v>
      </c>
      <c r="M3775" s="75" t="s">
        <v>146</v>
      </c>
      <c r="N3775" s="75" t="b">
        <v>1</v>
      </c>
      <c r="O3775" s="75" t="s">
        <v>145</v>
      </c>
      <c r="P3775" s="75">
        <v>2014</v>
      </c>
      <c r="Q3775" s="107">
        <f t="shared" si="111"/>
        <v>2018</v>
      </c>
      <c r="R3775" s="107">
        <v>2</v>
      </c>
      <c r="S3775" s="43">
        <v>218070</v>
      </c>
      <c r="T3775" s="74">
        <v>43229</v>
      </c>
      <c r="U3775" s="139"/>
    </row>
    <row r="3776" spans="1:21" x14ac:dyDescent="0.3">
      <c r="A3776" s="42">
        <v>43234</v>
      </c>
      <c r="B3776" s="37">
        <f t="shared" si="112"/>
        <v>20180514</v>
      </c>
      <c r="C3776" s="109">
        <v>2.4500000000000001E-2</v>
      </c>
      <c r="D3776" s="109">
        <v>7.0000000000000001E-3</v>
      </c>
      <c r="E3776" s="109">
        <v>8.0000000000000002E-3</v>
      </c>
      <c r="F3776" s="109">
        <v>8.9999999999999993E-3</v>
      </c>
      <c r="G3776" s="130">
        <v>0</v>
      </c>
      <c r="H3776" s="71">
        <v>8.5</v>
      </c>
      <c r="I3776" s="71">
        <v>11.1</v>
      </c>
      <c r="J3776" s="71">
        <v>13.6</v>
      </c>
      <c r="K3776" s="121">
        <v>6.5000000000000006E-3</v>
      </c>
      <c r="L3776" s="121">
        <v>-7.0000000000000001E-3</v>
      </c>
      <c r="M3776" s="75" t="s">
        <v>146</v>
      </c>
      <c r="N3776" s="75" t="b">
        <v>1</v>
      </c>
      <c r="O3776" s="75" t="s">
        <v>145</v>
      </c>
      <c r="P3776" s="75">
        <v>2014</v>
      </c>
      <c r="Q3776" s="107">
        <f t="shared" si="111"/>
        <v>2018</v>
      </c>
      <c r="R3776" s="107">
        <v>2</v>
      </c>
      <c r="S3776" s="43">
        <v>218070</v>
      </c>
      <c r="T3776" s="74">
        <v>43229</v>
      </c>
      <c r="U3776" s="139"/>
    </row>
    <row r="3777" spans="1:21" x14ac:dyDescent="0.3">
      <c r="A3777" s="42">
        <v>43235</v>
      </c>
      <c r="B3777" s="37">
        <f t="shared" si="112"/>
        <v>20180515</v>
      </c>
      <c r="C3777" s="109">
        <v>2.52E-2</v>
      </c>
      <c r="D3777" s="109">
        <v>7.0000000000000001E-3</v>
      </c>
      <c r="E3777" s="109">
        <v>8.0000000000000002E-3</v>
      </c>
      <c r="F3777" s="109">
        <v>8.9999999999999993E-3</v>
      </c>
      <c r="G3777" s="130">
        <v>0</v>
      </c>
      <c r="H3777" s="71">
        <v>8.5</v>
      </c>
      <c r="I3777" s="71">
        <v>11.1</v>
      </c>
      <c r="J3777" s="71">
        <v>13.6</v>
      </c>
      <c r="K3777" s="121">
        <v>6.9999999999999993E-3</v>
      </c>
      <c r="L3777" s="121">
        <v>-7.0000000000000001E-3</v>
      </c>
      <c r="M3777" s="75" t="s">
        <v>146</v>
      </c>
      <c r="N3777" s="75" t="b">
        <v>1</v>
      </c>
      <c r="O3777" s="75" t="s">
        <v>145</v>
      </c>
      <c r="P3777" s="75">
        <v>2014</v>
      </c>
      <c r="Q3777" s="107">
        <f t="shared" si="111"/>
        <v>2018</v>
      </c>
      <c r="R3777" s="107">
        <v>2</v>
      </c>
      <c r="S3777" s="43">
        <v>218070</v>
      </c>
      <c r="T3777" s="74">
        <v>43229</v>
      </c>
      <c r="U3777" s="139"/>
    </row>
    <row r="3778" spans="1:21" x14ac:dyDescent="0.3">
      <c r="A3778" s="42">
        <v>43236</v>
      </c>
      <c r="B3778" s="37">
        <f t="shared" si="112"/>
        <v>20180516</v>
      </c>
      <c r="C3778" s="109">
        <v>2.52E-2</v>
      </c>
      <c r="D3778" s="109">
        <v>7.0000000000000001E-3</v>
      </c>
      <c r="E3778" s="109">
        <v>8.0000000000000002E-3</v>
      </c>
      <c r="F3778" s="109">
        <v>8.9999999999999993E-3</v>
      </c>
      <c r="G3778" s="130">
        <v>0</v>
      </c>
      <c r="H3778" s="71">
        <v>8.5</v>
      </c>
      <c r="I3778" s="71">
        <v>11.1</v>
      </c>
      <c r="J3778" s="71">
        <v>13.6</v>
      </c>
      <c r="K3778" s="121">
        <v>6.8999999999999999E-3</v>
      </c>
      <c r="L3778" s="121">
        <v>-7.0000000000000001E-3</v>
      </c>
      <c r="M3778" s="75" t="s">
        <v>146</v>
      </c>
      <c r="N3778" s="75" t="b">
        <v>1</v>
      </c>
      <c r="O3778" s="75" t="s">
        <v>145</v>
      </c>
      <c r="P3778" s="75">
        <v>2014</v>
      </c>
      <c r="Q3778" s="107">
        <f t="shared" si="111"/>
        <v>2018</v>
      </c>
      <c r="R3778" s="107">
        <v>2</v>
      </c>
      <c r="S3778" s="43">
        <v>218070</v>
      </c>
      <c r="T3778" s="74">
        <v>43229</v>
      </c>
      <c r="U3778" s="139"/>
    </row>
    <row r="3779" spans="1:21" x14ac:dyDescent="0.3">
      <c r="A3779" s="42">
        <v>43237</v>
      </c>
      <c r="B3779" s="37">
        <f t="shared" si="112"/>
        <v>20180517</v>
      </c>
      <c r="C3779" s="109">
        <v>2.5399999999999999E-2</v>
      </c>
      <c r="D3779" s="109">
        <v>7.0000000000000001E-3</v>
      </c>
      <c r="E3779" s="109">
        <v>8.0000000000000002E-3</v>
      </c>
      <c r="F3779" s="109">
        <v>8.9999999999999993E-3</v>
      </c>
      <c r="G3779" s="130">
        <v>0</v>
      </c>
      <c r="H3779" s="71">
        <v>8.5</v>
      </c>
      <c r="I3779" s="71">
        <v>11.1</v>
      </c>
      <c r="J3779" s="71">
        <v>13.6</v>
      </c>
      <c r="K3779" s="121">
        <v>7.0999999999999995E-3</v>
      </c>
      <c r="L3779" s="121">
        <v>-7.0000000000000001E-3</v>
      </c>
      <c r="M3779" s="75" t="s">
        <v>146</v>
      </c>
      <c r="N3779" s="75" t="b">
        <v>1</v>
      </c>
      <c r="O3779" s="75" t="s">
        <v>145</v>
      </c>
      <c r="P3779" s="75">
        <v>2014</v>
      </c>
      <c r="Q3779" s="107">
        <f t="shared" si="111"/>
        <v>2018</v>
      </c>
      <c r="R3779" s="107">
        <v>2</v>
      </c>
      <c r="S3779" s="43">
        <v>218070</v>
      </c>
      <c r="T3779" s="74">
        <v>43229</v>
      </c>
      <c r="U3779" s="139"/>
    </row>
    <row r="3780" spans="1:21" x14ac:dyDescent="0.3">
      <c r="A3780" s="42">
        <v>43238</v>
      </c>
      <c r="B3780" s="37">
        <f t="shared" si="112"/>
        <v>20180518</v>
      </c>
      <c r="C3780" s="109">
        <v>2.5000000000000001E-2</v>
      </c>
      <c r="D3780" s="109">
        <v>7.0000000000000001E-3</v>
      </c>
      <c r="E3780" s="109">
        <v>8.0000000000000002E-3</v>
      </c>
      <c r="F3780" s="109">
        <v>8.9999999999999993E-3</v>
      </c>
      <c r="G3780" s="130">
        <v>0</v>
      </c>
      <c r="H3780" s="71">
        <v>8.5</v>
      </c>
      <c r="I3780" s="71">
        <v>11.1</v>
      </c>
      <c r="J3780" s="71">
        <v>13.6</v>
      </c>
      <c r="K3780" s="121">
        <v>6.8000000000000005E-3</v>
      </c>
      <c r="L3780" s="121">
        <v>-7.0000000000000001E-3</v>
      </c>
      <c r="M3780" s="75" t="s">
        <v>146</v>
      </c>
      <c r="N3780" s="75" t="b">
        <v>1</v>
      </c>
      <c r="O3780" s="75" t="s">
        <v>145</v>
      </c>
      <c r="P3780" s="75">
        <v>2014</v>
      </c>
      <c r="Q3780" s="107">
        <f t="shared" si="111"/>
        <v>2018</v>
      </c>
      <c r="R3780" s="107">
        <v>2</v>
      </c>
      <c r="S3780" s="43">
        <v>218070</v>
      </c>
      <c r="T3780" s="74">
        <v>43229</v>
      </c>
      <c r="U3780" s="139"/>
    </row>
    <row r="3781" spans="1:21" x14ac:dyDescent="0.3">
      <c r="A3781" s="42">
        <v>43239</v>
      </c>
      <c r="B3781" s="37">
        <f t="shared" si="112"/>
        <v>20180519</v>
      </c>
      <c r="C3781" s="109">
        <v>2.5000000000000001E-2</v>
      </c>
      <c r="D3781" s="109">
        <v>7.0000000000000001E-3</v>
      </c>
      <c r="E3781" s="109">
        <v>8.0000000000000002E-3</v>
      </c>
      <c r="F3781" s="109">
        <v>8.9999999999999993E-3</v>
      </c>
      <c r="G3781" s="130">
        <v>0</v>
      </c>
      <c r="H3781" s="71">
        <v>8.5</v>
      </c>
      <c r="I3781" s="71">
        <v>11.1</v>
      </c>
      <c r="J3781" s="71">
        <v>13.6</v>
      </c>
      <c r="K3781" s="121">
        <v>6.8000000000000005E-3</v>
      </c>
      <c r="L3781" s="121">
        <v>-7.0000000000000001E-3</v>
      </c>
      <c r="M3781" s="75" t="s">
        <v>146</v>
      </c>
      <c r="N3781" s="75" t="b">
        <v>1</v>
      </c>
      <c r="O3781" s="75" t="s">
        <v>145</v>
      </c>
      <c r="P3781" s="75">
        <v>2014</v>
      </c>
      <c r="Q3781" s="107">
        <f t="shared" si="111"/>
        <v>2018</v>
      </c>
      <c r="R3781" s="107">
        <v>2</v>
      </c>
      <c r="S3781" s="43">
        <v>218070</v>
      </c>
      <c r="T3781" s="74">
        <v>43229</v>
      </c>
      <c r="U3781" s="139"/>
    </row>
    <row r="3782" spans="1:21" x14ac:dyDescent="0.3">
      <c r="A3782" s="42">
        <v>43240</v>
      </c>
      <c r="B3782" s="37">
        <f t="shared" si="112"/>
        <v>20180520</v>
      </c>
      <c r="C3782" s="109">
        <v>2.5000000000000001E-2</v>
      </c>
      <c r="D3782" s="109">
        <v>7.0000000000000001E-3</v>
      </c>
      <c r="E3782" s="109">
        <v>8.0000000000000002E-3</v>
      </c>
      <c r="F3782" s="109">
        <v>8.9999999999999993E-3</v>
      </c>
      <c r="G3782" s="130">
        <v>0</v>
      </c>
      <c r="H3782" s="71">
        <v>8.5</v>
      </c>
      <c r="I3782" s="71">
        <v>11.1</v>
      </c>
      <c r="J3782" s="71">
        <v>13.6</v>
      </c>
      <c r="K3782" s="121">
        <v>6.8000000000000005E-3</v>
      </c>
      <c r="L3782" s="121">
        <v>-7.0000000000000001E-3</v>
      </c>
      <c r="M3782" s="75" t="s">
        <v>146</v>
      </c>
      <c r="N3782" s="75" t="b">
        <v>1</v>
      </c>
      <c r="O3782" s="75" t="s">
        <v>145</v>
      </c>
      <c r="P3782" s="75">
        <v>2014</v>
      </c>
      <c r="Q3782" s="107">
        <f t="shared" si="111"/>
        <v>2018</v>
      </c>
      <c r="R3782" s="107">
        <v>2</v>
      </c>
      <c r="S3782" s="43">
        <v>218070</v>
      </c>
      <c r="T3782" s="74">
        <v>43229</v>
      </c>
      <c r="U3782" s="139"/>
    </row>
    <row r="3783" spans="1:21" x14ac:dyDescent="0.3">
      <c r="A3783" s="42">
        <v>43241</v>
      </c>
      <c r="B3783" s="37">
        <f t="shared" si="112"/>
        <v>20180521</v>
      </c>
      <c r="C3783" s="109">
        <v>2.5000000000000001E-2</v>
      </c>
      <c r="D3783" s="109">
        <v>7.0000000000000001E-3</v>
      </c>
      <c r="E3783" s="109">
        <v>8.0000000000000002E-3</v>
      </c>
      <c r="F3783" s="109">
        <v>8.9999999999999993E-3</v>
      </c>
      <c r="G3783" s="130">
        <v>0</v>
      </c>
      <c r="H3783" s="71">
        <v>8.5</v>
      </c>
      <c r="I3783" s="71">
        <v>11.1</v>
      </c>
      <c r="J3783" s="71">
        <v>13.6</v>
      </c>
      <c r="K3783" s="121">
        <v>6.7999999999999996E-3</v>
      </c>
      <c r="L3783" s="121">
        <v>-7.0000000000000001E-3</v>
      </c>
      <c r="M3783" s="75" t="s">
        <v>146</v>
      </c>
      <c r="N3783" s="75" t="b">
        <v>1</v>
      </c>
      <c r="O3783" s="75" t="s">
        <v>145</v>
      </c>
      <c r="P3783" s="75">
        <v>2014</v>
      </c>
      <c r="Q3783" s="107">
        <f t="shared" si="111"/>
        <v>2018</v>
      </c>
      <c r="R3783" s="107">
        <v>2</v>
      </c>
      <c r="S3783" s="43">
        <v>218070</v>
      </c>
      <c r="T3783" s="74">
        <v>43229</v>
      </c>
      <c r="U3783" s="139"/>
    </row>
    <row r="3784" spans="1:21" x14ac:dyDescent="0.3">
      <c r="A3784" s="42">
        <v>43242</v>
      </c>
      <c r="B3784" s="37">
        <f t="shared" si="112"/>
        <v>20180522</v>
      </c>
      <c r="C3784" s="109">
        <v>2.5099999999999997E-2</v>
      </c>
      <c r="D3784" s="109">
        <v>7.0000000000000001E-3</v>
      </c>
      <c r="E3784" s="109">
        <v>8.0000000000000002E-3</v>
      </c>
      <c r="F3784" s="109">
        <v>8.9999999999999993E-3</v>
      </c>
      <c r="G3784" s="130">
        <v>0</v>
      </c>
      <c r="H3784" s="71">
        <v>8.5</v>
      </c>
      <c r="I3784" s="71">
        <v>11.1</v>
      </c>
      <c r="J3784" s="71">
        <v>13.6</v>
      </c>
      <c r="K3784" s="121">
        <v>6.8000000000000005E-3</v>
      </c>
      <c r="L3784" s="121">
        <v>-7.0000000000000001E-3</v>
      </c>
      <c r="M3784" s="75" t="s">
        <v>146</v>
      </c>
      <c r="N3784" s="75" t="b">
        <v>1</v>
      </c>
      <c r="O3784" s="75" t="s">
        <v>145</v>
      </c>
      <c r="P3784" s="75">
        <v>2014</v>
      </c>
      <c r="Q3784" s="107">
        <f t="shared" si="111"/>
        <v>2018</v>
      </c>
      <c r="R3784" s="107">
        <v>2</v>
      </c>
      <c r="S3784" s="43">
        <v>218070</v>
      </c>
      <c r="T3784" s="74">
        <v>43229</v>
      </c>
      <c r="U3784" s="139"/>
    </row>
    <row r="3785" spans="1:21" x14ac:dyDescent="0.3">
      <c r="A3785" s="42">
        <v>43243</v>
      </c>
      <c r="B3785" s="37">
        <f t="shared" si="112"/>
        <v>20180523</v>
      </c>
      <c r="C3785" s="109">
        <v>2.4700000000000003E-2</v>
      </c>
      <c r="D3785" s="109">
        <v>7.0000000000000001E-3</v>
      </c>
      <c r="E3785" s="109">
        <v>8.0000000000000002E-3</v>
      </c>
      <c r="F3785" s="109">
        <v>8.9999999999999993E-3</v>
      </c>
      <c r="G3785" s="130">
        <v>0</v>
      </c>
      <c r="H3785" s="71">
        <v>8.5</v>
      </c>
      <c r="I3785" s="71">
        <v>11.1</v>
      </c>
      <c r="J3785" s="71">
        <v>13.6</v>
      </c>
      <c r="K3785" s="121">
        <v>6.5000000000000006E-3</v>
      </c>
      <c r="L3785" s="121">
        <v>-7.0000000000000001E-3</v>
      </c>
      <c r="M3785" s="75" t="s">
        <v>146</v>
      </c>
      <c r="N3785" s="75" t="b">
        <v>1</v>
      </c>
      <c r="O3785" s="75" t="s">
        <v>145</v>
      </c>
      <c r="P3785" s="75">
        <v>2014</v>
      </c>
      <c r="Q3785" s="107">
        <f t="shared" si="111"/>
        <v>2018</v>
      </c>
      <c r="R3785" s="107">
        <v>2</v>
      </c>
      <c r="S3785" s="43">
        <v>218070</v>
      </c>
      <c r="T3785" s="74">
        <v>43229</v>
      </c>
      <c r="U3785" s="139"/>
    </row>
    <row r="3786" spans="1:21" x14ac:dyDescent="0.3">
      <c r="A3786" s="42">
        <v>43244</v>
      </c>
      <c r="B3786" s="37">
        <f t="shared" si="112"/>
        <v>20180524</v>
      </c>
      <c r="C3786" s="109">
        <v>2.4300000000000002E-2</v>
      </c>
      <c r="D3786" s="109">
        <v>7.0000000000000001E-3</v>
      </c>
      <c r="E3786" s="109">
        <v>8.0000000000000002E-3</v>
      </c>
      <c r="F3786" s="109">
        <v>8.9999999999999993E-3</v>
      </c>
      <c r="G3786" s="130">
        <v>0</v>
      </c>
      <c r="H3786" s="71">
        <v>8.5</v>
      </c>
      <c r="I3786" s="71">
        <v>11.1</v>
      </c>
      <c r="J3786" s="71">
        <v>13.6</v>
      </c>
      <c r="K3786" s="121">
        <v>6.3E-3</v>
      </c>
      <c r="L3786" s="121">
        <v>-7.0000000000000001E-3</v>
      </c>
      <c r="M3786" s="75" t="s">
        <v>146</v>
      </c>
      <c r="N3786" s="75" t="b">
        <v>1</v>
      </c>
      <c r="O3786" s="75" t="s">
        <v>145</v>
      </c>
      <c r="P3786" s="75">
        <v>2014</v>
      </c>
      <c r="Q3786" s="107">
        <f t="shared" si="111"/>
        <v>2018</v>
      </c>
      <c r="R3786" s="107">
        <v>2</v>
      </c>
      <c r="S3786" s="43">
        <v>218070</v>
      </c>
      <c r="T3786" s="74">
        <v>43229</v>
      </c>
      <c r="U3786" s="139"/>
    </row>
    <row r="3787" spans="1:21" x14ac:dyDescent="0.3">
      <c r="A3787" s="42">
        <v>43245</v>
      </c>
      <c r="B3787" s="37">
        <f t="shared" si="112"/>
        <v>20180525</v>
      </c>
      <c r="C3787" s="109">
        <v>2.3799999999999998E-2</v>
      </c>
      <c r="D3787" s="109">
        <v>7.0000000000000001E-3</v>
      </c>
      <c r="E3787" s="109">
        <v>8.0000000000000002E-3</v>
      </c>
      <c r="F3787" s="109">
        <v>8.9999999999999993E-3</v>
      </c>
      <c r="G3787" s="130">
        <v>0</v>
      </c>
      <c r="H3787" s="71">
        <v>8.5</v>
      </c>
      <c r="I3787" s="71">
        <v>11.1</v>
      </c>
      <c r="J3787" s="71">
        <v>13.6</v>
      </c>
      <c r="K3787" s="121">
        <v>6.0000000000000001E-3</v>
      </c>
      <c r="L3787" s="121">
        <v>-7.0000000000000001E-3</v>
      </c>
      <c r="M3787" s="75" t="s">
        <v>146</v>
      </c>
      <c r="N3787" s="75" t="b">
        <v>1</v>
      </c>
      <c r="O3787" s="75" t="s">
        <v>145</v>
      </c>
      <c r="P3787" s="75">
        <v>2014</v>
      </c>
      <c r="Q3787" s="107">
        <f t="shared" si="111"/>
        <v>2018</v>
      </c>
      <c r="R3787" s="107">
        <v>2</v>
      </c>
      <c r="S3787" s="43">
        <v>218070</v>
      </c>
      <c r="T3787" s="74">
        <v>43229</v>
      </c>
      <c r="U3787" s="139"/>
    </row>
    <row r="3788" spans="1:21" x14ac:dyDescent="0.3">
      <c r="A3788" s="42">
        <v>43246</v>
      </c>
      <c r="B3788" s="37">
        <f t="shared" si="112"/>
        <v>20180526</v>
      </c>
      <c r="C3788" s="109">
        <v>2.3799999999999998E-2</v>
      </c>
      <c r="D3788" s="109">
        <v>7.0000000000000001E-3</v>
      </c>
      <c r="E3788" s="109">
        <v>8.0000000000000002E-3</v>
      </c>
      <c r="F3788" s="109">
        <v>8.9999999999999993E-3</v>
      </c>
      <c r="G3788" s="130">
        <v>0</v>
      </c>
      <c r="H3788" s="71">
        <v>8.5</v>
      </c>
      <c r="I3788" s="71">
        <v>11.1</v>
      </c>
      <c r="J3788" s="71">
        <v>13.6</v>
      </c>
      <c r="K3788" s="121">
        <v>6.0000000000000001E-3</v>
      </c>
      <c r="L3788" s="121">
        <v>-7.0000000000000001E-3</v>
      </c>
      <c r="M3788" s="75" t="s">
        <v>146</v>
      </c>
      <c r="N3788" s="75" t="b">
        <v>1</v>
      </c>
      <c r="O3788" s="75" t="s">
        <v>145</v>
      </c>
      <c r="P3788" s="75">
        <v>2014</v>
      </c>
      <c r="Q3788" s="107">
        <f t="shared" si="111"/>
        <v>2018</v>
      </c>
      <c r="R3788" s="107">
        <v>2</v>
      </c>
      <c r="S3788" s="43">
        <v>218070</v>
      </c>
      <c r="T3788" s="74">
        <v>43229</v>
      </c>
      <c r="U3788" s="139"/>
    </row>
    <row r="3789" spans="1:21" x14ac:dyDescent="0.3">
      <c r="A3789" s="42">
        <v>43247</v>
      </c>
      <c r="B3789" s="37">
        <f t="shared" si="112"/>
        <v>20180527</v>
      </c>
      <c r="C3789" s="109">
        <v>2.3799999999999998E-2</v>
      </c>
      <c r="D3789" s="109">
        <v>7.0000000000000001E-3</v>
      </c>
      <c r="E3789" s="109">
        <v>8.0000000000000002E-3</v>
      </c>
      <c r="F3789" s="109">
        <v>8.9999999999999993E-3</v>
      </c>
      <c r="G3789" s="130">
        <v>0</v>
      </c>
      <c r="H3789" s="71">
        <v>8.5</v>
      </c>
      <c r="I3789" s="71">
        <v>11.1</v>
      </c>
      <c r="J3789" s="71">
        <v>13.6</v>
      </c>
      <c r="K3789" s="121">
        <v>6.0000000000000001E-3</v>
      </c>
      <c r="L3789" s="121">
        <v>-7.0000000000000001E-3</v>
      </c>
      <c r="M3789" s="75" t="s">
        <v>146</v>
      </c>
      <c r="N3789" s="75" t="b">
        <v>1</v>
      </c>
      <c r="O3789" s="75" t="s">
        <v>145</v>
      </c>
      <c r="P3789" s="75">
        <v>2014</v>
      </c>
      <c r="Q3789" s="107">
        <f t="shared" si="111"/>
        <v>2018</v>
      </c>
      <c r="R3789" s="107">
        <v>2</v>
      </c>
      <c r="S3789" s="43">
        <v>218070</v>
      </c>
      <c r="T3789" s="74">
        <v>43229</v>
      </c>
      <c r="U3789" s="139"/>
    </row>
    <row r="3790" spans="1:21" x14ac:dyDescent="0.3">
      <c r="A3790" s="42">
        <v>43248</v>
      </c>
      <c r="B3790" s="37">
        <f t="shared" si="112"/>
        <v>20180528</v>
      </c>
      <c r="C3790" s="109">
        <v>2.3399999999999997E-2</v>
      </c>
      <c r="D3790" s="109">
        <v>7.0000000000000001E-3</v>
      </c>
      <c r="E3790" s="109">
        <v>8.0000000000000002E-3</v>
      </c>
      <c r="F3790" s="109">
        <v>8.9999999999999993E-3</v>
      </c>
      <c r="G3790" s="130">
        <v>0</v>
      </c>
      <c r="H3790" s="71">
        <v>8.5</v>
      </c>
      <c r="I3790" s="71">
        <v>11.1</v>
      </c>
      <c r="J3790" s="71">
        <v>13.6</v>
      </c>
      <c r="K3790" s="121">
        <v>5.6999999999999993E-3</v>
      </c>
      <c r="L3790" s="121">
        <v>-7.0000000000000001E-3</v>
      </c>
      <c r="M3790" s="75" t="s">
        <v>146</v>
      </c>
      <c r="N3790" s="75" t="b">
        <v>1</v>
      </c>
      <c r="O3790" s="75" t="s">
        <v>145</v>
      </c>
      <c r="P3790" s="75">
        <v>2014</v>
      </c>
      <c r="Q3790" s="107">
        <f t="shared" si="111"/>
        <v>2018</v>
      </c>
      <c r="R3790" s="107">
        <v>2</v>
      </c>
      <c r="S3790" s="43">
        <v>218070</v>
      </c>
      <c r="T3790" s="74">
        <v>43229</v>
      </c>
      <c r="U3790" s="139"/>
    </row>
    <row r="3791" spans="1:21" x14ac:dyDescent="0.3">
      <c r="A3791" s="42">
        <v>43249</v>
      </c>
      <c r="B3791" s="37">
        <f t="shared" si="112"/>
        <v>20180529</v>
      </c>
      <c r="C3791" s="109">
        <v>2.2400000000000003E-2</v>
      </c>
      <c r="D3791" s="109">
        <v>7.0000000000000001E-3</v>
      </c>
      <c r="E3791" s="109">
        <v>8.0000000000000002E-3</v>
      </c>
      <c r="F3791" s="109">
        <v>8.9999999999999993E-3</v>
      </c>
      <c r="G3791" s="130">
        <v>0</v>
      </c>
      <c r="H3791" s="71">
        <v>8.5</v>
      </c>
      <c r="I3791" s="71">
        <v>11.1</v>
      </c>
      <c r="J3791" s="71">
        <v>13.6</v>
      </c>
      <c r="K3791" s="121">
        <v>5.1000000000000004E-3</v>
      </c>
      <c r="L3791" s="121">
        <v>-7.0000000000000001E-3</v>
      </c>
      <c r="M3791" s="75" t="s">
        <v>146</v>
      </c>
      <c r="N3791" s="75" t="b">
        <v>1</v>
      </c>
      <c r="O3791" s="75" t="s">
        <v>145</v>
      </c>
      <c r="P3791" s="75">
        <v>2014</v>
      </c>
      <c r="Q3791" s="107">
        <f t="shared" si="111"/>
        <v>2018</v>
      </c>
      <c r="R3791" s="107">
        <v>2</v>
      </c>
      <c r="S3791" s="43">
        <v>218070</v>
      </c>
      <c r="T3791" s="74">
        <v>43229</v>
      </c>
      <c r="U3791" s="139"/>
    </row>
    <row r="3792" spans="1:21" x14ac:dyDescent="0.3">
      <c r="A3792" s="42">
        <v>43250</v>
      </c>
      <c r="B3792" s="37">
        <f t="shared" si="112"/>
        <v>20180530</v>
      </c>
      <c r="C3792" s="109">
        <v>2.2799999999999997E-2</v>
      </c>
      <c r="D3792" s="109">
        <v>7.0000000000000001E-3</v>
      </c>
      <c r="E3792" s="109">
        <v>8.0000000000000002E-3</v>
      </c>
      <c r="F3792" s="109">
        <v>8.9999999999999993E-3</v>
      </c>
      <c r="G3792" s="130">
        <v>0</v>
      </c>
      <c r="H3792" s="71">
        <v>8.5</v>
      </c>
      <c r="I3792" s="71">
        <v>11.1</v>
      </c>
      <c r="J3792" s="71">
        <v>13.6</v>
      </c>
      <c r="K3792" s="121">
        <v>5.4000000000000003E-3</v>
      </c>
      <c r="L3792" s="121">
        <v>-7.0000000000000001E-3</v>
      </c>
      <c r="M3792" s="75" t="s">
        <v>146</v>
      </c>
      <c r="N3792" s="75" t="b">
        <v>1</v>
      </c>
      <c r="O3792" s="75" t="s">
        <v>145</v>
      </c>
      <c r="P3792" s="75">
        <v>2014</v>
      </c>
      <c r="Q3792" s="107">
        <f t="shared" si="111"/>
        <v>2018</v>
      </c>
      <c r="R3792" s="107">
        <v>2</v>
      </c>
      <c r="S3792" s="43">
        <v>218070</v>
      </c>
      <c r="T3792" s="74">
        <v>43229</v>
      </c>
      <c r="U3792" s="139"/>
    </row>
    <row r="3793" spans="1:21" x14ac:dyDescent="0.3">
      <c r="A3793" s="42">
        <v>43251</v>
      </c>
      <c r="B3793" s="37">
        <f t="shared" si="112"/>
        <v>20180531</v>
      </c>
      <c r="C3793" s="109">
        <v>2.2599999999999999E-2</v>
      </c>
      <c r="D3793" s="109">
        <v>7.0000000000000001E-3</v>
      </c>
      <c r="E3793" s="109">
        <v>8.0000000000000002E-3</v>
      </c>
      <c r="F3793" s="109">
        <v>8.9999999999999993E-3</v>
      </c>
      <c r="G3793" s="130">
        <v>0</v>
      </c>
      <c r="H3793" s="71">
        <v>8.5</v>
      </c>
      <c r="I3793" s="71">
        <v>11.1</v>
      </c>
      <c r="J3793" s="71">
        <v>13.6</v>
      </c>
      <c r="K3793" s="121">
        <v>5.1999999999999998E-3</v>
      </c>
      <c r="L3793" s="121">
        <v>-7.0000000000000001E-3</v>
      </c>
      <c r="M3793" s="75" t="s">
        <v>146</v>
      </c>
      <c r="N3793" s="75" t="b">
        <v>1</v>
      </c>
      <c r="O3793" s="75" t="s">
        <v>145</v>
      </c>
      <c r="P3793" s="75">
        <v>2014</v>
      </c>
      <c r="Q3793" s="107">
        <f t="shared" si="111"/>
        <v>2018</v>
      </c>
      <c r="R3793" s="107">
        <v>2</v>
      </c>
      <c r="S3793" s="43">
        <v>218070</v>
      </c>
      <c r="T3793" s="74">
        <v>43229</v>
      </c>
      <c r="U3793" s="139"/>
    </row>
    <row r="3794" spans="1:21" x14ac:dyDescent="0.3">
      <c r="A3794" s="42">
        <v>43252</v>
      </c>
      <c r="B3794" s="37">
        <f t="shared" si="112"/>
        <v>20180601</v>
      </c>
      <c r="C3794" s="109">
        <v>2.2700000000000001E-2</v>
      </c>
      <c r="D3794" s="109">
        <v>7.0000000000000001E-3</v>
      </c>
      <c r="E3794" s="109">
        <v>8.0000000000000002E-3</v>
      </c>
      <c r="F3794" s="109">
        <v>8.9999999999999993E-3</v>
      </c>
      <c r="G3794" s="130">
        <v>0</v>
      </c>
      <c r="H3794" s="71">
        <v>8.5</v>
      </c>
      <c r="I3794" s="71">
        <v>11.1</v>
      </c>
      <c r="J3794" s="71">
        <v>13.6</v>
      </c>
      <c r="K3794" s="121">
        <v>5.3E-3</v>
      </c>
      <c r="L3794" s="121">
        <v>-7.0000000000000001E-3</v>
      </c>
      <c r="M3794" s="75" t="s">
        <v>146</v>
      </c>
      <c r="N3794" s="75" t="b">
        <v>1</v>
      </c>
      <c r="O3794" s="75" t="s">
        <v>145</v>
      </c>
      <c r="P3794" s="75">
        <v>2014</v>
      </c>
      <c r="Q3794" s="107">
        <f t="shared" si="111"/>
        <v>2018</v>
      </c>
      <c r="R3794" s="107">
        <v>2</v>
      </c>
      <c r="S3794" s="43">
        <v>218070</v>
      </c>
      <c r="T3794" s="74">
        <v>43229</v>
      </c>
      <c r="U3794" s="139"/>
    </row>
    <row r="3795" spans="1:21" x14ac:dyDescent="0.3">
      <c r="A3795" s="42">
        <v>43253</v>
      </c>
      <c r="B3795" s="37">
        <f t="shared" si="112"/>
        <v>20180602</v>
      </c>
      <c r="C3795" s="109">
        <v>2.2700000000000001E-2</v>
      </c>
      <c r="D3795" s="109">
        <v>7.0000000000000001E-3</v>
      </c>
      <c r="E3795" s="109">
        <v>8.0000000000000002E-3</v>
      </c>
      <c r="F3795" s="109">
        <v>8.9999999999999993E-3</v>
      </c>
      <c r="G3795" s="130">
        <v>0</v>
      </c>
      <c r="H3795" s="71">
        <v>8.5</v>
      </c>
      <c r="I3795" s="71">
        <v>11.1</v>
      </c>
      <c r="J3795" s="71">
        <v>13.6</v>
      </c>
      <c r="K3795" s="121">
        <v>5.3E-3</v>
      </c>
      <c r="L3795" s="121">
        <v>-7.0000000000000001E-3</v>
      </c>
      <c r="M3795" s="75" t="s">
        <v>146</v>
      </c>
      <c r="N3795" s="75" t="b">
        <v>1</v>
      </c>
      <c r="O3795" s="75" t="s">
        <v>145</v>
      </c>
      <c r="P3795" s="75">
        <v>2014</v>
      </c>
      <c r="Q3795" s="107">
        <f t="shared" si="111"/>
        <v>2018</v>
      </c>
      <c r="R3795" s="107">
        <v>2</v>
      </c>
      <c r="S3795" s="43">
        <v>218070</v>
      </c>
      <c r="T3795" s="74">
        <v>43229</v>
      </c>
      <c r="U3795" s="139"/>
    </row>
    <row r="3796" spans="1:21" x14ac:dyDescent="0.3">
      <c r="A3796" s="42">
        <v>43254</v>
      </c>
      <c r="B3796" s="37">
        <f t="shared" si="112"/>
        <v>20180603</v>
      </c>
      <c r="C3796" s="109">
        <v>2.2700000000000001E-2</v>
      </c>
      <c r="D3796" s="109">
        <v>7.0000000000000001E-3</v>
      </c>
      <c r="E3796" s="109">
        <v>8.0000000000000002E-3</v>
      </c>
      <c r="F3796" s="109">
        <v>8.9999999999999993E-3</v>
      </c>
      <c r="G3796" s="130">
        <v>0</v>
      </c>
      <c r="H3796" s="71">
        <v>8.5</v>
      </c>
      <c r="I3796" s="71">
        <v>11.1</v>
      </c>
      <c r="J3796" s="71">
        <v>13.6</v>
      </c>
      <c r="K3796" s="121">
        <v>5.3E-3</v>
      </c>
      <c r="L3796" s="121">
        <v>-7.0000000000000001E-3</v>
      </c>
      <c r="M3796" s="75" t="s">
        <v>146</v>
      </c>
      <c r="N3796" s="75" t="b">
        <v>1</v>
      </c>
      <c r="O3796" s="75" t="s">
        <v>145</v>
      </c>
      <c r="P3796" s="75">
        <v>2014</v>
      </c>
      <c r="Q3796" s="107">
        <f t="shared" si="111"/>
        <v>2018</v>
      </c>
      <c r="R3796" s="107">
        <v>2</v>
      </c>
      <c r="S3796" s="43">
        <v>218070</v>
      </c>
      <c r="T3796" s="74">
        <v>43229</v>
      </c>
      <c r="U3796" s="139"/>
    </row>
    <row r="3797" spans="1:21" x14ac:dyDescent="0.3">
      <c r="A3797" s="42">
        <v>43255</v>
      </c>
      <c r="B3797" s="37">
        <f t="shared" si="112"/>
        <v>20180604</v>
      </c>
      <c r="C3797" s="109">
        <v>2.3099999999999999E-2</v>
      </c>
      <c r="D3797" s="109">
        <v>7.0000000000000001E-3</v>
      </c>
      <c r="E3797" s="109">
        <v>8.0000000000000002E-3</v>
      </c>
      <c r="F3797" s="109">
        <v>8.9999999999999993E-3</v>
      </c>
      <c r="G3797" s="130">
        <v>0</v>
      </c>
      <c r="H3797" s="71">
        <v>8.5</v>
      </c>
      <c r="I3797" s="71">
        <v>11.1</v>
      </c>
      <c r="J3797" s="71">
        <v>13.6</v>
      </c>
      <c r="K3797" s="121">
        <v>5.7999999999999996E-3</v>
      </c>
      <c r="L3797" s="121">
        <v>-7.0000000000000001E-3</v>
      </c>
      <c r="M3797" s="75" t="s">
        <v>146</v>
      </c>
      <c r="N3797" s="75" t="b">
        <v>1</v>
      </c>
      <c r="O3797" s="75" t="s">
        <v>145</v>
      </c>
      <c r="P3797" s="75">
        <v>2014</v>
      </c>
      <c r="Q3797" s="107">
        <f t="shared" si="111"/>
        <v>2018</v>
      </c>
      <c r="R3797" s="107">
        <v>2</v>
      </c>
      <c r="S3797" s="43">
        <v>218070</v>
      </c>
      <c r="T3797" s="74">
        <v>43229</v>
      </c>
      <c r="U3797" s="139"/>
    </row>
    <row r="3798" spans="1:21" x14ac:dyDescent="0.3">
      <c r="A3798" s="42">
        <v>43256</v>
      </c>
      <c r="B3798" s="37">
        <f t="shared" si="112"/>
        <v>20180605</v>
      </c>
      <c r="C3798" s="109">
        <v>2.29E-2</v>
      </c>
      <c r="D3798" s="109">
        <v>7.0000000000000001E-3</v>
      </c>
      <c r="E3798" s="109">
        <v>8.0000000000000002E-3</v>
      </c>
      <c r="F3798" s="109">
        <v>8.9999999999999993E-3</v>
      </c>
      <c r="G3798" s="130">
        <v>0</v>
      </c>
      <c r="H3798" s="71">
        <v>8.5</v>
      </c>
      <c r="I3798" s="71">
        <v>11.1</v>
      </c>
      <c r="J3798" s="71">
        <v>13.6</v>
      </c>
      <c r="K3798" s="121">
        <v>5.6000000000000008E-3</v>
      </c>
      <c r="L3798" s="121">
        <v>-7.0000000000000001E-3</v>
      </c>
      <c r="M3798" s="75" t="s">
        <v>146</v>
      </c>
      <c r="N3798" s="75" t="b">
        <v>1</v>
      </c>
      <c r="O3798" s="75" t="s">
        <v>145</v>
      </c>
      <c r="P3798" s="75">
        <v>2014</v>
      </c>
      <c r="Q3798" s="107">
        <f t="shared" si="111"/>
        <v>2018</v>
      </c>
      <c r="R3798" s="107">
        <v>2</v>
      </c>
      <c r="S3798" s="43">
        <v>218070</v>
      </c>
      <c r="T3798" s="74">
        <v>43229</v>
      </c>
      <c r="U3798" s="139"/>
    </row>
    <row r="3799" spans="1:21" x14ac:dyDescent="0.3">
      <c r="A3799" s="42">
        <v>43257</v>
      </c>
      <c r="B3799" s="37">
        <f t="shared" si="112"/>
        <v>20180606</v>
      </c>
      <c r="C3799" s="109">
        <v>2.35E-2</v>
      </c>
      <c r="D3799" s="109">
        <v>7.0000000000000001E-3</v>
      </c>
      <c r="E3799" s="109">
        <v>8.0000000000000002E-3</v>
      </c>
      <c r="F3799" s="109">
        <v>8.9999999999999993E-3</v>
      </c>
      <c r="G3799" s="130">
        <v>0</v>
      </c>
      <c r="H3799" s="71">
        <v>8.5</v>
      </c>
      <c r="I3799" s="71">
        <v>11.1</v>
      </c>
      <c r="J3799" s="71">
        <v>13.6</v>
      </c>
      <c r="K3799" s="121">
        <v>6.0999999999999995E-3</v>
      </c>
      <c r="L3799" s="121">
        <v>-7.0000000000000001E-3</v>
      </c>
      <c r="M3799" s="75" t="s">
        <v>146</v>
      </c>
      <c r="N3799" s="75" t="b">
        <v>1</v>
      </c>
      <c r="O3799" s="75" t="s">
        <v>145</v>
      </c>
      <c r="P3799" s="75">
        <v>2014</v>
      </c>
      <c r="Q3799" s="107">
        <f t="shared" si="111"/>
        <v>2018</v>
      </c>
      <c r="R3799" s="107">
        <v>2</v>
      </c>
      <c r="S3799" s="43">
        <v>218070</v>
      </c>
      <c r="T3799" s="74">
        <v>43229</v>
      </c>
      <c r="U3799" s="139"/>
    </row>
    <row r="3800" spans="1:21" x14ac:dyDescent="0.3">
      <c r="A3800" s="42">
        <v>43258</v>
      </c>
      <c r="B3800" s="37">
        <f t="shared" si="112"/>
        <v>20180607</v>
      </c>
      <c r="C3800" s="109">
        <v>2.3300000000000001E-2</v>
      </c>
      <c r="D3800" s="109">
        <v>7.0000000000000001E-3</v>
      </c>
      <c r="E3800" s="109">
        <v>8.0000000000000002E-3</v>
      </c>
      <c r="F3800" s="109">
        <v>8.9999999999999993E-3</v>
      </c>
      <c r="G3800" s="130">
        <v>0</v>
      </c>
      <c r="H3800" s="71">
        <v>8.5</v>
      </c>
      <c r="I3800" s="71">
        <v>11.1</v>
      </c>
      <c r="J3800" s="71">
        <v>13.6</v>
      </c>
      <c r="K3800" s="121">
        <v>5.7999999999999996E-3</v>
      </c>
      <c r="L3800" s="121">
        <v>-7.0000000000000001E-3</v>
      </c>
      <c r="M3800" s="75" t="s">
        <v>146</v>
      </c>
      <c r="N3800" s="75" t="b">
        <v>1</v>
      </c>
      <c r="O3800" s="75" t="s">
        <v>145</v>
      </c>
      <c r="P3800" s="75">
        <v>2014</v>
      </c>
      <c r="Q3800" s="107">
        <f t="shared" si="111"/>
        <v>2018</v>
      </c>
      <c r="R3800" s="107">
        <v>2</v>
      </c>
      <c r="S3800" s="43">
        <v>218070</v>
      </c>
      <c r="T3800" s="74">
        <v>43229</v>
      </c>
      <c r="U3800" s="139"/>
    </row>
    <row r="3801" spans="1:21" x14ac:dyDescent="0.3">
      <c r="A3801" s="42">
        <v>43259</v>
      </c>
      <c r="B3801" s="37">
        <f t="shared" si="112"/>
        <v>20180608</v>
      </c>
      <c r="C3801" s="109">
        <v>2.3599999999999999E-2</v>
      </c>
      <c r="D3801" s="109">
        <v>7.0000000000000001E-3</v>
      </c>
      <c r="E3801" s="109">
        <v>8.0000000000000002E-3</v>
      </c>
      <c r="F3801" s="109">
        <v>8.9999999999999993E-3</v>
      </c>
      <c r="G3801" s="130">
        <v>0</v>
      </c>
      <c r="H3801" s="71">
        <v>8.5</v>
      </c>
      <c r="I3801" s="71">
        <v>11.1</v>
      </c>
      <c r="J3801" s="71">
        <v>13.6</v>
      </c>
      <c r="K3801" s="121">
        <v>6.0999999999999995E-3</v>
      </c>
      <c r="L3801" s="121">
        <v>-7.0000000000000001E-3</v>
      </c>
      <c r="M3801" s="75" t="s">
        <v>146</v>
      </c>
      <c r="N3801" s="75" t="b">
        <v>1</v>
      </c>
      <c r="O3801" s="75" t="s">
        <v>145</v>
      </c>
      <c r="P3801" s="75">
        <v>2014</v>
      </c>
      <c r="Q3801" s="107">
        <f t="shared" si="111"/>
        <v>2018</v>
      </c>
      <c r="R3801" s="107">
        <v>2</v>
      </c>
      <c r="S3801" s="43">
        <v>218070</v>
      </c>
      <c r="T3801" s="74">
        <v>43229</v>
      </c>
      <c r="U3801" s="139"/>
    </row>
    <row r="3802" spans="1:21" x14ac:dyDescent="0.3">
      <c r="A3802" s="42">
        <v>43260</v>
      </c>
      <c r="B3802" s="37">
        <f t="shared" si="112"/>
        <v>20180609</v>
      </c>
      <c r="C3802" s="109">
        <v>2.3599999999999999E-2</v>
      </c>
      <c r="D3802" s="109">
        <v>7.0000000000000001E-3</v>
      </c>
      <c r="E3802" s="109">
        <v>8.0000000000000002E-3</v>
      </c>
      <c r="F3802" s="109">
        <v>8.9999999999999993E-3</v>
      </c>
      <c r="G3802" s="130">
        <v>0</v>
      </c>
      <c r="H3802" s="71">
        <v>8.5</v>
      </c>
      <c r="I3802" s="71">
        <v>11.1</v>
      </c>
      <c r="J3802" s="71">
        <v>13.6</v>
      </c>
      <c r="K3802" s="121">
        <v>6.0999999999999995E-3</v>
      </c>
      <c r="L3802" s="121">
        <v>-7.0000000000000001E-3</v>
      </c>
      <c r="M3802" s="75" t="s">
        <v>146</v>
      </c>
      <c r="N3802" s="75" t="b">
        <v>1</v>
      </c>
      <c r="O3802" s="75" t="s">
        <v>145</v>
      </c>
      <c r="P3802" s="75">
        <v>2014</v>
      </c>
      <c r="Q3802" s="107">
        <f t="shared" si="111"/>
        <v>2018</v>
      </c>
      <c r="R3802" s="107">
        <v>2</v>
      </c>
      <c r="S3802" s="43">
        <v>218070</v>
      </c>
      <c r="T3802" s="74">
        <v>43229</v>
      </c>
      <c r="U3802" s="139"/>
    </row>
    <row r="3803" spans="1:21" x14ac:dyDescent="0.3">
      <c r="A3803" s="42">
        <v>43261</v>
      </c>
      <c r="B3803" s="37">
        <f t="shared" si="112"/>
        <v>20180610</v>
      </c>
      <c r="C3803" s="109">
        <v>2.3599999999999999E-2</v>
      </c>
      <c r="D3803" s="109">
        <v>7.0000000000000001E-3</v>
      </c>
      <c r="E3803" s="109">
        <v>8.0000000000000002E-3</v>
      </c>
      <c r="F3803" s="109">
        <v>8.9999999999999993E-3</v>
      </c>
      <c r="G3803" s="130">
        <v>0</v>
      </c>
      <c r="H3803" s="71">
        <v>8.5</v>
      </c>
      <c r="I3803" s="71">
        <v>11.1</v>
      </c>
      <c r="J3803" s="71">
        <v>13.6</v>
      </c>
      <c r="K3803" s="121">
        <v>6.0999999999999995E-3</v>
      </c>
      <c r="L3803" s="121">
        <v>-7.0000000000000001E-3</v>
      </c>
      <c r="M3803" s="75" t="s">
        <v>146</v>
      </c>
      <c r="N3803" s="75" t="b">
        <v>1</v>
      </c>
      <c r="O3803" s="75" t="s">
        <v>145</v>
      </c>
      <c r="P3803" s="75">
        <v>2014</v>
      </c>
      <c r="Q3803" s="107">
        <f t="shared" si="111"/>
        <v>2018</v>
      </c>
      <c r="R3803" s="107">
        <v>2</v>
      </c>
      <c r="S3803" s="43">
        <v>218070</v>
      </c>
      <c r="T3803" s="74">
        <v>43229</v>
      </c>
      <c r="U3803" s="139"/>
    </row>
    <row r="3804" spans="1:21" x14ac:dyDescent="0.3">
      <c r="A3804" s="42">
        <v>43262</v>
      </c>
      <c r="B3804" s="37">
        <f t="shared" si="112"/>
        <v>20180611</v>
      </c>
      <c r="C3804" s="109">
        <v>2.35E-2</v>
      </c>
      <c r="D3804" s="109">
        <v>7.0000000000000001E-3</v>
      </c>
      <c r="E3804" s="109">
        <v>8.0000000000000002E-3</v>
      </c>
      <c r="F3804" s="109">
        <v>8.9999999999999993E-3</v>
      </c>
      <c r="G3804" s="130">
        <v>0</v>
      </c>
      <c r="H3804" s="71">
        <v>8.5</v>
      </c>
      <c r="I3804" s="71">
        <v>11.1</v>
      </c>
      <c r="J3804" s="71">
        <v>13.6</v>
      </c>
      <c r="K3804" s="121">
        <v>6.0999999999999995E-3</v>
      </c>
      <c r="L3804" s="121">
        <v>-7.0000000000000001E-3</v>
      </c>
      <c r="M3804" s="75" t="s">
        <v>146</v>
      </c>
      <c r="N3804" s="75" t="b">
        <v>1</v>
      </c>
      <c r="O3804" s="75" t="s">
        <v>145</v>
      </c>
      <c r="P3804" s="75">
        <v>2014</v>
      </c>
      <c r="Q3804" s="107">
        <f t="shared" si="111"/>
        <v>2018</v>
      </c>
      <c r="R3804" s="107">
        <v>2</v>
      </c>
      <c r="S3804" s="43">
        <v>218070</v>
      </c>
      <c r="T3804" s="74">
        <v>43229</v>
      </c>
      <c r="U3804" s="139"/>
    </row>
    <row r="3805" spans="1:21" x14ac:dyDescent="0.3">
      <c r="A3805" s="42">
        <v>43263</v>
      </c>
      <c r="B3805" s="37">
        <f t="shared" si="112"/>
        <v>20180612</v>
      </c>
      <c r="C3805" s="109">
        <v>2.3300000000000001E-2</v>
      </c>
      <c r="D3805" s="109">
        <v>7.0000000000000001E-3</v>
      </c>
      <c r="E3805" s="109">
        <v>8.0000000000000002E-3</v>
      </c>
      <c r="F3805" s="109">
        <v>8.9999999999999993E-3</v>
      </c>
      <c r="G3805" s="130">
        <v>0</v>
      </c>
      <c r="H3805" s="71">
        <v>8.5</v>
      </c>
      <c r="I3805" s="71">
        <v>11.1</v>
      </c>
      <c r="J3805" s="71">
        <v>13.6</v>
      </c>
      <c r="K3805" s="121">
        <v>5.6000000000000008E-3</v>
      </c>
      <c r="L3805" s="121">
        <v>-7.0000000000000001E-3</v>
      </c>
      <c r="M3805" s="75" t="s">
        <v>146</v>
      </c>
      <c r="N3805" s="75" t="b">
        <v>1</v>
      </c>
      <c r="O3805" s="75" t="s">
        <v>145</v>
      </c>
      <c r="P3805" s="75">
        <v>2014</v>
      </c>
      <c r="Q3805" s="107">
        <f t="shared" si="111"/>
        <v>2018</v>
      </c>
      <c r="R3805" s="107">
        <v>2</v>
      </c>
      <c r="S3805" s="43">
        <v>218070</v>
      </c>
      <c r="T3805" s="74">
        <v>43229</v>
      </c>
      <c r="U3805" s="139"/>
    </row>
    <row r="3806" spans="1:21" x14ac:dyDescent="0.3">
      <c r="A3806" s="42">
        <v>43264</v>
      </c>
      <c r="B3806" s="37">
        <f t="shared" si="112"/>
        <v>20180613</v>
      </c>
      <c r="C3806" s="109">
        <v>2.3399999999999997E-2</v>
      </c>
      <c r="D3806" s="109">
        <v>7.0000000000000001E-3</v>
      </c>
      <c r="E3806" s="109">
        <v>8.0000000000000002E-3</v>
      </c>
      <c r="F3806" s="109">
        <v>8.9999999999999993E-3</v>
      </c>
      <c r="G3806" s="130">
        <v>0</v>
      </c>
      <c r="H3806" s="71">
        <v>8.5</v>
      </c>
      <c r="I3806" s="71">
        <v>11.1</v>
      </c>
      <c r="J3806" s="71">
        <v>13.6</v>
      </c>
      <c r="K3806" s="121">
        <v>5.6999999999999993E-3</v>
      </c>
      <c r="L3806" s="121">
        <v>-7.0000000000000001E-3</v>
      </c>
      <c r="M3806" s="75" t="s">
        <v>146</v>
      </c>
      <c r="N3806" s="75" t="b">
        <v>1</v>
      </c>
      <c r="O3806" s="75" t="s">
        <v>145</v>
      </c>
      <c r="P3806" s="75">
        <v>2014</v>
      </c>
      <c r="Q3806" s="107">
        <f t="shared" si="111"/>
        <v>2018</v>
      </c>
      <c r="R3806" s="107">
        <v>2</v>
      </c>
      <c r="S3806" s="43">
        <v>218070</v>
      </c>
      <c r="T3806" s="74">
        <v>43229</v>
      </c>
      <c r="U3806" s="139"/>
    </row>
    <row r="3807" spans="1:21" x14ac:dyDescent="0.3">
      <c r="A3807" s="42">
        <v>43265</v>
      </c>
      <c r="B3807" s="37">
        <f t="shared" si="112"/>
        <v>20180614</v>
      </c>
      <c r="C3807" s="109">
        <v>2.3E-2</v>
      </c>
      <c r="D3807" s="109">
        <v>7.0000000000000001E-3</v>
      </c>
      <c r="E3807" s="109">
        <v>8.0000000000000002E-3</v>
      </c>
      <c r="F3807" s="109">
        <v>8.9999999999999993E-3</v>
      </c>
      <c r="G3807" s="130">
        <v>0</v>
      </c>
      <c r="H3807" s="71">
        <v>8.5</v>
      </c>
      <c r="I3807" s="71">
        <v>11.1</v>
      </c>
      <c r="J3807" s="71">
        <v>13.6</v>
      </c>
      <c r="K3807" s="121">
        <v>5.1999999999999998E-3</v>
      </c>
      <c r="L3807" s="121">
        <v>-7.0000000000000001E-3</v>
      </c>
      <c r="M3807" s="75" t="s">
        <v>146</v>
      </c>
      <c r="N3807" s="75" t="b">
        <v>1</v>
      </c>
      <c r="O3807" s="75" t="s">
        <v>145</v>
      </c>
      <c r="P3807" s="75">
        <v>2014</v>
      </c>
      <c r="Q3807" s="107">
        <f t="shared" si="111"/>
        <v>2018</v>
      </c>
      <c r="R3807" s="107">
        <v>2</v>
      </c>
      <c r="S3807" s="43">
        <v>218070</v>
      </c>
      <c r="T3807" s="74">
        <v>43229</v>
      </c>
      <c r="U3807" s="139"/>
    </row>
    <row r="3808" spans="1:21" x14ac:dyDescent="0.3">
      <c r="A3808" s="42">
        <v>43266</v>
      </c>
      <c r="B3808" s="37">
        <f t="shared" si="112"/>
        <v>20180615</v>
      </c>
      <c r="C3808" s="109">
        <v>2.2499999999999999E-2</v>
      </c>
      <c r="D3808" s="109">
        <v>7.0000000000000001E-3</v>
      </c>
      <c r="E3808" s="109">
        <v>8.0000000000000002E-3</v>
      </c>
      <c r="F3808" s="109">
        <v>8.9999999999999993E-3</v>
      </c>
      <c r="G3808" s="130">
        <v>0</v>
      </c>
      <c r="H3808" s="71">
        <v>8.5</v>
      </c>
      <c r="I3808" s="71">
        <v>11.1</v>
      </c>
      <c r="J3808" s="71">
        <v>13.6</v>
      </c>
      <c r="K3808" s="121">
        <v>4.7999999999999996E-3</v>
      </c>
      <c r="L3808" s="121">
        <v>-7.0000000000000001E-3</v>
      </c>
      <c r="M3808" s="75" t="s">
        <v>146</v>
      </c>
      <c r="N3808" s="75" t="b">
        <v>1</v>
      </c>
      <c r="O3808" s="75" t="s">
        <v>145</v>
      </c>
      <c r="P3808" s="75">
        <v>2014</v>
      </c>
      <c r="Q3808" s="107">
        <f t="shared" si="111"/>
        <v>2018</v>
      </c>
      <c r="R3808" s="107">
        <v>2</v>
      </c>
      <c r="S3808" s="43">
        <v>218070</v>
      </c>
      <c r="T3808" s="74">
        <v>43229</v>
      </c>
      <c r="U3808" s="139"/>
    </row>
    <row r="3809" spans="1:21" x14ac:dyDescent="0.3">
      <c r="A3809" s="42">
        <v>43267</v>
      </c>
      <c r="B3809" s="37">
        <f t="shared" si="112"/>
        <v>20180616</v>
      </c>
      <c r="C3809" s="109">
        <v>2.2499999999999999E-2</v>
      </c>
      <c r="D3809" s="109">
        <v>7.0000000000000001E-3</v>
      </c>
      <c r="E3809" s="109">
        <v>8.0000000000000002E-3</v>
      </c>
      <c r="F3809" s="109">
        <v>8.9999999999999993E-3</v>
      </c>
      <c r="G3809" s="130">
        <v>0</v>
      </c>
      <c r="H3809" s="71">
        <v>8.5</v>
      </c>
      <c r="I3809" s="71">
        <v>11.1</v>
      </c>
      <c r="J3809" s="71">
        <v>13.6</v>
      </c>
      <c r="K3809" s="121">
        <v>4.7999999999999996E-3</v>
      </c>
      <c r="L3809" s="121">
        <v>-7.0000000000000001E-3</v>
      </c>
      <c r="M3809" s="75" t="s">
        <v>146</v>
      </c>
      <c r="N3809" s="75" t="b">
        <v>1</v>
      </c>
      <c r="O3809" s="75" t="s">
        <v>145</v>
      </c>
      <c r="P3809" s="75">
        <v>2014</v>
      </c>
      <c r="Q3809" s="107">
        <f t="shared" si="111"/>
        <v>2018</v>
      </c>
      <c r="R3809" s="107">
        <v>2</v>
      </c>
      <c r="S3809" s="43">
        <v>218070</v>
      </c>
      <c r="T3809" s="74">
        <v>43229</v>
      </c>
      <c r="U3809" s="139"/>
    </row>
    <row r="3810" spans="1:21" x14ac:dyDescent="0.3">
      <c r="A3810" s="42">
        <v>43268</v>
      </c>
      <c r="B3810" s="37">
        <f t="shared" si="112"/>
        <v>20180617</v>
      </c>
      <c r="C3810" s="109">
        <v>2.2499999999999999E-2</v>
      </c>
      <c r="D3810" s="109">
        <v>7.0000000000000001E-3</v>
      </c>
      <c r="E3810" s="109">
        <v>8.0000000000000002E-3</v>
      </c>
      <c r="F3810" s="109">
        <v>8.9999999999999993E-3</v>
      </c>
      <c r="G3810" s="130">
        <v>0</v>
      </c>
      <c r="H3810" s="71">
        <v>8.5</v>
      </c>
      <c r="I3810" s="71">
        <v>11.1</v>
      </c>
      <c r="J3810" s="71">
        <v>13.6</v>
      </c>
      <c r="K3810" s="121">
        <v>4.7999999999999996E-3</v>
      </c>
      <c r="L3810" s="121">
        <v>-7.0000000000000001E-3</v>
      </c>
      <c r="M3810" s="75" t="s">
        <v>146</v>
      </c>
      <c r="N3810" s="75" t="b">
        <v>1</v>
      </c>
      <c r="O3810" s="75" t="s">
        <v>145</v>
      </c>
      <c r="P3810" s="75">
        <v>2014</v>
      </c>
      <c r="Q3810" s="107">
        <f t="shared" si="111"/>
        <v>2018</v>
      </c>
      <c r="R3810" s="107">
        <v>2</v>
      </c>
      <c r="S3810" s="43">
        <v>218070</v>
      </c>
      <c r="T3810" s="74">
        <v>43229</v>
      </c>
      <c r="U3810" s="139"/>
    </row>
    <row r="3811" spans="1:21" x14ac:dyDescent="0.3">
      <c r="A3811" s="42">
        <v>43269</v>
      </c>
      <c r="B3811" s="37">
        <f t="shared" si="112"/>
        <v>20180618</v>
      </c>
      <c r="C3811" s="109">
        <v>2.2400000000000003E-2</v>
      </c>
      <c r="D3811" s="109">
        <v>7.0000000000000001E-3</v>
      </c>
      <c r="E3811" s="109">
        <v>8.0000000000000002E-3</v>
      </c>
      <c r="F3811" s="109">
        <v>8.9999999999999993E-3</v>
      </c>
      <c r="G3811" s="130">
        <v>0</v>
      </c>
      <c r="H3811" s="71">
        <v>8.5</v>
      </c>
      <c r="I3811" s="71">
        <v>11.1</v>
      </c>
      <c r="J3811" s="71">
        <v>13.6</v>
      </c>
      <c r="K3811" s="121">
        <v>4.7999999999999996E-3</v>
      </c>
      <c r="L3811" s="121">
        <v>-7.0000000000000001E-3</v>
      </c>
      <c r="M3811" s="75" t="s">
        <v>146</v>
      </c>
      <c r="N3811" s="75" t="b">
        <v>1</v>
      </c>
      <c r="O3811" s="75" t="s">
        <v>145</v>
      </c>
      <c r="P3811" s="75">
        <v>2014</v>
      </c>
      <c r="Q3811" s="107">
        <f t="shared" si="111"/>
        <v>2018</v>
      </c>
      <c r="R3811" s="107">
        <v>2</v>
      </c>
      <c r="S3811" s="43">
        <v>218070</v>
      </c>
      <c r="T3811" s="74">
        <v>43229</v>
      </c>
      <c r="U3811" s="139"/>
    </row>
    <row r="3812" spans="1:21" x14ac:dyDescent="0.3">
      <c r="A3812" s="42">
        <v>43270</v>
      </c>
      <c r="B3812" s="37">
        <f t="shared" si="112"/>
        <v>20180619</v>
      </c>
      <c r="C3812" s="109">
        <v>2.2000000000000002E-2</v>
      </c>
      <c r="D3812" s="109">
        <v>7.0000000000000001E-3</v>
      </c>
      <c r="E3812" s="109">
        <v>8.0000000000000002E-3</v>
      </c>
      <c r="F3812" s="109">
        <v>8.9999999999999993E-3</v>
      </c>
      <c r="G3812" s="130">
        <v>0</v>
      </c>
      <c r="H3812" s="71">
        <v>8.5</v>
      </c>
      <c r="I3812" s="71">
        <v>11.1</v>
      </c>
      <c r="J3812" s="71">
        <v>13.6</v>
      </c>
      <c r="K3812" s="121">
        <v>4.5000000000000005E-3</v>
      </c>
      <c r="L3812" s="121">
        <v>-7.0000000000000001E-3</v>
      </c>
      <c r="M3812" s="75" t="s">
        <v>146</v>
      </c>
      <c r="N3812" s="75" t="b">
        <v>1</v>
      </c>
      <c r="O3812" s="75" t="s">
        <v>145</v>
      </c>
      <c r="P3812" s="75">
        <v>2014</v>
      </c>
      <c r="Q3812" s="107">
        <f t="shared" si="111"/>
        <v>2018</v>
      </c>
      <c r="R3812" s="107">
        <v>2</v>
      </c>
      <c r="S3812" s="43">
        <v>218070</v>
      </c>
      <c r="T3812" s="74">
        <v>43229</v>
      </c>
      <c r="U3812" s="139"/>
    </row>
    <row r="3813" spans="1:21" x14ac:dyDescent="0.3">
      <c r="A3813" s="42">
        <v>43271</v>
      </c>
      <c r="B3813" s="37">
        <f t="shared" si="112"/>
        <v>20180620</v>
      </c>
      <c r="C3813" s="109">
        <v>2.23E-2</v>
      </c>
      <c r="D3813" s="109">
        <v>7.0000000000000001E-3</v>
      </c>
      <c r="E3813" s="109">
        <v>8.0000000000000002E-3</v>
      </c>
      <c r="F3813" s="109">
        <v>8.9999999999999993E-3</v>
      </c>
      <c r="G3813" s="130">
        <v>0</v>
      </c>
      <c r="H3813" s="71">
        <v>8.5</v>
      </c>
      <c r="I3813" s="71">
        <v>11.1</v>
      </c>
      <c r="J3813" s="71">
        <v>13.6</v>
      </c>
      <c r="K3813" s="121">
        <v>4.7999999999999996E-3</v>
      </c>
      <c r="L3813" s="121">
        <v>-7.0000000000000001E-3</v>
      </c>
      <c r="M3813" s="75" t="s">
        <v>146</v>
      </c>
      <c r="N3813" s="75" t="b">
        <v>1</v>
      </c>
      <c r="O3813" s="75" t="s">
        <v>145</v>
      </c>
      <c r="P3813" s="75">
        <v>2014</v>
      </c>
      <c r="Q3813" s="107">
        <f t="shared" si="111"/>
        <v>2018</v>
      </c>
      <c r="R3813" s="107">
        <v>2</v>
      </c>
      <c r="S3813" s="43">
        <v>218070</v>
      </c>
      <c r="T3813" s="74">
        <v>43229</v>
      </c>
      <c r="U3813" s="139"/>
    </row>
    <row r="3814" spans="1:21" x14ac:dyDescent="0.3">
      <c r="A3814" s="42">
        <v>43272</v>
      </c>
      <c r="B3814" s="37">
        <f t="shared" si="112"/>
        <v>20180621</v>
      </c>
      <c r="C3814" s="109">
        <v>2.2000000000000002E-2</v>
      </c>
      <c r="D3814" s="109">
        <v>7.0000000000000001E-3</v>
      </c>
      <c r="E3814" s="109">
        <v>8.0000000000000002E-3</v>
      </c>
      <c r="F3814" s="109">
        <v>8.9999999999999993E-3</v>
      </c>
      <c r="G3814" s="130">
        <v>0</v>
      </c>
      <c r="H3814" s="71">
        <v>8.5</v>
      </c>
      <c r="I3814" s="71">
        <v>11.1</v>
      </c>
      <c r="J3814" s="71">
        <v>13.6</v>
      </c>
      <c r="K3814" s="121">
        <v>4.5000000000000005E-3</v>
      </c>
      <c r="L3814" s="121">
        <v>-7.0000000000000001E-3</v>
      </c>
      <c r="M3814" s="75" t="s">
        <v>146</v>
      </c>
      <c r="N3814" s="75" t="b">
        <v>1</v>
      </c>
      <c r="O3814" s="75" t="s">
        <v>145</v>
      </c>
      <c r="P3814" s="75">
        <v>2014</v>
      </c>
      <c r="Q3814" s="107">
        <f t="shared" si="111"/>
        <v>2018</v>
      </c>
      <c r="R3814" s="107">
        <v>2</v>
      </c>
      <c r="S3814" s="43">
        <v>218070</v>
      </c>
      <c r="T3814" s="74">
        <v>43229</v>
      </c>
      <c r="U3814" s="139"/>
    </row>
    <row r="3815" spans="1:21" x14ac:dyDescent="0.3">
      <c r="A3815" s="42">
        <v>43273</v>
      </c>
      <c r="B3815" s="37">
        <f t="shared" si="112"/>
        <v>20180622</v>
      </c>
      <c r="C3815" s="109">
        <v>2.2000000000000002E-2</v>
      </c>
      <c r="D3815" s="109">
        <v>7.0000000000000001E-3</v>
      </c>
      <c r="E3815" s="109">
        <v>8.0000000000000002E-3</v>
      </c>
      <c r="F3815" s="109">
        <v>8.9999999999999993E-3</v>
      </c>
      <c r="G3815" s="130">
        <v>0</v>
      </c>
      <c r="H3815" s="71">
        <v>8.5</v>
      </c>
      <c r="I3815" s="71">
        <v>11.1</v>
      </c>
      <c r="J3815" s="71">
        <v>13.6</v>
      </c>
      <c r="K3815" s="121">
        <v>4.5999999999999999E-3</v>
      </c>
      <c r="L3815" s="121">
        <v>-7.0000000000000001E-3</v>
      </c>
      <c r="M3815" s="75" t="s">
        <v>146</v>
      </c>
      <c r="N3815" s="75" t="b">
        <v>1</v>
      </c>
      <c r="O3815" s="75" t="s">
        <v>145</v>
      </c>
      <c r="P3815" s="75">
        <v>2014</v>
      </c>
      <c r="Q3815" s="107">
        <f t="shared" si="111"/>
        <v>2018</v>
      </c>
      <c r="R3815" s="107">
        <v>2</v>
      </c>
      <c r="S3815" s="43">
        <v>218070</v>
      </c>
      <c r="T3815" s="74">
        <v>43229</v>
      </c>
      <c r="U3815" s="139"/>
    </row>
    <row r="3816" spans="1:21" x14ac:dyDescent="0.3">
      <c r="A3816" s="42">
        <v>43274</v>
      </c>
      <c r="B3816" s="37">
        <f t="shared" si="112"/>
        <v>20180623</v>
      </c>
      <c r="C3816" s="109">
        <v>2.2000000000000002E-2</v>
      </c>
      <c r="D3816" s="109">
        <v>7.0000000000000001E-3</v>
      </c>
      <c r="E3816" s="109">
        <v>8.0000000000000002E-3</v>
      </c>
      <c r="F3816" s="109">
        <v>8.9999999999999993E-3</v>
      </c>
      <c r="G3816" s="130">
        <v>0</v>
      </c>
      <c r="H3816" s="71">
        <v>8.5</v>
      </c>
      <c r="I3816" s="71">
        <v>11.1</v>
      </c>
      <c r="J3816" s="71">
        <v>13.6</v>
      </c>
      <c r="K3816" s="121">
        <v>4.5999999999999999E-3</v>
      </c>
      <c r="L3816" s="121">
        <v>-7.0000000000000001E-3</v>
      </c>
      <c r="M3816" s="75" t="s">
        <v>146</v>
      </c>
      <c r="N3816" s="75" t="b">
        <v>1</v>
      </c>
      <c r="O3816" s="75" t="s">
        <v>145</v>
      </c>
      <c r="P3816" s="75">
        <v>2014</v>
      </c>
      <c r="Q3816" s="107">
        <f t="shared" si="111"/>
        <v>2018</v>
      </c>
      <c r="R3816" s="107">
        <v>2</v>
      </c>
      <c r="S3816" s="43">
        <v>218070</v>
      </c>
      <c r="T3816" s="74">
        <v>43229</v>
      </c>
      <c r="U3816" s="139"/>
    </row>
    <row r="3817" spans="1:21" x14ac:dyDescent="0.3">
      <c r="A3817" s="42">
        <v>43275</v>
      </c>
      <c r="B3817" s="37">
        <f t="shared" si="112"/>
        <v>20180624</v>
      </c>
      <c r="C3817" s="109">
        <v>2.2000000000000002E-2</v>
      </c>
      <c r="D3817" s="109">
        <v>7.0000000000000001E-3</v>
      </c>
      <c r="E3817" s="109">
        <v>8.0000000000000002E-3</v>
      </c>
      <c r="F3817" s="109">
        <v>8.9999999999999993E-3</v>
      </c>
      <c r="G3817" s="130">
        <v>0</v>
      </c>
      <c r="H3817" s="71">
        <v>8.5</v>
      </c>
      <c r="I3817" s="71">
        <v>11.1</v>
      </c>
      <c r="J3817" s="71">
        <v>13.6</v>
      </c>
      <c r="K3817" s="121">
        <v>4.5999999999999999E-3</v>
      </c>
      <c r="L3817" s="121">
        <v>-7.0000000000000001E-3</v>
      </c>
      <c r="M3817" s="75" t="s">
        <v>146</v>
      </c>
      <c r="N3817" s="75" t="b">
        <v>1</v>
      </c>
      <c r="O3817" s="75" t="s">
        <v>145</v>
      </c>
      <c r="P3817" s="75">
        <v>2014</v>
      </c>
      <c r="Q3817" s="107">
        <f t="shared" si="111"/>
        <v>2018</v>
      </c>
      <c r="R3817" s="107">
        <v>2</v>
      </c>
      <c r="S3817" s="43">
        <v>218070</v>
      </c>
      <c r="T3817" s="74">
        <v>43229</v>
      </c>
      <c r="U3817" s="139"/>
    </row>
    <row r="3818" spans="1:21" x14ac:dyDescent="0.3">
      <c r="A3818" s="42">
        <v>43276</v>
      </c>
      <c r="B3818" s="37">
        <f t="shared" si="112"/>
        <v>20180625</v>
      </c>
      <c r="C3818" s="109">
        <v>2.1700000000000001E-2</v>
      </c>
      <c r="D3818" s="109">
        <v>7.0000000000000001E-3</v>
      </c>
      <c r="E3818" s="109">
        <v>8.0000000000000002E-3</v>
      </c>
      <c r="F3818" s="109">
        <v>8.9999999999999993E-3</v>
      </c>
      <c r="G3818" s="130">
        <v>0</v>
      </c>
      <c r="H3818" s="71">
        <v>8.5</v>
      </c>
      <c r="I3818" s="71">
        <v>11.1</v>
      </c>
      <c r="J3818" s="71">
        <v>13.6</v>
      </c>
      <c r="K3818" s="121">
        <v>4.5000000000000005E-3</v>
      </c>
      <c r="L3818" s="121">
        <v>-7.0000000000000001E-3</v>
      </c>
      <c r="M3818" s="75" t="s">
        <v>146</v>
      </c>
      <c r="N3818" s="75" t="b">
        <v>1</v>
      </c>
      <c r="O3818" s="75" t="s">
        <v>145</v>
      </c>
      <c r="P3818" s="75">
        <v>2014</v>
      </c>
      <c r="Q3818" s="107">
        <f t="shared" si="111"/>
        <v>2018</v>
      </c>
      <c r="R3818" s="107">
        <v>2</v>
      </c>
      <c r="S3818" s="43">
        <v>218070</v>
      </c>
      <c r="T3818" s="74">
        <v>43229</v>
      </c>
      <c r="U3818" s="139"/>
    </row>
    <row r="3819" spans="1:21" x14ac:dyDescent="0.3">
      <c r="A3819" s="42">
        <v>43277</v>
      </c>
      <c r="B3819" s="37">
        <f t="shared" si="112"/>
        <v>20180626</v>
      </c>
      <c r="C3819" s="109">
        <v>2.1700000000000001E-2</v>
      </c>
      <c r="D3819" s="109">
        <v>7.0000000000000001E-3</v>
      </c>
      <c r="E3819" s="109">
        <v>8.0000000000000002E-3</v>
      </c>
      <c r="F3819" s="109">
        <v>8.9999999999999993E-3</v>
      </c>
      <c r="G3819" s="130">
        <v>0</v>
      </c>
      <c r="H3819" s="71">
        <v>8.5</v>
      </c>
      <c r="I3819" s="71">
        <v>11.1</v>
      </c>
      <c r="J3819" s="71">
        <v>13.6</v>
      </c>
      <c r="K3819" s="121">
        <v>4.5000000000000005E-3</v>
      </c>
      <c r="L3819" s="121">
        <v>-7.0000000000000001E-3</v>
      </c>
      <c r="M3819" s="75" t="s">
        <v>146</v>
      </c>
      <c r="N3819" s="75" t="b">
        <v>1</v>
      </c>
      <c r="O3819" s="75" t="s">
        <v>145</v>
      </c>
      <c r="P3819" s="75">
        <v>2014</v>
      </c>
      <c r="Q3819" s="107">
        <f t="shared" si="111"/>
        <v>2018</v>
      </c>
      <c r="R3819" s="107">
        <v>2</v>
      </c>
      <c r="S3819" s="43">
        <v>218070</v>
      </c>
      <c r="T3819" s="74">
        <v>43229</v>
      </c>
      <c r="U3819" s="139"/>
    </row>
    <row r="3820" spans="1:21" x14ac:dyDescent="0.3">
      <c r="A3820" s="42">
        <v>43278</v>
      </c>
      <c r="B3820" s="37">
        <f t="shared" si="112"/>
        <v>20180627</v>
      </c>
      <c r="C3820" s="109">
        <v>2.1499999999999998E-2</v>
      </c>
      <c r="D3820" s="109">
        <v>7.0000000000000001E-3</v>
      </c>
      <c r="E3820" s="109">
        <v>8.0000000000000002E-3</v>
      </c>
      <c r="F3820" s="109">
        <v>8.9999999999999993E-3</v>
      </c>
      <c r="G3820" s="130">
        <v>0</v>
      </c>
      <c r="H3820" s="71">
        <v>8.5</v>
      </c>
      <c r="I3820" s="71">
        <v>11.1</v>
      </c>
      <c r="J3820" s="71">
        <v>13.6</v>
      </c>
      <c r="K3820" s="121">
        <v>4.3E-3</v>
      </c>
      <c r="L3820" s="121">
        <v>-7.0000000000000001E-3</v>
      </c>
      <c r="M3820" s="75" t="s">
        <v>146</v>
      </c>
      <c r="N3820" s="75" t="b">
        <v>1</v>
      </c>
      <c r="O3820" s="75" t="s">
        <v>145</v>
      </c>
      <c r="P3820" s="75">
        <v>2014</v>
      </c>
      <c r="Q3820" s="107">
        <f t="shared" si="111"/>
        <v>2018</v>
      </c>
      <c r="R3820" s="107">
        <v>2</v>
      </c>
      <c r="S3820" s="43">
        <v>218070</v>
      </c>
      <c r="T3820" s="74">
        <v>43229</v>
      </c>
      <c r="U3820" s="139"/>
    </row>
    <row r="3821" spans="1:21" x14ac:dyDescent="0.3">
      <c r="A3821" s="42">
        <v>43279</v>
      </c>
      <c r="B3821" s="37">
        <f t="shared" si="112"/>
        <v>20180628</v>
      </c>
      <c r="C3821" s="109">
        <v>2.1899999999999999E-2</v>
      </c>
      <c r="D3821" s="109">
        <v>7.0000000000000001E-3</v>
      </c>
      <c r="E3821" s="109">
        <v>8.0000000000000002E-3</v>
      </c>
      <c r="F3821" s="109">
        <v>8.9999999999999993E-3</v>
      </c>
      <c r="G3821" s="130">
        <v>0</v>
      </c>
      <c r="H3821" s="71">
        <v>8.5</v>
      </c>
      <c r="I3821" s="71">
        <v>11.1</v>
      </c>
      <c r="J3821" s="71">
        <v>13.6</v>
      </c>
      <c r="K3821" s="121">
        <v>4.6999999999999993E-3</v>
      </c>
      <c r="L3821" s="121">
        <v>-7.0000000000000001E-3</v>
      </c>
      <c r="M3821" s="75" t="s">
        <v>146</v>
      </c>
      <c r="N3821" s="75" t="b">
        <v>1</v>
      </c>
      <c r="O3821" s="75" t="s">
        <v>145</v>
      </c>
      <c r="P3821" s="75">
        <v>2014</v>
      </c>
      <c r="Q3821" s="107">
        <f t="shared" si="111"/>
        <v>2018</v>
      </c>
      <c r="R3821" s="107">
        <v>2</v>
      </c>
      <c r="S3821" s="43">
        <v>218070</v>
      </c>
      <c r="T3821" s="74">
        <v>43229</v>
      </c>
      <c r="U3821" s="139"/>
    </row>
    <row r="3822" spans="1:21" x14ac:dyDescent="0.3">
      <c r="A3822" s="42">
        <v>43280</v>
      </c>
      <c r="B3822" s="37">
        <f t="shared" ref="B3822:B3848" si="113">YEAR(A3822)*10000+MONTH(A3822)*100+DAY(A3822)</f>
        <v>20180629</v>
      </c>
      <c r="C3822" s="109">
        <v>2.2000000000000002E-2</v>
      </c>
      <c r="D3822" s="109">
        <v>7.0000000000000001E-3</v>
      </c>
      <c r="E3822" s="109">
        <v>8.0000000000000002E-3</v>
      </c>
      <c r="F3822" s="109">
        <v>8.9999999999999993E-3</v>
      </c>
      <c r="G3822" s="130">
        <v>0</v>
      </c>
      <c r="H3822" s="71">
        <v>8.5</v>
      </c>
      <c r="I3822" s="71">
        <v>11.1</v>
      </c>
      <c r="J3822" s="71">
        <v>13.6</v>
      </c>
      <c r="K3822" s="109">
        <v>4.6999999999999993E-3</v>
      </c>
      <c r="L3822" s="121">
        <v>-7.0000000000000001E-3</v>
      </c>
      <c r="M3822" s="75" t="s">
        <v>146</v>
      </c>
      <c r="N3822" s="75" t="b">
        <v>1</v>
      </c>
      <c r="O3822" s="75" t="s">
        <v>145</v>
      </c>
      <c r="P3822" s="75">
        <v>2014</v>
      </c>
      <c r="Q3822" s="107">
        <f t="shared" ref="Q3822:Q3885" si="114">YEAR(A3822)</f>
        <v>2018</v>
      </c>
      <c r="R3822" s="107">
        <v>2</v>
      </c>
      <c r="S3822" s="43">
        <v>218070</v>
      </c>
      <c r="T3822" s="74">
        <v>43229</v>
      </c>
    </row>
    <row r="3823" spans="1:21" s="116" customFormat="1" x14ac:dyDescent="0.3">
      <c r="A3823" s="110">
        <v>43281</v>
      </c>
      <c r="B3823" s="132">
        <f t="shared" si="113"/>
        <v>20180630</v>
      </c>
      <c r="C3823" s="111">
        <v>2.2000000000000002E-2</v>
      </c>
      <c r="D3823" s="120">
        <v>8.0000000000000002E-3</v>
      </c>
      <c r="E3823" s="120">
        <v>8.9999999999999993E-3</v>
      </c>
      <c r="F3823" s="111">
        <v>8.9999999999999993E-3</v>
      </c>
      <c r="G3823" s="133">
        <v>0</v>
      </c>
      <c r="H3823" s="112">
        <v>8.5</v>
      </c>
      <c r="I3823" s="112">
        <v>11.1</v>
      </c>
      <c r="J3823" s="124">
        <v>13.5</v>
      </c>
      <c r="K3823" s="111">
        <v>4.6999999999999993E-3</v>
      </c>
      <c r="L3823" s="131">
        <v>-7.0000000000000001E-3</v>
      </c>
      <c r="M3823" s="98" t="s">
        <v>146</v>
      </c>
      <c r="N3823" s="98" t="b">
        <v>1</v>
      </c>
      <c r="O3823" s="98" t="s">
        <v>145</v>
      </c>
      <c r="P3823" s="98">
        <v>2014</v>
      </c>
      <c r="Q3823" s="105">
        <f t="shared" si="114"/>
        <v>2018</v>
      </c>
      <c r="R3823" s="105">
        <v>2</v>
      </c>
      <c r="S3823" s="127">
        <v>218105</v>
      </c>
      <c r="T3823" s="128">
        <v>43311</v>
      </c>
      <c r="U3823" s="98" t="s">
        <v>176</v>
      </c>
    </row>
    <row r="3824" spans="1:21" x14ac:dyDescent="0.3">
      <c r="A3824" s="42">
        <v>43282</v>
      </c>
      <c r="B3824" s="37">
        <f t="shared" si="113"/>
        <v>20180701</v>
      </c>
      <c r="C3824" s="109">
        <v>2.2000000000000002E-2</v>
      </c>
      <c r="D3824" s="109">
        <v>8.0000000000000002E-3</v>
      </c>
      <c r="E3824" s="109">
        <v>8.9999999999999993E-3</v>
      </c>
      <c r="F3824" s="109">
        <v>8.9999999999999993E-3</v>
      </c>
      <c r="G3824" s="130">
        <v>0</v>
      </c>
      <c r="H3824" s="71">
        <v>8.5</v>
      </c>
      <c r="I3824" s="71">
        <v>11.1</v>
      </c>
      <c r="J3824" s="71">
        <v>13.5</v>
      </c>
      <c r="K3824" s="109">
        <v>4.6999999999999993E-3</v>
      </c>
      <c r="L3824" s="121">
        <v>-7.0000000000000001E-3</v>
      </c>
      <c r="M3824" s="75" t="s">
        <v>146</v>
      </c>
      <c r="N3824" s="75" t="b">
        <v>1</v>
      </c>
      <c r="O3824" s="75" t="s">
        <v>145</v>
      </c>
      <c r="P3824" s="75">
        <v>2014</v>
      </c>
      <c r="Q3824" s="107">
        <f t="shared" si="114"/>
        <v>2018</v>
      </c>
      <c r="R3824" s="107">
        <v>2</v>
      </c>
      <c r="S3824" s="43">
        <v>218105</v>
      </c>
      <c r="T3824" s="74">
        <v>43311</v>
      </c>
    </row>
    <row r="3825" spans="1:20" x14ac:dyDescent="0.3">
      <c r="A3825" s="42">
        <v>43283</v>
      </c>
      <c r="B3825" s="37">
        <f t="shared" si="113"/>
        <v>20180702</v>
      </c>
      <c r="C3825" s="109">
        <v>2.2000000000000002E-2</v>
      </c>
      <c r="D3825" s="109">
        <v>8.0000000000000002E-3</v>
      </c>
      <c r="E3825" s="109">
        <v>8.9999999999999993E-3</v>
      </c>
      <c r="F3825" s="109">
        <v>8.9999999999999993E-3</v>
      </c>
      <c r="G3825" s="130">
        <v>0</v>
      </c>
      <c r="H3825" s="71">
        <v>8.5</v>
      </c>
      <c r="I3825" s="71">
        <v>11.1</v>
      </c>
      <c r="J3825" s="71">
        <v>13.5</v>
      </c>
      <c r="K3825" s="109">
        <v>4.6999999999999993E-3</v>
      </c>
      <c r="L3825" s="121">
        <v>-7.0000000000000001E-3</v>
      </c>
      <c r="M3825" s="75" t="s">
        <v>146</v>
      </c>
      <c r="N3825" s="75" t="b">
        <v>1</v>
      </c>
      <c r="O3825" s="75" t="s">
        <v>145</v>
      </c>
      <c r="P3825" s="75">
        <v>2014</v>
      </c>
      <c r="Q3825" s="107">
        <f t="shared" si="114"/>
        <v>2018</v>
      </c>
      <c r="R3825" s="107">
        <v>2</v>
      </c>
      <c r="S3825" s="43">
        <v>218105</v>
      </c>
      <c r="T3825" s="74">
        <v>43311</v>
      </c>
    </row>
    <row r="3826" spans="1:20" x14ac:dyDescent="0.3">
      <c r="A3826" s="42">
        <v>43284</v>
      </c>
      <c r="B3826" s="37">
        <f t="shared" si="113"/>
        <v>20180703</v>
      </c>
      <c r="C3826" s="109">
        <v>2.1899999999999999E-2</v>
      </c>
      <c r="D3826" s="109">
        <v>8.0000000000000002E-3</v>
      </c>
      <c r="E3826" s="109">
        <v>8.9999999999999993E-3</v>
      </c>
      <c r="F3826" s="109">
        <v>8.9999999999999993E-3</v>
      </c>
      <c r="G3826" s="130">
        <v>0</v>
      </c>
      <c r="H3826" s="71">
        <v>8.5</v>
      </c>
      <c r="I3826" s="71">
        <v>11.1</v>
      </c>
      <c r="J3826" s="71">
        <v>13.5</v>
      </c>
      <c r="K3826" s="109">
        <v>4.5999999999999999E-3</v>
      </c>
      <c r="L3826" s="121">
        <v>-7.0000000000000001E-3</v>
      </c>
      <c r="M3826" s="75" t="s">
        <v>146</v>
      </c>
      <c r="N3826" s="75" t="b">
        <v>1</v>
      </c>
      <c r="O3826" s="75" t="s">
        <v>145</v>
      </c>
      <c r="P3826" s="75">
        <v>2014</v>
      </c>
      <c r="Q3826" s="107">
        <f t="shared" si="114"/>
        <v>2018</v>
      </c>
      <c r="R3826" s="107">
        <v>2</v>
      </c>
      <c r="S3826" s="43">
        <v>218105</v>
      </c>
      <c r="T3826" s="74">
        <v>43311</v>
      </c>
    </row>
    <row r="3827" spans="1:20" x14ac:dyDescent="0.3">
      <c r="A3827" s="42">
        <v>43285</v>
      </c>
      <c r="B3827" s="37">
        <f t="shared" si="113"/>
        <v>20180704</v>
      </c>
      <c r="C3827" s="109">
        <v>2.2000000000000002E-2</v>
      </c>
      <c r="D3827" s="109">
        <v>8.0000000000000002E-3</v>
      </c>
      <c r="E3827" s="109">
        <v>8.9999999999999993E-3</v>
      </c>
      <c r="F3827" s="109">
        <v>8.9999999999999993E-3</v>
      </c>
      <c r="G3827" s="130">
        <v>0</v>
      </c>
      <c r="H3827" s="71">
        <v>8.5</v>
      </c>
      <c r="I3827" s="71">
        <v>11.1</v>
      </c>
      <c r="J3827" s="71">
        <v>13.5</v>
      </c>
      <c r="K3827" s="109">
        <v>4.6999999999999993E-3</v>
      </c>
      <c r="L3827" s="121">
        <v>-7.0000000000000001E-3</v>
      </c>
      <c r="M3827" s="75" t="s">
        <v>146</v>
      </c>
      <c r="N3827" s="75" t="b">
        <v>1</v>
      </c>
      <c r="O3827" s="75" t="s">
        <v>145</v>
      </c>
      <c r="P3827" s="75">
        <v>2014</v>
      </c>
      <c r="Q3827" s="107">
        <f t="shared" si="114"/>
        <v>2018</v>
      </c>
      <c r="R3827" s="107">
        <v>2</v>
      </c>
      <c r="S3827" s="43">
        <v>218105</v>
      </c>
      <c r="T3827" s="74">
        <v>43311</v>
      </c>
    </row>
    <row r="3828" spans="1:20" x14ac:dyDescent="0.3">
      <c r="A3828" s="42">
        <v>43286</v>
      </c>
      <c r="B3828" s="37">
        <f t="shared" si="113"/>
        <v>20180705</v>
      </c>
      <c r="C3828" s="109">
        <v>2.1899999999999999E-2</v>
      </c>
      <c r="D3828" s="109">
        <v>8.0000000000000002E-3</v>
      </c>
      <c r="E3828" s="109">
        <v>8.9999999999999993E-3</v>
      </c>
      <c r="F3828" s="109">
        <v>8.9999999999999993E-3</v>
      </c>
      <c r="G3828" s="130">
        <v>0</v>
      </c>
      <c r="H3828" s="71">
        <v>8.5</v>
      </c>
      <c r="I3828" s="71">
        <v>11.1</v>
      </c>
      <c r="J3828" s="71">
        <v>13.5</v>
      </c>
      <c r="K3828" s="109">
        <v>4.5999999999999999E-3</v>
      </c>
      <c r="L3828" s="121">
        <v>-7.0000000000000001E-3</v>
      </c>
      <c r="M3828" s="75" t="s">
        <v>146</v>
      </c>
      <c r="N3828" s="75" t="b">
        <v>1</v>
      </c>
      <c r="O3828" s="75" t="s">
        <v>145</v>
      </c>
      <c r="P3828" s="75">
        <v>2014</v>
      </c>
      <c r="Q3828" s="107">
        <f t="shared" si="114"/>
        <v>2018</v>
      </c>
      <c r="R3828" s="107">
        <v>2</v>
      </c>
      <c r="S3828" s="43">
        <v>218105</v>
      </c>
      <c r="T3828" s="74">
        <v>43311</v>
      </c>
    </row>
    <row r="3829" spans="1:20" x14ac:dyDescent="0.3">
      <c r="A3829" s="42">
        <v>43287</v>
      </c>
      <c r="B3829" s="37">
        <f t="shared" si="113"/>
        <v>20180706</v>
      </c>
      <c r="C3829" s="109">
        <v>2.1600000000000001E-2</v>
      </c>
      <c r="D3829" s="109">
        <v>8.0000000000000002E-3</v>
      </c>
      <c r="E3829" s="109">
        <v>8.9999999999999993E-3</v>
      </c>
      <c r="F3829" s="109">
        <v>8.9999999999999993E-3</v>
      </c>
      <c r="G3829" s="130">
        <v>0</v>
      </c>
      <c r="H3829" s="71">
        <v>8.5</v>
      </c>
      <c r="I3829" s="71">
        <v>11.1</v>
      </c>
      <c r="J3829" s="71">
        <v>13.5</v>
      </c>
      <c r="K3829" s="109">
        <v>4.4000000000000003E-3</v>
      </c>
      <c r="L3829" s="121">
        <v>-7.0000000000000001E-3</v>
      </c>
      <c r="M3829" s="75" t="s">
        <v>146</v>
      </c>
      <c r="N3829" s="75" t="b">
        <v>1</v>
      </c>
      <c r="O3829" s="75" t="s">
        <v>145</v>
      </c>
      <c r="P3829" s="75">
        <v>2014</v>
      </c>
      <c r="Q3829" s="107">
        <f t="shared" si="114"/>
        <v>2018</v>
      </c>
      <c r="R3829" s="107">
        <v>2</v>
      </c>
      <c r="S3829" s="43">
        <v>218105</v>
      </c>
      <c r="T3829" s="74">
        <v>43311</v>
      </c>
    </row>
    <row r="3830" spans="1:20" x14ac:dyDescent="0.3">
      <c r="A3830" s="42">
        <v>43288</v>
      </c>
      <c r="B3830" s="37">
        <f t="shared" si="113"/>
        <v>20180707</v>
      </c>
      <c r="C3830" s="109">
        <v>2.1600000000000001E-2</v>
      </c>
      <c r="D3830" s="109">
        <v>8.0000000000000002E-3</v>
      </c>
      <c r="E3830" s="109">
        <v>8.9999999999999993E-3</v>
      </c>
      <c r="F3830" s="109">
        <v>8.9999999999999993E-3</v>
      </c>
      <c r="G3830" s="130">
        <v>0</v>
      </c>
      <c r="H3830" s="71">
        <v>8.5</v>
      </c>
      <c r="I3830" s="71">
        <v>11.1</v>
      </c>
      <c r="J3830" s="71">
        <v>13.5</v>
      </c>
      <c r="K3830" s="109">
        <v>4.4000000000000003E-3</v>
      </c>
      <c r="L3830" s="121">
        <v>-7.0000000000000001E-3</v>
      </c>
      <c r="M3830" s="75" t="s">
        <v>146</v>
      </c>
      <c r="N3830" s="75" t="b">
        <v>1</v>
      </c>
      <c r="O3830" s="75" t="s">
        <v>145</v>
      </c>
      <c r="P3830" s="75">
        <v>2014</v>
      </c>
      <c r="Q3830" s="107">
        <f t="shared" si="114"/>
        <v>2018</v>
      </c>
      <c r="R3830" s="107">
        <v>2</v>
      </c>
      <c r="S3830" s="43">
        <v>218105</v>
      </c>
      <c r="T3830" s="74">
        <v>43311</v>
      </c>
    </row>
    <row r="3831" spans="1:20" x14ac:dyDescent="0.3">
      <c r="A3831" s="42">
        <v>43289</v>
      </c>
      <c r="B3831" s="37">
        <f t="shared" si="113"/>
        <v>20180708</v>
      </c>
      <c r="C3831" s="109">
        <v>2.1600000000000001E-2</v>
      </c>
      <c r="D3831" s="109">
        <v>8.0000000000000002E-3</v>
      </c>
      <c r="E3831" s="109">
        <v>8.9999999999999993E-3</v>
      </c>
      <c r="F3831" s="109">
        <v>8.9999999999999993E-3</v>
      </c>
      <c r="G3831" s="130">
        <v>0</v>
      </c>
      <c r="H3831" s="71">
        <v>8.5</v>
      </c>
      <c r="I3831" s="71">
        <v>11.1</v>
      </c>
      <c r="J3831" s="71">
        <v>13.5</v>
      </c>
      <c r="K3831" s="109">
        <v>4.4000000000000003E-3</v>
      </c>
      <c r="L3831" s="121">
        <v>-7.0000000000000001E-3</v>
      </c>
      <c r="M3831" s="75" t="s">
        <v>146</v>
      </c>
      <c r="N3831" s="75" t="b">
        <v>1</v>
      </c>
      <c r="O3831" s="75" t="s">
        <v>145</v>
      </c>
      <c r="P3831" s="75">
        <v>2014</v>
      </c>
      <c r="Q3831" s="107">
        <f t="shared" si="114"/>
        <v>2018</v>
      </c>
      <c r="R3831" s="107">
        <v>2</v>
      </c>
      <c r="S3831" s="43">
        <v>218105</v>
      </c>
      <c r="T3831" s="74">
        <v>43311</v>
      </c>
    </row>
    <row r="3832" spans="1:20" x14ac:dyDescent="0.3">
      <c r="A3832" s="42">
        <v>43290</v>
      </c>
      <c r="B3832" s="37">
        <f t="shared" si="113"/>
        <v>20180709</v>
      </c>
      <c r="C3832" s="109">
        <v>2.2099999999999998E-2</v>
      </c>
      <c r="D3832" s="109">
        <v>8.0000000000000002E-3</v>
      </c>
      <c r="E3832" s="109">
        <v>8.9999999999999993E-3</v>
      </c>
      <c r="F3832" s="109">
        <v>8.9999999999999993E-3</v>
      </c>
      <c r="G3832" s="130">
        <v>0</v>
      </c>
      <c r="H3832" s="71">
        <v>8.5</v>
      </c>
      <c r="I3832" s="71">
        <v>11.1</v>
      </c>
      <c r="J3832" s="71">
        <v>13.5</v>
      </c>
      <c r="K3832" s="109">
        <v>4.7999999999999996E-3</v>
      </c>
      <c r="L3832" s="121">
        <v>-7.0000000000000001E-3</v>
      </c>
      <c r="M3832" s="75" t="s">
        <v>146</v>
      </c>
      <c r="N3832" s="75" t="b">
        <v>1</v>
      </c>
      <c r="O3832" s="75" t="s">
        <v>145</v>
      </c>
      <c r="P3832" s="75">
        <v>2014</v>
      </c>
      <c r="Q3832" s="107">
        <f t="shared" si="114"/>
        <v>2018</v>
      </c>
      <c r="R3832" s="107">
        <v>2</v>
      </c>
      <c r="S3832" s="43">
        <v>218105</v>
      </c>
      <c r="T3832" s="74">
        <v>43311</v>
      </c>
    </row>
    <row r="3833" spans="1:20" x14ac:dyDescent="0.3">
      <c r="A3833" s="42">
        <v>43291</v>
      </c>
      <c r="B3833" s="37">
        <f t="shared" si="113"/>
        <v>20180710</v>
      </c>
      <c r="C3833" s="109">
        <v>2.2000000000000002E-2</v>
      </c>
      <c r="D3833" s="109">
        <v>8.0000000000000002E-3</v>
      </c>
      <c r="E3833" s="109">
        <v>8.9999999999999993E-3</v>
      </c>
      <c r="F3833" s="109">
        <v>8.9999999999999993E-3</v>
      </c>
      <c r="G3833" s="130">
        <v>0</v>
      </c>
      <c r="H3833" s="71">
        <v>8.5</v>
      </c>
      <c r="I3833" s="71">
        <v>11.1</v>
      </c>
      <c r="J3833" s="71">
        <v>13.5</v>
      </c>
      <c r="K3833" s="109">
        <v>4.7999999999999996E-3</v>
      </c>
      <c r="L3833" s="121">
        <v>-7.0000000000000001E-3</v>
      </c>
      <c r="M3833" s="75" t="s">
        <v>146</v>
      </c>
      <c r="N3833" s="75" t="b">
        <v>1</v>
      </c>
      <c r="O3833" s="75" t="s">
        <v>145</v>
      </c>
      <c r="P3833" s="75">
        <v>2014</v>
      </c>
      <c r="Q3833" s="107">
        <f t="shared" si="114"/>
        <v>2018</v>
      </c>
      <c r="R3833" s="107">
        <v>2</v>
      </c>
      <c r="S3833" s="43">
        <v>218105</v>
      </c>
      <c r="T3833" s="74">
        <v>43311</v>
      </c>
    </row>
    <row r="3834" spans="1:20" x14ac:dyDescent="0.3">
      <c r="A3834" s="42">
        <v>43292</v>
      </c>
      <c r="B3834" s="37">
        <f t="shared" si="113"/>
        <v>20180711</v>
      </c>
      <c r="C3834" s="109">
        <v>2.1899999999999999E-2</v>
      </c>
      <c r="D3834" s="109">
        <v>8.0000000000000002E-3</v>
      </c>
      <c r="E3834" s="109">
        <v>8.9999999999999993E-3</v>
      </c>
      <c r="F3834" s="109">
        <v>8.9999999999999993E-3</v>
      </c>
      <c r="G3834" s="130">
        <v>0</v>
      </c>
      <c r="H3834" s="71">
        <v>8.5</v>
      </c>
      <c r="I3834" s="71">
        <v>11.1</v>
      </c>
      <c r="J3834" s="71">
        <v>13.5</v>
      </c>
      <c r="K3834" s="109">
        <v>4.6999999999999993E-3</v>
      </c>
      <c r="L3834" s="121">
        <v>-7.0000000000000001E-3</v>
      </c>
      <c r="M3834" s="75" t="s">
        <v>146</v>
      </c>
      <c r="N3834" s="75" t="b">
        <v>1</v>
      </c>
      <c r="O3834" s="75" t="s">
        <v>145</v>
      </c>
      <c r="P3834" s="75">
        <v>2014</v>
      </c>
      <c r="Q3834" s="107">
        <f t="shared" si="114"/>
        <v>2018</v>
      </c>
      <c r="R3834" s="107">
        <v>2</v>
      </c>
      <c r="S3834" s="43">
        <v>218105</v>
      </c>
      <c r="T3834" s="74">
        <v>43311</v>
      </c>
    </row>
    <row r="3835" spans="1:20" x14ac:dyDescent="0.3">
      <c r="A3835" s="42">
        <v>43293</v>
      </c>
      <c r="B3835" s="37">
        <f t="shared" si="113"/>
        <v>20180712</v>
      </c>
      <c r="C3835" s="109">
        <v>2.2000000000000002E-2</v>
      </c>
      <c r="D3835" s="109">
        <v>8.0000000000000002E-3</v>
      </c>
      <c r="E3835" s="109">
        <v>8.9999999999999993E-3</v>
      </c>
      <c r="F3835" s="109">
        <v>8.9999999999999993E-3</v>
      </c>
      <c r="G3835" s="130">
        <v>0</v>
      </c>
      <c r="H3835" s="71">
        <v>8.5</v>
      </c>
      <c r="I3835" s="71">
        <v>11.1</v>
      </c>
      <c r="J3835" s="71">
        <v>13.5</v>
      </c>
      <c r="K3835" s="109">
        <v>4.8999999999999998E-3</v>
      </c>
      <c r="L3835" s="121">
        <v>-7.0000000000000001E-3</v>
      </c>
      <c r="M3835" s="75" t="s">
        <v>146</v>
      </c>
      <c r="N3835" s="75" t="b">
        <v>1</v>
      </c>
      <c r="O3835" s="75" t="s">
        <v>145</v>
      </c>
      <c r="P3835" s="75">
        <v>2014</v>
      </c>
      <c r="Q3835" s="107">
        <f t="shared" si="114"/>
        <v>2018</v>
      </c>
      <c r="R3835" s="107">
        <v>2</v>
      </c>
      <c r="S3835" s="43">
        <v>218105</v>
      </c>
      <c r="T3835" s="74">
        <v>43311</v>
      </c>
    </row>
    <row r="3836" spans="1:20" x14ac:dyDescent="0.3">
      <c r="A3836" s="42">
        <v>43294</v>
      </c>
      <c r="B3836" s="37">
        <f t="shared" si="113"/>
        <v>20180713</v>
      </c>
      <c r="C3836" s="109">
        <v>2.1899999999999999E-2</v>
      </c>
      <c r="D3836" s="109">
        <v>8.0000000000000002E-3</v>
      </c>
      <c r="E3836" s="109">
        <v>8.9999999999999993E-3</v>
      </c>
      <c r="F3836" s="109">
        <v>8.9999999999999993E-3</v>
      </c>
      <c r="G3836" s="130">
        <v>0</v>
      </c>
      <c r="H3836" s="71">
        <v>8.5</v>
      </c>
      <c r="I3836" s="71">
        <v>11.1</v>
      </c>
      <c r="J3836" s="71">
        <v>13.5</v>
      </c>
      <c r="K3836" s="109">
        <v>4.7999999999999996E-3</v>
      </c>
      <c r="L3836" s="121">
        <v>-7.0000000000000001E-3</v>
      </c>
      <c r="M3836" s="75" t="s">
        <v>146</v>
      </c>
      <c r="N3836" s="75" t="b">
        <v>1</v>
      </c>
      <c r="O3836" s="75" t="s">
        <v>145</v>
      </c>
      <c r="P3836" s="75">
        <v>2014</v>
      </c>
      <c r="Q3836" s="107">
        <f t="shared" si="114"/>
        <v>2018</v>
      </c>
      <c r="R3836" s="107">
        <v>2</v>
      </c>
      <c r="S3836" s="43">
        <v>218105</v>
      </c>
      <c r="T3836" s="74">
        <v>43311</v>
      </c>
    </row>
    <row r="3837" spans="1:20" x14ac:dyDescent="0.3">
      <c r="A3837" s="42">
        <v>43295</v>
      </c>
      <c r="B3837" s="37">
        <f t="shared" si="113"/>
        <v>20180714</v>
      </c>
      <c r="C3837" s="109">
        <v>2.1899999999999999E-2</v>
      </c>
      <c r="D3837" s="109">
        <v>8.0000000000000002E-3</v>
      </c>
      <c r="E3837" s="109">
        <v>8.9999999999999993E-3</v>
      </c>
      <c r="F3837" s="109">
        <v>8.9999999999999993E-3</v>
      </c>
      <c r="G3837" s="130">
        <v>0</v>
      </c>
      <c r="H3837" s="71">
        <v>8.5</v>
      </c>
      <c r="I3837" s="71">
        <v>11.1</v>
      </c>
      <c r="J3837" s="71">
        <v>13.5</v>
      </c>
      <c r="K3837" s="109">
        <v>4.7999999999999996E-3</v>
      </c>
      <c r="L3837" s="121">
        <v>-7.0000000000000001E-3</v>
      </c>
      <c r="M3837" s="75" t="s">
        <v>146</v>
      </c>
      <c r="N3837" s="75" t="b">
        <v>1</v>
      </c>
      <c r="O3837" s="75" t="s">
        <v>145</v>
      </c>
      <c r="P3837" s="75">
        <v>2014</v>
      </c>
      <c r="Q3837" s="107">
        <f t="shared" si="114"/>
        <v>2018</v>
      </c>
      <c r="R3837" s="107">
        <v>2</v>
      </c>
      <c r="S3837" s="43">
        <v>218105</v>
      </c>
      <c r="T3837" s="74">
        <v>43311</v>
      </c>
    </row>
    <row r="3838" spans="1:20" x14ac:dyDescent="0.3">
      <c r="A3838" s="42">
        <v>43296</v>
      </c>
      <c r="B3838" s="37">
        <f t="shared" si="113"/>
        <v>20180715</v>
      </c>
      <c r="C3838" s="109">
        <v>2.1899999999999999E-2</v>
      </c>
      <c r="D3838" s="109">
        <v>8.0000000000000002E-3</v>
      </c>
      <c r="E3838" s="109">
        <v>8.9999999999999993E-3</v>
      </c>
      <c r="F3838" s="109">
        <v>8.9999999999999993E-3</v>
      </c>
      <c r="G3838" s="130">
        <v>0</v>
      </c>
      <c r="H3838" s="71">
        <v>8.5</v>
      </c>
      <c r="I3838" s="71">
        <v>11.1</v>
      </c>
      <c r="J3838" s="71">
        <v>13.5</v>
      </c>
      <c r="K3838" s="109">
        <v>4.7999999999999996E-3</v>
      </c>
      <c r="L3838" s="121">
        <v>-7.0000000000000001E-3</v>
      </c>
      <c r="M3838" s="75" t="s">
        <v>146</v>
      </c>
      <c r="N3838" s="75" t="b">
        <v>1</v>
      </c>
      <c r="O3838" s="75" t="s">
        <v>145</v>
      </c>
      <c r="P3838" s="75">
        <v>2014</v>
      </c>
      <c r="Q3838" s="107">
        <f t="shared" si="114"/>
        <v>2018</v>
      </c>
      <c r="R3838" s="107">
        <v>2</v>
      </c>
      <c r="S3838" s="43">
        <v>218105</v>
      </c>
      <c r="T3838" s="74">
        <v>43311</v>
      </c>
    </row>
    <row r="3839" spans="1:20" x14ac:dyDescent="0.3">
      <c r="A3839" s="42">
        <v>43297</v>
      </c>
      <c r="B3839" s="37">
        <f t="shared" si="113"/>
        <v>20180716</v>
      </c>
      <c r="C3839" s="109">
        <v>2.1899999999999999E-2</v>
      </c>
      <c r="D3839" s="109">
        <v>8.0000000000000002E-3</v>
      </c>
      <c r="E3839" s="109">
        <v>8.9999999999999993E-3</v>
      </c>
      <c r="F3839" s="109">
        <v>8.9999999999999993E-3</v>
      </c>
      <c r="G3839" s="130">
        <v>0</v>
      </c>
      <c r="H3839" s="71">
        <v>8.5</v>
      </c>
      <c r="I3839" s="71">
        <v>11.1</v>
      </c>
      <c r="J3839" s="71">
        <v>13.5</v>
      </c>
      <c r="K3839" s="109">
        <v>4.7999999999999996E-3</v>
      </c>
      <c r="L3839" s="121">
        <v>-7.0000000000000001E-3</v>
      </c>
      <c r="M3839" s="75" t="s">
        <v>146</v>
      </c>
      <c r="N3839" s="75" t="b">
        <v>1</v>
      </c>
      <c r="O3839" s="75" t="s">
        <v>145</v>
      </c>
      <c r="P3839" s="75">
        <v>2014</v>
      </c>
      <c r="Q3839" s="107">
        <f t="shared" si="114"/>
        <v>2018</v>
      </c>
      <c r="R3839" s="107">
        <v>2</v>
      </c>
      <c r="S3839" s="43">
        <v>218105</v>
      </c>
      <c r="T3839" s="74">
        <v>43311</v>
      </c>
    </row>
    <row r="3840" spans="1:20" x14ac:dyDescent="0.3">
      <c r="A3840" s="42">
        <v>43298</v>
      </c>
      <c r="B3840" s="37">
        <f t="shared" si="113"/>
        <v>20180717</v>
      </c>
      <c r="C3840" s="109">
        <v>2.1700000000000001E-2</v>
      </c>
      <c r="D3840" s="109">
        <v>8.0000000000000002E-3</v>
      </c>
      <c r="E3840" s="109">
        <v>8.9999999999999993E-3</v>
      </c>
      <c r="F3840" s="109">
        <v>8.9999999999999993E-3</v>
      </c>
      <c r="G3840" s="130">
        <v>0</v>
      </c>
      <c r="H3840" s="71">
        <v>8.5</v>
      </c>
      <c r="I3840" s="71">
        <v>11.1</v>
      </c>
      <c r="J3840" s="71">
        <v>13.5</v>
      </c>
      <c r="K3840" s="109">
        <v>4.6999999999999993E-3</v>
      </c>
      <c r="L3840" s="121">
        <v>-7.0000000000000001E-3</v>
      </c>
      <c r="M3840" s="75" t="s">
        <v>146</v>
      </c>
      <c r="N3840" s="75" t="b">
        <v>1</v>
      </c>
      <c r="O3840" s="75" t="s">
        <v>145</v>
      </c>
      <c r="P3840" s="75">
        <v>2014</v>
      </c>
      <c r="Q3840" s="107">
        <f t="shared" si="114"/>
        <v>2018</v>
      </c>
      <c r="R3840" s="107">
        <v>2</v>
      </c>
      <c r="S3840" s="43">
        <v>218105</v>
      </c>
      <c r="T3840" s="74">
        <v>43311</v>
      </c>
    </row>
    <row r="3841" spans="1:20" x14ac:dyDescent="0.3">
      <c r="A3841" s="42">
        <v>43299</v>
      </c>
      <c r="B3841" s="37">
        <f t="shared" si="113"/>
        <v>20180718</v>
      </c>
      <c r="C3841" s="109">
        <v>2.2000000000000002E-2</v>
      </c>
      <c r="D3841" s="109">
        <v>8.0000000000000002E-3</v>
      </c>
      <c r="E3841" s="109">
        <v>8.9999999999999993E-3</v>
      </c>
      <c r="F3841" s="109">
        <v>8.9999999999999993E-3</v>
      </c>
      <c r="G3841" s="130">
        <v>0</v>
      </c>
      <c r="H3841" s="71">
        <v>8.5</v>
      </c>
      <c r="I3841" s="71">
        <v>11.1</v>
      </c>
      <c r="J3841" s="71">
        <v>13.5</v>
      </c>
      <c r="K3841" s="109">
        <v>5.1000000000000004E-3</v>
      </c>
      <c r="L3841" s="121">
        <v>-7.0000000000000001E-3</v>
      </c>
      <c r="M3841" s="75" t="s">
        <v>146</v>
      </c>
      <c r="N3841" s="75" t="b">
        <v>1</v>
      </c>
      <c r="O3841" s="75" t="s">
        <v>145</v>
      </c>
      <c r="P3841" s="75">
        <v>2014</v>
      </c>
      <c r="Q3841" s="107">
        <f t="shared" si="114"/>
        <v>2018</v>
      </c>
      <c r="R3841" s="107">
        <v>2</v>
      </c>
      <c r="S3841" s="43">
        <v>218105</v>
      </c>
      <c r="T3841" s="74">
        <v>43311</v>
      </c>
    </row>
    <row r="3842" spans="1:20" x14ac:dyDescent="0.3">
      <c r="A3842" s="42">
        <v>43300</v>
      </c>
      <c r="B3842" s="37">
        <f t="shared" si="113"/>
        <v>20180719</v>
      </c>
      <c r="C3842" s="109">
        <v>2.1700000000000001E-2</v>
      </c>
      <c r="D3842" s="109">
        <v>8.0000000000000002E-3</v>
      </c>
      <c r="E3842" s="109">
        <v>8.9999999999999993E-3</v>
      </c>
      <c r="F3842" s="109">
        <v>8.9999999999999993E-3</v>
      </c>
      <c r="G3842" s="130">
        <v>0</v>
      </c>
      <c r="H3842" s="71">
        <v>8.5</v>
      </c>
      <c r="I3842" s="71">
        <v>11.1</v>
      </c>
      <c r="J3842" s="71">
        <v>13.5</v>
      </c>
      <c r="K3842" s="109">
        <v>4.8999999999999998E-3</v>
      </c>
      <c r="L3842" s="121">
        <v>-7.0000000000000001E-3</v>
      </c>
      <c r="M3842" s="75" t="s">
        <v>146</v>
      </c>
      <c r="N3842" s="75" t="b">
        <v>1</v>
      </c>
      <c r="O3842" s="75" t="s">
        <v>145</v>
      </c>
      <c r="P3842" s="75">
        <v>2014</v>
      </c>
      <c r="Q3842" s="107">
        <f t="shared" si="114"/>
        <v>2018</v>
      </c>
      <c r="R3842" s="107">
        <v>2</v>
      </c>
      <c r="S3842" s="43">
        <v>218105</v>
      </c>
      <c r="T3842" s="74">
        <v>43311</v>
      </c>
    </row>
    <row r="3843" spans="1:20" x14ac:dyDescent="0.3">
      <c r="A3843" s="42">
        <v>43301</v>
      </c>
      <c r="B3843" s="37">
        <f t="shared" si="113"/>
        <v>20180720</v>
      </c>
      <c r="C3843" s="109">
        <v>2.23E-2</v>
      </c>
      <c r="D3843" s="109">
        <v>8.0000000000000002E-3</v>
      </c>
      <c r="E3843" s="109">
        <v>8.9999999999999993E-3</v>
      </c>
      <c r="F3843" s="109">
        <v>8.9999999999999993E-3</v>
      </c>
      <c r="G3843" s="130">
        <v>0</v>
      </c>
      <c r="H3843" s="71">
        <v>8.5</v>
      </c>
      <c r="I3843" s="71">
        <v>11.1</v>
      </c>
      <c r="J3843" s="71">
        <v>13.5</v>
      </c>
      <c r="K3843" s="109">
        <v>5.4000000000000003E-3</v>
      </c>
      <c r="L3843" s="121">
        <v>-7.0000000000000001E-3</v>
      </c>
      <c r="M3843" s="75" t="s">
        <v>146</v>
      </c>
      <c r="N3843" s="75" t="b">
        <v>1</v>
      </c>
      <c r="O3843" s="75" t="s">
        <v>145</v>
      </c>
      <c r="P3843" s="75">
        <v>2014</v>
      </c>
      <c r="Q3843" s="107">
        <f t="shared" si="114"/>
        <v>2018</v>
      </c>
      <c r="R3843" s="107">
        <v>2</v>
      </c>
      <c r="S3843" s="43">
        <v>218105</v>
      </c>
      <c r="T3843" s="74">
        <v>43311</v>
      </c>
    </row>
    <row r="3844" spans="1:20" x14ac:dyDescent="0.3">
      <c r="A3844" s="42">
        <v>43302</v>
      </c>
      <c r="B3844" s="37">
        <f t="shared" si="113"/>
        <v>20180721</v>
      </c>
      <c r="C3844" s="109">
        <v>2.23E-2</v>
      </c>
      <c r="D3844" s="109">
        <v>8.0000000000000002E-3</v>
      </c>
      <c r="E3844" s="109">
        <v>8.9999999999999993E-3</v>
      </c>
      <c r="F3844" s="109">
        <v>8.9999999999999993E-3</v>
      </c>
      <c r="G3844" s="130">
        <v>0</v>
      </c>
      <c r="H3844" s="71">
        <v>8.5</v>
      </c>
      <c r="I3844" s="71">
        <v>11.1</v>
      </c>
      <c r="J3844" s="71">
        <v>13.5</v>
      </c>
      <c r="K3844" s="109">
        <v>5.4000000000000003E-3</v>
      </c>
      <c r="L3844" s="121">
        <v>-7.0000000000000001E-3</v>
      </c>
      <c r="M3844" s="75" t="s">
        <v>146</v>
      </c>
      <c r="N3844" s="75" t="b">
        <v>1</v>
      </c>
      <c r="O3844" s="75" t="s">
        <v>145</v>
      </c>
      <c r="P3844" s="75">
        <v>2014</v>
      </c>
      <c r="Q3844" s="107">
        <f t="shared" si="114"/>
        <v>2018</v>
      </c>
      <c r="R3844" s="107">
        <v>2</v>
      </c>
      <c r="S3844" s="43">
        <v>218105</v>
      </c>
      <c r="T3844" s="74">
        <v>43311</v>
      </c>
    </row>
    <row r="3845" spans="1:20" x14ac:dyDescent="0.3">
      <c r="A3845" s="42">
        <v>43303</v>
      </c>
      <c r="B3845" s="37">
        <f t="shared" si="113"/>
        <v>20180722</v>
      </c>
      <c r="C3845" s="109">
        <v>2.23E-2</v>
      </c>
      <c r="D3845" s="109">
        <v>8.0000000000000002E-3</v>
      </c>
      <c r="E3845" s="109">
        <v>8.9999999999999993E-3</v>
      </c>
      <c r="F3845" s="109">
        <v>8.9999999999999993E-3</v>
      </c>
      <c r="G3845" s="130">
        <v>0</v>
      </c>
      <c r="H3845" s="71">
        <v>8.5</v>
      </c>
      <c r="I3845" s="71">
        <v>11.1</v>
      </c>
      <c r="J3845" s="71">
        <v>13.5</v>
      </c>
      <c r="K3845" s="109">
        <v>5.4000000000000003E-3</v>
      </c>
      <c r="L3845" s="121">
        <v>-7.0000000000000001E-3</v>
      </c>
      <c r="M3845" s="75" t="s">
        <v>146</v>
      </c>
      <c r="N3845" s="75" t="b">
        <v>1</v>
      </c>
      <c r="O3845" s="75" t="s">
        <v>145</v>
      </c>
      <c r="P3845" s="75">
        <v>2014</v>
      </c>
      <c r="Q3845" s="107">
        <f t="shared" si="114"/>
        <v>2018</v>
      </c>
      <c r="R3845" s="107">
        <v>2</v>
      </c>
      <c r="S3845" s="43">
        <v>218105</v>
      </c>
      <c r="T3845" s="74">
        <v>43311</v>
      </c>
    </row>
    <row r="3846" spans="1:20" x14ac:dyDescent="0.3">
      <c r="A3846" s="42">
        <v>43304</v>
      </c>
      <c r="B3846" s="37">
        <f t="shared" si="113"/>
        <v>20180723</v>
      </c>
      <c r="C3846" s="109">
        <v>2.2799999999999997E-2</v>
      </c>
      <c r="D3846" s="109">
        <v>8.0000000000000002E-3</v>
      </c>
      <c r="E3846" s="109">
        <v>8.9999999999999993E-3</v>
      </c>
      <c r="F3846" s="109">
        <v>8.9999999999999993E-3</v>
      </c>
      <c r="G3846" s="130">
        <v>0</v>
      </c>
      <c r="H3846" s="71">
        <v>8.5</v>
      </c>
      <c r="I3846" s="71">
        <v>11.1</v>
      </c>
      <c r="J3846" s="71">
        <v>13.5</v>
      </c>
      <c r="K3846" s="109">
        <v>5.7999999999999996E-3</v>
      </c>
      <c r="L3846" s="121">
        <v>-7.0000000000000001E-3</v>
      </c>
      <c r="M3846" s="75" t="s">
        <v>146</v>
      </c>
      <c r="N3846" s="75" t="b">
        <v>1</v>
      </c>
      <c r="O3846" s="75" t="s">
        <v>145</v>
      </c>
      <c r="P3846" s="75">
        <v>2014</v>
      </c>
      <c r="Q3846" s="107">
        <f t="shared" si="114"/>
        <v>2018</v>
      </c>
      <c r="R3846" s="107">
        <v>2</v>
      </c>
      <c r="S3846" s="43">
        <v>218105</v>
      </c>
      <c r="T3846" s="74">
        <v>43311</v>
      </c>
    </row>
    <row r="3847" spans="1:20" x14ac:dyDescent="0.3">
      <c r="A3847" s="42">
        <v>43305</v>
      </c>
      <c r="B3847" s="37">
        <f t="shared" si="113"/>
        <v>20180724</v>
      </c>
      <c r="C3847" s="109">
        <v>2.2700000000000001E-2</v>
      </c>
      <c r="D3847" s="109">
        <v>8.0000000000000002E-3</v>
      </c>
      <c r="E3847" s="109">
        <v>8.9999999999999993E-3</v>
      </c>
      <c r="F3847" s="109">
        <v>8.9999999999999993E-3</v>
      </c>
      <c r="G3847" s="130">
        <v>0</v>
      </c>
      <c r="H3847" s="71">
        <v>8.5</v>
      </c>
      <c r="I3847" s="71">
        <v>11.1</v>
      </c>
      <c r="J3847" s="71">
        <v>13.5</v>
      </c>
      <c r="K3847" s="109">
        <v>5.6999999999999993E-3</v>
      </c>
      <c r="L3847" s="121">
        <v>-7.0000000000000001E-3</v>
      </c>
      <c r="M3847" s="75" t="s">
        <v>146</v>
      </c>
      <c r="N3847" s="75" t="b">
        <v>1</v>
      </c>
      <c r="O3847" s="75" t="s">
        <v>145</v>
      </c>
      <c r="P3847" s="75">
        <v>2014</v>
      </c>
      <c r="Q3847" s="107">
        <f t="shared" si="114"/>
        <v>2018</v>
      </c>
      <c r="R3847" s="107">
        <v>2</v>
      </c>
      <c r="S3847" s="43">
        <v>218105</v>
      </c>
      <c r="T3847" s="74">
        <v>43311</v>
      </c>
    </row>
    <row r="3848" spans="1:20" x14ac:dyDescent="0.3">
      <c r="A3848" s="42">
        <v>43306</v>
      </c>
      <c r="B3848" s="37">
        <f t="shared" si="113"/>
        <v>20180725</v>
      </c>
      <c r="C3848" s="109">
        <v>2.3099999999999999E-2</v>
      </c>
      <c r="D3848" s="109">
        <v>8.0000000000000002E-3</v>
      </c>
      <c r="E3848" s="109">
        <v>8.9999999999999993E-3</v>
      </c>
      <c r="F3848" s="109">
        <v>8.9999999999999993E-3</v>
      </c>
      <c r="G3848" s="130">
        <v>0</v>
      </c>
      <c r="H3848" s="71">
        <v>8.5</v>
      </c>
      <c r="I3848" s="71">
        <v>11.1</v>
      </c>
      <c r="J3848" s="71">
        <v>13.5</v>
      </c>
      <c r="K3848" s="109">
        <v>6.0999999999999995E-3</v>
      </c>
      <c r="L3848" s="121">
        <v>-7.0000000000000001E-3</v>
      </c>
      <c r="M3848" s="75" t="s">
        <v>146</v>
      </c>
      <c r="N3848" s="75" t="b">
        <v>1</v>
      </c>
      <c r="O3848" s="75" t="s">
        <v>145</v>
      </c>
      <c r="P3848" s="75">
        <v>2014</v>
      </c>
      <c r="Q3848" s="107">
        <f t="shared" si="114"/>
        <v>2018</v>
      </c>
      <c r="R3848" s="107">
        <v>2</v>
      </c>
      <c r="S3848" s="43">
        <v>218105</v>
      </c>
      <c r="T3848" s="74">
        <v>43311</v>
      </c>
    </row>
    <row r="3849" spans="1:20" x14ac:dyDescent="0.3">
      <c r="A3849" s="42">
        <v>43307</v>
      </c>
      <c r="B3849" s="37">
        <f t="shared" ref="B3849:B3912" si="115">YEAR(A3849)*10000+MONTH(A3849)*100+DAY(A3849)</f>
        <v>20180726</v>
      </c>
      <c r="C3849" s="109">
        <v>2.3300000000000001E-2</v>
      </c>
      <c r="D3849" s="109">
        <v>8.0000000000000002E-3</v>
      </c>
      <c r="E3849" s="109">
        <v>8.9999999999999993E-3</v>
      </c>
      <c r="F3849" s="109">
        <v>8.9999999999999993E-3</v>
      </c>
      <c r="G3849" s="130">
        <v>0</v>
      </c>
      <c r="H3849" s="71">
        <v>8.5</v>
      </c>
      <c r="I3849" s="71">
        <v>11.1</v>
      </c>
      <c r="J3849" s="71">
        <v>13.5</v>
      </c>
      <c r="K3849" s="109">
        <v>6.1999999999999998E-3</v>
      </c>
      <c r="L3849" s="121">
        <v>-7.0000000000000001E-3</v>
      </c>
      <c r="M3849" s="75" t="s">
        <v>146</v>
      </c>
      <c r="N3849" s="75" t="b">
        <v>1</v>
      </c>
      <c r="O3849" s="75" t="s">
        <v>145</v>
      </c>
      <c r="P3849" s="75">
        <v>2014</v>
      </c>
      <c r="Q3849" s="107">
        <f t="shared" si="114"/>
        <v>2018</v>
      </c>
      <c r="R3849" s="107">
        <v>2</v>
      </c>
      <c r="S3849" s="43">
        <v>218105</v>
      </c>
      <c r="T3849" s="74">
        <v>43311</v>
      </c>
    </row>
    <row r="3850" spans="1:20" x14ac:dyDescent="0.3">
      <c r="A3850" s="42">
        <v>43308</v>
      </c>
      <c r="B3850" s="37">
        <f t="shared" si="115"/>
        <v>20180727</v>
      </c>
      <c r="C3850" s="109">
        <v>2.3399999999999997E-2</v>
      </c>
      <c r="D3850" s="109">
        <v>8.0000000000000002E-3</v>
      </c>
      <c r="E3850" s="109">
        <v>8.9999999999999993E-3</v>
      </c>
      <c r="F3850" s="109">
        <v>8.9999999999999993E-3</v>
      </c>
      <c r="G3850" s="130">
        <v>0</v>
      </c>
      <c r="H3850" s="71">
        <v>8.5</v>
      </c>
      <c r="I3850" s="71">
        <v>11.1</v>
      </c>
      <c r="J3850" s="71">
        <v>13.5</v>
      </c>
      <c r="K3850" s="109">
        <v>6.3E-3</v>
      </c>
      <c r="L3850" s="121">
        <v>-7.0000000000000001E-3</v>
      </c>
      <c r="M3850" s="75" t="s">
        <v>146</v>
      </c>
      <c r="N3850" s="75" t="b">
        <v>1</v>
      </c>
      <c r="O3850" s="75" t="s">
        <v>145</v>
      </c>
      <c r="P3850" s="75">
        <v>2014</v>
      </c>
      <c r="Q3850" s="107">
        <f t="shared" si="114"/>
        <v>2018</v>
      </c>
      <c r="R3850" s="107">
        <v>2</v>
      </c>
      <c r="S3850" s="43">
        <v>218105</v>
      </c>
      <c r="T3850" s="74">
        <v>43311</v>
      </c>
    </row>
    <row r="3851" spans="1:20" x14ac:dyDescent="0.3">
      <c r="A3851" s="42">
        <v>43309</v>
      </c>
      <c r="B3851" s="37">
        <f t="shared" si="115"/>
        <v>20180728</v>
      </c>
      <c r="C3851" s="109">
        <v>2.3399999999999997E-2</v>
      </c>
      <c r="D3851" s="109">
        <v>8.0000000000000002E-3</v>
      </c>
      <c r="E3851" s="109">
        <v>8.9999999999999993E-3</v>
      </c>
      <c r="F3851" s="109">
        <v>8.9999999999999993E-3</v>
      </c>
      <c r="G3851" s="130">
        <v>0</v>
      </c>
      <c r="H3851" s="71">
        <v>8.5</v>
      </c>
      <c r="I3851" s="71">
        <v>11.1</v>
      </c>
      <c r="J3851" s="71">
        <v>13.5</v>
      </c>
      <c r="K3851" s="109">
        <v>6.3E-3</v>
      </c>
      <c r="L3851" s="121">
        <v>-7.0000000000000001E-3</v>
      </c>
      <c r="M3851" s="75" t="s">
        <v>146</v>
      </c>
      <c r="N3851" s="75" t="b">
        <v>1</v>
      </c>
      <c r="O3851" s="75" t="s">
        <v>145</v>
      </c>
      <c r="P3851" s="75">
        <v>2014</v>
      </c>
      <c r="Q3851" s="107">
        <f t="shared" si="114"/>
        <v>2018</v>
      </c>
      <c r="R3851" s="107">
        <v>2</v>
      </c>
      <c r="S3851" s="43">
        <v>218105</v>
      </c>
      <c r="T3851" s="74">
        <v>43311</v>
      </c>
    </row>
    <row r="3852" spans="1:20" x14ac:dyDescent="0.3">
      <c r="A3852" s="42">
        <v>43310</v>
      </c>
      <c r="B3852" s="37">
        <f t="shared" si="115"/>
        <v>20180729</v>
      </c>
      <c r="C3852" s="109">
        <v>2.3399999999999997E-2</v>
      </c>
      <c r="D3852" s="109">
        <v>8.0000000000000002E-3</v>
      </c>
      <c r="E3852" s="109">
        <v>8.9999999999999993E-3</v>
      </c>
      <c r="F3852" s="109">
        <v>8.9999999999999993E-3</v>
      </c>
      <c r="G3852" s="130">
        <v>0</v>
      </c>
      <c r="H3852" s="71">
        <v>8.5</v>
      </c>
      <c r="I3852" s="71">
        <v>11.1</v>
      </c>
      <c r="J3852" s="71">
        <v>13.5</v>
      </c>
      <c r="K3852" s="109">
        <v>6.3E-3</v>
      </c>
      <c r="L3852" s="121">
        <v>-7.0000000000000001E-3</v>
      </c>
      <c r="M3852" s="75" t="s">
        <v>146</v>
      </c>
      <c r="N3852" s="75" t="b">
        <v>1</v>
      </c>
      <c r="O3852" s="75" t="s">
        <v>145</v>
      </c>
      <c r="P3852" s="75">
        <v>2014</v>
      </c>
      <c r="Q3852" s="107">
        <f t="shared" si="114"/>
        <v>2018</v>
      </c>
      <c r="R3852" s="107">
        <v>2</v>
      </c>
      <c r="S3852" s="43">
        <v>218105</v>
      </c>
      <c r="T3852" s="74">
        <v>43311</v>
      </c>
    </row>
    <row r="3853" spans="1:20" x14ac:dyDescent="0.3">
      <c r="A3853" s="42">
        <v>43311</v>
      </c>
      <c r="B3853" s="37">
        <f t="shared" si="115"/>
        <v>20180730</v>
      </c>
      <c r="C3853" s="109">
        <v>2.3399999999999997E-2</v>
      </c>
      <c r="D3853" s="109">
        <v>8.0000000000000002E-3</v>
      </c>
      <c r="E3853" s="109">
        <v>8.9999999999999993E-3</v>
      </c>
      <c r="F3853" s="109">
        <v>8.9999999999999993E-3</v>
      </c>
      <c r="G3853" s="130">
        <v>0</v>
      </c>
      <c r="H3853" s="71">
        <v>8.5</v>
      </c>
      <c r="I3853" s="71">
        <v>11.1</v>
      </c>
      <c r="J3853" s="71">
        <v>13.5</v>
      </c>
      <c r="K3853" s="109">
        <v>6.3E-3</v>
      </c>
      <c r="L3853" s="121">
        <v>-7.0000000000000001E-3</v>
      </c>
      <c r="M3853" s="75" t="s">
        <v>146</v>
      </c>
      <c r="N3853" s="75" t="b">
        <v>1</v>
      </c>
      <c r="O3853" s="75" t="s">
        <v>145</v>
      </c>
      <c r="P3853" s="75">
        <v>2014</v>
      </c>
      <c r="Q3853" s="107">
        <f t="shared" si="114"/>
        <v>2018</v>
      </c>
      <c r="R3853" s="107">
        <v>2</v>
      </c>
      <c r="S3853" s="43">
        <v>218105</v>
      </c>
      <c r="T3853" s="74">
        <v>43311</v>
      </c>
    </row>
    <row r="3854" spans="1:20" x14ac:dyDescent="0.3">
      <c r="A3854" s="42">
        <v>43312</v>
      </c>
      <c r="B3854" s="37">
        <f t="shared" si="115"/>
        <v>20180731</v>
      </c>
      <c r="C3854" s="109">
        <v>2.35E-2</v>
      </c>
      <c r="D3854" s="109">
        <v>8.0000000000000002E-3</v>
      </c>
      <c r="E3854" s="109">
        <v>8.9999999999999993E-3</v>
      </c>
      <c r="F3854" s="109">
        <v>8.9999999999999993E-3</v>
      </c>
      <c r="G3854" s="130">
        <v>0</v>
      </c>
      <c r="H3854" s="71">
        <v>8.5</v>
      </c>
      <c r="I3854" s="71">
        <v>11.1</v>
      </c>
      <c r="J3854" s="71">
        <v>13.5</v>
      </c>
      <c r="K3854" s="109">
        <v>6.0999999999999995E-3</v>
      </c>
      <c r="L3854" s="121">
        <v>-7.0000000000000001E-3</v>
      </c>
      <c r="M3854" s="75" t="s">
        <v>146</v>
      </c>
      <c r="N3854" s="75" t="b">
        <v>1</v>
      </c>
      <c r="O3854" s="75" t="s">
        <v>145</v>
      </c>
      <c r="P3854" s="75">
        <v>2014</v>
      </c>
      <c r="Q3854" s="107">
        <f t="shared" si="114"/>
        <v>2018</v>
      </c>
      <c r="R3854" s="107">
        <v>2</v>
      </c>
      <c r="S3854" s="43">
        <v>218105</v>
      </c>
      <c r="T3854" s="74">
        <v>43311</v>
      </c>
    </row>
    <row r="3855" spans="1:20" x14ac:dyDescent="0.3">
      <c r="A3855" s="42">
        <v>43313</v>
      </c>
      <c r="B3855" s="37">
        <f t="shared" si="115"/>
        <v>20180801</v>
      </c>
      <c r="C3855" s="109">
        <v>2.3900000000000001E-2</v>
      </c>
      <c r="D3855" s="109">
        <v>8.0000000000000002E-3</v>
      </c>
      <c r="E3855" s="109">
        <v>8.9999999999999993E-3</v>
      </c>
      <c r="F3855" s="109">
        <v>8.9999999999999993E-3</v>
      </c>
      <c r="G3855" s="130">
        <v>0</v>
      </c>
      <c r="H3855" s="71">
        <v>8.5</v>
      </c>
      <c r="I3855" s="71">
        <v>11.1</v>
      </c>
      <c r="J3855" s="71">
        <v>13.5</v>
      </c>
      <c r="K3855" s="109">
        <v>6.4000000000000003E-3</v>
      </c>
      <c r="L3855" s="121">
        <v>-7.0000000000000001E-3</v>
      </c>
      <c r="M3855" s="75" t="s">
        <v>146</v>
      </c>
      <c r="N3855" s="75" t="b">
        <v>1</v>
      </c>
      <c r="O3855" s="75" t="s">
        <v>145</v>
      </c>
      <c r="P3855" s="75">
        <v>2014</v>
      </c>
      <c r="Q3855" s="107">
        <f t="shared" si="114"/>
        <v>2018</v>
      </c>
      <c r="R3855" s="107">
        <v>2</v>
      </c>
      <c r="S3855" s="43">
        <v>218105</v>
      </c>
      <c r="T3855" s="74">
        <v>43311</v>
      </c>
    </row>
    <row r="3856" spans="1:20" x14ac:dyDescent="0.3">
      <c r="A3856" s="42">
        <v>43314</v>
      </c>
      <c r="B3856" s="37">
        <f t="shared" si="115"/>
        <v>20180802</v>
      </c>
      <c r="C3856" s="109">
        <v>2.3900000000000001E-2</v>
      </c>
      <c r="D3856" s="109">
        <v>8.0000000000000002E-3</v>
      </c>
      <c r="E3856" s="109">
        <v>8.9999999999999993E-3</v>
      </c>
      <c r="F3856" s="109">
        <v>8.9999999999999993E-3</v>
      </c>
      <c r="G3856" s="130">
        <v>0</v>
      </c>
      <c r="H3856" s="71">
        <v>8.5</v>
      </c>
      <c r="I3856" s="71">
        <v>11.1</v>
      </c>
      <c r="J3856" s="71">
        <v>13.5</v>
      </c>
      <c r="K3856" s="109">
        <v>6.4000000000000003E-3</v>
      </c>
      <c r="L3856" s="121">
        <v>-7.0000000000000001E-3</v>
      </c>
      <c r="M3856" s="75" t="s">
        <v>146</v>
      </c>
      <c r="N3856" s="75" t="b">
        <v>1</v>
      </c>
      <c r="O3856" s="75" t="s">
        <v>145</v>
      </c>
      <c r="P3856" s="75">
        <v>2014</v>
      </c>
      <c r="Q3856" s="107">
        <f t="shared" si="114"/>
        <v>2018</v>
      </c>
      <c r="R3856" s="107">
        <v>2</v>
      </c>
      <c r="S3856" s="43">
        <v>218105</v>
      </c>
      <c r="T3856" s="74">
        <v>43311</v>
      </c>
    </row>
    <row r="3857" spans="1:20" x14ac:dyDescent="0.3">
      <c r="A3857" s="42">
        <v>43315</v>
      </c>
      <c r="B3857" s="37">
        <f t="shared" si="115"/>
        <v>20180803</v>
      </c>
      <c r="C3857" s="109">
        <v>2.3799999999999998E-2</v>
      </c>
      <c r="D3857" s="109">
        <v>8.0000000000000002E-3</v>
      </c>
      <c r="E3857" s="109">
        <v>8.9999999999999993E-3</v>
      </c>
      <c r="F3857" s="109">
        <v>8.9999999999999993E-3</v>
      </c>
      <c r="G3857" s="130">
        <v>0</v>
      </c>
      <c r="H3857" s="71">
        <v>8.5</v>
      </c>
      <c r="I3857" s="71">
        <v>11.1</v>
      </c>
      <c r="J3857" s="71">
        <v>13.5</v>
      </c>
      <c r="K3857" s="109">
        <v>6.1999999999999998E-3</v>
      </c>
      <c r="L3857" s="121">
        <v>-7.0000000000000001E-3</v>
      </c>
      <c r="M3857" s="75" t="s">
        <v>146</v>
      </c>
      <c r="N3857" s="75" t="b">
        <v>1</v>
      </c>
      <c r="O3857" s="75" t="s">
        <v>145</v>
      </c>
      <c r="P3857" s="75">
        <v>2014</v>
      </c>
      <c r="Q3857" s="107">
        <f t="shared" si="114"/>
        <v>2018</v>
      </c>
      <c r="R3857" s="107">
        <v>2</v>
      </c>
      <c r="S3857" s="43">
        <v>218105</v>
      </c>
      <c r="T3857" s="74">
        <v>43311</v>
      </c>
    </row>
    <row r="3858" spans="1:20" x14ac:dyDescent="0.3">
      <c r="A3858" s="42">
        <v>43316</v>
      </c>
      <c r="B3858" s="37">
        <f t="shared" si="115"/>
        <v>20180804</v>
      </c>
      <c r="C3858" s="109">
        <v>2.3799999999999998E-2</v>
      </c>
      <c r="D3858" s="109">
        <v>8.0000000000000002E-3</v>
      </c>
      <c r="E3858" s="109">
        <v>8.9999999999999993E-3</v>
      </c>
      <c r="F3858" s="109">
        <v>8.9999999999999993E-3</v>
      </c>
      <c r="G3858" s="130">
        <v>0</v>
      </c>
      <c r="H3858" s="71">
        <v>8.5</v>
      </c>
      <c r="I3858" s="71">
        <v>11.1</v>
      </c>
      <c r="J3858" s="71">
        <v>13.5</v>
      </c>
      <c r="K3858" s="109">
        <v>6.1999999999999998E-3</v>
      </c>
      <c r="L3858" s="121">
        <v>-7.0000000000000001E-3</v>
      </c>
      <c r="M3858" s="75" t="s">
        <v>146</v>
      </c>
      <c r="N3858" s="75" t="b">
        <v>1</v>
      </c>
      <c r="O3858" s="75" t="s">
        <v>145</v>
      </c>
      <c r="P3858" s="75">
        <v>2014</v>
      </c>
      <c r="Q3858" s="107">
        <f t="shared" si="114"/>
        <v>2018</v>
      </c>
      <c r="R3858" s="107">
        <v>2</v>
      </c>
      <c r="S3858" s="43">
        <v>218105</v>
      </c>
      <c r="T3858" s="74">
        <v>43311</v>
      </c>
    </row>
    <row r="3859" spans="1:20" x14ac:dyDescent="0.3">
      <c r="A3859" s="42">
        <v>43317</v>
      </c>
      <c r="B3859" s="37">
        <f t="shared" si="115"/>
        <v>20180805</v>
      </c>
      <c r="C3859" s="109">
        <v>2.3799999999999998E-2</v>
      </c>
      <c r="D3859" s="109">
        <v>8.0000000000000002E-3</v>
      </c>
      <c r="E3859" s="109">
        <v>8.9999999999999993E-3</v>
      </c>
      <c r="F3859" s="109">
        <v>8.9999999999999993E-3</v>
      </c>
      <c r="G3859" s="130">
        <v>0</v>
      </c>
      <c r="H3859" s="71">
        <v>8.5</v>
      </c>
      <c r="I3859" s="71">
        <v>11.1</v>
      </c>
      <c r="J3859" s="71">
        <v>13.5</v>
      </c>
      <c r="K3859" s="109">
        <v>6.1999999999999998E-3</v>
      </c>
      <c r="L3859" s="121">
        <v>-7.0000000000000001E-3</v>
      </c>
      <c r="M3859" s="75" t="s">
        <v>146</v>
      </c>
      <c r="N3859" s="75" t="b">
        <v>1</v>
      </c>
      <c r="O3859" s="75" t="s">
        <v>145</v>
      </c>
      <c r="P3859" s="75">
        <v>2014</v>
      </c>
      <c r="Q3859" s="107">
        <f t="shared" si="114"/>
        <v>2018</v>
      </c>
      <c r="R3859" s="107">
        <v>2</v>
      </c>
      <c r="S3859" s="43">
        <v>218105</v>
      </c>
      <c r="T3859" s="74">
        <v>43311</v>
      </c>
    </row>
    <row r="3860" spans="1:20" x14ac:dyDescent="0.3">
      <c r="A3860" s="42">
        <v>43318</v>
      </c>
      <c r="B3860" s="37">
        <f t="shared" si="115"/>
        <v>20180806</v>
      </c>
      <c r="C3860" s="109">
        <v>2.3799999999999998E-2</v>
      </c>
      <c r="D3860" s="109">
        <v>8.0000000000000002E-3</v>
      </c>
      <c r="E3860" s="109">
        <v>8.9999999999999993E-3</v>
      </c>
      <c r="F3860" s="109">
        <v>8.9999999999999993E-3</v>
      </c>
      <c r="G3860" s="130">
        <v>0</v>
      </c>
      <c r="H3860" s="71">
        <v>8.5</v>
      </c>
      <c r="I3860" s="71">
        <v>11.1</v>
      </c>
      <c r="J3860" s="71">
        <v>13.5</v>
      </c>
      <c r="K3860" s="109">
        <v>6.1999999999999998E-3</v>
      </c>
      <c r="L3860" s="121">
        <v>-7.0000000000000001E-3</v>
      </c>
      <c r="M3860" s="75" t="s">
        <v>146</v>
      </c>
      <c r="N3860" s="75" t="b">
        <v>1</v>
      </c>
      <c r="O3860" s="75" t="s">
        <v>145</v>
      </c>
      <c r="P3860" s="75">
        <v>2014</v>
      </c>
      <c r="Q3860" s="107">
        <f t="shared" si="114"/>
        <v>2018</v>
      </c>
      <c r="R3860" s="107">
        <v>2</v>
      </c>
      <c r="S3860" s="43">
        <v>218105</v>
      </c>
      <c r="T3860" s="74">
        <v>43311</v>
      </c>
    </row>
    <row r="3861" spans="1:20" x14ac:dyDescent="0.3">
      <c r="A3861" s="42">
        <v>43319</v>
      </c>
      <c r="B3861" s="37">
        <f t="shared" si="115"/>
        <v>20180807</v>
      </c>
      <c r="C3861" s="109">
        <v>2.4E-2</v>
      </c>
      <c r="D3861" s="109">
        <v>8.0000000000000002E-3</v>
      </c>
      <c r="E3861" s="109">
        <v>8.9999999999999993E-3</v>
      </c>
      <c r="F3861" s="109">
        <v>8.9999999999999993E-3</v>
      </c>
      <c r="G3861" s="130">
        <v>0</v>
      </c>
      <c r="H3861" s="71">
        <v>8.5</v>
      </c>
      <c r="I3861" s="71">
        <v>11.1</v>
      </c>
      <c r="J3861" s="71">
        <v>13.5</v>
      </c>
      <c r="K3861" s="109">
        <v>6.6E-3</v>
      </c>
      <c r="L3861" s="121">
        <v>-7.0000000000000001E-3</v>
      </c>
      <c r="M3861" s="75" t="s">
        <v>146</v>
      </c>
      <c r="N3861" s="75" t="b">
        <v>1</v>
      </c>
      <c r="O3861" s="75" t="s">
        <v>145</v>
      </c>
      <c r="P3861" s="75">
        <v>2014</v>
      </c>
      <c r="Q3861" s="107">
        <f t="shared" si="114"/>
        <v>2018</v>
      </c>
      <c r="R3861" s="107">
        <v>2</v>
      </c>
      <c r="S3861" s="43">
        <v>218105</v>
      </c>
      <c r="T3861" s="74">
        <v>43311</v>
      </c>
    </row>
    <row r="3862" spans="1:20" x14ac:dyDescent="0.3">
      <c r="A3862" s="42">
        <v>43320</v>
      </c>
      <c r="B3862" s="37">
        <f t="shared" si="115"/>
        <v>20180808</v>
      </c>
      <c r="C3862" s="109">
        <v>2.3799999999999998E-2</v>
      </c>
      <c r="D3862" s="109">
        <v>8.0000000000000002E-3</v>
      </c>
      <c r="E3862" s="109">
        <v>8.9999999999999993E-3</v>
      </c>
      <c r="F3862" s="109">
        <v>8.9999999999999993E-3</v>
      </c>
      <c r="G3862" s="130">
        <v>0</v>
      </c>
      <c r="H3862" s="71">
        <v>8.5</v>
      </c>
      <c r="I3862" s="71">
        <v>11.1</v>
      </c>
      <c r="J3862" s="71">
        <v>13.5</v>
      </c>
      <c r="K3862" s="109">
        <v>6.5000000000000006E-3</v>
      </c>
      <c r="L3862" s="121">
        <v>-7.0000000000000001E-3</v>
      </c>
      <c r="M3862" s="75" t="s">
        <v>146</v>
      </c>
      <c r="N3862" s="75" t="b">
        <v>1</v>
      </c>
      <c r="O3862" s="75" t="s">
        <v>145</v>
      </c>
      <c r="P3862" s="75">
        <v>2014</v>
      </c>
      <c r="Q3862" s="107">
        <f t="shared" si="114"/>
        <v>2018</v>
      </c>
      <c r="R3862" s="107">
        <v>2</v>
      </c>
      <c r="S3862" s="43">
        <v>218105</v>
      </c>
      <c r="T3862" s="74">
        <v>43311</v>
      </c>
    </row>
    <row r="3863" spans="1:20" x14ac:dyDescent="0.3">
      <c r="A3863" s="42">
        <v>43321</v>
      </c>
      <c r="B3863" s="37">
        <f t="shared" si="115"/>
        <v>20180809</v>
      </c>
      <c r="C3863" s="109">
        <v>2.3599999999999999E-2</v>
      </c>
      <c r="D3863" s="109">
        <v>8.0000000000000002E-3</v>
      </c>
      <c r="E3863" s="109">
        <v>8.9999999999999993E-3</v>
      </c>
      <c r="F3863" s="109">
        <v>8.9999999999999993E-3</v>
      </c>
      <c r="G3863" s="130">
        <v>0</v>
      </c>
      <c r="H3863" s="71">
        <v>8.5</v>
      </c>
      <c r="I3863" s="71">
        <v>11.1</v>
      </c>
      <c r="J3863" s="71">
        <v>13.5</v>
      </c>
      <c r="K3863" s="109">
        <v>6.3E-3</v>
      </c>
      <c r="L3863" s="121">
        <v>-7.0000000000000001E-3</v>
      </c>
      <c r="M3863" s="75" t="s">
        <v>146</v>
      </c>
      <c r="N3863" s="75" t="b">
        <v>1</v>
      </c>
      <c r="O3863" s="75" t="s">
        <v>145</v>
      </c>
      <c r="P3863" s="75">
        <v>2014</v>
      </c>
      <c r="Q3863" s="107">
        <f t="shared" si="114"/>
        <v>2018</v>
      </c>
      <c r="R3863" s="107">
        <v>2</v>
      </c>
      <c r="S3863" s="43">
        <v>218105</v>
      </c>
      <c r="T3863" s="74">
        <v>43311</v>
      </c>
    </row>
    <row r="3864" spans="1:20" x14ac:dyDescent="0.3">
      <c r="A3864" s="42">
        <v>43322</v>
      </c>
      <c r="B3864" s="37">
        <f t="shared" si="115"/>
        <v>20180810</v>
      </c>
      <c r="C3864" s="109">
        <v>2.3199999999999998E-2</v>
      </c>
      <c r="D3864" s="109">
        <v>8.0000000000000002E-3</v>
      </c>
      <c r="E3864" s="109">
        <v>8.9999999999999993E-3</v>
      </c>
      <c r="F3864" s="109">
        <v>8.9999999999999993E-3</v>
      </c>
      <c r="G3864" s="130">
        <v>0</v>
      </c>
      <c r="H3864" s="71">
        <v>8.5</v>
      </c>
      <c r="I3864" s="71">
        <v>11.1</v>
      </c>
      <c r="J3864" s="71">
        <v>13.5</v>
      </c>
      <c r="K3864" s="109">
        <v>6.0000000000000001E-3</v>
      </c>
      <c r="L3864" s="121">
        <v>-7.0000000000000001E-3</v>
      </c>
      <c r="M3864" s="75" t="s">
        <v>146</v>
      </c>
      <c r="N3864" s="75" t="b">
        <v>1</v>
      </c>
      <c r="O3864" s="75" t="s">
        <v>145</v>
      </c>
      <c r="P3864" s="75">
        <v>2014</v>
      </c>
      <c r="Q3864" s="107">
        <f t="shared" si="114"/>
        <v>2018</v>
      </c>
      <c r="R3864" s="107">
        <v>2</v>
      </c>
      <c r="S3864" s="43">
        <v>218105</v>
      </c>
      <c r="T3864" s="74">
        <v>43311</v>
      </c>
    </row>
    <row r="3865" spans="1:20" x14ac:dyDescent="0.3">
      <c r="A3865" s="42">
        <v>43323</v>
      </c>
      <c r="B3865" s="37">
        <f t="shared" si="115"/>
        <v>20180811</v>
      </c>
      <c r="C3865" s="109">
        <v>2.3199999999999998E-2</v>
      </c>
      <c r="D3865" s="109">
        <v>8.0000000000000002E-3</v>
      </c>
      <c r="E3865" s="109">
        <v>8.9999999999999993E-3</v>
      </c>
      <c r="F3865" s="109">
        <v>8.9999999999999993E-3</v>
      </c>
      <c r="G3865" s="130">
        <v>0</v>
      </c>
      <c r="H3865" s="71">
        <v>8.5</v>
      </c>
      <c r="I3865" s="71">
        <v>11.1</v>
      </c>
      <c r="J3865" s="71">
        <v>13.5</v>
      </c>
      <c r="K3865" s="109">
        <v>6.0000000000000001E-3</v>
      </c>
      <c r="L3865" s="121">
        <v>-7.0000000000000001E-3</v>
      </c>
      <c r="M3865" s="75" t="s">
        <v>146</v>
      </c>
      <c r="N3865" s="75" t="b">
        <v>1</v>
      </c>
      <c r="O3865" s="75" t="s">
        <v>145</v>
      </c>
      <c r="P3865" s="75">
        <v>2014</v>
      </c>
      <c r="Q3865" s="107">
        <f t="shared" si="114"/>
        <v>2018</v>
      </c>
      <c r="R3865" s="107">
        <v>2</v>
      </c>
      <c r="S3865" s="43">
        <v>218105</v>
      </c>
      <c r="T3865" s="74">
        <v>43311</v>
      </c>
    </row>
    <row r="3866" spans="1:20" x14ac:dyDescent="0.3">
      <c r="A3866" s="42">
        <v>43324</v>
      </c>
      <c r="B3866" s="37">
        <f t="shared" si="115"/>
        <v>20180812</v>
      </c>
      <c r="C3866" s="109">
        <v>2.3199999999999998E-2</v>
      </c>
      <c r="D3866" s="109">
        <v>8.0000000000000002E-3</v>
      </c>
      <c r="E3866" s="109">
        <v>8.9999999999999993E-3</v>
      </c>
      <c r="F3866" s="109">
        <v>8.9999999999999993E-3</v>
      </c>
      <c r="G3866" s="130">
        <v>0</v>
      </c>
      <c r="H3866" s="71">
        <v>8.5</v>
      </c>
      <c r="I3866" s="71">
        <v>11.1</v>
      </c>
      <c r="J3866" s="71">
        <v>13.5</v>
      </c>
      <c r="K3866" s="109">
        <v>6.0000000000000001E-3</v>
      </c>
      <c r="L3866" s="121">
        <v>-7.0000000000000001E-3</v>
      </c>
      <c r="M3866" s="75" t="s">
        <v>146</v>
      </c>
      <c r="N3866" s="75" t="b">
        <v>1</v>
      </c>
      <c r="O3866" s="75" t="s">
        <v>145</v>
      </c>
      <c r="P3866" s="75">
        <v>2014</v>
      </c>
      <c r="Q3866" s="107">
        <f t="shared" si="114"/>
        <v>2018</v>
      </c>
      <c r="R3866" s="107">
        <v>2</v>
      </c>
      <c r="S3866" s="43">
        <v>218105</v>
      </c>
      <c r="T3866" s="74">
        <v>43311</v>
      </c>
    </row>
    <row r="3867" spans="1:20" x14ac:dyDescent="0.3">
      <c r="A3867" s="42">
        <v>43325</v>
      </c>
      <c r="B3867" s="37">
        <f t="shared" si="115"/>
        <v>20180813</v>
      </c>
      <c r="C3867" s="109">
        <v>2.3300000000000001E-2</v>
      </c>
      <c r="D3867" s="109">
        <v>8.0000000000000002E-3</v>
      </c>
      <c r="E3867" s="109">
        <v>8.9999999999999993E-3</v>
      </c>
      <c r="F3867" s="109">
        <v>8.9999999999999993E-3</v>
      </c>
      <c r="G3867" s="130">
        <v>0</v>
      </c>
      <c r="H3867" s="71">
        <v>8.5</v>
      </c>
      <c r="I3867" s="71">
        <v>11.1</v>
      </c>
      <c r="J3867" s="71">
        <v>13.5</v>
      </c>
      <c r="K3867" s="109">
        <v>6.0999999999999995E-3</v>
      </c>
      <c r="L3867" s="121">
        <v>-7.0000000000000001E-3</v>
      </c>
      <c r="M3867" s="75" t="s">
        <v>146</v>
      </c>
      <c r="N3867" s="75" t="b">
        <v>1</v>
      </c>
      <c r="O3867" s="75" t="s">
        <v>145</v>
      </c>
      <c r="P3867" s="75">
        <v>2014</v>
      </c>
      <c r="Q3867" s="107">
        <f t="shared" si="114"/>
        <v>2018</v>
      </c>
      <c r="R3867" s="107">
        <v>2</v>
      </c>
      <c r="S3867" s="43">
        <v>218105</v>
      </c>
      <c r="T3867" s="74">
        <v>43311</v>
      </c>
    </row>
    <row r="3868" spans="1:20" x14ac:dyDescent="0.3">
      <c r="A3868" s="42">
        <v>43326</v>
      </c>
      <c r="B3868" s="37">
        <f t="shared" si="115"/>
        <v>20180814</v>
      </c>
      <c r="C3868" s="109">
        <v>2.35E-2</v>
      </c>
      <c r="D3868" s="109">
        <v>8.0000000000000002E-3</v>
      </c>
      <c r="E3868" s="109">
        <v>8.9999999999999993E-3</v>
      </c>
      <c r="F3868" s="109">
        <v>8.9999999999999993E-3</v>
      </c>
      <c r="G3868" s="130">
        <v>0</v>
      </c>
      <c r="H3868" s="71">
        <v>8.5</v>
      </c>
      <c r="I3868" s="71">
        <v>11.1</v>
      </c>
      <c r="J3868" s="71">
        <v>13.5</v>
      </c>
      <c r="K3868" s="109">
        <v>6.3E-3</v>
      </c>
      <c r="L3868" s="121">
        <v>-7.0000000000000001E-3</v>
      </c>
      <c r="M3868" s="75" t="s">
        <v>146</v>
      </c>
      <c r="N3868" s="75" t="b">
        <v>1</v>
      </c>
      <c r="O3868" s="75" t="s">
        <v>145</v>
      </c>
      <c r="P3868" s="75">
        <v>2014</v>
      </c>
      <c r="Q3868" s="107">
        <f t="shared" si="114"/>
        <v>2018</v>
      </c>
      <c r="R3868" s="107">
        <v>2</v>
      </c>
      <c r="S3868" s="43">
        <v>218105</v>
      </c>
      <c r="T3868" s="74">
        <v>43311</v>
      </c>
    </row>
    <row r="3869" spans="1:20" x14ac:dyDescent="0.3">
      <c r="A3869" s="42">
        <v>43327</v>
      </c>
      <c r="B3869" s="37">
        <f t="shared" si="115"/>
        <v>20180815</v>
      </c>
      <c r="C3869" s="109">
        <v>2.29E-2</v>
      </c>
      <c r="D3869" s="109">
        <v>8.0000000000000002E-3</v>
      </c>
      <c r="E3869" s="109">
        <v>8.9999999999999993E-3</v>
      </c>
      <c r="F3869" s="109">
        <v>8.9999999999999993E-3</v>
      </c>
      <c r="G3869" s="130">
        <v>0</v>
      </c>
      <c r="H3869" s="71">
        <v>8.5</v>
      </c>
      <c r="I3869" s="71">
        <v>11.1</v>
      </c>
      <c r="J3869" s="71">
        <v>13.5</v>
      </c>
      <c r="K3869" s="109">
        <v>5.6999999999999993E-3</v>
      </c>
      <c r="L3869" s="121">
        <v>-7.0000000000000001E-3</v>
      </c>
      <c r="M3869" s="75" t="s">
        <v>146</v>
      </c>
      <c r="N3869" s="75" t="b">
        <v>1</v>
      </c>
      <c r="O3869" s="75" t="s">
        <v>145</v>
      </c>
      <c r="P3869" s="75">
        <v>2014</v>
      </c>
      <c r="Q3869" s="107">
        <f t="shared" si="114"/>
        <v>2018</v>
      </c>
      <c r="R3869" s="107">
        <v>2</v>
      </c>
      <c r="S3869" s="43">
        <v>218105</v>
      </c>
      <c r="T3869" s="74">
        <v>43311</v>
      </c>
    </row>
    <row r="3870" spans="1:20" x14ac:dyDescent="0.3">
      <c r="A3870" s="42">
        <v>43328</v>
      </c>
      <c r="B3870" s="37">
        <f t="shared" si="115"/>
        <v>20180816</v>
      </c>
      <c r="C3870" s="109">
        <v>2.2799999999999997E-2</v>
      </c>
      <c r="D3870" s="109">
        <v>8.0000000000000002E-3</v>
      </c>
      <c r="E3870" s="109">
        <v>8.9999999999999993E-3</v>
      </c>
      <c r="F3870" s="109">
        <v>8.9999999999999993E-3</v>
      </c>
      <c r="G3870" s="130">
        <v>0</v>
      </c>
      <c r="H3870" s="71">
        <v>8.5</v>
      </c>
      <c r="I3870" s="71">
        <v>11.1</v>
      </c>
      <c r="J3870" s="71">
        <v>13.5</v>
      </c>
      <c r="K3870" s="109">
        <v>5.6000000000000008E-3</v>
      </c>
      <c r="L3870" s="121">
        <v>-7.0000000000000001E-3</v>
      </c>
      <c r="M3870" s="75" t="s">
        <v>146</v>
      </c>
      <c r="N3870" s="75" t="b">
        <v>1</v>
      </c>
      <c r="O3870" s="75" t="s">
        <v>145</v>
      </c>
      <c r="P3870" s="75">
        <v>2014</v>
      </c>
      <c r="Q3870" s="107">
        <f t="shared" si="114"/>
        <v>2018</v>
      </c>
      <c r="R3870" s="107">
        <v>2</v>
      </c>
      <c r="S3870" s="43">
        <v>218105</v>
      </c>
      <c r="T3870" s="74">
        <v>43311</v>
      </c>
    </row>
    <row r="3871" spans="1:20" x14ac:dyDescent="0.3">
      <c r="A3871" s="42">
        <v>43329</v>
      </c>
      <c r="B3871" s="37">
        <f t="shared" si="115"/>
        <v>20180817</v>
      </c>
      <c r="C3871" s="109">
        <v>2.29E-2</v>
      </c>
      <c r="D3871" s="109">
        <v>8.0000000000000002E-3</v>
      </c>
      <c r="E3871" s="109">
        <v>8.9999999999999993E-3</v>
      </c>
      <c r="F3871" s="109">
        <v>8.9999999999999993E-3</v>
      </c>
      <c r="G3871" s="130">
        <v>0</v>
      </c>
      <c r="H3871" s="71">
        <v>8.5</v>
      </c>
      <c r="I3871" s="71">
        <v>11.1</v>
      </c>
      <c r="J3871" s="71">
        <v>13.5</v>
      </c>
      <c r="K3871" s="109">
        <v>5.5000000000000005E-3</v>
      </c>
      <c r="L3871" s="121">
        <v>-7.0000000000000001E-3</v>
      </c>
      <c r="M3871" s="75" t="s">
        <v>146</v>
      </c>
      <c r="N3871" s="75" t="b">
        <v>1</v>
      </c>
      <c r="O3871" s="75" t="s">
        <v>145</v>
      </c>
      <c r="P3871" s="75">
        <v>2014</v>
      </c>
      <c r="Q3871" s="107">
        <f t="shared" si="114"/>
        <v>2018</v>
      </c>
      <c r="R3871" s="107">
        <v>2</v>
      </c>
      <c r="S3871" s="43">
        <v>218105</v>
      </c>
      <c r="T3871" s="74">
        <v>43311</v>
      </c>
    </row>
    <row r="3872" spans="1:20" x14ac:dyDescent="0.3">
      <c r="A3872" s="42">
        <v>43330</v>
      </c>
      <c r="B3872" s="37">
        <f t="shared" si="115"/>
        <v>20180818</v>
      </c>
      <c r="C3872" s="109">
        <v>2.29E-2</v>
      </c>
      <c r="D3872" s="109">
        <v>8.0000000000000002E-3</v>
      </c>
      <c r="E3872" s="109">
        <v>8.9999999999999993E-3</v>
      </c>
      <c r="F3872" s="109">
        <v>8.9999999999999993E-3</v>
      </c>
      <c r="G3872" s="130">
        <v>0</v>
      </c>
      <c r="H3872" s="71">
        <v>8.5</v>
      </c>
      <c r="I3872" s="71">
        <v>11.1</v>
      </c>
      <c r="J3872" s="71">
        <v>13.5</v>
      </c>
      <c r="K3872" s="109">
        <v>5.5000000000000005E-3</v>
      </c>
      <c r="L3872" s="121">
        <v>-7.0000000000000001E-3</v>
      </c>
      <c r="M3872" s="75" t="s">
        <v>146</v>
      </c>
      <c r="N3872" s="75" t="b">
        <v>1</v>
      </c>
      <c r="O3872" s="75" t="s">
        <v>145</v>
      </c>
      <c r="P3872" s="75">
        <v>2014</v>
      </c>
      <c r="Q3872" s="107">
        <f t="shared" si="114"/>
        <v>2018</v>
      </c>
      <c r="R3872" s="107">
        <v>2</v>
      </c>
      <c r="S3872" s="43">
        <v>218105</v>
      </c>
      <c r="T3872" s="74">
        <v>43311</v>
      </c>
    </row>
    <row r="3873" spans="1:20" x14ac:dyDescent="0.3">
      <c r="A3873" s="42">
        <v>43331</v>
      </c>
      <c r="B3873" s="37">
        <f t="shared" si="115"/>
        <v>20180819</v>
      </c>
      <c r="C3873" s="109">
        <v>2.29E-2</v>
      </c>
      <c r="D3873" s="109">
        <v>8.0000000000000002E-3</v>
      </c>
      <c r="E3873" s="109">
        <v>8.9999999999999993E-3</v>
      </c>
      <c r="F3873" s="109">
        <v>8.9999999999999993E-3</v>
      </c>
      <c r="G3873" s="130">
        <v>0</v>
      </c>
      <c r="H3873" s="71">
        <v>8.5</v>
      </c>
      <c r="I3873" s="71">
        <v>11.1</v>
      </c>
      <c r="J3873" s="71">
        <v>13.5</v>
      </c>
      <c r="K3873" s="109">
        <v>5.5000000000000005E-3</v>
      </c>
      <c r="L3873" s="121">
        <v>-7.0000000000000001E-3</v>
      </c>
      <c r="M3873" s="75" t="s">
        <v>146</v>
      </c>
      <c r="N3873" s="75" t="b">
        <v>1</v>
      </c>
      <c r="O3873" s="75" t="s">
        <v>145</v>
      </c>
      <c r="P3873" s="75">
        <v>2014</v>
      </c>
      <c r="Q3873" s="107">
        <f t="shared" si="114"/>
        <v>2018</v>
      </c>
      <c r="R3873" s="107">
        <v>2</v>
      </c>
      <c r="S3873" s="43">
        <v>218105</v>
      </c>
      <c r="T3873" s="74">
        <v>43311</v>
      </c>
    </row>
    <row r="3874" spans="1:20" x14ac:dyDescent="0.3">
      <c r="A3874" s="42">
        <v>43332</v>
      </c>
      <c r="B3874" s="37">
        <f t="shared" si="115"/>
        <v>20180820</v>
      </c>
      <c r="C3874" s="109">
        <v>2.2700000000000001E-2</v>
      </c>
      <c r="D3874" s="109">
        <v>8.0000000000000002E-3</v>
      </c>
      <c r="E3874" s="109">
        <v>8.9999999999999993E-3</v>
      </c>
      <c r="F3874" s="109">
        <v>8.9999999999999993E-3</v>
      </c>
      <c r="G3874" s="130">
        <v>0</v>
      </c>
      <c r="H3874" s="71">
        <v>8.5</v>
      </c>
      <c r="I3874" s="71">
        <v>11.1</v>
      </c>
      <c r="J3874" s="71">
        <v>13.5</v>
      </c>
      <c r="K3874" s="109">
        <v>5.3E-3</v>
      </c>
      <c r="L3874" s="121">
        <v>-7.0000000000000001E-3</v>
      </c>
      <c r="M3874" s="75" t="s">
        <v>146</v>
      </c>
      <c r="N3874" s="75" t="b">
        <v>1</v>
      </c>
      <c r="O3874" s="75" t="s">
        <v>145</v>
      </c>
      <c r="P3874" s="75">
        <v>2014</v>
      </c>
      <c r="Q3874" s="107">
        <f t="shared" si="114"/>
        <v>2018</v>
      </c>
      <c r="R3874" s="107">
        <v>2</v>
      </c>
      <c r="S3874" s="43">
        <v>218105</v>
      </c>
      <c r="T3874" s="74">
        <v>43311</v>
      </c>
    </row>
    <row r="3875" spans="1:20" x14ac:dyDescent="0.3">
      <c r="A3875" s="42">
        <v>43333</v>
      </c>
      <c r="B3875" s="37">
        <f t="shared" si="115"/>
        <v>20180821</v>
      </c>
      <c r="C3875" s="109">
        <v>2.2799999999999997E-2</v>
      </c>
      <c r="D3875" s="109">
        <v>8.0000000000000002E-3</v>
      </c>
      <c r="E3875" s="109">
        <v>8.9999999999999993E-3</v>
      </c>
      <c r="F3875" s="109">
        <v>8.9999999999999993E-3</v>
      </c>
      <c r="G3875" s="130">
        <v>0</v>
      </c>
      <c r="H3875" s="71">
        <v>8.5</v>
      </c>
      <c r="I3875" s="71">
        <v>11.1</v>
      </c>
      <c r="J3875" s="71">
        <v>13.5</v>
      </c>
      <c r="K3875" s="109">
        <v>5.5000000000000005E-3</v>
      </c>
      <c r="L3875" s="121">
        <v>-7.0000000000000001E-3</v>
      </c>
      <c r="M3875" s="75" t="s">
        <v>146</v>
      </c>
      <c r="N3875" s="75" t="b">
        <v>1</v>
      </c>
      <c r="O3875" s="75" t="s">
        <v>145</v>
      </c>
      <c r="P3875" s="75">
        <v>2014</v>
      </c>
      <c r="Q3875" s="107">
        <f t="shared" si="114"/>
        <v>2018</v>
      </c>
      <c r="R3875" s="107">
        <v>2</v>
      </c>
      <c r="S3875" s="43">
        <v>218105</v>
      </c>
      <c r="T3875" s="74">
        <v>43311</v>
      </c>
    </row>
    <row r="3876" spans="1:20" x14ac:dyDescent="0.3">
      <c r="A3876" s="42">
        <v>43334</v>
      </c>
      <c r="B3876" s="37">
        <f t="shared" si="115"/>
        <v>20180822</v>
      </c>
      <c r="C3876" s="109">
        <v>2.2700000000000001E-2</v>
      </c>
      <c r="D3876" s="109">
        <v>8.0000000000000002E-3</v>
      </c>
      <c r="E3876" s="109">
        <v>8.9999999999999993E-3</v>
      </c>
      <c r="F3876" s="109">
        <v>8.9999999999999993E-3</v>
      </c>
      <c r="G3876" s="130">
        <v>0</v>
      </c>
      <c r="H3876" s="71">
        <v>8.5</v>
      </c>
      <c r="I3876" s="71">
        <v>11.1</v>
      </c>
      <c r="J3876" s="71">
        <v>13.5</v>
      </c>
      <c r="K3876" s="109">
        <v>5.4000000000000003E-3</v>
      </c>
      <c r="L3876" s="121">
        <v>-7.0000000000000001E-3</v>
      </c>
      <c r="M3876" s="75" t="s">
        <v>146</v>
      </c>
      <c r="N3876" s="75" t="b">
        <v>1</v>
      </c>
      <c r="O3876" s="75" t="s">
        <v>145</v>
      </c>
      <c r="P3876" s="75">
        <v>2014</v>
      </c>
      <c r="Q3876" s="107">
        <f t="shared" si="114"/>
        <v>2018</v>
      </c>
      <c r="R3876" s="107">
        <v>2</v>
      </c>
      <c r="S3876" s="43">
        <v>218105</v>
      </c>
      <c r="T3876" s="74">
        <v>43311</v>
      </c>
    </row>
    <row r="3877" spans="1:20" x14ac:dyDescent="0.3">
      <c r="A3877" s="42">
        <v>43335</v>
      </c>
      <c r="B3877" s="37">
        <f t="shared" si="115"/>
        <v>20180823</v>
      </c>
      <c r="C3877" s="109">
        <v>2.2700000000000001E-2</v>
      </c>
      <c r="D3877" s="109">
        <v>8.0000000000000002E-3</v>
      </c>
      <c r="E3877" s="109">
        <v>8.9999999999999993E-3</v>
      </c>
      <c r="F3877" s="109">
        <v>8.9999999999999993E-3</v>
      </c>
      <c r="G3877" s="130">
        <v>0</v>
      </c>
      <c r="H3877" s="71">
        <v>8.5</v>
      </c>
      <c r="I3877" s="71">
        <v>11.1</v>
      </c>
      <c r="J3877" s="71">
        <v>13.5</v>
      </c>
      <c r="K3877" s="109">
        <v>5.4000000000000003E-3</v>
      </c>
      <c r="L3877" s="121">
        <v>-7.0000000000000001E-3</v>
      </c>
      <c r="M3877" s="75" t="s">
        <v>146</v>
      </c>
      <c r="N3877" s="75" t="b">
        <v>1</v>
      </c>
      <c r="O3877" s="75" t="s">
        <v>145</v>
      </c>
      <c r="P3877" s="75">
        <v>2014</v>
      </c>
      <c r="Q3877" s="107">
        <f t="shared" si="114"/>
        <v>2018</v>
      </c>
      <c r="R3877" s="107">
        <v>2</v>
      </c>
      <c r="S3877" s="43">
        <v>218105</v>
      </c>
      <c r="T3877" s="74">
        <v>43311</v>
      </c>
    </row>
    <row r="3878" spans="1:20" x14ac:dyDescent="0.3">
      <c r="A3878" s="42">
        <v>43336</v>
      </c>
      <c r="B3878" s="37">
        <f t="shared" si="115"/>
        <v>20180824</v>
      </c>
      <c r="C3878" s="109">
        <v>2.2700000000000001E-2</v>
      </c>
      <c r="D3878" s="109">
        <v>8.0000000000000002E-3</v>
      </c>
      <c r="E3878" s="109">
        <v>8.9999999999999993E-3</v>
      </c>
      <c r="F3878" s="109">
        <v>8.9999999999999993E-3</v>
      </c>
      <c r="G3878" s="130">
        <v>0</v>
      </c>
      <c r="H3878" s="71">
        <v>8.5</v>
      </c>
      <c r="I3878" s="71">
        <v>11.1</v>
      </c>
      <c r="J3878" s="71">
        <v>13.5</v>
      </c>
      <c r="K3878" s="109">
        <v>5.5000000000000005E-3</v>
      </c>
      <c r="L3878" s="121">
        <v>-7.0000000000000001E-3</v>
      </c>
      <c r="M3878" s="75" t="s">
        <v>146</v>
      </c>
      <c r="N3878" s="75" t="b">
        <v>1</v>
      </c>
      <c r="O3878" s="75" t="s">
        <v>145</v>
      </c>
      <c r="P3878" s="75">
        <v>2014</v>
      </c>
      <c r="Q3878" s="107">
        <f t="shared" si="114"/>
        <v>2018</v>
      </c>
      <c r="R3878" s="107">
        <v>2</v>
      </c>
      <c r="S3878" s="43">
        <v>218105</v>
      </c>
      <c r="T3878" s="74">
        <v>43311</v>
      </c>
    </row>
    <row r="3879" spans="1:20" x14ac:dyDescent="0.3">
      <c r="A3879" s="42">
        <v>43337</v>
      </c>
      <c r="B3879" s="37">
        <f t="shared" si="115"/>
        <v>20180825</v>
      </c>
      <c r="C3879" s="109">
        <v>2.2700000000000001E-2</v>
      </c>
      <c r="D3879" s="109">
        <v>8.0000000000000002E-3</v>
      </c>
      <c r="E3879" s="109">
        <v>8.9999999999999993E-3</v>
      </c>
      <c r="F3879" s="109">
        <v>8.9999999999999993E-3</v>
      </c>
      <c r="G3879" s="130">
        <v>0</v>
      </c>
      <c r="H3879" s="71">
        <v>8.5</v>
      </c>
      <c r="I3879" s="71">
        <v>11.1</v>
      </c>
      <c r="J3879" s="71">
        <v>13.5</v>
      </c>
      <c r="K3879" s="109">
        <v>5.5000000000000005E-3</v>
      </c>
      <c r="L3879" s="121">
        <v>-7.0000000000000001E-3</v>
      </c>
      <c r="M3879" s="75" t="s">
        <v>146</v>
      </c>
      <c r="N3879" s="75" t="b">
        <v>1</v>
      </c>
      <c r="O3879" s="75" t="s">
        <v>145</v>
      </c>
      <c r="P3879" s="75">
        <v>2014</v>
      </c>
      <c r="Q3879" s="107">
        <f t="shared" si="114"/>
        <v>2018</v>
      </c>
      <c r="R3879" s="107">
        <v>2</v>
      </c>
      <c r="S3879" s="43">
        <v>218105</v>
      </c>
      <c r="T3879" s="74">
        <v>43311</v>
      </c>
    </row>
    <row r="3880" spans="1:20" x14ac:dyDescent="0.3">
      <c r="A3880" s="42">
        <v>43338</v>
      </c>
      <c r="B3880" s="37">
        <f t="shared" si="115"/>
        <v>20180826</v>
      </c>
      <c r="C3880" s="109">
        <v>2.2700000000000001E-2</v>
      </c>
      <c r="D3880" s="109">
        <v>8.0000000000000002E-3</v>
      </c>
      <c r="E3880" s="109">
        <v>8.9999999999999993E-3</v>
      </c>
      <c r="F3880" s="109">
        <v>8.9999999999999993E-3</v>
      </c>
      <c r="G3880" s="130">
        <v>0</v>
      </c>
      <c r="H3880" s="71">
        <v>8.5</v>
      </c>
      <c r="I3880" s="71">
        <v>11.1</v>
      </c>
      <c r="J3880" s="71">
        <v>13.5</v>
      </c>
      <c r="K3880" s="109">
        <v>5.5000000000000005E-3</v>
      </c>
      <c r="L3880" s="121">
        <v>-7.0000000000000001E-3</v>
      </c>
      <c r="M3880" s="75" t="s">
        <v>146</v>
      </c>
      <c r="N3880" s="75" t="b">
        <v>1</v>
      </c>
      <c r="O3880" s="75" t="s">
        <v>145</v>
      </c>
      <c r="P3880" s="75">
        <v>2014</v>
      </c>
      <c r="Q3880" s="107">
        <f t="shared" si="114"/>
        <v>2018</v>
      </c>
      <c r="R3880" s="107">
        <v>2</v>
      </c>
      <c r="S3880" s="43">
        <v>218105</v>
      </c>
      <c r="T3880" s="74">
        <v>43311</v>
      </c>
    </row>
    <row r="3881" spans="1:20" x14ac:dyDescent="0.3">
      <c r="A3881" s="42">
        <v>43339</v>
      </c>
      <c r="B3881" s="37">
        <f t="shared" si="115"/>
        <v>20180827</v>
      </c>
      <c r="C3881" s="109">
        <v>2.3099999999999999E-2</v>
      </c>
      <c r="D3881" s="109">
        <v>8.0000000000000002E-3</v>
      </c>
      <c r="E3881" s="109">
        <v>8.9999999999999993E-3</v>
      </c>
      <c r="F3881" s="109">
        <v>8.9999999999999993E-3</v>
      </c>
      <c r="G3881" s="130">
        <v>0</v>
      </c>
      <c r="H3881" s="71">
        <v>8.5</v>
      </c>
      <c r="I3881" s="71">
        <v>11.1</v>
      </c>
      <c r="J3881" s="71">
        <v>13.5</v>
      </c>
      <c r="K3881" s="109">
        <v>5.7999999999999996E-3</v>
      </c>
      <c r="L3881" s="121">
        <v>-7.0000000000000001E-3</v>
      </c>
      <c r="M3881" s="75" t="s">
        <v>146</v>
      </c>
      <c r="N3881" s="75" t="b">
        <v>1</v>
      </c>
      <c r="O3881" s="75" t="s">
        <v>145</v>
      </c>
      <c r="P3881" s="75">
        <v>2014</v>
      </c>
      <c r="Q3881" s="107">
        <f t="shared" si="114"/>
        <v>2018</v>
      </c>
      <c r="R3881" s="107">
        <v>2</v>
      </c>
      <c r="S3881" s="43">
        <v>218105</v>
      </c>
      <c r="T3881" s="74">
        <v>43311</v>
      </c>
    </row>
    <row r="3882" spans="1:20" x14ac:dyDescent="0.3">
      <c r="A3882" s="42">
        <v>43340</v>
      </c>
      <c r="B3882" s="37">
        <f t="shared" si="115"/>
        <v>20180828</v>
      </c>
      <c r="C3882" s="109">
        <v>2.3300000000000001E-2</v>
      </c>
      <c r="D3882" s="109">
        <v>8.0000000000000002E-3</v>
      </c>
      <c r="E3882" s="109">
        <v>8.9999999999999993E-3</v>
      </c>
      <c r="F3882" s="109">
        <v>8.9999999999999993E-3</v>
      </c>
      <c r="G3882" s="130">
        <v>0</v>
      </c>
      <c r="H3882" s="71">
        <v>8.5</v>
      </c>
      <c r="I3882" s="71">
        <v>11.1</v>
      </c>
      <c r="J3882" s="71">
        <v>13.5</v>
      </c>
      <c r="K3882" s="109">
        <v>5.8999999999999999E-3</v>
      </c>
      <c r="L3882" s="121">
        <v>-7.0000000000000001E-3</v>
      </c>
      <c r="M3882" s="75" t="s">
        <v>146</v>
      </c>
      <c r="N3882" s="75" t="b">
        <v>1</v>
      </c>
      <c r="O3882" s="75" t="s">
        <v>145</v>
      </c>
      <c r="P3882" s="75">
        <v>2014</v>
      </c>
      <c r="Q3882" s="107">
        <f t="shared" si="114"/>
        <v>2018</v>
      </c>
      <c r="R3882" s="107">
        <v>2</v>
      </c>
      <c r="S3882" s="43">
        <v>218105</v>
      </c>
      <c r="T3882" s="74">
        <v>43311</v>
      </c>
    </row>
    <row r="3883" spans="1:20" x14ac:dyDescent="0.3">
      <c r="A3883" s="42">
        <v>43341</v>
      </c>
      <c r="B3883" s="37">
        <f t="shared" si="115"/>
        <v>20180829</v>
      </c>
      <c r="C3883" s="109">
        <v>2.3300000000000001E-2</v>
      </c>
      <c r="D3883" s="109">
        <v>8.0000000000000002E-3</v>
      </c>
      <c r="E3883" s="109">
        <v>8.9999999999999993E-3</v>
      </c>
      <c r="F3883" s="109">
        <v>8.9999999999999993E-3</v>
      </c>
      <c r="G3883" s="130">
        <v>0</v>
      </c>
      <c r="H3883" s="71">
        <v>8.5</v>
      </c>
      <c r="I3883" s="71">
        <v>11.1</v>
      </c>
      <c r="J3883" s="71">
        <v>13.5</v>
      </c>
      <c r="K3883" s="109">
        <v>6.0000000000000001E-3</v>
      </c>
      <c r="L3883" s="121">
        <v>-7.0000000000000001E-3</v>
      </c>
      <c r="M3883" s="75" t="s">
        <v>146</v>
      </c>
      <c r="N3883" s="75" t="b">
        <v>1</v>
      </c>
      <c r="O3883" s="75" t="s">
        <v>145</v>
      </c>
      <c r="P3883" s="75">
        <v>2014</v>
      </c>
      <c r="Q3883" s="107">
        <f t="shared" si="114"/>
        <v>2018</v>
      </c>
      <c r="R3883" s="107">
        <v>2</v>
      </c>
      <c r="S3883" s="43">
        <v>218105</v>
      </c>
      <c r="T3883" s="74">
        <v>43311</v>
      </c>
    </row>
    <row r="3884" spans="1:20" x14ac:dyDescent="0.3">
      <c r="A3884" s="42">
        <v>43342</v>
      </c>
      <c r="B3884" s="37">
        <f t="shared" si="115"/>
        <v>20180830</v>
      </c>
      <c r="C3884" s="109">
        <v>2.3E-2</v>
      </c>
      <c r="D3884" s="109">
        <v>8.0000000000000002E-3</v>
      </c>
      <c r="E3884" s="109">
        <v>8.9999999999999993E-3</v>
      </c>
      <c r="F3884" s="109">
        <v>8.9999999999999993E-3</v>
      </c>
      <c r="G3884" s="130">
        <v>0</v>
      </c>
      <c r="H3884" s="71">
        <v>8.5</v>
      </c>
      <c r="I3884" s="71">
        <v>11.1</v>
      </c>
      <c r="J3884" s="71">
        <v>13.5</v>
      </c>
      <c r="K3884" s="109">
        <v>5.7999999999999996E-3</v>
      </c>
      <c r="L3884" s="121">
        <v>-7.0000000000000001E-3</v>
      </c>
      <c r="M3884" s="75" t="s">
        <v>146</v>
      </c>
      <c r="N3884" s="75" t="b">
        <v>1</v>
      </c>
      <c r="O3884" s="75" t="s">
        <v>145</v>
      </c>
      <c r="P3884" s="75">
        <v>2014</v>
      </c>
      <c r="Q3884" s="107">
        <f t="shared" si="114"/>
        <v>2018</v>
      </c>
      <c r="R3884" s="107">
        <v>2</v>
      </c>
      <c r="S3884" s="43">
        <v>218105</v>
      </c>
      <c r="T3884" s="74">
        <v>43311</v>
      </c>
    </row>
    <row r="3885" spans="1:20" x14ac:dyDescent="0.3">
      <c r="A3885" s="42">
        <v>43343</v>
      </c>
      <c r="B3885" s="37">
        <f t="shared" si="115"/>
        <v>20180831</v>
      </c>
      <c r="C3885" s="109">
        <v>2.2499999999999999E-2</v>
      </c>
      <c r="D3885" s="109">
        <v>8.0000000000000002E-3</v>
      </c>
      <c r="E3885" s="109">
        <v>8.9999999999999993E-3</v>
      </c>
      <c r="F3885" s="109">
        <v>8.9999999999999993E-3</v>
      </c>
      <c r="G3885" s="130">
        <v>0</v>
      </c>
      <c r="H3885" s="71">
        <v>8.5</v>
      </c>
      <c r="I3885" s="71">
        <v>11.1</v>
      </c>
      <c r="J3885" s="71">
        <v>13.5</v>
      </c>
      <c r="K3885" s="109">
        <v>5.4000000000000003E-3</v>
      </c>
      <c r="L3885" s="121">
        <v>-7.0000000000000001E-3</v>
      </c>
      <c r="M3885" s="75" t="s">
        <v>146</v>
      </c>
      <c r="N3885" s="75" t="b">
        <v>1</v>
      </c>
      <c r="O3885" s="75" t="s">
        <v>145</v>
      </c>
      <c r="P3885" s="75">
        <v>2014</v>
      </c>
      <c r="Q3885" s="107">
        <f t="shared" si="114"/>
        <v>2018</v>
      </c>
      <c r="R3885" s="107">
        <v>2</v>
      </c>
      <c r="S3885" s="43">
        <v>218105</v>
      </c>
      <c r="T3885" s="74">
        <v>43311</v>
      </c>
    </row>
    <row r="3886" spans="1:20" x14ac:dyDescent="0.3">
      <c r="A3886" s="42">
        <v>43344</v>
      </c>
      <c r="B3886" s="37">
        <f t="shared" si="115"/>
        <v>20180901</v>
      </c>
      <c r="C3886" s="109">
        <v>2.2499999999999999E-2</v>
      </c>
      <c r="D3886" s="109">
        <v>8.0000000000000002E-3</v>
      </c>
      <c r="E3886" s="109">
        <v>8.9999999999999993E-3</v>
      </c>
      <c r="F3886" s="109">
        <v>8.9999999999999993E-3</v>
      </c>
      <c r="G3886" s="130">
        <v>0</v>
      </c>
      <c r="H3886" s="71">
        <v>8.5</v>
      </c>
      <c r="I3886" s="71">
        <v>11.1</v>
      </c>
      <c r="J3886" s="71">
        <v>13.5</v>
      </c>
      <c r="K3886" s="109">
        <v>5.4000000000000003E-3</v>
      </c>
      <c r="L3886" s="121">
        <v>-7.0000000000000001E-3</v>
      </c>
      <c r="M3886" s="75" t="s">
        <v>146</v>
      </c>
      <c r="N3886" s="75" t="b">
        <v>1</v>
      </c>
      <c r="O3886" s="75" t="s">
        <v>145</v>
      </c>
      <c r="P3886" s="75">
        <v>2014</v>
      </c>
      <c r="Q3886" s="107">
        <f t="shared" ref="Q3886:Q3949" si="116">YEAR(A3886)</f>
        <v>2018</v>
      </c>
      <c r="R3886" s="107">
        <v>2</v>
      </c>
      <c r="S3886" s="43">
        <v>218105</v>
      </c>
      <c r="T3886" s="74">
        <v>43311</v>
      </c>
    </row>
    <row r="3887" spans="1:20" x14ac:dyDescent="0.3">
      <c r="A3887" s="42">
        <v>43345</v>
      </c>
      <c r="B3887" s="37">
        <f t="shared" si="115"/>
        <v>20180902</v>
      </c>
      <c r="C3887" s="109">
        <v>2.2499999999999999E-2</v>
      </c>
      <c r="D3887" s="109">
        <v>8.0000000000000002E-3</v>
      </c>
      <c r="E3887" s="109">
        <v>8.9999999999999993E-3</v>
      </c>
      <c r="F3887" s="109">
        <v>8.9999999999999993E-3</v>
      </c>
      <c r="G3887" s="130">
        <v>0</v>
      </c>
      <c r="H3887" s="71">
        <v>8.5</v>
      </c>
      <c r="I3887" s="71">
        <v>11.1</v>
      </c>
      <c r="J3887" s="71">
        <v>13.5</v>
      </c>
      <c r="K3887" s="109">
        <v>5.4000000000000003E-3</v>
      </c>
      <c r="L3887" s="121">
        <v>-7.0000000000000001E-3</v>
      </c>
      <c r="M3887" s="75" t="s">
        <v>146</v>
      </c>
      <c r="N3887" s="75" t="b">
        <v>1</v>
      </c>
      <c r="O3887" s="75" t="s">
        <v>145</v>
      </c>
      <c r="P3887" s="75">
        <v>2014</v>
      </c>
      <c r="Q3887" s="107">
        <f t="shared" si="116"/>
        <v>2018</v>
      </c>
      <c r="R3887" s="107">
        <v>2</v>
      </c>
      <c r="S3887" s="43">
        <v>218105</v>
      </c>
      <c r="T3887" s="74">
        <v>43311</v>
      </c>
    </row>
    <row r="3888" spans="1:20" x14ac:dyDescent="0.3">
      <c r="A3888" s="42">
        <v>43346</v>
      </c>
      <c r="B3888" s="37">
        <f t="shared" si="115"/>
        <v>20180903</v>
      </c>
      <c r="C3888" s="109">
        <v>2.2499999999999999E-2</v>
      </c>
      <c r="D3888" s="109">
        <v>8.0000000000000002E-3</v>
      </c>
      <c r="E3888" s="109">
        <v>8.9999999999999993E-3</v>
      </c>
      <c r="F3888" s="109">
        <v>8.9999999999999993E-3</v>
      </c>
      <c r="G3888" s="130">
        <v>0</v>
      </c>
      <c r="H3888" s="71">
        <v>8.5</v>
      </c>
      <c r="I3888" s="71">
        <v>11.1</v>
      </c>
      <c r="J3888" s="71">
        <v>13.5</v>
      </c>
      <c r="K3888" s="109">
        <v>5.4000000000000003E-3</v>
      </c>
      <c r="L3888" s="121">
        <v>-7.0000000000000001E-3</v>
      </c>
      <c r="M3888" s="75" t="s">
        <v>146</v>
      </c>
      <c r="N3888" s="75" t="b">
        <v>1</v>
      </c>
      <c r="O3888" s="75" t="s">
        <v>145</v>
      </c>
      <c r="P3888" s="75">
        <v>2014</v>
      </c>
      <c r="Q3888" s="107">
        <f t="shared" si="116"/>
        <v>2018</v>
      </c>
      <c r="R3888" s="107">
        <v>2</v>
      </c>
      <c r="S3888" s="43">
        <v>218105</v>
      </c>
      <c r="T3888" s="74">
        <v>43311</v>
      </c>
    </row>
    <row r="3889" spans="1:20" x14ac:dyDescent="0.3">
      <c r="A3889" s="42">
        <v>43347</v>
      </c>
      <c r="B3889" s="37">
        <f t="shared" si="115"/>
        <v>20180904</v>
      </c>
      <c r="C3889" s="109">
        <v>2.2599999999999999E-2</v>
      </c>
      <c r="D3889" s="109">
        <v>8.0000000000000002E-3</v>
      </c>
      <c r="E3889" s="109">
        <v>8.9999999999999993E-3</v>
      </c>
      <c r="F3889" s="109">
        <v>8.9999999999999993E-3</v>
      </c>
      <c r="G3889" s="130">
        <v>0</v>
      </c>
      <c r="H3889" s="71">
        <v>8.5</v>
      </c>
      <c r="I3889" s="71">
        <v>11.1</v>
      </c>
      <c r="J3889" s="71">
        <v>13.5</v>
      </c>
      <c r="K3889" s="109">
        <v>5.5000000000000005E-3</v>
      </c>
      <c r="L3889" s="121">
        <v>-7.0000000000000001E-3</v>
      </c>
      <c r="M3889" s="75" t="s">
        <v>146</v>
      </c>
      <c r="N3889" s="75" t="b">
        <v>1</v>
      </c>
      <c r="O3889" s="75" t="s">
        <v>145</v>
      </c>
      <c r="P3889" s="75">
        <v>2014</v>
      </c>
      <c r="Q3889" s="107">
        <f t="shared" si="116"/>
        <v>2018</v>
      </c>
      <c r="R3889" s="107">
        <v>2</v>
      </c>
      <c r="S3889" s="43">
        <v>218105</v>
      </c>
      <c r="T3889" s="74">
        <v>43311</v>
      </c>
    </row>
    <row r="3890" spans="1:20" x14ac:dyDescent="0.3">
      <c r="A3890" s="42">
        <v>43348</v>
      </c>
      <c r="B3890" s="37">
        <f t="shared" si="115"/>
        <v>20180905</v>
      </c>
      <c r="C3890" s="109">
        <v>2.2700000000000001E-2</v>
      </c>
      <c r="D3890" s="109">
        <v>8.0000000000000002E-3</v>
      </c>
      <c r="E3890" s="109">
        <v>8.9999999999999993E-3</v>
      </c>
      <c r="F3890" s="109">
        <v>8.9999999999999993E-3</v>
      </c>
      <c r="G3890" s="130">
        <v>0</v>
      </c>
      <c r="H3890" s="71">
        <v>8.5</v>
      </c>
      <c r="I3890" s="71">
        <v>11.1</v>
      </c>
      <c r="J3890" s="71">
        <v>13.5</v>
      </c>
      <c r="K3890" s="109">
        <v>5.6000000000000008E-3</v>
      </c>
      <c r="L3890" s="121">
        <v>-7.0000000000000001E-3</v>
      </c>
      <c r="M3890" s="75" t="s">
        <v>146</v>
      </c>
      <c r="N3890" s="75" t="b">
        <v>1</v>
      </c>
      <c r="O3890" s="75" t="s">
        <v>145</v>
      </c>
      <c r="P3890" s="75">
        <v>2014</v>
      </c>
      <c r="Q3890" s="107">
        <f t="shared" si="116"/>
        <v>2018</v>
      </c>
      <c r="R3890" s="107">
        <v>2</v>
      </c>
      <c r="S3890" s="43">
        <v>218105</v>
      </c>
      <c r="T3890" s="74">
        <v>43311</v>
      </c>
    </row>
    <row r="3891" spans="1:20" x14ac:dyDescent="0.3">
      <c r="A3891" s="42">
        <v>43349</v>
      </c>
      <c r="B3891" s="37">
        <f t="shared" si="115"/>
        <v>20180906</v>
      </c>
      <c r="C3891" s="109">
        <v>2.2599999999999999E-2</v>
      </c>
      <c r="D3891" s="109">
        <v>8.0000000000000002E-3</v>
      </c>
      <c r="E3891" s="109">
        <v>8.9999999999999993E-3</v>
      </c>
      <c r="F3891" s="109">
        <v>8.9999999999999993E-3</v>
      </c>
      <c r="G3891" s="130">
        <v>0</v>
      </c>
      <c r="H3891" s="71">
        <v>8.5</v>
      </c>
      <c r="I3891" s="71">
        <v>11.1</v>
      </c>
      <c r="J3891" s="71">
        <v>13.5</v>
      </c>
      <c r="K3891" s="109">
        <v>5.6000000000000008E-3</v>
      </c>
      <c r="L3891" s="121">
        <v>-7.0000000000000001E-3</v>
      </c>
      <c r="M3891" s="75" t="s">
        <v>146</v>
      </c>
      <c r="N3891" s="75" t="b">
        <v>1</v>
      </c>
      <c r="O3891" s="75" t="s">
        <v>145</v>
      </c>
      <c r="P3891" s="75">
        <v>2014</v>
      </c>
      <c r="Q3891" s="107">
        <f t="shared" si="116"/>
        <v>2018</v>
      </c>
      <c r="R3891" s="107">
        <v>2</v>
      </c>
      <c r="S3891" s="43">
        <v>218105</v>
      </c>
      <c r="T3891" s="74">
        <v>43311</v>
      </c>
    </row>
    <row r="3892" spans="1:20" x14ac:dyDescent="0.3">
      <c r="A3892" s="42">
        <v>43350</v>
      </c>
      <c r="B3892" s="37">
        <f t="shared" si="115"/>
        <v>20180907</v>
      </c>
      <c r="C3892" s="109">
        <v>2.3099999999999999E-2</v>
      </c>
      <c r="D3892" s="109">
        <v>8.0000000000000002E-3</v>
      </c>
      <c r="E3892" s="109">
        <v>8.9999999999999993E-3</v>
      </c>
      <c r="F3892" s="109">
        <v>8.9999999999999993E-3</v>
      </c>
      <c r="G3892" s="130">
        <v>0</v>
      </c>
      <c r="H3892" s="71">
        <v>8.5</v>
      </c>
      <c r="I3892" s="71">
        <v>11.1</v>
      </c>
      <c r="J3892" s="71">
        <v>13.5</v>
      </c>
      <c r="K3892" s="109">
        <v>6.0999999999999995E-3</v>
      </c>
      <c r="L3892" s="121">
        <v>-7.0000000000000001E-3</v>
      </c>
      <c r="M3892" s="75" t="s">
        <v>146</v>
      </c>
      <c r="N3892" s="75" t="b">
        <v>1</v>
      </c>
      <c r="O3892" s="75" t="s">
        <v>145</v>
      </c>
      <c r="P3892" s="75">
        <v>2014</v>
      </c>
      <c r="Q3892" s="107">
        <f t="shared" si="116"/>
        <v>2018</v>
      </c>
      <c r="R3892" s="107">
        <v>2</v>
      </c>
      <c r="S3892" s="43">
        <v>218105</v>
      </c>
      <c r="T3892" s="74">
        <v>43311</v>
      </c>
    </row>
    <row r="3893" spans="1:20" x14ac:dyDescent="0.3">
      <c r="A3893" s="42">
        <v>43351</v>
      </c>
      <c r="B3893" s="37">
        <f t="shared" si="115"/>
        <v>20180908</v>
      </c>
      <c r="C3893" s="109">
        <v>2.3099999999999999E-2</v>
      </c>
      <c r="D3893" s="109">
        <v>8.0000000000000002E-3</v>
      </c>
      <c r="E3893" s="109">
        <v>8.9999999999999993E-3</v>
      </c>
      <c r="F3893" s="109">
        <v>8.9999999999999993E-3</v>
      </c>
      <c r="G3893" s="130">
        <v>0</v>
      </c>
      <c r="H3893" s="71">
        <v>8.5</v>
      </c>
      <c r="I3893" s="71">
        <v>11.1</v>
      </c>
      <c r="J3893" s="71">
        <v>13.5</v>
      </c>
      <c r="K3893" s="109">
        <v>6.0999999999999995E-3</v>
      </c>
      <c r="L3893" s="121">
        <v>-7.0000000000000001E-3</v>
      </c>
      <c r="M3893" s="75" t="s">
        <v>146</v>
      </c>
      <c r="N3893" s="75" t="b">
        <v>1</v>
      </c>
      <c r="O3893" s="75" t="s">
        <v>145</v>
      </c>
      <c r="P3893" s="75">
        <v>2014</v>
      </c>
      <c r="Q3893" s="107">
        <f t="shared" si="116"/>
        <v>2018</v>
      </c>
      <c r="R3893" s="107">
        <v>2</v>
      </c>
      <c r="S3893" s="43">
        <v>218105</v>
      </c>
      <c r="T3893" s="74">
        <v>43311</v>
      </c>
    </row>
    <row r="3894" spans="1:20" x14ac:dyDescent="0.3">
      <c r="A3894" s="42">
        <v>43352</v>
      </c>
      <c r="B3894" s="37">
        <f t="shared" si="115"/>
        <v>20180909</v>
      </c>
      <c r="C3894" s="109">
        <v>2.3099999999999999E-2</v>
      </c>
      <c r="D3894" s="109">
        <v>8.0000000000000002E-3</v>
      </c>
      <c r="E3894" s="109">
        <v>8.9999999999999993E-3</v>
      </c>
      <c r="F3894" s="109">
        <v>8.9999999999999993E-3</v>
      </c>
      <c r="G3894" s="130">
        <v>0</v>
      </c>
      <c r="H3894" s="71">
        <v>8.5</v>
      </c>
      <c r="I3894" s="71">
        <v>11.1</v>
      </c>
      <c r="J3894" s="71">
        <v>13.5</v>
      </c>
      <c r="K3894" s="109">
        <v>6.0999999999999995E-3</v>
      </c>
      <c r="L3894" s="121">
        <v>-7.0000000000000001E-3</v>
      </c>
      <c r="M3894" s="75" t="s">
        <v>146</v>
      </c>
      <c r="N3894" s="75" t="b">
        <v>1</v>
      </c>
      <c r="O3894" s="75" t="s">
        <v>145</v>
      </c>
      <c r="P3894" s="75">
        <v>2014</v>
      </c>
      <c r="Q3894" s="107">
        <f t="shared" si="116"/>
        <v>2018</v>
      </c>
      <c r="R3894" s="107">
        <v>2</v>
      </c>
      <c r="S3894" s="43">
        <v>218105</v>
      </c>
      <c r="T3894" s="74">
        <v>43311</v>
      </c>
    </row>
    <row r="3895" spans="1:20" x14ac:dyDescent="0.3">
      <c r="A3895" s="42">
        <v>43353</v>
      </c>
      <c r="B3895" s="37">
        <f t="shared" si="115"/>
        <v>20180910</v>
      </c>
      <c r="C3895" s="109">
        <v>2.3099999999999999E-2</v>
      </c>
      <c r="D3895" s="109">
        <v>8.0000000000000002E-3</v>
      </c>
      <c r="E3895" s="109">
        <v>8.9999999999999993E-3</v>
      </c>
      <c r="F3895" s="109">
        <v>8.9999999999999993E-3</v>
      </c>
      <c r="G3895" s="130">
        <v>0</v>
      </c>
      <c r="H3895" s="71">
        <v>8.5</v>
      </c>
      <c r="I3895" s="71">
        <v>11.1</v>
      </c>
      <c r="J3895" s="71">
        <v>13.5</v>
      </c>
      <c r="K3895" s="109">
        <v>6.0999999999999995E-3</v>
      </c>
      <c r="L3895" s="121">
        <v>-7.0000000000000001E-3</v>
      </c>
      <c r="M3895" s="75" t="s">
        <v>146</v>
      </c>
      <c r="N3895" s="75" t="b">
        <v>1</v>
      </c>
      <c r="O3895" s="75" t="s">
        <v>145</v>
      </c>
      <c r="P3895" s="75">
        <v>2014</v>
      </c>
      <c r="Q3895" s="107">
        <f t="shared" si="116"/>
        <v>2018</v>
      </c>
      <c r="R3895" s="107">
        <v>2</v>
      </c>
      <c r="S3895" s="43">
        <v>218105</v>
      </c>
      <c r="T3895" s="74">
        <v>43311</v>
      </c>
    </row>
    <row r="3896" spans="1:20" x14ac:dyDescent="0.3">
      <c r="A3896" s="42">
        <v>43354</v>
      </c>
      <c r="B3896" s="37">
        <f t="shared" si="115"/>
        <v>20180911</v>
      </c>
      <c r="C3896" s="109">
        <v>2.35E-2</v>
      </c>
      <c r="D3896" s="109">
        <v>8.0000000000000002E-3</v>
      </c>
      <c r="E3896" s="109">
        <v>8.9999999999999993E-3</v>
      </c>
      <c r="F3896" s="109">
        <v>8.9999999999999993E-3</v>
      </c>
      <c r="G3896" s="130">
        <v>0</v>
      </c>
      <c r="H3896" s="71">
        <v>8.5</v>
      </c>
      <c r="I3896" s="71">
        <v>11.1</v>
      </c>
      <c r="J3896" s="71">
        <v>13.5</v>
      </c>
      <c r="K3896" s="109">
        <v>6.4000000000000003E-3</v>
      </c>
      <c r="L3896" s="121">
        <v>-7.0000000000000001E-3</v>
      </c>
      <c r="M3896" s="75" t="s">
        <v>146</v>
      </c>
      <c r="N3896" s="75" t="b">
        <v>1</v>
      </c>
      <c r="O3896" s="75" t="s">
        <v>145</v>
      </c>
      <c r="P3896" s="75">
        <v>2014</v>
      </c>
      <c r="Q3896" s="107">
        <f t="shared" si="116"/>
        <v>2018</v>
      </c>
      <c r="R3896" s="107">
        <v>2</v>
      </c>
      <c r="S3896" s="43">
        <v>218105</v>
      </c>
      <c r="T3896" s="74">
        <v>43311</v>
      </c>
    </row>
    <row r="3897" spans="1:20" x14ac:dyDescent="0.3">
      <c r="A3897" s="42">
        <v>43355</v>
      </c>
      <c r="B3897" s="37">
        <f t="shared" si="115"/>
        <v>20180912</v>
      </c>
      <c r="C3897" s="109">
        <v>2.35E-2</v>
      </c>
      <c r="D3897" s="109">
        <v>8.0000000000000002E-3</v>
      </c>
      <c r="E3897" s="109">
        <v>8.9999999999999993E-3</v>
      </c>
      <c r="F3897" s="109">
        <v>8.9999999999999993E-3</v>
      </c>
      <c r="G3897" s="130">
        <v>0</v>
      </c>
      <c r="H3897" s="71">
        <v>8.5</v>
      </c>
      <c r="I3897" s="71">
        <v>11.1</v>
      </c>
      <c r="J3897" s="71">
        <v>13.5</v>
      </c>
      <c r="K3897" s="109">
        <v>6.3E-3</v>
      </c>
      <c r="L3897" s="121">
        <v>-7.0000000000000001E-3</v>
      </c>
      <c r="M3897" s="75" t="s">
        <v>146</v>
      </c>
      <c r="N3897" s="75" t="b">
        <v>1</v>
      </c>
      <c r="O3897" s="75" t="s">
        <v>145</v>
      </c>
      <c r="P3897" s="75">
        <v>2014</v>
      </c>
      <c r="Q3897" s="107">
        <f t="shared" si="116"/>
        <v>2018</v>
      </c>
      <c r="R3897" s="107">
        <v>2</v>
      </c>
      <c r="S3897" s="43">
        <v>218105</v>
      </c>
      <c r="T3897" s="74">
        <v>43311</v>
      </c>
    </row>
    <row r="3898" spans="1:20" x14ac:dyDescent="0.3">
      <c r="A3898" s="42">
        <v>43356</v>
      </c>
      <c r="B3898" s="37">
        <f t="shared" si="115"/>
        <v>20180913</v>
      </c>
      <c r="C3898" s="109">
        <v>2.35E-2</v>
      </c>
      <c r="D3898" s="109">
        <v>8.0000000000000002E-3</v>
      </c>
      <c r="E3898" s="109">
        <v>8.9999999999999993E-3</v>
      </c>
      <c r="F3898" s="109">
        <v>8.9999999999999993E-3</v>
      </c>
      <c r="G3898" s="130">
        <v>0</v>
      </c>
      <c r="H3898" s="71">
        <v>8.5</v>
      </c>
      <c r="I3898" s="71">
        <v>11.1</v>
      </c>
      <c r="J3898" s="71">
        <v>13.5</v>
      </c>
      <c r="K3898" s="109">
        <v>6.3E-3</v>
      </c>
      <c r="L3898" s="121">
        <v>-7.0000000000000001E-3</v>
      </c>
      <c r="M3898" s="75" t="s">
        <v>146</v>
      </c>
      <c r="N3898" s="75" t="b">
        <v>1</v>
      </c>
      <c r="O3898" s="75" t="s">
        <v>145</v>
      </c>
      <c r="P3898" s="75">
        <v>2014</v>
      </c>
      <c r="Q3898" s="107">
        <f t="shared" si="116"/>
        <v>2018</v>
      </c>
      <c r="R3898" s="107">
        <v>2</v>
      </c>
      <c r="S3898" s="43">
        <v>218105</v>
      </c>
      <c r="T3898" s="74">
        <v>43311</v>
      </c>
    </row>
    <row r="3899" spans="1:20" x14ac:dyDescent="0.3">
      <c r="A3899" s="42">
        <v>43357</v>
      </c>
      <c r="B3899" s="37">
        <f t="shared" si="115"/>
        <v>20180914</v>
      </c>
      <c r="C3899" s="109">
        <v>2.3599999999999999E-2</v>
      </c>
      <c r="D3899" s="109">
        <v>8.0000000000000002E-3</v>
      </c>
      <c r="E3899" s="109">
        <v>8.9999999999999993E-3</v>
      </c>
      <c r="F3899" s="109">
        <v>8.9999999999999993E-3</v>
      </c>
      <c r="G3899" s="130">
        <v>0</v>
      </c>
      <c r="H3899" s="71">
        <v>8.5</v>
      </c>
      <c r="I3899" s="71">
        <v>11.1</v>
      </c>
      <c r="J3899" s="71">
        <v>13.5</v>
      </c>
      <c r="K3899" s="109">
        <v>6.4000000000000003E-3</v>
      </c>
      <c r="L3899" s="121">
        <v>-7.0000000000000001E-3</v>
      </c>
      <c r="M3899" s="75" t="s">
        <v>146</v>
      </c>
      <c r="N3899" s="75" t="b">
        <v>1</v>
      </c>
      <c r="O3899" s="75" t="s">
        <v>145</v>
      </c>
      <c r="P3899" s="75">
        <v>2014</v>
      </c>
      <c r="Q3899" s="107">
        <f t="shared" si="116"/>
        <v>2018</v>
      </c>
      <c r="R3899" s="107">
        <v>2</v>
      </c>
      <c r="S3899" s="43">
        <v>218105</v>
      </c>
      <c r="T3899" s="74">
        <v>43311</v>
      </c>
    </row>
    <row r="3900" spans="1:20" x14ac:dyDescent="0.3">
      <c r="A3900" s="42">
        <v>43358</v>
      </c>
      <c r="B3900" s="37">
        <f t="shared" si="115"/>
        <v>20180915</v>
      </c>
      <c r="C3900" s="109">
        <v>2.3599999999999999E-2</v>
      </c>
      <c r="D3900" s="109">
        <v>8.0000000000000002E-3</v>
      </c>
      <c r="E3900" s="109">
        <v>8.9999999999999993E-3</v>
      </c>
      <c r="F3900" s="109">
        <v>8.9999999999999993E-3</v>
      </c>
      <c r="G3900" s="130">
        <v>0</v>
      </c>
      <c r="H3900" s="71">
        <v>8.5</v>
      </c>
      <c r="I3900" s="71">
        <v>11.1</v>
      </c>
      <c r="J3900" s="71">
        <v>13.5</v>
      </c>
      <c r="K3900" s="109">
        <v>6.4000000000000003E-3</v>
      </c>
      <c r="L3900" s="121">
        <v>-7.0000000000000001E-3</v>
      </c>
      <c r="M3900" s="75" t="s">
        <v>146</v>
      </c>
      <c r="N3900" s="75" t="b">
        <v>1</v>
      </c>
      <c r="O3900" s="75" t="s">
        <v>145</v>
      </c>
      <c r="P3900" s="75">
        <v>2014</v>
      </c>
      <c r="Q3900" s="107">
        <f t="shared" si="116"/>
        <v>2018</v>
      </c>
      <c r="R3900" s="107">
        <v>2</v>
      </c>
      <c r="S3900" s="43">
        <v>218105</v>
      </c>
      <c r="T3900" s="74">
        <v>43311</v>
      </c>
    </row>
    <row r="3901" spans="1:20" x14ac:dyDescent="0.3">
      <c r="A3901" s="42">
        <v>43359</v>
      </c>
      <c r="B3901" s="37">
        <f t="shared" si="115"/>
        <v>20180916</v>
      </c>
      <c r="C3901" s="109">
        <v>2.3599999999999999E-2</v>
      </c>
      <c r="D3901" s="109">
        <v>8.0000000000000002E-3</v>
      </c>
      <c r="E3901" s="109">
        <v>8.9999999999999993E-3</v>
      </c>
      <c r="F3901" s="109">
        <v>8.9999999999999993E-3</v>
      </c>
      <c r="G3901" s="130">
        <v>0</v>
      </c>
      <c r="H3901" s="71">
        <v>8.5</v>
      </c>
      <c r="I3901" s="71">
        <v>11.1</v>
      </c>
      <c r="J3901" s="71">
        <v>13.5</v>
      </c>
      <c r="K3901" s="109">
        <v>6.4000000000000003E-3</v>
      </c>
      <c r="L3901" s="121">
        <v>-7.0000000000000001E-3</v>
      </c>
      <c r="M3901" s="75" t="s">
        <v>146</v>
      </c>
      <c r="N3901" s="75" t="b">
        <v>1</v>
      </c>
      <c r="O3901" s="75" t="s">
        <v>145</v>
      </c>
      <c r="P3901" s="75">
        <v>2014</v>
      </c>
      <c r="Q3901" s="107">
        <f t="shared" si="116"/>
        <v>2018</v>
      </c>
      <c r="R3901" s="107">
        <v>2</v>
      </c>
      <c r="S3901" s="43">
        <v>218105</v>
      </c>
      <c r="T3901" s="74">
        <v>43311</v>
      </c>
    </row>
    <row r="3902" spans="1:20" x14ac:dyDescent="0.3">
      <c r="A3902" s="42">
        <v>43360</v>
      </c>
      <c r="B3902" s="37">
        <f t="shared" si="115"/>
        <v>20180917</v>
      </c>
      <c r="C3902" s="109">
        <v>2.3599999999999999E-2</v>
      </c>
      <c r="D3902" s="109">
        <v>8.0000000000000002E-3</v>
      </c>
      <c r="E3902" s="109">
        <v>8.9999999999999993E-3</v>
      </c>
      <c r="F3902" s="109">
        <v>8.9999999999999993E-3</v>
      </c>
      <c r="G3902" s="130">
        <v>0</v>
      </c>
      <c r="H3902" s="71">
        <v>8.5</v>
      </c>
      <c r="I3902" s="71">
        <v>11.1</v>
      </c>
      <c r="J3902" s="71">
        <v>13.5</v>
      </c>
      <c r="K3902" s="109">
        <v>6.4000000000000003E-3</v>
      </c>
      <c r="L3902" s="121">
        <v>-7.0000000000000001E-3</v>
      </c>
      <c r="M3902" s="75" t="s">
        <v>146</v>
      </c>
      <c r="N3902" s="75" t="b">
        <v>1</v>
      </c>
      <c r="O3902" s="75" t="s">
        <v>145</v>
      </c>
      <c r="P3902" s="75">
        <v>2014</v>
      </c>
      <c r="Q3902" s="107">
        <f t="shared" si="116"/>
        <v>2018</v>
      </c>
      <c r="R3902" s="107">
        <v>2</v>
      </c>
      <c r="S3902" s="43">
        <v>218105</v>
      </c>
      <c r="T3902" s="74">
        <v>43311</v>
      </c>
    </row>
    <row r="3903" spans="1:20" x14ac:dyDescent="0.3">
      <c r="A3903" s="42">
        <v>43361</v>
      </c>
      <c r="B3903" s="37">
        <f t="shared" si="115"/>
        <v>20180918</v>
      </c>
      <c r="C3903" s="109">
        <v>2.4E-2</v>
      </c>
      <c r="D3903" s="109">
        <v>8.0000000000000002E-3</v>
      </c>
      <c r="E3903" s="109">
        <v>8.9999999999999993E-3</v>
      </c>
      <c r="F3903" s="109">
        <v>8.9999999999999993E-3</v>
      </c>
      <c r="G3903" s="130">
        <v>0</v>
      </c>
      <c r="H3903" s="71">
        <v>8.5</v>
      </c>
      <c r="I3903" s="71">
        <v>11.1</v>
      </c>
      <c r="J3903" s="71">
        <v>13.5</v>
      </c>
      <c r="K3903" s="109">
        <v>6.6E-3</v>
      </c>
      <c r="L3903" s="121">
        <v>-7.0000000000000001E-3</v>
      </c>
      <c r="M3903" s="75" t="s">
        <v>146</v>
      </c>
      <c r="N3903" s="75" t="b">
        <v>1</v>
      </c>
      <c r="O3903" s="75" t="s">
        <v>145</v>
      </c>
      <c r="P3903" s="75">
        <v>2014</v>
      </c>
      <c r="Q3903" s="107">
        <f t="shared" si="116"/>
        <v>2018</v>
      </c>
      <c r="R3903" s="107">
        <v>2</v>
      </c>
      <c r="S3903" s="43">
        <v>218105</v>
      </c>
      <c r="T3903" s="74">
        <v>43311</v>
      </c>
    </row>
    <row r="3904" spans="1:20" x14ac:dyDescent="0.3">
      <c r="A3904" s="42">
        <v>43362</v>
      </c>
      <c r="B3904" s="37">
        <f t="shared" si="115"/>
        <v>20180919</v>
      </c>
      <c r="C3904" s="109">
        <v>2.4300000000000002E-2</v>
      </c>
      <c r="D3904" s="109">
        <v>8.0000000000000002E-3</v>
      </c>
      <c r="E3904" s="109">
        <v>8.9999999999999993E-3</v>
      </c>
      <c r="F3904" s="109">
        <v>8.9999999999999993E-3</v>
      </c>
      <c r="G3904" s="130">
        <v>0</v>
      </c>
      <c r="H3904" s="71">
        <v>8.5</v>
      </c>
      <c r="I3904" s="71">
        <v>11.1</v>
      </c>
      <c r="J3904" s="71">
        <v>13.5</v>
      </c>
      <c r="K3904" s="109">
        <v>6.8000000000000005E-3</v>
      </c>
      <c r="L3904" s="121">
        <v>-7.0000000000000001E-3</v>
      </c>
      <c r="M3904" s="75" t="s">
        <v>146</v>
      </c>
      <c r="N3904" s="75" t="b">
        <v>1</v>
      </c>
      <c r="O3904" s="75" t="s">
        <v>145</v>
      </c>
      <c r="P3904" s="75">
        <v>2014</v>
      </c>
      <c r="Q3904" s="107">
        <f t="shared" si="116"/>
        <v>2018</v>
      </c>
      <c r="R3904" s="107">
        <v>2</v>
      </c>
      <c r="S3904" s="43">
        <v>218105</v>
      </c>
      <c r="T3904" s="74">
        <v>43311</v>
      </c>
    </row>
    <row r="3905" spans="1:21" x14ac:dyDescent="0.3">
      <c r="A3905" s="42">
        <v>43363</v>
      </c>
      <c r="B3905" s="37">
        <f t="shared" si="115"/>
        <v>20180920</v>
      </c>
      <c r="C3905" s="109">
        <v>2.4399999999999998E-2</v>
      </c>
      <c r="D3905" s="109">
        <v>8.0000000000000002E-3</v>
      </c>
      <c r="E3905" s="109">
        <v>8.9999999999999993E-3</v>
      </c>
      <c r="F3905" s="109">
        <v>8.9999999999999993E-3</v>
      </c>
      <c r="G3905" s="130">
        <v>0</v>
      </c>
      <c r="H3905" s="71">
        <v>8.5</v>
      </c>
      <c r="I3905" s="71">
        <v>11.1</v>
      </c>
      <c r="J3905" s="71">
        <v>13.5</v>
      </c>
      <c r="K3905" s="109">
        <v>6.8000000000000005E-3</v>
      </c>
      <c r="L3905" s="121">
        <v>-7.0000000000000001E-3</v>
      </c>
      <c r="M3905" s="75" t="s">
        <v>146</v>
      </c>
      <c r="N3905" s="75" t="b">
        <v>1</v>
      </c>
      <c r="O3905" s="75" t="s">
        <v>145</v>
      </c>
      <c r="P3905" s="75">
        <v>2014</v>
      </c>
      <c r="Q3905" s="107">
        <f t="shared" si="116"/>
        <v>2018</v>
      </c>
      <c r="R3905" s="107">
        <v>2</v>
      </c>
      <c r="S3905" s="43">
        <v>218105</v>
      </c>
      <c r="T3905" s="74">
        <v>43311</v>
      </c>
    </row>
    <row r="3906" spans="1:21" x14ac:dyDescent="0.3">
      <c r="A3906" s="42">
        <v>43364</v>
      </c>
      <c r="B3906" s="37">
        <f t="shared" si="115"/>
        <v>20180921</v>
      </c>
      <c r="C3906" s="109">
        <v>2.4500000000000001E-2</v>
      </c>
      <c r="D3906" s="109">
        <v>8.0000000000000002E-3</v>
      </c>
      <c r="E3906" s="109">
        <v>8.9999999999999993E-3</v>
      </c>
      <c r="F3906" s="109">
        <v>8.9999999999999993E-3</v>
      </c>
      <c r="G3906" s="130">
        <v>0</v>
      </c>
      <c r="H3906" s="71">
        <v>8.5</v>
      </c>
      <c r="I3906" s="71">
        <v>11.1</v>
      </c>
      <c r="J3906" s="71">
        <v>13.5</v>
      </c>
      <c r="K3906" s="109">
        <v>6.8000000000000005E-3</v>
      </c>
      <c r="L3906" s="121">
        <v>-7.0000000000000001E-3</v>
      </c>
      <c r="M3906" s="75" t="s">
        <v>146</v>
      </c>
      <c r="N3906" s="75" t="b">
        <v>1</v>
      </c>
      <c r="O3906" s="75" t="s">
        <v>145</v>
      </c>
      <c r="P3906" s="75">
        <v>2014</v>
      </c>
      <c r="Q3906" s="107">
        <f t="shared" si="116"/>
        <v>2018</v>
      </c>
      <c r="R3906" s="107">
        <v>2</v>
      </c>
      <c r="S3906" s="43">
        <v>218105</v>
      </c>
      <c r="T3906" s="74">
        <v>43311</v>
      </c>
    </row>
    <row r="3907" spans="1:21" x14ac:dyDescent="0.3">
      <c r="A3907" s="42">
        <v>43365</v>
      </c>
      <c r="B3907" s="37">
        <f t="shared" si="115"/>
        <v>20180922</v>
      </c>
      <c r="C3907" s="109">
        <v>2.4500000000000001E-2</v>
      </c>
      <c r="D3907" s="109">
        <v>8.0000000000000002E-3</v>
      </c>
      <c r="E3907" s="109">
        <v>8.9999999999999993E-3</v>
      </c>
      <c r="F3907" s="109">
        <v>8.9999999999999993E-3</v>
      </c>
      <c r="G3907" s="130">
        <v>0</v>
      </c>
      <c r="H3907" s="71">
        <v>8.5</v>
      </c>
      <c r="I3907" s="71">
        <v>11.1</v>
      </c>
      <c r="J3907" s="71">
        <v>13.5</v>
      </c>
      <c r="K3907" s="109">
        <v>6.8000000000000005E-3</v>
      </c>
      <c r="L3907" s="121">
        <v>-7.0000000000000001E-3</v>
      </c>
      <c r="M3907" s="75" t="s">
        <v>146</v>
      </c>
      <c r="N3907" s="75" t="b">
        <v>1</v>
      </c>
      <c r="O3907" s="75" t="s">
        <v>145</v>
      </c>
      <c r="P3907" s="75">
        <v>2014</v>
      </c>
      <c r="Q3907" s="107">
        <f t="shared" si="116"/>
        <v>2018</v>
      </c>
      <c r="R3907" s="107">
        <v>2</v>
      </c>
      <c r="S3907" s="43">
        <v>218105</v>
      </c>
      <c r="T3907" s="74">
        <v>43311</v>
      </c>
    </row>
    <row r="3908" spans="1:21" x14ac:dyDescent="0.3">
      <c r="A3908" s="42">
        <v>43366</v>
      </c>
      <c r="B3908" s="37">
        <f t="shared" si="115"/>
        <v>20180923</v>
      </c>
      <c r="C3908" s="109">
        <v>2.4500000000000001E-2</v>
      </c>
      <c r="D3908" s="109">
        <v>8.0000000000000002E-3</v>
      </c>
      <c r="E3908" s="109">
        <v>8.9999999999999993E-3</v>
      </c>
      <c r="F3908" s="109">
        <v>8.9999999999999993E-3</v>
      </c>
      <c r="G3908" s="130">
        <v>0</v>
      </c>
      <c r="H3908" s="71">
        <v>8.5</v>
      </c>
      <c r="I3908" s="71">
        <v>11.1</v>
      </c>
      <c r="J3908" s="71">
        <v>13.5</v>
      </c>
      <c r="K3908" s="109">
        <v>6.8000000000000005E-3</v>
      </c>
      <c r="L3908" s="121">
        <v>-7.0000000000000001E-3</v>
      </c>
      <c r="M3908" s="75" t="s">
        <v>146</v>
      </c>
      <c r="N3908" s="75" t="b">
        <v>1</v>
      </c>
      <c r="O3908" s="75" t="s">
        <v>145</v>
      </c>
      <c r="P3908" s="75">
        <v>2014</v>
      </c>
      <c r="Q3908" s="107">
        <f t="shared" si="116"/>
        <v>2018</v>
      </c>
      <c r="R3908" s="107">
        <v>2</v>
      </c>
      <c r="S3908" s="43">
        <v>218105</v>
      </c>
      <c r="T3908" s="74">
        <v>43311</v>
      </c>
    </row>
    <row r="3909" spans="1:21" x14ac:dyDescent="0.3">
      <c r="A3909" s="42">
        <v>43367</v>
      </c>
      <c r="B3909" s="37">
        <f t="shared" si="115"/>
        <v>20180924</v>
      </c>
      <c r="C3909" s="109">
        <v>2.46E-2</v>
      </c>
      <c r="D3909" s="109">
        <v>8.0000000000000002E-3</v>
      </c>
      <c r="E3909" s="109">
        <v>8.9999999999999993E-3</v>
      </c>
      <c r="F3909" s="109">
        <v>8.9999999999999993E-3</v>
      </c>
      <c r="G3909" s="130">
        <v>0</v>
      </c>
      <c r="H3909" s="71">
        <v>8.5</v>
      </c>
      <c r="I3909" s="71">
        <v>11.1</v>
      </c>
      <c r="J3909" s="71">
        <v>13.5</v>
      </c>
      <c r="K3909" s="109">
        <v>6.8999999999999999E-3</v>
      </c>
      <c r="L3909" s="121">
        <v>-7.0000000000000001E-3</v>
      </c>
      <c r="M3909" s="75" t="s">
        <v>146</v>
      </c>
      <c r="N3909" s="75" t="b">
        <v>1</v>
      </c>
      <c r="O3909" s="75" t="s">
        <v>145</v>
      </c>
      <c r="P3909" s="75">
        <v>2014</v>
      </c>
      <c r="Q3909" s="107">
        <f t="shared" si="116"/>
        <v>2018</v>
      </c>
      <c r="R3909" s="107">
        <v>2</v>
      </c>
      <c r="S3909" s="43">
        <v>218105</v>
      </c>
      <c r="T3909" s="74">
        <v>43311</v>
      </c>
    </row>
    <row r="3910" spans="1:21" x14ac:dyDescent="0.3">
      <c r="A3910" s="42">
        <v>43368</v>
      </c>
      <c r="B3910" s="37">
        <f t="shared" si="115"/>
        <v>20180925</v>
      </c>
      <c r="C3910" s="109">
        <v>2.4799999999999999E-2</v>
      </c>
      <c r="D3910" s="109">
        <v>8.0000000000000002E-3</v>
      </c>
      <c r="E3910" s="109">
        <v>8.9999999999999993E-3</v>
      </c>
      <c r="F3910" s="109">
        <v>8.9999999999999993E-3</v>
      </c>
      <c r="G3910" s="130">
        <v>0</v>
      </c>
      <c r="H3910" s="71">
        <v>8.5</v>
      </c>
      <c r="I3910" s="71">
        <v>11.1</v>
      </c>
      <c r="J3910" s="71">
        <v>13.5</v>
      </c>
      <c r="K3910" s="109">
        <v>6.9999999999999993E-3</v>
      </c>
      <c r="L3910" s="121">
        <v>-7.0000000000000001E-3</v>
      </c>
      <c r="M3910" s="75" t="s">
        <v>146</v>
      </c>
      <c r="N3910" s="75" t="b">
        <v>1</v>
      </c>
      <c r="O3910" s="75" t="s">
        <v>145</v>
      </c>
      <c r="P3910" s="75">
        <v>2014</v>
      </c>
      <c r="Q3910" s="107">
        <f t="shared" si="116"/>
        <v>2018</v>
      </c>
      <c r="R3910" s="107">
        <v>2</v>
      </c>
      <c r="S3910" s="43">
        <v>218105</v>
      </c>
      <c r="T3910" s="74">
        <v>43311</v>
      </c>
    </row>
    <row r="3911" spans="1:21" x14ac:dyDescent="0.3">
      <c r="A3911" s="42">
        <v>43369</v>
      </c>
      <c r="B3911" s="37">
        <f t="shared" si="115"/>
        <v>20180926</v>
      </c>
      <c r="C3911" s="109">
        <v>2.4300000000000002E-2</v>
      </c>
      <c r="D3911" s="109">
        <v>8.0000000000000002E-3</v>
      </c>
      <c r="E3911" s="109">
        <v>8.9999999999999993E-3</v>
      </c>
      <c r="F3911" s="109">
        <v>8.9999999999999993E-3</v>
      </c>
      <c r="G3911" s="130">
        <v>0</v>
      </c>
      <c r="H3911" s="71">
        <v>8.5</v>
      </c>
      <c r="I3911" s="71">
        <v>11.1</v>
      </c>
      <c r="J3911" s="71">
        <v>13.5</v>
      </c>
      <c r="K3911" s="109">
        <v>6.6E-3</v>
      </c>
      <c r="L3911" s="121">
        <v>-7.0000000000000001E-3</v>
      </c>
      <c r="M3911" s="75" t="s">
        <v>146</v>
      </c>
      <c r="N3911" s="75" t="b">
        <v>1</v>
      </c>
      <c r="O3911" s="75" t="s">
        <v>145</v>
      </c>
      <c r="P3911" s="75">
        <v>2014</v>
      </c>
      <c r="Q3911" s="107">
        <f t="shared" si="116"/>
        <v>2018</v>
      </c>
      <c r="R3911" s="107">
        <v>2</v>
      </c>
      <c r="S3911" s="43">
        <v>218105</v>
      </c>
      <c r="T3911" s="74">
        <v>43311</v>
      </c>
    </row>
    <row r="3912" spans="1:21" x14ac:dyDescent="0.3">
      <c r="A3912" s="42">
        <v>43370</v>
      </c>
      <c r="B3912" s="37">
        <f t="shared" si="115"/>
        <v>20180927</v>
      </c>
      <c r="C3912" s="109">
        <v>2.4300000000000002E-2</v>
      </c>
      <c r="D3912" s="109">
        <v>8.0000000000000002E-3</v>
      </c>
      <c r="E3912" s="109">
        <v>8.9999999999999993E-3</v>
      </c>
      <c r="F3912" s="109">
        <v>8.9999999999999993E-3</v>
      </c>
      <c r="G3912" s="130">
        <v>0</v>
      </c>
      <c r="H3912" s="71">
        <v>8.5</v>
      </c>
      <c r="I3912" s="71">
        <v>11.1</v>
      </c>
      <c r="J3912" s="71">
        <v>13.5</v>
      </c>
      <c r="K3912" s="109">
        <v>6.5000000000000006E-3</v>
      </c>
      <c r="L3912" s="121">
        <v>-7.0000000000000001E-3</v>
      </c>
      <c r="M3912" s="75" t="s">
        <v>146</v>
      </c>
      <c r="N3912" s="75" t="b">
        <v>1</v>
      </c>
      <c r="O3912" s="75" t="s">
        <v>145</v>
      </c>
      <c r="P3912" s="75">
        <v>2014</v>
      </c>
      <c r="Q3912" s="107">
        <f t="shared" si="116"/>
        <v>2018</v>
      </c>
      <c r="R3912" s="107">
        <v>2</v>
      </c>
      <c r="S3912" s="43">
        <v>218105</v>
      </c>
      <c r="T3912" s="74">
        <v>43311</v>
      </c>
    </row>
    <row r="3913" spans="1:21" x14ac:dyDescent="0.3">
      <c r="A3913" s="42">
        <v>43371</v>
      </c>
      <c r="B3913" s="37">
        <f>YEAR(A3913)*10000+MONTH(A3913)*100+DAY(A3913)</f>
        <v>20180928</v>
      </c>
      <c r="C3913" s="109">
        <v>2.4300000000000002E-2</v>
      </c>
      <c r="D3913" s="109">
        <v>8.0000000000000002E-3</v>
      </c>
      <c r="E3913" s="109">
        <v>8.9999999999999993E-3</v>
      </c>
      <c r="F3913" s="109">
        <v>8.9999999999999993E-3</v>
      </c>
      <c r="G3913" s="130">
        <v>0</v>
      </c>
      <c r="H3913" s="71">
        <v>8.5</v>
      </c>
      <c r="I3913" s="71">
        <v>11.1</v>
      </c>
      <c r="J3913" s="71">
        <v>13.5</v>
      </c>
      <c r="K3913" s="121">
        <v>6.7000000000000002E-3</v>
      </c>
      <c r="L3913" s="121">
        <v>-7.0000000000000001E-3</v>
      </c>
      <c r="M3913" s="75" t="s">
        <v>146</v>
      </c>
      <c r="N3913" s="75" t="b">
        <v>1</v>
      </c>
      <c r="O3913" s="75" t="s">
        <v>145</v>
      </c>
      <c r="P3913" s="75">
        <v>2014</v>
      </c>
      <c r="Q3913" s="107">
        <f t="shared" si="116"/>
        <v>2018</v>
      </c>
      <c r="R3913" s="107">
        <v>2</v>
      </c>
      <c r="S3913" s="43">
        <v>218105</v>
      </c>
      <c r="T3913" s="74">
        <v>43311</v>
      </c>
    </row>
    <row r="3914" spans="1:21" x14ac:dyDescent="0.3">
      <c r="A3914" s="42">
        <v>43372</v>
      </c>
      <c r="B3914" s="37">
        <f>YEAR(A3914)*10000+MONTH(A3914)*100+DAY(A3914)</f>
        <v>20180929</v>
      </c>
      <c r="C3914" s="109">
        <v>2.4300000000000002E-2</v>
      </c>
      <c r="D3914" s="109">
        <v>8.0000000000000002E-3</v>
      </c>
      <c r="E3914" s="109">
        <v>8.9999999999999993E-3</v>
      </c>
      <c r="F3914" s="109">
        <v>8.9999999999999993E-3</v>
      </c>
      <c r="G3914" s="130">
        <v>0</v>
      </c>
      <c r="H3914" s="71">
        <v>8.5</v>
      </c>
      <c r="I3914" s="71">
        <v>11.1</v>
      </c>
      <c r="J3914" s="71">
        <v>13.5</v>
      </c>
      <c r="K3914" s="121">
        <v>6.7000000000000002E-3</v>
      </c>
      <c r="L3914" s="121">
        <v>-7.0000000000000001E-3</v>
      </c>
      <c r="M3914" s="75" t="s">
        <v>146</v>
      </c>
      <c r="N3914" s="75" t="b">
        <v>1</v>
      </c>
      <c r="O3914" s="75" t="s">
        <v>145</v>
      </c>
      <c r="P3914" s="75">
        <v>2014</v>
      </c>
      <c r="Q3914" s="107">
        <f t="shared" si="116"/>
        <v>2018</v>
      </c>
      <c r="R3914" s="107">
        <v>2</v>
      </c>
      <c r="S3914" s="43">
        <v>218105</v>
      </c>
      <c r="T3914" s="74">
        <v>43311</v>
      </c>
    </row>
    <row r="3915" spans="1:21" s="116" customFormat="1" x14ac:dyDescent="0.3">
      <c r="A3915" s="110">
        <v>43373</v>
      </c>
      <c r="B3915" s="132">
        <f>YEAR(A3915)*10000+MONTH(A3915)*100+DAY(A3915)</f>
        <v>20180930</v>
      </c>
      <c r="C3915" s="111">
        <v>2.4299999999999999E-2</v>
      </c>
      <c r="D3915" s="111">
        <v>8.0000000000000002E-3</v>
      </c>
      <c r="E3915" s="111">
        <v>8.9999999999999993E-3</v>
      </c>
      <c r="F3915" s="111">
        <v>8.9999999999999993E-3</v>
      </c>
      <c r="G3915" s="133">
        <v>0</v>
      </c>
      <c r="H3915" s="124">
        <v>8.4</v>
      </c>
      <c r="I3915" s="124">
        <v>10.9</v>
      </c>
      <c r="J3915" s="124">
        <v>13.3</v>
      </c>
      <c r="K3915" s="131">
        <v>6.7000000000000002E-3</v>
      </c>
      <c r="L3915" s="125">
        <v>-8.0000000000000002E-3</v>
      </c>
      <c r="M3915" s="98" t="s">
        <v>146</v>
      </c>
      <c r="N3915" s="98" t="b">
        <v>1</v>
      </c>
      <c r="O3915" s="98" t="s">
        <v>145</v>
      </c>
      <c r="P3915" s="98">
        <v>2014</v>
      </c>
      <c r="Q3915" s="105">
        <f t="shared" si="116"/>
        <v>2018</v>
      </c>
      <c r="R3915" s="105">
        <v>2</v>
      </c>
      <c r="S3915" s="127">
        <v>218131</v>
      </c>
      <c r="T3915" s="128">
        <v>43405</v>
      </c>
      <c r="U3915" s="98" t="s">
        <v>176</v>
      </c>
    </row>
    <row r="3916" spans="1:21" x14ac:dyDescent="0.3">
      <c r="A3916" s="42">
        <v>43374</v>
      </c>
      <c r="B3916" s="37">
        <f t="shared" ref="B3916:B3926" si="117">YEAR(A3916)*10000+MONTH(A3916)*100+DAY(A3916)</f>
        <v>20181001</v>
      </c>
      <c r="C3916" s="109">
        <v>2.5000000000000001E-2</v>
      </c>
      <c r="D3916" s="109">
        <v>8.0000000000000002E-3</v>
      </c>
      <c r="E3916" s="109">
        <v>8.9999999999999993E-3</v>
      </c>
      <c r="F3916" s="109">
        <v>8.9999999999999993E-3</v>
      </c>
      <c r="G3916" s="130">
        <v>0</v>
      </c>
      <c r="H3916" s="71">
        <v>8.4</v>
      </c>
      <c r="I3916" s="71">
        <v>10.9</v>
      </c>
      <c r="J3916" s="71">
        <v>13.3</v>
      </c>
      <c r="K3916" s="109">
        <v>7.4000000000000003E-3</v>
      </c>
      <c r="L3916" s="121">
        <v>-8.0000000000000002E-3</v>
      </c>
      <c r="M3916" s="75" t="s">
        <v>146</v>
      </c>
      <c r="N3916" s="75" t="b">
        <v>1</v>
      </c>
      <c r="O3916" s="75" t="s">
        <v>145</v>
      </c>
      <c r="P3916" s="75">
        <v>2014</v>
      </c>
      <c r="Q3916" s="107">
        <f t="shared" si="116"/>
        <v>2018</v>
      </c>
      <c r="R3916" s="107">
        <v>2</v>
      </c>
      <c r="S3916" s="43">
        <v>218131</v>
      </c>
      <c r="T3916" s="74">
        <v>43405</v>
      </c>
    </row>
    <row r="3917" spans="1:21" x14ac:dyDescent="0.3">
      <c r="A3917" s="42">
        <v>43375</v>
      </c>
      <c r="B3917" s="37">
        <f t="shared" si="117"/>
        <v>20181002</v>
      </c>
      <c r="C3917" s="109">
        <v>2.4700000000000003E-2</v>
      </c>
      <c r="D3917" s="109">
        <v>8.0000000000000002E-3</v>
      </c>
      <c r="E3917" s="109">
        <v>8.9999999999999993E-3</v>
      </c>
      <c r="F3917" s="109">
        <v>8.9999999999999993E-3</v>
      </c>
      <c r="G3917" s="130">
        <v>0</v>
      </c>
      <c r="H3917" s="71">
        <v>8.4</v>
      </c>
      <c r="I3917" s="71">
        <v>10.9</v>
      </c>
      <c r="J3917" s="71">
        <v>13.3</v>
      </c>
      <c r="K3917" s="109">
        <v>7.0999999999999995E-3</v>
      </c>
      <c r="L3917" s="121">
        <v>-8.0000000000000002E-3</v>
      </c>
      <c r="M3917" s="75" t="s">
        <v>146</v>
      </c>
      <c r="N3917" s="75" t="b">
        <v>1</v>
      </c>
      <c r="O3917" s="75" t="s">
        <v>145</v>
      </c>
      <c r="P3917" s="75">
        <v>2014</v>
      </c>
      <c r="Q3917" s="107">
        <f t="shared" si="116"/>
        <v>2018</v>
      </c>
      <c r="R3917" s="107">
        <v>2</v>
      </c>
      <c r="S3917" s="43">
        <v>218131</v>
      </c>
      <c r="T3917" s="74">
        <v>43405</v>
      </c>
    </row>
    <row r="3918" spans="1:21" x14ac:dyDescent="0.3">
      <c r="A3918" s="42">
        <v>43376</v>
      </c>
      <c r="B3918" s="37">
        <f t="shared" si="117"/>
        <v>20181003</v>
      </c>
      <c r="C3918" s="109">
        <v>2.53E-2</v>
      </c>
      <c r="D3918" s="109">
        <v>8.0000000000000002E-3</v>
      </c>
      <c r="E3918" s="109">
        <v>8.9999999999999993E-3</v>
      </c>
      <c r="F3918" s="109">
        <v>8.9999999999999993E-3</v>
      </c>
      <c r="G3918" s="130">
        <v>0</v>
      </c>
      <c r="H3918" s="71">
        <v>8.4</v>
      </c>
      <c r="I3918" s="71">
        <v>10.9</v>
      </c>
      <c r="J3918" s="71">
        <v>13.3</v>
      </c>
      <c r="K3918" s="109">
        <v>7.6E-3</v>
      </c>
      <c r="L3918" s="121">
        <v>-8.0000000000000002E-3</v>
      </c>
      <c r="M3918" s="75" t="s">
        <v>146</v>
      </c>
      <c r="N3918" s="75" t="b">
        <v>1</v>
      </c>
      <c r="O3918" s="75" t="s">
        <v>145</v>
      </c>
      <c r="P3918" s="75">
        <v>2014</v>
      </c>
      <c r="Q3918" s="107">
        <f t="shared" si="116"/>
        <v>2018</v>
      </c>
      <c r="R3918" s="107">
        <v>2</v>
      </c>
      <c r="S3918" s="43">
        <v>218131</v>
      </c>
      <c r="T3918" s="74">
        <v>43405</v>
      </c>
    </row>
    <row r="3919" spans="1:21" x14ac:dyDescent="0.3">
      <c r="A3919" s="42">
        <v>43377</v>
      </c>
      <c r="B3919" s="37">
        <f t="shared" si="117"/>
        <v>20181004</v>
      </c>
      <c r="C3919" s="109">
        <v>2.5600000000000001E-2</v>
      </c>
      <c r="D3919" s="109">
        <v>8.0000000000000002E-3</v>
      </c>
      <c r="E3919" s="109">
        <v>8.9999999999999993E-3</v>
      </c>
      <c r="F3919" s="109">
        <v>8.9999999999999993E-3</v>
      </c>
      <c r="G3919" s="130">
        <v>0</v>
      </c>
      <c r="H3919" s="71">
        <v>8.4</v>
      </c>
      <c r="I3919" s="71">
        <v>10.9</v>
      </c>
      <c r="J3919" s="71">
        <v>13.3</v>
      </c>
      <c r="K3919" s="109">
        <v>7.8000000000000005E-3</v>
      </c>
      <c r="L3919" s="121">
        <v>-8.0000000000000002E-3</v>
      </c>
      <c r="M3919" s="75" t="s">
        <v>146</v>
      </c>
      <c r="N3919" s="75" t="b">
        <v>1</v>
      </c>
      <c r="O3919" s="75" t="s">
        <v>145</v>
      </c>
      <c r="P3919" s="75">
        <v>2014</v>
      </c>
      <c r="Q3919" s="107">
        <f t="shared" si="116"/>
        <v>2018</v>
      </c>
      <c r="R3919" s="107">
        <v>2</v>
      </c>
      <c r="S3919" s="43">
        <v>218131</v>
      </c>
      <c r="T3919" s="74">
        <v>43405</v>
      </c>
    </row>
    <row r="3920" spans="1:21" x14ac:dyDescent="0.3">
      <c r="A3920" s="42">
        <v>43378</v>
      </c>
      <c r="B3920" s="37">
        <f t="shared" si="117"/>
        <v>20181005</v>
      </c>
      <c r="C3920" s="109">
        <v>2.6000000000000002E-2</v>
      </c>
      <c r="D3920" s="109">
        <v>8.0000000000000002E-3</v>
      </c>
      <c r="E3920" s="109">
        <v>8.9999999999999993E-3</v>
      </c>
      <c r="F3920" s="109">
        <v>8.9999999999999993E-3</v>
      </c>
      <c r="G3920" s="130">
        <v>0</v>
      </c>
      <c r="H3920" s="71">
        <v>8.4</v>
      </c>
      <c r="I3920" s="71">
        <v>10.9</v>
      </c>
      <c r="J3920" s="71">
        <v>13.3</v>
      </c>
      <c r="K3920" s="109">
        <v>8.199999999999999E-3</v>
      </c>
      <c r="L3920" s="121">
        <v>-8.0000000000000002E-3</v>
      </c>
      <c r="M3920" s="75" t="s">
        <v>146</v>
      </c>
      <c r="N3920" s="75" t="b">
        <v>1</v>
      </c>
      <c r="O3920" s="75" t="s">
        <v>145</v>
      </c>
      <c r="P3920" s="75">
        <v>2014</v>
      </c>
      <c r="Q3920" s="107">
        <f t="shared" si="116"/>
        <v>2018</v>
      </c>
      <c r="R3920" s="107">
        <v>2</v>
      </c>
      <c r="S3920" s="43">
        <v>218131</v>
      </c>
      <c r="T3920" s="74">
        <v>43405</v>
      </c>
    </row>
    <row r="3921" spans="1:22" x14ac:dyDescent="0.3">
      <c r="A3921" s="42">
        <v>43379</v>
      </c>
      <c r="B3921" s="37">
        <f t="shared" si="117"/>
        <v>20181006</v>
      </c>
      <c r="C3921" s="109">
        <v>2.6000000000000002E-2</v>
      </c>
      <c r="D3921" s="109">
        <v>8.0000000000000002E-3</v>
      </c>
      <c r="E3921" s="109">
        <v>8.9999999999999993E-3</v>
      </c>
      <c r="F3921" s="109">
        <v>8.9999999999999993E-3</v>
      </c>
      <c r="G3921" s="130">
        <v>0</v>
      </c>
      <c r="H3921" s="71">
        <v>8.4</v>
      </c>
      <c r="I3921" s="71">
        <v>10.9</v>
      </c>
      <c r="J3921" s="71">
        <v>13.3</v>
      </c>
      <c r="K3921" s="109">
        <v>8.199999999999999E-3</v>
      </c>
      <c r="L3921" s="121">
        <v>-8.0000000000000002E-3</v>
      </c>
      <c r="M3921" s="75" t="s">
        <v>146</v>
      </c>
      <c r="N3921" s="75" t="b">
        <v>1</v>
      </c>
      <c r="O3921" s="75" t="s">
        <v>145</v>
      </c>
      <c r="P3921" s="75">
        <v>2014</v>
      </c>
      <c r="Q3921" s="107">
        <f t="shared" si="116"/>
        <v>2018</v>
      </c>
      <c r="R3921" s="107">
        <v>2</v>
      </c>
      <c r="S3921" s="43">
        <v>218131</v>
      </c>
      <c r="T3921" s="74">
        <v>43405</v>
      </c>
    </row>
    <row r="3922" spans="1:22" x14ac:dyDescent="0.3">
      <c r="A3922" s="42">
        <v>43380</v>
      </c>
      <c r="B3922" s="37">
        <f t="shared" si="117"/>
        <v>20181007</v>
      </c>
      <c r="C3922" s="109">
        <v>2.6000000000000002E-2</v>
      </c>
      <c r="D3922" s="109">
        <v>8.0000000000000002E-3</v>
      </c>
      <c r="E3922" s="109">
        <v>8.9999999999999993E-3</v>
      </c>
      <c r="F3922" s="109">
        <v>8.9999999999999993E-3</v>
      </c>
      <c r="G3922" s="130">
        <v>0</v>
      </c>
      <c r="H3922" s="71">
        <v>8.4</v>
      </c>
      <c r="I3922" s="71">
        <v>10.9</v>
      </c>
      <c r="J3922" s="71">
        <v>13.3</v>
      </c>
      <c r="K3922" s="109">
        <v>8.199999999999999E-3</v>
      </c>
      <c r="L3922" s="121">
        <v>-8.0000000000000002E-3</v>
      </c>
      <c r="M3922" s="75" t="s">
        <v>146</v>
      </c>
      <c r="N3922" s="75" t="b">
        <v>1</v>
      </c>
      <c r="O3922" s="75" t="s">
        <v>145</v>
      </c>
      <c r="P3922" s="75">
        <v>2014</v>
      </c>
      <c r="Q3922" s="107">
        <f t="shared" si="116"/>
        <v>2018</v>
      </c>
      <c r="R3922" s="107">
        <v>2</v>
      </c>
      <c r="S3922" s="43">
        <v>218131</v>
      </c>
      <c r="T3922" s="74">
        <v>43405</v>
      </c>
    </row>
    <row r="3923" spans="1:22" x14ac:dyDescent="0.3">
      <c r="A3923" s="42">
        <v>43381</v>
      </c>
      <c r="B3923" s="37">
        <f t="shared" si="117"/>
        <v>20181008</v>
      </c>
      <c r="C3923" s="109">
        <v>2.6000000000000002E-2</v>
      </c>
      <c r="D3923" s="109">
        <v>8.0000000000000002E-3</v>
      </c>
      <c r="E3923" s="109">
        <v>8.9999999999999993E-3</v>
      </c>
      <c r="F3923" s="109">
        <v>8.9999999999999993E-3</v>
      </c>
      <c r="G3923" s="130">
        <v>0</v>
      </c>
      <c r="H3923" s="71">
        <v>8.4</v>
      </c>
      <c r="I3923" s="71">
        <v>10.9</v>
      </c>
      <c r="J3923" s="71">
        <v>13.3</v>
      </c>
      <c r="K3923" s="109">
        <v>8.199999999999999E-3</v>
      </c>
      <c r="L3923" s="121">
        <v>-8.0000000000000002E-3</v>
      </c>
      <c r="M3923" s="75" t="s">
        <v>146</v>
      </c>
      <c r="N3923" s="75" t="b">
        <v>1</v>
      </c>
      <c r="O3923" s="75" t="s">
        <v>145</v>
      </c>
      <c r="P3923" s="75">
        <v>2014</v>
      </c>
      <c r="Q3923" s="107">
        <f t="shared" si="116"/>
        <v>2018</v>
      </c>
      <c r="R3923" s="107">
        <v>2</v>
      </c>
      <c r="S3923" s="43">
        <v>218131</v>
      </c>
      <c r="T3923" s="74">
        <v>43405</v>
      </c>
    </row>
    <row r="3924" spans="1:22" x14ac:dyDescent="0.3">
      <c r="A3924" s="42">
        <v>43382</v>
      </c>
      <c r="B3924" s="37">
        <f t="shared" si="117"/>
        <v>20181009</v>
      </c>
      <c r="C3924" s="109">
        <v>2.5699999999999997E-2</v>
      </c>
      <c r="D3924" s="109">
        <v>8.0000000000000002E-3</v>
      </c>
      <c r="E3924" s="109">
        <v>8.9999999999999993E-3</v>
      </c>
      <c r="F3924" s="109">
        <v>8.9999999999999993E-3</v>
      </c>
      <c r="G3924" s="130">
        <v>0</v>
      </c>
      <c r="H3924" s="71">
        <v>8.4</v>
      </c>
      <c r="I3924" s="71">
        <v>10.9</v>
      </c>
      <c r="J3924" s="71">
        <v>13.3</v>
      </c>
      <c r="K3924" s="109">
        <v>7.9000000000000008E-3</v>
      </c>
      <c r="L3924" s="121">
        <v>-8.0000000000000002E-3</v>
      </c>
      <c r="M3924" s="75" t="s">
        <v>146</v>
      </c>
      <c r="N3924" s="75" t="b">
        <v>1</v>
      </c>
      <c r="O3924" s="75" t="s">
        <v>145</v>
      </c>
      <c r="P3924" s="75">
        <v>2014</v>
      </c>
      <c r="Q3924" s="107">
        <f t="shared" si="116"/>
        <v>2018</v>
      </c>
      <c r="R3924" s="107">
        <v>2</v>
      </c>
      <c r="S3924" s="43">
        <v>218131</v>
      </c>
      <c r="T3924" s="74">
        <v>43405</v>
      </c>
    </row>
    <row r="3925" spans="1:22" x14ac:dyDescent="0.3">
      <c r="A3925" s="42">
        <v>43383</v>
      </c>
      <c r="B3925" s="37">
        <f t="shared" si="117"/>
        <v>20181010</v>
      </c>
      <c r="C3925" s="109">
        <v>2.5699999999999997E-2</v>
      </c>
      <c r="D3925" s="109">
        <v>8.0000000000000002E-3</v>
      </c>
      <c r="E3925" s="109">
        <v>8.9999999999999993E-3</v>
      </c>
      <c r="F3925" s="109">
        <v>8.9999999999999993E-3</v>
      </c>
      <c r="G3925" s="130">
        <v>0</v>
      </c>
      <c r="H3925" s="71">
        <v>8.4</v>
      </c>
      <c r="I3925" s="71">
        <v>10.9</v>
      </c>
      <c r="J3925" s="71">
        <v>13.3</v>
      </c>
      <c r="K3925" s="109">
        <v>8.0000000000000002E-3</v>
      </c>
      <c r="L3925" s="121">
        <v>-8.0000000000000002E-3</v>
      </c>
      <c r="M3925" s="75" t="s">
        <v>146</v>
      </c>
      <c r="N3925" s="75" t="b">
        <v>1</v>
      </c>
      <c r="O3925" s="75" t="s">
        <v>145</v>
      </c>
      <c r="P3925" s="75">
        <v>2014</v>
      </c>
      <c r="Q3925" s="107">
        <f t="shared" si="116"/>
        <v>2018</v>
      </c>
      <c r="R3925" s="107">
        <v>2</v>
      </c>
      <c r="S3925" s="43">
        <v>218131</v>
      </c>
      <c r="T3925" s="74">
        <v>43405</v>
      </c>
    </row>
    <row r="3926" spans="1:22" x14ac:dyDescent="0.3">
      <c r="A3926" s="42">
        <v>43384</v>
      </c>
      <c r="B3926" s="37">
        <f t="shared" si="117"/>
        <v>20181011</v>
      </c>
      <c r="C3926" s="109">
        <v>2.5099999999999997E-2</v>
      </c>
      <c r="D3926" s="109">
        <v>8.0000000000000002E-3</v>
      </c>
      <c r="E3926" s="109">
        <v>8.9999999999999993E-3</v>
      </c>
      <c r="F3926" s="109">
        <v>8.9999999999999993E-3</v>
      </c>
      <c r="G3926" s="130">
        <v>0</v>
      </c>
      <c r="H3926" s="71">
        <v>8.4</v>
      </c>
      <c r="I3926" s="71">
        <v>10.9</v>
      </c>
      <c r="J3926" s="71">
        <v>13.3</v>
      </c>
      <c r="K3926" s="109">
        <v>7.7000000000000002E-3</v>
      </c>
      <c r="L3926" s="121">
        <v>-8.0000000000000002E-3</v>
      </c>
      <c r="M3926" s="75" t="s">
        <v>146</v>
      </c>
      <c r="N3926" s="75" t="b">
        <v>1</v>
      </c>
      <c r="O3926" s="75" t="s">
        <v>145</v>
      </c>
      <c r="P3926" s="75">
        <v>2014</v>
      </c>
      <c r="Q3926" s="107">
        <f t="shared" si="116"/>
        <v>2018</v>
      </c>
      <c r="R3926" s="107">
        <v>2</v>
      </c>
      <c r="S3926" s="43">
        <v>218131</v>
      </c>
      <c r="T3926" s="74">
        <v>43405</v>
      </c>
    </row>
    <row r="3927" spans="1:22" ht="13.2" customHeight="1" x14ac:dyDescent="0.3">
      <c r="A3927" s="42">
        <v>43385</v>
      </c>
      <c r="B3927" s="37">
        <f>YEAR(A3927)*10000+MONTH(A3927)*100+DAY(A3927)</f>
        <v>20181012</v>
      </c>
      <c r="C3927" s="109">
        <v>2.5100000000000001E-2</v>
      </c>
      <c r="D3927" s="109">
        <v>8.0000000000000002E-3</v>
      </c>
      <c r="E3927" s="109">
        <v>8.9999999999999993E-3</v>
      </c>
      <c r="F3927" s="109">
        <v>8.9999999999999993E-3</v>
      </c>
      <c r="G3927" s="130">
        <v>0</v>
      </c>
      <c r="H3927" s="71">
        <v>8.4</v>
      </c>
      <c r="I3927" s="71">
        <v>10.9</v>
      </c>
      <c r="J3927" s="71">
        <v>13.3</v>
      </c>
      <c r="K3927" s="109">
        <v>7.7000000000000002E-3</v>
      </c>
      <c r="L3927" s="121">
        <v>-8.0000000000000002E-3</v>
      </c>
      <c r="M3927" s="75" t="s">
        <v>146</v>
      </c>
      <c r="N3927" s="75" t="b">
        <v>1</v>
      </c>
      <c r="O3927" s="75" t="s">
        <v>145</v>
      </c>
      <c r="P3927" s="75">
        <v>2014</v>
      </c>
      <c r="Q3927" s="107">
        <f t="shared" si="116"/>
        <v>2018</v>
      </c>
      <c r="R3927" s="107">
        <v>2</v>
      </c>
      <c r="S3927" s="43">
        <v>218131</v>
      </c>
      <c r="T3927" s="74">
        <v>43405</v>
      </c>
    </row>
    <row r="3928" spans="1:22" x14ac:dyDescent="0.3">
      <c r="A3928" s="42">
        <v>43386</v>
      </c>
      <c r="B3928" s="37">
        <f>YEAR(A3928)*10000+MONTH(A3928)*100+DAY(A3928)</f>
        <v>20181013</v>
      </c>
      <c r="C3928" s="109">
        <v>2.5100000000000001E-2</v>
      </c>
      <c r="D3928" s="109">
        <v>8.0000000000000002E-3</v>
      </c>
      <c r="E3928" s="109">
        <v>8.9999999999999993E-3</v>
      </c>
      <c r="F3928" s="109">
        <v>8.9999999999999993E-3</v>
      </c>
      <c r="G3928" s="130">
        <v>0</v>
      </c>
      <c r="H3928" s="71">
        <v>8.4</v>
      </c>
      <c r="I3928" s="71">
        <v>10.9</v>
      </c>
      <c r="J3928" s="71">
        <v>13.3</v>
      </c>
      <c r="K3928" s="109">
        <v>7.7000000000000002E-3</v>
      </c>
      <c r="L3928" s="121">
        <v>-8.0000000000000002E-3</v>
      </c>
      <c r="M3928" s="75" t="s">
        <v>146</v>
      </c>
      <c r="N3928" s="75" t="b">
        <v>1</v>
      </c>
      <c r="O3928" s="75" t="s">
        <v>145</v>
      </c>
      <c r="P3928" s="75">
        <v>2014</v>
      </c>
      <c r="Q3928" s="107">
        <f t="shared" si="116"/>
        <v>2018</v>
      </c>
      <c r="R3928" s="107">
        <v>2</v>
      </c>
      <c r="S3928" s="43">
        <v>218131</v>
      </c>
      <c r="T3928" s="74">
        <v>43405</v>
      </c>
      <c r="V3928" s="141"/>
    </row>
    <row r="3929" spans="1:22" x14ac:dyDescent="0.3">
      <c r="A3929" s="42">
        <v>43387</v>
      </c>
      <c r="B3929" s="37">
        <f>YEAR(A3929)*10000+MONTH(A3929)*100+DAY(A3929)</f>
        <v>20181014</v>
      </c>
      <c r="C3929" s="109">
        <v>2.5100000000000001E-2</v>
      </c>
      <c r="D3929" s="109">
        <v>8.0000000000000002E-3</v>
      </c>
      <c r="E3929" s="109">
        <v>8.9999999999999993E-3</v>
      </c>
      <c r="F3929" s="109">
        <v>8.9999999999999993E-3</v>
      </c>
      <c r="G3929" s="130">
        <v>0</v>
      </c>
      <c r="H3929" s="71">
        <v>8.4</v>
      </c>
      <c r="I3929" s="71">
        <v>10.9</v>
      </c>
      <c r="J3929" s="71">
        <v>13.3</v>
      </c>
      <c r="K3929" s="109">
        <v>7.7000000000000002E-3</v>
      </c>
      <c r="L3929" s="121">
        <v>-8.0000000000000002E-3</v>
      </c>
      <c r="M3929" s="75" t="s">
        <v>146</v>
      </c>
      <c r="N3929" s="75" t="b">
        <v>1</v>
      </c>
      <c r="O3929" s="75" t="s">
        <v>145</v>
      </c>
      <c r="P3929" s="75">
        <v>2014</v>
      </c>
      <c r="Q3929" s="107">
        <f t="shared" si="116"/>
        <v>2018</v>
      </c>
      <c r="R3929" s="107">
        <v>2</v>
      </c>
      <c r="S3929" s="43">
        <v>218131</v>
      </c>
      <c r="T3929" s="74">
        <v>43405</v>
      </c>
      <c r="V3929" s="141"/>
    </row>
    <row r="3930" spans="1:22" x14ac:dyDescent="0.3">
      <c r="A3930" s="42">
        <v>43388</v>
      </c>
      <c r="B3930" s="37">
        <f>YEAR(A3930)*10000+MONTH(A3930)*100+DAY(A3930)</f>
        <v>20181015</v>
      </c>
      <c r="C3930" s="109">
        <v>2.53E-2</v>
      </c>
      <c r="D3930" s="109">
        <v>8.0000000000000002E-3</v>
      </c>
      <c r="E3930" s="109">
        <v>8.9999999999999993E-3</v>
      </c>
      <c r="F3930" s="109">
        <v>8.9999999999999993E-3</v>
      </c>
      <c r="G3930" s="130">
        <v>0</v>
      </c>
      <c r="H3930" s="71">
        <v>8.4</v>
      </c>
      <c r="I3930" s="71">
        <v>10.9</v>
      </c>
      <c r="J3930" s="71">
        <v>13.3</v>
      </c>
      <c r="K3930" s="121">
        <v>7.7999999999999996E-3</v>
      </c>
      <c r="L3930" s="121">
        <v>-8.0000000000000002E-3</v>
      </c>
      <c r="M3930" s="75" t="s">
        <v>146</v>
      </c>
      <c r="N3930" s="75" t="b">
        <v>1</v>
      </c>
      <c r="O3930" s="75" t="s">
        <v>145</v>
      </c>
      <c r="P3930" s="75">
        <v>2014</v>
      </c>
      <c r="Q3930" s="107">
        <f t="shared" si="116"/>
        <v>2018</v>
      </c>
      <c r="R3930" s="107">
        <v>2</v>
      </c>
      <c r="S3930" s="43">
        <v>218131</v>
      </c>
      <c r="T3930" s="74">
        <v>43405</v>
      </c>
      <c r="V3930" s="141"/>
    </row>
    <row r="3931" spans="1:22" x14ac:dyDescent="0.3">
      <c r="A3931" s="42">
        <v>43389</v>
      </c>
      <c r="B3931" s="37">
        <f>YEAR(A3931)*10000+MONTH(A3931)*100+DAY(A3931)</f>
        <v>20181016</v>
      </c>
      <c r="C3931" s="109">
        <v>2.52E-2</v>
      </c>
      <c r="D3931" s="109">
        <v>8.0000000000000002E-3</v>
      </c>
      <c r="E3931" s="109">
        <v>8.9999999999999993E-3</v>
      </c>
      <c r="F3931" s="109">
        <v>8.9999999999999993E-3</v>
      </c>
      <c r="G3931" s="130">
        <v>0</v>
      </c>
      <c r="H3931" s="71">
        <v>8.4</v>
      </c>
      <c r="I3931" s="71">
        <v>10.9</v>
      </c>
      <c r="J3931" s="71">
        <v>13.3</v>
      </c>
      <c r="K3931" s="121">
        <v>7.7000000000000002E-3</v>
      </c>
      <c r="L3931" s="121">
        <v>-8.0000000000000002E-3</v>
      </c>
      <c r="M3931" s="75" t="s">
        <v>146</v>
      </c>
      <c r="N3931" s="75" t="b">
        <v>1</v>
      </c>
      <c r="O3931" s="75" t="s">
        <v>145</v>
      </c>
      <c r="P3931" s="75">
        <v>2014</v>
      </c>
      <c r="Q3931" s="107">
        <f t="shared" si="116"/>
        <v>2018</v>
      </c>
      <c r="R3931" s="107">
        <v>2</v>
      </c>
      <c r="S3931" s="43">
        <v>218131</v>
      </c>
      <c r="T3931" s="74">
        <v>43405</v>
      </c>
      <c r="V3931" s="141"/>
    </row>
    <row r="3932" spans="1:22" x14ac:dyDescent="0.3">
      <c r="A3932" s="42">
        <v>43390</v>
      </c>
      <c r="B3932" s="37">
        <f t="shared" ref="B3932:B3939" si="118">YEAR(A3932)*10000+MONTH(A3932)*100+DAY(A3932)</f>
        <v>20181017</v>
      </c>
      <c r="C3932" s="109">
        <v>2.53E-2</v>
      </c>
      <c r="D3932" s="109">
        <v>8.0000000000000002E-3</v>
      </c>
      <c r="E3932" s="109">
        <v>8.9999999999999993E-3</v>
      </c>
      <c r="F3932" s="109">
        <v>8.9999999999999993E-3</v>
      </c>
      <c r="G3932" s="130">
        <v>0</v>
      </c>
      <c r="H3932" s="71">
        <v>8.4</v>
      </c>
      <c r="I3932" s="71">
        <v>10.9</v>
      </c>
      <c r="J3932" s="71">
        <v>13.3</v>
      </c>
      <c r="K3932" s="109">
        <v>7.9000000000000008E-3</v>
      </c>
      <c r="L3932" s="121">
        <v>-8.0000000000000002E-3</v>
      </c>
      <c r="M3932" s="75" t="s">
        <v>146</v>
      </c>
      <c r="N3932" s="75" t="b">
        <v>1</v>
      </c>
      <c r="O3932" s="75" t="s">
        <v>145</v>
      </c>
      <c r="P3932" s="75">
        <v>2014</v>
      </c>
      <c r="Q3932" s="107">
        <f t="shared" si="116"/>
        <v>2018</v>
      </c>
      <c r="R3932" s="107">
        <v>2</v>
      </c>
      <c r="S3932" s="43">
        <v>218131</v>
      </c>
      <c r="T3932" s="74">
        <v>43405</v>
      </c>
      <c r="V3932" s="141"/>
    </row>
    <row r="3933" spans="1:22" x14ac:dyDescent="0.3">
      <c r="A3933" s="42">
        <v>43391</v>
      </c>
      <c r="B3933" s="37">
        <f t="shared" si="118"/>
        <v>20181018</v>
      </c>
      <c r="C3933" s="109">
        <v>2.52E-2</v>
      </c>
      <c r="D3933" s="109">
        <v>8.0000000000000002E-3</v>
      </c>
      <c r="E3933" s="109">
        <v>8.9999999999999993E-3</v>
      </c>
      <c r="F3933" s="109">
        <v>8.9999999999999993E-3</v>
      </c>
      <c r="G3933" s="130">
        <v>0</v>
      </c>
      <c r="H3933" s="71">
        <v>8.4</v>
      </c>
      <c r="I3933" s="71">
        <v>10.9</v>
      </c>
      <c r="J3933" s="71">
        <v>13.3</v>
      </c>
      <c r="K3933" s="109">
        <v>7.8000000000000005E-3</v>
      </c>
      <c r="L3933" s="121">
        <v>-8.0000000000000002E-3</v>
      </c>
      <c r="M3933" s="75" t="s">
        <v>146</v>
      </c>
      <c r="N3933" s="75" t="b">
        <v>1</v>
      </c>
      <c r="O3933" s="75" t="s">
        <v>145</v>
      </c>
      <c r="P3933" s="75">
        <v>2014</v>
      </c>
      <c r="Q3933" s="107">
        <f t="shared" si="116"/>
        <v>2018</v>
      </c>
      <c r="R3933" s="107">
        <v>2</v>
      </c>
      <c r="S3933" s="43">
        <v>218131</v>
      </c>
      <c r="T3933" s="74">
        <v>43405</v>
      </c>
      <c r="V3933" s="141"/>
    </row>
    <row r="3934" spans="1:22" x14ac:dyDescent="0.3">
      <c r="A3934" s="42">
        <v>43392</v>
      </c>
      <c r="B3934" s="37">
        <f t="shared" si="118"/>
        <v>20181019</v>
      </c>
      <c r="C3934" s="109">
        <v>2.53E-2</v>
      </c>
      <c r="D3934" s="109">
        <v>8.0000000000000002E-3</v>
      </c>
      <c r="E3934" s="109">
        <v>8.9999999999999993E-3</v>
      </c>
      <c r="F3934" s="109">
        <v>8.9999999999999993E-3</v>
      </c>
      <c r="G3934" s="130">
        <v>0</v>
      </c>
      <c r="H3934" s="71">
        <v>8.4</v>
      </c>
      <c r="I3934" s="71">
        <v>10.9</v>
      </c>
      <c r="J3934" s="71">
        <v>13.3</v>
      </c>
      <c r="K3934" s="109">
        <v>8.1000000000000013E-3</v>
      </c>
      <c r="L3934" s="121">
        <v>-8.0000000000000002E-3</v>
      </c>
      <c r="M3934" s="75" t="s">
        <v>146</v>
      </c>
      <c r="N3934" s="75" t="b">
        <v>1</v>
      </c>
      <c r="O3934" s="75" t="s">
        <v>145</v>
      </c>
      <c r="P3934" s="75">
        <v>2014</v>
      </c>
      <c r="Q3934" s="107">
        <f t="shared" si="116"/>
        <v>2018</v>
      </c>
      <c r="R3934" s="107">
        <v>2</v>
      </c>
      <c r="S3934" s="43">
        <v>218131</v>
      </c>
      <c r="T3934" s="74">
        <v>43405</v>
      </c>
      <c r="V3934" s="141"/>
    </row>
    <row r="3935" spans="1:22" x14ac:dyDescent="0.3">
      <c r="A3935" s="42">
        <v>43393</v>
      </c>
      <c r="B3935" s="37">
        <f t="shared" si="118"/>
        <v>20181020</v>
      </c>
      <c r="C3935" s="109">
        <v>2.53E-2</v>
      </c>
      <c r="D3935" s="109">
        <v>8.0000000000000002E-3</v>
      </c>
      <c r="E3935" s="109">
        <v>8.9999999999999993E-3</v>
      </c>
      <c r="F3935" s="109">
        <v>8.9999999999999993E-3</v>
      </c>
      <c r="G3935" s="130">
        <v>0</v>
      </c>
      <c r="H3935" s="71">
        <v>8.4</v>
      </c>
      <c r="I3935" s="71">
        <v>10.9</v>
      </c>
      <c r="J3935" s="71">
        <v>13.3</v>
      </c>
      <c r="K3935" s="109">
        <v>8.1000000000000013E-3</v>
      </c>
      <c r="L3935" s="121">
        <v>-8.0000000000000002E-3</v>
      </c>
      <c r="M3935" s="75" t="s">
        <v>146</v>
      </c>
      <c r="N3935" s="75" t="b">
        <v>1</v>
      </c>
      <c r="O3935" s="75" t="s">
        <v>145</v>
      </c>
      <c r="P3935" s="75">
        <v>2014</v>
      </c>
      <c r="Q3935" s="107">
        <f t="shared" si="116"/>
        <v>2018</v>
      </c>
      <c r="R3935" s="107">
        <v>2</v>
      </c>
      <c r="S3935" s="43">
        <v>218131</v>
      </c>
      <c r="T3935" s="74">
        <v>43405</v>
      </c>
      <c r="V3935" s="141"/>
    </row>
    <row r="3936" spans="1:22" x14ac:dyDescent="0.3">
      <c r="A3936" s="42">
        <v>43394</v>
      </c>
      <c r="B3936" s="37">
        <f t="shared" si="118"/>
        <v>20181021</v>
      </c>
      <c r="C3936" s="109">
        <v>2.53E-2</v>
      </c>
      <c r="D3936" s="109">
        <v>8.0000000000000002E-3</v>
      </c>
      <c r="E3936" s="109">
        <v>8.9999999999999993E-3</v>
      </c>
      <c r="F3936" s="109">
        <v>8.9999999999999993E-3</v>
      </c>
      <c r="G3936" s="130">
        <v>0</v>
      </c>
      <c r="H3936" s="71">
        <v>8.4</v>
      </c>
      <c r="I3936" s="71">
        <v>10.9</v>
      </c>
      <c r="J3936" s="71">
        <v>13.3</v>
      </c>
      <c r="K3936" s="109">
        <v>8.1000000000000013E-3</v>
      </c>
      <c r="L3936" s="121">
        <v>-8.0000000000000002E-3</v>
      </c>
      <c r="M3936" s="75" t="s">
        <v>146</v>
      </c>
      <c r="N3936" s="75" t="b">
        <v>1</v>
      </c>
      <c r="O3936" s="75" t="s">
        <v>145</v>
      </c>
      <c r="P3936" s="75">
        <v>2014</v>
      </c>
      <c r="Q3936" s="107">
        <f t="shared" si="116"/>
        <v>2018</v>
      </c>
      <c r="R3936" s="107">
        <v>2</v>
      </c>
      <c r="S3936" s="43">
        <v>218131</v>
      </c>
      <c r="T3936" s="74">
        <v>43405</v>
      </c>
      <c r="V3936" s="141"/>
    </row>
    <row r="3937" spans="1:22" x14ac:dyDescent="0.3">
      <c r="A3937" s="42">
        <v>43395</v>
      </c>
      <c r="B3937" s="37">
        <f t="shared" si="118"/>
        <v>20181022</v>
      </c>
      <c r="C3937" s="109">
        <v>2.52E-2</v>
      </c>
      <c r="D3937" s="109">
        <v>8.0000000000000002E-3</v>
      </c>
      <c r="E3937" s="109">
        <v>8.9999999999999993E-3</v>
      </c>
      <c r="F3937" s="109">
        <v>8.9999999999999993E-3</v>
      </c>
      <c r="G3937" s="130">
        <v>0</v>
      </c>
      <c r="H3937" s="71">
        <v>8.4</v>
      </c>
      <c r="I3937" s="71">
        <v>10.9</v>
      </c>
      <c r="J3937" s="71">
        <v>13.3</v>
      </c>
      <c r="K3937" s="109">
        <v>7.9000000000000008E-3</v>
      </c>
      <c r="L3937" s="121">
        <v>-8.0000000000000002E-3</v>
      </c>
      <c r="M3937" s="75" t="s">
        <v>146</v>
      </c>
      <c r="N3937" s="75" t="b">
        <v>1</v>
      </c>
      <c r="O3937" s="75" t="s">
        <v>145</v>
      </c>
      <c r="P3937" s="75">
        <v>2014</v>
      </c>
      <c r="Q3937" s="107">
        <f t="shared" si="116"/>
        <v>2018</v>
      </c>
      <c r="R3937" s="107">
        <v>2</v>
      </c>
      <c r="S3937" s="43">
        <v>218131</v>
      </c>
      <c r="T3937" s="74">
        <v>43405</v>
      </c>
      <c r="V3937" s="141"/>
    </row>
    <row r="3938" spans="1:22" x14ac:dyDescent="0.3">
      <c r="A3938" s="42">
        <v>43396</v>
      </c>
      <c r="B3938" s="37">
        <f t="shared" si="118"/>
        <v>20181023</v>
      </c>
      <c r="C3938" s="109">
        <v>2.4900000000000002E-2</v>
      </c>
      <c r="D3938" s="109">
        <v>8.0000000000000002E-3</v>
      </c>
      <c r="E3938" s="109">
        <v>8.9999999999999993E-3</v>
      </c>
      <c r="F3938" s="109">
        <v>8.9999999999999993E-3</v>
      </c>
      <c r="G3938" s="130">
        <v>0</v>
      </c>
      <c r="H3938" s="71">
        <v>8.4</v>
      </c>
      <c r="I3938" s="71">
        <v>10.9</v>
      </c>
      <c r="J3938" s="71">
        <v>13.3</v>
      </c>
      <c r="K3938" s="109">
        <v>7.9000000000000008E-3</v>
      </c>
      <c r="L3938" s="121">
        <v>-8.0000000000000002E-3</v>
      </c>
      <c r="M3938" s="75" t="s">
        <v>146</v>
      </c>
      <c r="N3938" s="75" t="b">
        <v>1</v>
      </c>
      <c r="O3938" s="75" t="s">
        <v>145</v>
      </c>
      <c r="P3938" s="75">
        <v>2014</v>
      </c>
      <c r="Q3938" s="107">
        <f t="shared" si="116"/>
        <v>2018</v>
      </c>
      <c r="R3938" s="107">
        <v>2</v>
      </c>
      <c r="S3938" s="43">
        <v>218131</v>
      </c>
      <c r="T3938" s="74">
        <v>43405</v>
      </c>
      <c r="V3938" s="141"/>
    </row>
    <row r="3939" spans="1:22" x14ac:dyDescent="0.3">
      <c r="A3939" s="42">
        <v>43397</v>
      </c>
      <c r="B3939" s="37">
        <f t="shared" si="118"/>
        <v>20181024</v>
      </c>
      <c r="C3939" s="109">
        <v>2.4700000000000003E-2</v>
      </c>
      <c r="D3939" s="109">
        <v>8.0000000000000002E-3</v>
      </c>
      <c r="E3939" s="109">
        <v>8.9999999999999993E-3</v>
      </c>
      <c r="F3939" s="109">
        <v>8.9999999999999993E-3</v>
      </c>
      <c r="G3939" s="130">
        <v>0</v>
      </c>
      <c r="H3939" s="71">
        <v>8.4</v>
      </c>
      <c r="I3939" s="71">
        <v>10.9</v>
      </c>
      <c r="J3939" s="71">
        <v>13.3</v>
      </c>
      <c r="K3939" s="109">
        <v>7.7000000000000002E-3</v>
      </c>
      <c r="L3939" s="121">
        <v>-8.0000000000000002E-3</v>
      </c>
      <c r="M3939" s="75" t="s">
        <v>146</v>
      </c>
      <c r="N3939" s="75" t="b">
        <v>1</v>
      </c>
      <c r="O3939" s="75" t="s">
        <v>145</v>
      </c>
      <c r="P3939" s="75">
        <v>2014</v>
      </c>
      <c r="Q3939" s="107">
        <f t="shared" si="116"/>
        <v>2018</v>
      </c>
      <c r="R3939" s="107">
        <v>2</v>
      </c>
      <c r="S3939" s="43">
        <v>218131</v>
      </c>
      <c r="T3939" s="74">
        <v>43405</v>
      </c>
      <c r="V3939" s="141"/>
    </row>
    <row r="3940" spans="1:22" x14ac:dyDescent="0.3">
      <c r="A3940" s="42">
        <v>43398</v>
      </c>
      <c r="B3940" s="37">
        <f t="shared" ref="B3940:B3954" si="119">YEAR(A3940)*10000+MONTH(A3940)*100+DAY(A3940)</f>
        <v>20181025</v>
      </c>
      <c r="C3940" s="109">
        <v>2.4799999999999999E-2</v>
      </c>
      <c r="D3940" s="109">
        <v>8.0000000000000002E-3</v>
      </c>
      <c r="E3940" s="109">
        <v>8.9999999999999993E-3</v>
      </c>
      <c r="F3940" s="109">
        <v>8.9999999999999993E-3</v>
      </c>
      <c r="G3940" s="130">
        <v>0</v>
      </c>
      <c r="H3940" s="71">
        <v>8.4</v>
      </c>
      <c r="I3940" s="71">
        <v>10.9</v>
      </c>
      <c r="J3940" s="71">
        <v>13.3</v>
      </c>
      <c r="K3940" s="109">
        <v>7.9000000000000008E-3</v>
      </c>
      <c r="L3940" s="121">
        <v>-8.0000000000000002E-3</v>
      </c>
      <c r="M3940" s="75" t="s">
        <v>146</v>
      </c>
      <c r="N3940" s="75" t="b">
        <v>1</v>
      </c>
      <c r="O3940" s="75" t="s">
        <v>145</v>
      </c>
      <c r="P3940" s="75">
        <v>2014</v>
      </c>
      <c r="Q3940" s="107">
        <f t="shared" si="116"/>
        <v>2018</v>
      </c>
      <c r="R3940" s="107">
        <v>2</v>
      </c>
      <c r="S3940" s="43">
        <v>218131</v>
      </c>
      <c r="T3940" s="74">
        <v>43405</v>
      </c>
    </row>
    <row r="3941" spans="1:22" x14ac:dyDescent="0.3">
      <c r="A3941" s="42">
        <v>43399</v>
      </c>
      <c r="B3941" s="37">
        <f t="shared" si="119"/>
        <v>20181026</v>
      </c>
      <c r="C3941" s="109">
        <v>2.4300000000000002E-2</v>
      </c>
      <c r="D3941" s="109">
        <v>8.0000000000000002E-3</v>
      </c>
      <c r="E3941" s="109">
        <v>8.9999999999999993E-3</v>
      </c>
      <c r="F3941" s="109">
        <v>8.9999999999999993E-3</v>
      </c>
      <c r="G3941" s="130">
        <v>0</v>
      </c>
      <c r="H3941" s="71">
        <v>8.4</v>
      </c>
      <c r="I3941" s="71">
        <v>10.9</v>
      </c>
      <c r="J3941" s="71">
        <v>13.3</v>
      </c>
      <c r="K3941" s="109">
        <v>7.3000000000000001E-3</v>
      </c>
      <c r="L3941" s="121">
        <v>-8.0000000000000002E-3</v>
      </c>
      <c r="M3941" s="75" t="s">
        <v>146</v>
      </c>
      <c r="N3941" s="75" t="b">
        <v>1</v>
      </c>
      <c r="O3941" s="75" t="s">
        <v>145</v>
      </c>
      <c r="P3941" s="75">
        <v>2014</v>
      </c>
      <c r="Q3941" s="107">
        <f t="shared" si="116"/>
        <v>2018</v>
      </c>
      <c r="R3941" s="107">
        <v>2</v>
      </c>
      <c r="S3941" s="43">
        <v>218131</v>
      </c>
      <c r="T3941" s="74">
        <v>43405</v>
      </c>
    </row>
    <row r="3942" spans="1:22" x14ac:dyDescent="0.3">
      <c r="A3942" s="42">
        <v>43400</v>
      </c>
      <c r="B3942" s="37">
        <f t="shared" si="119"/>
        <v>20181027</v>
      </c>
      <c r="C3942" s="109">
        <v>2.4300000000000002E-2</v>
      </c>
      <c r="D3942" s="109">
        <v>8.0000000000000002E-3</v>
      </c>
      <c r="E3942" s="109">
        <v>8.9999999999999993E-3</v>
      </c>
      <c r="F3942" s="109">
        <v>8.9999999999999993E-3</v>
      </c>
      <c r="G3942" s="130">
        <v>0</v>
      </c>
      <c r="H3942" s="71">
        <v>8.4</v>
      </c>
      <c r="I3942" s="71">
        <v>10.9</v>
      </c>
      <c r="J3942" s="71">
        <v>13.3</v>
      </c>
      <c r="K3942" s="109">
        <v>7.3000000000000001E-3</v>
      </c>
      <c r="L3942" s="121">
        <v>-8.0000000000000002E-3</v>
      </c>
      <c r="M3942" s="75" t="s">
        <v>146</v>
      </c>
      <c r="N3942" s="75" t="b">
        <v>1</v>
      </c>
      <c r="O3942" s="75" t="s">
        <v>145</v>
      </c>
      <c r="P3942" s="75">
        <v>2014</v>
      </c>
      <c r="Q3942" s="107">
        <f t="shared" si="116"/>
        <v>2018</v>
      </c>
      <c r="R3942" s="107">
        <v>2</v>
      </c>
      <c r="S3942" s="43">
        <v>218131</v>
      </c>
      <c r="T3942" s="74">
        <v>43405</v>
      </c>
    </row>
    <row r="3943" spans="1:22" x14ac:dyDescent="0.3">
      <c r="A3943" s="42">
        <v>43401</v>
      </c>
      <c r="B3943" s="37">
        <f t="shared" si="119"/>
        <v>20181028</v>
      </c>
      <c r="C3943" s="109">
        <v>2.4300000000000002E-2</v>
      </c>
      <c r="D3943" s="109">
        <v>8.0000000000000002E-3</v>
      </c>
      <c r="E3943" s="109">
        <v>8.9999999999999993E-3</v>
      </c>
      <c r="F3943" s="109">
        <v>8.9999999999999993E-3</v>
      </c>
      <c r="G3943" s="130">
        <v>0</v>
      </c>
      <c r="H3943" s="71">
        <v>8.4</v>
      </c>
      <c r="I3943" s="71">
        <v>10.9</v>
      </c>
      <c r="J3943" s="71">
        <v>13.3</v>
      </c>
      <c r="K3943" s="109">
        <v>7.3000000000000001E-3</v>
      </c>
      <c r="L3943" s="121">
        <v>-8.0000000000000002E-3</v>
      </c>
      <c r="M3943" s="75" t="s">
        <v>146</v>
      </c>
      <c r="N3943" s="75" t="b">
        <v>1</v>
      </c>
      <c r="O3943" s="75" t="s">
        <v>145</v>
      </c>
      <c r="P3943" s="75">
        <v>2014</v>
      </c>
      <c r="Q3943" s="107">
        <f t="shared" si="116"/>
        <v>2018</v>
      </c>
      <c r="R3943" s="107">
        <v>2</v>
      </c>
      <c r="S3943" s="43">
        <v>218131</v>
      </c>
      <c r="T3943" s="74">
        <v>43405</v>
      </c>
    </row>
    <row r="3944" spans="1:22" x14ac:dyDescent="0.3">
      <c r="A3944" s="42">
        <v>43402</v>
      </c>
      <c r="B3944" s="37">
        <f t="shared" si="119"/>
        <v>20181029</v>
      </c>
      <c r="C3944" s="109">
        <v>2.4300000000000002E-2</v>
      </c>
      <c r="D3944" s="109">
        <v>8.0000000000000002E-3</v>
      </c>
      <c r="E3944" s="109">
        <v>8.9999999999999993E-3</v>
      </c>
      <c r="F3944" s="109">
        <v>8.9999999999999993E-3</v>
      </c>
      <c r="G3944" s="130">
        <v>0</v>
      </c>
      <c r="H3944" s="71">
        <v>8.4</v>
      </c>
      <c r="I3944" s="71">
        <v>10.9</v>
      </c>
      <c r="J3944" s="71">
        <v>13.3</v>
      </c>
      <c r="K3944" s="109">
        <v>7.3000000000000001E-3</v>
      </c>
      <c r="L3944" s="121">
        <v>-8.0000000000000002E-3</v>
      </c>
      <c r="M3944" s="75" t="s">
        <v>146</v>
      </c>
      <c r="N3944" s="75" t="b">
        <v>1</v>
      </c>
      <c r="O3944" s="75" t="s">
        <v>145</v>
      </c>
      <c r="P3944" s="75">
        <v>2014</v>
      </c>
      <c r="Q3944" s="107">
        <f t="shared" si="116"/>
        <v>2018</v>
      </c>
      <c r="R3944" s="107">
        <v>2</v>
      </c>
      <c r="S3944" s="43">
        <v>218131</v>
      </c>
      <c r="T3944" s="74">
        <v>43405</v>
      </c>
    </row>
    <row r="3945" spans="1:22" x14ac:dyDescent="0.3">
      <c r="A3945" s="42">
        <v>43403</v>
      </c>
      <c r="B3945" s="37">
        <f t="shared" si="119"/>
        <v>20181030</v>
      </c>
      <c r="C3945" s="109">
        <v>2.4799999999999999E-2</v>
      </c>
      <c r="D3945" s="109">
        <v>8.0000000000000002E-3</v>
      </c>
      <c r="E3945" s="109">
        <v>8.9999999999999993E-3</v>
      </c>
      <c r="F3945" s="109">
        <v>8.9999999999999993E-3</v>
      </c>
      <c r="G3945" s="130">
        <v>0</v>
      </c>
      <c r="H3945" s="71">
        <v>8.4</v>
      </c>
      <c r="I3945" s="71">
        <v>10.9</v>
      </c>
      <c r="J3945" s="71">
        <v>13.3</v>
      </c>
      <c r="K3945" s="109">
        <v>7.9000000000000008E-3</v>
      </c>
      <c r="L3945" s="121">
        <v>-8.0000000000000002E-3</v>
      </c>
      <c r="M3945" s="75" t="s">
        <v>146</v>
      </c>
      <c r="N3945" s="75" t="b">
        <v>1</v>
      </c>
      <c r="O3945" s="75" t="s">
        <v>145</v>
      </c>
      <c r="P3945" s="75">
        <v>2014</v>
      </c>
      <c r="Q3945" s="107">
        <f t="shared" si="116"/>
        <v>2018</v>
      </c>
      <c r="R3945" s="107">
        <v>2</v>
      </c>
      <c r="S3945" s="43">
        <v>218131</v>
      </c>
      <c r="T3945" s="74">
        <v>43405</v>
      </c>
    </row>
    <row r="3946" spans="1:22" x14ac:dyDescent="0.3">
      <c r="A3946" s="42">
        <v>43404</v>
      </c>
      <c r="B3946" s="37">
        <f t="shared" si="119"/>
        <v>20181031</v>
      </c>
      <c r="C3946" s="109">
        <v>2.52E-2</v>
      </c>
      <c r="D3946" s="109">
        <v>8.0000000000000002E-3</v>
      </c>
      <c r="E3946" s="109">
        <v>8.9999999999999993E-3</v>
      </c>
      <c r="F3946" s="109">
        <v>8.9999999999999993E-3</v>
      </c>
      <c r="G3946" s="130">
        <v>0</v>
      </c>
      <c r="H3946" s="71">
        <v>8.4</v>
      </c>
      <c r="I3946" s="71">
        <v>10.9</v>
      </c>
      <c r="J3946" s="71">
        <v>13.3</v>
      </c>
      <c r="K3946" s="109">
        <v>8.1000000000000013E-3</v>
      </c>
      <c r="L3946" s="121">
        <v>-8.0000000000000002E-3</v>
      </c>
      <c r="M3946" s="75" t="s">
        <v>146</v>
      </c>
      <c r="N3946" s="75" t="b">
        <v>1</v>
      </c>
      <c r="O3946" s="75" t="s">
        <v>145</v>
      </c>
      <c r="P3946" s="75">
        <v>2014</v>
      </c>
      <c r="Q3946" s="107">
        <f t="shared" si="116"/>
        <v>2018</v>
      </c>
      <c r="R3946" s="107">
        <v>2</v>
      </c>
      <c r="S3946" s="43">
        <v>218131</v>
      </c>
      <c r="T3946" s="74">
        <v>43405</v>
      </c>
    </row>
    <row r="3947" spans="1:22" x14ac:dyDescent="0.3">
      <c r="A3947" s="42">
        <v>43405</v>
      </c>
      <c r="B3947" s="37">
        <f t="shared" si="119"/>
        <v>20181101</v>
      </c>
      <c r="C3947" s="109">
        <v>2.52E-2</v>
      </c>
      <c r="D3947" s="109">
        <v>8.0000000000000002E-3</v>
      </c>
      <c r="E3947" s="109">
        <v>8.9999999999999993E-3</v>
      </c>
      <c r="F3947" s="109">
        <v>8.9999999999999993E-3</v>
      </c>
      <c r="G3947" s="130">
        <v>0</v>
      </c>
      <c r="H3947" s="71">
        <v>8.4</v>
      </c>
      <c r="I3947" s="71">
        <v>10.9</v>
      </c>
      <c r="J3947" s="71">
        <v>13.3</v>
      </c>
      <c r="K3947" s="109">
        <v>8.199999999999999E-3</v>
      </c>
      <c r="L3947" s="121">
        <v>-8.0000000000000002E-3</v>
      </c>
      <c r="M3947" s="75" t="s">
        <v>146</v>
      </c>
      <c r="N3947" s="75" t="b">
        <v>1</v>
      </c>
      <c r="O3947" s="75" t="s">
        <v>145</v>
      </c>
      <c r="P3947" s="75">
        <v>2014</v>
      </c>
      <c r="Q3947" s="107">
        <f t="shared" si="116"/>
        <v>2018</v>
      </c>
      <c r="R3947" s="107">
        <v>2</v>
      </c>
      <c r="S3947" s="43">
        <v>218131</v>
      </c>
      <c r="T3947" s="74">
        <v>43405</v>
      </c>
    </row>
    <row r="3948" spans="1:22" x14ac:dyDescent="0.3">
      <c r="A3948" s="42">
        <v>43406</v>
      </c>
      <c r="B3948" s="37">
        <f t="shared" si="119"/>
        <v>20181102</v>
      </c>
      <c r="C3948" s="109">
        <v>2.5699999999999997E-2</v>
      </c>
      <c r="D3948" s="109">
        <v>8.0000000000000002E-3</v>
      </c>
      <c r="E3948" s="109">
        <v>8.9999999999999993E-3</v>
      </c>
      <c r="F3948" s="109">
        <v>8.9999999999999993E-3</v>
      </c>
      <c r="G3948" s="130">
        <v>0</v>
      </c>
      <c r="H3948" s="71">
        <v>8.4</v>
      </c>
      <c r="I3948" s="71">
        <v>10.9</v>
      </c>
      <c r="J3948" s="71">
        <v>13.3</v>
      </c>
      <c r="K3948" s="109">
        <v>8.6E-3</v>
      </c>
      <c r="L3948" s="121">
        <v>-8.0000000000000002E-3</v>
      </c>
      <c r="M3948" s="75" t="s">
        <v>146</v>
      </c>
      <c r="N3948" s="75" t="b">
        <v>1</v>
      </c>
      <c r="O3948" s="75" t="s">
        <v>145</v>
      </c>
      <c r="P3948" s="75">
        <v>2014</v>
      </c>
      <c r="Q3948" s="107">
        <f t="shared" si="116"/>
        <v>2018</v>
      </c>
      <c r="R3948" s="107">
        <v>2</v>
      </c>
      <c r="S3948" s="43">
        <v>218131</v>
      </c>
      <c r="T3948" s="74">
        <v>43405</v>
      </c>
    </row>
    <row r="3949" spans="1:22" x14ac:dyDescent="0.3">
      <c r="A3949" s="42">
        <v>43407</v>
      </c>
      <c r="B3949" s="37">
        <f t="shared" si="119"/>
        <v>20181103</v>
      </c>
      <c r="C3949" s="109">
        <v>2.5699999999999997E-2</v>
      </c>
      <c r="D3949" s="109">
        <v>8.0000000000000002E-3</v>
      </c>
      <c r="E3949" s="109">
        <v>8.9999999999999993E-3</v>
      </c>
      <c r="F3949" s="109">
        <v>8.9999999999999993E-3</v>
      </c>
      <c r="G3949" s="130">
        <v>0</v>
      </c>
      <c r="H3949" s="71">
        <v>8.4</v>
      </c>
      <c r="I3949" s="71">
        <v>10.9</v>
      </c>
      <c r="J3949" s="71">
        <v>13.3</v>
      </c>
      <c r="K3949" s="109">
        <v>8.6E-3</v>
      </c>
      <c r="L3949" s="121">
        <v>-8.0000000000000002E-3</v>
      </c>
      <c r="M3949" s="75" t="s">
        <v>146</v>
      </c>
      <c r="N3949" s="75" t="b">
        <v>1</v>
      </c>
      <c r="O3949" s="75" t="s">
        <v>145</v>
      </c>
      <c r="P3949" s="75">
        <v>2014</v>
      </c>
      <c r="Q3949" s="107">
        <f t="shared" si="116"/>
        <v>2018</v>
      </c>
      <c r="R3949" s="107">
        <v>2</v>
      </c>
      <c r="S3949" s="43">
        <v>218131</v>
      </c>
      <c r="T3949" s="74">
        <v>43405</v>
      </c>
    </row>
    <row r="3950" spans="1:22" x14ac:dyDescent="0.3">
      <c r="A3950" s="42">
        <v>43408</v>
      </c>
      <c r="B3950" s="37">
        <f t="shared" si="119"/>
        <v>20181104</v>
      </c>
      <c r="C3950" s="109">
        <v>2.5699999999999997E-2</v>
      </c>
      <c r="D3950" s="109">
        <v>8.0000000000000002E-3</v>
      </c>
      <c r="E3950" s="109">
        <v>8.9999999999999993E-3</v>
      </c>
      <c r="F3950" s="109">
        <v>8.9999999999999993E-3</v>
      </c>
      <c r="G3950" s="130">
        <v>0</v>
      </c>
      <c r="H3950" s="71">
        <v>8.4</v>
      </c>
      <c r="I3950" s="71">
        <v>10.9</v>
      </c>
      <c r="J3950" s="71">
        <v>13.3</v>
      </c>
      <c r="K3950" s="109">
        <v>8.6E-3</v>
      </c>
      <c r="L3950" s="121">
        <v>-8.0000000000000002E-3</v>
      </c>
      <c r="M3950" s="75" t="s">
        <v>146</v>
      </c>
      <c r="N3950" s="75" t="b">
        <v>1</v>
      </c>
      <c r="O3950" s="75" t="s">
        <v>145</v>
      </c>
      <c r="P3950" s="75">
        <v>2014</v>
      </c>
      <c r="Q3950" s="107">
        <f t="shared" ref="Q3950:Q4013" si="120">YEAR(A3950)</f>
        <v>2018</v>
      </c>
      <c r="R3950" s="107">
        <v>2</v>
      </c>
      <c r="S3950" s="43">
        <v>218131</v>
      </c>
      <c r="T3950" s="74">
        <v>43405</v>
      </c>
    </row>
    <row r="3951" spans="1:22" x14ac:dyDescent="0.3">
      <c r="A3951" s="42">
        <v>43409</v>
      </c>
      <c r="B3951" s="37">
        <f t="shared" si="119"/>
        <v>20181105</v>
      </c>
      <c r="C3951" s="109">
        <v>2.5499999999999998E-2</v>
      </c>
      <c r="D3951" s="109">
        <v>8.0000000000000002E-3</v>
      </c>
      <c r="E3951" s="109">
        <v>8.9999999999999993E-3</v>
      </c>
      <c r="F3951" s="109">
        <v>8.9999999999999993E-3</v>
      </c>
      <c r="G3951" s="130">
        <v>0</v>
      </c>
      <c r="H3951" s="71">
        <v>8.4</v>
      </c>
      <c r="I3951" s="71">
        <v>10.9</v>
      </c>
      <c r="J3951" s="71">
        <v>13.3</v>
      </c>
      <c r="K3951" s="109">
        <v>8.3999999999999995E-3</v>
      </c>
      <c r="L3951" s="121">
        <v>-8.0000000000000002E-3</v>
      </c>
      <c r="M3951" s="75" t="s">
        <v>146</v>
      </c>
      <c r="N3951" s="75" t="b">
        <v>1</v>
      </c>
      <c r="O3951" s="75" t="s">
        <v>145</v>
      </c>
      <c r="P3951" s="75">
        <v>2014</v>
      </c>
      <c r="Q3951" s="107">
        <f t="shared" si="120"/>
        <v>2018</v>
      </c>
      <c r="R3951" s="107">
        <v>2</v>
      </c>
      <c r="S3951" s="43">
        <v>218131</v>
      </c>
      <c r="T3951" s="74">
        <v>43405</v>
      </c>
    </row>
    <row r="3952" spans="1:22" x14ac:dyDescent="0.3">
      <c r="A3952" s="42">
        <v>43410</v>
      </c>
      <c r="B3952" s="37">
        <f t="shared" si="119"/>
        <v>20181106</v>
      </c>
      <c r="C3952" s="109">
        <v>2.5600000000000001E-2</v>
      </c>
      <c r="D3952" s="109">
        <v>8.0000000000000002E-3</v>
      </c>
      <c r="E3952" s="109">
        <v>8.9999999999999993E-3</v>
      </c>
      <c r="F3952" s="109">
        <v>8.9999999999999993E-3</v>
      </c>
      <c r="G3952" s="130">
        <v>0</v>
      </c>
      <c r="H3952" s="71">
        <v>8.4</v>
      </c>
      <c r="I3952" s="71">
        <v>10.9</v>
      </c>
      <c r="J3952" s="71">
        <v>13.3</v>
      </c>
      <c r="K3952" s="109">
        <v>8.3999999999999995E-3</v>
      </c>
      <c r="L3952" s="121">
        <v>-8.0000000000000002E-3</v>
      </c>
      <c r="M3952" s="75" t="s">
        <v>146</v>
      </c>
      <c r="N3952" s="75" t="b">
        <v>1</v>
      </c>
      <c r="O3952" s="75" t="s">
        <v>145</v>
      </c>
      <c r="P3952" s="75">
        <v>2014</v>
      </c>
      <c r="Q3952" s="107">
        <f t="shared" si="120"/>
        <v>2018</v>
      </c>
      <c r="R3952" s="107">
        <v>2</v>
      </c>
      <c r="S3952" s="43">
        <v>218131</v>
      </c>
      <c r="T3952" s="74">
        <v>43405</v>
      </c>
    </row>
    <row r="3953" spans="1:20" x14ac:dyDescent="0.3">
      <c r="A3953" s="42">
        <v>43411</v>
      </c>
      <c r="B3953" s="37">
        <f t="shared" si="119"/>
        <v>20181107</v>
      </c>
      <c r="C3953" s="109">
        <v>2.5499999999999998E-2</v>
      </c>
      <c r="D3953" s="109">
        <v>8.0000000000000002E-3</v>
      </c>
      <c r="E3953" s="109">
        <v>8.9999999999999993E-3</v>
      </c>
      <c r="F3953" s="109">
        <v>8.9999999999999993E-3</v>
      </c>
      <c r="G3953" s="130">
        <v>0</v>
      </c>
      <c r="H3953" s="71">
        <v>8.4</v>
      </c>
      <c r="I3953" s="71">
        <v>10.9</v>
      </c>
      <c r="J3953" s="71">
        <v>13.3</v>
      </c>
      <c r="K3953" s="109">
        <v>8.3000000000000001E-3</v>
      </c>
      <c r="L3953" s="121">
        <v>-8.0000000000000002E-3</v>
      </c>
      <c r="M3953" s="75" t="s">
        <v>146</v>
      </c>
      <c r="N3953" s="75" t="b">
        <v>1</v>
      </c>
      <c r="O3953" s="75" t="s">
        <v>145</v>
      </c>
      <c r="P3953" s="75">
        <v>2014</v>
      </c>
      <c r="Q3953" s="107">
        <f t="shared" si="120"/>
        <v>2018</v>
      </c>
      <c r="R3953" s="107">
        <v>2</v>
      </c>
      <c r="S3953" s="43">
        <v>218131</v>
      </c>
      <c r="T3953" s="74">
        <v>43405</v>
      </c>
    </row>
    <row r="3954" spans="1:20" x14ac:dyDescent="0.3">
      <c r="A3954" s="42">
        <v>43412</v>
      </c>
      <c r="B3954" s="37">
        <f t="shared" si="119"/>
        <v>20181108</v>
      </c>
      <c r="C3954" s="109">
        <v>2.5600000000000001E-2</v>
      </c>
      <c r="D3954" s="109">
        <v>8.0000000000000002E-3</v>
      </c>
      <c r="E3954" s="109">
        <v>8.9999999999999993E-3</v>
      </c>
      <c r="F3954" s="109">
        <v>8.9999999999999993E-3</v>
      </c>
      <c r="G3954" s="130">
        <v>0</v>
      </c>
      <c r="H3954" s="71">
        <v>8.4</v>
      </c>
      <c r="I3954" s="71">
        <v>10.9</v>
      </c>
      <c r="J3954" s="71">
        <v>13.3</v>
      </c>
      <c r="K3954" s="109">
        <v>8.3999999999999995E-3</v>
      </c>
      <c r="L3954" s="121">
        <v>-8.0000000000000002E-3</v>
      </c>
      <c r="M3954" s="75" t="s">
        <v>146</v>
      </c>
      <c r="N3954" s="75" t="b">
        <v>1</v>
      </c>
      <c r="O3954" s="75" t="s">
        <v>145</v>
      </c>
      <c r="P3954" s="75">
        <v>2014</v>
      </c>
      <c r="Q3954" s="107">
        <f t="shared" si="120"/>
        <v>2018</v>
      </c>
      <c r="R3954" s="107">
        <v>2</v>
      </c>
      <c r="S3954" s="43">
        <v>218131</v>
      </c>
      <c r="T3954" s="74">
        <v>43405</v>
      </c>
    </row>
    <row r="3955" spans="1:20" x14ac:dyDescent="0.3">
      <c r="A3955" s="42">
        <v>43413</v>
      </c>
      <c r="B3955" s="37">
        <f t="shared" ref="B3955:B3981" si="121">YEAR(A3955)*10000+MONTH(A3955)*100+DAY(A3955)</f>
        <v>20181109</v>
      </c>
      <c r="C3955" s="109">
        <v>2.53E-2</v>
      </c>
      <c r="D3955" s="109">
        <v>8.0000000000000002E-3</v>
      </c>
      <c r="E3955" s="109">
        <v>8.9999999999999993E-3</v>
      </c>
      <c r="F3955" s="109">
        <v>8.9999999999999993E-3</v>
      </c>
      <c r="G3955" s="130">
        <v>0</v>
      </c>
      <c r="H3955" s="71">
        <v>8.4</v>
      </c>
      <c r="I3955" s="71">
        <v>10.9</v>
      </c>
      <c r="J3955" s="71">
        <v>13.3</v>
      </c>
      <c r="K3955" s="109">
        <v>8.1000000000000013E-3</v>
      </c>
      <c r="L3955" s="121">
        <v>-8.0000000000000002E-3</v>
      </c>
      <c r="M3955" s="75" t="s">
        <v>146</v>
      </c>
      <c r="N3955" s="75" t="b">
        <v>1</v>
      </c>
      <c r="O3955" s="75" t="s">
        <v>145</v>
      </c>
      <c r="P3955" s="75">
        <v>2014</v>
      </c>
      <c r="Q3955" s="107">
        <f t="shared" si="120"/>
        <v>2018</v>
      </c>
      <c r="R3955" s="107">
        <v>2</v>
      </c>
      <c r="S3955" s="43">
        <v>218131</v>
      </c>
      <c r="T3955" s="74">
        <v>43405</v>
      </c>
    </row>
    <row r="3956" spans="1:20" x14ac:dyDescent="0.3">
      <c r="A3956" s="42">
        <v>43414</v>
      </c>
      <c r="B3956" s="37">
        <f t="shared" si="121"/>
        <v>20181110</v>
      </c>
      <c r="C3956" s="109">
        <v>2.53E-2</v>
      </c>
      <c r="D3956" s="109">
        <v>8.0000000000000002E-3</v>
      </c>
      <c r="E3956" s="109">
        <v>8.9999999999999993E-3</v>
      </c>
      <c r="F3956" s="109">
        <v>8.9999999999999993E-3</v>
      </c>
      <c r="G3956" s="130">
        <v>0</v>
      </c>
      <c r="H3956" s="71">
        <v>8.4</v>
      </c>
      <c r="I3956" s="71">
        <v>10.9</v>
      </c>
      <c r="J3956" s="71">
        <v>13.3</v>
      </c>
      <c r="K3956" s="109">
        <v>8.1000000000000013E-3</v>
      </c>
      <c r="L3956" s="121">
        <v>-8.0000000000000002E-3</v>
      </c>
      <c r="M3956" s="75" t="s">
        <v>146</v>
      </c>
      <c r="N3956" s="75" t="b">
        <v>1</v>
      </c>
      <c r="O3956" s="75" t="s">
        <v>145</v>
      </c>
      <c r="P3956" s="75">
        <v>2014</v>
      </c>
      <c r="Q3956" s="107">
        <f t="shared" si="120"/>
        <v>2018</v>
      </c>
      <c r="R3956" s="107">
        <v>2</v>
      </c>
      <c r="S3956" s="43">
        <v>218131</v>
      </c>
      <c r="T3956" s="74">
        <v>43405</v>
      </c>
    </row>
    <row r="3957" spans="1:20" x14ac:dyDescent="0.3">
      <c r="A3957" s="42">
        <v>43415</v>
      </c>
      <c r="B3957" s="37">
        <f t="shared" si="121"/>
        <v>20181111</v>
      </c>
      <c r="C3957" s="109">
        <v>2.53E-2</v>
      </c>
      <c r="D3957" s="109">
        <v>8.0000000000000002E-3</v>
      </c>
      <c r="E3957" s="109">
        <v>8.9999999999999993E-3</v>
      </c>
      <c r="F3957" s="109">
        <v>8.9999999999999993E-3</v>
      </c>
      <c r="G3957" s="130">
        <v>0</v>
      </c>
      <c r="H3957" s="71">
        <v>8.4</v>
      </c>
      <c r="I3957" s="71">
        <v>10.9</v>
      </c>
      <c r="J3957" s="71">
        <v>13.3</v>
      </c>
      <c r="K3957" s="109">
        <v>8.1000000000000013E-3</v>
      </c>
      <c r="L3957" s="121">
        <v>-8.0000000000000002E-3</v>
      </c>
      <c r="M3957" s="75" t="s">
        <v>146</v>
      </c>
      <c r="N3957" s="75" t="b">
        <v>1</v>
      </c>
      <c r="O3957" s="75" t="s">
        <v>145</v>
      </c>
      <c r="P3957" s="75">
        <v>2014</v>
      </c>
      <c r="Q3957" s="107">
        <f t="shared" si="120"/>
        <v>2018</v>
      </c>
      <c r="R3957" s="107">
        <v>2</v>
      </c>
      <c r="S3957" s="43">
        <v>218131</v>
      </c>
      <c r="T3957" s="74">
        <v>43405</v>
      </c>
    </row>
    <row r="3958" spans="1:20" x14ac:dyDescent="0.3">
      <c r="A3958" s="42">
        <v>43416</v>
      </c>
      <c r="B3958" s="37">
        <f t="shared" si="121"/>
        <v>20181112</v>
      </c>
      <c r="C3958" s="109">
        <v>2.53E-2</v>
      </c>
      <c r="D3958" s="109">
        <v>8.0000000000000002E-3</v>
      </c>
      <c r="E3958" s="109">
        <v>8.9999999999999993E-3</v>
      </c>
      <c r="F3958" s="109">
        <v>8.9999999999999993E-3</v>
      </c>
      <c r="G3958" s="130">
        <v>0</v>
      </c>
      <c r="H3958" s="71">
        <v>8.4</v>
      </c>
      <c r="I3958" s="71">
        <v>10.9</v>
      </c>
      <c r="J3958" s="71">
        <v>13.3</v>
      </c>
      <c r="K3958" s="109">
        <v>8.1000000000000013E-3</v>
      </c>
      <c r="L3958" s="121">
        <v>-8.0000000000000002E-3</v>
      </c>
      <c r="M3958" s="75" t="s">
        <v>146</v>
      </c>
      <c r="N3958" s="75" t="b">
        <v>1</v>
      </c>
      <c r="O3958" s="75" t="s">
        <v>145</v>
      </c>
      <c r="P3958" s="75">
        <v>2014</v>
      </c>
      <c r="Q3958" s="107">
        <f t="shared" si="120"/>
        <v>2018</v>
      </c>
      <c r="R3958" s="107">
        <v>2</v>
      </c>
      <c r="S3958" s="43">
        <v>218131</v>
      </c>
      <c r="T3958" s="74">
        <v>43405</v>
      </c>
    </row>
    <row r="3959" spans="1:20" x14ac:dyDescent="0.3">
      <c r="A3959" s="42">
        <v>43417</v>
      </c>
      <c r="B3959" s="37">
        <f t="shared" si="121"/>
        <v>20181113</v>
      </c>
      <c r="C3959" s="109">
        <v>2.4900000000000002E-2</v>
      </c>
      <c r="D3959" s="109">
        <v>8.0000000000000002E-3</v>
      </c>
      <c r="E3959" s="109">
        <v>8.9999999999999993E-3</v>
      </c>
      <c r="F3959" s="109">
        <v>8.9999999999999993E-3</v>
      </c>
      <c r="G3959" s="130">
        <v>0</v>
      </c>
      <c r="H3959" s="71">
        <v>8.4</v>
      </c>
      <c r="I3959" s="71">
        <v>10.9</v>
      </c>
      <c r="J3959" s="71">
        <v>13.3</v>
      </c>
      <c r="K3959" s="109">
        <v>7.9000000000000008E-3</v>
      </c>
      <c r="L3959" s="121">
        <v>-8.0000000000000002E-3</v>
      </c>
      <c r="M3959" s="75" t="s">
        <v>146</v>
      </c>
      <c r="N3959" s="75" t="b">
        <v>1</v>
      </c>
      <c r="O3959" s="75" t="s">
        <v>145</v>
      </c>
      <c r="P3959" s="75">
        <v>2014</v>
      </c>
      <c r="Q3959" s="107">
        <f t="shared" si="120"/>
        <v>2018</v>
      </c>
      <c r="R3959" s="107">
        <v>2</v>
      </c>
      <c r="S3959" s="43">
        <v>218131</v>
      </c>
      <c r="T3959" s="74">
        <v>43405</v>
      </c>
    </row>
    <row r="3960" spans="1:20" x14ac:dyDescent="0.3">
      <c r="A3960" s="42">
        <v>43418</v>
      </c>
      <c r="B3960" s="37">
        <f t="shared" si="121"/>
        <v>20181114</v>
      </c>
      <c r="C3960" s="109">
        <v>2.46E-2</v>
      </c>
      <c r="D3960" s="109">
        <v>8.0000000000000002E-3</v>
      </c>
      <c r="E3960" s="109">
        <v>8.9999999999999993E-3</v>
      </c>
      <c r="F3960" s="109">
        <v>8.9999999999999993E-3</v>
      </c>
      <c r="G3960" s="130">
        <v>0</v>
      </c>
      <c r="H3960" s="71">
        <v>8.4</v>
      </c>
      <c r="I3960" s="71">
        <v>10.9</v>
      </c>
      <c r="J3960" s="71">
        <v>13.3</v>
      </c>
      <c r="K3960" s="109">
        <v>7.6E-3</v>
      </c>
      <c r="L3960" s="121">
        <v>-8.0000000000000002E-3</v>
      </c>
      <c r="M3960" s="75" t="s">
        <v>146</v>
      </c>
      <c r="N3960" s="75" t="b">
        <v>1</v>
      </c>
      <c r="O3960" s="75" t="s">
        <v>145</v>
      </c>
      <c r="P3960" s="75">
        <v>2014</v>
      </c>
      <c r="Q3960" s="107">
        <f t="shared" si="120"/>
        <v>2018</v>
      </c>
      <c r="R3960" s="107">
        <v>2</v>
      </c>
      <c r="S3960" s="43">
        <v>218131</v>
      </c>
      <c r="T3960" s="74">
        <v>43405</v>
      </c>
    </row>
    <row r="3961" spans="1:20" x14ac:dyDescent="0.3">
      <c r="A3961" s="42">
        <v>43419</v>
      </c>
      <c r="B3961" s="37">
        <f t="shared" si="121"/>
        <v>20181115</v>
      </c>
      <c r="C3961" s="109">
        <v>2.4300000000000002E-2</v>
      </c>
      <c r="D3961" s="109">
        <v>8.0000000000000002E-3</v>
      </c>
      <c r="E3961" s="109">
        <v>8.9999999999999993E-3</v>
      </c>
      <c r="F3961" s="109">
        <v>8.9999999999999993E-3</v>
      </c>
      <c r="G3961" s="130">
        <v>0</v>
      </c>
      <c r="H3961" s="71">
        <v>8.4</v>
      </c>
      <c r="I3961" s="71">
        <v>10.9</v>
      </c>
      <c r="J3961" s="71">
        <v>13.3</v>
      </c>
      <c r="K3961" s="109">
        <v>7.4000000000000003E-3</v>
      </c>
      <c r="L3961" s="121">
        <v>-8.0000000000000002E-3</v>
      </c>
      <c r="M3961" s="75" t="s">
        <v>146</v>
      </c>
      <c r="N3961" s="75" t="b">
        <v>1</v>
      </c>
      <c r="O3961" s="75" t="s">
        <v>145</v>
      </c>
      <c r="P3961" s="75">
        <v>2014</v>
      </c>
      <c r="Q3961" s="107">
        <f t="shared" si="120"/>
        <v>2018</v>
      </c>
      <c r="R3961" s="107">
        <v>2</v>
      </c>
      <c r="S3961" s="43">
        <v>218131</v>
      </c>
      <c r="T3961" s="74">
        <v>43405</v>
      </c>
    </row>
    <row r="3962" spans="1:20" x14ac:dyDescent="0.3">
      <c r="A3962" s="42">
        <v>43420</v>
      </c>
      <c r="B3962" s="37">
        <f t="shared" si="121"/>
        <v>20181116</v>
      </c>
      <c r="C3962" s="109">
        <v>2.41E-2</v>
      </c>
      <c r="D3962" s="109">
        <v>8.0000000000000002E-3</v>
      </c>
      <c r="E3962" s="109">
        <v>8.9999999999999993E-3</v>
      </c>
      <c r="F3962" s="109">
        <v>8.9999999999999993E-3</v>
      </c>
      <c r="G3962" s="130">
        <v>0</v>
      </c>
      <c r="H3962" s="71">
        <v>8.4</v>
      </c>
      <c r="I3962" s="71">
        <v>10.9</v>
      </c>
      <c r="J3962" s="71">
        <v>13.3</v>
      </c>
      <c r="K3962" s="109">
        <v>7.1999999999999998E-3</v>
      </c>
      <c r="L3962" s="121">
        <v>-8.0000000000000002E-3</v>
      </c>
      <c r="M3962" s="75" t="s">
        <v>146</v>
      </c>
      <c r="N3962" s="75" t="b">
        <v>1</v>
      </c>
      <c r="O3962" s="75" t="s">
        <v>145</v>
      </c>
      <c r="P3962" s="75">
        <v>2014</v>
      </c>
      <c r="Q3962" s="107">
        <f t="shared" si="120"/>
        <v>2018</v>
      </c>
      <c r="R3962" s="107">
        <v>2</v>
      </c>
      <c r="S3962" s="43">
        <v>218131</v>
      </c>
      <c r="T3962" s="74">
        <v>43405</v>
      </c>
    </row>
    <row r="3963" spans="1:20" x14ac:dyDescent="0.3">
      <c r="A3963" s="42">
        <v>43421</v>
      </c>
      <c r="B3963" s="37">
        <f t="shared" si="121"/>
        <v>20181117</v>
      </c>
      <c r="C3963" s="109">
        <v>2.41E-2</v>
      </c>
      <c r="D3963" s="109">
        <v>8.0000000000000002E-3</v>
      </c>
      <c r="E3963" s="109">
        <v>8.9999999999999993E-3</v>
      </c>
      <c r="F3963" s="109">
        <v>8.9999999999999993E-3</v>
      </c>
      <c r="G3963" s="130">
        <v>0</v>
      </c>
      <c r="H3963" s="71">
        <v>8.4</v>
      </c>
      <c r="I3963" s="71">
        <v>10.9</v>
      </c>
      <c r="J3963" s="71">
        <v>13.3</v>
      </c>
      <c r="K3963" s="109">
        <v>7.1999999999999998E-3</v>
      </c>
      <c r="L3963" s="121">
        <v>-8.0000000000000002E-3</v>
      </c>
      <c r="M3963" s="75" t="s">
        <v>146</v>
      </c>
      <c r="N3963" s="75" t="b">
        <v>1</v>
      </c>
      <c r="O3963" s="75" t="s">
        <v>145</v>
      </c>
      <c r="P3963" s="75">
        <v>2014</v>
      </c>
      <c r="Q3963" s="107">
        <f t="shared" si="120"/>
        <v>2018</v>
      </c>
      <c r="R3963" s="107">
        <v>2</v>
      </c>
      <c r="S3963" s="43">
        <v>218131</v>
      </c>
      <c r="T3963" s="74">
        <v>43405</v>
      </c>
    </row>
    <row r="3964" spans="1:20" x14ac:dyDescent="0.3">
      <c r="A3964" s="42">
        <v>43422</v>
      </c>
      <c r="B3964" s="37">
        <f t="shared" si="121"/>
        <v>20181118</v>
      </c>
      <c r="C3964" s="109">
        <v>2.41E-2</v>
      </c>
      <c r="D3964" s="109">
        <v>8.0000000000000002E-3</v>
      </c>
      <c r="E3964" s="109">
        <v>8.9999999999999993E-3</v>
      </c>
      <c r="F3964" s="109">
        <v>8.9999999999999993E-3</v>
      </c>
      <c r="G3964" s="130">
        <v>0</v>
      </c>
      <c r="H3964" s="71">
        <v>8.4</v>
      </c>
      <c r="I3964" s="71">
        <v>10.9</v>
      </c>
      <c r="J3964" s="71">
        <v>13.3</v>
      </c>
      <c r="K3964" s="109">
        <v>7.1999999999999998E-3</v>
      </c>
      <c r="L3964" s="121">
        <v>-8.0000000000000002E-3</v>
      </c>
      <c r="M3964" s="75" t="s">
        <v>146</v>
      </c>
      <c r="N3964" s="75" t="b">
        <v>1</v>
      </c>
      <c r="O3964" s="75" t="s">
        <v>145</v>
      </c>
      <c r="P3964" s="75">
        <v>2014</v>
      </c>
      <c r="Q3964" s="107">
        <f t="shared" si="120"/>
        <v>2018</v>
      </c>
      <c r="R3964" s="107">
        <v>2</v>
      </c>
      <c r="S3964" s="43">
        <v>218131</v>
      </c>
      <c r="T3964" s="74">
        <v>43405</v>
      </c>
    </row>
    <row r="3965" spans="1:20" x14ac:dyDescent="0.3">
      <c r="A3965" s="42">
        <v>43423</v>
      </c>
      <c r="B3965" s="37">
        <f t="shared" si="121"/>
        <v>20181119</v>
      </c>
      <c r="C3965" s="109">
        <v>2.41E-2</v>
      </c>
      <c r="D3965" s="109">
        <v>8.0000000000000002E-3</v>
      </c>
      <c r="E3965" s="109">
        <v>8.9999999999999993E-3</v>
      </c>
      <c r="F3965" s="109">
        <v>8.9999999999999993E-3</v>
      </c>
      <c r="G3965" s="130">
        <v>0</v>
      </c>
      <c r="H3965" s="71">
        <v>8.4</v>
      </c>
      <c r="I3965" s="71">
        <v>10.9</v>
      </c>
      <c r="J3965" s="71">
        <v>13.3</v>
      </c>
      <c r="K3965" s="109">
        <v>7.3000000000000001E-3</v>
      </c>
      <c r="L3965" s="121">
        <v>-8.0000000000000002E-3</v>
      </c>
      <c r="M3965" s="75" t="s">
        <v>146</v>
      </c>
      <c r="N3965" s="75" t="b">
        <v>1</v>
      </c>
      <c r="O3965" s="75" t="s">
        <v>145</v>
      </c>
      <c r="P3965" s="75">
        <v>2014</v>
      </c>
      <c r="Q3965" s="107">
        <f t="shared" si="120"/>
        <v>2018</v>
      </c>
      <c r="R3965" s="107">
        <v>2</v>
      </c>
      <c r="S3965" s="43">
        <v>218131</v>
      </c>
      <c r="T3965" s="74">
        <v>43405</v>
      </c>
    </row>
    <row r="3966" spans="1:20" x14ac:dyDescent="0.3">
      <c r="A3966" s="42">
        <v>43424</v>
      </c>
      <c r="B3966" s="37">
        <f t="shared" si="121"/>
        <v>20181120</v>
      </c>
      <c r="C3966" s="109">
        <v>2.4E-2</v>
      </c>
      <c r="D3966" s="109">
        <v>8.0000000000000002E-3</v>
      </c>
      <c r="E3966" s="109">
        <v>8.9999999999999993E-3</v>
      </c>
      <c r="F3966" s="109">
        <v>8.9999999999999993E-3</v>
      </c>
      <c r="G3966" s="130">
        <v>0</v>
      </c>
      <c r="H3966" s="71">
        <v>8.4</v>
      </c>
      <c r="I3966" s="71">
        <v>10.9</v>
      </c>
      <c r="J3966" s="71">
        <v>13.3</v>
      </c>
      <c r="K3966" s="109">
        <v>7.4000000000000003E-3</v>
      </c>
      <c r="L3966" s="121">
        <v>-8.0000000000000002E-3</v>
      </c>
      <c r="M3966" s="75" t="s">
        <v>146</v>
      </c>
      <c r="N3966" s="75" t="b">
        <v>1</v>
      </c>
      <c r="O3966" s="75" t="s">
        <v>145</v>
      </c>
      <c r="P3966" s="75">
        <v>2014</v>
      </c>
      <c r="Q3966" s="107">
        <f t="shared" si="120"/>
        <v>2018</v>
      </c>
      <c r="R3966" s="107">
        <v>2</v>
      </c>
      <c r="S3966" s="43">
        <v>218131</v>
      </c>
      <c r="T3966" s="74">
        <v>43405</v>
      </c>
    </row>
    <row r="3967" spans="1:20" x14ac:dyDescent="0.3">
      <c r="A3967" s="42">
        <v>43425</v>
      </c>
      <c r="B3967" s="37">
        <f t="shared" si="121"/>
        <v>20181121</v>
      </c>
      <c r="C3967" s="109">
        <v>2.41E-2</v>
      </c>
      <c r="D3967" s="109">
        <v>8.0000000000000002E-3</v>
      </c>
      <c r="E3967" s="109">
        <v>8.9999999999999993E-3</v>
      </c>
      <c r="F3967" s="109">
        <v>8.9999999999999993E-3</v>
      </c>
      <c r="G3967" s="130">
        <v>0</v>
      </c>
      <c r="H3967" s="71">
        <v>8.4</v>
      </c>
      <c r="I3967" s="71">
        <v>10.9</v>
      </c>
      <c r="J3967" s="71">
        <v>13.3</v>
      </c>
      <c r="K3967" s="109">
        <v>7.4999999999999997E-3</v>
      </c>
      <c r="L3967" s="121">
        <v>-8.0000000000000002E-3</v>
      </c>
      <c r="M3967" s="75" t="s">
        <v>146</v>
      </c>
      <c r="N3967" s="75" t="b">
        <v>1</v>
      </c>
      <c r="O3967" s="75" t="s">
        <v>145</v>
      </c>
      <c r="P3967" s="75">
        <v>2014</v>
      </c>
      <c r="Q3967" s="107">
        <f t="shared" si="120"/>
        <v>2018</v>
      </c>
      <c r="R3967" s="107">
        <v>2</v>
      </c>
      <c r="S3967" s="43">
        <v>218131</v>
      </c>
      <c r="T3967" s="74">
        <v>43405</v>
      </c>
    </row>
    <row r="3968" spans="1:20" x14ac:dyDescent="0.3">
      <c r="A3968" s="42">
        <v>43426</v>
      </c>
      <c r="B3968" s="37">
        <f t="shared" si="121"/>
        <v>20181122</v>
      </c>
      <c r="C3968" s="109">
        <v>2.41E-2</v>
      </c>
      <c r="D3968" s="109">
        <v>8.0000000000000002E-3</v>
      </c>
      <c r="E3968" s="109">
        <v>8.9999999999999993E-3</v>
      </c>
      <c r="F3968" s="109">
        <v>8.9999999999999993E-3</v>
      </c>
      <c r="G3968" s="130">
        <v>0</v>
      </c>
      <c r="H3968" s="71">
        <v>8.4</v>
      </c>
      <c r="I3968" s="71">
        <v>10.9</v>
      </c>
      <c r="J3968" s="71">
        <v>13.3</v>
      </c>
      <c r="K3968" s="109">
        <v>7.4999999999999997E-3</v>
      </c>
      <c r="L3968" s="121">
        <v>-8.0000000000000002E-3</v>
      </c>
      <c r="M3968" s="75" t="s">
        <v>146</v>
      </c>
      <c r="N3968" s="75" t="b">
        <v>1</v>
      </c>
      <c r="O3968" s="75" t="s">
        <v>145</v>
      </c>
      <c r="P3968" s="75">
        <v>2014</v>
      </c>
      <c r="Q3968" s="107">
        <f t="shared" si="120"/>
        <v>2018</v>
      </c>
      <c r="R3968" s="107">
        <v>2</v>
      </c>
      <c r="S3968" s="43">
        <v>218131</v>
      </c>
      <c r="T3968" s="74">
        <v>43405</v>
      </c>
    </row>
    <row r="3969" spans="1:20" x14ac:dyDescent="0.3">
      <c r="A3969" s="42">
        <v>43427</v>
      </c>
      <c r="B3969" s="37">
        <f t="shared" si="121"/>
        <v>20181123</v>
      </c>
      <c r="C3969" s="109">
        <v>2.3900000000000001E-2</v>
      </c>
      <c r="D3969" s="109">
        <v>8.0000000000000002E-3</v>
      </c>
      <c r="E3969" s="109">
        <v>8.9999999999999993E-3</v>
      </c>
      <c r="F3969" s="109">
        <v>8.9999999999999993E-3</v>
      </c>
      <c r="G3969" s="130">
        <v>0</v>
      </c>
      <c r="H3969" s="71">
        <v>8.4</v>
      </c>
      <c r="I3969" s="71">
        <v>10.9</v>
      </c>
      <c r="J3969" s="71">
        <v>13.3</v>
      </c>
      <c r="K3969" s="109">
        <v>7.3000000000000001E-3</v>
      </c>
      <c r="L3969" s="121">
        <v>-8.0000000000000002E-3</v>
      </c>
      <c r="M3969" s="75" t="s">
        <v>146</v>
      </c>
      <c r="N3969" s="75" t="b">
        <v>1</v>
      </c>
      <c r="O3969" s="75" t="s">
        <v>145</v>
      </c>
      <c r="P3969" s="75">
        <v>2014</v>
      </c>
      <c r="Q3969" s="107">
        <f t="shared" si="120"/>
        <v>2018</v>
      </c>
      <c r="R3969" s="107">
        <v>2</v>
      </c>
      <c r="S3969" s="43">
        <v>218131</v>
      </c>
      <c r="T3969" s="74">
        <v>43405</v>
      </c>
    </row>
    <row r="3970" spans="1:20" x14ac:dyDescent="0.3">
      <c r="A3970" s="42">
        <v>43428</v>
      </c>
      <c r="B3970" s="37">
        <f t="shared" si="121"/>
        <v>20181124</v>
      </c>
      <c r="C3970" s="109">
        <v>2.3900000000000001E-2</v>
      </c>
      <c r="D3970" s="109">
        <v>8.0000000000000002E-3</v>
      </c>
      <c r="E3970" s="109">
        <v>8.9999999999999993E-3</v>
      </c>
      <c r="F3970" s="109">
        <v>8.9999999999999993E-3</v>
      </c>
      <c r="G3970" s="130">
        <v>0</v>
      </c>
      <c r="H3970" s="71">
        <v>8.4</v>
      </c>
      <c r="I3970" s="71">
        <v>10.9</v>
      </c>
      <c r="J3970" s="71">
        <v>13.3</v>
      </c>
      <c r="K3970" s="109">
        <v>7.3000000000000001E-3</v>
      </c>
      <c r="L3970" s="121">
        <v>-8.0000000000000002E-3</v>
      </c>
      <c r="M3970" s="75" t="s">
        <v>146</v>
      </c>
      <c r="N3970" s="75" t="b">
        <v>1</v>
      </c>
      <c r="O3970" s="75" t="s">
        <v>145</v>
      </c>
      <c r="P3970" s="75">
        <v>2014</v>
      </c>
      <c r="Q3970" s="107">
        <f t="shared" si="120"/>
        <v>2018</v>
      </c>
      <c r="R3970" s="107">
        <v>2</v>
      </c>
      <c r="S3970" s="43">
        <v>218131</v>
      </c>
      <c r="T3970" s="74">
        <v>43405</v>
      </c>
    </row>
    <row r="3971" spans="1:20" x14ac:dyDescent="0.3">
      <c r="A3971" s="42">
        <v>43429</v>
      </c>
      <c r="B3971" s="37">
        <f t="shared" si="121"/>
        <v>20181125</v>
      </c>
      <c r="C3971" s="109">
        <v>2.3900000000000001E-2</v>
      </c>
      <c r="D3971" s="109">
        <v>8.0000000000000002E-3</v>
      </c>
      <c r="E3971" s="109">
        <v>8.9999999999999993E-3</v>
      </c>
      <c r="F3971" s="109">
        <v>8.9999999999999993E-3</v>
      </c>
      <c r="G3971" s="130">
        <v>0</v>
      </c>
      <c r="H3971" s="71">
        <v>8.4</v>
      </c>
      <c r="I3971" s="71">
        <v>10.9</v>
      </c>
      <c r="J3971" s="71">
        <v>13.3</v>
      </c>
      <c r="K3971" s="109">
        <v>7.3000000000000001E-3</v>
      </c>
      <c r="L3971" s="121">
        <v>-8.0000000000000002E-3</v>
      </c>
      <c r="M3971" s="75" t="s">
        <v>146</v>
      </c>
      <c r="N3971" s="75" t="b">
        <v>1</v>
      </c>
      <c r="O3971" s="75" t="s">
        <v>145</v>
      </c>
      <c r="P3971" s="75">
        <v>2014</v>
      </c>
      <c r="Q3971" s="107">
        <f t="shared" si="120"/>
        <v>2018</v>
      </c>
      <c r="R3971" s="107">
        <v>2</v>
      </c>
      <c r="S3971" s="43">
        <v>218131</v>
      </c>
      <c r="T3971" s="74">
        <v>43405</v>
      </c>
    </row>
    <row r="3972" spans="1:20" x14ac:dyDescent="0.3">
      <c r="A3972" s="42">
        <v>43430</v>
      </c>
      <c r="B3972" s="37">
        <f t="shared" si="121"/>
        <v>20181126</v>
      </c>
      <c r="C3972" s="109">
        <v>2.4E-2</v>
      </c>
      <c r="D3972" s="109">
        <v>8.0000000000000002E-3</v>
      </c>
      <c r="E3972" s="109">
        <v>8.9999999999999993E-3</v>
      </c>
      <c r="F3972" s="109">
        <v>8.9999999999999993E-3</v>
      </c>
      <c r="G3972" s="130">
        <v>0</v>
      </c>
      <c r="H3972" s="71">
        <v>8.4</v>
      </c>
      <c r="I3972" s="71">
        <v>10.9</v>
      </c>
      <c r="J3972" s="71">
        <v>13.3</v>
      </c>
      <c r="K3972" s="109">
        <v>7.4000000000000003E-3</v>
      </c>
      <c r="L3972" s="121">
        <v>-8.0000000000000002E-3</v>
      </c>
      <c r="M3972" s="75" t="s">
        <v>146</v>
      </c>
      <c r="N3972" s="75" t="b">
        <v>1</v>
      </c>
      <c r="O3972" s="75" t="s">
        <v>145</v>
      </c>
      <c r="P3972" s="75">
        <v>2014</v>
      </c>
      <c r="Q3972" s="107">
        <f t="shared" si="120"/>
        <v>2018</v>
      </c>
      <c r="R3972" s="107">
        <v>2</v>
      </c>
      <c r="S3972" s="43">
        <v>218131</v>
      </c>
      <c r="T3972" s="74">
        <v>43405</v>
      </c>
    </row>
    <row r="3973" spans="1:20" x14ac:dyDescent="0.3">
      <c r="A3973" s="42">
        <v>43431</v>
      </c>
      <c r="B3973" s="37">
        <f t="shared" si="121"/>
        <v>20181127</v>
      </c>
      <c r="C3973" s="109">
        <v>2.3799999999999998E-2</v>
      </c>
      <c r="D3973" s="109">
        <v>8.0000000000000002E-3</v>
      </c>
      <c r="E3973" s="109">
        <v>8.9999999999999993E-3</v>
      </c>
      <c r="F3973" s="109">
        <v>8.9999999999999993E-3</v>
      </c>
      <c r="G3973" s="130">
        <v>0</v>
      </c>
      <c r="H3973" s="71">
        <v>8.4</v>
      </c>
      <c r="I3973" s="71">
        <v>10.9</v>
      </c>
      <c r="J3973" s="71">
        <v>13.3</v>
      </c>
      <c r="K3973" s="109">
        <v>7.6E-3</v>
      </c>
      <c r="L3973" s="121">
        <v>-8.0000000000000002E-3</v>
      </c>
      <c r="M3973" s="75" t="s">
        <v>146</v>
      </c>
      <c r="N3973" s="75" t="b">
        <v>1</v>
      </c>
      <c r="O3973" s="75" t="s">
        <v>145</v>
      </c>
      <c r="P3973" s="75">
        <v>2014</v>
      </c>
      <c r="Q3973" s="107">
        <f t="shared" si="120"/>
        <v>2018</v>
      </c>
      <c r="R3973" s="107">
        <v>2</v>
      </c>
      <c r="S3973" s="43">
        <v>218131</v>
      </c>
      <c r="T3973" s="74">
        <v>43405</v>
      </c>
    </row>
    <row r="3974" spans="1:20" x14ac:dyDescent="0.3">
      <c r="A3974" s="42">
        <v>43432</v>
      </c>
      <c r="B3974" s="37">
        <f t="shared" si="121"/>
        <v>20181128</v>
      </c>
      <c r="C3974" s="109">
        <v>2.3900000000000001E-2</v>
      </c>
      <c r="D3974" s="109">
        <v>8.0000000000000002E-3</v>
      </c>
      <c r="E3974" s="109">
        <v>8.9999999999999993E-3</v>
      </c>
      <c r="F3974" s="109">
        <v>8.9999999999999993E-3</v>
      </c>
      <c r="G3974" s="130">
        <v>0</v>
      </c>
      <c r="H3974" s="71">
        <v>8.4</v>
      </c>
      <c r="I3974" s="71">
        <v>10.9</v>
      </c>
      <c r="J3974" s="71">
        <v>13.3</v>
      </c>
      <c r="K3974" s="109">
        <v>8.3999999999999995E-3</v>
      </c>
      <c r="L3974" s="121">
        <v>-8.0000000000000002E-3</v>
      </c>
      <c r="M3974" s="75" t="s">
        <v>146</v>
      </c>
      <c r="N3974" s="75" t="b">
        <v>1</v>
      </c>
      <c r="O3974" s="75" t="s">
        <v>145</v>
      </c>
      <c r="P3974" s="75">
        <v>2014</v>
      </c>
      <c r="Q3974" s="107">
        <f t="shared" si="120"/>
        <v>2018</v>
      </c>
      <c r="R3974" s="107">
        <v>2</v>
      </c>
      <c r="S3974" s="43">
        <v>218131</v>
      </c>
      <c r="T3974" s="74">
        <v>43405</v>
      </c>
    </row>
    <row r="3975" spans="1:20" x14ac:dyDescent="0.3">
      <c r="A3975" s="42">
        <v>43433</v>
      </c>
      <c r="B3975" s="37">
        <f t="shared" si="121"/>
        <v>20181129</v>
      </c>
      <c r="C3975" s="109">
        <v>2.3900000000000001E-2</v>
      </c>
      <c r="D3975" s="109">
        <v>8.0000000000000002E-3</v>
      </c>
      <c r="E3975" s="109">
        <v>8.9999999999999993E-3</v>
      </c>
      <c r="F3975" s="109">
        <v>8.9999999999999993E-3</v>
      </c>
      <c r="G3975" s="130">
        <v>0</v>
      </c>
      <c r="H3975" s="71">
        <v>8.4</v>
      </c>
      <c r="I3975" s="71">
        <v>10.9</v>
      </c>
      <c r="J3975" s="71">
        <v>13.3</v>
      </c>
      <c r="K3975" s="109">
        <v>8.3999999999999995E-3</v>
      </c>
      <c r="L3975" s="121">
        <v>-8.0000000000000002E-3</v>
      </c>
      <c r="M3975" s="75" t="s">
        <v>146</v>
      </c>
      <c r="N3975" s="75" t="b">
        <v>1</v>
      </c>
      <c r="O3975" s="75" t="s">
        <v>145</v>
      </c>
      <c r="P3975" s="75">
        <v>2014</v>
      </c>
      <c r="Q3975" s="107">
        <f t="shared" si="120"/>
        <v>2018</v>
      </c>
      <c r="R3975" s="107">
        <v>2</v>
      </c>
      <c r="S3975" s="43">
        <v>218131</v>
      </c>
      <c r="T3975" s="74">
        <v>43405</v>
      </c>
    </row>
    <row r="3976" spans="1:20" x14ac:dyDescent="0.3">
      <c r="A3976" s="42">
        <v>43434</v>
      </c>
      <c r="B3976" s="37">
        <f t="shared" si="121"/>
        <v>20181130</v>
      </c>
      <c r="C3976" s="109">
        <v>2.3700000000000002E-2</v>
      </c>
      <c r="D3976" s="109">
        <v>8.0000000000000002E-3</v>
      </c>
      <c r="E3976" s="109">
        <v>8.9999999999999993E-3</v>
      </c>
      <c r="F3976" s="109">
        <v>8.9999999999999993E-3</v>
      </c>
      <c r="G3976" s="130">
        <v>0</v>
      </c>
      <c r="H3976" s="71">
        <v>8.4</v>
      </c>
      <c r="I3976" s="71">
        <v>10.9</v>
      </c>
      <c r="J3976" s="71">
        <v>13.3</v>
      </c>
      <c r="K3976" s="109">
        <v>8.3999999999999995E-3</v>
      </c>
      <c r="L3976" s="121">
        <v>-8.0000000000000002E-3</v>
      </c>
      <c r="M3976" s="75" t="s">
        <v>146</v>
      </c>
      <c r="N3976" s="75" t="b">
        <v>1</v>
      </c>
      <c r="O3976" s="75" t="s">
        <v>145</v>
      </c>
      <c r="P3976" s="75">
        <v>2014</v>
      </c>
      <c r="Q3976" s="107">
        <f t="shared" si="120"/>
        <v>2018</v>
      </c>
      <c r="R3976" s="107">
        <v>2</v>
      </c>
      <c r="S3976" s="43">
        <v>218131</v>
      </c>
      <c r="T3976" s="74">
        <v>43405</v>
      </c>
    </row>
    <row r="3977" spans="1:20" x14ac:dyDescent="0.3">
      <c r="A3977" s="42">
        <v>43435</v>
      </c>
      <c r="B3977" s="37">
        <f t="shared" si="121"/>
        <v>20181201</v>
      </c>
      <c r="C3977" s="109">
        <v>2.3700000000000002E-2</v>
      </c>
      <c r="D3977" s="109">
        <v>8.0000000000000002E-3</v>
      </c>
      <c r="E3977" s="109">
        <v>8.9999999999999993E-3</v>
      </c>
      <c r="F3977" s="109">
        <v>8.9999999999999993E-3</v>
      </c>
      <c r="G3977" s="130">
        <v>0</v>
      </c>
      <c r="H3977" s="71">
        <v>8.4</v>
      </c>
      <c r="I3977" s="71">
        <v>10.9</v>
      </c>
      <c r="J3977" s="71">
        <v>13.3</v>
      </c>
      <c r="K3977" s="109">
        <v>8.3999999999999995E-3</v>
      </c>
      <c r="L3977" s="121">
        <v>-8.0000000000000002E-3</v>
      </c>
      <c r="M3977" s="75" t="s">
        <v>146</v>
      </c>
      <c r="N3977" s="75" t="b">
        <v>1</v>
      </c>
      <c r="O3977" s="75" t="s">
        <v>145</v>
      </c>
      <c r="P3977" s="75">
        <v>2014</v>
      </c>
      <c r="Q3977" s="107">
        <f t="shared" si="120"/>
        <v>2018</v>
      </c>
      <c r="R3977" s="107">
        <v>2</v>
      </c>
      <c r="S3977" s="43">
        <v>218131</v>
      </c>
      <c r="T3977" s="74">
        <v>43405</v>
      </c>
    </row>
    <row r="3978" spans="1:20" x14ac:dyDescent="0.3">
      <c r="A3978" s="42">
        <v>43436</v>
      </c>
      <c r="B3978" s="37">
        <f t="shared" si="121"/>
        <v>20181202</v>
      </c>
      <c r="C3978" s="109">
        <v>2.3700000000000002E-2</v>
      </c>
      <c r="D3978" s="109">
        <v>8.0000000000000002E-3</v>
      </c>
      <c r="E3978" s="109">
        <v>8.9999999999999993E-3</v>
      </c>
      <c r="F3978" s="109">
        <v>8.9999999999999993E-3</v>
      </c>
      <c r="G3978" s="130">
        <v>0</v>
      </c>
      <c r="H3978" s="71">
        <v>8.4</v>
      </c>
      <c r="I3978" s="71">
        <v>10.9</v>
      </c>
      <c r="J3978" s="71">
        <v>13.3</v>
      </c>
      <c r="K3978" s="109">
        <v>8.3999999999999995E-3</v>
      </c>
      <c r="L3978" s="121">
        <v>-8.0000000000000002E-3</v>
      </c>
      <c r="M3978" s="75" t="s">
        <v>146</v>
      </c>
      <c r="N3978" s="75" t="b">
        <v>1</v>
      </c>
      <c r="O3978" s="75" t="s">
        <v>145</v>
      </c>
      <c r="P3978" s="75">
        <v>2014</v>
      </c>
      <c r="Q3978" s="107">
        <f t="shared" si="120"/>
        <v>2018</v>
      </c>
      <c r="R3978" s="107">
        <v>2</v>
      </c>
      <c r="S3978" s="43">
        <v>218131</v>
      </c>
      <c r="T3978" s="74">
        <v>43405</v>
      </c>
    </row>
    <row r="3979" spans="1:20" x14ac:dyDescent="0.3">
      <c r="A3979" s="42">
        <v>43437</v>
      </c>
      <c r="B3979" s="37">
        <f t="shared" si="121"/>
        <v>20181203</v>
      </c>
      <c r="C3979" s="109">
        <v>2.3300000000000001E-2</v>
      </c>
      <c r="D3979" s="109">
        <v>8.0000000000000002E-3</v>
      </c>
      <c r="E3979" s="109">
        <v>8.9999999999999993E-3</v>
      </c>
      <c r="F3979" s="109">
        <v>8.9999999999999993E-3</v>
      </c>
      <c r="G3979" s="130">
        <v>0</v>
      </c>
      <c r="H3979" s="71">
        <v>8.4</v>
      </c>
      <c r="I3979" s="71">
        <v>10.9</v>
      </c>
      <c r="J3979" s="71">
        <v>13.3</v>
      </c>
      <c r="K3979" s="109">
        <v>7.9000000000000008E-3</v>
      </c>
      <c r="L3979" s="121">
        <v>-8.0000000000000002E-3</v>
      </c>
      <c r="M3979" s="75" t="s">
        <v>146</v>
      </c>
      <c r="N3979" s="75" t="b">
        <v>1</v>
      </c>
      <c r="O3979" s="75" t="s">
        <v>145</v>
      </c>
      <c r="P3979" s="75">
        <v>2014</v>
      </c>
      <c r="Q3979" s="107">
        <f t="shared" si="120"/>
        <v>2018</v>
      </c>
      <c r="R3979" s="107">
        <v>2</v>
      </c>
      <c r="S3979" s="43">
        <v>218131</v>
      </c>
      <c r="T3979" s="74">
        <v>43405</v>
      </c>
    </row>
    <row r="3980" spans="1:20" x14ac:dyDescent="0.3">
      <c r="A3980" s="42">
        <v>43438</v>
      </c>
      <c r="B3980" s="37">
        <f t="shared" si="121"/>
        <v>20181204</v>
      </c>
      <c r="C3980" s="109">
        <v>2.2499999999999999E-2</v>
      </c>
      <c r="D3980" s="109">
        <v>8.0000000000000002E-3</v>
      </c>
      <c r="E3980" s="109">
        <v>8.9999999999999993E-3</v>
      </c>
      <c r="F3980" s="109">
        <v>8.9999999999999993E-3</v>
      </c>
      <c r="G3980" s="130">
        <v>0</v>
      </c>
      <c r="H3980" s="71">
        <v>8.4</v>
      </c>
      <c r="I3980" s="71">
        <v>10.9</v>
      </c>
      <c r="J3980" s="71">
        <v>13.3</v>
      </c>
      <c r="K3980" s="109">
        <v>7.3000000000000001E-3</v>
      </c>
      <c r="L3980" s="121">
        <v>-8.0000000000000002E-3</v>
      </c>
      <c r="M3980" s="75" t="s">
        <v>146</v>
      </c>
      <c r="N3980" s="75" t="b">
        <v>1</v>
      </c>
      <c r="O3980" s="75" t="s">
        <v>145</v>
      </c>
      <c r="P3980" s="75">
        <v>2014</v>
      </c>
      <c r="Q3980" s="107">
        <f t="shared" si="120"/>
        <v>2018</v>
      </c>
      <c r="R3980" s="107">
        <v>2</v>
      </c>
      <c r="S3980" s="43">
        <v>218131</v>
      </c>
      <c r="T3980" s="74">
        <v>43405</v>
      </c>
    </row>
    <row r="3981" spans="1:20" x14ac:dyDescent="0.3">
      <c r="A3981" s="42">
        <v>43439</v>
      </c>
      <c r="B3981" s="37">
        <f t="shared" si="121"/>
        <v>20181205</v>
      </c>
      <c r="C3981" s="109">
        <v>2.2200000000000001E-2</v>
      </c>
      <c r="D3981" s="109">
        <v>8.0000000000000002E-3</v>
      </c>
      <c r="E3981" s="109">
        <v>8.9999999999999993E-3</v>
      </c>
      <c r="F3981" s="109">
        <v>8.9999999999999993E-3</v>
      </c>
      <c r="G3981" s="130">
        <v>0</v>
      </c>
      <c r="H3981" s="71">
        <v>8.4</v>
      </c>
      <c r="I3981" s="71">
        <v>10.9</v>
      </c>
      <c r="J3981" s="71">
        <v>13.3</v>
      </c>
      <c r="K3981" s="109">
        <v>7.0999999999999995E-3</v>
      </c>
      <c r="L3981" s="121">
        <v>-8.0000000000000002E-3</v>
      </c>
      <c r="M3981" s="75" t="s">
        <v>146</v>
      </c>
      <c r="N3981" s="75" t="b">
        <v>1</v>
      </c>
      <c r="O3981" s="75" t="s">
        <v>145</v>
      </c>
      <c r="P3981" s="75">
        <v>2014</v>
      </c>
      <c r="Q3981" s="107">
        <f t="shared" si="120"/>
        <v>2018</v>
      </c>
      <c r="R3981" s="107">
        <v>2</v>
      </c>
      <c r="S3981" s="43">
        <v>218131</v>
      </c>
      <c r="T3981" s="74">
        <v>43405</v>
      </c>
    </row>
    <row r="3982" spans="1:20" x14ac:dyDescent="0.3">
      <c r="A3982" s="42">
        <v>43440</v>
      </c>
      <c r="B3982" s="37">
        <f t="shared" ref="B3982:B3996" si="122">YEAR(A3982)*10000+MONTH(A3982)*100+DAY(A3982)</f>
        <v>20181206</v>
      </c>
      <c r="C3982" s="109">
        <v>2.2000000000000002E-2</v>
      </c>
      <c r="D3982" s="109">
        <v>8.0000000000000002E-3</v>
      </c>
      <c r="E3982" s="109">
        <v>8.9999999999999993E-3</v>
      </c>
      <c r="F3982" s="109">
        <v>8.9999999999999993E-3</v>
      </c>
      <c r="G3982" s="130">
        <v>0</v>
      </c>
      <c r="H3982" s="71">
        <v>8.4</v>
      </c>
      <c r="I3982" s="71">
        <v>10.9</v>
      </c>
      <c r="J3982" s="71">
        <v>13.3</v>
      </c>
      <c r="K3982" s="109">
        <v>7.3000000000000001E-3</v>
      </c>
      <c r="L3982" s="121">
        <v>-8.0000000000000002E-3</v>
      </c>
      <c r="M3982" s="75" t="s">
        <v>146</v>
      </c>
      <c r="N3982" s="75" t="b">
        <v>1</v>
      </c>
      <c r="O3982" s="75" t="s">
        <v>145</v>
      </c>
      <c r="P3982" s="75">
        <v>2014</v>
      </c>
      <c r="Q3982" s="107">
        <f t="shared" si="120"/>
        <v>2018</v>
      </c>
      <c r="R3982" s="107">
        <v>2</v>
      </c>
      <c r="S3982" s="43">
        <v>218131</v>
      </c>
      <c r="T3982" s="74">
        <v>43405</v>
      </c>
    </row>
    <row r="3983" spans="1:20" x14ac:dyDescent="0.3">
      <c r="A3983" s="42">
        <v>43441</v>
      </c>
      <c r="B3983" s="37">
        <f t="shared" si="122"/>
        <v>20181207</v>
      </c>
      <c r="C3983" s="109">
        <v>2.2000000000000002E-2</v>
      </c>
      <c r="D3983" s="109">
        <v>8.0000000000000002E-3</v>
      </c>
      <c r="E3983" s="109">
        <v>8.9999999999999993E-3</v>
      </c>
      <c r="F3983" s="109">
        <v>8.9999999999999993E-3</v>
      </c>
      <c r="G3983" s="130">
        <v>0</v>
      </c>
      <c r="H3983" s="71">
        <v>8.4</v>
      </c>
      <c r="I3983" s="71">
        <v>10.9</v>
      </c>
      <c r="J3983" s="71">
        <v>13.3</v>
      </c>
      <c r="K3983" s="109">
        <v>7.1999999999999998E-3</v>
      </c>
      <c r="L3983" s="121">
        <v>-8.0000000000000002E-3</v>
      </c>
      <c r="M3983" s="75" t="s">
        <v>146</v>
      </c>
      <c r="N3983" s="75" t="b">
        <v>1</v>
      </c>
      <c r="O3983" s="75" t="s">
        <v>145</v>
      </c>
      <c r="P3983" s="75">
        <v>2014</v>
      </c>
      <c r="Q3983" s="107">
        <f t="shared" si="120"/>
        <v>2018</v>
      </c>
      <c r="R3983" s="107">
        <v>2</v>
      </c>
      <c r="S3983" s="43">
        <v>218131</v>
      </c>
      <c r="T3983" s="74">
        <v>43405</v>
      </c>
    </row>
    <row r="3984" spans="1:20" x14ac:dyDescent="0.3">
      <c r="A3984" s="42">
        <v>43442</v>
      </c>
      <c r="B3984" s="37">
        <f t="shared" si="122"/>
        <v>20181208</v>
      </c>
      <c r="C3984" s="109">
        <v>2.2000000000000002E-2</v>
      </c>
      <c r="D3984" s="109">
        <v>8.0000000000000002E-3</v>
      </c>
      <c r="E3984" s="109">
        <v>8.9999999999999993E-3</v>
      </c>
      <c r="F3984" s="109">
        <v>8.9999999999999993E-3</v>
      </c>
      <c r="G3984" s="130">
        <v>0</v>
      </c>
      <c r="H3984" s="71">
        <v>8.4</v>
      </c>
      <c r="I3984" s="71">
        <v>10.9</v>
      </c>
      <c r="J3984" s="71">
        <v>13.3</v>
      </c>
      <c r="K3984" s="109">
        <v>7.1999999999999998E-3</v>
      </c>
      <c r="L3984" s="121">
        <v>-8.0000000000000002E-3</v>
      </c>
      <c r="M3984" s="75" t="s">
        <v>146</v>
      </c>
      <c r="N3984" s="75" t="b">
        <v>1</v>
      </c>
      <c r="O3984" s="75" t="s">
        <v>145</v>
      </c>
      <c r="P3984" s="75">
        <v>2014</v>
      </c>
      <c r="Q3984" s="107">
        <f t="shared" si="120"/>
        <v>2018</v>
      </c>
      <c r="R3984" s="107">
        <v>2</v>
      </c>
      <c r="S3984" s="43">
        <v>218131</v>
      </c>
      <c r="T3984" s="74">
        <v>43405</v>
      </c>
    </row>
    <row r="3985" spans="1:20" x14ac:dyDescent="0.3">
      <c r="A3985" s="42">
        <v>43443</v>
      </c>
      <c r="B3985" s="37">
        <f t="shared" si="122"/>
        <v>20181209</v>
      </c>
      <c r="C3985" s="109">
        <v>2.2000000000000002E-2</v>
      </c>
      <c r="D3985" s="109">
        <v>8.0000000000000002E-3</v>
      </c>
      <c r="E3985" s="109">
        <v>8.9999999999999993E-3</v>
      </c>
      <c r="F3985" s="109">
        <v>8.9999999999999993E-3</v>
      </c>
      <c r="G3985" s="130">
        <v>0</v>
      </c>
      <c r="H3985" s="71">
        <v>8.4</v>
      </c>
      <c r="I3985" s="71">
        <v>10.9</v>
      </c>
      <c r="J3985" s="71">
        <v>13.3</v>
      </c>
      <c r="K3985" s="109">
        <v>7.1999999999999998E-3</v>
      </c>
      <c r="L3985" s="121">
        <v>-8.0000000000000002E-3</v>
      </c>
      <c r="M3985" s="75" t="s">
        <v>146</v>
      </c>
      <c r="N3985" s="75" t="b">
        <v>1</v>
      </c>
      <c r="O3985" s="75" t="s">
        <v>145</v>
      </c>
      <c r="P3985" s="75">
        <v>2014</v>
      </c>
      <c r="Q3985" s="107">
        <f t="shared" si="120"/>
        <v>2018</v>
      </c>
      <c r="R3985" s="107">
        <v>2</v>
      </c>
      <c r="S3985" s="43">
        <v>218131</v>
      </c>
      <c r="T3985" s="74">
        <v>43405</v>
      </c>
    </row>
    <row r="3986" spans="1:20" x14ac:dyDescent="0.3">
      <c r="A3986" s="42">
        <v>43444</v>
      </c>
      <c r="B3986" s="37">
        <f t="shared" si="122"/>
        <v>20181210</v>
      </c>
      <c r="C3986" s="109">
        <v>2.18E-2</v>
      </c>
      <c r="D3986" s="109">
        <v>8.0000000000000002E-3</v>
      </c>
      <c r="E3986" s="109">
        <v>8.9999999999999993E-3</v>
      </c>
      <c r="F3986" s="109">
        <v>8.9999999999999993E-3</v>
      </c>
      <c r="G3986" s="130">
        <v>0</v>
      </c>
      <c r="H3986" s="71">
        <v>8.4</v>
      </c>
      <c r="I3986" s="71">
        <v>10.9</v>
      </c>
      <c r="J3986" s="71">
        <v>13.3</v>
      </c>
      <c r="K3986" s="109">
        <v>7.1999999999999998E-3</v>
      </c>
      <c r="L3986" s="121">
        <v>-8.0000000000000002E-3</v>
      </c>
      <c r="M3986" s="75" t="s">
        <v>146</v>
      </c>
      <c r="N3986" s="75" t="b">
        <v>1</v>
      </c>
      <c r="O3986" s="75" t="s">
        <v>145</v>
      </c>
      <c r="P3986" s="75">
        <v>2014</v>
      </c>
      <c r="Q3986" s="107">
        <f t="shared" si="120"/>
        <v>2018</v>
      </c>
      <c r="R3986" s="107">
        <v>2</v>
      </c>
      <c r="S3986" s="43">
        <v>218131</v>
      </c>
      <c r="T3986" s="74">
        <v>43405</v>
      </c>
    </row>
    <row r="3987" spans="1:20" x14ac:dyDescent="0.3">
      <c r="A3987" s="42">
        <v>43445</v>
      </c>
      <c r="B3987" s="37">
        <f t="shared" si="122"/>
        <v>20181211</v>
      </c>
      <c r="C3987" s="109">
        <v>2.1899999999999999E-2</v>
      </c>
      <c r="D3987" s="109">
        <v>8.0000000000000002E-3</v>
      </c>
      <c r="E3987" s="109">
        <v>8.9999999999999993E-3</v>
      </c>
      <c r="F3987" s="109">
        <v>8.9999999999999993E-3</v>
      </c>
      <c r="G3987" s="130">
        <v>0</v>
      </c>
      <c r="H3987" s="71">
        <v>8.4</v>
      </c>
      <c r="I3987" s="71">
        <v>10.9</v>
      </c>
      <c r="J3987" s="71">
        <v>13.3</v>
      </c>
      <c r="K3987" s="109">
        <v>7.4999999999999997E-3</v>
      </c>
      <c r="L3987" s="121">
        <v>-8.0000000000000002E-3</v>
      </c>
      <c r="M3987" s="75" t="s">
        <v>146</v>
      </c>
      <c r="N3987" s="75" t="b">
        <v>1</v>
      </c>
      <c r="O3987" s="75" t="s">
        <v>145</v>
      </c>
      <c r="P3987" s="75">
        <v>2014</v>
      </c>
      <c r="Q3987" s="107">
        <f t="shared" si="120"/>
        <v>2018</v>
      </c>
      <c r="R3987" s="107">
        <v>2</v>
      </c>
      <c r="S3987" s="43">
        <v>218131</v>
      </c>
      <c r="T3987" s="74">
        <v>43405</v>
      </c>
    </row>
    <row r="3988" spans="1:20" x14ac:dyDescent="0.3">
      <c r="A3988" s="42">
        <v>43446</v>
      </c>
      <c r="B3988" s="37">
        <f t="shared" si="122"/>
        <v>20181212</v>
      </c>
      <c r="C3988" s="109">
        <v>2.2400000000000003E-2</v>
      </c>
      <c r="D3988" s="109">
        <v>8.0000000000000002E-3</v>
      </c>
      <c r="E3988" s="109">
        <v>8.9999999999999993E-3</v>
      </c>
      <c r="F3988" s="109">
        <v>8.9999999999999993E-3</v>
      </c>
      <c r="G3988" s="130">
        <v>0</v>
      </c>
      <c r="H3988" s="71">
        <v>8.4</v>
      </c>
      <c r="I3988" s="71">
        <v>10.9</v>
      </c>
      <c r="J3988" s="71">
        <v>13.3</v>
      </c>
      <c r="K3988" s="109">
        <v>8.0000000000000002E-3</v>
      </c>
      <c r="L3988" s="121">
        <v>-8.0000000000000002E-3</v>
      </c>
      <c r="M3988" s="75" t="s">
        <v>146</v>
      </c>
      <c r="N3988" s="75" t="b">
        <v>1</v>
      </c>
      <c r="O3988" s="75" t="s">
        <v>145</v>
      </c>
      <c r="P3988" s="75">
        <v>2014</v>
      </c>
      <c r="Q3988" s="107">
        <f t="shared" si="120"/>
        <v>2018</v>
      </c>
      <c r="R3988" s="107">
        <v>2</v>
      </c>
      <c r="S3988" s="43">
        <v>218131</v>
      </c>
      <c r="T3988" s="74">
        <v>43405</v>
      </c>
    </row>
    <row r="3989" spans="1:20" x14ac:dyDescent="0.3">
      <c r="A3989" s="42">
        <v>43447</v>
      </c>
      <c r="B3989" s="37">
        <f t="shared" si="122"/>
        <v>20181213</v>
      </c>
      <c r="C3989" s="109">
        <v>2.29E-2</v>
      </c>
      <c r="D3989" s="109">
        <v>8.0000000000000002E-3</v>
      </c>
      <c r="E3989" s="109">
        <v>8.9999999999999993E-3</v>
      </c>
      <c r="F3989" s="109">
        <v>8.9999999999999993E-3</v>
      </c>
      <c r="G3989" s="130">
        <v>0</v>
      </c>
      <c r="H3989" s="71">
        <v>8.4</v>
      </c>
      <c r="I3989" s="71">
        <v>10.9</v>
      </c>
      <c r="J3989" s="71">
        <v>13.3</v>
      </c>
      <c r="K3989" s="109">
        <v>8.5000000000000006E-3</v>
      </c>
      <c r="L3989" s="121">
        <v>-8.0000000000000002E-3</v>
      </c>
      <c r="M3989" s="75" t="s">
        <v>146</v>
      </c>
      <c r="N3989" s="75" t="b">
        <v>1</v>
      </c>
      <c r="O3989" s="75" t="s">
        <v>145</v>
      </c>
      <c r="P3989" s="75">
        <v>2014</v>
      </c>
      <c r="Q3989" s="107">
        <f t="shared" si="120"/>
        <v>2018</v>
      </c>
      <c r="R3989" s="107">
        <v>2</v>
      </c>
      <c r="S3989" s="43">
        <v>218131</v>
      </c>
      <c r="T3989" s="74">
        <v>43405</v>
      </c>
    </row>
    <row r="3990" spans="1:20" x14ac:dyDescent="0.3">
      <c r="A3990" s="42">
        <v>43448</v>
      </c>
      <c r="B3990" s="37">
        <f t="shared" si="122"/>
        <v>20181214</v>
      </c>
      <c r="C3990" s="109">
        <v>2.2400000000000003E-2</v>
      </c>
      <c r="D3990" s="109">
        <v>8.0000000000000002E-3</v>
      </c>
      <c r="E3990" s="109">
        <v>8.9999999999999993E-3</v>
      </c>
      <c r="F3990" s="109">
        <v>8.9999999999999993E-3</v>
      </c>
      <c r="G3990" s="130">
        <v>0</v>
      </c>
      <c r="H3990" s="71">
        <v>8.4</v>
      </c>
      <c r="I3990" s="71">
        <v>10.9</v>
      </c>
      <c r="J3990" s="71">
        <v>13.3</v>
      </c>
      <c r="K3990" s="109">
        <v>8.1000000000000013E-3</v>
      </c>
      <c r="L3990" s="121">
        <v>-8.0000000000000002E-3</v>
      </c>
      <c r="M3990" s="75" t="s">
        <v>146</v>
      </c>
      <c r="N3990" s="75" t="b">
        <v>1</v>
      </c>
      <c r="O3990" s="75" t="s">
        <v>145</v>
      </c>
      <c r="P3990" s="75">
        <v>2014</v>
      </c>
      <c r="Q3990" s="107">
        <f t="shared" si="120"/>
        <v>2018</v>
      </c>
      <c r="R3990" s="107">
        <v>2</v>
      </c>
      <c r="S3990" s="43">
        <v>218131</v>
      </c>
      <c r="T3990" s="74">
        <v>43405</v>
      </c>
    </row>
    <row r="3991" spans="1:20" x14ac:dyDescent="0.3">
      <c r="A3991" s="42">
        <v>43449</v>
      </c>
      <c r="B3991" s="37">
        <f t="shared" si="122"/>
        <v>20181215</v>
      </c>
      <c r="C3991" s="109">
        <v>2.2400000000000003E-2</v>
      </c>
      <c r="D3991" s="109">
        <v>8.0000000000000002E-3</v>
      </c>
      <c r="E3991" s="109">
        <v>8.9999999999999993E-3</v>
      </c>
      <c r="F3991" s="109">
        <v>8.9999999999999993E-3</v>
      </c>
      <c r="G3991" s="130">
        <v>0</v>
      </c>
      <c r="H3991" s="71">
        <v>8.4</v>
      </c>
      <c r="I3991" s="71">
        <v>10.9</v>
      </c>
      <c r="J3991" s="71">
        <v>13.3</v>
      </c>
      <c r="K3991" s="109">
        <v>8.1000000000000013E-3</v>
      </c>
      <c r="L3991" s="121">
        <v>-8.0000000000000002E-3</v>
      </c>
      <c r="M3991" s="75" t="s">
        <v>146</v>
      </c>
      <c r="N3991" s="75" t="b">
        <v>1</v>
      </c>
      <c r="O3991" s="75" t="s">
        <v>145</v>
      </c>
      <c r="P3991" s="75">
        <v>2014</v>
      </c>
      <c r="Q3991" s="107">
        <f t="shared" si="120"/>
        <v>2018</v>
      </c>
      <c r="R3991" s="107">
        <v>2</v>
      </c>
      <c r="S3991" s="43">
        <v>218131</v>
      </c>
      <c r="T3991" s="74">
        <v>43405</v>
      </c>
    </row>
    <row r="3992" spans="1:20" x14ac:dyDescent="0.3">
      <c r="A3992" s="42">
        <v>43450</v>
      </c>
      <c r="B3992" s="37">
        <f t="shared" si="122"/>
        <v>20181216</v>
      </c>
      <c r="C3992" s="109">
        <v>2.24E-2</v>
      </c>
      <c r="D3992" s="109">
        <v>8.0000000000000002E-3</v>
      </c>
      <c r="E3992" s="109">
        <v>8.9999999999999993E-3</v>
      </c>
      <c r="F3992" s="109">
        <v>8.9999999999999993E-3</v>
      </c>
      <c r="G3992" s="130">
        <v>0</v>
      </c>
      <c r="H3992" s="71">
        <v>8.4</v>
      </c>
      <c r="I3992" s="71">
        <v>10.9</v>
      </c>
      <c r="J3992" s="71">
        <v>13.3</v>
      </c>
      <c r="K3992" s="109">
        <v>8.1000000000000013E-3</v>
      </c>
      <c r="L3992" s="121">
        <v>-8.0000000000000002E-3</v>
      </c>
      <c r="M3992" s="75" t="s">
        <v>146</v>
      </c>
      <c r="N3992" s="75" t="b">
        <v>1</v>
      </c>
      <c r="O3992" s="75" t="s">
        <v>145</v>
      </c>
      <c r="P3992" s="75">
        <v>2014</v>
      </c>
      <c r="Q3992" s="107">
        <f t="shared" si="120"/>
        <v>2018</v>
      </c>
      <c r="R3992" s="107">
        <v>2</v>
      </c>
      <c r="S3992" s="43">
        <v>218131</v>
      </c>
      <c r="T3992" s="74">
        <v>43405</v>
      </c>
    </row>
    <row r="3993" spans="1:20" x14ac:dyDescent="0.3">
      <c r="A3993" s="42">
        <v>43451</v>
      </c>
      <c r="B3993" s="37">
        <f t="shared" si="122"/>
        <v>20181217</v>
      </c>
      <c r="C3993" s="109">
        <v>2.1899999999999999E-2</v>
      </c>
      <c r="D3993" s="109">
        <v>8.0000000000000002E-3</v>
      </c>
      <c r="E3993" s="109">
        <v>8.9999999999999993E-3</v>
      </c>
      <c r="F3993" s="109">
        <v>8.9999999999999993E-3</v>
      </c>
      <c r="G3993" s="130">
        <v>0</v>
      </c>
      <c r="H3993" s="71">
        <v>8.4</v>
      </c>
      <c r="I3993" s="71">
        <v>10.9</v>
      </c>
      <c r="J3993" s="71">
        <v>13.3</v>
      </c>
      <c r="K3993" s="109">
        <v>7.9000000000000008E-3</v>
      </c>
      <c r="L3993" s="121">
        <v>-8.0000000000000002E-3</v>
      </c>
      <c r="M3993" s="75" t="s">
        <v>146</v>
      </c>
      <c r="N3993" s="75" t="b">
        <v>1</v>
      </c>
      <c r="O3993" s="75" t="s">
        <v>145</v>
      </c>
      <c r="P3993" s="75">
        <v>2014</v>
      </c>
      <c r="Q3993" s="107">
        <f t="shared" si="120"/>
        <v>2018</v>
      </c>
      <c r="R3993" s="107">
        <v>2</v>
      </c>
      <c r="S3993" s="43">
        <v>218131</v>
      </c>
      <c r="T3993" s="74">
        <v>43405</v>
      </c>
    </row>
    <row r="3994" spans="1:20" x14ac:dyDescent="0.3">
      <c r="A3994" s="42">
        <v>43452</v>
      </c>
      <c r="B3994" s="37">
        <f t="shared" si="122"/>
        <v>20181218</v>
      </c>
      <c r="C3994" s="109">
        <v>2.1499999999999998E-2</v>
      </c>
      <c r="D3994" s="109">
        <v>8.0000000000000002E-3</v>
      </c>
      <c r="E3994" s="109">
        <v>8.9999999999999993E-3</v>
      </c>
      <c r="F3994" s="109">
        <v>8.9999999999999993E-3</v>
      </c>
      <c r="G3994" s="130">
        <v>0</v>
      </c>
      <c r="H3994" s="71">
        <v>8.4</v>
      </c>
      <c r="I3994" s="71">
        <v>10.9</v>
      </c>
      <c r="J3994" s="71">
        <v>13.3</v>
      </c>
      <c r="K3994" s="109">
        <v>7.6E-3</v>
      </c>
      <c r="L3994" s="121">
        <v>-8.0000000000000002E-3</v>
      </c>
      <c r="M3994" s="75" t="s">
        <v>146</v>
      </c>
      <c r="N3994" s="75" t="b">
        <v>1</v>
      </c>
      <c r="O3994" s="75" t="s">
        <v>145</v>
      </c>
      <c r="P3994" s="75">
        <v>2014</v>
      </c>
      <c r="Q3994" s="107">
        <f t="shared" si="120"/>
        <v>2018</v>
      </c>
      <c r="R3994" s="107">
        <v>2</v>
      </c>
      <c r="S3994" s="43">
        <v>218131</v>
      </c>
      <c r="T3994" s="74">
        <v>43405</v>
      </c>
    </row>
    <row r="3995" spans="1:20" x14ac:dyDescent="0.3">
      <c r="A3995" s="42">
        <v>43453</v>
      </c>
      <c r="B3995" s="37">
        <f t="shared" si="122"/>
        <v>20181219</v>
      </c>
      <c r="C3995" s="109">
        <v>2.1000000000000001E-2</v>
      </c>
      <c r="D3995" s="109">
        <v>8.0000000000000002E-3</v>
      </c>
      <c r="E3995" s="109">
        <v>8.9999999999999993E-3</v>
      </c>
      <c r="F3995" s="109">
        <v>8.9999999999999993E-3</v>
      </c>
      <c r="G3995" s="130">
        <v>0</v>
      </c>
      <c r="H3995" s="71">
        <v>8.4</v>
      </c>
      <c r="I3995" s="71">
        <v>10.9</v>
      </c>
      <c r="J3995" s="71">
        <v>13.3</v>
      </c>
      <c r="K3995" s="109">
        <v>7.0999999999999995E-3</v>
      </c>
      <c r="L3995" s="121">
        <v>-8.0000000000000002E-3</v>
      </c>
      <c r="M3995" s="75" t="s">
        <v>146</v>
      </c>
      <c r="N3995" s="75" t="b">
        <v>1</v>
      </c>
      <c r="O3995" s="75" t="s">
        <v>145</v>
      </c>
      <c r="P3995" s="75">
        <v>2014</v>
      </c>
      <c r="Q3995" s="107">
        <f t="shared" si="120"/>
        <v>2018</v>
      </c>
      <c r="R3995" s="107">
        <v>2</v>
      </c>
      <c r="S3995" s="43">
        <v>218131</v>
      </c>
      <c r="T3995" s="74">
        <v>43405</v>
      </c>
    </row>
    <row r="3996" spans="1:20" x14ac:dyDescent="0.3">
      <c r="A3996" s="42">
        <v>43454</v>
      </c>
      <c r="B3996" s="37">
        <f t="shared" si="122"/>
        <v>20181220</v>
      </c>
      <c r="C3996" s="109">
        <v>2.12E-2</v>
      </c>
      <c r="D3996" s="109">
        <v>8.0000000000000002E-3</v>
      </c>
      <c r="E3996" s="109">
        <v>8.9999999999999993E-3</v>
      </c>
      <c r="F3996" s="109">
        <v>8.9999999999999993E-3</v>
      </c>
      <c r="G3996" s="130">
        <v>0</v>
      </c>
      <c r="H3996" s="71">
        <v>8.4</v>
      </c>
      <c r="I3996" s="71">
        <v>10.9</v>
      </c>
      <c r="J3996" s="71">
        <v>13.3</v>
      </c>
      <c r="K3996" s="109">
        <v>7.4999999999999997E-3</v>
      </c>
      <c r="L3996" s="121">
        <v>-8.0000000000000002E-3</v>
      </c>
      <c r="M3996" s="75" t="s">
        <v>146</v>
      </c>
      <c r="N3996" s="75" t="b">
        <v>1</v>
      </c>
      <c r="O3996" s="75" t="s">
        <v>145</v>
      </c>
      <c r="P3996" s="75">
        <v>2014</v>
      </c>
      <c r="Q3996" s="107">
        <f t="shared" si="120"/>
        <v>2018</v>
      </c>
      <c r="R3996" s="107">
        <v>2</v>
      </c>
      <c r="S3996" s="43">
        <v>218131</v>
      </c>
      <c r="T3996" s="74">
        <v>43405</v>
      </c>
    </row>
    <row r="3997" spans="1:20" x14ac:dyDescent="0.3">
      <c r="A3997" s="42">
        <v>43455</v>
      </c>
      <c r="B3997" s="37">
        <f t="shared" ref="B3997:B4060" si="123">YEAR(A3997)*10000+MONTH(A3997)*100+DAY(A3997)</f>
        <v>20181221</v>
      </c>
      <c r="C3997" s="109">
        <v>2.1499999999999998E-2</v>
      </c>
      <c r="D3997" s="109">
        <v>8.0000000000000002E-3</v>
      </c>
      <c r="E3997" s="109">
        <v>8.9999999999999993E-3</v>
      </c>
      <c r="F3997" s="109">
        <v>8.9999999999999993E-3</v>
      </c>
      <c r="G3997" s="130">
        <v>0</v>
      </c>
      <c r="H3997" s="71">
        <v>8.4</v>
      </c>
      <c r="I3997" s="71">
        <v>10.9</v>
      </c>
      <c r="J3997" s="71">
        <v>13.3</v>
      </c>
      <c r="K3997" s="109">
        <v>7.6E-3</v>
      </c>
      <c r="L3997" s="121">
        <v>-8.0000000000000002E-3</v>
      </c>
      <c r="M3997" s="75" t="s">
        <v>146</v>
      </c>
      <c r="N3997" s="75" t="b">
        <v>1</v>
      </c>
      <c r="O3997" s="75" t="s">
        <v>145</v>
      </c>
      <c r="P3997" s="75">
        <v>2014</v>
      </c>
      <c r="Q3997" s="107">
        <f t="shared" si="120"/>
        <v>2018</v>
      </c>
      <c r="R3997" s="107">
        <v>2</v>
      </c>
      <c r="S3997" s="43">
        <v>218131</v>
      </c>
      <c r="T3997" s="74">
        <v>43405</v>
      </c>
    </row>
    <row r="3998" spans="1:20" x14ac:dyDescent="0.3">
      <c r="A3998" s="42">
        <v>43456</v>
      </c>
      <c r="B3998" s="37">
        <f t="shared" si="123"/>
        <v>20181222</v>
      </c>
      <c r="C3998" s="109">
        <v>2.1499999999999998E-2</v>
      </c>
      <c r="D3998" s="109">
        <v>8.0000000000000002E-3</v>
      </c>
      <c r="E3998" s="109">
        <v>8.9999999999999993E-3</v>
      </c>
      <c r="F3998" s="109">
        <v>8.9999999999999993E-3</v>
      </c>
      <c r="G3998" s="130">
        <v>0</v>
      </c>
      <c r="H3998" s="71">
        <v>8.4</v>
      </c>
      <c r="I3998" s="71">
        <v>10.9</v>
      </c>
      <c r="J3998" s="71">
        <v>13.3</v>
      </c>
      <c r="K3998" s="109">
        <v>7.6E-3</v>
      </c>
      <c r="L3998" s="121">
        <v>-8.0000000000000002E-3</v>
      </c>
      <c r="M3998" s="75" t="s">
        <v>146</v>
      </c>
      <c r="N3998" s="75" t="b">
        <v>1</v>
      </c>
      <c r="O3998" s="75" t="s">
        <v>145</v>
      </c>
      <c r="P3998" s="75">
        <v>2014</v>
      </c>
      <c r="Q3998" s="107">
        <f t="shared" si="120"/>
        <v>2018</v>
      </c>
      <c r="R3998" s="107">
        <v>2</v>
      </c>
      <c r="S3998" s="43">
        <v>218131</v>
      </c>
      <c r="T3998" s="74">
        <v>43405</v>
      </c>
    </row>
    <row r="3999" spans="1:20" x14ac:dyDescent="0.3">
      <c r="A3999" s="42">
        <v>43457</v>
      </c>
      <c r="B3999" s="37">
        <f t="shared" si="123"/>
        <v>20181223</v>
      </c>
      <c r="C3999" s="109">
        <v>2.1499999999999998E-2</v>
      </c>
      <c r="D3999" s="109">
        <v>8.0000000000000002E-3</v>
      </c>
      <c r="E3999" s="109">
        <v>8.9999999999999993E-3</v>
      </c>
      <c r="F3999" s="109">
        <v>8.9999999999999993E-3</v>
      </c>
      <c r="G3999" s="130">
        <v>0</v>
      </c>
      <c r="H3999" s="71">
        <v>8.4</v>
      </c>
      <c r="I3999" s="71">
        <v>10.9</v>
      </c>
      <c r="J3999" s="71">
        <v>13.3</v>
      </c>
      <c r="K3999" s="109">
        <v>7.6E-3</v>
      </c>
      <c r="L3999" s="121">
        <v>-8.0000000000000002E-3</v>
      </c>
      <c r="M3999" s="75" t="s">
        <v>146</v>
      </c>
      <c r="N3999" s="75" t="b">
        <v>1</v>
      </c>
      <c r="O3999" s="75" t="s">
        <v>145</v>
      </c>
      <c r="P3999" s="75">
        <v>2014</v>
      </c>
      <c r="Q3999" s="107">
        <f t="shared" si="120"/>
        <v>2018</v>
      </c>
      <c r="R3999" s="107">
        <v>2</v>
      </c>
      <c r="S3999" s="43">
        <v>218131</v>
      </c>
      <c r="T3999" s="74">
        <v>43405</v>
      </c>
    </row>
    <row r="4000" spans="1:20" x14ac:dyDescent="0.3">
      <c r="A4000" s="42">
        <v>43458</v>
      </c>
      <c r="B4000" s="37">
        <f t="shared" si="123"/>
        <v>20181224</v>
      </c>
      <c r="C4000" s="109">
        <v>2.12E-2</v>
      </c>
      <c r="D4000" s="109">
        <v>8.0000000000000002E-3</v>
      </c>
      <c r="E4000" s="109">
        <v>8.9999999999999993E-3</v>
      </c>
      <c r="F4000" s="109">
        <v>8.9999999999999993E-3</v>
      </c>
      <c r="G4000" s="130">
        <v>0</v>
      </c>
      <c r="H4000" s="71">
        <v>8.4</v>
      </c>
      <c r="I4000" s="71">
        <v>10.9</v>
      </c>
      <c r="J4000" s="71">
        <v>13.3</v>
      </c>
      <c r="K4000" s="109">
        <v>7.4999999999999997E-3</v>
      </c>
      <c r="L4000" s="121">
        <v>-8.0000000000000002E-3</v>
      </c>
      <c r="M4000" s="75" t="s">
        <v>146</v>
      </c>
      <c r="N4000" s="75" t="b">
        <v>1</v>
      </c>
      <c r="O4000" s="75" t="s">
        <v>145</v>
      </c>
      <c r="P4000" s="75">
        <v>2014</v>
      </c>
      <c r="Q4000" s="107">
        <f t="shared" si="120"/>
        <v>2018</v>
      </c>
      <c r="R4000" s="107">
        <v>2</v>
      </c>
      <c r="S4000" s="43">
        <v>218131</v>
      </c>
      <c r="T4000" s="74">
        <v>43405</v>
      </c>
    </row>
    <row r="4001" spans="1:21" x14ac:dyDescent="0.3">
      <c r="A4001" s="42">
        <v>43459</v>
      </c>
      <c r="B4001" s="37">
        <f t="shared" si="123"/>
        <v>20181225</v>
      </c>
      <c r="C4001" s="109">
        <v>2.12E-2</v>
      </c>
      <c r="D4001" s="109">
        <v>8.0000000000000002E-3</v>
      </c>
      <c r="E4001" s="109">
        <v>8.9999999999999993E-3</v>
      </c>
      <c r="F4001" s="109">
        <v>8.9999999999999993E-3</v>
      </c>
      <c r="G4001" s="130">
        <v>0</v>
      </c>
      <c r="H4001" s="71">
        <v>8.4</v>
      </c>
      <c r="I4001" s="71">
        <v>10.9</v>
      </c>
      <c r="J4001" s="71">
        <v>13.3</v>
      </c>
      <c r="K4001" s="109">
        <v>7.4999999999999997E-3</v>
      </c>
      <c r="L4001" s="121">
        <v>-8.0000000000000002E-3</v>
      </c>
      <c r="M4001" s="75" t="s">
        <v>146</v>
      </c>
      <c r="N4001" s="75" t="b">
        <v>1</v>
      </c>
      <c r="O4001" s="75" t="s">
        <v>145</v>
      </c>
      <c r="P4001" s="75">
        <v>2014</v>
      </c>
      <c r="Q4001" s="107">
        <f t="shared" si="120"/>
        <v>2018</v>
      </c>
      <c r="R4001" s="107">
        <v>2</v>
      </c>
      <c r="S4001" s="43">
        <v>218131</v>
      </c>
      <c r="T4001" s="74">
        <v>43405</v>
      </c>
    </row>
    <row r="4002" spans="1:21" x14ac:dyDescent="0.3">
      <c r="A4002" s="42">
        <v>43460</v>
      </c>
      <c r="B4002" s="37">
        <f t="shared" si="123"/>
        <v>20181226</v>
      </c>
      <c r="C4002" s="109">
        <v>2.12E-2</v>
      </c>
      <c r="D4002" s="109">
        <v>8.0000000000000002E-3</v>
      </c>
      <c r="E4002" s="109">
        <v>8.9999999999999993E-3</v>
      </c>
      <c r="F4002" s="109">
        <v>8.9999999999999993E-3</v>
      </c>
      <c r="G4002" s="130">
        <v>0</v>
      </c>
      <c r="H4002" s="71">
        <v>8.4</v>
      </c>
      <c r="I4002" s="71">
        <v>10.9</v>
      </c>
      <c r="J4002" s="71">
        <v>13.3</v>
      </c>
      <c r="K4002" s="109">
        <v>7.4999999999999997E-3</v>
      </c>
      <c r="L4002" s="121">
        <v>-8.0000000000000002E-3</v>
      </c>
      <c r="M4002" s="75" t="s">
        <v>146</v>
      </c>
      <c r="N4002" s="75" t="b">
        <v>1</v>
      </c>
      <c r="O4002" s="75" t="s">
        <v>145</v>
      </c>
      <c r="P4002" s="75">
        <v>2014</v>
      </c>
      <c r="Q4002" s="107">
        <f t="shared" si="120"/>
        <v>2018</v>
      </c>
      <c r="R4002" s="107">
        <v>2</v>
      </c>
      <c r="S4002" s="43">
        <v>218131</v>
      </c>
      <c r="T4002" s="74">
        <v>43405</v>
      </c>
    </row>
    <row r="4003" spans="1:21" x14ac:dyDescent="0.3">
      <c r="A4003" s="42">
        <v>43461</v>
      </c>
      <c r="B4003" s="37">
        <f t="shared" si="123"/>
        <v>20181227</v>
      </c>
      <c r="C4003" s="109">
        <v>2.1299999999999999E-2</v>
      </c>
      <c r="D4003" s="109">
        <v>8.0000000000000002E-3</v>
      </c>
      <c r="E4003" s="109">
        <v>8.9999999999999993E-3</v>
      </c>
      <c r="F4003" s="109">
        <v>8.9999999999999993E-3</v>
      </c>
      <c r="G4003" s="130">
        <v>0</v>
      </c>
      <c r="H4003" s="71">
        <v>8.4</v>
      </c>
      <c r="I4003" s="71">
        <v>10.9</v>
      </c>
      <c r="J4003" s="71">
        <v>13.3</v>
      </c>
      <c r="K4003" s="109">
        <v>7.4999999999999997E-3</v>
      </c>
      <c r="L4003" s="121">
        <v>-8.0000000000000002E-3</v>
      </c>
      <c r="M4003" s="75" t="s">
        <v>146</v>
      </c>
      <c r="N4003" s="75" t="b">
        <v>1</v>
      </c>
      <c r="O4003" s="75" t="s">
        <v>145</v>
      </c>
      <c r="P4003" s="75">
        <v>2014</v>
      </c>
      <c r="Q4003" s="107">
        <f t="shared" si="120"/>
        <v>2018</v>
      </c>
      <c r="R4003" s="107">
        <v>2</v>
      </c>
      <c r="S4003" s="43">
        <v>218131</v>
      </c>
      <c r="T4003" s="74">
        <v>43405</v>
      </c>
    </row>
    <row r="4004" spans="1:21" x14ac:dyDescent="0.3">
      <c r="A4004" s="42">
        <v>43462</v>
      </c>
      <c r="B4004" s="37">
        <f t="shared" si="123"/>
        <v>20181228</v>
      </c>
      <c r="C4004" s="109">
        <v>2.1099999999999997E-2</v>
      </c>
      <c r="D4004" s="109">
        <v>8.0000000000000002E-3</v>
      </c>
      <c r="E4004" s="109">
        <v>8.9999999999999993E-3</v>
      </c>
      <c r="F4004" s="109">
        <v>8.9999999999999993E-3</v>
      </c>
      <c r="G4004" s="130">
        <v>0</v>
      </c>
      <c r="H4004" s="71">
        <v>8.4</v>
      </c>
      <c r="I4004" s="71">
        <v>10.9</v>
      </c>
      <c r="J4004" s="71">
        <v>13.3</v>
      </c>
      <c r="K4004" s="109">
        <v>7.4999999999999997E-3</v>
      </c>
      <c r="L4004" s="121">
        <v>-8.0000000000000002E-3</v>
      </c>
      <c r="M4004" s="75" t="s">
        <v>146</v>
      </c>
      <c r="N4004" s="75" t="b">
        <v>1</v>
      </c>
      <c r="O4004" s="75" t="s">
        <v>145</v>
      </c>
      <c r="P4004" s="75">
        <v>2014</v>
      </c>
      <c r="Q4004" s="107">
        <f t="shared" si="120"/>
        <v>2018</v>
      </c>
      <c r="R4004" s="107">
        <v>2</v>
      </c>
      <c r="S4004" s="43">
        <v>218131</v>
      </c>
      <c r="T4004" s="74">
        <v>43405</v>
      </c>
    </row>
    <row r="4005" spans="1:21" x14ac:dyDescent="0.3">
      <c r="A4005" s="42">
        <v>43463</v>
      </c>
      <c r="B4005" s="37">
        <f t="shared" si="123"/>
        <v>20181229</v>
      </c>
      <c r="C4005" s="109">
        <v>2.1099999999999997E-2</v>
      </c>
      <c r="D4005" s="109">
        <v>8.0000000000000002E-3</v>
      </c>
      <c r="E4005" s="109">
        <v>8.9999999999999993E-3</v>
      </c>
      <c r="F4005" s="109">
        <v>8.9999999999999993E-3</v>
      </c>
      <c r="G4005" s="130">
        <v>0</v>
      </c>
      <c r="H4005" s="71">
        <v>8.4</v>
      </c>
      <c r="I4005" s="71">
        <v>10.9</v>
      </c>
      <c r="J4005" s="71">
        <v>13.3</v>
      </c>
      <c r="K4005" s="109">
        <v>7.4999999999999997E-3</v>
      </c>
      <c r="L4005" s="121">
        <v>-8.0000000000000002E-3</v>
      </c>
      <c r="M4005" s="75" t="s">
        <v>146</v>
      </c>
      <c r="N4005" s="75" t="b">
        <v>1</v>
      </c>
      <c r="O4005" s="75" t="s">
        <v>145</v>
      </c>
      <c r="P4005" s="75">
        <v>2014</v>
      </c>
      <c r="Q4005" s="107">
        <f t="shared" si="120"/>
        <v>2018</v>
      </c>
      <c r="R4005" s="107">
        <v>2</v>
      </c>
      <c r="S4005" s="43">
        <v>218131</v>
      </c>
      <c r="T4005" s="74">
        <v>43405</v>
      </c>
    </row>
    <row r="4006" spans="1:21" x14ac:dyDescent="0.3">
      <c r="A4006" s="42">
        <v>43464</v>
      </c>
      <c r="B4006" s="37">
        <f t="shared" si="123"/>
        <v>20181230</v>
      </c>
      <c r="C4006" s="109">
        <v>2.1099999999999997E-2</v>
      </c>
      <c r="D4006" s="109">
        <v>8.0000000000000002E-3</v>
      </c>
      <c r="E4006" s="109">
        <v>8.9999999999999993E-3</v>
      </c>
      <c r="F4006" s="109">
        <v>8.9999999999999993E-3</v>
      </c>
      <c r="G4006" s="130">
        <v>0</v>
      </c>
      <c r="H4006" s="71">
        <v>8.4</v>
      </c>
      <c r="I4006" s="71">
        <v>10.9</v>
      </c>
      <c r="J4006" s="71">
        <v>13.3</v>
      </c>
      <c r="K4006" s="109">
        <v>7.4999999999999997E-3</v>
      </c>
      <c r="L4006" s="121">
        <v>-8.0000000000000002E-3</v>
      </c>
      <c r="M4006" s="75" t="s">
        <v>146</v>
      </c>
      <c r="N4006" s="75" t="b">
        <v>1</v>
      </c>
      <c r="O4006" s="75" t="s">
        <v>145</v>
      </c>
      <c r="P4006" s="75">
        <v>2014</v>
      </c>
      <c r="Q4006" s="107">
        <f t="shared" si="120"/>
        <v>2018</v>
      </c>
      <c r="R4006" s="107">
        <v>2</v>
      </c>
      <c r="S4006" s="43">
        <v>218131</v>
      </c>
      <c r="T4006" s="74">
        <v>43405</v>
      </c>
    </row>
    <row r="4007" spans="1:21" s="116" customFormat="1" x14ac:dyDescent="0.3">
      <c r="A4007" s="110">
        <v>43465</v>
      </c>
      <c r="B4007" s="132">
        <f t="shared" si="123"/>
        <v>20181231</v>
      </c>
      <c r="C4007" s="111">
        <v>2.1299999999999999E-2</v>
      </c>
      <c r="D4007" s="120">
        <v>0.01</v>
      </c>
      <c r="E4007" s="120">
        <v>1.0999999999999999E-2</v>
      </c>
      <c r="F4007" s="120">
        <v>1.0999999999999999E-2</v>
      </c>
      <c r="G4007" s="133">
        <v>0</v>
      </c>
      <c r="H4007" s="124">
        <v>8.5</v>
      </c>
      <c r="I4007" s="124">
        <v>11</v>
      </c>
      <c r="J4007" s="124">
        <v>13.4</v>
      </c>
      <c r="K4007" s="111">
        <v>7.8000000000000005E-3</v>
      </c>
      <c r="L4007" s="125">
        <v>-7.0000000000000001E-3</v>
      </c>
      <c r="M4007" s="98" t="s">
        <v>146</v>
      </c>
      <c r="N4007" s="98" t="b">
        <v>1</v>
      </c>
      <c r="O4007" s="98" t="s">
        <v>145</v>
      </c>
      <c r="P4007" s="98">
        <v>2014</v>
      </c>
      <c r="Q4007" s="105">
        <f t="shared" si="120"/>
        <v>2018</v>
      </c>
      <c r="R4007" s="105">
        <v>2</v>
      </c>
      <c r="S4007" s="127">
        <v>219030</v>
      </c>
      <c r="T4007" s="128">
        <v>43542</v>
      </c>
      <c r="U4007" s="104" t="s">
        <v>176</v>
      </c>
    </row>
    <row r="4008" spans="1:21" x14ac:dyDescent="0.3">
      <c r="A4008" s="42">
        <v>43466</v>
      </c>
      <c r="B4008" s="37">
        <f t="shared" si="123"/>
        <v>20190101</v>
      </c>
      <c r="C4008" s="109">
        <v>2.1299999999999999E-2</v>
      </c>
      <c r="D4008" s="109">
        <v>0.01</v>
      </c>
      <c r="E4008" s="109">
        <v>1.0999999999999999E-2</v>
      </c>
      <c r="F4008" s="109">
        <v>1.0999999999999999E-2</v>
      </c>
      <c r="G4008" s="130">
        <v>0</v>
      </c>
      <c r="H4008" s="71">
        <v>8.5</v>
      </c>
      <c r="I4008" s="71">
        <v>11</v>
      </c>
      <c r="J4008" s="71">
        <v>13.4</v>
      </c>
      <c r="K4008" s="109">
        <v>7.8000000000000005E-3</v>
      </c>
      <c r="L4008" s="121">
        <v>-7.0000000000000001E-3</v>
      </c>
      <c r="M4008" s="75" t="s">
        <v>146</v>
      </c>
      <c r="N4008" s="75" t="b">
        <v>1</v>
      </c>
      <c r="O4008" s="75" t="s">
        <v>145</v>
      </c>
      <c r="P4008" s="75">
        <v>2014</v>
      </c>
      <c r="Q4008" s="107">
        <f t="shared" si="120"/>
        <v>2019</v>
      </c>
      <c r="R4008" s="107">
        <v>2</v>
      </c>
      <c r="S4008" s="43">
        <v>219030</v>
      </c>
      <c r="T4008" s="74">
        <v>43542</v>
      </c>
    </row>
    <row r="4009" spans="1:21" x14ac:dyDescent="0.3">
      <c r="A4009" s="42">
        <v>43467</v>
      </c>
      <c r="B4009" s="37">
        <f t="shared" si="123"/>
        <v>20190102</v>
      </c>
      <c r="C4009" s="109">
        <v>2.0799999999999999E-2</v>
      </c>
      <c r="D4009" s="109">
        <v>0.01</v>
      </c>
      <c r="E4009" s="109">
        <v>1.0999999999999999E-2</v>
      </c>
      <c r="F4009" s="109">
        <v>1.0999999999999999E-2</v>
      </c>
      <c r="G4009" s="130">
        <v>0</v>
      </c>
      <c r="H4009" s="71">
        <v>8.5</v>
      </c>
      <c r="I4009" s="71">
        <v>11</v>
      </c>
      <c r="J4009" s="71">
        <v>13.4</v>
      </c>
      <c r="K4009" s="109">
        <v>7.3000000000000001E-3</v>
      </c>
      <c r="L4009" s="121">
        <v>-7.0000000000000001E-3</v>
      </c>
      <c r="M4009" s="75" t="s">
        <v>146</v>
      </c>
      <c r="N4009" s="75" t="b">
        <v>1</v>
      </c>
      <c r="O4009" s="75" t="s">
        <v>145</v>
      </c>
      <c r="P4009" s="75">
        <v>2014</v>
      </c>
      <c r="Q4009" s="107">
        <f t="shared" si="120"/>
        <v>2019</v>
      </c>
      <c r="R4009" s="107">
        <v>2</v>
      </c>
      <c r="S4009" s="43">
        <v>219030</v>
      </c>
      <c r="T4009" s="74">
        <v>43542</v>
      </c>
    </row>
    <row r="4010" spans="1:21" x14ac:dyDescent="0.3">
      <c r="A4010" s="42">
        <v>43468</v>
      </c>
      <c r="B4010" s="37">
        <f t="shared" si="123"/>
        <v>20190103</v>
      </c>
      <c r="C4010" s="109">
        <v>2.0099999999999996E-2</v>
      </c>
      <c r="D4010" s="109">
        <v>0.01</v>
      </c>
      <c r="E4010" s="109">
        <v>1.0999999999999999E-2</v>
      </c>
      <c r="F4010" s="109">
        <v>1.0999999999999999E-2</v>
      </c>
      <c r="G4010" s="130">
        <v>0</v>
      </c>
      <c r="H4010" s="71">
        <v>8.5</v>
      </c>
      <c r="I4010" s="71">
        <v>11</v>
      </c>
      <c r="J4010" s="71">
        <v>13.4</v>
      </c>
      <c r="K4010" s="109">
        <v>6.8000000000000005E-3</v>
      </c>
      <c r="L4010" s="121">
        <v>-7.0000000000000001E-3</v>
      </c>
      <c r="M4010" s="75" t="s">
        <v>146</v>
      </c>
      <c r="N4010" s="75" t="b">
        <v>1</v>
      </c>
      <c r="O4010" s="75" t="s">
        <v>145</v>
      </c>
      <c r="P4010" s="75">
        <v>2014</v>
      </c>
      <c r="Q4010" s="107">
        <f t="shared" si="120"/>
        <v>2019</v>
      </c>
      <c r="R4010" s="107">
        <v>2</v>
      </c>
      <c r="S4010" s="43">
        <v>219030</v>
      </c>
      <c r="T4010" s="74">
        <v>43542</v>
      </c>
    </row>
    <row r="4011" spans="1:21" x14ac:dyDescent="0.3">
      <c r="A4011" s="42">
        <v>43469</v>
      </c>
      <c r="B4011" s="37">
        <f t="shared" si="123"/>
        <v>20190104</v>
      </c>
      <c r="C4011" s="109">
        <v>2.0799999999999999E-2</v>
      </c>
      <c r="D4011" s="109">
        <v>0.01</v>
      </c>
      <c r="E4011" s="109">
        <v>1.0999999999999999E-2</v>
      </c>
      <c r="F4011" s="109">
        <v>1.0999999999999999E-2</v>
      </c>
      <c r="G4011" s="130">
        <v>0</v>
      </c>
      <c r="H4011" s="71">
        <v>8.5</v>
      </c>
      <c r="I4011" s="71">
        <v>11</v>
      </c>
      <c r="J4011" s="71">
        <v>13.4</v>
      </c>
      <c r="K4011" s="121">
        <v>6.9999999999999993E-3</v>
      </c>
      <c r="L4011" s="121">
        <v>-7.0000000000000001E-3</v>
      </c>
      <c r="M4011" s="75" t="s">
        <v>146</v>
      </c>
      <c r="N4011" s="75" t="b">
        <v>1</v>
      </c>
      <c r="O4011" s="75" t="s">
        <v>145</v>
      </c>
      <c r="P4011" s="75">
        <v>2014</v>
      </c>
      <c r="Q4011" s="107">
        <f t="shared" si="120"/>
        <v>2019</v>
      </c>
      <c r="R4011" s="107">
        <v>2</v>
      </c>
      <c r="S4011" s="43">
        <v>219030</v>
      </c>
      <c r="T4011" s="74">
        <v>43542</v>
      </c>
    </row>
    <row r="4012" spans="1:21" x14ac:dyDescent="0.3">
      <c r="A4012" s="42">
        <v>43470</v>
      </c>
      <c r="B4012" s="37">
        <f>YEAR(A4012)*10000+MONTH(A4012)*100+DAY(A4012)</f>
        <v>20190105</v>
      </c>
      <c r="C4012" s="109">
        <v>2.0799999999999999E-2</v>
      </c>
      <c r="D4012" s="109">
        <v>0.01</v>
      </c>
      <c r="E4012" s="109">
        <v>1.0999999999999999E-2</v>
      </c>
      <c r="F4012" s="109">
        <v>1.0999999999999999E-2</v>
      </c>
      <c r="G4012" s="130">
        <v>0</v>
      </c>
      <c r="H4012" s="71">
        <v>8.5</v>
      </c>
      <c r="I4012" s="71">
        <v>11</v>
      </c>
      <c r="J4012" s="71">
        <v>13.4</v>
      </c>
      <c r="K4012" s="121">
        <v>6.9999999999999993E-3</v>
      </c>
      <c r="L4012" s="121">
        <v>-7.0000000000000001E-3</v>
      </c>
      <c r="M4012" s="75" t="s">
        <v>146</v>
      </c>
      <c r="N4012" s="75" t="b">
        <v>1</v>
      </c>
      <c r="O4012" s="75" t="s">
        <v>145</v>
      </c>
      <c r="P4012" s="75">
        <v>2014</v>
      </c>
      <c r="Q4012" s="107">
        <f t="shared" si="120"/>
        <v>2019</v>
      </c>
      <c r="R4012" s="107">
        <v>2</v>
      </c>
      <c r="S4012" s="43">
        <v>219030</v>
      </c>
      <c r="T4012" s="74">
        <v>43542</v>
      </c>
    </row>
    <row r="4013" spans="1:21" x14ac:dyDescent="0.3">
      <c r="A4013" s="42">
        <v>43471</v>
      </c>
      <c r="B4013" s="37">
        <f>YEAR(A4013)*10000+MONTH(A4013)*100+DAY(A4013)</f>
        <v>20190106</v>
      </c>
      <c r="C4013" s="109">
        <v>2.0799999999999999E-2</v>
      </c>
      <c r="D4013" s="109">
        <v>0.01</v>
      </c>
      <c r="E4013" s="109">
        <v>1.0999999999999999E-2</v>
      </c>
      <c r="F4013" s="109">
        <v>1.0999999999999999E-2</v>
      </c>
      <c r="G4013" s="130">
        <v>0</v>
      </c>
      <c r="H4013" s="71">
        <v>8.5</v>
      </c>
      <c r="I4013" s="71">
        <v>11</v>
      </c>
      <c r="J4013" s="71">
        <v>13.4</v>
      </c>
      <c r="K4013" s="121">
        <v>6.9999999999999993E-3</v>
      </c>
      <c r="L4013" s="121">
        <v>-7.0000000000000001E-3</v>
      </c>
      <c r="M4013" s="75" t="s">
        <v>146</v>
      </c>
      <c r="N4013" s="75" t="b">
        <v>1</v>
      </c>
      <c r="O4013" s="75" t="s">
        <v>145</v>
      </c>
      <c r="P4013" s="75">
        <v>2014</v>
      </c>
      <c r="Q4013" s="107">
        <f t="shared" si="120"/>
        <v>2019</v>
      </c>
      <c r="R4013" s="107">
        <v>2</v>
      </c>
      <c r="S4013" s="43">
        <v>219030</v>
      </c>
      <c r="T4013" s="74">
        <v>43542</v>
      </c>
    </row>
    <row r="4014" spans="1:21" x14ac:dyDescent="0.3">
      <c r="A4014" s="42">
        <v>43472</v>
      </c>
      <c r="B4014" s="37">
        <f t="shared" si="123"/>
        <v>20190107</v>
      </c>
      <c r="C4014" s="109">
        <v>2.1099999999999997E-2</v>
      </c>
      <c r="D4014" s="109">
        <v>0.01</v>
      </c>
      <c r="E4014" s="109">
        <v>1.0999999999999999E-2</v>
      </c>
      <c r="F4014" s="109">
        <v>1.0999999999999999E-2</v>
      </c>
      <c r="G4014" s="130">
        <v>0</v>
      </c>
      <c r="H4014" s="71">
        <v>8.5</v>
      </c>
      <c r="I4014" s="71">
        <v>11</v>
      </c>
      <c r="J4014" s="71">
        <v>13.4</v>
      </c>
      <c r="K4014" s="121">
        <v>7.3000000000000001E-3</v>
      </c>
      <c r="L4014" s="121">
        <v>-7.0000000000000001E-3</v>
      </c>
      <c r="M4014" s="75" t="s">
        <v>146</v>
      </c>
      <c r="N4014" s="75" t="b">
        <v>1</v>
      </c>
      <c r="O4014" s="75" t="s">
        <v>145</v>
      </c>
      <c r="P4014" s="75">
        <v>2014</v>
      </c>
      <c r="Q4014" s="107">
        <f t="shared" ref="Q4014:Q4077" si="124">YEAR(A4014)</f>
        <v>2019</v>
      </c>
      <c r="R4014" s="107">
        <v>2</v>
      </c>
      <c r="S4014" s="43">
        <v>219030</v>
      </c>
      <c r="T4014" s="74">
        <v>43542</v>
      </c>
    </row>
    <row r="4015" spans="1:21" x14ac:dyDescent="0.3">
      <c r="A4015" s="42">
        <v>43473</v>
      </c>
      <c r="B4015" s="37">
        <f t="shared" si="123"/>
        <v>20190108</v>
      </c>
      <c r="C4015" s="109">
        <v>2.12E-2</v>
      </c>
      <c r="D4015" s="109">
        <v>0.01</v>
      </c>
      <c r="E4015" s="109">
        <v>1.0999999999999999E-2</v>
      </c>
      <c r="F4015" s="109">
        <v>1.0999999999999999E-2</v>
      </c>
      <c r="G4015" s="130">
        <v>0</v>
      </c>
      <c r="H4015" s="71">
        <v>8.5</v>
      </c>
      <c r="I4015" s="71">
        <v>11</v>
      </c>
      <c r="J4015" s="71">
        <v>13.4</v>
      </c>
      <c r="K4015" s="121">
        <v>7.4000000000000003E-3</v>
      </c>
      <c r="L4015" s="121">
        <v>-7.0000000000000001E-3</v>
      </c>
      <c r="M4015" s="75" t="s">
        <v>146</v>
      </c>
      <c r="N4015" s="75" t="b">
        <v>1</v>
      </c>
      <c r="O4015" s="75" t="s">
        <v>145</v>
      </c>
      <c r="P4015" s="75">
        <v>2014</v>
      </c>
      <c r="Q4015" s="107">
        <f t="shared" si="124"/>
        <v>2019</v>
      </c>
      <c r="R4015" s="107">
        <v>2</v>
      </c>
      <c r="S4015" s="43">
        <v>219030</v>
      </c>
      <c r="T4015" s="74">
        <v>43542</v>
      </c>
    </row>
    <row r="4016" spans="1:21" x14ac:dyDescent="0.3">
      <c r="A4016" s="42">
        <v>43474</v>
      </c>
      <c r="B4016" s="37">
        <f t="shared" si="123"/>
        <v>20190109</v>
      </c>
      <c r="C4016" s="109">
        <v>2.1400000000000002E-2</v>
      </c>
      <c r="D4016" s="109">
        <v>0.01</v>
      </c>
      <c r="E4016" s="109">
        <v>1.0999999999999999E-2</v>
      </c>
      <c r="F4016" s="109">
        <v>1.0999999999999999E-2</v>
      </c>
      <c r="G4016" s="130">
        <v>0</v>
      </c>
      <c r="H4016" s="71">
        <v>8.5</v>
      </c>
      <c r="I4016" s="71">
        <v>11</v>
      </c>
      <c r="J4016" s="71">
        <v>13.4</v>
      </c>
      <c r="K4016" s="121">
        <v>7.4000000000000003E-3</v>
      </c>
      <c r="L4016" s="121">
        <v>-7.0000000000000001E-3</v>
      </c>
      <c r="M4016" s="75" t="s">
        <v>146</v>
      </c>
      <c r="N4016" s="75" t="b">
        <v>1</v>
      </c>
      <c r="O4016" s="75" t="s">
        <v>145</v>
      </c>
      <c r="P4016" s="75">
        <v>2014</v>
      </c>
      <c r="Q4016" s="107">
        <f t="shared" si="124"/>
        <v>2019</v>
      </c>
      <c r="R4016" s="107">
        <v>2</v>
      </c>
      <c r="S4016" s="43">
        <v>219030</v>
      </c>
      <c r="T4016" s="74">
        <v>43542</v>
      </c>
    </row>
    <row r="4017" spans="1:20" x14ac:dyDescent="0.3">
      <c r="A4017" s="42">
        <v>43475</v>
      </c>
      <c r="B4017" s="37">
        <f t="shared" si="123"/>
        <v>20190110</v>
      </c>
      <c r="C4017" s="109">
        <v>2.1400000000000002E-2</v>
      </c>
      <c r="D4017" s="109">
        <v>0.01</v>
      </c>
      <c r="E4017" s="109">
        <v>1.0999999999999999E-2</v>
      </c>
      <c r="F4017" s="109">
        <v>1.0999999999999999E-2</v>
      </c>
      <c r="G4017" s="130">
        <v>0</v>
      </c>
      <c r="H4017" s="71">
        <v>8.5</v>
      </c>
      <c r="I4017" s="71">
        <v>11</v>
      </c>
      <c r="J4017" s="71">
        <v>13.4</v>
      </c>
      <c r="K4017" s="121">
        <v>7.4000000000000003E-3</v>
      </c>
      <c r="L4017" s="121">
        <v>-7.0000000000000001E-3</v>
      </c>
      <c r="M4017" s="75" t="s">
        <v>146</v>
      </c>
      <c r="N4017" s="75" t="b">
        <v>1</v>
      </c>
      <c r="O4017" s="75" t="s">
        <v>145</v>
      </c>
      <c r="P4017" s="75">
        <v>2014</v>
      </c>
      <c r="Q4017" s="107">
        <f t="shared" si="124"/>
        <v>2019</v>
      </c>
      <c r="R4017" s="107">
        <v>2</v>
      </c>
      <c r="S4017" s="43">
        <v>219030</v>
      </c>
      <c r="T4017" s="74">
        <v>43542</v>
      </c>
    </row>
    <row r="4018" spans="1:20" x14ac:dyDescent="0.3">
      <c r="A4018" s="42">
        <v>43476</v>
      </c>
      <c r="B4018" s="37">
        <f t="shared" si="123"/>
        <v>20190111</v>
      </c>
      <c r="C4018" s="109">
        <v>2.12E-2</v>
      </c>
      <c r="D4018" s="109">
        <v>0.01</v>
      </c>
      <c r="E4018" s="109">
        <v>1.0999999999999999E-2</v>
      </c>
      <c r="F4018" s="109">
        <v>1.0999999999999999E-2</v>
      </c>
      <c r="G4018" s="130">
        <v>0</v>
      </c>
      <c r="H4018" s="71">
        <v>8.5</v>
      </c>
      <c r="I4018" s="71">
        <v>11</v>
      </c>
      <c r="J4018" s="71">
        <v>13.4</v>
      </c>
      <c r="K4018" s="121">
        <v>7.3000000000000001E-3</v>
      </c>
      <c r="L4018" s="121">
        <v>-7.0000000000000001E-3</v>
      </c>
      <c r="M4018" s="75" t="s">
        <v>146</v>
      </c>
      <c r="N4018" s="75" t="b">
        <v>1</v>
      </c>
      <c r="O4018" s="75" t="s">
        <v>145</v>
      </c>
      <c r="P4018" s="75">
        <v>2014</v>
      </c>
      <c r="Q4018" s="107">
        <f t="shared" si="124"/>
        <v>2019</v>
      </c>
      <c r="R4018" s="107">
        <v>2</v>
      </c>
      <c r="S4018" s="43">
        <v>219030</v>
      </c>
      <c r="T4018" s="74">
        <v>43542</v>
      </c>
    </row>
    <row r="4019" spans="1:20" x14ac:dyDescent="0.3">
      <c r="A4019" s="42">
        <v>43477</v>
      </c>
      <c r="B4019" s="37">
        <f>YEAR(A4019)*10000+MONTH(A4019)*100+DAY(A4019)</f>
        <v>20190112</v>
      </c>
      <c r="C4019" s="109">
        <v>2.12E-2</v>
      </c>
      <c r="D4019" s="109">
        <v>0.01</v>
      </c>
      <c r="E4019" s="109">
        <v>1.0999999999999999E-2</v>
      </c>
      <c r="F4019" s="109">
        <v>1.0999999999999999E-2</v>
      </c>
      <c r="G4019" s="130">
        <v>0</v>
      </c>
      <c r="H4019" s="71">
        <v>8.5</v>
      </c>
      <c r="I4019" s="71">
        <v>11</v>
      </c>
      <c r="J4019" s="71">
        <v>13.4</v>
      </c>
      <c r="K4019" s="121">
        <v>7.3000000000000001E-3</v>
      </c>
      <c r="L4019" s="121">
        <v>-7.0000000000000001E-3</v>
      </c>
      <c r="M4019" s="75" t="s">
        <v>146</v>
      </c>
      <c r="N4019" s="75" t="b">
        <v>1</v>
      </c>
      <c r="O4019" s="75" t="s">
        <v>145</v>
      </c>
      <c r="P4019" s="75">
        <v>2014</v>
      </c>
      <c r="Q4019" s="107">
        <f t="shared" si="124"/>
        <v>2019</v>
      </c>
      <c r="R4019" s="107">
        <v>2</v>
      </c>
      <c r="S4019" s="43">
        <v>219030</v>
      </c>
      <c r="T4019" s="74">
        <v>43542</v>
      </c>
    </row>
    <row r="4020" spans="1:20" x14ac:dyDescent="0.3">
      <c r="A4020" s="42">
        <v>43478</v>
      </c>
      <c r="B4020" s="37">
        <f>YEAR(A4020)*10000+MONTH(A4020)*100+DAY(A4020)</f>
        <v>20190113</v>
      </c>
      <c r="C4020" s="109">
        <v>2.12E-2</v>
      </c>
      <c r="D4020" s="109">
        <v>0.01</v>
      </c>
      <c r="E4020" s="109">
        <v>1.0999999999999999E-2</v>
      </c>
      <c r="F4020" s="109">
        <v>1.0999999999999999E-2</v>
      </c>
      <c r="G4020" s="130">
        <v>0</v>
      </c>
      <c r="H4020" s="71">
        <v>8.5</v>
      </c>
      <c r="I4020" s="71">
        <v>11</v>
      </c>
      <c r="J4020" s="71">
        <v>13.4</v>
      </c>
      <c r="K4020" s="121">
        <v>7.3000000000000001E-3</v>
      </c>
      <c r="L4020" s="121">
        <v>-7.0000000000000001E-3</v>
      </c>
      <c r="M4020" s="75" t="s">
        <v>146</v>
      </c>
      <c r="N4020" s="75" t="b">
        <v>1</v>
      </c>
      <c r="O4020" s="75" t="s">
        <v>145</v>
      </c>
      <c r="P4020" s="75">
        <v>2014</v>
      </c>
      <c r="Q4020" s="107">
        <f t="shared" si="124"/>
        <v>2019</v>
      </c>
      <c r="R4020" s="107">
        <v>2</v>
      </c>
      <c r="S4020" s="43">
        <v>219030</v>
      </c>
      <c r="T4020" s="74">
        <v>43542</v>
      </c>
    </row>
    <row r="4021" spans="1:20" x14ac:dyDescent="0.3">
      <c r="A4021" s="42">
        <v>43479</v>
      </c>
      <c r="B4021" s="37">
        <f t="shared" si="123"/>
        <v>20190114</v>
      </c>
      <c r="C4021" s="109">
        <v>2.1299999999999999E-2</v>
      </c>
      <c r="D4021" s="109">
        <v>0.01</v>
      </c>
      <c r="E4021" s="109">
        <v>1.0999999999999999E-2</v>
      </c>
      <c r="F4021" s="109">
        <v>1.0999999999999999E-2</v>
      </c>
      <c r="G4021" s="130">
        <v>0</v>
      </c>
      <c r="H4021" s="71">
        <v>8.5</v>
      </c>
      <c r="I4021" s="71">
        <v>11</v>
      </c>
      <c r="J4021" s="71">
        <v>13.4</v>
      </c>
      <c r="K4021" s="121">
        <v>7.4000000000000003E-3</v>
      </c>
      <c r="L4021" s="121">
        <v>-7.0000000000000001E-3</v>
      </c>
      <c r="M4021" s="75" t="s">
        <v>146</v>
      </c>
      <c r="N4021" s="75" t="b">
        <v>1</v>
      </c>
      <c r="O4021" s="75" t="s">
        <v>145</v>
      </c>
      <c r="P4021" s="75">
        <v>2014</v>
      </c>
      <c r="Q4021" s="107">
        <f t="shared" si="124"/>
        <v>2019</v>
      </c>
      <c r="R4021" s="107">
        <v>2</v>
      </c>
      <c r="S4021" s="43">
        <v>219030</v>
      </c>
      <c r="T4021" s="74">
        <v>43542</v>
      </c>
    </row>
    <row r="4022" spans="1:20" x14ac:dyDescent="0.3">
      <c r="A4022" s="42">
        <v>43480</v>
      </c>
      <c r="B4022" s="37">
        <f t="shared" si="123"/>
        <v>20190115</v>
      </c>
      <c r="C4022" s="109">
        <v>2.1499999999999998E-2</v>
      </c>
      <c r="D4022" s="109">
        <v>0.01</v>
      </c>
      <c r="E4022" s="109">
        <v>1.0999999999999999E-2</v>
      </c>
      <c r="F4022" s="109">
        <v>1.0999999999999999E-2</v>
      </c>
      <c r="G4022" s="130">
        <v>0</v>
      </c>
      <c r="H4022" s="71">
        <v>8.5</v>
      </c>
      <c r="I4022" s="71">
        <v>11</v>
      </c>
      <c r="J4022" s="71">
        <v>13.4</v>
      </c>
      <c r="K4022" s="121">
        <v>7.7000000000000002E-3</v>
      </c>
      <c r="L4022" s="121">
        <v>-7.0000000000000001E-3</v>
      </c>
      <c r="M4022" s="75" t="s">
        <v>146</v>
      </c>
      <c r="N4022" s="75" t="b">
        <v>1</v>
      </c>
      <c r="O4022" s="75" t="s">
        <v>145</v>
      </c>
      <c r="P4022" s="75">
        <v>2014</v>
      </c>
      <c r="Q4022" s="107">
        <f t="shared" si="124"/>
        <v>2019</v>
      </c>
      <c r="R4022" s="107">
        <v>2</v>
      </c>
      <c r="S4022" s="43">
        <v>219030</v>
      </c>
      <c r="T4022" s="74">
        <v>43542</v>
      </c>
    </row>
    <row r="4023" spans="1:20" x14ac:dyDescent="0.3">
      <c r="A4023" s="42">
        <v>43481</v>
      </c>
      <c r="B4023" s="37">
        <f t="shared" si="123"/>
        <v>20190116</v>
      </c>
      <c r="C4023" s="109">
        <v>2.1700000000000001E-2</v>
      </c>
      <c r="D4023" s="109">
        <v>0.01</v>
      </c>
      <c r="E4023" s="109">
        <v>1.0999999999999999E-2</v>
      </c>
      <c r="F4023" s="109">
        <v>1.0999999999999999E-2</v>
      </c>
      <c r="G4023" s="130">
        <v>0</v>
      </c>
      <c r="H4023" s="71">
        <v>8.5</v>
      </c>
      <c r="I4023" s="71">
        <v>11</v>
      </c>
      <c r="J4023" s="71">
        <v>13.4</v>
      </c>
      <c r="K4023" s="121">
        <v>7.9000000000000008E-3</v>
      </c>
      <c r="L4023" s="121">
        <v>-7.0000000000000001E-3</v>
      </c>
      <c r="M4023" s="75" t="s">
        <v>146</v>
      </c>
      <c r="N4023" s="75" t="b">
        <v>1</v>
      </c>
      <c r="O4023" s="75" t="s">
        <v>145</v>
      </c>
      <c r="P4023" s="75">
        <v>2014</v>
      </c>
      <c r="Q4023" s="107">
        <f t="shared" si="124"/>
        <v>2019</v>
      </c>
      <c r="R4023" s="107">
        <v>2</v>
      </c>
      <c r="S4023" s="43">
        <v>219030</v>
      </c>
      <c r="T4023" s="74">
        <v>43542</v>
      </c>
    </row>
    <row r="4024" spans="1:20" x14ac:dyDescent="0.3">
      <c r="A4024" s="42">
        <v>43482</v>
      </c>
      <c r="B4024" s="37">
        <f t="shared" si="123"/>
        <v>20190117</v>
      </c>
      <c r="C4024" s="109">
        <v>2.1700000000000001E-2</v>
      </c>
      <c r="D4024" s="109">
        <v>0.01</v>
      </c>
      <c r="E4024" s="109">
        <v>1.0999999999999999E-2</v>
      </c>
      <c r="F4024" s="109">
        <v>1.0999999999999999E-2</v>
      </c>
      <c r="G4024" s="130">
        <v>0</v>
      </c>
      <c r="H4024" s="71">
        <v>8.5</v>
      </c>
      <c r="I4024" s="71">
        <v>11</v>
      </c>
      <c r="J4024" s="71">
        <v>13.4</v>
      </c>
      <c r="K4024" s="121">
        <v>7.9000000000000008E-3</v>
      </c>
      <c r="L4024" s="121">
        <v>-7.0000000000000001E-3</v>
      </c>
      <c r="M4024" s="75" t="s">
        <v>146</v>
      </c>
      <c r="N4024" s="75" t="b">
        <v>1</v>
      </c>
      <c r="O4024" s="75" t="s">
        <v>145</v>
      </c>
      <c r="P4024" s="75">
        <v>2014</v>
      </c>
      <c r="Q4024" s="107">
        <f t="shared" si="124"/>
        <v>2019</v>
      </c>
      <c r="R4024" s="107">
        <v>2</v>
      </c>
      <c r="S4024" s="43">
        <v>219030</v>
      </c>
      <c r="T4024" s="74">
        <v>43542</v>
      </c>
    </row>
    <row r="4025" spans="1:20" x14ac:dyDescent="0.3">
      <c r="A4025" s="42">
        <v>43483</v>
      </c>
      <c r="B4025" s="37">
        <f t="shared" si="123"/>
        <v>20190118</v>
      </c>
      <c r="C4025" s="109">
        <v>2.2099999999999998E-2</v>
      </c>
      <c r="D4025" s="109">
        <v>0.01</v>
      </c>
      <c r="E4025" s="109">
        <v>1.0999999999999999E-2</v>
      </c>
      <c r="F4025" s="109">
        <v>1.0999999999999999E-2</v>
      </c>
      <c r="G4025" s="130">
        <v>0</v>
      </c>
      <c r="H4025" s="71">
        <v>8.5</v>
      </c>
      <c r="I4025" s="71">
        <v>11</v>
      </c>
      <c r="J4025" s="71">
        <v>13.4</v>
      </c>
      <c r="K4025" s="121">
        <v>8.0000000000000002E-3</v>
      </c>
      <c r="L4025" s="121">
        <v>-7.0000000000000001E-3</v>
      </c>
      <c r="M4025" s="75" t="s">
        <v>146</v>
      </c>
      <c r="N4025" s="75" t="b">
        <v>1</v>
      </c>
      <c r="O4025" s="75" t="s">
        <v>145</v>
      </c>
      <c r="P4025" s="75">
        <v>2014</v>
      </c>
      <c r="Q4025" s="107">
        <f t="shared" si="124"/>
        <v>2019</v>
      </c>
      <c r="R4025" s="107">
        <v>2</v>
      </c>
      <c r="S4025" s="43">
        <v>219030</v>
      </c>
      <c r="T4025" s="74">
        <v>43542</v>
      </c>
    </row>
    <row r="4026" spans="1:20" x14ac:dyDescent="0.3">
      <c r="A4026" s="42">
        <v>43484</v>
      </c>
      <c r="B4026" s="37">
        <f>YEAR(A4026)*10000+MONTH(A4026)*100+DAY(A4026)</f>
        <v>20190119</v>
      </c>
      <c r="C4026" s="109">
        <v>2.2099999999999998E-2</v>
      </c>
      <c r="D4026" s="109">
        <v>0.01</v>
      </c>
      <c r="E4026" s="109">
        <v>1.0999999999999999E-2</v>
      </c>
      <c r="F4026" s="109">
        <v>1.0999999999999999E-2</v>
      </c>
      <c r="G4026" s="130">
        <v>0</v>
      </c>
      <c r="H4026" s="71">
        <v>8.5</v>
      </c>
      <c r="I4026" s="71">
        <v>11</v>
      </c>
      <c r="J4026" s="71">
        <v>13.4</v>
      </c>
      <c r="K4026" s="121">
        <v>8.0000000000000002E-3</v>
      </c>
      <c r="L4026" s="121">
        <v>-7.0000000000000001E-3</v>
      </c>
      <c r="M4026" s="75" t="s">
        <v>146</v>
      </c>
      <c r="N4026" s="75" t="b">
        <v>1</v>
      </c>
      <c r="O4026" s="75" t="s">
        <v>145</v>
      </c>
      <c r="P4026" s="75">
        <v>2014</v>
      </c>
      <c r="Q4026" s="107">
        <f t="shared" si="124"/>
        <v>2019</v>
      </c>
      <c r="R4026" s="107">
        <v>2</v>
      </c>
      <c r="S4026" s="43">
        <v>219030</v>
      </c>
      <c r="T4026" s="74">
        <v>43542</v>
      </c>
    </row>
    <row r="4027" spans="1:20" x14ac:dyDescent="0.3">
      <c r="A4027" s="42">
        <v>43485</v>
      </c>
      <c r="B4027" s="37">
        <f>YEAR(A4027)*10000+MONTH(A4027)*100+DAY(A4027)</f>
        <v>20190120</v>
      </c>
      <c r="C4027" s="109">
        <v>2.2099999999999998E-2</v>
      </c>
      <c r="D4027" s="109">
        <v>0.01</v>
      </c>
      <c r="E4027" s="109">
        <v>1.0999999999999999E-2</v>
      </c>
      <c r="F4027" s="109">
        <v>1.0999999999999999E-2</v>
      </c>
      <c r="G4027" s="130">
        <v>0</v>
      </c>
      <c r="H4027" s="71">
        <v>8.5</v>
      </c>
      <c r="I4027" s="71">
        <v>11</v>
      </c>
      <c r="J4027" s="71">
        <v>13.4</v>
      </c>
      <c r="K4027" s="121">
        <v>8.0000000000000002E-3</v>
      </c>
      <c r="L4027" s="121">
        <v>-7.0000000000000001E-3</v>
      </c>
      <c r="M4027" s="75" t="s">
        <v>146</v>
      </c>
      <c r="N4027" s="75" t="b">
        <v>1</v>
      </c>
      <c r="O4027" s="75" t="s">
        <v>145</v>
      </c>
      <c r="P4027" s="75">
        <v>2014</v>
      </c>
      <c r="Q4027" s="107">
        <f t="shared" si="124"/>
        <v>2019</v>
      </c>
      <c r="R4027" s="107">
        <v>2</v>
      </c>
      <c r="S4027" s="43">
        <v>219030</v>
      </c>
      <c r="T4027" s="74">
        <v>43542</v>
      </c>
    </row>
    <row r="4028" spans="1:20" x14ac:dyDescent="0.3">
      <c r="A4028" s="42">
        <v>43486</v>
      </c>
      <c r="B4028" s="37">
        <f t="shared" si="123"/>
        <v>20190121</v>
      </c>
      <c r="C4028" s="109">
        <v>2.1899999999999999E-2</v>
      </c>
      <c r="D4028" s="109">
        <v>0.01</v>
      </c>
      <c r="E4028" s="109">
        <v>1.0999999999999999E-2</v>
      </c>
      <c r="F4028" s="109">
        <v>1.0999999999999999E-2</v>
      </c>
      <c r="G4028" s="130">
        <v>0</v>
      </c>
      <c r="H4028" s="71">
        <v>8.5</v>
      </c>
      <c r="I4028" s="71">
        <v>11</v>
      </c>
      <c r="J4028" s="71">
        <v>13.4</v>
      </c>
      <c r="K4028" s="121">
        <v>7.8000000000000005E-3</v>
      </c>
      <c r="L4028" s="121">
        <v>-7.0000000000000001E-3</v>
      </c>
      <c r="M4028" s="75" t="s">
        <v>146</v>
      </c>
      <c r="N4028" s="75" t="b">
        <v>1</v>
      </c>
      <c r="O4028" s="75" t="s">
        <v>145</v>
      </c>
      <c r="P4028" s="75">
        <v>2014</v>
      </c>
      <c r="Q4028" s="107">
        <f t="shared" si="124"/>
        <v>2019</v>
      </c>
      <c r="R4028" s="107">
        <v>2</v>
      </c>
      <c r="S4028" s="43">
        <v>219030</v>
      </c>
      <c r="T4028" s="74">
        <v>43542</v>
      </c>
    </row>
    <row r="4029" spans="1:20" x14ac:dyDescent="0.3">
      <c r="A4029" s="42">
        <v>43487</v>
      </c>
      <c r="B4029" s="37">
        <f t="shared" si="123"/>
        <v>20190122</v>
      </c>
      <c r="C4029" s="109">
        <v>2.1400000000000002E-2</v>
      </c>
      <c r="D4029" s="109">
        <v>0.01</v>
      </c>
      <c r="E4029" s="109">
        <v>1.0999999999999999E-2</v>
      </c>
      <c r="F4029" s="109">
        <v>1.0999999999999999E-2</v>
      </c>
      <c r="G4029" s="130">
        <v>0</v>
      </c>
      <c r="H4029" s="71">
        <v>8.5</v>
      </c>
      <c r="I4029" s="71">
        <v>11</v>
      </c>
      <c r="J4029" s="71">
        <v>13.4</v>
      </c>
      <c r="K4029" s="121">
        <v>7.6E-3</v>
      </c>
      <c r="L4029" s="121">
        <v>-7.0000000000000001E-3</v>
      </c>
      <c r="M4029" s="75" t="s">
        <v>146</v>
      </c>
      <c r="N4029" s="75" t="b">
        <v>1</v>
      </c>
      <c r="O4029" s="75" t="s">
        <v>145</v>
      </c>
      <c r="P4029" s="75">
        <v>2014</v>
      </c>
      <c r="Q4029" s="107">
        <f t="shared" si="124"/>
        <v>2019</v>
      </c>
      <c r="R4029" s="107">
        <v>2</v>
      </c>
      <c r="S4029" s="43">
        <v>219030</v>
      </c>
      <c r="T4029" s="74">
        <v>43542</v>
      </c>
    </row>
    <row r="4030" spans="1:20" x14ac:dyDescent="0.3">
      <c r="A4030" s="42">
        <v>43488</v>
      </c>
      <c r="B4030" s="37">
        <f t="shared" si="123"/>
        <v>20190123</v>
      </c>
      <c r="C4030" s="109">
        <v>2.1499999999999998E-2</v>
      </c>
      <c r="D4030" s="109">
        <v>0.01</v>
      </c>
      <c r="E4030" s="109">
        <v>1.0999999999999999E-2</v>
      </c>
      <c r="F4030" s="109">
        <v>1.0999999999999999E-2</v>
      </c>
      <c r="G4030" s="130">
        <v>0</v>
      </c>
      <c r="H4030" s="71">
        <v>8.5</v>
      </c>
      <c r="I4030" s="71">
        <v>11</v>
      </c>
      <c r="J4030" s="71">
        <v>13.4</v>
      </c>
      <c r="K4030" s="121">
        <v>7.6E-3</v>
      </c>
      <c r="L4030" s="121">
        <v>-7.0000000000000001E-3</v>
      </c>
      <c r="M4030" s="75" t="s">
        <v>146</v>
      </c>
      <c r="N4030" s="75" t="b">
        <v>1</v>
      </c>
      <c r="O4030" s="75" t="s">
        <v>145</v>
      </c>
      <c r="P4030" s="75">
        <v>2014</v>
      </c>
      <c r="Q4030" s="107">
        <f t="shared" si="124"/>
        <v>2019</v>
      </c>
      <c r="R4030" s="107">
        <v>2</v>
      </c>
      <c r="S4030" s="43">
        <v>219030</v>
      </c>
      <c r="T4030" s="74">
        <v>43542</v>
      </c>
    </row>
    <row r="4031" spans="1:20" x14ac:dyDescent="0.3">
      <c r="A4031" s="42">
        <v>43489</v>
      </c>
      <c r="B4031" s="37">
        <f t="shared" si="123"/>
        <v>20190124</v>
      </c>
      <c r="C4031" s="109">
        <v>2.1099999999999997E-2</v>
      </c>
      <c r="D4031" s="109">
        <v>0.01</v>
      </c>
      <c r="E4031" s="109">
        <v>1.0999999999999999E-2</v>
      </c>
      <c r="F4031" s="109">
        <v>1.0999999999999999E-2</v>
      </c>
      <c r="G4031" s="130">
        <v>0</v>
      </c>
      <c r="H4031" s="71">
        <v>8.5</v>
      </c>
      <c r="I4031" s="71">
        <v>11</v>
      </c>
      <c r="J4031" s="71">
        <v>13.4</v>
      </c>
      <c r="K4031" s="121">
        <v>7.3000000000000001E-3</v>
      </c>
      <c r="L4031" s="121">
        <v>-7.0000000000000001E-3</v>
      </c>
      <c r="M4031" s="75" t="s">
        <v>146</v>
      </c>
      <c r="N4031" s="75" t="b">
        <v>1</v>
      </c>
      <c r="O4031" s="75" t="s">
        <v>145</v>
      </c>
      <c r="P4031" s="75">
        <v>2014</v>
      </c>
      <c r="Q4031" s="107">
        <f t="shared" si="124"/>
        <v>2019</v>
      </c>
      <c r="R4031" s="107">
        <v>2</v>
      </c>
      <c r="S4031" s="43">
        <v>219030</v>
      </c>
      <c r="T4031" s="74">
        <v>43542</v>
      </c>
    </row>
    <row r="4032" spans="1:20" x14ac:dyDescent="0.3">
      <c r="A4032" s="42">
        <v>43490</v>
      </c>
      <c r="B4032" s="37">
        <f t="shared" si="123"/>
        <v>20190125</v>
      </c>
      <c r="C4032" s="109">
        <v>2.1400000000000002E-2</v>
      </c>
      <c r="D4032" s="109">
        <v>0.01</v>
      </c>
      <c r="E4032" s="109">
        <v>1.0999999999999999E-2</v>
      </c>
      <c r="F4032" s="109">
        <v>1.0999999999999999E-2</v>
      </c>
      <c r="G4032" s="130">
        <v>0</v>
      </c>
      <c r="H4032" s="71">
        <v>8.5</v>
      </c>
      <c r="I4032" s="71">
        <v>11</v>
      </c>
      <c r="J4032" s="71">
        <v>13.4</v>
      </c>
      <c r="K4032" s="121">
        <v>7.6E-3</v>
      </c>
      <c r="L4032" s="121">
        <v>-7.0000000000000001E-3</v>
      </c>
      <c r="M4032" s="75" t="s">
        <v>146</v>
      </c>
      <c r="N4032" s="75" t="b">
        <v>1</v>
      </c>
      <c r="O4032" s="75" t="s">
        <v>145</v>
      </c>
      <c r="P4032" s="75">
        <v>2014</v>
      </c>
      <c r="Q4032" s="107">
        <f t="shared" si="124"/>
        <v>2019</v>
      </c>
      <c r="R4032" s="107">
        <v>2</v>
      </c>
      <c r="S4032" s="43">
        <v>219030</v>
      </c>
      <c r="T4032" s="74">
        <v>43542</v>
      </c>
    </row>
    <row r="4033" spans="1:20" x14ac:dyDescent="0.3">
      <c r="A4033" s="42">
        <v>43491</v>
      </c>
      <c r="B4033" s="37">
        <f>YEAR(A4033)*10000+MONTH(A4033)*100+DAY(A4033)</f>
        <v>20190126</v>
      </c>
      <c r="C4033" s="109">
        <v>2.1400000000000002E-2</v>
      </c>
      <c r="D4033" s="109">
        <v>0.01</v>
      </c>
      <c r="E4033" s="109">
        <v>1.0999999999999999E-2</v>
      </c>
      <c r="F4033" s="109">
        <v>1.0999999999999999E-2</v>
      </c>
      <c r="G4033" s="130">
        <v>0</v>
      </c>
      <c r="H4033" s="71">
        <v>8.5</v>
      </c>
      <c r="I4033" s="71">
        <v>11</v>
      </c>
      <c r="J4033" s="71">
        <v>13.4</v>
      </c>
      <c r="K4033" s="121">
        <v>7.6E-3</v>
      </c>
      <c r="L4033" s="121">
        <v>-7.0000000000000001E-3</v>
      </c>
      <c r="M4033" s="75" t="s">
        <v>146</v>
      </c>
      <c r="N4033" s="75" t="b">
        <v>1</v>
      </c>
      <c r="O4033" s="75" t="s">
        <v>145</v>
      </c>
      <c r="P4033" s="75">
        <v>2014</v>
      </c>
      <c r="Q4033" s="107">
        <f t="shared" si="124"/>
        <v>2019</v>
      </c>
      <c r="R4033" s="107">
        <v>2</v>
      </c>
      <c r="S4033" s="43">
        <v>219030</v>
      </c>
      <c r="T4033" s="74">
        <v>43542</v>
      </c>
    </row>
    <row r="4034" spans="1:20" x14ac:dyDescent="0.3">
      <c r="A4034" s="42">
        <v>43492</v>
      </c>
      <c r="B4034" s="37">
        <f>YEAR(A4034)*10000+MONTH(A4034)*100+DAY(A4034)</f>
        <v>20190127</v>
      </c>
      <c r="C4034" s="109">
        <v>2.1400000000000002E-2</v>
      </c>
      <c r="D4034" s="109">
        <v>0.01</v>
      </c>
      <c r="E4034" s="109">
        <v>1.0999999999999999E-2</v>
      </c>
      <c r="F4034" s="109">
        <v>1.0999999999999999E-2</v>
      </c>
      <c r="G4034" s="130">
        <v>0</v>
      </c>
      <c r="H4034" s="71">
        <v>8.5</v>
      </c>
      <c r="I4034" s="71">
        <v>11</v>
      </c>
      <c r="J4034" s="71">
        <v>13.4</v>
      </c>
      <c r="K4034" s="121">
        <v>7.6E-3</v>
      </c>
      <c r="L4034" s="121">
        <v>-7.0000000000000001E-3</v>
      </c>
      <c r="M4034" s="75" t="s">
        <v>146</v>
      </c>
      <c r="N4034" s="75" t="b">
        <v>1</v>
      </c>
      <c r="O4034" s="75" t="s">
        <v>145</v>
      </c>
      <c r="P4034" s="75">
        <v>2014</v>
      </c>
      <c r="Q4034" s="107">
        <f t="shared" si="124"/>
        <v>2019</v>
      </c>
      <c r="R4034" s="107">
        <v>2</v>
      </c>
      <c r="S4034" s="43">
        <v>219030</v>
      </c>
      <c r="T4034" s="74">
        <v>43542</v>
      </c>
    </row>
    <row r="4035" spans="1:20" x14ac:dyDescent="0.3">
      <c r="A4035" s="42">
        <v>43493</v>
      </c>
      <c r="B4035" s="37">
        <f t="shared" si="123"/>
        <v>20190128</v>
      </c>
      <c r="C4035" s="109">
        <v>2.1299999999999999E-2</v>
      </c>
      <c r="D4035" s="109">
        <v>0.01</v>
      </c>
      <c r="E4035" s="109">
        <v>1.0999999999999999E-2</v>
      </c>
      <c r="F4035" s="109">
        <v>1.0999999999999999E-2</v>
      </c>
      <c r="G4035" s="130">
        <v>0</v>
      </c>
      <c r="H4035" s="71">
        <v>8.5</v>
      </c>
      <c r="I4035" s="71">
        <v>11</v>
      </c>
      <c r="J4035" s="71">
        <v>13.4</v>
      </c>
      <c r="K4035" s="121">
        <v>7.4000000000000003E-3</v>
      </c>
      <c r="L4035" s="121">
        <v>-7.0000000000000001E-3</v>
      </c>
      <c r="M4035" s="75" t="s">
        <v>146</v>
      </c>
      <c r="N4035" s="75" t="b">
        <v>1</v>
      </c>
      <c r="O4035" s="75" t="s">
        <v>145</v>
      </c>
      <c r="P4035" s="75">
        <v>2014</v>
      </c>
      <c r="Q4035" s="107">
        <f t="shared" si="124"/>
        <v>2019</v>
      </c>
      <c r="R4035" s="107">
        <v>2</v>
      </c>
      <c r="S4035" s="43">
        <v>219030</v>
      </c>
      <c r="T4035" s="74">
        <v>43542</v>
      </c>
    </row>
    <row r="4036" spans="1:20" x14ac:dyDescent="0.3">
      <c r="A4036" s="42">
        <v>43494</v>
      </c>
      <c r="B4036" s="37">
        <f t="shared" si="123"/>
        <v>20190129</v>
      </c>
      <c r="C4036" s="109">
        <v>2.1099999999999997E-2</v>
      </c>
      <c r="D4036" s="109">
        <v>0.01</v>
      </c>
      <c r="E4036" s="109">
        <v>1.0999999999999999E-2</v>
      </c>
      <c r="F4036" s="109">
        <v>1.0999999999999999E-2</v>
      </c>
      <c r="G4036" s="130">
        <v>0</v>
      </c>
      <c r="H4036" s="71">
        <v>8.5</v>
      </c>
      <c r="I4036" s="71">
        <v>11</v>
      </c>
      <c r="J4036" s="71">
        <v>13.4</v>
      </c>
      <c r="K4036" s="121">
        <v>7.4000000000000003E-3</v>
      </c>
      <c r="L4036" s="121">
        <v>-7.0000000000000001E-3</v>
      </c>
      <c r="M4036" s="75" t="s">
        <v>146</v>
      </c>
      <c r="N4036" s="75" t="b">
        <v>1</v>
      </c>
      <c r="O4036" s="75" t="s">
        <v>145</v>
      </c>
      <c r="P4036" s="75">
        <v>2014</v>
      </c>
      <c r="Q4036" s="107">
        <f t="shared" si="124"/>
        <v>2019</v>
      </c>
      <c r="R4036" s="107">
        <v>2</v>
      </c>
      <c r="S4036" s="43">
        <v>219030</v>
      </c>
      <c r="T4036" s="74">
        <v>43542</v>
      </c>
    </row>
    <row r="4037" spans="1:20" x14ac:dyDescent="0.3">
      <c r="A4037" s="42">
        <v>43495</v>
      </c>
      <c r="B4037" s="37">
        <f t="shared" si="123"/>
        <v>20190130</v>
      </c>
      <c r="C4037" s="109">
        <v>2.1099999999999997E-2</v>
      </c>
      <c r="D4037" s="109">
        <v>0.01</v>
      </c>
      <c r="E4037" s="109">
        <v>1.0999999999999999E-2</v>
      </c>
      <c r="F4037" s="109">
        <v>1.0999999999999999E-2</v>
      </c>
      <c r="G4037" s="130">
        <v>0</v>
      </c>
      <c r="H4037" s="71">
        <v>8.5</v>
      </c>
      <c r="I4037" s="71">
        <v>11</v>
      </c>
      <c r="J4037" s="71">
        <v>13.4</v>
      </c>
      <c r="K4037" s="121">
        <v>7.1999999999999998E-3</v>
      </c>
      <c r="L4037" s="121">
        <v>-7.0000000000000001E-3</v>
      </c>
      <c r="M4037" s="75" t="s">
        <v>146</v>
      </c>
      <c r="N4037" s="75" t="b">
        <v>1</v>
      </c>
      <c r="O4037" s="75" t="s">
        <v>145</v>
      </c>
      <c r="P4037" s="75">
        <v>2014</v>
      </c>
      <c r="Q4037" s="107">
        <f t="shared" si="124"/>
        <v>2019</v>
      </c>
      <c r="R4037" s="107">
        <v>2</v>
      </c>
      <c r="S4037" s="43">
        <v>219030</v>
      </c>
      <c r="T4037" s="74">
        <v>43542</v>
      </c>
    </row>
    <row r="4038" spans="1:20" x14ac:dyDescent="0.3">
      <c r="A4038" s="42">
        <v>43496</v>
      </c>
      <c r="B4038" s="37">
        <f t="shared" si="123"/>
        <v>20190131</v>
      </c>
      <c r="C4038" s="109">
        <v>2.07E-2</v>
      </c>
      <c r="D4038" s="109">
        <v>0.01</v>
      </c>
      <c r="E4038" s="109">
        <v>1.0999999999999999E-2</v>
      </c>
      <c r="F4038" s="109">
        <v>1.0999999999999999E-2</v>
      </c>
      <c r="G4038" s="130">
        <v>0</v>
      </c>
      <c r="H4038" s="71">
        <v>8.5</v>
      </c>
      <c r="I4038" s="71">
        <v>11</v>
      </c>
      <c r="J4038" s="71">
        <v>13.4</v>
      </c>
      <c r="K4038" s="121">
        <v>6.8999999999999999E-3</v>
      </c>
      <c r="L4038" s="121">
        <v>-7.0000000000000001E-3</v>
      </c>
      <c r="M4038" s="75" t="s">
        <v>146</v>
      </c>
      <c r="N4038" s="75" t="b">
        <v>1</v>
      </c>
      <c r="O4038" s="75" t="s">
        <v>145</v>
      </c>
      <c r="P4038" s="75">
        <v>2014</v>
      </c>
      <c r="Q4038" s="107">
        <f t="shared" si="124"/>
        <v>2019</v>
      </c>
      <c r="R4038" s="107">
        <v>2</v>
      </c>
      <c r="S4038" s="43">
        <v>219030</v>
      </c>
      <c r="T4038" s="74">
        <v>43542</v>
      </c>
    </row>
    <row r="4039" spans="1:20" x14ac:dyDescent="0.3">
      <c r="A4039" s="42">
        <v>43497</v>
      </c>
      <c r="B4039" s="37">
        <f t="shared" si="123"/>
        <v>20190201</v>
      </c>
      <c r="C4039" s="109">
        <v>2.1299999999999999E-2</v>
      </c>
      <c r="D4039" s="109">
        <v>0.01</v>
      </c>
      <c r="E4039" s="109">
        <v>1.0999999999999999E-2</v>
      </c>
      <c r="F4039" s="109">
        <v>1.0999999999999999E-2</v>
      </c>
      <c r="G4039" s="130">
        <v>0</v>
      </c>
      <c r="H4039" s="71">
        <v>8.5</v>
      </c>
      <c r="I4039" s="71">
        <v>11</v>
      </c>
      <c r="J4039" s="71">
        <v>13.4</v>
      </c>
      <c r="K4039" s="121">
        <v>7.0999999999999995E-3</v>
      </c>
      <c r="L4039" s="121">
        <v>-7.0000000000000001E-3</v>
      </c>
      <c r="M4039" s="75" t="s">
        <v>146</v>
      </c>
      <c r="N4039" s="75" t="b">
        <v>1</v>
      </c>
      <c r="O4039" s="75" t="s">
        <v>145</v>
      </c>
      <c r="P4039" s="75">
        <v>2014</v>
      </c>
      <c r="Q4039" s="107">
        <f t="shared" si="124"/>
        <v>2019</v>
      </c>
      <c r="R4039" s="107">
        <v>2</v>
      </c>
      <c r="S4039" s="43">
        <v>219030</v>
      </c>
      <c r="T4039" s="74">
        <v>43542</v>
      </c>
    </row>
    <row r="4040" spans="1:20" x14ac:dyDescent="0.3">
      <c r="A4040" s="42">
        <v>43498</v>
      </c>
      <c r="B4040" s="37">
        <f>YEAR(A4040)*10000+MONTH(A4040)*100+DAY(A4040)</f>
        <v>20190202</v>
      </c>
      <c r="C4040" s="109">
        <v>2.1299999999999999E-2</v>
      </c>
      <c r="D4040" s="109">
        <v>0.01</v>
      </c>
      <c r="E4040" s="109">
        <v>1.0999999999999999E-2</v>
      </c>
      <c r="F4040" s="109">
        <v>1.0999999999999999E-2</v>
      </c>
      <c r="G4040" s="130">
        <v>0</v>
      </c>
      <c r="H4040" s="71">
        <v>8.5</v>
      </c>
      <c r="I4040" s="71">
        <v>11</v>
      </c>
      <c r="J4040" s="71">
        <v>13.4</v>
      </c>
      <c r="K4040" s="121">
        <v>7.0999999999999995E-3</v>
      </c>
      <c r="L4040" s="121">
        <v>-7.0000000000000001E-3</v>
      </c>
      <c r="M4040" s="75" t="s">
        <v>146</v>
      </c>
      <c r="N4040" s="75" t="b">
        <v>1</v>
      </c>
      <c r="O4040" s="75" t="s">
        <v>145</v>
      </c>
      <c r="P4040" s="75">
        <v>2014</v>
      </c>
      <c r="Q4040" s="107">
        <f t="shared" si="124"/>
        <v>2019</v>
      </c>
      <c r="R4040" s="107">
        <v>2</v>
      </c>
      <c r="S4040" s="43">
        <v>219030</v>
      </c>
      <c r="T4040" s="74">
        <v>43542</v>
      </c>
    </row>
    <row r="4041" spans="1:20" x14ac:dyDescent="0.3">
      <c r="A4041" s="42">
        <v>43499</v>
      </c>
      <c r="B4041" s="37">
        <f>YEAR(A4041)*10000+MONTH(A4041)*100+DAY(A4041)</f>
        <v>20190203</v>
      </c>
      <c r="C4041" s="109">
        <v>2.1299999999999999E-2</v>
      </c>
      <c r="D4041" s="109">
        <v>0.01</v>
      </c>
      <c r="E4041" s="109">
        <v>1.0999999999999999E-2</v>
      </c>
      <c r="F4041" s="109">
        <v>1.0999999999999999E-2</v>
      </c>
      <c r="G4041" s="130">
        <v>0</v>
      </c>
      <c r="H4041" s="71">
        <v>8.5</v>
      </c>
      <c r="I4041" s="71">
        <v>11</v>
      </c>
      <c r="J4041" s="71">
        <v>13.4</v>
      </c>
      <c r="K4041" s="121">
        <v>7.0999999999999995E-3</v>
      </c>
      <c r="L4041" s="121">
        <v>-7.0000000000000001E-3</v>
      </c>
      <c r="M4041" s="75" t="s">
        <v>146</v>
      </c>
      <c r="N4041" s="75" t="b">
        <v>1</v>
      </c>
      <c r="O4041" s="75" t="s">
        <v>145</v>
      </c>
      <c r="P4041" s="75">
        <v>2014</v>
      </c>
      <c r="Q4041" s="107">
        <f t="shared" si="124"/>
        <v>2019</v>
      </c>
      <c r="R4041" s="107">
        <v>2</v>
      </c>
      <c r="S4041" s="43">
        <v>219030</v>
      </c>
      <c r="T4041" s="74">
        <v>43542</v>
      </c>
    </row>
    <row r="4042" spans="1:20" x14ac:dyDescent="0.3">
      <c r="A4042" s="42">
        <v>43500</v>
      </c>
      <c r="B4042" s="37">
        <f t="shared" si="123"/>
        <v>20190204</v>
      </c>
      <c r="C4042" s="109">
        <v>2.1400000000000002E-2</v>
      </c>
      <c r="D4042" s="109">
        <v>0.01</v>
      </c>
      <c r="E4042" s="109">
        <v>1.0999999999999999E-2</v>
      </c>
      <c r="F4042" s="109">
        <v>1.0999999999999999E-2</v>
      </c>
      <c r="G4042" s="130">
        <v>0</v>
      </c>
      <c r="H4042" s="71">
        <v>8.5</v>
      </c>
      <c r="I4042" s="71">
        <v>11</v>
      </c>
      <c r="J4042" s="71">
        <v>13.4</v>
      </c>
      <c r="K4042" s="121">
        <v>7.3000000000000001E-3</v>
      </c>
      <c r="L4042" s="121">
        <v>-7.0000000000000001E-3</v>
      </c>
      <c r="M4042" s="75" t="s">
        <v>146</v>
      </c>
      <c r="N4042" s="75" t="b">
        <v>1</v>
      </c>
      <c r="O4042" s="75" t="s">
        <v>145</v>
      </c>
      <c r="P4042" s="75">
        <v>2014</v>
      </c>
      <c r="Q4042" s="107">
        <f t="shared" si="124"/>
        <v>2019</v>
      </c>
      <c r="R4042" s="107">
        <v>2</v>
      </c>
      <c r="S4042" s="43">
        <v>219030</v>
      </c>
      <c r="T4042" s="74">
        <v>43542</v>
      </c>
    </row>
    <row r="4043" spans="1:20" x14ac:dyDescent="0.3">
      <c r="A4043" s="42">
        <v>43501</v>
      </c>
      <c r="B4043" s="37">
        <f t="shared" si="123"/>
        <v>20190205</v>
      </c>
      <c r="C4043" s="109">
        <v>2.12E-2</v>
      </c>
      <c r="D4043" s="109">
        <v>0.01</v>
      </c>
      <c r="E4043" s="109">
        <v>1.0999999999999999E-2</v>
      </c>
      <c r="F4043" s="109">
        <v>1.0999999999999999E-2</v>
      </c>
      <c r="G4043" s="130">
        <v>0</v>
      </c>
      <c r="H4043" s="71">
        <v>8.5</v>
      </c>
      <c r="I4043" s="71">
        <v>11</v>
      </c>
      <c r="J4043" s="71">
        <v>13.4</v>
      </c>
      <c r="K4043" s="121">
        <v>7.1999999999999998E-3</v>
      </c>
      <c r="L4043" s="121">
        <v>-7.0000000000000001E-3</v>
      </c>
      <c r="M4043" s="75" t="s">
        <v>146</v>
      </c>
      <c r="N4043" s="75" t="b">
        <v>1</v>
      </c>
      <c r="O4043" s="75" t="s">
        <v>145</v>
      </c>
      <c r="P4043" s="75">
        <v>2014</v>
      </c>
      <c r="Q4043" s="107">
        <f t="shared" si="124"/>
        <v>2019</v>
      </c>
      <c r="R4043" s="107">
        <v>2</v>
      </c>
      <c r="S4043" s="43">
        <v>219030</v>
      </c>
      <c r="T4043" s="74">
        <v>43542</v>
      </c>
    </row>
    <row r="4044" spans="1:20" x14ac:dyDescent="0.3">
      <c r="A4044" s="42">
        <v>43502</v>
      </c>
      <c r="B4044" s="37">
        <f t="shared" si="123"/>
        <v>20190206</v>
      </c>
      <c r="C4044" s="109">
        <v>2.1099999999999997E-2</v>
      </c>
      <c r="D4044" s="109">
        <v>0.01</v>
      </c>
      <c r="E4044" s="109">
        <v>1.0999999999999999E-2</v>
      </c>
      <c r="F4044" s="109">
        <v>1.0999999999999999E-2</v>
      </c>
      <c r="G4044" s="130">
        <v>0</v>
      </c>
      <c r="H4044" s="71">
        <v>8.5</v>
      </c>
      <c r="I4044" s="71">
        <v>11</v>
      </c>
      <c r="J4044" s="71">
        <v>13.4</v>
      </c>
      <c r="K4044" s="121">
        <v>7.0999999999999995E-3</v>
      </c>
      <c r="L4044" s="121">
        <v>-7.0000000000000001E-3</v>
      </c>
      <c r="M4044" s="75" t="s">
        <v>146</v>
      </c>
      <c r="N4044" s="75" t="b">
        <v>1</v>
      </c>
      <c r="O4044" s="75" t="s">
        <v>145</v>
      </c>
      <c r="P4044" s="75">
        <v>2014</v>
      </c>
      <c r="Q4044" s="107">
        <f t="shared" si="124"/>
        <v>2019</v>
      </c>
      <c r="R4044" s="107">
        <v>2</v>
      </c>
      <c r="S4044" s="43">
        <v>219030</v>
      </c>
      <c r="T4044" s="74">
        <v>43542</v>
      </c>
    </row>
    <row r="4045" spans="1:20" x14ac:dyDescent="0.3">
      <c r="A4045" s="42">
        <v>43503</v>
      </c>
      <c r="B4045" s="37">
        <f t="shared" si="123"/>
        <v>20190207</v>
      </c>
      <c r="C4045" s="109">
        <v>2.07E-2</v>
      </c>
      <c r="D4045" s="109">
        <v>0.01</v>
      </c>
      <c r="E4045" s="109">
        <v>1.0999999999999999E-2</v>
      </c>
      <c r="F4045" s="109">
        <v>1.0999999999999999E-2</v>
      </c>
      <c r="G4045" s="130">
        <v>0</v>
      </c>
      <c r="H4045" s="71">
        <v>8.5</v>
      </c>
      <c r="I4045" s="71">
        <v>11</v>
      </c>
      <c r="J4045" s="71">
        <v>13.4</v>
      </c>
      <c r="K4045" s="121">
        <v>7.0999999999999995E-3</v>
      </c>
      <c r="L4045" s="121">
        <v>-7.0000000000000001E-3</v>
      </c>
      <c r="M4045" s="75" t="s">
        <v>146</v>
      </c>
      <c r="N4045" s="75" t="b">
        <v>1</v>
      </c>
      <c r="O4045" s="75" t="s">
        <v>145</v>
      </c>
      <c r="P4045" s="75">
        <v>2014</v>
      </c>
      <c r="Q4045" s="107">
        <f t="shared" si="124"/>
        <v>2019</v>
      </c>
      <c r="R4045" s="107">
        <v>2</v>
      </c>
      <c r="S4045" s="43">
        <v>219030</v>
      </c>
      <c r="T4045" s="74">
        <v>43542</v>
      </c>
    </row>
    <row r="4046" spans="1:20" x14ac:dyDescent="0.3">
      <c r="A4046" s="42">
        <v>43504</v>
      </c>
      <c r="B4046" s="37">
        <f t="shared" si="123"/>
        <v>20190208</v>
      </c>
      <c r="C4046" s="109">
        <v>2.0799999999999999E-2</v>
      </c>
      <c r="D4046" s="109">
        <v>0.01</v>
      </c>
      <c r="E4046" s="109">
        <v>1.0999999999999999E-2</v>
      </c>
      <c r="F4046" s="109">
        <v>1.0999999999999999E-2</v>
      </c>
      <c r="G4046" s="130">
        <v>0</v>
      </c>
      <c r="H4046" s="71">
        <v>8.5</v>
      </c>
      <c r="I4046" s="71">
        <v>11</v>
      </c>
      <c r="J4046" s="71">
        <v>13.4</v>
      </c>
      <c r="K4046" s="121">
        <v>7.0999999999999995E-3</v>
      </c>
      <c r="L4046" s="121">
        <v>-7.0000000000000001E-3</v>
      </c>
      <c r="M4046" s="75" t="s">
        <v>146</v>
      </c>
      <c r="N4046" s="75" t="b">
        <v>1</v>
      </c>
      <c r="O4046" s="75" t="s">
        <v>145</v>
      </c>
      <c r="P4046" s="75">
        <v>2014</v>
      </c>
      <c r="Q4046" s="107">
        <f t="shared" si="124"/>
        <v>2019</v>
      </c>
      <c r="R4046" s="107">
        <v>2</v>
      </c>
      <c r="S4046" s="43">
        <v>219030</v>
      </c>
      <c r="T4046" s="74">
        <v>43542</v>
      </c>
    </row>
    <row r="4047" spans="1:20" x14ac:dyDescent="0.3">
      <c r="A4047" s="42">
        <v>43505</v>
      </c>
      <c r="B4047" s="37">
        <f>YEAR(A4047)*10000+MONTH(A4047)*100+DAY(A4047)</f>
        <v>20190209</v>
      </c>
      <c r="C4047" s="109">
        <v>2.0799999999999999E-2</v>
      </c>
      <c r="D4047" s="109">
        <v>0.01</v>
      </c>
      <c r="E4047" s="109">
        <v>1.0999999999999999E-2</v>
      </c>
      <c r="F4047" s="109">
        <v>1.0999999999999999E-2</v>
      </c>
      <c r="G4047" s="130">
        <v>0</v>
      </c>
      <c r="H4047" s="71">
        <v>8.5</v>
      </c>
      <c r="I4047" s="71">
        <v>11</v>
      </c>
      <c r="J4047" s="71">
        <v>13.4</v>
      </c>
      <c r="K4047" s="121">
        <v>7.0999999999999995E-3</v>
      </c>
      <c r="L4047" s="121">
        <v>-7.0000000000000001E-3</v>
      </c>
      <c r="M4047" s="75" t="s">
        <v>146</v>
      </c>
      <c r="N4047" s="75" t="b">
        <v>1</v>
      </c>
      <c r="O4047" s="75" t="s">
        <v>145</v>
      </c>
      <c r="P4047" s="75">
        <v>2014</v>
      </c>
      <c r="Q4047" s="107">
        <f t="shared" si="124"/>
        <v>2019</v>
      </c>
      <c r="R4047" s="107">
        <v>2</v>
      </c>
      <c r="S4047" s="43">
        <v>219030</v>
      </c>
      <c r="T4047" s="74">
        <v>43542</v>
      </c>
    </row>
    <row r="4048" spans="1:20" x14ac:dyDescent="0.3">
      <c r="A4048" s="42">
        <v>43506</v>
      </c>
      <c r="B4048" s="37">
        <f>YEAR(A4048)*10000+MONTH(A4048)*100+DAY(A4048)</f>
        <v>20190210</v>
      </c>
      <c r="C4048" s="109">
        <v>2.0799999999999999E-2</v>
      </c>
      <c r="D4048" s="109">
        <v>0.01</v>
      </c>
      <c r="E4048" s="109">
        <v>1.0999999999999999E-2</v>
      </c>
      <c r="F4048" s="109">
        <v>1.0999999999999999E-2</v>
      </c>
      <c r="G4048" s="130">
        <v>0</v>
      </c>
      <c r="H4048" s="71">
        <v>8.5</v>
      </c>
      <c r="I4048" s="71">
        <v>11</v>
      </c>
      <c r="J4048" s="71">
        <v>13.4</v>
      </c>
      <c r="K4048" s="121">
        <v>7.0999999999999995E-3</v>
      </c>
      <c r="L4048" s="121">
        <v>-7.0000000000000001E-3</v>
      </c>
      <c r="M4048" s="75" t="s">
        <v>146</v>
      </c>
      <c r="N4048" s="75" t="b">
        <v>1</v>
      </c>
      <c r="O4048" s="75" t="s">
        <v>145</v>
      </c>
      <c r="P4048" s="75">
        <v>2014</v>
      </c>
      <c r="Q4048" s="107">
        <f t="shared" si="124"/>
        <v>2019</v>
      </c>
      <c r="R4048" s="107">
        <v>2</v>
      </c>
      <c r="S4048" s="43">
        <v>219030</v>
      </c>
      <c r="T4048" s="74">
        <v>43542</v>
      </c>
    </row>
    <row r="4049" spans="1:20" x14ac:dyDescent="0.3">
      <c r="A4049" s="42">
        <v>43507</v>
      </c>
      <c r="B4049" s="37">
        <f t="shared" si="123"/>
        <v>20190211</v>
      </c>
      <c r="C4049" s="109">
        <v>2.0899999999999998E-2</v>
      </c>
      <c r="D4049" s="109">
        <v>0.01</v>
      </c>
      <c r="E4049" s="109">
        <v>1.0999999999999999E-2</v>
      </c>
      <c r="F4049" s="109">
        <v>1.0999999999999999E-2</v>
      </c>
      <c r="G4049" s="130">
        <v>0</v>
      </c>
      <c r="H4049" s="71">
        <v>8.5</v>
      </c>
      <c r="I4049" s="71">
        <v>11</v>
      </c>
      <c r="J4049" s="71">
        <v>13.4</v>
      </c>
      <c r="K4049" s="121">
        <v>7.3000000000000001E-3</v>
      </c>
      <c r="L4049" s="121">
        <v>-7.0000000000000001E-3</v>
      </c>
      <c r="M4049" s="75" t="s">
        <v>146</v>
      </c>
      <c r="N4049" s="75" t="b">
        <v>1</v>
      </c>
      <c r="O4049" s="75" t="s">
        <v>145</v>
      </c>
      <c r="P4049" s="75">
        <v>2014</v>
      </c>
      <c r="Q4049" s="107">
        <f t="shared" si="124"/>
        <v>2019</v>
      </c>
      <c r="R4049" s="107">
        <v>2</v>
      </c>
      <c r="S4049" s="43">
        <v>219030</v>
      </c>
      <c r="T4049" s="74">
        <v>43542</v>
      </c>
    </row>
    <row r="4050" spans="1:20" x14ac:dyDescent="0.3">
      <c r="A4050" s="42">
        <v>43508</v>
      </c>
      <c r="B4050" s="37">
        <f t="shared" si="123"/>
        <v>20190212</v>
      </c>
      <c r="C4050" s="109">
        <v>2.1000000000000001E-2</v>
      </c>
      <c r="D4050" s="109">
        <v>0.01</v>
      </c>
      <c r="E4050" s="109">
        <v>1.0999999999999999E-2</v>
      </c>
      <c r="F4050" s="109">
        <v>1.0999999999999999E-2</v>
      </c>
      <c r="G4050" s="130">
        <v>0</v>
      </c>
      <c r="H4050" s="71">
        <v>8.5</v>
      </c>
      <c r="I4050" s="71">
        <v>11</v>
      </c>
      <c r="J4050" s="71">
        <v>13.4</v>
      </c>
      <c r="K4050" s="121">
        <v>7.3000000000000001E-3</v>
      </c>
      <c r="L4050" s="121">
        <v>-7.0000000000000001E-3</v>
      </c>
      <c r="M4050" s="75" t="s">
        <v>146</v>
      </c>
      <c r="N4050" s="75" t="b">
        <v>1</v>
      </c>
      <c r="O4050" s="75" t="s">
        <v>145</v>
      </c>
      <c r="P4050" s="75">
        <v>2014</v>
      </c>
      <c r="Q4050" s="107">
        <f t="shared" si="124"/>
        <v>2019</v>
      </c>
      <c r="R4050" s="107">
        <v>2</v>
      </c>
      <c r="S4050" s="43">
        <v>219030</v>
      </c>
      <c r="T4050" s="74">
        <v>43542</v>
      </c>
    </row>
    <row r="4051" spans="1:20" x14ac:dyDescent="0.3">
      <c r="A4051" s="42">
        <v>43509</v>
      </c>
      <c r="B4051" s="37">
        <f t="shared" si="123"/>
        <v>20190213</v>
      </c>
      <c r="C4051" s="109">
        <v>2.12E-2</v>
      </c>
      <c r="D4051" s="109">
        <v>0.01</v>
      </c>
      <c r="E4051" s="109">
        <v>1.0999999999999999E-2</v>
      </c>
      <c r="F4051" s="109">
        <v>1.0999999999999999E-2</v>
      </c>
      <c r="G4051" s="130">
        <v>0</v>
      </c>
      <c r="H4051" s="71">
        <v>8.5</v>
      </c>
      <c r="I4051" s="71">
        <v>11</v>
      </c>
      <c r="J4051" s="71">
        <v>13.4</v>
      </c>
      <c r="K4051" s="121">
        <v>7.1999999999999998E-3</v>
      </c>
      <c r="L4051" s="121">
        <v>-7.0000000000000001E-3</v>
      </c>
      <c r="M4051" s="75" t="s">
        <v>146</v>
      </c>
      <c r="N4051" s="75" t="b">
        <v>1</v>
      </c>
      <c r="O4051" s="75" t="s">
        <v>145</v>
      </c>
      <c r="P4051" s="75">
        <v>2014</v>
      </c>
      <c r="Q4051" s="107">
        <f t="shared" si="124"/>
        <v>2019</v>
      </c>
      <c r="R4051" s="107">
        <v>2</v>
      </c>
      <c r="S4051" s="43">
        <v>219030</v>
      </c>
      <c r="T4051" s="74">
        <v>43542</v>
      </c>
    </row>
    <row r="4052" spans="1:20" x14ac:dyDescent="0.3">
      <c r="A4052" s="42">
        <v>43510</v>
      </c>
      <c r="B4052" s="37">
        <f t="shared" si="123"/>
        <v>20190214</v>
      </c>
      <c r="C4052" s="109">
        <v>2.0799999999999999E-2</v>
      </c>
      <c r="D4052" s="109">
        <v>0.01</v>
      </c>
      <c r="E4052" s="109">
        <v>1.0999999999999999E-2</v>
      </c>
      <c r="F4052" s="109">
        <v>1.0999999999999999E-2</v>
      </c>
      <c r="G4052" s="130">
        <v>0</v>
      </c>
      <c r="H4052" s="71">
        <v>8.5</v>
      </c>
      <c r="I4052" s="71">
        <v>11</v>
      </c>
      <c r="J4052" s="71">
        <v>13.4</v>
      </c>
      <c r="K4052" s="121">
        <v>6.8999999999999999E-3</v>
      </c>
      <c r="L4052" s="121">
        <v>-7.0000000000000001E-3</v>
      </c>
      <c r="M4052" s="75" t="s">
        <v>146</v>
      </c>
      <c r="N4052" s="75" t="b">
        <v>1</v>
      </c>
      <c r="O4052" s="75" t="s">
        <v>145</v>
      </c>
      <c r="P4052" s="75">
        <v>2014</v>
      </c>
      <c r="Q4052" s="107">
        <f t="shared" si="124"/>
        <v>2019</v>
      </c>
      <c r="R4052" s="107">
        <v>2</v>
      </c>
      <c r="S4052" s="43">
        <v>219030</v>
      </c>
      <c r="T4052" s="74">
        <v>43542</v>
      </c>
    </row>
    <row r="4053" spans="1:20" x14ac:dyDescent="0.3">
      <c r="A4053" s="42">
        <v>43511</v>
      </c>
      <c r="B4053" s="37">
        <f t="shared" si="123"/>
        <v>20190215</v>
      </c>
      <c r="C4053" s="109">
        <v>2.0899999999999998E-2</v>
      </c>
      <c r="D4053" s="109">
        <v>0.01</v>
      </c>
      <c r="E4053" s="109">
        <v>1.0999999999999999E-2</v>
      </c>
      <c r="F4053" s="109">
        <v>1.0999999999999999E-2</v>
      </c>
      <c r="G4053" s="130">
        <v>0</v>
      </c>
      <c r="H4053" s="71">
        <v>8.5</v>
      </c>
      <c r="I4053" s="71">
        <v>11</v>
      </c>
      <c r="J4053" s="71">
        <v>13.4</v>
      </c>
      <c r="K4053" s="109">
        <v>6.9999999999999993E-3</v>
      </c>
      <c r="L4053" s="121">
        <v>-7.0000000000000001E-3</v>
      </c>
      <c r="M4053" s="75" t="s">
        <v>146</v>
      </c>
      <c r="N4053" s="75" t="b">
        <v>1</v>
      </c>
      <c r="O4053" s="75" t="s">
        <v>145</v>
      </c>
      <c r="P4053" s="75">
        <v>2014</v>
      </c>
      <c r="Q4053" s="107">
        <f t="shared" si="124"/>
        <v>2019</v>
      </c>
      <c r="R4053" s="107">
        <v>2</v>
      </c>
      <c r="S4053" s="43">
        <v>219030</v>
      </c>
      <c r="T4053" s="74">
        <v>43542</v>
      </c>
    </row>
    <row r="4054" spans="1:20" x14ac:dyDescent="0.3">
      <c r="A4054" s="42">
        <v>43512</v>
      </c>
      <c r="B4054" s="37">
        <f t="shared" si="123"/>
        <v>20190216</v>
      </c>
      <c r="C4054" s="109">
        <v>2.0899999999999998E-2</v>
      </c>
      <c r="D4054" s="109">
        <v>0.01</v>
      </c>
      <c r="E4054" s="109">
        <v>1.0999999999999999E-2</v>
      </c>
      <c r="F4054" s="109">
        <v>1.0999999999999999E-2</v>
      </c>
      <c r="G4054" s="130">
        <v>0</v>
      </c>
      <c r="H4054" s="71">
        <v>8.5</v>
      </c>
      <c r="I4054" s="71">
        <v>11</v>
      </c>
      <c r="J4054" s="71">
        <v>13.4</v>
      </c>
      <c r="K4054" s="109">
        <v>6.9999999999999993E-3</v>
      </c>
      <c r="L4054" s="121">
        <v>-7.0000000000000001E-3</v>
      </c>
      <c r="M4054" s="75" t="s">
        <v>146</v>
      </c>
      <c r="N4054" s="75" t="b">
        <v>1</v>
      </c>
      <c r="O4054" s="75" t="s">
        <v>145</v>
      </c>
      <c r="P4054" s="75">
        <v>2014</v>
      </c>
      <c r="Q4054" s="107">
        <f t="shared" si="124"/>
        <v>2019</v>
      </c>
      <c r="R4054" s="107">
        <v>2</v>
      </c>
      <c r="S4054" s="43">
        <v>219030</v>
      </c>
      <c r="T4054" s="74">
        <v>43542</v>
      </c>
    </row>
    <row r="4055" spans="1:20" x14ac:dyDescent="0.3">
      <c r="A4055" s="42">
        <v>43513</v>
      </c>
      <c r="B4055" s="37">
        <f t="shared" si="123"/>
        <v>20190217</v>
      </c>
      <c r="C4055" s="109">
        <v>2.0899999999999998E-2</v>
      </c>
      <c r="D4055" s="109">
        <v>0.01</v>
      </c>
      <c r="E4055" s="109">
        <v>1.0999999999999999E-2</v>
      </c>
      <c r="F4055" s="109">
        <v>1.0999999999999999E-2</v>
      </c>
      <c r="G4055" s="130">
        <v>0</v>
      </c>
      <c r="H4055" s="71">
        <v>8.5</v>
      </c>
      <c r="I4055" s="71">
        <v>11</v>
      </c>
      <c r="J4055" s="71">
        <v>13.4</v>
      </c>
      <c r="K4055" s="109">
        <v>6.9999999999999993E-3</v>
      </c>
      <c r="L4055" s="121">
        <v>-7.0000000000000001E-3</v>
      </c>
      <c r="M4055" s="75" t="s">
        <v>146</v>
      </c>
      <c r="N4055" s="75" t="b">
        <v>1</v>
      </c>
      <c r="O4055" s="75" t="s">
        <v>145</v>
      </c>
      <c r="P4055" s="75">
        <v>2014</v>
      </c>
      <c r="Q4055" s="107">
        <f t="shared" si="124"/>
        <v>2019</v>
      </c>
      <c r="R4055" s="107">
        <v>2</v>
      </c>
      <c r="S4055" s="43">
        <v>219030</v>
      </c>
      <c r="T4055" s="74">
        <v>43542</v>
      </c>
    </row>
    <row r="4056" spans="1:20" x14ac:dyDescent="0.3">
      <c r="A4056" s="42">
        <v>43514</v>
      </c>
      <c r="B4056" s="37">
        <f t="shared" si="123"/>
        <v>20190218</v>
      </c>
      <c r="C4056" s="109">
        <v>2.0899999999999998E-2</v>
      </c>
      <c r="D4056" s="109">
        <v>0.01</v>
      </c>
      <c r="E4056" s="109">
        <v>1.0999999999999999E-2</v>
      </c>
      <c r="F4056" s="109">
        <v>1.0999999999999999E-2</v>
      </c>
      <c r="G4056" s="130">
        <v>0</v>
      </c>
      <c r="H4056" s="71">
        <v>8.5</v>
      </c>
      <c r="I4056" s="71">
        <v>11</v>
      </c>
      <c r="J4056" s="71">
        <v>13.4</v>
      </c>
      <c r="K4056" s="109">
        <v>6.9999999999999993E-3</v>
      </c>
      <c r="L4056" s="121">
        <v>-7.0000000000000001E-3</v>
      </c>
      <c r="M4056" s="75" t="s">
        <v>146</v>
      </c>
      <c r="N4056" s="75" t="b">
        <v>1</v>
      </c>
      <c r="O4056" s="75" t="s">
        <v>145</v>
      </c>
      <c r="P4056" s="75">
        <v>2014</v>
      </c>
      <c r="Q4056" s="107">
        <f t="shared" si="124"/>
        <v>2019</v>
      </c>
      <c r="R4056" s="107">
        <v>2</v>
      </c>
      <c r="S4056" s="43">
        <v>219030</v>
      </c>
      <c r="T4056" s="74">
        <v>43542</v>
      </c>
    </row>
    <row r="4057" spans="1:20" x14ac:dyDescent="0.3">
      <c r="A4057" s="42">
        <v>43515</v>
      </c>
      <c r="B4057" s="37">
        <f t="shared" si="123"/>
        <v>20190219</v>
      </c>
      <c r="C4057" s="109">
        <v>2.0799999999999999E-2</v>
      </c>
      <c r="D4057" s="109">
        <v>0.01</v>
      </c>
      <c r="E4057" s="109">
        <v>1.0999999999999999E-2</v>
      </c>
      <c r="F4057" s="109">
        <v>1.0999999999999999E-2</v>
      </c>
      <c r="G4057" s="130">
        <v>0</v>
      </c>
      <c r="H4057" s="71">
        <v>8.5</v>
      </c>
      <c r="I4057" s="71">
        <v>11</v>
      </c>
      <c r="J4057" s="71">
        <v>13.4</v>
      </c>
      <c r="K4057" s="109">
        <v>6.8999999999999999E-3</v>
      </c>
      <c r="L4057" s="121">
        <v>-7.0000000000000001E-3</v>
      </c>
      <c r="M4057" s="75" t="s">
        <v>146</v>
      </c>
      <c r="N4057" s="75" t="b">
        <v>1</v>
      </c>
      <c r="O4057" s="75" t="s">
        <v>145</v>
      </c>
      <c r="P4057" s="75">
        <v>2014</v>
      </c>
      <c r="Q4057" s="107">
        <f t="shared" si="124"/>
        <v>2019</v>
      </c>
      <c r="R4057" s="107">
        <v>2</v>
      </c>
      <c r="S4057" s="43">
        <v>219030</v>
      </c>
      <c r="T4057" s="74">
        <v>43542</v>
      </c>
    </row>
    <row r="4058" spans="1:20" x14ac:dyDescent="0.3">
      <c r="A4058" s="42">
        <v>43516</v>
      </c>
      <c r="B4058" s="37">
        <f t="shared" si="123"/>
        <v>20190220</v>
      </c>
      <c r="C4058" s="109">
        <v>2.0799999999999999E-2</v>
      </c>
      <c r="D4058" s="109">
        <v>0.01</v>
      </c>
      <c r="E4058" s="109">
        <v>1.0999999999999999E-2</v>
      </c>
      <c r="F4058" s="109">
        <v>1.0999999999999999E-2</v>
      </c>
      <c r="G4058" s="130">
        <v>0</v>
      </c>
      <c r="H4058" s="71">
        <v>8.5</v>
      </c>
      <c r="I4058" s="71">
        <v>11</v>
      </c>
      <c r="J4058" s="71">
        <v>13.4</v>
      </c>
      <c r="K4058" s="109">
        <v>6.8999999999999999E-3</v>
      </c>
      <c r="L4058" s="121">
        <v>-7.0000000000000001E-3</v>
      </c>
      <c r="M4058" s="75" t="s">
        <v>146</v>
      </c>
      <c r="N4058" s="75" t="b">
        <v>1</v>
      </c>
      <c r="O4058" s="75" t="s">
        <v>145</v>
      </c>
      <c r="P4058" s="75">
        <v>2014</v>
      </c>
      <c r="Q4058" s="107">
        <f t="shared" si="124"/>
        <v>2019</v>
      </c>
      <c r="R4058" s="107">
        <v>2</v>
      </c>
      <c r="S4058" s="43">
        <v>219030</v>
      </c>
      <c r="T4058" s="74">
        <v>43542</v>
      </c>
    </row>
    <row r="4059" spans="1:20" x14ac:dyDescent="0.3">
      <c r="A4059" s="42">
        <v>43517</v>
      </c>
      <c r="B4059" s="37">
        <f t="shared" si="123"/>
        <v>20190221</v>
      </c>
      <c r="C4059" s="109">
        <v>2.1000000000000001E-2</v>
      </c>
      <c r="D4059" s="109">
        <v>0.01</v>
      </c>
      <c r="E4059" s="109">
        <v>1.0999999999999999E-2</v>
      </c>
      <c r="F4059" s="109">
        <v>1.0999999999999999E-2</v>
      </c>
      <c r="G4059" s="130">
        <v>0</v>
      </c>
      <c r="H4059" s="71">
        <v>8.5</v>
      </c>
      <c r="I4059" s="71">
        <v>11</v>
      </c>
      <c r="J4059" s="71">
        <v>13.4</v>
      </c>
      <c r="K4059" s="109">
        <v>7.0999999999999995E-3</v>
      </c>
      <c r="L4059" s="121">
        <v>-7.0000000000000001E-3</v>
      </c>
      <c r="M4059" s="75" t="s">
        <v>146</v>
      </c>
      <c r="N4059" s="75" t="b">
        <v>1</v>
      </c>
      <c r="O4059" s="75" t="s">
        <v>145</v>
      </c>
      <c r="P4059" s="75">
        <v>2014</v>
      </c>
      <c r="Q4059" s="107">
        <f t="shared" si="124"/>
        <v>2019</v>
      </c>
      <c r="R4059" s="107">
        <v>2</v>
      </c>
      <c r="S4059" s="43">
        <v>219030</v>
      </c>
      <c r="T4059" s="74">
        <v>43542</v>
      </c>
    </row>
    <row r="4060" spans="1:20" x14ac:dyDescent="0.3">
      <c r="A4060" s="42">
        <v>43518</v>
      </c>
      <c r="B4060" s="37">
        <f t="shared" si="123"/>
        <v>20190222</v>
      </c>
      <c r="C4060" s="109">
        <v>2.0799999999999999E-2</v>
      </c>
      <c r="D4060" s="109">
        <v>0.01</v>
      </c>
      <c r="E4060" s="109">
        <v>1.0999999999999999E-2</v>
      </c>
      <c r="F4060" s="109">
        <v>1.0999999999999999E-2</v>
      </c>
      <c r="G4060" s="130">
        <v>0</v>
      </c>
      <c r="H4060" s="71">
        <v>8.5</v>
      </c>
      <c r="I4060" s="71">
        <v>11</v>
      </c>
      <c r="J4060" s="71">
        <v>13.4</v>
      </c>
      <c r="K4060" s="109">
        <v>6.8000000000000005E-3</v>
      </c>
      <c r="L4060" s="121">
        <v>-7.0000000000000001E-3</v>
      </c>
      <c r="M4060" s="75" t="s">
        <v>146</v>
      </c>
      <c r="N4060" s="75" t="b">
        <v>1</v>
      </c>
      <c r="O4060" s="75" t="s">
        <v>145</v>
      </c>
      <c r="P4060" s="75">
        <v>2014</v>
      </c>
      <c r="Q4060" s="107">
        <f t="shared" si="124"/>
        <v>2019</v>
      </c>
      <c r="R4060" s="107">
        <v>2</v>
      </c>
      <c r="S4060" s="43">
        <v>219030</v>
      </c>
      <c r="T4060" s="74">
        <v>43542</v>
      </c>
    </row>
    <row r="4061" spans="1:20" x14ac:dyDescent="0.3">
      <c r="A4061" s="42">
        <v>43519</v>
      </c>
      <c r="B4061" s="37">
        <f t="shared" ref="B4061:B4125" si="125">YEAR(A4061)*10000+MONTH(A4061)*100+DAY(A4061)</f>
        <v>20190223</v>
      </c>
      <c r="C4061" s="109">
        <v>2.0799999999999999E-2</v>
      </c>
      <c r="D4061" s="109">
        <v>0.01</v>
      </c>
      <c r="E4061" s="109">
        <v>1.0999999999999999E-2</v>
      </c>
      <c r="F4061" s="109">
        <v>1.0999999999999999E-2</v>
      </c>
      <c r="G4061" s="130">
        <v>0</v>
      </c>
      <c r="H4061" s="71">
        <v>8.5</v>
      </c>
      <c r="I4061" s="71">
        <v>11</v>
      </c>
      <c r="J4061" s="71">
        <v>13.4</v>
      </c>
      <c r="K4061" s="109">
        <v>6.8000000000000005E-3</v>
      </c>
      <c r="L4061" s="121">
        <v>-7.0000000000000001E-3</v>
      </c>
      <c r="M4061" s="75" t="s">
        <v>146</v>
      </c>
      <c r="N4061" s="75" t="b">
        <v>1</v>
      </c>
      <c r="O4061" s="75" t="s">
        <v>145</v>
      </c>
      <c r="P4061" s="75">
        <v>2014</v>
      </c>
      <c r="Q4061" s="107">
        <f t="shared" si="124"/>
        <v>2019</v>
      </c>
      <c r="R4061" s="107">
        <v>2</v>
      </c>
      <c r="S4061" s="43">
        <v>219030</v>
      </c>
      <c r="T4061" s="74">
        <v>43542</v>
      </c>
    </row>
    <row r="4062" spans="1:20" x14ac:dyDescent="0.3">
      <c r="A4062" s="42">
        <v>43520</v>
      </c>
      <c r="B4062" s="37">
        <f t="shared" si="125"/>
        <v>20190224</v>
      </c>
      <c r="C4062" s="109">
        <v>2.0799999999999999E-2</v>
      </c>
      <c r="D4062" s="109">
        <v>0.01</v>
      </c>
      <c r="E4062" s="109">
        <v>1.0999999999999999E-2</v>
      </c>
      <c r="F4062" s="109">
        <v>1.0999999999999999E-2</v>
      </c>
      <c r="G4062" s="130">
        <v>0</v>
      </c>
      <c r="H4062" s="71">
        <v>8.5</v>
      </c>
      <c r="I4062" s="71">
        <v>11</v>
      </c>
      <c r="J4062" s="71">
        <v>13.4</v>
      </c>
      <c r="K4062" s="109">
        <v>6.8000000000000005E-3</v>
      </c>
      <c r="L4062" s="121">
        <v>-7.0000000000000001E-3</v>
      </c>
      <c r="M4062" s="75" t="s">
        <v>146</v>
      </c>
      <c r="N4062" s="75" t="b">
        <v>1</v>
      </c>
      <c r="O4062" s="75" t="s">
        <v>145</v>
      </c>
      <c r="P4062" s="75">
        <v>2014</v>
      </c>
      <c r="Q4062" s="107">
        <f t="shared" si="124"/>
        <v>2019</v>
      </c>
      <c r="R4062" s="107">
        <v>2</v>
      </c>
      <c r="S4062" s="43">
        <v>219030</v>
      </c>
      <c r="T4062" s="74">
        <v>43542</v>
      </c>
    </row>
    <row r="4063" spans="1:20" x14ac:dyDescent="0.3">
      <c r="A4063" s="42">
        <v>43521</v>
      </c>
      <c r="B4063" s="37">
        <f t="shared" si="125"/>
        <v>20190225</v>
      </c>
      <c r="C4063" s="109">
        <v>2.0799999999999999E-2</v>
      </c>
      <c r="D4063" s="109">
        <v>0.01</v>
      </c>
      <c r="E4063" s="109">
        <v>1.0999999999999999E-2</v>
      </c>
      <c r="F4063" s="109">
        <v>1.0999999999999999E-2</v>
      </c>
      <c r="G4063" s="130">
        <v>0</v>
      </c>
      <c r="H4063" s="71">
        <v>8.5</v>
      </c>
      <c r="I4063" s="71">
        <v>11</v>
      </c>
      <c r="J4063" s="71">
        <v>13.4</v>
      </c>
      <c r="K4063" s="109">
        <v>6.7000000000000002E-3</v>
      </c>
      <c r="L4063" s="121">
        <v>-7.0000000000000001E-3</v>
      </c>
      <c r="M4063" s="75" t="s">
        <v>146</v>
      </c>
      <c r="N4063" s="75" t="b">
        <v>1</v>
      </c>
      <c r="O4063" s="75" t="s">
        <v>145</v>
      </c>
      <c r="P4063" s="75">
        <v>2014</v>
      </c>
      <c r="Q4063" s="107">
        <f t="shared" si="124"/>
        <v>2019</v>
      </c>
      <c r="R4063" s="107">
        <v>2</v>
      </c>
      <c r="S4063" s="43">
        <v>219030</v>
      </c>
      <c r="T4063" s="74">
        <v>43542</v>
      </c>
    </row>
    <row r="4064" spans="1:20" x14ac:dyDescent="0.3">
      <c r="A4064" s="42">
        <v>43522</v>
      </c>
      <c r="B4064" s="37">
        <f t="shared" si="125"/>
        <v>20190226</v>
      </c>
      <c r="C4064" s="109">
        <v>2.0499999999999997E-2</v>
      </c>
      <c r="D4064" s="109">
        <v>0.01</v>
      </c>
      <c r="E4064" s="109">
        <v>1.0999999999999999E-2</v>
      </c>
      <c r="F4064" s="109">
        <v>1.0999999999999999E-2</v>
      </c>
      <c r="G4064" s="130">
        <v>0</v>
      </c>
      <c r="H4064" s="71">
        <v>8.5</v>
      </c>
      <c r="I4064" s="71">
        <v>11</v>
      </c>
      <c r="J4064" s="71">
        <v>13.4</v>
      </c>
      <c r="K4064" s="109">
        <v>6.6E-3</v>
      </c>
      <c r="L4064" s="121">
        <v>-7.0000000000000001E-3</v>
      </c>
      <c r="M4064" s="75" t="s">
        <v>146</v>
      </c>
      <c r="N4064" s="75" t="b">
        <v>1</v>
      </c>
      <c r="O4064" s="75" t="s">
        <v>145</v>
      </c>
      <c r="P4064" s="75">
        <v>2014</v>
      </c>
      <c r="Q4064" s="107">
        <f t="shared" si="124"/>
        <v>2019</v>
      </c>
      <c r="R4064" s="107">
        <v>2</v>
      </c>
      <c r="S4064" s="43">
        <v>219030</v>
      </c>
      <c r="T4064" s="74">
        <v>43542</v>
      </c>
    </row>
    <row r="4065" spans="1:20" x14ac:dyDescent="0.3">
      <c r="A4065" s="42">
        <v>43523</v>
      </c>
      <c r="B4065" s="37">
        <f t="shared" si="125"/>
        <v>20190227</v>
      </c>
      <c r="C4065" s="109">
        <v>2.1000000000000001E-2</v>
      </c>
      <c r="D4065" s="109">
        <v>0.01</v>
      </c>
      <c r="E4065" s="109">
        <v>1.0999999999999999E-2</v>
      </c>
      <c r="F4065" s="109">
        <v>1.0999999999999999E-2</v>
      </c>
      <c r="G4065" s="130">
        <v>0</v>
      </c>
      <c r="H4065" s="71">
        <v>8.5</v>
      </c>
      <c r="I4065" s="71">
        <v>11</v>
      </c>
      <c r="J4065" s="71">
        <v>13.4</v>
      </c>
      <c r="K4065" s="109">
        <v>6.8999999999999999E-3</v>
      </c>
      <c r="L4065" s="121">
        <v>-7.0000000000000001E-3</v>
      </c>
      <c r="M4065" s="75" t="s">
        <v>146</v>
      </c>
      <c r="N4065" s="75" t="b">
        <v>1</v>
      </c>
      <c r="O4065" s="75" t="s">
        <v>145</v>
      </c>
      <c r="P4065" s="75">
        <v>2014</v>
      </c>
      <c r="Q4065" s="107">
        <f t="shared" si="124"/>
        <v>2019</v>
      </c>
      <c r="R4065" s="107">
        <v>2</v>
      </c>
      <c r="S4065" s="43">
        <v>219030</v>
      </c>
      <c r="T4065" s="74">
        <v>43542</v>
      </c>
    </row>
    <row r="4066" spans="1:20" x14ac:dyDescent="0.3">
      <c r="A4066" s="42">
        <v>43524</v>
      </c>
      <c r="B4066" s="37">
        <f t="shared" si="125"/>
        <v>20190228</v>
      </c>
      <c r="C4066" s="109">
        <v>2.12E-2</v>
      </c>
      <c r="D4066" s="109">
        <v>0.01</v>
      </c>
      <c r="E4066" s="109">
        <v>1.0999999999999999E-2</v>
      </c>
      <c r="F4066" s="109">
        <v>1.0999999999999999E-2</v>
      </c>
      <c r="G4066" s="130">
        <v>0</v>
      </c>
      <c r="H4066" s="71">
        <v>8.5</v>
      </c>
      <c r="I4066" s="71">
        <v>11</v>
      </c>
      <c r="J4066" s="71">
        <v>13.4</v>
      </c>
      <c r="K4066" s="109">
        <v>7.0999999999999995E-3</v>
      </c>
      <c r="L4066" s="121">
        <v>-7.0000000000000001E-3</v>
      </c>
      <c r="M4066" s="75" t="s">
        <v>146</v>
      </c>
      <c r="N4066" s="75" t="b">
        <v>1</v>
      </c>
      <c r="O4066" s="75" t="s">
        <v>145</v>
      </c>
      <c r="P4066" s="75">
        <v>2014</v>
      </c>
      <c r="Q4066" s="107">
        <f t="shared" si="124"/>
        <v>2019</v>
      </c>
      <c r="R4066" s="107">
        <v>2</v>
      </c>
      <c r="S4066" s="43">
        <v>219030</v>
      </c>
      <c r="T4066" s="74">
        <v>43542</v>
      </c>
    </row>
    <row r="4067" spans="1:20" x14ac:dyDescent="0.3">
      <c r="A4067" s="42">
        <v>43525</v>
      </c>
      <c r="B4067" s="37">
        <f t="shared" si="125"/>
        <v>20190301</v>
      </c>
      <c r="C4067" s="109">
        <v>2.1299999999999999E-2</v>
      </c>
      <c r="D4067" s="109">
        <v>0.01</v>
      </c>
      <c r="E4067" s="109">
        <v>1.0999999999999999E-2</v>
      </c>
      <c r="F4067" s="109">
        <v>1.0999999999999999E-2</v>
      </c>
      <c r="G4067" s="130">
        <v>0</v>
      </c>
      <c r="H4067" s="71">
        <v>8.5</v>
      </c>
      <c r="I4067" s="71">
        <v>11</v>
      </c>
      <c r="J4067" s="71">
        <v>13.4</v>
      </c>
      <c r="K4067" s="121">
        <v>7.1999999999999998E-3</v>
      </c>
      <c r="L4067" s="121">
        <v>-7.0000000000000001E-3</v>
      </c>
      <c r="M4067" s="75" t="s">
        <v>146</v>
      </c>
      <c r="N4067" s="75" t="b">
        <v>1</v>
      </c>
      <c r="O4067" s="75" t="s">
        <v>145</v>
      </c>
      <c r="P4067" s="75">
        <v>2014</v>
      </c>
      <c r="Q4067" s="107">
        <f t="shared" si="124"/>
        <v>2019</v>
      </c>
      <c r="R4067" s="107">
        <v>2</v>
      </c>
      <c r="S4067" s="43">
        <v>219030</v>
      </c>
      <c r="T4067" s="74">
        <v>43542</v>
      </c>
    </row>
    <row r="4068" spans="1:20" x14ac:dyDescent="0.3">
      <c r="A4068" s="42">
        <v>43526</v>
      </c>
      <c r="B4068" s="37">
        <f>YEAR(A4068)*10000+MONTH(A4068)*100+DAY(A4068)</f>
        <v>20190302</v>
      </c>
      <c r="C4068" s="109">
        <v>2.1299999999999999E-2</v>
      </c>
      <c r="D4068" s="109">
        <v>0.01</v>
      </c>
      <c r="E4068" s="109">
        <v>1.0999999999999999E-2</v>
      </c>
      <c r="F4068" s="109">
        <v>1.0999999999999999E-2</v>
      </c>
      <c r="G4068" s="130">
        <v>0</v>
      </c>
      <c r="H4068" s="71">
        <v>8.5</v>
      </c>
      <c r="I4068" s="71">
        <v>11</v>
      </c>
      <c r="J4068" s="71">
        <v>13.4</v>
      </c>
      <c r="K4068" s="121">
        <v>7.1999999999999998E-3</v>
      </c>
      <c r="L4068" s="121">
        <v>-7.0000000000000001E-3</v>
      </c>
      <c r="M4068" s="75" t="s">
        <v>146</v>
      </c>
      <c r="N4068" s="75" t="b">
        <v>1</v>
      </c>
      <c r="O4068" s="75" t="s">
        <v>145</v>
      </c>
      <c r="P4068" s="75">
        <v>2014</v>
      </c>
      <c r="Q4068" s="107">
        <f t="shared" si="124"/>
        <v>2019</v>
      </c>
      <c r="R4068" s="107">
        <v>2</v>
      </c>
      <c r="S4068" s="43">
        <v>219030</v>
      </c>
      <c r="T4068" s="74">
        <v>43542</v>
      </c>
    </row>
    <row r="4069" spans="1:20" x14ac:dyDescent="0.3">
      <c r="A4069" s="42">
        <v>43527</v>
      </c>
      <c r="B4069" s="37">
        <f>YEAR(A4069)*10000+MONTH(A4069)*100+DAY(A4069)</f>
        <v>20190303</v>
      </c>
      <c r="C4069" s="109">
        <v>2.1299999999999999E-2</v>
      </c>
      <c r="D4069" s="109">
        <v>0.01</v>
      </c>
      <c r="E4069" s="109">
        <v>1.0999999999999999E-2</v>
      </c>
      <c r="F4069" s="109">
        <v>1.0999999999999999E-2</v>
      </c>
      <c r="G4069" s="130">
        <v>0</v>
      </c>
      <c r="H4069" s="71">
        <v>8.5</v>
      </c>
      <c r="I4069" s="71">
        <v>11</v>
      </c>
      <c r="J4069" s="71">
        <v>13.4</v>
      </c>
      <c r="K4069" s="121">
        <v>7.1999999999999998E-3</v>
      </c>
      <c r="L4069" s="121">
        <v>-7.0000000000000001E-3</v>
      </c>
      <c r="M4069" s="75" t="s">
        <v>146</v>
      </c>
      <c r="N4069" s="75" t="b">
        <v>1</v>
      </c>
      <c r="O4069" s="75" t="s">
        <v>145</v>
      </c>
      <c r="P4069" s="75">
        <v>2014</v>
      </c>
      <c r="Q4069" s="107">
        <f t="shared" si="124"/>
        <v>2019</v>
      </c>
      <c r="R4069" s="107">
        <v>2</v>
      </c>
      <c r="S4069" s="43">
        <v>219030</v>
      </c>
      <c r="T4069" s="74">
        <v>43542</v>
      </c>
    </row>
    <row r="4070" spans="1:20" x14ac:dyDescent="0.3">
      <c r="A4070" s="42">
        <v>43528</v>
      </c>
      <c r="B4070" s="37">
        <f t="shared" si="125"/>
        <v>20190304</v>
      </c>
      <c r="C4070" s="109">
        <v>2.0899999999999998E-2</v>
      </c>
      <c r="D4070" s="109">
        <v>0.01</v>
      </c>
      <c r="E4070" s="109">
        <v>1.0999999999999999E-2</v>
      </c>
      <c r="F4070" s="109">
        <v>1.0999999999999999E-2</v>
      </c>
      <c r="G4070" s="130">
        <v>0</v>
      </c>
      <c r="H4070" s="71">
        <v>8.5</v>
      </c>
      <c r="I4070" s="71">
        <v>11</v>
      </c>
      <c r="J4070" s="71">
        <v>13.4</v>
      </c>
      <c r="K4070" s="121">
        <v>6.8999999999999999E-3</v>
      </c>
      <c r="L4070" s="121">
        <v>-7.0000000000000001E-3</v>
      </c>
      <c r="M4070" s="75" t="s">
        <v>146</v>
      </c>
      <c r="N4070" s="75" t="b">
        <v>1</v>
      </c>
      <c r="O4070" s="75" t="s">
        <v>145</v>
      </c>
      <c r="P4070" s="75">
        <v>2014</v>
      </c>
      <c r="Q4070" s="107">
        <f t="shared" si="124"/>
        <v>2019</v>
      </c>
      <c r="R4070" s="107">
        <v>2</v>
      </c>
      <c r="S4070" s="43">
        <v>219030</v>
      </c>
      <c r="T4070" s="74">
        <v>43542</v>
      </c>
    </row>
    <row r="4071" spans="1:20" x14ac:dyDescent="0.3">
      <c r="A4071" s="42">
        <v>43529</v>
      </c>
      <c r="B4071" s="37">
        <f t="shared" si="125"/>
        <v>20190305</v>
      </c>
      <c r="C4071" s="109">
        <v>2.0799999999999999E-2</v>
      </c>
      <c r="D4071" s="109">
        <v>0.01</v>
      </c>
      <c r="E4071" s="109">
        <v>1.0999999999999999E-2</v>
      </c>
      <c r="F4071" s="109">
        <v>1.0999999999999999E-2</v>
      </c>
      <c r="G4071" s="130">
        <v>0</v>
      </c>
      <c r="H4071" s="71">
        <v>8.5</v>
      </c>
      <c r="I4071" s="71">
        <v>11</v>
      </c>
      <c r="J4071" s="71">
        <v>13.4</v>
      </c>
      <c r="K4071" s="121">
        <v>6.8000000000000005E-3</v>
      </c>
      <c r="L4071" s="121">
        <v>-7.0000000000000001E-3</v>
      </c>
      <c r="M4071" s="75" t="s">
        <v>146</v>
      </c>
      <c r="N4071" s="75" t="b">
        <v>1</v>
      </c>
      <c r="O4071" s="75" t="s">
        <v>145</v>
      </c>
      <c r="P4071" s="75">
        <v>2014</v>
      </c>
      <c r="Q4071" s="107">
        <f t="shared" si="124"/>
        <v>2019</v>
      </c>
      <c r="R4071" s="107">
        <v>2</v>
      </c>
      <c r="S4071" s="43">
        <v>219030</v>
      </c>
      <c r="T4071" s="74">
        <v>43542</v>
      </c>
    </row>
    <row r="4072" spans="1:20" x14ac:dyDescent="0.3">
      <c r="A4072" s="42">
        <v>43530</v>
      </c>
      <c r="B4072" s="37">
        <f t="shared" si="125"/>
        <v>20190306</v>
      </c>
      <c r="C4072" s="109">
        <v>2.0299999999999999E-2</v>
      </c>
      <c r="D4072" s="109">
        <v>0.01</v>
      </c>
      <c r="E4072" s="109">
        <v>1.0999999999999999E-2</v>
      </c>
      <c r="F4072" s="109">
        <v>1.0999999999999999E-2</v>
      </c>
      <c r="G4072" s="130">
        <v>0</v>
      </c>
      <c r="H4072" s="71">
        <v>8.5</v>
      </c>
      <c r="I4072" s="71">
        <v>11</v>
      </c>
      <c r="J4072" s="71">
        <v>13.4</v>
      </c>
      <c r="K4072" s="109">
        <v>6.4000000000000003E-3</v>
      </c>
      <c r="L4072" s="121">
        <v>-7.0000000000000001E-3</v>
      </c>
      <c r="M4072" s="75" t="s">
        <v>146</v>
      </c>
      <c r="N4072" s="75" t="b">
        <v>1</v>
      </c>
      <c r="O4072" s="75" t="s">
        <v>145</v>
      </c>
      <c r="P4072" s="75">
        <v>2014</v>
      </c>
      <c r="Q4072" s="107">
        <f t="shared" si="124"/>
        <v>2019</v>
      </c>
      <c r="R4072" s="107">
        <v>2</v>
      </c>
      <c r="S4072" s="43">
        <v>219030</v>
      </c>
      <c r="T4072" s="74">
        <v>43542</v>
      </c>
    </row>
    <row r="4073" spans="1:20" x14ac:dyDescent="0.3">
      <c r="A4073" s="42">
        <v>43531</v>
      </c>
      <c r="B4073" s="37">
        <f t="shared" si="125"/>
        <v>20190307</v>
      </c>
      <c r="C4073" s="109">
        <v>1.9799999999999998E-2</v>
      </c>
      <c r="D4073" s="109">
        <v>0.01</v>
      </c>
      <c r="E4073" s="109">
        <v>1.0999999999999999E-2</v>
      </c>
      <c r="F4073" s="109">
        <v>1.0999999999999999E-2</v>
      </c>
      <c r="G4073" s="130">
        <v>0</v>
      </c>
      <c r="H4073" s="71">
        <v>8.5</v>
      </c>
      <c r="I4073" s="71">
        <v>11</v>
      </c>
      <c r="J4073" s="71">
        <v>13.4</v>
      </c>
      <c r="K4073" s="109">
        <v>6.0000000000000001E-3</v>
      </c>
      <c r="L4073" s="121">
        <v>-7.0000000000000001E-3</v>
      </c>
      <c r="M4073" s="75" t="s">
        <v>146</v>
      </c>
      <c r="N4073" s="75" t="b">
        <v>1</v>
      </c>
      <c r="O4073" s="75" t="s">
        <v>145</v>
      </c>
      <c r="P4073" s="75">
        <v>2014</v>
      </c>
      <c r="Q4073" s="107">
        <f t="shared" si="124"/>
        <v>2019</v>
      </c>
      <c r="R4073" s="107">
        <v>2</v>
      </c>
      <c r="S4073" s="43">
        <v>219030</v>
      </c>
      <c r="T4073" s="74">
        <v>43542</v>
      </c>
    </row>
    <row r="4074" spans="1:20" x14ac:dyDescent="0.3">
      <c r="A4074" s="42">
        <v>43532</v>
      </c>
      <c r="B4074" s="37">
        <f t="shared" si="125"/>
        <v>20190308</v>
      </c>
      <c r="C4074" s="109">
        <v>1.9799999999999998E-2</v>
      </c>
      <c r="D4074" s="109">
        <v>0.01</v>
      </c>
      <c r="E4074" s="109">
        <v>1.0999999999999999E-2</v>
      </c>
      <c r="F4074" s="109">
        <v>1.0999999999999999E-2</v>
      </c>
      <c r="G4074" s="130">
        <v>0</v>
      </c>
      <c r="H4074" s="71">
        <v>8.5</v>
      </c>
      <c r="I4074" s="71">
        <v>11</v>
      </c>
      <c r="J4074" s="71">
        <v>13.4</v>
      </c>
      <c r="K4074" s="109">
        <v>6.0000000000000001E-3</v>
      </c>
      <c r="L4074" s="121">
        <v>-7.0000000000000001E-3</v>
      </c>
      <c r="M4074" s="75" t="s">
        <v>146</v>
      </c>
      <c r="N4074" s="75" t="b">
        <v>1</v>
      </c>
      <c r="O4074" s="75" t="s">
        <v>145</v>
      </c>
      <c r="P4074" s="75">
        <v>2014</v>
      </c>
      <c r="Q4074" s="107">
        <f t="shared" si="124"/>
        <v>2019</v>
      </c>
      <c r="R4074" s="107">
        <v>2</v>
      </c>
      <c r="S4074" s="43">
        <v>219030</v>
      </c>
      <c r="T4074" s="74">
        <v>43542</v>
      </c>
    </row>
    <row r="4075" spans="1:20" x14ac:dyDescent="0.3">
      <c r="A4075" s="42">
        <v>43533</v>
      </c>
      <c r="B4075" s="37">
        <f>YEAR(A4075)*10000+MONTH(A4075)*100+DAY(A4075)</f>
        <v>20190309</v>
      </c>
      <c r="C4075" s="109">
        <v>1.9799999999999998E-2</v>
      </c>
      <c r="D4075" s="109">
        <v>0.01</v>
      </c>
      <c r="E4075" s="109">
        <v>1.0999999999999999E-2</v>
      </c>
      <c r="F4075" s="109">
        <v>1.0999999999999999E-2</v>
      </c>
      <c r="G4075" s="130">
        <v>0</v>
      </c>
      <c r="H4075" s="71">
        <v>8.5</v>
      </c>
      <c r="I4075" s="71">
        <v>11</v>
      </c>
      <c r="J4075" s="71">
        <v>13.4</v>
      </c>
      <c r="K4075" s="109">
        <v>6.0000000000000001E-3</v>
      </c>
      <c r="L4075" s="121">
        <v>-7.0000000000000001E-3</v>
      </c>
      <c r="M4075" s="75" t="s">
        <v>146</v>
      </c>
      <c r="N4075" s="75" t="b">
        <v>1</v>
      </c>
      <c r="O4075" s="75" t="s">
        <v>145</v>
      </c>
      <c r="P4075" s="75">
        <v>2014</v>
      </c>
      <c r="Q4075" s="107">
        <f t="shared" si="124"/>
        <v>2019</v>
      </c>
      <c r="R4075" s="107">
        <v>2</v>
      </c>
      <c r="S4075" s="43">
        <v>219030</v>
      </c>
      <c r="T4075" s="74">
        <v>43542</v>
      </c>
    </row>
    <row r="4076" spans="1:20" x14ac:dyDescent="0.3">
      <c r="A4076" s="42">
        <v>43534</v>
      </c>
      <c r="B4076" s="37">
        <f>YEAR(A4076)*10000+MONTH(A4076)*100+DAY(A4076)</f>
        <v>20190310</v>
      </c>
      <c r="C4076" s="109">
        <v>1.9799999999999998E-2</v>
      </c>
      <c r="D4076" s="109">
        <v>0.01</v>
      </c>
      <c r="E4076" s="109">
        <v>1.0999999999999999E-2</v>
      </c>
      <c r="F4076" s="109">
        <v>1.0999999999999999E-2</v>
      </c>
      <c r="G4076" s="130">
        <v>0</v>
      </c>
      <c r="H4076" s="71">
        <v>8.5</v>
      </c>
      <c r="I4076" s="71">
        <v>11</v>
      </c>
      <c r="J4076" s="71">
        <v>13.4</v>
      </c>
      <c r="K4076" s="109">
        <v>6.0000000000000001E-3</v>
      </c>
      <c r="L4076" s="121">
        <v>-7.0000000000000001E-3</v>
      </c>
      <c r="M4076" s="75" t="s">
        <v>146</v>
      </c>
      <c r="N4076" s="75" t="b">
        <v>1</v>
      </c>
      <c r="O4076" s="75" t="s">
        <v>145</v>
      </c>
      <c r="P4076" s="75">
        <v>2014</v>
      </c>
      <c r="Q4076" s="107">
        <f t="shared" si="124"/>
        <v>2019</v>
      </c>
      <c r="R4076" s="107">
        <v>2</v>
      </c>
      <c r="S4076" s="43">
        <v>219030</v>
      </c>
      <c r="T4076" s="74">
        <v>43542</v>
      </c>
    </row>
    <row r="4077" spans="1:20" x14ac:dyDescent="0.3">
      <c r="A4077" s="42">
        <v>43535</v>
      </c>
      <c r="B4077" s="37">
        <f t="shared" si="125"/>
        <v>20190311</v>
      </c>
      <c r="C4077" s="109">
        <v>1.9699999999999999E-2</v>
      </c>
      <c r="D4077" s="109">
        <v>0.01</v>
      </c>
      <c r="E4077" s="109">
        <v>1.0999999999999999E-2</v>
      </c>
      <c r="F4077" s="109">
        <v>1.0999999999999999E-2</v>
      </c>
      <c r="G4077" s="130">
        <v>0</v>
      </c>
      <c r="H4077" s="71">
        <v>8.5</v>
      </c>
      <c r="I4077" s="71">
        <v>11</v>
      </c>
      <c r="J4077" s="71">
        <v>13.4</v>
      </c>
      <c r="K4077" s="109">
        <v>5.8999999999999999E-3</v>
      </c>
      <c r="L4077" s="121">
        <v>-7.0000000000000001E-3</v>
      </c>
      <c r="M4077" s="75" t="s">
        <v>146</v>
      </c>
      <c r="N4077" s="75" t="b">
        <v>1</v>
      </c>
      <c r="O4077" s="75" t="s">
        <v>145</v>
      </c>
      <c r="P4077" s="75">
        <v>2014</v>
      </c>
      <c r="Q4077" s="107">
        <f t="shared" si="124"/>
        <v>2019</v>
      </c>
      <c r="R4077" s="107">
        <v>2</v>
      </c>
      <c r="S4077" s="43">
        <v>219030</v>
      </c>
      <c r="T4077" s="74">
        <v>43542</v>
      </c>
    </row>
    <row r="4078" spans="1:20" x14ac:dyDescent="0.3">
      <c r="A4078" s="42">
        <v>43536</v>
      </c>
      <c r="B4078" s="37">
        <f t="shared" si="125"/>
        <v>20190312</v>
      </c>
      <c r="C4078" s="109">
        <v>1.9400000000000001E-2</v>
      </c>
      <c r="D4078" s="109">
        <v>0.01</v>
      </c>
      <c r="E4078" s="109">
        <v>1.0999999999999999E-2</v>
      </c>
      <c r="F4078" s="109">
        <v>1.0999999999999999E-2</v>
      </c>
      <c r="G4078" s="130">
        <v>0</v>
      </c>
      <c r="H4078" s="71">
        <v>8.5</v>
      </c>
      <c r="I4078" s="71">
        <v>11</v>
      </c>
      <c r="J4078" s="71">
        <v>13.4</v>
      </c>
      <c r="K4078" s="109">
        <v>5.6000000000000008E-3</v>
      </c>
      <c r="L4078" s="121">
        <v>-7.0000000000000001E-3</v>
      </c>
      <c r="M4078" s="75" t="s">
        <v>146</v>
      </c>
      <c r="N4078" s="75" t="b">
        <v>1</v>
      </c>
      <c r="O4078" s="75" t="s">
        <v>145</v>
      </c>
      <c r="P4078" s="75">
        <v>2014</v>
      </c>
      <c r="Q4078" s="107">
        <f t="shared" ref="Q4078:Q4141" si="126">YEAR(A4078)</f>
        <v>2019</v>
      </c>
      <c r="R4078" s="107">
        <v>2</v>
      </c>
      <c r="S4078" s="43">
        <v>219030</v>
      </c>
      <c r="T4078" s="74">
        <v>43542</v>
      </c>
    </row>
    <row r="4079" spans="1:20" x14ac:dyDescent="0.3">
      <c r="A4079" s="42">
        <v>43537</v>
      </c>
      <c r="B4079" s="37">
        <f t="shared" si="125"/>
        <v>20190313</v>
      </c>
      <c r="C4079" s="109">
        <v>1.9599999999999999E-2</v>
      </c>
      <c r="D4079" s="109">
        <v>0.01</v>
      </c>
      <c r="E4079" s="109">
        <v>1.0999999999999999E-2</v>
      </c>
      <c r="F4079" s="109">
        <v>1.0999999999999999E-2</v>
      </c>
      <c r="G4079" s="130">
        <v>0</v>
      </c>
      <c r="H4079" s="71">
        <v>8.5</v>
      </c>
      <c r="I4079" s="71">
        <v>11</v>
      </c>
      <c r="J4079" s="71">
        <v>13.4</v>
      </c>
      <c r="K4079" s="109">
        <v>5.6999999999999993E-3</v>
      </c>
      <c r="L4079" s="121">
        <v>-7.0000000000000001E-3</v>
      </c>
      <c r="M4079" s="75" t="s">
        <v>146</v>
      </c>
      <c r="N4079" s="75" t="b">
        <v>1</v>
      </c>
      <c r="O4079" s="75" t="s">
        <v>145</v>
      </c>
      <c r="P4079" s="75">
        <v>2014</v>
      </c>
      <c r="Q4079" s="107">
        <f t="shared" si="126"/>
        <v>2019</v>
      </c>
      <c r="R4079" s="107">
        <v>2</v>
      </c>
      <c r="S4079" s="43">
        <v>219030</v>
      </c>
      <c r="T4079" s="74">
        <v>43542</v>
      </c>
    </row>
    <row r="4080" spans="1:20" x14ac:dyDescent="0.3">
      <c r="A4080" s="42">
        <v>43538</v>
      </c>
      <c r="B4080" s="37">
        <f t="shared" si="125"/>
        <v>20190314</v>
      </c>
      <c r="C4080" s="109">
        <v>1.9699999999999999E-2</v>
      </c>
      <c r="D4080" s="109">
        <v>0.01</v>
      </c>
      <c r="E4080" s="109">
        <v>1.0999999999999999E-2</v>
      </c>
      <c r="F4080" s="109">
        <v>1.0999999999999999E-2</v>
      </c>
      <c r="G4080" s="130">
        <v>0</v>
      </c>
      <c r="H4080" s="71">
        <v>8.5</v>
      </c>
      <c r="I4080" s="71">
        <v>11</v>
      </c>
      <c r="J4080" s="71">
        <v>13.4</v>
      </c>
      <c r="K4080" s="109">
        <v>5.6999999999999993E-3</v>
      </c>
      <c r="L4080" s="121">
        <v>-7.0000000000000001E-3</v>
      </c>
      <c r="M4080" s="75" t="s">
        <v>146</v>
      </c>
      <c r="N4080" s="75" t="b">
        <v>1</v>
      </c>
      <c r="O4080" s="75" t="s">
        <v>145</v>
      </c>
      <c r="P4080" s="75">
        <v>2014</v>
      </c>
      <c r="Q4080" s="107">
        <f t="shared" si="126"/>
        <v>2019</v>
      </c>
      <c r="R4080" s="107">
        <v>2</v>
      </c>
      <c r="S4080" s="43">
        <v>219030</v>
      </c>
      <c r="T4080" s="74">
        <v>43542</v>
      </c>
    </row>
    <row r="4081" spans="1:20" x14ac:dyDescent="0.3">
      <c r="A4081" s="42">
        <v>43539</v>
      </c>
      <c r="B4081" s="37">
        <f t="shared" si="125"/>
        <v>20190315</v>
      </c>
      <c r="C4081" s="109">
        <v>1.9400000000000001E-2</v>
      </c>
      <c r="D4081" s="109">
        <v>0.01</v>
      </c>
      <c r="E4081" s="109">
        <v>1.0999999999999999E-2</v>
      </c>
      <c r="F4081" s="109">
        <v>1.0999999999999999E-2</v>
      </c>
      <c r="G4081" s="130">
        <v>0</v>
      </c>
      <c r="H4081" s="71">
        <v>8.5</v>
      </c>
      <c r="I4081" s="71">
        <v>11</v>
      </c>
      <c r="J4081" s="71">
        <v>13.4</v>
      </c>
      <c r="K4081" s="109">
        <v>5.4000000000000003E-3</v>
      </c>
      <c r="L4081" s="121">
        <v>-7.0000000000000001E-3</v>
      </c>
      <c r="M4081" s="75" t="s">
        <v>146</v>
      </c>
      <c r="N4081" s="75" t="b">
        <v>1</v>
      </c>
      <c r="O4081" s="75" t="s">
        <v>145</v>
      </c>
      <c r="P4081" s="75">
        <v>2014</v>
      </c>
      <c r="Q4081" s="107">
        <f t="shared" si="126"/>
        <v>2019</v>
      </c>
      <c r="R4081" s="107">
        <v>2</v>
      </c>
      <c r="S4081" s="43">
        <v>219030</v>
      </c>
      <c r="T4081" s="74">
        <v>43542</v>
      </c>
    </row>
    <row r="4082" spans="1:20" x14ac:dyDescent="0.3">
      <c r="A4082" s="42">
        <v>43540</v>
      </c>
      <c r="B4082" s="37">
        <f>YEAR(A4082)*10000+MONTH(A4082)*100+DAY(A4082)</f>
        <v>20190316</v>
      </c>
      <c r="C4082" s="109">
        <v>1.9400000000000001E-2</v>
      </c>
      <c r="D4082" s="109">
        <v>0.01</v>
      </c>
      <c r="E4082" s="109">
        <v>1.0999999999999999E-2</v>
      </c>
      <c r="F4082" s="109">
        <v>1.0999999999999999E-2</v>
      </c>
      <c r="G4082" s="130">
        <v>0</v>
      </c>
      <c r="H4082" s="71">
        <v>8.5</v>
      </c>
      <c r="I4082" s="71">
        <v>11</v>
      </c>
      <c r="J4082" s="71">
        <v>13.4</v>
      </c>
      <c r="K4082" s="109">
        <v>5.4000000000000003E-3</v>
      </c>
      <c r="L4082" s="121">
        <v>-7.0000000000000001E-3</v>
      </c>
      <c r="M4082" s="75" t="s">
        <v>146</v>
      </c>
      <c r="N4082" s="75" t="b">
        <v>1</v>
      </c>
      <c r="O4082" s="75" t="s">
        <v>145</v>
      </c>
      <c r="P4082" s="75">
        <v>2014</v>
      </c>
      <c r="Q4082" s="107">
        <f t="shared" si="126"/>
        <v>2019</v>
      </c>
      <c r="R4082" s="107">
        <v>2</v>
      </c>
      <c r="S4082" s="43">
        <v>219030</v>
      </c>
      <c r="T4082" s="74">
        <v>43542</v>
      </c>
    </row>
    <row r="4083" spans="1:20" x14ac:dyDescent="0.3">
      <c r="A4083" s="42">
        <v>43541</v>
      </c>
      <c r="B4083" s="37">
        <f>YEAR(A4083)*10000+MONTH(A4083)*100+DAY(A4083)</f>
        <v>20190317</v>
      </c>
      <c r="C4083" s="109">
        <v>1.9400000000000001E-2</v>
      </c>
      <c r="D4083" s="109">
        <v>0.01</v>
      </c>
      <c r="E4083" s="109">
        <v>1.0999999999999999E-2</v>
      </c>
      <c r="F4083" s="109">
        <v>1.0999999999999999E-2</v>
      </c>
      <c r="G4083" s="130">
        <v>0</v>
      </c>
      <c r="H4083" s="71">
        <v>8.5</v>
      </c>
      <c r="I4083" s="71">
        <v>11</v>
      </c>
      <c r="J4083" s="71">
        <v>13.4</v>
      </c>
      <c r="K4083" s="109">
        <v>5.4000000000000003E-3</v>
      </c>
      <c r="L4083" s="121">
        <v>-7.0000000000000001E-3</v>
      </c>
      <c r="M4083" s="75" t="s">
        <v>146</v>
      </c>
      <c r="N4083" s="75" t="b">
        <v>1</v>
      </c>
      <c r="O4083" s="75" t="s">
        <v>145</v>
      </c>
      <c r="P4083" s="75">
        <v>2014</v>
      </c>
      <c r="Q4083" s="107">
        <f t="shared" si="126"/>
        <v>2019</v>
      </c>
      <c r="R4083" s="107">
        <v>2</v>
      </c>
      <c r="S4083" s="43">
        <v>219030</v>
      </c>
      <c r="T4083" s="74">
        <v>43542</v>
      </c>
    </row>
    <row r="4084" spans="1:20" x14ac:dyDescent="0.3">
      <c r="A4084" s="42">
        <v>43542</v>
      </c>
      <c r="B4084" s="37">
        <f t="shared" si="125"/>
        <v>20190318</v>
      </c>
      <c r="C4084" s="109">
        <v>1.9299999999999998E-2</v>
      </c>
      <c r="D4084" s="109">
        <v>0.01</v>
      </c>
      <c r="E4084" s="109">
        <v>1.0999999999999999E-2</v>
      </c>
      <c r="F4084" s="109">
        <v>1.0999999999999999E-2</v>
      </c>
      <c r="G4084" s="130">
        <v>0</v>
      </c>
      <c r="H4084" s="71">
        <v>8.5</v>
      </c>
      <c r="I4084" s="71">
        <v>11</v>
      </c>
      <c r="J4084" s="71">
        <v>13.4</v>
      </c>
      <c r="K4084" s="109">
        <v>5.3E-3</v>
      </c>
      <c r="L4084" s="121">
        <v>-7.0000000000000001E-3</v>
      </c>
      <c r="M4084" s="75" t="s">
        <v>146</v>
      </c>
      <c r="N4084" s="75" t="b">
        <v>1</v>
      </c>
      <c r="O4084" s="75" t="s">
        <v>145</v>
      </c>
      <c r="P4084" s="75">
        <v>2014</v>
      </c>
      <c r="Q4084" s="107">
        <f t="shared" si="126"/>
        <v>2019</v>
      </c>
      <c r="R4084" s="107">
        <v>2</v>
      </c>
      <c r="S4084" s="43">
        <v>219030</v>
      </c>
      <c r="T4084" s="74">
        <v>43542</v>
      </c>
    </row>
    <row r="4085" spans="1:20" x14ac:dyDescent="0.3">
      <c r="A4085" s="42">
        <v>43543</v>
      </c>
      <c r="B4085" s="37">
        <f t="shared" si="125"/>
        <v>20190319</v>
      </c>
      <c r="C4085" s="109">
        <v>1.9299999999999998E-2</v>
      </c>
      <c r="D4085" s="109">
        <v>0.01</v>
      </c>
      <c r="E4085" s="109">
        <v>1.0999999999999999E-2</v>
      </c>
      <c r="F4085" s="109">
        <v>1.0999999999999999E-2</v>
      </c>
      <c r="G4085" s="130">
        <v>0</v>
      </c>
      <c r="H4085" s="71">
        <v>8.5</v>
      </c>
      <c r="I4085" s="71">
        <v>11</v>
      </c>
      <c r="J4085" s="71">
        <v>13.4</v>
      </c>
      <c r="K4085" s="109">
        <v>5.1999999999999998E-3</v>
      </c>
      <c r="L4085" s="121">
        <v>-7.0000000000000001E-3</v>
      </c>
      <c r="M4085" s="75" t="s">
        <v>146</v>
      </c>
      <c r="N4085" s="75" t="b">
        <v>1</v>
      </c>
      <c r="O4085" s="75" t="s">
        <v>145</v>
      </c>
      <c r="P4085" s="75">
        <v>2014</v>
      </c>
      <c r="Q4085" s="107">
        <f t="shared" si="126"/>
        <v>2019</v>
      </c>
      <c r="R4085" s="107">
        <v>2</v>
      </c>
      <c r="S4085" s="43">
        <v>219030</v>
      </c>
      <c r="T4085" s="74">
        <v>43542</v>
      </c>
    </row>
    <row r="4086" spans="1:20" x14ac:dyDescent="0.3">
      <c r="A4086" s="42">
        <v>43544</v>
      </c>
      <c r="B4086" s="37">
        <f t="shared" si="125"/>
        <v>20190320</v>
      </c>
      <c r="C4086" s="109">
        <v>1.9E-2</v>
      </c>
      <c r="D4086" s="109">
        <v>0.01</v>
      </c>
      <c r="E4086" s="109">
        <v>1.0999999999999999E-2</v>
      </c>
      <c r="F4086" s="109">
        <v>1.0999999999999999E-2</v>
      </c>
      <c r="G4086" s="130">
        <v>0</v>
      </c>
      <c r="H4086" s="71">
        <v>8.5</v>
      </c>
      <c r="I4086" s="71">
        <v>11</v>
      </c>
      <c r="J4086" s="71">
        <v>13.4</v>
      </c>
      <c r="K4086" s="109">
        <v>4.8999999999999998E-3</v>
      </c>
      <c r="L4086" s="121">
        <v>-7.0000000000000001E-3</v>
      </c>
      <c r="M4086" s="75" t="s">
        <v>146</v>
      </c>
      <c r="N4086" s="75" t="b">
        <v>1</v>
      </c>
      <c r="O4086" s="75" t="s">
        <v>145</v>
      </c>
      <c r="P4086" s="75">
        <v>2014</v>
      </c>
      <c r="Q4086" s="107">
        <f t="shared" si="126"/>
        <v>2019</v>
      </c>
      <c r="R4086" s="107">
        <v>2</v>
      </c>
      <c r="S4086" s="43">
        <v>219030</v>
      </c>
      <c r="T4086" s="74">
        <v>43542</v>
      </c>
    </row>
    <row r="4087" spans="1:20" x14ac:dyDescent="0.3">
      <c r="A4087" s="42">
        <v>43545</v>
      </c>
      <c r="B4087" s="37">
        <f t="shared" si="125"/>
        <v>20190321</v>
      </c>
      <c r="C4087" s="109">
        <v>1.89E-2</v>
      </c>
      <c r="D4087" s="109">
        <v>0.01</v>
      </c>
      <c r="E4087" s="109">
        <v>1.0999999999999999E-2</v>
      </c>
      <c r="F4087" s="109">
        <v>1.0999999999999999E-2</v>
      </c>
      <c r="G4087" s="130">
        <v>0</v>
      </c>
      <c r="H4087" s="71">
        <v>8.5</v>
      </c>
      <c r="I4087" s="71">
        <v>11</v>
      </c>
      <c r="J4087" s="71">
        <v>13.4</v>
      </c>
      <c r="K4087" s="109">
        <v>4.6999999999999993E-3</v>
      </c>
      <c r="L4087" s="121">
        <v>-7.0000000000000001E-3</v>
      </c>
      <c r="M4087" s="75" t="s">
        <v>146</v>
      </c>
      <c r="N4087" s="75" t="b">
        <v>1</v>
      </c>
      <c r="O4087" s="75" t="s">
        <v>145</v>
      </c>
      <c r="P4087" s="75">
        <v>2014</v>
      </c>
      <c r="Q4087" s="107">
        <f t="shared" si="126"/>
        <v>2019</v>
      </c>
      <c r="R4087" s="107">
        <v>2</v>
      </c>
      <c r="S4087" s="43">
        <v>219030</v>
      </c>
      <c r="T4087" s="74">
        <v>43542</v>
      </c>
    </row>
    <row r="4088" spans="1:20" x14ac:dyDescent="0.3">
      <c r="A4088" s="42">
        <v>43546</v>
      </c>
      <c r="B4088" s="37">
        <f t="shared" si="125"/>
        <v>20190322</v>
      </c>
      <c r="C4088" s="109">
        <v>1.8100000000000002E-2</v>
      </c>
      <c r="D4088" s="109">
        <v>0.01</v>
      </c>
      <c r="E4088" s="109">
        <v>1.0999999999999999E-2</v>
      </c>
      <c r="F4088" s="109">
        <v>1.0999999999999999E-2</v>
      </c>
      <c r="G4088" s="130">
        <v>0</v>
      </c>
      <c r="H4088" s="71">
        <v>8.5</v>
      </c>
      <c r="I4088" s="71">
        <v>11</v>
      </c>
      <c r="J4088" s="71">
        <v>13.4</v>
      </c>
      <c r="K4088" s="109">
        <v>4.0999999999999995E-3</v>
      </c>
      <c r="L4088" s="121">
        <v>-7.0000000000000001E-3</v>
      </c>
      <c r="M4088" s="75" t="s">
        <v>146</v>
      </c>
      <c r="N4088" s="75" t="b">
        <v>1</v>
      </c>
      <c r="O4088" s="75" t="s">
        <v>145</v>
      </c>
      <c r="P4088" s="75">
        <v>2014</v>
      </c>
      <c r="Q4088" s="107">
        <f t="shared" si="126"/>
        <v>2019</v>
      </c>
      <c r="R4088" s="107">
        <v>2</v>
      </c>
      <c r="S4088" s="43">
        <v>219030</v>
      </c>
      <c r="T4088" s="74">
        <v>43542</v>
      </c>
    </row>
    <row r="4089" spans="1:20" x14ac:dyDescent="0.3">
      <c r="A4089" s="42">
        <v>43547</v>
      </c>
      <c r="B4089" s="37">
        <f>YEAR(A4089)*10000+MONTH(A4089)*100+DAY(A4089)</f>
        <v>20190323</v>
      </c>
      <c r="C4089" s="109">
        <v>1.8100000000000002E-2</v>
      </c>
      <c r="D4089" s="109">
        <v>0.01</v>
      </c>
      <c r="E4089" s="109">
        <v>1.0999999999999999E-2</v>
      </c>
      <c r="F4089" s="109">
        <v>1.0999999999999999E-2</v>
      </c>
      <c r="G4089" s="130">
        <v>0</v>
      </c>
      <c r="H4089" s="71">
        <v>8.5</v>
      </c>
      <c r="I4089" s="71">
        <v>11</v>
      </c>
      <c r="J4089" s="71">
        <v>13.4</v>
      </c>
      <c r="K4089" s="109">
        <v>4.0999999999999995E-3</v>
      </c>
      <c r="L4089" s="121">
        <v>-7.0000000000000001E-3</v>
      </c>
      <c r="M4089" s="75" t="s">
        <v>146</v>
      </c>
      <c r="N4089" s="75" t="b">
        <v>1</v>
      </c>
      <c r="O4089" s="75" t="s">
        <v>145</v>
      </c>
      <c r="P4089" s="75">
        <v>2014</v>
      </c>
      <c r="Q4089" s="107">
        <f t="shared" si="126"/>
        <v>2019</v>
      </c>
      <c r="R4089" s="107">
        <v>2</v>
      </c>
      <c r="S4089" s="43">
        <v>219030</v>
      </c>
      <c r="T4089" s="74">
        <v>43542</v>
      </c>
    </row>
    <row r="4090" spans="1:20" x14ac:dyDescent="0.3">
      <c r="A4090" s="42">
        <v>43548</v>
      </c>
      <c r="B4090" s="37">
        <f>YEAR(A4090)*10000+MONTH(A4090)*100+DAY(A4090)</f>
        <v>20190324</v>
      </c>
      <c r="C4090" s="109">
        <v>1.8100000000000002E-2</v>
      </c>
      <c r="D4090" s="109">
        <v>0.01</v>
      </c>
      <c r="E4090" s="109">
        <v>1.0999999999999999E-2</v>
      </c>
      <c r="F4090" s="109">
        <v>1.0999999999999999E-2</v>
      </c>
      <c r="G4090" s="130">
        <v>0</v>
      </c>
      <c r="H4090" s="71">
        <v>8.5</v>
      </c>
      <c r="I4090" s="71">
        <v>11</v>
      </c>
      <c r="J4090" s="71">
        <v>13.4</v>
      </c>
      <c r="K4090" s="109"/>
      <c r="L4090" s="121">
        <v>-7.0000000000000001E-3</v>
      </c>
      <c r="M4090" s="75" t="s">
        <v>146</v>
      </c>
      <c r="N4090" s="75" t="b">
        <v>1</v>
      </c>
      <c r="O4090" s="75" t="s">
        <v>145</v>
      </c>
      <c r="P4090" s="75">
        <v>2014</v>
      </c>
      <c r="Q4090" s="107">
        <f t="shared" si="126"/>
        <v>2019</v>
      </c>
      <c r="R4090" s="107">
        <v>2</v>
      </c>
      <c r="S4090" s="43">
        <v>219030</v>
      </c>
      <c r="T4090" s="74">
        <v>43542</v>
      </c>
    </row>
    <row r="4091" spans="1:20" x14ac:dyDescent="0.3">
      <c r="A4091" s="42">
        <v>43549</v>
      </c>
      <c r="B4091" s="37">
        <f t="shared" si="125"/>
        <v>20190325</v>
      </c>
      <c r="C4091" s="109">
        <v>1.77E-2</v>
      </c>
      <c r="D4091" s="109">
        <v>0.01</v>
      </c>
      <c r="E4091" s="109">
        <v>1.0999999999999999E-2</v>
      </c>
      <c r="F4091" s="109">
        <v>1.0999999999999999E-2</v>
      </c>
      <c r="G4091" s="130">
        <v>0</v>
      </c>
      <c r="H4091" s="71">
        <v>8.5</v>
      </c>
      <c r="I4091" s="71">
        <v>11</v>
      </c>
      <c r="J4091" s="71">
        <v>13.4</v>
      </c>
      <c r="K4091" s="109">
        <v>3.9000000000000003E-3</v>
      </c>
      <c r="L4091" s="121">
        <v>-7.0000000000000001E-3</v>
      </c>
      <c r="M4091" s="75" t="s">
        <v>146</v>
      </c>
      <c r="N4091" s="75" t="b">
        <v>1</v>
      </c>
      <c r="O4091" s="75" t="s">
        <v>145</v>
      </c>
      <c r="P4091" s="75">
        <v>2014</v>
      </c>
      <c r="Q4091" s="107">
        <f t="shared" si="126"/>
        <v>2019</v>
      </c>
      <c r="R4091" s="107">
        <v>2</v>
      </c>
      <c r="S4091" s="43">
        <v>219030</v>
      </c>
      <c r="T4091" s="74">
        <v>43542</v>
      </c>
    </row>
    <row r="4092" spans="1:20" ht="14.4" customHeight="1" x14ac:dyDescent="0.3">
      <c r="A4092" s="42">
        <v>43550</v>
      </c>
      <c r="B4092" s="37">
        <f t="shared" si="125"/>
        <v>20190326</v>
      </c>
      <c r="C4092" s="109">
        <v>1.78E-2</v>
      </c>
      <c r="D4092" s="109">
        <v>0.01</v>
      </c>
      <c r="E4092" s="109">
        <v>1.0999999999999999E-2</v>
      </c>
      <c r="F4092" s="109">
        <v>1.0999999999999999E-2</v>
      </c>
      <c r="G4092" s="130">
        <v>0</v>
      </c>
      <c r="H4092" s="71">
        <v>8.5</v>
      </c>
      <c r="I4092" s="71">
        <v>11</v>
      </c>
      <c r="J4092" s="71">
        <v>13.4</v>
      </c>
      <c r="K4092" s="109">
        <v>3.9000000000000003E-3</v>
      </c>
      <c r="L4092" s="121">
        <v>-7.0000000000000001E-3</v>
      </c>
      <c r="M4092" s="75" t="s">
        <v>146</v>
      </c>
      <c r="N4092" s="75" t="b">
        <v>1</v>
      </c>
      <c r="O4092" s="75" t="s">
        <v>145</v>
      </c>
      <c r="P4092" s="75">
        <v>2014</v>
      </c>
      <c r="Q4092" s="107">
        <f t="shared" si="126"/>
        <v>2019</v>
      </c>
      <c r="R4092" s="107">
        <v>2</v>
      </c>
      <c r="S4092" s="43">
        <v>219030</v>
      </c>
      <c r="T4092" s="74">
        <v>43542</v>
      </c>
    </row>
    <row r="4093" spans="1:20" x14ac:dyDescent="0.3">
      <c r="A4093" s="42">
        <v>43551</v>
      </c>
      <c r="B4093" s="37">
        <f t="shared" si="125"/>
        <v>20190327</v>
      </c>
      <c r="C4093" s="109">
        <v>1.7600000000000001E-2</v>
      </c>
      <c r="D4093" s="109">
        <v>0.01</v>
      </c>
      <c r="E4093" s="109">
        <v>1.0999999999999999E-2</v>
      </c>
      <c r="F4093" s="109">
        <v>1.0999999999999999E-2</v>
      </c>
      <c r="G4093" s="130">
        <v>0</v>
      </c>
      <c r="H4093" s="71">
        <v>8.5</v>
      </c>
      <c r="I4093" s="71">
        <v>11</v>
      </c>
      <c r="J4093" s="71">
        <v>13.4</v>
      </c>
      <c r="K4093" s="109">
        <v>4.0000000000000001E-3</v>
      </c>
      <c r="L4093" s="121">
        <v>-7.0000000000000001E-3</v>
      </c>
      <c r="M4093" s="75" t="s">
        <v>146</v>
      </c>
      <c r="N4093" s="75" t="b">
        <v>1</v>
      </c>
      <c r="O4093" s="75" t="s">
        <v>145</v>
      </c>
      <c r="P4093" s="75">
        <v>2014</v>
      </c>
      <c r="Q4093" s="107">
        <f t="shared" si="126"/>
        <v>2019</v>
      </c>
      <c r="R4093" s="107">
        <v>2</v>
      </c>
      <c r="S4093" s="43">
        <v>219030</v>
      </c>
      <c r="T4093" s="74">
        <v>43542</v>
      </c>
    </row>
    <row r="4094" spans="1:20" x14ac:dyDescent="0.3">
      <c r="A4094" s="42">
        <v>43552</v>
      </c>
      <c r="B4094" s="37">
        <f t="shared" si="125"/>
        <v>20190328</v>
      </c>
      <c r="C4094" s="109">
        <v>1.77E-2</v>
      </c>
      <c r="D4094" s="109">
        <v>0.01</v>
      </c>
      <c r="E4094" s="109">
        <v>1.0999999999999999E-2</v>
      </c>
      <c r="F4094" s="109">
        <v>1.0999999999999999E-2</v>
      </c>
      <c r="G4094" s="130">
        <v>0</v>
      </c>
      <c r="H4094" s="71">
        <v>8.5</v>
      </c>
      <c r="I4094" s="71">
        <v>11</v>
      </c>
      <c r="J4094" s="71">
        <v>13.4</v>
      </c>
      <c r="K4094" s="109">
        <v>4.0999999999999995E-3</v>
      </c>
      <c r="L4094" s="121">
        <v>-7.0000000000000001E-3</v>
      </c>
      <c r="M4094" s="75" t="s">
        <v>146</v>
      </c>
      <c r="N4094" s="75" t="b">
        <v>1</v>
      </c>
      <c r="O4094" s="75" t="s">
        <v>145</v>
      </c>
      <c r="P4094" s="75">
        <v>2014</v>
      </c>
      <c r="Q4094" s="107">
        <f t="shared" si="126"/>
        <v>2019</v>
      </c>
      <c r="R4094" s="107">
        <v>2</v>
      </c>
      <c r="S4094" s="43">
        <v>219030</v>
      </c>
      <c r="T4094" s="74">
        <v>43542</v>
      </c>
    </row>
    <row r="4095" spans="1:20" x14ac:dyDescent="0.3">
      <c r="A4095" s="42">
        <v>43553</v>
      </c>
      <c r="B4095" s="37">
        <f t="shared" si="125"/>
        <v>20190329</v>
      </c>
      <c r="C4095" s="109">
        <v>1.83E-2</v>
      </c>
      <c r="D4095" s="109">
        <v>0.01</v>
      </c>
      <c r="E4095" s="109">
        <v>1.0999999999999999E-2</v>
      </c>
      <c r="F4095" s="109">
        <v>1.0999999999999999E-2</v>
      </c>
      <c r="G4095" s="130">
        <v>0</v>
      </c>
      <c r="H4095" s="71">
        <v>8.5</v>
      </c>
      <c r="I4095" s="71">
        <v>11</v>
      </c>
      <c r="J4095" s="71">
        <v>13.4</v>
      </c>
      <c r="K4095" s="109">
        <v>4.5999999999999999E-3</v>
      </c>
      <c r="L4095" s="121">
        <v>-7.0000000000000001E-3</v>
      </c>
      <c r="M4095" s="75" t="s">
        <v>146</v>
      </c>
      <c r="N4095" s="75" t="b">
        <v>1</v>
      </c>
      <c r="O4095" s="75" t="s">
        <v>145</v>
      </c>
      <c r="P4095" s="75">
        <v>2014</v>
      </c>
      <c r="Q4095" s="107">
        <f t="shared" si="126"/>
        <v>2019</v>
      </c>
      <c r="R4095" s="107">
        <v>2</v>
      </c>
      <c r="S4095" s="43">
        <v>219030</v>
      </c>
      <c r="T4095" s="74">
        <v>43542</v>
      </c>
    </row>
    <row r="4096" spans="1:20" x14ac:dyDescent="0.3">
      <c r="A4096" s="42">
        <v>43554</v>
      </c>
      <c r="B4096" s="37">
        <f>YEAR(A4096)*10000+MONTH(A4096)*100+DAY(A4096)</f>
        <v>20190330</v>
      </c>
      <c r="C4096" s="109">
        <v>1.83E-2</v>
      </c>
      <c r="D4096" s="109">
        <v>0.01</v>
      </c>
      <c r="E4096" s="109">
        <v>1.0999999999999999E-2</v>
      </c>
      <c r="F4096" s="109">
        <v>1.0999999999999999E-2</v>
      </c>
      <c r="G4096" s="130">
        <v>0</v>
      </c>
      <c r="H4096" s="71">
        <v>8.5</v>
      </c>
      <c r="I4096" s="71">
        <v>11</v>
      </c>
      <c r="J4096" s="71">
        <v>13.4</v>
      </c>
      <c r="K4096" s="109">
        <v>4.5999999999999999E-3</v>
      </c>
      <c r="L4096" s="121">
        <v>-7.0000000000000001E-3</v>
      </c>
      <c r="M4096" s="75" t="s">
        <v>146</v>
      </c>
      <c r="N4096" s="75" t="b">
        <v>1</v>
      </c>
      <c r="O4096" s="75" t="s">
        <v>145</v>
      </c>
      <c r="P4096" s="75">
        <v>2014</v>
      </c>
      <c r="Q4096" s="107">
        <f t="shared" si="126"/>
        <v>2019</v>
      </c>
      <c r="R4096" s="107">
        <v>2</v>
      </c>
      <c r="S4096" s="43">
        <v>219030</v>
      </c>
      <c r="T4096" s="74">
        <v>43542</v>
      </c>
    </row>
    <row r="4097" spans="1:21" s="116" customFormat="1" x14ac:dyDescent="0.3">
      <c r="A4097" s="110">
        <v>43555</v>
      </c>
      <c r="B4097" s="132">
        <f>YEAR(A4097)*10000+MONTH(A4097)*100+DAY(A4097)</f>
        <v>20190331</v>
      </c>
      <c r="C4097" s="111">
        <v>1.83E-2</v>
      </c>
      <c r="D4097" s="111">
        <v>0.01</v>
      </c>
      <c r="E4097" s="111">
        <v>1.0999999999999999E-2</v>
      </c>
      <c r="F4097" s="111">
        <v>1.0999999999999999E-2</v>
      </c>
      <c r="G4097" s="133">
        <v>0</v>
      </c>
      <c r="H4097" s="124">
        <v>8.6</v>
      </c>
      <c r="I4097" s="124">
        <v>11.2</v>
      </c>
      <c r="J4097" s="124">
        <v>13.8</v>
      </c>
      <c r="K4097" s="111">
        <v>4.5999999999999999E-3</v>
      </c>
      <c r="L4097" s="131">
        <v>-7.0000000000000001E-3</v>
      </c>
      <c r="M4097" s="98" t="s">
        <v>146</v>
      </c>
      <c r="N4097" s="98" t="b">
        <v>1</v>
      </c>
      <c r="O4097" s="98" t="s">
        <v>145</v>
      </c>
      <c r="P4097" s="98">
        <v>2014</v>
      </c>
      <c r="Q4097" s="105">
        <f t="shared" si="126"/>
        <v>2019</v>
      </c>
      <c r="R4097" s="105">
        <v>2</v>
      </c>
      <c r="S4097" s="114">
        <v>219059</v>
      </c>
      <c r="T4097" s="115">
        <v>43599</v>
      </c>
      <c r="U4097" s="98" t="s">
        <v>176</v>
      </c>
    </row>
    <row r="4098" spans="1:21" x14ac:dyDescent="0.3">
      <c r="A4098" s="42">
        <v>43556</v>
      </c>
      <c r="B4098" s="37">
        <f t="shared" si="125"/>
        <v>20190401</v>
      </c>
      <c r="C4098" s="109">
        <v>1.9E-2</v>
      </c>
      <c r="D4098" s="109">
        <v>0.01</v>
      </c>
      <c r="E4098" s="109">
        <v>1.0999999999999999E-2</v>
      </c>
      <c r="F4098" s="109">
        <v>1.0999999999999999E-2</v>
      </c>
      <c r="G4098" s="130">
        <v>0</v>
      </c>
      <c r="H4098" s="71">
        <v>8.6</v>
      </c>
      <c r="I4098" s="71">
        <v>11.2</v>
      </c>
      <c r="J4098" s="71">
        <v>13.8</v>
      </c>
      <c r="K4098" s="109">
        <v>5.1999999999999998E-3</v>
      </c>
      <c r="L4098" s="121">
        <v>-7.0000000000000001E-3</v>
      </c>
      <c r="M4098" s="75" t="s">
        <v>146</v>
      </c>
      <c r="N4098" s="75" t="b">
        <v>1</v>
      </c>
      <c r="O4098" s="75" t="s">
        <v>145</v>
      </c>
      <c r="P4098" s="75">
        <v>2014</v>
      </c>
      <c r="Q4098" s="107">
        <f t="shared" si="126"/>
        <v>2019</v>
      </c>
      <c r="R4098" s="107">
        <v>2</v>
      </c>
      <c r="S4098" s="43">
        <v>219059</v>
      </c>
      <c r="T4098" s="74">
        <v>43599</v>
      </c>
    </row>
    <row r="4099" spans="1:21" x14ac:dyDescent="0.3">
      <c r="A4099" s="42">
        <v>43557</v>
      </c>
      <c r="B4099" s="37">
        <f t="shared" si="125"/>
        <v>20190402</v>
      </c>
      <c r="C4099" s="109">
        <v>1.8799999999999997E-2</v>
      </c>
      <c r="D4099" s="109">
        <v>0.01</v>
      </c>
      <c r="E4099" s="109">
        <v>1.0999999999999999E-2</v>
      </c>
      <c r="F4099" s="109">
        <v>1.0999999999999999E-2</v>
      </c>
      <c r="G4099" s="130">
        <v>0</v>
      </c>
      <c r="H4099" s="71">
        <v>8.6</v>
      </c>
      <c r="I4099" s="71">
        <v>11.2</v>
      </c>
      <c r="J4099" s="71">
        <v>13.8</v>
      </c>
      <c r="K4099" s="109">
        <v>5.1000000000000004E-3</v>
      </c>
      <c r="L4099" s="121">
        <v>-7.0000000000000001E-3</v>
      </c>
      <c r="M4099" s="75" t="s">
        <v>146</v>
      </c>
      <c r="N4099" s="75" t="b">
        <v>1</v>
      </c>
      <c r="O4099" s="75" t="s">
        <v>145</v>
      </c>
      <c r="P4099" s="75">
        <v>2014</v>
      </c>
      <c r="Q4099" s="107">
        <f t="shared" si="126"/>
        <v>2019</v>
      </c>
      <c r="R4099" s="107">
        <v>2</v>
      </c>
      <c r="S4099" s="43">
        <v>219059</v>
      </c>
      <c r="T4099" s="74">
        <v>43599</v>
      </c>
    </row>
    <row r="4100" spans="1:21" x14ac:dyDescent="0.3">
      <c r="A4100" s="42">
        <v>43558</v>
      </c>
      <c r="B4100" s="37">
        <f t="shared" si="125"/>
        <v>20190403</v>
      </c>
      <c r="C4100" s="109">
        <v>1.9099999999999999E-2</v>
      </c>
      <c r="D4100" s="109">
        <v>0.01</v>
      </c>
      <c r="E4100" s="109">
        <v>1.0999999999999999E-2</v>
      </c>
      <c r="F4100" s="109">
        <v>1.0999999999999999E-2</v>
      </c>
      <c r="G4100" s="130">
        <v>0</v>
      </c>
      <c r="H4100" s="71">
        <v>8.6</v>
      </c>
      <c r="I4100" s="71">
        <v>11.2</v>
      </c>
      <c r="J4100" s="71">
        <v>13.8</v>
      </c>
      <c r="K4100" s="109">
        <v>5.3E-3</v>
      </c>
      <c r="L4100" s="121">
        <v>-7.0000000000000001E-3</v>
      </c>
      <c r="M4100" s="75" t="s">
        <v>146</v>
      </c>
      <c r="N4100" s="75" t="b">
        <v>1</v>
      </c>
      <c r="O4100" s="75" t="s">
        <v>145</v>
      </c>
      <c r="P4100" s="75">
        <v>2014</v>
      </c>
      <c r="Q4100" s="107">
        <f t="shared" si="126"/>
        <v>2019</v>
      </c>
      <c r="R4100" s="107">
        <v>2</v>
      </c>
      <c r="S4100" s="43">
        <v>219059</v>
      </c>
      <c r="T4100" s="74">
        <v>43599</v>
      </c>
    </row>
    <row r="4101" spans="1:21" x14ac:dyDescent="0.3">
      <c r="A4101" s="42">
        <v>43559</v>
      </c>
      <c r="B4101" s="37">
        <f t="shared" si="125"/>
        <v>20190404</v>
      </c>
      <c r="C4101" s="109">
        <v>1.9E-2</v>
      </c>
      <c r="D4101" s="109">
        <v>0.01</v>
      </c>
      <c r="E4101" s="109">
        <v>1.0999999999999999E-2</v>
      </c>
      <c r="F4101" s="109">
        <v>1.0999999999999999E-2</v>
      </c>
      <c r="G4101" s="130">
        <v>0</v>
      </c>
      <c r="H4101" s="71">
        <v>8.6</v>
      </c>
      <c r="I4101" s="71">
        <v>11.2</v>
      </c>
      <c r="J4101" s="71">
        <v>13.8</v>
      </c>
      <c r="K4101" s="109">
        <v>5.1999999999999998E-3</v>
      </c>
      <c r="L4101" s="121">
        <v>-7.0000000000000001E-3</v>
      </c>
      <c r="M4101" s="75" t="s">
        <v>146</v>
      </c>
      <c r="N4101" s="75" t="b">
        <v>1</v>
      </c>
      <c r="O4101" s="75" t="s">
        <v>145</v>
      </c>
      <c r="P4101" s="75">
        <v>2014</v>
      </c>
      <c r="Q4101" s="107">
        <f t="shared" si="126"/>
        <v>2019</v>
      </c>
      <c r="R4101" s="107">
        <v>2</v>
      </c>
      <c r="S4101" s="43">
        <v>219059</v>
      </c>
      <c r="T4101" s="74">
        <v>43599</v>
      </c>
    </row>
    <row r="4102" spans="1:21" x14ac:dyDescent="0.3">
      <c r="A4102" s="42">
        <v>43560</v>
      </c>
      <c r="B4102" s="37">
        <f t="shared" si="125"/>
        <v>20190405</v>
      </c>
      <c r="C4102" s="109">
        <v>1.9E-2</v>
      </c>
      <c r="D4102" s="109">
        <v>0.01</v>
      </c>
      <c r="E4102" s="109">
        <v>1.0999999999999999E-2</v>
      </c>
      <c r="F4102" s="109">
        <v>1.0999999999999999E-2</v>
      </c>
      <c r="G4102" s="130">
        <v>0</v>
      </c>
      <c r="H4102" s="71">
        <v>8.6</v>
      </c>
      <c r="I4102" s="71">
        <v>11.2</v>
      </c>
      <c r="J4102" s="71">
        <v>13.8</v>
      </c>
      <c r="K4102" s="121">
        <v>5.1999999999999998E-3</v>
      </c>
      <c r="L4102" s="121">
        <v>-7.0000000000000001E-3</v>
      </c>
      <c r="M4102" s="75" t="s">
        <v>146</v>
      </c>
      <c r="N4102" s="75" t="b">
        <v>1</v>
      </c>
      <c r="O4102" s="75" t="s">
        <v>145</v>
      </c>
      <c r="P4102" s="75">
        <v>2014</v>
      </c>
      <c r="Q4102" s="107">
        <f t="shared" si="126"/>
        <v>2019</v>
      </c>
      <c r="R4102" s="107">
        <v>2</v>
      </c>
      <c r="S4102" s="43">
        <v>219059</v>
      </c>
      <c r="T4102" s="74">
        <v>43599</v>
      </c>
    </row>
    <row r="4103" spans="1:21" x14ac:dyDescent="0.3">
      <c r="A4103" s="42">
        <v>43561</v>
      </c>
      <c r="B4103" s="37">
        <f>YEAR(A4103)*10000+MONTH(A4103)*100+DAY(A4103)</f>
        <v>20190406</v>
      </c>
      <c r="C4103" s="109">
        <v>1.9E-2</v>
      </c>
      <c r="D4103" s="109">
        <v>0.01</v>
      </c>
      <c r="E4103" s="109">
        <v>1.0999999999999999E-2</v>
      </c>
      <c r="F4103" s="109">
        <v>1.0999999999999999E-2</v>
      </c>
      <c r="G4103" s="130">
        <v>0</v>
      </c>
      <c r="H4103" s="71">
        <v>8.6</v>
      </c>
      <c r="I4103" s="71">
        <v>11.2</v>
      </c>
      <c r="J4103" s="71">
        <v>13.8</v>
      </c>
      <c r="K4103" s="121">
        <v>5.1999999999999998E-3</v>
      </c>
      <c r="L4103" s="121">
        <v>-7.0000000000000001E-3</v>
      </c>
      <c r="M4103" s="75" t="s">
        <v>146</v>
      </c>
      <c r="N4103" s="75" t="b">
        <v>1</v>
      </c>
      <c r="O4103" s="75" t="s">
        <v>145</v>
      </c>
      <c r="P4103" s="75">
        <v>2014</v>
      </c>
      <c r="Q4103" s="107">
        <f t="shared" si="126"/>
        <v>2019</v>
      </c>
      <c r="R4103" s="107">
        <v>2</v>
      </c>
      <c r="S4103" s="43">
        <v>219059</v>
      </c>
      <c r="T4103" s="74">
        <v>43599</v>
      </c>
    </row>
    <row r="4104" spans="1:21" x14ac:dyDescent="0.3">
      <c r="A4104" s="42">
        <v>43562</v>
      </c>
      <c r="B4104" s="37">
        <f>YEAR(A4104)*10000+MONTH(A4104)*100+DAY(A4104)</f>
        <v>20190407</v>
      </c>
      <c r="C4104" s="109">
        <v>1.9E-2</v>
      </c>
      <c r="D4104" s="109">
        <v>0.01</v>
      </c>
      <c r="E4104" s="109">
        <v>1.0999999999999999E-2</v>
      </c>
      <c r="F4104" s="109">
        <v>1.0999999999999999E-2</v>
      </c>
      <c r="G4104" s="130">
        <v>0</v>
      </c>
      <c r="H4104" s="71">
        <v>8.6</v>
      </c>
      <c r="I4104" s="71">
        <v>11.2</v>
      </c>
      <c r="J4104" s="71">
        <v>13.8</v>
      </c>
      <c r="K4104" s="121">
        <v>5.1999999999999998E-3</v>
      </c>
      <c r="L4104" s="121">
        <v>-7.0000000000000001E-3</v>
      </c>
      <c r="M4104" s="75" t="s">
        <v>146</v>
      </c>
      <c r="N4104" s="75" t="b">
        <v>1</v>
      </c>
      <c r="O4104" s="75" t="s">
        <v>145</v>
      </c>
      <c r="P4104" s="75">
        <v>2014</v>
      </c>
      <c r="Q4104" s="107">
        <f t="shared" si="126"/>
        <v>2019</v>
      </c>
      <c r="R4104" s="107">
        <v>2</v>
      </c>
      <c r="S4104" s="43">
        <v>219059</v>
      </c>
      <c r="T4104" s="74">
        <v>43599</v>
      </c>
    </row>
    <row r="4105" spans="1:21" x14ac:dyDescent="0.3">
      <c r="A4105" s="42">
        <v>43563</v>
      </c>
      <c r="B4105" s="37">
        <f t="shared" si="125"/>
        <v>20190408</v>
      </c>
      <c r="C4105" s="109">
        <v>1.9299999999999998E-2</v>
      </c>
      <c r="D4105" s="109">
        <v>0.01</v>
      </c>
      <c r="E4105" s="109">
        <v>1.0999999999999999E-2</v>
      </c>
      <c r="F4105" s="109">
        <v>1.0999999999999999E-2</v>
      </c>
      <c r="G4105" s="130">
        <v>0</v>
      </c>
      <c r="H4105" s="71">
        <v>8.6</v>
      </c>
      <c r="I4105" s="71">
        <v>11.2</v>
      </c>
      <c r="J4105" s="71">
        <v>13.8</v>
      </c>
      <c r="K4105" s="121">
        <v>5.5000000000000005E-3</v>
      </c>
      <c r="L4105" s="121">
        <v>-7.0000000000000001E-3</v>
      </c>
      <c r="M4105" s="75" t="s">
        <v>146</v>
      </c>
      <c r="N4105" s="75" t="b">
        <v>1</v>
      </c>
      <c r="O4105" s="75" t="s">
        <v>145</v>
      </c>
      <c r="P4105" s="75">
        <v>2014</v>
      </c>
      <c r="Q4105" s="107">
        <f t="shared" si="126"/>
        <v>2019</v>
      </c>
      <c r="R4105" s="107">
        <v>2</v>
      </c>
      <c r="S4105" s="43">
        <v>219059</v>
      </c>
      <c r="T4105" s="74">
        <v>43599</v>
      </c>
    </row>
    <row r="4106" spans="1:21" x14ac:dyDescent="0.3">
      <c r="A4106" s="42">
        <v>43564</v>
      </c>
      <c r="B4106" s="37">
        <f t="shared" si="125"/>
        <v>20190409</v>
      </c>
      <c r="C4106" s="109">
        <v>1.9299999999999998E-2</v>
      </c>
      <c r="D4106" s="109">
        <v>0.01</v>
      </c>
      <c r="E4106" s="109">
        <v>1.0999999999999999E-2</v>
      </c>
      <c r="F4106" s="109">
        <v>1.0999999999999999E-2</v>
      </c>
      <c r="G4106" s="130">
        <v>0</v>
      </c>
      <c r="H4106" s="71">
        <v>8.6</v>
      </c>
      <c r="I4106" s="71">
        <v>11.2</v>
      </c>
      <c r="J4106" s="71">
        <v>13.8</v>
      </c>
      <c r="K4106" s="121">
        <v>5.5000000000000005E-3</v>
      </c>
      <c r="L4106" s="121">
        <v>-7.0000000000000001E-3</v>
      </c>
      <c r="M4106" s="75" t="s">
        <v>146</v>
      </c>
      <c r="N4106" s="75" t="b">
        <v>1</v>
      </c>
      <c r="O4106" s="75" t="s">
        <v>145</v>
      </c>
      <c r="P4106" s="75">
        <v>2014</v>
      </c>
      <c r="Q4106" s="107">
        <f t="shared" si="126"/>
        <v>2019</v>
      </c>
      <c r="R4106" s="107">
        <v>2</v>
      </c>
      <c r="S4106" s="43">
        <v>219059</v>
      </c>
      <c r="T4106" s="74">
        <v>43599</v>
      </c>
    </row>
    <row r="4107" spans="1:21" x14ac:dyDescent="0.3">
      <c r="A4107" s="42">
        <v>43565</v>
      </c>
      <c r="B4107" s="37">
        <f t="shared" si="125"/>
        <v>20190410</v>
      </c>
      <c r="C4107" s="109">
        <v>1.9E-2</v>
      </c>
      <c r="D4107" s="109">
        <v>0.01</v>
      </c>
      <c r="E4107" s="109">
        <v>1.0999999999999999E-2</v>
      </c>
      <c r="F4107" s="109">
        <v>1.0999999999999999E-2</v>
      </c>
      <c r="G4107" s="130">
        <v>0</v>
      </c>
      <c r="H4107" s="71">
        <v>8.6</v>
      </c>
      <c r="I4107" s="71">
        <v>11.2</v>
      </c>
      <c r="J4107" s="71">
        <v>13.8</v>
      </c>
      <c r="K4107" s="121">
        <v>5.3E-3</v>
      </c>
      <c r="L4107" s="121">
        <v>-7.0000000000000001E-3</v>
      </c>
      <c r="M4107" s="75" t="s">
        <v>146</v>
      </c>
      <c r="N4107" s="75" t="b">
        <v>1</v>
      </c>
      <c r="O4107" s="75" t="s">
        <v>145</v>
      </c>
      <c r="P4107" s="75">
        <v>2014</v>
      </c>
      <c r="Q4107" s="107">
        <f t="shared" si="126"/>
        <v>2019</v>
      </c>
      <c r="R4107" s="107">
        <v>2</v>
      </c>
      <c r="S4107" s="43">
        <v>219059</v>
      </c>
      <c r="T4107" s="74">
        <v>43599</v>
      </c>
    </row>
    <row r="4108" spans="1:21" x14ac:dyDescent="0.3">
      <c r="A4108" s="42">
        <v>43566</v>
      </c>
      <c r="B4108" s="37">
        <f t="shared" si="125"/>
        <v>20190411</v>
      </c>
      <c r="C4108" s="109">
        <v>1.9299999999999998E-2</v>
      </c>
      <c r="D4108" s="109">
        <v>0.01</v>
      </c>
      <c r="E4108" s="109">
        <v>1.0999999999999999E-2</v>
      </c>
      <c r="F4108" s="109">
        <v>1.0999999999999999E-2</v>
      </c>
      <c r="G4108" s="130">
        <v>0</v>
      </c>
      <c r="H4108" s="71">
        <v>8.6</v>
      </c>
      <c r="I4108" s="71">
        <v>11.2</v>
      </c>
      <c r="J4108" s="71">
        <v>13.8</v>
      </c>
      <c r="K4108" s="121">
        <v>5.6000000000000008E-3</v>
      </c>
      <c r="L4108" s="121">
        <v>-7.0000000000000001E-3</v>
      </c>
      <c r="M4108" s="75" t="s">
        <v>146</v>
      </c>
      <c r="N4108" s="75" t="b">
        <v>1</v>
      </c>
      <c r="O4108" s="75" t="s">
        <v>145</v>
      </c>
      <c r="P4108" s="75">
        <v>2014</v>
      </c>
      <c r="Q4108" s="107">
        <f t="shared" si="126"/>
        <v>2019</v>
      </c>
      <c r="R4108" s="107">
        <v>2</v>
      </c>
      <c r="S4108" s="43">
        <v>219059</v>
      </c>
      <c r="T4108" s="74">
        <v>43599</v>
      </c>
    </row>
    <row r="4109" spans="1:21" x14ac:dyDescent="0.3">
      <c r="A4109" s="42">
        <v>43567</v>
      </c>
      <c r="B4109" s="37">
        <f t="shared" si="125"/>
        <v>20190412</v>
      </c>
      <c r="C4109" s="109">
        <v>1.9900000000000001E-2</v>
      </c>
      <c r="D4109" s="109">
        <v>0.01</v>
      </c>
      <c r="E4109" s="109">
        <v>1.0999999999999999E-2</v>
      </c>
      <c r="F4109" s="109">
        <v>1.0999999999999999E-2</v>
      </c>
      <c r="G4109" s="130">
        <v>0</v>
      </c>
      <c r="H4109" s="71">
        <v>8.6</v>
      </c>
      <c r="I4109" s="71">
        <v>11.2</v>
      </c>
      <c r="J4109" s="71">
        <v>13.8</v>
      </c>
      <c r="K4109" s="121">
        <v>6.0000000000000001E-3</v>
      </c>
      <c r="L4109" s="121">
        <v>-7.0000000000000001E-3</v>
      </c>
      <c r="M4109" s="75" t="s">
        <v>146</v>
      </c>
      <c r="N4109" s="75" t="b">
        <v>1</v>
      </c>
      <c r="O4109" s="75" t="s">
        <v>145</v>
      </c>
      <c r="P4109" s="75">
        <v>2014</v>
      </c>
      <c r="Q4109" s="107">
        <f t="shared" si="126"/>
        <v>2019</v>
      </c>
      <c r="R4109" s="107">
        <v>2</v>
      </c>
      <c r="S4109" s="43">
        <v>219059</v>
      </c>
      <c r="T4109" s="74">
        <v>43599</v>
      </c>
    </row>
    <row r="4110" spans="1:21" x14ac:dyDescent="0.3">
      <c r="A4110" s="42">
        <v>43568</v>
      </c>
      <c r="B4110" s="37">
        <f>YEAR(A4110)*10000+MONTH(A4110)*100+DAY(A4110)</f>
        <v>20190413</v>
      </c>
      <c r="C4110" s="109">
        <v>1.9900000000000001E-2</v>
      </c>
      <c r="D4110" s="109">
        <v>0.01</v>
      </c>
      <c r="E4110" s="109">
        <v>1.0999999999999999E-2</v>
      </c>
      <c r="F4110" s="109">
        <v>1.0999999999999999E-2</v>
      </c>
      <c r="G4110" s="130">
        <v>0</v>
      </c>
      <c r="H4110" s="71">
        <v>8.6</v>
      </c>
      <c r="I4110" s="71">
        <v>11.2</v>
      </c>
      <c r="J4110" s="71">
        <v>13.8</v>
      </c>
      <c r="K4110" s="121">
        <v>6.0000000000000001E-3</v>
      </c>
      <c r="L4110" s="121">
        <v>-7.0000000000000001E-3</v>
      </c>
      <c r="M4110" s="75" t="s">
        <v>146</v>
      </c>
      <c r="N4110" s="75" t="b">
        <v>1</v>
      </c>
      <c r="O4110" s="75" t="s">
        <v>145</v>
      </c>
      <c r="P4110" s="75">
        <v>2014</v>
      </c>
      <c r="Q4110" s="107">
        <f t="shared" si="126"/>
        <v>2019</v>
      </c>
      <c r="R4110" s="107">
        <v>2</v>
      </c>
      <c r="S4110" s="43">
        <v>219059</v>
      </c>
      <c r="T4110" s="74">
        <v>43599</v>
      </c>
    </row>
    <row r="4111" spans="1:21" x14ac:dyDescent="0.3">
      <c r="A4111" s="42">
        <v>43569</v>
      </c>
      <c r="B4111" s="37">
        <f>YEAR(A4111)*10000+MONTH(A4111)*100+DAY(A4111)</f>
        <v>20190414</v>
      </c>
      <c r="C4111" s="109">
        <v>1.9900000000000001E-2</v>
      </c>
      <c r="D4111" s="109">
        <v>0.01</v>
      </c>
      <c r="E4111" s="109">
        <v>1.0999999999999999E-2</v>
      </c>
      <c r="F4111" s="109">
        <v>1.0999999999999999E-2</v>
      </c>
      <c r="G4111" s="130">
        <v>0</v>
      </c>
      <c r="H4111" s="71">
        <v>8.6</v>
      </c>
      <c r="I4111" s="71">
        <v>11.2</v>
      </c>
      <c r="J4111" s="71">
        <v>13.8</v>
      </c>
      <c r="K4111" s="121">
        <v>6.0000000000000001E-3</v>
      </c>
      <c r="L4111" s="121">
        <v>-7.0000000000000001E-3</v>
      </c>
      <c r="M4111" s="75" t="s">
        <v>146</v>
      </c>
      <c r="N4111" s="75" t="b">
        <v>1</v>
      </c>
      <c r="O4111" s="75" t="s">
        <v>145</v>
      </c>
      <c r="P4111" s="75">
        <v>2014</v>
      </c>
      <c r="Q4111" s="107">
        <f t="shared" si="126"/>
        <v>2019</v>
      </c>
      <c r="R4111" s="107">
        <v>2</v>
      </c>
      <c r="S4111" s="43">
        <v>219059</v>
      </c>
      <c r="T4111" s="74">
        <v>43599</v>
      </c>
    </row>
    <row r="4112" spans="1:21" x14ac:dyDescent="0.3">
      <c r="A4112" s="42">
        <v>43570</v>
      </c>
      <c r="B4112" s="37">
        <f>YEAR(A4112)*10000+MONTH(A4112)*100+DAY(A4112)</f>
        <v>20190415</v>
      </c>
      <c r="C4112" s="109">
        <v>1.9699999999999999E-2</v>
      </c>
      <c r="D4112" s="109">
        <v>0.01</v>
      </c>
      <c r="E4112" s="109">
        <v>1.0999999999999999E-2</v>
      </c>
      <c r="F4112" s="109">
        <v>1.0999999999999999E-2</v>
      </c>
      <c r="G4112" s="130">
        <v>0</v>
      </c>
      <c r="H4112" s="71">
        <v>8.6</v>
      </c>
      <c r="I4112" s="71">
        <v>11.2</v>
      </c>
      <c r="J4112" s="71">
        <v>13.8</v>
      </c>
      <c r="K4112" s="121">
        <v>5.7999999999999996E-3</v>
      </c>
      <c r="L4112" s="121">
        <v>-7.0000000000000001E-3</v>
      </c>
      <c r="M4112" s="75" t="s">
        <v>146</v>
      </c>
      <c r="N4112" s="75" t="b">
        <v>1</v>
      </c>
      <c r="O4112" s="75" t="s">
        <v>145</v>
      </c>
      <c r="P4112" s="75">
        <v>2014</v>
      </c>
      <c r="Q4112" s="107">
        <f t="shared" si="126"/>
        <v>2019</v>
      </c>
      <c r="R4112" s="107">
        <v>2</v>
      </c>
      <c r="S4112" s="43">
        <v>219059</v>
      </c>
      <c r="T4112" s="74">
        <v>43599</v>
      </c>
    </row>
    <row r="4113" spans="1:20" x14ac:dyDescent="0.3">
      <c r="A4113" s="42">
        <v>43571</v>
      </c>
      <c r="B4113" s="37">
        <f t="shared" si="125"/>
        <v>20190416</v>
      </c>
      <c r="C4113" s="109">
        <v>0.02</v>
      </c>
      <c r="D4113" s="109">
        <v>0.01</v>
      </c>
      <c r="E4113" s="109">
        <v>1.0999999999999999E-2</v>
      </c>
      <c r="F4113" s="109">
        <v>1.0999999999999999E-2</v>
      </c>
      <c r="G4113" s="130">
        <v>0</v>
      </c>
      <c r="H4113" s="71">
        <v>8.6</v>
      </c>
      <c r="I4113" s="71">
        <v>11.2</v>
      </c>
      <c r="J4113" s="71">
        <v>13.8</v>
      </c>
      <c r="K4113" s="121">
        <v>6.0999999999999995E-3</v>
      </c>
      <c r="L4113" s="121">
        <v>-7.0000000000000001E-3</v>
      </c>
      <c r="M4113" s="75" t="s">
        <v>146</v>
      </c>
      <c r="N4113" s="75" t="b">
        <v>1</v>
      </c>
      <c r="O4113" s="75" t="s">
        <v>145</v>
      </c>
      <c r="P4113" s="75">
        <v>2014</v>
      </c>
      <c r="Q4113" s="107">
        <f t="shared" si="126"/>
        <v>2019</v>
      </c>
      <c r="R4113" s="107">
        <v>2</v>
      </c>
      <c r="S4113" s="43">
        <v>219059</v>
      </c>
      <c r="T4113" s="74">
        <v>43599</v>
      </c>
    </row>
    <row r="4114" spans="1:20" x14ac:dyDescent="0.3">
      <c r="A4114" s="42">
        <v>43572</v>
      </c>
      <c r="B4114" s="37">
        <f t="shared" si="125"/>
        <v>20190417</v>
      </c>
      <c r="C4114" s="109">
        <v>2.0099999999999996E-2</v>
      </c>
      <c r="D4114" s="109">
        <v>0.01</v>
      </c>
      <c r="E4114" s="109">
        <v>1.0999999999999999E-2</v>
      </c>
      <c r="F4114" s="109">
        <v>1.0999999999999999E-2</v>
      </c>
      <c r="G4114" s="130">
        <v>0</v>
      </c>
      <c r="H4114" s="71">
        <v>8.6</v>
      </c>
      <c r="I4114" s="71">
        <v>11.2</v>
      </c>
      <c r="J4114" s="71">
        <v>13.8</v>
      </c>
      <c r="K4114" s="121">
        <v>6.0999999999999995E-3</v>
      </c>
      <c r="L4114" s="121">
        <v>-7.0000000000000001E-3</v>
      </c>
      <c r="M4114" s="75" t="s">
        <v>146</v>
      </c>
      <c r="N4114" s="75" t="b">
        <v>1</v>
      </c>
      <c r="O4114" s="75" t="s">
        <v>145</v>
      </c>
      <c r="P4114" s="75">
        <v>2014</v>
      </c>
      <c r="Q4114" s="107">
        <f t="shared" si="126"/>
        <v>2019</v>
      </c>
      <c r="R4114" s="107">
        <v>2</v>
      </c>
      <c r="S4114" s="43">
        <v>219059</v>
      </c>
      <c r="T4114" s="74">
        <v>43599</v>
      </c>
    </row>
    <row r="4115" spans="1:20" x14ac:dyDescent="0.3">
      <c r="A4115" s="42">
        <v>43573</v>
      </c>
      <c r="B4115" s="37">
        <f t="shared" si="125"/>
        <v>20190418</v>
      </c>
      <c r="C4115" s="109">
        <v>1.9699999999999999E-2</v>
      </c>
      <c r="D4115" s="109">
        <v>0.01</v>
      </c>
      <c r="E4115" s="109">
        <v>1.0999999999999999E-2</v>
      </c>
      <c r="F4115" s="109">
        <v>1.0999999999999999E-2</v>
      </c>
      <c r="G4115" s="130">
        <v>0</v>
      </c>
      <c r="H4115" s="71">
        <v>8.6</v>
      </c>
      <c r="I4115" s="71">
        <v>11.2</v>
      </c>
      <c r="J4115" s="71">
        <v>13.8</v>
      </c>
      <c r="K4115" s="121">
        <v>5.7999999999999996E-3</v>
      </c>
      <c r="L4115" s="121">
        <v>-7.0000000000000001E-3</v>
      </c>
      <c r="M4115" s="75" t="s">
        <v>146</v>
      </c>
      <c r="N4115" s="75" t="b">
        <v>1</v>
      </c>
      <c r="O4115" s="75" t="s">
        <v>145</v>
      </c>
      <c r="P4115" s="75">
        <v>2014</v>
      </c>
      <c r="Q4115" s="107">
        <f t="shared" si="126"/>
        <v>2019</v>
      </c>
      <c r="R4115" s="107">
        <v>2</v>
      </c>
      <c r="S4115" s="43">
        <v>219059</v>
      </c>
      <c r="T4115" s="74">
        <v>43599</v>
      </c>
    </row>
    <row r="4116" spans="1:20" x14ac:dyDescent="0.3">
      <c r="A4116" s="42">
        <v>43574</v>
      </c>
      <c r="B4116" s="37">
        <f t="shared" si="125"/>
        <v>20190419</v>
      </c>
      <c r="C4116" s="109">
        <v>1.9699999999999999E-2</v>
      </c>
      <c r="D4116" s="109">
        <v>0.01</v>
      </c>
      <c r="E4116" s="109">
        <v>1.0999999999999999E-2</v>
      </c>
      <c r="F4116" s="109">
        <v>1.0999999999999999E-2</v>
      </c>
      <c r="G4116" s="130">
        <v>0</v>
      </c>
      <c r="H4116" s="71">
        <v>8.6</v>
      </c>
      <c r="I4116" s="71">
        <v>11.2</v>
      </c>
      <c r="J4116" s="71">
        <v>13.8</v>
      </c>
      <c r="K4116" s="121">
        <v>5.7999999999999996E-3</v>
      </c>
      <c r="L4116" s="121">
        <v>-7.0000000000000001E-3</v>
      </c>
      <c r="M4116" s="75" t="s">
        <v>146</v>
      </c>
      <c r="N4116" s="75" t="b">
        <v>1</v>
      </c>
      <c r="O4116" s="75" t="s">
        <v>145</v>
      </c>
      <c r="P4116" s="75">
        <v>2014</v>
      </c>
      <c r="Q4116" s="107">
        <f t="shared" si="126"/>
        <v>2019</v>
      </c>
      <c r="R4116" s="107">
        <v>2</v>
      </c>
      <c r="S4116" s="43">
        <v>219059</v>
      </c>
      <c r="T4116" s="74">
        <v>43599</v>
      </c>
    </row>
    <row r="4117" spans="1:20" x14ac:dyDescent="0.3">
      <c r="A4117" s="42">
        <v>43575</v>
      </c>
      <c r="B4117" s="37">
        <f>YEAR(A4117)*10000+MONTH(A4117)*100+DAY(A4117)</f>
        <v>20190420</v>
      </c>
      <c r="C4117" s="109">
        <v>1.9699999999999999E-2</v>
      </c>
      <c r="D4117" s="109">
        <v>0.01</v>
      </c>
      <c r="E4117" s="109">
        <v>1.0999999999999999E-2</v>
      </c>
      <c r="F4117" s="109">
        <v>1.0999999999999999E-2</v>
      </c>
      <c r="G4117" s="130">
        <v>0</v>
      </c>
      <c r="H4117" s="71">
        <v>8.6</v>
      </c>
      <c r="I4117" s="71">
        <v>11.2</v>
      </c>
      <c r="J4117" s="71">
        <v>13.8</v>
      </c>
      <c r="K4117" s="121">
        <v>5.7999999999999996E-3</v>
      </c>
      <c r="L4117" s="121">
        <v>-7.0000000000000001E-3</v>
      </c>
      <c r="M4117" s="75" t="s">
        <v>146</v>
      </c>
      <c r="N4117" s="75" t="b">
        <v>1</v>
      </c>
      <c r="O4117" s="75" t="s">
        <v>145</v>
      </c>
      <c r="P4117" s="75">
        <v>2014</v>
      </c>
      <c r="Q4117" s="107">
        <f t="shared" si="126"/>
        <v>2019</v>
      </c>
      <c r="R4117" s="107">
        <v>2</v>
      </c>
      <c r="S4117" s="43">
        <v>219059</v>
      </c>
      <c r="T4117" s="74">
        <v>43599</v>
      </c>
    </row>
    <row r="4118" spans="1:20" x14ac:dyDescent="0.3">
      <c r="A4118" s="42">
        <v>43576</v>
      </c>
      <c r="B4118" s="37">
        <f>YEAR(A4118)*10000+MONTH(A4118)*100+DAY(A4118)</f>
        <v>20190421</v>
      </c>
      <c r="C4118" s="109">
        <v>1.9699999999999999E-2</v>
      </c>
      <c r="D4118" s="109">
        <v>0.01</v>
      </c>
      <c r="E4118" s="109">
        <v>1.0999999999999999E-2</v>
      </c>
      <c r="F4118" s="109">
        <v>1.0999999999999999E-2</v>
      </c>
      <c r="G4118" s="130">
        <v>0</v>
      </c>
      <c r="H4118" s="71">
        <v>8.6</v>
      </c>
      <c r="I4118" s="71">
        <v>11.2</v>
      </c>
      <c r="J4118" s="71">
        <v>13.8</v>
      </c>
      <c r="K4118" s="121">
        <v>5.7999999999999996E-3</v>
      </c>
      <c r="L4118" s="121">
        <v>-7.0000000000000001E-3</v>
      </c>
      <c r="M4118" s="75" t="s">
        <v>146</v>
      </c>
      <c r="N4118" s="75" t="b">
        <v>1</v>
      </c>
      <c r="O4118" s="75" t="s">
        <v>145</v>
      </c>
      <c r="P4118" s="75">
        <v>2014</v>
      </c>
      <c r="Q4118" s="107">
        <f t="shared" si="126"/>
        <v>2019</v>
      </c>
      <c r="R4118" s="107">
        <v>2</v>
      </c>
      <c r="S4118" s="43">
        <v>219059</v>
      </c>
      <c r="T4118" s="74">
        <v>43599</v>
      </c>
    </row>
    <row r="4119" spans="1:20" x14ac:dyDescent="0.3">
      <c r="A4119" s="42">
        <v>43577</v>
      </c>
      <c r="B4119" s="37">
        <f t="shared" si="125"/>
        <v>20190422</v>
      </c>
      <c r="C4119" s="109">
        <v>1.9900000000000001E-2</v>
      </c>
      <c r="D4119" s="109">
        <v>0.01</v>
      </c>
      <c r="E4119" s="109">
        <v>1.0999999999999999E-2</v>
      </c>
      <c r="F4119" s="109">
        <v>1.0999999999999999E-2</v>
      </c>
      <c r="G4119" s="130">
        <v>0</v>
      </c>
      <c r="H4119" s="71">
        <v>8.6</v>
      </c>
      <c r="I4119" s="71">
        <v>11.2</v>
      </c>
      <c r="J4119" s="71">
        <v>13.8</v>
      </c>
      <c r="K4119" s="121">
        <v>5.8999999999999999E-3</v>
      </c>
      <c r="L4119" s="121">
        <v>-7.0000000000000001E-3</v>
      </c>
      <c r="M4119" s="75" t="s">
        <v>146</v>
      </c>
      <c r="N4119" s="75" t="b">
        <v>1</v>
      </c>
      <c r="O4119" s="75" t="s">
        <v>145</v>
      </c>
      <c r="P4119" s="75">
        <v>2014</v>
      </c>
      <c r="Q4119" s="107">
        <f t="shared" si="126"/>
        <v>2019</v>
      </c>
      <c r="R4119" s="107">
        <v>2</v>
      </c>
      <c r="S4119" s="43">
        <v>219059</v>
      </c>
      <c r="T4119" s="74">
        <v>43599</v>
      </c>
    </row>
    <row r="4120" spans="1:20" x14ac:dyDescent="0.3">
      <c r="A4120" s="42">
        <v>43578</v>
      </c>
      <c r="B4120" s="37">
        <f t="shared" si="125"/>
        <v>20190423</v>
      </c>
      <c r="C4120" s="109">
        <v>1.9599999999999999E-2</v>
      </c>
      <c r="D4120" s="109">
        <v>0.01</v>
      </c>
      <c r="E4120" s="109">
        <v>1.0999999999999999E-2</v>
      </c>
      <c r="F4120" s="109">
        <v>1.0999999999999999E-2</v>
      </c>
      <c r="G4120" s="130">
        <v>0</v>
      </c>
      <c r="H4120" s="71">
        <v>8.6</v>
      </c>
      <c r="I4120" s="71">
        <v>11.2</v>
      </c>
      <c r="J4120" s="71">
        <v>13.8</v>
      </c>
      <c r="K4120" s="121">
        <v>5.6999999999999993E-3</v>
      </c>
      <c r="L4120" s="121">
        <v>-7.0000000000000001E-3</v>
      </c>
      <c r="M4120" s="75" t="s">
        <v>146</v>
      </c>
      <c r="N4120" s="75" t="b">
        <v>1</v>
      </c>
      <c r="O4120" s="75" t="s">
        <v>145</v>
      </c>
      <c r="P4120" s="75">
        <v>2014</v>
      </c>
      <c r="Q4120" s="107">
        <f t="shared" si="126"/>
        <v>2019</v>
      </c>
      <c r="R4120" s="107">
        <v>2</v>
      </c>
      <c r="S4120" s="43">
        <v>219059</v>
      </c>
      <c r="T4120" s="74">
        <v>43599</v>
      </c>
    </row>
    <row r="4121" spans="1:20" x14ac:dyDescent="0.3">
      <c r="A4121" s="42">
        <v>43579</v>
      </c>
      <c r="B4121" s="37">
        <f t="shared" si="125"/>
        <v>20190424</v>
      </c>
      <c r="C4121" s="109">
        <v>1.9E-2</v>
      </c>
      <c r="D4121" s="109">
        <v>0.01</v>
      </c>
      <c r="E4121" s="109">
        <v>1.0999999999999999E-2</v>
      </c>
      <c r="F4121" s="109">
        <v>1.0999999999999999E-2</v>
      </c>
      <c r="G4121" s="130">
        <v>0</v>
      </c>
      <c r="H4121" s="71">
        <v>8.6</v>
      </c>
      <c r="I4121" s="71">
        <v>11.2</v>
      </c>
      <c r="J4121" s="71">
        <v>13.8</v>
      </c>
      <c r="K4121" s="121">
        <v>5.1000000000000004E-3</v>
      </c>
      <c r="L4121" s="121">
        <v>-7.0000000000000001E-3</v>
      </c>
      <c r="M4121" s="75" t="s">
        <v>146</v>
      </c>
      <c r="N4121" s="75" t="b">
        <v>1</v>
      </c>
      <c r="O4121" s="75" t="s">
        <v>145</v>
      </c>
      <c r="P4121" s="75">
        <v>2014</v>
      </c>
      <c r="Q4121" s="107">
        <f t="shared" si="126"/>
        <v>2019</v>
      </c>
      <c r="R4121" s="107">
        <v>2</v>
      </c>
      <c r="S4121" s="43">
        <v>219059</v>
      </c>
      <c r="T4121" s="74">
        <v>43599</v>
      </c>
    </row>
    <row r="4122" spans="1:20" x14ac:dyDescent="0.3">
      <c r="A4122" s="42">
        <v>43580</v>
      </c>
      <c r="B4122" s="37">
        <f t="shared" si="125"/>
        <v>20190425</v>
      </c>
      <c r="C4122" s="109">
        <v>1.9099999999999999E-2</v>
      </c>
      <c r="D4122" s="109">
        <v>0.01</v>
      </c>
      <c r="E4122" s="109">
        <v>1.0999999999999999E-2</v>
      </c>
      <c r="F4122" s="109">
        <v>1.0999999999999999E-2</v>
      </c>
      <c r="G4122" s="130">
        <v>0</v>
      </c>
      <c r="H4122" s="71">
        <v>8.6</v>
      </c>
      <c r="I4122" s="71">
        <v>11.2</v>
      </c>
      <c r="J4122" s="71">
        <v>13.8</v>
      </c>
      <c r="K4122" s="121">
        <v>5.0000000000000001E-3</v>
      </c>
      <c r="L4122" s="121">
        <v>-7.0000000000000001E-3</v>
      </c>
      <c r="M4122" s="75" t="s">
        <v>146</v>
      </c>
      <c r="N4122" s="75" t="b">
        <v>1</v>
      </c>
      <c r="O4122" s="75" t="s">
        <v>145</v>
      </c>
      <c r="P4122" s="75">
        <v>2014</v>
      </c>
      <c r="Q4122" s="107">
        <f t="shared" si="126"/>
        <v>2019</v>
      </c>
      <c r="R4122" s="107">
        <v>2</v>
      </c>
      <c r="S4122" s="43">
        <v>219059</v>
      </c>
      <c r="T4122" s="74">
        <v>43599</v>
      </c>
    </row>
    <row r="4123" spans="1:20" x14ac:dyDescent="0.3">
      <c r="A4123" s="42">
        <v>43581</v>
      </c>
      <c r="B4123" s="37">
        <f t="shared" si="125"/>
        <v>20190426</v>
      </c>
      <c r="C4123" s="109">
        <v>1.89E-2</v>
      </c>
      <c r="D4123" s="109">
        <v>0.01</v>
      </c>
      <c r="E4123" s="109">
        <v>1.0999999999999999E-2</v>
      </c>
      <c r="F4123" s="109">
        <v>1.0999999999999999E-2</v>
      </c>
      <c r="G4123" s="130">
        <v>0</v>
      </c>
      <c r="H4123" s="71">
        <v>8.6</v>
      </c>
      <c r="I4123" s="71">
        <v>11.2</v>
      </c>
      <c r="J4123" s="71">
        <v>13.8</v>
      </c>
      <c r="K4123" s="121">
        <v>4.8999999999999998E-3</v>
      </c>
      <c r="L4123" s="121">
        <v>-7.0000000000000001E-3</v>
      </c>
      <c r="M4123" s="75" t="s">
        <v>146</v>
      </c>
      <c r="N4123" s="75" t="b">
        <v>1</v>
      </c>
      <c r="O4123" s="75" t="s">
        <v>145</v>
      </c>
      <c r="P4123" s="75">
        <v>2014</v>
      </c>
      <c r="Q4123" s="107">
        <f t="shared" si="126"/>
        <v>2019</v>
      </c>
      <c r="R4123" s="107">
        <v>2</v>
      </c>
      <c r="S4123" s="43">
        <v>219059</v>
      </c>
      <c r="T4123" s="74">
        <v>43599</v>
      </c>
    </row>
    <row r="4124" spans="1:20" x14ac:dyDescent="0.3">
      <c r="A4124" s="42">
        <v>43584</v>
      </c>
      <c r="B4124" s="37">
        <f t="shared" si="125"/>
        <v>20190429</v>
      </c>
      <c r="C4124" s="109">
        <v>1.9199999999999998E-2</v>
      </c>
      <c r="D4124" s="109">
        <v>0.01</v>
      </c>
      <c r="E4124" s="109">
        <v>1.0999999999999999E-2</v>
      </c>
      <c r="F4124" s="109">
        <v>1.0999999999999999E-2</v>
      </c>
      <c r="G4124" s="130">
        <v>0</v>
      </c>
      <c r="H4124" s="71">
        <v>8.6</v>
      </c>
      <c r="I4124" s="71">
        <v>11.2</v>
      </c>
      <c r="J4124" s="71">
        <v>13.8</v>
      </c>
      <c r="K4124" s="121">
        <v>5.1999999999999998E-3</v>
      </c>
      <c r="L4124" s="121">
        <v>-7.0000000000000001E-3</v>
      </c>
      <c r="M4124" s="75" t="s">
        <v>146</v>
      </c>
      <c r="N4124" s="75" t="b">
        <v>1</v>
      </c>
      <c r="O4124" s="75" t="s">
        <v>145</v>
      </c>
      <c r="P4124" s="75">
        <v>2014</v>
      </c>
      <c r="Q4124" s="107">
        <f t="shared" si="126"/>
        <v>2019</v>
      </c>
      <c r="R4124" s="107">
        <v>2</v>
      </c>
      <c r="S4124" s="43">
        <v>219059</v>
      </c>
      <c r="T4124" s="74">
        <v>43599</v>
      </c>
    </row>
    <row r="4125" spans="1:20" x14ac:dyDescent="0.3">
      <c r="A4125" s="42">
        <v>43585</v>
      </c>
      <c r="B4125" s="37">
        <f t="shared" si="125"/>
        <v>20190430</v>
      </c>
      <c r="C4125" s="109">
        <v>1.9099999999999999E-2</v>
      </c>
      <c r="D4125" s="109">
        <v>0.01</v>
      </c>
      <c r="E4125" s="109">
        <v>1.0999999999999999E-2</v>
      </c>
      <c r="F4125" s="109">
        <v>1.0999999999999999E-2</v>
      </c>
      <c r="G4125" s="130">
        <v>0</v>
      </c>
      <c r="H4125" s="71">
        <v>8.6</v>
      </c>
      <c r="I4125" s="71">
        <v>11.2</v>
      </c>
      <c r="J4125" s="71">
        <v>13.8</v>
      </c>
      <c r="K4125" s="121">
        <v>5.0000000000000001E-3</v>
      </c>
      <c r="L4125" s="121">
        <v>-7.0000000000000001E-3</v>
      </c>
      <c r="M4125" s="75" t="s">
        <v>146</v>
      </c>
      <c r="N4125" s="75" t="b">
        <v>1</v>
      </c>
      <c r="O4125" s="75" t="s">
        <v>145</v>
      </c>
      <c r="P4125" s="75">
        <v>2014</v>
      </c>
      <c r="Q4125" s="107">
        <f t="shared" si="126"/>
        <v>2019</v>
      </c>
      <c r="R4125" s="107">
        <v>2</v>
      </c>
      <c r="S4125" s="43">
        <v>219059</v>
      </c>
      <c r="T4125" s="74">
        <v>43599</v>
      </c>
    </row>
    <row r="4126" spans="1:20" x14ac:dyDescent="0.3">
      <c r="A4126" s="42">
        <v>43586</v>
      </c>
      <c r="B4126" s="37">
        <f t="shared" ref="B4126:B4191" si="127">YEAR(A4126)*10000+MONTH(A4126)*100+DAY(A4126)</f>
        <v>20190501</v>
      </c>
      <c r="C4126" s="109">
        <v>1.89E-2</v>
      </c>
      <c r="D4126" s="109">
        <v>0.01</v>
      </c>
      <c r="E4126" s="109">
        <v>1.0999999999999999E-2</v>
      </c>
      <c r="F4126" s="109">
        <v>1.0999999999999999E-2</v>
      </c>
      <c r="G4126" s="130">
        <v>0</v>
      </c>
      <c r="H4126" s="71">
        <v>8.6</v>
      </c>
      <c r="I4126" s="71">
        <v>11.2</v>
      </c>
      <c r="J4126" s="71">
        <v>13.8</v>
      </c>
      <c r="K4126" s="121">
        <v>4.8999999999999998E-3</v>
      </c>
      <c r="L4126" s="121">
        <v>-7.0000000000000001E-3</v>
      </c>
      <c r="M4126" s="75" t="s">
        <v>146</v>
      </c>
      <c r="N4126" s="75" t="b">
        <v>1</v>
      </c>
      <c r="O4126" s="75" t="s">
        <v>145</v>
      </c>
      <c r="P4126" s="75">
        <v>2014</v>
      </c>
      <c r="Q4126" s="107">
        <f t="shared" si="126"/>
        <v>2019</v>
      </c>
      <c r="R4126" s="107">
        <v>2</v>
      </c>
      <c r="S4126" s="43">
        <v>219059</v>
      </c>
      <c r="T4126" s="74">
        <v>43599</v>
      </c>
    </row>
    <row r="4127" spans="1:20" x14ac:dyDescent="0.3">
      <c r="A4127" s="42">
        <v>43587</v>
      </c>
      <c r="B4127" s="37">
        <f t="shared" si="127"/>
        <v>20190502</v>
      </c>
      <c r="C4127" s="109">
        <v>1.9400000000000001E-2</v>
      </c>
      <c r="D4127" s="109">
        <v>0.01</v>
      </c>
      <c r="E4127" s="109">
        <v>1.0999999999999999E-2</v>
      </c>
      <c r="F4127" s="109">
        <v>1.0999999999999999E-2</v>
      </c>
      <c r="G4127" s="130">
        <v>0</v>
      </c>
      <c r="H4127" s="71">
        <v>8.6</v>
      </c>
      <c r="I4127" s="71">
        <v>11.2</v>
      </c>
      <c r="J4127" s="71">
        <v>13.8</v>
      </c>
      <c r="K4127" s="121">
        <v>5.5000000000000005E-3</v>
      </c>
      <c r="L4127" s="121">
        <v>-7.0000000000000001E-3</v>
      </c>
      <c r="M4127" s="75" t="s">
        <v>146</v>
      </c>
      <c r="N4127" s="75" t="b">
        <v>1</v>
      </c>
      <c r="O4127" s="75" t="s">
        <v>145</v>
      </c>
      <c r="P4127" s="75">
        <v>2014</v>
      </c>
      <c r="Q4127" s="107">
        <f t="shared" si="126"/>
        <v>2019</v>
      </c>
      <c r="R4127" s="107">
        <v>2</v>
      </c>
      <c r="S4127" s="43">
        <v>219059</v>
      </c>
      <c r="T4127" s="74">
        <v>43599</v>
      </c>
    </row>
    <row r="4128" spans="1:20" x14ac:dyDescent="0.3">
      <c r="A4128" s="42">
        <v>43588</v>
      </c>
      <c r="B4128" s="37">
        <f t="shared" si="127"/>
        <v>20190503</v>
      </c>
      <c r="C4128" s="109">
        <v>1.9400000000000001E-2</v>
      </c>
      <c r="D4128" s="109">
        <v>0.01</v>
      </c>
      <c r="E4128" s="109">
        <v>1.0999999999999999E-2</v>
      </c>
      <c r="F4128" s="109">
        <v>1.0999999999999999E-2</v>
      </c>
      <c r="G4128" s="130">
        <v>0</v>
      </c>
      <c r="H4128" s="71">
        <v>8.6</v>
      </c>
      <c r="I4128" s="71">
        <v>11.2</v>
      </c>
      <c r="J4128" s="71">
        <v>13.8</v>
      </c>
      <c r="K4128" s="121">
        <v>5.4000000000000003E-3</v>
      </c>
      <c r="L4128" s="121">
        <v>-7.0000000000000001E-3</v>
      </c>
      <c r="M4128" s="75" t="s">
        <v>146</v>
      </c>
      <c r="N4128" s="75" t="b">
        <v>1</v>
      </c>
      <c r="O4128" s="75" t="s">
        <v>145</v>
      </c>
      <c r="P4128" s="75">
        <v>2014</v>
      </c>
      <c r="Q4128" s="107">
        <f t="shared" si="126"/>
        <v>2019</v>
      </c>
      <c r="R4128" s="107">
        <v>2</v>
      </c>
      <c r="S4128" s="43">
        <v>219059</v>
      </c>
      <c r="T4128" s="74">
        <v>43599</v>
      </c>
    </row>
    <row r="4129" spans="1:20" x14ac:dyDescent="0.3">
      <c r="A4129" s="42">
        <v>43589</v>
      </c>
      <c r="B4129" s="37">
        <f>YEAR(A4129)*10000+MONTH(A4129)*100+DAY(A4129)</f>
        <v>20190504</v>
      </c>
      <c r="C4129" s="109">
        <v>1.9400000000000001E-2</v>
      </c>
      <c r="D4129" s="109">
        <v>0.01</v>
      </c>
      <c r="E4129" s="109">
        <v>1.0999999999999999E-2</v>
      </c>
      <c r="F4129" s="109">
        <v>1.0999999999999999E-2</v>
      </c>
      <c r="G4129" s="130">
        <v>0</v>
      </c>
      <c r="H4129" s="71">
        <v>8.6</v>
      </c>
      <c r="I4129" s="71">
        <v>11.2</v>
      </c>
      <c r="J4129" s="71">
        <v>13.8</v>
      </c>
      <c r="K4129" s="121">
        <v>5.4000000000000003E-3</v>
      </c>
      <c r="L4129" s="121">
        <v>-7.0000000000000001E-3</v>
      </c>
      <c r="M4129" s="75" t="s">
        <v>146</v>
      </c>
      <c r="N4129" s="75" t="b">
        <v>1</v>
      </c>
      <c r="O4129" s="75" t="s">
        <v>145</v>
      </c>
      <c r="P4129" s="75">
        <v>2014</v>
      </c>
      <c r="Q4129" s="107">
        <f t="shared" si="126"/>
        <v>2019</v>
      </c>
      <c r="R4129" s="107">
        <v>2</v>
      </c>
      <c r="S4129" s="43">
        <v>219059</v>
      </c>
      <c r="T4129" s="74">
        <v>43599</v>
      </c>
    </row>
    <row r="4130" spans="1:20" x14ac:dyDescent="0.3">
      <c r="A4130" s="42">
        <v>43590</v>
      </c>
      <c r="B4130" s="37">
        <f>YEAR(A4130)*10000+MONTH(A4130)*100+DAY(A4130)</f>
        <v>20190505</v>
      </c>
      <c r="C4130" s="109">
        <v>1.9400000000000001E-2</v>
      </c>
      <c r="D4130" s="109">
        <v>0.01</v>
      </c>
      <c r="E4130" s="109">
        <v>1.0999999999999999E-2</v>
      </c>
      <c r="F4130" s="109">
        <v>1.0999999999999999E-2</v>
      </c>
      <c r="G4130" s="130">
        <v>0</v>
      </c>
      <c r="H4130" s="71">
        <v>8.6</v>
      </c>
      <c r="I4130" s="71">
        <v>11.2</v>
      </c>
      <c r="J4130" s="71">
        <v>13.8</v>
      </c>
      <c r="K4130" s="121">
        <v>5.4000000000000003E-3</v>
      </c>
      <c r="L4130" s="121">
        <v>-7.0000000000000001E-3</v>
      </c>
      <c r="M4130" s="75" t="s">
        <v>146</v>
      </c>
      <c r="N4130" s="75" t="b">
        <v>1</v>
      </c>
      <c r="O4130" s="75" t="s">
        <v>145</v>
      </c>
      <c r="P4130" s="75">
        <v>2014</v>
      </c>
      <c r="Q4130" s="107">
        <f t="shared" si="126"/>
        <v>2019</v>
      </c>
      <c r="R4130" s="107">
        <v>2</v>
      </c>
      <c r="S4130" s="43">
        <v>219059</v>
      </c>
      <c r="T4130" s="74">
        <v>43599</v>
      </c>
    </row>
    <row r="4131" spans="1:20" x14ac:dyDescent="0.3">
      <c r="A4131" s="42">
        <v>43591</v>
      </c>
      <c r="B4131" s="37">
        <f t="shared" si="127"/>
        <v>20190506</v>
      </c>
      <c r="C4131" s="109">
        <v>1.9099999999999999E-2</v>
      </c>
      <c r="D4131" s="109">
        <v>0.01</v>
      </c>
      <c r="E4131" s="109">
        <v>1.0999999999999999E-2</v>
      </c>
      <c r="F4131" s="109">
        <v>1.0999999999999999E-2</v>
      </c>
      <c r="G4131" s="130">
        <v>0</v>
      </c>
      <c r="H4131" s="71">
        <v>8.6</v>
      </c>
      <c r="I4131" s="71">
        <v>11.2</v>
      </c>
      <c r="J4131" s="71">
        <v>13.8</v>
      </c>
      <c r="K4131" s="121">
        <v>5.1999999999999998E-3</v>
      </c>
      <c r="L4131" s="121">
        <v>-7.0000000000000001E-3</v>
      </c>
      <c r="M4131" s="75" t="s">
        <v>146</v>
      </c>
      <c r="N4131" s="75" t="b">
        <v>1</v>
      </c>
      <c r="O4131" s="75" t="s">
        <v>145</v>
      </c>
      <c r="P4131" s="75">
        <v>2014</v>
      </c>
      <c r="Q4131" s="107">
        <f t="shared" si="126"/>
        <v>2019</v>
      </c>
      <c r="R4131" s="107">
        <v>2</v>
      </c>
      <c r="S4131" s="43">
        <v>219059</v>
      </c>
      <c r="T4131" s="74">
        <v>43599</v>
      </c>
    </row>
    <row r="4132" spans="1:20" x14ac:dyDescent="0.3">
      <c r="A4132" s="42">
        <v>43592</v>
      </c>
      <c r="B4132" s="37">
        <f t="shared" si="127"/>
        <v>20190507</v>
      </c>
      <c r="C4132" s="109">
        <v>1.8700000000000001E-2</v>
      </c>
      <c r="D4132" s="109">
        <v>0.01</v>
      </c>
      <c r="E4132" s="109">
        <v>1.0999999999999999E-2</v>
      </c>
      <c r="F4132" s="109">
        <v>1.0999999999999999E-2</v>
      </c>
      <c r="G4132" s="130">
        <v>0</v>
      </c>
      <c r="H4132" s="71">
        <v>8.6</v>
      </c>
      <c r="I4132" s="71">
        <v>11.2</v>
      </c>
      <c r="J4132" s="71">
        <v>13.8</v>
      </c>
      <c r="K4132" s="121">
        <v>5.0000000000000001E-3</v>
      </c>
      <c r="L4132" s="121">
        <v>-7.0000000000000001E-3</v>
      </c>
      <c r="M4132" s="75" t="s">
        <v>146</v>
      </c>
      <c r="N4132" s="75" t="b">
        <v>1</v>
      </c>
      <c r="O4132" s="75" t="s">
        <v>145</v>
      </c>
      <c r="P4132" s="75">
        <v>2014</v>
      </c>
      <c r="Q4132" s="107">
        <f t="shared" si="126"/>
        <v>2019</v>
      </c>
      <c r="R4132" s="107">
        <v>2</v>
      </c>
      <c r="S4132" s="43">
        <v>219059</v>
      </c>
      <c r="T4132" s="74">
        <v>43599</v>
      </c>
    </row>
    <row r="4133" spans="1:20" x14ac:dyDescent="0.3">
      <c r="A4133" s="42">
        <v>43593</v>
      </c>
      <c r="B4133" s="37">
        <f t="shared" si="127"/>
        <v>20190508</v>
      </c>
      <c r="C4133" s="109">
        <v>1.8799999999999997E-2</v>
      </c>
      <c r="D4133" s="109">
        <v>0.01</v>
      </c>
      <c r="E4133" s="109">
        <v>1.0999999999999999E-2</v>
      </c>
      <c r="F4133" s="109">
        <v>1.0999999999999999E-2</v>
      </c>
      <c r="G4133" s="130">
        <v>0</v>
      </c>
      <c r="H4133" s="71">
        <v>8.6</v>
      </c>
      <c r="I4133" s="71">
        <v>11.2</v>
      </c>
      <c r="J4133" s="71">
        <v>13.8</v>
      </c>
      <c r="K4133" s="121">
        <v>5.1000000000000004E-3</v>
      </c>
      <c r="L4133" s="121">
        <v>-7.0000000000000001E-3</v>
      </c>
      <c r="M4133" s="75" t="s">
        <v>146</v>
      </c>
      <c r="N4133" s="75" t="b">
        <v>1</v>
      </c>
      <c r="O4133" s="75" t="s">
        <v>145</v>
      </c>
      <c r="P4133" s="75">
        <v>2014</v>
      </c>
      <c r="Q4133" s="107">
        <f t="shared" si="126"/>
        <v>2019</v>
      </c>
      <c r="R4133" s="107">
        <v>2</v>
      </c>
      <c r="S4133" s="43">
        <v>219059</v>
      </c>
      <c r="T4133" s="74">
        <v>43599</v>
      </c>
    </row>
    <row r="4134" spans="1:20" x14ac:dyDescent="0.3">
      <c r="A4134" s="42">
        <v>43594</v>
      </c>
      <c r="B4134" s="37">
        <f t="shared" si="127"/>
        <v>20190509</v>
      </c>
      <c r="C4134" s="109">
        <v>1.8600000000000002E-2</v>
      </c>
      <c r="D4134" s="109">
        <v>0.01</v>
      </c>
      <c r="E4134" s="109">
        <v>1.0999999999999999E-2</v>
      </c>
      <c r="F4134" s="109">
        <v>1.0999999999999999E-2</v>
      </c>
      <c r="G4134" s="130">
        <v>0</v>
      </c>
      <c r="H4134" s="71">
        <v>8.6</v>
      </c>
      <c r="I4134" s="71">
        <v>11.2</v>
      </c>
      <c r="J4134" s="71">
        <v>13.8</v>
      </c>
      <c r="K4134" s="121">
        <v>4.8999999999999998E-3</v>
      </c>
      <c r="L4134" s="121">
        <v>-7.0000000000000001E-3</v>
      </c>
      <c r="M4134" s="75" t="s">
        <v>146</v>
      </c>
      <c r="N4134" s="75" t="b">
        <v>1</v>
      </c>
      <c r="O4134" s="75" t="s">
        <v>145</v>
      </c>
      <c r="P4134" s="75">
        <v>2014</v>
      </c>
      <c r="Q4134" s="107">
        <f t="shared" si="126"/>
        <v>2019</v>
      </c>
      <c r="R4134" s="107">
        <v>2</v>
      </c>
      <c r="S4134" s="43">
        <v>219059</v>
      </c>
      <c r="T4134" s="74">
        <v>43599</v>
      </c>
    </row>
    <row r="4135" spans="1:20" x14ac:dyDescent="0.3">
      <c r="A4135" s="42">
        <v>43595</v>
      </c>
      <c r="B4135" s="37">
        <f t="shared" si="127"/>
        <v>20190510</v>
      </c>
      <c r="C4135" s="109">
        <v>1.89E-2</v>
      </c>
      <c r="D4135" s="109">
        <v>0.01</v>
      </c>
      <c r="E4135" s="109">
        <v>1.0999999999999999E-2</v>
      </c>
      <c r="F4135" s="109">
        <v>1.0999999999999999E-2</v>
      </c>
      <c r="G4135" s="130">
        <v>0</v>
      </c>
      <c r="H4135" s="71">
        <v>8.6</v>
      </c>
      <c r="I4135" s="71">
        <v>11.2</v>
      </c>
      <c r="J4135" s="71">
        <v>13.8</v>
      </c>
      <c r="K4135" s="121">
        <v>5.1000000000000004E-3</v>
      </c>
      <c r="L4135" s="121">
        <v>-7.0000000000000001E-3</v>
      </c>
      <c r="M4135" s="75" t="s">
        <v>146</v>
      </c>
      <c r="N4135" s="75" t="b">
        <v>1</v>
      </c>
      <c r="O4135" s="75" t="s">
        <v>145</v>
      </c>
      <c r="P4135" s="75">
        <v>2014</v>
      </c>
      <c r="Q4135" s="107">
        <f t="shared" si="126"/>
        <v>2019</v>
      </c>
      <c r="R4135" s="107">
        <v>2</v>
      </c>
      <c r="S4135" s="43">
        <v>219059</v>
      </c>
      <c r="T4135" s="74">
        <v>43599</v>
      </c>
    </row>
    <row r="4136" spans="1:20" x14ac:dyDescent="0.3">
      <c r="A4136" s="42">
        <v>43596</v>
      </c>
      <c r="B4136" s="37">
        <f>YEAR(A4136)*10000+MONTH(A4136)*100+DAY(A4136)</f>
        <v>20190511</v>
      </c>
      <c r="C4136" s="109">
        <v>1.89E-2</v>
      </c>
      <c r="D4136" s="109">
        <v>0.01</v>
      </c>
      <c r="E4136" s="109">
        <v>1.0999999999999999E-2</v>
      </c>
      <c r="F4136" s="109">
        <v>1.0999999999999999E-2</v>
      </c>
      <c r="G4136" s="130">
        <v>0</v>
      </c>
      <c r="H4136" s="71">
        <v>8.6</v>
      </c>
      <c r="I4136" s="71">
        <v>11.2</v>
      </c>
      <c r="J4136" s="71">
        <v>13.8</v>
      </c>
      <c r="K4136" s="121">
        <v>5.1000000000000004E-3</v>
      </c>
      <c r="L4136" s="121">
        <v>-7.0000000000000001E-3</v>
      </c>
      <c r="M4136" s="75" t="s">
        <v>146</v>
      </c>
      <c r="N4136" s="75" t="b">
        <v>1</v>
      </c>
      <c r="O4136" s="75" t="s">
        <v>145</v>
      </c>
      <c r="P4136" s="75">
        <v>2014</v>
      </c>
      <c r="Q4136" s="107">
        <f t="shared" si="126"/>
        <v>2019</v>
      </c>
      <c r="R4136" s="107">
        <v>2</v>
      </c>
      <c r="S4136" s="43">
        <v>219059</v>
      </c>
      <c r="T4136" s="74">
        <v>43599</v>
      </c>
    </row>
    <row r="4137" spans="1:20" x14ac:dyDescent="0.3">
      <c r="A4137" s="42">
        <v>43597</v>
      </c>
      <c r="B4137" s="37">
        <f>YEAR(A4137)*10000+MONTH(A4137)*100+DAY(A4137)</f>
        <v>20190512</v>
      </c>
      <c r="C4137" s="109">
        <v>1.89E-2</v>
      </c>
      <c r="D4137" s="109">
        <v>0.01</v>
      </c>
      <c r="E4137" s="109">
        <v>1.0999999999999999E-2</v>
      </c>
      <c r="F4137" s="109">
        <v>1.0999999999999999E-2</v>
      </c>
      <c r="G4137" s="130">
        <v>0</v>
      </c>
      <c r="H4137" s="71">
        <v>8.6</v>
      </c>
      <c r="I4137" s="71">
        <v>11.2</v>
      </c>
      <c r="J4137" s="71">
        <v>13.8</v>
      </c>
      <c r="K4137" s="121">
        <v>5.1000000000000004E-3</v>
      </c>
      <c r="L4137" s="121">
        <v>-7.0000000000000001E-3</v>
      </c>
      <c r="M4137" s="75" t="s">
        <v>146</v>
      </c>
      <c r="N4137" s="75" t="b">
        <v>1</v>
      </c>
      <c r="O4137" s="75" t="s">
        <v>145</v>
      </c>
      <c r="P4137" s="75">
        <v>2014</v>
      </c>
      <c r="Q4137" s="107">
        <f t="shared" si="126"/>
        <v>2019</v>
      </c>
      <c r="R4137" s="107">
        <v>2</v>
      </c>
      <c r="S4137" s="43">
        <v>219059</v>
      </c>
      <c r="T4137" s="74">
        <v>43599</v>
      </c>
    </row>
    <row r="4138" spans="1:20" x14ac:dyDescent="0.3">
      <c r="A4138" s="42">
        <v>43598</v>
      </c>
      <c r="B4138" s="37">
        <f t="shared" si="127"/>
        <v>20190513</v>
      </c>
      <c r="C4138" s="109">
        <v>1.83E-2</v>
      </c>
      <c r="D4138" s="109">
        <v>0.01</v>
      </c>
      <c r="E4138" s="109">
        <v>1.0999999999999999E-2</v>
      </c>
      <c r="F4138" s="109">
        <v>1.0999999999999999E-2</v>
      </c>
      <c r="G4138" s="130">
        <v>0</v>
      </c>
      <c r="H4138" s="71">
        <v>8.6</v>
      </c>
      <c r="I4138" s="71">
        <v>11.2</v>
      </c>
      <c r="J4138" s="71">
        <v>13.8</v>
      </c>
      <c r="K4138" s="121">
        <v>4.5000000000000005E-3</v>
      </c>
      <c r="L4138" s="121">
        <v>-7.0000000000000001E-3</v>
      </c>
      <c r="M4138" s="75" t="s">
        <v>146</v>
      </c>
      <c r="N4138" s="75" t="b">
        <v>1</v>
      </c>
      <c r="O4138" s="75" t="s">
        <v>145</v>
      </c>
      <c r="P4138" s="75">
        <v>2014</v>
      </c>
      <c r="Q4138" s="107">
        <f t="shared" si="126"/>
        <v>2019</v>
      </c>
      <c r="R4138" s="107">
        <v>2</v>
      </c>
      <c r="S4138" s="43">
        <v>219059</v>
      </c>
      <c r="T4138" s="74">
        <v>43599</v>
      </c>
    </row>
    <row r="4139" spans="1:20" x14ac:dyDescent="0.3">
      <c r="A4139" s="42">
        <v>43599</v>
      </c>
      <c r="B4139" s="37">
        <f t="shared" si="127"/>
        <v>20190514</v>
      </c>
      <c r="C4139" s="109">
        <v>1.8600000000000002E-2</v>
      </c>
      <c r="D4139" s="109">
        <v>0.01</v>
      </c>
      <c r="E4139" s="109">
        <v>1.0999999999999999E-2</v>
      </c>
      <c r="F4139" s="109">
        <v>1.0999999999999999E-2</v>
      </c>
      <c r="G4139" s="130">
        <v>0</v>
      </c>
      <c r="H4139" s="71">
        <v>8.6</v>
      </c>
      <c r="I4139" s="71">
        <v>11.2</v>
      </c>
      <c r="J4139" s="71">
        <v>13.8</v>
      </c>
      <c r="K4139" s="121">
        <v>4.6999999999999993E-3</v>
      </c>
      <c r="L4139" s="121">
        <v>-7.0000000000000001E-3</v>
      </c>
      <c r="M4139" s="75" t="s">
        <v>146</v>
      </c>
      <c r="N4139" s="75" t="b">
        <v>1</v>
      </c>
      <c r="O4139" s="75" t="s">
        <v>145</v>
      </c>
      <c r="P4139" s="75">
        <v>2014</v>
      </c>
      <c r="Q4139" s="107">
        <f t="shared" si="126"/>
        <v>2019</v>
      </c>
      <c r="R4139" s="107">
        <v>2</v>
      </c>
      <c r="S4139" s="43">
        <v>219059</v>
      </c>
      <c r="T4139" s="74">
        <v>43599</v>
      </c>
    </row>
    <row r="4140" spans="1:20" x14ac:dyDescent="0.3">
      <c r="A4140" s="42">
        <v>43600</v>
      </c>
      <c r="B4140" s="37">
        <f t="shared" si="127"/>
        <v>20190515</v>
      </c>
      <c r="C4140" s="109">
        <v>1.83E-2</v>
      </c>
      <c r="D4140" s="109">
        <v>0.01</v>
      </c>
      <c r="E4140" s="109">
        <v>1.0999999999999999E-2</v>
      </c>
      <c r="F4140" s="109">
        <v>1.0999999999999999E-2</v>
      </c>
      <c r="G4140" s="130">
        <v>0</v>
      </c>
      <c r="H4140" s="71">
        <v>8.6</v>
      </c>
      <c r="I4140" s="71">
        <v>11.2</v>
      </c>
      <c r="J4140" s="71">
        <v>13.8</v>
      </c>
      <c r="K4140" s="121">
        <v>4.6999999999999993E-3</v>
      </c>
      <c r="L4140" s="121">
        <v>-7.0000000000000001E-3</v>
      </c>
      <c r="M4140" s="75" t="s">
        <v>146</v>
      </c>
      <c r="N4140" s="75" t="b">
        <v>1</v>
      </c>
      <c r="O4140" s="75" t="s">
        <v>145</v>
      </c>
      <c r="P4140" s="75">
        <v>2014</v>
      </c>
      <c r="Q4140" s="107">
        <f t="shared" si="126"/>
        <v>2019</v>
      </c>
      <c r="R4140" s="107">
        <v>2</v>
      </c>
      <c r="S4140" s="43">
        <v>219059</v>
      </c>
      <c r="T4140" s="74">
        <v>43599</v>
      </c>
    </row>
    <row r="4141" spans="1:20" x14ac:dyDescent="0.3">
      <c r="A4141" s="42">
        <v>43601</v>
      </c>
      <c r="B4141" s="37">
        <f t="shared" si="127"/>
        <v>20190516</v>
      </c>
      <c r="C4141" s="109">
        <v>1.8500000000000003E-2</v>
      </c>
      <c r="D4141" s="109">
        <v>0.01</v>
      </c>
      <c r="E4141" s="109">
        <v>1.0999999999999999E-2</v>
      </c>
      <c r="F4141" s="109">
        <v>1.0999999999999999E-2</v>
      </c>
      <c r="G4141" s="130">
        <v>0</v>
      </c>
      <c r="H4141" s="71">
        <v>8.6</v>
      </c>
      <c r="I4141" s="71">
        <v>11.2</v>
      </c>
      <c r="J4141" s="71">
        <v>13.8</v>
      </c>
      <c r="K4141" s="121">
        <v>4.8999999999999998E-3</v>
      </c>
      <c r="L4141" s="121">
        <v>-7.0000000000000001E-3</v>
      </c>
      <c r="M4141" s="75" t="s">
        <v>146</v>
      </c>
      <c r="N4141" s="75" t="b">
        <v>1</v>
      </c>
      <c r="O4141" s="75" t="s">
        <v>145</v>
      </c>
      <c r="P4141" s="75">
        <v>2014</v>
      </c>
      <c r="Q4141" s="107">
        <f t="shared" si="126"/>
        <v>2019</v>
      </c>
      <c r="R4141" s="107">
        <v>2</v>
      </c>
      <c r="S4141" s="43">
        <v>219059</v>
      </c>
      <c r="T4141" s="74">
        <v>43599</v>
      </c>
    </row>
    <row r="4142" spans="1:20" x14ac:dyDescent="0.3">
      <c r="A4142" s="42">
        <v>43602</v>
      </c>
      <c r="B4142" s="37">
        <f t="shared" si="127"/>
        <v>20190517</v>
      </c>
      <c r="C4142" s="109">
        <v>1.8500000000000003E-2</v>
      </c>
      <c r="D4142" s="109">
        <v>0.01</v>
      </c>
      <c r="E4142" s="109">
        <v>1.0999999999999999E-2</v>
      </c>
      <c r="F4142" s="109">
        <v>1.0999999999999999E-2</v>
      </c>
      <c r="G4142" s="130">
        <v>0</v>
      </c>
      <c r="H4142" s="71">
        <v>8.6</v>
      </c>
      <c r="I4142" s="71">
        <v>11.2</v>
      </c>
      <c r="J4142" s="71">
        <v>13.8</v>
      </c>
      <c r="K4142" s="121">
        <v>4.8999999999999998E-3</v>
      </c>
      <c r="L4142" s="121">
        <v>-7.0000000000000001E-3</v>
      </c>
      <c r="M4142" s="75" t="s">
        <v>146</v>
      </c>
      <c r="N4142" s="75" t="b">
        <v>1</v>
      </c>
      <c r="O4142" s="75" t="s">
        <v>145</v>
      </c>
      <c r="P4142" s="75">
        <v>2014</v>
      </c>
      <c r="Q4142" s="107">
        <f t="shared" ref="Q4142:Q4205" si="128">YEAR(A4142)</f>
        <v>2019</v>
      </c>
      <c r="R4142" s="107">
        <v>2</v>
      </c>
      <c r="S4142" s="43">
        <v>219059</v>
      </c>
      <c r="T4142" s="74">
        <v>43599</v>
      </c>
    </row>
    <row r="4143" spans="1:20" x14ac:dyDescent="0.3">
      <c r="A4143" s="42">
        <v>43603</v>
      </c>
      <c r="B4143" s="37">
        <f>YEAR(A4143)*10000+MONTH(A4143)*100+DAY(A4143)</f>
        <v>20190518</v>
      </c>
      <c r="C4143" s="109">
        <v>1.8500000000000003E-2</v>
      </c>
      <c r="D4143" s="109">
        <v>0.01</v>
      </c>
      <c r="E4143" s="109">
        <v>1.0999999999999999E-2</v>
      </c>
      <c r="F4143" s="109">
        <v>1.0999999999999999E-2</v>
      </c>
      <c r="G4143" s="130">
        <v>0</v>
      </c>
      <c r="H4143" s="71">
        <v>8.6</v>
      </c>
      <c r="I4143" s="71">
        <v>11.2</v>
      </c>
      <c r="J4143" s="71">
        <v>13.8</v>
      </c>
      <c r="K4143" s="121">
        <v>4.8999999999999998E-3</v>
      </c>
      <c r="L4143" s="121">
        <v>-7.0000000000000001E-3</v>
      </c>
      <c r="M4143" s="75" t="s">
        <v>146</v>
      </c>
      <c r="N4143" s="75" t="b">
        <v>1</v>
      </c>
      <c r="O4143" s="75" t="s">
        <v>145</v>
      </c>
      <c r="P4143" s="75">
        <v>2014</v>
      </c>
      <c r="Q4143" s="107">
        <f t="shared" si="128"/>
        <v>2019</v>
      </c>
      <c r="R4143" s="107">
        <v>2</v>
      </c>
      <c r="S4143" s="43">
        <v>219059</v>
      </c>
      <c r="T4143" s="74">
        <v>43599</v>
      </c>
    </row>
    <row r="4144" spans="1:20" x14ac:dyDescent="0.3">
      <c r="A4144" s="42">
        <v>43604</v>
      </c>
      <c r="B4144" s="37">
        <f>YEAR(A4144)*10000+MONTH(A4144)*100+DAY(A4144)</f>
        <v>20190519</v>
      </c>
      <c r="C4144" s="109">
        <v>1.8500000000000003E-2</v>
      </c>
      <c r="D4144" s="109">
        <v>0.01</v>
      </c>
      <c r="E4144" s="109">
        <v>1.0999999999999999E-2</v>
      </c>
      <c r="F4144" s="109">
        <v>1.0999999999999999E-2</v>
      </c>
      <c r="G4144" s="130">
        <v>0</v>
      </c>
      <c r="H4144" s="71">
        <v>8.6</v>
      </c>
      <c r="I4144" s="71">
        <v>11.2</v>
      </c>
      <c r="J4144" s="71">
        <v>13.8</v>
      </c>
      <c r="K4144" s="121">
        <v>4.8999999999999998E-3</v>
      </c>
      <c r="L4144" s="121">
        <v>-7.0000000000000001E-3</v>
      </c>
      <c r="M4144" s="75" t="s">
        <v>146</v>
      </c>
      <c r="N4144" s="75" t="b">
        <v>1</v>
      </c>
      <c r="O4144" s="75" t="s">
        <v>145</v>
      </c>
      <c r="P4144" s="75">
        <v>2014</v>
      </c>
      <c r="Q4144" s="107">
        <f t="shared" si="128"/>
        <v>2019</v>
      </c>
      <c r="R4144" s="107">
        <v>2</v>
      </c>
      <c r="S4144" s="43">
        <v>219059</v>
      </c>
      <c r="T4144" s="74">
        <v>43599</v>
      </c>
    </row>
    <row r="4145" spans="1:20" x14ac:dyDescent="0.3">
      <c r="A4145" s="42">
        <v>43605</v>
      </c>
      <c r="B4145" s="37">
        <f t="shared" si="127"/>
        <v>20190520</v>
      </c>
      <c r="C4145" s="109">
        <v>1.8500000000000003E-2</v>
      </c>
      <c r="D4145" s="109">
        <v>0.01</v>
      </c>
      <c r="E4145" s="109">
        <v>1.0999999999999999E-2</v>
      </c>
      <c r="F4145" s="109">
        <v>1.0999999999999999E-2</v>
      </c>
      <c r="G4145" s="130">
        <v>0</v>
      </c>
      <c r="H4145" s="71">
        <v>8.6</v>
      </c>
      <c r="I4145" s="71">
        <v>11.2</v>
      </c>
      <c r="J4145" s="71">
        <v>13.8</v>
      </c>
      <c r="K4145" s="121">
        <v>4.8999999999999998E-3</v>
      </c>
      <c r="L4145" s="121">
        <v>-7.0000000000000001E-3</v>
      </c>
      <c r="M4145" s="75" t="s">
        <v>146</v>
      </c>
      <c r="N4145" s="75" t="b">
        <v>1</v>
      </c>
      <c r="O4145" s="75" t="s">
        <v>145</v>
      </c>
      <c r="P4145" s="75">
        <v>2014</v>
      </c>
      <c r="Q4145" s="107">
        <f t="shared" si="128"/>
        <v>2019</v>
      </c>
      <c r="R4145" s="107">
        <v>2</v>
      </c>
      <c r="S4145" s="43">
        <v>219059</v>
      </c>
      <c r="T4145" s="74">
        <v>43599</v>
      </c>
    </row>
    <row r="4146" spans="1:20" x14ac:dyDescent="0.3">
      <c r="A4146" s="42">
        <v>43606</v>
      </c>
      <c r="B4146" s="37">
        <f t="shared" si="127"/>
        <v>20190521</v>
      </c>
      <c r="C4146" s="109">
        <v>1.9099999999999999E-2</v>
      </c>
      <c r="D4146" s="109">
        <v>0.01</v>
      </c>
      <c r="E4146" s="109">
        <v>1.0999999999999999E-2</v>
      </c>
      <c r="F4146" s="109">
        <v>1.0999999999999999E-2</v>
      </c>
      <c r="G4146" s="130">
        <v>0</v>
      </c>
      <c r="H4146" s="71">
        <v>8.6</v>
      </c>
      <c r="I4146" s="71">
        <v>11.2</v>
      </c>
      <c r="J4146" s="71">
        <v>13.8</v>
      </c>
      <c r="K4146" s="121">
        <v>5.6000000000000008E-3</v>
      </c>
      <c r="L4146" s="121">
        <v>-7.0000000000000001E-3</v>
      </c>
      <c r="M4146" s="75" t="s">
        <v>146</v>
      </c>
      <c r="N4146" s="75" t="b">
        <v>1</v>
      </c>
      <c r="O4146" s="75" t="s">
        <v>145</v>
      </c>
      <c r="P4146" s="75">
        <v>2014</v>
      </c>
      <c r="Q4146" s="107">
        <f t="shared" si="128"/>
        <v>2019</v>
      </c>
      <c r="R4146" s="107">
        <v>2</v>
      </c>
      <c r="S4146" s="43">
        <v>219059</v>
      </c>
      <c r="T4146" s="74">
        <v>43599</v>
      </c>
    </row>
    <row r="4147" spans="1:20" x14ac:dyDescent="0.3">
      <c r="A4147" s="42">
        <v>43607</v>
      </c>
      <c r="B4147" s="37">
        <f t="shared" si="127"/>
        <v>20190522</v>
      </c>
      <c r="C4147" s="109">
        <v>1.89E-2</v>
      </c>
      <c r="D4147" s="109">
        <v>0.01</v>
      </c>
      <c r="E4147" s="109">
        <v>1.0999999999999999E-2</v>
      </c>
      <c r="F4147" s="109">
        <v>1.0999999999999999E-2</v>
      </c>
      <c r="G4147" s="130">
        <v>0</v>
      </c>
      <c r="H4147" s="71">
        <v>8.6</v>
      </c>
      <c r="I4147" s="71">
        <v>11.2</v>
      </c>
      <c r="J4147" s="71">
        <v>13.8</v>
      </c>
      <c r="K4147" s="121">
        <v>5.7999999999999996E-3</v>
      </c>
      <c r="L4147" s="121">
        <v>-7.0000000000000001E-3</v>
      </c>
      <c r="M4147" s="75" t="s">
        <v>146</v>
      </c>
      <c r="N4147" s="75" t="b">
        <v>1</v>
      </c>
      <c r="O4147" s="75" t="s">
        <v>145</v>
      </c>
      <c r="P4147" s="75">
        <v>2014</v>
      </c>
      <c r="Q4147" s="107">
        <f t="shared" si="128"/>
        <v>2019</v>
      </c>
      <c r="R4147" s="107">
        <v>2</v>
      </c>
      <c r="S4147" s="43">
        <v>219059</v>
      </c>
      <c r="T4147" s="74">
        <v>43599</v>
      </c>
    </row>
    <row r="4148" spans="1:20" x14ac:dyDescent="0.3">
      <c r="A4148" s="42">
        <v>43608</v>
      </c>
      <c r="B4148" s="37">
        <f t="shared" si="127"/>
        <v>20190523</v>
      </c>
      <c r="C4148" s="109">
        <v>1.8200000000000001E-2</v>
      </c>
      <c r="D4148" s="109">
        <v>0.01</v>
      </c>
      <c r="E4148" s="109">
        <v>1.0999999999999999E-2</v>
      </c>
      <c r="F4148" s="109">
        <v>1.0999999999999999E-2</v>
      </c>
      <c r="G4148" s="130">
        <v>0</v>
      </c>
      <c r="H4148" s="71">
        <v>8.6</v>
      </c>
      <c r="I4148" s="71">
        <v>11.2</v>
      </c>
      <c r="J4148" s="71">
        <v>13.8</v>
      </c>
      <c r="K4148" s="121">
        <v>5.3E-3</v>
      </c>
      <c r="L4148" s="121">
        <v>-7.0000000000000001E-3</v>
      </c>
      <c r="M4148" s="75" t="s">
        <v>146</v>
      </c>
      <c r="N4148" s="75" t="b">
        <v>1</v>
      </c>
      <c r="O4148" s="75" t="s">
        <v>145</v>
      </c>
      <c r="P4148" s="75">
        <v>2014</v>
      </c>
      <c r="Q4148" s="107">
        <f t="shared" si="128"/>
        <v>2019</v>
      </c>
      <c r="R4148" s="107">
        <v>2</v>
      </c>
      <c r="S4148" s="43">
        <v>219059</v>
      </c>
      <c r="T4148" s="74">
        <v>43599</v>
      </c>
    </row>
    <row r="4149" spans="1:20" x14ac:dyDescent="0.3">
      <c r="A4149" s="42">
        <v>43609</v>
      </c>
      <c r="B4149" s="37">
        <f t="shared" si="127"/>
        <v>20190524</v>
      </c>
      <c r="C4149" s="109">
        <v>1.8000000000000002E-2</v>
      </c>
      <c r="D4149" s="109">
        <v>0.01</v>
      </c>
      <c r="E4149" s="109">
        <v>1.0999999999999999E-2</v>
      </c>
      <c r="F4149" s="109">
        <v>1.0999999999999999E-2</v>
      </c>
      <c r="G4149" s="130">
        <v>0</v>
      </c>
      <c r="H4149" s="71">
        <v>8.6</v>
      </c>
      <c r="I4149" s="71">
        <v>11.2</v>
      </c>
      <c r="J4149" s="71">
        <v>13.8</v>
      </c>
      <c r="K4149" s="121">
        <v>5.0000000000000001E-3</v>
      </c>
      <c r="L4149" s="121">
        <v>-7.0000000000000001E-3</v>
      </c>
      <c r="M4149" s="75" t="s">
        <v>146</v>
      </c>
      <c r="N4149" s="75" t="b">
        <v>1</v>
      </c>
      <c r="O4149" s="75" t="s">
        <v>145</v>
      </c>
      <c r="P4149" s="75">
        <v>2014</v>
      </c>
      <c r="Q4149" s="107">
        <f t="shared" si="128"/>
        <v>2019</v>
      </c>
      <c r="R4149" s="107">
        <v>2</v>
      </c>
      <c r="S4149" s="43">
        <v>219059</v>
      </c>
      <c r="T4149" s="74">
        <v>43599</v>
      </c>
    </row>
    <row r="4150" spans="1:20" x14ac:dyDescent="0.3">
      <c r="A4150" s="42">
        <v>43610</v>
      </c>
      <c r="B4150" s="37">
        <f>YEAR(A4150)*10000+MONTH(A4150)*100+DAY(A4150)</f>
        <v>20190525</v>
      </c>
      <c r="C4150" s="109">
        <v>1.8000000000000002E-2</v>
      </c>
      <c r="D4150" s="109">
        <v>0.01</v>
      </c>
      <c r="E4150" s="109">
        <v>1.0999999999999999E-2</v>
      </c>
      <c r="F4150" s="109">
        <v>1.0999999999999999E-2</v>
      </c>
      <c r="G4150" s="130">
        <v>0</v>
      </c>
      <c r="H4150" s="71">
        <v>8.6</v>
      </c>
      <c r="I4150" s="71">
        <v>11.2</v>
      </c>
      <c r="J4150" s="71">
        <v>13.8</v>
      </c>
      <c r="K4150" s="121">
        <v>5.0000000000000001E-3</v>
      </c>
      <c r="L4150" s="121">
        <v>-7.0000000000000001E-3</v>
      </c>
      <c r="M4150" s="75" t="s">
        <v>146</v>
      </c>
      <c r="N4150" s="75" t="b">
        <v>1</v>
      </c>
      <c r="O4150" s="75" t="s">
        <v>145</v>
      </c>
      <c r="P4150" s="75">
        <v>2014</v>
      </c>
      <c r="Q4150" s="107">
        <f t="shared" si="128"/>
        <v>2019</v>
      </c>
      <c r="R4150" s="107">
        <v>2</v>
      </c>
      <c r="S4150" s="43">
        <v>219059</v>
      </c>
      <c r="T4150" s="74">
        <v>43599</v>
      </c>
    </row>
    <row r="4151" spans="1:20" x14ac:dyDescent="0.3">
      <c r="A4151" s="42">
        <v>43611</v>
      </c>
      <c r="B4151" s="37">
        <f>YEAR(A4151)*10000+MONTH(A4151)*100+DAY(A4151)</f>
        <v>20190526</v>
      </c>
      <c r="C4151" s="109">
        <v>1.8000000000000002E-2</v>
      </c>
      <c r="D4151" s="109">
        <v>0.01</v>
      </c>
      <c r="E4151" s="109">
        <v>1.0999999999999999E-2</v>
      </c>
      <c r="F4151" s="109">
        <v>1.0999999999999999E-2</v>
      </c>
      <c r="G4151" s="130">
        <v>0</v>
      </c>
      <c r="H4151" s="71">
        <v>8.6</v>
      </c>
      <c r="I4151" s="71">
        <v>11.2</v>
      </c>
      <c r="J4151" s="71">
        <v>13.8</v>
      </c>
      <c r="K4151" s="121">
        <v>5.0000000000000001E-3</v>
      </c>
      <c r="L4151" s="121">
        <v>-7.0000000000000001E-3</v>
      </c>
      <c r="M4151" s="75" t="s">
        <v>146</v>
      </c>
      <c r="N4151" s="75" t="b">
        <v>1</v>
      </c>
      <c r="O4151" s="75" t="s">
        <v>145</v>
      </c>
      <c r="P4151" s="75">
        <v>2014</v>
      </c>
      <c r="Q4151" s="107">
        <f t="shared" si="128"/>
        <v>2019</v>
      </c>
      <c r="R4151" s="107">
        <v>2</v>
      </c>
      <c r="S4151" s="43">
        <v>219059</v>
      </c>
      <c r="T4151" s="74">
        <v>43599</v>
      </c>
    </row>
    <row r="4152" spans="1:20" x14ac:dyDescent="0.3">
      <c r="A4152" s="42">
        <v>43612</v>
      </c>
      <c r="B4152" s="37">
        <f t="shared" si="127"/>
        <v>20190527</v>
      </c>
      <c r="C4152" s="109">
        <v>1.77E-2</v>
      </c>
      <c r="D4152" s="109">
        <v>0.01</v>
      </c>
      <c r="E4152" s="109">
        <v>1.0999999999999999E-2</v>
      </c>
      <c r="F4152" s="109">
        <v>1.0999999999999999E-2</v>
      </c>
      <c r="G4152" s="130">
        <v>0</v>
      </c>
      <c r="H4152" s="71">
        <v>8.6</v>
      </c>
      <c r="I4152" s="71">
        <v>11.2</v>
      </c>
      <c r="J4152" s="71">
        <v>13.8</v>
      </c>
      <c r="K4152" s="121">
        <v>4.7999999999999996E-3</v>
      </c>
      <c r="L4152" s="121">
        <v>-7.0000000000000001E-3</v>
      </c>
      <c r="M4152" s="75" t="s">
        <v>146</v>
      </c>
      <c r="N4152" s="75" t="b">
        <v>1</v>
      </c>
      <c r="O4152" s="75" t="s">
        <v>145</v>
      </c>
      <c r="P4152" s="75">
        <v>2014</v>
      </c>
      <c r="Q4152" s="107">
        <f t="shared" si="128"/>
        <v>2019</v>
      </c>
      <c r="R4152" s="107">
        <v>2</v>
      </c>
      <c r="S4152" s="43">
        <v>219059</v>
      </c>
      <c r="T4152" s="74">
        <v>43599</v>
      </c>
    </row>
    <row r="4153" spans="1:20" x14ac:dyDescent="0.3">
      <c r="A4153" s="42">
        <v>43613</v>
      </c>
      <c r="B4153" s="37">
        <f t="shared" si="127"/>
        <v>20190528</v>
      </c>
      <c r="C4153" s="109">
        <v>1.7500000000000002E-2</v>
      </c>
      <c r="D4153" s="109">
        <v>0.01</v>
      </c>
      <c r="E4153" s="109">
        <v>1.0999999999999999E-2</v>
      </c>
      <c r="F4153" s="109">
        <v>1.0999999999999999E-2</v>
      </c>
      <c r="G4153" s="130">
        <v>0</v>
      </c>
      <c r="H4153" s="71">
        <v>8.6</v>
      </c>
      <c r="I4153" s="71">
        <v>11.2</v>
      </c>
      <c r="J4153" s="71">
        <v>13.8</v>
      </c>
      <c r="K4153" s="121">
        <v>4.5999999999999999E-3</v>
      </c>
      <c r="L4153" s="121">
        <v>-7.0000000000000001E-3</v>
      </c>
      <c r="M4153" s="75" t="s">
        <v>146</v>
      </c>
      <c r="N4153" s="75" t="b">
        <v>1</v>
      </c>
      <c r="O4153" s="75" t="s">
        <v>145</v>
      </c>
      <c r="P4153" s="75">
        <v>2014</v>
      </c>
      <c r="Q4153" s="107">
        <f t="shared" si="128"/>
        <v>2019</v>
      </c>
      <c r="R4153" s="107">
        <v>2</v>
      </c>
      <c r="S4153" s="43">
        <v>219059</v>
      </c>
      <c r="T4153" s="74">
        <v>43599</v>
      </c>
    </row>
    <row r="4154" spans="1:20" x14ac:dyDescent="0.3">
      <c r="A4154" s="42">
        <v>43614</v>
      </c>
      <c r="B4154" s="37">
        <f t="shared" si="127"/>
        <v>20190529</v>
      </c>
      <c r="C4154" s="109">
        <v>1.7500000000000002E-2</v>
      </c>
      <c r="D4154" s="109">
        <v>0.01</v>
      </c>
      <c r="E4154" s="109">
        <v>1.0999999999999999E-2</v>
      </c>
      <c r="F4154" s="109">
        <v>1.0999999999999999E-2</v>
      </c>
      <c r="G4154" s="130">
        <v>0</v>
      </c>
      <c r="H4154" s="71">
        <v>8.6</v>
      </c>
      <c r="I4154" s="71">
        <v>11.2</v>
      </c>
      <c r="J4154" s="71">
        <v>13.8</v>
      </c>
      <c r="K4154" s="121">
        <v>4.4000000000000003E-3</v>
      </c>
      <c r="L4154" s="121">
        <v>-7.0000000000000001E-3</v>
      </c>
      <c r="M4154" s="75" t="s">
        <v>146</v>
      </c>
      <c r="N4154" s="75" t="b">
        <v>1</v>
      </c>
      <c r="O4154" s="75" t="s">
        <v>145</v>
      </c>
      <c r="P4154" s="75">
        <v>2014</v>
      </c>
      <c r="Q4154" s="107">
        <f t="shared" si="128"/>
        <v>2019</v>
      </c>
      <c r="R4154" s="107">
        <v>2</v>
      </c>
      <c r="S4154" s="43">
        <v>219059</v>
      </c>
      <c r="T4154" s="74">
        <v>43599</v>
      </c>
    </row>
    <row r="4155" spans="1:20" x14ac:dyDescent="0.3">
      <c r="A4155" s="42">
        <v>43615</v>
      </c>
      <c r="B4155" s="37">
        <f t="shared" si="127"/>
        <v>20190530</v>
      </c>
      <c r="C4155" s="109">
        <v>1.7399999999999999E-2</v>
      </c>
      <c r="D4155" s="109">
        <v>0.01</v>
      </c>
      <c r="E4155" s="109">
        <v>1.0999999999999999E-2</v>
      </c>
      <c r="F4155" s="109">
        <v>1.0999999999999999E-2</v>
      </c>
      <c r="G4155" s="130">
        <v>0</v>
      </c>
      <c r="H4155" s="71">
        <v>8.6</v>
      </c>
      <c r="I4155" s="71">
        <v>11.2</v>
      </c>
      <c r="J4155" s="71">
        <v>13.8</v>
      </c>
      <c r="K4155" s="121">
        <v>4.4000000000000003E-3</v>
      </c>
      <c r="L4155" s="121">
        <v>-7.0000000000000001E-3</v>
      </c>
      <c r="M4155" s="75" t="s">
        <v>146</v>
      </c>
      <c r="N4155" s="75" t="b">
        <v>1</v>
      </c>
      <c r="O4155" s="75" t="s">
        <v>145</v>
      </c>
      <c r="P4155" s="75">
        <v>2014</v>
      </c>
      <c r="Q4155" s="107">
        <f t="shared" si="128"/>
        <v>2019</v>
      </c>
      <c r="R4155" s="107">
        <v>2</v>
      </c>
      <c r="S4155" s="43">
        <v>219059</v>
      </c>
      <c r="T4155" s="74">
        <v>43599</v>
      </c>
    </row>
    <row r="4156" spans="1:20" x14ac:dyDescent="0.3">
      <c r="A4156" s="42">
        <v>43616</v>
      </c>
      <c r="B4156" s="37">
        <f t="shared" si="127"/>
        <v>20190531</v>
      </c>
      <c r="C4156" s="109">
        <v>1.6799999999999999E-2</v>
      </c>
      <c r="D4156" s="109">
        <v>0.01</v>
      </c>
      <c r="E4156" s="109">
        <v>1.0999999999999999E-2</v>
      </c>
      <c r="F4156" s="109">
        <v>1.0999999999999999E-2</v>
      </c>
      <c r="G4156" s="130">
        <v>0</v>
      </c>
      <c r="H4156" s="71">
        <v>8.6</v>
      </c>
      <c r="I4156" s="71">
        <v>11.2</v>
      </c>
      <c r="J4156" s="71">
        <v>13.8</v>
      </c>
      <c r="K4156" s="121">
        <v>4.0000000000000001E-3</v>
      </c>
      <c r="L4156" s="121">
        <v>-7.0000000000000001E-3</v>
      </c>
      <c r="M4156" s="75" t="s">
        <v>146</v>
      </c>
      <c r="N4156" s="75" t="b">
        <v>1</v>
      </c>
      <c r="O4156" s="75" t="s">
        <v>145</v>
      </c>
      <c r="P4156" s="75">
        <v>2014</v>
      </c>
      <c r="Q4156" s="107">
        <f t="shared" si="128"/>
        <v>2019</v>
      </c>
      <c r="R4156" s="107">
        <v>2</v>
      </c>
      <c r="S4156" s="43">
        <v>219059</v>
      </c>
      <c r="T4156" s="74">
        <v>43599</v>
      </c>
    </row>
    <row r="4157" spans="1:20" x14ac:dyDescent="0.3">
      <c r="A4157" s="42">
        <v>43617</v>
      </c>
      <c r="B4157" s="37">
        <f>YEAR(A4157)*10000+MONTH(A4157)*100+DAY(A4157)</f>
        <v>20190601</v>
      </c>
      <c r="C4157" s="109">
        <v>1.6799999999999999E-2</v>
      </c>
      <c r="D4157" s="109">
        <v>0.01</v>
      </c>
      <c r="E4157" s="109">
        <v>1.0999999999999999E-2</v>
      </c>
      <c r="F4157" s="109">
        <v>1.0999999999999999E-2</v>
      </c>
      <c r="G4157" s="130">
        <v>0</v>
      </c>
      <c r="H4157" s="71">
        <v>8.6</v>
      </c>
      <c r="I4157" s="71">
        <v>11.2</v>
      </c>
      <c r="J4157" s="71">
        <v>13.8</v>
      </c>
      <c r="K4157" s="121">
        <v>4.0000000000000001E-3</v>
      </c>
      <c r="L4157" s="121">
        <v>-7.0000000000000001E-3</v>
      </c>
      <c r="M4157" s="75" t="s">
        <v>146</v>
      </c>
      <c r="N4157" s="75" t="b">
        <v>1</v>
      </c>
      <c r="O4157" s="75" t="s">
        <v>145</v>
      </c>
      <c r="P4157" s="75">
        <v>2014</v>
      </c>
      <c r="Q4157" s="107">
        <f t="shared" si="128"/>
        <v>2019</v>
      </c>
      <c r="R4157" s="107">
        <v>2</v>
      </c>
      <c r="S4157" s="43">
        <v>219059</v>
      </c>
      <c r="T4157" s="74">
        <v>43599</v>
      </c>
    </row>
    <row r="4158" spans="1:20" x14ac:dyDescent="0.3">
      <c r="A4158" s="42">
        <v>43618</v>
      </c>
      <c r="B4158" s="37">
        <f>YEAR(A4158)*10000+MONTH(A4158)*100+DAY(A4158)</f>
        <v>20190602</v>
      </c>
      <c r="C4158" s="109">
        <v>1.6799999999999999E-2</v>
      </c>
      <c r="D4158" s="109">
        <v>0.01</v>
      </c>
      <c r="E4158" s="109">
        <v>1.0999999999999999E-2</v>
      </c>
      <c r="F4158" s="109">
        <v>1.0999999999999999E-2</v>
      </c>
      <c r="G4158" s="130">
        <v>0</v>
      </c>
      <c r="H4158" s="71">
        <v>8.6</v>
      </c>
      <c r="I4158" s="71">
        <v>11.2</v>
      </c>
      <c r="J4158" s="71">
        <v>13.8</v>
      </c>
      <c r="K4158" s="121">
        <v>4.0000000000000001E-3</v>
      </c>
      <c r="L4158" s="121">
        <v>-7.0000000000000001E-3</v>
      </c>
      <c r="M4158" s="75" t="s">
        <v>146</v>
      </c>
      <c r="N4158" s="75" t="b">
        <v>1</v>
      </c>
      <c r="O4158" s="75" t="s">
        <v>145</v>
      </c>
      <c r="P4158" s="75">
        <v>2014</v>
      </c>
      <c r="Q4158" s="107">
        <f t="shared" si="128"/>
        <v>2019</v>
      </c>
      <c r="R4158" s="107">
        <v>2</v>
      </c>
      <c r="S4158" s="43">
        <v>219059</v>
      </c>
      <c r="T4158" s="74">
        <v>43599</v>
      </c>
    </row>
    <row r="4159" spans="1:20" x14ac:dyDescent="0.3">
      <c r="A4159" s="42">
        <v>43619</v>
      </c>
      <c r="B4159" s="37">
        <f t="shared" si="127"/>
        <v>20190603</v>
      </c>
      <c r="C4159" s="109">
        <v>1.67E-2</v>
      </c>
      <c r="D4159" s="109">
        <v>0.01</v>
      </c>
      <c r="E4159" s="109">
        <v>1.0999999999999999E-2</v>
      </c>
      <c r="F4159" s="109">
        <v>1.0999999999999999E-2</v>
      </c>
      <c r="G4159" s="130">
        <v>0</v>
      </c>
      <c r="H4159" s="71">
        <v>8.6</v>
      </c>
      <c r="I4159" s="71">
        <v>11.2</v>
      </c>
      <c r="J4159" s="71">
        <v>13.8</v>
      </c>
      <c r="K4159" s="121">
        <v>3.4999999999999996E-3</v>
      </c>
      <c r="L4159" s="121">
        <v>-7.0000000000000001E-3</v>
      </c>
      <c r="M4159" s="75" t="s">
        <v>146</v>
      </c>
      <c r="N4159" s="75" t="b">
        <v>1</v>
      </c>
      <c r="O4159" s="75" t="s">
        <v>145</v>
      </c>
      <c r="P4159" s="75">
        <v>2014</v>
      </c>
      <c r="Q4159" s="107">
        <f t="shared" si="128"/>
        <v>2019</v>
      </c>
      <c r="R4159" s="107">
        <v>2</v>
      </c>
      <c r="S4159" s="43">
        <v>219059</v>
      </c>
      <c r="T4159" s="74">
        <v>43599</v>
      </c>
    </row>
    <row r="4160" spans="1:20" x14ac:dyDescent="0.3">
      <c r="A4160" s="42">
        <v>43620</v>
      </c>
      <c r="B4160" s="37">
        <f t="shared" si="127"/>
        <v>20190604</v>
      </c>
      <c r="C4160" s="109">
        <v>1.7100000000000001E-2</v>
      </c>
      <c r="D4160" s="109">
        <v>0.01</v>
      </c>
      <c r="E4160" s="109">
        <v>1.0999999999999999E-2</v>
      </c>
      <c r="F4160" s="109">
        <v>1.0999999999999999E-2</v>
      </c>
      <c r="G4160" s="130">
        <v>0</v>
      </c>
      <c r="H4160" s="71">
        <v>8.6</v>
      </c>
      <c r="I4160" s="71">
        <v>11.2</v>
      </c>
      <c r="J4160" s="71">
        <v>13.8</v>
      </c>
      <c r="K4160" s="121">
        <v>3.7000000000000002E-3</v>
      </c>
      <c r="L4160" s="121">
        <v>-7.0000000000000001E-3</v>
      </c>
      <c r="M4160" s="75" t="s">
        <v>146</v>
      </c>
      <c r="N4160" s="75" t="b">
        <v>1</v>
      </c>
      <c r="O4160" s="75" t="s">
        <v>145</v>
      </c>
      <c r="P4160" s="75">
        <v>2014</v>
      </c>
      <c r="Q4160" s="107">
        <f t="shared" si="128"/>
        <v>2019</v>
      </c>
      <c r="R4160" s="107">
        <v>2</v>
      </c>
      <c r="S4160" s="43">
        <v>219059</v>
      </c>
      <c r="T4160" s="74">
        <v>43599</v>
      </c>
    </row>
    <row r="4161" spans="1:20" x14ac:dyDescent="0.3">
      <c r="A4161" s="42">
        <v>43621</v>
      </c>
      <c r="B4161" s="37">
        <f t="shared" si="127"/>
        <v>20190605</v>
      </c>
      <c r="C4161" s="109">
        <v>1.7000000000000001E-2</v>
      </c>
      <c r="D4161" s="109">
        <v>0.01</v>
      </c>
      <c r="E4161" s="109">
        <v>1.0999999999999999E-2</v>
      </c>
      <c r="F4161" s="109">
        <v>1.0999999999999999E-2</v>
      </c>
      <c r="G4161" s="130">
        <v>0</v>
      </c>
      <c r="H4161" s="71">
        <v>8.6</v>
      </c>
      <c r="I4161" s="71">
        <v>11.2</v>
      </c>
      <c r="J4161" s="71">
        <v>13.8</v>
      </c>
      <c r="K4161" s="121">
        <v>3.5999999999999999E-3</v>
      </c>
      <c r="L4161" s="121">
        <v>-7.0000000000000001E-3</v>
      </c>
      <c r="M4161" s="75" t="s">
        <v>146</v>
      </c>
      <c r="N4161" s="75" t="b">
        <v>1</v>
      </c>
      <c r="O4161" s="75" t="s">
        <v>145</v>
      </c>
      <c r="P4161" s="75">
        <v>2014</v>
      </c>
      <c r="Q4161" s="107">
        <f t="shared" si="128"/>
        <v>2019</v>
      </c>
      <c r="R4161" s="107">
        <v>2</v>
      </c>
      <c r="S4161" s="43">
        <v>219059</v>
      </c>
      <c r="T4161" s="74">
        <v>43599</v>
      </c>
    </row>
    <row r="4162" spans="1:20" x14ac:dyDescent="0.3">
      <c r="A4162" s="42">
        <v>43622</v>
      </c>
      <c r="B4162" s="37">
        <f t="shared" si="127"/>
        <v>20190606</v>
      </c>
      <c r="C4162" s="109">
        <v>1.7100000000000001E-2</v>
      </c>
      <c r="D4162" s="109">
        <v>0.01</v>
      </c>
      <c r="E4162" s="109">
        <v>1.0999999999999999E-2</v>
      </c>
      <c r="F4162" s="109">
        <v>1.0999999999999999E-2</v>
      </c>
      <c r="G4162" s="130">
        <v>0</v>
      </c>
      <c r="H4162" s="71">
        <v>8.6</v>
      </c>
      <c r="I4162" s="71">
        <v>11.2</v>
      </c>
      <c r="J4162" s="71">
        <v>13.8</v>
      </c>
      <c r="K4162" s="121">
        <v>3.7000000000000002E-3</v>
      </c>
      <c r="L4162" s="121">
        <v>-7.0000000000000001E-3</v>
      </c>
      <c r="M4162" s="75" t="s">
        <v>146</v>
      </c>
      <c r="N4162" s="75" t="b">
        <v>1</v>
      </c>
      <c r="O4162" s="75" t="s">
        <v>145</v>
      </c>
      <c r="P4162" s="75">
        <v>2014</v>
      </c>
      <c r="Q4162" s="107">
        <f t="shared" si="128"/>
        <v>2019</v>
      </c>
      <c r="R4162" s="107">
        <v>2</v>
      </c>
      <c r="S4162" s="43">
        <v>219059</v>
      </c>
      <c r="T4162" s="74">
        <v>43599</v>
      </c>
    </row>
    <row r="4163" spans="1:20" x14ac:dyDescent="0.3">
      <c r="A4163" s="42">
        <v>43623</v>
      </c>
      <c r="B4163" s="37">
        <f t="shared" si="127"/>
        <v>20190607</v>
      </c>
      <c r="C4163" s="109">
        <v>1.6899999999999998E-2</v>
      </c>
      <c r="D4163" s="109">
        <v>0.01</v>
      </c>
      <c r="E4163" s="109">
        <v>1.0999999999999999E-2</v>
      </c>
      <c r="F4163" s="109">
        <v>1.0999999999999999E-2</v>
      </c>
      <c r="G4163" s="130">
        <v>0</v>
      </c>
      <c r="H4163" s="71">
        <v>8.6</v>
      </c>
      <c r="I4163" s="71">
        <v>11.2</v>
      </c>
      <c r="J4163" s="71">
        <v>13.8</v>
      </c>
      <c r="K4163" s="121">
        <v>3.4999999999999996E-3</v>
      </c>
      <c r="L4163" s="121">
        <v>-7.0000000000000001E-3</v>
      </c>
      <c r="M4163" s="75" t="s">
        <v>146</v>
      </c>
      <c r="N4163" s="75" t="b">
        <v>1</v>
      </c>
      <c r="O4163" s="75" t="s">
        <v>145</v>
      </c>
      <c r="P4163" s="75">
        <v>2014</v>
      </c>
      <c r="Q4163" s="107">
        <f t="shared" si="128"/>
        <v>2019</v>
      </c>
      <c r="R4163" s="107">
        <v>2</v>
      </c>
      <c r="S4163" s="43">
        <v>219059</v>
      </c>
      <c r="T4163" s="74">
        <v>43599</v>
      </c>
    </row>
    <row r="4164" spans="1:20" x14ac:dyDescent="0.3">
      <c r="A4164" s="42">
        <v>43624</v>
      </c>
      <c r="B4164" s="37">
        <f>YEAR(A4164)*10000+MONTH(A4164)*100+DAY(A4164)</f>
        <v>20190608</v>
      </c>
      <c r="C4164" s="109">
        <v>1.6899999999999998E-2</v>
      </c>
      <c r="D4164" s="109">
        <v>0.01</v>
      </c>
      <c r="E4164" s="109">
        <v>1.0999999999999999E-2</v>
      </c>
      <c r="F4164" s="109">
        <v>1.0999999999999999E-2</v>
      </c>
      <c r="G4164" s="130">
        <v>0</v>
      </c>
      <c r="H4164" s="71">
        <v>8.6</v>
      </c>
      <c r="I4164" s="71">
        <v>11.2</v>
      </c>
      <c r="J4164" s="71">
        <v>13.8</v>
      </c>
      <c r="K4164" s="121">
        <v>3.4999999999999996E-3</v>
      </c>
      <c r="L4164" s="121">
        <v>-7.0000000000000001E-3</v>
      </c>
      <c r="M4164" s="75" t="s">
        <v>146</v>
      </c>
      <c r="N4164" s="75" t="b">
        <v>1</v>
      </c>
      <c r="O4164" s="75" t="s">
        <v>145</v>
      </c>
      <c r="P4164" s="75">
        <v>2014</v>
      </c>
      <c r="Q4164" s="107">
        <f t="shared" si="128"/>
        <v>2019</v>
      </c>
      <c r="R4164" s="107">
        <v>2</v>
      </c>
      <c r="S4164" s="43">
        <v>219059</v>
      </c>
      <c r="T4164" s="74">
        <v>43599</v>
      </c>
    </row>
    <row r="4165" spans="1:20" x14ac:dyDescent="0.3">
      <c r="A4165" s="42">
        <v>43625</v>
      </c>
      <c r="B4165" s="37">
        <f>YEAR(A4165)*10000+MONTH(A4165)*100+DAY(A4165)</f>
        <v>20190609</v>
      </c>
      <c r="C4165" s="109">
        <v>1.6899999999999998E-2</v>
      </c>
      <c r="D4165" s="109">
        <v>0.01</v>
      </c>
      <c r="E4165" s="109">
        <v>1.0999999999999999E-2</v>
      </c>
      <c r="F4165" s="109">
        <v>1.0999999999999999E-2</v>
      </c>
      <c r="G4165" s="130">
        <v>0</v>
      </c>
      <c r="H4165" s="71">
        <v>8.6</v>
      </c>
      <c r="I4165" s="71">
        <v>11.2</v>
      </c>
      <c r="J4165" s="71">
        <v>13.8</v>
      </c>
      <c r="K4165" s="121">
        <v>3.4999999999999996E-3</v>
      </c>
      <c r="L4165" s="121">
        <v>-7.0000000000000001E-3</v>
      </c>
      <c r="M4165" s="75" t="s">
        <v>146</v>
      </c>
      <c r="N4165" s="75" t="b">
        <v>1</v>
      </c>
      <c r="O4165" s="75" t="s">
        <v>145</v>
      </c>
      <c r="P4165" s="75">
        <v>2014</v>
      </c>
      <c r="Q4165" s="107">
        <f t="shared" si="128"/>
        <v>2019</v>
      </c>
      <c r="R4165" s="107">
        <v>2</v>
      </c>
      <c r="S4165" s="43">
        <v>219059</v>
      </c>
      <c r="T4165" s="74">
        <v>43599</v>
      </c>
    </row>
    <row r="4166" spans="1:20" x14ac:dyDescent="0.3">
      <c r="A4166" s="42">
        <v>43626</v>
      </c>
      <c r="B4166" s="37">
        <f t="shared" si="127"/>
        <v>20190610</v>
      </c>
      <c r="C4166" s="109">
        <v>1.7299999999999999E-2</v>
      </c>
      <c r="D4166" s="109">
        <v>0.01</v>
      </c>
      <c r="E4166" s="109">
        <v>1.0999999999999999E-2</v>
      </c>
      <c r="F4166" s="109">
        <v>1.0999999999999999E-2</v>
      </c>
      <c r="G4166" s="130">
        <v>0</v>
      </c>
      <c r="H4166" s="71">
        <v>8.6</v>
      </c>
      <c r="I4166" s="71">
        <v>11.2</v>
      </c>
      <c r="J4166" s="71">
        <v>13.8</v>
      </c>
      <c r="K4166" s="121">
        <v>3.9000000000000003E-3</v>
      </c>
      <c r="L4166" s="121">
        <v>-7.0000000000000001E-3</v>
      </c>
      <c r="M4166" s="75" t="s">
        <v>146</v>
      </c>
      <c r="N4166" s="75" t="b">
        <v>1</v>
      </c>
      <c r="O4166" s="75" t="s">
        <v>145</v>
      </c>
      <c r="P4166" s="75">
        <v>2014</v>
      </c>
      <c r="Q4166" s="107">
        <f t="shared" si="128"/>
        <v>2019</v>
      </c>
      <c r="R4166" s="107">
        <v>2</v>
      </c>
      <c r="S4166" s="43">
        <v>219059</v>
      </c>
      <c r="T4166" s="74">
        <v>43599</v>
      </c>
    </row>
    <row r="4167" spans="1:20" x14ac:dyDescent="0.3">
      <c r="A4167" s="42">
        <v>43627</v>
      </c>
      <c r="B4167" s="37">
        <f t="shared" si="127"/>
        <v>20190611</v>
      </c>
      <c r="C4167" s="109">
        <v>1.7500000000000002E-2</v>
      </c>
      <c r="D4167" s="109">
        <v>0.01</v>
      </c>
      <c r="E4167" s="109">
        <v>1.0999999999999999E-2</v>
      </c>
      <c r="F4167" s="109">
        <v>1.0999999999999999E-2</v>
      </c>
      <c r="G4167" s="130">
        <v>0</v>
      </c>
      <c r="H4167" s="71">
        <v>8.6</v>
      </c>
      <c r="I4167" s="71">
        <v>11.2</v>
      </c>
      <c r="J4167" s="71">
        <v>13.8</v>
      </c>
      <c r="K4167" s="121">
        <v>4.0000000000000001E-3</v>
      </c>
      <c r="L4167" s="121">
        <v>-7.0000000000000001E-3</v>
      </c>
      <c r="M4167" s="75" t="s">
        <v>146</v>
      </c>
      <c r="N4167" s="75" t="b">
        <v>1</v>
      </c>
      <c r="O4167" s="75" t="s">
        <v>145</v>
      </c>
      <c r="P4167" s="75">
        <v>2014</v>
      </c>
      <c r="Q4167" s="107">
        <f t="shared" si="128"/>
        <v>2019</v>
      </c>
      <c r="R4167" s="107">
        <v>2</v>
      </c>
      <c r="S4167" s="43">
        <v>219059</v>
      </c>
      <c r="T4167" s="74">
        <v>43599</v>
      </c>
    </row>
    <row r="4168" spans="1:20" x14ac:dyDescent="0.3">
      <c r="A4168" s="42">
        <v>43628</v>
      </c>
      <c r="B4168" s="37">
        <f t="shared" si="127"/>
        <v>20190612</v>
      </c>
      <c r="C4168" s="109">
        <v>1.72E-2</v>
      </c>
      <c r="D4168" s="109">
        <v>0.01</v>
      </c>
      <c r="E4168" s="109">
        <v>1.0999999999999999E-2</v>
      </c>
      <c r="F4168" s="109">
        <v>1.0999999999999999E-2</v>
      </c>
      <c r="G4168" s="130">
        <v>0</v>
      </c>
      <c r="H4168" s="71">
        <v>8.6</v>
      </c>
      <c r="I4168" s="71">
        <v>11.2</v>
      </c>
      <c r="J4168" s="71">
        <v>13.8</v>
      </c>
      <c r="K4168" s="121">
        <v>3.8E-3</v>
      </c>
      <c r="L4168" s="121">
        <v>-7.0000000000000001E-3</v>
      </c>
      <c r="M4168" s="75" t="s">
        <v>146</v>
      </c>
      <c r="N4168" s="75" t="b">
        <v>1</v>
      </c>
      <c r="O4168" s="75" t="s">
        <v>145</v>
      </c>
      <c r="P4168" s="75">
        <v>2014</v>
      </c>
      <c r="Q4168" s="107">
        <f t="shared" si="128"/>
        <v>2019</v>
      </c>
      <c r="R4168" s="107">
        <v>2</v>
      </c>
      <c r="S4168" s="43">
        <v>219059</v>
      </c>
      <c r="T4168" s="74">
        <v>43599</v>
      </c>
    </row>
    <row r="4169" spans="1:20" x14ac:dyDescent="0.3">
      <c r="A4169" s="42">
        <v>43629</v>
      </c>
      <c r="B4169" s="37">
        <f t="shared" si="127"/>
        <v>20190613</v>
      </c>
      <c r="C4169" s="109">
        <v>1.6899999999999998E-2</v>
      </c>
      <c r="D4169" s="109">
        <v>0.01</v>
      </c>
      <c r="E4169" s="109">
        <v>1.0999999999999999E-2</v>
      </c>
      <c r="F4169" s="109">
        <v>1.0999999999999999E-2</v>
      </c>
      <c r="G4169" s="130">
        <v>0</v>
      </c>
      <c r="H4169" s="71">
        <v>8.6</v>
      </c>
      <c r="I4169" s="71">
        <v>11.2</v>
      </c>
      <c r="J4169" s="71">
        <v>13.8</v>
      </c>
      <c r="K4169" s="121">
        <v>3.4999999999999996E-3</v>
      </c>
      <c r="L4169" s="121">
        <v>-7.0000000000000001E-3</v>
      </c>
      <c r="M4169" s="75" t="s">
        <v>146</v>
      </c>
      <c r="N4169" s="75" t="b">
        <v>1</v>
      </c>
      <c r="O4169" s="75" t="s">
        <v>145</v>
      </c>
      <c r="P4169" s="75">
        <v>2014</v>
      </c>
      <c r="Q4169" s="107">
        <f t="shared" si="128"/>
        <v>2019</v>
      </c>
      <c r="R4169" s="107">
        <v>2</v>
      </c>
      <c r="S4169" s="43">
        <v>219059</v>
      </c>
      <c r="T4169" s="74">
        <v>43599</v>
      </c>
    </row>
    <row r="4170" spans="1:20" x14ac:dyDescent="0.3">
      <c r="A4170" s="42">
        <v>43630</v>
      </c>
      <c r="B4170" s="37">
        <f t="shared" si="127"/>
        <v>20190614</v>
      </c>
      <c r="C4170" s="109">
        <v>1.67E-2</v>
      </c>
      <c r="D4170" s="109">
        <v>0.01</v>
      </c>
      <c r="E4170" s="109">
        <v>1.0999999999999999E-2</v>
      </c>
      <c r="F4170" s="109">
        <v>1.0999999999999999E-2</v>
      </c>
      <c r="G4170" s="130">
        <v>0</v>
      </c>
      <c r="H4170" s="71">
        <v>8.6</v>
      </c>
      <c r="I4170" s="71">
        <v>11.2</v>
      </c>
      <c r="J4170" s="71">
        <v>13.8</v>
      </c>
      <c r="K4170" s="121">
        <v>3.4999999999999996E-3</v>
      </c>
      <c r="L4170" s="121">
        <v>-7.0000000000000001E-3</v>
      </c>
      <c r="M4170" s="75" t="s">
        <v>146</v>
      </c>
      <c r="N4170" s="75" t="b">
        <v>1</v>
      </c>
      <c r="O4170" s="75" t="s">
        <v>145</v>
      </c>
      <c r="P4170" s="75">
        <v>2014</v>
      </c>
      <c r="Q4170" s="107">
        <f t="shared" si="128"/>
        <v>2019</v>
      </c>
      <c r="R4170" s="107">
        <v>2</v>
      </c>
      <c r="S4170" s="43">
        <v>219059</v>
      </c>
      <c r="T4170" s="74">
        <v>43599</v>
      </c>
    </row>
    <row r="4171" spans="1:20" x14ac:dyDescent="0.3">
      <c r="A4171" s="42">
        <v>43631</v>
      </c>
      <c r="B4171" s="37">
        <f>YEAR(A4171)*10000+MONTH(A4171)*100+DAY(A4171)</f>
        <v>20190615</v>
      </c>
      <c r="C4171" s="109">
        <v>1.67E-2</v>
      </c>
      <c r="D4171" s="109">
        <v>0.01</v>
      </c>
      <c r="E4171" s="109">
        <v>1.0999999999999999E-2</v>
      </c>
      <c r="F4171" s="109">
        <v>1.0999999999999999E-2</v>
      </c>
      <c r="G4171" s="130">
        <v>0</v>
      </c>
      <c r="H4171" s="71">
        <v>8.6</v>
      </c>
      <c r="I4171" s="71">
        <v>11.2</v>
      </c>
      <c r="J4171" s="71">
        <v>13.8</v>
      </c>
      <c r="K4171" s="121">
        <v>3.4999999999999996E-3</v>
      </c>
      <c r="L4171" s="121">
        <v>-7.0000000000000001E-3</v>
      </c>
      <c r="M4171" s="75" t="s">
        <v>146</v>
      </c>
      <c r="N4171" s="75" t="b">
        <v>1</v>
      </c>
      <c r="O4171" s="75" t="s">
        <v>145</v>
      </c>
      <c r="P4171" s="75">
        <v>2014</v>
      </c>
      <c r="Q4171" s="107">
        <f t="shared" si="128"/>
        <v>2019</v>
      </c>
      <c r="R4171" s="107">
        <v>2</v>
      </c>
      <c r="S4171" s="43">
        <v>219059</v>
      </c>
      <c r="T4171" s="74">
        <v>43599</v>
      </c>
    </row>
    <row r="4172" spans="1:20" x14ac:dyDescent="0.3">
      <c r="A4172" s="42">
        <v>43632</v>
      </c>
      <c r="B4172" s="37">
        <f>YEAR(A4172)*10000+MONTH(A4172)*100+DAY(A4172)</f>
        <v>20190616</v>
      </c>
      <c r="C4172" s="109">
        <v>1.67E-2</v>
      </c>
      <c r="D4172" s="109">
        <v>0.01</v>
      </c>
      <c r="E4172" s="109">
        <v>1.0999999999999999E-2</v>
      </c>
      <c r="F4172" s="109">
        <v>1.0999999999999999E-2</v>
      </c>
      <c r="G4172" s="130">
        <v>0</v>
      </c>
      <c r="H4172" s="71">
        <v>8.6</v>
      </c>
      <c r="I4172" s="71">
        <v>11.2</v>
      </c>
      <c r="J4172" s="71">
        <v>13.8</v>
      </c>
      <c r="K4172" s="121">
        <v>3.4999999999999996E-3</v>
      </c>
      <c r="L4172" s="121">
        <v>-7.0000000000000001E-3</v>
      </c>
      <c r="M4172" s="75" t="s">
        <v>146</v>
      </c>
      <c r="N4172" s="75" t="b">
        <v>1</v>
      </c>
      <c r="O4172" s="75" t="s">
        <v>145</v>
      </c>
      <c r="P4172" s="75">
        <v>2014</v>
      </c>
      <c r="Q4172" s="107">
        <f t="shared" si="128"/>
        <v>2019</v>
      </c>
      <c r="R4172" s="107">
        <v>2</v>
      </c>
      <c r="S4172" s="43">
        <v>219059</v>
      </c>
      <c r="T4172" s="74">
        <v>43599</v>
      </c>
    </row>
    <row r="4173" spans="1:20" x14ac:dyDescent="0.3">
      <c r="A4173" s="42">
        <v>43633</v>
      </c>
      <c r="B4173" s="37">
        <f t="shared" si="127"/>
        <v>20190617</v>
      </c>
      <c r="C4173" s="109">
        <v>1.66E-2</v>
      </c>
      <c r="D4173" s="109">
        <v>0.01</v>
      </c>
      <c r="E4173" s="109">
        <v>1.0999999999999999E-2</v>
      </c>
      <c r="F4173" s="109">
        <v>1.0999999999999999E-2</v>
      </c>
      <c r="G4173" s="130">
        <v>0</v>
      </c>
      <c r="H4173" s="71">
        <v>8.6</v>
      </c>
      <c r="I4173" s="71">
        <v>11.2</v>
      </c>
      <c r="J4173" s="71">
        <v>13.8</v>
      </c>
      <c r="K4173" s="121">
        <v>3.4999999999999996E-3</v>
      </c>
      <c r="L4173" s="121">
        <v>-7.0000000000000001E-3</v>
      </c>
      <c r="M4173" s="75" t="s">
        <v>146</v>
      </c>
      <c r="N4173" s="75" t="b">
        <v>1</v>
      </c>
      <c r="O4173" s="75" t="s">
        <v>145</v>
      </c>
      <c r="P4173" s="75">
        <v>2014</v>
      </c>
      <c r="Q4173" s="107">
        <f t="shared" si="128"/>
        <v>2019</v>
      </c>
      <c r="R4173" s="107">
        <v>2</v>
      </c>
      <c r="S4173" s="43">
        <v>219059</v>
      </c>
      <c r="T4173" s="74">
        <v>43599</v>
      </c>
    </row>
    <row r="4174" spans="1:20" x14ac:dyDescent="0.3">
      <c r="A4174" s="42">
        <v>43634</v>
      </c>
      <c r="B4174" s="37">
        <f t="shared" si="127"/>
        <v>20190618</v>
      </c>
      <c r="C4174" s="109">
        <v>1.6399999999999998E-2</v>
      </c>
      <c r="D4174" s="109">
        <v>0.01</v>
      </c>
      <c r="E4174" s="109">
        <v>1.0999999999999999E-2</v>
      </c>
      <c r="F4174" s="109">
        <v>1.0999999999999999E-2</v>
      </c>
      <c r="G4174" s="130">
        <v>0</v>
      </c>
      <c r="H4174" s="71">
        <v>8.6</v>
      </c>
      <c r="I4174" s="71">
        <v>11.2</v>
      </c>
      <c r="J4174" s="71">
        <v>13.8</v>
      </c>
      <c r="K4174" s="121">
        <v>3.3E-3</v>
      </c>
      <c r="L4174" s="121">
        <v>-7.0000000000000001E-3</v>
      </c>
      <c r="M4174" s="75" t="s">
        <v>146</v>
      </c>
      <c r="N4174" s="75" t="b">
        <v>1</v>
      </c>
      <c r="O4174" s="75" t="s">
        <v>145</v>
      </c>
      <c r="P4174" s="75">
        <v>2014</v>
      </c>
      <c r="Q4174" s="107">
        <f t="shared" si="128"/>
        <v>2019</v>
      </c>
      <c r="R4174" s="107">
        <v>2</v>
      </c>
      <c r="S4174" s="43">
        <v>219059</v>
      </c>
      <c r="T4174" s="74">
        <v>43599</v>
      </c>
    </row>
    <row r="4175" spans="1:20" x14ac:dyDescent="0.3">
      <c r="A4175" s="42">
        <v>43635</v>
      </c>
      <c r="B4175" s="37">
        <f t="shared" si="127"/>
        <v>20190619</v>
      </c>
      <c r="C4175" s="109">
        <v>1.6500000000000001E-2</v>
      </c>
      <c r="D4175" s="109">
        <v>0.01</v>
      </c>
      <c r="E4175" s="109">
        <v>1.0999999999999999E-2</v>
      </c>
      <c r="F4175" s="109">
        <v>1.0999999999999999E-2</v>
      </c>
      <c r="G4175" s="130">
        <v>0</v>
      </c>
      <c r="H4175" s="71">
        <v>8.6</v>
      </c>
      <c r="I4175" s="71">
        <v>11.2</v>
      </c>
      <c r="J4175" s="71">
        <v>13.8</v>
      </c>
      <c r="K4175" s="121">
        <v>3.2000000000000002E-3</v>
      </c>
      <c r="L4175" s="121">
        <v>-7.0000000000000001E-3</v>
      </c>
      <c r="M4175" s="75" t="s">
        <v>146</v>
      </c>
      <c r="N4175" s="75" t="b">
        <v>1</v>
      </c>
      <c r="O4175" s="75" t="s">
        <v>145</v>
      </c>
      <c r="P4175" s="75">
        <v>2014</v>
      </c>
      <c r="Q4175" s="107">
        <f t="shared" si="128"/>
        <v>2019</v>
      </c>
      <c r="R4175" s="107">
        <v>2</v>
      </c>
      <c r="S4175" s="43">
        <v>219059</v>
      </c>
      <c r="T4175" s="74">
        <v>43599</v>
      </c>
    </row>
    <row r="4176" spans="1:20" x14ac:dyDescent="0.3">
      <c r="A4176" s="42">
        <v>43636</v>
      </c>
      <c r="B4176" s="37">
        <f t="shared" si="127"/>
        <v>20190620</v>
      </c>
      <c r="C4176" s="109">
        <v>1.67E-2</v>
      </c>
      <c r="D4176" s="109">
        <v>0.01</v>
      </c>
      <c r="E4176" s="109">
        <v>1.0999999999999999E-2</v>
      </c>
      <c r="F4176" s="109">
        <v>1.0999999999999999E-2</v>
      </c>
      <c r="G4176" s="130">
        <v>0</v>
      </c>
      <c r="H4176" s="71">
        <v>8.6</v>
      </c>
      <c r="I4176" s="71">
        <v>11.2</v>
      </c>
      <c r="J4176" s="71">
        <v>13.8</v>
      </c>
      <c r="K4176" s="121">
        <v>3.0999999999999999E-3</v>
      </c>
      <c r="L4176" s="121">
        <v>-7.0000000000000001E-3</v>
      </c>
      <c r="M4176" s="75" t="s">
        <v>146</v>
      </c>
      <c r="N4176" s="75" t="b">
        <v>1</v>
      </c>
      <c r="O4176" s="75" t="s">
        <v>145</v>
      </c>
      <c r="P4176" s="75">
        <v>2014</v>
      </c>
      <c r="Q4176" s="107">
        <f t="shared" si="128"/>
        <v>2019</v>
      </c>
      <c r="R4176" s="107">
        <v>2</v>
      </c>
      <c r="S4176" s="43">
        <v>219059</v>
      </c>
      <c r="T4176" s="74">
        <v>43599</v>
      </c>
    </row>
    <row r="4177" spans="1:21" x14ac:dyDescent="0.3">
      <c r="A4177" s="42">
        <v>43637</v>
      </c>
      <c r="B4177" s="37">
        <f t="shared" si="127"/>
        <v>20190621</v>
      </c>
      <c r="C4177" s="109">
        <v>1.7000000000000001E-2</v>
      </c>
      <c r="D4177" s="109">
        <v>0.01</v>
      </c>
      <c r="E4177" s="109">
        <v>1.0999999999999999E-2</v>
      </c>
      <c r="F4177" s="109">
        <v>1.0999999999999999E-2</v>
      </c>
      <c r="G4177" s="130">
        <v>0</v>
      </c>
      <c r="H4177" s="71">
        <v>8.6</v>
      </c>
      <c r="I4177" s="71">
        <v>11.2</v>
      </c>
      <c r="J4177" s="71">
        <v>13.8</v>
      </c>
      <c r="K4177" s="121">
        <v>3.4999999999999996E-3</v>
      </c>
      <c r="L4177" s="121">
        <v>-7.0000000000000001E-3</v>
      </c>
      <c r="M4177" s="75" t="s">
        <v>146</v>
      </c>
      <c r="N4177" s="75" t="b">
        <v>1</v>
      </c>
      <c r="O4177" s="75" t="s">
        <v>145</v>
      </c>
      <c r="P4177" s="75">
        <v>2014</v>
      </c>
      <c r="Q4177" s="107">
        <f t="shared" si="128"/>
        <v>2019</v>
      </c>
      <c r="R4177" s="107">
        <v>2</v>
      </c>
      <c r="S4177" s="43">
        <v>219059</v>
      </c>
      <c r="T4177" s="74">
        <v>43599</v>
      </c>
    </row>
    <row r="4178" spans="1:21" x14ac:dyDescent="0.3">
      <c r="A4178" s="42">
        <v>43638</v>
      </c>
      <c r="B4178" s="37">
        <f>YEAR(A4178)*10000+MONTH(A4178)*100+DAY(A4178)</f>
        <v>20190622</v>
      </c>
      <c r="C4178" s="109">
        <v>1.7000000000000001E-2</v>
      </c>
      <c r="D4178" s="109">
        <v>0.01</v>
      </c>
      <c r="E4178" s="109">
        <v>1.0999999999999999E-2</v>
      </c>
      <c r="F4178" s="109">
        <v>1.0999999999999999E-2</v>
      </c>
      <c r="G4178" s="130">
        <v>0</v>
      </c>
      <c r="H4178" s="71">
        <v>8.6</v>
      </c>
      <c r="I4178" s="71">
        <v>11.2</v>
      </c>
      <c r="J4178" s="71">
        <v>13.8</v>
      </c>
      <c r="K4178" s="121">
        <v>3.4999999999999996E-3</v>
      </c>
      <c r="L4178" s="121">
        <v>-7.0000000000000001E-3</v>
      </c>
      <c r="M4178" s="75" t="s">
        <v>146</v>
      </c>
      <c r="N4178" s="75" t="b">
        <v>1</v>
      </c>
      <c r="O4178" s="75" t="s">
        <v>145</v>
      </c>
      <c r="P4178" s="75">
        <v>2014</v>
      </c>
      <c r="Q4178" s="107">
        <f t="shared" si="128"/>
        <v>2019</v>
      </c>
      <c r="R4178" s="107">
        <v>2</v>
      </c>
      <c r="S4178" s="43">
        <v>219059</v>
      </c>
      <c r="T4178" s="74">
        <v>43599</v>
      </c>
    </row>
    <row r="4179" spans="1:21" x14ac:dyDescent="0.3">
      <c r="A4179" s="42">
        <v>43639</v>
      </c>
      <c r="B4179" s="37">
        <f>YEAR(A4179)*10000+MONTH(A4179)*100+DAY(A4179)</f>
        <v>20190623</v>
      </c>
      <c r="C4179" s="109">
        <v>1.7000000000000001E-2</v>
      </c>
      <c r="D4179" s="109">
        <v>0.01</v>
      </c>
      <c r="E4179" s="109">
        <v>1.0999999999999999E-2</v>
      </c>
      <c r="F4179" s="109">
        <v>1.0999999999999999E-2</v>
      </c>
      <c r="G4179" s="130">
        <v>0</v>
      </c>
      <c r="H4179" s="71">
        <v>8.6</v>
      </c>
      <c r="I4179" s="71">
        <v>11.2</v>
      </c>
      <c r="J4179" s="71">
        <v>13.8</v>
      </c>
      <c r="K4179" s="121">
        <v>3.4999999999999996E-3</v>
      </c>
      <c r="L4179" s="121">
        <v>-7.0000000000000001E-3</v>
      </c>
      <c r="M4179" s="75" t="s">
        <v>146</v>
      </c>
      <c r="N4179" s="75" t="b">
        <v>1</v>
      </c>
      <c r="O4179" s="75" t="s">
        <v>145</v>
      </c>
      <c r="P4179" s="75">
        <v>2014</v>
      </c>
      <c r="Q4179" s="107">
        <f t="shared" si="128"/>
        <v>2019</v>
      </c>
      <c r="R4179" s="107">
        <v>2</v>
      </c>
      <c r="S4179" s="43">
        <v>219059</v>
      </c>
      <c r="T4179" s="74">
        <v>43599</v>
      </c>
    </row>
    <row r="4180" spans="1:21" x14ac:dyDescent="0.3">
      <c r="A4180" s="42">
        <v>43640</v>
      </c>
      <c r="B4180" s="37">
        <f t="shared" si="127"/>
        <v>20190624</v>
      </c>
      <c r="C4180" s="109">
        <v>1.6799999999999999E-2</v>
      </c>
      <c r="D4180" s="109">
        <v>0.01</v>
      </c>
      <c r="E4180" s="109">
        <v>1.0999999999999999E-2</v>
      </c>
      <c r="F4180" s="109">
        <v>1.0999999999999999E-2</v>
      </c>
      <c r="G4180" s="130">
        <v>0</v>
      </c>
      <c r="H4180" s="71">
        <v>8.6</v>
      </c>
      <c r="I4180" s="71">
        <v>11.2</v>
      </c>
      <c r="J4180" s="71">
        <v>13.8</v>
      </c>
      <c r="K4180" s="121">
        <v>3.4000000000000002E-3</v>
      </c>
      <c r="L4180" s="121">
        <v>-7.0000000000000001E-3</v>
      </c>
      <c r="M4180" s="75" t="s">
        <v>146</v>
      </c>
      <c r="N4180" s="75" t="b">
        <v>1</v>
      </c>
      <c r="O4180" s="75" t="s">
        <v>145</v>
      </c>
      <c r="P4180" s="75">
        <v>2014</v>
      </c>
      <c r="Q4180" s="107">
        <f t="shared" si="128"/>
        <v>2019</v>
      </c>
      <c r="R4180" s="107">
        <v>2</v>
      </c>
      <c r="S4180" s="43">
        <v>219059</v>
      </c>
      <c r="T4180" s="74">
        <v>43599</v>
      </c>
    </row>
    <row r="4181" spans="1:21" x14ac:dyDescent="0.3">
      <c r="A4181" s="42">
        <v>43641</v>
      </c>
      <c r="B4181" s="37">
        <f t="shared" si="127"/>
        <v>20190625</v>
      </c>
      <c r="C4181" s="109">
        <v>1.66E-2</v>
      </c>
      <c r="D4181" s="109">
        <v>0.01</v>
      </c>
      <c r="E4181" s="109">
        <v>1.0999999999999999E-2</v>
      </c>
      <c r="F4181" s="109">
        <v>1.0999999999999999E-2</v>
      </c>
      <c r="G4181" s="130">
        <v>0</v>
      </c>
      <c r="H4181" s="71">
        <v>8.6</v>
      </c>
      <c r="I4181" s="71">
        <v>11.2</v>
      </c>
      <c r="J4181" s="71">
        <v>13.8</v>
      </c>
      <c r="K4181" s="121">
        <v>3.3E-3</v>
      </c>
      <c r="L4181" s="121">
        <v>-7.0000000000000001E-3</v>
      </c>
      <c r="M4181" s="75" t="s">
        <v>146</v>
      </c>
      <c r="N4181" s="75" t="b">
        <v>1</v>
      </c>
      <c r="O4181" s="75" t="s">
        <v>145</v>
      </c>
      <c r="P4181" s="75">
        <v>2014</v>
      </c>
      <c r="Q4181" s="107">
        <f t="shared" si="128"/>
        <v>2019</v>
      </c>
      <c r="R4181" s="107">
        <v>2</v>
      </c>
      <c r="S4181" s="43">
        <v>219059</v>
      </c>
      <c r="T4181" s="74">
        <v>43599</v>
      </c>
    </row>
    <row r="4182" spans="1:21" x14ac:dyDescent="0.3">
      <c r="A4182" s="42">
        <v>43642</v>
      </c>
      <c r="B4182" s="37">
        <f t="shared" si="127"/>
        <v>20190626</v>
      </c>
      <c r="C4182" s="109">
        <v>1.7000000000000001E-2</v>
      </c>
      <c r="D4182" s="109">
        <v>0.01</v>
      </c>
      <c r="E4182" s="109">
        <v>1.0999999999999999E-2</v>
      </c>
      <c r="F4182" s="109">
        <v>1.0999999999999999E-2</v>
      </c>
      <c r="G4182" s="130">
        <v>0</v>
      </c>
      <c r="H4182" s="71">
        <v>8.6</v>
      </c>
      <c r="I4182" s="71">
        <v>11.2</v>
      </c>
      <c r="J4182" s="71">
        <v>13.8</v>
      </c>
      <c r="K4182" s="121">
        <v>3.5999999999999999E-3</v>
      </c>
      <c r="L4182" s="121">
        <v>-7.0000000000000001E-3</v>
      </c>
      <c r="M4182" s="75" t="s">
        <v>146</v>
      </c>
      <c r="N4182" s="75" t="b">
        <v>1</v>
      </c>
      <c r="O4182" s="75" t="s">
        <v>145</v>
      </c>
      <c r="P4182" s="75">
        <v>2014</v>
      </c>
      <c r="Q4182" s="107">
        <f t="shared" si="128"/>
        <v>2019</v>
      </c>
      <c r="R4182" s="107">
        <v>2</v>
      </c>
      <c r="S4182" s="43">
        <v>219059</v>
      </c>
      <c r="T4182" s="74">
        <v>43599</v>
      </c>
    </row>
    <row r="4183" spans="1:21" x14ac:dyDescent="0.3">
      <c r="A4183" s="42">
        <v>43643</v>
      </c>
      <c r="B4183" s="37">
        <f t="shared" si="127"/>
        <v>20190627</v>
      </c>
      <c r="C4183" s="109">
        <v>1.6799999999999999E-2</v>
      </c>
      <c r="D4183" s="109">
        <v>0.01</v>
      </c>
      <c r="E4183" s="109">
        <v>1.0999999999999999E-2</v>
      </c>
      <c r="F4183" s="109">
        <v>1.0999999999999999E-2</v>
      </c>
      <c r="G4183" s="130">
        <v>0</v>
      </c>
      <c r="H4183" s="71">
        <v>8.6</v>
      </c>
      <c r="I4183" s="71">
        <v>11.2</v>
      </c>
      <c r="J4183" s="71">
        <v>13.8</v>
      </c>
      <c r="K4183" s="121">
        <v>3.4000000000000002E-3</v>
      </c>
      <c r="L4183" s="121">
        <v>-7.0000000000000001E-3</v>
      </c>
      <c r="M4183" s="75" t="s">
        <v>146</v>
      </c>
      <c r="N4183" s="75" t="b">
        <v>1</v>
      </c>
      <c r="O4183" s="75" t="s">
        <v>145</v>
      </c>
      <c r="P4183" s="75">
        <v>2014</v>
      </c>
      <c r="Q4183" s="107">
        <f t="shared" si="128"/>
        <v>2019</v>
      </c>
      <c r="R4183" s="107">
        <v>2</v>
      </c>
      <c r="S4183" s="43">
        <v>219059</v>
      </c>
      <c r="T4183" s="74">
        <v>43599</v>
      </c>
    </row>
    <row r="4184" spans="1:21" x14ac:dyDescent="0.3">
      <c r="A4184" s="42">
        <v>43644</v>
      </c>
      <c r="B4184" s="37">
        <f t="shared" si="127"/>
        <v>20190628</v>
      </c>
      <c r="C4184" s="109">
        <v>1.66E-2</v>
      </c>
      <c r="D4184" s="109">
        <v>0.01</v>
      </c>
      <c r="E4184" s="109">
        <v>1.0999999999999999E-2</v>
      </c>
      <c r="F4184" s="109">
        <v>1.0999999999999999E-2</v>
      </c>
      <c r="G4184" s="130">
        <v>0</v>
      </c>
      <c r="H4184" s="71">
        <v>8.6</v>
      </c>
      <c r="I4184" s="71">
        <v>11.2</v>
      </c>
      <c r="J4184" s="71">
        <v>13.8</v>
      </c>
      <c r="K4184" s="121">
        <v>3.4000000000000002E-3</v>
      </c>
      <c r="L4184" s="121">
        <v>-7.0000000000000001E-3</v>
      </c>
      <c r="M4184" s="75" t="s">
        <v>146</v>
      </c>
      <c r="N4184" s="75" t="b">
        <v>1</v>
      </c>
      <c r="O4184" s="75" t="s">
        <v>145</v>
      </c>
      <c r="P4184" s="75">
        <v>2014</v>
      </c>
      <c r="Q4184" s="107">
        <f t="shared" si="128"/>
        <v>2019</v>
      </c>
      <c r="R4184" s="107">
        <v>2</v>
      </c>
      <c r="S4184" s="43">
        <v>219059</v>
      </c>
      <c r="T4184" s="74">
        <v>43599</v>
      </c>
    </row>
    <row r="4185" spans="1:21" x14ac:dyDescent="0.3">
      <c r="A4185" s="42">
        <v>43645</v>
      </c>
      <c r="B4185" s="37">
        <f>YEAR(A4185)*10000+MONTH(A4185)*100+DAY(A4185)</f>
        <v>20190629</v>
      </c>
      <c r="C4185" s="109">
        <v>1.66E-2</v>
      </c>
      <c r="D4185" s="109">
        <v>0.01</v>
      </c>
      <c r="E4185" s="109">
        <v>1.0999999999999999E-2</v>
      </c>
      <c r="F4185" s="109">
        <v>1.0999999999999999E-2</v>
      </c>
      <c r="G4185" s="130">
        <v>0</v>
      </c>
      <c r="H4185" s="71">
        <v>8.6</v>
      </c>
      <c r="I4185" s="71">
        <v>11.2</v>
      </c>
      <c r="J4185" s="71">
        <v>13.8</v>
      </c>
      <c r="K4185" s="121">
        <v>3.4000000000000002E-3</v>
      </c>
      <c r="L4185" s="121">
        <v>-7.0000000000000001E-3</v>
      </c>
      <c r="M4185" s="75" t="s">
        <v>146</v>
      </c>
      <c r="N4185" s="75" t="b">
        <v>1</v>
      </c>
      <c r="O4185" s="75" t="s">
        <v>145</v>
      </c>
      <c r="P4185" s="75">
        <v>2014</v>
      </c>
      <c r="Q4185" s="107">
        <f t="shared" si="128"/>
        <v>2019</v>
      </c>
      <c r="R4185" s="107">
        <v>2</v>
      </c>
      <c r="S4185" s="43">
        <v>219059</v>
      </c>
      <c r="T4185" s="74">
        <v>43599</v>
      </c>
    </row>
    <row r="4186" spans="1:21" s="116" customFormat="1" x14ac:dyDescent="0.3">
      <c r="A4186" s="110">
        <v>43646</v>
      </c>
      <c r="B4186" s="132">
        <f>YEAR(A4186)*10000+MONTH(A4186)*100+DAY(A4186)</f>
        <v>20190630</v>
      </c>
      <c r="C4186" s="111">
        <v>1.66E-2</v>
      </c>
      <c r="D4186" s="111">
        <v>0.01</v>
      </c>
      <c r="E4186" s="111">
        <v>1.0999999999999999E-2</v>
      </c>
      <c r="F4186" s="111">
        <v>1.0999999999999999E-2</v>
      </c>
      <c r="G4186" s="133">
        <v>0</v>
      </c>
      <c r="H4186" s="124">
        <v>8.6999999999999993</v>
      </c>
      <c r="I4186" s="124">
        <v>11.4</v>
      </c>
      <c r="J4186" s="124">
        <v>14</v>
      </c>
      <c r="K4186" s="131">
        <v>3.4000000000000002E-3</v>
      </c>
      <c r="L4186" s="131">
        <v>-7.0000000000000001E-3</v>
      </c>
      <c r="M4186" s="98" t="s">
        <v>146</v>
      </c>
      <c r="N4186" s="98" t="b">
        <v>1</v>
      </c>
      <c r="O4186" s="98" t="s">
        <v>145</v>
      </c>
      <c r="P4186" s="98">
        <v>2014</v>
      </c>
      <c r="Q4186" s="105">
        <f t="shared" si="128"/>
        <v>2019</v>
      </c>
      <c r="R4186" s="105">
        <v>2</v>
      </c>
      <c r="S4186" s="127">
        <v>219091</v>
      </c>
      <c r="T4186" s="128">
        <v>43690</v>
      </c>
      <c r="U4186" s="104" t="s">
        <v>176</v>
      </c>
    </row>
    <row r="4187" spans="1:21" x14ac:dyDescent="0.3">
      <c r="A4187" s="42">
        <v>43647</v>
      </c>
      <c r="B4187" s="37">
        <f t="shared" si="127"/>
        <v>20190701</v>
      </c>
      <c r="C4187" s="109">
        <v>1.66E-2</v>
      </c>
      <c r="D4187" s="109">
        <v>0.01</v>
      </c>
      <c r="E4187" s="109">
        <v>1.0999999999999999E-2</v>
      </c>
      <c r="F4187" s="109">
        <v>1.0999999999999999E-2</v>
      </c>
      <c r="G4187" s="130">
        <v>0</v>
      </c>
      <c r="H4187" s="71">
        <v>8.6999999999999993</v>
      </c>
      <c r="I4187" s="71">
        <v>11.4</v>
      </c>
      <c r="J4187" s="71">
        <v>14</v>
      </c>
      <c r="K4187" s="121">
        <v>3.4000000000000002E-3</v>
      </c>
      <c r="L4187" s="121">
        <v>-7.0000000000000001E-3</v>
      </c>
      <c r="M4187" s="75" t="s">
        <v>146</v>
      </c>
      <c r="N4187" s="75" t="b">
        <v>1</v>
      </c>
      <c r="O4187" s="75" t="s">
        <v>145</v>
      </c>
      <c r="P4187" s="75">
        <v>2014</v>
      </c>
      <c r="Q4187" s="107">
        <f t="shared" si="128"/>
        <v>2019</v>
      </c>
      <c r="R4187" s="107">
        <v>2</v>
      </c>
      <c r="S4187" s="43">
        <v>219091</v>
      </c>
      <c r="T4187" s="74">
        <v>43690</v>
      </c>
    </row>
    <row r="4188" spans="1:21" x14ac:dyDescent="0.3">
      <c r="A4188" s="42">
        <v>43648</v>
      </c>
      <c r="B4188" s="37">
        <f t="shared" si="127"/>
        <v>20190702</v>
      </c>
      <c r="C4188" s="109">
        <v>1.66E-2</v>
      </c>
      <c r="D4188" s="109">
        <v>0.01</v>
      </c>
      <c r="E4188" s="109">
        <v>1.0999999999999999E-2</v>
      </c>
      <c r="F4188" s="109">
        <v>1.0999999999999999E-2</v>
      </c>
      <c r="G4188" s="130">
        <v>0</v>
      </c>
      <c r="H4188" s="71">
        <v>8.6999999999999993</v>
      </c>
      <c r="I4188" s="71">
        <v>11.4</v>
      </c>
      <c r="J4188" s="71">
        <v>14</v>
      </c>
      <c r="K4188" s="121">
        <v>3.4999999999999996E-3</v>
      </c>
      <c r="L4188" s="121">
        <v>-7.0000000000000001E-3</v>
      </c>
      <c r="M4188" s="75" t="s">
        <v>146</v>
      </c>
      <c r="N4188" s="75" t="b">
        <v>1</v>
      </c>
      <c r="O4188" s="75" t="s">
        <v>145</v>
      </c>
      <c r="P4188" s="75">
        <v>2014</v>
      </c>
      <c r="Q4188" s="107">
        <f t="shared" si="128"/>
        <v>2019</v>
      </c>
      <c r="R4188" s="107">
        <v>2</v>
      </c>
      <c r="S4188" s="43">
        <v>219091</v>
      </c>
      <c r="T4188" s="74">
        <v>43690</v>
      </c>
    </row>
    <row r="4189" spans="1:21" x14ac:dyDescent="0.3">
      <c r="A4189" s="42">
        <v>43649</v>
      </c>
      <c r="B4189" s="37">
        <f t="shared" si="127"/>
        <v>20190703</v>
      </c>
      <c r="C4189" s="109">
        <v>1.6299999999999999E-2</v>
      </c>
      <c r="D4189" s="109">
        <v>0.01</v>
      </c>
      <c r="E4189" s="109">
        <v>1.0999999999999999E-2</v>
      </c>
      <c r="F4189" s="109">
        <v>1.0999999999999999E-2</v>
      </c>
      <c r="G4189" s="130">
        <v>0</v>
      </c>
      <c r="H4189" s="71">
        <v>8.6999999999999993</v>
      </c>
      <c r="I4189" s="71">
        <v>11.4</v>
      </c>
      <c r="J4189" s="71">
        <v>14</v>
      </c>
      <c r="K4189" s="121">
        <v>3.4000000000000002E-3</v>
      </c>
      <c r="L4189" s="121">
        <v>-7.0000000000000001E-3</v>
      </c>
      <c r="M4189" s="75" t="s">
        <v>146</v>
      </c>
      <c r="N4189" s="75" t="b">
        <v>1</v>
      </c>
      <c r="O4189" s="75" t="s">
        <v>145</v>
      </c>
      <c r="P4189" s="75">
        <v>2014</v>
      </c>
      <c r="Q4189" s="107">
        <f t="shared" si="128"/>
        <v>2019</v>
      </c>
      <c r="R4189" s="107">
        <v>2</v>
      </c>
      <c r="S4189" s="43">
        <v>219091</v>
      </c>
      <c r="T4189" s="74">
        <v>43690</v>
      </c>
    </row>
    <row r="4190" spans="1:21" x14ac:dyDescent="0.3">
      <c r="A4190" s="42">
        <v>43650</v>
      </c>
      <c r="B4190" s="37">
        <f t="shared" si="127"/>
        <v>20190704</v>
      </c>
      <c r="C4190" s="109">
        <v>1.6399999999999998E-2</v>
      </c>
      <c r="D4190" s="109">
        <v>0.01</v>
      </c>
      <c r="E4190" s="109">
        <v>1.0999999999999999E-2</v>
      </c>
      <c r="F4190" s="109">
        <v>1.0999999999999999E-2</v>
      </c>
      <c r="G4190" s="130">
        <v>0</v>
      </c>
      <c r="H4190" s="71">
        <v>8.6999999999999993</v>
      </c>
      <c r="I4190" s="71">
        <v>11.4</v>
      </c>
      <c r="J4190" s="71">
        <v>14</v>
      </c>
      <c r="K4190" s="121">
        <v>3.4999999999999996E-3</v>
      </c>
      <c r="L4190" s="121">
        <v>-7.0000000000000001E-3</v>
      </c>
      <c r="M4190" s="75" t="s">
        <v>146</v>
      </c>
      <c r="N4190" s="75" t="b">
        <v>1</v>
      </c>
      <c r="O4190" s="75" t="s">
        <v>145</v>
      </c>
      <c r="P4190" s="75">
        <v>2014</v>
      </c>
      <c r="Q4190" s="107">
        <f t="shared" si="128"/>
        <v>2019</v>
      </c>
      <c r="R4190" s="107">
        <v>2</v>
      </c>
      <c r="S4190" s="43">
        <v>219091</v>
      </c>
      <c r="T4190" s="74">
        <v>43690</v>
      </c>
    </row>
    <row r="4191" spans="1:21" x14ac:dyDescent="0.3">
      <c r="A4191" s="42">
        <v>43651</v>
      </c>
      <c r="B4191" s="37">
        <f t="shared" si="127"/>
        <v>20190705</v>
      </c>
      <c r="C4191" s="109">
        <v>1.72E-2</v>
      </c>
      <c r="D4191" s="109">
        <v>0.01</v>
      </c>
      <c r="E4191" s="109">
        <v>1.0999999999999999E-2</v>
      </c>
      <c r="F4191" s="109">
        <v>1.0999999999999999E-2</v>
      </c>
      <c r="G4191" s="130">
        <v>0</v>
      </c>
      <c r="H4191" s="71">
        <v>8.6999999999999993</v>
      </c>
      <c r="I4191" s="71">
        <v>11.4</v>
      </c>
      <c r="J4191" s="71">
        <v>14</v>
      </c>
      <c r="K4191" s="121">
        <v>4.0999999999999995E-3</v>
      </c>
      <c r="L4191" s="121">
        <v>-7.0000000000000001E-3</v>
      </c>
      <c r="M4191" s="75" t="s">
        <v>146</v>
      </c>
      <c r="N4191" s="75" t="b">
        <v>1</v>
      </c>
      <c r="O4191" s="75" t="s">
        <v>145</v>
      </c>
      <c r="P4191" s="75">
        <v>2014</v>
      </c>
      <c r="Q4191" s="107">
        <f t="shared" si="128"/>
        <v>2019</v>
      </c>
      <c r="R4191" s="107">
        <v>2</v>
      </c>
      <c r="S4191" s="43">
        <v>219091</v>
      </c>
      <c r="T4191" s="74">
        <v>43690</v>
      </c>
    </row>
    <row r="4192" spans="1:21" x14ac:dyDescent="0.3">
      <c r="A4192" s="42">
        <v>43652</v>
      </c>
      <c r="B4192" s="37">
        <f>YEAR(A4192)*10000+MONTH(A4192)*100+DAY(A4192)</f>
        <v>20190706</v>
      </c>
      <c r="C4192" s="109">
        <v>1.72E-2</v>
      </c>
      <c r="D4192" s="109">
        <v>0.01</v>
      </c>
      <c r="E4192" s="109">
        <v>1.0999999999999999E-2</v>
      </c>
      <c r="F4192" s="109">
        <v>1.0999999999999999E-2</v>
      </c>
      <c r="G4192" s="130">
        <v>0</v>
      </c>
      <c r="H4192" s="71">
        <v>8.6999999999999993</v>
      </c>
      <c r="I4192" s="71">
        <v>11.4</v>
      </c>
      <c r="J4192" s="71">
        <v>14</v>
      </c>
      <c r="K4192" s="121">
        <v>4.0999999999999995E-3</v>
      </c>
      <c r="L4192" s="121">
        <v>-7.0000000000000001E-3</v>
      </c>
      <c r="M4192" s="75" t="s">
        <v>146</v>
      </c>
      <c r="N4192" s="75" t="b">
        <v>1</v>
      </c>
      <c r="O4192" s="75" t="s">
        <v>145</v>
      </c>
      <c r="P4192" s="75">
        <v>2014</v>
      </c>
      <c r="Q4192" s="107">
        <f t="shared" si="128"/>
        <v>2019</v>
      </c>
      <c r="R4192" s="107">
        <v>2</v>
      </c>
      <c r="S4192" s="43">
        <v>219091</v>
      </c>
      <c r="T4192" s="74">
        <v>43690</v>
      </c>
    </row>
    <row r="4193" spans="1:20" x14ac:dyDescent="0.3">
      <c r="A4193" s="42">
        <v>43653</v>
      </c>
      <c r="B4193" s="37">
        <f>YEAR(A4193)*10000+MONTH(A4193)*100+DAY(A4193)</f>
        <v>20190707</v>
      </c>
      <c r="C4193" s="109">
        <v>1.72E-2</v>
      </c>
      <c r="D4193" s="109">
        <v>0.01</v>
      </c>
      <c r="E4193" s="109">
        <v>1.0999999999999999E-2</v>
      </c>
      <c r="F4193" s="109">
        <v>1.0999999999999999E-2</v>
      </c>
      <c r="G4193" s="130">
        <v>0</v>
      </c>
      <c r="H4193" s="71">
        <v>8.6999999999999993</v>
      </c>
      <c r="I4193" s="71">
        <v>11.4</v>
      </c>
      <c r="J4193" s="71">
        <v>14</v>
      </c>
      <c r="K4193" s="121">
        <v>4.0999999999999995E-3</v>
      </c>
      <c r="L4193" s="121">
        <v>-7.0000000000000001E-3</v>
      </c>
      <c r="M4193" s="75" t="s">
        <v>146</v>
      </c>
      <c r="N4193" s="75" t="b">
        <v>1</v>
      </c>
      <c r="O4193" s="75" t="s">
        <v>145</v>
      </c>
      <c r="P4193" s="75">
        <v>2014</v>
      </c>
      <c r="Q4193" s="107">
        <f t="shared" si="128"/>
        <v>2019</v>
      </c>
      <c r="R4193" s="107">
        <v>2</v>
      </c>
      <c r="S4193" s="43">
        <v>219091</v>
      </c>
      <c r="T4193" s="74">
        <v>43690</v>
      </c>
    </row>
    <row r="4194" spans="1:20" x14ac:dyDescent="0.3">
      <c r="A4194" s="42">
        <v>43654</v>
      </c>
      <c r="B4194" s="37">
        <f t="shared" ref="B4194:B4271" si="129">YEAR(A4194)*10000+MONTH(A4194)*100+DAY(A4194)</f>
        <v>20190708</v>
      </c>
      <c r="C4194" s="109">
        <v>1.72E-2</v>
      </c>
      <c r="D4194" s="109">
        <v>0.01</v>
      </c>
      <c r="E4194" s="109">
        <v>1.0999999999999999E-2</v>
      </c>
      <c r="F4194" s="109">
        <v>1.0999999999999999E-2</v>
      </c>
      <c r="G4194" s="130">
        <v>0</v>
      </c>
      <c r="H4194" s="71">
        <v>8.6999999999999993</v>
      </c>
      <c r="I4194" s="71">
        <v>11.4</v>
      </c>
      <c r="J4194" s="71">
        <v>14</v>
      </c>
      <c r="K4194" s="121">
        <v>4.0999999999999995E-3</v>
      </c>
      <c r="L4194" s="121">
        <v>-7.0000000000000001E-3</v>
      </c>
      <c r="M4194" s="75" t="s">
        <v>146</v>
      </c>
      <c r="N4194" s="75" t="b">
        <v>1</v>
      </c>
      <c r="O4194" s="75" t="s">
        <v>145</v>
      </c>
      <c r="P4194" s="75">
        <v>2014</v>
      </c>
      <c r="Q4194" s="107">
        <f t="shared" si="128"/>
        <v>2019</v>
      </c>
      <c r="R4194" s="107">
        <v>2</v>
      </c>
      <c r="S4194" s="43">
        <v>219091</v>
      </c>
      <c r="T4194" s="74">
        <v>43690</v>
      </c>
    </row>
    <row r="4195" spans="1:20" x14ac:dyDescent="0.3">
      <c r="A4195" s="42">
        <v>43655</v>
      </c>
      <c r="B4195" s="37">
        <f t="shared" si="129"/>
        <v>20190709</v>
      </c>
      <c r="C4195" s="109">
        <v>1.7100000000000001E-2</v>
      </c>
      <c r="D4195" s="109">
        <v>0.01</v>
      </c>
      <c r="E4195" s="109">
        <v>1.0999999999999999E-2</v>
      </c>
      <c r="F4195" s="109">
        <v>1.0999999999999999E-2</v>
      </c>
      <c r="G4195" s="130">
        <v>0</v>
      </c>
      <c r="H4195" s="71">
        <v>8.6999999999999993</v>
      </c>
      <c r="I4195" s="71">
        <v>11.4</v>
      </c>
      <c r="J4195" s="71">
        <v>14</v>
      </c>
      <c r="K4195" s="121">
        <v>4.0000000000000001E-3</v>
      </c>
      <c r="L4195" s="121">
        <v>-7.0000000000000001E-3</v>
      </c>
      <c r="M4195" s="75" t="s">
        <v>146</v>
      </c>
      <c r="N4195" s="75" t="b">
        <v>1</v>
      </c>
      <c r="O4195" s="75" t="s">
        <v>145</v>
      </c>
      <c r="P4195" s="75">
        <v>2014</v>
      </c>
      <c r="Q4195" s="107">
        <f t="shared" si="128"/>
        <v>2019</v>
      </c>
      <c r="R4195" s="107">
        <v>2</v>
      </c>
      <c r="S4195" s="43">
        <v>219091</v>
      </c>
      <c r="T4195" s="74">
        <v>43690</v>
      </c>
    </row>
    <row r="4196" spans="1:20" x14ac:dyDescent="0.3">
      <c r="A4196" s="42">
        <v>43656</v>
      </c>
      <c r="B4196" s="37">
        <f t="shared" si="129"/>
        <v>20190710</v>
      </c>
      <c r="C4196" s="109">
        <v>1.7299999999999999E-2</v>
      </c>
      <c r="D4196" s="109">
        <v>0.01</v>
      </c>
      <c r="E4196" s="109">
        <v>1.0999999999999999E-2</v>
      </c>
      <c r="F4196" s="109">
        <v>1.0999999999999999E-2</v>
      </c>
      <c r="G4196" s="130">
        <v>0</v>
      </c>
      <c r="H4196" s="71">
        <v>8.6999999999999993</v>
      </c>
      <c r="I4196" s="71">
        <v>11.4</v>
      </c>
      <c r="J4196" s="71">
        <v>14</v>
      </c>
      <c r="K4196" s="121">
        <v>4.1999999999999997E-3</v>
      </c>
      <c r="L4196" s="121">
        <v>-7.0000000000000001E-3</v>
      </c>
      <c r="M4196" s="75" t="s">
        <v>146</v>
      </c>
      <c r="N4196" s="75" t="b">
        <v>1</v>
      </c>
      <c r="O4196" s="75" t="s">
        <v>145</v>
      </c>
      <c r="P4196" s="75">
        <v>2014</v>
      </c>
      <c r="Q4196" s="107">
        <f t="shared" si="128"/>
        <v>2019</v>
      </c>
      <c r="R4196" s="107">
        <v>2</v>
      </c>
      <c r="S4196" s="43">
        <v>219091</v>
      </c>
      <c r="T4196" s="74">
        <v>43690</v>
      </c>
    </row>
    <row r="4197" spans="1:20" x14ac:dyDescent="0.3">
      <c r="A4197" s="42">
        <v>43657</v>
      </c>
      <c r="B4197" s="37">
        <f t="shared" si="129"/>
        <v>20190711</v>
      </c>
      <c r="C4197" s="109">
        <v>1.78E-2</v>
      </c>
      <c r="D4197" s="109">
        <v>0.01</v>
      </c>
      <c r="E4197" s="109">
        <v>1.0999999999999999E-2</v>
      </c>
      <c r="F4197" s="109">
        <v>1.0999999999999999E-2</v>
      </c>
      <c r="G4197" s="130">
        <v>0</v>
      </c>
      <c r="H4197" s="71">
        <v>8.6999999999999993</v>
      </c>
      <c r="I4197" s="71">
        <v>11.4</v>
      </c>
      <c r="J4197" s="71">
        <v>14</v>
      </c>
      <c r="K4197" s="121">
        <v>4.4000000000000003E-3</v>
      </c>
      <c r="L4197" s="121">
        <v>-7.0000000000000001E-3</v>
      </c>
      <c r="M4197" s="75" t="s">
        <v>146</v>
      </c>
      <c r="N4197" s="75" t="b">
        <v>1</v>
      </c>
      <c r="O4197" s="75" t="s">
        <v>145</v>
      </c>
      <c r="P4197" s="75">
        <v>2014</v>
      </c>
      <c r="Q4197" s="107">
        <f t="shared" si="128"/>
        <v>2019</v>
      </c>
      <c r="R4197" s="107">
        <v>2</v>
      </c>
      <c r="S4197" s="43">
        <v>219091</v>
      </c>
      <c r="T4197" s="74">
        <v>43690</v>
      </c>
    </row>
    <row r="4198" spans="1:20" x14ac:dyDescent="0.3">
      <c r="A4198" s="42">
        <v>43658</v>
      </c>
      <c r="B4198" s="37">
        <f t="shared" si="129"/>
        <v>20190712</v>
      </c>
      <c r="C4198" s="109">
        <v>1.77E-2</v>
      </c>
      <c r="D4198" s="109">
        <v>0.01</v>
      </c>
      <c r="E4198" s="109">
        <v>1.0999999999999999E-2</v>
      </c>
      <c r="F4198" s="109">
        <v>1.0999999999999999E-2</v>
      </c>
      <c r="G4198" s="130">
        <v>0</v>
      </c>
      <c r="H4198" s="71">
        <v>8.6999999999999993</v>
      </c>
      <c r="I4198" s="71">
        <v>11.4</v>
      </c>
      <c r="J4198" s="71">
        <v>14</v>
      </c>
      <c r="K4198" s="121">
        <v>4.3E-3</v>
      </c>
      <c r="L4198" s="121">
        <v>-7.0000000000000001E-3</v>
      </c>
      <c r="M4198" s="75" t="s">
        <v>146</v>
      </c>
      <c r="N4198" s="75" t="b">
        <v>1</v>
      </c>
      <c r="O4198" s="75" t="s">
        <v>145</v>
      </c>
      <c r="P4198" s="75">
        <v>2014</v>
      </c>
      <c r="Q4198" s="107">
        <f t="shared" si="128"/>
        <v>2019</v>
      </c>
      <c r="R4198" s="107">
        <v>2</v>
      </c>
      <c r="S4198" s="43">
        <v>219091</v>
      </c>
      <c r="T4198" s="74">
        <v>43690</v>
      </c>
    </row>
    <row r="4199" spans="1:20" x14ac:dyDescent="0.3">
      <c r="A4199" s="42">
        <v>43659</v>
      </c>
      <c r="B4199" s="37">
        <f>YEAR(A4199)*10000+MONTH(A4199)*100+DAY(A4199)</f>
        <v>20190713</v>
      </c>
      <c r="C4199" s="109">
        <v>1.77E-2</v>
      </c>
      <c r="D4199" s="109">
        <v>0.01</v>
      </c>
      <c r="E4199" s="109">
        <v>1.0999999999999999E-2</v>
      </c>
      <c r="F4199" s="109">
        <v>1.0999999999999999E-2</v>
      </c>
      <c r="G4199" s="130">
        <v>0</v>
      </c>
      <c r="H4199" s="71">
        <v>8.6999999999999993</v>
      </c>
      <c r="I4199" s="71">
        <v>11.4</v>
      </c>
      <c r="J4199" s="71">
        <v>14</v>
      </c>
      <c r="K4199" s="121">
        <v>4.3E-3</v>
      </c>
      <c r="L4199" s="121">
        <v>-7.0000000000000001E-3</v>
      </c>
      <c r="M4199" s="75" t="s">
        <v>146</v>
      </c>
      <c r="N4199" s="75" t="b">
        <v>1</v>
      </c>
      <c r="O4199" s="75" t="s">
        <v>145</v>
      </c>
      <c r="P4199" s="75">
        <v>2014</v>
      </c>
      <c r="Q4199" s="107">
        <f t="shared" si="128"/>
        <v>2019</v>
      </c>
      <c r="R4199" s="107">
        <v>2</v>
      </c>
      <c r="S4199" s="43">
        <v>219091</v>
      </c>
      <c r="T4199" s="74">
        <v>43690</v>
      </c>
    </row>
    <row r="4200" spans="1:20" x14ac:dyDescent="0.3">
      <c r="A4200" s="42">
        <v>43660</v>
      </c>
      <c r="B4200" s="37">
        <f>YEAR(A4200)*10000+MONTH(A4200)*100+DAY(A4200)</f>
        <v>20190714</v>
      </c>
      <c r="C4200" s="109">
        <v>1.77E-2</v>
      </c>
      <c r="D4200" s="109">
        <v>0.01</v>
      </c>
      <c r="E4200" s="109">
        <v>1.0999999999999999E-2</v>
      </c>
      <c r="F4200" s="109">
        <v>1.0999999999999999E-2</v>
      </c>
      <c r="G4200" s="130">
        <v>0</v>
      </c>
      <c r="H4200" s="71">
        <v>8.6999999999999993</v>
      </c>
      <c r="I4200" s="71">
        <v>11.4</v>
      </c>
      <c r="J4200" s="71">
        <v>14</v>
      </c>
      <c r="K4200" s="121">
        <v>4.3E-3</v>
      </c>
      <c r="L4200" s="121">
        <v>-7.0000000000000001E-3</v>
      </c>
      <c r="M4200" s="75" t="s">
        <v>146</v>
      </c>
      <c r="N4200" s="75" t="b">
        <v>1</v>
      </c>
      <c r="O4200" s="75" t="s">
        <v>145</v>
      </c>
      <c r="P4200" s="75">
        <v>2014</v>
      </c>
      <c r="Q4200" s="107">
        <f t="shared" si="128"/>
        <v>2019</v>
      </c>
      <c r="R4200" s="107">
        <v>2</v>
      </c>
      <c r="S4200" s="43">
        <v>219091</v>
      </c>
      <c r="T4200" s="74">
        <v>43690</v>
      </c>
    </row>
    <row r="4201" spans="1:20" x14ac:dyDescent="0.3">
      <c r="A4201" s="42">
        <v>43661</v>
      </c>
      <c r="B4201" s="37">
        <f t="shared" si="129"/>
        <v>20190715</v>
      </c>
      <c r="C4201" s="109">
        <v>1.7600000000000001E-2</v>
      </c>
      <c r="D4201" s="109">
        <v>0.01</v>
      </c>
      <c r="E4201" s="109">
        <v>1.0999999999999999E-2</v>
      </c>
      <c r="F4201" s="109">
        <v>1.0999999999999999E-2</v>
      </c>
      <c r="G4201" s="130">
        <v>0</v>
      </c>
      <c r="H4201" s="71">
        <v>8.6999999999999993</v>
      </c>
      <c r="I4201" s="71">
        <v>11.4</v>
      </c>
      <c r="J4201" s="71">
        <v>14</v>
      </c>
      <c r="K4201" s="121">
        <v>4.3E-3</v>
      </c>
      <c r="L4201" s="121">
        <v>-7.0000000000000001E-3</v>
      </c>
      <c r="M4201" s="75" t="s">
        <v>146</v>
      </c>
      <c r="N4201" s="75" t="b">
        <v>1</v>
      </c>
      <c r="O4201" s="75" t="s">
        <v>145</v>
      </c>
      <c r="P4201" s="75">
        <v>2014</v>
      </c>
      <c r="Q4201" s="107">
        <f t="shared" si="128"/>
        <v>2019</v>
      </c>
      <c r="R4201" s="107">
        <v>2</v>
      </c>
      <c r="S4201" s="43">
        <v>219091</v>
      </c>
      <c r="T4201" s="74">
        <v>43690</v>
      </c>
    </row>
    <row r="4202" spans="1:20" x14ac:dyDescent="0.3">
      <c r="A4202" s="42">
        <v>43662</v>
      </c>
      <c r="B4202" s="37">
        <f t="shared" si="129"/>
        <v>20190716</v>
      </c>
      <c r="C4202" s="109">
        <v>1.77E-2</v>
      </c>
      <c r="D4202" s="109">
        <v>0.01</v>
      </c>
      <c r="E4202" s="109">
        <v>1.0999999999999999E-2</v>
      </c>
      <c r="F4202" s="109">
        <v>1.0999999999999999E-2</v>
      </c>
      <c r="G4202" s="130">
        <v>0</v>
      </c>
      <c r="H4202" s="71">
        <v>8.6999999999999993</v>
      </c>
      <c r="I4202" s="71">
        <v>11.4</v>
      </c>
      <c r="J4202" s="71">
        <v>14</v>
      </c>
      <c r="K4202" s="121">
        <v>4.1999999999999997E-3</v>
      </c>
      <c r="L4202" s="121">
        <v>-7.0000000000000001E-3</v>
      </c>
      <c r="M4202" s="75" t="s">
        <v>146</v>
      </c>
      <c r="N4202" s="75" t="b">
        <v>1</v>
      </c>
      <c r="O4202" s="75" t="s">
        <v>145</v>
      </c>
      <c r="P4202" s="75">
        <v>2014</v>
      </c>
      <c r="Q4202" s="107">
        <f t="shared" si="128"/>
        <v>2019</v>
      </c>
      <c r="R4202" s="107">
        <v>2</v>
      </c>
      <c r="S4202" s="43">
        <v>219091</v>
      </c>
      <c r="T4202" s="74">
        <v>43690</v>
      </c>
    </row>
    <row r="4203" spans="1:20" x14ac:dyDescent="0.3">
      <c r="A4203" s="42">
        <v>43663</v>
      </c>
      <c r="B4203" s="37">
        <f t="shared" si="129"/>
        <v>20190717</v>
      </c>
      <c r="C4203" s="109">
        <v>1.7100000000000001E-2</v>
      </c>
      <c r="D4203" s="109">
        <v>0.01</v>
      </c>
      <c r="E4203" s="109">
        <v>1.0999999999999999E-2</v>
      </c>
      <c r="F4203" s="109">
        <v>1.0999999999999999E-2</v>
      </c>
      <c r="G4203" s="130">
        <v>0</v>
      </c>
      <c r="H4203" s="71">
        <v>8.6999999999999993</v>
      </c>
      <c r="I4203" s="71">
        <v>11.4</v>
      </c>
      <c r="J4203" s="71">
        <v>14</v>
      </c>
      <c r="K4203" s="121">
        <v>3.8E-3</v>
      </c>
      <c r="L4203" s="121">
        <v>-7.0000000000000001E-3</v>
      </c>
      <c r="M4203" s="75" t="s">
        <v>146</v>
      </c>
      <c r="N4203" s="75" t="b">
        <v>1</v>
      </c>
      <c r="O4203" s="75" t="s">
        <v>145</v>
      </c>
      <c r="P4203" s="75">
        <v>2014</v>
      </c>
      <c r="Q4203" s="107">
        <f t="shared" si="128"/>
        <v>2019</v>
      </c>
      <c r="R4203" s="107">
        <v>2</v>
      </c>
      <c r="S4203" s="43">
        <v>219091</v>
      </c>
      <c r="T4203" s="74">
        <v>43690</v>
      </c>
    </row>
    <row r="4204" spans="1:20" x14ac:dyDescent="0.3">
      <c r="A4204" s="42">
        <v>43664</v>
      </c>
      <c r="B4204" s="37">
        <f t="shared" si="129"/>
        <v>20190718</v>
      </c>
      <c r="C4204" s="109">
        <v>1.7100000000000001E-2</v>
      </c>
      <c r="D4204" s="109">
        <v>0.01</v>
      </c>
      <c r="E4204" s="109">
        <v>1.0999999999999999E-2</v>
      </c>
      <c r="F4204" s="109">
        <v>1.0999999999999999E-2</v>
      </c>
      <c r="G4204" s="130">
        <v>0</v>
      </c>
      <c r="H4204" s="71">
        <v>8.6999999999999993</v>
      </c>
      <c r="I4204" s="71">
        <v>11.4</v>
      </c>
      <c r="J4204" s="71">
        <v>14</v>
      </c>
      <c r="K4204" s="121">
        <v>3.8E-3</v>
      </c>
      <c r="L4204" s="121">
        <v>-7.0000000000000001E-3</v>
      </c>
      <c r="M4204" s="75" t="s">
        <v>146</v>
      </c>
      <c r="N4204" s="75" t="b">
        <v>1</v>
      </c>
      <c r="O4204" s="75" t="s">
        <v>145</v>
      </c>
      <c r="P4204" s="75">
        <v>2014</v>
      </c>
      <c r="Q4204" s="107">
        <f t="shared" si="128"/>
        <v>2019</v>
      </c>
      <c r="R4204" s="107">
        <v>2</v>
      </c>
      <c r="S4204" s="43">
        <v>219091</v>
      </c>
      <c r="T4204" s="74">
        <v>43690</v>
      </c>
    </row>
    <row r="4205" spans="1:20" x14ac:dyDescent="0.3">
      <c r="A4205" s="42">
        <v>43665</v>
      </c>
      <c r="B4205" s="37">
        <f t="shared" si="129"/>
        <v>20190719</v>
      </c>
      <c r="C4205" s="109">
        <v>1.7000000000000001E-2</v>
      </c>
      <c r="D4205" s="109">
        <v>0.01</v>
      </c>
      <c r="E4205" s="109">
        <v>1.0999999999999999E-2</v>
      </c>
      <c r="F4205" s="109">
        <v>1.0999999999999999E-2</v>
      </c>
      <c r="G4205" s="130">
        <v>0</v>
      </c>
      <c r="H4205" s="71">
        <v>8.6999999999999993</v>
      </c>
      <c r="I4205" s="71">
        <v>11.4</v>
      </c>
      <c r="J4205" s="71">
        <v>14</v>
      </c>
      <c r="K4205" s="121">
        <v>3.7000000000000002E-3</v>
      </c>
      <c r="L4205" s="121">
        <v>-7.0000000000000001E-3</v>
      </c>
      <c r="M4205" s="75" t="s">
        <v>146</v>
      </c>
      <c r="N4205" s="75" t="b">
        <v>1</v>
      </c>
      <c r="O4205" s="75" t="s">
        <v>145</v>
      </c>
      <c r="P4205" s="75">
        <v>2014</v>
      </c>
      <c r="Q4205" s="107">
        <f t="shared" si="128"/>
        <v>2019</v>
      </c>
      <c r="R4205" s="107">
        <v>2</v>
      </c>
      <c r="S4205" s="43">
        <v>219091</v>
      </c>
      <c r="T4205" s="74">
        <v>43690</v>
      </c>
    </row>
    <row r="4206" spans="1:20" x14ac:dyDescent="0.3">
      <c r="A4206" s="42">
        <v>43666</v>
      </c>
      <c r="B4206" s="37">
        <f>YEAR(A4206)*10000+MONTH(A4206)*100+DAY(A4206)</f>
        <v>20190720</v>
      </c>
      <c r="C4206" s="109">
        <v>1.7000000000000001E-2</v>
      </c>
      <c r="D4206" s="109">
        <v>0.01</v>
      </c>
      <c r="E4206" s="109">
        <v>1.0999999999999999E-2</v>
      </c>
      <c r="F4206" s="109">
        <v>1.0999999999999999E-2</v>
      </c>
      <c r="G4206" s="130">
        <v>0</v>
      </c>
      <c r="H4206" s="71">
        <v>8.6999999999999993</v>
      </c>
      <c r="I4206" s="71">
        <v>11.4</v>
      </c>
      <c r="J4206" s="71">
        <v>14</v>
      </c>
      <c r="K4206" s="121">
        <v>3.7000000000000002E-3</v>
      </c>
      <c r="L4206" s="121">
        <v>-7.0000000000000001E-3</v>
      </c>
      <c r="M4206" s="75" t="s">
        <v>146</v>
      </c>
      <c r="N4206" s="75" t="b">
        <v>1</v>
      </c>
      <c r="O4206" s="75" t="s">
        <v>145</v>
      </c>
      <c r="P4206" s="75">
        <v>2014</v>
      </c>
      <c r="Q4206" s="107">
        <f t="shared" ref="Q4206:Q4269" si="130">YEAR(A4206)</f>
        <v>2019</v>
      </c>
      <c r="R4206" s="107">
        <v>2</v>
      </c>
      <c r="S4206" s="43">
        <v>219091</v>
      </c>
      <c r="T4206" s="74">
        <v>43690</v>
      </c>
    </row>
    <row r="4207" spans="1:20" x14ac:dyDescent="0.3">
      <c r="A4207" s="42">
        <v>43667</v>
      </c>
      <c r="B4207" s="37">
        <f>YEAR(A4207)*10000+MONTH(A4207)*100+DAY(A4207)</f>
        <v>20190721</v>
      </c>
      <c r="C4207" s="109">
        <v>1.7000000000000001E-2</v>
      </c>
      <c r="D4207" s="109">
        <v>0.01</v>
      </c>
      <c r="E4207" s="109">
        <v>1.0999999999999999E-2</v>
      </c>
      <c r="F4207" s="109">
        <v>1.0999999999999999E-2</v>
      </c>
      <c r="G4207" s="130">
        <v>0</v>
      </c>
      <c r="H4207" s="71">
        <v>8.6999999999999993</v>
      </c>
      <c r="I4207" s="71">
        <v>11.4</v>
      </c>
      <c r="J4207" s="71">
        <v>14</v>
      </c>
      <c r="K4207" s="121">
        <v>3.7000000000000002E-3</v>
      </c>
      <c r="L4207" s="121">
        <v>-7.0000000000000001E-3</v>
      </c>
      <c r="M4207" s="75" t="s">
        <v>146</v>
      </c>
      <c r="N4207" s="75" t="b">
        <v>1</v>
      </c>
      <c r="O4207" s="75" t="s">
        <v>145</v>
      </c>
      <c r="P4207" s="75">
        <v>2014</v>
      </c>
      <c r="Q4207" s="107">
        <f t="shared" si="130"/>
        <v>2019</v>
      </c>
      <c r="R4207" s="107">
        <v>2</v>
      </c>
      <c r="S4207" s="43">
        <v>219091</v>
      </c>
      <c r="T4207" s="74">
        <v>43690</v>
      </c>
    </row>
    <row r="4208" spans="1:20" x14ac:dyDescent="0.3">
      <c r="A4208" s="42">
        <v>43668</v>
      </c>
      <c r="B4208" s="37">
        <f t="shared" si="129"/>
        <v>20190722</v>
      </c>
      <c r="C4208" s="109">
        <v>1.6899999999999998E-2</v>
      </c>
      <c r="D4208" s="109">
        <v>0.01</v>
      </c>
      <c r="E4208" s="109">
        <v>1.0999999999999999E-2</v>
      </c>
      <c r="F4208" s="109">
        <v>1.0999999999999999E-2</v>
      </c>
      <c r="G4208" s="130">
        <v>0</v>
      </c>
      <c r="H4208" s="71">
        <v>8.6999999999999993</v>
      </c>
      <c r="I4208" s="71">
        <v>11.4</v>
      </c>
      <c r="J4208" s="71">
        <v>14</v>
      </c>
      <c r="K4208" s="121">
        <v>3.5999999999999999E-3</v>
      </c>
      <c r="L4208" s="121">
        <v>-7.0000000000000001E-3</v>
      </c>
      <c r="M4208" s="75" t="s">
        <v>146</v>
      </c>
      <c r="N4208" s="75" t="b">
        <v>1</v>
      </c>
      <c r="O4208" s="75" t="s">
        <v>145</v>
      </c>
      <c r="P4208" s="75">
        <v>2014</v>
      </c>
      <c r="Q4208" s="107">
        <f t="shared" si="130"/>
        <v>2019</v>
      </c>
      <c r="R4208" s="107">
        <v>2</v>
      </c>
      <c r="S4208" s="43">
        <v>219091</v>
      </c>
      <c r="T4208" s="74">
        <v>43690</v>
      </c>
    </row>
    <row r="4209" spans="1:20" x14ac:dyDescent="0.3">
      <c r="A4209" s="42">
        <v>43669</v>
      </c>
      <c r="B4209" s="37">
        <f t="shared" si="129"/>
        <v>20190723</v>
      </c>
      <c r="C4209" s="109">
        <v>1.7000000000000001E-2</v>
      </c>
      <c r="D4209" s="109">
        <v>0.01</v>
      </c>
      <c r="E4209" s="109">
        <v>1.0999999999999999E-2</v>
      </c>
      <c r="F4209" s="109">
        <v>1.0999999999999999E-2</v>
      </c>
      <c r="G4209" s="130">
        <v>0</v>
      </c>
      <c r="H4209" s="71">
        <v>8.6999999999999993</v>
      </c>
      <c r="I4209" s="71">
        <v>11.4</v>
      </c>
      <c r="J4209" s="71">
        <v>14</v>
      </c>
      <c r="K4209" s="121">
        <v>3.5999999999999999E-3</v>
      </c>
      <c r="L4209" s="121">
        <v>-7.0000000000000001E-3</v>
      </c>
      <c r="M4209" s="75" t="s">
        <v>146</v>
      </c>
      <c r="N4209" s="75" t="b">
        <v>1</v>
      </c>
      <c r="O4209" s="75" t="s">
        <v>145</v>
      </c>
      <c r="P4209" s="75">
        <v>2014</v>
      </c>
      <c r="Q4209" s="107">
        <f t="shared" si="130"/>
        <v>2019</v>
      </c>
      <c r="R4209" s="107">
        <v>2</v>
      </c>
      <c r="S4209" s="43">
        <v>219091</v>
      </c>
      <c r="T4209" s="74">
        <v>43690</v>
      </c>
    </row>
    <row r="4210" spans="1:20" x14ac:dyDescent="0.3">
      <c r="A4210" s="42">
        <v>43670</v>
      </c>
      <c r="B4210" s="37">
        <f t="shared" si="129"/>
        <v>20190724</v>
      </c>
      <c r="C4210" s="109">
        <v>1.66E-2</v>
      </c>
      <c r="D4210" s="109">
        <v>0.01</v>
      </c>
      <c r="E4210" s="109">
        <v>1.0999999999999999E-2</v>
      </c>
      <c r="F4210" s="109">
        <v>1.0999999999999999E-2</v>
      </c>
      <c r="G4210" s="130">
        <v>0</v>
      </c>
      <c r="H4210" s="71">
        <v>8.6999999999999993</v>
      </c>
      <c r="I4210" s="71">
        <v>11.4</v>
      </c>
      <c r="J4210" s="71">
        <v>14</v>
      </c>
      <c r="K4210" s="121">
        <v>3.4000000000000002E-3</v>
      </c>
      <c r="L4210" s="121">
        <v>-7.0000000000000001E-3</v>
      </c>
      <c r="M4210" s="75" t="s">
        <v>146</v>
      </c>
      <c r="N4210" s="75" t="b">
        <v>1</v>
      </c>
      <c r="O4210" s="75" t="s">
        <v>145</v>
      </c>
      <c r="P4210" s="75">
        <v>2014</v>
      </c>
      <c r="Q4210" s="107">
        <f t="shared" si="130"/>
        <v>2019</v>
      </c>
      <c r="R4210" s="107">
        <v>2</v>
      </c>
      <c r="S4210" s="43">
        <v>219091</v>
      </c>
      <c r="T4210" s="74">
        <v>43690</v>
      </c>
    </row>
    <row r="4211" spans="1:20" x14ac:dyDescent="0.3">
      <c r="A4211" s="42">
        <v>43671</v>
      </c>
      <c r="B4211" s="37">
        <f t="shared" si="129"/>
        <v>20190725</v>
      </c>
      <c r="C4211" s="109">
        <v>1.6799999999999999E-2</v>
      </c>
      <c r="D4211" s="109">
        <v>0.01</v>
      </c>
      <c r="E4211" s="109">
        <v>1.0999999999999999E-2</v>
      </c>
      <c r="F4211" s="109">
        <v>1.0999999999999999E-2</v>
      </c>
      <c r="G4211" s="130">
        <v>0</v>
      </c>
      <c r="H4211" s="71">
        <v>8.6999999999999993</v>
      </c>
      <c r="I4211" s="71">
        <v>11.4</v>
      </c>
      <c r="J4211" s="71">
        <v>14</v>
      </c>
      <c r="K4211" s="121">
        <v>3.4000000000000002E-3</v>
      </c>
      <c r="L4211" s="121">
        <v>-7.0000000000000001E-3</v>
      </c>
      <c r="M4211" s="75" t="s">
        <v>146</v>
      </c>
      <c r="N4211" s="75" t="b">
        <v>1</v>
      </c>
      <c r="O4211" s="75" t="s">
        <v>145</v>
      </c>
      <c r="P4211" s="75">
        <v>2014</v>
      </c>
      <c r="Q4211" s="107">
        <f t="shared" si="130"/>
        <v>2019</v>
      </c>
      <c r="R4211" s="107">
        <v>2</v>
      </c>
      <c r="S4211" s="43">
        <v>219091</v>
      </c>
      <c r="T4211" s="74">
        <v>43690</v>
      </c>
    </row>
    <row r="4212" spans="1:20" x14ac:dyDescent="0.3">
      <c r="A4212" s="42">
        <v>43672</v>
      </c>
      <c r="B4212" s="37">
        <f t="shared" si="129"/>
        <v>20190726</v>
      </c>
      <c r="C4212" s="109">
        <v>1.6899999999999998E-2</v>
      </c>
      <c r="D4212" s="109">
        <v>0.01</v>
      </c>
      <c r="E4212" s="109">
        <v>1.0999999999999999E-2</v>
      </c>
      <c r="F4212" s="109">
        <v>1.0999999999999999E-2</v>
      </c>
      <c r="G4212" s="130">
        <v>0</v>
      </c>
      <c r="H4212" s="71">
        <v>8.6999999999999993</v>
      </c>
      <c r="I4212" s="71">
        <v>11.4</v>
      </c>
      <c r="J4212" s="71">
        <v>14</v>
      </c>
      <c r="K4212" s="121">
        <v>3.4999999999999996E-3</v>
      </c>
      <c r="L4212" s="121">
        <v>-7.0000000000000001E-3</v>
      </c>
      <c r="M4212" s="75" t="s">
        <v>146</v>
      </c>
      <c r="N4212" s="75" t="b">
        <v>1</v>
      </c>
      <c r="O4212" s="75" t="s">
        <v>145</v>
      </c>
      <c r="P4212" s="75">
        <v>2014</v>
      </c>
      <c r="Q4212" s="107">
        <f t="shared" si="130"/>
        <v>2019</v>
      </c>
      <c r="R4212" s="107">
        <v>2</v>
      </c>
      <c r="S4212" s="43">
        <v>219091</v>
      </c>
      <c r="T4212" s="74">
        <v>43690</v>
      </c>
    </row>
    <row r="4213" spans="1:20" x14ac:dyDescent="0.3">
      <c r="A4213" s="42">
        <v>43673</v>
      </c>
      <c r="B4213" s="37">
        <f t="shared" si="129"/>
        <v>20190727</v>
      </c>
      <c r="C4213" s="109">
        <v>1.6899999999999998E-2</v>
      </c>
      <c r="D4213" s="109">
        <v>0.01</v>
      </c>
      <c r="E4213" s="109">
        <v>1.0999999999999999E-2</v>
      </c>
      <c r="F4213" s="109">
        <v>1.0999999999999999E-2</v>
      </c>
      <c r="G4213" s="130">
        <v>0</v>
      </c>
      <c r="H4213" s="71">
        <v>8.6999999999999993</v>
      </c>
      <c r="I4213" s="71">
        <v>11.4</v>
      </c>
      <c r="J4213" s="71">
        <v>14</v>
      </c>
      <c r="K4213" s="121">
        <v>3.4999999999999996E-3</v>
      </c>
      <c r="L4213" s="121">
        <v>-7.0000000000000001E-3</v>
      </c>
      <c r="M4213" s="75" t="s">
        <v>146</v>
      </c>
      <c r="N4213" s="75" t="b">
        <v>1</v>
      </c>
      <c r="O4213" s="75" t="s">
        <v>145</v>
      </c>
      <c r="P4213" s="75">
        <v>2014</v>
      </c>
      <c r="Q4213" s="107">
        <f t="shared" si="130"/>
        <v>2019</v>
      </c>
      <c r="R4213" s="107">
        <v>2</v>
      </c>
      <c r="S4213" s="43">
        <v>219091</v>
      </c>
      <c r="T4213" s="74">
        <v>43690</v>
      </c>
    </row>
    <row r="4214" spans="1:20" x14ac:dyDescent="0.3">
      <c r="A4214" s="42">
        <v>43674</v>
      </c>
      <c r="B4214" s="37">
        <f t="shared" si="129"/>
        <v>20190728</v>
      </c>
      <c r="C4214" s="109">
        <v>1.6899999999999998E-2</v>
      </c>
      <c r="D4214" s="109">
        <v>0.01</v>
      </c>
      <c r="E4214" s="109">
        <v>1.0999999999999999E-2</v>
      </c>
      <c r="F4214" s="109">
        <v>1.0999999999999999E-2</v>
      </c>
      <c r="G4214" s="130">
        <v>0</v>
      </c>
      <c r="H4214" s="71">
        <v>8.6999999999999993</v>
      </c>
      <c r="I4214" s="71">
        <v>11.4</v>
      </c>
      <c r="J4214" s="71">
        <v>14</v>
      </c>
      <c r="K4214" s="121">
        <v>3.4999999999999996E-3</v>
      </c>
      <c r="L4214" s="121">
        <v>-7.0000000000000001E-3</v>
      </c>
      <c r="M4214" s="75" t="s">
        <v>146</v>
      </c>
      <c r="N4214" s="75" t="b">
        <v>1</v>
      </c>
      <c r="O4214" s="75" t="s">
        <v>145</v>
      </c>
      <c r="P4214" s="75">
        <v>2014</v>
      </c>
      <c r="Q4214" s="107">
        <f t="shared" si="130"/>
        <v>2019</v>
      </c>
      <c r="R4214" s="107">
        <v>2</v>
      </c>
      <c r="S4214" s="43">
        <v>219091</v>
      </c>
      <c r="T4214" s="74">
        <v>43690</v>
      </c>
    </row>
    <row r="4215" spans="1:20" x14ac:dyDescent="0.3">
      <c r="A4215" s="42">
        <v>43675</v>
      </c>
      <c r="B4215" s="37">
        <f t="shared" si="129"/>
        <v>20190729</v>
      </c>
      <c r="C4215" s="109">
        <v>1.7000000000000001E-2</v>
      </c>
      <c r="D4215" s="109">
        <v>0.01</v>
      </c>
      <c r="E4215" s="109">
        <v>1.0999999999999999E-2</v>
      </c>
      <c r="F4215" s="109">
        <v>1.0999999999999999E-2</v>
      </c>
      <c r="G4215" s="130">
        <v>0</v>
      </c>
      <c r="H4215" s="71">
        <v>8.6999999999999993</v>
      </c>
      <c r="I4215" s="71">
        <v>11.4</v>
      </c>
      <c r="J4215" s="71">
        <v>14</v>
      </c>
      <c r="K4215" s="121">
        <v>3.5999999999999999E-3</v>
      </c>
      <c r="L4215" s="121">
        <v>-7.0000000000000001E-3</v>
      </c>
      <c r="M4215" s="75" t="s">
        <v>146</v>
      </c>
      <c r="N4215" s="75" t="b">
        <v>1</v>
      </c>
      <c r="O4215" s="75" t="s">
        <v>145</v>
      </c>
      <c r="P4215" s="75">
        <v>2014</v>
      </c>
      <c r="Q4215" s="107">
        <f t="shared" si="130"/>
        <v>2019</v>
      </c>
      <c r="R4215" s="107">
        <v>2</v>
      </c>
      <c r="S4215" s="43">
        <v>219091</v>
      </c>
      <c r="T4215" s="74">
        <v>43690</v>
      </c>
    </row>
    <row r="4216" spans="1:20" x14ac:dyDescent="0.3">
      <c r="A4216" s="42">
        <v>43676</v>
      </c>
      <c r="B4216" s="37">
        <f t="shared" si="129"/>
        <v>20190730</v>
      </c>
      <c r="C4216" s="109">
        <v>1.7100000000000001E-2</v>
      </c>
      <c r="D4216" s="109">
        <v>0.01</v>
      </c>
      <c r="E4216" s="109">
        <v>1.0999999999999999E-2</v>
      </c>
      <c r="F4216" s="109">
        <v>1.0999999999999999E-2</v>
      </c>
      <c r="G4216" s="130">
        <v>0</v>
      </c>
      <c r="H4216" s="71">
        <v>8.6999999999999993</v>
      </c>
      <c r="I4216" s="71">
        <v>11.4</v>
      </c>
      <c r="J4216" s="71">
        <v>14</v>
      </c>
      <c r="K4216" s="121">
        <v>3.5999999999999999E-3</v>
      </c>
      <c r="L4216" s="121">
        <v>-7.0000000000000001E-3</v>
      </c>
      <c r="M4216" s="75" t="s">
        <v>146</v>
      </c>
      <c r="N4216" s="75" t="b">
        <v>1</v>
      </c>
      <c r="O4216" s="75" t="s">
        <v>145</v>
      </c>
      <c r="P4216" s="75">
        <v>2014</v>
      </c>
      <c r="Q4216" s="107">
        <f t="shared" si="130"/>
        <v>2019</v>
      </c>
      <c r="R4216" s="107">
        <v>2</v>
      </c>
      <c r="S4216" s="43">
        <v>219091</v>
      </c>
      <c r="T4216" s="74">
        <v>43690</v>
      </c>
    </row>
    <row r="4217" spans="1:20" x14ac:dyDescent="0.3">
      <c r="A4217" s="42">
        <v>43677</v>
      </c>
      <c r="B4217" s="37">
        <f t="shared" si="129"/>
        <v>20190731</v>
      </c>
      <c r="C4217" s="109">
        <v>1.67E-2</v>
      </c>
      <c r="D4217" s="109">
        <v>0.01</v>
      </c>
      <c r="E4217" s="109">
        <v>1.0999999999999999E-2</v>
      </c>
      <c r="F4217" s="109">
        <v>1.0999999999999999E-2</v>
      </c>
      <c r="G4217" s="130">
        <v>0</v>
      </c>
      <c r="H4217" s="71">
        <v>8.6999999999999993</v>
      </c>
      <c r="I4217" s="71">
        <v>11.4</v>
      </c>
      <c r="J4217" s="71">
        <v>14</v>
      </c>
      <c r="K4217" s="121">
        <v>3.2000000000000002E-3</v>
      </c>
      <c r="L4217" s="121">
        <v>-7.0000000000000001E-3</v>
      </c>
      <c r="M4217" s="75" t="s">
        <v>146</v>
      </c>
      <c r="N4217" s="75" t="b">
        <v>1</v>
      </c>
      <c r="O4217" s="75" t="s">
        <v>145</v>
      </c>
      <c r="P4217" s="75">
        <v>2014</v>
      </c>
      <c r="Q4217" s="107">
        <f t="shared" si="130"/>
        <v>2019</v>
      </c>
      <c r="R4217" s="107">
        <v>2</v>
      </c>
      <c r="S4217" s="43">
        <v>219091</v>
      </c>
      <c r="T4217" s="74">
        <v>43690</v>
      </c>
    </row>
    <row r="4218" spans="1:20" x14ac:dyDescent="0.3">
      <c r="A4218" s="42">
        <v>43678</v>
      </c>
      <c r="B4218" s="37">
        <f t="shared" si="129"/>
        <v>20190801</v>
      </c>
      <c r="C4218" s="109">
        <v>1.6E-2</v>
      </c>
      <c r="D4218" s="109">
        <v>0.01</v>
      </c>
      <c r="E4218" s="109">
        <v>1.0999999999999999E-2</v>
      </c>
      <c r="F4218" s="109">
        <v>1.0999999999999999E-2</v>
      </c>
      <c r="G4218" s="130">
        <v>0</v>
      </c>
      <c r="H4218" s="71">
        <v>8.6999999999999993</v>
      </c>
      <c r="I4218" s="71">
        <v>11.4</v>
      </c>
      <c r="J4218" s="71">
        <v>14</v>
      </c>
      <c r="K4218" s="121">
        <v>2.8999999999999998E-3</v>
      </c>
      <c r="L4218" s="121">
        <v>-7.0000000000000001E-3</v>
      </c>
      <c r="M4218" s="75" t="s">
        <v>146</v>
      </c>
      <c r="N4218" s="75" t="b">
        <v>1</v>
      </c>
      <c r="O4218" s="75" t="s">
        <v>145</v>
      </c>
      <c r="P4218" s="75">
        <v>2014</v>
      </c>
      <c r="Q4218" s="107">
        <f t="shared" si="130"/>
        <v>2019</v>
      </c>
      <c r="R4218" s="107">
        <v>2</v>
      </c>
      <c r="S4218" s="43">
        <v>219091</v>
      </c>
      <c r="T4218" s="74">
        <v>43690</v>
      </c>
    </row>
    <row r="4219" spans="1:20" x14ac:dyDescent="0.3">
      <c r="A4219" s="42">
        <v>43679</v>
      </c>
      <c r="B4219" s="37">
        <f t="shared" si="129"/>
        <v>20190802</v>
      </c>
      <c r="C4219" s="109">
        <v>1.5800000000000002E-2</v>
      </c>
      <c r="D4219" s="109">
        <v>0.01</v>
      </c>
      <c r="E4219" s="109">
        <v>1.0999999999999999E-2</v>
      </c>
      <c r="F4219" s="109">
        <v>1.0999999999999999E-2</v>
      </c>
      <c r="G4219" s="130">
        <v>0</v>
      </c>
      <c r="H4219" s="71">
        <v>8.6999999999999993</v>
      </c>
      <c r="I4219" s="71">
        <v>11.4</v>
      </c>
      <c r="J4219" s="71">
        <v>14</v>
      </c>
      <c r="K4219" s="121">
        <v>2.8000000000000004E-3</v>
      </c>
      <c r="L4219" s="121">
        <v>-7.0000000000000001E-3</v>
      </c>
      <c r="M4219" s="75" t="s">
        <v>146</v>
      </c>
      <c r="N4219" s="75" t="b">
        <v>1</v>
      </c>
      <c r="O4219" s="75" t="s">
        <v>145</v>
      </c>
      <c r="P4219" s="75">
        <v>2014</v>
      </c>
      <c r="Q4219" s="107">
        <f t="shared" si="130"/>
        <v>2019</v>
      </c>
      <c r="R4219" s="107">
        <v>2</v>
      </c>
      <c r="S4219" s="43">
        <v>219091</v>
      </c>
      <c r="T4219" s="74">
        <v>43690</v>
      </c>
    </row>
    <row r="4220" spans="1:20" x14ac:dyDescent="0.3">
      <c r="A4220" s="42">
        <v>43680</v>
      </c>
      <c r="B4220" s="37">
        <f t="shared" si="129"/>
        <v>20190803</v>
      </c>
      <c r="C4220" s="109">
        <v>1.5800000000000002E-2</v>
      </c>
      <c r="D4220" s="109">
        <v>0.01</v>
      </c>
      <c r="E4220" s="109">
        <v>1.0999999999999999E-2</v>
      </c>
      <c r="F4220" s="109">
        <v>1.0999999999999999E-2</v>
      </c>
      <c r="G4220" s="130">
        <v>0</v>
      </c>
      <c r="H4220" s="71">
        <v>8.6999999999999993</v>
      </c>
      <c r="I4220" s="71">
        <v>11.4</v>
      </c>
      <c r="J4220" s="71">
        <v>14</v>
      </c>
      <c r="K4220" s="121">
        <v>2.8000000000000004E-3</v>
      </c>
      <c r="L4220" s="121">
        <v>-7.0000000000000001E-3</v>
      </c>
      <c r="M4220" s="75" t="s">
        <v>146</v>
      </c>
      <c r="N4220" s="75" t="b">
        <v>1</v>
      </c>
      <c r="O4220" s="75" t="s">
        <v>145</v>
      </c>
      <c r="P4220" s="75">
        <v>2014</v>
      </c>
      <c r="Q4220" s="107">
        <f t="shared" si="130"/>
        <v>2019</v>
      </c>
      <c r="R4220" s="107">
        <v>2</v>
      </c>
      <c r="S4220" s="43">
        <v>219091</v>
      </c>
      <c r="T4220" s="74">
        <v>43690</v>
      </c>
    </row>
    <row r="4221" spans="1:20" x14ac:dyDescent="0.3">
      <c r="A4221" s="42">
        <v>43681</v>
      </c>
      <c r="B4221" s="37">
        <f t="shared" si="129"/>
        <v>20190804</v>
      </c>
      <c r="C4221" s="109">
        <v>1.5800000000000002E-2</v>
      </c>
      <c r="D4221" s="109">
        <v>0.01</v>
      </c>
      <c r="E4221" s="109">
        <v>1.0999999999999999E-2</v>
      </c>
      <c r="F4221" s="109">
        <v>1.0999999999999999E-2</v>
      </c>
      <c r="G4221" s="130">
        <v>0</v>
      </c>
      <c r="H4221" s="71">
        <v>8.6999999999999993</v>
      </c>
      <c r="I4221" s="71">
        <v>11.4</v>
      </c>
      <c r="J4221" s="71">
        <v>14</v>
      </c>
      <c r="K4221" s="121">
        <v>2.8000000000000004E-3</v>
      </c>
      <c r="L4221" s="121">
        <v>-7.0000000000000001E-3</v>
      </c>
      <c r="M4221" s="75" t="s">
        <v>146</v>
      </c>
      <c r="N4221" s="75" t="b">
        <v>1</v>
      </c>
      <c r="O4221" s="75" t="s">
        <v>145</v>
      </c>
      <c r="P4221" s="75">
        <v>2014</v>
      </c>
      <c r="Q4221" s="107">
        <f t="shared" si="130"/>
        <v>2019</v>
      </c>
      <c r="R4221" s="107">
        <v>2</v>
      </c>
      <c r="S4221" s="43">
        <v>219091</v>
      </c>
      <c r="T4221" s="74">
        <v>43690</v>
      </c>
    </row>
    <row r="4222" spans="1:20" x14ac:dyDescent="0.3">
      <c r="A4222" s="42">
        <v>43682</v>
      </c>
      <c r="B4222" s="37">
        <f t="shared" si="129"/>
        <v>20190805</v>
      </c>
      <c r="C4222" s="109">
        <v>1.5800000000000002E-2</v>
      </c>
      <c r="D4222" s="109">
        <v>0.01</v>
      </c>
      <c r="E4222" s="109">
        <v>1.0999999999999999E-2</v>
      </c>
      <c r="F4222" s="109">
        <v>1.0999999999999999E-2</v>
      </c>
      <c r="G4222" s="130">
        <v>0</v>
      </c>
      <c r="H4222" s="71">
        <v>8.6999999999999993</v>
      </c>
      <c r="I4222" s="71">
        <v>11.4</v>
      </c>
      <c r="J4222" s="71">
        <v>14</v>
      </c>
      <c r="K4222" s="121">
        <v>2.8000000000000004E-3</v>
      </c>
      <c r="L4222" s="121">
        <v>-7.0000000000000001E-3</v>
      </c>
      <c r="M4222" s="75" t="s">
        <v>146</v>
      </c>
      <c r="N4222" s="75" t="b">
        <v>1</v>
      </c>
      <c r="O4222" s="75" t="s">
        <v>145</v>
      </c>
      <c r="P4222" s="75">
        <v>2014</v>
      </c>
      <c r="Q4222" s="107">
        <f t="shared" si="130"/>
        <v>2019</v>
      </c>
      <c r="R4222" s="107">
        <v>2</v>
      </c>
      <c r="S4222" s="43">
        <v>219091</v>
      </c>
      <c r="T4222" s="74">
        <v>43690</v>
      </c>
    </row>
    <row r="4223" spans="1:20" x14ac:dyDescent="0.3">
      <c r="A4223" s="42">
        <v>43683</v>
      </c>
      <c r="B4223" s="37">
        <f t="shared" si="129"/>
        <v>20190806</v>
      </c>
      <c r="C4223" s="109">
        <v>1.43E-2</v>
      </c>
      <c r="D4223" s="109">
        <v>0.01</v>
      </c>
      <c r="E4223" s="109">
        <v>1.0999999999999999E-2</v>
      </c>
      <c r="F4223" s="109">
        <v>1.0999999999999999E-2</v>
      </c>
      <c r="G4223" s="130">
        <v>0</v>
      </c>
      <c r="H4223" s="71">
        <v>8.6999999999999993</v>
      </c>
      <c r="I4223" s="71">
        <v>11.4</v>
      </c>
      <c r="J4223" s="71">
        <v>14</v>
      </c>
      <c r="K4223" s="121">
        <v>2E-3</v>
      </c>
      <c r="L4223" s="121">
        <v>-7.0000000000000001E-3</v>
      </c>
      <c r="M4223" s="75" t="s">
        <v>146</v>
      </c>
      <c r="N4223" s="75" t="b">
        <v>1</v>
      </c>
      <c r="O4223" s="75" t="s">
        <v>145</v>
      </c>
      <c r="P4223" s="75">
        <v>2014</v>
      </c>
      <c r="Q4223" s="107">
        <f t="shared" si="130"/>
        <v>2019</v>
      </c>
      <c r="R4223" s="107">
        <v>2</v>
      </c>
      <c r="S4223" s="43">
        <v>219091</v>
      </c>
      <c r="T4223" s="74">
        <v>43690</v>
      </c>
    </row>
    <row r="4224" spans="1:20" x14ac:dyDescent="0.3">
      <c r="A4224" s="42">
        <v>43684</v>
      </c>
      <c r="B4224" s="37">
        <f t="shared" si="129"/>
        <v>20190807</v>
      </c>
      <c r="C4224" s="109">
        <v>1.44E-2</v>
      </c>
      <c r="D4224" s="109">
        <v>0.01</v>
      </c>
      <c r="E4224" s="109">
        <v>1.0999999999999999E-2</v>
      </c>
      <c r="F4224" s="109">
        <v>1.0999999999999999E-2</v>
      </c>
      <c r="G4224" s="130">
        <v>0</v>
      </c>
      <c r="H4224" s="71">
        <v>8.6999999999999993</v>
      </c>
      <c r="I4224" s="71">
        <v>11.4</v>
      </c>
      <c r="J4224" s="71">
        <v>14</v>
      </c>
      <c r="K4224" s="121">
        <v>2E-3</v>
      </c>
      <c r="L4224" s="121">
        <v>-7.0000000000000001E-3</v>
      </c>
      <c r="M4224" s="75" t="s">
        <v>146</v>
      </c>
      <c r="N4224" s="75" t="b">
        <v>1</v>
      </c>
      <c r="O4224" s="75" t="s">
        <v>145</v>
      </c>
      <c r="P4224" s="75">
        <v>2014</v>
      </c>
      <c r="Q4224" s="107">
        <f t="shared" si="130"/>
        <v>2019</v>
      </c>
      <c r="R4224" s="107">
        <v>2</v>
      </c>
      <c r="S4224" s="43">
        <v>219091</v>
      </c>
      <c r="T4224" s="74">
        <v>43690</v>
      </c>
    </row>
    <row r="4225" spans="1:20" x14ac:dyDescent="0.3">
      <c r="A4225" s="42">
        <v>43685</v>
      </c>
      <c r="B4225" s="37">
        <f t="shared" si="129"/>
        <v>20190808</v>
      </c>
      <c r="C4225" s="109">
        <v>1.46E-2</v>
      </c>
      <c r="D4225" s="109">
        <v>0.01</v>
      </c>
      <c r="E4225" s="109">
        <v>1.0999999999999999E-2</v>
      </c>
      <c r="F4225" s="109">
        <v>1.0999999999999999E-2</v>
      </c>
      <c r="G4225" s="130">
        <v>0</v>
      </c>
      <c r="H4225" s="71">
        <v>8.6999999999999993</v>
      </c>
      <c r="I4225" s="71">
        <v>11.4</v>
      </c>
      <c r="J4225" s="71">
        <v>14</v>
      </c>
      <c r="K4225" s="121">
        <v>1.9E-3</v>
      </c>
      <c r="L4225" s="121">
        <v>-7.0000000000000001E-3</v>
      </c>
      <c r="M4225" s="75" t="s">
        <v>146</v>
      </c>
      <c r="N4225" s="75" t="b">
        <v>1</v>
      </c>
      <c r="O4225" s="75" t="s">
        <v>145</v>
      </c>
      <c r="P4225" s="75">
        <v>2014</v>
      </c>
      <c r="Q4225" s="107">
        <f t="shared" si="130"/>
        <v>2019</v>
      </c>
      <c r="R4225" s="107">
        <v>2</v>
      </c>
      <c r="S4225" s="43">
        <v>219091</v>
      </c>
      <c r="T4225" s="74">
        <v>43690</v>
      </c>
    </row>
    <row r="4226" spans="1:20" x14ac:dyDescent="0.3">
      <c r="A4226" s="42">
        <v>43686</v>
      </c>
      <c r="B4226" s="37">
        <f t="shared" si="129"/>
        <v>20190809</v>
      </c>
      <c r="C4226" s="109">
        <v>1.49E-2</v>
      </c>
      <c r="D4226" s="109">
        <v>0.01</v>
      </c>
      <c r="E4226" s="109">
        <v>1.0999999999999999E-2</v>
      </c>
      <c r="F4226" s="109">
        <v>1.0999999999999999E-2</v>
      </c>
      <c r="G4226" s="130">
        <v>0</v>
      </c>
      <c r="H4226" s="71">
        <v>8.6999999999999993</v>
      </c>
      <c r="I4226" s="71">
        <v>11.4</v>
      </c>
      <c r="J4226" s="71">
        <v>14</v>
      </c>
      <c r="K4226" s="121">
        <v>2.3E-3</v>
      </c>
      <c r="L4226" s="121">
        <v>-7.0000000000000001E-3</v>
      </c>
      <c r="M4226" s="75" t="s">
        <v>146</v>
      </c>
      <c r="N4226" s="75" t="b">
        <v>1</v>
      </c>
      <c r="O4226" s="75" t="s">
        <v>145</v>
      </c>
      <c r="P4226" s="75">
        <v>2014</v>
      </c>
      <c r="Q4226" s="107">
        <f t="shared" si="130"/>
        <v>2019</v>
      </c>
      <c r="R4226" s="107">
        <v>2</v>
      </c>
      <c r="S4226" s="43">
        <v>219091</v>
      </c>
      <c r="T4226" s="74">
        <v>43690</v>
      </c>
    </row>
    <row r="4227" spans="1:20" x14ac:dyDescent="0.3">
      <c r="A4227" s="42">
        <v>43687</v>
      </c>
      <c r="B4227" s="37">
        <f>YEAR(A4227)*10000+MONTH(A4227)*100+DAY(A4227)</f>
        <v>20190810</v>
      </c>
      <c r="C4227" s="109">
        <v>1.49E-2</v>
      </c>
      <c r="D4227" s="109">
        <v>0.01</v>
      </c>
      <c r="E4227" s="109">
        <v>1.0999999999999999E-2</v>
      </c>
      <c r="F4227" s="109">
        <v>1.0999999999999999E-2</v>
      </c>
      <c r="G4227" s="130">
        <v>0</v>
      </c>
      <c r="H4227" s="71">
        <v>8.6999999999999993</v>
      </c>
      <c r="I4227" s="71">
        <v>11.4</v>
      </c>
      <c r="J4227" s="71">
        <v>14</v>
      </c>
      <c r="K4227" s="121">
        <v>2.3E-3</v>
      </c>
      <c r="L4227" s="121">
        <v>-7.0000000000000001E-3</v>
      </c>
      <c r="M4227" s="75" t="s">
        <v>146</v>
      </c>
      <c r="N4227" s="75" t="b">
        <v>1</v>
      </c>
      <c r="O4227" s="75" t="s">
        <v>145</v>
      </c>
      <c r="P4227" s="75">
        <v>2014</v>
      </c>
      <c r="Q4227" s="107">
        <f t="shared" si="130"/>
        <v>2019</v>
      </c>
      <c r="R4227" s="107">
        <v>2</v>
      </c>
      <c r="S4227" s="43">
        <v>219091</v>
      </c>
      <c r="T4227" s="74">
        <v>43690</v>
      </c>
    </row>
    <row r="4228" spans="1:20" x14ac:dyDescent="0.3">
      <c r="A4228" s="42">
        <v>43688</v>
      </c>
      <c r="B4228" s="37">
        <f>YEAR(A4228)*10000+MONTH(A4228)*100+DAY(A4228)</f>
        <v>20190811</v>
      </c>
      <c r="C4228" s="109">
        <v>1.49E-2</v>
      </c>
      <c r="D4228" s="109">
        <v>0.01</v>
      </c>
      <c r="E4228" s="109">
        <v>1.0999999999999999E-2</v>
      </c>
      <c r="F4228" s="109">
        <v>1.0999999999999999E-2</v>
      </c>
      <c r="G4228" s="130">
        <v>0</v>
      </c>
      <c r="H4228" s="71">
        <v>8.6999999999999993</v>
      </c>
      <c r="I4228" s="71">
        <v>11.4</v>
      </c>
      <c r="J4228" s="71">
        <v>14</v>
      </c>
      <c r="K4228" s="121">
        <v>2.3E-3</v>
      </c>
      <c r="L4228" s="121">
        <v>-7.0000000000000001E-3</v>
      </c>
      <c r="M4228" s="75" t="s">
        <v>146</v>
      </c>
      <c r="N4228" s="75" t="b">
        <v>1</v>
      </c>
      <c r="O4228" s="75" t="s">
        <v>145</v>
      </c>
      <c r="P4228" s="75">
        <v>2014</v>
      </c>
      <c r="Q4228" s="107">
        <f t="shared" si="130"/>
        <v>2019</v>
      </c>
      <c r="R4228" s="107">
        <v>2</v>
      </c>
      <c r="S4228" s="43">
        <v>219091</v>
      </c>
      <c r="T4228" s="74">
        <v>43690</v>
      </c>
    </row>
    <row r="4229" spans="1:20" x14ac:dyDescent="0.3">
      <c r="A4229" s="42">
        <v>43689</v>
      </c>
      <c r="B4229" s="37">
        <f t="shared" si="129"/>
        <v>20190812</v>
      </c>
      <c r="C4229" s="109">
        <v>1.4199999999999999E-2</v>
      </c>
      <c r="D4229" s="109">
        <v>0.01</v>
      </c>
      <c r="E4229" s="109">
        <v>1.0999999999999999E-2</v>
      </c>
      <c r="F4229" s="109">
        <v>1.0999999999999999E-2</v>
      </c>
      <c r="G4229" s="130">
        <v>0</v>
      </c>
      <c r="H4229" s="71">
        <v>8.6999999999999993</v>
      </c>
      <c r="I4229" s="71">
        <v>11.4</v>
      </c>
      <c r="J4229" s="71">
        <v>14</v>
      </c>
      <c r="K4229" s="121">
        <v>1.7000000000000001E-3</v>
      </c>
      <c r="L4229" s="121">
        <v>-7.0000000000000001E-3</v>
      </c>
      <c r="M4229" s="75" t="s">
        <v>146</v>
      </c>
      <c r="N4229" s="75" t="b">
        <v>1</v>
      </c>
      <c r="O4229" s="75" t="s">
        <v>145</v>
      </c>
      <c r="P4229" s="75">
        <v>2014</v>
      </c>
      <c r="Q4229" s="107">
        <f t="shared" si="130"/>
        <v>2019</v>
      </c>
      <c r="R4229" s="107">
        <v>2</v>
      </c>
      <c r="S4229" s="43">
        <v>219091</v>
      </c>
      <c r="T4229" s="74">
        <v>43690</v>
      </c>
    </row>
    <row r="4230" spans="1:20" x14ac:dyDescent="0.3">
      <c r="A4230" s="42">
        <v>43690</v>
      </c>
      <c r="B4230" s="37">
        <f t="shared" si="129"/>
        <v>20190813</v>
      </c>
      <c r="C4230" s="109">
        <v>1.43E-2</v>
      </c>
      <c r="D4230" s="109">
        <v>0.01</v>
      </c>
      <c r="E4230" s="109">
        <v>1.0999999999999999E-2</v>
      </c>
      <c r="F4230" s="109">
        <v>1.0999999999999999E-2</v>
      </c>
      <c r="G4230" s="130">
        <v>0</v>
      </c>
      <c r="H4230" s="71">
        <v>8.6999999999999993</v>
      </c>
      <c r="I4230" s="71">
        <v>11.4</v>
      </c>
      <c r="J4230" s="71">
        <v>14</v>
      </c>
      <c r="K4230" s="121">
        <v>1.8E-3</v>
      </c>
      <c r="L4230" s="121">
        <v>-7.0000000000000001E-3</v>
      </c>
      <c r="M4230" s="75" t="s">
        <v>146</v>
      </c>
      <c r="N4230" s="75" t="b">
        <v>1</v>
      </c>
      <c r="O4230" s="75" t="s">
        <v>145</v>
      </c>
      <c r="P4230" s="75">
        <v>2014</v>
      </c>
      <c r="Q4230" s="107">
        <f t="shared" si="130"/>
        <v>2019</v>
      </c>
      <c r="R4230" s="107">
        <v>2</v>
      </c>
      <c r="S4230" s="43">
        <v>219091</v>
      </c>
      <c r="T4230" s="74">
        <v>43690</v>
      </c>
    </row>
    <row r="4231" spans="1:20" x14ac:dyDescent="0.3">
      <c r="A4231" s="42">
        <v>43691</v>
      </c>
      <c r="B4231" s="37">
        <f t="shared" si="129"/>
        <v>20190814</v>
      </c>
      <c r="C4231" s="109">
        <v>1.3300000000000001E-2</v>
      </c>
      <c r="D4231" s="109">
        <v>0.01</v>
      </c>
      <c r="E4231" s="109">
        <v>1.0999999999999999E-2</v>
      </c>
      <c r="F4231" s="109">
        <v>1.0999999999999999E-2</v>
      </c>
      <c r="G4231" s="130">
        <v>0</v>
      </c>
      <c r="H4231" s="71">
        <v>8.6999999999999993</v>
      </c>
      <c r="I4231" s="71">
        <v>11.4</v>
      </c>
      <c r="J4231" s="71">
        <v>14</v>
      </c>
      <c r="K4231" s="121">
        <v>1.1000000000000001E-3</v>
      </c>
      <c r="L4231" s="121">
        <v>-7.0000000000000001E-3</v>
      </c>
      <c r="M4231" s="75" t="s">
        <v>146</v>
      </c>
      <c r="N4231" s="75" t="b">
        <v>1</v>
      </c>
      <c r="O4231" s="75" t="s">
        <v>145</v>
      </c>
      <c r="P4231" s="75">
        <v>2014</v>
      </c>
      <c r="Q4231" s="107">
        <f t="shared" si="130"/>
        <v>2019</v>
      </c>
      <c r="R4231" s="107">
        <v>2</v>
      </c>
      <c r="S4231" s="43">
        <v>219091</v>
      </c>
      <c r="T4231" s="74">
        <v>43690</v>
      </c>
    </row>
    <row r="4232" spans="1:20" x14ac:dyDescent="0.3">
      <c r="A4232" s="42">
        <v>43692</v>
      </c>
      <c r="B4232" s="37">
        <f t="shared" si="129"/>
        <v>20190815</v>
      </c>
      <c r="C4232" s="109">
        <v>1.2699999999999999E-2</v>
      </c>
      <c r="D4232" s="109">
        <v>0.01</v>
      </c>
      <c r="E4232" s="109">
        <v>1.0999999999999999E-2</v>
      </c>
      <c r="F4232" s="109">
        <v>1.0999999999999999E-2</v>
      </c>
      <c r="G4232" s="130">
        <v>0</v>
      </c>
      <c r="H4232" s="71">
        <v>8.6999999999999993</v>
      </c>
      <c r="I4232" s="71">
        <v>11.4</v>
      </c>
      <c r="J4232" s="71">
        <v>14</v>
      </c>
      <c r="K4232" s="121">
        <v>7.000000000000001E-4</v>
      </c>
      <c r="L4232" s="121">
        <v>-7.0000000000000001E-3</v>
      </c>
      <c r="M4232" s="75" t="s">
        <v>146</v>
      </c>
      <c r="N4232" s="75" t="b">
        <v>1</v>
      </c>
      <c r="O4232" s="75" t="s">
        <v>145</v>
      </c>
      <c r="P4232" s="75">
        <v>2014</v>
      </c>
      <c r="Q4232" s="107">
        <f t="shared" si="130"/>
        <v>2019</v>
      </c>
      <c r="R4232" s="107">
        <v>2</v>
      </c>
      <c r="S4232" s="43">
        <v>219091</v>
      </c>
      <c r="T4232" s="74">
        <v>43690</v>
      </c>
    </row>
    <row r="4233" spans="1:20" x14ac:dyDescent="0.3">
      <c r="A4233" s="42">
        <v>43693</v>
      </c>
      <c r="B4233" s="37">
        <f t="shared" si="129"/>
        <v>20190816</v>
      </c>
      <c r="C4233" s="109">
        <v>1.32E-2</v>
      </c>
      <c r="D4233" s="109">
        <v>0.01</v>
      </c>
      <c r="E4233" s="109">
        <v>1.0999999999999999E-2</v>
      </c>
      <c r="F4233" s="109">
        <v>1.0999999999999999E-2</v>
      </c>
      <c r="G4233" s="130">
        <v>0</v>
      </c>
      <c r="H4233" s="71">
        <v>8.6999999999999993</v>
      </c>
      <c r="I4233" s="71">
        <v>11.4</v>
      </c>
      <c r="J4233" s="71">
        <v>14</v>
      </c>
      <c r="K4233" s="121">
        <v>1.1999999999999999E-3</v>
      </c>
      <c r="L4233" s="121">
        <v>-7.0000000000000001E-3</v>
      </c>
      <c r="M4233" s="75" t="s">
        <v>146</v>
      </c>
      <c r="N4233" s="75" t="b">
        <v>1</v>
      </c>
      <c r="O4233" s="75" t="s">
        <v>145</v>
      </c>
      <c r="P4233" s="75">
        <v>2014</v>
      </c>
      <c r="Q4233" s="107">
        <f t="shared" si="130"/>
        <v>2019</v>
      </c>
      <c r="R4233" s="107">
        <v>2</v>
      </c>
      <c r="S4233" s="43">
        <v>219091</v>
      </c>
      <c r="T4233" s="74">
        <v>43690</v>
      </c>
    </row>
    <row r="4234" spans="1:20" x14ac:dyDescent="0.3">
      <c r="A4234" s="42">
        <v>43694</v>
      </c>
      <c r="B4234" s="37">
        <f>YEAR(A4234)*10000+MONTH(A4234)*100+DAY(A4234)</f>
        <v>20190817</v>
      </c>
      <c r="C4234" s="109">
        <v>1.32E-2</v>
      </c>
      <c r="D4234" s="109">
        <v>0.01</v>
      </c>
      <c r="E4234" s="109">
        <v>1.0999999999999999E-2</v>
      </c>
      <c r="F4234" s="109">
        <v>1.0999999999999999E-2</v>
      </c>
      <c r="G4234" s="130">
        <v>0</v>
      </c>
      <c r="H4234" s="71">
        <v>8.6999999999999993</v>
      </c>
      <c r="I4234" s="71">
        <v>11.4</v>
      </c>
      <c r="J4234" s="71">
        <v>14</v>
      </c>
      <c r="K4234" s="121">
        <v>1.1999999999999999E-3</v>
      </c>
      <c r="L4234" s="121">
        <v>-7.0000000000000001E-3</v>
      </c>
      <c r="M4234" s="75" t="s">
        <v>146</v>
      </c>
      <c r="N4234" s="75" t="b">
        <v>1</v>
      </c>
      <c r="O4234" s="75" t="s">
        <v>145</v>
      </c>
      <c r="P4234" s="75">
        <v>2014</v>
      </c>
      <c r="Q4234" s="107">
        <f t="shared" si="130"/>
        <v>2019</v>
      </c>
      <c r="R4234" s="107">
        <v>2</v>
      </c>
      <c r="S4234" s="43">
        <v>219091</v>
      </c>
      <c r="T4234" s="74">
        <v>43690</v>
      </c>
    </row>
    <row r="4235" spans="1:20" x14ac:dyDescent="0.3">
      <c r="A4235" s="42">
        <v>43695</v>
      </c>
      <c r="B4235" s="37">
        <f>YEAR(A4235)*10000+MONTH(A4235)*100+DAY(A4235)</f>
        <v>20190818</v>
      </c>
      <c r="C4235" s="109">
        <v>1.32E-2</v>
      </c>
      <c r="D4235" s="109">
        <v>0.01</v>
      </c>
      <c r="E4235" s="109">
        <v>1.0999999999999999E-2</v>
      </c>
      <c r="F4235" s="109">
        <v>1.0999999999999999E-2</v>
      </c>
      <c r="G4235" s="130">
        <v>0</v>
      </c>
      <c r="H4235" s="71">
        <v>8.6999999999999993</v>
      </c>
      <c r="I4235" s="71">
        <v>11.4</v>
      </c>
      <c r="J4235" s="71">
        <v>14</v>
      </c>
      <c r="K4235" s="121">
        <v>1.1999999999999999E-3</v>
      </c>
      <c r="L4235" s="121">
        <v>-7.0000000000000001E-3</v>
      </c>
      <c r="M4235" s="75" t="s">
        <v>146</v>
      </c>
      <c r="N4235" s="75" t="b">
        <v>1</v>
      </c>
      <c r="O4235" s="75" t="s">
        <v>145</v>
      </c>
      <c r="P4235" s="75">
        <v>2014</v>
      </c>
      <c r="Q4235" s="107">
        <f t="shared" si="130"/>
        <v>2019</v>
      </c>
      <c r="R4235" s="107">
        <v>2</v>
      </c>
      <c r="S4235" s="43">
        <v>219091</v>
      </c>
      <c r="T4235" s="74">
        <v>43690</v>
      </c>
    </row>
    <row r="4236" spans="1:20" x14ac:dyDescent="0.3">
      <c r="A4236" s="42">
        <v>43696</v>
      </c>
      <c r="B4236" s="37">
        <f t="shared" si="129"/>
        <v>20190819</v>
      </c>
      <c r="C4236" s="109">
        <v>1.38E-2</v>
      </c>
      <c r="D4236" s="109">
        <v>0.01</v>
      </c>
      <c r="E4236" s="109">
        <v>1.0999999999999999E-2</v>
      </c>
      <c r="F4236" s="109">
        <v>1.0999999999999999E-2</v>
      </c>
      <c r="G4236" s="130">
        <v>0</v>
      </c>
      <c r="H4236" s="71">
        <v>8.6999999999999993</v>
      </c>
      <c r="I4236" s="71">
        <v>11.4</v>
      </c>
      <c r="J4236" s="71">
        <v>14</v>
      </c>
      <c r="K4236" s="121">
        <v>1.9E-3</v>
      </c>
      <c r="L4236" s="121">
        <v>-7.0000000000000001E-3</v>
      </c>
      <c r="M4236" s="75" t="s">
        <v>146</v>
      </c>
      <c r="N4236" s="75" t="b">
        <v>1</v>
      </c>
      <c r="O4236" s="75" t="s">
        <v>145</v>
      </c>
      <c r="P4236" s="75">
        <v>2014</v>
      </c>
      <c r="Q4236" s="107">
        <f t="shared" si="130"/>
        <v>2019</v>
      </c>
      <c r="R4236" s="107">
        <v>2</v>
      </c>
      <c r="S4236" s="43">
        <v>219091</v>
      </c>
      <c r="T4236" s="74">
        <v>43690</v>
      </c>
    </row>
    <row r="4237" spans="1:20" x14ac:dyDescent="0.3">
      <c r="A4237" s="42">
        <v>43697</v>
      </c>
      <c r="B4237" s="37">
        <f t="shared" si="129"/>
        <v>20190820</v>
      </c>
      <c r="C4237" s="109">
        <v>1.37E-2</v>
      </c>
      <c r="D4237" s="109">
        <v>0.01</v>
      </c>
      <c r="E4237" s="109">
        <v>1.0999999999999999E-2</v>
      </c>
      <c r="F4237" s="109">
        <v>1.0999999999999999E-2</v>
      </c>
      <c r="G4237" s="130">
        <v>0</v>
      </c>
      <c r="H4237" s="71">
        <v>8.6999999999999993</v>
      </c>
      <c r="I4237" s="71">
        <v>11.4</v>
      </c>
      <c r="J4237" s="71">
        <v>14</v>
      </c>
      <c r="K4237" s="121">
        <v>1.8E-3</v>
      </c>
      <c r="L4237" s="121">
        <v>-7.0000000000000001E-3</v>
      </c>
      <c r="M4237" s="75" t="s">
        <v>146</v>
      </c>
      <c r="N4237" s="75" t="b">
        <v>1</v>
      </c>
      <c r="O4237" s="75" t="s">
        <v>145</v>
      </c>
      <c r="P4237" s="75">
        <v>2014</v>
      </c>
      <c r="Q4237" s="107">
        <f t="shared" si="130"/>
        <v>2019</v>
      </c>
      <c r="R4237" s="107">
        <v>2</v>
      </c>
      <c r="S4237" s="43">
        <v>219091</v>
      </c>
      <c r="T4237" s="74">
        <v>43690</v>
      </c>
    </row>
    <row r="4238" spans="1:20" x14ac:dyDescent="0.3">
      <c r="A4238" s="42">
        <v>43698</v>
      </c>
      <c r="B4238" s="37">
        <f t="shared" si="129"/>
        <v>20190821</v>
      </c>
      <c r="C4238" s="109">
        <v>1.4199999999999999E-2</v>
      </c>
      <c r="D4238" s="109">
        <v>0.01</v>
      </c>
      <c r="E4238" s="109">
        <v>1.0999999999999999E-2</v>
      </c>
      <c r="F4238" s="109">
        <v>1.0999999999999999E-2</v>
      </c>
      <c r="G4238" s="130">
        <v>0</v>
      </c>
      <c r="H4238" s="71">
        <v>8.6999999999999993</v>
      </c>
      <c r="I4238" s="71">
        <v>11.4</v>
      </c>
      <c r="J4238" s="71">
        <v>14</v>
      </c>
      <c r="K4238" s="121">
        <v>2.3E-3</v>
      </c>
      <c r="L4238" s="121">
        <v>-7.0000000000000001E-3</v>
      </c>
      <c r="M4238" s="75" t="s">
        <v>146</v>
      </c>
      <c r="N4238" s="75" t="b">
        <v>1</v>
      </c>
      <c r="O4238" s="75" t="s">
        <v>145</v>
      </c>
      <c r="P4238" s="75">
        <v>2014</v>
      </c>
      <c r="Q4238" s="107">
        <f t="shared" si="130"/>
        <v>2019</v>
      </c>
      <c r="R4238" s="107">
        <v>2</v>
      </c>
      <c r="S4238" s="43">
        <v>219091</v>
      </c>
      <c r="T4238" s="74">
        <v>43690</v>
      </c>
    </row>
    <row r="4239" spans="1:20" x14ac:dyDescent="0.3">
      <c r="A4239" s="42">
        <v>43699</v>
      </c>
      <c r="B4239" s="37">
        <f t="shared" si="129"/>
        <v>20190822</v>
      </c>
      <c r="C4239" s="109">
        <v>1.4800000000000001E-2</v>
      </c>
      <c r="D4239" s="109">
        <v>0.01</v>
      </c>
      <c r="E4239" s="109">
        <v>1.0999999999999999E-2</v>
      </c>
      <c r="F4239" s="109">
        <v>1.0999999999999999E-2</v>
      </c>
      <c r="G4239" s="130">
        <v>0</v>
      </c>
      <c r="H4239" s="71">
        <v>8.6999999999999993</v>
      </c>
      <c r="I4239" s="71">
        <v>11.4</v>
      </c>
      <c r="J4239" s="71">
        <v>14</v>
      </c>
      <c r="K4239" s="121">
        <v>2.8999999999999998E-3</v>
      </c>
      <c r="L4239" s="121">
        <v>-7.0000000000000001E-3</v>
      </c>
      <c r="M4239" s="75" t="s">
        <v>146</v>
      </c>
      <c r="N4239" s="75" t="b">
        <v>1</v>
      </c>
      <c r="O4239" s="75" t="s">
        <v>145</v>
      </c>
      <c r="P4239" s="75">
        <v>2014</v>
      </c>
      <c r="Q4239" s="107">
        <f t="shared" si="130"/>
        <v>2019</v>
      </c>
      <c r="R4239" s="107">
        <v>2</v>
      </c>
      <c r="S4239" s="43">
        <v>219091</v>
      </c>
      <c r="T4239" s="74">
        <v>43690</v>
      </c>
    </row>
    <row r="4240" spans="1:20" x14ac:dyDescent="0.3">
      <c r="A4240" s="42">
        <v>43700</v>
      </c>
      <c r="B4240" s="37">
        <f t="shared" si="129"/>
        <v>20190823</v>
      </c>
      <c r="C4240" s="109">
        <v>1.3999999999999999E-2</v>
      </c>
      <c r="D4240" s="109">
        <v>0.01</v>
      </c>
      <c r="E4240" s="109">
        <v>1.0999999999999999E-2</v>
      </c>
      <c r="F4240" s="109">
        <v>1.0999999999999999E-2</v>
      </c>
      <c r="G4240" s="130">
        <v>0</v>
      </c>
      <c r="H4240" s="71">
        <v>8.6999999999999993</v>
      </c>
      <c r="I4240" s="71">
        <v>11.4</v>
      </c>
      <c r="J4240" s="71">
        <v>14</v>
      </c>
      <c r="K4240" s="121">
        <v>2.0999999999999999E-3</v>
      </c>
      <c r="L4240" s="121">
        <v>-7.0000000000000001E-3</v>
      </c>
      <c r="M4240" s="75" t="s">
        <v>146</v>
      </c>
      <c r="N4240" s="75" t="b">
        <v>1</v>
      </c>
      <c r="O4240" s="75" t="s">
        <v>145</v>
      </c>
      <c r="P4240" s="75">
        <v>2014</v>
      </c>
      <c r="Q4240" s="107">
        <f t="shared" si="130"/>
        <v>2019</v>
      </c>
      <c r="R4240" s="107">
        <v>2</v>
      </c>
      <c r="S4240" s="43">
        <v>219091</v>
      </c>
      <c r="T4240" s="74">
        <v>43690</v>
      </c>
    </row>
    <row r="4241" spans="1:20" x14ac:dyDescent="0.3">
      <c r="A4241" s="42">
        <v>43701</v>
      </c>
      <c r="B4241" s="37">
        <f>YEAR(A4241)*10000+MONTH(A4241)*100+DAY(A4241)</f>
        <v>20190824</v>
      </c>
      <c r="C4241" s="109">
        <v>1.3999999999999999E-2</v>
      </c>
      <c r="D4241" s="109">
        <v>0.01</v>
      </c>
      <c r="E4241" s="109">
        <v>1.0999999999999999E-2</v>
      </c>
      <c r="F4241" s="109">
        <v>1.0999999999999999E-2</v>
      </c>
      <c r="G4241" s="130">
        <v>0</v>
      </c>
      <c r="H4241" s="71">
        <v>8.6999999999999993</v>
      </c>
      <c r="I4241" s="71">
        <v>11.4</v>
      </c>
      <c r="J4241" s="71">
        <v>14</v>
      </c>
      <c r="K4241" s="121">
        <v>2.0999999999999999E-3</v>
      </c>
      <c r="L4241" s="121">
        <v>-7.0000000000000001E-3</v>
      </c>
      <c r="M4241" s="75" t="s">
        <v>146</v>
      </c>
      <c r="N4241" s="75" t="b">
        <v>1</v>
      </c>
      <c r="O4241" s="75" t="s">
        <v>145</v>
      </c>
      <c r="P4241" s="75">
        <v>2014</v>
      </c>
      <c r="Q4241" s="107">
        <f t="shared" si="130"/>
        <v>2019</v>
      </c>
      <c r="R4241" s="107">
        <v>2</v>
      </c>
      <c r="S4241" s="43">
        <v>219091</v>
      </c>
      <c r="T4241" s="74">
        <v>43690</v>
      </c>
    </row>
    <row r="4242" spans="1:20" x14ac:dyDescent="0.3">
      <c r="A4242" s="42">
        <v>43702</v>
      </c>
      <c r="B4242" s="37">
        <f>YEAR(A4242)*10000+MONTH(A4242)*100+DAY(A4242)</f>
        <v>20190825</v>
      </c>
      <c r="C4242" s="109">
        <v>1.3999999999999999E-2</v>
      </c>
      <c r="D4242" s="109">
        <v>0.01</v>
      </c>
      <c r="E4242" s="109">
        <v>1.0999999999999999E-2</v>
      </c>
      <c r="F4242" s="109">
        <v>1.0999999999999999E-2</v>
      </c>
      <c r="G4242" s="130">
        <v>0</v>
      </c>
      <c r="H4242" s="71">
        <v>8.6999999999999993</v>
      </c>
      <c r="I4242" s="71">
        <v>11.4</v>
      </c>
      <c r="J4242" s="71">
        <v>14</v>
      </c>
      <c r="K4242" s="121">
        <v>2.0999999999999999E-3</v>
      </c>
      <c r="L4242" s="121">
        <v>-7.0000000000000001E-3</v>
      </c>
      <c r="M4242" s="75" t="s">
        <v>146</v>
      </c>
      <c r="N4242" s="75" t="b">
        <v>1</v>
      </c>
      <c r="O4242" s="75" t="s">
        <v>145</v>
      </c>
      <c r="P4242" s="75">
        <v>2014</v>
      </c>
      <c r="Q4242" s="107">
        <f t="shared" si="130"/>
        <v>2019</v>
      </c>
      <c r="R4242" s="107">
        <v>2</v>
      </c>
      <c r="S4242" s="43">
        <v>219091</v>
      </c>
      <c r="T4242" s="74">
        <v>43690</v>
      </c>
    </row>
    <row r="4243" spans="1:20" x14ac:dyDescent="0.3">
      <c r="A4243" s="42">
        <v>43703</v>
      </c>
      <c r="B4243" s="37">
        <f t="shared" si="129"/>
        <v>20190826</v>
      </c>
      <c r="C4243" s="109">
        <v>1.43E-2</v>
      </c>
      <c r="D4243" s="109">
        <v>0.01</v>
      </c>
      <c r="E4243" s="109">
        <v>1.0999999999999999E-2</v>
      </c>
      <c r="F4243" s="109">
        <v>1.0999999999999999E-2</v>
      </c>
      <c r="G4243" s="130">
        <v>0</v>
      </c>
      <c r="H4243" s="71">
        <v>8.6999999999999993</v>
      </c>
      <c r="I4243" s="71">
        <v>11.4</v>
      </c>
      <c r="J4243" s="71">
        <v>14</v>
      </c>
      <c r="K4243" s="121">
        <v>2.3999999999999998E-3</v>
      </c>
      <c r="L4243" s="121">
        <v>-7.0000000000000001E-3</v>
      </c>
      <c r="M4243" s="75" t="s">
        <v>146</v>
      </c>
      <c r="N4243" s="75" t="b">
        <v>1</v>
      </c>
      <c r="O4243" s="75" t="s">
        <v>145</v>
      </c>
      <c r="P4243" s="75">
        <v>2014</v>
      </c>
      <c r="Q4243" s="107">
        <f t="shared" si="130"/>
        <v>2019</v>
      </c>
      <c r="R4243" s="107">
        <v>2</v>
      </c>
      <c r="S4243" s="43">
        <v>219091</v>
      </c>
      <c r="T4243" s="74">
        <v>43690</v>
      </c>
    </row>
    <row r="4244" spans="1:20" x14ac:dyDescent="0.3">
      <c r="A4244" s="42">
        <v>43704</v>
      </c>
      <c r="B4244" s="37">
        <f t="shared" si="129"/>
        <v>20190827</v>
      </c>
      <c r="C4244" s="109">
        <v>1.3500000000000002E-2</v>
      </c>
      <c r="D4244" s="109">
        <v>0.01</v>
      </c>
      <c r="E4244" s="109">
        <v>1.0999999999999999E-2</v>
      </c>
      <c r="F4244" s="109">
        <v>1.0999999999999999E-2</v>
      </c>
      <c r="G4244" s="130">
        <v>0</v>
      </c>
      <c r="H4244" s="71">
        <v>8.6999999999999993</v>
      </c>
      <c r="I4244" s="71">
        <v>11.4</v>
      </c>
      <c r="J4244" s="71">
        <v>14</v>
      </c>
      <c r="K4244" s="121">
        <v>1.6000000000000001E-3</v>
      </c>
      <c r="L4244" s="121">
        <v>-7.0000000000000001E-3</v>
      </c>
      <c r="M4244" s="75" t="s">
        <v>146</v>
      </c>
      <c r="N4244" s="75" t="b">
        <v>1</v>
      </c>
      <c r="O4244" s="75" t="s">
        <v>145</v>
      </c>
      <c r="P4244" s="75">
        <v>2014</v>
      </c>
      <c r="Q4244" s="107">
        <f t="shared" si="130"/>
        <v>2019</v>
      </c>
      <c r="R4244" s="107">
        <v>2</v>
      </c>
      <c r="S4244" s="43">
        <v>219091</v>
      </c>
      <c r="T4244" s="74">
        <v>43690</v>
      </c>
    </row>
    <row r="4245" spans="1:20" x14ac:dyDescent="0.3">
      <c r="A4245" s="42">
        <v>43705</v>
      </c>
      <c r="B4245" s="37">
        <f t="shared" si="129"/>
        <v>20190828</v>
      </c>
      <c r="C4245" s="109">
        <v>1.34E-2</v>
      </c>
      <c r="D4245" s="109">
        <v>0.01</v>
      </c>
      <c r="E4245" s="109">
        <v>1.0999999999999999E-2</v>
      </c>
      <c r="F4245" s="109">
        <v>1.0999999999999999E-2</v>
      </c>
      <c r="G4245" s="130">
        <v>0</v>
      </c>
      <c r="H4245" s="71">
        <v>8.6999999999999993</v>
      </c>
      <c r="I4245" s="71">
        <v>11.4</v>
      </c>
      <c r="J4245" s="71">
        <v>14</v>
      </c>
      <c r="K4245" s="121">
        <v>1.5E-3</v>
      </c>
      <c r="L4245" s="121">
        <v>-7.0000000000000001E-3</v>
      </c>
      <c r="M4245" s="75" t="s">
        <v>146</v>
      </c>
      <c r="N4245" s="75" t="b">
        <v>1</v>
      </c>
      <c r="O4245" s="75" t="s">
        <v>145</v>
      </c>
      <c r="P4245" s="75">
        <v>2014</v>
      </c>
      <c r="Q4245" s="107">
        <f t="shared" si="130"/>
        <v>2019</v>
      </c>
      <c r="R4245" s="107">
        <v>2</v>
      </c>
      <c r="S4245" s="43">
        <v>219091</v>
      </c>
      <c r="T4245" s="74">
        <v>43690</v>
      </c>
    </row>
    <row r="4246" spans="1:20" x14ac:dyDescent="0.3">
      <c r="A4246" s="42">
        <v>43706</v>
      </c>
      <c r="B4246" s="37">
        <f t="shared" si="129"/>
        <v>20190829</v>
      </c>
      <c r="C4246" s="109">
        <v>1.37E-2</v>
      </c>
      <c r="D4246" s="109">
        <v>0.01</v>
      </c>
      <c r="E4246" s="109">
        <v>1.0999999999999999E-2</v>
      </c>
      <c r="F4246" s="109">
        <v>1.0999999999999999E-2</v>
      </c>
      <c r="G4246" s="130">
        <v>0</v>
      </c>
      <c r="H4246" s="71">
        <v>8.6999999999999993</v>
      </c>
      <c r="I4246" s="71">
        <v>11.4</v>
      </c>
      <c r="J4246" s="71">
        <v>14</v>
      </c>
      <c r="K4246" s="121">
        <v>1.8E-3</v>
      </c>
      <c r="L4246" s="121">
        <v>-7.0000000000000001E-3</v>
      </c>
      <c r="M4246" s="75" t="s">
        <v>146</v>
      </c>
      <c r="N4246" s="75" t="b">
        <v>1</v>
      </c>
      <c r="O4246" s="75" t="s">
        <v>145</v>
      </c>
      <c r="P4246" s="75">
        <v>2014</v>
      </c>
      <c r="Q4246" s="107">
        <f t="shared" si="130"/>
        <v>2019</v>
      </c>
      <c r="R4246" s="107">
        <v>2</v>
      </c>
      <c r="S4246" s="43">
        <v>219091</v>
      </c>
      <c r="T4246" s="74">
        <v>43690</v>
      </c>
    </row>
    <row r="4247" spans="1:20" x14ac:dyDescent="0.3">
      <c r="A4247" s="42">
        <v>43707</v>
      </c>
      <c r="B4247" s="37">
        <f t="shared" si="129"/>
        <v>20190830</v>
      </c>
      <c r="C4247" s="109">
        <v>1.3899999999999999E-2</v>
      </c>
      <c r="D4247" s="109">
        <v>0.01</v>
      </c>
      <c r="E4247" s="109">
        <v>1.0999999999999999E-2</v>
      </c>
      <c r="F4247" s="109">
        <v>1.0999999999999999E-2</v>
      </c>
      <c r="G4247" s="130">
        <v>0</v>
      </c>
      <c r="H4247" s="71">
        <v>8.6999999999999993</v>
      </c>
      <c r="I4247" s="71">
        <v>11.4</v>
      </c>
      <c r="J4247" s="71">
        <v>14</v>
      </c>
      <c r="K4247" s="121">
        <v>2E-3</v>
      </c>
      <c r="L4247" s="121">
        <v>-7.0000000000000001E-3</v>
      </c>
      <c r="M4247" s="75" t="s">
        <v>146</v>
      </c>
      <c r="N4247" s="75" t="b">
        <v>1</v>
      </c>
      <c r="O4247" s="75" t="s">
        <v>145</v>
      </c>
      <c r="P4247" s="75">
        <v>2014</v>
      </c>
      <c r="Q4247" s="107">
        <f t="shared" si="130"/>
        <v>2019</v>
      </c>
      <c r="R4247" s="107">
        <v>2</v>
      </c>
      <c r="S4247" s="43">
        <v>219091</v>
      </c>
      <c r="T4247" s="74">
        <v>43690</v>
      </c>
    </row>
    <row r="4248" spans="1:20" x14ac:dyDescent="0.3">
      <c r="A4248" s="42">
        <v>43708</v>
      </c>
      <c r="B4248" s="37">
        <f>YEAR(A4248)*10000+MONTH(A4248)*100+DAY(A4248)</f>
        <v>20190831</v>
      </c>
      <c r="C4248" s="109">
        <v>1.3899999999999999E-2</v>
      </c>
      <c r="D4248" s="109">
        <v>0.01</v>
      </c>
      <c r="E4248" s="109">
        <v>1.0999999999999999E-2</v>
      </c>
      <c r="F4248" s="109">
        <v>1.0999999999999999E-2</v>
      </c>
      <c r="G4248" s="130">
        <v>0</v>
      </c>
      <c r="H4248" s="71">
        <v>8.6999999999999993</v>
      </c>
      <c r="I4248" s="71">
        <v>11.4</v>
      </c>
      <c r="J4248" s="71">
        <v>14</v>
      </c>
      <c r="K4248" s="121">
        <v>2E-3</v>
      </c>
      <c r="L4248" s="121">
        <v>-7.0000000000000001E-3</v>
      </c>
      <c r="M4248" s="75" t="s">
        <v>146</v>
      </c>
      <c r="N4248" s="75" t="b">
        <v>1</v>
      </c>
      <c r="O4248" s="75" t="s">
        <v>145</v>
      </c>
      <c r="P4248" s="75">
        <v>2014</v>
      </c>
      <c r="Q4248" s="107">
        <f t="shared" si="130"/>
        <v>2019</v>
      </c>
      <c r="R4248" s="107">
        <v>2</v>
      </c>
      <c r="S4248" s="43">
        <v>219091</v>
      </c>
      <c r="T4248" s="74">
        <v>43690</v>
      </c>
    </row>
    <row r="4249" spans="1:20" x14ac:dyDescent="0.3">
      <c r="A4249" s="42">
        <v>43709</v>
      </c>
      <c r="B4249" s="37">
        <f>YEAR(A4249)*10000+MONTH(A4249)*100+DAY(A4249)</f>
        <v>20190901</v>
      </c>
      <c r="C4249" s="109">
        <v>1.3899999999999999E-2</v>
      </c>
      <c r="D4249" s="109">
        <v>0.01</v>
      </c>
      <c r="E4249" s="109">
        <v>1.0999999999999999E-2</v>
      </c>
      <c r="F4249" s="109">
        <v>1.0999999999999999E-2</v>
      </c>
      <c r="G4249" s="130">
        <v>0</v>
      </c>
      <c r="H4249" s="71">
        <v>8.6999999999999993</v>
      </c>
      <c r="I4249" s="71">
        <v>11.4</v>
      </c>
      <c r="J4249" s="71">
        <v>14</v>
      </c>
      <c r="K4249" s="121">
        <v>2E-3</v>
      </c>
      <c r="L4249" s="121">
        <v>-7.0000000000000001E-3</v>
      </c>
      <c r="M4249" s="75" t="s">
        <v>146</v>
      </c>
      <c r="N4249" s="75" t="b">
        <v>1</v>
      </c>
      <c r="O4249" s="75" t="s">
        <v>145</v>
      </c>
      <c r="P4249" s="75">
        <v>2014</v>
      </c>
      <c r="Q4249" s="107">
        <f t="shared" si="130"/>
        <v>2019</v>
      </c>
      <c r="R4249" s="107">
        <v>2</v>
      </c>
      <c r="S4249" s="43">
        <v>219091</v>
      </c>
      <c r="T4249" s="74">
        <v>43690</v>
      </c>
    </row>
    <row r="4250" spans="1:20" x14ac:dyDescent="0.3">
      <c r="A4250" s="42">
        <v>43710</v>
      </c>
      <c r="B4250" s="37">
        <f t="shared" si="129"/>
        <v>20190902</v>
      </c>
      <c r="C4250" s="109">
        <v>1.3899999999999999E-2</v>
      </c>
      <c r="D4250" s="109">
        <v>0.01</v>
      </c>
      <c r="E4250" s="109">
        <v>1.0999999999999999E-2</v>
      </c>
      <c r="F4250" s="109">
        <v>1.0999999999999999E-2</v>
      </c>
      <c r="G4250" s="130">
        <v>0</v>
      </c>
      <c r="H4250" s="71">
        <v>8.6999999999999993</v>
      </c>
      <c r="I4250" s="71">
        <v>11.4</v>
      </c>
      <c r="J4250" s="71">
        <v>14</v>
      </c>
      <c r="K4250" s="121">
        <v>2E-3</v>
      </c>
      <c r="L4250" s="121">
        <v>-7.0000000000000001E-3</v>
      </c>
      <c r="M4250" s="75" t="s">
        <v>146</v>
      </c>
      <c r="N4250" s="75" t="b">
        <v>1</v>
      </c>
      <c r="O4250" s="75" t="s">
        <v>145</v>
      </c>
      <c r="P4250" s="75">
        <v>2014</v>
      </c>
      <c r="Q4250" s="107">
        <f t="shared" si="130"/>
        <v>2019</v>
      </c>
      <c r="R4250" s="107">
        <v>2</v>
      </c>
      <c r="S4250" s="43">
        <v>219091</v>
      </c>
      <c r="T4250" s="74">
        <v>43690</v>
      </c>
    </row>
    <row r="4251" spans="1:20" x14ac:dyDescent="0.3">
      <c r="A4251" s="42">
        <v>43711</v>
      </c>
      <c r="B4251" s="37">
        <f t="shared" si="129"/>
        <v>20190903</v>
      </c>
      <c r="C4251" s="109">
        <v>1.3600000000000001E-2</v>
      </c>
      <c r="D4251" s="109">
        <v>0.01</v>
      </c>
      <c r="E4251" s="109">
        <v>1.0999999999999999E-2</v>
      </c>
      <c r="F4251" s="109">
        <v>1.0999999999999999E-2</v>
      </c>
      <c r="G4251" s="130">
        <v>0</v>
      </c>
      <c r="H4251" s="71">
        <v>8.6999999999999993</v>
      </c>
      <c r="I4251" s="71">
        <v>11.4</v>
      </c>
      <c r="J4251" s="71">
        <v>14</v>
      </c>
      <c r="K4251" s="121">
        <v>1.8E-3</v>
      </c>
      <c r="L4251" s="121">
        <v>-7.0000000000000001E-3</v>
      </c>
      <c r="M4251" s="75" t="s">
        <v>146</v>
      </c>
      <c r="N4251" s="75" t="b">
        <v>1</v>
      </c>
      <c r="O4251" s="75" t="s">
        <v>145</v>
      </c>
      <c r="P4251" s="75">
        <v>2014</v>
      </c>
      <c r="Q4251" s="107">
        <f t="shared" si="130"/>
        <v>2019</v>
      </c>
      <c r="R4251" s="107">
        <v>2</v>
      </c>
      <c r="S4251" s="43">
        <v>219091</v>
      </c>
      <c r="T4251" s="74">
        <v>43690</v>
      </c>
    </row>
    <row r="4252" spans="1:20" x14ac:dyDescent="0.3">
      <c r="A4252" s="42">
        <v>43712</v>
      </c>
      <c r="B4252" s="37">
        <f t="shared" si="129"/>
        <v>20190904</v>
      </c>
      <c r="C4252" s="109">
        <v>1.37E-2</v>
      </c>
      <c r="D4252" s="109">
        <v>0.01</v>
      </c>
      <c r="E4252" s="109">
        <v>1.0999999999999999E-2</v>
      </c>
      <c r="F4252" s="109">
        <v>1.0999999999999999E-2</v>
      </c>
      <c r="G4252" s="130">
        <v>0</v>
      </c>
      <c r="H4252" s="71">
        <v>8.6999999999999993</v>
      </c>
      <c r="I4252" s="71">
        <v>11.4</v>
      </c>
      <c r="J4252" s="71">
        <v>14</v>
      </c>
      <c r="K4252" s="121">
        <v>2E-3</v>
      </c>
      <c r="L4252" s="121">
        <v>-7.0000000000000001E-3</v>
      </c>
      <c r="M4252" s="75" t="s">
        <v>146</v>
      </c>
      <c r="N4252" s="75" t="b">
        <v>1</v>
      </c>
      <c r="O4252" s="75" t="s">
        <v>145</v>
      </c>
      <c r="P4252" s="75">
        <v>2014</v>
      </c>
      <c r="Q4252" s="107">
        <f t="shared" si="130"/>
        <v>2019</v>
      </c>
      <c r="R4252" s="107">
        <v>2</v>
      </c>
      <c r="S4252" s="43">
        <v>219091</v>
      </c>
      <c r="T4252" s="74">
        <v>43690</v>
      </c>
    </row>
    <row r="4253" spans="1:20" x14ac:dyDescent="0.3">
      <c r="A4253" s="42">
        <v>43713</v>
      </c>
      <c r="B4253" s="37">
        <f t="shared" si="129"/>
        <v>20190905</v>
      </c>
      <c r="C4253" s="109">
        <v>1.49E-2</v>
      </c>
      <c r="D4253" s="109">
        <v>0.01</v>
      </c>
      <c r="E4253" s="109">
        <v>1.0999999999999999E-2</v>
      </c>
      <c r="F4253" s="109">
        <v>1.0999999999999999E-2</v>
      </c>
      <c r="G4253" s="130">
        <v>0</v>
      </c>
      <c r="H4253" s="71">
        <v>8.6999999999999993</v>
      </c>
      <c r="I4253" s="71">
        <v>11.4</v>
      </c>
      <c r="J4253" s="71">
        <v>14</v>
      </c>
      <c r="K4253" s="121">
        <v>3.2000000000000002E-3</v>
      </c>
      <c r="L4253" s="121">
        <v>-7.0000000000000001E-3</v>
      </c>
      <c r="M4253" s="75" t="s">
        <v>146</v>
      </c>
      <c r="N4253" s="75" t="b">
        <v>1</v>
      </c>
      <c r="O4253" s="75" t="s">
        <v>145</v>
      </c>
      <c r="P4253" s="75">
        <v>2014</v>
      </c>
      <c r="Q4253" s="107">
        <f t="shared" si="130"/>
        <v>2019</v>
      </c>
      <c r="R4253" s="107">
        <v>2</v>
      </c>
      <c r="S4253" s="43">
        <v>219091</v>
      </c>
      <c r="T4253" s="74">
        <v>43690</v>
      </c>
    </row>
    <row r="4254" spans="1:20" x14ac:dyDescent="0.3">
      <c r="A4254" s="42">
        <v>43714</v>
      </c>
      <c r="B4254" s="37">
        <f t="shared" si="129"/>
        <v>20190906</v>
      </c>
      <c r="C4254" s="109">
        <v>1.4800000000000001E-2</v>
      </c>
      <c r="D4254" s="109">
        <v>0.01</v>
      </c>
      <c r="E4254" s="109">
        <v>1.0999999999999999E-2</v>
      </c>
      <c r="F4254" s="109">
        <v>1.0999999999999999E-2</v>
      </c>
      <c r="G4254" s="130">
        <v>0</v>
      </c>
      <c r="H4254" s="71">
        <v>8.6999999999999993</v>
      </c>
      <c r="I4254" s="71">
        <v>11.4</v>
      </c>
      <c r="J4254" s="71">
        <v>14</v>
      </c>
      <c r="K4254" s="121">
        <v>2.8999999999999998E-3</v>
      </c>
      <c r="L4254" s="121">
        <v>-7.0000000000000001E-3</v>
      </c>
      <c r="M4254" s="75" t="s">
        <v>146</v>
      </c>
      <c r="N4254" s="75" t="b">
        <v>1</v>
      </c>
      <c r="O4254" s="75" t="s">
        <v>145</v>
      </c>
      <c r="P4254" s="75">
        <v>2014</v>
      </c>
      <c r="Q4254" s="107">
        <f t="shared" si="130"/>
        <v>2019</v>
      </c>
      <c r="R4254" s="107">
        <v>2</v>
      </c>
      <c r="S4254" s="43">
        <v>219091</v>
      </c>
      <c r="T4254" s="74">
        <v>43690</v>
      </c>
    </row>
    <row r="4255" spans="1:20" x14ac:dyDescent="0.3">
      <c r="A4255" s="42">
        <v>43715</v>
      </c>
      <c r="B4255" s="37">
        <f>YEAR(A4255)*10000+MONTH(A4255)*100+DAY(A4255)</f>
        <v>20190907</v>
      </c>
      <c r="C4255" s="109">
        <v>1.4800000000000001E-2</v>
      </c>
      <c r="D4255" s="109">
        <v>0.01</v>
      </c>
      <c r="E4255" s="109">
        <v>1.0999999999999999E-2</v>
      </c>
      <c r="F4255" s="109">
        <v>1.0999999999999999E-2</v>
      </c>
      <c r="G4255" s="130">
        <v>0</v>
      </c>
      <c r="H4255" s="71">
        <v>8.6999999999999993</v>
      </c>
      <c r="I4255" s="71">
        <v>11.4</v>
      </c>
      <c r="J4255" s="71">
        <v>14</v>
      </c>
      <c r="K4255" s="121">
        <v>2.8999999999999998E-3</v>
      </c>
      <c r="L4255" s="121">
        <v>-7.0000000000000001E-3</v>
      </c>
      <c r="M4255" s="75" t="s">
        <v>146</v>
      </c>
      <c r="N4255" s="75" t="b">
        <v>1</v>
      </c>
      <c r="O4255" s="75" t="s">
        <v>145</v>
      </c>
      <c r="P4255" s="75">
        <v>2014</v>
      </c>
      <c r="Q4255" s="107">
        <f t="shared" si="130"/>
        <v>2019</v>
      </c>
      <c r="R4255" s="107">
        <v>2</v>
      </c>
      <c r="S4255" s="43">
        <v>219091</v>
      </c>
      <c r="T4255" s="74">
        <v>43690</v>
      </c>
    </row>
    <row r="4256" spans="1:20" x14ac:dyDescent="0.3">
      <c r="A4256" s="42">
        <v>43716</v>
      </c>
      <c r="B4256" s="37">
        <f>YEAR(A4256)*10000+MONTH(A4256)*100+DAY(A4256)</f>
        <v>20190908</v>
      </c>
      <c r="C4256" s="109">
        <v>1.4800000000000001E-2</v>
      </c>
      <c r="D4256" s="109">
        <v>0.01</v>
      </c>
      <c r="E4256" s="109">
        <v>1.0999999999999999E-2</v>
      </c>
      <c r="F4256" s="109">
        <v>1.0999999999999999E-2</v>
      </c>
      <c r="G4256" s="130">
        <v>0</v>
      </c>
      <c r="H4256" s="71">
        <v>8.6999999999999993</v>
      </c>
      <c r="I4256" s="71">
        <v>11.4</v>
      </c>
      <c r="J4256" s="71">
        <v>14</v>
      </c>
      <c r="K4256" s="121">
        <v>2.8999999999999998E-3</v>
      </c>
      <c r="L4256" s="121">
        <v>-7.0000000000000001E-3</v>
      </c>
      <c r="M4256" s="75" t="s">
        <v>146</v>
      </c>
      <c r="N4256" s="75" t="b">
        <v>1</v>
      </c>
      <c r="O4256" s="75" t="s">
        <v>145</v>
      </c>
      <c r="P4256" s="75">
        <v>2014</v>
      </c>
      <c r="Q4256" s="107">
        <f t="shared" si="130"/>
        <v>2019</v>
      </c>
      <c r="R4256" s="107">
        <v>2</v>
      </c>
      <c r="S4256" s="43">
        <v>219091</v>
      </c>
      <c r="T4256" s="74">
        <v>43690</v>
      </c>
    </row>
    <row r="4257" spans="1:20" x14ac:dyDescent="0.3">
      <c r="A4257" s="42">
        <v>43717</v>
      </c>
      <c r="B4257" s="37">
        <f t="shared" si="129"/>
        <v>20190909</v>
      </c>
      <c r="C4257" s="109">
        <v>1.5300000000000001E-2</v>
      </c>
      <c r="D4257" s="109">
        <v>0.01</v>
      </c>
      <c r="E4257" s="109">
        <v>1.0999999999999999E-2</v>
      </c>
      <c r="F4257" s="109">
        <v>1.0999999999999999E-2</v>
      </c>
      <c r="G4257" s="130">
        <v>0</v>
      </c>
      <c r="H4257" s="71">
        <v>8.6999999999999993</v>
      </c>
      <c r="I4257" s="71">
        <v>11.4</v>
      </c>
      <c r="J4257" s="71">
        <v>14</v>
      </c>
      <c r="K4257" s="121">
        <v>3.3E-3</v>
      </c>
      <c r="L4257" s="121">
        <v>-7.0000000000000001E-3</v>
      </c>
      <c r="M4257" s="75" t="s">
        <v>146</v>
      </c>
      <c r="N4257" s="75" t="b">
        <v>1</v>
      </c>
      <c r="O4257" s="75" t="s">
        <v>145</v>
      </c>
      <c r="P4257" s="75">
        <v>2014</v>
      </c>
      <c r="Q4257" s="107">
        <f t="shared" si="130"/>
        <v>2019</v>
      </c>
      <c r="R4257" s="107">
        <v>2</v>
      </c>
      <c r="S4257" s="43">
        <v>219091</v>
      </c>
      <c r="T4257" s="74">
        <v>43690</v>
      </c>
    </row>
    <row r="4258" spans="1:20" x14ac:dyDescent="0.3">
      <c r="A4258" s="42">
        <v>43718</v>
      </c>
      <c r="B4258" s="37">
        <f t="shared" si="129"/>
        <v>20190910</v>
      </c>
      <c r="C4258" s="109">
        <v>1.6E-2</v>
      </c>
      <c r="D4258" s="109">
        <v>0.01</v>
      </c>
      <c r="E4258" s="109">
        <v>1.0999999999999999E-2</v>
      </c>
      <c r="F4258" s="109">
        <v>1.0999999999999999E-2</v>
      </c>
      <c r="G4258" s="130">
        <v>0</v>
      </c>
      <c r="H4258" s="71">
        <v>8.6999999999999993</v>
      </c>
      <c r="I4258" s="71">
        <v>11.4</v>
      </c>
      <c r="J4258" s="71">
        <v>14</v>
      </c>
      <c r="K4258" s="121">
        <v>4.0000000000000001E-3</v>
      </c>
      <c r="L4258" s="121">
        <v>-7.0000000000000001E-3</v>
      </c>
      <c r="M4258" s="75" t="s">
        <v>146</v>
      </c>
      <c r="N4258" s="75" t="b">
        <v>1</v>
      </c>
      <c r="O4258" s="75" t="s">
        <v>145</v>
      </c>
      <c r="P4258" s="75">
        <v>2014</v>
      </c>
      <c r="Q4258" s="107">
        <f t="shared" si="130"/>
        <v>2019</v>
      </c>
      <c r="R4258" s="107">
        <v>2</v>
      </c>
      <c r="S4258" s="43">
        <v>219091</v>
      </c>
      <c r="T4258" s="74">
        <v>43690</v>
      </c>
    </row>
    <row r="4259" spans="1:20" x14ac:dyDescent="0.3">
      <c r="A4259" s="42">
        <v>43719</v>
      </c>
      <c r="B4259" s="37">
        <f t="shared" si="129"/>
        <v>20190911</v>
      </c>
      <c r="C4259" s="109">
        <v>1.61E-2</v>
      </c>
      <c r="D4259" s="109">
        <v>0.01</v>
      </c>
      <c r="E4259" s="109">
        <v>1.0999999999999999E-2</v>
      </c>
      <c r="F4259" s="109">
        <v>1.0999999999999999E-2</v>
      </c>
      <c r="G4259" s="130">
        <v>0</v>
      </c>
      <c r="H4259" s="71">
        <v>8.6999999999999993</v>
      </c>
      <c r="I4259" s="71">
        <v>11.4</v>
      </c>
      <c r="J4259" s="71">
        <v>14</v>
      </c>
      <c r="K4259" s="121">
        <v>3.9000000000000003E-3</v>
      </c>
      <c r="L4259" s="121">
        <v>-7.0000000000000001E-3</v>
      </c>
      <c r="M4259" s="75" t="s">
        <v>146</v>
      </c>
      <c r="N4259" s="75" t="b">
        <v>1</v>
      </c>
      <c r="O4259" s="75" t="s">
        <v>145</v>
      </c>
      <c r="P4259" s="75">
        <v>2014</v>
      </c>
      <c r="Q4259" s="107">
        <f t="shared" si="130"/>
        <v>2019</v>
      </c>
      <c r="R4259" s="107">
        <v>2</v>
      </c>
      <c r="S4259" s="43">
        <v>219091</v>
      </c>
      <c r="T4259" s="74">
        <v>43690</v>
      </c>
    </row>
    <row r="4260" spans="1:20" x14ac:dyDescent="0.3">
      <c r="A4260" s="42">
        <v>43720</v>
      </c>
      <c r="B4260" s="37">
        <f t="shared" si="129"/>
        <v>20190912</v>
      </c>
      <c r="C4260" s="109">
        <v>1.6399999999999998E-2</v>
      </c>
      <c r="D4260" s="109">
        <v>0.01</v>
      </c>
      <c r="E4260" s="109">
        <v>1.0999999999999999E-2</v>
      </c>
      <c r="F4260" s="109">
        <v>1.0999999999999999E-2</v>
      </c>
      <c r="G4260" s="130">
        <v>0</v>
      </c>
      <c r="H4260" s="71">
        <v>8.6999999999999993</v>
      </c>
      <c r="I4260" s="71">
        <v>11.4</v>
      </c>
      <c r="J4260" s="71">
        <v>14</v>
      </c>
      <c r="K4260" s="121">
        <v>4.1999999999999997E-3</v>
      </c>
      <c r="L4260" s="121">
        <v>-7.0000000000000001E-3</v>
      </c>
      <c r="M4260" s="75" t="s">
        <v>146</v>
      </c>
      <c r="N4260" s="75" t="b">
        <v>1</v>
      </c>
      <c r="O4260" s="75" t="s">
        <v>145</v>
      </c>
      <c r="P4260" s="75">
        <v>2014</v>
      </c>
      <c r="Q4260" s="107">
        <f t="shared" si="130"/>
        <v>2019</v>
      </c>
      <c r="R4260" s="107">
        <v>2</v>
      </c>
      <c r="S4260" s="43">
        <v>219091</v>
      </c>
      <c r="T4260" s="74">
        <v>43690</v>
      </c>
    </row>
    <row r="4261" spans="1:20" x14ac:dyDescent="0.3">
      <c r="A4261" s="42">
        <v>43721</v>
      </c>
      <c r="B4261" s="37">
        <f t="shared" si="129"/>
        <v>20190913</v>
      </c>
      <c r="C4261" s="109">
        <v>1.6899999999999998E-2</v>
      </c>
      <c r="D4261" s="109">
        <v>0.01</v>
      </c>
      <c r="E4261" s="109">
        <v>1.0999999999999999E-2</v>
      </c>
      <c r="F4261" s="109">
        <v>1.0999999999999999E-2</v>
      </c>
      <c r="G4261" s="130">
        <v>0</v>
      </c>
      <c r="H4261" s="71">
        <v>8.6999999999999993</v>
      </c>
      <c r="I4261" s="71">
        <v>11.4</v>
      </c>
      <c r="J4261" s="71">
        <v>14</v>
      </c>
      <c r="K4261" s="121">
        <v>4.3E-3</v>
      </c>
      <c r="L4261" s="121">
        <v>-7.0000000000000001E-3</v>
      </c>
      <c r="M4261" s="75" t="s">
        <v>146</v>
      </c>
      <c r="N4261" s="75" t="b">
        <v>1</v>
      </c>
      <c r="O4261" s="75" t="s">
        <v>145</v>
      </c>
      <c r="P4261" s="75">
        <v>2014</v>
      </c>
      <c r="Q4261" s="107">
        <f t="shared" si="130"/>
        <v>2019</v>
      </c>
      <c r="R4261" s="107">
        <v>2</v>
      </c>
      <c r="S4261" s="43">
        <v>219091</v>
      </c>
      <c r="T4261" s="74">
        <v>43690</v>
      </c>
    </row>
    <row r="4262" spans="1:20" x14ac:dyDescent="0.3">
      <c r="A4262" s="42">
        <v>43722</v>
      </c>
      <c r="B4262" s="37">
        <f>YEAR(A4262)*10000+MONTH(A4262)*100+DAY(A4262)</f>
        <v>20190914</v>
      </c>
      <c r="C4262" s="109">
        <v>1.6899999999999998E-2</v>
      </c>
      <c r="D4262" s="109">
        <v>0.01</v>
      </c>
      <c r="E4262" s="109">
        <v>1.0999999999999999E-2</v>
      </c>
      <c r="F4262" s="109">
        <v>1.0999999999999999E-2</v>
      </c>
      <c r="G4262" s="130">
        <v>0</v>
      </c>
      <c r="H4262" s="71">
        <v>8.6999999999999993</v>
      </c>
      <c r="I4262" s="71">
        <v>11.4</v>
      </c>
      <c r="J4262" s="71">
        <v>14</v>
      </c>
      <c r="K4262" s="121">
        <v>4.3E-3</v>
      </c>
      <c r="L4262" s="121">
        <v>-7.0000000000000001E-3</v>
      </c>
      <c r="M4262" s="75" t="s">
        <v>146</v>
      </c>
      <c r="N4262" s="75" t="b">
        <v>1</v>
      </c>
      <c r="O4262" s="75" t="s">
        <v>145</v>
      </c>
      <c r="P4262" s="75">
        <v>2014</v>
      </c>
      <c r="Q4262" s="107">
        <f t="shared" si="130"/>
        <v>2019</v>
      </c>
      <c r="R4262" s="107">
        <v>2</v>
      </c>
      <c r="S4262" s="43">
        <v>219091</v>
      </c>
      <c r="T4262" s="74">
        <v>43690</v>
      </c>
    </row>
    <row r="4263" spans="1:20" x14ac:dyDescent="0.3">
      <c r="A4263" s="42">
        <v>43723</v>
      </c>
      <c r="B4263" s="37">
        <f>YEAR(A4263)*10000+MONTH(A4263)*100+DAY(A4263)</f>
        <v>20190915</v>
      </c>
      <c r="C4263" s="109">
        <v>1.6899999999999998E-2</v>
      </c>
      <c r="D4263" s="109">
        <v>0.01</v>
      </c>
      <c r="E4263" s="109">
        <v>1.0999999999999999E-2</v>
      </c>
      <c r="F4263" s="109">
        <v>1.0999999999999999E-2</v>
      </c>
      <c r="G4263" s="130">
        <v>0</v>
      </c>
      <c r="H4263" s="71">
        <v>8.6999999999999993</v>
      </c>
      <c r="I4263" s="71">
        <v>11.4</v>
      </c>
      <c r="J4263" s="71">
        <v>14</v>
      </c>
      <c r="K4263" s="121">
        <v>4.3E-3</v>
      </c>
      <c r="L4263" s="121">
        <v>-7.0000000000000001E-3</v>
      </c>
      <c r="M4263" s="75" t="s">
        <v>146</v>
      </c>
      <c r="N4263" s="75" t="b">
        <v>1</v>
      </c>
      <c r="O4263" s="75" t="s">
        <v>145</v>
      </c>
      <c r="P4263" s="75">
        <v>2014</v>
      </c>
      <c r="Q4263" s="107">
        <f t="shared" si="130"/>
        <v>2019</v>
      </c>
      <c r="R4263" s="107">
        <v>2</v>
      </c>
      <c r="S4263" s="43">
        <v>219091</v>
      </c>
      <c r="T4263" s="74">
        <v>43690</v>
      </c>
    </row>
    <row r="4264" spans="1:20" x14ac:dyDescent="0.3">
      <c r="A4264" s="42">
        <v>43724</v>
      </c>
      <c r="B4264" s="37">
        <f t="shared" si="129"/>
        <v>20190916</v>
      </c>
      <c r="C4264" s="109">
        <v>1.6500000000000001E-2</v>
      </c>
      <c r="D4264" s="109">
        <v>0.01</v>
      </c>
      <c r="E4264" s="109">
        <v>1.0999999999999999E-2</v>
      </c>
      <c r="F4264" s="109">
        <v>1.0999999999999999E-2</v>
      </c>
      <c r="G4264" s="130">
        <v>0</v>
      </c>
      <c r="H4264" s="71">
        <v>8.6999999999999993</v>
      </c>
      <c r="I4264" s="71">
        <v>11.4</v>
      </c>
      <c r="J4264" s="71">
        <v>14</v>
      </c>
      <c r="K4264" s="121">
        <v>3.8E-3</v>
      </c>
      <c r="L4264" s="121">
        <v>-7.0000000000000001E-3</v>
      </c>
      <c r="M4264" s="75" t="s">
        <v>146</v>
      </c>
      <c r="N4264" s="75" t="b">
        <v>1</v>
      </c>
      <c r="O4264" s="75" t="s">
        <v>145</v>
      </c>
      <c r="P4264" s="75">
        <v>2014</v>
      </c>
      <c r="Q4264" s="107">
        <f t="shared" si="130"/>
        <v>2019</v>
      </c>
      <c r="R4264" s="107">
        <v>2</v>
      </c>
      <c r="S4264" s="43">
        <v>219091</v>
      </c>
      <c r="T4264" s="74">
        <v>43690</v>
      </c>
    </row>
    <row r="4265" spans="1:20" x14ac:dyDescent="0.3">
      <c r="A4265" s="42">
        <v>43725</v>
      </c>
      <c r="B4265" s="37">
        <f t="shared" si="129"/>
        <v>20190917</v>
      </c>
      <c r="C4265" s="109">
        <v>1.61E-2</v>
      </c>
      <c r="D4265" s="109">
        <v>0.01</v>
      </c>
      <c r="E4265" s="109">
        <v>1.0999999999999999E-2</v>
      </c>
      <c r="F4265" s="109">
        <v>1.0999999999999999E-2</v>
      </c>
      <c r="G4265" s="130">
        <v>0</v>
      </c>
      <c r="H4265" s="71">
        <v>8.6999999999999993</v>
      </c>
      <c r="I4265" s="71">
        <v>11.4</v>
      </c>
      <c r="J4265" s="71">
        <v>14</v>
      </c>
      <c r="K4265" s="121">
        <v>3.4999999999999996E-3</v>
      </c>
      <c r="L4265" s="121">
        <v>-7.0000000000000001E-3</v>
      </c>
      <c r="M4265" s="75" t="s">
        <v>146</v>
      </c>
      <c r="N4265" s="75" t="b">
        <v>1</v>
      </c>
      <c r="O4265" s="75" t="s">
        <v>145</v>
      </c>
      <c r="P4265" s="75">
        <v>2014</v>
      </c>
      <c r="Q4265" s="107">
        <f t="shared" si="130"/>
        <v>2019</v>
      </c>
      <c r="R4265" s="107">
        <v>2</v>
      </c>
      <c r="S4265" s="43">
        <v>219091</v>
      </c>
      <c r="T4265" s="74">
        <v>43690</v>
      </c>
    </row>
    <row r="4266" spans="1:20" x14ac:dyDescent="0.3">
      <c r="A4266" s="42">
        <v>43726</v>
      </c>
      <c r="B4266" s="37">
        <f t="shared" si="129"/>
        <v>20190918</v>
      </c>
      <c r="C4266" s="109">
        <v>1.5800000000000002E-2</v>
      </c>
      <c r="D4266" s="109">
        <v>0.01</v>
      </c>
      <c r="E4266" s="109">
        <v>1.0999999999999999E-2</v>
      </c>
      <c r="F4266" s="109">
        <v>1.0999999999999999E-2</v>
      </c>
      <c r="G4266" s="130">
        <v>0</v>
      </c>
      <c r="H4266" s="71">
        <v>8.6999999999999993</v>
      </c>
      <c r="I4266" s="71">
        <v>11.4</v>
      </c>
      <c r="J4266" s="71">
        <v>14</v>
      </c>
      <c r="K4266" s="121">
        <v>3.3E-3</v>
      </c>
      <c r="L4266" s="121">
        <v>-7.0000000000000001E-3</v>
      </c>
      <c r="M4266" s="75" t="s">
        <v>146</v>
      </c>
      <c r="N4266" s="75" t="b">
        <v>1</v>
      </c>
      <c r="O4266" s="75" t="s">
        <v>145</v>
      </c>
      <c r="P4266" s="75">
        <v>2014</v>
      </c>
      <c r="Q4266" s="107">
        <f t="shared" si="130"/>
        <v>2019</v>
      </c>
      <c r="R4266" s="107">
        <v>2</v>
      </c>
      <c r="S4266" s="43">
        <v>219091</v>
      </c>
      <c r="T4266" s="74">
        <v>43690</v>
      </c>
    </row>
    <row r="4267" spans="1:20" x14ac:dyDescent="0.3">
      <c r="A4267" s="42">
        <v>43727</v>
      </c>
      <c r="B4267" s="37">
        <f t="shared" si="129"/>
        <v>20190919</v>
      </c>
      <c r="C4267" s="109">
        <v>1.5600000000000001E-2</v>
      </c>
      <c r="D4267" s="109">
        <v>0.01</v>
      </c>
      <c r="E4267" s="109">
        <v>1.0999999999999999E-2</v>
      </c>
      <c r="F4267" s="109">
        <v>1.0999999999999999E-2</v>
      </c>
      <c r="G4267" s="130">
        <v>0</v>
      </c>
      <c r="H4267" s="71">
        <v>8.6999999999999993</v>
      </c>
      <c r="I4267" s="71">
        <v>11.4</v>
      </c>
      <c r="J4267" s="71">
        <v>14</v>
      </c>
      <c r="K4267" s="121">
        <v>3.0999999999999999E-3</v>
      </c>
      <c r="L4267" s="121">
        <v>-7.0000000000000001E-3</v>
      </c>
      <c r="M4267" s="75" t="s">
        <v>146</v>
      </c>
      <c r="N4267" s="75" t="b">
        <v>1</v>
      </c>
      <c r="O4267" s="75" t="s">
        <v>145</v>
      </c>
      <c r="P4267" s="75">
        <v>2014</v>
      </c>
      <c r="Q4267" s="107">
        <f t="shared" si="130"/>
        <v>2019</v>
      </c>
      <c r="R4267" s="107">
        <v>2</v>
      </c>
      <c r="S4267" s="43">
        <v>219091</v>
      </c>
      <c r="T4267" s="74">
        <v>43690</v>
      </c>
    </row>
    <row r="4268" spans="1:20" x14ac:dyDescent="0.3">
      <c r="A4268" s="42">
        <v>43728</v>
      </c>
      <c r="B4268" s="37">
        <f t="shared" si="129"/>
        <v>20190920</v>
      </c>
      <c r="C4268" s="109">
        <v>1.52E-2</v>
      </c>
      <c r="D4268" s="109">
        <v>0.01</v>
      </c>
      <c r="E4268" s="109">
        <v>1.0999999999999999E-2</v>
      </c>
      <c r="F4268" s="109">
        <v>1.0999999999999999E-2</v>
      </c>
      <c r="G4268" s="130">
        <v>0</v>
      </c>
      <c r="H4268" s="71">
        <v>8.6999999999999993</v>
      </c>
      <c r="I4268" s="71">
        <v>11.4</v>
      </c>
      <c r="J4268" s="71">
        <v>14</v>
      </c>
      <c r="K4268" s="121">
        <v>2.7000000000000001E-3</v>
      </c>
      <c r="L4268" s="121">
        <v>-7.0000000000000001E-3</v>
      </c>
      <c r="M4268" s="75" t="s">
        <v>146</v>
      </c>
      <c r="N4268" s="75" t="b">
        <v>1</v>
      </c>
      <c r="O4268" s="75" t="s">
        <v>145</v>
      </c>
      <c r="P4268" s="75">
        <v>2014</v>
      </c>
      <c r="Q4268" s="107">
        <f t="shared" si="130"/>
        <v>2019</v>
      </c>
      <c r="R4268" s="107">
        <v>2</v>
      </c>
      <c r="S4268" s="43">
        <v>219091</v>
      </c>
      <c r="T4268" s="74">
        <v>43690</v>
      </c>
    </row>
    <row r="4269" spans="1:20" x14ac:dyDescent="0.3">
      <c r="A4269" s="42">
        <v>43729</v>
      </c>
      <c r="B4269" s="37">
        <f>YEAR(A4269)*10000+MONTH(A4269)*100+DAY(A4269)</f>
        <v>20190921</v>
      </c>
      <c r="C4269" s="109">
        <v>1.52E-2</v>
      </c>
      <c r="D4269" s="109">
        <v>0.01</v>
      </c>
      <c r="E4269" s="109">
        <v>1.0999999999999999E-2</v>
      </c>
      <c r="F4269" s="109">
        <v>1.0999999999999999E-2</v>
      </c>
      <c r="G4269" s="130">
        <v>0</v>
      </c>
      <c r="H4269" s="71">
        <v>8.6999999999999993</v>
      </c>
      <c r="I4269" s="71">
        <v>11.4</v>
      </c>
      <c r="J4269" s="71">
        <v>14</v>
      </c>
      <c r="K4269" s="121">
        <v>2.7000000000000001E-3</v>
      </c>
      <c r="L4269" s="121">
        <v>-7.0000000000000001E-3</v>
      </c>
      <c r="M4269" s="75" t="s">
        <v>146</v>
      </c>
      <c r="N4269" s="75" t="b">
        <v>1</v>
      </c>
      <c r="O4269" s="75" t="s">
        <v>145</v>
      </c>
      <c r="P4269" s="75">
        <v>2014</v>
      </c>
      <c r="Q4269" s="107">
        <f t="shared" si="130"/>
        <v>2019</v>
      </c>
      <c r="R4269" s="107">
        <v>2</v>
      </c>
      <c r="S4269" s="43">
        <v>219091</v>
      </c>
      <c r="T4269" s="74">
        <v>43690</v>
      </c>
    </row>
    <row r="4270" spans="1:20" x14ac:dyDescent="0.3">
      <c r="A4270" s="42">
        <v>43730</v>
      </c>
      <c r="B4270" s="37">
        <f>YEAR(A4270)*10000+MONTH(A4270)*100+DAY(A4270)</f>
        <v>20190922</v>
      </c>
      <c r="C4270" s="109">
        <v>1.52E-2</v>
      </c>
      <c r="D4270" s="109">
        <v>0.01</v>
      </c>
      <c r="E4270" s="109">
        <v>1.0999999999999999E-2</v>
      </c>
      <c r="F4270" s="109">
        <v>1.0999999999999999E-2</v>
      </c>
      <c r="G4270" s="130">
        <v>0</v>
      </c>
      <c r="H4270" s="71">
        <v>8.6999999999999993</v>
      </c>
      <c r="I4270" s="71">
        <v>11.4</v>
      </c>
      <c r="J4270" s="71">
        <v>14</v>
      </c>
      <c r="K4270" s="121">
        <v>2.7000000000000001E-3</v>
      </c>
      <c r="L4270" s="121">
        <v>-7.0000000000000001E-3</v>
      </c>
      <c r="M4270" s="75" t="s">
        <v>146</v>
      </c>
      <c r="N4270" s="75" t="b">
        <v>1</v>
      </c>
      <c r="O4270" s="75" t="s">
        <v>145</v>
      </c>
      <c r="P4270" s="75">
        <v>2014</v>
      </c>
      <c r="Q4270" s="107">
        <f t="shared" ref="Q4270:Q4333" si="131">YEAR(A4270)</f>
        <v>2019</v>
      </c>
      <c r="R4270" s="107">
        <v>2</v>
      </c>
      <c r="S4270" s="43">
        <v>219091</v>
      </c>
      <c r="T4270" s="74">
        <v>43690</v>
      </c>
    </row>
    <row r="4271" spans="1:20" x14ac:dyDescent="0.3">
      <c r="A4271" s="42">
        <v>43731</v>
      </c>
      <c r="B4271" s="37">
        <f t="shared" si="129"/>
        <v>20190923</v>
      </c>
      <c r="C4271" s="109">
        <v>1.4999999999999999E-2</v>
      </c>
      <c r="D4271" s="109">
        <v>0.01</v>
      </c>
      <c r="E4271" s="109">
        <v>1.0999999999999999E-2</v>
      </c>
      <c r="F4271" s="109">
        <v>1.0999999999999999E-2</v>
      </c>
      <c r="G4271" s="130">
        <v>0</v>
      </c>
      <c r="H4271" s="71">
        <v>8.6999999999999993</v>
      </c>
      <c r="I4271" s="71">
        <v>11.4</v>
      </c>
      <c r="J4271" s="71">
        <v>14</v>
      </c>
      <c r="K4271" s="121">
        <v>2.5999999999999999E-3</v>
      </c>
      <c r="L4271" s="121">
        <v>-7.0000000000000001E-3</v>
      </c>
      <c r="M4271" s="75" t="s">
        <v>146</v>
      </c>
      <c r="N4271" s="75" t="b">
        <v>1</v>
      </c>
      <c r="O4271" s="75" t="s">
        <v>145</v>
      </c>
      <c r="P4271" s="75">
        <v>2014</v>
      </c>
      <c r="Q4271" s="107">
        <f t="shared" si="131"/>
        <v>2019</v>
      </c>
      <c r="R4271" s="107">
        <v>2</v>
      </c>
      <c r="S4271" s="43">
        <v>219091</v>
      </c>
      <c r="T4271" s="74">
        <v>43690</v>
      </c>
    </row>
    <row r="4272" spans="1:20" x14ac:dyDescent="0.3">
      <c r="A4272" s="42">
        <v>43732</v>
      </c>
      <c r="B4272" s="37">
        <f t="shared" ref="B4272:B4278" si="132">YEAR(A4272)*10000+MONTH(A4272)*100+DAY(A4272)</f>
        <v>20190924</v>
      </c>
      <c r="C4272" s="109">
        <v>1.46E-2</v>
      </c>
      <c r="D4272" s="109">
        <v>0.01</v>
      </c>
      <c r="E4272" s="109">
        <v>1.0999999999999999E-2</v>
      </c>
      <c r="F4272" s="109">
        <v>1.0999999999999999E-2</v>
      </c>
      <c r="G4272" s="130">
        <v>0</v>
      </c>
      <c r="H4272" s="71">
        <v>8.6999999999999993</v>
      </c>
      <c r="I4272" s="71">
        <v>11.4</v>
      </c>
      <c r="J4272" s="71">
        <v>14</v>
      </c>
      <c r="K4272" s="121">
        <v>2.2000000000000001E-3</v>
      </c>
      <c r="L4272" s="121">
        <v>-7.0000000000000001E-3</v>
      </c>
      <c r="M4272" s="75" t="s">
        <v>146</v>
      </c>
      <c r="N4272" s="75" t="b">
        <v>1</v>
      </c>
      <c r="O4272" s="75" t="s">
        <v>145</v>
      </c>
      <c r="P4272" s="75">
        <v>2014</v>
      </c>
      <c r="Q4272" s="107">
        <f t="shared" si="131"/>
        <v>2019</v>
      </c>
      <c r="R4272" s="107">
        <v>2</v>
      </c>
      <c r="S4272" s="43">
        <v>219091</v>
      </c>
      <c r="T4272" s="74">
        <v>43690</v>
      </c>
    </row>
    <row r="4273" spans="1:21" x14ac:dyDescent="0.3">
      <c r="A4273" s="42">
        <v>43733</v>
      </c>
      <c r="B4273" s="37">
        <f t="shared" si="132"/>
        <v>20190925</v>
      </c>
      <c r="C4273" s="109">
        <v>1.54E-2</v>
      </c>
      <c r="D4273" s="109">
        <v>0.01</v>
      </c>
      <c r="E4273" s="109">
        <v>1.0999999999999999E-2</v>
      </c>
      <c r="F4273" s="109">
        <v>1.0999999999999999E-2</v>
      </c>
      <c r="G4273" s="130">
        <v>0</v>
      </c>
      <c r="H4273" s="71">
        <v>8.6999999999999993</v>
      </c>
      <c r="I4273" s="71">
        <v>11.4</v>
      </c>
      <c r="J4273" s="71">
        <v>14</v>
      </c>
      <c r="K4273" s="121">
        <v>3.0000000000000001E-3</v>
      </c>
      <c r="L4273" s="121">
        <v>-7.0000000000000001E-3</v>
      </c>
      <c r="M4273" s="75" t="s">
        <v>146</v>
      </c>
      <c r="N4273" s="75" t="b">
        <v>1</v>
      </c>
      <c r="O4273" s="75" t="s">
        <v>145</v>
      </c>
      <c r="P4273" s="75">
        <v>2014</v>
      </c>
      <c r="Q4273" s="107">
        <f t="shared" si="131"/>
        <v>2019</v>
      </c>
      <c r="R4273" s="107">
        <v>2</v>
      </c>
      <c r="S4273" s="43">
        <v>219091</v>
      </c>
      <c r="T4273" s="74">
        <v>43690</v>
      </c>
    </row>
    <row r="4274" spans="1:21" x14ac:dyDescent="0.3">
      <c r="A4274" s="42">
        <v>43734</v>
      </c>
      <c r="B4274" s="37">
        <f t="shared" si="132"/>
        <v>20190926</v>
      </c>
      <c r="C4274" s="109">
        <v>1.52E-2</v>
      </c>
      <c r="D4274" s="109">
        <v>0.01</v>
      </c>
      <c r="E4274" s="109">
        <v>1.0999999999999999E-2</v>
      </c>
      <c r="F4274" s="109">
        <v>1.0999999999999999E-2</v>
      </c>
      <c r="G4274" s="130">
        <v>0</v>
      </c>
      <c r="H4274" s="71">
        <v>8.6999999999999993</v>
      </c>
      <c r="I4274" s="71">
        <v>11.4</v>
      </c>
      <c r="J4274" s="71">
        <v>14</v>
      </c>
      <c r="K4274" s="121">
        <v>2.8999999999999998E-3</v>
      </c>
      <c r="L4274" s="121">
        <v>-7.0000000000000001E-3</v>
      </c>
      <c r="M4274" s="75" t="s">
        <v>146</v>
      </c>
      <c r="N4274" s="75" t="b">
        <v>1</v>
      </c>
      <c r="O4274" s="75" t="s">
        <v>145</v>
      </c>
      <c r="P4274" s="75">
        <v>2014</v>
      </c>
      <c r="Q4274" s="107">
        <f t="shared" si="131"/>
        <v>2019</v>
      </c>
      <c r="R4274" s="107">
        <v>2</v>
      </c>
      <c r="S4274" s="43">
        <v>219091</v>
      </c>
      <c r="T4274" s="74">
        <v>43690</v>
      </c>
    </row>
    <row r="4275" spans="1:21" x14ac:dyDescent="0.3">
      <c r="A4275" s="42">
        <v>43735</v>
      </c>
      <c r="B4275" s="37">
        <f t="shared" si="132"/>
        <v>20190927</v>
      </c>
      <c r="C4275" s="109">
        <v>1.52E-2</v>
      </c>
      <c r="D4275" s="109">
        <v>0.01</v>
      </c>
      <c r="E4275" s="109">
        <v>1.0999999999999999E-2</v>
      </c>
      <c r="F4275" s="109">
        <v>1.0999999999999999E-2</v>
      </c>
      <c r="G4275" s="130">
        <v>0</v>
      </c>
      <c r="H4275" s="71">
        <v>8.6999999999999993</v>
      </c>
      <c r="I4275" s="71">
        <v>11.4</v>
      </c>
      <c r="J4275" s="71">
        <v>14</v>
      </c>
      <c r="K4275" s="121">
        <v>2.8000000000000004E-3</v>
      </c>
      <c r="L4275" s="121">
        <v>-7.0000000000000001E-3</v>
      </c>
      <c r="M4275" s="75" t="s">
        <v>146</v>
      </c>
      <c r="N4275" s="75" t="b">
        <v>1</v>
      </c>
      <c r="O4275" s="75" t="s">
        <v>145</v>
      </c>
      <c r="P4275" s="75">
        <v>2014</v>
      </c>
      <c r="Q4275" s="107">
        <f t="shared" si="131"/>
        <v>2019</v>
      </c>
      <c r="R4275" s="107">
        <v>2</v>
      </c>
      <c r="S4275" s="43">
        <v>219091</v>
      </c>
      <c r="T4275" s="74">
        <v>43690</v>
      </c>
    </row>
    <row r="4276" spans="1:21" x14ac:dyDescent="0.3">
      <c r="A4276" s="42">
        <v>43736</v>
      </c>
      <c r="B4276" s="37">
        <f t="shared" si="132"/>
        <v>20190928</v>
      </c>
      <c r="C4276" s="109">
        <v>1.52E-2</v>
      </c>
      <c r="D4276" s="109">
        <v>0.01</v>
      </c>
      <c r="E4276" s="109">
        <v>1.0999999999999999E-2</v>
      </c>
      <c r="F4276" s="109">
        <v>1.0999999999999999E-2</v>
      </c>
      <c r="G4276" s="130">
        <v>0</v>
      </c>
      <c r="H4276" s="71">
        <v>8.6999999999999993</v>
      </c>
      <c r="I4276" s="71">
        <v>11.4</v>
      </c>
      <c r="J4276" s="71">
        <v>14</v>
      </c>
      <c r="K4276" s="121">
        <v>2.8000000000000004E-3</v>
      </c>
      <c r="L4276" s="121">
        <v>-7.0000000000000001E-3</v>
      </c>
      <c r="M4276" s="75" t="s">
        <v>146</v>
      </c>
      <c r="N4276" s="75" t="b">
        <v>1</v>
      </c>
      <c r="O4276" s="75" t="s">
        <v>145</v>
      </c>
      <c r="P4276" s="75">
        <v>2014</v>
      </c>
      <c r="Q4276" s="107">
        <f t="shared" si="131"/>
        <v>2019</v>
      </c>
      <c r="R4276" s="107">
        <v>2</v>
      </c>
      <c r="S4276" s="43">
        <v>219091</v>
      </c>
      <c r="T4276" s="74">
        <v>43690</v>
      </c>
    </row>
    <row r="4277" spans="1:21" x14ac:dyDescent="0.3">
      <c r="A4277" s="42">
        <v>43737</v>
      </c>
      <c r="B4277" s="37">
        <f t="shared" si="132"/>
        <v>20190929</v>
      </c>
      <c r="C4277" s="109">
        <v>1.52E-2</v>
      </c>
      <c r="D4277" s="109">
        <v>0.01</v>
      </c>
      <c r="E4277" s="109">
        <v>1.0999999999999999E-2</v>
      </c>
      <c r="F4277" s="109">
        <v>1.0999999999999999E-2</v>
      </c>
      <c r="G4277" s="130">
        <v>0</v>
      </c>
      <c r="H4277" s="71">
        <v>8.6999999999999993</v>
      </c>
      <c r="I4277" s="71">
        <v>11.4</v>
      </c>
      <c r="J4277" s="71">
        <v>14</v>
      </c>
      <c r="K4277" s="121">
        <v>2.8000000000000004E-3</v>
      </c>
      <c r="L4277" s="121">
        <v>-7.0000000000000001E-3</v>
      </c>
      <c r="M4277" s="75" t="s">
        <v>146</v>
      </c>
      <c r="N4277" s="75" t="b">
        <v>1</v>
      </c>
      <c r="O4277" s="75" t="s">
        <v>145</v>
      </c>
      <c r="P4277" s="75">
        <v>2014</v>
      </c>
      <c r="Q4277" s="107">
        <f t="shared" si="131"/>
        <v>2019</v>
      </c>
      <c r="R4277" s="107">
        <v>2</v>
      </c>
      <c r="S4277" s="43">
        <v>219091</v>
      </c>
      <c r="T4277" s="74">
        <v>43690</v>
      </c>
    </row>
    <row r="4278" spans="1:21" s="116" customFormat="1" x14ac:dyDescent="0.3">
      <c r="A4278" s="110">
        <v>43738</v>
      </c>
      <c r="B4278" s="132">
        <f t="shared" si="132"/>
        <v>20190930</v>
      </c>
      <c r="C4278" s="111">
        <v>1.5100000000000001E-2</v>
      </c>
      <c r="D4278" s="120">
        <v>1.2E-2</v>
      </c>
      <c r="E4278" s="120">
        <v>1.2999999999999999E-2</v>
      </c>
      <c r="F4278" s="120">
        <v>1.2999999999999999E-2</v>
      </c>
      <c r="G4278" s="133">
        <v>0</v>
      </c>
      <c r="H4278" s="112">
        <v>8.6999999999999993</v>
      </c>
      <c r="I4278" s="124">
        <v>11.3</v>
      </c>
      <c r="J4278" s="124">
        <v>13.9</v>
      </c>
      <c r="K4278" s="131">
        <v>2.8000000000000004E-3</v>
      </c>
      <c r="L4278" s="131">
        <v>-7.0000000000000001E-3</v>
      </c>
      <c r="M4278" s="98" t="s">
        <v>146</v>
      </c>
      <c r="N4278" s="98" t="b">
        <v>1</v>
      </c>
      <c r="O4278" s="98" t="s">
        <v>145</v>
      </c>
      <c r="P4278" s="98">
        <v>2014</v>
      </c>
      <c r="Q4278" s="105">
        <f t="shared" si="131"/>
        <v>2019</v>
      </c>
      <c r="R4278" s="105">
        <v>2</v>
      </c>
      <c r="S4278" s="127">
        <v>219122</v>
      </c>
      <c r="T4278" s="128">
        <v>43782</v>
      </c>
      <c r="U4278" s="98" t="s">
        <v>176</v>
      </c>
    </row>
    <row r="4279" spans="1:21" x14ac:dyDescent="0.3">
      <c r="A4279" s="42">
        <v>43739</v>
      </c>
      <c r="B4279" s="37">
        <f t="shared" ref="B4279:B4344" si="133">YEAR(A4279)*10000+MONTH(A4279)*100+DAY(A4279)</f>
        <v>20191001</v>
      </c>
      <c r="C4279" s="109">
        <v>1.4999999999999999E-2</v>
      </c>
      <c r="D4279" s="109">
        <v>1.2E-2</v>
      </c>
      <c r="E4279" s="109">
        <v>1.2999999999999999E-2</v>
      </c>
      <c r="F4279" s="109">
        <v>1.2999999999999999E-2</v>
      </c>
      <c r="G4279" s="130">
        <v>0</v>
      </c>
      <c r="H4279" s="71">
        <v>8.6999999999999993</v>
      </c>
      <c r="I4279" s="71">
        <v>11.3</v>
      </c>
      <c r="J4279" s="71">
        <v>13.9</v>
      </c>
      <c r="K4279" s="121">
        <v>2.7000000000000001E-3</v>
      </c>
      <c r="L4279" s="121">
        <v>-7.0000000000000001E-3</v>
      </c>
      <c r="M4279" s="75" t="s">
        <v>146</v>
      </c>
      <c r="N4279" s="75" t="b">
        <v>1</v>
      </c>
      <c r="O4279" s="75" t="s">
        <v>145</v>
      </c>
      <c r="P4279" s="75">
        <v>2014</v>
      </c>
      <c r="Q4279" s="107">
        <f t="shared" si="131"/>
        <v>2019</v>
      </c>
      <c r="R4279" s="107">
        <v>2</v>
      </c>
      <c r="S4279" s="43">
        <v>219122</v>
      </c>
      <c r="T4279" s="74">
        <v>43782</v>
      </c>
    </row>
    <row r="4280" spans="1:21" x14ac:dyDescent="0.3">
      <c r="A4280" s="42">
        <v>43740</v>
      </c>
      <c r="B4280" s="37">
        <f t="shared" si="133"/>
        <v>20191002</v>
      </c>
      <c r="C4280" s="109">
        <v>1.47E-2</v>
      </c>
      <c r="D4280" s="109">
        <v>1.2E-2</v>
      </c>
      <c r="E4280" s="109">
        <v>1.2999999999999999E-2</v>
      </c>
      <c r="F4280" s="109">
        <v>1.2999999999999999E-2</v>
      </c>
      <c r="G4280" s="130">
        <v>0</v>
      </c>
      <c r="H4280" s="71">
        <v>8.6999999999999993</v>
      </c>
      <c r="I4280" s="71">
        <v>11.3</v>
      </c>
      <c r="J4280" s="71">
        <v>13.9</v>
      </c>
      <c r="K4280" s="121">
        <v>2.5999999999999999E-3</v>
      </c>
      <c r="L4280" s="121">
        <v>-7.0000000000000001E-3</v>
      </c>
      <c r="M4280" s="75" t="s">
        <v>146</v>
      </c>
      <c r="N4280" s="75" t="b">
        <v>1</v>
      </c>
      <c r="O4280" s="75" t="s">
        <v>145</v>
      </c>
      <c r="P4280" s="75">
        <v>2014</v>
      </c>
      <c r="Q4280" s="107">
        <f t="shared" si="131"/>
        <v>2019</v>
      </c>
      <c r="R4280" s="107">
        <v>2</v>
      </c>
      <c r="S4280" s="43">
        <v>219122</v>
      </c>
      <c r="T4280" s="74">
        <v>43782</v>
      </c>
    </row>
    <row r="4281" spans="1:21" x14ac:dyDescent="0.3">
      <c r="A4281" s="42">
        <v>43741</v>
      </c>
      <c r="B4281" s="37">
        <f t="shared" si="133"/>
        <v>20191003</v>
      </c>
      <c r="C4281" s="109">
        <v>1.4199999999999999E-2</v>
      </c>
      <c r="D4281" s="109">
        <v>1.2E-2</v>
      </c>
      <c r="E4281" s="109">
        <v>1.2999999999999999E-2</v>
      </c>
      <c r="F4281" s="109">
        <v>1.2999999999999999E-2</v>
      </c>
      <c r="G4281" s="130">
        <v>0</v>
      </c>
      <c r="H4281" s="71">
        <v>8.6999999999999993</v>
      </c>
      <c r="I4281" s="71">
        <v>11.3</v>
      </c>
      <c r="J4281" s="71">
        <v>13.9</v>
      </c>
      <c r="K4281" s="121">
        <v>2.3E-3</v>
      </c>
      <c r="L4281" s="121">
        <v>-7.0000000000000001E-3</v>
      </c>
      <c r="M4281" s="75" t="s">
        <v>146</v>
      </c>
      <c r="N4281" s="75" t="b">
        <v>1</v>
      </c>
      <c r="O4281" s="75" t="s">
        <v>145</v>
      </c>
      <c r="P4281" s="75">
        <v>2014</v>
      </c>
      <c r="Q4281" s="107">
        <f t="shared" si="131"/>
        <v>2019</v>
      </c>
      <c r="R4281" s="107">
        <v>2</v>
      </c>
      <c r="S4281" s="43">
        <v>219122</v>
      </c>
      <c r="T4281" s="74">
        <v>43782</v>
      </c>
    </row>
    <row r="4282" spans="1:21" x14ac:dyDescent="0.3">
      <c r="A4282" s="42">
        <v>43742</v>
      </c>
      <c r="B4282" s="37">
        <f t="shared" si="133"/>
        <v>20191004</v>
      </c>
      <c r="C4282" s="109">
        <v>1.3899999999999999E-2</v>
      </c>
      <c r="D4282" s="109">
        <v>1.2E-2</v>
      </c>
      <c r="E4282" s="109">
        <v>1.2999999999999999E-2</v>
      </c>
      <c r="F4282" s="109">
        <v>1.2999999999999999E-2</v>
      </c>
      <c r="G4282" s="130">
        <v>0</v>
      </c>
      <c r="H4282" s="71">
        <v>8.6999999999999993</v>
      </c>
      <c r="I4282" s="71">
        <v>11.3</v>
      </c>
      <c r="J4282" s="71">
        <v>13.9</v>
      </c>
      <c r="K4282" s="121">
        <v>2.0999999999999999E-3</v>
      </c>
      <c r="L4282" s="121">
        <v>-7.0000000000000001E-3</v>
      </c>
      <c r="M4282" s="75" t="s">
        <v>146</v>
      </c>
      <c r="N4282" s="75" t="b">
        <v>1</v>
      </c>
      <c r="O4282" s="75" t="s">
        <v>145</v>
      </c>
      <c r="P4282" s="75">
        <v>2014</v>
      </c>
      <c r="Q4282" s="107">
        <f t="shared" si="131"/>
        <v>2019</v>
      </c>
      <c r="R4282" s="107">
        <v>2</v>
      </c>
      <c r="S4282" s="43">
        <v>219122</v>
      </c>
      <c r="T4282" s="74">
        <v>43782</v>
      </c>
    </row>
    <row r="4283" spans="1:21" x14ac:dyDescent="0.3">
      <c r="A4283" s="42">
        <v>43743</v>
      </c>
      <c r="B4283" s="37">
        <f t="shared" si="133"/>
        <v>20191005</v>
      </c>
      <c r="C4283" s="109">
        <v>1.3899999999999999E-2</v>
      </c>
      <c r="D4283" s="109">
        <v>1.2E-2</v>
      </c>
      <c r="E4283" s="109">
        <v>1.2999999999999999E-2</v>
      </c>
      <c r="F4283" s="109">
        <v>1.2999999999999999E-2</v>
      </c>
      <c r="G4283" s="130">
        <v>0</v>
      </c>
      <c r="H4283" s="71">
        <v>8.6999999999999993</v>
      </c>
      <c r="I4283" s="71">
        <v>11.3</v>
      </c>
      <c r="J4283" s="71">
        <v>13.9</v>
      </c>
      <c r="K4283" s="121">
        <v>2.0999999999999999E-3</v>
      </c>
      <c r="L4283" s="121">
        <v>-7.0000000000000001E-3</v>
      </c>
      <c r="M4283" s="75" t="s">
        <v>146</v>
      </c>
      <c r="N4283" s="75" t="b">
        <v>1</v>
      </c>
      <c r="O4283" s="75" t="s">
        <v>145</v>
      </c>
      <c r="P4283" s="75">
        <v>2014</v>
      </c>
      <c r="Q4283" s="107">
        <f t="shared" si="131"/>
        <v>2019</v>
      </c>
      <c r="R4283" s="107">
        <v>2</v>
      </c>
      <c r="S4283" s="43">
        <v>219122</v>
      </c>
      <c r="T4283" s="74">
        <v>43782</v>
      </c>
    </row>
    <row r="4284" spans="1:21" x14ac:dyDescent="0.3">
      <c r="A4284" s="42">
        <v>43744</v>
      </c>
      <c r="B4284" s="37">
        <f t="shared" si="133"/>
        <v>20191006</v>
      </c>
      <c r="C4284" s="109">
        <v>1.3899999999999999E-2</v>
      </c>
      <c r="D4284" s="109">
        <v>1.2E-2</v>
      </c>
      <c r="E4284" s="109">
        <v>1.2999999999999999E-2</v>
      </c>
      <c r="F4284" s="109">
        <v>1.2999999999999999E-2</v>
      </c>
      <c r="G4284" s="130">
        <v>0</v>
      </c>
      <c r="H4284" s="71">
        <v>8.6999999999999993</v>
      </c>
      <c r="I4284" s="71">
        <v>11.3</v>
      </c>
      <c r="J4284" s="71">
        <v>13.9</v>
      </c>
      <c r="K4284" s="121">
        <v>2.0999999999999999E-3</v>
      </c>
      <c r="L4284" s="121">
        <v>-7.0000000000000001E-3</v>
      </c>
      <c r="M4284" s="75" t="s">
        <v>146</v>
      </c>
      <c r="N4284" s="75" t="b">
        <v>1</v>
      </c>
      <c r="O4284" s="75" t="s">
        <v>145</v>
      </c>
      <c r="P4284" s="75">
        <v>2014</v>
      </c>
      <c r="Q4284" s="107">
        <f t="shared" si="131"/>
        <v>2019</v>
      </c>
      <c r="R4284" s="107">
        <v>2</v>
      </c>
      <c r="S4284" s="43">
        <v>219122</v>
      </c>
      <c r="T4284" s="74">
        <v>43782</v>
      </c>
    </row>
    <row r="4285" spans="1:21" x14ac:dyDescent="0.3">
      <c r="A4285" s="42">
        <v>43745</v>
      </c>
      <c r="B4285" s="37">
        <f t="shared" si="133"/>
        <v>20191007</v>
      </c>
      <c r="C4285" s="109">
        <v>1.4499999999999999E-2</v>
      </c>
      <c r="D4285" s="109">
        <v>1.2E-2</v>
      </c>
      <c r="E4285" s="109">
        <v>1.2999999999999999E-2</v>
      </c>
      <c r="F4285" s="109">
        <v>1.2999999999999999E-2</v>
      </c>
      <c r="G4285" s="130">
        <v>0</v>
      </c>
      <c r="H4285" s="71">
        <v>8.6999999999999993</v>
      </c>
      <c r="I4285" s="71">
        <v>11.3</v>
      </c>
      <c r="J4285" s="71">
        <v>13.9</v>
      </c>
      <c r="K4285" s="121">
        <v>2.5000000000000001E-3</v>
      </c>
      <c r="L4285" s="121">
        <v>-7.0000000000000001E-3</v>
      </c>
      <c r="M4285" s="75" t="s">
        <v>146</v>
      </c>
      <c r="N4285" s="75" t="b">
        <v>1</v>
      </c>
      <c r="O4285" s="75" t="s">
        <v>145</v>
      </c>
      <c r="P4285" s="75">
        <v>2014</v>
      </c>
      <c r="Q4285" s="107">
        <f t="shared" si="131"/>
        <v>2019</v>
      </c>
      <c r="R4285" s="107">
        <v>2</v>
      </c>
      <c r="S4285" s="43">
        <v>219122</v>
      </c>
      <c r="T4285" s="74">
        <v>43782</v>
      </c>
    </row>
    <row r="4286" spans="1:21" x14ac:dyDescent="0.3">
      <c r="A4286" s="42">
        <v>43746</v>
      </c>
      <c r="B4286" s="37">
        <f t="shared" si="133"/>
        <v>20191008</v>
      </c>
      <c r="C4286" s="109">
        <v>1.44E-2</v>
      </c>
      <c r="D4286" s="109">
        <v>1.2E-2</v>
      </c>
      <c r="E4286" s="109">
        <v>1.2999999999999999E-2</v>
      </c>
      <c r="F4286" s="109">
        <v>1.2999999999999999E-2</v>
      </c>
      <c r="G4286" s="130">
        <v>0</v>
      </c>
      <c r="H4286" s="71">
        <v>8.6999999999999993</v>
      </c>
      <c r="I4286" s="71">
        <v>11.3</v>
      </c>
      <c r="J4286" s="71">
        <v>13.9</v>
      </c>
      <c r="K4286" s="121">
        <v>2.5000000000000001E-3</v>
      </c>
      <c r="L4286" s="121">
        <v>-7.0000000000000001E-3</v>
      </c>
      <c r="M4286" s="75" t="s">
        <v>146</v>
      </c>
      <c r="N4286" s="75" t="b">
        <v>1</v>
      </c>
      <c r="O4286" s="75" t="s">
        <v>145</v>
      </c>
      <c r="P4286" s="75">
        <v>2014</v>
      </c>
      <c r="Q4286" s="107">
        <f t="shared" si="131"/>
        <v>2019</v>
      </c>
      <c r="R4286" s="107">
        <v>2</v>
      </c>
      <c r="S4286" s="43">
        <v>219122</v>
      </c>
      <c r="T4286" s="74">
        <v>43782</v>
      </c>
    </row>
    <row r="4287" spans="1:21" x14ac:dyDescent="0.3">
      <c r="A4287" s="42">
        <v>43747</v>
      </c>
      <c r="B4287" s="37">
        <f t="shared" si="133"/>
        <v>20191009</v>
      </c>
      <c r="C4287" s="109">
        <v>1.4800000000000001E-2</v>
      </c>
      <c r="D4287" s="109">
        <v>1.2E-2</v>
      </c>
      <c r="E4287" s="109">
        <v>1.2999999999999999E-2</v>
      </c>
      <c r="F4287" s="109">
        <v>1.2999999999999999E-2</v>
      </c>
      <c r="G4287" s="130">
        <v>0</v>
      </c>
      <c r="H4287" s="71">
        <v>8.6999999999999993</v>
      </c>
      <c r="I4287" s="71">
        <v>11.3</v>
      </c>
      <c r="J4287" s="71">
        <v>13.9</v>
      </c>
      <c r="K4287" s="121">
        <v>3.0000000000000001E-3</v>
      </c>
      <c r="L4287" s="121">
        <v>-7.0000000000000001E-3</v>
      </c>
      <c r="M4287" s="75" t="s">
        <v>146</v>
      </c>
      <c r="N4287" s="75" t="b">
        <v>1</v>
      </c>
      <c r="O4287" s="75" t="s">
        <v>145</v>
      </c>
      <c r="P4287" s="75">
        <v>2014</v>
      </c>
      <c r="Q4287" s="107">
        <f t="shared" si="131"/>
        <v>2019</v>
      </c>
      <c r="R4287" s="107">
        <v>2</v>
      </c>
      <c r="S4287" s="43">
        <v>219122</v>
      </c>
      <c r="T4287" s="74">
        <v>43782</v>
      </c>
    </row>
    <row r="4288" spans="1:21" x14ac:dyDescent="0.3">
      <c r="A4288" s="42">
        <v>43748</v>
      </c>
      <c r="B4288" s="37">
        <f t="shared" si="133"/>
        <v>20191010</v>
      </c>
      <c r="C4288" s="109">
        <v>1.5600000000000001E-2</v>
      </c>
      <c r="D4288" s="109">
        <v>1.2E-2</v>
      </c>
      <c r="E4288" s="109">
        <v>1.2999999999999999E-2</v>
      </c>
      <c r="F4288" s="109">
        <v>1.2999999999999999E-2</v>
      </c>
      <c r="G4288" s="130">
        <v>0</v>
      </c>
      <c r="H4288" s="71">
        <v>8.6999999999999993</v>
      </c>
      <c r="I4288" s="71">
        <v>11.3</v>
      </c>
      <c r="J4288" s="71">
        <v>13.9</v>
      </c>
      <c r="K4288" s="121">
        <v>3.7000000000000002E-3</v>
      </c>
      <c r="L4288" s="121">
        <v>-7.0000000000000001E-3</v>
      </c>
      <c r="M4288" s="75" t="s">
        <v>146</v>
      </c>
      <c r="N4288" s="75" t="b">
        <v>1</v>
      </c>
      <c r="O4288" s="75" t="s">
        <v>145</v>
      </c>
      <c r="P4288" s="75">
        <v>2014</v>
      </c>
      <c r="Q4288" s="107">
        <f t="shared" si="131"/>
        <v>2019</v>
      </c>
      <c r="R4288" s="107">
        <v>2</v>
      </c>
      <c r="S4288" s="43">
        <v>219122</v>
      </c>
      <c r="T4288" s="74">
        <v>43782</v>
      </c>
    </row>
    <row r="4289" spans="1:20" x14ac:dyDescent="0.3">
      <c r="A4289" s="42">
        <v>43749</v>
      </c>
      <c r="B4289" s="37">
        <f t="shared" si="133"/>
        <v>20191011</v>
      </c>
      <c r="C4289" s="109">
        <v>1.6299999999999999E-2</v>
      </c>
      <c r="D4289" s="109">
        <v>1.2E-2</v>
      </c>
      <c r="E4289" s="109">
        <v>1.2999999999999999E-2</v>
      </c>
      <c r="F4289" s="109">
        <v>1.2999999999999999E-2</v>
      </c>
      <c r="G4289" s="130">
        <v>0</v>
      </c>
      <c r="H4289" s="71">
        <v>8.6999999999999993</v>
      </c>
      <c r="I4289" s="71">
        <v>11.3</v>
      </c>
      <c r="J4289" s="71">
        <v>13.9</v>
      </c>
      <c r="K4289" s="121">
        <v>3.9000000000000003E-3</v>
      </c>
      <c r="L4289" s="121">
        <v>-7.0000000000000001E-3</v>
      </c>
      <c r="M4289" s="75" t="s">
        <v>146</v>
      </c>
      <c r="N4289" s="75" t="b">
        <v>1</v>
      </c>
      <c r="O4289" s="75" t="s">
        <v>145</v>
      </c>
      <c r="P4289" s="75">
        <v>2014</v>
      </c>
      <c r="Q4289" s="107">
        <f t="shared" si="131"/>
        <v>2019</v>
      </c>
      <c r="R4289" s="107">
        <v>2</v>
      </c>
      <c r="S4289" s="43">
        <v>219122</v>
      </c>
      <c r="T4289" s="74">
        <v>43782</v>
      </c>
    </row>
    <row r="4290" spans="1:20" x14ac:dyDescent="0.3">
      <c r="A4290" s="42">
        <v>43750</v>
      </c>
      <c r="B4290" s="37">
        <f t="shared" si="133"/>
        <v>20191012</v>
      </c>
      <c r="C4290" s="109">
        <v>1.6299999999999999E-2</v>
      </c>
      <c r="D4290" s="109">
        <v>1.2E-2</v>
      </c>
      <c r="E4290" s="109">
        <v>1.2999999999999999E-2</v>
      </c>
      <c r="F4290" s="109">
        <v>1.2999999999999999E-2</v>
      </c>
      <c r="G4290" s="130">
        <v>0</v>
      </c>
      <c r="H4290" s="71">
        <v>8.6999999999999993</v>
      </c>
      <c r="I4290" s="71">
        <v>11.3</v>
      </c>
      <c r="J4290" s="71">
        <v>13.9</v>
      </c>
      <c r="K4290" s="121">
        <v>3.9000000000000003E-3</v>
      </c>
      <c r="L4290" s="121">
        <v>-7.0000000000000001E-3</v>
      </c>
      <c r="M4290" s="75" t="s">
        <v>146</v>
      </c>
      <c r="N4290" s="75" t="b">
        <v>1</v>
      </c>
      <c r="O4290" s="75" t="s">
        <v>145</v>
      </c>
      <c r="P4290" s="75">
        <v>2014</v>
      </c>
      <c r="Q4290" s="107">
        <f t="shared" si="131"/>
        <v>2019</v>
      </c>
      <c r="R4290" s="107">
        <v>2</v>
      </c>
      <c r="S4290" s="43">
        <v>219122</v>
      </c>
      <c r="T4290" s="74">
        <v>43782</v>
      </c>
    </row>
    <row r="4291" spans="1:20" x14ac:dyDescent="0.3">
      <c r="A4291" s="42">
        <v>43751</v>
      </c>
      <c r="B4291" s="37">
        <f t="shared" si="133"/>
        <v>20191013</v>
      </c>
      <c r="C4291" s="109">
        <v>1.6299999999999999E-2</v>
      </c>
      <c r="D4291" s="109">
        <v>1.2E-2</v>
      </c>
      <c r="E4291" s="109">
        <v>1.2999999999999999E-2</v>
      </c>
      <c r="F4291" s="109">
        <v>1.2999999999999999E-2</v>
      </c>
      <c r="G4291" s="130">
        <v>0</v>
      </c>
      <c r="H4291" s="71">
        <v>8.6999999999999993</v>
      </c>
      <c r="I4291" s="71">
        <v>11.3</v>
      </c>
      <c r="J4291" s="71">
        <v>13.9</v>
      </c>
      <c r="K4291" s="121">
        <v>3.9000000000000003E-3</v>
      </c>
      <c r="L4291" s="121">
        <v>-7.0000000000000001E-3</v>
      </c>
      <c r="M4291" s="75" t="s">
        <v>146</v>
      </c>
      <c r="N4291" s="75" t="b">
        <v>1</v>
      </c>
      <c r="O4291" s="75" t="s">
        <v>145</v>
      </c>
      <c r="P4291" s="75">
        <v>2014</v>
      </c>
      <c r="Q4291" s="107">
        <f t="shared" si="131"/>
        <v>2019</v>
      </c>
      <c r="R4291" s="107">
        <v>2</v>
      </c>
      <c r="S4291" s="43">
        <v>219122</v>
      </c>
      <c r="T4291" s="74">
        <v>43782</v>
      </c>
    </row>
    <row r="4292" spans="1:20" x14ac:dyDescent="0.3">
      <c r="A4292" s="42">
        <v>43752</v>
      </c>
      <c r="B4292" s="37">
        <f t="shared" si="133"/>
        <v>20191014</v>
      </c>
      <c r="C4292" s="109">
        <v>1.6299999999999999E-2</v>
      </c>
      <c r="D4292" s="109">
        <v>1.2E-2</v>
      </c>
      <c r="E4292" s="109">
        <v>1.2999999999999999E-2</v>
      </c>
      <c r="F4292" s="109">
        <v>1.2999999999999999E-2</v>
      </c>
      <c r="G4292" s="130">
        <v>0</v>
      </c>
      <c r="H4292" s="71">
        <v>8.6999999999999993</v>
      </c>
      <c r="I4292" s="71">
        <v>11.3</v>
      </c>
      <c r="J4292" s="71">
        <v>13.9</v>
      </c>
      <c r="K4292" s="121">
        <v>3.9000000000000003E-3</v>
      </c>
      <c r="L4292" s="121">
        <v>-7.0000000000000001E-3</v>
      </c>
      <c r="M4292" s="75" t="s">
        <v>146</v>
      </c>
      <c r="N4292" s="75" t="b">
        <v>1</v>
      </c>
      <c r="O4292" s="75" t="s">
        <v>145</v>
      </c>
      <c r="P4292" s="75">
        <v>2014</v>
      </c>
      <c r="Q4292" s="107">
        <f t="shared" si="131"/>
        <v>2019</v>
      </c>
      <c r="R4292" s="107">
        <v>2</v>
      </c>
      <c r="S4292" s="43">
        <v>219122</v>
      </c>
      <c r="T4292" s="74">
        <v>43782</v>
      </c>
    </row>
    <row r="4293" spans="1:20" x14ac:dyDescent="0.3">
      <c r="A4293" s="42">
        <v>43753</v>
      </c>
      <c r="B4293" s="37">
        <f t="shared" si="133"/>
        <v>20191015</v>
      </c>
      <c r="C4293" s="109">
        <v>1.66E-2</v>
      </c>
      <c r="D4293" s="109">
        <v>1.2E-2</v>
      </c>
      <c r="E4293" s="109">
        <v>1.2999999999999999E-2</v>
      </c>
      <c r="F4293" s="109">
        <v>1.2999999999999999E-2</v>
      </c>
      <c r="G4293" s="130">
        <v>0</v>
      </c>
      <c r="H4293" s="71">
        <v>8.6999999999999993</v>
      </c>
      <c r="I4293" s="71">
        <v>11.3</v>
      </c>
      <c r="J4293" s="71">
        <v>13.9</v>
      </c>
      <c r="K4293" s="121">
        <v>4.1999999999999997E-3</v>
      </c>
      <c r="L4293" s="121">
        <v>-7.0000000000000001E-3</v>
      </c>
      <c r="M4293" s="75" t="s">
        <v>146</v>
      </c>
      <c r="N4293" s="75" t="b">
        <v>1</v>
      </c>
      <c r="O4293" s="75" t="s">
        <v>145</v>
      </c>
      <c r="P4293" s="75">
        <v>2014</v>
      </c>
      <c r="Q4293" s="107">
        <f t="shared" si="131"/>
        <v>2019</v>
      </c>
      <c r="R4293" s="107">
        <v>2</v>
      </c>
      <c r="S4293" s="43">
        <v>219122</v>
      </c>
      <c r="T4293" s="74">
        <v>43782</v>
      </c>
    </row>
    <row r="4294" spans="1:20" x14ac:dyDescent="0.3">
      <c r="A4294" s="42">
        <v>43754</v>
      </c>
      <c r="B4294" s="37">
        <f t="shared" si="133"/>
        <v>20191016</v>
      </c>
      <c r="C4294" s="109">
        <v>1.66E-2</v>
      </c>
      <c r="D4294" s="109">
        <v>1.2E-2</v>
      </c>
      <c r="E4294" s="109">
        <v>1.2999999999999999E-2</v>
      </c>
      <c r="F4294" s="109">
        <v>1.2999999999999999E-2</v>
      </c>
      <c r="G4294" s="130">
        <v>0</v>
      </c>
      <c r="H4294" s="71">
        <v>8.6999999999999993</v>
      </c>
      <c r="I4294" s="71">
        <v>11.3</v>
      </c>
      <c r="J4294" s="71">
        <v>13.9</v>
      </c>
      <c r="K4294" s="121">
        <v>4.4000000000000003E-3</v>
      </c>
      <c r="L4294" s="121">
        <v>-7.0000000000000001E-3</v>
      </c>
      <c r="M4294" s="75" t="s">
        <v>146</v>
      </c>
      <c r="N4294" s="75" t="b">
        <v>1</v>
      </c>
      <c r="O4294" s="75" t="s">
        <v>145</v>
      </c>
      <c r="P4294" s="75">
        <v>2014</v>
      </c>
      <c r="Q4294" s="107">
        <f t="shared" si="131"/>
        <v>2019</v>
      </c>
      <c r="R4294" s="107">
        <v>2</v>
      </c>
      <c r="S4294" s="43">
        <v>219122</v>
      </c>
      <c r="T4294" s="74">
        <v>43782</v>
      </c>
    </row>
    <row r="4295" spans="1:20" x14ac:dyDescent="0.3">
      <c r="A4295" s="42">
        <v>43755</v>
      </c>
      <c r="B4295" s="37">
        <f t="shared" si="133"/>
        <v>20191017</v>
      </c>
      <c r="C4295" s="109">
        <v>1.67E-2</v>
      </c>
      <c r="D4295" s="109">
        <v>1.2E-2</v>
      </c>
      <c r="E4295" s="109">
        <v>1.2999999999999999E-2</v>
      </c>
      <c r="F4295" s="109">
        <v>1.2999999999999999E-2</v>
      </c>
      <c r="G4295" s="130">
        <v>0</v>
      </c>
      <c r="H4295" s="71">
        <v>8.6999999999999993</v>
      </c>
      <c r="I4295" s="71">
        <v>11.3</v>
      </c>
      <c r="J4295" s="71">
        <v>13.9</v>
      </c>
      <c r="K4295" s="121">
        <v>4.5000000000000005E-3</v>
      </c>
      <c r="L4295" s="121">
        <v>-7.0000000000000001E-3</v>
      </c>
      <c r="M4295" s="75" t="s">
        <v>146</v>
      </c>
      <c r="N4295" s="75" t="b">
        <v>1</v>
      </c>
      <c r="O4295" s="75" t="s">
        <v>145</v>
      </c>
      <c r="P4295" s="75">
        <v>2014</v>
      </c>
      <c r="Q4295" s="107">
        <f t="shared" si="131"/>
        <v>2019</v>
      </c>
      <c r="R4295" s="107">
        <v>2</v>
      </c>
      <c r="S4295" s="43">
        <v>219122</v>
      </c>
      <c r="T4295" s="74">
        <v>43782</v>
      </c>
    </row>
    <row r="4296" spans="1:20" x14ac:dyDescent="0.3">
      <c r="A4296" s="42">
        <v>43756</v>
      </c>
      <c r="B4296" s="37">
        <f t="shared" si="133"/>
        <v>20191018</v>
      </c>
      <c r="C4296" s="109">
        <v>1.6399999999999998E-2</v>
      </c>
      <c r="D4296" s="109">
        <v>1.2E-2</v>
      </c>
      <c r="E4296" s="109">
        <v>1.2999999999999999E-2</v>
      </c>
      <c r="F4296" s="109">
        <v>1.2999999999999999E-2</v>
      </c>
      <c r="G4296" s="130">
        <v>0</v>
      </c>
      <c r="H4296" s="71">
        <v>8.6999999999999993</v>
      </c>
      <c r="I4296" s="71">
        <v>11.3</v>
      </c>
      <c r="J4296" s="71">
        <v>13.9</v>
      </c>
      <c r="K4296" s="121">
        <v>4.1999999999999997E-3</v>
      </c>
      <c r="L4296" s="121">
        <v>-7.0000000000000001E-3</v>
      </c>
      <c r="M4296" s="75" t="s">
        <v>146</v>
      </c>
      <c r="N4296" s="75" t="b">
        <v>1</v>
      </c>
      <c r="O4296" s="75" t="s">
        <v>145</v>
      </c>
      <c r="P4296" s="75">
        <v>2014</v>
      </c>
      <c r="Q4296" s="107">
        <f t="shared" si="131"/>
        <v>2019</v>
      </c>
      <c r="R4296" s="107">
        <v>2</v>
      </c>
      <c r="S4296" s="43">
        <v>219122</v>
      </c>
      <c r="T4296" s="74">
        <v>43782</v>
      </c>
    </row>
    <row r="4297" spans="1:20" x14ac:dyDescent="0.3">
      <c r="A4297" s="42">
        <v>43757</v>
      </c>
      <c r="B4297" s="37">
        <f>YEAR(A4297)*10000+MONTH(A4297)*100+DAY(A4297)</f>
        <v>20191019</v>
      </c>
      <c r="C4297" s="109">
        <v>1.6399999999999998E-2</v>
      </c>
      <c r="D4297" s="109">
        <v>1.2E-2</v>
      </c>
      <c r="E4297" s="109">
        <v>1.2999999999999999E-2</v>
      </c>
      <c r="F4297" s="109">
        <v>1.2999999999999999E-2</v>
      </c>
      <c r="G4297" s="130">
        <v>0</v>
      </c>
      <c r="H4297" s="71">
        <v>8.6999999999999993</v>
      </c>
      <c r="I4297" s="71">
        <v>11.3</v>
      </c>
      <c r="J4297" s="71">
        <v>13.9</v>
      </c>
      <c r="K4297" s="121">
        <v>4.1999999999999997E-3</v>
      </c>
      <c r="L4297" s="121">
        <v>-7.0000000000000001E-3</v>
      </c>
      <c r="M4297" s="75" t="s">
        <v>146</v>
      </c>
      <c r="N4297" s="75" t="b">
        <v>1</v>
      </c>
      <c r="O4297" s="75" t="s">
        <v>145</v>
      </c>
      <c r="P4297" s="75">
        <v>2014</v>
      </c>
      <c r="Q4297" s="107">
        <f t="shared" si="131"/>
        <v>2019</v>
      </c>
      <c r="R4297" s="107">
        <v>2</v>
      </c>
      <c r="S4297" s="43">
        <v>219122</v>
      </c>
      <c r="T4297" s="74">
        <v>43782</v>
      </c>
    </row>
    <row r="4298" spans="1:20" x14ac:dyDescent="0.3">
      <c r="A4298" s="42">
        <v>43758</v>
      </c>
      <c r="B4298" s="37">
        <f>YEAR(A4298)*10000+MONTH(A4298)*100+DAY(A4298)</f>
        <v>20191020</v>
      </c>
      <c r="C4298" s="109">
        <v>1.6399999999999998E-2</v>
      </c>
      <c r="D4298" s="109">
        <v>1.2E-2</v>
      </c>
      <c r="E4298" s="109">
        <v>1.2999999999999999E-2</v>
      </c>
      <c r="F4298" s="109">
        <v>1.2999999999999999E-2</v>
      </c>
      <c r="G4298" s="130">
        <v>0</v>
      </c>
      <c r="H4298" s="71">
        <v>8.6999999999999993</v>
      </c>
      <c r="I4298" s="71">
        <v>11.3</v>
      </c>
      <c r="J4298" s="71">
        <v>13.9</v>
      </c>
      <c r="K4298" s="121">
        <v>4.1999999999999997E-3</v>
      </c>
      <c r="L4298" s="121">
        <v>-7.0000000000000001E-3</v>
      </c>
      <c r="M4298" s="75" t="s">
        <v>146</v>
      </c>
      <c r="N4298" s="75" t="b">
        <v>1</v>
      </c>
      <c r="O4298" s="75" t="s">
        <v>145</v>
      </c>
      <c r="P4298" s="75">
        <v>2014</v>
      </c>
      <c r="Q4298" s="107">
        <f t="shared" si="131"/>
        <v>2019</v>
      </c>
      <c r="R4298" s="107">
        <v>2</v>
      </c>
      <c r="S4298" s="43">
        <v>219122</v>
      </c>
      <c r="T4298" s="74">
        <v>43782</v>
      </c>
    </row>
    <row r="4299" spans="1:20" x14ac:dyDescent="0.3">
      <c r="A4299" s="42">
        <v>43759</v>
      </c>
      <c r="B4299" s="37">
        <f t="shared" si="133"/>
        <v>20191021</v>
      </c>
      <c r="C4299" s="109">
        <v>1.66E-2</v>
      </c>
      <c r="D4299" s="109">
        <v>1.2E-2</v>
      </c>
      <c r="E4299" s="109">
        <v>1.2999999999999999E-2</v>
      </c>
      <c r="F4299" s="109">
        <v>1.2999999999999999E-2</v>
      </c>
      <c r="G4299" s="130">
        <v>0</v>
      </c>
      <c r="H4299" s="71">
        <v>8.6999999999999993</v>
      </c>
      <c r="I4299" s="71">
        <v>11.3</v>
      </c>
      <c r="J4299" s="71">
        <v>13.9</v>
      </c>
      <c r="K4299" s="121">
        <v>4.4000000000000003E-3</v>
      </c>
      <c r="L4299" s="121">
        <v>-7.0000000000000001E-3</v>
      </c>
      <c r="M4299" s="75" t="s">
        <v>146</v>
      </c>
      <c r="N4299" s="75" t="b">
        <v>1</v>
      </c>
      <c r="O4299" s="75" t="s">
        <v>145</v>
      </c>
      <c r="P4299" s="75">
        <v>2014</v>
      </c>
      <c r="Q4299" s="107">
        <f t="shared" si="131"/>
        <v>2019</v>
      </c>
      <c r="R4299" s="107">
        <v>2</v>
      </c>
      <c r="S4299" s="43">
        <v>219122</v>
      </c>
      <c r="T4299" s="74">
        <v>43782</v>
      </c>
    </row>
    <row r="4300" spans="1:20" x14ac:dyDescent="0.3">
      <c r="A4300" s="42">
        <v>43760</v>
      </c>
      <c r="B4300" s="37">
        <f t="shared" si="133"/>
        <v>20191022</v>
      </c>
      <c r="C4300" s="109">
        <v>1.6200000000000003E-2</v>
      </c>
      <c r="D4300" s="109">
        <v>1.2E-2</v>
      </c>
      <c r="E4300" s="109">
        <v>1.2999999999999999E-2</v>
      </c>
      <c r="F4300" s="109">
        <v>1.2999999999999999E-2</v>
      </c>
      <c r="G4300" s="130">
        <v>0</v>
      </c>
      <c r="H4300" s="71">
        <v>8.6999999999999993</v>
      </c>
      <c r="I4300" s="71">
        <v>11.3</v>
      </c>
      <c r="J4300" s="71">
        <v>13.9</v>
      </c>
      <c r="K4300" s="121">
        <v>4.0999999999999995E-3</v>
      </c>
      <c r="L4300" s="121">
        <v>-7.0000000000000001E-3</v>
      </c>
      <c r="M4300" s="75" t="s">
        <v>146</v>
      </c>
      <c r="N4300" s="75" t="b">
        <v>1</v>
      </c>
      <c r="O4300" s="75" t="s">
        <v>145</v>
      </c>
      <c r="P4300" s="75">
        <v>2014</v>
      </c>
      <c r="Q4300" s="107">
        <f t="shared" si="131"/>
        <v>2019</v>
      </c>
      <c r="R4300" s="107">
        <v>2</v>
      </c>
      <c r="S4300" s="43">
        <v>219122</v>
      </c>
      <c r="T4300" s="74">
        <v>43782</v>
      </c>
    </row>
    <row r="4301" spans="1:20" x14ac:dyDescent="0.3">
      <c r="A4301" s="42">
        <v>43761</v>
      </c>
      <c r="B4301" s="37">
        <f t="shared" si="133"/>
        <v>20191023</v>
      </c>
      <c r="C4301" s="109">
        <v>1.61E-2</v>
      </c>
      <c r="D4301" s="109">
        <v>1.2E-2</v>
      </c>
      <c r="E4301" s="109">
        <v>1.2999999999999999E-2</v>
      </c>
      <c r="F4301" s="109">
        <v>1.2999999999999999E-2</v>
      </c>
      <c r="G4301" s="130">
        <v>0</v>
      </c>
      <c r="H4301" s="71">
        <v>8.6999999999999993</v>
      </c>
      <c r="I4301" s="71">
        <v>11.3</v>
      </c>
      <c r="J4301" s="71">
        <v>13.9</v>
      </c>
      <c r="K4301" s="121">
        <v>4.0000000000000001E-3</v>
      </c>
      <c r="L4301" s="121">
        <v>-7.0000000000000001E-3</v>
      </c>
      <c r="M4301" s="75" t="s">
        <v>146</v>
      </c>
      <c r="N4301" s="75" t="b">
        <v>1</v>
      </c>
      <c r="O4301" s="75" t="s">
        <v>145</v>
      </c>
      <c r="P4301" s="75">
        <v>2014</v>
      </c>
      <c r="Q4301" s="107">
        <f t="shared" si="131"/>
        <v>2019</v>
      </c>
      <c r="R4301" s="107">
        <v>2</v>
      </c>
      <c r="S4301" s="43">
        <v>219122</v>
      </c>
      <c r="T4301" s="74">
        <v>43782</v>
      </c>
    </row>
    <row r="4302" spans="1:20" x14ac:dyDescent="0.3">
      <c r="A4302" s="42">
        <v>43762</v>
      </c>
      <c r="B4302" s="37">
        <f t="shared" si="133"/>
        <v>20191024</v>
      </c>
      <c r="C4302" s="109">
        <v>1.6200000000000003E-2</v>
      </c>
      <c r="D4302" s="109">
        <v>1.2E-2</v>
      </c>
      <c r="E4302" s="109">
        <v>1.2999999999999999E-2</v>
      </c>
      <c r="F4302" s="109">
        <v>1.2999999999999999E-2</v>
      </c>
      <c r="G4302" s="130">
        <v>0</v>
      </c>
      <c r="H4302" s="71">
        <v>8.6999999999999993</v>
      </c>
      <c r="I4302" s="71">
        <v>11.3</v>
      </c>
      <c r="J4302" s="71">
        <v>13.9</v>
      </c>
      <c r="K4302" s="121">
        <v>4.1999999999999997E-3</v>
      </c>
      <c r="L4302" s="121">
        <v>-7.0000000000000001E-3</v>
      </c>
      <c r="M4302" s="75" t="s">
        <v>146</v>
      </c>
      <c r="N4302" s="75" t="b">
        <v>1</v>
      </c>
      <c r="O4302" s="75" t="s">
        <v>145</v>
      </c>
      <c r="P4302" s="75">
        <v>2014</v>
      </c>
      <c r="Q4302" s="107">
        <f t="shared" si="131"/>
        <v>2019</v>
      </c>
      <c r="R4302" s="107">
        <v>2</v>
      </c>
      <c r="S4302" s="43">
        <v>219122</v>
      </c>
      <c r="T4302" s="74">
        <v>43782</v>
      </c>
    </row>
    <row r="4303" spans="1:20" x14ac:dyDescent="0.3">
      <c r="A4303" s="42">
        <v>43763</v>
      </c>
      <c r="B4303" s="37">
        <f t="shared" si="133"/>
        <v>20191025</v>
      </c>
      <c r="C4303" s="109">
        <v>1.6500000000000001E-2</v>
      </c>
      <c r="D4303" s="109">
        <v>1.2E-2</v>
      </c>
      <c r="E4303" s="109">
        <v>1.2999999999999999E-2</v>
      </c>
      <c r="F4303" s="109">
        <v>1.2999999999999999E-2</v>
      </c>
      <c r="G4303" s="130">
        <v>0</v>
      </c>
      <c r="H4303" s="71">
        <v>8.6999999999999993</v>
      </c>
      <c r="I4303" s="71">
        <v>11.3</v>
      </c>
      <c r="J4303" s="71">
        <v>13.9</v>
      </c>
      <c r="K4303" s="121">
        <v>4.4000000000000003E-3</v>
      </c>
      <c r="L4303" s="121">
        <v>-7.0000000000000001E-3</v>
      </c>
      <c r="M4303" s="75" t="s">
        <v>146</v>
      </c>
      <c r="N4303" s="75" t="b">
        <v>1</v>
      </c>
      <c r="O4303" s="75" t="s">
        <v>145</v>
      </c>
      <c r="P4303" s="75">
        <v>2014</v>
      </c>
      <c r="Q4303" s="107">
        <f t="shared" si="131"/>
        <v>2019</v>
      </c>
      <c r="R4303" s="107">
        <v>2</v>
      </c>
      <c r="S4303" s="43">
        <v>219122</v>
      </c>
      <c r="T4303" s="74">
        <v>43782</v>
      </c>
    </row>
    <row r="4304" spans="1:20" x14ac:dyDescent="0.3">
      <c r="A4304" s="42">
        <v>43764</v>
      </c>
      <c r="B4304" s="37">
        <f>YEAR(A4304)*10000+MONTH(A4304)*100+DAY(A4304)</f>
        <v>20191026</v>
      </c>
      <c r="C4304" s="109">
        <v>1.6500000000000001E-2</v>
      </c>
      <c r="D4304" s="109">
        <v>1.2E-2</v>
      </c>
      <c r="E4304" s="109">
        <v>1.2999999999999999E-2</v>
      </c>
      <c r="F4304" s="109">
        <v>1.2999999999999999E-2</v>
      </c>
      <c r="G4304" s="130">
        <v>0</v>
      </c>
      <c r="H4304" s="71">
        <v>8.6999999999999993</v>
      </c>
      <c r="I4304" s="71">
        <v>11.3</v>
      </c>
      <c r="J4304" s="71">
        <v>13.9</v>
      </c>
      <c r="K4304" s="121">
        <v>4.4000000000000003E-3</v>
      </c>
      <c r="L4304" s="121">
        <v>-7.0000000000000001E-3</v>
      </c>
      <c r="M4304" s="75" t="s">
        <v>146</v>
      </c>
      <c r="N4304" s="75" t="b">
        <v>1</v>
      </c>
      <c r="O4304" s="75" t="s">
        <v>145</v>
      </c>
      <c r="P4304" s="75">
        <v>2014</v>
      </c>
      <c r="Q4304" s="107">
        <f t="shared" si="131"/>
        <v>2019</v>
      </c>
      <c r="R4304" s="107">
        <v>2</v>
      </c>
      <c r="S4304" s="43">
        <v>219122</v>
      </c>
      <c r="T4304" s="74">
        <v>43782</v>
      </c>
    </row>
    <row r="4305" spans="1:20" x14ac:dyDescent="0.3">
      <c r="A4305" s="42">
        <v>43765</v>
      </c>
      <c r="B4305" s="37">
        <f>YEAR(A4305)*10000+MONTH(A4305)*100+DAY(A4305)</f>
        <v>20191027</v>
      </c>
      <c r="C4305" s="109">
        <v>1.6500000000000001E-2</v>
      </c>
      <c r="D4305" s="109">
        <v>1.2E-2</v>
      </c>
      <c r="E4305" s="109">
        <v>1.2999999999999999E-2</v>
      </c>
      <c r="F4305" s="109">
        <v>1.2999999999999999E-2</v>
      </c>
      <c r="G4305" s="130">
        <v>0</v>
      </c>
      <c r="H4305" s="71">
        <v>8.6999999999999993</v>
      </c>
      <c r="I4305" s="71">
        <v>11.3</v>
      </c>
      <c r="J4305" s="71">
        <v>13.9</v>
      </c>
      <c r="K4305" s="121">
        <v>4.4000000000000003E-3</v>
      </c>
      <c r="L4305" s="121">
        <v>-7.0000000000000001E-3</v>
      </c>
      <c r="M4305" s="75" t="s">
        <v>146</v>
      </c>
      <c r="N4305" s="75" t="b">
        <v>1</v>
      </c>
      <c r="O4305" s="75" t="s">
        <v>145</v>
      </c>
      <c r="P4305" s="75">
        <v>2014</v>
      </c>
      <c r="Q4305" s="107">
        <f t="shared" si="131"/>
        <v>2019</v>
      </c>
      <c r="R4305" s="107">
        <v>2</v>
      </c>
      <c r="S4305" s="43">
        <v>219122</v>
      </c>
      <c r="T4305" s="74">
        <v>43782</v>
      </c>
    </row>
    <row r="4306" spans="1:20" x14ac:dyDescent="0.3">
      <c r="A4306" s="42">
        <v>43766</v>
      </c>
      <c r="B4306" s="37">
        <f t="shared" si="133"/>
        <v>20191028</v>
      </c>
      <c r="C4306" s="109">
        <v>1.7399999999999999E-2</v>
      </c>
      <c r="D4306" s="109">
        <v>1.2E-2</v>
      </c>
      <c r="E4306" s="109">
        <v>1.2999999999999999E-2</v>
      </c>
      <c r="F4306" s="109">
        <v>1.2999999999999999E-2</v>
      </c>
      <c r="G4306" s="130">
        <v>0</v>
      </c>
      <c r="H4306" s="71">
        <v>8.6999999999999993</v>
      </c>
      <c r="I4306" s="71">
        <v>11.3</v>
      </c>
      <c r="J4306" s="71">
        <v>13.9</v>
      </c>
      <c r="K4306" s="121">
        <v>5.1000000000000004E-3</v>
      </c>
      <c r="L4306" s="121">
        <v>-7.0000000000000001E-3</v>
      </c>
      <c r="M4306" s="75" t="s">
        <v>146</v>
      </c>
      <c r="N4306" s="75" t="b">
        <v>1</v>
      </c>
      <c r="O4306" s="75" t="s">
        <v>145</v>
      </c>
      <c r="P4306" s="75">
        <v>2014</v>
      </c>
      <c r="Q4306" s="107">
        <f t="shared" si="131"/>
        <v>2019</v>
      </c>
      <c r="R4306" s="107">
        <v>2</v>
      </c>
      <c r="S4306" s="43">
        <v>219122</v>
      </c>
      <c r="T4306" s="74">
        <v>43782</v>
      </c>
    </row>
    <row r="4307" spans="1:20" x14ac:dyDescent="0.3">
      <c r="A4307" s="42">
        <v>43767</v>
      </c>
      <c r="B4307" s="37">
        <f t="shared" si="133"/>
        <v>20191029</v>
      </c>
      <c r="C4307" s="109">
        <v>1.72E-2</v>
      </c>
      <c r="D4307" s="109">
        <v>1.2E-2</v>
      </c>
      <c r="E4307" s="109">
        <v>1.2999999999999999E-2</v>
      </c>
      <c r="F4307" s="109">
        <v>1.2999999999999999E-2</v>
      </c>
      <c r="G4307" s="130">
        <v>0</v>
      </c>
      <c r="H4307" s="71">
        <v>8.6999999999999993</v>
      </c>
      <c r="I4307" s="71">
        <v>11.3</v>
      </c>
      <c r="J4307" s="71">
        <v>13.9</v>
      </c>
      <c r="K4307" s="121">
        <v>5.1000000000000004E-3</v>
      </c>
      <c r="L4307" s="121">
        <v>-7.0000000000000001E-3</v>
      </c>
      <c r="M4307" s="75" t="s">
        <v>146</v>
      </c>
      <c r="N4307" s="75" t="b">
        <v>1</v>
      </c>
      <c r="O4307" s="75" t="s">
        <v>145</v>
      </c>
      <c r="P4307" s="75">
        <v>2014</v>
      </c>
      <c r="Q4307" s="107">
        <f t="shared" si="131"/>
        <v>2019</v>
      </c>
      <c r="R4307" s="107">
        <v>2</v>
      </c>
      <c r="S4307" s="43">
        <v>219122</v>
      </c>
      <c r="T4307" s="74">
        <v>43782</v>
      </c>
    </row>
    <row r="4308" spans="1:20" x14ac:dyDescent="0.3">
      <c r="A4308" s="42">
        <v>43768</v>
      </c>
      <c r="B4308" s="37">
        <f t="shared" si="133"/>
        <v>20191030</v>
      </c>
      <c r="C4308" s="109">
        <v>1.6E-2</v>
      </c>
      <c r="D4308" s="109">
        <v>1.2E-2</v>
      </c>
      <c r="E4308" s="109">
        <v>1.2999999999999999E-2</v>
      </c>
      <c r="F4308" s="109">
        <v>1.2999999999999999E-2</v>
      </c>
      <c r="G4308" s="130">
        <v>0</v>
      </c>
      <c r="H4308" s="71">
        <v>8.6999999999999993</v>
      </c>
      <c r="I4308" s="71">
        <v>11.3</v>
      </c>
      <c r="J4308" s="71">
        <v>13.9</v>
      </c>
      <c r="K4308" s="121">
        <v>3.8E-3</v>
      </c>
      <c r="L4308" s="121">
        <v>-7.0000000000000001E-3</v>
      </c>
      <c r="M4308" s="75" t="s">
        <v>146</v>
      </c>
      <c r="N4308" s="75" t="b">
        <v>1</v>
      </c>
      <c r="O4308" s="75" t="s">
        <v>145</v>
      </c>
      <c r="P4308" s="75">
        <v>2014</v>
      </c>
      <c r="Q4308" s="107">
        <f t="shared" si="131"/>
        <v>2019</v>
      </c>
      <c r="R4308" s="107">
        <v>2</v>
      </c>
      <c r="S4308" s="43">
        <v>219122</v>
      </c>
      <c r="T4308" s="74">
        <v>43782</v>
      </c>
    </row>
    <row r="4309" spans="1:20" x14ac:dyDescent="0.3">
      <c r="A4309" s="42">
        <v>43769</v>
      </c>
      <c r="B4309" s="37">
        <f t="shared" si="133"/>
        <v>20191031</v>
      </c>
      <c r="C4309" s="109">
        <v>1.5600000000000001E-2</v>
      </c>
      <c r="D4309" s="109">
        <v>1.2E-2</v>
      </c>
      <c r="E4309" s="109">
        <v>1.2999999999999999E-2</v>
      </c>
      <c r="F4309" s="109">
        <v>1.2999999999999999E-2</v>
      </c>
      <c r="G4309" s="130">
        <v>0</v>
      </c>
      <c r="H4309" s="71">
        <v>8.6999999999999993</v>
      </c>
      <c r="I4309" s="71">
        <v>11.3</v>
      </c>
      <c r="J4309" s="71">
        <v>13.9</v>
      </c>
      <c r="K4309" s="121">
        <v>3.7000000000000002E-3</v>
      </c>
      <c r="L4309" s="121">
        <v>-7.0000000000000001E-3</v>
      </c>
      <c r="M4309" s="75" t="s">
        <v>146</v>
      </c>
      <c r="N4309" s="75" t="b">
        <v>1</v>
      </c>
      <c r="O4309" s="75" t="s">
        <v>145</v>
      </c>
      <c r="P4309" s="75">
        <v>2014</v>
      </c>
      <c r="Q4309" s="107">
        <f t="shared" si="131"/>
        <v>2019</v>
      </c>
      <c r="R4309" s="107">
        <v>2</v>
      </c>
      <c r="S4309" s="43">
        <v>219122</v>
      </c>
      <c r="T4309" s="74">
        <v>43782</v>
      </c>
    </row>
    <row r="4310" spans="1:20" x14ac:dyDescent="0.3">
      <c r="A4310" s="42">
        <v>43770</v>
      </c>
      <c r="B4310" s="37">
        <f t="shared" si="133"/>
        <v>20191101</v>
      </c>
      <c r="C4310" s="109">
        <v>1.5900000000000001E-2</v>
      </c>
      <c r="D4310" s="109">
        <v>1.2E-2</v>
      </c>
      <c r="E4310" s="109">
        <v>1.2999999999999999E-2</v>
      </c>
      <c r="F4310" s="109">
        <v>1.2999999999999999E-2</v>
      </c>
      <c r="G4310" s="130">
        <v>0</v>
      </c>
      <c r="H4310" s="71">
        <v>8.6999999999999993</v>
      </c>
      <c r="I4310" s="71">
        <v>11.3</v>
      </c>
      <c r="J4310" s="71">
        <v>13.9</v>
      </c>
      <c r="K4310" s="121">
        <v>3.7000000000000002E-3</v>
      </c>
      <c r="L4310" s="121">
        <v>-7.0000000000000001E-3</v>
      </c>
      <c r="M4310" s="75" t="s">
        <v>146</v>
      </c>
      <c r="N4310" s="75" t="b">
        <v>1</v>
      </c>
      <c r="O4310" s="75" t="s">
        <v>145</v>
      </c>
      <c r="P4310" s="75">
        <v>2014</v>
      </c>
      <c r="Q4310" s="107">
        <f t="shared" si="131"/>
        <v>2019</v>
      </c>
      <c r="R4310" s="107">
        <v>2</v>
      </c>
      <c r="S4310" s="43">
        <v>219122</v>
      </c>
      <c r="T4310" s="74">
        <v>43782</v>
      </c>
    </row>
    <row r="4311" spans="1:20" x14ac:dyDescent="0.3">
      <c r="A4311" s="42">
        <v>43771</v>
      </c>
      <c r="B4311" s="37">
        <f>YEAR(A4311)*10000+MONTH(A4311)*100+DAY(A4311)</f>
        <v>20191102</v>
      </c>
      <c r="C4311" s="109">
        <v>1.5900000000000001E-2</v>
      </c>
      <c r="D4311" s="109">
        <v>1.2E-2</v>
      </c>
      <c r="E4311" s="109">
        <v>1.2999999999999999E-2</v>
      </c>
      <c r="F4311" s="109">
        <v>1.2999999999999999E-2</v>
      </c>
      <c r="G4311" s="130">
        <v>0</v>
      </c>
      <c r="H4311" s="71">
        <v>8.6999999999999993</v>
      </c>
      <c r="I4311" s="71">
        <v>11.3</v>
      </c>
      <c r="J4311" s="71">
        <v>13.9</v>
      </c>
      <c r="K4311" s="121">
        <v>3.7000000000000002E-3</v>
      </c>
      <c r="L4311" s="121">
        <v>-7.0000000000000001E-3</v>
      </c>
      <c r="M4311" s="75" t="s">
        <v>146</v>
      </c>
      <c r="N4311" s="75" t="b">
        <v>1</v>
      </c>
      <c r="O4311" s="75" t="s">
        <v>145</v>
      </c>
      <c r="P4311" s="75">
        <v>2014</v>
      </c>
      <c r="Q4311" s="107">
        <f t="shared" si="131"/>
        <v>2019</v>
      </c>
      <c r="R4311" s="107">
        <v>2</v>
      </c>
      <c r="S4311" s="43">
        <v>219122</v>
      </c>
      <c r="T4311" s="74">
        <v>43782</v>
      </c>
    </row>
    <row r="4312" spans="1:20" x14ac:dyDescent="0.3">
      <c r="A4312" s="42">
        <v>43772</v>
      </c>
      <c r="B4312" s="37">
        <f>YEAR(A4312)*10000+MONTH(A4312)*100+DAY(A4312)</f>
        <v>20191103</v>
      </c>
      <c r="C4312" s="109">
        <v>1.5900000000000001E-2</v>
      </c>
      <c r="D4312" s="109">
        <v>1.2E-2</v>
      </c>
      <c r="E4312" s="109">
        <v>1.2999999999999999E-2</v>
      </c>
      <c r="F4312" s="109">
        <v>1.2999999999999999E-2</v>
      </c>
      <c r="G4312" s="130">
        <v>0</v>
      </c>
      <c r="H4312" s="71">
        <v>8.6999999999999993</v>
      </c>
      <c r="I4312" s="71">
        <v>11.3</v>
      </c>
      <c r="J4312" s="71">
        <v>13.9</v>
      </c>
      <c r="K4312" s="121">
        <v>3.7000000000000002E-3</v>
      </c>
      <c r="L4312" s="121">
        <v>-7.0000000000000001E-3</v>
      </c>
      <c r="M4312" s="75" t="s">
        <v>146</v>
      </c>
      <c r="N4312" s="75" t="b">
        <v>1</v>
      </c>
      <c r="O4312" s="75" t="s">
        <v>145</v>
      </c>
      <c r="P4312" s="75">
        <v>2014</v>
      </c>
      <c r="Q4312" s="107">
        <f t="shared" si="131"/>
        <v>2019</v>
      </c>
      <c r="R4312" s="107">
        <v>2</v>
      </c>
      <c r="S4312" s="43">
        <v>219122</v>
      </c>
      <c r="T4312" s="74">
        <v>43782</v>
      </c>
    </row>
    <row r="4313" spans="1:20" x14ac:dyDescent="0.3">
      <c r="A4313" s="42">
        <v>43773</v>
      </c>
      <c r="B4313" s="37">
        <f t="shared" si="133"/>
        <v>20191104</v>
      </c>
      <c r="C4313" s="109">
        <v>1.67E-2</v>
      </c>
      <c r="D4313" s="109">
        <v>1.2E-2</v>
      </c>
      <c r="E4313" s="109">
        <v>1.2999999999999999E-2</v>
      </c>
      <c r="F4313" s="109">
        <v>1.2999999999999999E-2</v>
      </c>
      <c r="G4313" s="130">
        <v>0</v>
      </c>
      <c r="H4313" s="71">
        <v>8.6999999999999993</v>
      </c>
      <c r="I4313" s="71">
        <v>11.3</v>
      </c>
      <c r="J4313" s="71">
        <v>13.9</v>
      </c>
      <c r="K4313" s="121">
        <v>4.3E-3</v>
      </c>
      <c r="L4313" s="121">
        <v>-7.0000000000000001E-3</v>
      </c>
      <c r="M4313" s="75" t="s">
        <v>146</v>
      </c>
      <c r="N4313" s="75" t="b">
        <v>1</v>
      </c>
      <c r="O4313" s="75" t="s">
        <v>145</v>
      </c>
      <c r="P4313" s="75">
        <v>2014</v>
      </c>
      <c r="Q4313" s="107">
        <f t="shared" si="131"/>
        <v>2019</v>
      </c>
      <c r="R4313" s="107">
        <v>2</v>
      </c>
      <c r="S4313" s="43">
        <v>219122</v>
      </c>
      <c r="T4313" s="74">
        <v>43782</v>
      </c>
    </row>
    <row r="4314" spans="1:20" x14ac:dyDescent="0.3">
      <c r="A4314" s="42">
        <v>43774</v>
      </c>
      <c r="B4314" s="37">
        <f t="shared" si="133"/>
        <v>20191105</v>
      </c>
      <c r="C4314" s="109">
        <v>1.7299999999999999E-2</v>
      </c>
      <c r="D4314" s="109">
        <v>1.2E-2</v>
      </c>
      <c r="E4314" s="109">
        <v>1.2999999999999999E-2</v>
      </c>
      <c r="F4314" s="109">
        <v>1.2999999999999999E-2</v>
      </c>
      <c r="G4314" s="130">
        <v>0</v>
      </c>
      <c r="H4314" s="71">
        <v>8.6999999999999993</v>
      </c>
      <c r="I4314" s="71">
        <v>11.3</v>
      </c>
      <c r="J4314" s="71">
        <v>13.9</v>
      </c>
      <c r="K4314" s="121">
        <v>4.6999999999999993E-3</v>
      </c>
      <c r="L4314" s="121">
        <v>-7.0000000000000001E-3</v>
      </c>
      <c r="M4314" s="75" t="s">
        <v>146</v>
      </c>
      <c r="N4314" s="75" t="b">
        <v>1</v>
      </c>
      <c r="O4314" s="75" t="s">
        <v>145</v>
      </c>
      <c r="P4314" s="75">
        <v>2014</v>
      </c>
      <c r="Q4314" s="107">
        <f t="shared" si="131"/>
        <v>2019</v>
      </c>
      <c r="R4314" s="107">
        <v>2</v>
      </c>
      <c r="S4314" s="43">
        <v>219122</v>
      </c>
      <c r="T4314" s="74">
        <v>43782</v>
      </c>
    </row>
    <row r="4315" spans="1:20" x14ac:dyDescent="0.3">
      <c r="A4315" s="42">
        <v>43775</v>
      </c>
      <c r="B4315" s="37">
        <f t="shared" si="133"/>
        <v>20191106</v>
      </c>
      <c r="C4315" s="109">
        <v>1.67E-2</v>
      </c>
      <c r="D4315" s="109">
        <v>1.2E-2</v>
      </c>
      <c r="E4315" s="109">
        <v>1.2999999999999999E-2</v>
      </c>
      <c r="F4315" s="109">
        <v>1.2999999999999999E-2</v>
      </c>
      <c r="G4315" s="130">
        <v>0</v>
      </c>
      <c r="H4315" s="71">
        <v>8.6999999999999993</v>
      </c>
      <c r="I4315" s="71">
        <v>11.3</v>
      </c>
      <c r="J4315" s="71">
        <v>13.9</v>
      </c>
      <c r="K4315" s="121">
        <v>4.0999999999999995E-3</v>
      </c>
      <c r="L4315" s="121">
        <v>-7.0000000000000001E-3</v>
      </c>
      <c r="M4315" s="75" t="s">
        <v>146</v>
      </c>
      <c r="N4315" s="75" t="b">
        <v>1</v>
      </c>
      <c r="O4315" s="75" t="s">
        <v>145</v>
      </c>
      <c r="P4315" s="75">
        <v>2014</v>
      </c>
      <c r="Q4315" s="107">
        <f t="shared" si="131"/>
        <v>2019</v>
      </c>
      <c r="R4315" s="107">
        <v>2</v>
      </c>
      <c r="S4315" s="43">
        <v>219122</v>
      </c>
      <c r="T4315" s="74">
        <v>43782</v>
      </c>
    </row>
    <row r="4316" spans="1:20" x14ac:dyDescent="0.3">
      <c r="A4316" s="42">
        <v>43776</v>
      </c>
      <c r="B4316" s="37">
        <f t="shared" si="133"/>
        <v>20191107</v>
      </c>
      <c r="C4316" s="109">
        <v>1.7299999999999999E-2</v>
      </c>
      <c r="D4316" s="109">
        <v>1.2E-2</v>
      </c>
      <c r="E4316" s="109">
        <v>1.2999999999999999E-2</v>
      </c>
      <c r="F4316" s="109">
        <v>1.2999999999999999E-2</v>
      </c>
      <c r="G4316" s="130">
        <v>0</v>
      </c>
      <c r="H4316" s="71">
        <v>8.6999999999999993</v>
      </c>
      <c r="I4316" s="71">
        <v>11.3</v>
      </c>
      <c r="J4316" s="71">
        <v>13.9</v>
      </c>
      <c r="K4316" s="121">
        <v>4.3E-3</v>
      </c>
      <c r="L4316" s="121">
        <v>-7.0000000000000001E-3</v>
      </c>
      <c r="M4316" s="75" t="s">
        <v>146</v>
      </c>
      <c r="N4316" s="75" t="b">
        <v>1</v>
      </c>
      <c r="O4316" s="75" t="s">
        <v>145</v>
      </c>
      <c r="P4316" s="75">
        <v>2014</v>
      </c>
      <c r="Q4316" s="107">
        <f t="shared" si="131"/>
        <v>2019</v>
      </c>
      <c r="R4316" s="107">
        <v>2</v>
      </c>
      <c r="S4316" s="43">
        <v>219122</v>
      </c>
      <c r="T4316" s="74">
        <v>43782</v>
      </c>
    </row>
    <row r="4317" spans="1:20" x14ac:dyDescent="0.3">
      <c r="A4317" s="42">
        <v>43777</v>
      </c>
      <c r="B4317" s="37">
        <f t="shared" si="133"/>
        <v>20191108</v>
      </c>
      <c r="C4317" s="109">
        <v>1.72E-2</v>
      </c>
      <c r="D4317" s="109">
        <v>1.2E-2</v>
      </c>
      <c r="E4317" s="109">
        <v>1.2999999999999999E-2</v>
      </c>
      <c r="F4317" s="109">
        <v>1.2999999999999999E-2</v>
      </c>
      <c r="G4317" s="130">
        <v>0</v>
      </c>
      <c r="H4317" s="71">
        <v>8.6999999999999993</v>
      </c>
      <c r="I4317" s="71">
        <v>11.3</v>
      </c>
      <c r="J4317" s="71">
        <v>13.9</v>
      </c>
      <c r="K4317" s="121">
        <v>4.3E-3</v>
      </c>
      <c r="L4317" s="121">
        <v>-7.0000000000000001E-3</v>
      </c>
      <c r="M4317" s="75" t="s">
        <v>146</v>
      </c>
      <c r="N4317" s="75" t="b">
        <v>1</v>
      </c>
      <c r="O4317" s="75" t="s">
        <v>145</v>
      </c>
      <c r="P4317" s="75">
        <v>2014</v>
      </c>
      <c r="Q4317" s="107">
        <f t="shared" si="131"/>
        <v>2019</v>
      </c>
      <c r="R4317" s="107">
        <v>2</v>
      </c>
      <c r="S4317" s="43">
        <v>219122</v>
      </c>
      <c r="T4317" s="74">
        <v>43782</v>
      </c>
    </row>
    <row r="4318" spans="1:20" x14ac:dyDescent="0.3">
      <c r="A4318" s="42">
        <v>43778</v>
      </c>
      <c r="B4318" s="37">
        <f>YEAR(A4318)*10000+MONTH(A4318)*100+DAY(A4318)</f>
        <v>20191109</v>
      </c>
      <c r="C4318" s="109">
        <v>1.72E-2</v>
      </c>
      <c r="D4318" s="109">
        <v>1.2E-2</v>
      </c>
      <c r="E4318" s="109">
        <v>1.2999999999999999E-2</v>
      </c>
      <c r="F4318" s="109">
        <v>1.2999999999999999E-2</v>
      </c>
      <c r="G4318" s="130">
        <v>0</v>
      </c>
      <c r="H4318" s="71">
        <v>8.6999999999999993</v>
      </c>
      <c r="I4318" s="71">
        <v>11.3</v>
      </c>
      <c r="J4318" s="71">
        <v>13.9</v>
      </c>
      <c r="K4318" s="121">
        <v>4.3E-3</v>
      </c>
      <c r="L4318" s="121">
        <v>-7.0000000000000001E-3</v>
      </c>
      <c r="M4318" s="75" t="s">
        <v>146</v>
      </c>
      <c r="N4318" s="75" t="b">
        <v>1</v>
      </c>
      <c r="O4318" s="75" t="s">
        <v>145</v>
      </c>
      <c r="P4318" s="75">
        <v>2014</v>
      </c>
      <c r="Q4318" s="107">
        <f t="shared" si="131"/>
        <v>2019</v>
      </c>
      <c r="R4318" s="107">
        <v>2</v>
      </c>
      <c r="S4318" s="43">
        <v>219122</v>
      </c>
      <c r="T4318" s="74">
        <v>43782</v>
      </c>
    </row>
    <row r="4319" spans="1:20" x14ac:dyDescent="0.3">
      <c r="A4319" s="42">
        <v>43779</v>
      </c>
      <c r="B4319" s="37">
        <f>YEAR(A4319)*10000+MONTH(A4319)*100+DAY(A4319)</f>
        <v>20191110</v>
      </c>
      <c r="C4319" s="109">
        <v>1.72E-2</v>
      </c>
      <c r="D4319" s="109">
        <v>1.2E-2</v>
      </c>
      <c r="E4319" s="109">
        <v>1.2999999999999999E-2</v>
      </c>
      <c r="F4319" s="109">
        <v>1.2999999999999999E-2</v>
      </c>
      <c r="G4319" s="130">
        <v>0</v>
      </c>
      <c r="H4319" s="71">
        <v>8.6999999999999993</v>
      </c>
      <c r="I4319" s="71">
        <v>11.3</v>
      </c>
      <c r="J4319" s="71">
        <v>13.9</v>
      </c>
      <c r="K4319" s="121">
        <v>4.3E-3</v>
      </c>
      <c r="L4319" s="121">
        <v>-7.0000000000000001E-3</v>
      </c>
      <c r="M4319" s="75" t="s">
        <v>146</v>
      </c>
      <c r="N4319" s="75" t="b">
        <v>1</v>
      </c>
      <c r="O4319" s="75" t="s">
        <v>145</v>
      </c>
      <c r="P4319" s="75">
        <v>2014</v>
      </c>
      <c r="Q4319" s="107">
        <f t="shared" si="131"/>
        <v>2019</v>
      </c>
      <c r="R4319" s="107">
        <v>2</v>
      </c>
      <c r="S4319" s="43">
        <v>219122</v>
      </c>
      <c r="T4319" s="74">
        <v>43782</v>
      </c>
    </row>
    <row r="4320" spans="1:20" x14ac:dyDescent="0.3">
      <c r="A4320" s="42">
        <v>43780</v>
      </c>
      <c r="B4320" s="37">
        <f t="shared" si="133"/>
        <v>20191111</v>
      </c>
      <c r="C4320" s="109">
        <v>1.72E-2</v>
      </c>
      <c r="D4320" s="109">
        <v>1.2E-2</v>
      </c>
      <c r="E4320" s="109">
        <v>1.2999999999999999E-2</v>
      </c>
      <c r="F4320" s="109">
        <v>1.2999999999999999E-2</v>
      </c>
      <c r="G4320" s="130">
        <v>0</v>
      </c>
      <c r="H4320" s="71">
        <v>8.6999999999999993</v>
      </c>
      <c r="I4320" s="71">
        <v>11.3</v>
      </c>
      <c r="J4320" s="71">
        <v>13.9</v>
      </c>
      <c r="K4320" s="121">
        <v>4.3E-3</v>
      </c>
      <c r="L4320" s="121">
        <v>-7.0000000000000001E-3</v>
      </c>
      <c r="M4320" s="75" t="s">
        <v>146</v>
      </c>
      <c r="N4320" s="75" t="b">
        <v>1</v>
      </c>
      <c r="O4320" s="75" t="s">
        <v>145</v>
      </c>
      <c r="P4320" s="75">
        <v>2014</v>
      </c>
      <c r="Q4320" s="107">
        <f t="shared" si="131"/>
        <v>2019</v>
      </c>
      <c r="R4320" s="107">
        <v>2</v>
      </c>
      <c r="S4320" s="43">
        <v>219122</v>
      </c>
      <c r="T4320" s="74">
        <v>43782</v>
      </c>
    </row>
    <row r="4321" spans="1:20" x14ac:dyDescent="0.3">
      <c r="A4321" s="42">
        <v>43781</v>
      </c>
      <c r="B4321" s="37">
        <f t="shared" si="133"/>
        <v>20191112</v>
      </c>
      <c r="C4321" s="109">
        <v>1.72E-2</v>
      </c>
      <c r="D4321" s="109">
        <v>1.2E-2</v>
      </c>
      <c r="E4321" s="109">
        <v>1.2999999999999999E-2</v>
      </c>
      <c r="F4321" s="109">
        <v>1.2999999999999999E-2</v>
      </c>
      <c r="G4321" s="130">
        <v>0</v>
      </c>
      <c r="H4321" s="71">
        <v>8.6999999999999993</v>
      </c>
      <c r="I4321" s="71">
        <v>11.3</v>
      </c>
      <c r="J4321" s="71">
        <v>13.9</v>
      </c>
      <c r="K4321" s="121">
        <v>4.3E-3</v>
      </c>
      <c r="L4321" s="121">
        <v>-7.0000000000000001E-3</v>
      </c>
      <c r="M4321" s="75" t="s">
        <v>146</v>
      </c>
      <c r="N4321" s="75" t="b">
        <v>1</v>
      </c>
      <c r="O4321" s="75" t="s">
        <v>145</v>
      </c>
      <c r="P4321" s="75">
        <v>2014</v>
      </c>
      <c r="Q4321" s="107">
        <f t="shared" si="131"/>
        <v>2019</v>
      </c>
      <c r="R4321" s="107">
        <v>2</v>
      </c>
      <c r="S4321" s="43">
        <v>219122</v>
      </c>
      <c r="T4321" s="74">
        <v>43782</v>
      </c>
    </row>
    <row r="4322" spans="1:20" x14ac:dyDescent="0.3">
      <c r="A4322" s="42">
        <v>43782</v>
      </c>
      <c r="B4322" s="37">
        <f t="shared" si="133"/>
        <v>20191113</v>
      </c>
      <c r="C4322" s="109">
        <v>1.6799999999999999E-2</v>
      </c>
      <c r="D4322" s="109">
        <v>1.2E-2</v>
      </c>
      <c r="E4322" s="109">
        <v>1.2999999999999999E-2</v>
      </c>
      <c r="F4322" s="109">
        <v>1.2999999999999999E-2</v>
      </c>
      <c r="G4322" s="130">
        <v>0</v>
      </c>
      <c r="H4322" s="71">
        <v>8.6999999999999993</v>
      </c>
      <c r="I4322" s="71">
        <v>11.3</v>
      </c>
      <c r="J4322" s="71">
        <v>13.9</v>
      </c>
      <c r="K4322" s="121">
        <v>4.0000000000000001E-3</v>
      </c>
      <c r="L4322" s="121">
        <v>-7.0000000000000001E-3</v>
      </c>
      <c r="M4322" s="75" t="s">
        <v>146</v>
      </c>
      <c r="N4322" s="75" t="b">
        <v>1</v>
      </c>
      <c r="O4322" s="75" t="s">
        <v>145</v>
      </c>
      <c r="P4322" s="75">
        <v>2014</v>
      </c>
      <c r="Q4322" s="107">
        <f t="shared" si="131"/>
        <v>2019</v>
      </c>
      <c r="R4322" s="107">
        <v>2</v>
      </c>
      <c r="S4322" s="43">
        <v>219122</v>
      </c>
      <c r="T4322" s="74">
        <v>43782</v>
      </c>
    </row>
    <row r="4323" spans="1:20" x14ac:dyDescent="0.3">
      <c r="A4323" s="42">
        <v>43783</v>
      </c>
      <c r="B4323" s="37">
        <f t="shared" si="133"/>
        <v>20191114</v>
      </c>
      <c r="C4323" s="109">
        <v>1.61E-2</v>
      </c>
      <c r="D4323" s="109">
        <v>1.2E-2</v>
      </c>
      <c r="E4323" s="109">
        <v>1.2999999999999999E-2</v>
      </c>
      <c r="F4323" s="109">
        <v>1.2999999999999999E-2</v>
      </c>
      <c r="G4323" s="130">
        <v>0</v>
      </c>
      <c r="H4323" s="71">
        <v>8.6999999999999993</v>
      </c>
      <c r="I4323" s="71">
        <v>11.3</v>
      </c>
      <c r="J4323" s="71">
        <v>13.9</v>
      </c>
      <c r="K4323" s="121">
        <v>3.4000000000000002E-3</v>
      </c>
      <c r="L4323" s="121">
        <v>-7.0000000000000001E-3</v>
      </c>
      <c r="M4323" s="75" t="s">
        <v>146</v>
      </c>
      <c r="N4323" s="75" t="b">
        <v>1</v>
      </c>
      <c r="O4323" s="75" t="s">
        <v>145</v>
      </c>
      <c r="P4323" s="75">
        <v>2014</v>
      </c>
      <c r="Q4323" s="107">
        <f t="shared" si="131"/>
        <v>2019</v>
      </c>
      <c r="R4323" s="107">
        <v>2</v>
      </c>
      <c r="S4323" s="43">
        <v>219122</v>
      </c>
      <c r="T4323" s="74">
        <v>43782</v>
      </c>
    </row>
    <row r="4324" spans="1:20" x14ac:dyDescent="0.3">
      <c r="A4324" s="42">
        <v>43784</v>
      </c>
      <c r="B4324" s="37">
        <f t="shared" si="133"/>
        <v>20191115</v>
      </c>
      <c r="C4324" s="109">
        <v>1.61E-2</v>
      </c>
      <c r="D4324" s="109">
        <v>1.2E-2</v>
      </c>
      <c r="E4324" s="109">
        <v>1.2999999999999999E-2</v>
      </c>
      <c r="F4324" s="109">
        <v>1.2999999999999999E-2</v>
      </c>
      <c r="G4324" s="130">
        <v>0</v>
      </c>
      <c r="H4324" s="71">
        <v>8.6999999999999993</v>
      </c>
      <c r="I4324" s="71">
        <v>11.3</v>
      </c>
      <c r="J4324" s="71">
        <v>13.9</v>
      </c>
      <c r="K4324" s="121">
        <v>3.4000000000000002E-3</v>
      </c>
      <c r="L4324" s="121">
        <v>-7.0000000000000001E-3</v>
      </c>
      <c r="M4324" s="75" t="s">
        <v>146</v>
      </c>
      <c r="N4324" s="75" t="b">
        <v>1</v>
      </c>
      <c r="O4324" s="75" t="s">
        <v>145</v>
      </c>
      <c r="P4324" s="75">
        <v>2014</v>
      </c>
      <c r="Q4324" s="107">
        <f t="shared" si="131"/>
        <v>2019</v>
      </c>
      <c r="R4324" s="107">
        <v>2</v>
      </c>
      <c r="S4324" s="43">
        <v>219122</v>
      </c>
      <c r="T4324" s="74">
        <v>43782</v>
      </c>
    </row>
    <row r="4325" spans="1:20" x14ac:dyDescent="0.3">
      <c r="A4325" s="42">
        <v>43785</v>
      </c>
      <c r="B4325" s="37">
        <f>YEAR(A4325)*10000+MONTH(A4325)*100+DAY(A4325)</f>
        <v>20191116</v>
      </c>
      <c r="C4325" s="109">
        <v>1.61E-2</v>
      </c>
      <c r="D4325" s="109">
        <v>1.2E-2</v>
      </c>
      <c r="E4325" s="109">
        <v>1.2999999999999999E-2</v>
      </c>
      <c r="F4325" s="109">
        <v>1.2999999999999999E-2</v>
      </c>
      <c r="G4325" s="130">
        <v>0</v>
      </c>
      <c r="H4325" s="71">
        <v>8.6999999999999993</v>
      </c>
      <c r="I4325" s="71">
        <v>11.3</v>
      </c>
      <c r="J4325" s="71">
        <v>13.9</v>
      </c>
      <c r="K4325" s="121">
        <v>3.4000000000000002E-3</v>
      </c>
      <c r="L4325" s="121">
        <v>-7.0000000000000001E-3</v>
      </c>
      <c r="M4325" s="75" t="s">
        <v>146</v>
      </c>
      <c r="N4325" s="75" t="b">
        <v>1</v>
      </c>
      <c r="O4325" s="75" t="s">
        <v>145</v>
      </c>
      <c r="P4325" s="75">
        <v>2014</v>
      </c>
      <c r="Q4325" s="107">
        <f t="shared" si="131"/>
        <v>2019</v>
      </c>
      <c r="R4325" s="107">
        <v>2</v>
      </c>
      <c r="S4325" s="43">
        <v>219122</v>
      </c>
      <c r="T4325" s="74">
        <v>43782</v>
      </c>
    </row>
    <row r="4326" spans="1:20" x14ac:dyDescent="0.3">
      <c r="A4326" s="42">
        <v>43786</v>
      </c>
      <c r="B4326" s="37">
        <f>YEAR(A4326)*10000+MONTH(A4326)*100+DAY(A4326)</f>
        <v>20191117</v>
      </c>
      <c r="C4326" s="109">
        <v>1.61E-2</v>
      </c>
      <c r="D4326" s="109">
        <v>1.2E-2</v>
      </c>
      <c r="E4326" s="109">
        <v>1.2999999999999999E-2</v>
      </c>
      <c r="F4326" s="109">
        <v>1.2999999999999999E-2</v>
      </c>
      <c r="G4326" s="130">
        <v>0</v>
      </c>
      <c r="H4326" s="71">
        <v>8.6999999999999993</v>
      </c>
      <c r="I4326" s="71">
        <v>11.3</v>
      </c>
      <c r="J4326" s="71">
        <v>13.9</v>
      </c>
      <c r="K4326" s="121">
        <v>3.4000000000000002E-3</v>
      </c>
      <c r="L4326" s="121">
        <v>-7.0000000000000001E-3</v>
      </c>
      <c r="M4326" s="75" t="s">
        <v>146</v>
      </c>
      <c r="N4326" s="75" t="b">
        <v>1</v>
      </c>
      <c r="O4326" s="75" t="s">
        <v>145</v>
      </c>
      <c r="P4326" s="75">
        <v>2014</v>
      </c>
      <c r="Q4326" s="107">
        <f t="shared" si="131"/>
        <v>2019</v>
      </c>
      <c r="R4326" s="107">
        <v>2</v>
      </c>
      <c r="S4326" s="43">
        <v>219122</v>
      </c>
      <c r="T4326" s="74">
        <v>43782</v>
      </c>
    </row>
    <row r="4327" spans="1:20" x14ac:dyDescent="0.3">
      <c r="A4327" s="42">
        <v>43787</v>
      </c>
      <c r="B4327" s="37">
        <f t="shared" si="133"/>
        <v>20191118</v>
      </c>
      <c r="C4327" s="109">
        <v>1.61E-2</v>
      </c>
      <c r="D4327" s="109">
        <v>1.2E-2</v>
      </c>
      <c r="E4327" s="109">
        <v>1.2999999999999999E-2</v>
      </c>
      <c r="F4327" s="109">
        <v>1.2999999999999999E-2</v>
      </c>
      <c r="G4327" s="130">
        <v>0</v>
      </c>
      <c r="H4327" s="71">
        <v>8.6999999999999993</v>
      </c>
      <c r="I4327" s="71">
        <v>11.3</v>
      </c>
      <c r="J4327" s="71">
        <v>13.9</v>
      </c>
      <c r="K4327" s="121">
        <v>3.4000000000000002E-3</v>
      </c>
      <c r="L4327" s="121">
        <v>-7.0000000000000001E-3</v>
      </c>
      <c r="M4327" s="75" t="s">
        <v>146</v>
      </c>
      <c r="N4327" s="75" t="b">
        <v>1</v>
      </c>
      <c r="O4327" s="75" t="s">
        <v>145</v>
      </c>
      <c r="P4327" s="75">
        <v>2014</v>
      </c>
      <c r="Q4327" s="107">
        <f t="shared" si="131"/>
        <v>2019</v>
      </c>
      <c r="R4327" s="107">
        <v>2</v>
      </c>
      <c r="S4327" s="43">
        <v>219122</v>
      </c>
      <c r="T4327" s="74">
        <v>43782</v>
      </c>
    </row>
    <row r="4328" spans="1:20" x14ac:dyDescent="0.3">
      <c r="A4328" s="42">
        <v>43788</v>
      </c>
      <c r="B4328" s="37">
        <f t="shared" si="133"/>
        <v>20191119</v>
      </c>
      <c r="C4328" s="109">
        <v>1.5600000000000001E-2</v>
      </c>
      <c r="D4328" s="109">
        <v>1.2E-2</v>
      </c>
      <c r="E4328" s="109">
        <v>1.2999999999999999E-2</v>
      </c>
      <c r="F4328" s="109">
        <v>1.2999999999999999E-2</v>
      </c>
      <c r="G4328" s="130">
        <v>0</v>
      </c>
      <c r="H4328" s="71">
        <v>8.6999999999999993</v>
      </c>
      <c r="I4328" s="71">
        <v>11.3</v>
      </c>
      <c r="J4328" s="71">
        <v>13.9</v>
      </c>
      <c r="K4328" s="121">
        <v>3.0000000000000001E-3</v>
      </c>
      <c r="L4328" s="121">
        <v>-7.0000000000000001E-3</v>
      </c>
      <c r="M4328" s="75" t="s">
        <v>146</v>
      </c>
      <c r="N4328" s="75" t="b">
        <v>1</v>
      </c>
      <c r="O4328" s="75" t="s">
        <v>145</v>
      </c>
      <c r="P4328" s="75">
        <v>2014</v>
      </c>
      <c r="Q4328" s="107">
        <f t="shared" si="131"/>
        <v>2019</v>
      </c>
      <c r="R4328" s="107">
        <v>2</v>
      </c>
      <c r="S4328" s="43">
        <v>219122</v>
      </c>
      <c r="T4328" s="74">
        <v>43782</v>
      </c>
    </row>
    <row r="4329" spans="1:20" x14ac:dyDescent="0.3">
      <c r="A4329" s="42">
        <v>43789</v>
      </c>
      <c r="B4329" s="37">
        <f t="shared" si="133"/>
        <v>20191120</v>
      </c>
      <c r="C4329" s="109">
        <v>1.5300000000000001E-2</v>
      </c>
      <c r="D4329" s="109">
        <v>1.2E-2</v>
      </c>
      <c r="E4329" s="109">
        <v>1.2999999999999999E-2</v>
      </c>
      <c r="F4329" s="109">
        <v>1.2999999999999999E-2</v>
      </c>
      <c r="G4329" s="130">
        <v>0</v>
      </c>
      <c r="H4329" s="71">
        <v>8.6999999999999993</v>
      </c>
      <c r="I4329" s="71">
        <v>11.3</v>
      </c>
      <c r="J4329" s="71">
        <v>13.9</v>
      </c>
      <c r="K4329" s="121">
        <v>2.7000000000000001E-3</v>
      </c>
      <c r="L4329" s="121">
        <v>-7.0000000000000001E-3</v>
      </c>
      <c r="M4329" s="75" t="s">
        <v>146</v>
      </c>
      <c r="N4329" s="75" t="b">
        <v>1</v>
      </c>
      <c r="O4329" s="75" t="s">
        <v>145</v>
      </c>
      <c r="P4329" s="75">
        <v>2014</v>
      </c>
      <c r="Q4329" s="107">
        <f t="shared" si="131"/>
        <v>2019</v>
      </c>
      <c r="R4329" s="107">
        <v>2</v>
      </c>
      <c r="S4329" s="43">
        <v>219122</v>
      </c>
      <c r="T4329" s="74">
        <v>43782</v>
      </c>
    </row>
    <row r="4330" spans="1:20" x14ac:dyDescent="0.3">
      <c r="A4330" s="42">
        <v>43790</v>
      </c>
      <c r="B4330" s="37">
        <f t="shared" si="133"/>
        <v>20191121</v>
      </c>
      <c r="C4330" s="109">
        <v>1.5800000000000002E-2</v>
      </c>
      <c r="D4330" s="109">
        <v>1.2E-2</v>
      </c>
      <c r="E4330" s="109">
        <v>1.2999999999999999E-2</v>
      </c>
      <c r="F4330" s="109">
        <v>1.2999999999999999E-2</v>
      </c>
      <c r="G4330" s="130">
        <v>0</v>
      </c>
      <c r="H4330" s="71">
        <v>8.6999999999999993</v>
      </c>
      <c r="I4330" s="71">
        <v>11.3</v>
      </c>
      <c r="J4330" s="71">
        <v>13.9</v>
      </c>
      <c r="K4330" s="121">
        <v>3.0999999999999999E-3</v>
      </c>
      <c r="L4330" s="121">
        <v>-7.0000000000000001E-3</v>
      </c>
      <c r="M4330" s="75" t="s">
        <v>146</v>
      </c>
      <c r="N4330" s="75" t="b">
        <v>1</v>
      </c>
      <c r="O4330" s="75" t="s">
        <v>145</v>
      </c>
      <c r="P4330" s="75">
        <v>2014</v>
      </c>
      <c r="Q4330" s="107">
        <f t="shared" si="131"/>
        <v>2019</v>
      </c>
      <c r="R4330" s="107">
        <v>2</v>
      </c>
      <c r="S4330" s="43">
        <v>219122</v>
      </c>
      <c r="T4330" s="74">
        <v>43782</v>
      </c>
    </row>
    <row r="4331" spans="1:20" x14ac:dyDescent="0.3">
      <c r="A4331" s="42">
        <v>43791</v>
      </c>
      <c r="B4331" s="37">
        <f t="shared" si="133"/>
        <v>20191122</v>
      </c>
      <c r="C4331" s="109">
        <v>1.5700000000000002E-2</v>
      </c>
      <c r="D4331" s="109">
        <v>1.2E-2</v>
      </c>
      <c r="E4331" s="109">
        <v>1.2999999999999999E-2</v>
      </c>
      <c r="F4331" s="109">
        <v>1.2999999999999999E-2</v>
      </c>
      <c r="G4331" s="130">
        <v>0</v>
      </c>
      <c r="H4331" s="71">
        <v>8.6999999999999993</v>
      </c>
      <c r="I4331" s="71">
        <v>11.3</v>
      </c>
      <c r="J4331" s="71">
        <v>13.9</v>
      </c>
      <c r="K4331" s="121">
        <v>3.0000000000000001E-3</v>
      </c>
      <c r="L4331" s="121">
        <v>-7.0000000000000001E-3</v>
      </c>
      <c r="M4331" s="75" t="s">
        <v>146</v>
      </c>
      <c r="N4331" s="75" t="b">
        <v>1</v>
      </c>
      <c r="O4331" s="75" t="s">
        <v>145</v>
      </c>
      <c r="P4331" s="75">
        <v>2014</v>
      </c>
      <c r="Q4331" s="107">
        <f t="shared" si="131"/>
        <v>2019</v>
      </c>
      <c r="R4331" s="107">
        <v>2</v>
      </c>
      <c r="S4331" s="43">
        <v>219122</v>
      </c>
      <c r="T4331" s="74">
        <v>43782</v>
      </c>
    </row>
    <row r="4332" spans="1:20" x14ac:dyDescent="0.3">
      <c r="A4332" s="42">
        <v>43792</v>
      </c>
      <c r="B4332" s="37">
        <f>YEAR(A4332)*10000+MONTH(A4332)*100+DAY(A4332)</f>
        <v>20191123</v>
      </c>
      <c r="C4332" s="109">
        <v>1.5700000000000002E-2</v>
      </c>
      <c r="D4332" s="109">
        <v>1.2E-2</v>
      </c>
      <c r="E4332" s="109">
        <v>1.2999999999999999E-2</v>
      </c>
      <c r="F4332" s="109">
        <v>1.2999999999999999E-2</v>
      </c>
      <c r="G4332" s="130">
        <v>0</v>
      </c>
      <c r="H4332" s="71">
        <v>8.6999999999999993</v>
      </c>
      <c r="I4332" s="71">
        <v>11.3</v>
      </c>
      <c r="J4332" s="71">
        <v>13.9</v>
      </c>
      <c r="K4332" s="121">
        <v>3.0000000000000001E-3</v>
      </c>
      <c r="L4332" s="121">
        <v>-7.0000000000000001E-3</v>
      </c>
      <c r="M4332" s="75" t="s">
        <v>146</v>
      </c>
      <c r="N4332" s="75" t="b">
        <v>1</v>
      </c>
      <c r="O4332" s="75" t="s">
        <v>145</v>
      </c>
      <c r="P4332" s="75">
        <v>2014</v>
      </c>
      <c r="Q4332" s="107">
        <f t="shared" si="131"/>
        <v>2019</v>
      </c>
      <c r="R4332" s="107">
        <v>2</v>
      </c>
      <c r="S4332" s="43">
        <v>219122</v>
      </c>
      <c r="T4332" s="74">
        <v>43782</v>
      </c>
    </row>
    <row r="4333" spans="1:20" x14ac:dyDescent="0.3">
      <c r="A4333" s="42">
        <v>43793</v>
      </c>
      <c r="B4333" s="37">
        <f>YEAR(A4333)*10000+MONTH(A4333)*100+DAY(A4333)</f>
        <v>20191124</v>
      </c>
      <c r="C4333" s="109">
        <v>1.5700000000000002E-2</v>
      </c>
      <c r="D4333" s="109">
        <v>1.2E-2</v>
      </c>
      <c r="E4333" s="109">
        <v>1.2999999999999999E-2</v>
      </c>
      <c r="F4333" s="109">
        <v>1.2999999999999999E-2</v>
      </c>
      <c r="G4333" s="130">
        <v>0</v>
      </c>
      <c r="H4333" s="71">
        <v>8.6999999999999993</v>
      </c>
      <c r="I4333" s="71">
        <v>11.3</v>
      </c>
      <c r="J4333" s="71">
        <v>13.9</v>
      </c>
      <c r="K4333" s="121">
        <v>3.0000000000000001E-3</v>
      </c>
      <c r="L4333" s="121">
        <v>-7.0000000000000001E-3</v>
      </c>
      <c r="M4333" s="75" t="s">
        <v>146</v>
      </c>
      <c r="N4333" s="75" t="b">
        <v>1</v>
      </c>
      <c r="O4333" s="75" t="s">
        <v>145</v>
      </c>
      <c r="P4333" s="75">
        <v>2014</v>
      </c>
      <c r="Q4333" s="107">
        <f t="shared" si="131"/>
        <v>2019</v>
      </c>
      <c r="R4333" s="107">
        <v>2</v>
      </c>
      <c r="S4333" s="43">
        <v>219122</v>
      </c>
      <c r="T4333" s="74">
        <v>43782</v>
      </c>
    </row>
    <row r="4334" spans="1:20" x14ac:dyDescent="0.3">
      <c r="A4334" s="42">
        <v>43794</v>
      </c>
      <c r="B4334" s="37">
        <f t="shared" si="133"/>
        <v>20191125</v>
      </c>
      <c r="C4334" s="109">
        <v>1.5700000000000002E-2</v>
      </c>
      <c r="D4334" s="109">
        <v>1.2E-2</v>
      </c>
      <c r="E4334" s="109">
        <v>1.2999999999999999E-2</v>
      </c>
      <c r="F4334" s="109">
        <v>1.2999999999999999E-2</v>
      </c>
      <c r="G4334" s="130">
        <v>0</v>
      </c>
      <c r="H4334" s="71">
        <v>8.6999999999999993</v>
      </c>
      <c r="I4334" s="71">
        <v>11.3</v>
      </c>
      <c r="J4334" s="71">
        <v>13.9</v>
      </c>
      <c r="K4334" s="121">
        <v>3.0000000000000001E-3</v>
      </c>
      <c r="L4334" s="121">
        <v>-7.0000000000000001E-3</v>
      </c>
      <c r="M4334" s="75" t="s">
        <v>146</v>
      </c>
      <c r="N4334" s="75" t="b">
        <v>1</v>
      </c>
      <c r="O4334" s="75" t="s">
        <v>145</v>
      </c>
      <c r="P4334" s="75">
        <v>2014</v>
      </c>
      <c r="Q4334" s="107">
        <f t="shared" ref="Q4334:Q4397" si="134">YEAR(A4334)</f>
        <v>2019</v>
      </c>
      <c r="R4334" s="107">
        <v>2</v>
      </c>
      <c r="S4334" s="43">
        <v>219122</v>
      </c>
      <c r="T4334" s="74">
        <v>43782</v>
      </c>
    </row>
    <row r="4335" spans="1:20" x14ac:dyDescent="0.3">
      <c r="A4335" s="42">
        <v>43795</v>
      </c>
      <c r="B4335" s="37">
        <f t="shared" si="133"/>
        <v>20191126</v>
      </c>
      <c r="C4335" s="109">
        <v>1.54E-2</v>
      </c>
      <c r="D4335" s="109">
        <v>1.2E-2</v>
      </c>
      <c r="E4335" s="109">
        <v>1.2999999999999999E-2</v>
      </c>
      <c r="F4335" s="109">
        <v>1.2999999999999999E-2</v>
      </c>
      <c r="G4335" s="130">
        <v>0</v>
      </c>
      <c r="H4335" s="71">
        <v>8.6999999999999993</v>
      </c>
      <c r="I4335" s="71">
        <v>11.3</v>
      </c>
      <c r="J4335" s="71">
        <v>13.9</v>
      </c>
      <c r="K4335" s="121">
        <v>2.8000000000000004E-3</v>
      </c>
      <c r="L4335" s="121">
        <v>-7.0000000000000001E-3</v>
      </c>
      <c r="M4335" s="75" t="s">
        <v>146</v>
      </c>
      <c r="N4335" s="75" t="b">
        <v>1</v>
      </c>
      <c r="O4335" s="75" t="s">
        <v>145</v>
      </c>
      <c r="P4335" s="75">
        <v>2014</v>
      </c>
      <c r="Q4335" s="107">
        <f t="shared" si="134"/>
        <v>2019</v>
      </c>
      <c r="R4335" s="107">
        <v>2</v>
      </c>
      <c r="S4335" s="43">
        <v>219122</v>
      </c>
      <c r="T4335" s="74">
        <v>43782</v>
      </c>
    </row>
    <row r="4336" spans="1:20" x14ac:dyDescent="0.3">
      <c r="A4336" s="42">
        <v>43796</v>
      </c>
      <c r="B4336" s="37">
        <f t="shared" si="133"/>
        <v>20191127</v>
      </c>
      <c r="C4336" s="109">
        <v>1.5700000000000002E-2</v>
      </c>
      <c r="D4336" s="109">
        <v>1.2E-2</v>
      </c>
      <c r="E4336" s="109">
        <v>1.2999999999999999E-2</v>
      </c>
      <c r="F4336" s="109">
        <v>1.2999999999999999E-2</v>
      </c>
      <c r="G4336" s="130">
        <v>0</v>
      </c>
      <c r="H4336" s="71">
        <v>8.6999999999999993</v>
      </c>
      <c r="I4336" s="71">
        <v>11.3</v>
      </c>
      <c r="J4336" s="71">
        <v>13.9</v>
      </c>
      <c r="K4336" s="121">
        <v>3.0999999999999999E-3</v>
      </c>
      <c r="L4336" s="121">
        <v>-7.0000000000000001E-3</v>
      </c>
      <c r="M4336" s="75" t="s">
        <v>146</v>
      </c>
      <c r="N4336" s="75" t="b">
        <v>1</v>
      </c>
      <c r="O4336" s="75" t="s">
        <v>145</v>
      </c>
      <c r="P4336" s="75">
        <v>2014</v>
      </c>
      <c r="Q4336" s="107">
        <f t="shared" si="134"/>
        <v>2019</v>
      </c>
      <c r="R4336" s="107">
        <v>2</v>
      </c>
      <c r="S4336" s="43">
        <v>219122</v>
      </c>
      <c r="T4336" s="74">
        <v>43782</v>
      </c>
    </row>
    <row r="4337" spans="1:20" x14ac:dyDescent="0.3">
      <c r="A4337" s="42">
        <v>43797</v>
      </c>
      <c r="B4337" s="37">
        <f t="shared" si="133"/>
        <v>20191128</v>
      </c>
      <c r="C4337" s="109">
        <v>1.5600000000000001E-2</v>
      </c>
      <c r="D4337" s="109">
        <v>1.2E-2</v>
      </c>
      <c r="E4337" s="109">
        <v>1.2999999999999999E-2</v>
      </c>
      <c r="F4337" s="109">
        <v>1.2999999999999999E-2</v>
      </c>
      <c r="G4337" s="130">
        <v>0</v>
      </c>
      <c r="H4337" s="71">
        <v>8.6999999999999993</v>
      </c>
      <c r="I4337" s="71">
        <v>11.3</v>
      </c>
      <c r="J4337" s="71">
        <v>13.9</v>
      </c>
      <c r="K4337" s="121">
        <v>3.0999999999999999E-3</v>
      </c>
      <c r="L4337" s="121">
        <v>-7.0000000000000001E-3</v>
      </c>
      <c r="M4337" s="75" t="s">
        <v>146</v>
      </c>
      <c r="N4337" s="75" t="b">
        <v>1</v>
      </c>
      <c r="O4337" s="75" t="s">
        <v>145</v>
      </c>
      <c r="P4337" s="75">
        <v>2014</v>
      </c>
      <c r="Q4337" s="107">
        <f t="shared" si="134"/>
        <v>2019</v>
      </c>
      <c r="R4337" s="107">
        <v>2</v>
      </c>
      <c r="S4337" s="43">
        <v>219122</v>
      </c>
      <c r="T4337" s="74">
        <v>43782</v>
      </c>
    </row>
    <row r="4338" spans="1:20" x14ac:dyDescent="0.3">
      <c r="A4338" s="42">
        <v>43798</v>
      </c>
      <c r="B4338" s="37">
        <f t="shared" si="133"/>
        <v>20191129</v>
      </c>
      <c r="C4338" s="109">
        <v>1.55E-2</v>
      </c>
      <c r="D4338" s="109">
        <v>1.2E-2</v>
      </c>
      <c r="E4338" s="109">
        <v>1.2999999999999999E-2</v>
      </c>
      <c r="F4338" s="109">
        <v>1.2999999999999999E-2</v>
      </c>
      <c r="G4338" s="130">
        <v>0</v>
      </c>
      <c r="H4338" s="71">
        <v>8.6999999999999993</v>
      </c>
      <c r="I4338" s="71">
        <v>11.3</v>
      </c>
      <c r="J4338" s="71">
        <v>13.9</v>
      </c>
      <c r="K4338" s="121">
        <v>2.8999999999999998E-3</v>
      </c>
      <c r="L4338" s="121">
        <v>-7.0000000000000001E-3</v>
      </c>
      <c r="M4338" s="75" t="s">
        <v>146</v>
      </c>
      <c r="N4338" s="75" t="b">
        <v>1</v>
      </c>
      <c r="O4338" s="75" t="s">
        <v>145</v>
      </c>
      <c r="P4338" s="75">
        <v>2014</v>
      </c>
      <c r="Q4338" s="107">
        <f t="shared" si="134"/>
        <v>2019</v>
      </c>
      <c r="R4338" s="107">
        <v>2</v>
      </c>
      <c r="S4338" s="43">
        <v>219122</v>
      </c>
      <c r="T4338" s="74">
        <v>43782</v>
      </c>
    </row>
    <row r="4339" spans="1:20" x14ac:dyDescent="0.3">
      <c r="A4339" s="42">
        <v>43799</v>
      </c>
      <c r="B4339" s="37">
        <f>YEAR(A4339)*10000+MONTH(A4339)*100+DAY(A4339)</f>
        <v>20191130</v>
      </c>
      <c r="C4339" s="109">
        <v>1.55E-2</v>
      </c>
      <c r="D4339" s="109">
        <v>1.2E-2</v>
      </c>
      <c r="E4339" s="109">
        <v>1.2999999999999999E-2</v>
      </c>
      <c r="F4339" s="109">
        <v>1.2999999999999999E-2</v>
      </c>
      <c r="G4339" s="130">
        <v>0</v>
      </c>
      <c r="H4339" s="71">
        <v>8.6999999999999993</v>
      </c>
      <c r="I4339" s="71">
        <v>11.3</v>
      </c>
      <c r="J4339" s="71">
        <v>13.9</v>
      </c>
      <c r="K4339" s="121">
        <v>2.8999999999999998E-3</v>
      </c>
      <c r="L4339" s="121">
        <v>-7.0000000000000001E-3</v>
      </c>
      <c r="M4339" s="75" t="s">
        <v>146</v>
      </c>
      <c r="N4339" s="75" t="b">
        <v>1</v>
      </c>
      <c r="O4339" s="75" t="s">
        <v>145</v>
      </c>
      <c r="P4339" s="75">
        <v>2014</v>
      </c>
      <c r="Q4339" s="107">
        <f t="shared" si="134"/>
        <v>2019</v>
      </c>
      <c r="R4339" s="107">
        <v>2</v>
      </c>
      <c r="S4339" s="43">
        <v>219122</v>
      </c>
      <c r="T4339" s="74">
        <v>43782</v>
      </c>
    </row>
    <row r="4340" spans="1:20" x14ac:dyDescent="0.3">
      <c r="A4340" s="42">
        <v>43800</v>
      </c>
      <c r="B4340" s="37">
        <f>YEAR(A4340)*10000+MONTH(A4340)*100+DAY(A4340)</f>
        <v>20191201</v>
      </c>
      <c r="C4340" s="109">
        <v>1.55E-2</v>
      </c>
      <c r="D4340" s="109">
        <v>1.2E-2</v>
      </c>
      <c r="E4340" s="109">
        <v>1.2999999999999999E-2</v>
      </c>
      <c r="F4340" s="109">
        <v>1.2999999999999999E-2</v>
      </c>
      <c r="G4340" s="130">
        <v>0</v>
      </c>
      <c r="H4340" s="71">
        <v>8.6999999999999993</v>
      </c>
      <c r="I4340" s="71">
        <v>11.3</v>
      </c>
      <c r="J4340" s="71">
        <v>13.9</v>
      </c>
      <c r="K4340" s="121">
        <v>2.8999999999999998E-3</v>
      </c>
      <c r="L4340" s="121">
        <v>-7.0000000000000001E-3</v>
      </c>
      <c r="M4340" s="75" t="s">
        <v>146</v>
      </c>
      <c r="N4340" s="75" t="b">
        <v>1</v>
      </c>
      <c r="O4340" s="75" t="s">
        <v>145</v>
      </c>
      <c r="P4340" s="75">
        <v>2014</v>
      </c>
      <c r="Q4340" s="107">
        <f t="shared" si="134"/>
        <v>2019</v>
      </c>
      <c r="R4340" s="107">
        <v>2</v>
      </c>
      <c r="S4340" s="43">
        <v>219122</v>
      </c>
      <c r="T4340" s="74">
        <v>43782</v>
      </c>
    </row>
    <row r="4341" spans="1:20" x14ac:dyDescent="0.3">
      <c r="A4341" s="42">
        <v>43801</v>
      </c>
      <c r="B4341" s="37">
        <f t="shared" si="133"/>
        <v>20191202</v>
      </c>
      <c r="C4341" s="109">
        <v>1.61E-2</v>
      </c>
      <c r="D4341" s="109">
        <v>1.2E-2</v>
      </c>
      <c r="E4341" s="109">
        <v>1.2999999999999999E-2</v>
      </c>
      <c r="F4341" s="109">
        <v>1.2999999999999999E-2</v>
      </c>
      <c r="G4341" s="130">
        <v>0</v>
      </c>
      <c r="H4341" s="71">
        <v>8.6999999999999993</v>
      </c>
      <c r="I4341" s="71">
        <v>11.3</v>
      </c>
      <c r="J4341" s="71">
        <v>13.9</v>
      </c>
      <c r="K4341" s="121">
        <v>3.3E-3</v>
      </c>
      <c r="L4341" s="121">
        <v>-7.0000000000000001E-3</v>
      </c>
      <c r="M4341" s="75" t="s">
        <v>146</v>
      </c>
      <c r="N4341" s="75" t="b">
        <v>1</v>
      </c>
      <c r="O4341" s="75" t="s">
        <v>145</v>
      </c>
      <c r="P4341" s="75">
        <v>2014</v>
      </c>
      <c r="Q4341" s="107">
        <f t="shared" si="134"/>
        <v>2019</v>
      </c>
      <c r="R4341" s="107">
        <v>2</v>
      </c>
      <c r="S4341" s="43">
        <v>219122</v>
      </c>
      <c r="T4341" s="74">
        <v>43782</v>
      </c>
    </row>
    <row r="4342" spans="1:20" x14ac:dyDescent="0.3">
      <c r="A4342" s="42">
        <v>43802</v>
      </c>
      <c r="B4342" s="37">
        <f t="shared" si="133"/>
        <v>20191203</v>
      </c>
      <c r="C4342" s="109">
        <v>1.54E-2</v>
      </c>
      <c r="D4342" s="109">
        <v>1.2E-2</v>
      </c>
      <c r="E4342" s="109">
        <v>1.2999999999999999E-2</v>
      </c>
      <c r="F4342" s="109">
        <v>1.2999999999999999E-2</v>
      </c>
      <c r="G4342" s="130">
        <v>0</v>
      </c>
      <c r="H4342" s="71">
        <v>8.6999999999999993</v>
      </c>
      <c r="I4342" s="71">
        <v>11.3</v>
      </c>
      <c r="J4342" s="71">
        <v>13.9</v>
      </c>
      <c r="K4342" s="121">
        <v>2.8000000000000004E-3</v>
      </c>
      <c r="L4342" s="121">
        <v>-7.0000000000000001E-3</v>
      </c>
      <c r="M4342" s="75" t="s">
        <v>146</v>
      </c>
      <c r="N4342" s="75" t="b">
        <v>1</v>
      </c>
      <c r="O4342" s="75" t="s">
        <v>145</v>
      </c>
      <c r="P4342" s="75">
        <v>2014</v>
      </c>
      <c r="Q4342" s="107">
        <f t="shared" si="134"/>
        <v>2019</v>
      </c>
      <c r="R4342" s="107">
        <v>2</v>
      </c>
      <c r="S4342" s="43">
        <v>219122</v>
      </c>
      <c r="T4342" s="74">
        <v>43782</v>
      </c>
    </row>
    <row r="4343" spans="1:20" x14ac:dyDescent="0.3">
      <c r="A4343" s="42">
        <v>43803</v>
      </c>
      <c r="B4343" s="37">
        <f t="shared" si="133"/>
        <v>20191204</v>
      </c>
      <c r="C4343" s="109">
        <v>1.6200000000000003E-2</v>
      </c>
      <c r="D4343" s="109">
        <v>1.2E-2</v>
      </c>
      <c r="E4343" s="109">
        <v>1.2999999999999999E-2</v>
      </c>
      <c r="F4343" s="109">
        <v>1.2999999999999999E-2</v>
      </c>
      <c r="G4343" s="130">
        <v>0</v>
      </c>
      <c r="H4343" s="71">
        <v>8.6999999999999993</v>
      </c>
      <c r="I4343" s="71">
        <v>11.3</v>
      </c>
      <c r="J4343" s="71">
        <v>13.9</v>
      </c>
      <c r="K4343" s="121">
        <v>3.3E-3</v>
      </c>
      <c r="L4343" s="121">
        <v>-7.0000000000000001E-3</v>
      </c>
      <c r="M4343" s="75" t="s">
        <v>146</v>
      </c>
      <c r="N4343" s="75" t="b">
        <v>1</v>
      </c>
      <c r="O4343" s="75" t="s">
        <v>145</v>
      </c>
      <c r="P4343" s="75">
        <v>2014</v>
      </c>
      <c r="Q4343" s="107">
        <f t="shared" si="134"/>
        <v>2019</v>
      </c>
      <c r="R4343" s="107">
        <v>2</v>
      </c>
      <c r="S4343" s="43">
        <v>219122</v>
      </c>
      <c r="T4343" s="74">
        <v>43782</v>
      </c>
    </row>
    <row r="4344" spans="1:20" x14ac:dyDescent="0.3">
      <c r="A4344" s="42">
        <v>43804</v>
      </c>
      <c r="B4344" s="37">
        <f t="shared" si="133"/>
        <v>20191205</v>
      </c>
      <c r="C4344" s="109">
        <v>1.6799999999999999E-2</v>
      </c>
      <c r="D4344" s="109">
        <v>1.2E-2</v>
      </c>
      <c r="E4344" s="109">
        <v>1.2999999999999999E-2</v>
      </c>
      <c r="F4344" s="109">
        <v>1.2999999999999999E-2</v>
      </c>
      <c r="G4344" s="130">
        <v>0</v>
      </c>
      <c r="H4344" s="71">
        <v>8.6999999999999993</v>
      </c>
      <c r="I4344" s="71">
        <v>11.3</v>
      </c>
      <c r="J4344" s="71">
        <v>13.9</v>
      </c>
      <c r="K4344" s="121">
        <v>3.8E-3</v>
      </c>
      <c r="L4344" s="121">
        <v>-7.0000000000000001E-3</v>
      </c>
      <c r="M4344" s="75" t="s">
        <v>146</v>
      </c>
      <c r="N4344" s="75" t="b">
        <v>1</v>
      </c>
      <c r="O4344" s="75" t="s">
        <v>145</v>
      </c>
      <c r="P4344" s="75">
        <v>2014</v>
      </c>
      <c r="Q4344" s="107">
        <f t="shared" si="134"/>
        <v>2019</v>
      </c>
      <c r="R4344" s="107">
        <v>2</v>
      </c>
      <c r="S4344" s="43">
        <v>219122</v>
      </c>
      <c r="T4344" s="74">
        <v>43782</v>
      </c>
    </row>
    <row r="4345" spans="1:20" x14ac:dyDescent="0.3">
      <c r="A4345" s="42">
        <v>43805</v>
      </c>
      <c r="B4345" s="37">
        <f t="shared" ref="B4345:B4413" si="135">YEAR(A4345)*10000+MONTH(A4345)*100+DAY(A4345)</f>
        <v>20191206</v>
      </c>
      <c r="C4345" s="109">
        <v>1.67E-2</v>
      </c>
      <c r="D4345" s="109">
        <v>1.2E-2</v>
      </c>
      <c r="E4345" s="109">
        <v>1.2999999999999999E-2</v>
      </c>
      <c r="F4345" s="109">
        <v>1.2999999999999999E-2</v>
      </c>
      <c r="G4345" s="130">
        <v>0</v>
      </c>
      <c r="H4345" s="71">
        <v>8.6999999999999993</v>
      </c>
      <c r="I4345" s="71">
        <v>11.3</v>
      </c>
      <c r="J4345" s="71">
        <v>13.9</v>
      </c>
      <c r="K4345" s="121">
        <v>3.8E-3</v>
      </c>
      <c r="L4345" s="121">
        <v>-7.0000000000000001E-3</v>
      </c>
      <c r="M4345" s="75" t="s">
        <v>146</v>
      </c>
      <c r="N4345" s="75" t="b">
        <v>1</v>
      </c>
      <c r="O4345" s="75" t="s">
        <v>145</v>
      </c>
      <c r="P4345" s="75">
        <v>2014</v>
      </c>
      <c r="Q4345" s="107">
        <f t="shared" si="134"/>
        <v>2019</v>
      </c>
      <c r="R4345" s="107">
        <v>2</v>
      </c>
      <c r="S4345" s="43">
        <v>219122</v>
      </c>
      <c r="T4345" s="74">
        <v>43782</v>
      </c>
    </row>
    <row r="4346" spans="1:20" x14ac:dyDescent="0.3">
      <c r="A4346" s="42">
        <v>43806</v>
      </c>
      <c r="B4346" s="37">
        <f t="shared" si="135"/>
        <v>20191207</v>
      </c>
      <c r="C4346" s="109">
        <v>1.67E-2</v>
      </c>
      <c r="D4346" s="109">
        <v>1.2E-2</v>
      </c>
      <c r="E4346" s="109">
        <v>1.2999999999999999E-2</v>
      </c>
      <c r="F4346" s="109">
        <v>1.2999999999999999E-2</v>
      </c>
      <c r="G4346" s="130">
        <v>0</v>
      </c>
      <c r="H4346" s="71">
        <v>8.6999999999999993</v>
      </c>
      <c r="I4346" s="71">
        <v>11.3</v>
      </c>
      <c r="J4346" s="71">
        <v>13.9</v>
      </c>
      <c r="K4346" s="121">
        <v>3.8E-3</v>
      </c>
      <c r="L4346" s="121">
        <v>-7.0000000000000001E-3</v>
      </c>
      <c r="M4346" s="75" t="s">
        <v>146</v>
      </c>
      <c r="N4346" s="75" t="b">
        <v>1</v>
      </c>
      <c r="O4346" s="75" t="s">
        <v>145</v>
      </c>
      <c r="P4346" s="75">
        <v>2014</v>
      </c>
      <c r="Q4346" s="107">
        <f t="shared" si="134"/>
        <v>2019</v>
      </c>
      <c r="R4346" s="107">
        <v>2</v>
      </c>
      <c r="S4346" s="43">
        <v>219122</v>
      </c>
      <c r="T4346" s="74">
        <v>43782</v>
      </c>
    </row>
    <row r="4347" spans="1:20" x14ac:dyDescent="0.3">
      <c r="A4347" s="42">
        <v>43807</v>
      </c>
      <c r="B4347" s="37">
        <f>YEAR(A4347)*10000+MONTH(A4347)*100+DAY(A4347)</f>
        <v>20191208</v>
      </c>
      <c r="C4347" s="109">
        <v>1.67E-2</v>
      </c>
      <c r="D4347" s="109">
        <v>1.2E-2</v>
      </c>
      <c r="E4347" s="109">
        <v>1.2999999999999999E-2</v>
      </c>
      <c r="F4347" s="109">
        <v>1.2999999999999999E-2</v>
      </c>
      <c r="G4347" s="130">
        <v>0</v>
      </c>
      <c r="H4347" s="71">
        <v>8.6999999999999993</v>
      </c>
      <c r="I4347" s="71">
        <v>11.3</v>
      </c>
      <c r="J4347" s="71">
        <v>13.9</v>
      </c>
      <c r="K4347" s="121">
        <v>3.8E-3</v>
      </c>
      <c r="L4347" s="121">
        <v>-7.0000000000000001E-3</v>
      </c>
      <c r="M4347" s="75" t="s">
        <v>146</v>
      </c>
      <c r="N4347" s="75" t="b">
        <v>1</v>
      </c>
      <c r="O4347" s="75" t="s">
        <v>145</v>
      </c>
      <c r="P4347" s="75">
        <v>2014</v>
      </c>
      <c r="Q4347" s="107">
        <f t="shared" si="134"/>
        <v>2019</v>
      </c>
      <c r="R4347" s="107">
        <v>2</v>
      </c>
      <c r="S4347" s="43">
        <v>219122</v>
      </c>
      <c r="T4347" s="74">
        <v>43782</v>
      </c>
    </row>
    <row r="4348" spans="1:20" x14ac:dyDescent="0.3">
      <c r="A4348" s="42">
        <v>43808</v>
      </c>
      <c r="B4348" s="37">
        <f>YEAR(A4348)*10000+MONTH(A4348)*100+DAY(A4348)</f>
        <v>20191209</v>
      </c>
      <c r="C4348" s="109">
        <v>1.7000000000000001E-2</v>
      </c>
      <c r="D4348" s="109">
        <v>1.2E-2</v>
      </c>
      <c r="E4348" s="109">
        <v>1.2999999999999999E-2</v>
      </c>
      <c r="F4348" s="109">
        <v>1.2999999999999999E-2</v>
      </c>
      <c r="G4348" s="130">
        <v>0</v>
      </c>
      <c r="H4348" s="71">
        <v>8.6999999999999993</v>
      </c>
      <c r="I4348" s="71">
        <v>11.3</v>
      </c>
      <c r="J4348" s="71">
        <v>13.9</v>
      </c>
      <c r="K4348" s="121">
        <v>4.0999999999999995E-3</v>
      </c>
      <c r="L4348" s="121">
        <v>-7.0000000000000001E-3</v>
      </c>
      <c r="M4348" s="75" t="s">
        <v>146</v>
      </c>
      <c r="N4348" s="75" t="b">
        <v>1</v>
      </c>
      <c r="O4348" s="75" t="s">
        <v>145</v>
      </c>
      <c r="P4348" s="75">
        <v>2014</v>
      </c>
      <c r="Q4348" s="107">
        <f t="shared" si="134"/>
        <v>2019</v>
      </c>
      <c r="R4348" s="107">
        <v>2</v>
      </c>
      <c r="S4348" s="43">
        <v>219122</v>
      </c>
      <c r="T4348" s="74">
        <v>43782</v>
      </c>
    </row>
    <row r="4349" spans="1:20" x14ac:dyDescent="0.3">
      <c r="A4349" s="42">
        <v>43809</v>
      </c>
      <c r="B4349" s="37">
        <f t="shared" si="135"/>
        <v>20191210</v>
      </c>
      <c r="C4349" s="109">
        <v>1.6899999999999998E-2</v>
      </c>
      <c r="D4349" s="109">
        <v>1.2E-2</v>
      </c>
      <c r="E4349" s="109">
        <v>1.2999999999999999E-2</v>
      </c>
      <c r="F4349" s="109">
        <v>1.2999999999999999E-2</v>
      </c>
      <c r="G4349" s="130">
        <v>0</v>
      </c>
      <c r="H4349" s="71">
        <v>8.6999999999999993</v>
      </c>
      <c r="I4349" s="71">
        <v>11.3</v>
      </c>
      <c r="J4349" s="71">
        <v>13.9</v>
      </c>
      <c r="K4349" s="121">
        <v>4.0999999999999995E-3</v>
      </c>
      <c r="L4349" s="121">
        <v>-7.0000000000000001E-3</v>
      </c>
      <c r="M4349" s="75" t="s">
        <v>146</v>
      </c>
      <c r="N4349" s="75" t="b">
        <v>1</v>
      </c>
      <c r="O4349" s="75" t="s">
        <v>145</v>
      </c>
      <c r="P4349" s="75">
        <v>2014</v>
      </c>
      <c r="Q4349" s="107">
        <f t="shared" si="134"/>
        <v>2019</v>
      </c>
      <c r="R4349" s="107">
        <v>2</v>
      </c>
      <c r="S4349" s="43">
        <v>219122</v>
      </c>
      <c r="T4349" s="74">
        <v>43782</v>
      </c>
    </row>
    <row r="4350" spans="1:20" x14ac:dyDescent="0.3">
      <c r="A4350" s="42">
        <v>43810</v>
      </c>
      <c r="B4350" s="37">
        <f t="shared" si="135"/>
        <v>20191211</v>
      </c>
      <c r="C4350" s="109">
        <v>1.67E-2</v>
      </c>
      <c r="D4350" s="109">
        <v>1.2E-2</v>
      </c>
      <c r="E4350" s="109">
        <v>1.2999999999999999E-2</v>
      </c>
      <c r="F4350" s="109">
        <v>1.2999999999999999E-2</v>
      </c>
      <c r="G4350" s="130">
        <v>0</v>
      </c>
      <c r="H4350" s="71">
        <v>8.6999999999999993</v>
      </c>
      <c r="I4350" s="71">
        <v>11.3</v>
      </c>
      <c r="J4350" s="71">
        <v>13.9</v>
      </c>
      <c r="K4350" s="121">
        <v>3.9000000000000003E-3</v>
      </c>
      <c r="L4350" s="121">
        <v>-7.0000000000000001E-3</v>
      </c>
      <c r="M4350" s="75" t="s">
        <v>146</v>
      </c>
      <c r="N4350" s="75" t="b">
        <v>1</v>
      </c>
      <c r="O4350" s="75" t="s">
        <v>145</v>
      </c>
      <c r="P4350" s="75">
        <v>2014</v>
      </c>
      <c r="Q4350" s="107">
        <f t="shared" si="134"/>
        <v>2019</v>
      </c>
      <c r="R4350" s="107">
        <v>2</v>
      </c>
      <c r="S4350" s="43">
        <v>219122</v>
      </c>
      <c r="T4350" s="74">
        <v>43782</v>
      </c>
    </row>
    <row r="4351" spans="1:20" x14ac:dyDescent="0.3">
      <c r="A4351" s="42">
        <v>43811</v>
      </c>
      <c r="B4351" s="37">
        <f t="shared" si="135"/>
        <v>20191212</v>
      </c>
      <c r="C4351" s="109">
        <v>1.7500000000000002E-2</v>
      </c>
      <c r="D4351" s="109">
        <v>1.2E-2</v>
      </c>
      <c r="E4351" s="109">
        <v>1.2999999999999999E-2</v>
      </c>
      <c r="F4351" s="109">
        <v>1.2999999999999999E-2</v>
      </c>
      <c r="G4351" s="130">
        <v>0</v>
      </c>
      <c r="H4351" s="71">
        <v>8.6999999999999993</v>
      </c>
      <c r="I4351" s="71">
        <v>11.3</v>
      </c>
      <c r="J4351" s="71">
        <v>13.9</v>
      </c>
      <c r="K4351" s="121">
        <v>4.4000000000000003E-3</v>
      </c>
      <c r="L4351" s="121">
        <v>-7.0000000000000001E-3</v>
      </c>
      <c r="M4351" s="75" t="s">
        <v>146</v>
      </c>
      <c r="N4351" s="75" t="b">
        <v>1</v>
      </c>
      <c r="O4351" s="75" t="s">
        <v>145</v>
      </c>
      <c r="P4351" s="75">
        <v>2014</v>
      </c>
      <c r="Q4351" s="107">
        <f t="shared" si="134"/>
        <v>2019</v>
      </c>
      <c r="R4351" s="107">
        <v>2</v>
      </c>
      <c r="S4351" s="43">
        <v>219122</v>
      </c>
      <c r="T4351" s="74">
        <v>43782</v>
      </c>
    </row>
    <row r="4352" spans="1:20" x14ac:dyDescent="0.3">
      <c r="A4352" s="42">
        <v>43812</v>
      </c>
      <c r="B4352" s="37">
        <f t="shared" si="135"/>
        <v>20191213</v>
      </c>
      <c r="C4352" s="109">
        <v>1.67E-2</v>
      </c>
      <c r="D4352" s="109">
        <v>1.2E-2</v>
      </c>
      <c r="E4352" s="109">
        <v>1.2999999999999999E-2</v>
      </c>
      <c r="F4352" s="109">
        <v>1.2999999999999999E-2</v>
      </c>
      <c r="G4352" s="130">
        <v>0</v>
      </c>
      <c r="H4352" s="71">
        <v>8.6999999999999993</v>
      </c>
      <c r="I4352" s="71">
        <v>11.3</v>
      </c>
      <c r="J4352" s="71">
        <v>13.9</v>
      </c>
      <c r="K4352" s="121">
        <v>3.7000000000000002E-3</v>
      </c>
      <c r="L4352" s="121">
        <v>-7.0000000000000001E-3</v>
      </c>
      <c r="M4352" s="75" t="s">
        <v>146</v>
      </c>
      <c r="N4352" s="75" t="b">
        <v>1</v>
      </c>
      <c r="O4352" s="75" t="s">
        <v>145</v>
      </c>
      <c r="P4352" s="75">
        <v>2014</v>
      </c>
      <c r="Q4352" s="107">
        <f t="shared" si="134"/>
        <v>2019</v>
      </c>
      <c r="R4352" s="107">
        <v>2</v>
      </c>
      <c r="S4352" s="43">
        <v>219122</v>
      </c>
      <c r="T4352" s="74">
        <v>43782</v>
      </c>
    </row>
    <row r="4353" spans="1:20" x14ac:dyDescent="0.3">
      <c r="A4353" s="42">
        <v>43813</v>
      </c>
      <c r="B4353" s="37">
        <f>YEAR(A4353)*10000+MONTH(A4353)*100+DAY(A4353)</f>
        <v>20191214</v>
      </c>
      <c r="C4353" s="109">
        <v>1.67E-2</v>
      </c>
      <c r="D4353" s="109">
        <v>1.2E-2</v>
      </c>
      <c r="E4353" s="109">
        <v>1.2999999999999999E-2</v>
      </c>
      <c r="F4353" s="109">
        <v>1.2999999999999999E-2</v>
      </c>
      <c r="G4353" s="130">
        <v>0</v>
      </c>
      <c r="H4353" s="71">
        <v>8.6999999999999993</v>
      </c>
      <c r="I4353" s="71">
        <v>11.3</v>
      </c>
      <c r="J4353" s="71">
        <v>13.9</v>
      </c>
      <c r="K4353" s="121">
        <v>3.7000000000000002E-3</v>
      </c>
      <c r="L4353" s="121">
        <v>-7.0000000000000001E-3</v>
      </c>
      <c r="M4353" s="75" t="s">
        <v>146</v>
      </c>
      <c r="N4353" s="75" t="b">
        <v>1</v>
      </c>
      <c r="O4353" s="75" t="s">
        <v>145</v>
      </c>
      <c r="P4353" s="75">
        <v>2014</v>
      </c>
      <c r="Q4353" s="107">
        <f t="shared" si="134"/>
        <v>2019</v>
      </c>
      <c r="R4353" s="107">
        <v>2</v>
      </c>
      <c r="S4353" s="43">
        <v>219122</v>
      </c>
      <c r="T4353" s="74">
        <v>43782</v>
      </c>
    </row>
    <row r="4354" spans="1:20" x14ac:dyDescent="0.3">
      <c r="A4354" s="42">
        <v>43814</v>
      </c>
      <c r="B4354" s="37">
        <f>YEAR(A4354)*10000+MONTH(A4354)*100+DAY(A4354)</f>
        <v>20191215</v>
      </c>
      <c r="C4354" s="109">
        <v>1.67E-2</v>
      </c>
      <c r="D4354" s="109">
        <v>1.2E-2</v>
      </c>
      <c r="E4354" s="109">
        <v>1.2999999999999999E-2</v>
      </c>
      <c r="F4354" s="109">
        <v>1.2999999999999999E-2</v>
      </c>
      <c r="G4354" s="130">
        <v>0</v>
      </c>
      <c r="H4354" s="71">
        <v>8.6999999999999993</v>
      </c>
      <c r="I4354" s="71">
        <v>11.3</v>
      </c>
      <c r="J4354" s="71">
        <v>13.9</v>
      </c>
      <c r="K4354" s="121">
        <v>3.7000000000000002E-3</v>
      </c>
      <c r="L4354" s="121">
        <v>-7.0000000000000001E-3</v>
      </c>
      <c r="M4354" s="75" t="s">
        <v>146</v>
      </c>
      <c r="N4354" s="75" t="b">
        <v>1</v>
      </c>
      <c r="O4354" s="75" t="s">
        <v>145</v>
      </c>
      <c r="P4354" s="75">
        <v>2014</v>
      </c>
      <c r="Q4354" s="107">
        <f t="shared" si="134"/>
        <v>2019</v>
      </c>
      <c r="R4354" s="107">
        <v>2</v>
      </c>
      <c r="S4354" s="43">
        <v>219122</v>
      </c>
      <c r="T4354" s="74">
        <v>43782</v>
      </c>
    </row>
    <row r="4355" spans="1:20" x14ac:dyDescent="0.3">
      <c r="A4355" s="42">
        <v>43815</v>
      </c>
      <c r="B4355" s="37">
        <f t="shared" si="135"/>
        <v>20191216</v>
      </c>
      <c r="C4355" s="109">
        <v>1.72E-2</v>
      </c>
      <c r="D4355" s="109">
        <v>1.2E-2</v>
      </c>
      <c r="E4355" s="109">
        <v>1.2999999999999999E-2</v>
      </c>
      <c r="F4355" s="109">
        <v>1.2999999999999999E-2</v>
      </c>
      <c r="G4355" s="130">
        <v>0</v>
      </c>
      <c r="H4355" s="71">
        <v>8.6999999999999993</v>
      </c>
      <c r="I4355" s="71">
        <v>11.3</v>
      </c>
      <c r="J4355" s="71">
        <v>13.9</v>
      </c>
      <c r="K4355" s="121">
        <v>4.1999999999999997E-3</v>
      </c>
      <c r="L4355" s="121">
        <v>-7.0000000000000001E-3</v>
      </c>
      <c r="M4355" s="75" t="s">
        <v>146</v>
      </c>
      <c r="N4355" s="75" t="b">
        <v>1</v>
      </c>
      <c r="O4355" s="75" t="s">
        <v>145</v>
      </c>
      <c r="P4355" s="75">
        <v>2014</v>
      </c>
      <c r="Q4355" s="107">
        <f t="shared" si="134"/>
        <v>2019</v>
      </c>
      <c r="R4355" s="107">
        <v>2</v>
      </c>
      <c r="S4355" s="43">
        <v>219122</v>
      </c>
      <c r="T4355" s="74">
        <v>43782</v>
      </c>
    </row>
    <row r="4356" spans="1:20" x14ac:dyDescent="0.3">
      <c r="A4356" s="42">
        <v>43816</v>
      </c>
      <c r="B4356" s="37">
        <f t="shared" si="135"/>
        <v>20191217</v>
      </c>
      <c r="C4356" s="109">
        <v>1.72E-2</v>
      </c>
      <c r="D4356" s="109">
        <v>1.2E-2</v>
      </c>
      <c r="E4356" s="109">
        <v>1.2999999999999999E-2</v>
      </c>
      <c r="F4356" s="109">
        <v>1.2999999999999999E-2</v>
      </c>
      <c r="G4356" s="130">
        <v>0</v>
      </c>
      <c r="H4356" s="71">
        <v>8.6999999999999993</v>
      </c>
      <c r="I4356" s="71">
        <v>11.3</v>
      </c>
      <c r="J4356" s="71">
        <v>13.9</v>
      </c>
      <c r="K4356" s="121">
        <v>4.0000000000000001E-3</v>
      </c>
      <c r="L4356" s="121">
        <v>-7.0000000000000001E-3</v>
      </c>
      <c r="M4356" s="75" t="s">
        <v>146</v>
      </c>
      <c r="N4356" s="75" t="b">
        <v>1</v>
      </c>
      <c r="O4356" s="75" t="s">
        <v>145</v>
      </c>
      <c r="P4356" s="75">
        <v>2014</v>
      </c>
      <c r="Q4356" s="107">
        <f t="shared" si="134"/>
        <v>2019</v>
      </c>
      <c r="R4356" s="107">
        <v>2</v>
      </c>
      <c r="S4356" s="43">
        <v>219122</v>
      </c>
      <c r="T4356" s="74">
        <v>43782</v>
      </c>
    </row>
    <row r="4357" spans="1:20" x14ac:dyDescent="0.3">
      <c r="A4357" s="42">
        <v>43817</v>
      </c>
      <c r="B4357" s="37">
        <f t="shared" si="135"/>
        <v>20191218</v>
      </c>
      <c r="C4357" s="109">
        <v>1.7500000000000002E-2</v>
      </c>
      <c r="D4357" s="109">
        <v>1.2E-2</v>
      </c>
      <c r="E4357" s="109">
        <v>1.2999999999999999E-2</v>
      </c>
      <c r="F4357" s="109">
        <v>1.2999999999999999E-2</v>
      </c>
      <c r="G4357" s="130">
        <v>0</v>
      </c>
      <c r="H4357" s="71">
        <v>8.6999999999999993</v>
      </c>
      <c r="I4357" s="71">
        <v>11.3</v>
      </c>
      <c r="J4357" s="71">
        <v>13.9</v>
      </c>
      <c r="K4357" s="121">
        <v>4.1999999999999997E-3</v>
      </c>
      <c r="L4357" s="121">
        <v>-7.0000000000000001E-3</v>
      </c>
      <c r="M4357" s="75" t="s">
        <v>146</v>
      </c>
      <c r="N4357" s="75" t="b">
        <v>1</v>
      </c>
      <c r="O4357" s="75" t="s">
        <v>145</v>
      </c>
      <c r="P4357" s="75">
        <v>2014</v>
      </c>
      <c r="Q4357" s="107">
        <f t="shared" si="134"/>
        <v>2019</v>
      </c>
      <c r="R4357" s="107">
        <v>2</v>
      </c>
      <c r="S4357" s="43">
        <v>219122</v>
      </c>
      <c r="T4357" s="74">
        <v>43782</v>
      </c>
    </row>
    <row r="4358" spans="1:20" x14ac:dyDescent="0.3">
      <c r="A4358" s="42">
        <v>43818</v>
      </c>
      <c r="B4358" s="37">
        <f t="shared" si="135"/>
        <v>20191219</v>
      </c>
      <c r="C4358" s="109">
        <v>1.7100000000000001E-2</v>
      </c>
      <c r="D4358" s="109">
        <v>1.2E-2</v>
      </c>
      <c r="E4358" s="109">
        <v>1.2999999999999999E-2</v>
      </c>
      <c r="F4358" s="109">
        <v>1.2999999999999999E-2</v>
      </c>
      <c r="G4358" s="130">
        <v>0</v>
      </c>
      <c r="H4358" s="71">
        <v>8.6999999999999993</v>
      </c>
      <c r="I4358" s="71">
        <v>11.3</v>
      </c>
      <c r="J4358" s="71">
        <v>13.9</v>
      </c>
      <c r="K4358" s="121">
        <v>3.8E-3</v>
      </c>
      <c r="L4358" s="121">
        <v>-7.0000000000000001E-3</v>
      </c>
      <c r="M4358" s="75" t="s">
        <v>146</v>
      </c>
      <c r="N4358" s="75" t="b">
        <v>1</v>
      </c>
      <c r="O4358" s="75" t="s">
        <v>145</v>
      </c>
      <c r="P4358" s="75">
        <v>2014</v>
      </c>
      <c r="Q4358" s="107">
        <f t="shared" si="134"/>
        <v>2019</v>
      </c>
      <c r="R4358" s="107">
        <v>2</v>
      </c>
      <c r="S4358" s="43">
        <v>219122</v>
      </c>
      <c r="T4358" s="74">
        <v>43782</v>
      </c>
    </row>
    <row r="4359" spans="1:20" x14ac:dyDescent="0.3">
      <c r="A4359" s="42">
        <v>43819</v>
      </c>
      <c r="B4359" s="37">
        <f t="shared" si="135"/>
        <v>20191220</v>
      </c>
      <c r="C4359" s="109">
        <v>1.67E-2</v>
      </c>
      <c r="D4359" s="109">
        <v>1.2E-2</v>
      </c>
      <c r="E4359" s="109">
        <v>1.2999999999999999E-2</v>
      </c>
      <c r="F4359" s="109">
        <v>1.2999999999999999E-2</v>
      </c>
      <c r="G4359" s="130">
        <v>0</v>
      </c>
      <c r="H4359" s="71">
        <v>8.6999999999999993</v>
      </c>
      <c r="I4359" s="71">
        <v>11.3</v>
      </c>
      <c r="J4359" s="71">
        <v>13.9</v>
      </c>
      <c r="K4359" s="121">
        <v>3.3E-3</v>
      </c>
      <c r="L4359" s="121">
        <v>-7.0000000000000001E-3</v>
      </c>
      <c r="M4359" s="75" t="s">
        <v>146</v>
      </c>
      <c r="N4359" s="75" t="b">
        <v>1</v>
      </c>
      <c r="O4359" s="75" t="s">
        <v>145</v>
      </c>
      <c r="P4359" s="75">
        <v>2014</v>
      </c>
      <c r="Q4359" s="107">
        <f t="shared" si="134"/>
        <v>2019</v>
      </c>
      <c r="R4359" s="107">
        <v>2</v>
      </c>
      <c r="S4359" s="43">
        <v>219122</v>
      </c>
      <c r="T4359" s="74">
        <v>43782</v>
      </c>
    </row>
    <row r="4360" spans="1:20" x14ac:dyDescent="0.3">
      <c r="A4360" s="42">
        <v>43820</v>
      </c>
      <c r="B4360" s="37">
        <f>YEAR(A4360)*10000+MONTH(A4360)*100+DAY(A4360)</f>
        <v>20191221</v>
      </c>
      <c r="C4360" s="109">
        <v>1.67E-2</v>
      </c>
      <c r="D4360" s="109">
        <v>1.2E-2</v>
      </c>
      <c r="E4360" s="109">
        <v>1.2999999999999999E-2</v>
      </c>
      <c r="F4360" s="109">
        <v>1.2999999999999999E-2</v>
      </c>
      <c r="G4360" s="130">
        <v>0</v>
      </c>
      <c r="H4360" s="71">
        <v>8.6999999999999993</v>
      </c>
      <c r="I4360" s="71">
        <v>11.3</v>
      </c>
      <c r="J4360" s="71">
        <v>13.9</v>
      </c>
      <c r="K4360" s="121">
        <v>3.3E-3</v>
      </c>
      <c r="L4360" s="121">
        <v>-7.0000000000000001E-3</v>
      </c>
      <c r="M4360" s="75" t="s">
        <v>146</v>
      </c>
      <c r="N4360" s="75" t="b">
        <v>1</v>
      </c>
      <c r="O4360" s="75" t="s">
        <v>145</v>
      </c>
      <c r="P4360" s="75">
        <v>2014</v>
      </c>
      <c r="Q4360" s="107">
        <f t="shared" si="134"/>
        <v>2019</v>
      </c>
      <c r="R4360" s="107">
        <v>2</v>
      </c>
      <c r="S4360" s="43">
        <v>219122</v>
      </c>
      <c r="T4360" s="74">
        <v>43782</v>
      </c>
    </row>
    <row r="4361" spans="1:20" x14ac:dyDescent="0.3">
      <c r="A4361" s="42">
        <v>43821</v>
      </c>
      <c r="B4361" s="37">
        <f>YEAR(A4361)*10000+MONTH(A4361)*100+DAY(A4361)</f>
        <v>20191222</v>
      </c>
      <c r="C4361" s="109">
        <v>1.67E-2</v>
      </c>
      <c r="D4361" s="109">
        <v>1.2E-2</v>
      </c>
      <c r="E4361" s="109">
        <v>1.2999999999999999E-2</v>
      </c>
      <c r="F4361" s="109">
        <v>1.2999999999999999E-2</v>
      </c>
      <c r="G4361" s="130">
        <v>0</v>
      </c>
      <c r="H4361" s="71">
        <v>8.6999999999999993</v>
      </c>
      <c r="I4361" s="71">
        <v>11.3</v>
      </c>
      <c r="J4361" s="71">
        <v>13.9</v>
      </c>
      <c r="K4361" s="121">
        <v>3.3E-3</v>
      </c>
      <c r="L4361" s="121">
        <v>-7.0000000000000001E-3</v>
      </c>
      <c r="M4361" s="75" t="s">
        <v>146</v>
      </c>
      <c r="N4361" s="75" t="b">
        <v>1</v>
      </c>
      <c r="O4361" s="75" t="s">
        <v>145</v>
      </c>
      <c r="P4361" s="75">
        <v>2014</v>
      </c>
      <c r="Q4361" s="107">
        <f t="shared" si="134"/>
        <v>2019</v>
      </c>
      <c r="R4361" s="107">
        <v>2</v>
      </c>
      <c r="S4361" s="43">
        <v>219122</v>
      </c>
      <c r="T4361" s="74">
        <v>43782</v>
      </c>
    </row>
    <row r="4362" spans="1:20" x14ac:dyDescent="0.3">
      <c r="A4362" s="42">
        <v>43822</v>
      </c>
      <c r="B4362" s="37">
        <f t="shared" si="135"/>
        <v>20191223</v>
      </c>
      <c r="C4362" s="109">
        <v>1.67E-2</v>
      </c>
      <c r="D4362" s="109">
        <v>1.2E-2</v>
      </c>
      <c r="E4362" s="109">
        <v>1.2999999999999999E-2</v>
      </c>
      <c r="F4362" s="109">
        <v>1.2999999999999999E-2</v>
      </c>
      <c r="G4362" s="130">
        <v>0</v>
      </c>
      <c r="H4362" s="71">
        <v>8.6999999999999993</v>
      </c>
      <c r="I4362" s="71">
        <v>11.3</v>
      </c>
      <c r="J4362" s="71">
        <v>13.9</v>
      </c>
      <c r="K4362" s="121">
        <v>3.3E-3</v>
      </c>
      <c r="L4362" s="121">
        <v>-7.0000000000000001E-3</v>
      </c>
      <c r="M4362" s="75" t="s">
        <v>146</v>
      </c>
      <c r="N4362" s="75" t="b">
        <v>1</v>
      </c>
      <c r="O4362" s="75" t="s">
        <v>145</v>
      </c>
      <c r="P4362" s="75">
        <v>2014</v>
      </c>
      <c r="Q4362" s="107">
        <f t="shared" si="134"/>
        <v>2019</v>
      </c>
      <c r="R4362" s="107">
        <v>2</v>
      </c>
      <c r="S4362" s="43">
        <v>219122</v>
      </c>
      <c r="T4362" s="74">
        <v>43782</v>
      </c>
    </row>
    <row r="4363" spans="1:20" x14ac:dyDescent="0.3">
      <c r="A4363" s="42">
        <v>43823</v>
      </c>
      <c r="B4363" s="37">
        <f t="shared" si="135"/>
        <v>20191224</v>
      </c>
      <c r="C4363" s="109">
        <v>1.67E-2</v>
      </c>
      <c r="D4363" s="109">
        <v>1.2E-2</v>
      </c>
      <c r="E4363" s="109">
        <v>1.2999999999999999E-2</v>
      </c>
      <c r="F4363" s="109">
        <v>1.2999999999999999E-2</v>
      </c>
      <c r="G4363" s="130">
        <v>0</v>
      </c>
      <c r="H4363" s="71">
        <v>8.6999999999999993</v>
      </c>
      <c r="I4363" s="71">
        <v>11.3</v>
      </c>
      <c r="J4363" s="71">
        <v>13.9</v>
      </c>
      <c r="K4363" s="121">
        <v>3.2000000000000002E-3</v>
      </c>
      <c r="L4363" s="121">
        <v>-7.0000000000000001E-3</v>
      </c>
      <c r="M4363" s="75" t="s">
        <v>146</v>
      </c>
      <c r="N4363" s="75" t="b">
        <v>1</v>
      </c>
      <c r="O4363" s="75" t="s">
        <v>145</v>
      </c>
      <c r="P4363" s="75">
        <v>2014</v>
      </c>
      <c r="Q4363" s="107">
        <f t="shared" si="134"/>
        <v>2019</v>
      </c>
      <c r="R4363" s="107">
        <v>2</v>
      </c>
      <c r="S4363" s="43">
        <v>219122</v>
      </c>
      <c r="T4363" s="74">
        <v>43782</v>
      </c>
    </row>
    <row r="4364" spans="1:20" x14ac:dyDescent="0.3">
      <c r="A4364" s="42">
        <v>43824</v>
      </c>
      <c r="B4364" s="37">
        <f t="shared" si="135"/>
        <v>20191225</v>
      </c>
      <c r="C4364" s="109">
        <v>1.67E-2</v>
      </c>
      <c r="D4364" s="109">
        <v>1.2E-2</v>
      </c>
      <c r="E4364" s="109">
        <v>1.2999999999999999E-2</v>
      </c>
      <c r="F4364" s="109">
        <v>1.2999999999999999E-2</v>
      </c>
      <c r="G4364" s="130">
        <v>0</v>
      </c>
      <c r="H4364" s="71">
        <v>8.6999999999999993</v>
      </c>
      <c r="I4364" s="71">
        <v>11.3</v>
      </c>
      <c r="J4364" s="71">
        <v>13.9</v>
      </c>
      <c r="K4364" s="121">
        <v>3.2000000000000002E-3</v>
      </c>
      <c r="L4364" s="121">
        <v>-7.0000000000000001E-3</v>
      </c>
      <c r="M4364" s="75" t="s">
        <v>146</v>
      </c>
      <c r="N4364" s="75" t="b">
        <v>1</v>
      </c>
      <c r="O4364" s="75" t="s">
        <v>145</v>
      </c>
      <c r="P4364" s="75">
        <v>2014</v>
      </c>
      <c r="Q4364" s="107">
        <f t="shared" si="134"/>
        <v>2019</v>
      </c>
      <c r="R4364" s="107">
        <v>2</v>
      </c>
      <c r="S4364" s="43">
        <v>219122</v>
      </c>
      <c r="T4364" s="74">
        <v>43782</v>
      </c>
    </row>
    <row r="4365" spans="1:20" x14ac:dyDescent="0.3">
      <c r="A4365" s="42">
        <v>43825</v>
      </c>
      <c r="B4365" s="37">
        <f t="shared" si="135"/>
        <v>20191226</v>
      </c>
      <c r="C4365" s="109">
        <v>1.67E-2</v>
      </c>
      <c r="D4365" s="109">
        <v>1.2E-2</v>
      </c>
      <c r="E4365" s="109">
        <v>1.2999999999999999E-2</v>
      </c>
      <c r="F4365" s="109">
        <v>1.2999999999999999E-2</v>
      </c>
      <c r="G4365" s="130">
        <v>0</v>
      </c>
      <c r="H4365" s="71">
        <v>8.6999999999999993</v>
      </c>
      <c r="I4365" s="71">
        <v>11.3</v>
      </c>
      <c r="J4365" s="71">
        <v>13.9</v>
      </c>
      <c r="K4365" s="121">
        <v>3.2000000000000002E-3</v>
      </c>
      <c r="L4365" s="121">
        <v>-7.0000000000000001E-3</v>
      </c>
      <c r="M4365" s="75" t="s">
        <v>146</v>
      </c>
      <c r="N4365" s="75" t="b">
        <v>1</v>
      </c>
      <c r="O4365" s="75" t="s">
        <v>145</v>
      </c>
      <c r="P4365" s="75">
        <v>2014</v>
      </c>
      <c r="Q4365" s="107">
        <f t="shared" si="134"/>
        <v>2019</v>
      </c>
      <c r="R4365" s="107">
        <v>2</v>
      </c>
      <c r="S4365" s="43">
        <v>219122</v>
      </c>
      <c r="T4365" s="74">
        <v>43782</v>
      </c>
    </row>
    <row r="4366" spans="1:20" x14ac:dyDescent="0.3">
      <c r="A4366" s="42">
        <v>43826</v>
      </c>
      <c r="B4366" s="37">
        <f t="shared" si="135"/>
        <v>20191227</v>
      </c>
      <c r="C4366" s="109">
        <v>1.66E-2</v>
      </c>
      <c r="D4366" s="109">
        <v>1.2E-2</v>
      </c>
      <c r="E4366" s="109">
        <v>1.2999999999999999E-2</v>
      </c>
      <c r="F4366" s="109">
        <v>1.2999999999999999E-2</v>
      </c>
      <c r="G4366" s="130">
        <v>0</v>
      </c>
      <c r="H4366" s="71">
        <v>8.6999999999999993</v>
      </c>
      <c r="I4366" s="71">
        <v>11.3</v>
      </c>
      <c r="J4366" s="71">
        <v>13.9</v>
      </c>
      <c r="K4366" s="121">
        <v>3.2000000000000002E-3</v>
      </c>
      <c r="L4366" s="121">
        <v>-7.0000000000000001E-3</v>
      </c>
      <c r="M4366" s="75" t="s">
        <v>146</v>
      </c>
      <c r="N4366" s="75" t="b">
        <v>1</v>
      </c>
      <c r="O4366" s="75" t="s">
        <v>145</v>
      </c>
      <c r="P4366" s="75">
        <v>2014</v>
      </c>
      <c r="Q4366" s="107">
        <f t="shared" si="134"/>
        <v>2019</v>
      </c>
      <c r="R4366" s="107">
        <v>2</v>
      </c>
      <c r="S4366" s="43">
        <v>219122</v>
      </c>
      <c r="T4366" s="74">
        <v>43782</v>
      </c>
    </row>
    <row r="4367" spans="1:20" x14ac:dyDescent="0.3">
      <c r="A4367" s="42">
        <v>43827</v>
      </c>
      <c r="B4367" s="37">
        <f>YEAR(A4367)*10000+MONTH(A4367)*100+DAY(A4367)</f>
        <v>20191228</v>
      </c>
      <c r="C4367" s="109">
        <v>1.66E-2</v>
      </c>
      <c r="D4367" s="109">
        <v>1.2E-2</v>
      </c>
      <c r="E4367" s="109">
        <v>1.2999999999999999E-2</v>
      </c>
      <c r="F4367" s="109">
        <v>1.2999999999999999E-2</v>
      </c>
      <c r="G4367" s="130">
        <v>0</v>
      </c>
      <c r="H4367" s="71">
        <v>8.6999999999999993</v>
      </c>
      <c r="I4367" s="71">
        <v>11.3</v>
      </c>
      <c r="J4367" s="71">
        <v>13.9</v>
      </c>
      <c r="K4367" s="121">
        <v>3.2000000000000002E-3</v>
      </c>
      <c r="L4367" s="121">
        <v>-7.0000000000000001E-3</v>
      </c>
      <c r="M4367" s="75" t="s">
        <v>146</v>
      </c>
      <c r="N4367" s="75" t="b">
        <v>1</v>
      </c>
      <c r="O4367" s="75" t="s">
        <v>145</v>
      </c>
      <c r="P4367" s="75">
        <v>2014</v>
      </c>
      <c r="Q4367" s="107">
        <f t="shared" si="134"/>
        <v>2019</v>
      </c>
      <c r="R4367" s="107">
        <v>2</v>
      </c>
      <c r="S4367" s="43">
        <v>219122</v>
      </c>
      <c r="T4367" s="74">
        <v>43782</v>
      </c>
    </row>
    <row r="4368" spans="1:20" x14ac:dyDescent="0.3">
      <c r="A4368" s="42">
        <v>43828</v>
      </c>
      <c r="B4368" s="37">
        <f>YEAR(A4368)*10000+MONTH(A4368)*100+DAY(A4368)</f>
        <v>20191229</v>
      </c>
      <c r="C4368" s="109">
        <v>1.66E-2</v>
      </c>
      <c r="D4368" s="109">
        <v>1.2E-2</v>
      </c>
      <c r="E4368" s="109">
        <v>1.2999999999999999E-2</v>
      </c>
      <c r="F4368" s="109">
        <v>1.2999999999999999E-2</v>
      </c>
      <c r="G4368" s="130">
        <v>0</v>
      </c>
      <c r="H4368" s="71">
        <v>8.6999999999999993</v>
      </c>
      <c r="I4368" s="71">
        <v>11.3</v>
      </c>
      <c r="J4368" s="71">
        <v>13.9</v>
      </c>
      <c r="K4368" s="121">
        <v>3.2000000000000002E-3</v>
      </c>
      <c r="L4368" s="121">
        <v>-7.0000000000000001E-3</v>
      </c>
      <c r="M4368" s="75" t="s">
        <v>146</v>
      </c>
      <c r="N4368" s="75" t="b">
        <v>1</v>
      </c>
      <c r="O4368" s="75" t="s">
        <v>145</v>
      </c>
      <c r="P4368" s="75">
        <v>2014</v>
      </c>
      <c r="Q4368" s="107">
        <f t="shared" si="134"/>
        <v>2019</v>
      </c>
      <c r="R4368" s="107">
        <v>2</v>
      </c>
      <c r="S4368" s="43">
        <v>219122</v>
      </c>
      <c r="T4368" s="74">
        <v>43782</v>
      </c>
    </row>
    <row r="4369" spans="1:21" x14ac:dyDescent="0.3">
      <c r="A4369" s="42">
        <v>43829</v>
      </c>
      <c r="B4369" s="37">
        <f t="shared" si="135"/>
        <v>20191230</v>
      </c>
      <c r="C4369" s="109">
        <v>1.7100000000000001E-2</v>
      </c>
      <c r="D4369" s="109">
        <v>1.2E-2</v>
      </c>
      <c r="E4369" s="109">
        <v>1.2999999999999999E-2</v>
      </c>
      <c r="F4369" s="109">
        <v>1.2999999999999999E-2</v>
      </c>
      <c r="G4369" s="130">
        <v>0</v>
      </c>
      <c r="H4369" s="71">
        <v>8.6999999999999993</v>
      </c>
      <c r="I4369" s="71">
        <v>11.3</v>
      </c>
      <c r="J4369" s="71">
        <v>13.9</v>
      </c>
      <c r="K4369" s="121">
        <v>3.7000000000000002E-3</v>
      </c>
      <c r="L4369" s="121">
        <v>-7.0000000000000001E-3</v>
      </c>
      <c r="M4369" s="75" t="s">
        <v>146</v>
      </c>
      <c r="N4369" s="75" t="b">
        <v>1</v>
      </c>
      <c r="O4369" s="75" t="s">
        <v>145</v>
      </c>
      <c r="P4369" s="75">
        <v>2014</v>
      </c>
      <c r="Q4369" s="107">
        <f t="shared" si="134"/>
        <v>2019</v>
      </c>
      <c r="R4369" s="107">
        <v>2</v>
      </c>
      <c r="S4369" s="43">
        <v>219122</v>
      </c>
      <c r="T4369" s="74">
        <v>43782</v>
      </c>
    </row>
    <row r="4370" spans="1:21" s="116" customFormat="1" x14ac:dyDescent="0.3">
      <c r="A4370" s="110">
        <v>43830</v>
      </c>
      <c r="B4370" s="132">
        <f t="shared" si="135"/>
        <v>20191231</v>
      </c>
      <c r="C4370" s="111">
        <v>1.7600000000000001E-2</v>
      </c>
      <c r="D4370" s="120">
        <v>1.0999999999999999E-2</v>
      </c>
      <c r="E4370" s="120">
        <v>1.2E-2</v>
      </c>
      <c r="F4370" s="120">
        <v>1.2E-2</v>
      </c>
      <c r="G4370" s="133">
        <v>0</v>
      </c>
      <c r="H4370" s="124">
        <v>8.6</v>
      </c>
      <c r="I4370" s="124">
        <v>11.2</v>
      </c>
      <c r="J4370" s="124">
        <v>13.7</v>
      </c>
      <c r="K4370" s="131">
        <v>4.0999999999999995E-3</v>
      </c>
      <c r="L4370" s="131">
        <v>-7.0000000000000001E-3</v>
      </c>
      <c r="M4370" s="98" t="s">
        <v>146</v>
      </c>
      <c r="N4370" s="98" t="b">
        <v>1</v>
      </c>
      <c r="O4370" s="98" t="s">
        <v>145</v>
      </c>
      <c r="P4370" s="98">
        <v>2014</v>
      </c>
      <c r="Q4370" s="105">
        <f t="shared" si="134"/>
        <v>2019</v>
      </c>
      <c r="R4370" s="105">
        <v>2</v>
      </c>
      <c r="S4370" s="127">
        <v>220016</v>
      </c>
      <c r="T4370" s="128">
        <v>43860</v>
      </c>
      <c r="U4370" s="104" t="s">
        <v>176</v>
      </c>
    </row>
    <row r="4371" spans="1:21" x14ac:dyDescent="0.3">
      <c r="A4371" s="42">
        <v>43831</v>
      </c>
      <c r="B4371" s="37">
        <f t="shared" si="135"/>
        <v>20200101</v>
      </c>
      <c r="C4371" s="109">
        <v>1.7600000000000001E-2</v>
      </c>
      <c r="D4371" s="109">
        <v>1.0999999999999999E-2</v>
      </c>
      <c r="E4371" s="109">
        <v>1.2E-2</v>
      </c>
      <c r="F4371" s="109">
        <v>1.2E-2</v>
      </c>
      <c r="G4371" s="130">
        <v>0</v>
      </c>
      <c r="H4371" s="71">
        <v>8.6</v>
      </c>
      <c r="I4371" s="71">
        <v>11.2</v>
      </c>
      <c r="J4371" s="71">
        <v>13.7</v>
      </c>
      <c r="K4371" s="121">
        <v>4.0999999999999995E-3</v>
      </c>
      <c r="L4371" s="121">
        <v>-7.0000000000000001E-3</v>
      </c>
      <c r="M4371" s="75" t="s">
        <v>146</v>
      </c>
      <c r="N4371" s="75" t="b">
        <v>1</v>
      </c>
      <c r="O4371" s="75" t="s">
        <v>145</v>
      </c>
      <c r="P4371" s="75">
        <v>2014</v>
      </c>
      <c r="Q4371" s="107">
        <f t="shared" si="134"/>
        <v>2020</v>
      </c>
      <c r="R4371" s="107">
        <v>2</v>
      </c>
      <c r="S4371" s="43">
        <v>220016</v>
      </c>
      <c r="T4371" s="74">
        <v>43860</v>
      </c>
    </row>
    <row r="4372" spans="1:21" x14ac:dyDescent="0.3">
      <c r="A4372" s="42">
        <v>43832</v>
      </c>
      <c r="B4372" s="37">
        <f t="shared" si="135"/>
        <v>20200102</v>
      </c>
      <c r="C4372" s="109">
        <v>1.7000000000000001E-2</v>
      </c>
      <c r="D4372" s="109">
        <v>1.0999999999999999E-2</v>
      </c>
      <c r="E4372" s="109">
        <v>1.2E-2</v>
      </c>
      <c r="F4372" s="109">
        <v>1.2E-2</v>
      </c>
      <c r="G4372" s="130">
        <v>0</v>
      </c>
      <c r="H4372" s="71">
        <v>8.6</v>
      </c>
      <c r="I4372" s="71">
        <v>11.2</v>
      </c>
      <c r="J4372" s="71">
        <v>13.7</v>
      </c>
      <c r="K4372" s="121">
        <v>3.4999999999999996E-3</v>
      </c>
      <c r="L4372" s="121">
        <v>-7.0000000000000001E-3</v>
      </c>
      <c r="M4372" s="75" t="s">
        <v>146</v>
      </c>
      <c r="N4372" s="75" t="b">
        <v>1</v>
      </c>
      <c r="O4372" s="75" t="s">
        <v>145</v>
      </c>
      <c r="P4372" s="75">
        <v>2014</v>
      </c>
      <c r="Q4372" s="107">
        <f t="shared" si="134"/>
        <v>2020</v>
      </c>
      <c r="R4372" s="107">
        <v>2</v>
      </c>
      <c r="S4372" s="43">
        <v>220016</v>
      </c>
      <c r="T4372" s="74">
        <v>43860</v>
      </c>
    </row>
    <row r="4373" spans="1:21" x14ac:dyDescent="0.3">
      <c r="A4373" s="42">
        <v>43833</v>
      </c>
      <c r="B4373" s="37">
        <f t="shared" si="135"/>
        <v>20200103</v>
      </c>
      <c r="C4373" s="109">
        <v>1.61E-2</v>
      </c>
      <c r="D4373" s="109">
        <v>1.0999999999999999E-2</v>
      </c>
      <c r="E4373" s="109">
        <v>1.2E-2</v>
      </c>
      <c r="F4373" s="109">
        <v>1.2E-2</v>
      </c>
      <c r="G4373" s="130">
        <v>0</v>
      </c>
      <c r="H4373" s="71">
        <v>8.6</v>
      </c>
      <c r="I4373" s="71">
        <v>11.2</v>
      </c>
      <c r="J4373" s="71">
        <v>13.7</v>
      </c>
      <c r="K4373" s="121">
        <v>2.7000000000000001E-3</v>
      </c>
      <c r="L4373" s="121">
        <v>-7.0000000000000001E-3</v>
      </c>
      <c r="M4373" s="75" t="s">
        <v>146</v>
      </c>
      <c r="N4373" s="75" t="b">
        <v>1</v>
      </c>
      <c r="O4373" s="75" t="s">
        <v>145</v>
      </c>
      <c r="P4373" s="75">
        <v>2014</v>
      </c>
      <c r="Q4373" s="107">
        <f t="shared" si="134"/>
        <v>2020</v>
      </c>
      <c r="R4373" s="107">
        <v>2</v>
      </c>
      <c r="S4373" s="43">
        <v>220016</v>
      </c>
      <c r="T4373" s="74">
        <v>43860</v>
      </c>
    </row>
    <row r="4374" spans="1:21" x14ac:dyDescent="0.3">
      <c r="A4374" s="42">
        <v>43834</v>
      </c>
      <c r="B4374" s="37">
        <f>YEAR(A4374)*10000+MONTH(A4374)*100+DAY(A4374)</f>
        <v>20200104</v>
      </c>
      <c r="C4374" s="109">
        <v>1.61E-2</v>
      </c>
      <c r="D4374" s="109">
        <v>1.0999999999999999E-2</v>
      </c>
      <c r="E4374" s="109">
        <v>1.2E-2</v>
      </c>
      <c r="F4374" s="109">
        <v>1.2E-2</v>
      </c>
      <c r="G4374" s="130">
        <v>0</v>
      </c>
      <c r="H4374" s="71">
        <v>8.6</v>
      </c>
      <c r="I4374" s="71">
        <v>11.2</v>
      </c>
      <c r="J4374" s="71">
        <v>13.7</v>
      </c>
      <c r="K4374" s="121">
        <v>2.7000000000000001E-3</v>
      </c>
      <c r="L4374" s="121">
        <v>-7.0000000000000001E-3</v>
      </c>
      <c r="M4374" s="75" t="s">
        <v>146</v>
      </c>
      <c r="N4374" s="75" t="b">
        <v>1</v>
      </c>
      <c r="O4374" s="75" t="s">
        <v>145</v>
      </c>
      <c r="P4374" s="75">
        <v>2014</v>
      </c>
      <c r="Q4374" s="107">
        <f t="shared" si="134"/>
        <v>2020</v>
      </c>
      <c r="R4374" s="107">
        <v>2</v>
      </c>
      <c r="S4374" s="43">
        <v>220016</v>
      </c>
      <c r="T4374" s="74">
        <v>43860</v>
      </c>
    </row>
    <row r="4375" spans="1:21" x14ac:dyDescent="0.3">
      <c r="A4375" s="42">
        <v>43835</v>
      </c>
      <c r="B4375" s="37">
        <f>YEAR(A4375)*10000+MONTH(A4375)*100+DAY(A4375)</f>
        <v>20200105</v>
      </c>
      <c r="C4375" s="109">
        <v>1.61E-2</v>
      </c>
      <c r="D4375" s="109">
        <v>1.0999999999999999E-2</v>
      </c>
      <c r="E4375" s="109">
        <v>1.2E-2</v>
      </c>
      <c r="F4375" s="109">
        <v>1.2E-2</v>
      </c>
      <c r="G4375" s="130">
        <v>0</v>
      </c>
      <c r="H4375" s="71">
        <v>8.6</v>
      </c>
      <c r="I4375" s="71">
        <v>11.2</v>
      </c>
      <c r="J4375" s="71">
        <v>13.7</v>
      </c>
      <c r="K4375" s="121">
        <v>2.7000000000000001E-3</v>
      </c>
      <c r="L4375" s="121">
        <v>-7.0000000000000001E-3</v>
      </c>
      <c r="M4375" s="75" t="s">
        <v>146</v>
      </c>
      <c r="N4375" s="75" t="b">
        <v>1</v>
      </c>
      <c r="O4375" s="75" t="s">
        <v>145</v>
      </c>
      <c r="P4375" s="75">
        <v>2014</v>
      </c>
      <c r="Q4375" s="107">
        <f t="shared" si="134"/>
        <v>2020</v>
      </c>
      <c r="R4375" s="107">
        <v>2</v>
      </c>
      <c r="S4375" s="43">
        <v>220016</v>
      </c>
      <c r="T4375" s="74">
        <v>43860</v>
      </c>
    </row>
    <row r="4376" spans="1:21" x14ac:dyDescent="0.3">
      <c r="A4376" s="42">
        <v>43836</v>
      </c>
      <c r="B4376" s="37">
        <f t="shared" si="135"/>
        <v>20200106</v>
      </c>
      <c r="C4376" s="109">
        <v>1.67E-2</v>
      </c>
      <c r="D4376" s="109">
        <v>1.0999999999999999E-2</v>
      </c>
      <c r="E4376" s="109">
        <v>1.2E-2</v>
      </c>
      <c r="F4376" s="109">
        <v>1.2E-2</v>
      </c>
      <c r="G4376" s="130">
        <v>0</v>
      </c>
      <c r="H4376" s="71">
        <v>8.6</v>
      </c>
      <c r="I4376" s="71">
        <v>11.2</v>
      </c>
      <c r="J4376" s="71">
        <v>13.7</v>
      </c>
      <c r="K4376" s="121">
        <v>3.3E-3</v>
      </c>
      <c r="L4376" s="121">
        <v>-7.0000000000000001E-3</v>
      </c>
      <c r="M4376" s="75" t="s">
        <v>146</v>
      </c>
      <c r="N4376" s="75" t="b">
        <v>1</v>
      </c>
      <c r="O4376" s="75" t="s">
        <v>145</v>
      </c>
      <c r="P4376" s="75">
        <v>2014</v>
      </c>
      <c r="Q4376" s="107">
        <f t="shared" si="134"/>
        <v>2020</v>
      </c>
      <c r="R4376" s="107">
        <v>2</v>
      </c>
      <c r="S4376" s="43">
        <v>220016</v>
      </c>
      <c r="T4376" s="74">
        <v>43860</v>
      </c>
    </row>
    <row r="4377" spans="1:21" x14ac:dyDescent="0.3">
      <c r="A4377" s="42">
        <v>43837</v>
      </c>
      <c r="B4377" s="37">
        <f t="shared" si="135"/>
        <v>20200107</v>
      </c>
      <c r="C4377" s="109">
        <v>1.6799999999999999E-2</v>
      </c>
      <c r="D4377" s="109">
        <v>1.0999999999999999E-2</v>
      </c>
      <c r="E4377" s="109">
        <v>1.2E-2</v>
      </c>
      <c r="F4377" s="109">
        <v>1.2E-2</v>
      </c>
      <c r="G4377" s="130">
        <v>0</v>
      </c>
      <c r="H4377" s="71">
        <v>8.6</v>
      </c>
      <c r="I4377" s="71">
        <v>11.2</v>
      </c>
      <c r="J4377" s="71">
        <v>13.7</v>
      </c>
      <c r="K4377" s="121">
        <v>3.4000000000000002E-3</v>
      </c>
      <c r="L4377" s="121">
        <v>-7.0000000000000001E-3</v>
      </c>
      <c r="M4377" s="75" t="s">
        <v>146</v>
      </c>
      <c r="N4377" s="75" t="b">
        <v>1</v>
      </c>
      <c r="O4377" s="75" t="s">
        <v>145</v>
      </c>
      <c r="P4377" s="75">
        <v>2014</v>
      </c>
      <c r="Q4377" s="107">
        <f t="shared" si="134"/>
        <v>2020</v>
      </c>
      <c r="R4377" s="107">
        <v>2</v>
      </c>
      <c r="S4377" s="43">
        <v>220016</v>
      </c>
      <c r="T4377" s="74">
        <v>43860</v>
      </c>
    </row>
    <row r="4378" spans="1:21" x14ac:dyDescent="0.3">
      <c r="A4378" s="42">
        <v>43838</v>
      </c>
      <c r="B4378" s="37">
        <f t="shared" si="135"/>
        <v>20200108</v>
      </c>
      <c r="C4378" s="109">
        <v>1.72E-2</v>
      </c>
      <c r="D4378" s="109">
        <v>1.0999999999999999E-2</v>
      </c>
      <c r="E4378" s="109">
        <v>1.2E-2</v>
      </c>
      <c r="F4378" s="109">
        <v>1.2E-2</v>
      </c>
      <c r="G4378" s="130">
        <v>0</v>
      </c>
      <c r="H4378" s="71">
        <v>8.6</v>
      </c>
      <c r="I4378" s="71">
        <v>11.2</v>
      </c>
      <c r="J4378" s="71">
        <v>13.7</v>
      </c>
      <c r="K4378" s="121">
        <v>3.7000000000000002E-3</v>
      </c>
      <c r="L4378" s="121">
        <v>-7.0000000000000001E-3</v>
      </c>
      <c r="M4378" s="75" t="s">
        <v>146</v>
      </c>
      <c r="N4378" s="75" t="b">
        <v>1</v>
      </c>
      <c r="O4378" s="75" t="s">
        <v>145</v>
      </c>
      <c r="P4378" s="75">
        <v>2014</v>
      </c>
      <c r="Q4378" s="107">
        <f t="shared" si="134"/>
        <v>2020</v>
      </c>
      <c r="R4378" s="107">
        <v>2</v>
      </c>
      <c r="S4378" s="43">
        <v>220016</v>
      </c>
      <c r="T4378" s="74">
        <v>43860</v>
      </c>
    </row>
    <row r="4379" spans="1:21" x14ac:dyDescent="0.3">
      <c r="A4379" s="42">
        <v>43839</v>
      </c>
      <c r="B4379" s="37">
        <f t="shared" si="135"/>
        <v>20200109</v>
      </c>
      <c r="C4379" s="109">
        <v>1.7000000000000001E-2</v>
      </c>
      <c r="D4379" s="109">
        <v>1.0999999999999999E-2</v>
      </c>
      <c r="E4379" s="109">
        <v>1.2E-2</v>
      </c>
      <c r="F4379" s="109">
        <v>1.2E-2</v>
      </c>
      <c r="G4379" s="130">
        <v>0</v>
      </c>
      <c r="H4379" s="71">
        <v>8.6</v>
      </c>
      <c r="I4379" s="71">
        <v>11.2</v>
      </c>
      <c r="J4379" s="71">
        <v>13.7</v>
      </c>
      <c r="K4379" s="121">
        <v>3.4999999999999996E-3</v>
      </c>
      <c r="L4379" s="121">
        <v>-7.0000000000000001E-3</v>
      </c>
      <c r="M4379" s="75" t="s">
        <v>146</v>
      </c>
      <c r="N4379" s="75" t="b">
        <v>1</v>
      </c>
      <c r="O4379" s="75" t="s">
        <v>145</v>
      </c>
      <c r="P4379" s="75">
        <v>2014</v>
      </c>
      <c r="Q4379" s="107">
        <f t="shared" si="134"/>
        <v>2020</v>
      </c>
      <c r="R4379" s="107">
        <v>2</v>
      </c>
      <c r="S4379" s="43">
        <v>220016</v>
      </c>
      <c r="T4379" s="74">
        <v>43860</v>
      </c>
    </row>
    <row r="4380" spans="1:21" x14ac:dyDescent="0.3">
      <c r="A4380" s="42">
        <v>43840</v>
      </c>
      <c r="B4380" s="37">
        <f t="shared" si="135"/>
        <v>20200110</v>
      </c>
      <c r="C4380" s="109">
        <v>1.6799999999999999E-2</v>
      </c>
      <c r="D4380" s="109">
        <v>1.0999999999999999E-2</v>
      </c>
      <c r="E4380" s="109">
        <v>1.2E-2</v>
      </c>
      <c r="F4380" s="109">
        <v>1.2E-2</v>
      </c>
      <c r="G4380" s="130">
        <v>0</v>
      </c>
      <c r="H4380" s="71">
        <v>8.6</v>
      </c>
      <c r="I4380" s="71">
        <v>11.2</v>
      </c>
      <c r="J4380" s="71">
        <v>13.7</v>
      </c>
      <c r="K4380" s="121">
        <v>3.2000000000000002E-3</v>
      </c>
      <c r="L4380" s="121">
        <v>-7.0000000000000001E-3</v>
      </c>
      <c r="M4380" s="75" t="s">
        <v>146</v>
      </c>
      <c r="N4380" s="75" t="b">
        <v>1</v>
      </c>
      <c r="O4380" s="75" t="s">
        <v>145</v>
      </c>
      <c r="P4380" s="75">
        <v>2014</v>
      </c>
      <c r="Q4380" s="107">
        <f t="shared" si="134"/>
        <v>2020</v>
      </c>
      <c r="R4380" s="107">
        <v>2</v>
      </c>
      <c r="S4380" s="43">
        <v>220016</v>
      </c>
      <c r="T4380" s="74">
        <v>43860</v>
      </c>
    </row>
    <row r="4381" spans="1:21" x14ac:dyDescent="0.3">
      <c r="A4381" s="42">
        <v>43841</v>
      </c>
      <c r="B4381" s="37">
        <f>YEAR(A4381)*10000+MONTH(A4381)*100+DAY(A4381)</f>
        <v>20200111</v>
      </c>
      <c r="C4381" s="109">
        <v>1.6799999999999999E-2</v>
      </c>
      <c r="D4381" s="109">
        <v>1.0999999999999999E-2</v>
      </c>
      <c r="E4381" s="109">
        <v>1.2E-2</v>
      </c>
      <c r="F4381" s="109">
        <v>1.2E-2</v>
      </c>
      <c r="G4381" s="130">
        <v>0</v>
      </c>
      <c r="H4381" s="71">
        <v>8.6</v>
      </c>
      <c r="I4381" s="71">
        <v>11.2</v>
      </c>
      <c r="J4381" s="71">
        <v>13.7</v>
      </c>
      <c r="K4381" s="121">
        <v>3.2000000000000002E-3</v>
      </c>
      <c r="L4381" s="121">
        <v>-7.0000000000000001E-3</v>
      </c>
      <c r="M4381" s="75" t="s">
        <v>146</v>
      </c>
      <c r="N4381" s="75" t="b">
        <v>1</v>
      </c>
      <c r="O4381" s="75" t="s">
        <v>145</v>
      </c>
      <c r="P4381" s="75">
        <v>2014</v>
      </c>
      <c r="Q4381" s="107">
        <f t="shared" si="134"/>
        <v>2020</v>
      </c>
      <c r="R4381" s="107">
        <v>2</v>
      </c>
      <c r="S4381" s="43">
        <v>220016</v>
      </c>
      <c r="T4381" s="74">
        <v>43860</v>
      </c>
    </row>
    <row r="4382" spans="1:21" x14ac:dyDescent="0.3">
      <c r="A4382" s="42">
        <v>43842</v>
      </c>
      <c r="B4382" s="37">
        <f>YEAR(A4382)*10000+MONTH(A4382)*100+DAY(A4382)</f>
        <v>20200112</v>
      </c>
      <c r="C4382" s="109">
        <v>1.6799999999999999E-2</v>
      </c>
      <c r="D4382" s="109">
        <v>1.0999999999999999E-2</v>
      </c>
      <c r="E4382" s="109">
        <v>1.2E-2</v>
      </c>
      <c r="F4382" s="109">
        <v>1.2E-2</v>
      </c>
      <c r="G4382" s="130">
        <v>0</v>
      </c>
      <c r="H4382" s="71">
        <v>8.6</v>
      </c>
      <c r="I4382" s="71">
        <v>11.2</v>
      </c>
      <c r="J4382" s="71">
        <v>13.7</v>
      </c>
      <c r="K4382" s="121">
        <v>3.2000000000000002E-3</v>
      </c>
      <c r="L4382" s="121">
        <v>-7.0000000000000001E-3</v>
      </c>
      <c r="M4382" s="75" t="s">
        <v>146</v>
      </c>
      <c r="N4382" s="75" t="b">
        <v>1</v>
      </c>
      <c r="O4382" s="75" t="s">
        <v>145</v>
      </c>
      <c r="P4382" s="75">
        <v>2014</v>
      </c>
      <c r="Q4382" s="107">
        <f t="shared" si="134"/>
        <v>2020</v>
      </c>
      <c r="R4382" s="107">
        <v>2</v>
      </c>
      <c r="S4382" s="43">
        <v>220016</v>
      </c>
      <c r="T4382" s="74">
        <v>43860</v>
      </c>
    </row>
    <row r="4383" spans="1:21" x14ac:dyDescent="0.3">
      <c r="A4383" s="42">
        <v>43843</v>
      </c>
      <c r="B4383" s="37">
        <f t="shared" si="135"/>
        <v>20200113</v>
      </c>
      <c r="C4383" s="109">
        <v>1.6899999999999998E-2</v>
      </c>
      <c r="D4383" s="109">
        <v>1.0999999999999999E-2</v>
      </c>
      <c r="E4383" s="109">
        <v>1.2E-2</v>
      </c>
      <c r="F4383" s="109">
        <v>1.2E-2</v>
      </c>
      <c r="G4383" s="130">
        <v>0</v>
      </c>
      <c r="H4383" s="71">
        <v>8.6</v>
      </c>
      <c r="I4383" s="71">
        <v>11.2</v>
      </c>
      <c r="J4383" s="71">
        <v>13.7</v>
      </c>
      <c r="K4383" s="121">
        <v>3.0999999999999999E-3</v>
      </c>
      <c r="L4383" s="121">
        <v>-7.0000000000000001E-3</v>
      </c>
      <c r="M4383" s="75" t="s">
        <v>146</v>
      </c>
      <c r="N4383" s="75" t="b">
        <v>1</v>
      </c>
      <c r="O4383" s="75" t="s">
        <v>145</v>
      </c>
      <c r="P4383" s="75">
        <v>2014</v>
      </c>
      <c r="Q4383" s="107">
        <f t="shared" si="134"/>
        <v>2020</v>
      </c>
      <c r="R4383" s="107">
        <v>2</v>
      </c>
      <c r="S4383" s="43">
        <v>220016</v>
      </c>
      <c r="T4383" s="74">
        <v>43860</v>
      </c>
    </row>
    <row r="4384" spans="1:21" x14ac:dyDescent="0.3">
      <c r="A4384" s="42">
        <v>43844</v>
      </c>
      <c r="B4384" s="37">
        <f t="shared" si="135"/>
        <v>20200114</v>
      </c>
      <c r="C4384" s="109">
        <v>1.6799999999999999E-2</v>
      </c>
      <c r="D4384" s="109">
        <v>1.0999999999999999E-2</v>
      </c>
      <c r="E4384" s="109">
        <v>1.2E-2</v>
      </c>
      <c r="F4384" s="109">
        <v>1.2E-2</v>
      </c>
      <c r="G4384" s="130">
        <v>0</v>
      </c>
      <c r="H4384" s="71">
        <v>8.6</v>
      </c>
      <c r="I4384" s="71">
        <v>11.2</v>
      </c>
      <c r="J4384" s="71">
        <v>13.7</v>
      </c>
      <c r="K4384" s="121">
        <v>3.0000000000000001E-3</v>
      </c>
      <c r="L4384" s="121">
        <v>-7.0000000000000001E-3</v>
      </c>
      <c r="M4384" s="75" t="s">
        <v>146</v>
      </c>
      <c r="N4384" s="75" t="b">
        <v>1</v>
      </c>
      <c r="O4384" s="75" t="s">
        <v>145</v>
      </c>
      <c r="P4384" s="75">
        <v>2014</v>
      </c>
      <c r="Q4384" s="107">
        <f t="shared" si="134"/>
        <v>2020</v>
      </c>
      <c r="R4384" s="107">
        <v>2</v>
      </c>
      <c r="S4384" s="43">
        <v>220016</v>
      </c>
      <c r="T4384" s="74">
        <v>43860</v>
      </c>
    </row>
    <row r="4385" spans="1:20" x14ac:dyDescent="0.3">
      <c r="A4385" s="42">
        <v>43845</v>
      </c>
      <c r="B4385" s="37">
        <f t="shared" si="135"/>
        <v>20200115</v>
      </c>
      <c r="C4385" s="109">
        <v>1.6399999999999998E-2</v>
      </c>
      <c r="D4385" s="109">
        <v>1.0999999999999999E-2</v>
      </c>
      <c r="E4385" s="109">
        <v>1.2E-2</v>
      </c>
      <c r="F4385" s="109">
        <v>1.2E-2</v>
      </c>
      <c r="G4385" s="130">
        <v>0</v>
      </c>
      <c r="H4385" s="71">
        <v>8.6</v>
      </c>
      <c r="I4385" s="71">
        <v>11.2</v>
      </c>
      <c r="J4385" s="71">
        <v>13.7</v>
      </c>
      <c r="K4385" s="121">
        <v>2.5999999999999999E-3</v>
      </c>
      <c r="L4385" s="121">
        <v>-7.0000000000000001E-3</v>
      </c>
      <c r="M4385" s="75" t="s">
        <v>146</v>
      </c>
      <c r="N4385" s="75" t="b">
        <v>1</v>
      </c>
      <c r="O4385" s="75" t="s">
        <v>145</v>
      </c>
      <c r="P4385" s="75">
        <v>2014</v>
      </c>
      <c r="Q4385" s="107">
        <f t="shared" si="134"/>
        <v>2020</v>
      </c>
      <c r="R4385" s="107">
        <v>2</v>
      </c>
      <c r="S4385" s="43">
        <v>220016</v>
      </c>
      <c r="T4385" s="74">
        <v>43860</v>
      </c>
    </row>
    <row r="4386" spans="1:20" x14ac:dyDescent="0.3">
      <c r="A4386" s="42">
        <v>43846</v>
      </c>
      <c r="B4386" s="37">
        <f t="shared" si="135"/>
        <v>20200116</v>
      </c>
      <c r="C4386" s="109">
        <v>1.66E-2</v>
      </c>
      <c r="D4386" s="109">
        <v>1.0999999999999999E-2</v>
      </c>
      <c r="E4386" s="109">
        <v>1.2E-2</v>
      </c>
      <c r="F4386" s="109">
        <v>1.2E-2</v>
      </c>
      <c r="G4386" s="130">
        <v>0</v>
      </c>
      <c r="H4386" s="71">
        <v>8.6</v>
      </c>
      <c r="I4386" s="71">
        <v>11.2</v>
      </c>
      <c r="J4386" s="71">
        <v>13.7</v>
      </c>
      <c r="K4386" s="121">
        <v>2.8000000000000004E-3</v>
      </c>
      <c r="L4386" s="121">
        <v>-7.0000000000000001E-3</v>
      </c>
      <c r="M4386" s="75" t="s">
        <v>146</v>
      </c>
      <c r="N4386" s="75" t="b">
        <v>1</v>
      </c>
      <c r="O4386" s="75" t="s">
        <v>145</v>
      </c>
      <c r="P4386" s="75">
        <v>2014</v>
      </c>
      <c r="Q4386" s="107">
        <f t="shared" si="134"/>
        <v>2020</v>
      </c>
      <c r="R4386" s="107">
        <v>2</v>
      </c>
      <c r="S4386" s="43">
        <v>220016</v>
      </c>
      <c r="T4386" s="74">
        <v>43860</v>
      </c>
    </row>
    <row r="4387" spans="1:20" x14ac:dyDescent="0.3">
      <c r="A4387" s="42">
        <v>43847</v>
      </c>
      <c r="B4387" s="37">
        <f t="shared" si="135"/>
        <v>20200117</v>
      </c>
      <c r="C4387" s="109">
        <v>1.66E-2</v>
      </c>
      <c r="D4387" s="109">
        <v>1.0999999999999999E-2</v>
      </c>
      <c r="E4387" s="109">
        <v>1.2E-2</v>
      </c>
      <c r="F4387" s="109">
        <v>1.2E-2</v>
      </c>
      <c r="G4387" s="130">
        <v>0</v>
      </c>
      <c r="H4387" s="71">
        <v>8.6</v>
      </c>
      <c r="I4387" s="71">
        <v>11.2</v>
      </c>
      <c r="J4387" s="71">
        <v>13.7</v>
      </c>
      <c r="K4387" s="121">
        <v>2.8000000000000004E-3</v>
      </c>
      <c r="L4387" s="121">
        <v>-7.0000000000000001E-3</v>
      </c>
      <c r="M4387" s="75" t="s">
        <v>146</v>
      </c>
      <c r="N4387" s="75" t="b">
        <v>1</v>
      </c>
      <c r="O4387" s="75" t="s">
        <v>145</v>
      </c>
      <c r="P4387" s="75">
        <v>2014</v>
      </c>
      <c r="Q4387" s="107">
        <f t="shared" si="134"/>
        <v>2020</v>
      </c>
      <c r="R4387" s="107">
        <v>2</v>
      </c>
      <c r="S4387" s="43">
        <v>220016</v>
      </c>
      <c r="T4387" s="74">
        <v>43860</v>
      </c>
    </row>
    <row r="4388" spans="1:20" x14ac:dyDescent="0.3">
      <c r="A4388" s="42">
        <v>43848</v>
      </c>
      <c r="B4388" s="37">
        <f>YEAR(A4388)*10000+MONTH(A4388)*100+DAY(A4388)</f>
        <v>20200118</v>
      </c>
      <c r="C4388" s="109">
        <v>1.66E-2</v>
      </c>
      <c r="D4388" s="109">
        <v>1.0999999999999999E-2</v>
      </c>
      <c r="E4388" s="109">
        <v>1.2E-2</v>
      </c>
      <c r="F4388" s="109">
        <v>1.2E-2</v>
      </c>
      <c r="G4388" s="130">
        <v>0</v>
      </c>
      <c r="H4388" s="71">
        <v>8.6</v>
      </c>
      <c r="I4388" s="71">
        <v>11.2</v>
      </c>
      <c r="J4388" s="71">
        <v>13.7</v>
      </c>
      <c r="K4388" s="121">
        <v>2.8000000000000004E-3</v>
      </c>
      <c r="L4388" s="121">
        <v>-7.0000000000000001E-3</v>
      </c>
      <c r="M4388" s="75" t="s">
        <v>146</v>
      </c>
      <c r="N4388" s="75" t="b">
        <v>1</v>
      </c>
      <c r="O4388" s="75" t="s">
        <v>145</v>
      </c>
      <c r="P4388" s="75">
        <v>2014</v>
      </c>
      <c r="Q4388" s="107">
        <f t="shared" si="134"/>
        <v>2020</v>
      </c>
      <c r="R4388" s="107">
        <v>2</v>
      </c>
      <c r="S4388" s="43">
        <v>220016</v>
      </c>
      <c r="T4388" s="74">
        <v>43860</v>
      </c>
    </row>
    <row r="4389" spans="1:20" x14ac:dyDescent="0.3">
      <c r="A4389" s="42">
        <v>43849</v>
      </c>
      <c r="B4389" s="37">
        <f>YEAR(A4389)*10000+MONTH(A4389)*100+DAY(A4389)</f>
        <v>20200119</v>
      </c>
      <c r="C4389" s="109">
        <v>1.66E-2</v>
      </c>
      <c r="D4389" s="109">
        <v>1.0999999999999999E-2</v>
      </c>
      <c r="E4389" s="109">
        <v>1.2E-2</v>
      </c>
      <c r="F4389" s="109">
        <v>1.2E-2</v>
      </c>
      <c r="G4389" s="130">
        <v>0</v>
      </c>
      <c r="H4389" s="71">
        <v>8.6</v>
      </c>
      <c r="I4389" s="71">
        <v>11.2</v>
      </c>
      <c r="J4389" s="71">
        <v>13.7</v>
      </c>
      <c r="K4389" s="121">
        <v>2.8000000000000004E-3</v>
      </c>
      <c r="L4389" s="121">
        <v>-7.0000000000000001E-3</v>
      </c>
      <c r="M4389" s="75" t="s">
        <v>146</v>
      </c>
      <c r="N4389" s="75" t="b">
        <v>1</v>
      </c>
      <c r="O4389" s="75" t="s">
        <v>145</v>
      </c>
      <c r="P4389" s="75">
        <v>2014</v>
      </c>
      <c r="Q4389" s="107">
        <f t="shared" si="134"/>
        <v>2020</v>
      </c>
      <c r="R4389" s="107">
        <v>2</v>
      </c>
      <c r="S4389" s="43">
        <v>220016</v>
      </c>
      <c r="T4389" s="74">
        <v>43860</v>
      </c>
    </row>
    <row r="4390" spans="1:20" x14ac:dyDescent="0.3">
      <c r="A4390" s="42">
        <v>43850</v>
      </c>
      <c r="B4390" s="37">
        <f t="shared" si="135"/>
        <v>20200120</v>
      </c>
      <c r="C4390" s="109">
        <v>1.66E-2</v>
      </c>
      <c r="D4390" s="109">
        <v>1.0999999999999999E-2</v>
      </c>
      <c r="E4390" s="109">
        <v>1.2E-2</v>
      </c>
      <c r="F4390" s="109">
        <v>1.2E-2</v>
      </c>
      <c r="G4390" s="130">
        <v>0</v>
      </c>
      <c r="H4390" s="71">
        <v>8.6</v>
      </c>
      <c r="I4390" s="71">
        <v>11.2</v>
      </c>
      <c r="J4390" s="71">
        <v>13.7</v>
      </c>
      <c r="K4390" s="121">
        <v>2.8000000000000004E-3</v>
      </c>
      <c r="L4390" s="121">
        <v>-7.0000000000000001E-3</v>
      </c>
      <c r="M4390" s="75" t="s">
        <v>146</v>
      </c>
      <c r="N4390" s="75" t="b">
        <v>1</v>
      </c>
      <c r="O4390" s="75" t="s">
        <v>145</v>
      </c>
      <c r="P4390" s="75">
        <v>2014</v>
      </c>
      <c r="Q4390" s="107">
        <f t="shared" si="134"/>
        <v>2020</v>
      </c>
      <c r="R4390" s="107">
        <v>2</v>
      </c>
      <c r="S4390" s="43">
        <v>220016</v>
      </c>
      <c r="T4390" s="74">
        <v>43860</v>
      </c>
    </row>
    <row r="4391" spans="1:20" x14ac:dyDescent="0.3">
      <c r="A4391" s="42">
        <v>43851</v>
      </c>
      <c r="B4391" s="37">
        <f t="shared" si="135"/>
        <v>20200121</v>
      </c>
      <c r="C4391" s="109">
        <v>1.6E-2</v>
      </c>
      <c r="D4391" s="109">
        <v>1.0999999999999999E-2</v>
      </c>
      <c r="E4391" s="109">
        <v>1.2E-2</v>
      </c>
      <c r="F4391" s="109">
        <v>1.2E-2</v>
      </c>
      <c r="G4391" s="130">
        <v>0</v>
      </c>
      <c r="H4391" s="71">
        <v>8.6</v>
      </c>
      <c r="I4391" s="71">
        <v>11.2</v>
      </c>
      <c r="J4391" s="71">
        <v>13.7</v>
      </c>
      <c r="K4391" s="121">
        <v>2.3E-3</v>
      </c>
      <c r="L4391" s="121">
        <v>-7.0000000000000001E-3</v>
      </c>
      <c r="M4391" s="75" t="s">
        <v>146</v>
      </c>
      <c r="N4391" s="75" t="b">
        <v>1</v>
      </c>
      <c r="O4391" s="75" t="s">
        <v>145</v>
      </c>
      <c r="P4391" s="75">
        <v>2014</v>
      </c>
      <c r="Q4391" s="107">
        <f t="shared" si="134"/>
        <v>2020</v>
      </c>
      <c r="R4391" s="107">
        <v>2</v>
      </c>
      <c r="S4391" s="43">
        <v>220016</v>
      </c>
      <c r="T4391" s="74">
        <v>43860</v>
      </c>
    </row>
    <row r="4392" spans="1:20" x14ac:dyDescent="0.3">
      <c r="A4392" s="42">
        <v>43852</v>
      </c>
      <c r="B4392" s="37">
        <f t="shared" si="135"/>
        <v>20200122</v>
      </c>
      <c r="C4392" s="109">
        <v>1.55E-2</v>
      </c>
      <c r="D4392" s="109">
        <v>1.0999999999999999E-2</v>
      </c>
      <c r="E4392" s="109">
        <v>1.2E-2</v>
      </c>
      <c r="F4392" s="109">
        <v>1.2E-2</v>
      </c>
      <c r="G4392" s="130">
        <v>0</v>
      </c>
      <c r="H4392" s="71">
        <v>8.6</v>
      </c>
      <c r="I4392" s="71">
        <v>11.2</v>
      </c>
      <c r="J4392" s="71">
        <v>13.7</v>
      </c>
      <c r="K4392" s="121">
        <v>1.9E-3</v>
      </c>
      <c r="L4392" s="121">
        <v>-7.0000000000000001E-3</v>
      </c>
      <c r="M4392" s="75" t="s">
        <v>146</v>
      </c>
      <c r="N4392" s="75" t="b">
        <v>1</v>
      </c>
      <c r="O4392" s="75" t="s">
        <v>145</v>
      </c>
      <c r="P4392" s="75">
        <v>2014</v>
      </c>
      <c r="Q4392" s="107">
        <f t="shared" si="134"/>
        <v>2020</v>
      </c>
      <c r="R4392" s="107">
        <v>2</v>
      </c>
      <c r="S4392" s="43">
        <v>220016</v>
      </c>
      <c r="T4392" s="74">
        <v>43860</v>
      </c>
    </row>
    <row r="4393" spans="1:20" x14ac:dyDescent="0.3">
      <c r="A4393" s="42">
        <v>43853</v>
      </c>
      <c r="B4393" s="37">
        <f t="shared" si="135"/>
        <v>20200123</v>
      </c>
      <c r="C4393" s="109">
        <v>1.52E-2</v>
      </c>
      <c r="D4393" s="109">
        <v>1.0999999999999999E-2</v>
      </c>
      <c r="E4393" s="109">
        <v>1.2E-2</v>
      </c>
      <c r="F4393" s="109">
        <v>1.2E-2</v>
      </c>
      <c r="G4393" s="130">
        <v>0</v>
      </c>
      <c r="H4393" s="71">
        <v>8.6</v>
      </c>
      <c r="I4393" s="71">
        <v>11.2</v>
      </c>
      <c r="J4393" s="71">
        <v>13.7</v>
      </c>
      <c r="K4393" s="121">
        <v>1.7000000000000001E-3</v>
      </c>
      <c r="L4393" s="121">
        <v>-7.0000000000000001E-3</v>
      </c>
      <c r="M4393" s="75" t="s">
        <v>146</v>
      </c>
      <c r="N4393" s="75" t="b">
        <v>1</v>
      </c>
      <c r="O4393" s="75" t="s">
        <v>145</v>
      </c>
      <c r="P4393" s="75">
        <v>2014</v>
      </c>
      <c r="Q4393" s="107">
        <f t="shared" si="134"/>
        <v>2020</v>
      </c>
      <c r="R4393" s="107">
        <v>2</v>
      </c>
      <c r="S4393" s="43">
        <v>220016</v>
      </c>
      <c r="T4393" s="74">
        <v>43860</v>
      </c>
    </row>
    <row r="4394" spans="1:20" x14ac:dyDescent="0.3">
      <c r="A4394" s="42">
        <v>43854</v>
      </c>
      <c r="B4394" s="37">
        <f t="shared" si="135"/>
        <v>20200124</v>
      </c>
      <c r="C4394" s="109">
        <v>1.47E-2</v>
      </c>
      <c r="D4394" s="109">
        <v>1.0999999999999999E-2</v>
      </c>
      <c r="E4394" s="109">
        <v>1.2E-2</v>
      </c>
      <c r="F4394" s="109">
        <v>1.2E-2</v>
      </c>
      <c r="G4394" s="130">
        <v>0</v>
      </c>
      <c r="H4394" s="71">
        <v>8.6</v>
      </c>
      <c r="I4394" s="71">
        <v>11.2</v>
      </c>
      <c r="J4394" s="71">
        <v>13.7</v>
      </c>
      <c r="K4394" s="121">
        <v>1.1999999999999999E-3</v>
      </c>
      <c r="L4394" s="121">
        <v>-7.0000000000000001E-3</v>
      </c>
      <c r="M4394" s="75" t="s">
        <v>146</v>
      </c>
      <c r="N4394" s="75" t="b">
        <v>1</v>
      </c>
      <c r="O4394" s="75" t="s">
        <v>145</v>
      </c>
      <c r="P4394" s="75">
        <v>2014</v>
      </c>
      <c r="Q4394" s="107">
        <f t="shared" si="134"/>
        <v>2020</v>
      </c>
      <c r="R4394" s="107">
        <v>2</v>
      </c>
      <c r="S4394" s="43">
        <v>220016</v>
      </c>
      <c r="T4394" s="74">
        <v>43860</v>
      </c>
    </row>
    <row r="4395" spans="1:20" x14ac:dyDescent="0.3">
      <c r="A4395" s="42">
        <v>43855</v>
      </c>
      <c r="B4395" s="37">
        <f>YEAR(A4395)*10000+MONTH(A4395)*100+DAY(A4395)</f>
        <v>20200125</v>
      </c>
      <c r="C4395" s="109">
        <v>1.47E-2</v>
      </c>
      <c r="D4395" s="109">
        <v>1.0999999999999999E-2</v>
      </c>
      <c r="E4395" s="109">
        <v>1.2E-2</v>
      </c>
      <c r="F4395" s="109">
        <v>1.2E-2</v>
      </c>
      <c r="G4395" s="130">
        <v>0</v>
      </c>
      <c r="H4395" s="71">
        <v>8.6</v>
      </c>
      <c r="I4395" s="71">
        <v>11.2</v>
      </c>
      <c r="J4395" s="71">
        <v>13.7</v>
      </c>
      <c r="K4395" s="121">
        <v>1.1999999999999999E-3</v>
      </c>
      <c r="L4395" s="121">
        <v>-7.0000000000000001E-3</v>
      </c>
      <c r="M4395" s="75" t="s">
        <v>146</v>
      </c>
      <c r="N4395" s="75" t="b">
        <v>1</v>
      </c>
      <c r="O4395" s="75" t="s">
        <v>145</v>
      </c>
      <c r="P4395" s="75">
        <v>2014</v>
      </c>
      <c r="Q4395" s="107">
        <f t="shared" si="134"/>
        <v>2020</v>
      </c>
      <c r="R4395" s="107">
        <v>2</v>
      </c>
      <c r="S4395" s="43">
        <v>220016</v>
      </c>
      <c r="T4395" s="74">
        <v>43860</v>
      </c>
    </row>
    <row r="4396" spans="1:20" x14ac:dyDescent="0.3">
      <c r="A4396" s="42">
        <v>43856</v>
      </c>
      <c r="B4396" s="37">
        <f>YEAR(A4396)*10000+MONTH(A4396)*100+DAY(A4396)</f>
        <v>20200126</v>
      </c>
      <c r="C4396" s="109">
        <v>1.47E-2</v>
      </c>
      <c r="D4396" s="109">
        <v>1.0999999999999999E-2</v>
      </c>
      <c r="E4396" s="109">
        <v>1.2E-2</v>
      </c>
      <c r="F4396" s="109">
        <v>1.2E-2</v>
      </c>
      <c r="G4396" s="130">
        <v>0</v>
      </c>
      <c r="H4396" s="71">
        <v>8.6</v>
      </c>
      <c r="I4396" s="71">
        <v>11.2</v>
      </c>
      <c r="J4396" s="71">
        <v>13.7</v>
      </c>
      <c r="K4396" s="121">
        <v>1.1999999999999999E-3</v>
      </c>
      <c r="L4396" s="121">
        <v>-7.0000000000000001E-3</v>
      </c>
      <c r="M4396" s="75" t="s">
        <v>146</v>
      </c>
      <c r="N4396" s="75" t="b">
        <v>1</v>
      </c>
      <c r="O4396" s="75" t="s">
        <v>145</v>
      </c>
      <c r="P4396" s="75">
        <v>2014</v>
      </c>
      <c r="Q4396" s="107">
        <f t="shared" si="134"/>
        <v>2020</v>
      </c>
      <c r="R4396" s="107">
        <v>2</v>
      </c>
      <c r="S4396" s="43">
        <v>220016</v>
      </c>
      <c r="T4396" s="74">
        <v>43860</v>
      </c>
    </row>
    <row r="4397" spans="1:20" x14ac:dyDescent="0.3">
      <c r="A4397" s="42">
        <v>43857</v>
      </c>
      <c r="B4397" s="37">
        <f t="shared" si="135"/>
        <v>20200127</v>
      </c>
      <c r="C4397" s="109">
        <v>1.41E-2</v>
      </c>
      <c r="D4397" s="109">
        <v>1.0999999999999999E-2</v>
      </c>
      <c r="E4397" s="109">
        <v>1.2E-2</v>
      </c>
      <c r="F4397" s="109">
        <v>1.2E-2</v>
      </c>
      <c r="G4397" s="130">
        <v>0</v>
      </c>
      <c r="H4397" s="71">
        <v>8.6</v>
      </c>
      <c r="I4397" s="71">
        <v>11.2</v>
      </c>
      <c r="J4397" s="71">
        <v>13.7</v>
      </c>
      <c r="K4397" s="121">
        <v>1E-3</v>
      </c>
      <c r="L4397" s="121">
        <v>-7.0000000000000001E-3</v>
      </c>
      <c r="M4397" s="75" t="s">
        <v>146</v>
      </c>
      <c r="N4397" s="75" t="b">
        <v>1</v>
      </c>
      <c r="O4397" s="75" t="s">
        <v>145</v>
      </c>
      <c r="P4397" s="75">
        <v>2014</v>
      </c>
      <c r="Q4397" s="107">
        <f t="shared" si="134"/>
        <v>2020</v>
      </c>
      <c r="R4397" s="107">
        <v>2</v>
      </c>
      <c r="S4397" s="43">
        <v>220016</v>
      </c>
      <c r="T4397" s="74">
        <v>43860</v>
      </c>
    </row>
    <row r="4398" spans="1:20" x14ac:dyDescent="0.3">
      <c r="A4398" s="42">
        <v>43858</v>
      </c>
      <c r="B4398" s="37">
        <f t="shared" si="135"/>
        <v>20200128</v>
      </c>
      <c r="C4398" s="109">
        <v>1.47E-2</v>
      </c>
      <c r="D4398" s="109">
        <v>1.0999999999999999E-2</v>
      </c>
      <c r="E4398" s="109">
        <v>1.2E-2</v>
      </c>
      <c r="F4398" s="109">
        <v>1.2E-2</v>
      </c>
      <c r="G4398" s="130">
        <v>0</v>
      </c>
      <c r="H4398" s="71">
        <v>8.6</v>
      </c>
      <c r="I4398" s="71">
        <v>11.2</v>
      </c>
      <c r="J4398" s="71">
        <v>13.7</v>
      </c>
      <c r="K4398" s="121">
        <v>1.5E-3</v>
      </c>
      <c r="L4398" s="121">
        <v>-7.0000000000000001E-3</v>
      </c>
      <c r="M4398" s="75" t="s">
        <v>146</v>
      </c>
      <c r="N4398" s="75" t="b">
        <v>1</v>
      </c>
      <c r="O4398" s="75" t="s">
        <v>145</v>
      </c>
      <c r="P4398" s="75">
        <v>2014</v>
      </c>
      <c r="Q4398" s="107">
        <f t="shared" ref="Q4398:Q4461" si="136">YEAR(A4398)</f>
        <v>2020</v>
      </c>
      <c r="R4398" s="107">
        <v>2</v>
      </c>
      <c r="S4398" s="43">
        <v>220016</v>
      </c>
      <c r="T4398" s="74">
        <v>43860</v>
      </c>
    </row>
    <row r="4399" spans="1:20" x14ac:dyDescent="0.3">
      <c r="A4399" s="42">
        <v>43859</v>
      </c>
      <c r="B4399" s="37">
        <f t="shared" si="135"/>
        <v>20200129</v>
      </c>
      <c r="C4399" s="109">
        <v>1.4199999999999999E-2</v>
      </c>
      <c r="D4399" s="109">
        <v>1.0999999999999999E-2</v>
      </c>
      <c r="E4399" s="109">
        <v>1.2E-2</v>
      </c>
      <c r="F4399" s="109">
        <v>1.2E-2</v>
      </c>
      <c r="G4399" s="130">
        <v>0</v>
      </c>
      <c r="H4399" s="71">
        <v>8.6</v>
      </c>
      <c r="I4399" s="71">
        <v>11.2</v>
      </c>
      <c r="J4399" s="71">
        <v>13.7</v>
      </c>
      <c r="K4399" s="121">
        <v>1.5E-3</v>
      </c>
      <c r="L4399" s="121">
        <v>-7.0000000000000001E-3</v>
      </c>
      <c r="M4399" s="75" t="s">
        <v>146</v>
      </c>
      <c r="N4399" s="75" t="b">
        <v>1</v>
      </c>
      <c r="O4399" s="75" t="s">
        <v>145</v>
      </c>
      <c r="P4399" s="75">
        <v>2014</v>
      </c>
      <c r="Q4399" s="107">
        <f t="shared" si="136"/>
        <v>2020</v>
      </c>
      <c r="R4399" s="107">
        <v>2</v>
      </c>
      <c r="S4399" s="43">
        <v>220016</v>
      </c>
      <c r="T4399" s="74">
        <v>43860</v>
      </c>
    </row>
    <row r="4400" spans="1:20" x14ac:dyDescent="0.3">
      <c r="A4400" s="42">
        <v>43860</v>
      </c>
      <c r="B4400" s="37">
        <f t="shared" si="135"/>
        <v>20200130</v>
      </c>
      <c r="C4400" s="109">
        <v>1.43E-2</v>
      </c>
      <c r="D4400" s="109">
        <v>1.0999999999999999E-2</v>
      </c>
      <c r="E4400" s="109">
        <v>1.2E-2</v>
      </c>
      <c r="F4400" s="109">
        <v>1.2E-2</v>
      </c>
      <c r="G4400" s="130">
        <v>0</v>
      </c>
      <c r="H4400" s="71">
        <v>8.6</v>
      </c>
      <c r="I4400" s="71">
        <v>11.2</v>
      </c>
      <c r="J4400" s="71">
        <v>13.7</v>
      </c>
      <c r="K4400" s="121">
        <v>1.7000000000000001E-3</v>
      </c>
      <c r="L4400" s="121">
        <v>-7.0000000000000001E-3</v>
      </c>
      <c r="M4400" s="75" t="s">
        <v>146</v>
      </c>
      <c r="N4400" s="75" t="b">
        <v>1</v>
      </c>
      <c r="O4400" s="75" t="s">
        <v>145</v>
      </c>
      <c r="P4400" s="75">
        <v>2014</v>
      </c>
      <c r="Q4400" s="107">
        <f t="shared" si="136"/>
        <v>2020</v>
      </c>
      <c r="R4400" s="107">
        <v>2</v>
      </c>
      <c r="S4400" s="43">
        <v>220016</v>
      </c>
      <c r="T4400" s="74">
        <v>43860</v>
      </c>
    </row>
    <row r="4401" spans="1:20" x14ac:dyDescent="0.3">
      <c r="A4401" s="42">
        <v>43861</v>
      </c>
      <c r="B4401" s="37">
        <f>YEAR(A4401)*10000+MONTH(A4401)*100+DAY(A4401)</f>
        <v>20200131</v>
      </c>
      <c r="C4401" s="109">
        <v>1.3899999999999999E-2</v>
      </c>
      <c r="D4401" s="109">
        <v>1.0999999999999999E-2</v>
      </c>
      <c r="E4401" s="109">
        <v>1.2E-2</v>
      </c>
      <c r="F4401" s="109">
        <v>1.2E-2</v>
      </c>
      <c r="G4401" s="130">
        <v>0</v>
      </c>
      <c r="H4401" s="71">
        <v>8.6</v>
      </c>
      <c r="I4401" s="71">
        <v>11.2</v>
      </c>
      <c r="J4401" s="71">
        <v>13.7</v>
      </c>
      <c r="K4401" s="121">
        <v>1.4E-3</v>
      </c>
      <c r="L4401" s="121">
        <v>-7.0000000000000001E-3</v>
      </c>
      <c r="M4401" s="75" t="s">
        <v>146</v>
      </c>
      <c r="N4401" s="75" t="b">
        <v>1</v>
      </c>
      <c r="O4401" s="75" t="s">
        <v>145</v>
      </c>
      <c r="P4401" s="75">
        <v>2014</v>
      </c>
      <c r="Q4401" s="107">
        <f t="shared" si="136"/>
        <v>2020</v>
      </c>
      <c r="R4401" s="107">
        <v>2</v>
      </c>
      <c r="S4401" s="43">
        <v>220016</v>
      </c>
      <c r="T4401" s="74">
        <v>43860</v>
      </c>
    </row>
    <row r="4402" spans="1:20" x14ac:dyDescent="0.3">
      <c r="A4402" s="42">
        <v>43862</v>
      </c>
      <c r="B4402" s="37">
        <f>YEAR(A4402)*10000+MONTH(A4402)*100+DAY(A4402)</f>
        <v>20200201</v>
      </c>
      <c r="C4402" s="109">
        <v>1.3899999999999999E-2</v>
      </c>
      <c r="D4402" s="109">
        <v>1.0999999999999999E-2</v>
      </c>
      <c r="E4402" s="109">
        <v>1.2E-2</v>
      </c>
      <c r="F4402" s="109">
        <v>1.2E-2</v>
      </c>
      <c r="G4402" s="130">
        <v>0</v>
      </c>
      <c r="H4402" s="71">
        <v>8.6</v>
      </c>
      <c r="I4402" s="71">
        <v>11.2</v>
      </c>
      <c r="J4402" s="71">
        <v>13.7</v>
      </c>
      <c r="K4402" s="121">
        <v>1.4E-3</v>
      </c>
      <c r="L4402" s="121">
        <v>-7.0000000000000001E-3</v>
      </c>
      <c r="M4402" s="75" t="s">
        <v>146</v>
      </c>
      <c r="N4402" s="75" t="b">
        <v>1</v>
      </c>
      <c r="O4402" s="75" t="s">
        <v>145</v>
      </c>
      <c r="P4402" s="75">
        <v>2014</v>
      </c>
      <c r="Q4402" s="107">
        <f t="shared" si="136"/>
        <v>2020</v>
      </c>
      <c r="R4402" s="107">
        <v>2</v>
      </c>
      <c r="S4402" s="43">
        <v>220016</v>
      </c>
      <c r="T4402" s="74">
        <v>43860</v>
      </c>
    </row>
    <row r="4403" spans="1:20" x14ac:dyDescent="0.3">
      <c r="A4403" s="42">
        <v>43863</v>
      </c>
      <c r="B4403" s="37">
        <f>YEAR(A4403)*10000+MONTH(A4403)*100+DAY(A4403)</f>
        <v>20200202</v>
      </c>
      <c r="C4403" s="109">
        <v>1.3899999999999999E-2</v>
      </c>
      <c r="D4403" s="109">
        <v>1.0999999999999999E-2</v>
      </c>
      <c r="E4403" s="109">
        <v>1.2E-2</v>
      </c>
      <c r="F4403" s="109">
        <v>1.2E-2</v>
      </c>
      <c r="G4403" s="130">
        <v>0</v>
      </c>
      <c r="H4403" s="71">
        <v>8.6</v>
      </c>
      <c r="I4403" s="71">
        <v>11.2</v>
      </c>
      <c r="J4403" s="71">
        <v>13.7</v>
      </c>
      <c r="K4403" s="121">
        <v>1.4E-3</v>
      </c>
      <c r="L4403" s="121">
        <v>-7.0000000000000001E-3</v>
      </c>
      <c r="M4403" s="75" t="s">
        <v>146</v>
      </c>
      <c r="N4403" s="75" t="b">
        <v>1</v>
      </c>
      <c r="O4403" s="75" t="s">
        <v>145</v>
      </c>
      <c r="P4403" s="75">
        <v>2014</v>
      </c>
      <c r="Q4403" s="107">
        <f t="shared" si="136"/>
        <v>2020</v>
      </c>
      <c r="R4403" s="107">
        <v>2</v>
      </c>
      <c r="S4403" s="43">
        <v>220016</v>
      </c>
      <c r="T4403" s="74">
        <v>43860</v>
      </c>
    </row>
    <row r="4404" spans="1:20" x14ac:dyDescent="0.3">
      <c r="A4404" s="42">
        <v>43864</v>
      </c>
      <c r="B4404" s="37">
        <f t="shared" si="135"/>
        <v>20200203</v>
      </c>
      <c r="C4404" s="109">
        <v>1.38E-2</v>
      </c>
      <c r="D4404" s="109">
        <v>1.0999999999999999E-2</v>
      </c>
      <c r="E4404" s="109">
        <v>1.2E-2</v>
      </c>
      <c r="F4404" s="109">
        <v>1.2E-2</v>
      </c>
      <c r="G4404" s="130">
        <v>0</v>
      </c>
      <c r="H4404" s="71">
        <v>8.6</v>
      </c>
      <c r="I4404" s="71">
        <v>11.2</v>
      </c>
      <c r="J4404" s="71">
        <v>13.7</v>
      </c>
      <c r="K4404" s="121">
        <v>1.1999999999999999E-3</v>
      </c>
      <c r="L4404" s="121">
        <v>-7.0000000000000001E-3</v>
      </c>
      <c r="M4404" s="75" t="s">
        <v>146</v>
      </c>
      <c r="N4404" s="75" t="b">
        <v>1</v>
      </c>
      <c r="O4404" s="75" t="s">
        <v>145</v>
      </c>
      <c r="P4404" s="75">
        <v>2014</v>
      </c>
      <c r="Q4404" s="107">
        <f t="shared" si="136"/>
        <v>2020</v>
      </c>
      <c r="R4404" s="107">
        <v>2</v>
      </c>
      <c r="S4404" s="43">
        <v>220016</v>
      </c>
      <c r="T4404" s="74">
        <v>43860</v>
      </c>
    </row>
    <row r="4405" spans="1:20" x14ac:dyDescent="0.3">
      <c r="A4405" s="42">
        <v>43865</v>
      </c>
      <c r="B4405" s="37">
        <f t="shared" si="135"/>
        <v>20200204</v>
      </c>
      <c r="C4405" s="109">
        <v>1.43E-2</v>
      </c>
      <c r="D4405" s="109">
        <v>1.0999999999999999E-2</v>
      </c>
      <c r="E4405" s="109">
        <v>1.2E-2</v>
      </c>
      <c r="F4405" s="109">
        <v>1.2E-2</v>
      </c>
      <c r="G4405" s="130">
        <v>0</v>
      </c>
      <c r="H4405" s="71">
        <v>8.6</v>
      </c>
      <c r="I4405" s="71">
        <v>11.2</v>
      </c>
      <c r="J4405" s="71">
        <v>13.7</v>
      </c>
      <c r="K4405" s="121">
        <v>1.6000000000000001E-3</v>
      </c>
      <c r="L4405" s="121">
        <v>-7.0000000000000001E-3</v>
      </c>
      <c r="M4405" s="75" t="s">
        <v>146</v>
      </c>
      <c r="N4405" s="75" t="b">
        <v>1</v>
      </c>
      <c r="O4405" s="75" t="s">
        <v>145</v>
      </c>
      <c r="P4405" s="75">
        <v>2014</v>
      </c>
      <c r="Q4405" s="107">
        <f t="shared" si="136"/>
        <v>2020</v>
      </c>
      <c r="R4405" s="107">
        <v>2</v>
      </c>
      <c r="S4405" s="43">
        <v>220016</v>
      </c>
      <c r="T4405" s="74">
        <v>43860</v>
      </c>
    </row>
    <row r="4406" spans="1:20" x14ac:dyDescent="0.3">
      <c r="A4406" s="42">
        <v>43866</v>
      </c>
      <c r="B4406" s="37">
        <f t="shared" si="135"/>
        <v>20200205</v>
      </c>
      <c r="C4406" s="109">
        <v>1.4800000000000001E-2</v>
      </c>
      <c r="D4406" s="109">
        <v>1.0999999999999999E-2</v>
      </c>
      <c r="E4406" s="109">
        <v>1.2E-2</v>
      </c>
      <c r="F4406" s="109">
        <v>1.2E-2</v>
      </c>
      <c r="G4406" s="130">
        <v>0</v>
      </c>
      <c r="H4406" s="71">
        <v>8.6</v>
      </c>
      <c r="I4406" s="71">
        <v>11.2</v>
      </c>
      <c r="J4406" s="71">
        <v>13.7</v>
      </c>
      <c r="K4406" s="121">
        <v>1.9E-3</v>
      </c>
      <c r="L4406" s="121">
        <v>-7.0000000000000001E-3</v>
      </c>
      <c r="M4406" s="75" t="s">
        <v>146</v>
      </c>
      <c r="N4406" s="75" t="b">
        <v>1</v>
      </c>
      <c r="O4406" s="75" t="s">
        <v>145</v>
      </c>
      <c r="P4406" s="75">
        <v>2014</v>
      </c>
      <c r="Q4406" s="107">
        <f t="shared" si="136"/>
        <v>2020</v>
      </c>
      <c r="R4406" s="107">
        <v>2</v>
      </c>
      <c r="S4406" s="43">
        <v>220016</v>
      </c>
      <c r="T4406" s="74">
        <v>43860</v>
      </c>
    </row>
    <row r="4407" spans="1:20" x14ac:dyDescent="0.3">
      <c r="A4407" s="42">
        <v>43867</v>
      </c>
      <c r="B4407" s="37">
        <f t="shared" si="135"/>
        <v>20200206</v>
      </c>
      <c r="C4407" s="109">
        <v>1.46E-2</v>
      </c>
      <c r="D4407" s="109">
        <v>1.0999999999999999E-2</v>
      </c>
      <c r="E4407" s="109">
        <v>1.2E-2</v>
      </c>
      <c r="F4407" s="109">
        <v>1.2E-2</v>
      </c>
      <c r="G4407" s="130">
        <v>0</v>
      </c>
      <c r="H4407" s="71">
        <v>8.6</v>
      </c>
      <c r="I4407" s="71">
        <v>11.2</v>
      </c>
      <c r="J4407" s="71">
        <v>13.7</v>
      </c>
      <c r="K4407" s="121">
        <v>1.5E-3</v>
      </c>
      <c r="L4407" s="121">
        <v>-7.0000000000000001E-3</v>
      </c>
      <c r="M4407" s="75" t="s">
        <v>146</v>
      </c>
      <c r="N4407" s="75" t="b">
        <v>1</v>
      </c>
      <c r="O4407" s="75" t="s">
        <v>145</v>
      </c>
      <c r="P4407" s="75">
        <v>2014</v>
      </c>
      <c r="Q4407" s="107">
        <f t="shared" si="136"/>
        <v>2020</v>
      </c>
      <c r="R4407" s="107">
        <v>2</v>
      </c>
      <c r="S4407" s="43">
        <v>220016</v>
      </c>
      <c r="T4407" s="74">
        <v>43860</v>
      </c>
    </row>
    <row r="4408" spans="1:20" x14ac:dyDescent="0.3">
      <c r="A4408" s="42">
        <v>43868</v>
      </c>
      <c r="B4408" s="37">
        <f t="shared" si="135"/>
        <v>20200207</v>
      </c>
      <c r="C4408" s="109">
        <v>1.41E-2</v>
      </c>
      <c r="D4408" s="109">
        <v>1.0999999999999999E-2</v>
      </c>
      <c r="E4408" s="109">
        <v>1.2E-2</v>
      </c>
      <c r="F4408" s="109">
        <v>1.2E-2</v>
      </c>
      <c r="G4408" s="130">
        <v>0</v>
      </c>
      <c r="H4408" s="71">
        <v>8.6</v>
      </c>
      <c r="I4408" s="71">
        <v>11.2</v>
      </c>
      <c r="J4408" s="71">
        <v>13.7</v>
      </c>
      <c r="K4408" s="121">
        <v>1.1000000000000001E-3</v>
      </c>
      <c r="L4408" s="121">
        <v>-7.0000000000000001E-3</v>
      </c>
      <c r="M4408" s="75" t="s">
        <v>146</v>
      </c>
      <c r="N4408" s="75" t="b">
        <v>1</v>
      </c>
      <c r="O4408" s="75" t="s">
        <v>145</v>
      </c>
      <c r="P4408" s="75">
        <v>2014</v>
      </c>
      <c r="Q4408" s="107">
        <f t="shared" si="136"/>
        <v>2020</v>
      </c>
      <c r="R4408" s="107">
        <v>2</v>
      </c>
      <c r="S4408" s="43">
        <v>220016</v>
      </c>
      <c r="T4408" s="74">
        <v>43860</v>
      </c>
    </row>
    <row r="4409" spans="1:20" x14ac:dyDescent="0.3">
      <c r="A4409" s="42">
        <v>43869</v>
      </c>
      <c r="B4409" s="37">
        <f>YEAR(A4409)*10000+MONTH(A4409)*100+DAY(A4409)</f>
        <v>20200208</v>
      </c>
      <c r="C4409" s="109">
        <v>1.41E-2</v>
      </c>
      <c r="D4409" s="109">
        <v>1.0999999999999999E-2</v>
      </c>
      <c r="E4409" s="109">
        <v>1.2E-2</v>
      </c>
      <c r="F4409" s="109">
        <v>1.2E-2</v>
      </c>
      <c r="G4409" s="130">
        <v>0</v>
      </c>
      <c r="H4409" s="71">
        <v>8.6</v>
      </c>
      <c r="I4409" s="71">
        <v>11.2</v>
      </c>
      <c r="J4409" s="71">
        <v>13.7</v>
      </c>
      <c r="K4409" s="121">
        <v>1.1000000000000001E-3</v>
      </c>
      <c r="L4409" s="121">
        <v>-7.0000000000000001E-3</v>
      </c>
      <c r="M4409" s="75" t="s">
        <v>146</v>
      </c>
      <c r="N4409" s="75" t="b">
        <v>1</v>
      </c>
      <c r="O4409" s="75" t="s">
        <v>145</v>
      </c>
      <c r="P4409" s="75">
        <v>2014</v>
      </c>
      <c r="Q4409" s="107">
        <f t="shared" si="136"/>
        <v>2020</v>
      </c>
      <c r="R4409" s="107">
        <v>2</v>
      </c>
      <c r="S4409" s="43">
        <v>220016</v>
      </c>
      <c r="T4409" s="74">
        <v>43860</v>
      </c>
    </row>
    <row r="4410" spans="1:20" x14ac:dyDescent="0.3">
      <c r="A4410" s="42">
        <v>43870</v>
      </c>
      <c r="B4410" s="37">
        <f>YEAR(A4410)*10000+MONTH(A4410)*100+DAY(A4410)</f>
        <v>20200209</v>
      </c>
      <c r="C4410" s="109">
        <v>1.41E-2</v>
      </c>
      <c r="D4410" s="109">
        <v>1.0999999999999999E-2</v>
      </c>
      <c r="E4410" s="109">
        <v>1.2E-2</v>
      </c>
      <c r="F4410" s="109">
        <v>1.2E-2</v>
      </c>
      <c r="G4410" s="130">
        <v>0</v>
      </c>
      <c r="H4410" s="71">
        <v>8.6</v>
      </c>
      <c r="I4410" s="71">
        <v>11.2</v>
      </c>
      <c r="J4410" s="71">
        <v>13.7</v>
      </c>
      <c r="K4410" s="121">
        <v>1.1000000000000001E-3</v>
      </c>
      <c r="L4410" s="121">
        <v>-7.0000000000000001E-3</v>
      </c>
      <c r="M4410" s="75" t="s">
        <v>146</v>
      </c>
      <c r="N4410" s="75" t="b">
        <v>1</v>
      </c>
      <c r="O4410" s="75" t="s">
        <v>145</v>
      </c>
      <c r="P4410" s="75">
        <v>2014</v>
      </c>
      <c r="Q4410" s="107">
        <f t="shared" si="136"/>
        <v>2020</v>
      </c>
      <c r="R4410" s="107">
        <v>2</v>
      </c>
      <c r="S4410" s="43">
        <v>220016</v>
      </c>
      <c r="T4410" s="74">
        <v>43860</v>
      </c>
    </row>
    <row r="4411" spans="1:20" x14ac:dyDescent="0.3">
      <c r="A4411" s="42">
        <v>43871</v>
      </c>
      <c r="B4411" s="37">
        <f t="shared" si="135"/>
        <v>20200210</v>
      </c>
      <c r="C4411" s="109">
        <v>1.3899999999999999E-2</v>
      </c>
      <c r="D4411" s="109">
        <v>1.0999999999999999E-2</v>
      </c>
      <c r="E4411" s="109">
        <v>1.2E-2</v>
      </c>
      <c r="F4411" s="109">
        <v>1.2E-2</v>
      </c>
      <c r="G4411" s="130">
        <v>0</v>
      </c>
      <c r="H4411" s="71">
        <v>8.6</v>
      </c>
      <c r="I4411" s="71">
        <v>11.2</v>
      </c>
      <c r="J4411" s="71">
        <v>13.7</v>
      </c>
      <c r="K4411" s="121">
        <v>1E-3</v>
      </c>
      <c r="L4411" s="121">
        <v>-7.0000000000000001E-3</v>
      </c>
      <c r="M4411" s="75" t="s">
        <v>146</v>
      </c>
      <c r="N4411" s="75" t="b">
        <v>1</v>
      </c>
      <c r="O4411" s="75" t="s">
        <v>145</v>
      </c>
      <c r="P4411" s="75">
        <v>2014</v>
      </c>
      <c r="Q4411" s="107">
        <f t="shared" si="136"/>
        <v>2020</v>
      </c>
      <c r="R4411" s="107">
        <v>2</v>
      </c>
      <c r="S4411" s="43">
        <v>220016</v>
      </c>
      <c r="T4411" s="74">
        <v>43860</v>
      </c>
    </row>
    <row r="4412" spans="1:20" x14ac:dyDescent="0.3">
      <c r="A4412" s="42">
        <v>43872</v>
      </c>
      <c r="B4412" s="37">
        <f t="shared" si="135"/>
        <v>20200211</v>
      </c>
      <c r="C4412" s="109">
        <v>1.44E-2</v>
      </c>
      <c r="D4412" s="109">
        <v>1.0999999999999999E-2</v>
      </c>
      <c r="E4412" s="109">
        <v>1.2E-2</v>
      </c>
      <c r="F4412" s="109">
        <v>1.2E-2</v>
      </c>
      <c r="G4412" s="130">
        <v>0</v>
      </c>
      <c r="H4412" s="71">
        <v>8.6</v>
      </c>
      <c r="I4412" s="71">
        <v>11.2</v>
      </c>
      <c r="J4412" s="71">
        <v>13.7</v>
      </c>
      <c r="K4412" s="121">
        <v>1.4000000000000002E-3</v>
      </c>
      <c r="L4412" s="121">
        <v>-7.0000000000000001E-3</v>
      </c>
      <c r="M4412" s="75" t="s">
        <v>146</v>
      </c>
      <c r="N4412" s="75" t="b">
        <v>1</v>
      </c>
      <c r="O4412" s="75" t="s">
        <v>145</v>
      </c>
      <c r="P4412" s="75">
        <v>2014</v>
      </c>
      <c r="Q4412" s="107">
        <f t="shared" si="136"/>
        <v>2020</v>
      </c>
      <c r="R4412" s="107">
        <v>2</v>
      </c>
      <c r="S4412" s="43">
        <v>220016</v>
      </c>
      <c r="T4412" s="74">
        <v>43860</v>
      </c>
    </row>
    <row r="4413" spans="1:20" x14ac:dyDescent="0.3">
      <c r="A4413" s="42">
        <v>43873</v>
      </c>
      <c r="B4413" s="37">
        <f t="shared" si="135"/>
        <v>20200212</v>
      </c>
      <c r="C4413" s="109">
        <v>1.4800000000000001E-2</v>
      </c>
      <c r="D4413" s="109">
        <v>1.0999999999999999E-2</v>
      </c>
      <c r="E4413" s="109">
        <v>1.2E-2</v>
      </c>
      <c r="F4413" s="109">
        <v>1.2E-2</v>
      </c>
      <c r="G4413" s="130">
        <v>0</v>
      </c>
      <c r="H4413" s="71">
        <v>8.6</v>
      </c>
      <c r="I4413" s="71">
        <v>11.2</v>
      </c>
      <c r="J4413" s="71">
        <v>13.7</v>
      </c>
      <c r="K4413" s="121">
        <v>1.7000000000000001E-3</v>
      </c>
      <c r="L4413" s="121">
        <v>-7.0000000000000001E-3</v>
      </c>
      <c r="M4413" s="75" t="s">
        <v>146</v>
      </c>
      <c r="N4413" s="75" t="b">
        <v>1</v>
      </c>
      <c r="O4413" s="75" t="s">
        <v>145</v>
      </c>
      <c r="P4413" s="75">
        <v>2014</v>
      </c>
      <c r="Q4413" s="107">
        <f t="shared" si="136"/>
        <v>2020</v>
      </c>
      <c r="R4413" s="107">
        <v>2</v>
      </c>
      <c r="S4413" s="43">
        <v>220016</v>
      </c>
      <c r="T4413" s="74">
        <v>43860</v>
      </c>
    </row>
    <row r="4414" spans="1:20" x14ac:dyDescent="0.3">
      <c r="A4414" s="42">
        <v>43874</v>
      </c>
      <c r="B4414" s="37">
        <f t="shared" ref="B4414:B4483" si="137">YEAR(A4414)*10000+MONTH(A4414)*100+DAY(A4414)</f>
        <v>20200213</v>
      </c>
      <c r="C4414" s="109">
        <v>1.4800000000000001E-2</v>
      </c>
      <c r="D4414" s="109">
        <v>1.0999999999999999E-2</v>
      </c>
      <c r="E4414" s="109">
        <v>1.2E-2</v>
      </c>
      <c r="F4414" s="109">
        <v>1.2E-2</v>
      </c>
      <c r="G4414" s="130">
        <v>0</v>
      </c>
      <c r="H4414" s="71">
        <v>8.6</v>
      </c>
      <c r="I4414" s="71">
        <v>11.2</v>
      </c>
      <c r="J4414" s="71">
        <v>13.7</v>
      </c>
      <c r="K4414" s="121">
        <v>1.7000000000000001E-3</v>
      </c>
      <c r="L4414" s="121">
        <v>-7.0000000000000001E-3</v>
      </c>
      <c r="M4414" s="75" t="s">
        <v>146</v>
      </c>
      <c r="N4414" s="75" t="b">
        <v>1</v>
      </c>
      <c r="O4414" s="75" t="s">
        <v>145</v>
      </c>
      <c r="P4414" s="75">
        <v>2014</v>
      </c>
      <c r="Q4414" s="107">
        <f t="shared" si="136"/>
        <v>2020</v>
      </c>
      <c r="R4414" s="107">
        <v>2</v>
      </c>
      <c r="S4414" s="43">
        <v>220016</v>
      </c>
      <c r="T4414" s="74">
        <v>43860</v>
      </c>
    </row>
    <row r="4415" spans="1:20" x14ac:dyDescent="0.3">
      <c r="A4415" s="42">
        <v>43875</v>
      </c>
      <c r="B4415" s="37">
        <f t="shared" si="137"/>
        <v>20200214</v>
      </c>
      <c r="C4415" s="109">
        <v>1.46E-2</v>
      </c>
      <c r="D4415" s="109">
        <v>1.0999999999999999E-2</v>
      </c>
      <c r="E4415" s="109">
        <v>1.2E-2</v>
      </c>
      <c r="F4415" s="109">
        <v>1.2E-2</v>
      </c>
      <c r="G4415" s="130">
        <v>0</v>
      </c>
      <c r="H4415" s="71">
        <v>8.6</v>
      </c>
      <c r="I4415" s="71">
        <v>11.2</v>
      </c>
      <c r="J4415" s="71">
        <v>13.7</v>
      </c>
      <c r="K4415" s="121">
        <v>1.5E-3</v>
      </c>
      <c r="L4415" s="121">
        <v>-7.0000000000000001E-3</v>
      </c>
      <c r="M4415" s="75" t="s">
        <v>146</v>
      </c>
      <c r="N4415" s="75" t="b">
        <v>1</v>
      </c>
      <c r="O4415" s="75" t="s">
        <v>145</v>
      </c>
      <c r="P4415" s="75">
        <v>2014</v>
      </c>
      <c r="Q4415" s="107">
        <f t="shared" si="136"/>
        <v>2020</v>
      </c>
      <c r="R4415" s="107">
        <v>2</v>
      </c>
      <c r="S4415" s="43">
        <v>220016</v>
      </c>
      <c r="T4415" s="74">
        <v>43860</v>
      </c>
    </row>
    <row r="4416" spans="1:20" x14ac:dyDescent="0.3">
      <c r="A4416" s="42">
        <v>43876</v>
      </c>
      <c r="B4416" s="37">
        <f>YEAR(A4416)*10000+MONTH(A4416)*100+DAY(A4416)</f>
        <v>20200215</v>
      </c>
      <c r="C4416" s="109">
        <v>1.46E-2</v>
      </c>
      <c r="D4416" s="109">
        <v>1.0999999999999999E-2</v>
      </c>
      <c r="E4416" s="109">
        <v>1.2E-2</v>
      </c>
      <c r="F4416" s="109">
        <v>1.2E-2</v>
      </c>
      <c r="G4416" s="130">
        <v>0</v>
      </c>
      <c r="H4416" s="71">
        <v>8.6</v>
      </c>
      <c r="I4416" s="71">
        <v>11.2</v>
      </c>
      <c r="J4416" s="71">
        <v>13.7</v>
      </c>
      <c r="K4416" s="121">
        <v>1.5E-3</v>
      </c>
      <c r="L4416" s="121">
        <v>-7.0000000000000001E-3</v>
      </c>
      <c r="M4416" s="75" t="s">
        <v>146</v>
      </c>
      <c r="N4416" s="75" t="b">
        <v>1</v>
      </c>
      <c r="O4416" s="75" t="s">
        <v>145</v>
      </c>
      <c r="P4416" s="75">
        <v>2014</v>
      </c>
      <c r="Q4416" s="107">
        <f t="shared" si="136"/>
        <v>2020</v>
      </c>
      <c r="R4416" s="107">
        <v>2</v>
      </c>
      <c r="S4416" s="43">
        <v>220016</v>
      </c>
      <c r="T4416" s="74">
        <v>43860</v>
      </c>
    </row>
    <row r="4417" spans="1:20" x14ac:dyDescent="0.3">
      <c r="A4417" s="42">
        <v>43877</v>
      </c>
      <c r="B4417" s="37">
        <f>YEAR(A4417)*10000+MONTH(A4417)*100+DAY(A4417)</f>
        <v>20200216</v>
      </c>
      <c r="C4417" s="109">
        <v>1.46E-2</v>
      </c>
      <c r="D4417" s="109">
        <v>1.0999999999999999E-2</v>
      </c>
      <c r="E4417" s="109">
        <v>1.2E-2</v>
      </c>
      <c r="F4417" s="109">
        <v>1.2E-2</v>
      </c>
      <c r="G4417" s="130">
        <v>0</v>
      </c>
      <c r="H4417" s="71">
        <v>8.6</v>
      </c>
      <c r="I4417" s="71">
        <v>11.2</v>
      </c>
      <c r="J4417" s="71">
        <v>13.7</v>
      </c>
      <c r="K4417" s="121">
        <v>1.5E-3</v>
      </c>
      <c r="L4417" s="121">
        <v>-7.0000000000000001E-3</v>
      </c>
      <c r="M4417" s="75" t="s">
        <v>146</v>
      </c>
      <c r="N4417" s="75" t="b">
        <v>1</v>
      </c>
      <c r="O4417" s="75" t="s">
        <v>145</v>
      </c>
      <c r="P4417" s="75">
        <v>2014</v>
      </c>
      <c r="Q4417" s="107">
        <f t="shared" si="136"/>
        <v>2020</v>
      </c>
      <c r="R4417" s="107">
        <v>2</v>
      </c>
      <c r="S4417" s="43">
        <v>220016</v>
      </c>
      <c r="T4417" s="74">
        <v>43860</v>
      </c>
    </row>
    <row r="4418" spans="1:20" x14ac:dyDescent="0.3">
      <c r="A4418" s="42">
        <v>43878</v>
      </c>
      <c r="B4418" s="37">
        <f t="shared" si="137"/>
        <v>20200217</v>
      </c>
      <c r="C4418" s="109">
        <v>1.46E-2</v>
      </c>
      <c r="D4418" s="109">
        <v>1.0999999999999999E-2</v>
      </c>
      <c r="E4418" s="109">
        <v>1.2E-2</v>
      </c>
      <c r="F4418" s="109">
        <v>1.2E-2</v>
      </c>
      <c r="G4418" s="130">
        <v>0</v>
      </c>
      <c r="H4418" s="71">
        <v>8.6</v>
      </c>
      <c r="I4418" s="71">
        <v>11.2</v>
      </c>
      <c r="J4418" s="71">
        <v>13.7</v>
      </c>
      <c r="K4418" s="121">
        <v>1.5E-3</v>
      </c>
      <c r="L4418" s="121">
        <v>-7.0000000000000001E-3</v>
      </c>
      <c r="M4418" s="75" t="s">
        <v>146</v>
      </c>
      <c r="N4418" s="75" t="b">
        <v>1</v>
      </c>
      <c r="O4418" s="75" t="s">
        <v>145</v>
      </c>
      <c r="P4418" s="75">
        <v>2014</v>
      </c>
      <c r="Q4418" s="107">
        <f t="shared" si="136"/>
        <v>2020</v>
      </c>
      <c r="R4418" s="107">
        <v>2</v>
      </c>
      <c r="S4418" s="43">
        <v>220016</v>
      </c>
      <c r="T4418" s="74">
        <v>43860</v>
      </c>
    </row>
    <row r="4419" spans="1:20" x14ac:dyDescent="0.3">
      <c r="A4419" s="42">
        <v>43879</v>
      </c>
      <c r="B4419" s="37">
        <f t="shared" si="137"/>
        <v>20200218</v>
      </c>
      <c r="C4419" s="109">
        <v>1.4199999999999999E-2</v>
      </c>
      <c r="D4419" s="109">
        <v>1.0999999999999999E-2</v>
      </c>
      <c r="E4419" s="109">
        <v>1.2E-2</v>
      </c>
      <c r="F4419" s="109">
        <v>1.2E-2</v>
      </c>
      <c r="G4419" s="130">
        <v>0</v>
      </c>
      <c r="H4419" s="71">
        <v>8.6</v>
      </c>
      <c r="I4419" s="71">
        <v>11.2</v>
      </c>
      <c r="J4419" s="71">
        <v>13.7</v>
      </c>
      <c r="K4419" s="121">
        <v>1.1999999999999999E-3</v>
      </c>
      <c r="L4419" s="121">
        <v>-7.0000000000000001E-3</v>
      </c>
      <c r="M4419" s="75" t="s">
        <v>146</v>
      </c>
      <c r="N4419" s="75" t="b">
        <v>1</v>
      </c>
      <c r="O4419" s="75" t="s">
        <v>145</v>
      </c>
      <c r="P4419" s="75">
        <v>2014</v>
      </c>
      <c r="Q4419" s="107">
        <f t="shared" si="136"/>
        <v>2020</v>
      </c>
      <c r="R4419" s="107">
        <v>2</v>
      </c>
      <c r="S4419" s="43">
        <v>220016</v>
      </c>
      <c r="T4419" s="74">
        <v>43860</v>
      </c>
    </row>
    <row r="4420" spans="1:20" x14ac:dyDescent="0.3">
      <c r="A4420" s="42">
        <v>43880</v>
      </c>
      <c r="B4420" s="37">
        <f t="shared" si="137"/>
        <v>20200219</v>
      </c>
      <c r="C4420" s="109">
        <v>1.44E-2</v>
      </c>
      <c r="D4420" s="109">
        <v>1.0999999999999999E-2</v>
      </c>
      <c r="E4420" s="109">
        <v>1.2E-2</v>
      </c>
      <c r="F4420" s="109">
        <v>1.2E-2</v>
      </c>
      <c r="G4420" s="130">
        <v>0</v>
      </c>
      <c r="H4420" s="71">
        <v>8.6</v>
      </c>
      <c r="I4420" s="71">
        <v>11.2</v>
      </c>
      <c r="J4420" s="71">
        <v>13.7</v>
      </c>
      <c r="K4420" s="121">
        <v>1.2999999999999999E-3</v>
      </c>
      <c r="L4420" s="121">
        <v>-7.0000000000000001E-3</v>
      </c>
      <c r="M4420" s="75" t="s">
        <v>146</v>
      </c>
      <c r="N4420" s="75" t="b">
        <v>1</v>
      </c>
      <c r="O4420" s="75" t="s">
        <v>145</v>
      </c>
      <c r="P4420" s="75">
        <v>2014</v>
      </c>
      <c r="Q4420" s="107">
        <f t="shared" si="136"/>
        <v>2020</v>
      </c>
      <c r="R4420" s="107">
        <v>2</v>
      </c>
      <c r="S4420" s="43">
        <v>220016</v>
      </c>
      <c r="T4420" s="74">
        <v>43860</v>
      </c>
    </row>
    <row r="4421" spans="1:20" x14ac:dyDescent="0.3">
      <c r="A4421" s="42">
        <v>43881</v>
      </c>
      <c r="B4421" s="37">
        <f t="shared" si="137"/>
        <v>20200220</v>
      </c>
      <c r="C4421" s="109">
        <v>1.3999999999999999E-2</v>
      </c>
      <c r="D4421" s="109">
        <v>1.0999999999999999E-2</v>
      </c>
      <c r="E4421" s="109">
        <v>1.2E-2</v>
      </c>
      <c r="F4421" s="109">
        <v>1.2E-2</v>
      </c>
      <c r="G4421" s="130">
        <v>0</v>
      </c>
      <c r="H4421" s="71">
        <v>8.6</v>
      </c>
      <c r="I4421" s="71">
        <v>11.2</v>
      </c>
      <c r="J4421" s="71">
        <v>13.7</v>
      </c>
      <c r="K4421" s="121">
        <v>8.9999999999999998E-4</v>
      </c>
      <c r="L4421" s="121">
        <v>-7.0000000000000001E-3</v>
      </c>
      <c r="M4421" s="75" t="s">
        <v>146</v>
      </c>
      <c r="N4421" s="75" t="b">
        <v>1</v>
      </c>
      <c r="O4421" s="75" t="s">
        <v>145</v>
      </c>
      <c r="P4421" s="75">
        <v>2014</v>
      </c>
      <c r="Q4421" s="107">
        <f t="shared" si="136"/>
        <v>2020</v>
      </c>
      <c r="R4421" s="107">
        <v>2</v>
      </c>
      <c r="S4421" s="43">
        <v>220016</v>
      </c>
      <c r="T4421" s="74">
        <v>43860</v>
      </c>
    </row>
    <row r="4422" spans="1:20" x14ac:dyDescent="0.3">
      <c r="A4422" s="42">
        <v>43882</v>
      </c>
      <c r="B4422" s="37">
        <f t="shared" si="137"/>
        <v>20200221</v>
      </c>
      <c r="C4422" s="109">
        <v>1.3600000000000001E-2</v>
      </c>
      <c r="D4422" s="109">
        <v>1.0999999999999999E-2</v>
      </c>
      <c r="E4422" s="109">
        <v>1.2E-2</v>
      </c>
      <c r="F4422" s="109">
        <v>1.2E-2</v>
      </c>
      <c r="G4422" s="130">
        <v>0</v>
      </c>
      <c r="H4422" s="71">
        <v>8.6</v>
      </c>
      <c r="I4422" s="71">
        <v>11.2</v>
      </c>
      <c r="J4422" s="71">
        <v>13.7</v>
      </c>
      <c r="K4422" s="121">
        <v>5.9999999999999995E-4</v>
      </c>
      <c r="L4422" s="121">
        <v>-7.0000000000000001E-3</v>
      </c>
      <c r="M4422" s="75" t="s">
        <v>146</v>
      </c>
      <c r="N4422" s="75" t="b">
        <v>1</v>
      </c>
      <c r="O4422" s="75" t="s">
        <v>145</v>
      </c>
      <c r="P4422" s="75">
        <v>2014</v>
      </c>
      <c r="Q4422" s="107">
        <f t="shared" si="136"/>
        <v>2020</v>
      </c>
      <c r="R4422" s="107">
        <v>2</v>
      </c>
      <c r="S4422" s="43">
        <v>220016</v>
      </c>
      <c r="T4422" s="74">
        <v>43860</v>
      </c>
    </row>
    <row r="4423" spans="1:20" x14ac:dyDescent="0.3">
      <c r="A4423" s="42">
        <v>43883</v>
      </c>
      <c r="B4423" s="37">
        <f>YEAR(A4423)*10000+MONTH(A4423)*100+DAY(A4423)</f>
        <v>20200222</v>
      </c>
      <c r="C4423" s="109">
        <v>1.3600000000000001E-2</v>
      </c>
      <c r="D4423" s="109">
        <v>1.0999999999999999E-2</v>
      </c>
      <c r="E4423" s="109">
        <v>1.2E-2</v>
      </c>
      <c r="F4423" s="109">
        <v>1.2E-2</v>
      </c>
      <c r="G4423" s="130">
        <v>0</v>
      </c>
      <c r="H4423" s="71">
        <v>8.6</v>
      </c>
      <c r="I4423" s="71">
        <v>11.2</v>
      </c>
      <c r="J4423" s="71">
        <v>13.7</v>
      </c>
      <c r="K4423" s="121">
        <v>5.9999999999999995E-4</v>
      </c>
      <c r="L4423" s="121">
        <v>-7.0000000000000001E-3</v>
      </c>
      <c r="M4423" s="75" t="s">
        <v>146</v>
      </c>
      <c r="N4423" s="75" t="b">
        <v>1</v>
      </c>
      <c r="O4423" s="75" t="s">
        <v>145</v>
      </c>
      <c r="P4423" s="75">
        <v>2014</v>
      </c>
      <c r="Q4423" s="107">
        <f t="shared" si="136"/>
        <v>2020</v>
      </c>
      <c r="R4423" s="107">
        <v>2</v>
      </c>
      <c r="S4423" s="43">
        <v>220016</v>
      </c>
      <c r="T4423" s="74">
        <v>43860</v>
      </c>
    </row>
    <row r="4424" spans="1:20" x14ac:dyDescent="0.3">
      <c r="A4424" s="42">
        <v>43884</v>
      </c>
      <c r="B4424" s="37">
        <f>YEAR(A4424)*10000+MONTH(A4424)*100+DAY(A4424)</f>
        <v>20200223</v>
      </c>
      <c r="C4424" s="109">
        <v>1.3600000000000001E-2</v>
      </c>
      <c r="D4424" s="109">
        <v>1.0999999999999999E-2</v>
      </c>
      <c r="E4424" s="109">
        <v>1.2E-2</v>
      </c>
      <c r="F4424" s="109">
        <v>1.2E-2</v>
      </c>
      <c r="G4424" s="130">
        <v>0</v>
      </c>
      <c r="H4424" s="71">
        <v>8.6</v>
      </c>
      <c r="I4424" s="71">
        <v>11.2</v>
      </c>
      <c r="J4424" s="71">
        <v>13.7</v>
      </c>
      <c r="K4424" s="121">
        <v>5.9999999999999995E-4</v>
      </c>
      <c r="L4424" s="121">
        <v>-7.0000000000000001E-3</v>
      </c>
      <c r="M4424" s="75" t="s">
        <v>146</v>
      </c>
      <c r="N4424" s="75" t="b">
        <v>1</v>
      </c>
      <c r="O4424" s="75" t="s">
        <v>145</v>
      </c>
      <c r="P4424" s="75">
        <v>2014</v>
      </c>
      <c r="Q4424" s="107">
        <f t="shared" si="136"/>
        <v>2020</v>
      </c>
      <c r="R4424" s="107">
        <v>2</v>
      </c>
      <c r="S4424" s="43">
        <v>220016</v>
      </c>
      <c r="T4424" s="74">
        <v>43860</v>
      </c>
    </row>
    <row r="4425" spans="1:20" x14ac:dyDescent="0.3">
      <c r="A4425" s="42">
        <v>43885</v>
      </c>
      <c r="B4425" s="37">
        <f t="shared" si="137"/>
        <v>20200224</v>
      </c>
      <c r="C4425" s="109">
        <v>1.29E-2</v>
      </c>
      <c r="D4425" s="109">
        <v>1.0999999999999999E-2</v>
      </c>
      <c r="E4425" s="109">
        <v>1.2E-2</v>
      </c>
      <c r="F4425" s="109">
        <v>1.2E-2</v>
      </c>
      <c r="G4425" s="130">
        <v>0</v>
      </c>
      <c r="H4425" s="71">
        <v>8.6</v>
      </c>
      <c r="I4425" s="71">
        <v>11.2</v>
      </c>
      <c r="J4425" s="71">
        <v>13.7</v>
      </c>
      <c r="K4425" s="121">
        <v>2.0000000000000001E-4</v>
      </c>
      <c r="L4425" s="121">
        <v>-7.0000000000000001E-3</v>
      </c>
      <c r="M4425" s="75" t="s">
        <v>146</v>
      </c>
      <c r="N4425" s="75" t="b">
        <v>1</v>
      </c>
      <c r="O4425" s="75" t="s">
        <v>145</v>
      </c>
      <c r="P4425" s="75">
        <v>2014</v>
      </c>
      <c r="Q4425" s="107">
        <f t="shared" si="136"/>
        <v>2020</v>
      </c>
      <c r="R4425" s="107">
        <v>2</v>
      </c>
      <c r="S4425" s="43">
        <v>220016</v>
      </c>
      <c r="T4425" s="74">
        <v>43860</v>
      </c>
    </row>
    <row r="4426" spans="1:20" x14ac:dyDescent="0.3">
      <c r="A4426" s="42">
        <v>43886</v>
      </c>
      <c r="B4426" s="37">
        <f t="shared" si="137"/>
        <v>20200225</v>
      </c>
      <c r="C4426" s="109">
        <v>1.29E-2</v>
      </c>
      <c r="D4426" s="109">
        <v>1.0999999999999999E-2</v>
      </c>
      <c r="E4426" s="109">
        <v>1.2E-2</v>
      </c>
      <c r="F4426" s="109">
        <v>1.2E-2</v>
      </c>
      <c r="G4426" s="130">
        <v>0</v>
      </c>
      <c r="H4426" s="71">
        <v>8.6</v>
      </c>
      <c r="I4426" s="71">
        <v>11.2</v>
      </c>
      <c r="J4426" s="71">
        <v>13.7</v>
      </c>
      <c r="K4426" s="121">
        <v>4.0000000000000002E-4</v>
      </c>
      <c r="L4426" s="121">
        <v>-7.0000000000000001E-3</v>
      </c>
      <c r="M4426" s="75" t="s">
        <v>146</v>
      </c>
      <c r="N4426" s="75" t="b">
        <v>1</v>
      </c>
      <c r="O4426" s="75" t="s">
        <v>145</v>
      </c>
      <c r="P4426" s="75">
        <v>2014</v>
      </c>
      <c r="Q4426" s="107">
        <f t="shared" si="136"/>
        <v>2020</v>
      </c>
      <c r="R4426" s="107">
        <v>2</v>
      </c>
      <c r="S4426" s="43">
        <v>220016</v>
      </c>
      <c r="T4426" s="74">
        <v>43860</v>
      </c>
    </row>
    <row r="4427" spans="1:20" x14ac:dyDescent="0.3">
      <c r="A4427" s="42">
        <v>43887</v>
      </c>
      <c r="B4427" s="37">
        <f t="shared" si="137"/>
        <v>20200226</v>
      </c>
      <c r="C4427" s="109">
        <v>1.32E-2</v>
      </c>
      <c r="D4427" s="109">
        <v>1.0999999999999999E-2</v>
      </c>
      <c r="E4427" s="109">
        <v>1.2E-2</v>
      </c>
      <c r="F4427" s="109">
        <v>1.2E-2</v>
      </c>
      <c r="G4427" s="130">
        <v>0</v>
      </c>
      <c r="H4427" s="71">
        <v>8.6</v>
      </c>
      <c r="I4427" s="71">
        <v>11.2</v>
      </c>
      <c r="J4427" s="71">
        <v>13.7</v>
      </c>
      <c r="K4427" s="121">
        <v>8.0000000000000004E-4</v>
      </c>
      <c r="L4427" s="121">
        <v>-7.0000000000000001E-3</v>
      </c>
      <c r="M4427" s="75" t="s">
        <v>146</v>
      </c>
      <c r="N4427" s="75" t="b">
        <v>1</v>
      </c>
      <c r="O4427" s="75" t="s">
        <v>145</v>
      </c>
      <c r="P4427" s="75">
        <v>2014</v>
      </c>
      <c r="Q4427" s="107">
        <f t="shared" si="136"/>
        <v>2020</v>
      </c>
      <c r="R4427" s="107">
        <v>2</v>
      </c>
      <c r="S4427" s="43">
        <v>220016</v>
      </c>
      <c r="T4427" s="74">
        <v>43860</v>
      </c>
    </row>
    <row r="4428" spans="1:20" x14ac:dyDescent="0.3">
      <c r="A4428" s="42">
        <v>43888</v>
      </c>
      <c r="B4428" s="37">
        <f t="shared" si="137"/>
        <v>20200227</v>
      </c>
      <c r="C4428" s="109">
        <v>1.2800000000000001E-2</v>
      </c>
      <c r="D4428" s="109">
        <v>1.0999999999999999E-2</v>
      </c>
      <c r="E4428" s="109">
        <v>1.2E-2</v>
      </c>
      <c r="F4428" s="109">
        <v>1.2E-2</v>
      </c>
      <c r="G4428" s="130">
        <v>0</v>
      </c>
      <c r="H4428" s="71">
        <v>8.6</v>
      </c>
      <c r="I4428" s="71">
        <v>11.2</v>
      </c>
      <c r="J4428" s="71">
        <v>13.7</v>
      </c>
      <c r="K4428" s="121">
        <v>5.9999999999999995E-4</v>
      </c>
      <c r="L4428" s="121">
        <v>-7.0000000000000001E-3</v>
      </c>
      <c r="M4428" s="75" t="s">
        <v>146</v>
      </c>
      <c r="N4428" s="75" t="b">
        <v>1</v>
      </c>
      <c r="O4428" s="75" t="s">
        <v>145</v>
      </c>
      <c r="P4428" s="75">
        <v>2014</v>
      </c>
      <c r="Q4428" s="107">
        <f t="shared" si="136"/>
        <v>2020</v>
      </c>
      <c r="R4428" s="107">
        <v>2</v>
      </c>
      <c r="S4428" s="43">
        <v>220016</v>
      </c>
      <c r="T4428" s="74">
        <v>43860</v>
      </c>
    </row>
    <row r="4429" spans="1:20" x14ac:dyDescent="0.3">
      <c r="A4429" s="42">
        <v>43889</v>
      </c>
      <c r="B4429" s="37">
        <f t="shared" si="137"/>
        <v>20200228</v>
      </c>
      <c r="C4429" s="109">
        <v>1.26E-2</v>
      </c>
      <c r="D4429" s="109">
        <v>1.0999999999999999E-2</v>
      </c>
      <c r="E4429" s="109">
        <v>1.2E-2</v>
      </c>
      <c r="F4429" s="109">
        <v>1.2E-2</v>
      </c>
      <c r="G4429" s="130">
        <v>0</v>
      </c>
      <c r="H4429" s="71">
        <v>8.6</v>
      </c>
      <c r="I4429" s="71">
        <v>11.2</v>
      </c>
      <c r="J4429" s="71">
        <v>13.7</v>
      </c>
      <c r="K4429" s="121">
        <v>8.0000000000000004E-4</v>
      </c>
      <c r="L4429" s="121">
        <v>-7.0000000000000001E-3</v>
      </c>
      <c r="M4429" s="75" t="s">
        <v>146</v>
      </c>
      <c r="N4429" s="75" t="b">
        <v>1</v>
      </c>
      <c r="O4429" s="75" t="s">
        <v>145</v>
      </c>
      <c r="P4429" s="75">
        <v>2014</v>
      </c>
      <c r="Q4429" s="107">
        <f t="shared" si="136"/>
        <v>2020</v>
      </c>
      <c r="R4429" s="107">
        <v>2</v>
      </c>
      <c r="S4429" s="43">
        <v>220016</v>
      </c>
      <c r="T4429" s="74">
        <v>43860</v>
      </c>
    </row>
    <row r="4430" spans="1:20" x14ac:dyDescent="0.3">
      <c r="A4430" s="42">
        <v>43890</v>
      </c>
      <c r="B4430" s="37">
        <f>YEAR(A4430)*10000+MONTH(A4430)*100+DAY(A4430)</f>
        <v>20200229</v>
      </c>
      <c r="C4430" s="109">
        <v>1.26E-2</v>
      </c>
      <c r="D4430" s="109">
        <v>1.0999999999999999E-2</v>
      </c>
      <c r="E4430" s="109">
        <v>1.2E-2</v>
      </c>
      <c r="F4430" s="109">
        <v>1.2E-2</v>
      </c>
      <c r="G4430" s="130">
        <v>0</v>
      </c>
      <c r="H4430" s="71">
        <v>8.6</v>
      </c>
      <c r="I4430" s="71">
        <v>11.2</v>
      </c>
      <c r="J4430" s="71">
        <v>13.7</v>
      </c>
      <c r="K4430" s="121">
        <v>8.0000000000000004E-4</v>
      </c>
      <c r="L4430" s="121">
        <v>-7.0000000000000001E-3</v>
      </c>
      <c r="M4430" s="75" t="s">
        <v>146</v>
      </c>
      <c r="N4430" s="75" t="b">
        <v>1</v>
      </c>
      <c r="O4430" s="75" t="s">
        <v>145</v>
      </c>
      <c r="P4430" s="75">
        <v>2014</v>
      </c>
      <c r="Q4430" s="107">
        <f t="shared" si="136"/>
        <v>2020</v>
      </c>
      <c r="R4430" s="107">
        <v>2</v>
      </c>
      <c r="S4430" s="43">
        <v>220016</v>
      </c>
      <c r="T4430" s="74">
        <v>43860</v>
      </c>
    </row>
    <row r="4431" spans="1:20" x14ac:dyDescent="0.3">
      <c r="A4431" s="42">
        <v>43891</v>
      </c>
      <c r="B4431" s="37">
        <f>YEAR(A4431)*10000+MONTH(A4431)*100+DAY(A4431)</f>
        <v>20200301</v>
      </c>
      <c r="C4431" s="109">
        <v>1.26E-2</v>
      </c>
      <c r="D4431" s="109">
        <v>1.0999999999999999E-2</v>
      </c>
      <c r="E4431" s="109">
        <v>1.2E-2</v>
      </c>
      <c r="F4431" s="109">
        <v>1.2E-2</v>
      </c>
      <c r="G4431" s="130">
        <v>0</v>
      </c>
      <c r="H4431" s="71">
        <v>8.6</v>
      </c>
      <c r="I4431" s="71">
        <v>11.2</v>
      </c>
      <c r="J4431" s="71">
        <v>13.7</v>
      </c>
      <c r="K4431" s="121">
        <v>8.0000000000000004E-4</v>
      </c>
      <c r="L4431" s="121">
        <v>-7.0000000000000001E-3</v>
      </c>
      <c r="M4431" s="75" t="s">
        <v>146</v>
      </c>
      <c r="N4431" s="75" t="b">
        <v>1</v>
      </c>
      <c r="O4431" s="75" t="s">
        <v>145</v>
      </c>
      <c r="P4431" s="75">
        <v>2014</v>
      </c>
      <c r="Q4431" s="107">
        <f t="shared" si="136"/>
        <v>2020</v>
      </c>
      <c r="R4431" s="107">
        <v>2</v>
      </c>
      <c r="S4431" s="43">
        <v>220016</v>
      </c>
      <c r="T4431" s="74">
        <v>43860</v>
      </c>
    </row>
    <row r="4432" spans="1:20" x14ac:dyDescent="0.3">
      <c r="A4432" s="42">
        <v>43892</v>
      </c>
      <c r="B4432" s="37">
        <f t="shared" si="137"/>
        <v>20200302</v>
      </c>
      <c r="C4432" s="109">
        <v>1.29E-2</v>
      </c>
      <c r="D4432" s="109">
        <v>1.0999999999999999E-2</v>
      </c>
      <c r="E4432" s="109">
        <v>1.2E-2</v>
      </c>
      <c r="F4432" s="109">
        <v>1.2E-2</v>
      </c>
      <c r="G4432" s="130">
        <v>0</v>
      </c>
      <c r="H4432" s="71">
        <v>8.6</v>
      </c>
      <c r="I4432" s="71">
        <v>11.2</v>
      </c>
      <c r="J4432" s="71">
        <v>13.7</v>
      </c>
      <c r="K4432" s="121">
        <v>1.5E-3</v>
      </c>
      <c r="L4432" s="121">
        <v>-7.0000000000000001E-3</v>
      </c>
      <c r="M4432" s="75" t="s">
        <v>146</v>
      </c>
      <c r="N4432" s="75" t="b">
        <v>1</v>
      </c>
      <c r="O4432" s="75" t="s">
        <v>145</v>
      </c>
      <c r="P4432" s="75">
        <v>2014</v>
      </c>
      <c r="Q4432" s="107">
        <f t="shared" si="136"/>
        <v>2020</v>
      </c>
      <c r="R4432" s="107">
        <v>2</v>
      </c>
      <c r="S4432" s="43">
        <v>220016</v>
      </c>
      <c r="T4432" s="74">
        <v>43860</v>
      </c>
    </row>
    <row r="4433" spans="1:20" x14ac:dyDescent="0.3">
      <c r="A4433" s="42">
        <v>43893</v>
      </c>
      <c r="B4433" s="37">
        <f t="shared" si="137"/>
        <v>20200303</v>
      </c>
      <c r="C4433" s="109">
        <v>1.1599999999999999E-2</v>
      </c>
      <c r="D4433" s="109">
        <v>1.0999999999999999E-2</v>
      </c>
      <c r="E4433" s="109">
        <v>1.2E-2</v>
      </c>
      <c r="F4433" s="109">
        <v>1.2E-2</v>
      </c>
      <c r="G4433" s="130">
        <v>0</v>
      </c>
      <c r="H4433" s="71">
        <v>8.6</v>
      </c>
      <c r="I4433" s="71">
        <v>11.2</v>
      </c>
      <c r="J4433" s="71">
        <v>13.7</v>
      </c>
      <c r="K4433" s="121">
        <v>2.9999999999999997E-4</v>
      </c>
      <c r="L4433" s="121">
        <v>-7.0000000000000001E-3</v>
      </c>
      <c r="M4433" s="75" t="s">
        <v>146</v>
      </c>
      <c r="N4433" s="75" t="b">
        <v>1</v>
      </c>
      <c r="O4433" s="75" t="s">
        <v>145</v>
      </c>
      <c r="P4433" s="75">
        <v>2014</v>
      </c>
      <c r="Q4433" s="107">
        <f t="shared" si="136"/>
        <v>2020</v>
      </c>
      <c r="R4433" s="107">
        <v>2</v>
      </c>
      <c r="S4433" s="43">
        <v>220016</v>
      </c>
      <c r="T4433" s="74">
        <v>43860</v>
      </c>
    </row>
    <row r="4434" spans="1:20" x14ac:dyDescent="0.3">
      <c r="A4434" s="42">
        <v>43894</v>
      </c>
      <c r="B4434" s="37">
        <f t="shared" si="137"/>
        <v>20200304</v>
      </c>
      <c r="C4434" s="109">
        <v>1.2E-2</v>
      </c>
      <c r="D4434" s="109">
        <v>1.0999999999999999E-2</v>
      </c>
      <c r="E4434" s="109">
        <v>1.2E-2</v>
      </c>
      <c r="F4434" s="109">
        <v>1.2E-2</v>
      </c>
      <c r="G4434" s="130">
        <v>0</v>
      </c>
      <c r="H4434" s="71">
        <v>8.6</v>
      </c>
      <c r="I4434" s="71">
        <v>11.2</v>
      </c>
      <c r="J4434" s="71">
        <v>13.7</v>
      </c>
      <c r="K4434" s="121">
        <v>5.0000000000000001E-4</v>
      </c>
      <c r="L4434" s="121">
        <v>-7.0000000000000001E-3</v>
      </c>
      <c r="M4434" s="75" t="s">
        <v>146</v>
      </c>
      <c r="N4434" s="75" t="b">
        <v>1</v>
      </c>
      <c r="O4434" s="75" t="s">
        <v>145</v>
      </c>
      <c r="P4434" s="75">
        <v>2014</v>
      </c>
      <c r="Q4434" s="107">
        <f t="shared" si="136"/>
        <v>2020</v>
      </c>
      <c r="R4434" s="107">
        <v>2</v>
      </c>
      <c r="S4434" s="43">
        <v>220016</v>
      </c>
      <c r="T4434" s="74">
        <v>43860</v>
      </c>
    </row>
    <row r="4435" spans="1:20" x14ac:dyDescent="0.3">
      <c r="A4435" s="42">
        <v>43895</v>
      </c>
      <c r="B4435" s="37">
        <f t="shared" si="137"/>
        <v>20200305</v>
      </c>
      <c r="C4435" s="109">
        <v>1.04E-2</v>
      </c>
      <c r="D4435" s="109">
        <v>1.0999999999999999E-2</v>
      </c>
      <c r="E4435" s="109">
        <v>1.2E-2</v>
      </c>
      <c r="F4435" s="109">
        <v>1.2E-2</v>
      </c>
      <c r="G4435" s="130">
        <v>0</v>
      </c>
      <c r="H4435" s="71">
        <v>8.6</v>
      </c>
      <c r="I4435" s="71">
        <v>11.2</v>
      </c>
      <c r="J4435" s="71">
        <v>13.7</v>
      </c>
      <c r="K4435" s="121">
        <v>-2.9999999999999997E-4</v>
      </c>
      <c r="L4435" s="121">
        <v>-7.0000000000000001E-3</v>
      </c>
      <c r="M4435" s="75" t="s">
        <v>146</v>
      </c>
      <c r="N4435" s="75" t="b">
        <v>1</v>
      </c>
      <c r="O4435" s="75" t="s">
        <v>145</v>
      </c>
      <c r="P4435" s="75">
        <v>2014</v>
      </c>
      <c r="Q4435" s="107">
        <f t="shared" si="136"/>
        <v>2020</v>
      </c>
      <c r="R4435" s="107">
        <v>2</v>
      </c>
      <c r="S4435" s="43">
        <v>220016</v>
      </c>
      <c r="T4435" s="74">
        <v>43860</v>
      </c>
    </row>
    <row r="4436" spans="1:20" x14ac:dyDescent="0.3">
      <c r="A4436" s="42">
        <v>43896</v>
      </c>
      <c r="B4436" s="37">
        <f t="shared" si="137"/>
        <v>20200306</v>
      </c>
      <c r="C4436" s="109">
        <v>5.1999999999999998E-3</v>
      </c>
      <c r="D4436" s="109">
        <v>1.0999999999999999E-2</v>
      </c>
      <c r="E4436" s="109">
        <v>1.2E-2</v>
      </c>
      <c r="F4436" s="109">
        <v>1.2E-2</v>
      </c>
      <c r="G4436" s="130">
        <v>0</v>
      </c>
      <c r="H4436" s="71">
        <v>8.6</v>
      </c>
      <c r="I4436" s="71">
        <v>11.2</v>
      </c>
      <c r="J4436" s="71">
        <v>13.7</v>
      </c>
      <c r="K4436" s="121">
        <v>-4.0000000000000002E-4</v>
      </c>
      <c r="L4436" s="121">
        <v>-7.0000000000000001E-3</v>
      </c>
      <c r="M4436" s="75" t="s">
        <v>146</v>
      </c>
      <c r="N4436" s="75" t="b">
        <v>1</v>
      </c>
      <c r="O4436" s="75" t="s">
        <v>145</v>
      </c>
      <c r="P4436" s="75">
        <v>2014</v>
      </c>
      <c r="Q4436" s="107">
        <f t="shared" si="136"/>
        <v>2020</v>
      </c>
      <c r="R4436" s="107">
        <v>2</v>
      </c>
      <c r="S4436" s="43">
        <v>220016</v>
      </c>
      <c r="T4436" s="74">
        <v>43860</v>
      </c>
    </row>
    <row r="4437" spans="1:20" x14ac:dyDescent="0.3">
      <c r="A4437" s="42">
        <v>43897</v>
      </c>
      <c r="B4437" s="37">
        <f>YEAR(A4437)*10000+MONTH(A4437)*100+DAY(A4437)</f>
        <v>20200307</v>
      </c>
      <c r="C4437" s="109">
        <v>5.1999999999999998E-3</v>
      </c>
      <c r="D4437" s="109">
        <v>1.0999999999999999E-2</v>
      </c>
      <c r="E4437" s="109">
        <v>1.2E-2</v>
      </c>
      <c r="F4437" s="109">
        <v>1.2E-2</v>
      </c>
      <c r="G4437" s="130">
        <v>0</v>
      </c>
      <c r="H4437" s="71">
        <v>8.6</v>
      </c>
      <c r="I4437" s="71">
        <v>11.2</v>
      </c>
      <c r="J4437" s="71">
        <v>13.7</v>
      </c>
      <c r="K4437" s="121">
        <v>-4.0000000000000002E-4</v>
      </c>
      <c r="L4437" s="121">
        <v>-7.0000000000000001E-3</v>
      </c>
      <c r="M4437" s="75" t="s">
        <v>146</v>
      </c>
      <c r="N4437" s="75" t="b">
        <v>1</v>
      </c>
      <c r="O4437" s="75" t="s">
        <v>145</v>
      </c>
      <c r="P4437" s="75">
        <v>2014</v>
      </c>
      <c r="Q4437" s="107">
        <f t="shared" si="136"/>
        <v>2020</v>
      </c>
      <c r="R4437" s="107">
        <v>2</v>
      </c>
      <c r="S4437" s="43">
        <v>220016</v>
      </c>
      <c r="T4437" s="74">
        <v>43860</v>
      </c>
    </row>
    <row r="4438" spans="1:20" x14ac:dyDescent="0.3">
      <c r="A4438" s="42">
        <v>43898</v>
      </c>
      <c r="B4438" s="37">
        <f>YEAR(A4438)*10000+MONTH(A4438)*100+DAY(A4438)</f>
        <v>20200308</v>
      </c>
      <c r="C4438" s="109">
        <v>5.1999999999999998E-3</v>
      </c>
      <c r="D4438" s="109">
        <v>1.0999999999999999E-2</v>
      </c>
      <c r="E4438" s="109">
        <v>1.2E-2</v>
      </c>
      <c r="F4438" s="109">
        <v>1.2E-2</v>
      </c>
      <c r="G4438" s="130">
        <v>0</v>
      </c>
      <c r="H4438" s="71">
        <v>8.6</v>
      </c>
      <c r="I4438" s="71">
        <v>11.2</v>
      </c>
      <c r="J4438" s="71">
        <v>13.7</v>
      </c>
      <c r="K4438" s="121">
        <v>-4.0000000000000002E-4</v>
      </c>
      <c r="L4438" s="121">
        <v>-7.0000000000000001E-3</v>
      </c>
      <c r="M4438" s="75" t="s">
        <v>146</v>
      </c>
      <c r="N4438" s="75" t="b">
        <v>1</v>
      </c>
      <c r="O4438" s="75" t="s">
        <v>145</v>
      </c>
      <c r="P4438" s="75">
        <v>2014</v>
      </c>
      <c r="Q4438" s="107">
        <f t="shared" si="136"/>
        <v>2020</v>
      </c>
      <c r="R4438" s="107">
        <v>2</v>
      </c>
      <c r="S4438" s="43">
        <v>220016</v>
      </c>
      <c r="T4438" s="74">
        <v>43860</v>
      </c>
    </row>
    <row r="4439" spans="1:20" x14ac:dyDescent="0.3">
      <c r="A4439" s="42">
        <v>43899</v>
      </c>
      <c r="B4439" s="37">
        <f t="shared" si="137"/>
        <v>20200309</v>
      </c>
      <c r="C4439" s="109">
        <v>6.7000000000000002E-3</v>
      </c>
      <c r="D4439" s="109">
        <v>1.0999999999999999E-2</v>
      </c>
      <c r="E4439" s="109">
        <v>1.2E-2</v>
      </c>
      <c r="F4439" s="109">
        <v>1.2E-2</v>
      </c>
      <c r="G4439" s="130">
        <v>0</v>
      </c>
      <c r="H4439" s="71">
        <v>8.6</v>
      </c>
      <c r="I4439" s="71">
        <v>11.2</v>
      </c>
      <c r="J4439" s="71">
        <v>13.7</v>
      </c>
      <c r="K4439" s="121">
        <v>-3.3E-3</v>
      </c>
      <c r="L4439" s="121">
        <v>-7.0000000000000001E-3</v>
      </c>
      <c r="M4439" s="75" t="s">
        <v>146</v>
      </c>
      <c r="N4439" s="75" t="b">
        <v>1</v>
      </c>
      <c r="O4439" s="75" t="s">
        <v>145</v>
      </c>
      <c r="P4439" s="75">
        <v>2014</v>
      </c>
      <c r="Q4439" s="107">
        <f t="shared" si="136"/>
        <v>2020</v>
      </c>
      <c r="R4439" s="107">
        <v>2</v>
      </c>
      <c r="S4439" s="43">
        <v>220016</v>
      </c>
      <c r="T4439" s="74">
        <v>43860</v>
      </c>
    </row>
    <row r="4440" spans="1:20" x14ac:dyDescent="0.3">
      <c r="A4440" s="42">
        <v>43900</v>
      </c>
      <c r="B4440" s="37">
        <f t="shared" si="137"/>
        <v>20200310</v>
      </c>
      <c r="C4440" s="109">
        <v>8.3000000000000001E-3</v>
      </c>
      <c r="D4440" s="109">
        <v>1.0999999999999999E-2</v>
      </c>
      <c r="E4440" s="109">
        <v>1.2E-2</v>
      </c>
      <c r="F4440" s="109">
        <v>1.2E-2</v>
      </c>
      <c r="G4440" s="130">
        <v>0</v>
      </c>
      <c r="H4440" s="71">
        <v>8.6</v>
      </c>
      <c r="I4440" s="71">
        <v>11.2</v>
      </c>
      <c r="J4440" s="71">
        <v>13.7</v>
      </c>
      <c r="K4440" s="121">
        <v>-5.9999999999999995E-4</v>
      </c>
      <c r="L4440" s="121">
        <v>-7.0000000000000001E-3</v>
      </c>
      <c r="M4440" s="75" t="s">
        <v>146</v>
      </c>
      <c r="N4440" s="75" t="b">
        <v>1</v>
      </c>
      <c r="O4440" s="75" t="s">
        <v>145</v>
      </c>
      <c r="P4440" s="75">
        <v>2014</v>
      </c>
      <c r="Q4440" s="107">
        <f t="shared" si="136"/>
        <v>2020</v>
      </c>
      <c r="R4440" s="107">
        <v>2</v>
      </c>
      <c r="S4440" s="43">
        <v>220016</v>
      </c>
      <c r="T4440" s="74">
        <v>43860</v>
      </c>
    </row>
    <row r="4441" spans="1:20" x14ac:dyDescent="0.3">
      <c r="A4441" s="42">
        <v>43901</v>
      </c>
      <c r="B4441" s="37">
        <f t="shared" si="137"/>
        <v>20200311</v>
      </c>
      <c r="C4441" s="109">
        <v>9.300000000000001E-3</v>
      </c>
      <c r="D4441" s="109">
        <v>1.0999999999999999E-2</v>
      </c>
      <c r="E4441" s="109">
        <v>1.2E-2</v>
      </c>
      <c r="F4441" s="109">
        <v>1.2E-2</v>
      </c>
      <c r="G4441" s="130">
        <v>0</v>
      </c>
      <c r="H4441" s="71">
        <v>8.6</v>
      </c>
      <c r="I4441" s="71">
        <v>11.2</v>
      </c>
      <c r="J4441" s="71">
        <v>13.7</v>
      </c>
      <c r="K4441" s="121">
        <v>1.2999999999999999E-3</v>
      </c>
      <c r="L4441" s="121">
        <v>-7.0000000000000001E-3</v>
      </c>
      <c r="M4441" s="75" t="s">
        <v>146</v>
      </c>
      <c r="N4441" s="75" t="b">
        <v>1</v>
      </c>
      <c r="O4441" s="75" t="s">
        <v>145</v>
      </c>
      <c r="P4441" s="75">
        <v>2014</v>
      </c>
      <c r="Q4441" s="107">
        <f t="shared" si="136"/>
        <v>2020</v>
      </c>
      <c r="R4441" s="107">
        <v>2</v>
      </c>
      <c r="S4441" s="43">
        <v>220016</v>
      </c>
      <c r="T4441" s="74">
        <v>43860</v>
      </c>
    </row>
    <row r="4442" spans="1:20" x14ac:dyDescent="0.3">
      <c r="A4442" s="42">
        <v>43902</v>
      </c>
      <c r="B4442" s="37">
        <f t="shared" si="137"/>
        <v>20200312</v>
      </c>
      <c r="C4442" s="109">
        <v>0.01</v>
      </c>
      <c r="D4442" s="109">
        <v>1.0999999999999999E-2</v>
      </c>
      <c r="E4442" s="109">
        <v>1.2E-2</v>
      </c>
      <c r="F4442" s="109">
        <v>1.2E-2</v>
      </c>
      <c r="G4442" s="130">
        <v>0</v>
      </c>
      <c r="H4442" s="71">
        <v>8.6</v>
      </c>
      <c r="I4442" s="71">
        <v>11.2</v>
      </c>
      <c r="J4442" s="71">
        <v>13.7</v>
      </c>
      <c r="K4442" s="121">
        <v>3.0999999999999999E-3</v>
      </c>
      <c r="L4442" s="121">
        <v>-7.0000000000000001E-3</v>
      </c>
      <c r="M4442" s="75" t="s">
        <v>146</v>
      </c>
      <c r="N4442" s="75" t="b">
        <v>1</v>
      </c>
      <c r="O4442" s="75" t="s">
        <v>145</v>
      </c>
      <c r="P4442" s="75">
        <v>2014</v>
      </c>
      <c r="Q4442" s="107">
        <f t="shared" si="136"/>
        <v>2020</v>
      </c>
      <c r="R4442" s="107">
        <v>2</v>
      </c>
      <c r="S4442" s="43">
        <v>220016</v>
      </c>
      <c r="T4442" s="74">
        <v>43860</v>
      </c>
    </row>
    <row r="4443" spans="1:20" x14ac:dyDescent="0.3">
      <c r="A4443" s="42">
        <v>43903</v>
      </c>
      <c r="B4443" s="37">
        <f t="shared" si="137"/>
        <v>20200313</v>
      </c>
      <c r="C4443" s="109">
        <v>1.1899999999999999E-2</v>
      </c>
      <c r="D4443" s="109">
        <v>1.0999999999999999E-2</v>
      </c>
      <c r="E4443" s="109">
        <v>1.2E-2</v>
      </c>
      <c r="F4443" s="109">
        <v>1.2E-2</v>
      </c>
      <c r="G4443" s="130">
        <v>0</v>
      </c>
      <c r="H4443" s="71">
        <v>8.6</v>
      </c>
      <c r="I4443" s="71">
        <v>11.2</v>
      </c>
      <c r="J4443" s="71">
        <v>13.7</v>
      </c>
      <c r="K4443" s="121">
        <v>3.9000000000000003E-3</v>
      </c>
      <c r="L4443" s="121">
        <v>-7.0000000000000001E-3</v>
      </c>
      <c r="M4443" s="75" t="s">
        <v>146</v>
      </c>
      <c r="N4443" s="75" t="b">
        <v>1</v>
      </c>
      <c r="O4443" s="75" t="s">
        <v>145</v>
      </c>
      <c r="P4443" s="75">
        <v>2014</v>
      </c>
      <c r="Q4443" s="107">
        <f t="shared" si="136"/>
        <v>2020</v>
      </c>
      <c r="R4443" s="107">
        <v>2</v>
      </c>
      <c r="S4443" s="43">
        <v>220016</v>
      </c>
      <c r="T4443" s="74">
        <v>43860</v>
      </c>
    </row>
    <row r="4444" spans="1:20" x14ac:dyDescent="0.3">
      <c r="A4444" s="42">
        <v>43904</v>
      </c>
      <c r="B4444" s="37">
        <f>YEAR(A4444)*10000+MONTH(A4444)*100+DAY(A4444)</f>
        <v>20200314</v>
      </c>
      <c r="C4444" s="109">
        <v>1.1899999999999999E-2</v>
      </c>
      <c r="D4444" s="109">
        <v>1.0999999999999999E-2</v>
      </c>
      <c r="E4444" s="109">
        <v>1.2E-2</v>
      </c>
      <c r="F4444" s="109">
        <v>1.2E-2</v>
      </c>
      <c r="G4444" s="130">
        <v>0</v>
      </c>
      <c r="H4444" s="71">
        <v>8.6</v>
      </c>
      <c r="I4444" s="71">
        <v>11.2</v>
      </c>
      <c r="J4444" s="71">
        <v>13.7</v>
      </c>
      <c r="K4444" s="121">
        <v>3.9000000000000003E-3</v>
      </c>
      <c r="L4444" s="121">
        <v>-7.0000000000000001E-3</v>
      </c>
      <c r="M4444" s="75" t="s">
        <v>146</v>
      </c>
      <c r="N4444" s="75" t="b">
        <v>1</v>
      </c>
      <c r="O4444" s="75" t="s">
        <v>145</v>
      </c>
      <c r="P4444" s="75">
        <v>2014</v>
      </c>
      <c r="Q4444" s="107">
        <f t="shared" si="136"/>
        <v>2020</v>
      </c>
      <c r="R4444" s="107">
        <v>2</v>
      </c>
      <c r="S4444" s="43">
        <v>220016</v>
      </c>
      <c r="T4444" s="74">
        <v>43860</v>
      </c>
    </row>
    <row r="4445" spans="1:20" x14ac:dyDescent="0.3">
      <c r="A4445" s="42">
        <v>43905</v>
      </c>
      <c r="B4445" s="37">
        <f>YEAR(A4445)*10000+MONTH(A4445)*100+DAY(A4445)</f>
        <v>20200315</v>
      </c>
      <c r="C4445" s="109">
        <v>1.1899999999999999E-2</v>
      </c>
      <c r="D4445" s="109">
        <v>1.0999999999999999E-2</v>
      </c>
      <c r="E4445" s="109">
        <v>1.2E-2</v>
      </c>
      <c r="F4445" s="109">
        <v>1.2E-2</v>
      </c>
      <c r="G4445" s="130">
        <v>0</v>
      </c>
      <c r="H4445" s="71">
        <v>8.6</v>
      </c>
      <c r="I4445" s="71">
        <v>11.2</v>
      </c>
      <c r="J4445" s="71">
        <v>13.7</v>
      </c>
      <c r="K4445" s="121">
        <v>3.9000000000000003E-3</v>
      </c>
      <c r="L4445" s="121">
        <v>-7.0000000000000001E-3</v>
      </c>
      <c r="M4445" s="75" t="s">
        <v>146</v>
      </c>
      <c r="N4445" s="75" t="b">
        <v>1</v>
      </c>
      <c r="O4445" s="75" t="s">
        <v>145</v>
      </c>
      <c r="P4445" s="75">
        <v>2014</v>
      </c>
      <c r="Q4445" s="107">
        <f t="shared" si="136"/>
        <v>2020</v>
      </c>
      <c r="R4445" s="107">
        <v>2</v>
      </c>
      <c r="S4445" s="43">
        <v>220016</v>
      </c>
      <c r="T4445" s="74">
        <v>43860</v>
      </c>
    </row>
    <row r="4446" spans="1:20" x14ac:dyDescent="0.3">
      <c r="A4446" s="42">
        <v>43906</v>
      </c>
      <c r="B4446" s="37">
        <f t="shared" si="137"/>
        <v>20200316</v>
      </c>
      <c r="C4446" s="109">
        <v>1.1399999999999999E-2</v>
      </c>
      <c r="D4446" s="109">
        <v>1.0999999999999999E-2</v>
      </c>
      <c r="E4446" s="109">
        <v>1.2E-2</v>
      </c>
      <c r="F4446" s="109">
        <v>1.2E-2</v>
      </c>
      <c r="G4446" s="130">
        <v>0</v>
      </c>
      <c r="H4446" s="71">
        <v>8.6</v>
      </c>
      <c r="I4446" s="71">
        <v>11.2</v>
      </c>
      <c r="J4446" s="71">
        <v>13.7</v>
      </c>
      <c r="K4446" s="121">
        <v>5.1999999999999998E-3</v>
      </c>
      <c r="L4446" s="121">
        <v>-7.0000000000000001E-3</v>
      </c>
      <c r="M4446" s="75" t="s">
        <v>146</v>
      </c>
      <c r="N4446" s="75" t="b">
        <v>1</v>
      </c>
      <c r="O4446" s="75" t="s">
        <v>145</v>
      </c>
      <c r="P4446" s="75">
        <v>2014</v>
      </c>
      <c r="Q4446" s="107">
        <f t="shared" si="136"/>
        <v>2020</v>
      </c>
      <c r="R4446" s="107">
        <v>2</v>
      </c>
      <c r="S4446" s="43">
        <v>220016</v>
      </c>
      <c r="T4446" s="74">
        <v>43860</v>
      </c>
    </row>
    <row r="4447" spans="1:20" x14ac:dyDescent="0.3">
      <c r="A4447" s="42">
        <v>43907</v>
      </c>
      <c r="B4447" s="37">
        <f t="shared" si="137"/>
        <v>20200317</v>
      </c>
      <c r="C4447" s="109">
        <v>1.2800000000000001E-2</v>
      </c>
      <c r="D4447" s="109">
        <v>1.0999999999999999E-2</v>
      </c>
      <c r="E4447" s="109">
        <v>1.2E-2</v>
      </c>
      <c r="F4447" s="109">
        <v>1.2E-2</v>
      </c>
      <c r="G4447" s="130">
        <v>0</v>
      </c>
      <c r="H4447" s="71">
        <v>8.6</v>
      </c>
      <c r="I4447" s="71">
        <v>11.2</v>
      </c>
      <c r="J4447" s="71">
        <v>13.7</v>
      </c>
      <c r="K4447" s="121">
        <v>5.6999999999999993E-3</v>
      </c>
      <c r="L4447" s="121">
        <v>-7.0000000000000001E-3</v>
      </c>
      <c r="M4447" s="75" t="s">
        <v>146</v>
      </c>
      <c r="N4447" s="75" t="b">
        <v>1</v>
      </c>
      <c r="O4447" s="75" t="s">
        <v>145</v>
      </c>
      <c r="P4447" s="75">
        <v>2014</v>
      </c>
      <c r="Q4447" s="107">
        <f t="shared" si="136"/>
        <v>2020</v>
      </c>
      <c r="R4447" s="107">
        <v>2</v>
      </c>
      <c r="S4447" s="43">
        <v>220016</v>
      </c>
      <c r="T4447" s="74">
        <v>43860</v>
      </c>
    </row>
    <row r="4448" spans="1:20" x14ac:dyDescent="0.3">
      <c r="A4448" s="42">
        <v>43908</v>
      </c>
      <c r="B4448" s="37">
        <f t="shared" si="137"/>
        <v>20200318</v>
      </c>
      <c r="C4448" s="109">
        <v>1.37E-2</v>
      </c>
      <c r="D4448" s="109">
        <v>1.0999999999999999E-2</v>
      </c>
      <c r="E4448" s="109">
        <v>1.2E-2</v>
      </c>
      <c r="F4448" s="109">
        <v>1.2E-2</v>
      </c>
      <c r="G4448" s="130">
        <v>0</v>
      </c>
      <c r="H4448" s="71">
        <v>8.6</v>
      </c>
      <c r="I4448" s="71">
        <v>11.2</v>
      </c>
      <c r="J4448" s="71">
        <v>13.7</v>
      </c>
      <c r="K4448" s="121">
        <v>8.3999999999999995E-3</v>
      </c>
      <c r="L4448" s="121">
        <v>-7.0000000000000001E-3</v>
      </c>
      <c r="M4448" s="75" t="s">
        <v>146</v>
      </c>
      <c r="N4448" s="75" t="b">
        <v>1</v>
      </c>
      <c r="O4448" s="75" t="s">
        <v>145</v>
      </c>
      <c r="P4448" s="75">
        <v>2014</v>
      </c>
      <c r="Q4448" s="107">
        <f t="shared" si="136"/>
        <v>2020</v>
      </c>
      <c r="R4448" s="107">
        <v>2</v>
      </c>
      <c r="S4448" s="43">
        <v>220016</v>
      </c>
      <c r="T4448" s="74">
        <v>43860</v>
      </c>
    </row>
    <row r="4449" spans="1:21" x14ac:dyDescent="0.3">
      <c r="A4449" s="42">
        <v>43909</v>
      </c>
      <c r="B4449" s="37">
        <f t="shared" si="137"/>
        <v>20200319</v>
      </c>
      <c r="C4449" s="109">
        <v>1.3300000000000001E-2</v>
      </c>
      <c r="D4449" s="109">
        <v>1.0999999999999999E-2</v>
      </c>
      <c r="E4449" s="109">
        <v>1.2E-2</v>
      </c>
      <c r="F4449" s="109">
        <v>1.2E-2</v>
      </c>
      <c r="G4449" s="130">
        <v>0</v>
      </c>
      <c r="H4449" s="71">
        <v>8.6</v>
      </c>
      <c r="I4449" s="71">
        <v>11.2</v>
      </c>
      <c r="J4449" s="71">
        <v>13.7</v>
      </c>
      <c r="K4449" s="121">
        <v>7.1999999999999998E-3</v>
      </c>
      <c r="L4449" s="121">
        <v>-7.0000000000000001E-3</v>
      </c>
      <c r="M4449" s="75" t="s">
        <v>146</v>
      </c>
      <c r="N4449" s="75" t="b">
        <v>1</v>
      </c>
      <c r="O4449" s="75" t="s">
        <v>145</v>
      </c>
      <c r="P4449" s="75">
        <v>2014</v>
      </c>
      <c r="Q4449" s="107">
        <f t="shared" si="136"/>
        <v>2020</v>
      </c>
      <c r="R4449" s="107">
        <v>2</v>
      </c>
      <c r="S4449" s="43">
        <v>220016</v>
      </c>
      <c r="T4449" s="74">
        <v>43860</v>
      </c>
    </row>
    <row r="4450" spans="1:21" x14ac:dyDescent="0.3">
      <c r="A4450" s="42">
        <v>43910</v>
      </c>
      <c r="B4450" s="37">
        <f t="shared" si="137"/>
        <v>20200320</v>
      </c>
      <c r="C4450" s="109">
        <v>1.18E-2</v>
      </c>
      <c r="D4450" s="109">
        <v>1.0999999999999999E-2</v>
      </c>
      <c r="E4450" s="109">
        <v>1.2E-2</v>
      </c>
      <c r="F4450" s="109">
        <v>1.2E-2</v>
      </c>
      <c r="G4450" s="130">
        <v>0</v>
      </c>
      <c r="H4450" s="71">
        <v>8.6</v>
      </c>
      <c r="I4450" s="71">
        <v>11.2</v>
      </c>
      <c r="J4450" s="71">
        <v>13.7</v>
      </c>
      <c r="K4450" s="121">
        <v>7.0999999999999995E-3</v>
      </c>
      <c r="L4450" s="121">
        <v>-7.0000000000000001E-3</v>
      </c>
      <c r="M4450" s="75" t="s">
        <v>146</v>
      </c>
      <c r="N4450" s="75" t="b">
        <v>1</v>
      </c>
      <c r="O4450" s="75" t="s">
        <v>145</v>
      </c>
      <c r="P4450" s="75">
        <v>2014</v>
      </c>
      <c r="Q4450" s="107">
        <f t="shared" si="136"/>
        <v>2020</v>
      </c>
      <c r="R4450" s="107">
        <v>2</v>
      </c>
      <c r="S4450" s="43">
        <v>220016</v>
      </c>
      <c r="T4450" s="74">
        <v>43860</v>
      </c>
    </row>
    <row r="4451" spans="1:21" x14ac:dyDescent="0.3">
      <c r="A4451" s="42">
        <v>43911</v>
      </c>
      <c r="B4451" s="37">
        <f>YEAR(A4451)*10000+MONTH(A4451)*100+DAY(A4451)</f>
        <v>20200321</v>
      </c>
      <c r="C4451" s="109">
        <v>1.18E-2</v>
      </c>
      <c r="D4451" s="109">
        <v>1.0999999999999999E-2</v>
      </c>
      <c r="E4451" s="109">
        <v>1.2E-2</v>
      </c>
      <c r="F4451" s="109">
        <v>1.2E-2</v>
      </c>
      <c r="G4451" s="130">
        <v>0</v>
      </c>
      <c r="H4451" s="71">
        <v>8.6</v>
      </c>
      <c r="I4451" s="71">
        <v>11.2</v>
      </c>
      <c r="J4451" s="71">
        <v>13.7</v>
      </c>
      <c r="K4451" s="121">
        <v>7.0999999999999995E-3</v>
      </c>
      <c r="L4451" s="121">
        <v>-7.0000000000000001E-3</v>
      </c>
      <c r="M4451" s="75" t="s">
        <v>146</v>
      </c>
      <c r="N4451" s="75" t="b">
        <v>1</v>
      </c>
      <c r="O4451" s="75" t="s">
        <v>145</v>
      </c>
      <c r="P4451" s="75">
        <v>2014</v>
      </c>
      <c r="Q4451" s="107">
        <f t="shared" si="136"/>
        <v>2020</v>
      </c>
      <c r="R4451" s="107">
        <v>2</v>
      </c>
      <c r="S4451" s="43">
        <v>220016</v>
      </c>
      <c r="T4451" s="74">
        <v>43860</v>
      </c>
    </row>
    <row r="4452" spans="1:21" x14ac:dyDescent="0.3">
      <c r="A4452" s="42">
        <v>43912</v>
      </c>
      <c r="B4452" s="37">
        <f>YEAR(A4452)*10000+MONTH(A4452)*100+DAY(A4452)</f>
        <v>20200322</v>
      </c>
      <c r="C4452" s="109">
        <v>1.18E-2</v>
      </c>
      <c r="D4452" s="109">
        <v>1.0999999999999999E-2</v>
      </c>
      <c r="E4452" s="109">
        <v>1.2E-2</v>
      </c>
      <c r="F4452" s="109">
        <v>1.2E-2</v>
      </c>
      <c r="G4452" s="130">
        <v>0</v>
      </c>
      <c r="H4452" s="71">
        <v>8.6</v>
      </c>
      <c r="I4452" s="71">
        <v>11.2</v>
      </c>
      <c r="J4452" s="71">
        <v>13.7</v>
      </c>
      <c r="K4452" s="121">
        <v>7.0999999999999995E-3</v>
      </c>
      <c r="L4452" s="121">
        <v>-7.0000000000000001E-3</v>
      </c>
      <c r="M4452" s="75" t="s">
        <v>146</v>
      </c>
      <c r="N4452" s="75" t="b">
        <v>1</v>
      </c>
      <c r="O4452" s="75" t="s">
        <v>145</v>
      </c>
      <c r="P4452" s="75">
        <v>2014</v>
      </c>
      <c r="Q4452" s="107">
        <f t="shared" si="136"/>
        <v>2020</v>
      </c>
      <c r="R4452" s="107">
        <v>2</v>
      </c>
      <c r="S4452" s="43">
        <v>220016</v>
      </c>
      <c r="T4452" s="74">
        <v>43860</v>
      </c>
    </row>
    <row r="4453" spans="1:21" x14ac:dyDescent="0.3">
      <c r="A4453" s="42">
        <v>43913</v>
      </c>
      <c r="B4453" s="37">
        <f t="shared" si="137"/>
        <v>20200323</v>
      </c>
      <c r="C4453" s="109">
        <v>1.15E-2</v>
      </c>
      <c r="D4453" s="109">
        <v>1.0999999999999999E-2</v>
      </c>
      <c r="E4453" s="109">
        <v>1.2E-2</v>
      </c>
      <c r="F4453" s="109">
        <v>1.2E-2</v>
      </c>
      <c r="G4453" s="130">
        <v>0</v>
      </c>
      <c r="H4453" s="71">
        <v>8.6</v>
      </c>
      <c r="I4453" s="71">
        <v>11.2</v>
      </c>
      <c r="J4453" s="71">
        <v>13.7</v>
      </c>
      <c r="K4453" s="121">
        <v>6.1999999999999998E-3</v>
      </c>
      <c r="L4453" s="121">
        <v>-7.0000000000000001E-3</v>
      </c>
      <c r="M4453" s="75" t="s">
        <v>146</v>
      </c>
      <c r="N4453" s="75" t="b">
        <v>1</v>
      </c>
      <c r="O4453" s="75" t="s">
        <v>145</v>
      </c>
      <c r="P4453" s="75">
        <v>2014</v>
      </c>
      <c r="Q4453" s="107">
        <f t="shared" si="136"/>
        <v>2020</v>
      </c>
      <c r="R4453" s="107">
        <v>2</v>
      </c>
      <c r="S4453" s="43">
        <v>220016</v>
      </c>
      <c r="T4453" s="74">
        <v>43860</v>
      </c>
    </row>
    <row r="4454" spans="1:21" x14ac:dyDescent="0.3">
      <c r="A4454" s="42">
        <v>43914</v>
      </c>
      <c r="B4454" s="37">
        <f t="shared" si="137"/>
        <v>20200324</v>
      </c>
      <c r="C4454" s="109">
        <v>1.21E-2</v>
      </c>
      <c r="D4454" s="109">
        <v>1.0999999999999999E-2</v>
      </c>
      <c r="E4454" s="109">
        <v>1.2E-2</v>
      </c>
      <c r="F4454" s="109">
        <v>1.2E-2</v>
      </c>
      <c r="G4454" s="130">
        <v>0</v>
      </c>
      <c r="H4454" s="71">
        <v>8.6</v>
      </c>
      <c r="I4454" s="71">
        <v>11.2</v>
      </c>
      <c r="J4454" s="71">
        <v>13.7</v>
      </c>
      <c r="K4454" s="121">
        <v>5.6000000000000008E-3</v>
      </c>
      <c r="L4454" s="121">
        <v>-7.0000000000000001E-3</v>
      </c>
      <c r="M4454" s="75" t="s">
        <v>146</v>
      </c>
      <c r="N4454" s="75" t="b">
        <v>1</v>
      </c>
      <c r="O4454" s="75" t="s">
        <v>145</v>
      </c>
      <c r="P4454" s="75">
        <v>2014</v>
      </c>
      <c r="Q4454" s="107">
        <f t="shared" si="136"/>
        <v>2020</v>
      </c>
      <c r="R4454" s="107">
        <v>2</v>
      </c>
      <c r="S4454" s="43">
        <v>220016</v>
      </c>
      <c r="T4454" s="74">
        <v>43860</v>
      </c>
    </row>
    <row r="4455" spans="1:21" x14ac:dyDescent="0.3">
      <c r="A4455" s="42">
        <v>43915</v>
      </c>
      <c r="B4455" s="37">
        <f t="shared" si="137"/>
        <v>20200325</v>
      </c>
      <c r="C4455" s="109">
        <v>1.2500000000000001E-2</v>
      </c>
      <c r="D4455" s="109">
        <v>1.0999999999999999E-2</v>
      </c>
      <c r="E4455" s="109">
        <v>1.2E-2</v>
      </c>
      <c r="F4455" s="109">
        <v>1.2E-2</v>
      </c>
      <c r="G4455" s="130">
        <v>0</v>
      </c>
      <c r="H4455" s="71">
        <v>8.6</v>
      </c>
      <c r="I4455" s="71">
        <v>11.2</v>
      </c>
      <c r="J4455" s="71">
        <v>13.7</v>
      </c>
      <c r="K4455" s="121">
        <v>5.6999999999999993E-3</v>
      </c>
      <c r="L4455" s="121">
        <v>-7.0000000000000001E-3</v>
      </c>
      <c r="M4455" s="75" t="s">
        <v>146</v>
      </c>
      <c r="N4455" s="75" t="b">
        <v>1</v>
      </c>
      <c r="O4455" s="75" t="s">
        <v>145</v>
      </c>
      <c r="P4455" s="75">
        <v>2014</v>
      </c>
      <c r="Q4455" s="107">
        <f t="shared" si="136"/>
        <v>2020</v>
      </c>
      <c r="R4455" s="107">
        <v>2</v>
      </c>
      <c r="S4455" s="43">
        <v>220016</v>
      </c>
      <c r="T4455" s="74">
        <v>43860</v>
      </c>
    </row>
    <row r="4456" spans="1:21" x14ac:dyDescent="0.3">
      <c r="A4456" s="42">
        <v>43916</v>
      </c>
      <c r="B4456" s="37">
        <f t="shared" si="137"/>
        <v>20200326</v>
      </c>
      <c r="C4456" s="109">
        <v>1.23E-2</v>
      </c>
      <c r="D4456" s="109">
        <v>1.0999999999999999E-2</v>
      </c>
      <c r="E4456" s="109">
        <v>1.2E-2</v>
      </c>
      <c r="F4456" s="109">
        <v>1.2E-2</v>
      </c>
      <c r="G4456" s="130">
        <v>0</v>
      </c>
      <c r="H4456" s="71">
        <v>8.6</v>
      </c>
      <c r="I4456" s="71">
        <v>11.2</v>
      </c>
      <c r="J4456" s="71">
        <v>13.7</v>
      </c>
      <c r="K4456" s="121">
        <v>3.9000000000000003E-3</v>
      </c>
      <c r="L4456" s="121">
        <v>-7.0000000000000001E-3</v>
      </c>
      <c r="M4456" s="75" t="s">
        <v>146</v>
      </c>
      <c r="N4456" s="75" t="b">
        <v>1</v>
      </c>
      <c r="O4456" s="75" t="s">
        <v>145</v>
      </c>
      <c r="P4456" s="75">
        <v>2014</v>
      </c>
      <c r="Q4456" s="107">
        <f t="shared" si="136"/>
        <v>2020</v>
      </c>
      <c r="R4456" s="107">
        <v>2</v>
      </c>
      <c r="S4456" s="43">
        <v>220016</v>
      </c>
      <c r="T4456" s="74">
        <v>43860</v>
      </c>
    </row>
    <row r="4457" spans="1:21" x14ac:dyDescent="0.3">
      <c r="A4457" s="42">
        <v>43917</v>
      </c>
      <c r="B4457" s="37">
        <f t="shared" si="137"/>
        <v>20200327</v>
      </c>
      <c r="C4457" s="109">
        <v>1.15E-2</v>
      </c>
      <c r="D4457" s="109">
        <v>1.0999999999999999E-2</v>
      </c>
      <c r="E4457" s="109">
        <v>1.2E-2</v>
      </c>
      <c r="F4457" s="109">
        <v>1.2E-2</v>
      </c>
      <c r="G4457" s="130">
        <v>0</v>
      </c>
      <c r="H4457" s="71">
        <v>8.6</v>
      </c>
      <c r="I4457" s="71">
        <v>11.2</v>
      </c>
      <c r="J4457" s="71">
        <v>13.7</v>
      </c>
      <c r="K4457" s="121">
        <v>3.0999999999999999E-3</v>
      </c>
      <c r="L4457" s="121">
        <v>-7.0000000000000001E-3</v>
      </c>
      <c r="M4457" s="75" t="s">
        <v>146</v>
      </c>
      <c r="N4457" s="75" t="b">
        <v>1</v>
      </c>
      <c r="O4457" s="75" t="s">
        <v>145</v>
      </c>
      <c r="P4457" s="75">
        <v>2014</v>
      </c>
      <c r="Q4457" s="107">
        <f t="shared" si="136"/>
        <v>2020</v>
      </c>
      <c r="R4457" s="107">
        <v>2</v>
      </c>
      <c r="S4457" s="43">
        <v>220016</v>
      </c>
      <c r="T4457" s="74">
        <v>43860</v>
      </c>
    </row>
    <row r="4458" spans="1:21" x14ac:dyDescent="0.3">
      <c r="A4458" s="42">
        <v>43918</v>
      </c>
      <c r="B4458" s="37">
        <f>YEAR(A4458)*10000+MONTH(A4458)*100+DAY(A4458)</f>
        <v>20200328</v>
      </c>
      <c r="C4458" s="109">
        <v>1.15E-2</v>
      </c>
      <c r="D4458" s="109">
        <v>1.0999999999999999E-2</v>
      </c>
      <c r="E4458" s="109">
        <v>1.2E-2</v>
      </c>
      <c r="F4458" s="109">
        <v>1.2E-2</v>
      </c>
      <c r="G4458" s="130">
        <v>0</v>
      </c>
      <c r="H4458" s="71">
        <v>8.6</v>
      </c>
      <c r="I4458" s="71">
        <v>11.2</v>
      </c>
      <c r="J4458" s="71">
        <v>13.7</v>
      </c>
      <c r="K4458" s="121">
        <v>3.0999999999999999E-3</v>
      </c>
      <c r="L4458" s="121">
        <v>-7.0000000000000001E-3</v>
      </c>
      <c r="M4458" s="75" t="s">
        <v>146</v>
      </c>
      <c r="N4458" s="75" t="b">
        <v>1</v>
      </c>
      <c r="O4458" s="75" t="s">
        <v>145</v>
      </c>
      <c r="P4458" s="75">
        <v>2014</v>
      </c>
      <c r="Q4458" s="107">
        <f t="shared" si="136"/>
        <v>2020</v>
      </c>
      <c r="R4458" s="107">
        <v>2</v>
      </c>
      <c r="S4458" s="43">
        <v>220016</v>
      </c>
      <c r="T4458" s="74">
        <v>43860</v>
      </c>
    </row>
    <row r="4459" spans="1:21" x14ac:dyDescent="0.3">
      <c r="A4459" s="42">
        <v>43919</v>
      </c>
      <c r="B4459" s="37">
        <f>YEAR(A4459)*10000+MONTH(A4459)*100+DAY(A4459)</f>
        <v>20200329</v>
      </c>
      <c r="C4459" s="109">
        <v>1.15E-2</v>
      </c>
      <c r="D4459" s="109">
        <v>1.0999999999999999E-2</v>
      </c>
      <c r="E4459" s="109">
        <v>1.2E-2</v>
      </c>
      <c r="F4459" s="109">
        <v>1.2E-2</v>
      </c>
      <c r="G4459" s="130">
        <v>0</v>
      </c>
      <c r="H4459" s="71">
        <v>8.6</v>
      </c>
      <c r="I4459" s="71">
        <v>11.2</v>
      </c>
      <c r="J4459" s="71">
        <v>13.7</v>
      </c>
      <c r="K4459" s="121">
        <v>3.0999999999999999E-3</v>
      </c>
      <c r="L4459" s="121">
        <v>-7.0000000000000001E-3</v>
      </c>
      <c r="M4459" s="75" t="s">
        <v>146</v>
      </c>
      <c r="N4459" s="75" t="b">
        <v>1</v>
      </c>
      <c r="O4459" s="75" t="s">
        <v>145</v>
      </c>
      <c r="P4459" s="75">
        <v>2014</v>
      </c>
      <c r="Q4459" s="107">
        <f t="shared" si="136"/>
        <v>2020</v>
      </c>
      <c r="R4459" s="107">
        <v>2</v>
      </c>
      <c r="S4459" s="43">
        <v>220016</v>
      </c>
      <c r="T4459" s="74">
        <v>43860</v>
      </c>
    </row>
    <row r="4460" spans="1:21" x14ac:dyDescent="0.3">
      <c r="A4460" s="42">
        <v>43920</v>
      </c>
      <c r="B4460" s="37">
        <f t="shared" si="137"/>
        <v>20200330</v>
      </c>
      <c r="C4460" s="109">
        <v>1.1899999999999999E-2</v>
      </c>
      <c r="D4460" s="109">
        <v>1.0999999999999999E-2</v>
      </c>
      <c r="E4460" s="109">
        <v>1.2E-2</v>
      </c>
      <c r="F4460" s="109">
        <v>1.2E-2</v>
      </c>
      <c r="G4460" s="130">
        <v>0</v>
      </c>
      <c r="H4460" s="71">
        <v>8.6</v>
      </c>
      <c r="I4460" s="71">
        <v>11.2</v>
      </c>
      <c r="J4460" s="71">
        <v>13.7</v>
      </c>
      <c r="K4460" s="121">
        <v>3.9000000000000003E-3</v>
      </c>
      <c r="L4460" s="121">
        <v>-7.0000000000000001E-3</v>
      </c>
      <c r="M4460" s="75" t="s">
        <v>146</v>
      </c>
      <c r="N4460" s="75" t="b">
        <v>1</v>
      </c>
      <c r="O4460" s="75" t="s">
        <v>145</v>
      </c>
      <c r="P4460" s="75">
        <v>2014</v>
      </c>
      <c r="Q4460" s="107">
        <f t="shared" si="136"/>
        <v>2020</v>
      </c>
      <c r="R4460" s="107">
        <v>2</v>
      </c>
      <c r="S4460" s="43">
        <v>220016</v>
      </c>
      <c r="T4460" s="74">
        <v>43860</v>
      </c>
    </row>
    <row r="4461" spans="1:21" s="116" customFormat="1" x14ac:dyDescent="0.3">
      <c r="A4461" s="110">
        <v>43921</v>
      </c>
      <c r="B4461" s="132">
        <f t="shared" si="137"/>
        <v>20200331</v>
      </c>
      <c r="C4461" s="111">
        <v>1.18E-2</v>
      </c>
      <c r="D4461" s="120">
        <v>1.4999999999999999E-2</v>
      </c>
      <c r="E4461" s="120">
        <v>1.6E-2</v>
      </c>
      <c r="F4461" s="120">
        <v>1.7000000000000001E-2</v>
      </c>
      <c r="G4461" s="133">
        <v>0</v>
      </c>
      <c r="H4461" s="124">
        <v>8.6999999999999993</v>
      </c>
      <c r="I4461" s="124">
        <v>11.4</v>
      </c>
      <c r="J4461" s="124">
        <v>13.9</v>
      </c>
      <c r="K4461" s="131">
        <v>4.3E-3</v>
      </c>
      <c r="L4461" s="131">
        <v>-7.0000000000000001E-3</v>
      </c>
      <c r="M4461" s="98" t="s">
        <v>146</v>
      </c>
      <c r="N4461" s="98" t="b">
        <v>1</v>
      </c>
      <c r="O4461" s="98" t="s">
        <v>145</v>
      </c>
      <c r="P4461" s="98">
        <v>2014</v>
      </c>
      <c r="Q4461" s="105">
        <f t="shared" si="136"/>
        <v>2020</v>
      </c>
      <c r="R4461" s="105">
        <v>2</v>
      </c>
      <c r="S4461" s="127">
        <v>220078</v>
      </c>
      <c r="T4461" s="128">
        <v>43984</v>
      </c>
      <c r="U4461" s="98" t="s">
        <v>176</v>
      </c>
    </row>
    <row r="4462" spans="1:21" x14ac:dyDescent="0.3">
      <c r="A4462" s="42">
        <v>43922</v>
      </c>
      <c r="B4462" s="37">
        <f t="shared" si="137"/>
        <v>20200401</v>
      </c>
      <c r="C4462" s="109">
        <v>1.0800000000000001E-2</v>
      </c>
      <c r="D4462" s="109">
        <v>1.4999999999999999E-2</v>
      </c>
      <c r="E4462" s="109">
        <v>1.6E-2</v>
      </c>
      <c r="F4462" s="109">
        <v>1.7000000000000001E-2</v>
      </c>
      <c r="G4462" s="130">
        <v>0</v>
      </c>
      <c r="H4462" s="71">
        <v>8.6999999999999993</v>
      </c>
      <c r="I4462" s="71">
        <v>11.4</v>
      </c>
      <c r="J4462" s="71">
        <v>13.9</v>
      </c>
      <c r="K4462" s="121">
        <v>3.7000000000000002E-3</v>
      </c>
      <c r="L4462" s="121">
        <v>-7.0000000000000001E-3</v>
      </c>
      <c r="M4462" s="75" t="s">
        <v>146</v>
      </c>
      <c r="N4462" s="75" t="b">
        <v>1</v>
      </c>
      <c r="O4462" s="75" t="s">
        <v>145</v>
      </c>
      <c r="P4462" s="75">
        <v>2014</v>
      </c>
      <c r="Q4462" s="107">
        <f t="shared" ref="Q4462:Q4525" si="138">YEAR(A4462)</f>
        <v>2020</v>
      </c>
      <c r="R4462" s="107">
        <v>2</v>
      </c>
      <c r="S4462" s="43">
        <v>220078</v>
      </c>
      <c r="T4462" s="74">
        <v>43984</v>
      </c>
    </row>
    <row r="4463" spans="1:21" x14ac:dyDescent="0.3">
      <c r="A4463" s="42">
        <v>43923</v>
      </c>
      <c r="B4463" s="37">
        <f t="shared" si="137"/>
        <v>20200402</v>
      </c>
      <c r="C4463" s="109">
        <v>1.1000000000000001E-2</v>
      </c>
      <c r="D4463" s="109">
        <v>1.4999999999999999E-2</v>
      </c>
      <c r="E4463" s="109">
        <v>1.6E-2</v>
      </c>
      <c r="F4463" s="109">
        <v>1.7000000000000001E-2</v>
      </c>
      <c r="G4463" s="130">
        <v>0</v>
      </c>
      <c r="H4463" s="71">
        <v>8.6999999999999993</v>
      </c>
      <c r="I4463" s="71">
        <v>11.4</v>
      </c>
      <c r="J4463" s="71">
        <v>13.9</v>
      </c>
      <c r="K4463" s="121">
        <v>4.0999999999999995E-3</v>
      </c>
      <c r="L4463" s="121">
        <v>-7.0000000000000001E-3</v>
      </c>
      <c r="M4463" s="75" t="s">
        <v>146</v>
      </c>
      <c r="N4463" s="75" t="b">
        <v>1</v>
      </c>
      <c r="O4463" s="75" t="s">
        <v>145</v>
      </c>
      <c r="P4463" s="75">
        <v>2014</v>
      </c>
      <c r="Q4463" s="107">
        <f t="shared" si="138"/>
        <v>2020</v>
      </c>
      <c r="R4463" s="107">
        <v>2</v>
      </c>
      <c r="S4463" s="43">
        <v>220078</v>
      </c>
      <c r="T4463" s="74">
        <v>43984</v>
      </c>
    </row>
    <row r="4464" spans="1:21" x14ac:dyDescent="0.3">
      <c r="A4464" s="42">
        <v>43924</v>
      </c>
      <c r="B4464" s="37">
        <f t="shared" si="137"/>
        <v>20200403</v>
      </c>
      <c r="C4464" s="109">
        <v>1.09E-2</v>
      </c>
      <c r="D4464" s="109">
        <v>1.4999999999999999E-2</v>
      </c>
      <c r="E4464" s="109">
        <v>1.6E-2</v>
      </c>
      <c r="F4464" s="109">
        <v>1.7000000000000001E-2</v>
      </c>
      <c r="G4464" s="130">
        <v>0</v>
      </c>
      <c r="H4464" s="71">
        <v>8.6999999999999993</v>
      </c>
      <c r="I4464" s="71">
        <v>11.4</v>
      </c>
      <c r="J4464" s="71">
        <v>13.9</v>
      </c>
      <c r="K4464" s="121">
        <v>3.4999999999999996E-3</v>
      </c>
      <c r="L4464" s="121">
        <v>-7.0000000000000001E-3</v>
      </c>
      <c r="M4464" s="75" t="s">
        <v>146</v>
      </c>
      <c r="N4464" s="75" t="b">
        <v>1</v>
      </c>
      <c r="O4464" s="75" t="s">
        <v>145</v>
      </c>
      <c r="P4464" s="75">
        <v>2014</v>
      </c>
      <c r="Q4464" s="107">
        <f t="shared" si="138"/>
        <v>2020</v>
      </c>
      <c r="R4464" s="107">
        <v>2</v>
      </c>
      <c r="S4464" s="43">
        <v>220078</v>
      </c>
      <c r="T4464" s="74">
        <v>43984</v>
      </c>
    </row>
    <row r="4465" spans="1:20" x14ac:dyDescent="0.3">
      <c r="A4465" s="42">
        <v>43925</v>
      </c>
      <c r="B4465" s="37">
        <f>YEAR(A4465)*10000+MONTH(A4465)*100+DAY(A4465)</f>
        <v>20200404</v>
      </c>
      <c r="C4465" s="109">
        <v>1.09E-2</v>
      </c>
      <c r="D4465" s="109">
        <v>1.4999999999999999E-2</v>
      </c>
      <c r="E4465" s="109">
        <v>1.6E-2</v>
      </c>
      <c r="F4465" s="109">
        <v>1.7000000000000001E-2</v>
      </c>
      <c r="G4465" s="130">
        <v>0</v>
      </c>
      <c r="H4465" s="71">
        <v>8.6999999999999993</v>
      </c>
      <c r="I4465" s="71">
        <v>11.4</v>
      </c>
      <c r="J4465" s="71">
        <v>13.9</v>
      </c>
      <c r="K4465" s="121">
        <v>3.4999999999999996E-3</v>
      </c>
      <c r="L4465" s="121">
        <v>-7.0000000000000001E-3</v>
      </c>
      <c r="M4465" s="75" t="s">
        <v>146</v>
      </c>
      <c r="N4465" s="75" t="b">
        <v>1</v>
      </c>
      <c r="O4465" s="75" t="s">
        <v>145</v>
      </c>
      <c r="P4465" s="75">
        <v>2014</v>
      </c>
      <c r="Q4465" s="107">
        <f t="shared" si="138"/>
        <v>2020</v>
      </c>
      <c r="R4465" s="107">
        <v>2</v>
      </c>
      <c r="S4465" s="43">
        <v>220078</v>
      </c>
      <c r="T4465" s="74">
        <v>43984</v>
      </c>
    </row>
    <row r="4466" spans="1:20" x14ac:dyDescent="0.3">
      <c r="A4466" s="42">
        <v>43926</v>
      </c>
      <c r="B4466" s="37">
        <f>YEAR(A4466)*10000+MONTH(A4466)*100+DAY(A4466)</f>
        <v>20200405</v>
      </c>
      <c r="C4466" s="109">
        <v>1.09E-2</v>
      </c>
      <c r="D4466" s="109">
        <v>1.4999999999999999E-2</v>
      </c>
      <c r="E4466" s="109">
        <v>1.6E-2</v>
      </c>
      <c r="F4466" s="109">
        <v>1.7000000000000001E-2</v>
      </c>
      <c r="G4466" s="130">
        <v>0</v>
      </c>
      <c r="H4466" s="71">
        <v>8.6999999999999993</v>
      </c>
      <c r="I4466" s="71">
        <v>11.4</v>
      </c>
      <c r="J4466" s="71">
        <v>13.9</v>
      </c>
      <c r="K4466" s="121">
        <v>3.4999999999999996E-3</v>
      </c>
      <c r="L4466" s="121">
        <v>-7.0000000000000001E-3</v>
      </c>
      <c r="M4466" s="75" t="s">
        <v>146</v>
      </c>
      <c r="N4466" s="75" t="b">
        <v>1</v>
      </c>
      <c r="O4466" s="75" t="s">
        <v>145</v>
      </c>
      <c r="P4466" s="75">
        <v>2014</v>
      </c>
      <c r="Q4466" s="107">
        <f t="shared" si="138"/>
        <v>2020</v>
      </c>
      <c r="R4466" s="107">
        <v>2</v>
      </c>
      <c r="S4466" s="43">
        <v>220078</v>
      </c>
      <c r="T4466" s="74">
        <v>43984</v>
      </c>
    </row>
    <row r="4467" spans="1:20" x14ac:dyDescent="0.3">
      <c r="A4467" s="42">
        <v>43927</v>
      </c>
      <c r="B4467" s="37">
        <f t="shared" si="137"/>
        <v>20200406</v>
      </c>
      <c r="C4467" s="109">
        <v>1.1200000000000002E-2</v>
      </c>
      <c r="D4467" s="109">
        <v>1.4999999999999999E-2</v>
      </c>
      <c r="E4467" s="109">
        <v>1.6E-2</v>
      </c>
      <c r="F4467" s="109">
        <v>1.7000000000000001E-2</v>
      </c>
      <c r="G4467" s="130">
        <v>0</v>
      </c>
      <c r="H4467" s="71">
        <v>8.6999999999999993</v>
      </c>
      <c r="I4467" s="71">
        <v>11.4</v>
      </c>
      <c r="J4467" s="71">
        <v>13.9</v>
      </c>
      <c r="K4467" s="121">
        <v>3.4999999999999996E-3</v>
      </c>
      <c r="L4467" s="121">
        <v>-7.0000000000000001E-3</v>
      </c>
      <c r="M4467" s="75" t="s">
        <v>146</v>
      </c>
      <c r="N4467" s="75" t="b">
        <v>1</v>
      </c>
      <c r="O4467" s="75" t="s">
        <v>145</v>
      </c>
      <c r="P4467" s="75">
        <v>2014</v>
      </c>
      <c r="Q4467" s="107">
        <f t="shared" si="138"/>
        <v>2020</v>
      </c>
      <c r="R4467" s="107">
        <v>2</v>
      </c>
      <c r="S4467" s="43">
        <v>220078</v>
      </c>
      <c r="T4467" s="74">
        <v>43984</v>
      </c>
    </row>
    <row r="4468" spans="1:20" x14ac:dyDescent="0.3">
      <c r="A4468" s="42">
        <v>43928</v>
      </c>
      <c r="B4468" s="37">
        <f t="shared" si="137"/>
        <v>20200407</v>
      </c>
      <c r="C4468" s="109">
        <v>1.1899999999999999E-2</v>
      </c>
      <c r="D4468" s="109">
        <v>1.4999999999999999E-2</v>
      </c>
      <c r="E4468" s="109">
        <v>1.6E-2</v>
      </c>
      <c r="F4468" s="109">
        <v>1.7000000000000001E-2</v>
      </c>
      <c r="G4468" s="130">
        <v>0</v>
      </c>
      <c r="H4468" s="71">
        <v>8.6999999999999993</v>
      </c>
      <c r="I4468" s="71">
        <v>11.4</v>
      </c>
      <c r="J4468" s="71">
        <v>13.9</v>
      </c>
      <c r="K4468" s="121">
        <v>3.9000000000000003E-3</v>
      </c>
      <c r="L4468" s="121">
        <v>-7.0000000000000001E-3</v>
      </c>
      <c r="M4468" s="75" t="s">
        <v>146</v>
      </c>
      <c r="N4468" s="75" t="b">
        <v>1</v>
      </c>
      <c r="O4468" s="75" t="s">
        <v>145</v>
      </c>
      <c r="P4468" s="75">
        <v>2014</v>
      </c>
      <c r="Q4468" s="107">
        <f t="shared" si="138"/>
        <v>2020</v>
      </c>
      <c r="R4468" s="107">
        <v>2</v>
      </c>
      <c r="S4468" s="43">
        <v>220078</v>
      </c>
      <c r="T4468" s="74">
        <v>43984</v>
      </c>
    </row>
    <row r="4469" spans="1:20" x14ac:dyDescent="0.3">
      <c r="A4469" s="42">
        <v>43929</v>
      </c>
      <c r="B4469" s="37">
        <f t="shared" si="137"/>
        <v>20200408</v>
      </c>
      <c r="C4469" s="109">
        <v>1.1899999999999999E-2</v>
      </c>
      <c r="D4469" s="109">
        <v>1.4999999999999999E-2</v>
      </c>
      <c r="E4469" s="109">
        <v>1.6E-2</v>
      </c>
      <c r="F4469" s="109">
        <v>1.7000000000000001E-2</v>
      </c>
      <c r="G4469" s="130">
        <v>0</v>
      </c>
      <c r="H4469" s="71">
        <v>8.6999999999999993</v>
      </c>
      <c r="I4469" s="71">
        <v>11.4</v>
      </c>
      <c r="J4469" s="71">
        <v>13.9</v>
      </c>
      <c r="K4469" s="121">
        <v>3.8E-3</v>
      </c>
      <c r="L4469" s="121">
        <v>-7.0000000000000001E-3</v>
      </c>
      <c r="M4469" s="75" t="s">
        <v>146</v>
      </c>
      <c r="N4469" s="75" t="b">
        <v>1</v>
      </c>
      <c r="O4469" s="75" t="s">
        <v>145</v>
      </c>
      <c r="P4469" s="75">
        <v>2014</v>
      </c>
      <c r="Q4469" s="107">
        <f t="shared" si="138"/>
        <v>2020</v>
      </c>
      <c r="R4469" s="107">
        <v>2</v>
      </c>
      <c r="S4469" s="43">
        <v>220078</v>
      </c>
      <c r="T4469" s="74">
        <v>43984</v>
      </c>
    </row>
    <row r="4470" spans="1:20" x14ac:dyDescent="0.3">
      <c r="A4470" s="42">
        <v>43930</v>
      </c>
      <c r="B4470" s="37">
        <f t="shared" si="137"/>
        <v>20200409</v>
      </c>
      <c r="C4470" s="109">
        <v>1.1699999999999999E-2</v>
      </c>
      <c r="D4470" s="109">
        <v>1.4999999999999999E-2</v>
      </c>
      <c r="E4470" s="109">
        <v>1.6E-2</v>
      </c>
      <c r="F4470" s="109">
        <v>1.7000000000000001E-2</v>
      </c>
      <c r="G4470" s="130">
        <v>0</v>
      </c>
      <c r="H4470" s="71">
        <v>8.6999999999999993</v>
      </c>
      <c r="I4470" s="71">
        <v>11.4</v>
      </c>
      <c r="J4470" s="71">
        <v>13.9</v>
      </c>
      <c r="K4470" s="121">
        <v>3.4999999999999996E-3</v>
      </c>
      <c r="L4470" s="121">
        <v>-7.0000000000000001E-3</v>
      </c>
      <c r="M4470" s="75" t="s">
        <v>146</v>
      </c>
      <c r="N4470" s="75" t="b">
        <v>1</v>
      </c>
      <c r="O4470" s="75" t="s">
        <v>145</v>
      </c>
      <c r="P4470" s="75">
        <v>2014</v>
      </c>
      <c r="Q4470" s="107">
        <f t="shared" si="138"/>
        <v>2020</v>
      </c>
      <c r="R4470" s="107">
        <v>2</v>
      </c>
      <c r="S4470" s="43">
        <v>220078</v>
      </c>
      <c r="T4470" s="74">
        <v>43984</v>
      </c>
    </row>
    <row r="4471" spans="1:20" x14ac:dyDescent="0.3">
      <c r="A4471" s="42">
        <v>43931</v>
      </c>
      <c r="B4471" s="37">
        <f t="shared" si="137"/>
        <v>20200410</v>
      </c>
      <c r="C4471" s="109">
        <v>1.1699999999999999E-2</v>
      </c>
      <c r="D4471" s="109">
        <v>1.4999999999999999E-2</v>
      </c>
      <c r="E4471" s="109">
        <v>1.6E-2</v>
      </c>
      <c r="F4471" s="109">
        <v>1.7000000000000001E-2</v>
      </c>
      <c r="G4471" s="130">
        <v>0</v>
      </c>
      <c r="H4471" s="71">
        <v>8.6999999999999993</v>
      </c>
      <c r="I4471" s="71">
        <v>11.4</v>
      </c>
      <c r="J4471" s="71">
        <v>13.9</v>
      </c>
      <c r="K4471" s="121">
        <v>3.4999999999999996E-3</v>
      </c>
      <c r="L4471" s="121">
        <v>-7.0000000000000001E-3</v>
      </c>
      <c r="M4471" s="75" t="s">
        <v>146</v>
      </c>
      <c r="N4471" s="75" t="b">
        <v>1</v>
      </c>
      <c r="O4471" s="75" t="s">
        <v>145</v>
      </c>
      <c r="P4471" s="75">
        <v>2014</v>
      </c>
      <c r="Q4471" s="107">
        <f t="shared" si="138"/>
        <v>2020</v>
      </c>
      <c r="R4471" s="107">
        <v>2</v>
      </c>
      <c r="S4471" s="43">
        <v>220078</v>
      </c>
      <c r="T4471" s="74">
        <v>43984</v>
      </c>
    </row>
    <row r="4472" spans="1:20" x14ac:dyDescent="0.3">
      <c r="A4472" s="42">
        <v>43932</v>
      </c>
      <c r="B4472" s="37">
        <f>YEAR(A4472)*10000+MONTH(A4472)*100+DAY(A4472)</f>
        <v>20200411</v>
      </c>
      <c r="C4472" s="109">
        <v>1.1699999999999999E-2</v>
      </c>
      <c r="D4472" s="109">
        <v>1.4999999999999999E-2</v>
      </c>
      <c r="E4472" s="109">
        <v>1.6E-2</v>
      </c>
      <c r="F4472" s="109">
        <v>1.7000000000000001E-2</v>
      </c>
      <c r="G4472" s="130">
        <v>0</v>
      </c>
      <c r="H4472" s="71">
        <v>8.6999999999999993</v>
      </c>
      <c r="I4472" s="71">
        <v>11.4</v>
      </c>
      <c r="J4472" s="71">
        <v>13.9</v>
      </c>
      <c r="K4472" s="121">
        <v>3.4999999999999996E-3</v>
      </c>
      <c r="L4472" s="121">
        <v>-7.0000000000000001E-3</v>
      </c>
      <c r="M4472" s="75" t="s">
        <v>146</v>
      </c>
      <c r="N4472" s="75" t="b">
        <v>1</v>
      </c>
      <c r="O4472" s="75" t="s">
        <v>145</v>
      </c>
      <c r="P4472" s="75">
        <v>2014</v>
      </c>
      <c r="Q4472" s="107">
        <f t="shared" si="138"/>
        <v>2020</v>
      </c>
      <c r="R4472" s="107">
        <v>2</v>
      </c>
      <c r="S4472" s="43">
        <v>220078</v>
      </c>
      <c r="T4472" s="74">
        <v>43984</v>
      </c>
    </row>
    <row r="4473" spans="1:20" x14ac:dyDescent="0.3">
      <c r="A4473" s="42">
        <v>43933</v>
      </c>
      <c r="B4473" s="37">
        <f>YEAR(A4473)*10000+MONTH(A4473)*100+DAY(A4473)</f>
        <v>20200412</v>
      </c>
      <c r="C4473" s="109">
        <v>1.1699999999999999E-2</v>
      </c>
      <c r="D4473" s="109">
        <v>1.4999999999999999E-2</v>
      </c>
      <c r="E4473" s="109">
        <v>1.6E-2</v>
      </c>
      <c r="F4473" s="109">
        <v>1.7000000000000001E-2</v>
      </c>
      <c r="G4473" s="130">
        <v>0</v>
      </c>
      <c r="H4473" s="71">
        <v>8.6999999999999993</v>
      </c>
      <c r="I4473" s="71">
        <v>11.4</v>
      </c>
      <c r="J4473" s="71">
        <v>13.9</v>
      </c>
      <c r="K4473" s="121">
        <v>3.4999999999999996E-3</v>
      </c>
      <c r="L4473" s="121">
        <v>-7.0000000000000001E-3</v>
      </c>
      <c r="M4473" s="75" t="s">
        <v>146</v>
      </c>
      <c r="N4473" s="75" t="b">
        <v>1</v>
      </c>
      <c r="O4473" s="75" t="s">
        <v>145</v>
      </c>
      <c r="P4473" s="75">
        <v>2014</v>
      </c>
      <c r="Q4473" s="107">
        <f t="shared" si="138"/>
        <v>2020</v>
      </c>
      <c r="R4473" s="107">
        <v>2</v>
      </c>
      <c r="S4473" s="43">
        <v>220078</v>
      </c>
      <c r="T4473" s="74">
        <v>43984</v>
      </c>
    </row>
    <row r="4474" spans="1:20" x14ac:dyDescent="0.3">
      <c r="A4474" s="42">
        <v>43934</v>
      </c>
      <c r="B4474" s="37">
        <f t="shared" si="137"/>
        <v>20200413</v>
      </c>
      <c r="C4474" s="109">
        <v>1.1599999999999999E-2</v>
      </c>
      <c r="D4474" s="109">
        <v>1.4999999999999999E-2</v>
      </c>
      <c r="E4474" s="109">
        <v>1.6E-2</v>
      </c>
      <c r="F4474" s="109">
        <v>1.7000000000000001E-2</v>
      </c>
      <c r="G4474" s="130">
        <v>0</v>
      </c>
      <c r="H4474" s="71">
        <v>8.6999999999999993</v>
      </c>
      <c r="I4474" s="71">
        <v>11.4</v>
      </c>
      <c r="J4474" s="71">
        <v>13.9</v>
      </c>
      <c r="K4474" s="121">
        <v>3.2000000000000002E-3</v>
      </c>
      <c r="L4474" s="121">
        <v>-7.0000000000000001E-3</v>
      </c>
      <c r="M4474" s="75" t="s">
        <v>146</v>
      </c>
      <c r="N4474" s="75" t="b">
        <v>1</v>
      </c>
      <c r="O4474" s="75" t="s">
        <v>145</v>
      </c>
      <c r="P4474" s="75">
        <v>2014</v>
      </c>
      <c r="Q4474" s="107">
        <f t="shared" si="138"/>
        <v>2020</v>
      </c>
      <c r="R4474" s="107">
        <v>2</v>
      </c>
      <c r="S4474" s="43">
        <v>220078</v>
      </c>
      <c r="T4474" s="74">
        <v>43984</v>
      </c>
    </row>
    <row r="4475" spans="1:20" x14ac:dyDescent="0.3">
      <c r="A4475" s="42">
        <v>43935</v>
      </c>
      <c r="B4475" s="37">
        <f t="shared" si="137"/>
        <v>20200414</v>
      </c>
      <c r="C4475" s="109">
        <v>1.2199999999999999E-2</v>
      </c>
      <c r="D4475" s="109">
        <v>1.4999999999999999E-2</v>
      </c>
      <c r="E4475" s="109">
        <v>1.6E-2</v>
      </c>
      <c r="F4475" s="109">
        <v>1.7000000000000001E-2</v>
      </c>
      <c r="G4475" s="130">
        <v>0</v>
      </c>
      <c r="H4475" s="71">
        <v>8.6999999999999993</v>
      </c>
      <c r="I4475" s="71">
        <v>11.4</v>
      </c>
      <c r="J4475" s="71">
        <v>13.9</v>
      </c>
      <c r="K4475" s="121">
        <v>3.8E-3</v>
      </c>
      <c r="L4475" s="121">
        <v>-7.0000000000000001E-3</v>
      </c>
      <c r="M4475" s="75" t="s">
        <v>146</v>
      </c>
      <c r="N4475" s="75" t="b">
        <v>1</v>
      </c>
      <c r="O4475" s="75" t="s">
        <v>145</v>
      </c>
      <c r="P4475" s="75">
        <v>2014</v>
      </c>
      <c r="Q4475" s="107">
        <f t="shared" si="138"/>
        <v>2020</v>
      </c>
      <c r="R4475" s="107">
        <v>2</v>
      </c>
      <c r="S4475" s="43">
        <v>220078</v>
      </c>
      <c r="T4475" s="74">
        <v>43984</v>
      </c>
    </row>
    <row r="4476" spans="1:20" x14ac:dyDescent="0.3">
      <c r="A4476" s="42">
        <v>43936</v>
      </c>
      <c r="B4476" s="37">
        <f t="shared" si="137"/>
        <v>20200415</v>
      </c>
      <c r="C4476" s="109">
        <v>1.1200000000000002E-2</v>
      </c>
      <c r="D4476" s="109">
        <v>1.4999999999999999E-2</v>
      </c>
      <c r="E4476" s="109">
        <v>1.6E-2</v>
      </c>
      <c r="F4476" s="109">
        <v>1.7000000000000001E-2</v>
      </c>
      <c r="G4476" s="130">
        <v>0</v>
      </c>
      <c r="H4476" s="71">
        <v>8.6999999999999993</v>
      </c>
      <c r="I4476" s="71">
        <v>11.4</v>
      </c>
      <c r="J4476" s="71">
        <v>13.9</v>
      </c>
      <c r="K4476" s="121">
        <v>3.4000000000000002E-3</v>
      </c>
      <c r="L4476" s="121">
        <v>-7.0000000000000001E-3</v>
      </c>
      <c r="M4476" s="75" t="s">
        <v>146</v>
      </c>
      <c r="N4476" s="75" t="b">
        <v>1</v>
      </c>
      <c r="O4476" s="75" t="s">
        <v>145</v>
      </c>
      <c r="P4476" s="75">
        <v>2014</v>
      </c>
      <c r="Q4476" s="107">
        <f t="shared" si="138"/>
        <v>2020</v>
      </c>
      <c r="R4476" s="107">
        <v>2</v>
      </c>
      <c r="S4476" s="43">
        <v>220078</v>
      </c>
      <c r="T4476" s="74">
        <v>43984</v>
      </c>
    </row>
    <row r="4477" spans="1:20" x14ac:dyDescent="0.3">
      <c r="A4477" s="42">
        <v>43937</v>
      </c>
      <c r="B4477" s="37">
        <f t="shared" si="137"/>
        <v>20200416</v>
      </c>
      <c r="C4477" s="109">
        <v>1.0700000000000001E-2</v>
      </c>
      <c r="D4477" s="109">
        <v>1.4999999999999999E-2</v>
      </c>
      <c r="E4477" s="109">
        <v>1.6E-2</v>
      </c>
      <c r="F4477" s="109">
        <v>1.7000000000000001E-2</v>
      </c>
      <c r="G4477" s="130">
        <v>0</v>
      </c>
      <c r="H4477" s="71">
        <v>8.6999999999999993</v>
      </c>
      <c r="I4477" s="71">
        <v>11.4</v>
      </c>
      <c r="J4477" s="71">
        <v>13.9</v>
      </c>
      <c r="K4477" s="121">
        <v>3.4999999999999996E-3</v>
      </c>
      <c r="L4477" s="121">
        <v>-7.0000000000000001E-3</v>
      </c>
      <c r="M4477" s="75" t="s">
        <v>146</v>
      </c>
      <c r="N4477" s="75" t="b">
        <v>1</v>
      </c>
      <c r="O4477" s="75" t="s">
        <v>145</v>
      </c>
      <c r="P4477" s="75">
        <v>2014</v>
      </c>
      <c r="Q4477" s="107">
        <f t="shared" si="138"/>
        <v>2020</v>
      </c>
      <c r="R4477" s="107">
        <v>2</v>
      </c>
      <c r="S4477" s="43">
        <v>220078</v>
      </c>
      <c r="T4477" s="74">
        <v>43984</v>
      </c>
    </row>
    <row r="4478" spans="1:20" x14ac:dyDescent="0.3">
      <c r="A4478" s="42">
        <v>43938</v>
      </c>
      <c r="B4478" s="37">
        <f t="shared" si="137"/>
        <v>20200417</v>
      </c>
      <c r="C4478" s="109">
        <v>1.11E-2</v>
      </c>
      <c r="D4478" s="109">
        <v>1.4999999999999999E-2</v>
      </c>
      <c r="E4478" s="109">
        <v>1.6E-2</v>
      </c>
      <c r="F4478" s="109">
        <v>1.7000000000000001E-2</v>
      </c>
      <c r="G4478" s="130">
        <v>0</v>
      </c>
      <c r="H4478" s="71">
        <v>8.6999999999999993</v>
      </c>
      <c r="I4478" s="71">
        <v>11.4</v>
      </c>
      <c r="J4478" s="71">
        <v>13.9</v>
      </c>
      <c r="K4478" s="121">
        <v>3.9000000000000003E-3</v>
      </c>
      <c r="L4478" s="121">
        <v>-7.0000000000000001E-3</v>
      </c>
      <c r="M4478" s="75" t="s">
        <v>146</v>
      </c>
      <c r="N4478" s="75" t="b">
        <v>1</v>
      </c>
      <c r="O4478" s="75" t="s">
        <v>145</v>
      </c>
      <c r="P4478" s="75">
        <v>2014</v>
      </c>
      <c r="Q4478" s="107">
        <f t="shared" si="138"/>
        <v>2020</v>
      </c>
      <c r="R4478" s="107">
        <v>2</v>
      </c>
      <c r="S4478" s="43">
        <v>220078</v>
      </c>
      <c r="T4478" s="74">
        <v>43984</v>
      </c>
    </row>
    <row r="4479" spans="1:20" x14ac:dyDescent="0.3">
      <c r="A4479" s="42">
        <v>43939</v>
      </c>
      <c r="B4479" s="37">
        <f>YEAR(A4479)*10000+MONTH(A4479)*100+DAY(A4479)</f>
        <v>20200418</v>
      </c>
      <c r="C4479" s="109">
        <v>1.11E-2</v>
      </c>
      <c r="D4479" s="109">
        <v>1.4999999999999999E-2</v>
      </c>
      <c r="E4479" s="109">
        <v>1.6E-2</v>
      </c>
      <c r="F4479" s="109">
        <v>1.7000000000000001E-2</v>
      </c>
      <c r="G4479" s="130">
        <v>0</v>
      </c>
      <c r="H4479" s="71">
        <v>8.6999999999999993</v>
      </c>
      <c r="I4479" s="71">
        <v>11.4</v>
      </c>
      <c r="J4479" s="71">
        <v>13.9</v>
      </c>
      <c r="K4479" s="121">
        <v>3.9000000000000003E-3</v>
      </c>
      <c r="L4479" s="121">
        <v>-7.0000000000000001E-3</v>
      </c>
      <c r="M4479" s="75" t="s">
        <v>146</v>
      </c>
      <c r="N4479" s="75" t="b">
        <v>1</v>
      </c>
      <c r="O4479" s="75" t="s">
        <v>145</v>
      </c>
      <c r="P4479" s="75">
        <v>2014</v>
      </c>
      <c r="Q4479" s="107">
        <f t="shared" si="138"/>
        <v>2020</v>
      </c>
      <c r="R4479" s="107">
        <v>2</v>
      </c>
      <c r="S4479" s="43">
        <v>220078</v>
      </c>
      <c r="T4479" s="74">
        <v>43984</v>
      </c>
    </row>
    <row r="4480" spans="1:20" x14ac:dyDescent="0.3">
      <c r="A4480" s="42">
        <v>43940</v>
      </c>
      <c r="B4480" s="37">
        <f>YEAR(A4480)*10000+MONTH(A4480)*100+DAY(A4480)</f>
        <v>20200419</v>
      </c>
      <c r="C4480" s="109">
        <v>1.11E-2</v>
      </c>
      <c r="D4480" s="109">
        <v>1.4999999999999999E-2</v>
      </c>
      <c r="E4480" s="109">
        <v>1.6E-2</v>
      </c>
      <c r="F4480" s="109">
        <v>1.7000000000000001E-2</v>
      </c>
      <c r="G4480" s="130">
        <v>0</v>
      </c>
      <c r="H4480" s="71">
        <v>8.6999999999999993</v>
      </c>
      <c r="I4480" s="71">
        <v>11.4</v>
      </c>
      <c r="J4480" s="71">
        <v>13.9</v>
      </c>
      <c r="K4480" s="121">
        <v>3.9000000000000003E-3</v>
      </c>
      <c r="L4480" s="121">
        <v>-7.0000000000000001E-3</v>
      </c>
      <c r="M4480" s="75" t="s">
        <v>146</v>
      </c>
      <c r="N4480" s="75" t="b">
        <v>1</v>
      </c>
      <c r="O4480" s="75" t="s">
        <v>145</v>
      </c>
      <c r="P4480" s="75">
        <v>2014</v>
      </c>
      <c r="Q4480" s="107">
        <f t="shared" si="138"/>
        <v>2020</v>
      </c>
      <c r="R4480" s="107">
        <v>2</v>
      </c>
      <c r="S4480" s="43">
        <v>220078</v>
      </c>
      <c r="T4480" s="74">
        <v>43984</v>
      </c>
    </row>
    <row r="4481" spans="1:20" x14ac:dyDescent="0.3">
      <c r="A4481" s="42">
        <v>43941</v>
      </c>
      <c r="B4481" s="37">
        <f t="shared" si="137"/>
        <v>20200420</v>
      </c>
      <c r="C4481" s="109">
        <v>1.09E-2</v>
      </c>
      <c r="D4481" s="109">
        <v>1.4999999999999999E-2</v>
      </c>
      <c r="E4481" s="109">
        <v>1.6E-2</v>
      </c>
      <c r="F4481" s="109">
        <v>1.7000000000000001E-2</v>
      </c>
      <c r="G4481" s="130">
        <v>0</v>
      </c>
      <c r="H4481" s="71">
        <v>8.6999999999999993</v>
      </c>
      <c r="I4481" s="71">
        <v>11.4</v>
      </c>
      <c r="J4481" s="71">
        <v>13.9</v>
      </c>
      <c r="K4481" s="121">
        <v>4.0999999999999995E-3</v>
      </c>
      <c r="L4481" s="121">
        <v>-7.0000000000000001E-3</v>
      </c>
      <c r="M4481" s="75" t="s">
        <v>146</v>
      </c>
      <c r="N4481" s="75" t="b">
        <v>1</v>
      </c>
      <c r="O4481" s="75" t="s">
        <v>145</v>
      </c>
      <c r="P4481" s="75">
        <v>2014</v>
      </c>
      <c r="Q4481" s="107">
        <f t="shared" si="138"/>
        <v>2020</v>
      </c>
      <c r="R4481" s="107">
        <v>2</v>
      </c>
      <c r="S4481" s="43">
        <v>220078</v>
      </c>
      <c r="T4481" s="74">
        <v>43984</v>
      </c>
    </row>
    <row r="4482" spans="1:20" x14ac:dyDescent="0.3">
      <c r="A4482" s="42">
        <v>43942</v>
      </c>
      <c r="B4482" s="37">
        <f t="shared" si="137"/>
        <v>20200421</v>
      </c>
      <c r="C4482" s="109">
        <v>1.04E-2</v>
      </c>
      <c r="D4482" s="109">
        <v>1.4999999999999999E-2</v>
      </c>
      <c r="E4482" s="109">
        <v>1.6E-2</v>
      </c>
      <c r="F4482" s="109">
        <v>1.7000000000000001E-2</v>
      </c>
      <c r="G4482" s="130">
        <v>0</v>
      </c>
      <c r="H4482" s="71">
        <v>8.6999999999999993</v>
      </c>
      <c r="I4482" s="71">
        <v>11.4</v>
      </c>
      <c r="J4482" s="71">
        <v>13.9</v>
      </c>
      <c r="K4482" s="121">
        <v>3.5999999999999999E-3</v>
      </c>
      <c r="L4482" s="121">
        <v>-7.0000000000000001E-3</v>
      </c>
      <c r="M4482" s="75" t="s">
        <v>146</v>
      </c>
      <c r="N4482" s="75" t="b">
        <v>1</v>
      </c>
      <c r="O4482" s="75" t="s">
        <v>145</v>
      </c>
      <c r="P4482" s="75">
        <v>2014</v>
      </c>
      <c r="Q4482" s="107">
        <f t="shared" si="138"/>
        <v>2020</v>
      </c>
      <c r="R4482" s="107">
        <v>2</v>
      </c>
      <c r="S4482" s="43">
        <v>220078</v>
      </c>
      <c r="T4482" s="74">
        <v>43984</v>
      </c>
    </row>
    <row r="4483" spans="1:20" x14ac:dyDescent="0.3">
      <c r="A4483" s="42">
        <v>43943</v>
      </c>
      <c r="B4483" s="37">
        <f t="shared" si="137"/>
        <v>20200422</v>
      </c>
      <c r="C4483" s="109">
        <v>1.0500000000000001E-2</v>
      </c>
      <c r="D4483" s="109">
        <v>1.4999999999999999E-2</v>
      </c>
      <c r="E4483" s="109">
        <v>1.6E-2</v>
      </c>
      <c r="F4483" s="109">
        <v>1.7000000000000001E-2</v>
      </c>
      <c r="G4483" s="130">
        <v>0</v>
      </c>
      <c r="H4483" s="71">
        <v>8.6999999999999993</v>
      </c>
      <c r="I4483" s="71">
        <v>11.4</v>
      </c>
      <c r="J4483" s="71">
        <v>13.9</v>
      </c>
      <c r="K4483" s="121">
        <v>3.8E-3</v>
      </c>
      <c r="L4483" s="121">
        <v>-7.0000000000000001E-3</v>
      </c>
      <c r="M4483" s="75" t="s">
        <v>146</v>
      </c>
      <c r="N4483" s="75" t="b">
        <v>1</v>
      </c>
      <c r="O4483" s="75" t="s">
        <v>145</v>
      </c>
      <c r="P4483" s="75">
        <v>2014</v>
      </c>
      <c r="Q4483" s="107">
        <f t="shared" si="138"/>
        <v>2020</v>
      </c>
      <c r="R4483" s="107">
        <v>2</v>
      </c>
      <c r="S4483" s="43">
        <v>220078</v>
      </c>
      <c r="T4483" s="74">
        <v>43984</v>
      </c>
    </row>
    <row r="4484" spans="1:20" x14ac:dyDescent="0.3">
      <c r="A4484" s="42">
        <v>43944</v>
      </c>
      <c r="B4484" s="37">
        <f t="shared" ref="B4484:B4548" si="139">YEAR(A4484)*10000+MONTH(A4484)*100+DAY(A4484)</f>
        <v>20200423</v>
      </c>
      <c r="C4484" s="109">
        <v>1.03E-2</v>
      </c>
      <c r="D4484" s="109">
        <v>1.4999999999999999E-2</v>
      </c>
      <c r="E4484" s="109">
        <v>1.6E-2</v>
      </c>
      <c r="F4484" s="109">
        <v>1.7000000000000001E-2</v>
      </c>
      <c r="G4484" s="130">
        <v>0</v>
      </c>
      <c r="H4484" s="71">
        <v>8.6999999999999993</v>
      </c>
      <c r="I4484" s="71">
        <v>11.4</v>
      </c>
      <c r="J4484" s="71">
        <v>13.9</v>
      </c>
      <c r="K4484" s="121">
        <v>3.3E-3</v>
      </c>
      <c r="L4484" s="121">
        <v>-7.0000000000000001E-3</v>
      </c>
      <c r="M4484" s="75" t="s">
        <v>146</v>
      </c>
      <c r="N4484" s="75" t="b">
        <v>1</v>
      </c>
      <c r="O4484" s="75" t="s">
        <v>145</v>
      </c>
      <c r="P4484" s="75">
        <v>2014</v>
      </c>
      <c r="Q4484" s="107">
        <f t="shared" si="138"/>
        <v>2020</v>
      </c>
      <c r="R4484" s="107">
        <v>2</v>
      </c>
      <c r="S4484" s="43">
        <v>220078</v>
      </c>
      <c r="T4484" s="74">
        <v>43984</v>
      </c>
    </row>
    <row r="4485" spans="1:20" x14ac:dyDescent="0.3">
      <c r="A4485" s="42">
        <v>43945</v>
      </c>
      <c r="B4485" s="37">
        <f t="shared" si="139"/>
        <v>20200424</v>
      </c>
      <c r="C4485" s="109">
        <v>1.01E-2</v>
      </c>
      <c r="D4485" s="109">
        <v>1.4999999999999999E-2</v>
      </c>
      <c r="E4485" s="109">
        <v>1.6E-2</v>
      </c>
      <c r="F4485" s="109">
        <v>1.7000000000000001E-2</v>
      </c>
      <c r="G4485" s="130">
        <v>0</v>
      </c>
      <c r="H4485" s="71">
        <v>8.6999999999999993</v>
      </c>
      <c r="I4485" s="71">
        <v>11.4</v>
      </c>
      <c r="J4485" s="71">
        <v>13.9</v>
      </c>
      <c r="K4485" s="121">
        <v>2.7000000000000001E-3</v>
      </c>
      <c r="L4485" s="121">
        <v>-7.0000000000000001E-3</v>
      </c>
      <c r="M4485" s="75" t="s">
        <v>146</v>
      </c>
      <c r="N4485" s="75" t="b">
        <v>1</v>
      </c>
      <c r="O4485" s="75" t="s">
        <v>145</v>
      </c>
      <c r="P4485" s="75">
        <v>2014</v>
      </c>
      <c r="Q4485" s="107">
        <f t="shared" si="138"/>
        <v>2020</v>
      </c>
      <c r="R4485" s="107">
        <v>2</v>
      </c>
      <c r="S4485" s="43">
        <v>220078</v>
      </c>
      <c r="T4485" s="74">
        <v>43984</v>
      </c>
    </row>
    <row r="4486" spans="1:20" x14ac:dyDescent="0.3">
      <c r="A4486" s="42">
        <v>43946</v>
      </c>
      <c r="B4486" s="37">
        <f>YEAR(A4486)*10000+MONTH(A4486)*100+DAY(A4486)</f>
        <v>20200425</v>
      </c>
      <c r="C4486" s="109">
        <v>1.01E-2</v>
      </c>
      <c r="D4486" s="109">
        <v>1.4999999999999999E-2</v>
      </c>
      <c r="E4486" s="109">
        <v>1.6E-2</v>
      </c>
      <c r="F4486" s="109">
        <v>1.7000000000000001E-2</v>
      </c>
      <c r="G4486" s="130">
        <v>0</v>
      </c>
      <c r="H4486" s="71">
        <v>8.6999999999999993</v>
      </c>
      <c r="I4486" s="71">
        <v>11.4</v>
      </c>
      <c r="J4486" s="71">
        <v>13.9</v>
      </c>
      <c r="K4486" s="121">
        <v>2.7000000000000001E-3</v>
      </c>
      <c r="L4486" s="121">
        <v>-7.0000000000000001E-3</v>
      </c>
      <c r="M4486" s="75" t="s">
        <v>146</v>
      </c>
      <c r="N4486" s="75" t="b">
        <v>1</v>
      </c>
      <c r="O4486" s="75" t="s">
        <v>145</v>
      </c>
      <c r="P4486" s="75">
        <v>2014</v>
      </c>
      <c r="Q4486" s="107">
        <f t="shared" si="138"/>
        <v>2020</v>
      </c>
      <c r="R4486" s="107">
        <v>2</v>
      </c>
      <c r="S4486" s="43">
        <v>220078</v>
      </c>
      <c r="T4486" s="74">
        <v>43984</v>
      </c>
    </row>
    <row r="4487" spans="1:20" x14ac:dyDescent="0.3">
      <c r="A4487" s="42">
        <v>43947</v>
      </c>
      <c r="B4487" s="37">
        <f>YEAR(A4487)*10000+MONTH(A4487)*100+DAY(A4487)</f>
        <v>20200426</v>
      </c>
      <c r="C4487" s="109">
        <v>1.01E-2</v>
      </c>
      <c r="D4487" s="109">
        <v>1.4999999999999999E-2</v>
      </c>
      <c r="E4487" s="109">
        <v>1.6E-2</v>
      </c>
      <c r="F4487" s="109">
        <v>1.7000000000000001E-2</v>
      </c>
      <c r="G4487" s="130">
        <v>0</v>
      </c>
      <c r="H4487" s="71">
        <v>8.6999999999999993</v>
      </c>
      <c r="I4487" s="71">
        <v>11.4</v>
      </c>
      <c r="J4487" s="71">
        <v>13.9</v>
      </c>
      <c r="K4487" s="121">
        <v>2.7000000000000001E-3</v>
      </c>
      <c r="L4487" s="121">
        <v>-7.0000000000000001E-3</v>
      </c>
      <c r="M4487" s="75" t="s">
        <v>146</v>
      </c>
      <c r="N4487" s="75" t="b">
        <v>1</v>
      </c>
      <c r="O4487" s="75" t="s">
        <v>145</v>
      </c>
      <c r="P4487" s="75">
        <v>2014</v>
      </c>
      <c r="Q4487" s="107">
        <f t="shared" si="138"/>
        <v>2020</v>
      </c>
      <c r="R4487" s="107">
        <v>2</v>
      </c>
      <c r="S4487" s="43">
        <v>220078</v>
      </c>
      <c r="T4487" s="74">
        <v>43984</v>
      </c>
    </row>
    <row r="4488" spans="1:20" x14ac:dyDescent="0.3">
      <c r="A4488" s="42">
        <v>43948</v>
      </c>
      <c r="B4488" s="37">
        <f t="shared" si="139"/>
        <v>20200427</v>
      </c>
      <c r="C4488" s="109">
        <v>1.0500000000000001E-2</v>
      </c>
      <c r="D4488" s="109">
        <v>1.4999999999999999E-2</v>
      </c>
      <c r="E4488" s="109">
        <v>1.6E-2</v>
      </c>
      <c r="F4488" s="109">
        <v>1.7000000000000001E-2</v>
      </c>
      <c r="G4488" s="130">
        <v>0</v>
      </c>
      <c r="H4488" s="71">
        <v>8.6999999999999993</v>
      </c>
      <c r="I4488" s="71">
        <v>11.4</v>
      </c>
      <c r="J4488" s="71">
        <v>13.9</v>
      </c>
      <c r="K4488" s="121">
        <v>2.7000000000000001E-3</v>
      </c>
      <c r="L4488" s="121">
        <v>-7.0000000000000001E-3</v>
      </c>
      <c r="M4488" s="75" t="s">
        <v>146</v>
      </c>
      <c r="N4488" s="75" t="b">
        <v>1</v>
      </c>
      <c r="O4488" s="75" t="s">
        <v>145</v>
      </c>
      <c r="P4488" s="75">
        <v>2014</v>
      </c>
      <c r="Q4488" s="107">
        <f t="shared" si="138"/>
        <v>2020</v>
      </c>
      <c r="R4488" s="107">
        <v>2</v>
      </c>
      <c r="S4488" s="43">
        <v>220078</v>
      </c>
      <c r="T4488" s="74">
        <v>43984</v>
      </c>
    </row>
    <row r="4489" spans="1:20" x14ac:dyDescent="0.3">
      <c r="A4489" s="42">
        <v>43949</v>
      </c>
      <c r="B4489" s="37">
        <f t="shared" si="139"/>
        <v>20200428</v>
      </c>
      <c r="C4489" s="109">
        <v>0.01</v>
      </c>
      <c r="D4489" s="109">
        <v>1.4999999999999999E-2</v>
      </c>
      <c r="E4489" s="109">
        <v>1.6E-2</v>
      </c>
      <c r="F4489" s="109">
        <v>1.7000000000000001E-2</v>
      </c>
      <c r="G4489" s="130">
        <v>0</v>
      </c>
      <c r="H4489" s="71">
        <v>8.6999999999999993</v>
      </c>
      <c r="I4489" s="71">
        <v>11.4</v>
      </c>
      <c r="J4489" s="71">
        <v>13.9</v>
      </c>
      <c r="K4489" s="121">
        <v>2.5000000000000001E-3</v>
      </c>
      <c r="L4489" s="121">
        <v>-7.0000000000000001E-3</v>
      </c>
      <c r="M4489" s="75" t="s">
        <v>146</v>
      </c>
      <c r="N4489" s="75" t="b">
        <v>1</v>
      </c>
      <c r="O4489" s="75" t="s">
        <v>145</v>
      </c>
      <c r="P4489" s="75">
        <v>2014</v>
      </c>
      <c r="Q4489" s="107">
        <f t="shared" si="138"/>
        <v>2020</v>
      </c>
      <c r="R4489" s="107">
        <v>2</v>
      </c>
      <c r="S4489" s="43">
        <v>220078</v>
      </c>
      <c r="T4489" s="74">
        <v>43984</v>
      </c>
    </row>
    <row r="4490" spans="1:20" x14ac:dyDescent="0.3">
      <c r="A4490" s="42">
        <v>43950</v>
      </c>
      <c r="B4490" s="37">
        <f t="shared" si="139"/>
        <v>20200429</v>
      </c>
      <c r="C4490" s="109">
        <v>9.8999999999999991E-3</v>
      </c>
      <c r="D4490" s="109">
        <v>1.4999999999999999E-2</v>
      </c>
      <c r="E4490" s="109">
        <v>1.6E-2</v>
      </c>
      <c r="F4490" s="109">
        <v>1.7000000000000001E-2</v>
      </c>
      <c r="G4490" s="130">
        <v>0</v>
      </c>
      <c r="H4490" s="71">
        <v>8.6999999999999993</v>
      </c>
      <c r="I4490" s="71">
        <v>11.4</v>
      </c>
      <c r="J4490" s="71">
        <v>13.9</v>
      </c>
      <c r="K4490" s="121">
        <v>2.3E-3</v>
      </c>
      <c r="L4490" s="121">
        <v>-7.0000000000000001E-3</v>
      </c>
      <c r="M4490" s="75" t="s">
        <v>146</v>
      </c>
      <c r="N4490" s="75" t="b">
        <v>1</v>
      </c>
      <c r="O4490" s="75" t="s">
        <v>145</v>
      </c>
      <c r="P4490" s="75">
        <v>2014</v>
      </c>
      <c r="Q4490" s="107">
        <f t="shared" si="138"/>
        <v>2020</v>
      </c>
      <c r="R4490" s="107">
        <v>2</v>
      </c>
      <c r="S4490" s="43">
        <v>220078</v>
      </c>
      <c r="T4490" s="74">
        <v>43984</v>
      </c>
    </row>
    <row r="4491" spans="1:20" x14ac:dyDescent="0.3">
      <c r="A4491" s="42">
        <v>43951</v>
      </c>
      <c r="B4491" s="37">
        <f t="shared" si="139"/>
        <v>20200430</v>
      </c>
      <c r="C4491" s="109">
        <v>9.5999999999999992E-3</v>
      </c>
      <c r="D4491" s="109">
        <v>1.4999999999999999E-2</v>
      </c>
      <c r="E4491" s="109">
        <v>1.6E-2</v>
      </c>
      <c r="F4491" s="109">
        <v>1.7000000000000001E-2</v>
      </c>
      <c r="G4491" s="130">
        <v>0</v>
      </c>
      <c r="H4491" s="71">
        <v>8.6999999999999993</v>
      </c>
      <c r="I4491" s="71">
        <v>11.4</v>
      </c>
      <c r="J4491" s="71">
        <v>13.9</v>
      </c>
      <c r="K4491" s="121">
        <v>2.2000000000000001E-3</v>
      </c>
      <c r="L4491" s="121">
        <v>-7.0000000000000001E-3</v>
      </c>
      <c r="M4491" s="75" t="s">
        <v>146</v>
      </c>
      <c r="N4491" s="75" t="b">
        <v>1</v>
      </c>
      <c r="O4491" s="75" t="s">
        <v>145</v>
      </c>
      <c r="P4491" s="75">
        <v>2014</v>
      </c>
      <c r="Q4491" s="107">
        <f t="shared" si="138"/>
        <v>2020</v>
      </c>
      <c r="R4491" s="107">
        <v>2</v>
      </c>
      <c r="S4491" s="43">
        <v>220078</v>
      </c>
      <c r="T4491" s="74">
        <v>43984</v>
      </c>
    </row>
    <row r="4492" spans="1:20" x14ac:dyDescent="0.3">
      <c r="A4492" s="42">
        <v>43952</v>
      </c>
      <c r="B4492" s="37">
        <f t="shared" si="139"/>
        <v>20200501</v>
      </c>
      <c r="C4492" s="109">
        <v>9.1999999999999998E-3</v>
      </c>
      <c r="D4492" s="109">
        <v>1.4999999999999999E-2</v>
      </c>
      <c r="E4492" s="109">
        <v>1.6E-2</v>
      </c>
      <c r="F4492" s="109">
        <v>1.7000000000000001E-2</v>
      </c>
      <c r="G4492" s="130">
        <v>0</v>
      </c>
      <c r="H4492" s="71">
        <v>8.6999999999999993</v>
      </c>
      <c r="I4492" s="71">
        <v>11.4</v>
      </c>
      <c r="J4492" s="71">
        <v>13.9</v>
      </c>
      <c r="K4492" s="121">
        <v>1.8E-3</v>
      </c>
      <c r="L4492" s="121">
        <v>-7.0000000000000001E-3</v>
      </c>
      <c r="M4492" s="75" t="s">
        <v>146</v>
      </c>
      <c r="N4492" s="75" t="b">
        <v>1</v>
      </c>
      <c r="O4492" s="75" t="s">
        <v>145</v>
      </c>
      <c r="P4492" s="75">
        <v>2014</v>
      </c>
      <c r="Q4492" s="107">
        <f t="shared" si="138"/>
        <v>2020</v>
      </c>
      <c r="R4492" s="107">
        <v>2</v>
      </c>
      <c r="S4492" s="43">
        <v>220078</v>
      </c>
      <c r="T4492" s="74">
        <v>43984</v>
      </c>
    </row>
    <row r="4493" spans="1:20" x14ac:dyDescent="0.3">
      <c r="A4493" s="42">
        <v>43953</v>
      </c>
      <c r="B4493" s="37">
        <f>YEAR(A4493)*10000+MONTH(A4493)*100+DAY(A4493)</f>
        <v>20200502</v>
      </c>
      <c r="C4493" s="109">
        <v>9.1999999999999998E-3</v>
      </c>
      <c r="D4493" s="109">
        <v>1.4999999999999999E-2</v>
      </c>
      <c r="E4493" s="109">
        <v>1.6E-2</v>
      </c>
      <c r="F4493" s="109">
        <v>1.7000000000000001E-2</v>
      </c>
      <c r="G4493" s="130">
        <v>0</v>
      </c>
      <c r="H4493" s="71">
        <v>8.6999999999999993</v>
      </c>
      <c r="I4493" s="71">
        <v>11.4</v>
      </c>
      <c r="J4493" s="71">
        <v>13.9</v>
      </c>
      <c r="K4493" s="121">
        <v>1.8E-3</v>
      </c>
      <c r="L4493" s="121">
        <v>-7.0000000000000001E-3</v>
      </c>
      <c r="M4493" s="75" t="s">
        <v>146</v>
      </c>
      <c r="N4493" s="75" t="b">
        <v>1</v>
      </c>
      <c r="O4493" s="75" t="s">
        <v>145</v>
      </c>
      <c r="P4493" s="75">
        <v>2014</v>
      </c>
      <c r="Q4493" s="107">
        <f t="shared" si="138"/>
        <v>2020</v>
      </c>
      <c r="R4493" s="107">
        <v>2</v>
      </c>
      <c r="S4493" s="43">
        <v>220078</v>
      </c>
      <c r="T4493" s="74">
        <v>43984</v>
      </c>
    </row>
    <row r="4494" spans="1:20" x14ac:dyDescent="0.3">
      <c r="A4494" s="42">
        <v>43954</v>
      </c>
      <c r="B4494" s="37">
        <f>YEAR(A4494)*10000+MONTH(A4494)*100+DAY(A4494)</f>
        <v>20200503</v>
      </c>
      <c r="C4494" s="109">
        <v>9.1999999999999998E-3</v>
      </c>
      <c r="D4494" s="109">
        <v>1.4999999999999999E-2</v>
      </c>
      <c r="E4494" s="109">
        <v>1.6E-2</v>
      </c>
      <c r="F4494" s="109">
        <v>1.7000000000000001E-2</v>
      </c>
      <c r="G4494" s="130">
        <v>0</v>
      </c>
      <c r="H4494" s="71">
        <v>8.6999999999999993</v>
      </c>
      <c r="I4494" s="71">
        <v>11.4</v>
      </c>
      <c r="J4494" s="71">
        <v>13.9</v>
      </c>
      <c r="K4494" s="121">
        <v>1.8E-3</v>
      </c>
      <c r="L4494" s="121">
        <v>-7.0000000000000001E-3</v>
      </c>
      <c r="M4494" s="75" t="s">
        <v>146</v>
      </c>
      <c r="N4494" s="75" t="b">
        <v>1</v>
      </c>
      <c r="O4494" s="75" t="s">
        <v>145</v>
      </c>
      <c r="P4494" s="75">
        <v>2014</v>
      </c>
      <c r="Q4494" s="107">
        <f t="shared" si="138"/>
        <v>2020</v>
      </c>
      <c r="R4494" s="107">
        <v>2</v>
      </c>
      <c r="S4494" s="43">
        <v>220078</v>
      </c>
      <c r="T4494" s="74">
        <v>43984</v>
      </c>
    </row>
    <row r="4495" spans="1:20" x14ac:dyDescent="0.3">
      <c r="A4495" s="42">
        <v>43955</v>
      </c>
      <c r="B4495" s="37">
        <f t="shared" si="139"/>
        <v>20200504</v>
      </c>
      <c r="C4495" s="109">
        <v>9.5999999999999992E-3</v>
      </c>
      <c r="D4495" s="109">
        <v>1.4999999999999999E-2</v>
      </c>
      <c r="E4495" s="109">
        <v>1.6E-2</v>
      </c>
      <c r="F4495" s="109">
        <v>1.7000000000000001E-2</v>
      </c>
      <c r="G4495" s="130">
        <v>0</v>
      </c>
      <c r="H4495" s="71">
        <v>8.6999999999999993</v>
      </c>
      <c r="I4495" s="71">
        <v>11.4</v>
      </c>
      <c r="J4495" s="71">
        <v>13.9</v>
      </c>
      <c r="K4495" s="121">
        <v>2.2000000000000001E-3</v>
      </c>
      <c r="L4495" s="121">
        <v>-7.0000000000000001E-3</v>
      </c>
      <c r="M4495" s="75" t="s">
        <v>146</v>
      </c>
      <c r="N4495" s="75" t="b">
        <v>1</v>
      </c>
      <c r="O4495" s="75" t="s">
        <v>145</v>
      </c>
      <c r="P4495" s="75">
        <v>2014</v>
      </c>
      <c r="Q4495" s="107">
        <f t="shared" si="138"/>
        <v>2020</v>
      </c>
      <c r="R4495" s="107">
        <v>2</v>
      </c>
      <c r="S4495" s="43">
        <v>220078</v>
      </c>
      <c r="T4495" s="74">
        <v>43984</v>
      </c>
    </row>
    <row r="4496" spans="1:20" x14ac:dyDescent="0.3">
      <c r="A4496" s="42">
        <v>43956</v>
      </c>
      <c r="B4496" s="37">
        <f t="shared" si="139"/>
        <v>20200505</v>
      </c>
      <c r="C4496" s="109">
        <v>9.4999999999999998E-3</v>
      </c>
      <c r="D4496" s="109">
        <v>1.4999999999999999E-2</v>
      </c>
      <c r="E4496" s="109">
        <v>1.6E-2</v>
      </c>
      <c r="F4496" s="109">
        <v>1.7000000000000001E-2</v>
      </c>
      <c r="G4496" s="130">
        <v>0</v>
      </c>
      <c r="H4496" s="71">
        <v>8.6999999999999993</v>
      </c>
      <c r="I4496" s="71">
        <v>11.4</v>
      </c>
      <c r="J4496" s="71">
        <v>13.9</v>
      </c>
      <c r="K4496" s="121">
        <v>2.0999999999999999E-3</v>
      </c>
      <c r="L4496" s="121">
        <v>-7.0000000000000001E-3</v>
      </c>
      <c r="M4496" s="75" t="s">
        <v>146</v>
      </c>
      <c r="N4496" s="75" t="b">
        <v>1</v>
      </c>
      <c r="O4496" s="75" t="s">
        <v>145</v>
      </c>
      <c r="P4496" s="75">
        <v>2014</v>
      </c>
      <c r="Q4496" s="107">
        <f t="shared" si="138"/>
        <v>2020</v>
      </c>
      <c r="R4496" s="107">
        <v>2</v>
      </c>
      <c r="S4496" s="43">
        <v>220078</v>
      </c>
      <c r="T4496" s="74">
        <v>43984</v>
      </c>
    </row>
    <row r="4497" spans="1:20" x14ac:dyDescent="0.3">
      <c r="A4497" s="42">
        <v>43957</v>
      </c>
      <c r="B4497" s="37">
        <f t="shared" si="139"/>
        <v>20200506</v>
      </c>
      <c r="C4497" s="109">
        <v>0.01</v>
      </c>
      <c r="D4497" s="109">
        <v>1.4999999999999999E-2</v>
      </c>
      <c r="E4497" s="109">
        <v>1.6E-2</v>
      </c>
      <c r="F4497" s="109">
        <v>1.7000000000000001E-2</v>
      </c>
      <c r="G4497" s="130">
        <v>0</v>
      </c>
      <c r="H4497" s="71">
        <v>8.6999999999999993</v>
      </c>
      <c r="I4497" s="71">
        <v>11.4</v>
      </c>
      <c r="J4497" s="71">
        <v>13.9</v>
      </c>
      <c r="K4497" s="121">
        <v>2.5000000000000001E-3</v>
      </c>
      <c r="L4497" s="121">
        <v>-7.0000000000000001E-3</v>
      </c>
      <c r="M4497" s="75" t="s">
        <v>146</v>
      </c>
      <c r="N4497" s="75" t="b">
        <v>1</v>
      </c>
      <c r="O4497" s="75" t="s">
        <v>145</v>
      </c>
      <c r="P4497" s="75">
        <v>2014</v>
      </c>
      <c r="Q4497" s="107">
        <f t="shared" si="138"/>
        <v>2020</v>
      </c>
      <c r="R4497" s="107">
        <v>2</v>
      </c>
      <c r="S4497" s="43">
        <v>220078</v>
      </c>
      <c r="T4497" s="74">
        <v>43984</v>
      </c>
    </row>
    <row r="4498" spans="1:20" x14ac:dyDescent="0.3">
      <c r="A4498" s="42">
        <v>43958</v>
      </c>
      <c r="B4498" s="37">
        <f t="shared" si="139"/>
        <v>20200507</v>
      </c>
      <c r="C4498" s="109">
        <v>9.5999999999999992E-3</v>
      </c>
      <c r="D4498" s="109">
        <v>1.4999999999999999E-2</v>
      </c>
      <c r="E4498" s="109">
        <v>1.6E-2</v>
      </c>
      <c r="F4498" s="109">
        <v>1.7000000000000001E-2</v>
      </c>
      <c r="G4498" s="130">
        <v>0</v>
      </c>
      <c r="H4498" s="71">
        <v>8.6999999999999993</v>
      </c>
      <c r="I4498" s="71">
        <v>11.4</v>
      </c>
      <c r="J4498" s="71">
        <v>13.9</v>
      </c>
      <c r="K4498" s="121">
        <v>2.3E-3</v>
      </c>
      <c r="L4498" s="121">
        <v>-7.0000000000000001E-3</v>
      </c>
      <c r="M4498" s="75" t="s">
        <v>146</v>
      </c>
      <c r="N4498" s="75" t="b">
        <v>1</v>
      </c>
      <c r="O4498" s="75" t="s">
        <v>145</v>
      </c>
      <c r="P4498" s="75">
        <v>2014</v>
      </c>
      <c r="Q4498" s="107">
        <f t="shared" si="138"/>
        <v>2020</v>
      </c>
      <c r="R4498" s="107">
        <v>2</v>
      </c>
      <c r="S4498" s="43">
        <v>220078</v>
      </c>
      <c r="T4498" s="74">
        <v>43984</v>
      </c>
    </row>
    <row r="4499" spans="1:20" x14ac:dyDescent="0.3">
      <c r="A4499" s="42">
        <v>43959</v>
      </c>
      <c r="B4499" s="37">
        <f t="shared" si="139"/>
        <v>20200508</v>
      </c>
      <c r="C4499" s="109">
        <v>9.7000000000000003E-3</v>
      </c>
      <c r="D4499" s="109">
        <v>1.4999999999999999E-2</v>
      </c>
      <c r="E4499" s="109">
        <v>1.6E-2</v>
      </c>
      <c r="F4499" s="109">
        <v>1.7000000000000001E-2</v>
      </c>
      <c r="G4499" s="130">
        <v>0</v>
      </c>
      <c r="H4499" s="71">
        <v>8.6999999999999993</v>
      </c>
      <c r="I4499" s="71">
        <v>11.4</v>
      </c>
      <c r="J4499" s="71">
        <v>13.9</v>
      </c>
      <c r="K4499" s="121">
        <v>2.5999999999999999E-3</v>
      </c>
      <c r="L4499" s="121">
        <v>-7.0000000000000001E-3</v>
      </c>
      <c r="M4499" s="75" t="s">
        <v>146</v>
      </c>
      <c r="N4499" s="75" t="b">
        <v>1</v>
      </c>
      <c r="O4499" s="75" t="s">
        <v>145</v>
      </c>
      <c r="P4499" s="75">
        <v>2014</v>
      </c>
      <c r="Q4499" s="107">
        <f t="shared" si="138"/>
        <v>2020</v>
      </c>
      <c r="R4499" s="107">
        <v>2</v>
      </c>
      <c r="S4499" s="43">
        <v>220078</v>
      </c>
      <c r="T4499" s="74">
        <v>43984</v>
      </c>
    </row>
    <row r="4500" spans="1:20" x14ac:dyDescent="0.3">
      <c r="A4500" s="42">
        <v>43960</v>
      </c>
      <c r="B4500" s="37">
        <f>YEAR(A4500)*10000+MONTH(A4500)*100+DAY(A4500)</f>
        <v>20200509</v>
      </c>
      <c r="C4500" s="109">
        <v>9.7000000000000003E-3</v>
      </c>
      <c r="D4500" s="109">
        <v>1.4999999999999999E-2</v>
      </c>
      <c r="E4500" s="109">
        <v>1.6E-2</v>
      </c>
      <c r="F4500" s="109">
        <v>1.7000000000000001E-2</v>
      </c>
      <c r="G4500" s="130">
        <v>0</v>
      </c>
      <c r="H4500" s="71">
        <v>8.6999999999999993</v>
      </c>
      <c r="I4500" s="71">
        <v>11.4</v>
      </c>
      <c r="J4500" s="71">
        <v>13.9</v>
      </c>
      <c r="K4500" s="121">
        <v>2.5999999999999999E-3</v>
      </c>
      <c r="L4500" s="121">
        <v>-7.0000000000000001E-3</v>
      </c>
      <c r="M4500" s="75" t="s">
        <v>146</v>
      </c>
      <c r="N4500" s="75" t="b">
        <v>1</v>
      </c>
      <c r="O4500" s="75" t="s">
        <v>145</v>
      </c>
      <c r="P4500" s="75">
        <v>2014</v>
      </c>
      <c r="Q4500" s="107">
        <f t="shared" si="138"/>
        <v>2020</v>
      </c>
      <c r="R4500" s="107">
        <v>2</v>
      </c>
      <c r="S4500" s="43">
        <v>220078</v>
      </c>
      <c r="T4500" s="74">
        <v>43984</v>
      </c>
    </row>
    <row r="4501" spans="1:20" x14ac:dyDescent="0.3">
      <c r="A4501" s="42">
        <v>43961</v>
      </c>
      <c r="B4501" s="37">
        <f>YEAR(A4501)*10000+MONTH(A4501)*100+DAY(A4501)</f>
        <v>20200510</v>
      </c>
      <c r="C4501" s="109">
        <v>9.7000000000000003E-3</v>
      </c>
      <c r="D4501" s="109">
        <v>1.4999999999999999E-2</v>
      </c>
      <c r="E4501" s="109">
        <v>1.6E-2</v>
      </c>
      <c r="F4501" s="109">
        <v>1.7000000000000001E-2</v>
      </c>
      <c r="G4501" s="130">
        <v>0</v>
      </c>
      <c r="H4501" s="71">
        <v>8.6999999999999993</v>
      </c>
      <c r="I4501" s="71">
        <v>11.4</v>
      </c>
      <c r="J4501" s="71">
        <v>13.9</v>
      </c>
      <c r="K4501" s="121">
        <v>2.5999999999999999E-3</v>
      </c>
      <c r="L4501" s="121">
        <v>-7.0000000000000001E-3</v>
      </c>
      <c r="M4501" s="75" t="s">
        <v>146</v>
      </c>
      <c r="N4501" s="75" t="b">
        <v>1</v>
      </c>
      <c r="O4501" s="75" t="s">
        <v>145</v>
      </c>
      <c r="P4501" s="75">
        <v>2014</v>
      </c>
      <c r="Q4501" s="107">
        <f t="shared" si="138"/>
        <v>2020</v>
      </c>
      <c r="R4501" s="107">
        <v>2</v>
      </c>
      <c r="S4501" s="43">
        <v>220078</v>
      </c>
      <c r="T4501" s="74">
        <v>43984</v>
      </c>
    </row>
    <row r="4502" spans="1:20" x14ac:dyDescent="0.3">
      <c r="A4502" s="42">
        <v>43962</v>
      </c>
      <c r="B4502" s="37">
        <f t="shared" si="139"/>
        <v>20200511</v>
      </c>
      <c r="C4502" s="109">
        <v>9.8999999999999991E-3</v>
      </c>
      <c r="D4502" s="109">
        <v>1.4999999999999999E-2</v>
      </c>
      <c r="E4502" s="109">
        <v>1.6E-2</v>
      </c>
      <c r="F4502" s="109">
        <v>1.7000000000000001E-2</v>
      </c>
      <c r="G4502" s="130">
        <v>0</v>
      </c>
      <c r="H4502" s="71">
        <v>8.6999999999999993</v>
      </c>
      <c r="I4502" s="71">
        <v>11.4</v>
      </c>
      <c r="J4502" s="71">
        <v>13.9</v>
      </c>
      <c r="K4502" s="121">
        <v>2.8000000000000004E-3</v>
      </c>
      <c r="L4502" s="121">
        <v>-7.0000000000000001E-3</v>
      </c>
      <c r="M4502" s="75" t="s">
        <v>146</v>
      </c>
      <c r="N4502" s="75" t="b">
        <v>1</v>
      </c>
      <c r="O4502" s="75" t="s">
        <v>145</v>
      </c>
      <c r="P4502" s="75">
        <v>2014</v>
      </c>
      <c r="Q4502" s="107">
        <f t="shared" si="138"/>
        <v>2020</v>
      </c>
      <c r="R4502" s="107">
        <v>2</v>
      </c>
      <c r="S4502" s="43">
        <v>220078</v>
      </c>
      <c r="T4502" s="74">
        <v>43984</v>
      </c>
    </row>
    <row r="4503" spans="1:20" x14ac:dyDescent="0.3">
      <c r="A4503" s="42">
        <v>43963</v>
      </c>
      <c r="B4503" s="37">
        <f t="shared" si="139"/>
        <v>20200512</v>
      </c>
      <c r="C4503" s="109">
        <v>9.4999999999999998E-3</v>
      </c>
      <c r="D4503" s="109">
        <v>1.4999999999999999E-2</v>
      </c>
      <c r="E4503" s="109">
        <v>1.6E-2</v>
      </c>
      <c r="F4503" s="109">
        <v>1.7000000000000001E-2</v>
      </c>
      <c r="G4503" s="130">
        <v>0</v>
      </c>
      <c r="H4503" s="71">
        <v>8.6999999999999993</v>
      </c>
      <c r="I4503" s="71">
        <v>11.4</v>
      </c>
      <c r="J4503" s="71">
        <v>13.9</v>
      </c>
      <c r="K4503" s="121">
        <v>2.3999999999999998E-3</v>
      </c>
      <c r="L4503" s="121">
        <v>-7.0000000000000001E-3</v>
      </c>
      <c r="M4503" s="75" t="s">
        <v>146</v>
      </c>
      <c r="N4503" s="75" t="b">
        <v>1</v>
      </c>
      <c r="O4503" s="75" t="s">
        <v>145</v>
      </c>
      <c r="P4503" s="75">
        <v>2014</v>
      </c>
      <c r="Q4503" s="107">
        <f t="shared" si="138"/>
        <v>2020</v>
      </c>
      <c r="R4503" s="107">
        <v>2</v>
      </c>
      <c r="S4503" s="43">
        <v>220078</v>
      </c>
      <c r="T4503" s="74">
        <v>43984</v>
      </c>
    </row>
    <row r="4504" spans="1:20" x14ac:dyDescent="0.3">
      <c r="A4504" s="42">
        <v>43964</v>
      </c>
      <c r="B4504" s="37">
        <f t="shared" si="139"/>
        <v>20200513</v>
      </c>
      <c r="C4504" s="109">
        <v>9.300000000000001E-3</v>
      </c>
      <c r="D4504" s="109">
        <v>1.4999999999999999E-2</v>
      </c>
      <c r="E4504" s="109">
        <v>1.6E-2</v>
      </c>
      <c r="F4504" s="109">
        <v>1.7000000000000001E-2</v>
      </c>
      <c r="G4504" s="130">
        <v>0</v>
      </c>
      <c r="H4504" s="71">
        <v>8.6999999999999993</v>
      </c>
      <c r="I4504" s="71">
        <v>11.4</v>
      </c>
      <c r="J4504" s="71">
        <v>13.9</v>
      </c>
      <c r="K4504" s="121">
        <v>2.2000000000000001E-3</v>
      </c>
      <c r="L4504" s="121">
        <v>-7.0000000000000001E-3</v>
      </c>
      <c r="M4504" s="75" t="s">
        <v>146</v>
      </c>
      <c r="N4504" s="75" t="b">
        <v>1</v>
      </c>
      <c r="O4504" s="75" t="s">
        <v>145</v>
      </c>
      <c r="P4504" s="75">
        <v>2014</v>
      </c>
      <c r="Q4504" s="107">
        <f t="shared" si="138"/>
        <v>2020</v>
      </c>
      <c r="R4504" s="107">
        <v>2</v>
      </c>
      <c r="S4504" s="43">
        <v>220078</v>
      </c>
      <c r="T4504" s="74">
        <v>43984</v>
      </c>
    </row>
    <row r="4505" spans="1:20" x14ac:dyDescent="0.3">
      <c r="A4505" s="42">
        <v>43965</v>
      </c>
      <c r="B4505" s="37">
        <f t="shared" si="139"/>
        <v>20200514</v>
      </c>
      <c r="C4505" s="109">
        <v>9.0000000000000011E-3</v>
      </c>
      <c r="D4505" s="109">
        <v>1.4999999999999999E-2</v>
      </c>
      <c r="E4505" s="109">
        <v>1.6E-2</v>
      </c>
      <c r="F4505" s="109">
        <v>1.7000000000000001E-2</v>
      </c>
      <c r="G4505" s="130">
        <v>0</v>
      </c>
      <c r="H4505" s="71">
        <v>8.6999999999999993</v>
      </c>
      <c r="I4505" s="71">
        <v>11.4</v>
      </c>
      <c r="J4505" s="71">
        <v>13.9</v>
      </c>
      <c r="K4505" s="121">
        <v>2.0999999999999999E-3</v>
      </c>
      <c r="L4505" s="121">
        <v>-7.0000000000000001E-3</v>
      </c>
      <c r="M4505" s="75" t="s">
        <v>146</v>
      </c>
      <c r="N4505" s="75" t="b">
        <v>1</v>
      </c>
      <c r="O4505" s="75" t="s">
        <v>145</v>
      </c>
      <c r="P4505" s="75">
        <v>2014</v>
      </c>
      <c r="Q4505" s="107">
        <f t="shared" si="138"/>
        <v>2020</v>
      </c>
      <c r="R4505" s="107">
        <v>2</v>
      </c>
      <c r="S4505" s="43">
        <v>220078</v>
      </c>
      <c r="T4505" s="74">
        <v>43984</v>
      </c>
    </row>
    <row r="4506" spans="1:20" x14ac:dyDescent="0.3">
      <c r="A4506" s="42">
        <v>43966</v>
      </c>
      <c r="B4506" s="37">
        <f t="shared" si="139"/>
        <v>20200515</v>
      </c>
      <c r="C4506" s="109">
        <v>9.0000000000000011E-3</v>
      </c>
      <c r="D4506" s="109">
        <v>1.4999999999999999E-2</v>
      </c>
      <c r="E4506" s="109">
        <v>1.6E-2</v>
      </c>
      <c r="F4506" s="109">
        <v>1.7000000000000001E-2</v>
      </c>
      <c r="G4506" s="130">
        <v>0</v>
      </c>
      <c r="H4506" s="71">
        <v>8.6999999999999993</v>
      </c>
      <c r="I4506" s="71">
        <v>11.4</v>
      </c>
      <c r="J4506" s="71">
        <v>13.9</v>
      </c>
      <c r="K4506" s="121">
        <v>2E-3</v>
      </c>
      <c r="L4506" s="121">
        <v>-7.0000000000000001E-3</v>
      </c>
      <c r="M4506" s="75" t="s">
        <v>146</v>
      </c>
      <c r="N4506" s="75" t="b">
        <v>1</v>
      </c>
      <c r="O4506" s="75" t="s">
        <v>145</v>
      </c>
      <c r="P4506" s="75">
        <v>2014</v>
      </c>
      <c r="Q4506" s="107">
        <f t="shared" si="138"/>
        <v>2020</v>
      </c>
      <c r="R4506" s="107">
        <v>2</v>
      </c>
      <c r="S4506" s="43">
        <v>220078</v>
      </c>
      <c r="T4506" s="74">
        <v>43984</v>
      </c>
    </row>
    <row r="4507" spans="1:20" x14ac:dyDescent="0.3">
      <c r="A4507" s="42">
        <v>43967</v>
      </c>
      <c r="B4507" s="37">
        <f>YEAR(A4507)*10000+MONTH(A4507)*100+DAY(A4507)</f>
        <v>20200516</v>
      </c>
      <c r="C4507" s="109">
        <v>9.0000000000000011E-3</v>
      </c>
      <c r="D4507" s="109">
        <v>1.4999999999999999E-2</v>
      </c>
      <c r="E4507" s="109">
        <v>1.6E-2</v>
      </c>
      <c r="F4507" s="109">
        <v>1.7000000000000001E-2</v>
      </c>
      <c r="G4507" s="130">
        <v>0</v>
      </c>
      <c r="H4507" s="71">
        <v>8.6999999999999993</v>
      </c>
      <c r="I4507" s="71">
        <v>11.4</v>
      </c>
      <c r="J4507" s="71">
        <v>13.9</v>
      </c>
      <c r="K4507" s="121">
        <v>2E-3</v>
      </c>
      <c r="L4507" s="121">
        <v>-7.0000000000000001E-3</v>
      </c>
      <c r="M4507" s="75" t="s">
        <v>146</v>
      </c>
      <c r="N4507" s="75" t="b">
        <v>1</v>
      </c>
      <c r="O4507" s="75" t="s">
        <v>145</v>
      </c>
      <c r="P4507" s="75">
        <v>2014</v>
      </c>
      <c r="Q4507" s="107">
        <f t="shared" si="138"/>
        <v>2020</v>
      </c>
      <c r="R4507" s="107">
        <v>2</v>
      </c>
      <c r="S4507" s="43">
        <v>220078</v>
      </c>
      <c r="T4507" s="74">
        <v>43984</v>
      </c>
    </row>
    <row r="4508" spans="1:20" x14ac:dyDescent="0.3">
      <c r="A4508" s="42">
        <v>43968</v>
      </c>
      <c r="B4508" s="37">
        <f>YEAR(A4508)*10000+MONTH(A4508)*100+DAY(A4508)</f>
        <v>20200517</v>
      </c>
      <c r="C4508" s="109">
        <v>9.0000000000000011E-3</v>
      </c>
      <c r="D4508" s="109">
        <v>1.4999999999999999E-2</v>
      </c>
      <c r="E4508" s="109">
        <v>1.6E-2</v>
      </c>
      <c r="F4508" s="109">
        <v>1.7000000000000001E-2</v>
      </c>
      <c r="G4508" s="130">
        <v>0</v>
      </c>
      <c r="H4508" s="71">
        <v>8.6999999999999993</v>
      </c>
      <c r="I4508" s="71">
        <v>11.4</v>
      </c>
      <c r="J4508" s="71">
        <v>13.9</v>
      </c>
      <c r="K4508" s="121">
        <v>2E-3</v>
      </c>
      <c r="L4508" s="121">
        <v>-7.0000000000000001E-3</v>
      </c>
      <c r="M4508" s="75" t="s">
        <v>146</v>
      </c>
      <c r="N4508" s="75" t="b">
        <v>1</v>
      </c>
      <c r="O4508" s="75" t="s">
        <v>145</v>
      </c>
      <c r="P4508" s="75">
        <v>2014</v>
      </c>
      <c r="Q4508" s="107">
        <f t="shared" si="138"/>
        <v>2020</v>
      </c>
      <c r="R4508" s="107">
        <v>2</v>
      </c>
      <c r="S4508" s="43">
        <v>220078</v>
      </c>
      <c r="T4508" s="74">
        <v>43984</v>
      </c>
    </row>
    <row r="4509" spans="1:20" x14ac:dyDescent="0.3">
      <c r="A4509" s="42">
        <v>43969</v>
      </c>
      <c r="B4509" s="37">
        <f t="shared" si="139"/>
        <v>20200518</v>
      </c>
      <c r="C4509" s="109">
        <v>9.0000000000000011E-3</v>
      </c>
      <c r="D4509" s="109">
        <v>1.4999999999999999E-2</v>
      </c>
      <c r="E4509" s="109">
        <v>1.6E-2</v>
      </c>
      <c r="F4509" s="109">
        <v>1.7000000000000001E-2</v>
      </c>
      <c r="G4509" s="130">
        <v>0</v>
      </c>
      <c r="H4509" s="71">
        <v>8.6999999999999993</v>
      </c>
      <c r="I4509" s="71">
        <v>11.4</v>
      </c>
      <c r="J4509" s="71">
        <v>13.9</v>
      </c>
      <c r="K4509" s="121">
        <v>2E-3</v>
      </c>
      <c r="L4509" s="121">
        <v>-7.0000000000000001E-3</v>
      </c>
      <c r="M4509" s="75" t="s">
        <v>146</v>
      </c>
      <c r="N4509" s="75" t="b">
        <v>1</v>
      </c>
      <c r="O4509" s="75" t="s">
        <v>145</v>
      </c>
      <c r="P4509" s="75">
        <v>2014</v>
      </c>
      <c r="Q4509" s="107">
        <f t="shared" si="138"/>
        <v>2020</v>
      </c>
      <c r="R4509" s="107">
        <v>2</v>
      </c>
      <c r="S4509" s="43">
        <v>220078</v>
      </c>
      <c r="T4509" s="74">
        <v>43984</v>
      </c>
    </row>
    <row r="4510" spans="1:20" x14ac:dyDescent="0.3">
      <c r="A4510" s="42">
        <v>43970</v>
      </c>
      <c r="B4510" s="37">
        <f t="shared" si="139"/>
        <v>20200519</v>
      </c>
      <c r="C4510" s="109">
        <v>9.7000000000000003E-3</v>
      </c>
      <c r="D4510" s="109">
        <v>1.4999999999999999E-2</v>
      </c>
      <c r="E4510" s="109">
        <v>1.6E-2</v>
      </c>
      <c r="F4510" s="109">
        <v>1.7000000000000001E-2</v>
      </c>
      <c r="G4510" s="130">
        <v>0</v>
      </c>
      <c r="H4510" s="71">
        <v>8.6999999999999993</v>
      </c>
      <c r="I4510" s="71">
        <v>11.4</v>
      </c>
      <c r="J4510" s="71">
        <v>13.9</v>
      </c>
      <c r="K4510" s="121">
        <v>1.6000000000000001E-3</v>
      </c>
      <c r="L4510" s="121">
        <v>-7.0000000000000001E-3</v>
      </c>
      <c r="M4510" s="75" t="s">
        <v>146</v>
      </c>
      <c r="N4510" s="75" t="b">
        <v>1</v>
      </c>
      <c r="O4510" s="75" t="s">
        <v>145</v>
      </c>
      <c r="P4510" s="75">
        <v>2014</v>
      </c>
      <c r="Q4510" s="107">
        <f t="shared" si="138"/>
        <v>2020</v>
      </c>
      <c r="R4510" s="107">
        <v>2</v>
      </c>
      <c r="S4510" s="43">
        <v>220078</v>
      </c>
      <c r="T4510" s="74">
        <v>43984</v>
      </c>
    </row>
    <row r="4511" spans="1:20" x14ac:dyDescent="0.3">
      <c r="A4511" s="42">
        <v>43971</v>
      </c>
      <c r="B4511" s="37">
        <f t="shared" si="139"/>
        <v>20200520</v>
      </c>
      <c r="C4511" s="109">
        <v>9.300000000000001E-3</v>
      </c>
      <c r="D4511" s="109">
        <v>1.4999999999999999E-2</v>
      </c>
      <c r="E4511" s="109">
        <v>1.6E-2</v>
      </c>
      <c r="F4511" s="109">
        <v>1.7000000000000001E-2</v>
      </c>
      <c r="G4511" s="130">
        <v>0</v>
      </c>
      <c r="H4511" s="71">
        <v>8.6999999999999993</v>
      </c>
      <c r="I4511" s="71">
        <v>11.4</v>
      </c>
      <c r="J4511" s="71">
        <v>13.9</v>
      </c>
      <c r="K4511" s="121">
        <v>8.9999999999999998E-4</v>
      </c>
      <c r="L4511" s="121">
        <v>-7.0000000000000001E-3</v>
      </c>
      <c r="M4511" s="75" t="s">
        <v>146</v>
      </c>
      <c r="N4511" s="75" t="b">
        <v>1</v>
      </c>
      <c r="O4511" s="75" t="s">
        <v>145</v>
      </c>
      <c r="P4511" s="75">
        <v>2014</v>
      </c>
      <c r="Q4511" s="107">
        <f t="shared" si="138"/>
        <v>2020</v>
      </c>
      <c r="R4511" s="107">
        <v>2</v>
      </c>
      <c r="S4511" s="43">
        <v>220078</v>
      </c>
      <c r="T4511" s="74">
        <v>43984</v>
      </c>
    </row>
    <row r="4512" spans="1:20" x14ac:dyDescent="0.3">
      <c r="A4512" s="42">
        <v>43972</v>
      </c>
      <c r="B4512" s="37">
        <f t="shared" si="139"/>
        <v>20200521</v>
      </c>
      <c r="C4512" s="109">
        <v>9.1999999999999998E-3</v>
      </c>
      <c r="D4512" s="109">
        <v>1.4999999999999999E-2</v>
      </c>
      <c r="E4512" s="109">
        <v>1.6E-2</v>
      </c>
      <c r="F4512" s="109">
        <v>1.7000000000000001E-2</v>
      </c>
      <c r="G4512" s="130">
        <v>0</v>
      </c>
      <c r="H4512" s="71">
        <v>8.6999999999999993</v>
      </c>
      <c r="I4512" s="71">
        <v>11.4</v>
      </c>
      <c r="J4512" s="71">
        <v>13.9</v>
      </c>
      <c r="K4512" s="121">
        <v>8.9999999999999998E-4</v>
      </c>
      <c r="L4512" s="121">
        <v>-7.0000000000000001E-3</v>
      </c>
      <c r="M4512" s="75" t="s">
        <v>146</v>
      </c>
      <c r="N4512" s="75" t="b">
        <v>1</v>
      </c>
      <c r="O4512" s="75" t="s">
        <v>145</v>
      </c>
      <c r="P4512" s="75">
        <v>2014</v>
      </c>
      <c r="Q4512" s="107">
        <f t="shared" si="138"/>
        <v>2020</v>
      </c>
      <c r="R4512" s="107">
        <v>2</v>
      </c>
      <c r="S4512" s="43">
        <v>220078</v>
      </c>
      <c r="T4512" s="74">
        <v>43984</v>
      </c>
    </row>
    <row r="4513" spans="1:20" x14ac:dyDescent="0.3">
      <c r="A4513" s="42">
        <v>43973</v>
      </c>
      <c r="B4513" s="37">
        <f t="shared" si="139"/>
        <v>20200522</v>
      </c>
      <c r="C4513" s="109">
        <v>8.8000000000000005E-3</v>
      </c>
      <c r="D4513" s="109">
        <v>1.4999999999999999E-2</v>
      </c>
      <c r="E4513" s="109">
        <v>1.6E-2</v>
      </c>
      <c r="F4513" s="109">
        <v>1.7000000000000001E-2</v>
      </c>
      <c r="G4513" s="130">
        <v>0</v>
      </c>
      <c r="H4513" s="71">
        <v>8.6999999999999993</v>
      </c>
      <c r="I4513" s="71">
        <v>11.4</v>
      </c>
      <c r="J4513" s="71">
        <v>13.9</v>
      </c>
      <c r="K4513" s="121">
        <v>5.9999999999999995E-4</v>
      </c>
      <c r="L4513" s="121">
        <v>-7.0000000000000001E-3</v>
      </c>
      <c r="M4513" s="75" t="s">
        <v>146</v>
      </c>
      <c r="N4513" s="75" t="b">
        <v>1</v>
      </c>
      <c r="O4513" s="75" t="s">
        <v>145</v>
      </c>
      <c r="P4513" s="75">
        <v>2014</v>
      </c>
      <c r="Q4513" s="107">
        <f t="shared" si="138"/>
        <v>2020</v>
      </c>
      <c r="R4513" s="107">
        <v>2</v>
      </c>
      <c r="S4513" s="43">
        <v>220078</v>
      </c>
      <c r="T4513" s="74">
        <v>43984</v>
      </c>
    </row>
    <row r="4514" spans="1:20" x14ac:dyDescent="0.3">
      <c r="A4514" s="42">
        <v>43974</v>
      </c>
      <c r="B4514" s="37">
        <f>YEAR(A4514)*10000+MONTH(A4514)*100+DAY(A4514)</f>
        <v>20200523</v>
      </c>
      <c r="C4514" s="109">
        <v>8.8000000000000005E-3</v>
      </c>
      <c r="D4514" s="109">
        <v>1.4999999999999999E-2</v>
      </c>
      <c r="E4514" s="109">
        <v>1.6E-2</v>
      </c>
      <c r="F4514" s="109">
        <v>1.7000000000000001E-2</v>
      </c>
      <c r="G4514" s="130">
        <v>0</v>
      </c>
      <c r="H4514" s="71">
        <v>8.6999999999999993</v>
      </c>
      <c r="I4514" s="71">
        <v>11.4</v>
      </c>
      <c r="J4514" s="71">
        <v>13.9</v>
      </c>
      <c r="K4514" s="121">
        <v>5.9999999999999995E-4</v>
      </c>
      <c r="L4514" s="121">
        <v>-7.0000000000000001E-3</v>
      </c>
      <c r="M4514" s="75" t="s">
        <v>146</v>
      </c>
      <c r="N4514" s="75" t="b">
        <v>1</v>
      </c>
      <c r="O4514" s="75" t="s">
        <v>145</v>
      </c>
      <c r="P4514" s="75">
        <v>2014</v>
      </c>
      <c r="Q4514" s="107">
        <f t="shared" si="138"/>
        <v>2020</v>
      </c>
      <c r="R4514" s="107">
        <v>2</v>
      </c>
      <c r="S4514" s="43">
        <v>220078</v>
      </c>
      <c r="T4514" s="74">
        <v>43984</v>
      </c>
    </row>
    <row r="4515" spans="1:20" x14ac:dyDescent="0.3">
      <c r="A4515" s="42">
        <v>43975</v>
      </c>
      <c r="B4515" s="37">
        <f>YEAR(A4515)*10000+MONTH(A4515)*100+DAY(A4515)</f>
        <v>20200524</v>
      </c>
      <c r="C4515" s="109">
        <v>8.8000000000000005E-3</v>
      </c>
      <c r="D4515" s="109">
        <v>1.4999999999999999E-2</v>
      </c>
      <c r="E4515" s="109">
        <v>1.6E-2</v>
      </c>
      <c r="F4515" s="109">
        <v>1.7000000000000001E-2</v>
      </c>
      <c r="G4515" s="130">
        <v>0</v>
      </c>
      <c r="H4515" s="71">
        <v>8.6999999999999993</v>
      </c>
      <c r="I4515" s="71">
        <v>11.4</v>
      </c>
      <c r="J4515" s="71">
        <v>13.9</v>
      </c>
      <c r="K4515" s="121">
        <v>5.9999999999999995E-4</v>
      </c>
      <c r="L4515" s="121">
        <v>-7.0000000000000001E-3</v>
      </c>
      <c r="M4515" s="75" t="s">
        <v>146</v>
      </c>
      <c r="N4515" s="75" t="b">
        <v>1</v>
      </c>
      <c r="O4515" s="75" t="s">
        <v>145</v>
      </c>
      <c r="P4515" s="75">
        <v>2014</v>
      </c>
      <c r="Q4515" s="107">
        <f t="shared" si="138"/>
        <v>2020</v>
      </c>
      <c r="R4515" s="107">
        <v>2</v>
      </c>
      <c r="S4515" s="43">
        <v>220078</v>
      </c>
      <c r="T4515" s="74">
        <v>43984</v>
      </c>
    </row>
    <row r="4516" spans="1:20" x14ac:dyDescent="0.3">
      <c r="A4516" s="42">
        <v>43976</v>
      </c>
      <c r="B4516" s="37">
        <f t="shared" si="139"/>
        <v>20200525</v>
      </c>
      <c r="C4516" s="109">
        <v>8.6E-3</v>
      </c>
      <c r="D4516" s="109">
        <v>1.4999999999999999E-2</v>
      </c>
      <c r="E4516" s="109">
        <v>1.6E-2</v>
      </c>
      <c r="F4516" s="109">
        <v>1.7000000000000001E-2</v>
      </c>
      <c r="G4516" s="130">
        <v>0</v>
      </c>
      <c r="H4516" s="71">
        <v>8.6999999999999993</v>
      </c>
      <c r="I4516" s="71">
        <v>11.4</v>
      </c>
      <c r="J4516" s="71">
        <v>13.9</v>
      </c>
      <c r="K4516" s="121">
        <v>2.9999999999999997E-4</v>
      </c>
      <c r="L4516" s="121">
        <v>-7.0000000000000001E-3</v>
      </c>
      <c r="M4516" s="75" t="s">
        <v>146</v>
      </c>
      <c r="N4516" s="75" t="b">
        <v>1</v>
      </c>
      <c r="O4516" s="75" t="s">
        <v>145</v>
      </c>
      <c r="P4516" s="75">
        <v>2014</v>
      </c>
      <c r="Q4516" s="107">
        <f t="shared" si="138"/>
        <v>2020</v>
      </c>
      <c r="R4516" s="107">
        <v>2</v>
      </c>
      <c r="S4516" s="43">
        <v>220078</v>
      </c>
      <c r="T4516" s="74">
        <v>43984</v>
      </c>
    </row>
    <row r="4517" spans="1:20" x14ac:dyDescent="0.3">
      <c r="A4517" s="42">
        <v>43977</v>
      </c>
      <c r="B4517" s="37">
        <f t="shared" si="139"/>
        <v>20200526</v>
      </c>
      <c r="C4517" s="109">
        <v>9.1000000000000004E-3</v>
      </c>
      <c r="D4517" s="109">
        <v>1.4999999999999999E-2</v>
      </c>
      <c r="E4517" s="109">
        <v>1.6E-2</v>
      </c>
      <c r="F4517" s="109">
        <v>1.7000000000000001E-2</v>
      </c>
      <c r="G4517" s="130">
        <v>0</v>
      </c>
      <c r="H4517" s="71">
        <v>8.6999999999999993</v>
      </c>
      <c r="I4517" s="71">
        <v>11.4</v>
      </c>
      <c r="J4517" s="71">
        <v>13.9</v>
      </c>
      <c r="K4517" s="121">
        <v>7.000000000000001E-4</v>
      </c>
      <c r="L4517" s="121">
        <v>-7.0000000000000001E-3</v>
      </c>
      <c r="M4517" s="75" t="s">
        <v>146</v>
      </c>
      <c r="N4517" s="75" t="b">
        <v>1</v>
      </c>
      <c r="O4517" s="75" t="s">
        <v>145</v>
      </c>
      <c r="P4517" s="75">
        <v>2014</v>
      </c>
      <c r="Q4517" s="107">
        <f t="shared" si="138"/>
        <v>2020</v>
      </c>
      <c r="R4517" s="107">
        <v>2</v>
      </c>
      <c r="S4517" s="43">
        <v>220078</v>
      </c>
      <c r="T4517" s="74">
        <v>43984</v>
      </c>
    </row>
    <row r="4518" spans="1:20" x14ac:dyDescent="0.3">
      <c r="A4518" s="42">
        <v>43978</v>
      </c>
      <c r="B4518" s="37">
        <f t="shared" si="139"/>
        <v>20200527</v>
      </c>
      <c r="C4518" s="109">
        <v>9.1999999999999998E-3</v>
      </c>
      <c r="D4518" s="109">
        <v>1.4999999999999999E-2</v>
      </c>
      <c r="E4518" s="109">
        <v>1.6E-2</v>
      </c>
      <c r="F4518" s="109">
        <v>1.7000000000000001E-2</v>
      </c>
      <c r="G4518" s="130">
        <v>0</v>
      </c>
      <c r="H4518" s="71">
        <v>8.6999999999999993</v>
      </c>
      <c r="I4518" s="71">
        <v>11.4</v>
      </c>
      <c r="J4518" s="71">
        <v>13.9</v>
      </c>
      <c r="K4518" s="121">
        <v>1.6000000000000001E-3</v>
      </c>
      <c r="L4518" s="121">
        <v>-7.0000000000000001E-3</v>
      </c>
      <c r="M4518" s="75" t="s">
        <v>146</v>
      </c>
      <c r="N4518" s="75" t="b">
        <v>1</v>
      </c>
      <c r="O4518" s="75" t="s">
        <v>145</v>
      </c>
      <c r="P4518" s="75">
        <v>2014</v>
      </c>
      <c r="Q4518" s="107">
        <f t="shared" si="138"/>
        <v>2020</v>
      </c>
      <c r="R4518" s="107">
        <v>2</v>
      </c>
      <c r="S4518" s="43">
        <v>220078</v>
      </c>
      <c r="T4518" s="74">
        <v>43984</v>
      </c>
    </row>
    <row r="4519" spans="1:20" x14ac:dyDescent="0.3">
      <c r="A4519" s="42">
        <v>43979</v>
      </c>
      <c r="B4519" s="37">
        <f t="shared" si="139"/>
        <v>20200528</v>
      </c>
      <c r="C4519" s="109">
        <v>9.4999999999999998E-3</v>
      </c>
      <c r="D4519" s="109">
        <v>1.4999999999999999E-2</v>
      </c>
      <c r="E4519" s="109">
        <v>1.6E-2</v>
      </c>
      <c r="F4519" s="109">
        <v>1.7000000000000001E-2</v>
      </c>
      <c r="G4519" s="130">
        <v>0</v>
      </c>
      <c r="H4519" s="71">
        <v>8.6999999999999993</v>
      </c>
      <c r="I4519" s="71">
        <v>11.4</v>
      </c>
      <c r="J4519" s="71">
        <v>13.9</v>
      </c>
      <c r="K4519" s="121">
        <v>1.9E-3</v>
      </c>
      <c r="L4519" s="121">
        <v>-7.0000000000000001E-3</v>
      </c>
      <c r="M4519" s="75" t="s">
        <v>146</v>
      </c>
      <c r="N4519" s="75" t="b">
        <v>1</v>
      </c>
      <c r="O4519" s="75" t="s">
        <v>145</v>
      </c>
      <c r="P4519" s="75">
        <v>2014</v>
      </c>
      <c r="Q4519" s="107">
        <f t="shared" si="138"/>
        <v>2020</v>
      </c>
      <c r="R4519" s="107">
        <v>2</v>
      </c>
      <c r="S4519" s="43">
        <v>220078</v>
      </c>
      <c r="T4519" s="74">
        <v>43984</v>
      </c>
    </row>
    <row r="4520" spans="1:20" x14ac:dyDescent="0.3">
      <c r="A4520" s="42">
        <v>43980</v>
      </c>
      <c r="B4520" s="37">
        <f t="shared" si="139"/>
        <v>20200529</v>
      </c>
      <c r="C4520" s="109">
        <v>9.1999999999999998E-3</v>
      </c>
      <c r="D4520" s="109">
        <v>1.4999999999999999E-2</v>
      </c>
      <c r="E4520" s="109">
        <v>1.6E-2</v>
      </c>
      <c r="F4520" s="109">
        <v>1.7000000000000001E-2</v>
      </c>
      <c r="G4520" s="130">
        <v>0</v>
      </c>
      <c r="H4520" s="71">
        <v>8.6999999999999993</v>
      </c>
      <c r="I4520" s="71">
        <v>11.4</v>
      </c>
      <c r="J4520" s="71">
        <v>13.9</v>
      </c>
      <c r="K4520" s="121">
        <v>1.8E-3</v>
      </c>
      <c r="L4520" s="121">
        <v>-7.0000000000000001E-3</v>
      </c>
      <c r="M4520" s="75" t="s">
        <v>146</v>
      </c>
      <c r="N4520" s="75" t="b">
        <v>1</v>
      </c>
      <c r="O4520" s="75" t="s">
        <v>145</v>
      </c>
      <c r="P4520" s="75">
        <v>2014</v>
      </c>
      <c r="Q4520" s="107">
        <f t="shared" si="138"/>
        <v>2020</v>
      </c>
      <c r="R4520" s="107">
        <v>2</v>
      </c>
      <c r="S4520" s="43">
        <v>220078</v>
      </c>
      <c r="T4520" s="74">
        <v>43984</v>
      </c>
    </row>
    <row r="4521" spans="1:20" x14ac:dyDescent="0.3">
      <c r="A4521" s="42">
        <v>43981</v>
      </c>
      <c r="B4521" s="37">
        <f t="shared" si="139"/>
        <v>20200530</v>
      </c>
      <c r="C4521" s="109">
        <v>9.1999999999999998E-3</v>
      </c>
      <c r="D4521" s="109">
        <v>1.4999999999999999E-2</v>
      </c>
      <c r="E4521" s="109">
        <v>1.6E-2</v>
      </c>
      <c r="F4521" s="109">
        <v>1.7000000000000001E-2</v>
      </c>
      <c r="G4521" s="130">
        <v>0</v>
      </c>
      <c r="H4521" s="71">
        <v>8.6999999999999993</v>
      </c>
      <c r="I4521" s="71">
        <v>11.4</v>
      </c>
      <c r="J4521" s="71">
        <v>13.9</v>
      </c>
      <c r="K4521" s="121">
        <v>1.8E-3</v>
      </c>
      <c r="L4521" s="121">
        <v>-7.0000000000000001E-3</v>
      </c>
      <c r="M4521" s="75" t="s">
        <v>146</v>
      </c>
      <c r="N4521" s="75" t="b">
        <v>1</v>
      </c>
      <c r="O4521" s="75" t="s">
        <v>145</v>
      </c>
      <c r="P4521" s="75">
        <v>2014</v>
      </c>
      <c r="Q4521" s="107">
        <f t="shared" si="138"/>
        <v>2020</v>
      </c>
      <c r="R4521" s="107">
        <v>2</v>
      </c>
      <c r="S4521" s="43">
        <v>220078</v>
      </c>
      <c r="T4521" s="74">
        <v>43984</v>
      </c>
    </row>
    <row r="4522" spans="1:20" x14ac:dyDescent="0.3">
      <c r="A4522" s="42">
        <v>43982</v>
      </c>
      <c r="B4522" s="37">
        <f t="shared" si="139"/>
        <v>20200531</v>
      </c>
      <c r="C4522" s="109">
        <v>9.1999999999999998E-3</v>
      </c>
      <c r="D4522" s="109">
        <v>1.4999999999999999E-2</v>
      </c>
      <c r="E4522" s="109">
        <v>1.6E-2</v>
      </c>
      <c r="F4522" s="109">
        <v>1.7000000000000001E-2</v>
      </c>
      <c r="G4522" s="130">
        <v>0</v>
      </c>
      <c r="H4522" s="71">
        <v>8.6999999999999993</v>
      </c>
      <c r="I4522" s="71">
        <v>11.4</v>
      </c>
      <c r="J4522" s="71">
        <v>13.9</v>
      </c>
      <c r="K4522" s="121">
        <v>1.8E-3</v>
      </c>
      <c r="L4522" s="121">
        <v>-7.0000000000000001E-3</v>
      </c>
      <c r="M4522" s="75" t="s">
        <v>146</v>
      </c>
      <c r="N4522" s="75" t="b">
        <v>1</v>
      </c>
      <c r="O4522" s="75" t="s">
        <v>145</v>
      </c>
      <c r="P4522" s="75">
        <v>2014</v>
      </c>
      <c r="Q4522" s="107">
        <f t="shared" si="138"/>
        <v>2020</v>
      </c>
      <c r="R4522" s="107">
        <v>2</v>
      </c>
      <c r="S4522" s="43">
        <v>220078</v>
      </c>
      <c r="T4522" s="74">
        <v>43984</v>
      </c>
    </row>
    <row r="4523" spans="1:20" x14ac:dyDescent="0.3">
      <c r="A4523" s="42">
        <v>43983</v>
      </c>
      <c r="B4523" s="37">
        <f t="shared" si="139"/>
        <v>20200601</v>
      </c>
      <c r="C4523" s="109">
        <v>9.300000000000001E-3</v>
      </c>
      <c r="D4523" s="109">
        <v>1.4999999999999999E-2</v>
      </c>
      <c r="E4523" s="109">
        <v>1.6E-2</v>
      </c>
      <c r="F4523" s="109">
        <v>1.7000000000000001E-2</v>
      </c>
      <c r="G4523" s="130">
        <v>0</v>
      </c>
      <c r="H4523" s="71">
        <v>8.6999999999999993</v>
      </c>
      <c r="I4523" s="71">
        <v>11.4</v>
      </c>
      <c r="J4523" s="71">
        <v>13.9</v>
      </c>
      <c r="K4523" s="121">
        <v>1.8E-3</v>
      </c>
      <c r="L4523" s="121">
        <v>-7.0000000000000001E-3</v>
      </c>
      <c r="M4523" s="75" t="s">
        <v>146</v>
      </c>
      <c r="N4523" s="75" t="b">
        <v>1</v>
      </c>
      <c r="O4523" s="75" t="s">
        <v>145</v>
      </c>
      <c r="P4523" s="75">
        <v>2014</v>
      </c>
      <c r="Q4523" s="107">
        <f t="shared" si="138"/>
        <v>2020</v>
      </c>
      <c r="R4523" s="107">
        <v>2</v>
      </c>
      <c r="S4523" s="43">
        <v>220078</v>
      </c>
      <c r="T4523" s="74">
        <v>43984</v>
      </c>
    </row>
    <row r="4524" spans="1:20" x14ac:dyDescent="0.3">
      <c r="A4524" s="42">
        <v>43984</v>
      </c>
      <c r="B4524" s="37">
        <f t="shared" si="139"/>
        <v>20200602</v>
      </c>
      <c r="C4524" s="109">
        <v>1.03E-2</v>
      </c>
      <c r="D4524" s="109">
        <v>1.4999999999999999E-2</v>
      </c>
      <c r="E4524" s="109">
        <v>1.6E-2</v>
      </c>
      <c r="F4524" s="109">
        <v>1.7000000000000001E-2</v>
      </c>
      <c r="G4524" s="130">
        <v>0</v>
      </c>
      <c r="H4524" s="71">
        <v>8.6999999999999993</v>
      </c>
      <c r="I4524" s="71">
        <v>11.4</v>
      </c>
      <c r="J4524" s="71">
        <v>13.9</v>
      </c>
      <c r="K4524" s="121">
        <v>2E-3</v>
      </c>
      <c r="L4524" s="121">
        <v>-7.0000000000000001E-3</v>
      </c>
      <c r="M4524" s="75" t="s">
        <v>146</v>
      </c>
      <c r="N4524" s="75" t="b">
        <v>1</v>
      </c>
      <c r="O4524" s="75" t="s">
        <v>145</v>
      </c>
      <c r="P4524" s="75">
        <v>2014</v>
      </c>
      <c r="Q4524" s="107">
        <f t="shared" si="138"/>
        <v>2020</v>
      </c>
      <c r="R4524" s="107">
        <v>2</v>
      </c>
      <c r="S4524" s="43">
        <v>220078</v>
      </c>
      <c r="T4524" s="74">
        <v>43984</v>
      </c>
    </row>
    <row r="4525" spans="1:20" x14ac:dyDescent="0.3">
      <c r="A4525" s="42">
        <v>43985</v>
      </c>
      <c r="B4525" s="37">
        <f t="shared" si="139"/>
        <v>20200603</v>
      </c>
      <c r="C4525" s="109">
        <v>1.1000000000000001E-2</v>
      </c>
      <c r="D4525" s="109">
        <v>1.4999999999999999E-2</v>
      </c>
      <c r="E4525" s="109">
        <v>1.6E-2</v>
      </c>
      <c r="F4525" s="109">
        <v>1.7000000000000001E-2</v>
      </c>
      <c r="G4525" s="130">
        <v>0</v>
      </c>
      <c r="H4525" s="71">
        <v>8.6999999999999993</v>
      </c>
      <c r="I4525" s="71">
        <v>11.4</v>
      </c>
      <c r="J4525" s="71">
        <v>13.9</v>
      </c>
      <c r="K4525" s="121">
        <v>2.2000000000000001E-3</v>
      </c>
      <c r="L4525" s="121">
        <v>-7.0000000000000001E-3</v>
      </c>
      <c r="M4525" s="75" t="s">
        <v>146</v>
      </c>
      <c r="N4525" s="75" t="b">
        <v>1</v>
      </c>
      <c r="O4525" s="75" t="s">
        <v>145</v>
      </c>
      <c r="P4525" s="75">
        <v>2014</v>
      </c>
      <c r="Q4525" s="107">
        <f t="shared" si="138"/>
        <v>2020</v>
      </c>
      <c r="R4525" s="107">
        <v>2</v>
      </c>
      <c r="S4525" s="43">
        <v>220078</v>
      </c>
      <c r="T4525" s="74">
        <v>43984</v>
      </c>
    </row>
    <row r="4526" spans="1:20" x14ac:dyDescent="0.3">
      <c r="A4526" s="42">
        <v>43986</v>
      </c>
      <c r="B4526" s="37">
        <f t="shared" si="139"/>
        <v>20200604</v>
      </c>
      <c r="C4526" s="109">
        <v>1.1599999999999999E-2</v>
      </c>
      <c r="D4526" s="109">
        <v>1.4999999999999999E-2</v>
      </c>
      <c r="E4526" s="109">
        <v>1.6E-2</v>
      </c>
      <c r="F4526" s="109">
        <v>1.7000000000000001E-2</v>
      </c>
      <c r="G4526" s="130">
        <v>0</v>
      </c>
      <c r="H4526" s="71">
        <v>8.6999999999999993</v>
      </c>
      <c r="I4526" s="71">
        <v>11.4</v>
      </c>
      <c r="J4526" s="71">
        <v>13.9</v>
      </c>
      <c r="K4526" s="121">
        <v>2.3999999999999998E-3</v>
      </c>
      <c r="L4526" s="121">
        <v>-7.0000000000000001E-3</v>
      </c>
      <c r="M4526" s="75" t="s">
        <v>146</v>
      </c>
      <c r="N4526" s="75" t="b">
        <v>1</v>
      </c>
      <c r="O4526" s="75" t="s">
        <v>145</v>
      </c>
      <c r="P4526" s="75">
        <v>2014</v>
      </c>
      <c r="Q4526" s="107">
        <f t="shared" ref="Q4526:Q4589" si="140">YEAR(A4526)</f>
        <v>2020</v>
      </c>
      <c r="R4526" s="107">
        <v>2</v>
      </c>
      <c r="S4526" s="43">
        <v>220078</v>
      </c>
      <c r="T4526" s="74">
        <v>43984</v>
      </c>
    </row>
    <row r="4527" spans="1:20" x14ac:dyDescent="0.3">
      <c r="A4527" s="42">
        <v>43987</v>
      </c>
      <c r="B4527" s="37">
        <f t="shared" si="139"/>
        <v>20200605</v>
      </c>
      <c r="C4527" s="109">
        <v>1.21E-2</v>
      </c>
      <c r="D4527" s="109">
        <v>1.4999999999999999E-2</v>
      </c>
      <c r="E4527" s="109">
        <v>1.6E-2</v>
      </c>
      <c r="F4527" s="109">
        <v>1.7000000000000001E-2</v>
      </c>
      <c r="G4527" s="130">
        <v>0</v>
      </c>
      <c r="H4527" s="71">
        <v>8.6999999999999993</v>
      </c>
      <c r="I4527" s="71">
        <v>11.4</v>
      </c>
      <c r="J4527" s="71">
        <v>13.9</v>
      </c>
      <c r="K4527" s="121">
        <v>2.8000000000000004E-3</v>
      </c>
      <c r="L4527" s="121">
        <v>-7.0000000000000001E-3</v>
      </c>
      <c r="M4527" s="75" t="s">
        <v>146</v>
      </c>
      <c r="N4527" s="75" t="b">
        <v>1</v>
      </c>
      <c r="O4527" s="75" t="s">
        <v>145</v>
      </c>
      <c r="P4527" s="75">
        <v>2014</v>
      </c>
      <c r="Q4527" s="107">
        <f t="shared" si="140"/>
        <v>2020</v>
      </c>
      <c r="R4527" s="107">
        <v>2</v>
      </c>
      <c r="S4527" s="43">
        <v>220078</v>
      </c>
      <c r="T4527" s="74">
        <v>43984</v>
      </c>
    </row>
    <row r="4528" spans="1:20" x14ac:dyDescent="0.3">
      <c r="A4528" s="42">
        <v>43990</v>
      </c>
      <c r="B4528" s="37">
        <f t="shared" si="139"/>
        <v>20200608</v>
      </c>
      <c r="C4528" s="109">
        <v>1.1599999999999999E-2</v>
      </c>
      <c r="D4528" s="109">
        <v>1.4999999999999999E-2</v>
      </c>
      <c r="E4528" s="109">
        <v>1.6E-2</v>
      </c>
      <c r="F4528" s="109">
        <v>1.7000000000000001E-2</v>
      </c>
      <c r="G4528" s="130">
        <v>0</v>
      </c>
      <c r="H4528" s="71">
        <v>8.6999999999999993</v>
      </c>
      <c r="I4528" s="71">
        <v>11.4</v>
      </c>
      <c r="J4528" s="71">
        <v>13.9</v>
      </c>
      <c r="K4528" s="121">
        <v>2.3E-3</v>
      </c>
      <c r="L4528" s="121">
        <v>-7.0000000000000001E-3</v>
      </c>
      <c r="M4528" s="75" t="s">
        <v>146</v>
      </c>
      <c r="N4528" s="75" t="b">
        <v>1</v>
      </c>
      <c r="O4528" s="75" t="s">
        <v>145</v>
      </c>
      <c r="P4528" s="75">
        <v>2014</v>
      </c>
      <c r="Q4528" s="107">
        <f t="shared" si="140"/>
        <v>2020</v>
      </c>
      <c r="R4528" s="107">
        <v>2</v>
      </c>
      <c r="S4528" s="43">
        <v>220078</v>
      </c>
      <c r="T4528" s="74">
        <v>43984</v>
      </c>
    </row>
    <row r="4529" spans="1:21" x14ac:dyDescent="0.3">
      <c r="A4529" s="42">
        <v>43991</v>
      </c>
      <c r="B4529" s="37">
        <f t="shared" si="139"/>
        <v>20200609</v>
      </c>
      <c r="C4529" s="109">
        <v>1.11E-2</v>
      </c>
      <c r="D4529" s="109">
        <v>1.4999999999999999E-2</v>
      </c>
      <c r="E4529" s="109">
        <v>1.6E-2</v>
      </c>
      <c r="F4529" s="109">
        <v>1.7000000000000001E-2</v>
      </c>
      <c r="G4529" s="130">
        <v>0</v>
      </c>
      <c r="H4529" s="71">
        <v>8.6999999999999993</v>
      </c>
      <c r="I4529" s="71">
        <v>11.4</v>
      </c>
      <c r="J4529" s="71">
        <v>13.9</v>
      </c>
      <c r="K4529" s="121">
        <v>1.9E-3</v>
      </c>
      <c r="L4529" s="121">
        <v>-7.0000000000000001E-3</v>
      </c>
      <c r="M4529" s="75" t="s">
        <v>146</v>
      </c>
      <c r="N4529" s="75" t="b">
        <v>1</v>
      </c>
      <c r="O4529" s="75" t="s">
        <v>145</v>
      </c>
      <c r="P4529" s="75">
        <v>2014</v>
      </c>
      <c r="Q4529" s="107">
        <f t="shared" si="140"/>
        <v>2020</v>
      </c>
      <c r="R4529" s="107">
        <v>2</v>
      </c>
      <c r="S4529" s="43">
        <v>220078</v>
      </c>
      <c r="T4529" s="74">
        <v>43984</v>
      </c>
    </row>
    <row r="4530" spans="1:21" x14ac:dyDescent="0.3">
      <c r="A4530" s="42">
        <v>43992</v>
      </c>
      <c r="B4530" s="37">
        <f t="shared" si="139"/>
        <v>20200610</v>
      </c>
      <c r="C4530" s="109">
        <v>1.03E-2</v>
      </c>
      <c r="D4530" s="109">
        <v>1.4999999999999999E-2</v>
      </c>
      <c r="E4530" s="109">
        <v>1.6E-2</v>
      </c>
      <c r="F4530" s="109">
        <v>1.7000000000000001E-2</v>
      </c>
      <c r="G4530" s="130">
        <v>0</v>
      </c>
      <c r="H4530" s="71">
        <v>8.6999999999999993</v>
      </c>
      <c r="I4530" s="71">
        <v>11.4</v>
      </c>
      <c r="J4530" s="71">
        <v>13.9</v>
      </c>
      <c r="K4530" s="121">
        <v>1.1000000000000001E-3</v>
      </c>
      <c r="L4530" s="121">
        <v>-7.0000000000000001E-3</v>
      </c>
      <c r="M4530" s="75" t="s">
        <v>146</v>
      </c>
      <c r="N4530" s="75" t="b">
        <v>1</v>
      </c>
      <c r="O4530" s="75" t="s">
        <v>145</v>
      </c>
      <c r="P4530" s="75">
        <v>2014</v>
      </c>
      <c r="Q4530" s="107">
        <f t="shared" si="140"/>
        <v>2020</v>
      </c>
      <c r="R4530" s="107">
        <v>2</v>
      </c>
      <c r="S4530" s="43">
        <v>220078</v>
      </c>
      <c r="T4530" s="74">
        <v>43984</v>
      </c>
    </row>
    <row r="4531" spans="1:21" x14ac:dyDescent="0.3">
      <c r="A4531" s="42">
        <v>43993</v>
      </c>
      <c r="B4531" s="37">
        <f t="shared" si="139"/>
        <v>20200611</v>
      </c>
      <c r="C4531" s="109">
        <v>9.7000000000000003E-3</v>
      </c>
      <c r="D4531" s="109">
        <v>1.4999999999999999E-2</v>
      </c>
      <c r="E4531" s="109">
        <v>1.6E-2</v>
      </c>
      <c r="F4531" s="109">
        <v>1.7000000000000001E-2</v>
      </c>
      <c r="G4531" s="130">
        <v>0</v>
      </c>
      <c r="H4531" s="71">
        <v>8.6999999999999993</v>
      </c>
      <c r="I4531" s="71">
        <v>11.4</v>
      </c>
      <c r="J4531" s="71">
        <v>13.9</v>
      </c>
      <c r="K4531" s="121">
        <v>7.000000000000001E-4</v>
      </c>
      <c r="L4531" s="121">
        <v>-7.0000000000000001E-3</v>
      </c>
      <c r="M4531" s="75" t="s">
        <v>146</v>
      </c>
      <c r="N4531" s="75" t="b">
        <v>1</v>
      </c>
      <c r="O4531" s="75" t="s">
        <v>145</v>
      </c>
      <c r="P4531" s="75">
        <v>2014</v>
      </c>
      <c r="Q4531" s="107">
        <f t="shared" si="140"/>
        <v>2020</v>
      </c>
      <c r="R4531" s="107">
        <v>2</v>
      </c>
      <c r="S4531" s="43">
        <v>220078</v>
      </c>
      <c r="T4531" s="74">
        <v>43984</v>
      </c>
    </row>
    <row r="4532" spans="1:21" x14ac:dyDescent="0.3">
      <c r="A4532" s="42">
        <v>43994</v>
      </c>
      <c r="B4532" s="37">
        <f t="shared" si="139"/>
        <v>20200612</v>
      </c>
      <c r="C4532" s="109">
        <v>9.7000000000000003E-3</v>
      </c>
      <c r="D4532" s="109">
        <v>1.4999999999999999E-2</v>
      </c>
      <c r="E4532" s="109">
        <v>1.6E-2</v>
      </c>
      <c r="F4532" s="109">
        <v>1.7000000000000001E-2</v>
      </c>
      <c r="G4532" s="130">
        <v>0</v>
      </c>
      <c r="H4532" s="71">
        <v>8.6999999999999993</v>
      </c>
      <c r="I4532" s="71">
        <v>11.4</v>
      </c>
      <c r="J4532" s="71">
        <v>13.9</v>
      </c>
      <c r="K4532" s="121">
        <v>8.0000000000000004E-4</v>
      </c>
      <c r="L4532" s="121">
        <v>-7.0000000000000001E-3</v>
      </c>
      <c r="M4532" s="75" t="s">
        <v>146</v>
      </c>
      <c r="N4532" s="75" t="b">
        <v>1</v>
      </c>
      <c r="O4532" s="75" t="s">
        <v>145</v>
      </c>
      <c r="P4532" s="75">
        <v>2014</v>
      </c>
      <c r="Q4532" s="107">
        <f t="shared" si="140"/>
        <v>2020</v>
      </c>
      <c r="R4532" s="107">
        <v>2</v>
      </c>
      <c r="S4532" s="43">
        <v>220078</v>
      </c>
      <c r="T4532" s="74">
        <v>43984</v>
      </c>
    </row>
    <row r="4533" spans="1:21" x14ac:dyDescent="0.3">
      <c r="A4533" s="42">
        <v>43997</v>
      </c>
      <c r="B4533" s="37">
        <f t="shared" si="139"/>
        <v>20200615</v>
      </c>
      <c r="C4533" s="109">
        <v>9.300000000000001E-3</v>
      </c>
      <c r="D4533" s="109">
        <v>1.4999999999999999E-2</v>
      </c>
      <c r="E4533" s="109">
        <v>1.6E-2</v>
      </c>
      <c r="F4533" s="109">
        <v>1.7000000000000001E-2</v>
      </c>
      <c r="G4533" s="130">
        <v>0</v>
      </c>
      <c r="H4533" s="71">
        <v>8.6999999999999993</v>
      </c>
      <c r="I4533" s="71">
        <v>11.4</v>
      </c>
      <c r="J4533" s="71">
        <v>13.9</v>
      </c>
      <c r="K4533" s="121">
        <v>5.0000000000000001E-4</v>
      </c>
      <c r="L4533" s="121">
        <v>-7.0000000000000001E-3</v>
      </c>
      <c r="M4533" s="75" t="s">
        <v>146</v>
      </c>
      <c r="N4533" s="75" t="b">
        <v>1</v>
      </c>
      <c r="O4533" s="75" t="s">
        <v>145</v>
      </c>
      <c r="P4533" s="75">
        <v>2014</v>
      </c>
      <c r="Q4533" s="107">
        <f t="shared" si="140"/>
        <v>2020</v>
      </c>
      <c r="R4533" s="107">
        <v>2</v>
      </c>
      <c r="S4533" s="43">
        <v>220078</v>
      </c>
      <c r="T4533" s="74">
        <v>43984</v>
      </c>
    </row>
    <row r="4534" spans="1:21" x14ac:dyDescent="0.3">
      <c r="A4534" s="42">
        <v>43998</v>
      </c>
      <c r="B4534" s="37">
        <f t="shared" si="139"/>
        <v>20200616</v>
      </c>
      <c r="C4534" s="109">
        <v>9.7999999999999997E-3</v>
      </c>
      <c r="D4534" s="109">
        <v>1.4999999999999999E-2</v>
      </c>
      <c r="E4534" s="109">
        <v>1.6E-2</v>
      </c>
      <c r="F4534" s="109">
        <v>1.7000000000000001E-2</v>
      </c>
      <c r="G4534" s="130">
        <v>0</v>
      </c>
      <c r="H4534" s="71">
        <v>8.6999999999999993</v>
      </c>
      <c r="I4534" s="71">
        <v>11.4</v>
      </c>
      <c r="J4534" s="71">
        <v>13.9</v>
      </c>
      <c r="K4534" s="121">
        <v>7.000000000000001E-4</v>
      </c>
      <c r="L4534" s="121">
        <v>-7.0000000000000001E-3</v>
      </c>
      <c r="M4534" s="75" t="s">
        <v>146</v>
      </c>
      <c r="N4534" s="75" t="b">
        <v>1</v>
      </c>
      <c r="O4534" s="75" t="s">
        <v>145</v>
      </c>
      <c r="P4534" s="75">
        <v>2014</v>
      </c>
      <c r="Q4534" s="107">
        <f t="shared" si="140"/>
        <v>2020</v>
      </c>
      <c r="R4534" s="107">
        <v>2</v>
      </c>
      <c r="S4534" s="43">
        <v>220078</v>
      </c>
      <c r="T4534" s="74">
        <v>43984</v>
      </c>
    </row>
    <row r="4535" spans="1:21" x14ac:dyDescent="0.3">
      <c r="A4535" s="42">
        <v>43999</v>
      </c>
      <c r="B4535" s="37">
        <f t="shared" si="139"/>
        <v>20200617</v>
      </c>
      <c r="C4535" s="109">
        <v>9.4999999999999998E-3</v>
      </c>
      <c r="D4535" s="109">
        <v>1.4999999999999999E-2</v>
      </c>
      <c r="E4535" s="109">
        <v>1.6E-2</v>
      </c>
      <c r="F4535" s="109">
        <v>1.7000000000000001E-2</v>
      </c>
      <c r="G4535" s="130">
        <v>0</v>
      </c>
      <c r="H4535" s="71">
        <v>8.6999999999999993</v>
      </c>
      <c r="I4535" s="71">
        <v>11.4</v>
      </c>
      <c r="J4535" s="71">
        <v>13.9</v>
      </c>
      <c r="K4535" s="121">
        <v>7.000000000000001E-4</v>
      </c>
      <c r="L4535" s="121">
        <v>-7.0000000000000001E-3</v>
      </c>
      <c r="M4535" s="75" t="s">
        <v>146</v>
      </c>
      <c r="N4535" s="75" t="b">
        <v>1</v>
      </c>
      <c r="O4535" s="75" t="s">
        <v>145</v>
      </c>
      <c r="P4535" s="75">
        <v>2014</v>
      </c>
      <c r="Q4535" s="107">
        <f t="shared" si="140"/>
        <v>2020</v>
      </c>
      <c r="R4535" s="107">
        <v>2</v>
      </c>
      <c r="S4535" s="43">
        <v>220078</v>
      </c>
      <c r="T4535" s="74">
        <v>43984</v>
      </c>
    </row>
    <row r="4536" spans="1:21" x14ac:dyDescent="0.3">
      <c r="A4536" s="42">
        <v>44000</v>
      </c>
      <c r="B4536" s="37">
        <f t="shared" si="139"/>
        <v>20200618</v>
      </c>
      <c r="C4536" s="109">
        <v>9.1999999999999998E-3</v>
      </c>
      <c r="D4536" s="109">
        <v>1.4999999999999999E-2</v>
      </c>
      <c r="E4536" s="109">
        <v>1.6E-2</v>
      </c>
      <c r="F4536" s="109">
        <v>1.7000000000000001E-2</v>
      </c>
      <c r="G4536" s="130">
        <v>0</v>
      </c>
      <c r="H4536" s="71">
        <v>8.6999999999999993</v>
      </c>
      <c r="I4536" s="71">
        <v>11.4</v>
      </c>
      <c r="J4536" s="71">
        <v>13.9</v>
      </c>
      <c r="K4536" s="121">
        <v>4.0000000000000002E-4</v>
      </c>
      <c r="L4536" s="121">
        <v>-7.0000000000000001E-3</v>
      </c>
      <c r="M4536" s="75" t="s">
        <v>146</v>
      </c>
      <c r="N4536" s="75" t="b">
        <v>1</v>
      </c>
      <c r="O4536" s="75" t="s">
        <v>145</v>
      </c>
      <c r="P4536" s="75">
        <v>2014</v>
      </c>
      <c r="Q4536" s="107">
        <f t="shared" si="140"/>
        <v>2020</v>
      </c>
      <c r="R4536" s="107">
        <v>2</v>
      </c>
      <c r="S4536" s="43">
        <v>220078</v>
      </c>
      <c r="T4536" s="74">
        <v>43984</v>
      </c>
    </row>
    <row r="4537" spans="1:21" x14ac:dyDescent="0.3">
      <c r="A4537" s="42">
        <v>44001</v>
      </c>
      <c r="B4537" s="37">
        <f t="shared" si="139"/>
        <v>20200619</v>
      </c>
      <c r="C4537" s="109">
        <v>9.300000000000001E-3</v>
      </c>
      <c r="D4537" s="109">
        <v>1.4999999999999999E-2</v>
      </c>
      <c r="E4537" s="109">
        <v>1.6E-2</v>
      </c>
      <c r="F4537" s="109">
        <v>1.7000000000000001E-2</v>
      </c>
      <c r="G4537" s="130">
        <v>0</v>
      </c>
      <c r="H4537" s="71">
        <v>8.6999999999999993</v>
      </c>
      <c r="I4537" s="71">
        <v>11.4</v>
      </c>
      <c r="J4537" s="71">
        <v>13.9</v>
      </c>
      <c r="K4537" s="121">
        <v>4.0000000000000002E-4</v>
      </c>
      <c r="L4537" s="121">
        <v>-7.0000000000000001E-3</v>
      </c>
      <c r="M4537" s="75" t="s">
        <v>146</v>
      </c>
      <c r="N4537" s="75" t="b">
        <v>1</v>
      </c>
      <c r="O4537" s="75" t="s">
        <v>145</v>
      </c>
      <c r="P4537" s="75">
        <v>2014</v>
      </c>
      <c r="Q4537" s="107">
        <f t="shared" si="140"/>
        <v>2020</v>
      </c>
      <c r="R4537" s="107">
        <v>2</v>
      </c>
      <c r="S4537" s="43">
        <v>220078</v>
      </c>
      <c r="T4537" s="74">
        <v>43984</v>
      </c>
    </row>
    <row r="4538" spans="1:21" x14ac:dyDescent="0.3">
      <c r="A4538" s="42">
        <v>44004</v>
      </c>
      <c r="B4538" s="37">
        <f t="shared" si="139"/>
        <v>20200622</v>
      </c>
      <c r="C4538" s="109">
        <v>9.1999999999999998E-3</v>
      </c>
      <c r="D4538" s="109">
        <v>1.4999999999999999E-2</v>
      </c>
      <c r="E4538" s="109">
        <v>1.6E-2</v>
      </c>
      <c r="F4538" s="109">
        <v>1.7000000000000001E-2</v>
      </c>
      <c r="G4538" s="130">
        <v>0</v>
      </c>
      <c r="H4538" s="71">
        <v>8.6999999999999993</v>
      </c>
      <c r="I4538" s="71">
        <v>11.4</v>
      </c>
      <c r="J4538" s="71">
        <v>13.9</v>
      </c>
      <c r="K4538" s="121">
        <v>2.0000000000000001E-4</v>
      </c>
      <c r="L4538" s="121">
        <v>-7.0000000000000001E-3</v>
      </c>
      <c r="M4538" s="75" t="s">
        <v>146</v>
      </c>
      <c r="N4538" s="75" t="b">
        <v>1</v>
      </c>
      <c r="O4538" s="75" t="s">
        <v>145</v>
      </c>
      <c r="P4538" s="75">
        <v>2014</v>
      </c>
      <c r="Q4538" s="107">
        <f t="shared" si="140"/>
        <v>2020</v>
      </c>
      <c r="R4538" s="107">
        <v>2</v>
      </c>
      <c r="S4538" s="43">
        <v>220078</v>
      </c>
      <c r="T4538" s="74">
        <v>43984</v>
      </c>
    </row>
    <row r="4539" spans="1:21" x14ac:dyDescent="0.3">
      <c r="A4539" s="42">
        <v>44005</v>
      </c>
      <c r="B4539" s="37">
        <f t="shared" si="139"/>
        <v>20200623</v>
      </c>
      <c r="C4539" s="109">
        <v>9.300000000000001E-3</v>
      </c>
      <c r="D4539" s="109">
        <v>1.4999999999999999E-2</v>
      </c>
      <c r="E4539" s="109">
        <v>1.6E-2</v>
      </c>
      <c r="F4539" s="109">
        <v>1.7000000000000001E-2</v>
      </c>
      <c r="G4539" s="130">
        <v>0</v>
      </c>
      <c r="H4539" s="71">
        <v>8.6999999999999993</v>
      </c>
      <c r="I4539" s="71">
        <v>11.4</v>
      </c>
      <c r="J4539" s="71">
        <v>13.9</v>
      </c>
      <c r="K4539" s="121">
        <v>-2.9999999999999997E-4</v>
      </c>
      <c r="L4539" s="121">
        <v>-7.0000000000000001E-3</v>
      </c>
      <c r="M4539" s="75" t="s">
        <v>146</v>
      </c>
      <c r="N4539" s="75" t="b">
        <v>1</v>
      </c>
      <c r="O4539" s="75" t="s">
        <v>145</v>
      </c>
      <c r="P4539" s="75">
        <v>2014</v>
      </c>
      <c r="Q4539" s="107">
        <f t="shared" si="140"/>
        <v>2020</v>
      </c>
      <c r="R4539" s="107">
        <v>2</v>
      </c>
      <c r="S4539" s="43">
        <v>220078</v>
      </c>
      <c r="T4539" s="74">
        <v>43984</v>
      </c>
    </row>
    <row r="4540" spans="1:21" x14ac:dyDescent="0.3">
      <c r="A4540" s="42">
        <v>44006</v>
      </c>
      <c r="B4540" s="37">
        <f t="shared" si="139"/>
        <v>20200624</v>
      </c>
      <c r="C4540" s="109">
        <v>9.4999999999999998E-3</v>
      </c>
      <c r="D4540" s="109">
        <v>1.4999999999999999E-2</v>
      </c>
      <c r="E4540" s="109">
        <v>1.6E-2</v>
      </c>
      <c r="F4540" s="109">
        <v>1.7000000000000001E-2</v>
      </c>
      <c r="G4540" s="130">
        <v>0</v>
      </c>
      <c r="H4540" s="71">
        <v>8.6999999999999993</v>
      </c>
      <c r="I4540" s="71">
        <v>11.4</v>
      </c>
      <c r="J4540" s="71">
        <v>13.9</v>
      </c>
      <c r="K4540" s="121">
        <v>-1E-4</v>
      </c>
      <c r="L4540" s="121">
        <v>-7.0000000000000001E-3</v>
      </c>
      <c r="M4540" s="75" t="s">
        <v>146</v>
      </c>
      <c r="N4540" s="75" t="b">
        <v>1</v>
      </c>
      <c r="O4540" s="75" t="s">
        <v>145</v>
      </c>
      <c r="P4540" s="75">
        <v>2014</v>
      </c>
      <c r="Q4540" s="107">
        <f t="shared" si="140"/>
        <v>2020</v>
      </c>
      <c r="R4540" s="107">
        <v>2</v>
      </c>
      <c r="S4540" s="43">
        <v>220078</v>
      </c>
      <c r="T4540" s="74">
        <v>43984</v>
      </c>
    </row>
    <row r="4541" spans="1:21" x14ac:dyDescent="0.3">
      <c r="A4541" s="42">
        <v>44007</v>
      </c>
      <c r="B4541" s="37">
        <f t="shared" si="139"/>
        <v>20200625</v>
      </c>
      <c r="C4541" s="109">
        <v>9.300000000000001E-3</v>
      </c>
      <c r="D4541" s="109">
        <v>1.4999999999999999E-2</v>
      </c>
      <c r="E4541" s="109">
        <v>1.6E-2</v>
      </c>
      <c r="F4541" s="109">
        <v>1.7000000000000001E-2</v>
      </c>
      <c r="G4541" s="130">
        <v>0</v>
      </c>
      <c r="H4541" s="71">
        <v>8.6999999999999993</v>
      </c>
      <c r="I4541" s="71">
        <v>11.4</v>
      </c>
      <c r="J4541" s="71">
        <v>13.9</v>
      </c>
      <c r="K4541" s="121">
        <v>-1E-4</v>
      </c>
      <c r="L4541" s="121">
        <v>-7.0000000000000001E-3</v>
      </c>
      <c r="M4541" s="75" t="s">
        <v>146</v>
      </c>
      <c r="N4541" s="75" t="b">
        <v>1</v>
      </c>
      <c r="O4541" s="75" t="s">
        <v>145</v>
      </c>
      <c r="P4541" s="75">
        <v>2014</v>
      </c>
      <c r="Q4541" s="107">
        <f t="shared" si="140"/>
        <v>2020</v>
      </c>
      <c r="R4541" s="107">
        <v>2</v>
      </c>
      <c r="S4541" s="43">
        <v>220078</v>
      </c>
      <c r="T4541" s="74">
        <v>43984</v>
      </c>
    </row>
    <row r="4542" spans="1:21" x14ac:dyDescent="0.3">
      <c r="A4542" s="42">
        <v>44008</v>
      </c>
      <c r="B4542" s="37">
        <f t="shared" si="139"/>
        <v>20200626</v>
      </c>
      <c r="C4542" s="109">
        <v>9.1000000000000004E-3</v>
      </c>
      <c r="D4542" s="109">
        <v>1.4999999999999999E-2</v>
      </c>
      <c r="E4542" s="109">
        <v>1.6E-2</v>
      </c>
      <c r="F4542" s="109">
        <v>1.7000000000000001E-2</v>
      </c>
      <c r="G4542" s="130">
        <v>0</v>
      </c>
      <c r="H4542" s="71">
        <v>8.6999999999999993</v>
      </c>
      <c r="I4542" s="71">
        <v>11.4</v>
      </c>
      <c r="J4542" s="71">
        <v>13.9</v>
      </c>
      <c r="K4542" s="121">
        <v>-2.0000000000000001E-4</v>
      </c>
      <c r="L4542" s="121">
        <v>-7.0000000000000001E-3</v>
      </c>
      <c r="M4542" s="75" t="s">
        <v>146</v>
      </c>
      <c r="N4542" s="75" t="b">
        <v>1</v>
      </c>
      <c r="O4542" s="75" t="s">
        <v>145</v>
      </c>
      <c r="P4542" s="75">
        <v>2014</v>
      </c>
      <c r="Q4542" s="107">
        <f t="shared" si="140"/>
        <v>2020</v>
      </c>
      <c r="R4542" s="107">
        <v>2</v>
      </c>
      <c r="S4542" s="43">
        <v>220078</v>
      </c>
      <c r="T4542" s="74">
        <v>43984</v>
      </c>
    </row>
    <row r="4543" spans="1:21" x14ac:dyDescent="0.3">
      <c r="A4543" s="42">
        <v>44011</v>
      </c>
      <c r="B4543" s="37">
        <f t="shared" si="139"/>
        <v>20200629</v>
      </c>
      <c r="C4543" s="109">
        <v>9.1000000000000004E-3</v>
      </c>
      <c r="D4543" s="109">
        <v>1.4999999999999999E-2</v>
      </c>
      <c r="E4543" s="109">
        <v>1.6E-2</v>
      </c>
      <c r="F4543" s="109">
        <v>1.7000000000000001E-2</v>
      </c>
      <c r="G4543" s="130">
        <v>0</v>
      </c>
      <c r="H4543" s="71">
        <v>8.6999999999999993</v>
      </c>
      <c r="I4543" s="71">
        <v>11.4</v>
      </c>
      <c r="J4543" s="71">
        <v>13.9</v>
      </c>
      <c r="K4543" s="121">
        <v>-2.9999999999999997E-4</v>
      </c>
      <c r="L4543" s="121">
        <v>-7.0000000000000001E-3</v>
      </c>
      <c r="M4543" s="75" t="s">
        <v>146</v>
      </c>
      <c r="N4543" s="75" t="b">
        <v>1</v>
      </c>
      <c r="O4543" s="75" t="s">
        <v>145</v>
      </c>
      <c r="P4543" s="75">
        <v>2014</v>
      </c>
      <c r="Q4543" s="107">
        <f t="shared" si="140"/>
        <v>2020</v>
      </c>
      <c r="R4543" s="107">
        <v>2</v>
      </c>
      <c r="S4543" s="43">
        <v>220078</v>
      </c>
      <c r="T4543" s="74">
        <v>43984</v>
      </c>
    </row>
    <row r="4544" spans="1:21" s="116" customFormat="1" x14ac:dyDescent="0.3">
      <c r="A4544" s="110">
        <v>44012</v>
      </c>
      <c r="B4544" s="132">
        <f t="shared" si="139"/>
        <v>20200630</v>
      </c>
      <c r="C4544" s="111">
        <v>9.1000000000000004E-3</v>
      </c>
      <c r="D4544" s="120">
        <v>1.4E-2</v>
      </c>
      <c r="E4544" s="120">
        <v>1.6E-2</v>
      </c>
      <c r="F4544" s="120">
        <v>1.7000000000000001E-2</v>
      </c>
      <c r="G4544" s="133">
        <v>0</v>
      </c>
      <c r="H4544" s="124">
        <v>8.8000000000000007</v>
      </c>
      <c r="I4544" s="124">
        <v>11.6</v>
      </c>
      <c r="J4544" s="124">
        <v>14.3</v>
      </c>
      <c r="K4544" s="131">
        <v>-2.0000000000000001E-4</v>
      </c>
      <c r="L4544" s="125">
        <v>-5.0000000000000001E-3</v>
      </c>
      <c r="M4544" s="98" t="s">
        <v>146</v>
      </c>
      <c r="N4544" s="98" t="b">
        <v>1</v>
      </c>
      <c r="O4544" s="98" t="s">
        <v>145</v>
      </c>
      <c r="P4544" s="98">
        <v>2014</v>
      </c>
      <c r="Q4544" s="105">
        <f t="shared" si="140"/>
        <v>2020</v>
      </c>
      <c r="R4544" s="105">
        <v>2</v>
      </c>
      <c r="S4544" s="127">
        <v>220121</v>
      </c>
      <c r="T4544" s="128">
        <v>44055</v>
      </c>
      <c r="U4544" s="98" t="s">
        <v>176</v>
      </c>
    </row>
    <row r="4545" spans="1:20" x14ac:dyDescent="0.3">
      <c r="A4545" s="42">
        <v>44014</v>
      </c>
      <c r="B4545" s="37">
        <f t="shared" si="139"/>
        <v>20200702</v>
      </c>
      <c r="C4545" s="109">
        <v>9.3999999999999986E-3</v>
      </c>
      <c r="D4545" s="109">
        <v>1.4E-2</v>
      </c>
      <c r="E4545" s="109">
        <v>1.6E-2</v>
      </c>
      <c r="F4545" s="109">
        <v>1.7000000000000001E-2</v>
      </c>
      <c r="G4545" s="130">
        <v>0</v>
      </c>
      <c r="H4545" s="71">
        <v>8.8000000000000007</v>
      </c>
      <c r="I4545" s="71">
        <v>11.6</v>
      </c>
      <c r="J4545" s="71">
        <v>14.3</v>
      </c>
      <c r="K4545" s="121">
        <v>-1E-4</v>
      </c>
      <c r="L4545" s="121">
        <v>-5.0000000000000001E-3</v>
      </c>
      <c r="M4545" s="75" t="s">
        <v>146</v>
      </c>
      <c r="N4545" s="75" t="b">
        <v>1</v>
      </c>
      <c r="O4545" s="75" t="s">
        <v>145</v>
      </c>
      <c r="P4545" s="75">
        <v>2014</v>
      </c>
      <c r="Q4545" s="107">
        <f t="shared" si="140"/>
        <v>2020</v>
      </c>
      <c r="R4545" s="107">
        <v>2</v>
      </c>
      <c r="S4545" s="43">
        <v>220121</v>
      </c>
      <c r="T4545" s="74">
        <v>44055</v>
      </c>
    </row>
    <row r="4546" spans="1:20" x14ac:dyDescent="0.3">
      <c r="A4546" s="42">
        <v>44015</v>
      </c>
      <c r="B4546" s="37">
        <f t="shared" si="139"/>
        <v>20200703</v>
      </c>
      <c r="C4546" s="109">
        <v>9.300000000000001E-3</v>
      </c>
      <c r="D4546" s="109">
        <v>1.4E-2</v>
      </c>
      <c r="E4546" s="109">
        <v>1.6E-2</v>
      </c>
      <c r="F4546" s="109">
        <v>1.7000000000000001E-2</v>
      </c>
      <c r="G4546" s="130">
        <v>0</v>
      </c>
      <c r="H4546" s="71">
        <v>8.8000000000000007</v>
      </c>
      <c r="I4546" s="71">
        <v>11.6</v>
      </c>
      <c r="J4546" s="71">
        <v>14.3</v>
      </c>
      <c r="K4546" s="121">
        <v>-2.0000000000000001E-4</v>
      </c>
      <c r="L4546" s="121">
        <v>-5.0000000000000001E-3</v>
      </c>
      <c r="M4546" s="75" t="s">
        <v>146</v>
      </c>
      <c r="N4546" s="75" t="b">
        <v>1</v>
      </c>
      <c r="O4546" s="75" t="s">
        <v>145</v>
      </c>
      <c r="P4546" s="75">
        <v>2014</v>
      </c>
      <c r="Q4546" s="107">
        <f t="shared" si="140"/>
        <v>2020</v>
      </c>
      <c r="R4546" s="107">
        <v>2</v>
      </c>
      <c r="S4546" s="43">
        <v>220121</v>
      </c>
      <c r="T4546" s="74">
        <v>44055</v>
      </c>
    </row>
    <row r="4547" spans="1:20" x14ac:dyDescent="0.3">
      <c r="A4547" s="42">
        <v>44018</v>
      </c>
      <c r="B4547" s="37">
        <f t="shared" si="139"/>
        <v>20200706</v>
      </c>
      <c r="C4547" s="109">
        <v>9.3999999999999986E-3</v>
      </c>
      <c r="D4547" s="109">
        <v>1.4E-2</v>
      </c>
      <c r="E4547" s="109">
        <v>1.6E-2</v>
      </c>
      <c r="F4547" s="109">
        <v>1.7000000000000001E-2</v>
      </c>
      <c r="G4547" s="130">
        <v>0</v>
      </c>
      <c r="H4547" s="71">
        <v>8.8000000000000007</v>
      </c>
      <c r="I4547" s="71">
        <v>11.6</v>
      </c>
      <c r="J4547" s="71">
        <v>14.3</v>
      </c>
      <c r="K4547" s="121">
        <v>-2.0000000000000001E-4</v>
      </c>
      <c r="L4547" s="121">
        <v>-5.0000000000000001E-3</v>
      </c>
      <c r="M4547" s="75" t="s">
        <v>146</v>
      </c>
      <c r="N4547" s="75" t="b">
        <v>1</v>
      </c>
      <c r="O4547" s="75" t="s">
        <v>145</v>
      </c>
      <c r="P4547" s="75">
        <v>2014</v>
      </c>
      <c r="Q4547" s="107">
        <f t="shared" si="140"/>
        <v>2020</v>
      </c>
      <c r="R4547" s="107">
        <v>2</v>
      </c>
      <c r="S4547" s="43">
        <v>220121</v>
      </c>
      <c r="T4547" s="74">
        <v>44055</v>
      </c>
    </row>
    <row r="4548" spans="1:20" x14ac:dyDescent="0.3">
      <c r="A4548" s="42">
        <v>44019</v>
      </c>
      <c r="B4548" s="37">
        <f t="shared" si="139"/>
        <v>20200707</v>
      </c>
      <c r="C4548" s="109">
        <v>9.1000000000000004E-3</v>
      </c>
      <c r="D4548" s="109">
        <v>1.4E-2</v>
      </c>
      <c r="E4548" s="109">
        <v>1.6E-2</v>
      </c>
      <c r="F4548" s="109">
        <v>1.7000000000000001E-2</v>
      </c>
      <c r="G4548" s="130">
        <v>0</v>
      </c>
      <c r="H4548" s="71">
        <v>8.8000000000000007</v>
      </c>
      <c r="I4548" s="71">
        <v>11.6</v>
      </c>
      <c r="J4548" s="71">
        <v>14.3</v>
      </c>
      <c r="K4548" s="121">
        <v>-2.0000000000000001E-4</v>
      </c>
      <c r="L4548" s="121">
        <v>-5.0000000000000001E-3</v>
      </c>
      <c r="M4548" s="75" t="s">
        <v>146</v>
      </c>
      <c r="N4548" s="75" t="b">
        <v>1</v>
      </c>
      <c r="O4548" s="75" t="s">
        <v>145</v>
      </c>
      <c r="P4548" s="75">
        <v>2014</v>
      </c>
      <c r="Q4548" s="107">
        <f t="shared" si="140"/>
        <v>2020</v>
      </c>
      <c r="R4548" s="107">
        <v>2</v>
      </c>
      <c r="S4548" s="43">
        <v>220121</v>
      </c>
      <c r="T4548" s="74">
        <v>44055</v>
      </c>
    </row>
    <row r="4549" spans="1:20" x14ac:dyDescent="0.3">
      <c r="A4549" s="42">
        <v>44020</v>
      </c>
      <c r="B4549" s="37">
        <f t="shared" ref="B4549:B4624" si="141">YEAR(A4549)*10000+MONTH(A4549)*100+DAY(A4549)</f>
        <v>20200708</v>
      </c>
      <c r="C4549" s="109">
        <v>0.01</v>
      </c>
      <c r="D4549" s="109">
        <v>1.4E-2</v>
      </c>
      <c r="E4549" s="109">
        <v>1.6E-2</v>
      </c>
      <c r="F4549" s="109">
        <v>1.7000000000000001E-2</v>
      </c>
      <c r="G4549" s="130">
        <v>0</v>
      </c>
      <c r="H4549" s="71">
        <v>8.8000000000000007</v>
      </c>
      <c r="I4549" s="71">
        <v>11.6</v>
      </c>
      <c r="J4549" s="71">
        <v>14.3</v>
      </c>
      <c r="K4549" s="121">
        <v>7.000000000000001E-4</v>
      </c>
      <c r="L4549" s="121">
        <v>-5.0000000000000001E-3</v>
      </c>
      <c r="M4549" s="75" t="s">
        <v>146</v>
      </c>
      <c r="N4549" s="75" t="b">
        <v>1</v>
      </c>
      <c r="O4549" s="75" t="s">
        <v>145</v>
      </c>
      <c r="P4549" s="75">
        <v>2014</v>
      </c>
      <c r="Q4549" s="107">
        <f t="shared" si="140"/>
        <v>2020</v>
      </c>
      <c r="R4549" s="107">
        <v>2</v>
      </c>
      <c r="S4549" s="43">
        <v>220121</v>
      </c>
      <c r="T4549" s="74">
        <v>44055</v>
      </c>
    </row>
    <row r="4550" spans="1:20" x14ac:dyDescent="0.3">
      <c r="A4550" s="42">
        <v>44021</v>
      </c>
      <c r="B4550" s="37">
        <f t="shared" si="141"/>
        <v>20200709</v>
      </c>
      <c r="C4550" s="109">
        <v>9.7999999999999997E-3</v>
      </c>
      <c r="D4550" s="109">
        <v>1.4E-2</v>
      </c>
      <c r="E4550" s="109">
        <v>1.6E-2</v>
      </c>
      <c r="F4550" s="109">
        <v>1.7000000000000001E-2</v>
      </c>
      <c r="G4550" s="130">
        <v>0</v>
      </c>
      <c r="H4550" s="71">
        <v>8.8000000000000007</v>
      </c>
      <c r="I4550" s="71">
        <v>11.6</v>
      </c>
      <c r="J4550" s="71">
        <v>14.3</v>
      </c>
      <c r="K4550" s="121">
        <v>5.0000000000000001E-4</v>
      </c>
      <c r="L4550" s="121">
        <v>-5.0000000000000001E-3</v>
      </c>
      <c r="M4550" s="75" t="s">
        <v>146</v>
      </c>
      <c r="N4550" s="75" t="b">
        <v>1</v>
      </c>
      <c r="O4550" s="75" t="s">
        <v>145</v>
      </c>
      <c r="P4550" s="75">
        <v>2014</v>
      </c>
      <c r="Q4550" s="107">
        <f t="shared" si="140"/>
        <v>2020</v>
      </c>
      <c r="R4550" s="107">
        <v>2</v>
      </c>
      <c r="S4550" s="43">
        <v>220121</v>
      </c>
      <c r="T4550" s="74">
        <v>44055</v>
      </c>
    </row>
    <row r="4551" spans="1:20" x14ac:dyDescent="0.3">
      <c r="A4551" s="42">
        <v>44022</v>
      </c>
      <c r="B4551" s="37">
        <f t="shared" si="141"/>
        <v>20200710</v>
      </c>
      <c r="C4551" s="109">
        <v>9.7000000000000003E-3</v>
      </c>
      <c r="D4551" s="109">
        <v>1.4E-2</v>
      </c>
      <c r="E4551" s="109">
        <v>1.6E-2</v>
      </c>
      <c r="F4551" s="109">
        <v>1.7000000000000001E-2</v>
      </c>
      <c r="G4551" s="130">
        <v>0</v>
      </c>
      <c r="H4551" s="71">
        <v>8.8000000000000007</v>
      </c>
      <c r="I4551" s="71">
        <v>11.6</v>
      </c>
      <c r="J4551" s="71">
        <v>14.3</v>
      </c>
      <c r="K4551" s="121">
        <v>4.0000000000000002E-4</v>
      </c>
      <c r="L4551" s="121">
        <v>-5.0000000000000001E-3</v>
      </c>
      <c r="M4551" s="75" t="s">
        <v>146</v>
      </c>
      <c r="N4551" s="75" t="b">
        <v>1</v>
      </c>
      <c r="O4551" s="75" t="s">
        <v>145</v>
      </c>
      <c r="P4551" s="75">
        <v>2014</v>
      </c>
      <c r="Q4551" s="107">
        <f t="shared" si="140"/>
        <v>2020</v>
      </c>
      <c r="R4551" s="107">
        <v>2</v>
      </c>
      <c r="S4551" s="43">
        <v>220121</v>
      </c>
      <c r="T4551" s="74">
        <v>44055</v>
      </c>
    </row>
    <row r="4552" spans="1:20" x14ac:dyDescent="0.3">
      <c r="A4552" s="42">
        <v>44025</v>
      </c>
      <c r="B4552" s="37">
        <f t="shared" si="141"/>
        <v>20200713</v>
      </c>
      <c r="C4552" s="109">
        <v>9.5999999999999992E-3</v>
      </c>
      <c r="D4552" s="109">
        <v>1.4E-2</v>
      </c>
      <c r="E4552" s="109">
        <v>1.6E-2</v>
      </c>
      <c r="F4552" s="109">
        <v>1.7000000000000001E-2</v>
      </c>
      <c r="G4552" s="130">
        <v>0</v>
      </c>
      <c r="H4552" s="71">
        <v>8.8000000000000007</v>
      </c>
      <c r="I4552" s="71">
        <v>11.6</v>
      </c>
      <c r="J4552" s="71">
        <v>14.3</v>
      </c>
      <c r="K4552" s="121">
        <v>2.9999999999999997E-4</v>
      </c>
      <c r="L4552" s="121">
        <v>-5.0000000000000001E-3</v>
      </c>
      <c r="M4552" s="75" t="s">
        <v>146</v>
      </c>
      <c r="N4552" s="75" t="b">
        <v>1</v>
      </c>
      <c r="O4552" s="75" t="s">
        <v>145</v>
      </c>
      <c r="P4552" s="75">
        <v>2014</v>
      </c>
      <c r="Q4552" s="107">
        <f t="shared" si="140"/>
        <v>2020</v>
      </c>
      <c r="R4552" s="107">
        <v>2</v>
      </c>
      <c r="S4552" s="43">
        <v>220121</v>
      </c>
      <c r="T4552" s="74">
        <v>44055</v>
      </c>
    </row>
    <row r="4553" spans="1:20" x14ac:dyDescent="0.3">
      <c r="A4553" s="42">
        <v>44026</v>
      </c>
      <c r="B4553" s="37">
        <f t="shared" si="141"/>
        <v>20200714</v>
      </c>
      <c r="C4553" s="109">
        <v>9.3999999999999986E-3</v>
      </c>
      <c r="D4553" s="109">
        <v>1.4E-2</v>
      </c>
      <c r="E4553" s="109">
        <v>1.6E-2</v>
      </c>
      <c r="F4553" s="109">
        <v>1.7000000000000001E-2</v>
      </c>
      <c r="G4553" s="130">
        <v>0</v>
      </c>
      <c r="H4553" s="71">
        <v>8.8000000000000007</v>
      </c>
      <c r="I4553" s="71">
        <v>11.6</v>
      </c>
      <c r="J4553" s="71">
        <v>14.3</v>
      </c>
      <c r="K4553" s="121">
        <v>2.0000000000000001E-4</v>
      </c>
      <c r="L4553" s="121">
        <v>-5.0000000000000001E-3</v>
      </c>
      <c r="M4553" s="75" t="s">
        <v>146</v>
      </c>
      <c r="N4553" s="75" t="b">
        <v>1</v>
      </c>
      <c r="O4553" s="75" t="s">
        <v>145</v>
      </c>
      <c r="P4553" s="75">
        <v>2014</v>
      </c>
      <c r="Q4553" s="107">
        <f t="shared" si="140"/>
        <v>2020</v>
      </c>
      <c r="R4553" s="107">
        <v>2</v>
      </c>
      <c r="S4553" s="43">
        <v>220121</v>
      </c>
      <c r="T4553" s="74">
        <v>44055</v>
      </c>
    </row>
    <row r="4554" spans="1:20" x14ac:dyDescent="0.3">
      <c r="A4554" s="42">
        <v>44027</v>
      </c>
      <c r="B4554" s="37">
        <f t="shared" si="141"/>
        <v>20200715</v>
      </c>
      <c r="C4554" s="109">
        <v>9.3999999999999986E-3</v>
      </c>
      <c r="D4554" s="109">
        <v>1.4E-2</v>
      </c>
      <c r="E4554" s="109">
        <v>1.6E-2</v>
      </c>
      <c r="F4554" s="109">
        <v>1.7000000000000001E-2</v>
      </c>
      <c r="G4554" s="130">
        <v>0</v>
      </c>
      <c r="H4554" s="71">
        <v>8.8000000000000007</v>
      </c>
      <c r="I4554" s="71">
        <v>11.6</v>
      </c>
      <c r="J4554" s="71">
        <v>14.3</v>
      </c>
      <c r="K4554" s="121">
        <v>1E-4</v>
      </c>
      <c r="L4554" s="121">
        <v>-5.0000000000000001E-3</v>
      </c>
      <c r="M4554" s="75" t="s">
        <v>146</v>
      </c>
      <c r="N4554" s="75" t="b">
        <v>1</v>
      </c>
      <c r="O4554" s="75" t="s">
        <v>145</v>
      </c>
      <c r="P4554" s="75">
        <v>2014</v>
      </c>
      <c r="Q4554" s="107">
        <f t="shared" si="140"/>
        <v>2020</v>
      </c>
      <c r="R4554" s="107">
        <v>2</v>
      </c>
      <c r="S4554" s="43">
        <v>220121</v>
      </c>
      <c r="T4554" s="74">
        <v>44055</v>
      </c>
    </row>
    <row r="4555" spans="1:20" x14ac:dyDescent="0.3">
      <c r="A4555" s="42">
        <v>44028</v>
      </c>
      <c r="B4555" s="37">
        <f t="shared" si="141"/>
        <v>20200716</v>
      </c>
      <c r="C4555" s="109">
        <v>9.0000000000000011E-3</v>
      </c>
      <c r="D4555" s="109">
        <v>1.4E-2</v>
      </c>
      <c r="E4555" s="109">
        <v>1.6E-2</v>
      </c>
      <c r="F4555" s="109">
        <v>1.7000000000000001E-2</v>
      </c>
      <c r="G4555" s="130">
        <v>0</v>
      </c>
      <c r="H4555" s="71">
        <v>8.8000000000000007</v>
      </c>
      <c r="I4555" s="71">
        <v>11.6</v>
      </c>
      <c r="J4555" s="71">
        <v>14.3</v>
      </c>
      <c r="K4555" s="121">
        <v>-2.9999999999999997E-4</v>
      </c>
      <c r="L4555" s="121">
        <v>-5.0000000000000001E-3</v>
      </c>
      <c r="M4555" s="75" t="s">
        <v>146</v>
      </c>
      <c r="N4555" s="75" t="b">
        <v>1</v>
      </c>
      <c r="O4555" s="75" t="s">
        <v>145</v>
      </c>
      <c r="P4555" s="75">
        <v>2014</v>
      </c>
      <c r="Q4555" s="107">
        <f t="shared" si="140"/>
        <v>2020</v>
      </c>
      <c r="R4555" s="107">
        <v>2</v>
      </c>
      <c r="S4555" s="43">
        <v>220121</v>
      </c>
      <c r="T4555" s="74">
        <v>44055</v>
      </c>
    </row>
    <row r="4556" spans="1:20" x14ac:dyDescent="0.3">
      <c r="A4556" s="42">
        <v>44029</v>
      </c>
      <c r="B4556" s="37">
        <f t="shared" si="141"/>
        <v>20200717</v>
      </c>
      <c r="C4556" s="109">
        <v>9.0000000000000011E-3</v>
      </c>
      <c r="D4556" s="109">
        <v>1.4E-2</v>
      </c>
      <c r="E4556" s="109">
        <v>1.6E-2</v>
      </c>
      <c r="F4556" s="109">
        <v>1.7000000000000001E-2</v>
      </c>
      <c r="G4556" s="130">
        <v>0</v>
      </c>
      <c r="H4556" s="71">
        <v>8.8000000000000007</v>
      </c>
      <c r="I4556" s="71">
        <v>11.6</v>
      </c>
      <c r="J4556" s="71">
        <v>14.3</v>
      </c>
      <c r="K4556" s="121">
        <v>-4.0000000000000002E-4</v>
      </c>
      <c r="L4556" s="121">
        <v>-5.0000000000000001E-3</v>
      </c>
      <c r="M4556" s="75" t="s">
        <v>146</v>
      </c>
      <c r="N4556" s="75" t="b">
        <v>1</v>
      </c>
      <c r="O4556" s="75" t="s">
        <v>145</v>
      </c>
      <c r="P4556" s="75">
        <v>2014</v>
      </c>
      <c r="Q4556" s="107">
        <f t="shared" si="140"/>
        <v>2020</v>
      </c>
      <c r="R4556" s="107">
        <v>2</v>
      </c>
      <c r="S4556" s="43">
        <v>220121</v>
      </c>
      <c r="T4556" s="74">
        <v>44055</v>
      </c>
    </row>
    <row r="4557" spans="1:20" x14ac:dyDescent="0.3">
      <c r="A4557" s="42">
        <v>44032</v>
      </c>
      <c r="B4557" s="37">
        <f t="shared" si="141"/>
        <v>20200720</v>
      </c>
      <c r="C4557" s="109">
        <v>8.8000000000000005E-3</v>
      </c>
      <c r="D4557" s="109">
        <v>1.4E-2</v>
      </c>
      <c r="E4557" s="109">
        <v>1.6E-2</v>
      </c>
      <c r="F4557" s="109">
        <v>1.7000000000000001E-2</v>
      </c>
      <c r="G4557" s="130">
        <v>0</v>
      </c>
      <c r="H4557" s="71">
        <v>8.8000000000000007</v>
      </c>
      <c r="I4557" s="71">
        <v>11.6</v>
      </c>
      <c r="J4557" s="71">
        <v>14.3</v>
      </c>
      <c r="K4557" s="121">
        <v>-8.0000000000000004E-4</v>
      </c>
      <c r="L4557" s="121">
        <v>-5.0000000000000001E-3</v>
      </c>
      <c r="M4557" s="75" t="s">
        <v>146</v>
      </c>
      <c r="N4557" s="75" t="b">
        <v>1</v>
      </c>
      <c r="O4557" s="75" t="s">
        <v>145</v>
      </c>
      <c r="P4557" s="75">
        <v>2014</v>
      </c>
      <c r="Q4557" s="107">
        <f t="shared" si="140"/>
        <v>2020</v>
      </c>
      <c r="R4557" s="107">
        <v>2</v>
      </c>
      <c r="S4557" s="43">
        <v>220121</v>
      </c>
      <c r="T4557" s="74">
        <v>44055</v>
      </c>
    </row>
    <row r="4558" spans="1:20" x14ac:dyDescent="0.3">
      <c r="A4558" s="42">
        <v>44033</v>
      </c>
      <c r="B4558" s="37">
        <f t="shared" si="141"/>
        <v>20200721</v>
      </c>
      <c r="C4558" s="109">
        <v>8.8000000000000005E-3</v>
      </c>
      <c r="D4558" s="109">
        <v>1.4E-2</v>
      </c>
      <c r="E4558" s="109">
        <v>1.6E-2</v>
      </c>
      <c r="F4558" s="109">
        <v>1.7000000000000001E-2</v>
      </c>
      <c r="G4558" s="130">
        <v>0</v>
      </c>
      <c r="H4558" s="71">
        <v>8.8000000000000007</v>
      </c>
      <c r="I4558" s="71">
        <v>11.6</v>
      </c>
      <c r="J4558" s="71">
        <v>14.3</v>
      </c>
      <c r="K4558" s="121">
        <v>-8.0000000000000004E-4</v>
      </c>
      <c r="L4558" s="121">
        <v>-5.0000000000000001E-3</v>
      </c>
      <c r="M4558" s="75" t="s">
        <v>146</v>
      </c>
      <c r="N4558" s="75" t="b">
        <v>1</v>
      </c>
      <c r="O4558" s="75" t="s">
        <v>145</v>
      </c>
      <c r="P4558" s="75">
        <v>2014</v>
      </c>
      <c r="Q4558" s="107">
        <f t="shared" si="140"/>
        <v>2020</v>
      </c>
      <c r="R4558" s="107">
        <v>2</v>
      </c>
      <c r="S4558" s="43">
        <v>220121</v>
      </c>
      <c r="T4558" s="74">
        <v>44055</v>
      </c>
    </row>
    <row r="4559" spans="1:20" x14ac:dyDescent="0.3">
      <c r="A4559" s="42">
        <v>44034</v>
      </c>
      <c r="B4559" s="37">
        <f t="shared" si="141"/>
        <v>20200722</v>
      </c>
      <c r="C4559" s="109">
        <v>8.8999999999999999E-3</v>
      </c>
      <c r="D4559" s="109">
        <v>1.4E-2</v>
      </c>
      <c r="E4559" s="109">
        <v>1.6E-2</v>
      </c>
      <c r="F4559" s="109">
        <v>1.7000000000000001E-2</v>
      </c>
      <c r="G4559" s="130">
        <v>0</v>
      </c>
      <c r="H4559" s="71">
        <v>8.8000000000000007</v>
      </c>
      <c r="I4559" s="71">
        <v>11.6</v>
      </c>
      <c r="J4559" s="71">
        <v>14.3</v>
      </c>
      <c r="K4559" s="121">
        <v>-8.9999999999999998E-4</v>
      </c>
      <c r="L4559" s="121">
        <v>-5.0000000000000001E-3</v>
      </c>
      <c r="M4559" s="75" t="s">
        <v>146</v>
      </c>
      <c r="N4559" s="75" t="b">
        <v>1</v>
      </c>
      <c r="O4559" s="75" t="s">
        <v>145</v>
      </c>
      <c r="P4559" s="75">
        <v>2014</v>
      </c>
      <c r="Q4559" s="107">
        <f t="shared" si="140"/>
        <v>2020</v>
      </c>
      <c r="R4559" s="107">
        <v>2</v>
      </c>
      <c r="S4559" s="43">
        <v>220121</v>
      </c>
      <c r="T4559" s="74">
        <v>44055</v>
      </c>
    </row>
    <row r="4560" spans="1:20" x14ac:dyDescent="0.3">
      <c r="A4560" s="42">
        <v>44035</v>
      </c>
      <c r="B4560" s="37">
        <f t="shared" si="141"/>
        <v>20200723</v>
      </c>
      <c r="C4560" s="109">
        <v>8.8999999999999999E-3</v>
      </c>
      <c r="D4560" s="109">
        <v>1.4E-2</v>
      </c>
      <c r="E4560" s="109">
        <v>1.6E-2</v>
      </c>
      <c r="F4560" s="109">
        <v>1.7000000000000001E-2</v>
      </c>
      <c r="G4560" s="130">
        <v>0</v>
      </c>
      <c r="H4560" s="71">
        <v>8.8000000000000007</v>
      </c>
      <c r="I4560" s="71">
        <v>11.6</v>
      </c>
      <c r="J4560" s="71">
        <v>14.3</v>
      </c>
      <c r="K4560" s="121">
        <v>-1E-3</v>
      </c>
      <c r="L4560" s="121">
        <v>-5.0000000000000001E-3</v>
      </c>
      <c r="M4560" s="75" t="s">
        <v>146</v>
      </c>
      <c r="N4560" s="75" t="b">
        <v>1</v>
      </c>
      <c r="O4560" s="75" t="s">
        <v>145</v>
      </c>
      <c r="P4560" s="75">
        <v>2014</v>
      </c>
      <c r="Q4560" s="107">
        <f t="shared" si="140"/>
        <v>2020</v>
      </c>
      <c r="R4560" s="107">
        <v>2</v>
      </c>
      <c r="S4560" s="43">
        <v>220121</v>
      </c>
      <c r="T4560" s="74">
        <v>44055</v>
      </c>
    </row>
    <row r="4561" spans="1:20" x14ac:dyDescent="0.3">
      <c r="A4561" s="42">
        <v>44036</v>
      </c>
      <c r="B4561" s="37">
        <f t="shared" si="141"/>
        <v>20200724</v>
      </c>
      <c r="C4561" s="109">
        <v>8.6999999999999994E-3</v>
      </c>
      <c r="D4561" s="109">
        <v>1.4E-2</v>
      </c>
      <c r="E4561" s="109">
        <v>1.6E-2</v>
      </c>
      <c r="F4561" s="109">
        <v>1.7000000000000001E-2</v>
      </c>
      <c r="G4561" s="130">
        <v>0</v>
      </c>
      <c r="H4561" s="71">
        <v>8.8000000000000007</v>
      </c>
      <c r="I4561" s="71">
        <v>11.6</v>
      </c>
      <c r="J4561" s="71">
        <v>14.3</v>
      </c>
      <c r="K4561" s="121">
        <v>-1.2999999999999999E-3</v>
      </c>
      <c r="L4561" s="121">
        <v>-5.0000000000000001E-3</v>
      </c>
      <c r="M4561" s="75" t="s">
        <v>146</v>
      </c>
      <c r="N4561" s="75" t="b">
        <v>1</v>
      </c>
      <c r="O4561" s="75" t="s">
        <v>145</v>
      </c>
      <c r="P4561" s="75">
        <v>2014</v>
      </c>
      <c r="Q4561" s="107">
        <f t="shared" si="140"/>
        <v>2020</v>
      </c>
      <c r="R4561" s="107">
        <v>2</v>
      </c>
      <c r="S4561" s="43">
        <v>220121</v>
      </c>
      <c r="T4561" s="74">
        <v>44055</v>
      </c>
    </row>
    <row r="4562" spans="1:20" x14ac:dyDescent="0.3">
      <c r="A4562" s="42">
        <v>44039</v>
      </c>
      <c r="B4562" s="37">
        <f t="shared" si="141"/>
        <v>20200727</v>
      </c>
      <c r="C4562" s="109">
        <v>8.8999999999999999E-3</v>
      </c>
      <c r="D4562" s="109">
        <v>1.4E-2</v>
      </c>
      <c r="E4562" s="109">
        <v>1.6E-2</v>
      </c>
      <c r="F4562" s="109">
        <v>1.7000000000000001E-2</v>
      </c>
      <c r="G4562" s="130">
        <v>0</v>
      </c>
      <c r="H4562" s="71">
        <v>8.8000000000000007</v>
      </c>
      <c r="I4562" s="71">
        <v>11.6</v>
      </c>
      <c r="J4562" s="71">
        <v>14.3</v>
      </c>
      <c r="K4562" s="121">
        <v>-1.2999999999999999E-3</v>
      </c>
      <c r="L4562" s="121">
        <v>-5.0000000000000001E-3</v>
      </c>
      <c r="M4562" s="75" t="s">
        <v>146</v>
      </c>
      <c r="N4562" s="75" t="b">
        <v>1</v>
      </c>
      <c r="O4562" s="75" t="s">
        <v>145</v>
      </c>
      <c r="P4562" s="75">
        <v>2014</v>
      </c>
      <c r="Q4562" s="107">
        <f t="shared" si="140"/>
        <v>2020</v>
      </c>
      <c r="R4562" s="107">
        <v>2</v>
      </c>
      <c r="S4562" s="43">
        <v>220121</v>
      </c>
      <c r="T4562" s="74">
        <v>44055</v>
      </c>
    </row>
    <row r="4563" spans="1:20" x14ac:dyDescent="0.3">
      <c r="A4563" s="42">
        <v>44040</v>
      </c>
      <c r="B4563" s="37">
        <f t="shared" si="141"/>
        <v>20200728</v>
      </c>
      <c r="C4563" s="109">
        <v>8.3999999999999995E-3</v>
      </c>
      <c r="D4563" s="109">
        <v>1.4E-2</v>
      </c>
      <c r="E4563" s="109">
        <v>1.6E-2</v>
      </c>
      <c r="F4563" s="109">
        <v>1.7000000000000001E-2</v>
      </c>
      <c r="G4563" s="130">
        <v>0</v>
      </c>
      <c r="H4563" s="71">
        <v>8.8000000000000007</v>
      </c>
      <c r="I4563" s="71">
        <v>11.6</v>
      </c>
      <c r="J4563" s="71">
        <v>14.3</v>
      </c>
      <c r="K4563" s="121">
        <v>-1.8E-3</v>
      </c>
      <c r="L4563" s="121">
        <v>-5.0000000000000001E-3</v>
      </c>
      <c r="M4563" s="75" t="s">
        <v>146</v>
      </c>
      <c r="N4563" s="75" t="b">
        <v>1</v>
      </c>
      <c r="O4563" s="75" t="s">
        <v>145</v>
      </c>
      <c r="P4563" s="75">
        <v>2014</v>
      </c>
      <c r="Q4563" s="107">
        <f t="shared" si="140"/>
        <v>2020</v>
      </c>
      <c r="R4563" s="107">
        <v>2</v>
      </c>
      <c r="S4563" s="43">
        <v>220121</v>
      </c>
      <c r="T4563" s="74">
        <v>44055</v>
      </c>
    </row>
    <row r="4564" spans="1:20" x14ac:dyDescent="0.3">
      <c r="A4564" s="42">
        <v>44041</v>
      </c>
      <c r="B4564" s="37">
        <f t="shared" si="141"/>
        <v>20200729</v>
      </c>
      <c r="C4564" s="109">
        <v>8.6E-3</v>
      </c>
      <c r="D4564" s="109">
        <v>1.4E-2</v>
      </c>
      <c r="E4564" s="109">
        <v>1.6E-2</v>
      </c>
      <c r="F4564" s="109">
        <v>1.7000000000000001E-2</v>
      </c>
      <c r="G4564" s="130">
        <v>0</v>
      </c>
      <c r="H4564" s="71">
        <v>8.8000000000000007</v>
      </c>
      <c r="I4564" s="71">
        <v>11.6</v>
      </c>
      <c r="J4564" s="71">
        <v>14.3</v>
      </c>
      <c r="K4564" s="121">
        <v>-1.7000000000000001E-3</v>
      </c>
      <c r="L4564" s="121">
        <v>-5.0000000000000001E-3</v>
      </c>
      <c r="M4564" s="75" t="s">
        <v>146</v>
      </c>
      <c r="N4564" s="75" t="b">
        <v>1</v>
      </c>
      <c r="O4564" s="75" t="s">
        <v>145</v>
      </c>
      <c r="P4564" s="75">
        <v>2014</v>
      </c>
      <c r="Q4564" s="107">
        <f t="shared" si="140"/>
        <v>2020</v>
      </c>
      <c r="R4564" s="107">
        <v>2</v>
      </c>
      <c r="S4564" s="43">
        <v>220121</v>
      </c>
      <c r="T4564" s="74">
        <v>44055</v>
      </c>
    </row>
    <row r="4565" spans="1:20" x14ac:dyDescent="0.3">
      <c r="A4565" s="42">
        <v>44042</v>
      </c>
      <c r="B4565" s="37">
        <f t="shared" si="141"/>
        <v>20200730</v>
      </c>
      <c r="C4565" s="109">
        <v>8.199999999999999E-3</v>
      </c>
      <c r="D4565" s="109">
        <v>1.4E-2</v>
      </c>
      <c r="E4565" s="109">
        <v>1.6E-2</v>
      </c>
      <c r="F4565" s="109">
        <v>1.7000000000000001E-2</v>
      </c>
      <c r="G4565" s="130">
        <v>0</v>
      </c>
      <c r="H4565" s="71">
        <v>8.8000000000000007</v>
      </c>
      <c r="I4565" s="71">
        <v>11.6</v>
      </c>
      <c r="J4565" s="71">
        <v>14.3</v>
      </c>
      <c r="K4565" s="121">
        <v>-1.9E-3</v>
      </c>
      <c r="L4565" s="121">
        <v>-5.0000000000000001E-3</v>
      </c>
      <c r="M4565" s="75" t="s">
        <v>146</v>
      </c>
      <c r="N4565" s="75" t="b">
        <v>1</v>
      </c>
      <c r="O4565" s="75" t="s">
        <v>145</v>
      </c>
      <c r="P4565" s="75">
        <v>2014</v>
      </c>
      <c r="Q4565" s="107">
        <f t="shared" si="140"/>
        <v>2020</v>
      </c>
      <c r="R4565" s="107">
        <v>2</v>
      </c>
      <c r="S4565" s="43">
        <v>220121</v>
      </c>
      <c r="T4565" s="74">
        <v>44055</v>
      </c>
    </row>
    <row r="4566" spans="1:20" x14ac:dyDescent="0.3">
      <c r="A4566" s="42">
        <v>44043</v>
      </c>
      <c r="B4566" s="37">
        <f t="shared" si="141"/>
        <v>20200731</v>
      </c>
      <c r="C4566" s="109">
        <v>8.3000000000000001E-3</v>
      </c>
      <c r="D4566" s="109">
        <v>1.4E-2</v>
      </c>
      <c r="E4566" s="109">
        <v>1.6E-2</v>
      </c>
      <c r="F4566" s="109">
        <v>1.7000000000000001E-2</v>
      </c>
      <c r="G4566" s="130">
        <v>0</v>
      </c>
      <c r="H4566" s="71">
        <v>8.8000000000000007</v>
      </c>
      <c r="I4566" s="71">
        <v>11.6</v>
      </c>
      <c r="J4566" s="71">
        <v>14.3</v>
      </c>
      <c r="K4566" s="121">
        <v>-1.9E-3</v>
      </c>
      <c r="L4566" s="121">
        <v>-5.0000000000000001E-3</v>
      </c>
      <c r="M4566" s="75" t="s">
        <v>146</v>
      </c>
      <c r="N4566" s="75" t="b">
        <v>1</v>
      </c>
      <c r="O4566" s="75" t="s">
        <v>145</v>
      </c>
      <c r="P4566" s="75">
        <v>2014</v>
      </c>
      <c r="Q4566" s="107">
        <f t="shared" si="140"/>
        <v>2020</v>
      </c>
      <c r="R4566" s="107">
        <v>2</v>
      </c>
      <c r="S4566" s="43">
        <v>220121</v>
      </c>
      <c r="T4566" s="74">
        <v>44055</v>
      </c>
    </row>
    <row r="4567" spans="1:20" x14ac:dyDescent="0.3">
      <c r="A4567" s="42">
        <v>44047</v>
      </c>
      <c r="B4567" s="37">
        <f t="shared" si="141"/>
        <v>20200804</v>
      </c>
      <c r="C4567" s="109">
        <v>7.9000000000000008E-3</v>
      </c>
      <c r="D4567" s="109">
        <v>1.4E-2</v>
      </c>
      <c r="E4567" s="109">
        <v>1.6E-2</v>
      </c>
      <c r="F4567" s="109">
        <v>1.7000000000000001E-2</v>
      </c>
      <c r="G4567" s="130">
        <v>0</v>
      </c>
      <c r="H4567" s="71">
        <v>8.8000000000000007</v>
      </c>
      <c r="I4567" s="71">
        <v>11.6</v>
      </c>
      <c r="J4567" s="71">
        <v>14.3</v>
      </c>
      <c r="K4567" s="121">
        <v>-2.5000000000000001E-3</v>
      </c>
      <c r="L4567" s="121">
        <v>-5.0000000000000001E-3</v>
      </c>
      <c r="M4567" s="75" t="s">
        <v>146</v>
      </c>
      <c r="N4567" s="75" t="b">
        <v>1</v>
      </c>
      <c r="O4567" s="75" t="s">
        <v>145</v>
      </c>
      <c r="P4567" s="75">
        <v>2014</v>
      </c>
      <c r="Q4567" s="107">
        <f t="shared" si="140"/>
        <v>2020</v>
      </c>
      <c r="R4567" s="107">
        <v>2</v>
      </c>
      <c r="S4567" s="43">
        <v>220121</v>
      </c>
      <c r="T4567" s="74">
        <v>44055</v>
      </c>
    </row>
    <row r="4568" spans="1:20" x14ac:dyDescent="0.3">
      <c r="A4568" s="42">
        <v>44048</v>
      </c>
      <c r="B4568" s="37">
        <f t="shared" si="141"/>
        <v>20200805</v>
      </c>
      <c r="C4568" s="109">
        <v>8.3999999999999995E-3</v>
      </c>
      <c r="D4568" s="109">
        <v>1.4E-2</v>
      </c>
      <c r="E4568" s="109">
        <v>1.6E-2</v>
      </c>
      <c r="F4568" s="109">
        <v>1.7000000000000001E-2</v>
      </c>
      <c r="G4568" s="130">
        <v>0</v>
      </c>
      <c r="H4568" s="71">
        <v>8.8000000000000007</v>
      </c>
      <c r="I4568" s="71">
        <v>11.6</v>
      </c>
      <c r="J4568" s="71">
        <v>14.3</v>
      </c>
      <c r="K4568" s="121">
        <v>-2E-3</v>
      </c>
      <c r="L4568" s="121">
        <v>-5.0000000000000001E-3</v>
      </c>
      <c r="M4568" s="75" t="s">
        <v>146</v>
      </c>
      <c r="N4568" s="75" t="b">
        <v>1</v>
      </c>
      <c r="O4568" s="75" t="s">
        <v>145</v>
      </c>
      <c r="P4568" s="75">
        <v>2014</v>
      </c>
      <c r="Q4568" s="107">
        <f t="shared" si="140"/>
        <v>2020</v>
      </c>
      <c r="R4568" s="107">
        <v>2</v>
      </c>
      <c r="S4568" s="43">
        <v>220121</v>
      </c>
      <c r="T4568" s="74">
        <v>44055</v>
      </c>
    </row>
    <row r="4569" spans="1:20" x14ac:dyDescent="0.3">
      <c r="A4569" s="42">
        <v>44049</v>
      </c>
      <c r="B4569" s="37">
        <f t="shared" si="141"/>
        <v>20200806</v>
      </c>
      <c r="C4569" s="109">
        <v>8.199999999999999E-3</v>
      </c>
      <c r="D4569" s="109">
        <v>1.4E-2</v>
      </c>
      <c r="E4569" s="109">
        <v>1.6E-2</v>
      </c>
      <c r="F4569" s="109">
        <v>1.7000000000000001E-2</v>
      </c>
      <c r="G4569" s="130">
        <v>0</v>
      </c>
      <c r="H4569" s="71">
        <v>8.8000000000000007</v>
      </c>
      <c r="I4569" s="71">
        <v>11.6</v>
      </c>
      <c r="J4569" s="71">
        <v>14.3</v>
      </c>
      <c r="K4569" s="121">
        <v>-2.3999999999999998E-3</v>
      </c>
      <c r="L4569" s="121">
        <v>-5.0000000000000001E-3</v>
      </c>
      <c r="M4569" s="75" t="s">
        <v>146</v>
      </c>
      <c r="N4569" s="75" t="b">
        <v>1</v>
      </c>
      <c r="O4569" s="75" t="s">
        <v>145</v>
      </c>
      <c r="P4569" s="75">
        <v>2014</v>
      </c>
      <c r="Q4569" s="107">
        <f t="shared" si="140"/>
        <v>2020</v>
      </c>
      <c r="R4569" s="107">
        <v>2</v>
      </c>
      <c r="S4569" s="43">
        <v>220121</v>
      </c>
      <c r="T4569" s="74">
        <v>44055</v>
      </c>
    </row>
    <row r="4570" spans="1:20" x14ac:dyDescent="0.3">
      <c r="A4570" s="42">
        <v>44050</v>
      </c>
      <c r="B4570" s="37">
        <f t="shared" si="141"/>
        <v>20200807</v>
      </c>
      <c r="C4570" s="109">
        <v>8.3999999999999995E-3</v>
      </c>
      <c r="D4570" s="109">
        <v>1.4E-2</v>
      </c>
      <c r="E4570" s="109">
        <v>1.6E-2</v>
      </c>
      <c r="F4570" s="109">
        <v>1.7000000000000001E-2</v>
      </c>
      <c r="G4570" s="130">
        <v>0</v>
      </c>
      <c r="H4570" s="71">
        <v>8.8000000000000007</v>
      </c>
      <c r="I4570" s="71">
        <v>11.6</v>
      </c>
      <c r="J4570" s="71">
        <v>14.3</v>
      </c>
      <c r="K4570" s="121">
        <v>-2.3E-3</v>
      </c>
      <c r="L4570" s="121">
        <v>-5.0000000000000001E-3</v>
      </c>
      <c r="M4570" s="75" t="s">
        <v>146</v>
      </c>
      <c r="N4570" s="75" t="b">
        <v>1</v>
      </c>
      <c r="O4570" s="75" t="s">
        <v>145</v>
      </c>
      <c r="P4570" s="75">
        <v>2014</v>
      </c>
      <c r="Q4570" s="107">
        <f t="shared" si="140"/>
        <v>2020</v>
      </c>
      <c r="R4570" s="107">
        <v>2</v>
      </c>
      <c r="S4570" s="43">
        <v>220121</v>
      </c>
      <c r="T4570" s="74">
        <v>44055</v>
      </c>
    </row>
    <row r="4571" spans="1:20" x14ac:dyDescent="0.3">
      <c r="A4571" s="42">
        <v>44053</v>
      </c>
      <c r="B4571" s="37">
        <f t="shared" si="141"/>
        <v>20200810</v>
      </c>
      <c r="C4571" s="109">
        <v>8.6999999999999994E-3</v>
      </c>
      <c r="D4571" s="109">
        <v>1.4E-2</v>
      </c>
      <c r="E4571" s="109">
        <v>1.6E-2</v>
      </c>
      <c r="F4571" s="109">
        <v>1.7000000000000001E-2</v>
      </c>
      <c r="G4571" s="130">
        <v>0</v>
      </c>
      <c r="H4571" s="71">
        <v>8.8000000000000007</v>
      </c>
      <c r="I4571" s="71">
        <v>11.6</v>
      </c>
      <c r="J4571" s="71">
        <v>14.3</v>
      </c>
      <c r="K4571" s="121">
        <v>-2.0999999999999999E-3</v>
      </c>
      <c r="L4571" s="121">
        <v>-5.0000000000000001E-3</v>
      </c>
      <c r="M4571" s="75" t="s">
        <v>146</v>
      </c>
      <c r="N4571" s="75" t="b">
        <v>1</v>
      </c>
      <c r="O4571" s="75" t="s">
        <v>145</v>
      </c>
      <c r="P4571" s="75">
        <v>2014</v>
      </c>
      <c r="Q4571" s="107">
        <f t="shared" si="140"/>
        <v>2020</v>
      </c>
      <c r="R4571" s="107">
        <v>2</v>
      </c>
      <c r="S4571" s="43">
        <v>220121</v>
      </c>
      <c r="T4571" s="74">
        <v>44055</v>
      </c>
    </row>
    <row r="4572" spans="1:20" x14ac:dyDescent="0.3">
      <c r="A4572" s="42">
        <v>44054</v>
      </c>
      <c r="B4572" s="37">
        <f t="shared" si="141"/>
        <v>20200811</v>
      </c>
      <c r="C4572" s="109">
        <v>9.4999999999999998E-3</v>
      </c>
      <c r="D4572" s="109">
        <v>1.4E-2</v>
      </c>
      <c r="E4572" s="109">
        <v>1.6E-2</v>
      </c>
      <c r="F4572" s="109">
        <v>1.7000000000000001E-2</v>
      </c>
      <c r="G4572" s="130">
        <v>0</v>
      </c>
      <c r="H4572" s="71">
        <v>8.8000000000000007</v>
      </c>
      <c r="I4572" s="71">
        <v>11.6</v>
      </c>
      <c r="J4572" s="71">
        <v>14.3</v>
      </c>
      <c r="K4572" s="121">
        <v>-1.5E-3</v>
      </c>
      <c r="L4572" s="121">
        <v>-5.0000000000000001E-3</v>
      </c>
      <c r="M4572" s="75" t="s">
        <v>146</v>
      </c>
      <c r="N4572" s="75" t="b">
        <v>1</v>
      </c>
      <c r="O4572" s="75" t="s">
        <v>145</v>
      </c>
      <c r="P4572" s="75">
        <v>2014</v>
      </c>
      <c r="Q4572" s="107">
        <f t="shared" si="140"/>
        <v>2020</v>
      </c>
      <c r="R4572" s="107">
        <v>2</v>
      </c>
      <c r="S4572" s="43">
        <v>220121</v>
      </c>
      <c r="T4572" s="74">
        <v>44055</v>
      </c>
    </row>
    <row r="4573" spans="1:20" x14ac:dyDescent="0.3">
      <c r="A4573" s="42">
        <v>44055</v>
      </c>
      <c r="B4573" s="37">
        <f t="shared" si="141"/>
        <v>20200812</v>
      </c>
      <c r="C4573" s="109">
        <v>9.8999999999999991E-3</v>
      </c>
      <c r="D4573" s="109">
        <v>1.4E-2</v>
      </c>
      <c r="E4573" s="109">
        <v>1.6E-2</v>
      </c>
      <c r="F4573" s="109">
        <v>1.7000000000000001E-2</v>
      </c>
      <c r="G4573" s="130">
        <v>0</v>
      </c>
      <c r="H4573" s="71">
        <v>8.8000000000000007</v>
      </c>
      <c r="I4573" s="71">
        <v>11.6</v>
      </c>
      <c r="J4573" s="71">
        <v>14.3</v>
      </c>
      <c r="K4573" s="121">
        <v>-1.6000000000000001E-3</v>
      </c>
      <c r="L4573" s="121">
        <v>-5.0000000000000001E-3</v>
      </c>
      <c r="M4573" s="75" t="s">
        <v>146</v>
      </c>
      <c r="N4573" s="75" t="b">
        <v>1</v>
      </c>
      <c r="O4573" s="75" t="s">
        <v>145</v>
      </c>
      <c r="P4573" s="75">
        <v>2014</v>
      </c>
      <c r="Q4573" s="107">
        <f t="shared" si="140"/>
        <v>2020</v>
      </c>
      <c r="R4573" s="107">
        <v>2</v>
      </c>
      <c r="S4573" s="43">
        <v>220121</v>
      </c>
      <c r="T4573" s="74">
        <v>44055</v>
      </c>
    </row>
    <row r="4574" spans="1:20" x14ac:dyDescent="0.3">
      <c r="A4574" s="42">
        <v>44056</v>
      </c>
      <c r="B4574" s="37">
        <f t="shared" si="141"/>
        <v>20200813</v>
      </c>
      <c r="C4574" s="109">
        <v>1.04E-2</v>
      </c>
      <c r="D4574" s="109">
        <v>1.4E-2</v>
      </c>
      <c r="E4574" s="109">
        <v>1.6E-2</v>
      </c>
      <c r="F4574" s="109">
        <v>1.7000000000000001E-2</v>
      </c>
      <c r="G4574" s="130">
        <v>0</v>
      </c>
      <c r="H4574" s="71">
        <v>8.8000000000000007</v>
      </c>
      <c r="I4574" s="71">
        <v>11.6</v>
      </c>
      <c r="J4574" s="71">
        <v>14.3</v>
      </c>
      <c r="K4574" s="121">
        <v>-1.2999999999999999E-3</v>
      </c>
      <c r="L4574" s="121">
        <v>-5.0000000000000001E-3</v>
      </c>
      <c r="M4574" s="75" t="s">
        <v>146</v>
      </c>
      <c r="N4574" s="75" t="b">
        <v>1</v>
      </c>
      <c r="O4574" s="75" t="s">
        <v>145</v>
      </c>
      <c r="P4574" s="75">
        <v>2014</v>
      </c>
      <c r="Q4574" s="107">
        <f t="shared" si="140"/>
        <v>2020</v>
      </c>
      <c r="R4574" s="107">
        <v>2</v>
      </c>
      <c r="S4574" s="43">
        <v>220121</v>
      </c>
      <c r="T4574" s="74">
        <v>44055</v>
      </c>
    </row>
    <row r="4575" spans="1:20" x14ac:dyDescent="0.3">
      <c r="A4575" s="42">
        <v>44057</v>
      </c>
      <c r="B4575" s="37">
        <f t="shared" si="141"/>
        <v>20200814</v>
      </c>
      <c r="C4575" s="109">
        <v>1.0200000000000001E-2</v>
      </c>
      <c r="D4575" s="109">
        <v>1.4E-2</v>
      </c>
      <c r="E4575" s="109">
        <v>1.6E-2</v>
      </c>
      <c r="F4575" s="109">
        <v>1.7000000000000001E-2</v>
      </c>
      <c r="G4575" s="130">
        <v>0</v>
      </c>
      <c r="H4575" s="71">
        <v>8.8000000000000007</v>
      </c>
      <c r="I4575" s="71">
        <v>11.6</v>
      </c>
      <c r="J4575" s="71">
        <v>14.3</v>
      </c>
      <c r="K4575" s="121">
        <v>-1.4000000000000002E-3</v>
      </c>
      <c r="L4575" s="121">
        <v>-5.0000000000000001E-3</v>
      </c>
      <c r="M4575" s="75" t="s">
        <v>146</v>
      </c>
      <c r="N4575" s="75" t="b">
        <v>1</v>
      </c>
      <c r="O4575" s="75" t="s">
        <v>145</v>
      </c>
      <c r="P4575" s="75">
        <v>2014</v>
      </c>
      <c r="Q4575" s="107">
        <f t="shared" si="140"/>
        <v>2020</v>
      </c>
      <c r="R4575" s="107">
        <v>2</v>
      </c>
      <c r="S4575" s="43">
        <v>220121</v>
      </c>
      <c r="T4575" s="74">
        <v>44055</v>
      </c>
    </row>
    <row r="4576" spans="1:20" x14ac:dyDescent="0.3">
      <c r="A4576" s="42">
        <v>44060</v>
      </c>
      <c r="B4576" s="37">
        <f t="shared" si="141"/>
        <v>20200817</v>
      </c>
      <c r="C4576" s="109">
        <v>9.8999999999999991E-3</v>
      </c>
      <c r="D4576" s="109">
        <v>1.4E-2</v>
      </c>
      <c r="E4576" s="109">
        <v>1.6E-2</v>
      </c>
      <c r="F4576" s="109">
        <v>1.7000000000000001E-2</v>
      </c>
      <c r="G4576" s="130">
        <v>0</v>
      </c>
      <c r="H4576" s="71">
        <v>8.8000000000000007</v>
      </c>
      <c r="I4576" s="71">
        <v>11.6</v>
      </c>
      <c r="J4576" s="71">
        <v>14.3</v>
      </c>
      <c r="K4576" s="121">
        <v>-1.6000000000000001E-3</v>
      </c>
      <c r="L4576" s="121">
        <v>-5.0000000000000001E-3</v>
      </c>
      <c r="M4576" s="75" t="s">
        <v>146</v>
      </c>
      <c r="N4576" s="75" t="b">
        <v>1</v>
      </c>
      <c r="O4576" s="75" t="s">
        <v>145</v>
      </c>
      <c r="P4576" s="75">
        <v>2014</v>
      </c>
      <c r="Q4576" s="107">
        <f t="shared" si="140"/>
        <v>2020</v>
      </c>
      <c r="R4576" s="107">
        <v>2</v>
      </c>
      <c r="S4576" s="43">
        <v>220121</v>
      </c>
      <c r="T4576" s="74">
        <v>44055</v>
      </c>
    </row>
    <row r="4577" spans="1:20" x14ac:dyDescent="0.3">
      <c r="A4577" s="42">
        <v>44061</v>
      </c>
      <c r="B4577" s="37">
        <f t="shared" si="141"/>
        <v>20200818</v>
      </c>
      <c r="C4577" s="109">
        <v>9.7000000000000003E-3</v>
      </c>
      <c r="D4577" s="109">
        <v>1.4E-2</v>
      </c>
      <c r="E4577" s="109">
        <v>1.6E-2</v>
      </c>
      <c r="F4577" s="109">
        <v>1.7000000000000001E-2</v>
      </c>
      <c r="G4577" s="130">
        <v>0</v>
      </c>
      <c r="H4577" s="71">
        <v>8.8000000000000007</v>
      </c>
      <c r="I4577" s="71">
        <v>11.6</v>
      </c>
      <c r="J4577" s="71">
        <v>14.3</v>
      </c>
      <c r="K4577" s="121">
        <v>-2.0999999999999999E-3</v>
      </c>
      <c r="L4577" s="121">
        <v>-5.0000000000000001E-3</v>
      </c>
      <c r="M4577" s="75" t="s">
        <v>146</v>
      </c>
      <c r="N4577" s="75" t="b">
        <v>1</v>
      </c>
      <c r="O4577" s="75" t="s">
        <v>145</v>
      </c>
      <c r="P4577" s="75">
        <v>2014</v>
      </c>
      <c r="Q4577" s="107">
        <f t="shared" si="140"/>
        <v>2020</v>
      </c>
      <c r="R4577" s="107">
        <v>2</v>
      </c>
      <c r="S4577" s="43">
        <v>220121</v>
      </c>
      <c r="T4577" s="74">
        <v>44055</v>
      </c>
    </row>
    <row r="4578" spans="1:20" x14ac:dyDescent="0.3">
      <c r="A4578" s="42">
        <v>44062</v>
      </c>
      <c r="B4578" s="37">
        <f t="shared" si="141"/>
        <v>20200819</v>
      </c>
      <c r="C4578" s="109">
        <v>9.8999999999999991E-3</v>
      </c>
      <c r="D4578" s="109">
        <v>1.4E-2</v>
      </c>
      <c r="E4578" s="109">
        <v>1.6E-2</v>
      </c>
      <c r="F4578" s="109">
        <v>1.7000000000000001E-2</v>
      </c>
      <c r="G4578" s="130">
        <v>0</v>
      </c>
      <c r="H4578" s="71">
        <v>8.8000000000000007</v>
      </c>
      <c r="I4578" s="71">
        <v>11.6</v>
      </c>
      <c r="J4578" s="71">
        <v>14.3</v>
      </c>
      <c r="K4578" s="121">
        <v>-1.8E-3</v>
      </c>
      <c r="L4578" s="121">
        <v>-5.0000000000000001E-3</v>
      </c>
      <c r="M4578" s="75" t="s">
        <v>146</v>
      </c>
      <c r="N4578" s="75" t="b">
        <v>1</v>
      </c>
      <c r="O4578" s="75" t="s">
        <v>145</v>
      </c>
      <c r="P4578" s="75">
        <v>2014</v>
      </c>
      <c r="Q4578" s="107">
        <f t="shared" si="140"/>
        <v>2020</v>
      </c>
      <c r="R4578" s="107">
        <v>2</v>
      </c>
      <c r="S4578" s="43">
        <v>220121</v>
      </c>
      <c r="T4578" s="74">
        <v>44055</v>
      </c>
    </row>
    <row r="4579" spans="1:20" x14ac:dyDescent="0.3">
      <c r="A4579" s="42">
        <v>44063</v>
      </c>
      <c r="B4579" s="37">
        <f t="shared" si="141"/>
        <v>20200820</v>
      </c>
      <c r="C4579" s="109">
        <v>9.7000000000000003E-3</v>
      </c>
      <c r="D4579" s="109">
        <v>1.4E-2</v>
      </c>
      <c r="E4579" s="109">
        <v>1.6E-2</v>
      </c>
      <c r="F4579" s="109">
        <v>1.7000000000000001E-2</v>
      </c>
      <c r="G4579" s="130">
        <v>0</v>
      </c>
      <c r="H4579" s="71">
        <v>8.8000000000000007</v>
      </c>
      <c r="I4579" s="71">
        <v>11.6</v>
      </c>
      <c r="J4579" s="71">
        <v>14.3</v>
      </c>
      <c r="K4579" s="121">
        <v>-1.6000000000000001E-3</v>
      </c>
      <c r="L4579" s="121">
        <v>-5.0000000000000001E-3</v>
      </c>
      <c r="M4579" s="75" t="s">
        <v>146</v>
      </c>
      <c r="N4579" s="75" t="b">
        <v>1</v>
      </c>
      <c r="O4579" s="75" t="s">
        <v>145</v>
      </c>
      <c r="P4579" s="75">
        <v>2014</v>
      </c>
      <c r="Q4579" s="107">
        <f t="shared" si="140"/>
        <v>2020</v>
      </c>
      <c r="R4579" s="107">
        <v>2</v>
      </c>
      <c r="S4579" s="43">
        <v>220121</v>
      </c>
      <c r="T4579" s="74">
        <v>44055</v>
      </c>
    </row>
    <row r="4580" spans="1:20" x14ac:dyDescent="0.3">
      <c r="A4580" s="42">
        <v>44064</v>
      </c>
      <c r="B4580" s="37">
        <f t="shared" si="141"/>
        <v>20200821</v>
      </c>
      <c r="C4580" s="109">
        <v>9.5999999999999992E-3</v>
      </c>
      <c r="D4580" s="109">
        <v>1.4E-2</v>
      </c>
      <c r="E4580" s="109">
        <v>1.6E-2</v>
      </c>
      <c r="F4580" s="109">
        <v>1.7000000000000001E-2</v>
      </c>
      <c r="G4580" s="130">
        <v>0</v>
      </c>
      <c r="H4580" s="71">
        <v>8.8000000000000007</v>
      </c>
      <c r="I4580" s="71">
        <v>11.6</v>
      </c>
      <c r="J4580" s="71">
        <v>14.3</v>
      </c>
      <c r="K4580" s="121">
        <v>-1.6000000000000001E-3</v>
      </c>
      <c r="L4580" s="121">
        <v>-5.0000000000000001E-3</v>
      </c>
      <c r="M4580" s="75" t="s">
        <v>146</v>
      </c>
      <c r="N4580" s="75" t="b">
        <v>1</v>
      </c>
      <c r="O4580" s="75" t="s">
        <v>145</v>
      </c>
      <c r="P4580" s="75">
        <v>2014</v>
      </c>
      <c r="Q4580" s="107">
        <f t="shared" si="140"/>
        <v>2020</v>
      </c>
      <c r="R4580" s="107">
        <v>2</v>
      </c>
      <c r="S4580" s="43">
        <v>220121</v>
      </c>
      <c r="T4580" s="74">
        <v>44055</v>
      </c>
    </row>
    <row r="4581" spans="1:20" x14ac:dyDescent="0.3">
      <c r="A4581" s="42">
        <v>44067</v>
      </c>
      <c r="B4581" s="37">
        <f t="shared" si="141"/>
        <v>20200824</v>
      </c>
      <c r="C4581" s="109">
        <v>9.5999999999999992E-3</v>
      </c>
      <c r="D4581" s="109">
        <v>1.4E-2</v>
      </c>
      <c r="E4581" s="109">
        <v>1.6E-2</v>
      </c>
      <c r="F4581" s="109">
        <v>1.7000000000000001E-2</v>
      </c>
      <c r="G4581" s="130">
        <v>0</v>
      </c>
      <c r="H4581" s="71">
        <v>8.8000000000000007</v>
      </c>
      <c r="I4581" s="71">
        <v>11.6</v>
      </c>
      <c r="J4581" s="71">
        <v>14.3</v>
      </c>
      <c r="K4581" s="121">
        <v>-1.9E-3</v>
      </c>
      <c r="L4581" s="121">
        <v>-5.0000000000000001E-3</v>
      </c>
      <c r="M4581" s="75" t="s">
        <v>146</v>
      </c>
      <c r="N4581" s="75" t="b">
        <v>1</v>
      </c>
      <c r="O4581" s="75" t="s">
        <v>145</v>
      </c>
      <c r="P4581" s="75">
        <v>2014</v>
      </c>
      <c r="Q4581" s="107">
        <f t="shared" si="140"/>
        <v>2020</v>
      </c>
      <c r="R4581" s="107">
        <v>2</v>
      </c>
      <c r="S4581" s="43">
        <v>220121</v>
      </c>
      <c r="T4581" s="74">
        <v>44055</v>
      </c>
    </row>
    <row r="4582" spans="1:20" x14ac:dyDescent="0.3">
      <c r="A4582" s="42">
        <v>44068</v>
      </c>
      <c r="B4582" s="37">
        <f t="shared" si="141"/>
        <v>20200825</v>
      </c>
      <c r="C4582" s="109">
        <v>9.8999999999999991E-3</v>
      </c>
      <c r="D4582" s="109">
        <v>1.4E-2</v>
      </c>
      <c r="E4582" s="109">
        <v>1.6E-2</v>
      </c>
      <c r="F4582" s="109">
        <v>1.7000000000000001E-2</v>
      </c>
      <c r="G4582" s="130">
        <v>0</v>
      </c>
      <c r="H4582" s="71">
        <v>8.8000000000000007</v>
      </c>
      <c r="I4582" s="71">
        <v>11.6</v>
      </c>
      <c r="J4582" s="71">
        <v>14.3</v>
      </c>
      <c r="K4582" s="121">
        <v>-1.8E-3</v>
      </c>
      <c r="L4582" s="121">
        <v>-5.0000000000000001E-3</v>
      </c>
      <c r="M4582" s="75" t="s">
        <v>146</v>
      </c>
      <c r="N4582" s="75" t="b">
        <v>1</v>
      </c>
      <c r="O4582" s="75" t="s">
        <v>145</v>
      </c>
      <c r="P4582" s="75">
        <v>2014</v>
      </c>
      <c r="Q4582" s="107">
        <f t="shared" si="140"/>
        <v>2020</v>
      </c>
      <c r="R4582" s="107">
        <v>2</v>
      </c>
      <c r="S4582" s="43">
        <v>220121</v>
      </c>
      <c r="T4582" s="74">
        <v>44055</v>
      </c>
    </row>
    <row r="4583" spans="1:20" x14ac:dyDescent="0.3">
      <c r="A4583" s="42">
        <v>44069</v>
      </c>
      <c r="B4583" s="37">
        <f t="shared" si="141"/>
        <v>20200826</v>
      </c>
      <c r="C4583" s="109">
        <v>1.01E-2</v>
      </c>
      <c r="D4583" s="109">
        <v>1.4E-2</v>
      </c>
      <c r="E4583" s="109">
        <v>1.6E-2</v>
      </c>
      <c r="F4583" s="109">
        <v>1.7000000000000001E-2</v>
      </c>
      <c r="G4583" s="130">
        <v>0</v>
      </c>
      <c r="H4583" s="71">
        <v>8.8000000000000007</v>
      </c>
      <c r="I4583" s="71">
        <v>11.6</v>
      </c>
      <c r="J4583" s="71">
        <v>14.3</v>
      </c>
      <c r="K4583" s="121">
        <v>-1.8E-3</v>
      </c>
      <c r="L4583" s="121">
        <v>-5.0000000000000001E-3</v>
      </c>
      <c r="M4583" s="75" t="s">
        <v>146</v>
      </c>
      <c r="N4583" s="75" t="b">
        <v>1</v>
      </c>
      <c r="O4583" s="75" t="s">
        <v>145</v>
      </c>
      <c r="P4583" s="75">
        <v>2014</v>
      </c>
      <c r="Q4583" s="107">
        <f t="shared" si="140"/>
        <v>2020</v>
      </c>
      <c r="R4583" s="107">
        <v>2</v>
      </c>
      <c r="S4583" s="43">
        <v>220121</v>
      </c>
      <c r="T4583" s="74">
        <v>44055</v>
      </c>
    </row>
    <row r="4584" spans="1:20" x14ac:dyDescent="0.3">
      <c r="A4584" s="42">
        <v>44070</v>
      </c>
      <c r="B4584" s="37">
        <f t="shared" si="141"/>
        <v>20200827</v>
      </c>
      <c r="C4584" s="109">
        <v>1.0800000000000001E-2</v>
      </c>
      <c r="D4584" s="109">
        <v>1.4E-2</v>
      </c>
      <c r="E4584" s="109">
        <v>1.6E-2</v>
      </c>
      <c r="F4584" s="109">
        <v>1.7000000000000001E-2</v>
      </c>
      <c r="G4584" s="130">
        <v>0</v>
      </c>
      <c r="H4584" s="71">
        <v>8.8000000000000007</v>
      </c>
      <c r="I4584" s="71">
        <v>11.6</v>
      </c>
      <c r="J4584" s="71">
        <v>14.3</v>
      </c>
      <c r="K4584" s="121">
        <v>-1.1000000000000001E-3</v>
      </c>
      <c r="L4584" s="121">
        <v>-5.0000000000000001E-3</v>
      </c>
      <c r="M4584" s="75" t="s">
        <v>146</v>
      </c>
      <c r="N4584" s="75" t="b">
        <v>1</v>
      </c>
      <c r="O4584" s="75" t="s">
        <v>145</v>
      </c>
      <c r="P4584" s="75">
        <v>2014</v>
      </c>
      <c r="Q4584" s="107">
        <f t="shared" si="140"/>
        <v>2020</v>
      </c>
      <c r="R4584" s="107">
        <v>2</v>
      </c>
      <c r="S4584" s="43">
        <v>220121</v>
      </c>
      <c r="T4584" s="74">
        <v>44055</v>
      </c>
    </row>
    <row r="4585" spans="1:20" x14ac:dyDescent="0.3">
      <c r="A4585" s="42">
        <v>44071</v>
      </c>
      <c r="B4585" s="37">
        <f t="shared" si="141"/>
        <v>20200828</v>
      </c>
      <c r="C4585" s="109">
        <v>1.0800000000000001E-2</v>
      </c>
      <c r="D4585" s="109">
        <v>1.4E-2</v>
      </c>
      <c r="E4585" s="109">
        <v>1.6E-2</v>
      </c>
      <c r="F4585" s="109">
        <v>1.7000000000000001E-2</v>
      </c>
      <c r="G4585" s="130">
        <v>0</v>
      </c>
      <c r="H4585" s="71">
        <v>8.8000000000000007</v>
      </c>
      <c r="I4585" s="71">
        <v>11.6</v>
      </c>
      <c r="J4585" s="71">
        <v>14.3</v>
      </c>
      <c r="K4585" s="121">
        <v>-1.1999999999999999E-3</v>
      </c>
      <c r="L4585" s="121">
        <v>-5.0000000000000001E-3</v>
      </c>
      <c r="M4585" s="75" t="s">
        <v>146</v>
      </c>
      <c r="N4585" s="75" t="b">
        <v>1</v>
      </c>
      <c r="O4585" s="75" t="s">
        <v>145</v>
      </c>
      <c r="P4585" s="75">
        <v>2014</v>
      </c>
      <c r="Q4585" s="107">
        <f t="shared" si="140"/>
        <v>2020</v>
      </c>
      <c r="R4585" s="107">
        <v>2</v>
      </c>
      <c r="S4585" s="43">
        <v>220121</v>
      </c>
      <c r="T4585" s="74">
        <v>44055</v>
      </c>
    </row>
    <row r="4586" spans="1:20" x14ac:dyDescent="0.3">
      <c r="A4586" s="42">
        <v>44072</v>
      </c>
      <c r="B4586" s="37">
        <f t="shared" ref="B4586:B4587" si="142">YEAR(A4586)*10000+MONTH(A4586)*100+DAY(A4586)</f>
        <v>20200829</v>
      </c>
      <c r="C4586" s="109">
        <v>1.0800000000000001E-2</v>
      </c>
      <c r="D4586" s="109">
        <v>1.4E-2</v>
      </c>
      <c r="E4586" s="109">
        <v>1.6E-2</v>
      </c>
      <c r="F4586" s="109">
        <v>1.7000000000000001E-2</v>
      </c>
      <c r="G4586" s="130">
        <v>0</v>
      </c>
      <c r="H4586" s="71">
        <v>8.8000000000000007</v>
      </c>
      <c r="I4586" s="71">
        <v>11.6</v>
      </c>
      <c r="J4586" s="71">
        <v>14.3</v>
      </c>
      <c r="K4586" s="121">
        <v>-1.1999999999999999E-3</v>
      </c>
      <c r="L4586" s="121">
        <v>-5.0000000000000001E-3</v>
      </c>
      <c r="M4586" s="75" t="s">
        <v>146</v>
      </c>
      <c r="N4586" s="75" t="b">
        <v>1</v>
      </c>
      <c r="O4586" s="75" t="s">
        <v>145</v>
      </c>
      <c r="P4586" s="75">
        <v>2014</v>
      </c>
      <c r="Q4586" s="107">
        <f t="shared" si="140"/>
        <v>2020</v>
      </c>
      <c r="R4586" s="107">
        <v>2</v>
      </c>
      <c r="S4586" s="43">
        <v>220121</v>
      </c>
      <c r="T4586" s="74">
        <v>44055</v>
      </c>
    </row>
    <row r="4587" spans="1:20" x14ac:dyDescent="0.3">
      <c r="A4587" s="42">
        <v>44073</v>
      </c>
      <c r="B4587" s="37">
        <f t="shared" si="142"/>
        <v>20200830</v>
      </c>
      <c r="C4587" s="109">
        <v>1.0800000000000001E-2</v>
      </c>
      <c r="D4587" s="109">
        <v>1.4E-2</v>
      </c>
      <c r="E4587" s="109">
        <v>1.6E-2</v>
      </c>
      <c r="F4587" s="109">
        <v>1.7000000000000001E-2</v>
      </c>
      <c r="G4587" s="130">
        <v>0</v>
      </c>
      <c r="H4587" s="71">
        <v>8.8000000000000007</v>
      </c>
      <c r="I4587" s="71">
        <v>11.6</v>
      </c>
      <c r="J4587" s="71">
        <v>14.3</v>
      </c>
      <c r="K4587" s="121">
        <v>-1.1999999999999999E-3</v>
      </c>
      <c r="L4587" s="121">
        <v>-5.0000000000000001E-3</v>
      </c>
      <c r="M4587" s="75" t="s">
        <v>146</v>
      </c>
      <c r="N4587" s="75" t="b">
        <v>1</v>
      </c>
      <c r="O4587" s="75" t="s">
        <v>145</v>
      </c>
      <c r="P4587" s="75">
        <v>2014</v>
      </c>
      <c r="Q4587" s="107">
        <f t="shared" si="140"/>
        <v>2020</v>
      </c>
      <c r="R4587" s="107">
        <v>2</v>
      </c>
      <c r="S4587" s="43">
        <v>220121</v>
      </c>
      <c r="T4587" s="74">
        <v>44055</v>
      </c>
    </row>
    <row r="4588" spans="1:20" x14ac:dyDescent="0.3">
      <c r="A4588" s="42">
        <v>44074</v>
      </c>
      <c r="B4588" s="37">
        <f t="shared" si="141"/>
        <v>20200831</v>
      </c>
      <c r="C4588" s="109">
        <v>1.0500000000000001E-2</v>
      </c>
      <c r="D4588" s="109">
        <v>1.4E-2</v>
      </c>
      <c r="E4588" s="109">
        <v>1.6E-2</v>
      </c>
      <c r="F4588" s="109">
        <v>1.7000000000000001E-2</v>
      </c>
      <c r="G4588" s="130">
        <v>0</v>
      </c>
      <c r="H4588" s="71">
        <v>8.8000000000000007</v>
      </c>
      <c r="I4588" s="71">
        <v>11.6</v>
      </c>
      <c r="J4588" s="71">
        <v>14.3</v>
      </c>
      <c r="K4588" s="121">
        <v>-1.6000000000000001E-3</v>
      </c>
      <c r="L4588" s="121">
        <v>-5.0000000000000001E-3</v>
      </c>
      <c r="M4588" s="75" t="s">
        <v>146</v>
      </c>
      <c r="N4588" s="75" t="b">
        <v>1</v>
      </c>
      <c r="O4588" s="75" t="s">
        <v>145</v>
      </c>
      <c r="P4588" s="75">
        <v>2014</v>
      </c>
      <c r="Q4588" s="107">
        <f t="shared" si="140"/>
        <v>2020</v>
      </c>
      <c r="R4588" s="107">
        <v>2</v>
      </c>
      <c r="S4588" s="43">
        <v>220121</v>
      </c>
      <c r="T4588" s="74">
        <v>44055</v>
      </c>
    </row>
    <row r="4589" spans="1:20" x14ac:dyDescent="0.3">
      <c r="A4589" s="42">
        <v>44075</v>
      </c>
      <c r="B4589" s="37">
        <f t="shared" si="141"/>
        <v>20200901</v>
      </c>
      <c r="C4589" s="109">
        <v>9.8999999999999991E-3</v>
      </c>
      <c r="D4589" s="109">
        <v>1.4E-2</v>
      </c>
      <c r="E4589" s="109">
        <v>1.6E-2</v>
      </c>
      <c r="F4589" s="109">
        <v>1.7000000000000001E-2</v>
      </c>
      <c r="G4589" s="130">
        <v>0</v>
      </c>
      <c r="H4589" s="71">
        <v>8.8000000000000007</v>
      </c>
      <c r="I4589" s="71">
        <v>11.6</v>
      </c>
      <c r="J4589" s="71">
        <v>14.3</v>
      </c>
      <c r="K4589" s="121">
        <v>-2.2000000000000001E-3</v>
      </c>
      <c r="L4589" s="121">
        <v>-5.0000000000000001E-3</v>
      </c>
      <c r="M4589" s="75" t="s">
        <v>146</v>
      </c>
      <c r="N4589" s="75" t="b">
        <v>1</v>
      </c>
      <c r="O4589" s="75" t="s">
        <v>145</v>
      </c>
      <c r="P4589" s="75">
        <v>2014</v>
      </c>
      <c r="Q4589" s="107">
        <f t="shared" si="140"/>
        <v>2020</v>
      </c>
      <c r="R4589" s="107">
        <v>2</v>
      </c>
      <c r="S4589" s="43">
        <v>220121</v>
      </c>
      <c r="T4589" s="74">
        <v>44055</v>
      </c>
    </row>
    <row r="4590" spans="1:20" x14ac:dyDescent="0.3">
      <c r="A4590" s="42">
        <v>44076</v>
      </c>
      <c r="B4590" s="37">
        <f t="shared" si="141"/>
        <v>20200902</v>
      </c>
      <c r="C4590" s="109">
        <v>9.4999999999999998E-3</v>
      </c>
      <c r="D4590" s="109">
        <v>1.4E-2</v>
      </c>
      <c r="E4590" s="109">
        <v>1.6E-2</v>
      </c>
      <c r="F4590" s="109">
        <v>1.7000000000000001E-2</v>
      </c>
      <c r="G4590" s="130">
        <v>0</v>
      </c>
      <c r="H4590" s="71">
        <v>8.8000000000000007</v>
      </c>
      <c r="I4590" s="71">
        <v>11.6</v>
      </c>
      <c r="J4590" s="71">
        <v>14.3</v>
      </c>
      <c r="K4590" s="121">
        <v>-2.3E-3</v>
      </c>
      <c r="L4590" s="121">
        <v>-5.0000000000000001E-3</v>
      </c>
      <c r="M4590" s="75" t="s">
        <v>146</v>
      </c>
      <c r="N4590" s="75" t="b">
        <v>1</v>
      </c>
      <c r="O4590" s="75" t="s">
        <v>145</v>
      </c>
      <c r="P4590" s="75">
        <v>2014</v>
      </c>
      <c r="Q4590" s="107">
        <f t="shared" ref="Q4590:Q4653" si="143">YEAR(A4590)</f>
        <v>2020</v>
      </c>
      <c r="R4590" s="107">
        <v>2</v>
      </c>
      <c r="S4590" s="43">
        <v>220121</v>
      </c>
      <c r="T4590" s="74">
        <v>44055</v>
      </c>
    </row>
    <row r="4591" spans="1:20" x14ac:dyDescent="0.3">
      <c r="A4591" s="42">
        <v>44077</v>
      </c>
      <c r="B4591" s="37">
        <f t="shared" si="141"/>
        <v>20200903</v>
      </c>
      <c r="C4591" s="109">
        <v>9.3999999999999986E-3</v>
      </c>
      <c r="D4591" s="109">
        <v>1.4E-2</v>
      </c>
      <c r="E4591" s="109">
        <v>1.6E-2</v>
      </c>
      <c r="F4591" s="109">
        <v>1.7000000000000001E-2</v>
      </c>
      <c r="G4591" s="130">
        <v>0</v>
      </c>
      <c r="H4591" s="71">
        <v>8.8000000000000007</v>
      </c>
      <c r="I4591" s="71">
        <v>11.6</v>
      </c>
      <c r="J4591" s="71">
        <v>14.3</v>
      </c>
      <c r="K4591" s="121">
        <v>-2.0999999999999999E-3</v>
      </c>
      <c r="L4591" s="121">
        <v>-5.0000000000000001E-3</v>
      </c>
      <c r="M4591" s="75" t="s">
        <v>146</v>
      </c>
      <c r="N4591" s="75" t="b">
        <v>1</v>
      </c>
      <c r="O4591" s="75" t="s">
        <v>145</v>
      </c>
      <c r="P4591" s="75">
        <v>2014</v>
      </c>
      <c r="Q4591" s="107">
        <f t="shared" si="143"/>
        <v>2020</v>
      </c>
      <c r="R4591" s="107">
        <v>2</v>
      </c>
      <c r="S4591" s="43">
        <v>220121</v>
      </c>
      <c r="T4591" s="74">
        <v>44055</v>
      </c>
    </row>
    <row r="4592" spans="1:20" x14ac:dyDescent="0.3">
      <c r="A4592" s="42">
        <v>44078</v>
      </c>
      <c r="B4592" s="37">
        <f t="shared" si="141"/>
        <v>20200904</v>
      </c>
      <c r="C4592" s="109">
        <v>9.8999999999999991E-3</v>
      </c>
      <c r="D4592" s="109">
        <v>1.4E-2</v>
      </c>
      <c r="E4592" s="109">
        <v>1.6E-2</v>
      </c>
      <c r="F4592" s="109">
        <v>1.7000000000000001E-2</v>
      </c>
      <c r="G4592" s="130">
        <v>0</v>
      </c>
      <c r="H4592" s="71">
        <v>8.8000000000000007</v>
      </c>
      <c r="I4592" s="71">
        <v>11.6</v>
      </c>
      <c r="J4592" s="71">
        <v>14.3</v>
      </c>
      <c r="K4592" s="121">
        <v>-1.8E-3</v>
      </c>
      <c r="L4592" s="121">
        <v>-5.0000000000000001E-3</v>
      </c>
      <c r="M4592" s="75" t="s">
        <v>146</v>
      </c>
      <c r="N4592" s="75" t="b">
        <v>1</v>
      </c>
      <c r="O4592" s="75" t="s">
        <v>145</v>
      </c>
      <c r="P4592" s="75">
        <v>2014</v>
      </c>
      <c r="Q4592" s="107">
        <f t="shared" si="143"/>
        <v>2020</v>
      </c>
      <c r="R4592" s="107">
        <v>2</v>
      </c>
      <c r="S4592" s="43">
        <v>220121</v>
      </c>
      <c r="T4592" s="74">
        <v>44055</v>
      </c>
    </row>
    <row r="4593" spans="1:20" x14ac:dyDescent="0.3">
      <c r="A4593" s="42">
        <v>44079</v>
      </c>
      <c r="B4593" s="37">
        <f t="shared" ref="B4593:B4594" si="144">YEAR(A4593)*10000+MONTH(A4593)*100+DAY(A4593)</f>
        <v>20200905</v>
      </c>
      <c r="C4593" s="109">
        <v>9.8999999999999991E-3</v>
      </c>
      <c r="D4593" s="109">
        <v>1.4E-2</v>
      </c>
      <c r="E4593" s="109">
        <v>1.6E-2</v>
      </c>
      <c r="F4593" s="109">
        <v>1.7000000000000001E-2</v>
      </c>
      <c r="G4593" s="130">
        <v>0</v>
      </c>
      <c r="H4593" s="71">
        <v>8.8000000000000007</v>
      </c>
      <c r="I4593" s="71">
        <v>11.6</v>
      </c>
      <c r="J4593" s="71">
        <v>14.3</v>
      </c>
      <c r="K4593" s="121">
        <v>-1.8E-3</v>
      </c>
      <c r="L4593" s="121">
        <v>-5.0000000000000001E-3</v>
      </c>
      <c r="M4593" s="75" t="s">
        <v>146</v>
      </c>
      <c r="N4593" s="75" t="b">
        <v>1</v>
      </c>
      <c r="O4593" s="75" t="s">
        <v>145</v>
      </c>
      <c r="P4593" s="75">
        <v>2014</v>
      </c>
      <c r="Q4593" s="107">
        <f t="shared" si="143"/>
        <v>2020</v>
      </c>
      <c r="R4593" s="107">
        <v>2</v>
      </c>
      <c r="S4593" s="43">
        <v>220121</v>
      </c>
      <c r="T4593" s="74">
        <v>44055</v>
      </c>
    </row>
    <row r="4594" spans="1:20" x14ac:dyDescent="0.3">
      <c r="A4594" s="42">
        <v>44080</v>
      </c>
      <c r="B4594" s="37">
        <f t="shared" si="144"/>
        <v>20200906</v>
      </c>
      <c r="C4594" s="109">
        <v>9.8999999999999991E-3</v>
      </c>
      <c r="D4594" s="109">
        <v>1.4E-2</v>
      </c>
      <c r="E4594" s="109">
        <v>1.6E-2</v>
      </c>
      <c r="F4594" s="109">
        <v>1.7000000000000001E-2</v>
      </c>
      <c r="G4594" s="130">
        <v>0</v>
      </c>
      <c r="H4594" s="71">
        <v>8.8000000000000007</v>
      </c>
      <c r="I4594" s="71">
        <v>11.6</v>
      </c>
      <c r="J4594" s="71">
        <v>14.3</v>
      </c>
      <c r="K4594" s="121">
        <v>-1.8E-3</v>
      </c>
      <c r="L4594" s="121">
        <v>-5.0000000000000001E-3</v>
      </c>
      <c r="M4594" s="75" t="s">
        <v>146</v>
      </c>
      <c r="N4594" s="75" t="b">
        <v>1</v>
      </c>
      <c r="O4594" s="75" t="s">
        <v>145</v>
      </c>
      <c r="P4594" s="75">
        <v>2014</v>
      </c>
      <c r="Q4594" s="107">
        <f t="shared" si="143"/>
        <v>2020</v>
      </c>
      <c r="R4594" s="107">
        <v>2</v>
      </c>
      <c r="S4594" s="43">
        <v>220121</v>
      </c>
      <c r="T4594" s="74">
        <v>44055</v>
      </c>
    </row>
    <row r="4595" spans="1:20" x14ac:dyDescent="0.3">
      <c r="A4595" s="42">
        <v>44081</v>
      </c>
      <c r="B4595" s="37">
        <f t="shared" si="141"/>
        <v>20200907</v>
      </c>
      <c r="C4595" s="109">
        <v>9.8999999999999991E-3</v>
      </c>
      <c r="D4595" s="109">
        <v>1.4E-2</v>
      </c>
      <c r="E4595" s="109">
        <v>1.6E-2</v>
      </c>
      <c r="F4595" s="109">
        <v>1.7000000000000001E-2</v>
      </c>
      <c r="G4595" s="130">
        <v>0</v>
      </c>
      <c r="H4595" s="71">
        <v>8.8000000000000007</v>
      </c>
      <c r="I4595" s="71">
        <v>11.6</v>
      </c>
      <c r="J4595" s="71">
        <v>14.3</v>
      </c>
      <c r="K4595" s="121">
        <v>-1.8E-3</v>
      </c>
      <c r="L4595" s="121">
        <v>-5.0000000000000001E-3</v>
      </c>
      <c r="M4595" s="75" t="s">
        <v>146</v>
      </c>
      <c r="N4595" s="75" t="b">
        <v>1</v>
      </c>
      <c r="O4595" s="75" t="s">
        <v>145</v>
      </c>
      <c r="P4595" s="75">
        <v>2014</v>
      </c>
      <c r="Q4595" s="107">
        <f t="shared" si="143"/>
        <v>2020</v>
      </c>
      <c r="R4595" s="107">
        <v>2</v>
      </c>
      <c r="S4595" s="43">
        <v>220121</v>
      </c>
      <c r="T4595" s="74">
        <v>44055</v>
      </c>
    </row>
    <row r="4596" spans="1:20" x14ac:dyDescent="0.3">
      <c r="A4596" s="42">
        <v>44082</v>
      </c>
      <c r="B4596" s="37">
        <f t="shared" si="141"/>
        <v>20200908</v>
      </c>
      <c r="C4596" s="109">
        <v>9.7000000000000003E-3</v>
      </c>
      <c r="D4596" s="109">
        <v>1.4E-2</v>
      </c>
      <c r="E4596" s="109">
        <v>1.6E-2</v>
      </c>
      <c r="F4596" s="109">
        <v>1.7000000000000001E-2</v>
      </c>
      <c r="G4596" s="130">
        <v>0</v>
      </c>
      <c r="H4596" s="71">
        <v>8.8000000000000007</v>
      </c>
      <c r="I4596" s="71">
        <v>11.6</v>
      </c>
      <c r="J4596" s="71">
        <v>14.3</v>
      </c>
      <c r="K4596" s="121">
        <v>-2E-3</v>
      </c>
      <c r="L4596" s="121">
        <v>-5.0000000000000001E-3</v>
      </c>
      <c r="M4596" s="75" t="s">
        <v>146</v>
      </c>
      <c r="N4596" s="75" t="b">
        <v>1</v>
      </c>
      <c r="O4596" s="75" t="s">
        <v>145</v>
      </c>
      <c r="P4596" s="75">
        <v>2014</v>
      </c>
      <c r="Q4596" s="107">
        <f t="shared" si="143"/>
        <v>2020</v>
      </c>
      <c r="R4596" s="107">
        <v>2</v>
      </c>
      <c r="S4596" s="43">
        <v>220121</v>
      </c>
      <c r="T4596" s="74">
        <v>44055</v>
      </c>
    </row>
    <row r="4597" spans="1:20" x14ac:dyDescent="0.3">
      <c r="A4597" s="42">
        <v>44083</v>
      </c>
      <c r="B4597" s="37">
        <f t="shared" si="141"/>
        <v>20200909</v>
      </c>
      <c r="C4597" s="109">
        <v>9.8999999999999991E-3</v>
      </c>
      <c r="D4597" s="109">
        <v>1.4E-2</v>
      </c>
      <c r="E4597" s="109">
        <v>1.6E-2</v>
      </c>
      <c r="F4597" s="109">
        <v>1.7000000000000001E-2</v>
      </c>
      <c r="G4597" s="130">
        <v>0</v>
      </c>
      <c r="H4597" s="71">
        <v>8.8000000000000007</v>
      </c>
      <c r="I4597" s="71">
        <v>11.6</v>
      </c>
      <c r="J4597" s="71">
        <v>14.3</v>
      </c>
      <c r="K4597" s="121">
        <v>-1.8E-3</v>
      </c>
      <c r="L4597" s="121">
        <v>-5.0000000000000001E-3</v>
      </c>
      <c r="M4597" s="75" t="s">
        <v>146</v>
      </c>
      <c r="N4597" s="75" t="b">
        <v>1</v>
      </c>
      <c r="O4597" s="75" t="s">
        <v>145</v>
      </c>
      <c r="P4597" s="75">
        <v>2014</v>
      </c>
      <c r="Q4597" s="107">
        <f t="shared" si="143"/>
        <v>2020</v>
      </c>
      <c r="R4597" s="107">
        <v>2</v>
      </c>
      <c r="S4597" s="43">
        <v>220121</v>
      </c>
      <c r="T4597" s="74">
        <v>44055</v>
      </c>
    </row>
    <row r="4598" spans="1:20" x14ac:dyDescent="0.3">
      <c r="A4598" s="42">
        <v>44084</v>
      </c>
      <c r="B4598" s="37">
        <f t="shared" si="141"/>
        <v>20200910</v>
      </c>
      <c r="C4598" s="109">
        <v>9.7000000000000003E-3</v>
      </c>
      <c r="D4598" s="109">
        <v>1.4E-2</v>
      </c>
      <c r="E4598" s="109">
        <v>1.6E-2</v>
      </c>
      <c r="F4598" s="109">
        <v>1.7000000000000001E-2</v>
      </c>
      <c r="G4598" s="130">
        <v>0</v>
      </c>
      <c r="H4598" s="71">
        <v>8.8000000000000007</v>
      </c>
      <c r="I4598" s="71">
        <v>11.6</v>
      </c>
      <c r="J4598" s="71">
        <v>14.3</v>
      </c>
      <c r="K4598" s="121">
        <v>-2.0999999999999999E-3</v>
      </c>
      <c r="L4598" s="121">
        <v>-5.0000000000000001E-3</v>
      </c>
      <c r="M4598" s="75" t="s">
        <v>146</v>
      </c>
      <c r="N4598" s="75" t="b">
        <v>1</v>
      </c>
      <c r="O4598" s="75" t="s">
        <v>145</v>
      </c>
      <c r="P4598" s="75">
        <v>2014</v>
      </c>
      <c r="Q4598" s="107">
        <f t="shared" si="143"/>
        <v>2020</v>
      </c>
      <c r="R4598" s="107">
        <v>2</v>
      </c>
      <c r="S4598" s="43">
        <v>220121</v>
      </c>
      <c r="T4598" s="74">
        <v>44055</v>
      </c>
    </row>
    <row r="4599" spans="1:20" x14ac:dyDescent="0.3">
      <c r="A4599" s="42">
        <v>44085</v>
      </c>
      <c r="B4599" s="37">
        <f t="shared" si="141"/>
        <v>20200911</v>
      </c>
      <c r="C4599" s="109">
        <v>9.4999999999999998E-3</v>
      </c>
      <c r="D4599" s="109">
        <v>1.4E-2</v>
      </c>
      <c r="E4599" s="109">
        <v>1.6E-2</v>
      </c>
      <c r="F4599" s="109">
        <v>1.7000000000000001E-2</v>
      </c>
      <c r="G4599" s="130">
        <v>0</v>
      </c>
      <c r="H4599" s="71">
        <v>8.8000000000000007</v>
      </c>
      <c r="I4599" s="71">
        <v>11.6</v>
      </c>
      <c r="J4599" s="71">
        <v>14.3</v>
      </c>
      <c r="K4599" s="121">
        <v>-2.0999999999999999E-3</v>
      </c>
      <c r="L4599" s="121">
        <v>-5.0000000000000001E-3</v>
      </c>
      <c r="M4599" s="75" t="s">
        <v>146</v>
      </c>
      <c r="N4599" s="75" t="b">
        <v>1</v>
      </c>
      <c r="O4599" s="75" t="s">
        <v>145</v>
      </c>
      <c r="P4599" s="75">
        <v>2014</v>
      </c>
      <c r="Q4599" s="107">
        <f t="shared" si="143"/>
        <v>2020</v>
      </c>
      <c r="R4599" s="107">
        <v>2</v>
      </c>
      <c r="S4599" s="43">
        <v>220121</v>
      </c>
      <c r="T4599" s="74">
        <v>44055</v>
      </c>
    </row>
    <row r="4600" spans="1:20" x14ac:dyDescent="0.3">
      <c r="A4600" s="42">
        <v>44086</v>
      </c>
      <c r="B4600" s="37">
        <f t="shared" ref="B4600:B4601" si="145">YEAR(A4600)*10000+MONTH(A4600)*100+DAY(A4600)</f>
        <v>20200912</v>
      </c>
      <c r="C4600" s="109">
        <v>9.4999999999999998E-3</v>
      </c>
      <c r="D4600" s="109">
        <v>1.4E-2</v>
      </c>
      <c r="E4600" s="109">
        <v>1.6E-2</v>
      </c>
      <c r="F4600" s="109">
        <v>1.7000000000000001E-2</v>
      </c>
      <c r="G4600" s="130">
        <v>0</v>
      </c>
      <c r="H4600" s="71">
        <v>8.8000000000000007</v>
      </c>
      <c r="I4600" s="71">
        <v>11.6</v>
      </c>
      <c r="J4600" s="71">
        <v>14.3</v>
      </c>
      <c r="K4600" s="121">
        <v>-2.0999999999999999E-3</v>
      </c>
      <c r="L4600" s="121">
        <v>-5.0000000000000001E-3</v>
      </c>
      <c r="M4600" s="75" t="s">
        <v>146</v>
      </c>
      <c r="N4600" s="75" t="b">
        <v>1</v>
      </c>
      <c r="O4600" s="75" t="s">
        <v>145</v>
      </c>
      <c r="P4600" s="75">
        <v>2014</v>
      </c>
      <c r="Q4600" s="107">
        <f t="shared" si="143"/>
        <v>2020</v>
      </c>
      <c r="R4600" s="107">
        <v>2</v>
      </c>
      <c r="S4600" s="43">
        <v>220121</v>
      </c>
      <c r="T4600" s="74">
        <v>44055</v>
      </c>
    </row>
    <row r="4601" spans="1:20" x14ac:dyDescent="0.3">
      <c r="A4601" s="42">
        <v>44087</v>
      </c>
      <c r="B4601" s="37">
        <f t="shared" si="145"/>
        <v>20200913</v>
      </c>
      <c r="C4601" s="109">
        <v>9.4999999999999998E-3</v>
      </c>
      <c r="D4601" s="109">
        <v>1.4E-2</v>
      </c>
      <c r="E4601" s="109">
        <v>1.6E-2</v>
      </c>
      <c r="F4601" s="109">
        <v>1.7000000000000001E-2</v>
      </c>
      <c r="G4601" s="130">
        <v>0</v>
      </c>
      <c r="H4601" s="71">
        <v>8.8000000000000007</v>
      </c>
      <c r="I4601" s="71">
        <v>11.6</v>
      </c>
      <c r="J4601" s="71">
        <v>14.3</v>
      </c>
      <c r="K4601" s="121">
        <v>-2.0999999999999999E-3</v>
      </c>
      <c r="L4601" s="121">
        <v>-5.0000000000000001E-3</v>
      </c>
      <c r="M4601" s="75" t="s">
        <v>146</v>
      </c>
      <c r="N4601" s="75" t="b">
        <v>1</v>
      </c>
      <c r="O4601" s="75" t="s">
        <v>145</v>
      </c>
      <c r="P4601" s="75">
        <v>2014</v>
      </c>
      <c r="Q4601" s="107">
        <f t="shared" si="143"/>
        <v>2020</v>
      </c>
      <c r="R4601" s="107">
        <v>2</v>
      </c>
      <c r="S4601" s="43">
        <v>220121</v>
      </c>
      <c r="T4601" s="74">
        <v>44055</v>
      </c>
    </row>
    <row r="4602" spans="1:20" x14ac:dyDescent="0.3">
      <c r="A4602" s="42">
        <v>44088</v>
      </c>
      <c r="B4602" s="37">
        <f t="shared" si="141"/>
        <v>20200914</v>
      </c>
      <c r="C4602" s="109">
        <v>9.4999999999999998E-3</v>
      </c>
      <c r="D4602" s="109">
        <v>1.4E-2</v>
      </c>
      <c r="E4602" s="109">
        <v>1.6E-2</v>
      </c>
      <c r="F4602" s="109">
        <v>1.7000000000000001E-2</v>
      </c>
      <c r="G4602" s="130">
        <v>0</v>
      </c>
      <c r="H4602" s="71">
        <v>8.8000000000000007</v>
      </c>
      <c r="I4602" s="71">
        <v>11.6</v>
      </c>
      <c r="J4602" s="71">
        <v>14.3</v>
      </c>
      <c r="K4602" s="121">
        <v>-2E-3</v>
      </c>
      <c r="L4602" s="121">
        <v>-5.0000000000000001E-3</v>
      </c>
      <c r="M4602" s="75" t="s">
        <v>146</v>
      </c>
      <c r="N4602" s="75" t="b">
        <v>1</v>
      </c>
      <c r="O4602" s="75" t="s">
        <v>145</v>
      </c>
      <c r="P4602" s="75">
        <v>2014</v>
      </c>
      <c r="Q4602" s="107">
        <f t="shared" si="143"/>
        <v>2020</v>
      </c>
      <c r="R4602" s="107">
        <v>2</v>
      </c>
      <c r="S4602" s="43">
        <v>220121</v>
      </c>
      <c r="T4602" s="74">
        <v>44055</v>
      </c>
    </row>
    <row r="4603" spans="1:20" x14ac:dyDescent="0.3">
      <c r="A4603" s="42">
        <v>44089</v>
      </c>
      <c r="B4603" s="37">
        <f t="shared" si="141"/>
        <v>20200915</v>
      </c>
      <c r="C4603" s="109">
        <v>9.7000000000000003E-3</v>
      </c>
      <c r="D4603" s="109">
        <v>1.4E-2</v>
      </c>
      <c r="E4603" s="109">
        <v>1.6E-2</v>
      </c>
      <c r="F4603" s="109">
        <v>1.7000000000000001E-2</v>
      </c>
      <c r="G4603" s="130">
        <v>0</v>
      </c>
      <c r="H4603" s="71">
        <v>8.8000000000000007</v>
      </c>
      <c r="I4603" s="71">
        <v>11.6</v>
      </c>
      <c r="J4603" s="71">
        <v>14.3</v>
      </c>
      <c r="K4603" s="121">
        <v>-1.9E-3</v>
      </c>
      <c r="L4603" s="121">
        <v>-5.0000000000000001E-3</v>
      </c>
      <c r="M4603" s="75" t="s">
        <v>146</v>
      </c>
      <c r="N4603" s="75" t="b">
        <v>1</v>
      </c>
      <c r="O4603" s="75" t="s">
        <v>145</v>
      </c>
      <c r="P4603" s="75">
        <v>2014</v>
      </c>
      <c r="Q4603" s="107">
        <f t="shared" si="143"/>
        <v>2020</v>
      </c>
      <c r="R4603" s="107">
        <v>2</v>
      </c>
      <c r="S4603" s="43">
        <v>220121</v>
      </c>
      <c r="T4603" s="74">
        <v>44055</v>
      </c>
    </row>
    <row r="4604" spans="1:20" x14ac:dyDescent="0.3">
      <c r="A4604" s="42">
        <v>44090</v>
      </c>
      <c r="B4604" s="37">
        <f t="shared" si="141"/>
        <v>20200916</v>
      </c>
      <c r="C4604" s="109">
        <v>9.8999999999999991E-3</v>
      </c>
      <c r="D4604" s="109">
        <v>1.4E-2</v>
      </c>
      <c r="E4604" s="109">
        <v>1.6E-2</v>
      </c>
      <c r="F4604" s="109">
        <v>1.7000000000000001E-2</v>
      </c>
      <c r="G4604" s="130">
        <v>0</v>
      </c>
      <c r="H4604" s="71">
        <v>8.8000000000000007</v>
      </c>
      <c r="I4604" s="71">
        <v>11.6</v>
      </c>
      <c r="J4604" s="71">
        <v>14.3</v>
      </c>
      <c r="K4604" s="121">
        <v>-1.7000000000000001E-3</v>
      </c>
      <c r="L4604" s="121">
        <v>-5.0000000000000001E-3</v>
      </c>
      <c r="M4604" s="75" t="s">
        <v>146</v>
      </c>
      <c r="N4604" s="75" t="b">
        <v>1</v>
      </c>
      <c r="O4604" s="75" t="s">
        <v>145</v>
      </c>
      <c r="P4604" s="75">
        <v>2014</v>
      </c>
      <c r="Q4604" s="107">
        <f t="shared" si="143"/>
        <v>2020</v>
      </c>
      <c r="R4604" s="107">
        <v>2</v>
      </c>
      <c r="S4604" s="43">
        <v>220121</v>
      </c>
      <c r="T4604" s="74">
        <v>44055</v>
      </c>
    </row>
    <row r="4605" spans="1:20" x14ac:dyDescent="0.3">
      <c r="A4605" s="42">
        <v>44091</v>
      </c>
      <c r="B4605" s="37">
        <f t="shared" si="141"/>
        <v>20200917</v>
      </c>
      <c r="C4605" s="109">
        <v>9.7000000000000003E-3</v>
      </c>
      <c r="D4605" s="109">
        <v>1.4E-2</v>
      </c>
      <c r="E4605" s="109">
        <v>1.6E-2</v>
      </c>
      <c r="F4605" s="109">
        <v>1.7000000000000001E-2</v>
      </c>
      <c r="G4605" s="130">
        <v>0</v>
      </c>
      <c r="H4605" s="71">
        <v>8.8000000000000007</v>
      </c>
      <c r="I4605" s="71">
        <v>11.6</v>
      </c>
      <c r="J4605" s="71">
        <v>14.3</v>
      </c>
      <c r="K4605" s="121">
        <v>-1.8E-3</v>
      </c>
      <c r="L4605" s="121">
        <v>-5.0000000000000001E-3</v>
      </c>
      <c r="M4605" s="75" t="s">
        <v>146</v>
      </c>
      <c r="N4605" s="75" t="b">
        <v>1</v>
      </c>
      <c r="O4605" s="75" t="s">
        <v>145</v>
      </c>
      <c r="P4605" s="75">
        <v>2014</v>
      </c>
      <c r="Q4605" s="107">
        <f t="shared" si="143"/>
        <v>2020</v>
      </c>
      <c r="R4605" s="107">
        <v>2</v>
      </c>
      <c r="S4605" s="43">
        <v>220121</v>
      </c>
      <c r="T4605" s="74">
        <v>44055</v>
      </c>
    </row>
    <row r="4606" spans="1:20" x14ac:dyDescent="0.3">
      <c r="A4606" s="42">
        <v>44092</v>
      </c>
      <c r="B4606" s="37">
        <f t="shared" si="141"/>
        <v>20200918</v>
      </c>
      <c r="C4606" s="109">
        <v>9.8999999999999991E-3</v>
      </c>
      <c r="D4606" s="109">
        <v>1.4E-2</v>
      </c>
      <c r="E4606" s="109">
        <v>1.6E-2</v>
      </c>
      <c r="F4606" s="109">
        <v>1.7000000000000001E-2</v>
      </c>
      <c r="G4606" s="130">
        <v>0</v>
      </c>
      <c r="H4606" s="71">
        <v>8.8000000000000007</v>
      </c>
      <c r="I4606" s="71">
        <v>11.6</v>
      </c>
      <c r="J4606" s="71">
        <v>14.3</v>
      </c>
      <c r="K4606" s="121">
        <v>-1.7000000000000001E-3</v>
      </c>
      <c r="L4606" s="121">
        <v>-5.0000000000000001E-3</v>
      </c>
      <c r="M4606" s="75" t="s">
        <v>146</v>
      </c>
      <c r="N4606" s="75" t="b">
        <v>1</v>
      </c>
      <c r="O4606" s="75" t="s">
        <v>145</v>
      </c>
      <c r="P4606" s="75">
        <v>2014</v>
      </c>
      <c r="Q4606" s="107">
        <f t="shared" si="143"/>
        <v>2020</v>
      </c>
      <c r="R4606" s="107">
        <v>2</v>
      </c>
      <c r="S4606" s="43">
        <v>220121</v>
      </c>
      <c r="T4606" s="74">
        <v>44055</v>
      </c>
    </row>
    <row r="4607" spans="1:20" x14ac:dyDescent="0.3">
      <c r="A4607" s="42">
        <v>44093</v>
      </c>
      <c r="B4607" s="37">
        <f t="shared" ref="B4607:B4608" si="146">YEAR(A4607)*10000+MONTH(A4607)*100+DAY(A4607)</f>
        <v>20200919</v>
      </c>
      <c r="C4607" s="109">
        <v>9.8999999999999991E-3</v>
      </c>
      <c r="D4607" s="109">
        <v>1.4E-2</v>
      </c>
      <c r="E4607" s="109">
        <v>1.6E-2</v>
      </c>
      <c r="F4607" s="109">
        <v>1.7000000000000001E-2</v>
      </c>
      <c r="G4607" s="130">
        <v>0</v>
      </c>
      <c r="H4607" s="71">
        <v>8.8000000000000007</v>
      </c>
      <c r="I4607" s="71">
        <v>11.6</v>
      </c>
      <c r="J4607" s="71">
        <v>14.3</v>
      </c>
      <c r="K4607" s="121">
        <v>-1.7000000000000001E-3</v>
      </c>
      <c r="L4607" s="121">
        <v>-5.0000000000000001E-3</v>
      </c>
      <c r="M4607" s="75" t="s">
        <v>146</v>
      </c>
      <c r="N4607" s="75" t="b">
        <v>1</v>
      </c>
      <c r="O4607" s="75" t="s">
        <v>145</v>
      </c>
      <c r="P4607" s="75">
        <v>2014</v>
      </c>
      <c r="Q4607" s="107">
        <f t="shared" si="143"/>
        <v>2020</v>
      </c>
      <c r="R4607" s="107">
        <v>2</v>
      </c>
      <c r="S4607" s="43">
        <v>220121</v>
      </c>
      <c r="T4607" s="74">
        <v>44055</v>
      </c>
    </row>
    <row r="4608" spans="1:20" x14ac:dyDescent="0.3">
      <c r="A4608" s="42">
        <v>44094</v>
      </c>
      <c r="B4608" s="37">
        <f t="shared" si="146"/>
        <v>20200920</v>
      </c>
      <c r="C4608" s="109">
        <v>9.8999999999999991E-3</v>
      </c>
      <c r="D4608" s="109">
        <v>1.4E-2</v>
      </c>
      <c r="E4608" s="109">
        <v>1.6E-2</v>
      </c>
      <c r="F4608" s="109">
        <v>1.7000000000000001E-2</v>
      </c>
      <c r="G4608" s="130">
        <v>0</v>
      </c>
      <c r="H4608" s="71">
        <v>8.8000000000000007</v>
      </c>
      <c r="I4608" s="71">
        <v>11.6</v>
      </c>
      <c r="J4608" s="71">
        <v>14.3</v>
      </c>
      <c r="K4608" s="121">
        <v>-1.7000000000000001E-3</v>
      </c>
      <c r="L4608" s="121">
        <v>-5.0000000000000001E-3</v>
      </c>
      <c r="M4608" s="75" t="s">
        <v>146</v>
      </c>
      <c r="N4608" s="75" t="b">
        <v>1</v>
      </c>
      <c r="O4608" s="75" t="s">
        <v>145</v>
      </c>
      <c r="P4608" s="75">
        <v>2014</v>
      </c>
      <c r="Q4608" s="107">
        <f t="shared" si="143"/>
        <v>2020</v>
      </c>
      <c r="R4608" s="107">
        <v>2</v>
      </c>
      <c r="S4608" s="43">
        <v>220121</v>
      </c>
      <c r="T4608" s="74">
        <v>44055</v>
      </c>
    </row>
    <row r="4609" spans="1:21" x14ac:dyDescent="0.3">
      <c r="A4609" s="42">
        <v>44095</v>
      </c>
      <c r="B4609" s="37">
        <f t="shared" si="141"/>
        <v>20200921</v>
      </c>
      <c r="C4609" s="109">
        <v>9.7000000000000003E-3</v>
      </c>
      <c r="D4609" s="109">
        <v>1.4E-2</v>
      </c>
      <c r="E4609" s="109">
        <v>1.6E-2</v>
      </c>
      <c r="F4609" s="109">
        <v>1.7000000000000001E-2</v>
      </c>
      <c r="G4609" s="130">
        <v>0</v>
      </c>
      <c r="H4609" s="71">
        <v>8.8000000000000007</v>
      </c>
      <c r="I4609" s="71">
        <v>11.6</v>
      </c>
      <c r="J4609" s="71">
        <v>14.3</v>
      </c>
      <c r="K4609" s="121">
        <v>-1.8E-3</v>
      </c>
      <c r="L4609" s="121">
        <v>-5.0000000000000001E-3</v>
      </c>
      <c r="M4609" s="75" t="s">
        <v>146</v>
      </c>
      <c r="N4609" s="75" t="b">
        <v>1</v>
      </c>
      <c r="O4609" s="75" t="s">
        <v>145</v>
      </c>
      <c r="P4609" s="75">
        <v>2014</v>
      </c>
      <c r="Q4609" s="107">
        <f t="shared" si="143"/>
        <v>2020</v>
      </c>
      <c r="R4609" s="107">
        <v>2</v>
      </c>
      <c r="S4609" s="43">
        <v>220121</v>
      </c>
      <c r="T4609" s="74">
        <v>44055</v>
      </c>
    </row>
    <row r="4610" spans="1:21" x14ac:dyDescent="0.3">
      <c r="A4610" s="42">
        <v>44096</v>
      </c>
      <c r="B4610" s="37">
        <f t="shared" si="141"/>
        <v>20200922</v>
      </c>
      <c r="C4610" s="109">
        <v>9.7000000000000003E-3</v>
      </c>
      <c r="D4610" s="109">
        <v>1.4E-2</v>
      </c>
      <c r="E4610" s="109">
        <v>1.6E-2</v>
      </c>
      <c r="F4610" s="109">
        <v>1.7000000000000001E-2</v>
      </c>
      <c r="G4610" s="130">
        <v>0</v>
      </c>
      <c r="H4610" s="71">
        <v>8.8000000000000007</v>
      </c>
      <c r="I4610" s="71">
        <v>11.6</v>
      </c>
      <c r="J4610" s="71">
        <v>14.3</v>
      </c>
      <c r="K4610" s="121">
        <v>-1.7000000000000001E-3</v>
      </c>
      <c r="L4610" s="121">
        <v>-5.0000000000000001E-3</v>
      </c>
      <c r="M4610" s="75" t="s">
        <v>146</v>
      </c>
      <c r="N4610" s="75" t="b">
        <v>1</v>
      </c>
      <c r="O4610" s="75" t="s">
        <v>145</v>
      </c>
      <c r="P4610" s="75">
        <v>2014</v>
      </c>
      <c r="Q4610" s="107">
        <f t="shared" si="143"/>
        <v>2020</v>
      </c>
      <c r="R4610" s="107">
        <v>2</v>
      </c>
      <c r="S4610" s="43">
        <v>220121</v>
      </c>
      <c r="T4610" s="74">
        <v>44055</v>
      </c>
    </row>
    <row r="4611" spans="1:21" x14ac:dyDescent="0.3">
      <c r="A4611" s="42">
        <v>44097</v>
      </c>
      <c r="B4611" s="37">
        <f t="shared" si="141"/>
        <v>20200923</v>
      </c>
      <c r="C4611" s="109">
        <v>9.7000000000000003E-3</v>
      </c>
      <c r="D4611" s="109">
        <v>1.4E-2</v>
      </c>
      <c r="E4611" s="109">
        <v>1.6E-2</v>
      </c>
      <c r="F4611" s="109">
        <v>1.7000000000000001E-2</v>
      </c>
      <c r="G4611" s="130">
        <v>0</v>
      </c>
      <c r="H4611" s="71">
        <v>8.8000000000000007</v>
      </c>
      <c r="I4611" s="71">
        <v>11.6</v>
      </c>
      <c r="J4611" s="71">
        <v>14.3</v>
      </c>
      <c r="K4611" s="121">
        <v>-1.7000000000000001E-3</v>
      </c>
      <c r="L4611" s="121">
        <v>-5.0000000000000001E-3</v>
      </c>
      <c r="M4611" s="75" t="s">
        <v>146</v>
      </c>
      <c r="N4611" s="75" t="b">
        <v>1</v>
      </c>
      <c r="O4611" s="75" t="s">
        <v>145</v>
      </c>
      <c r="P4611" s="75">
        <v>2014</v>
      </c>
      <c r="Q4611" s="107">
        <f t="shared" si="143"/>
        <v>2020</v>
      </c>
      <c r="R4611" s="107">
        <v>2</v>
      </c>
      <c r="S4611" s="43">
        <v>220121</v>
      </c>
      <c r="T4611" s="74">
        <v>44055</v>
      </c>
    </row>
    <row r="4612" spans="1:21" x14ac:dyDescent="0.3">
      <c r="A4612" s="42">
        <v>44098</v>
      </c>
      <c r="B4612" s="37">
        <f t="shared" si="141"/>
        <v>20200924</v>
      </c>
      <c r="C4612" s="109">
        <v>9.5999999999999992E-3</v>
      </c>
      <c r="D4612" s="109">
        <v>1.4E-2</v>
      </c>
      <c r="E4612" s="109">
        <v>1.6E-2</v>
      </c>
      <c r="F4612" s="109">
        <v>1.7000000000000001E-2</v>
      </c>
      <c r="G4612" s="130">
        <v>0</v>
      </c>
      <c r="H4612" s="71">
        <v>8.8000000000000007</v>
      </c>
      <c r="I4612" s="71">
        <v>11.6</v>
      </c>
      <c r="J4612" s="71">
        <v>14.3</v>
      </c>
      <c r="K4612" s="121">
        <v>-1.7000000000000001E-3</v>
      </c>
      <c r="L4612" s="121">
        <v>-5.0000000000000001E-3</v>
      </c>
      <c r="M4612" s="75" t="s">
        <v>146</v>
      </c>
      <c r="N4612" s="75" t="b">
        <v>1</v>
      </c>
      <c r="O4612" s="75" t="s">
        <v>145</v>
      </c>
      <c r="P4612" s="75">
        <v>2014</v>
      </c>
      <c r="Q4612" s="107">
        <f t="shared" si="143"/>
        <v>2020</v>
      </c>
      <c r="R4612" s="107">
        <v>2</v>
      </c>
      <c r="S4612" s="43">
        <v>220121</v>
      </c>
      <c r="T4612" s="74">
        <v>44055</v>
      </c>
    </row>
    <row r="4613" spans="1:21" x14ac:dyDescent="0.3">
      <c r="A4613" s="42">
        <v>44099</v>
      </c>
      <c r="B4613" s="37">
        <f t="shared" si="141"/>
        <v>20200925</v>
      </c>
      <c r="C4613" s="109">
        <v>9.4999999999999998E-3</v>
      </c>
      <c r="D4613" s="109">
        <v>1.4E-2</v>
      </c>
      <c r="E4613" s="109">
        <v>1.6E-2</v>
      </c>
      <c r="F4613" s="109">
        <v>1.7000000000000001E-2</v>
      </c>
      <c r="G4613" s="130">
        <v>0</v>
      </c>
      <c r="H4613" s="71">
        <v>8.8000000000000007</v>
      </c>
      <c r="I4613" s="71">
        <v>11.6</v>
      </c>
      <c r="J4613" s="71">
        <v>14.3</v>
      </c>
      <c r="K4613" s="121">
        <v>-1.8E-3</v>
      </c>
      <c r="L4613" s="121">
        <v>-5.0000000000000001E-3</v>
      </c>
      <c r="M4613" s="75" t="s">
        <v>146</v>
      </c>
      <c r="N4613" s="75" t="b">
        <v>1</v>
      </c>
      <c r="O4613" s="75" t="s">
        <v>145</v>
      </c>
      <c r="P4613" s="75">
        <v>2014</v>
      </c>
      <c r="Q4613" s="107">
        <f t="shared" si="143"/>
        <v>2020</v>
      </c>
      <c r="R4613" s="107">
        <v>2</v>
      </c>
      <c r="S4613" s="43">
        <v>220121</v>
      </c>
      <c r="T4613" s="74">
        <v>44055</v>
      </c>
    </row>
    <row r="4614" spans="1:21" x14ac:dyDescent="0.3">
      <c r="A4614" s="42">
        <v>44100</v>
      </c>
      <c r="B4614" s="37">
        <f t="shared" ref="B4614:B4615" si="147">YEAR(A4614)*10000+MONTH(A4614)*100+DAY(A4614)</f>
        <v>20200926</v>
      </c>
      <c r="C4614" s="109">
        <v>9.4999999999999998E-3</v>
      </c>
      <c r="D4614" s="109">
        <v>1.4E-2</v>
      </c>
      <c r="E4614" s="109">
        <v>1.6E-2</v>
      </c>
      <c r="F4614" s="109">
        <v>1.7000000000000001E-2</v>
      </c>
      <c r="G4614" s="130">
        <v>0</v>
      </c>
      <c r="H4614" s="71">
        <v>8.8000000000000007</v>
      </c>
      <c r="I4614" s="71">
        <v>11.6</v>
      </c>
      <c r="J4614" s="71">
        <v>14.3</v>
      </c>
      <c r="K4614" s="121">
        <v>-1.8E-3</v>
      </c>
      <c r="L4614" s="121">
        <v>-5.0000000000000001E-3</v>
      </c>
      <c r="M4614" s="75" t="s">
        <v>146</v>
      </c>
      <c r="N4614" s="75" t="b">
        <v>1</v>
      </c>
      <c r="O4614" s="75" t="s">
        <v>145</v>
      </c>
      <c r="P4614" s="75">
        <v>2014</v>
      </c>
      <c r="Q4614" s="107">
        <f t="shared" si="143"/>
        <v>2020</v>
      </c>
      <c r="R4614" s="107">
        <v>2</v>
      </c>
      <c r="S4614" s="43">
        <v>220121</v>
      </c>
      <c r="T4614" s="74">
        <v>44055</v>
      </c>
    </row>
    <row r="4615" spans="1:21" x14ac:dyDescent="0.3">
      <c r="A4615" s="42">
        <v>44101</v>
      </c>
      <c r="B4615" s="37">
        <f t="shared" si="147"/>
        <v>20200927</v>
      </c>
      <c r="C4615" s="109">
        <v>9.4999999999999998E-3</v>
      </c>
      <c r="D4615" s="109">
        <v>1.4E-2</v>
      </c>
      <c r="E4615" s="109">
        <v>1.6E-2</v>
      </c>
      <c r="F4615" s="109">
        <v>1.7000000000000001E-2</v>
      </c>
      <c r="G4615" s="130">
        <v>0</v>
      </c>
      <c r="H4615" s="71">
        <v>8.8000000000000007</v>
      </c>
      <c r="I4615" s="71">
        <v>11.6</v>
      </c>
      <c r="J4615" s="71">
        <v>14.3</v>
      </c>
      <c r="K4615" s="121">
        <v>-1.8E-3</v>
      </c>
      <c r="L4615" s="121">
        <v>-5.0000000000000001E-3</v>
      </c>
      <c r="M4615" s="75" t="s">
        <v>146</v>
      </c>
      <c r="N4615" s="75" t="b">
        <v>1</v>
      </c>
      <c r="O4615" s="75" t="s">
        <v>145</v>
      </c>
      <c r="P4615" s="75">
        <v>2014</v>
      </c>
      <c r="Q4615" s="107">
        <f t="shared" si="143"/>
        <v>2020</v>
      </c>
      <c r="R4615" s="107">
        <v>2</v>
      </c>
      <c r="S4615" s="43">
        <v>220121</v>
      </c>
      <c r="T4615" s="74">
        <v>44055</v>
      </c>
    </row>
    <row r="4616" spans="1:21" x14ac:dyDescent="0.3">
      <c r="A4616" s="42">
        <v>44102</v>
      </c>
      <c r="B4616" s="37">
        <f t="shared" si="141"/>
        <v>20200928</v>
      </c>
      <c r="C4616" s="109">
        <v>9.7999999999999997E-3</v>
      </c>
      <c r="D4616" s="109">
        <v>1.4E-2</v>
      </c>
      <c r="E4616" s="109">
        <v>1.6E-2</v>
      </c>
      <c r="F4616" s="109">
        <v>1.7000000000000001E-2</v>
      </c>
      <c r="G4616" s="130">
        <v>0</v>
      </c>
      <c r="H4616" s="71">
        <v>8.8000000000000007</v>
      </c>
      <c r="I4616" s="71">
        <v>11.6</v>
      </c>
      <c r="J4616" s="71">
        <v>14.3</v>
      </c>
      <c r="K4616" s="121">
        <v>-1.7000000000000001E-3</v>
      </c>
      <c r="L4616" s="121">
        <v>-5.0000000000000001E-3</v>
      </c>
      <c r="M4616" s="75" t="s">
        <v>146</v>
      </c>
      <c r="N4616" s="75" t="b">
        <v>1</v>
      </c>
      <c r="O4616" s="75" t="s">
        <v>145</v>
      </c>
      <c r="P4616" s="75">
        <v>2014</v>
      </c>
      <c r="Q4616" s="107">
        <f t="shared" si="143"/>
        <v>2020</v>
      </c>
      <c r="R4616" s="107">
        <v>2</v>
      </c>
      <c r="S4616" s="43">
        <v>220121</v>
      </c>
      <c r="T4616" s="74">
        <v>44055</v>
      </c>
    </row>
    <row r="4617" spans="1:21" ht="12.6" customHeight="1" x14ac:dyDescent="0.3">
      <c r="A4617" s="42">
        <v>44103</v>
      </c>
      <c r="B4617" s="37">
        <f t="shared" si="141"/>
        <v>20200929</v>
      </c>
      <c r="C4617" s="109">
        <v>9.5999999999999992E-3</v>
      </c>
      <c r="D4617" s="109">
        <v>1.4E-2</v>
      </c>
      <c r="E4617" s="109">
        <v>1.6E-2</v>
      </c>
      <c r="F4617" s="109">
        <v>1.7000000000000001E-2</v>
      </c>
      <c r="G4617" s="130">
        <v>0</v>
      </c>
      <c r="H4617" s="71">
        <v>8.8000000000000007</v>
      </c>
      <c r="I4617" s="71">
        <v>11.6</v>
      </c>
      <c r="J4617" s="71">
        <v>14.3</v>
      </c>
      <c r="K4617" s="121">
        <v>-1.9E-3</v>
      </c>
      <c r="L4617" s="121">
        <v>-5.0000000000000001E-3</v>
      </c>
      <c r="M4617" s="75" t="s">
        <v>146</v>
      </c>
      <c r="N4617" s="75" t="b">
        <v>1</v>
      </c>
      <c r="O4617" s="75" t="s">
        <v>145</v>
      </c>
      <c r="P4617" s="75">
        <v>2014</v>
      </c>
      <c r="Q4617" s="107">
        <f t="shared" si="143"/>
        <v>2020</v>
      </c>
      <c r="R4617" s="107">
        <v>2</v>
      </c>
      <c r="S4617" s="43">
        <v>220121</v>
      </c>
      <c r="T4617" s="74">
        <v>44055</v>
      </c>
    </row>
    <row r="4618" spans="1:21" s="116" customFormat="1" x14ac:dyDescent="0.3">
      <c r="A4618" s="110">
        <v>44104</v>
      </c>
      <c r="B4618" s="132">
        <f t="shared" si="141"/>
        <v>20200930</v>
      </c>
      <c r="C4618" s="111">
        <v>9.8999999999999991E-3</v>
      </c>
      <c r="D4618" s="120">
        <v>1.2999999999999999E-2</v>
      </c>
      <c r="E4618" s="120">
        <v>1.4999999999999999E-2</v>
      </c>
      <c r="F4618" s="120">
        <v>1.6E-2</v>
      </c>
      <c r="G4618" s="133">
        <v>0</v>
      </c>
      <c r="H4618" s="124">
        <v>8.9</v>
      </c>
      <c r="I4618" s="124">
        <v>11.6</v>
      </c>
      <c r="J4618" s="124">
        <v>14.3</v>
      </c>
      <c r="K4618" s="131">
        <v>-1.8E-3</v>
      </c>
      <c r="L4618" s="131">
        <v>-5.0000000000000001E-3</v>
      </c>
      <c r="M4618" s="98" t="s">
        <v>146</v>
      </c>
      <c r="N4618" s="98" t="b">
        <v>1</v>
      </c>
      <c r="O4618" s="98" t="s">
        <v>145</v>
      </c>
      <c r="P4618" s="98">
        <v>2014</v>
      </c>
      <c r="Q4618" s="105">
        <f t="shared" si="143"/>
        <v>2020</v>
      </c>
      <c r="R4618" s="105">
        <v>2</v>
      </c>
      <c r="S4618" s="127">
        <v>220152</v>
      </c>
      <c r="T4618" s="128">
        <v>44138</v>
      </c>
      <c r="U4618" s="98" t="s">
        <v>176</v>
      </c>
    </row>
    <row r="4619" spans="1:21" x14ac:dyDescent="0.3">
      <c r="A4619" s="42">
        <v>44105</v>
      </c>
      <c r="B4619" s="37">
        <f t="shared" si="141"/>
        <v>20201001</v>
      </c>
      <c r="C4619" s="109">
        <v>9.4999999999999998E-3</v>
      </c>
      <c r="D4619" s="109">
        <v>1.2999999999999999E-2</v>
      </c>
      <c r="E4619" s="109">
        <v>1.4999999999999999E-2</v>
      </c>
      <c r="F4619" s="109">
        <v>1.6E-2</v>
      </c>
      <c r="G4619" s="130">
        <v>0</v>
      </c>
      <c r="H4619" s="71">
        <v>8.9</v>
      </c>
      <c r="I4619" s="71">
        <v>11.6</v>
      </c>
      <c r="J4619" s="71">
        <v>14.3</v>
      </c>
      <c r="K4619" s="121">
        <v>-2.0999999999999999E-3</v>
      </c>
      <c r="L4619" s="121">
        <v>-5.0000000000000001E-3</v>
      </c>
      <c r="M4619" s="75" t="s">
        <v>146</v>
      </c>
      <c r="N4619" s="75" t="b">
        <v>1</v>
      </c>
      <c r="O4619" s="75" t="s">
        <v>145</v>
      </c>
      <c r="P4619" s="75">
        <v>2014</v>
      </c>
      <c r="Q4619" s="107">
        <f t="shared" si="143"/>
        <v>2020</v>
      </c>
      <c r="R4619" s="107">
        <v>2</v>
      </c>
      <c r="S4619" s="43">
        <v>220152</v>
      </c>
      <c r="T4619" s="74">
        <v>44138</v>
      </c>
    </row>
    <row r="4620" spans="1:21" x14ac:dyDescent="0.3">
      <c r="A4620" s="42">
        <v>44106</v>
      </c>
      <c r="B4620" s="37">
        <f t="shared" si="141"/>
        <v>20201002</v>
      </c>
      <c r="C4620" s="109">
        <v>9.7000000000000003E-3</v>
      </c>
      <c r="D4620" s="109">
        <v>1.2999999999999999E-2</v>
      </c>
      <c r="E4620" s="109">
        <v>1.4999999999999999E-2</v>
      </c>
      <c r="F4620" s="109">
        <v>1.6E-2</v>
      </c>
      <c r="G4620" s="130">
        <v>0</v>
      </c>
      <c r="H4620" s="71">
        <v>8.9</v>
      </c>
      <c r="I4620" s="71">
        <v>11.6</v>
      </c>
      <c r="J4620" s="71">
        <v>14.3</v>
      </c>
      <c r="K4620" s="121">
        <v>-2.0999999999999999E-3</v>
      </c>
      <c r="L4620" s="121">
        <v>-5.0000000000000001E-3</v>
      </c>
      <c r="M4620" s="75" t="s">
        <v>146</v>
      </c>
      <c r="N4620" s="75" t="b">
        <v>1</v>
      </c>
      <c r="O4620" s="75" t="s">
        <v>145</v>
      </c>
      <c r="P4620" s="75">
        <v>2014</v>
      </c>
      <c r="Q4620" s="107">
        <f t="shared" si="143"/>
        <v>2020</v>
      </c>
      <c r="R4620" s="107">
        <v>2</v>
      </c>
      <c r="S4620" s="43">
        <v>220152</v>
      </c>
      <c r="T4620" s="74">
        <v>44138</v>
      </c>
    </row>
    <row r="4621" spans="1:21" x14ac:dyDescent="0.3">
      <c r="A4621" s="42">
        <v>44107</v>
      </c>
      <c r="B4621" s="37">
        <f t="shared" ref="B4621:B4622" si="148">YEAR(A4621)*10000+MONTH(A4621)*100+DAY(A4621)</f>
        <v>20201003</v>
      </c>
      <c r="C4621" s="109">
        <v>9.7000000000000003E-3</v>
      </c>
      <c r="D4621" s="109">
        <v>1.2999999999999999E-2</v>
      </c>
      <c r="E4621" s="109">
        <v>1.4999999999999999E-2</v>
      </c>
      <c r="F4621" s="109">
        <v>1.6E-2</v>
      </c>
      <c r="G4621" s="130">
        <v>0</v>
      </c>
      <c r="H4621" s="71">
        <v>8.9</v>
      </c>
      <c r="I4621" s="71">
        <v>11.6</v>
      </c>
      <c r="J4621" s="71">
        <v>14.3</v>
      </c>
      <c r="K4621" s="121">
        <v>-2.0999999999999999E-3</v>
      </c>
      <c r="L4621" s="121">
        <v>-5.0000000000000001E-3</v>
      </c>
      <c r="M4621" s="75" t="s">
        <v>146</v>
      </c>
      <c r="N4621" s="75" t="b">
        <v>1</v>
      </c>
      <c r="O4621" s="75" t="s">
        <v>145</v>
      </c>
      <c r="P4621" s="75">
        <v>2014</v>
      </c>
      <c r="Q4621" s="107">
        <f t="shared" si="143"/>
        <v>2020</v>
      </c>
      <c r="R4621" s="107">
        <v>2</v>
      </c>
      <c r="S4621" s="43">
        <v>220152</v>
      </c>
      <c r="T4621" s="74">
        <v>44138</v>
      </c>
    </row>
    <row r="4622" spans="1:21" x14ac:dyDescent="0.3">
      <c r="A4622" s="42">
        <v>44108</v>
      </c>
      <c r="B4622" s="37">
        <f t="shared" si="148"/>
        <v>20201004</v>
      </c>
      <c r="C4622" s="109">
        <v>9.7000000000000003E-3</v>
      </c>
      <c r="D4622" s="109">
        <v>1.2999999999999999E-2</v>
      </c>
      <c r="E4622" s="109">
        <v>1.4999999999999999E-2</v>
      </c>
      <c r="F4622" s="109">
        <v>1.6E-2</v>
      </c>
      <c r="G4622" s="130">
        <v>0</v>
      </c>
      <c r="H4622" s="71">
        <v>8.9</v>
      </c>
      <c r="I4622" s="71">
        <v>11.6</v>
      </c>
      <c r="J4622" s="71">
        <v>14.3</v>
      </c>
      <c r="K4622" s="121">
        <v>-2.0999999999999999E-3</v>
      </c>
      <c r="L4622" s="121">
        <v>-5.0000000000000001E-3</v>
      </c>
      <c r="M4622" s="75" t="s">
        <v>146</v>
      </c>
      <c r="N4622" s="75" t="b">
        <v>1</v>
      </c>
      <c r="O4622" s="75" t="s">
        <v>145</v>
      </c>
      <c r="P4622" s="75">
        <v>2014</v>
      </c>
      <c r="Q4622" s="107">
        <f t="shared" si="143"/>
        <v>2020</v>
      </c>
      <c r="R4622" s="107">
        <v>2</v>
      </c>
      <c r="S4622" s="43">
        <v>220152</v>
      </c>
      <c r="T4622" s="74">
        <v>44138</v>
      </c>
    </row>
    <row r="4623" spans="1:21" x14ac:dyDescent="0.3">
      <c r="A4623" s="42">
        <v>44109</v>
      </c>
      <c r="B4623" s="37">
        <f t="shared" si="141"/>
        <v>20201005</v>
      </c>
      <c r="C4623" s="109">
        <v>1.03E-2</v>
      </c>
      <c r="D4623" s="109">
        <v>1.2999999999999999E-2</v>
      </c>
      <c r="E4623" s="109">
        <v>1.4999999999999999E-2</v>
      </c>
      <c r="F4623" s="109">
        <v>1.6E-2</v>
      </c>
      <c r="G4623" s="130">
        <v>0</v>
      </c>
      <c r="H4623" s="71">
        <v>8.9</v>
      </c>
      <c r="I4623" s="71">
        <v>11.6</v>
      </c>
      <c r="J4623" s="71">
        <v>14.3</v>
      </c>
      <c r="K4623" s="121">
        <v>-1.8E-3</v>
      </c>
      <c r="L4623" s="121">
        <v>-5.0000000000000001E-3</v>
      </c>
      <c r="M4623" s="75" t="s">
        <v>146</v>
      </c>
      <c r="N4623" s="75" t="b">
        <v>1</v>
      </c>
      <c r="O4623" s="75" t="s">
        <v>145</v>
      </c>
      <c r="P4623" s="75">
        <v>2014</v>
      </c>
      <c r="Q4623" s="107">
        <f t="shared" si="143"/>
        <v>2020</v>
      </c>
      <c r="R4623" s="107">
        <v>2</v>
      </c>
      <c r="S4623" s="43">
        <v>220152</v>
      </c>
      <c r="T4623" s="74">
        <v>44138</v>
      </c>
    </row>
    <row r="4624" spans="1:21" x14ac:dyDescent="0.3">
      <c r="A4624" s="42">
        <v>44110</v>
      </c>
      <c r="B4624" s="37">
        <f t="shared" si="141"/>
        <v>20201006</v>
      </c>
      <c r="C4624" s="109">
        <v>9.8999999999999991E-3</v>
      </c>
      <c r="D4624" s="109">
        <v>1.2999999999999999E-2</v>
      </c>
      <c r="E4624" s="109">
        <v>1.4999999999999999E-2</v>
      </c>
      <c r="F4624" s="109">
        <v>1.6E-2</v>
      </c>
      <c r="G4624" s="130">
        <v>0</v>
      </c>
      <c r="H4624" s="71">
        <v>8.9</v>
      </c>
      <c r="I4624" s="71">
        <v>11.6</v>
      </c>
      <c r="J4624" s="71">
        <v>14.3</v>
      </c>
      <c r="K4624" s="121">
        <v>-2.0999999999999999E-3</v>
      </c>
      <c r="L4624" s="121">
        <v>-5.0000000000000001E-3</v>
      </c>
      <c r="M4624" s="75" t="s">
        <v>146</v>
      </c>
      <c r="N4624" s="75" t="b">
        <v>1</v>
      </c>
      <c r="O4624" s="75" t="s">
        <v>145</v>
      </c>
      <c r="P4624" s="75">
        <v>2014</v>
      </c>
      <c r="Q4624" s="107">
        <f t="shared" si="143"/>
        <v>2020</v>
      </c>
      <c r="R4624" s="107">
        <v>2</v>
      </c>
      <c r="S4624" s="43">
        <v>220152</v>
      </c>
      <c r="T4624" s="74">
        <v>44138</v>
      </c>
    </row>
    <row r="4625" spans="1:20" x14ac:dyDescent="0.3">
      <c r="A4625" s="42">
        <v>44111</v>
      </c>
      <c r="B4625" s="37">
        <f t="shared" ref="B4625:B4714" si="149">YEAR(A4625)*10000+MONTH(A4625)*100+DAY(A4625)</f>
        <v>20201007</v>
      </c>
      <c r="C4625" s="109">
        <v>1.0500000000000001E-2</v>
      </c>
      <c r="D4625" s="109">
        <v>1.2999999999999999E-2</v>
      </c>
      <c r="E4625" s="109">
        <v>1.4999999999999999E-2</v>
      </c>
      <c r="F4625" s="109">
        <v>1.6E-2</v>
      </c>
      <c r="G4625" s="130">
        <v>0</v>
      </c>
      <c r="H4625" s="71">
        <v>8.9</v>
      </c>
      <c r="I4625" s="71">
        <v>11.6</v>
      </c>
      <c r="J4625" s="71">
        <v>14.3</v>
      </c>
      <c r="K4625" s="121">
        <v>-1.7000000000000001E-3</v>
      </c>
      <c r="L4625" s="121">
        <v>-5.0000000000000001E-3</v>
      </c>
      <c r="M4625" s="75" t="s">
        <v>146</v>
      </c>
      <c r="N4625" s="75" t="b">
        <v>1</v>
      </c>
      <c r="O4625" s="75" t="s">
        <v>145</v>
      </c>
      <c r="P4625" s="75">
        <v>2014</v>
      </c>
      <c r="Q4625" s="107">
        <f t="shared" si="143"/>
        <v>2020</v>
      </c>
      <c r="R4625" s="107">
        <v>2</v>
      </c>
      <c r="S4625" s="43">
        <v>220152</v>
      </c>
      <c r="T4625" s="74">
        <v>44138</v>
      </c>
    </row>
    <row r="4626" spans="1:20" x14ac:dyDescent="0.3">
      <c r="A4626" s="42">
        <v>44112</v>
      </c>
      <c r="B4626" s="37">
        <f t="shared" si="149"/>
        <v>20201008</v>
      </c>
      <c r="C4626" s="109">
        <v>1.0500000000000001E-2</v>
      </c>
      <c r="D4626" s="109">
        <v>1.2999999999999999E-2</v>
      </c>
      <c r="E4626" s="109">
        <v>1.4999999999999999E-2</v>
      </c>
      <c r="F4626" s="109">
        <v>1.6E-2</v>
      </c>
      <c r="G4626" s="130">
        <v>0</v>
      </c>
      <c r="H4626" s="71">
        <v>8.9</v>
      </c>
      <c r="I4626" s="71">
        <v>11.6</v>
      </c>
      <c r="J4626" s="71">
        <v>14.3</v>
      </c>
      <c r="K4626" s="121">
        <v>-1.7000000000000001E-3</v>
      </c>
      <c r="L4626" s="121">
        <v>-5.0000000000000001E-3</v>
      </c>
      <c r="M4626" s="75" t="s">
        <v>146</v>
      </c>
      <c r="N4626" s="75" t="b">
        <v>1</v>
      </c>
      <c r="O4626" s="75" t="s">
        <v>145</v>
      </c>
      <c r="P4626" s="75">
        <v>2014</v>
      </c>
      <c r="Q4626" s="107">
        <f t="shared" si="143"/>
        <v>2020</v>
      </c>
      <c r="R4626" s="107">
        <v>2</v>
      </c>
      <c r="S4626" s="43">
        <v>220152</v>
      </c>
      <c r="T4626" s="74">
        <v>44138</v>
      </c>
    </row>
    <row r="4627" spans="1:20" x14ac:dyDescent="0.3">
      <c r="A4627" s="42">
        <v>44113</v>
      </c>
      <c r="B4627" s="37">
        <f t="shared" si="149"/>
        <v>20201009</v>
      </c>
      <c r="C4627" s="109">
        <v>1.0700000000000001E-2</v>
      </c>
      <c r="D4627" s="109">
        <v>1.2999999999999999E-2</v>
      </c>
      <c r="E4627" s="109">
        <v>1.4999999999999999E-2</v>
      </c>
      <c r="F4627" s="109">
        <v>1.6E-2</v>
      </c>
      <c r="G4627" s="130">
        <v>0</v>
      </c>
      <c r="H4627" s="71">
        <v>8.9</v>
      </c>
      <c r="I4627" s="71">
        <v>11.6</v>
      </c>
      <c r="J4627" s="71">
        <v>14.3</v>
      </c>
      <c r="K4627" s="121">
        <v>-1.5E-3</v>
      </c>
      <c r="L4627" s="121">
        <v>-5.0000000000000001E-3</v>
      </c>
      <c r="M4627" s="75" t="s">
        <v>146</v>
      </c>
      <c r="N4627" s="75" t="b">
        <v>1</v>
      </c>
      <c r="O4627" s="75" t="s">
        <v>145</v>
      </c>
      <c r="P4627" s="75">
        <v>2014</v>
      </c>
      <c r="Q4627" s="107">
        <f t="shared" si="143"/>
        <v>2020</v>
      </c>
      <c r="R4627" s="107">
        <v>2</v>
      </c>
      <c r="S4627" s="43">
        <v>220152</v>
      </c>
      <c r="T4627" s="74">
        <v>44138</v>
      </c>
    </row>
    <row r="4628" spans="1:20" x14ac:dyDescent="0.3">
      <c r="A4628" s="42">
        <v>44114</v>
      </c>
      <c r="B4628" s="37">
        <f t="shared" ref="B4628:B4629" si="150">YEAR(A4628)*10000+MONTH(A4628)*100+DAY(A4628)</f>
        <v>20201010</v>
      </c>
      <c r="C4628" s="109">
        <v>1.0700000000000001E-2</v>
      </c>
      <c r="D4628" s="109">
        <v>1.2999999999999999E-2</v>
      </c>
      <c r="E4628" s="109">
        <v>1.4999999999999999E-2</v>
      </c>
      <c r="F4628" s="109">
        <v>1.6E-2</v>
      </c>
      <c r="G4628" s="130">
        <v>0</v>
      </c>
      <c r="H4628" s="71">
        <v>8.9</v>
      </c>
      <c r="I4628" s="71">
        <v>11.6</v>
      </c>
      <c r="J4628" s="71">
        <v>14.3</v>
      </c>
      <c r="K4628" s="121">
        <v>-1.5E-3</v>
      </c>
      <c r="L4628" s="121">
        <v>-5.0000000000000001E-3</v>
      </c>
      <c r="M4628" s="75" t="s">
        <v>146</v>
      </c>
      <c r="N4628" s="75" t="b">
        <v>1</v>
      </c>
      <c r="O4628" s="75" t="s">
        <v>145</v>
      </c>
      <c r="P4628" s="75">
        <v>2014</v>
      </c>
      <c r="Q4628" s="107">
        <f t="shared" si="143"/>
        <v>2020</v>
      </c>
      <c r="R4628" s="107">
        <v>2</v>
      </c>
      <c r="S4628" s="43">
        <v>220152</v>
      </c>
      <c r="T4628" s="74">
        <v>44138</v>
      </c>
    </row>
    <row r="4629" spans="1:20" x14ac:dyDescent="0.3">
      <c r="A4629" s="42">
        <v>44115</v>
      </c>
      <c r="B4629" s="37">
        <f t="shared" si="150"/>
        <v>20201011</v>
      </c>
      <c r="C4629" s="109">
        <v>1.0700000000000001E-2</v>
      </c>
      <c r="D4629" s="109">
        <v>1.2999999999999999E-2</v>
      </c>
      <c r="E4629" s="109">
        <v>1.4999999999999999E-2</v>
      </c>
      <c r="F4629" s="109">
        <v>1.6E-2</v>
      </c>
      <c r="G4629" s="130">
        <v>0</v>
      </c>
      <c r="H4629" s="71">
        <v>8.9</v>
      </c>
      <c r="I4629" s="71">
        <v>11.6</v>
      </c>
      <c r="J4629" s="71">
        <v>14.3</v>
      </c>
      <c r="K4629" s="121">
        <v>-1.5E-3</v>
      </c>
      <c r="L4629" s="121">
        <v>-5.0000000000000001E-3</v>
      </c>
      <c r="M4629" s="75" t="s">
        <v>146</v>
      </c>
      <c r="N4629" s="75" t="b">
        <v>1</v>
      </c>
      <c r="O4629" s="75" t="s">
        <v>145</v>
      </c>
      <c r="P4629" s="75">
        <v>2014</v>
      </c>
      <c r="Q4629" s="107">
        <f t="shared" si="143"/>
        <v>2020</v>
      </c>
      <c r="R4629" s="107">
        <v>2</v>
      </c>
      <c r="S4629" s="43">
        <v>220152</v>
      </c>
      <c r="T4629" s="74">
        <v>44138</v>
      </c>
    </row>
    <row r="4630" spans="1:20" x14ac:dyDescent="0.3">
      <c r="A4630" s="42">
        <v>44116</v>
      </c>
      <c r="B4630" s="37">
        <f t="shared" si="149"/>
        <v>20201012</v>
      </c>
      <c r="C4630" s="109">
        <v>1.0700000000000001E-2</v>
      </c>
      <c r="D4630" s="109">
        <v>1.2999999999999999E-2</v>
      </c>
      <c r="E4630" s="109">
        <v>1.4999999999999999E-2</v>
      </c>
      <c r="F4630" s="109">
        <v>1.6E-2</v>
      </c>
      <c r="G4630" s="130">
        <v>0</v>
      </c>
      <c r="H4630" s="71">
        <v>8.9</v>
      </c>
      <c r="I4630" s="71">
        <v>11.6</v>
      </c>
      <c r="J4630" s="71">
        <v>14.3</v>
      </c>
      <c r="K4630" s="121">
        <v>-1.5E-3</v>
      </c>
      <c r="L4630" s="121">
        <v>-5.0000000000000001E-3</v>
      </c>
      <c r="M4630" s="75" t="s">
        <v>146</v>
      </c>
      <c r="N4630" s="75" t="b">
        <v>1</v>
      </c>
      <c r="O4630" s="75" t="s">
        <v>145</v>
      </c>
      <c r="P4630" s="75">
        <v>2014</v>
      </c>
      <c r="Q4630" s="107">
        <f t="shared" si="143"/>
        <v>2020</v>
      </c>
      <c r="R4630" s="107">
        <v>2</v>
      </c>
      <c r="S4630" s="43">
        <v>220152</v>
      </c>
      <c r="T4630" s="74">
        <v>44138</v>
      </c>
    </row>
    <row r="4631" spans="1:20" x14ac:dyDescent="0.3">
      <c r="A4631" s="42">
        <v>44117</v>
      </c>
      <c r="B4631" s="37">
        <f t="shared" si="149"/>
        <v>20201013</v>
      </c>
      <c r="C4631" s="109">
        <v>1.03E-2</v>
      </c>
      <c r="D4631" s="109">
        <v>1.2999999999999999E-2</v>
      </c>
      <c r="E4631" s="109">
        <v>1.4999999999999999E-2</v>
      </c>
      <c r="F4631" s="109">
        <v>1.6E-2</v>
      </c>
      <c r="G4631" s="130">
        <v>0</v>
      </c>
      <c r="H4631" s="71">
        <v>8.9</v>
      </c>
      <c r="I4631" s="71">
        <v>11.6</v>
      </c>
      <c r="J4631" s="71">
        <v>14.3</v>
      </c>
      <c r="K4631" s="121">
        <v>-1.9E-3</v>
      </c>
      <c r="L4631" s="121">
        <v>-5.0000000000000001E-3</v>
      </c>
      <c r="M4631" s="75" t="s">
        <v>146</v>
      </c>
      <c r="N4631" s="75" t="b">
        <v>1</v>
      </c>
      <c r="O4631" s="75" t="s">
        <v>145</v>
      </c>
      <c r="P4631" s="75">
        <v>2014</v>
      </c>
      <c r="Q4631" s="107">
        <f t="shared" si="143"/>
        <v>2020</v>
      </c>
      <c r="R4631" s="107">
        <v>2</v>
      </c>
      <c r="S4631" s="43">
        <v>220152</v>
      </c>
      <c r="T4631" s="74">
        <v>44138</v>
      </c>
    </row>
    <row r="4632" spans="1:20" x14ac:dyDescent="0.3">
      <c r="A4632" s="42">
        <v>44118</v>
      </c>
      <c r="B4632" s="37">
        <f t="shared" si="149"/>
        <v>20201014</v>
      </c>
      <c r="C4632" s="109">
        <v>1.0200000000000001E-2</v>
      </c>
      <c r="D4632" s="109">
        <v>1.2999999999999999E-2</v>
      </c>
      <c r="E4632" s="109">
        <v>1.4999999999999999E-2</v>
      </c>
      <c r="F4632" s="109">
        <v>1.6E-2</v>
      </c>
      <c r="G4632" s="130">
        <v>0</v>
      </c>
      <c r="H4632" s="71">
        <v>8.9</v>
      </c>
      <c r="I4632" s="71">
        <v>11.6</v>
      </c>
      <c r="J4632" s="71">
        <v>14.3</v>
      </c>
      <c r="K4632" s="121">
        <v>-2E-3</v>
      </c>
      <c r="L4632" s="121">
        <v>-5.0000000000000001E-3</v>
      </c>
      <c r="M4632" s="75" t="s">
        <v>146</v>
      </c>
      <c r="N4632" s="75" t="b">
        <v>1</v>
      </c>
      <c r="O4632" s="75" t="s">
        <v>145</v>
      </c>
      <c r="P4632" s="75">
        <v>2014</v>
      </c>
      <c r="Q4632" s="107">
        <f t="shared" si="143"/>
        <v>2020</v>
      </c>
      <c r="R4632" s="107">
        <v>2</v>
      </c>
      <c r="S4632" s="43">
        <v>220152</v>
      </c>
      <c r="T4632" s="74">
        <v>44138</v>
      </c>
    </row>
    <row r="4633" spans="1:20" x14ac:dyDescent="0.3">
      <c r="A4633" s="42">
        <v>44119</v>
      </c>
      <c r="B4633" s="37">
        <f t="shared" si="149"/>
        <v>20201015</v>
      </c>
      <c r="C4633" s="109">
        <v>0.01</v>
      </c>
      <c r="D4633" s="109">
        <v>1.2999999999999999E-2</v>
      </c>
      <c r="E4633" s="109">
        <v>1.4999999999999999E-2</v>
      </c>
      <c r="F4633" s="109">
        <v>1.6E-2</v>
      </c>
      <c r="G4633" s="130">
        <v>0</v>
      </c>
      <c r="H4633" s="71">
        <v>8.9</v>
      </c>
      <c r="I4633" s="71">
        <v>11.6</v>
      </c>
      <c r="J4633" s="71">
        <v>14.3</v>
      </c>
      <c r="K4633" s="121">
        <v>-2.0999999999999999E-3</v>
      </c>
      <c r="L4633" s="121">
        <v>-5.0000000000000001E-3</v>
      </c>
      <c r="M4633" s="75" t="s">
        <v>146</v>
      </c>
      <c r="N4633" s="75" t="b">
        <v>1</v>
      </c>
      <c r="O4633" s="75" t="s">
        <v>145</v>
      </c>
      <c r="P4633" s="75">
        <v>2014</v>
      </c>
      <c r="Q4633" s="107">
        <f t="shared" si="143"/>
        <v>2020</v>
      </c>
      <c r="R4633" s="107">
        <v>2</v>
      </c>
      <c r="S4633" s="43">
        <v>220152</v>
      </c>
      <c r="T4633" s="74">
        <v>44138</v>
      </c>
    </row>
    <row r="4634" spans="1:20" x14ac:dyDescent="0.3">
      <c r="A4634" s="42">
        <v>44120</v>
      </c>
      <c r="B4634" s="37">
        <f t="shared" si="149"/>
        <v>20201016</v>
      </c>
      <c r="C4634" s="109">
        <v>0.01</v>
      </c>
      <c r="D4634" s="109">
        <v>1.2999999999999999E-2</v>
      </c>
      <c r="E4634" s="109">
        <v>1.4999999999999999E-2</v>
      </c>
      <c r="F4634" s="109">
        <v>1.6E-2</v>
      </c>
      <c r="G4634" s="130">
        <v>0</v>
      </c>
      <c r="H4634" s="71">
        <v>8.9</v>
      </c>
      <c r="I4634" s="71">
        <v>11.6</v>
      </c>
      <c r="J4634" s="71">
        <v>14.3</v>
      </c>
      <c r="K4634" s="121">
        <v>-2E-3</v>
      </c>
      <c r="L4634" s="121">
        <v>-5.0000000000000001E-3</v>
      </c>
      <c r="M4634" s="75" t="s">
        <v>146</v>
      </c>
      <c r="N4634" s="75" t="b">
        <v>1</v>
      </c>
      <c r="O4634" s="75" t="s">
        <v>145</v>
      </c>
      <c r="P4634" s="75">
        <v>2014</v>
      </c>
      <c r="Q4634" s="107">
        <f t="shared" si="143"/>
        <v>2020</v>
      </c>
      <c r="R4634" s="107">
        <v>2</v>
      </c>
      <c r="S4634" s="43">
        <v>220152</v>
      </c>
      <c r="T4634" s="74">
        <v>44138</v>
      </c>
    </row>
    <row r="4635" spans="1:20" x14ac:dyDescent="0.3">
      <c r="A4635" s="42">
        <v>44121</v>
      </c>
      <c r="B4635" s="37">
        <f t="shared" ref="B4635:B4636" si="151">YEAR(A4635)*10000+MONTH(A4635)*100+DAY(A4635)</f>
        <v>20201017</v>
      </c>
      <c r="C4635" s="109">
        <v>0.01</v>
      </c>
      <c r="D4635" s="109">
        <v>1.2999999999999999E-2</v>
      </c>
      <c r="E4635" s="109">
        <v>1.4999999999999999E-2</v>
      </c>
      <c r="F4635" s="109">
        <v>1.6E-2</v>
      </c>
      <c r="G4635" s="130">
        <v>0</v>
      </c>
      <c r="H4635" s="71">
        <v>8.9</v>
      </c>
      <c r="I4635" s="71">
        <v>11.6</v>
      </c>
      <c r="J4635" s="71">
        <v>14.3</v>
      </c>
      <c r="K4635" s="121">
        <v>-2E-3</v>
      </c>
      <c r="L4635" s="121">
        <v>-5.0000000000000001E-3</v>
      </c>
      <c r="M4635" s="75" t="s">
        <v>146</v>
      </c>
      <c r="N4635" s="75" t="b">
        <v>1</v>
      </c>
      <c r="O4635" s="75" t="s">
        <v>145</v>
      </c>
      <c r="P4635" s="75">
        <v>2014</v>
      </c>
      <c r="Q4635" s="107">
        <f t="shared" si="143"/>
        <v>2020</v>
      </c>
      <c r="R4635" s="107">
        <v>2</v>
      </c>
      <c r="S4635" s="43">
        <v>220152</v>
      </c>
      <c r="T4635" s="74">
        <v>44138</v>
      </c>
    </row>
    <row r="4636" spans="1:20" x14ac:dyDescent="0.3">
      <c r="A4636" s="42">
        <v>44122</v>
      </c>
      <c r="B4636" s="37">
        <f t="shared" si="151"/>
        <v>20201018</v>
      </c>
      <c r="C4636" s="109">
        <v>0.01</v>
      </c>
      <c r="D4636" s="109">
        <v>1.2999999999999999E-2</v>
      </c>
      <c r="E4636" s="109">
        <v>1.4999999999999999E-2</v>
      </c>
      <c r="F4636" s="109">
        <v>1.6E-2</v>
      </c>
      <c r="G4636" s="130">
        <v>0</v>
      </c>
      <c r="H4636" s="71">
        <v>8.9</v>
      </c>
      <c r="I4636" s="71">
        <v>11.6</v>
      </c>
      <c r="J4636" s="71">
        <v>14.3</v>
      </c>
      <c r="K4636" s="121">
        <v>-2E-3</v>
      </c>
      <c r="L4636" s="121">
        <v>-5.0000000000000001E-3</v>
      </c>
      <c r="M4636" s="75" t="s">
        <v>146</v>
      </c>
      <c r="N4636" s="75" t="b">
        <v>1</v>
      </c>
      <c r="O4636" s="75" t="s">
        <v>145</v>
      </c>
      <c r="P4636" s="75">
        <v>2014</v>
      </c>
      <c r="Q4636" s="107">
        <f t="shared" si="143"/>
        <v>2020</v>
      </c>
      <c r="R4636" s="107">
        <v>2</v>
      </c>
      <c r="S4636" s="43">
        <v>220152</v>
      </c>
      <c r="T4636" s="74">
        <v>44138</v>
      </c>
    </row>
    <row r="4637" spans="1:20" x14ac:dyDescent="0.3">
      <c r="A4637" s="42">
        <v>44123</v>
      </c>
      <c r="B4637" s="37">
        <f t="shared" si="149"/>
        <v>20201019</v>
      </c>
      <c r="C4637" s="109">
        <v>1.0200000000000001E-2</v>
      </c>
      <c r="D4637" s="109">
        <v>1.2999999999999999E-2</v>
      </c>
      <c r="E4637" s="109">
        <v>1.4999999999999999E-2</v>
      </c>
      <c r="F4637" s="109">
        <v>1.6E-2</v>
      </c>
      <c r="G4637" s="130">
        <v>0</v>
      </c>
      <c r="H4637" s="71">
        <v>8.9</v>
      </c>
      <c r="I4637" s="71">
        <v>11.6</v>
      </c>
      <c r="J4637" s="71">
        <v>14.3</v>
      </c>
      <c r="K4637" s="121">
        <v>-1.9E-3</v>
      </c>
      <c r="L4637" s="121">
        <v>-5.0000000000000001E-3</v>
      </c>
      <c r="M4637" s="75" t="s">
        <v>146</v>
      </c>
      <c r="N4637" s="75" t="b">
        <v>1</v>
      </c>
      <c r="O4637" s="75" t="s">
        <v>145</v>
      </c>
      <c r="P4637" s="75">
        <v>2014</v>
      </c>
      <c r="Q4637" s="107">
        <f t="shared" si="143"/>
        <v>2020</v>
      </c>
      <c r="R4637" s="107">
        <v>2</v>
      </c>
      <c r="S4637" s="43">
        <v>220152</v>
      </c>
      <c r="T4637" s="74">
        <v>44138</v>
      </c>
    </row>
    <row r="4638" spans="1:20" x14ac:dyDescent="0.3">
      <c r="A4638" s="42">
        <v>44124</v>
      </c>
      <c r="B4638" s="37">
        <f t="shared" si="149"/>
        <v>20201020</v>
      </c>
      <c r="C4638" s="109">
        <v>1.06E-2</v>
      </c>
      <c r="D4638" s="109">
        <v>1.2999999999999999E-2</v>
      </c>
      <c r="E4638" s="109">
        <v>1.4999999999999999E-2</v>
      </c>
      <c r="F4638" s="109">
        <v>1.6E-2</v>
      </c>
      <c r="G4638" s="130">
        <v>0</v>
      </c>
      <c r="H4638" s="71">
        <v>8.9</v>
      </c>
      <c r="I4638" s="71">
        <v>11.6</v>
      </c>
      <c r="J4638" s="71">
        <v>14.3</v>
      </c>
      <c r="K4638" s="121">
        <v>-1.2999999999999999E-3</v>
      </c>
      <c r="L4638" s="121">
        <v>-5.0000000000000001E-3</v>
      </c>
      <c r="M4638" s="75" t="s">
        <v>146</v>
      </c>
      <c r="N4638" s="75" t="b">
        <v>1</v>
      </c>
      <c r="O4638" s="75" t="s">
        <v>145</v>
      </c>
      <c r="P4638" s="75">
        <v>2014</v>
      </c>
      <c r="Q4638" s="107">
        <f t="shared" si="143"/>
        <v>2020</v>
      </c>
      <c r="R4638" s="107">
        <v>2</v>
      </c>
      <c r="S4638" s="43">
        <v>220152</v>
      </c>
      <c r="T4638" s="74">
        <v>44138</v>
      </c>
    </row>
    <row r="4639" spans="1:20" x14ac:dyDescent="0.3">
      <c r="A4639" s="42">
        <v>44125</v>
      </c>
      <c r="B4639" s="37">
        <f t="shared" si="149"/>
        <v>20201021</v>
      </c>
      <c r="C4639" s="109">
        <v>1.04E-2</v>
      </c>
      <c r="D4639" s="109">
        <v>1.2999999999999999E-2</v>
      </c>
      <c r="E4639" s="109">
        <v>1.4999999999999999E-2</v>
      </c>
      <c r="F4639" s="109">
        <v>1.6E-2</v>
      </c>
      <c r="G4639" s="130">
        <v>0</v>
      </c>
      <c r="H4639" s="71">
        <v>8.9</v>
      </c>
      <c r="I4639" s="71">
        <v>11.6</v>
      </c>
      <c r="J4639" s="71">
        <v>14.3</v>
      </c>
      <c r="K4639" s="121">
        <v>-1.9E-3</v>
      </c>
      <c r="L4639" s="121">
        <v>-5.0000000000000001E-3</v>
      </c>
      <c r="M4639" s="75" t="s">
        <v>146</v>
      </c>
      <c r="N4639" s="75" t="b">
        <v>1</v>
      </c>
      <c r="O4639" s="75" t="s">
        <v>145</v>
      </c>
      <c r="P4639" s="75">
        <v>2014</v>
      </c>
      <c r="Q4639" s="107">
        <f t="shared" si="143"/>
        <v>2020</v>
      </c>
      <c r="R4639" s="107">
        <v>2</v>
      </c>
      <c r="S4639" s="43">
        <v>220152</v>
      </c>
      <c r="T4639" s="74">
        <v>44138</v>
      </c>
    </row>
    <row r="4640" spans="1:20" x14ac:dyDescent="0.3">
      <c r="A4640" s="42">
        <v>44126</v>
      </c>
      <c r="B4640" s="37">
        <f t="shared" si="149"/>
        <v>20201022</v>
      </c>
      <c r="C4640" s="109">
        <v>1.0800000000000001E-2</v>
      </c>
      <c r="D4640" s="109">
        <v>1.2999999999999999E-2</v>
      </c>
      <c r="E4640" s="109">
        <v>1.4999999999999999E-2</v>
      </c>
      <c r="F4640" s="109">
        <v>1.6E-2</v>
      </c>
      <c r="G4640" s="130">
        <v>0</v>
      </c>
      <c r="H4640" s="71">
        <v>8.9</v>
      </c>
      <c r="I4640" s="71">
        <v>11.6</v>
      </c>
      <c r="J4640" s="71">
        <v>14.3</v>
      </c>
      <c r="K4640" s="121">
        <v>-1.7000000000000001E-3</v>
      </c>
      <c r="L4640" s="121">
        <v>-5.0000000000000001E-3</v>
      </c>
      <c r="M4640" s="75" t="s">
        <v>146</v>
      </c>
      <c r="N4640" s="75" t="b">
        <v>1</v>
      </c>
      <c r="O4640" s="75" t="s">
        <v>145</v>
      </c>
      <c r="P4640" s="75">
        <v>2014</v>
      </c>
      <c r="Q4640" s="107">
        <f t="shared" si="143"/>
        <v>2020</v>
      </c>
      <c r="R4640" s="107">
        <v>2</v>
      </c>
      <c r="S4640" s="43">
        <v>220152</v>
      </c>
      <c r="T4640" s="74">
        <v>44138</v>
      </c>
    </row>
    <row r="4641" spans="1:20" x14ac:dyDescent="0.3">
      <c r="A4641" s="42">
        <v>44127</v>
      </c>
      <c r="B4641" s="37">
        <f t="shared" si="149"/>
        <v>20201023</v>
      </c>
      <c r="C4641" s="109">
        <v>1.0700000000000001E-2</v>
      </c>
      <c r="D4641" s="109">
        <v>1.2999999999999999E-2</v>
      </c>
      <c r="E4641" s="109">
        <v>1.4999999999999999E-2</v>
      </c>
      <c r="F4641" s="109">
        <v>1.6E-2</v>
      </c>
      <c r="G4641" s="130">
        <v>0</v>
      </c>
      <c r="H4641" s="71">
        <v>8.9</v>
      </c>
      <c r="I4641" s="71">
        <v>11.6</v>
      </c>
      <c r="J4641" s="71">
        <v>14.3</v>
      </c>
      <c r="K4641" s="121">
        <v>-2E-3</v>
      </c>
      <c r="L4641" s="121">
        <v>-5.0000000000000001E-3</v>
      </c>
      <c r="M4641" s="75" t="s">
        <v>146</v>
      </c>
      <c r="N4641" s="75" t="b">
        <v>1</v>
      </c>
      <c r="O4641" s="75" t="s">
        <v>145</v>
      </c>
      <c r="P4641" s="75">
        <v>2014</v>
      </c>
      <c r="Q4641" s="107">
        <f t="shared" si="143"/>
        <v>2020</v>
      </c>
      <c r="R4641" s="107">
        <v>2</v>
      </c>
      <c r="S4641" s="43">
        <v>220152</v>
      </c>
      <c r="T4641" s="74">
        <v>44138</v>
      </c>
    </row>
    <row r="4642" spans="1:20" x14ac:dyDescent="0.3">
      <c r="A4642" s="42">
        <v>44128</v>
      </c>
      <c r="B4642" s="37">
        <f t="shared" ref="B4642:B4643" si="152">YEAR(A4642)*10000+MONTH(A4642)*100+DAY(A4642)</f>
        <v>20201024</v>
      </c>
      <c r="C4642" s="109">
        <v>1.0700000000000001E-2</v>
      </c>
      <c r="D4642" s="109">
        <v>1.2999999999999999E-2</v>
      </c>
      <c r="E4642" s="109">
        <v>1.4999999999999999E-2</v>
      </c>
      <c r="F4642" s="109">
        <v>1.6E-2</v>
      </c>
      <c r="G4642" s="130">
        <v>0</v>
      </c>
      <c r="H4642" s="71">
        <v>8.9</v>
      </c>
      <c r="I4642" s="71">
        <v>11.6</v>
      </c>
      <c r="J4642" s="71">
        <v>14.3</v>
      </c>
      <c r="K4642" s="121">
        <v>-2E-3</v>
      </c>
      <c r="L4642" s="121">
        <v>-5.0000000000000001E-3</v>
      </c>
      <c r="M4642" s="75" t="s">
        <v>146</v>
      </c>
      <c r="N4642" s="75" t="b">
        <v>1</v>
      </c>
      <c r="O4642" s="75" t="s">
        <v>145</v>
      </c>
      <c r="P4642" s="75">
        <v>2014</v>
      </c>
      <c r="Q4642" s="107">
        <f t="shared" si="143"/>
        <v>2020</v>
      </c>
      <c r="R4642" s="107">
        <v>2</v>
      </c>
      <c r="S4642" s="43">
        <v>220152</v>
      </c>
      <c r="T4642" s="74">
        <v>44138</v>
      </c>
    </row>
    <row r="4643" spans="1:20" x14ac:dyDescent="0.3">
      <c r="A4643" s="42">
        <v>44129</v>
      </c>
      <c r="B4643" s="37">
        <f t="shared" si="152"/>
        <v>20201025</v>
      </c>
      <c r="C4643" s="109">
        <v>1.0700000000000001E-2</v>
      </c>
      <c r="D4643" s="109">
        <v>1.2999999999999999E-2</v>
      </c>
      <c r="E4643" s="109">
        <v>1.4999999999999999E-2</v>
      </c>
      <c r="F4643" s="109">
        <v>1.6E-2</v>
      </c>
      <c r="G4643" s="130">
        <v>0</v>
      </c>
      <c r="H4643" s="71">
        <v>8.9</v>
      </c>
      <c r="I4643" s="71">
        <v>11.6</v>
      </c>
      <c r="J4643" s="71">
        <v>14.3</v>
      </c>
      <c r="K4643" s="121">
        <v>-2E-3</v>
      </c>
      <c r="L4643" s="121">
        <v>-5.0000000000000001E-3</v>
      </c>
      <c r="M4643" s="75" t="s">
        <v>146</v>
      </c>
      <c r="N4643" s="75" t="b">
        <v>1</v>
      </c>
      <c r="O4643" s="75" t="s">
        <v>145</v>
      </c>
      <c r="P4643" s="75">
        <v>2014</v>
      </c>
      <c r="Q4643" s="107">
        <f t="shared" si="143"/>
        <v>2020</v>
      </c>
      <c r="R4643" s="107">
        <v>2</v>
      </c>
      <c r="S4643" s="43">
        <v>220152</v>
      </c>
      <c r="T4643" s="74">
        <v>44138</v>
      </c>
    </row>
    <row r="4644" spans="1:20" x14ac:dyDescent="0.3">
      <c r="A4644" s="42">
        <v>44130</v>
      </c>
      <c r="B4644" s="37">
        <f t="shared" si="149"/>
        <v>20201026</v>
      </c>
      <c r="C4644" s="109">
        <v>1.04E-2</v>
      </c>
      <c r="D4644" s="109">
        <v>1.2999999999999999E-2</v>
      </c>
      <c r="E4644" s="109">
        <v>1.4999999999999999E-2</v>
      </c>
      <c r="F4644" s="109">
        <v>1.6E-2</v>
      </c>
      <c r="G4644" s="130">
        <v>0</v>
      </c>
      <c r="H4644" s="71">
        <v>8.9</v>
      </c>
      <c r="I4644" s="71">
        <v>11.6</v>
      </c>
      <c r="J4644" s="71">
        <v>14.3</v>
      </c>
      <c r="K4644" s="121">
        <v>-2.2000000000000001E-3</v>
      </c>
      <c r="L4644" s="121">
        <v>-5.0000000000000001E-3</v>
      </c>
      <c r="M4644" s="75" t="s">
        <v>146</v>
      </c>
      <c r="N4644" s="75" t="b">
        <v>1</v>
      </c>
      <c r="O4644" s="75" t="s">
        <v>145</v>
      </c>
      <c r="P4644" s="75">
        <v>2014</v>
      </c>
      <c r="Q4644" s="107">
        <f t="shared" si="143"/>
        <v>2020</v>
      </c>
      <c r="R4644" s="107">
        <v>2</v>
      </c>
      <c r="S4644" s="43">
        <v>220152</v>
      </c>
      <c r="T4644" s="74">
        <v>44138</v>
      </c>
    </row>
    <row r="4645" spans="1:20" x14ac:dyDescent="0.3">
      <c r="A4645" s="42">
        <v>44131</v>
      </c>
      <c r="B4645" s="37">
        <f t="shared" si="149"/>
        <v>20201027</v>
      </c>
      <c r="C4645" s="109">
        <v>1.0200000000000001E-2</v>
      </c>
      <c r="D4645" s="109">
        <v>1.2999999999999999E-2</v>
      </c>
      <c r="E4645" s="109">
        <v>1.4999999999999999E-2</v>
      </c>
      <c r="F4645" s="109">
        <v>1.6E-2</v>
      </c>
      <c r="G4645" s="130">
        <v>0</v>
      </c>
      <c r="H4645" s="71">
        <v>8.9</v>
      </c>
      <c r="I4645" s="71">
        <v>11.6</v>
      </c>
      <c r="J4645" s="71">
        <v>14.3</v>
      </c>
      <c r="K4645" s="121">
        <v>-2.3999999999999998E-3</v>
      </c>
      <c r="L4645" s="121">
        <v>-5.0000000000000001E-3</v>
      </c>
      <c r="M4645" s="75" t="s">
        <v>146</v>
      </c>
      <c r="N4645" s="75" t="b">
        <v>1</v>
      </c>
      <c r="O4645" s="75" t="s">
        <v>145</v>
      </c>
      <c r="P4645" s="75">
        <v>2014</v>
      </c>
      <c r="Q4645" s="107">
        <f t="shared" si="143"/>
        <v>2020</v>
      </c>
      <c r="R4645" s="107">
        <v>2</v>
      </c>
      <c r="S4645" s="43">
        <v>220152</v>
      </c>
      <c r="T4645" s="74">
        <v>44138</v>
      </c>
    </row>
    <row r="4646" spans="1:20" x14ac:dyDescent="0.3">
      <c r="A4646" s="42">
        <v>44132</v>
      </c>
      <c r="B4646" s="37">
        <f t="shared" si="149"/>
        <v>20201028</v>
      </c>
      <c r="C4646" s="109">
        <v>1.01E-2</v>
      </c>
      <c r="D4646" s="109">
        <v>1.2999999999999999E-2</v>
      </c>
      <c r="E4646" s="109">
        <v>1.4999999999999999E-2</v>
      </c>
      <c r="F4646" s="109">
        <v>1.6E-2</v>
      </c>
      <c r="G4646" s="130">
        <v>0</v>
      </c>
      <c r="H4646" s="71">
        <v>8.9</v>
      </c>
      <c r="I4646" s="71">
        <v>11.6</v>
      </c>
      <c r="J4646" s="71">
        <v>14.3</v>
      </c>
      <c r="K4646" s="121">
        <v>-2.3999999999999998E-3</v>
      </c>
      <c r="L4646" s="121">
        <v>-5.0000000000000001E-3</v>
      </c>
      <c r="M4646" s="75" t="s">
        <v>146</v>
      </c>
      <c r="N4646" s="75" t="b">
        <v>1</v>
      </c>
      <c r="O4646" s="75" t="s">
        <v>145</v>
      </c>
      <c r="P4646" s="75">
        <v>2014</v>
      </c>
      <c r="Q4646" s="107">
        <f t="shared" si="143"/>
        <v>2020</v>
      </c>
      <c r="R4646" s="107">
        <v>2</v>
      </c>
      <c r="S4646" s="43">
        <v>220152</v>
      </c>
      <c r="T4646" s="74">
        <v>44138</v>
      </c>
    </row>
    <row r="4647" spans="1:20" x14ac:dyDescent="0.3">
      <c r="A4647" s="42">
        <v>44133</v>
      </c>
      <c r="B4647" s="37">
        <f t="shared" si="149"/>
        <v>20201029</v>
      </c>
      <c r="C4647" s="109">
        <v>1.0500000000000001E-2</v>
      </c>
      <c r="D4647" s="109">
        <v>1.2999999999999999E-2</v>
      </c>
      <c r="E4647" s="109">
        <v>1.4999999999999999E-2</v>
      </c>
      <c r="F4647" s="109">
        <v>1.6E-2</v>
      </c>
      <c r="G4647" s="130">
        <v>0</v>
      </c>
      <c r="H4647" s="71">
        <v>8.9</v>
      </c>
      <c r="I4647" s="71">
        <v>11.6</v>
      </c>
      <c r="J4647" s="71">
        <v>14.3</v>
      </c>
      <c r="K4647" s="121">
        <v>-2E-3</v>
      </c>
      <c r="L4647" s="121">
        <v>-5.0000000000000001E-3</v>
      </c>
      <c r="M4647" s="75" t="s">
        <v>146</v>
      </c>
      <c r="N4647" s="75" t="b">
        <v>1</v>
      </c>
      <c r="O4647" s="75" t="s">
        <v>145</v>
      </c>
      <c r="P4647" s="75">
        <v>2014</v>
      </c>
      <c r="Q4647" s="107">
        <f t="shared" si="143"/>
        <v>2020</v>
      </c>
      <c r="R4647" s="107">
        <v>2</v>
      </c>
      <c r="S4647" s="43">
        <v>220152</v>
      </c>
      <c r="T4647" s="74">
        <v>44138</v>
      </c>
    </row>
    <row r="4648" spans="1:20" x14ac:dyDescent="0.3">
      <c r="A4648" s="42">
        <v>44134</v>
      </c>
      <c r="B4648" s="37">
        <f t="shared" si="149"/>
        <v>20201030</v>
      </c>
      <c r="C4648" s="109">
        <v>1.0800000000000001E-2</v>
      </c>
      <c r="D4648" s="109">
        <v>1.2999999999999999E-2</v>
      </c>
      <c r="E4648" s="109">
        <v>1.4999999999999999E-2</v>
      </c>
      <c r="F4648" s="109">
        <v>1.6E-2</v>
      </c>
      <c r="G4648" s="130">
        <v>0</v>
      </c>
      <c r="H4648" s="71">
        <v>8.9</v>
      </c>
      <c r="I4648" s="71">
        <v>11.6</v>
      </c>
      <c r="J4648" s="71">
        <v>14.3</v>
      </c>
      <c r="K4648" s="121">
        <v>-1.4000000000000002E-3</v>
      </c>
      <c r="L4648" s="121">
        <v>-5.0000000000000001E-3</v>
      </c>
      <c r="M4648" s="75" t="s">
        <v>146</v>
      </c>
      <c r="N4648" s="75" t="b">
        <v>1</v>
      </c>
      <c r="O4648" s="75" t="s">
        <v>145</v>
      </c>
      <c r="P4648" s="75">
        <v>2014</v>
      </c>
      <c r="Q4648" s="107">
        <f t="shared" si="143"/>
        <v>2020</v>
      </c>
      <c r="R4648" s="107">
        <v>2</v>
      </c>
      <c r="S4648" s="43">
        <v>220152</v>
      </c>
      <c r="T4648" s="74">
        <v>44138</v>
      </c>
    </row>
    <row r="4649" spans="1:20" x14ac:dyDescent="0.3">
      <c r="A4649" s="42">
        <v>44135</v>
      </c>
      <c r="B4649" s="37">
        <f t="shared" ref="B4649:B4650" si="153">YEAR(A4649)*10000+MONTH(A4649)*100+DAY(A4649)</f>
        <v>20201031</v>
      </c>
      <c r="C4649" s="109">
        <v>1.0800000000000001E-2</v>
      </c>
      <c r="D4649" s="109">
        <v>1.2999999999999999E-2</v>
      </c>
      <c r="E4649" s="109">
        <v>1.4999999999999999E-2</v>
      </c>
      <c r="F4649" s="109">
        <v>1.6E-2</v>
      </c>
      <c r="G4649" s="130">
        <v>0</v>
      </c>
      <c r="H4649" s="71">
        <v>8.9</v>
      </c>
      <c r="I4649" s="71">
        <v>11.6</v>
      </c>
      <c r="J4649" s="71">
        <v>14.3</v>
      </c>
      <c r="K4649" s="121">
        <v>-1.4000000000000002E-3</v>
      </c>
      <c r="L4649" s="121">
        <v>-5.0000000000000001E-3</v>
      </c>
      <c r="M4649" s="75" t="s">
        <v>146</v>
      </c>
      <c r="N4649" s="75" t="b">
        <v>1</v>
      </c>
      <c r="O4649" s="75" t="s">
        <v>145</v>
      </c>
      <c r="P4649" s="75">
        <v>2014</v>
      </c>
      <c r="Q4649" s="107">
        <f t="shared" si="143"/>
        <v>2020</v>
      </c>
      <c r="R4649" s="107">
        <v>2</v>
      </c>
      <c r="S4649" s="43">
        <v>220152</v>
      </c>
      <c r="T4649" s="74">
        <v>44138</v>
      </c>
    </row>
    <row r="4650" spans="1:20" x14ac:dyDescent="0.3">
      <c r="A4650" s="42">
        <v>44136</v>
      </c>
      <c r="B4650" s="37">
        <f t="shared" si="153"/>
        <v>20201101</v>
      </c>
      <c r="C4650" s="109">
        <v>1.0800000000000001E-2</v>
      </c>
      <c r="D4650" s="109">
        <v>1.2999999999999999E-2</v>
      </c>
      <c r="E4650" s="109">
        <v>1.4999999999999999E-2</v>
      </c>
      <c r="F4650" s="109">
        <v>1.6E-2</v>
      </c>
      <c r="G4650" s="130">
        <v>0</v>
      </c>
      <c r="H4650" s="71">
        <v>8.9</v>
      </c>
      <c r="I4650" s="71">
        <v>11.6</v>
      </c>
      <c r="J4650" s="71">
        <v>14.3</v>
      </c>
      <c r="K4650" s="121">
        <v>-1.4000000000000002E-3</v>
      </c>
      <c r="L4650" s="121">
        <v>-5.0000000000000001E-3</v>
      </c>
      <c r="M4650" s="75" t="s">
        <v>146</v>
      </c>
      <c r="N4650" s="75" t="b">
        <v>1</v>
      </c>
      <c r="O4650" s="75" t="s">
        <v>145</v>
      </c>
      <c r="P4650" s="75">
        <v>2014</v>
      </c>
      <c r="Q4650" s="107">
        <f t="shared" si="143"/>
        <v>2020</v>
      </c>
      <c r="R4650" s="107">
        <v>2</v>
      </c>
      <c r="S4650" s="43">
        <v>220152</v>
      </c>
      <c r="T4650" s="74">
        <v>44138</v>
      </c>
    </row>
    <row r="4651" spans="1:20" x14ac:dyDescent="0.3">
      <c r="A4651" s="42">
        <v>44137</v>
      </c>
      <c r="B4651" s="37">
        <f t="shared" si="149"/>
        <v>20201102</v>
      </c>
      <c r="C4651" s="109">
        <v>1.06E-2</v>
      </c>
      <c r="D4651" s="109">
        <v>1.2999999999999999E-2</v>
      </c>
      <c r="E4651" s="109">
        <v>1.4999999999999999E-2</v>
      </c>
      <c r="F4651" s="109">
        <v>1.6E-2</v>
      </c>
      <c r="G4651" s="130">
        <v>0</v>
      </c>
      <c r="H4651" s="71">
        <v>8.9</v>
      </c>
      <c r="I4651" s="71">
        <v>11.6</v>
      </c>
      <c r="J4651" s="71">
        <v>14.3</v>
      </c>
      <c r="K4651" s="121">
        <v>-1.7000000000000001E-3</v>
      </c>
      <c r="L4651" s="121">
        <v>-5.0000000000000001E-3</v>
      </c>
      <c r="M4651" s="75" t="s">
        <v>146</v>
      </c>
      <c r="N4651" s="75" t="b">
        <v>1</v>
      </c>
      <c r="O4651" s="75" t="s">
        <v>145</v>
      </c>
      <c r="P4651" s="75">
        <v>2014</v>
      </c>
      <c r="Q4651" s="107">
        <f t="shared" si="143"/>
        <v>2020</v>
      </c>
      <c r="R4651" s="107">
        <v>2</v>
      </c>
      <c r="S4651" s="43">
        <v>220152</v>
      </c>
      <c r="T4651" s="74">
        <v>44138</v>
      </c>
    </row>
    <row r="4652" spans="1:20" x14ac:dyDescent="0.3">
      <c r="A4652" s="42">
        <v>44138</v>
      </c>
      <c r="B4652" s="37">
        <f t="shared" si="149"/>
        <v>20201103</v>
      </c>
      <c r="C4652" s="109">
        <v>1.1000000000000001E-2</v>
      </c>
      <c r="D4652" s="109">
        <v>1.2999999999999999E-2</v>
      </c>
      <c r="E4652" s="109">
        <v>1.4999999999999999E-2</v>
      </c>
      <c r="F4652" s="109">
        <v>1.6E-2</v>
      </c>
      <c r="G4652" s="130">
        <v>0</v>
      </c>
      <c r="H4652" s="71">
        <v>8.9</v>
      </c>
      <c r="I4652" s="71">
        <v>11.6</v>
      </c>
      <c r="J4652" s="71">
        <v>14.3</v>
      </c>
      <c r="K4652" s="121">
        <v>-1.2999999999999999E-3</v>
      </c>
      <c r="L4652" s="121">
        <v>-5.0000000000000001E-3</v>
      </c>
      <c r="M4652" s="75" t="s">
        <v>146</v>
      </c>
      <c r="N4652" s="75" t="b">
        <v>1</v>
      </c>
      <c r="O4652" s="75" t="s">
        <v>145</v>
      </c>
      <c r="P4652" s="75">
        <v>2014</v>
      </c>
      <c r="Q4652" s="107">
        <f t="shared" si="143"/>
        <v>2020</v>
      </c>
      <c r="R4652" s="107">
        <v>2</v>
      </c>
      <c r="S4652" s="43">
        <v>220152</v>
      </c>
      <c r="T4652" s="74">
        <v>44138</v>
      </c>
    </row>
    <row r="4653" spans="1:20" x14ac:dyDescent="0.3">
      <c r="A4653" s="42">
        <v>44139</v>
      </c>
      <c r="B4653" s="37">
        <f t="shared" si="149"/>
        <v>20201104</v>
      </c>
      <c r="C4653" s="109">
        <v>1.03E-2</v>
      </c>
      <c r="D4653" s="109">
        <v>1.2999999999999999E-2</v>
      </c>
      <c r="E4653" s="109">
        <v>1.4999999999999999E-2</v>
      </c>
      <c r="F4653" s="109">
        <v>1.6E-2</v>
      </c>
      <c r="G4653" s="130">
        <v>0</v>
      </c>
      <c r="H4653" s="71">
        <v>8.9</v>
      </c>
      <c r="I4653" s="71">
        <v>11.6</v>
      </c>
      <c r="J4653" s="71">
        <v>14.3</v>
      </c>
      <c r="K4653" s="121">
        <v>-1.8E-3</v>
      </c>
      <c r="L4653" s="121">
        <v>-5.0000000000000001E-3</v>
      </c>
      <c r="M4653" s="75" t="s">
        <v>146</v>
      </c>
      <c r="N4653" s="75" t="b">
        <v>1</v>
      </c>
      <c r="O4653" s="75" t="s">
        <v>145</v>
      </c>
      <c r="P4653" s="75">
        <v>2014</v>
      </c>
      <c r="Q4653" s="107">
        <f t="shared" si="143"/>
        <v>2020</v>
      </c>
      <c r="R4653" s="107">
        <v>2</v>
      </c>
      <c r="S4653" s="43">
        <v>220152</v>
      </c>
      <c r="T4653" s="74">
        <v>44138</v>
      </c>
    </row>
    <row r="4654" spans="1:20" x14ac:dyDescent="0.3">
      <c r="A4654" s="42">
        <v>44140</v>
      </c>
      <c r="B4654" s="37">
        <f t="shared" si="149"/>
        <v>20201105</v>
      </c>
      <c r="C4654" s="109">
        <v>1.03E-2</v>
      </c>
      <c r="D4654" s="109">
        <v>1.2999999999999999E-2</v>
      </c>
      <c r="E4654" s="109">
        <v>1.4999999999999999E-2</v>
      </c>
      <c r="F4654" s="109">
        <v>1.6E-2</v>
      </c>
      <c r="G4654" s="130">
        <v>0</v>
      </c>
      <c r="H4654" s="71">
        <v>8.9</v>
      </c>
      <c r="I4654" s="71">
        <v>11.6</v>
      </c>
      <c r="J4654" s="71">
        <v>14.3</v>
      </c>
      <c r="K4654" s="121">
        <v>-1.9E-3</v>
      </c>
      <c r="L4654" s="121">
        <v>-5.0000000000000001E-3</v>
      </c>
      <c r="M4654" s="75" t="s">
        <v>146</v>
      </c>
      <c r="N4654" s="75" t="b">
        <v>1</v>
      </c>
      <c r="O4654" s="75" t="s">
        <v>145</v>
      </c>
      <c r="P4654" s="75">
        <v>2014</v>
      </c>
      <c r="Q4654" s="107">
        <f t="shared" ref="Q4654:Q4717" si="154">YEAR(A4654)</f>
        <v>2020</v>
      </c>
      <c r="R4654" s="107">
        <v>2</v>
      </c>
      <c r="S4654" s="43">
        <v>220152</v>
      </c>
      <c r="T4654" s="74">
        <v>44138</v>
      </c>
    </row>
    <row r="4655" spans="1:20" x14ac:dyDescent="0.3">
      <c r="A4655" s="42">
        <v>44141</v>
      </c>
      <c r="B4655" s="37">
        <f t="shared" si="149"/>
        <v>20201106</v>
      </c>
      <c r="C4655" s="109">
        <v>1.06E-2</v>
      </c>
      <c r="D4655" s="109">
        <v>1.2999999999999999E-2</v>
      </c>
      <c r="E4655" s="109">
        <v>1.4999999999999999E-2</v>
      </c>
      <c r="F4655" s="109">
        <v>1.6E-2</v>
      </c>
      <c r="G4655" s="130">
        <v>0</v>
      </c>
      <c r="H4655" s="71">
        <v>8.9</v>
      </c>
      <c r="I4655" s="71">
        <v>11.6</v>
      </c>
      <c r="J4655" s="71">
        <v>14.3</v>
      </c>
      <c r="K4655" s="121">
        <v>-1.9E-3</v>
      </c>
      <c r="L4655" s="121">
        <v>-5.0000000000000001E-3</v>
      </c>
      <c r="M4655" s="75" t="s">
        <v>146</v>
      </c>
      <c r="N4655" s="75" t="b">
        <v>1</v>
      </c>
      <c r="O4655" s="75" t="s">
        <v>145</v>
      </c>
      <c r="P4655" s="75">
        <v>2014</v>
      </c>
      <c r="Q4655" s="107">
        <f t="shared" si="154"/>
        <v>2020</v>
      </c>
      <c r="R4655" s="107">
        <v>2</v>
      </c>
      <c r="S4655" s="43">
        <v>220152</v>
      </c>
      <c r="T4655" s="74">
        <v>44138</v>
      </c>
    </row>
    <row r="4656" spans="1:20" x14ac:dyDescent="0.3">
      <c r="A4656" s="42">
        <v>44142</v>
      </c>
      <c r="B4656" s="37">
        <f t="shared" ref="B4656:B4657" si="155">YEAR(A4656)*10000+MONTH(A4656)*100+DAY(A4656)</f>
        <v>20201107</v>
      </c>
      <c r="C4656" s="109">
        <v>1.06E-2</v>
      </c>
      <c r="D4656" s="109">
        <v>1.2999999999999999E-2</v>
      </c>
      <c r="E4656" s="109">
        <v>1.4999999999999999E-2</v>
      </c>
      <c r="F4656" s="109">
        <v>1.6E-2</v>
      </c>
      <c r="G4656" s="130">
        <v>0</v>
      </c>
      <c r="H4656" s="71">
        <v>8.9</v>
      </c>
      <c r="I4656" s="71">
        <v>11.6</v>
      </c>
      <c r="J4656" s="71">
        <v>14.3</v>
      </c>
      <c r="K4656" s="121">
        <v>-1.9E-3</v>
      </c>
      <c r="L4656" s="121">
        <v>-5.0000000000000001E-3</v>
      </c>
      <c r="M4656" s="75" t="s">
        <v>146</v>
      </c>
      <c r="N4656" s="75" t="b">
        <v>1</v>
      </c>
      <c r="O4656" s="75" t="s">
        <v>145</v>
      </c>
      <c r="P4656" s="75">
        <v>2014</v>
      </c>
      <c r="Q4656" s="107">
        <f t="shared" si="154"/>
        <v>2020</v>
      </c>
      <c r="R4656" s="107">
        <v>2</v>
      </c>
      <c r="S4656" s="43">
        <v>220152</v>
      </c>
      <c r="T4656" s="74">
        <v>44138</v>
      </c>
    </row>
    <row r="4657" spans="1:20" x14ac:dyDescent="0.3">
      <c r="A4657" s="42">
        <v>44143</v>
      </c>
      <c r="B4657" s="37">
        <f t="shared" si="155"/>
        <v>20201108</v>
      </c>
      <c r="C4657" s="109">
        <v>1.06E-2</v>
      </c>
      <c r="D4657" s="109">
        <v>1.2999999999999999E-2</v>
      </c>
      <c r="E4657" s="109">
        <v>1.4999999999999999E-2</v>
      </c>
      <c r="F4657" s="109">
        <v>1.6E-2</v>
      </c>
      <c r="G4657" s="130">
        <v>0</v>
      </c>
      <c r="H4657" s="71">
        <v>8.9</v>
      </c>
      <c r="I4657" s="71">
        <v>11.6</v>
      </c>
      <c r="J4657" s="71">
        <v>14.3</v>
      </c>
      <c r="K4657" s="121">
        <v>-1.9E-3</v>
      </c>
      <c r="L4657" s="121">
        <v>-5.0000000000000001E-3</v>
      </c>
      <c r="M4657" s="75" t="s">
        <v>146</v>
      </c>
      <c r="N4657" s="75" t="b">
        <v>1</v>
      </c>
      <c r="O4657" s="75" t="s">
        <v>145</v>
      </c>
      <c r="P4657" s="75">
        <v>2014</v>
      </c>
      <c r="Q4657" s="107">
        <f t="shared" si="154"/>
        <v>2020</v>
      </c>
      <c r="R4657" s="107">
        <v>2</v>
      </c>
      <c r="S4657" s="43">
        <v>220152</v>
      </c>
      <c r="T4657" s="74">
        <v>44138</v>
      </c>
    </row>
    <row r="4658" spans="1:20" x14ac:dyDescent="0.3">
      <c r="A4658" s="42">
        <v>44144</v>
      </c>
      <c r="B4658" s="37">
        <f t="shared" si="149"/>
        <v>20201109</v>
      </c>
      <c r="C4658" s="109">
        <v>1.1599999999999999E-2</v>
      </c>
      <c r="D4658" s="109">
        <v>1.2999999999999999E-2</v>
      </c>
      <c r="E4658" s="109">
        <v>1.4999999999999999E-2</v>
      </c>
      <c r="F4658" s="109">
        <v>1.6E-2</v>
      </c>
      <c r="G4658" s="130">
        <v>0</v>
      </c>
      <c r="H4658" s="71">
        <v>8.9</v>
      </c>
      <c r="I4658" s="71">
        <v>11.6</v>
      </c>
      <c r="J4658" s="71">
        <v>14.3</v>
      </c>
      <c r="K4658" s="121">
        <v>-1.5E-3</v>
      </c>
      <c r="L4658" s="121">
        <v>-5.0000000000000001E-3</v>
      </c>
      <c r="M4658" s="75" t="s">
        <v>146</v>
      </c>
      <c r="N4658" s="75" t="b">
        <v>1</v>
      </c>
      <c r="O4658" s="75" t="s">
        <v>145</v>
      </c>
      <c r="P4658" s="75">
        <v>2014</v>
      </c>
      <c r="Q4658" s="107">
        <f t="shared" si="154"/>
        <v>2020</v>
      </c>
      <c r="R4658" s="107">
        <v>2</v>
      </c>
      <c r="S4658" s="43">
        <v>220152</v>
      </c>
      <c r="T4658" s="74">
        <v>44138</v>
      </c>
    </row>
    <row r="4659" spans="1:20" x14ac:dyDescent="0.3">
      <c r="A4659" s="42">
        <v>44145</v>
      </c>
      <c r="B4659" s="37">
        <f t="shared" si="149"/>
        <v>20201110</v>
      </c>
      <c r="C4659" s="109">
        <v>1.1699999999999999E-2</v>
      </c>
      <c r="D4659" s="109">
        <v>1.2999999999999999E-2</v>
      </c>
      <c r="E4659" s="109">
        <v>1.4999999999999999E-2</v>
      </c>
      <c r="F4659" s="109">
        <v>1.6E-2</v>
      </c>
      <c r="G4659" s="130">
        <v>0</v>
      </c>
      <c r="H4659" s="71">
        <v>8.9</v>
      </c>
      <c r="I4659" s="71">
        <v>11.6</v>
      </c>
      <c r="J4659" s="71">
        <v>14.3</v>
      </c>
      <c r="K4659" s="121">
        <v>-1.8E-3</v>
      </c>
      <c r="L4659" s="121">
        <v>-5.0000000000000001E-3</v>
      </c>
      <c r="M4659" s="75" t="s">
        <v>146</v>
      </c>
      <c r="N4659" s="75" t="b">
        <v>1</v>
      </c>
      <c r="O4659" s="75" t="s">
        <v>145</v>
      </c>
      <c r="P4659" s="75">
        <v>2014</v>
      </c>
      <c r="Q4659" s="107">
        <f t="shared" si="154"/>
        <v>2020</v>
      </c>
      <c r="R4659" s="107">
        <v>2</v>
      </c>
      <c r="S4659" s="43">
        <v>220152</v>
      </c>
      <c r="T4659" s="74">
        <v>44138</v>
      </c>
    </row>
    <row r="4660" spans="1:20" x14ac:dyDescent="0.3">
      <c r="A4660" s="42">
        <v>44146</v>
      </c>
      <c r="B4660" s="37">
        <f t="shared" si="149"/>
        <v>20201111</v>
      </c>
      <c r="C4660" s="109">
        <v>1.1699999999999999E-2</v>
      </c>
      <c r="D4660" s="109">
        <v>1.2999999999999999E-2</v>
      </c>
      <c r="E4660" s="109">
        <v>1.4999999999999999E-2</v>
      </c>
      <c r="F4660" s="109">
        <v>1.6E-2</v>
      </c>
      <c r="G4660" s="130">
        <v>0</v>
      </c>
      <c r="H4660" s="71">
        <v>8.9</v>
      </c>
      <c r="I4660" s="71">
        <v>11.6</v>
      </c>
      <c r="J4660" s="71">
        <v>14.3</v>
      </c>
      <c r="K4660" s="121">
        <v>-1.8E-3</v>
      </c>
      <c r="L4660" s="121">
        <v>-5.0000000000000001E-3</v>
      </c>
      <c r="M4660" s="75" t="s">
        <v>146</v>
      </c>
      <c r="N4660" s="75" t="b">
        <v>1</v>
      </c>
      <c r="O4660" s="75" t="s">
        <v>145</v>
      </c>
      <c r="P4660" s="75">
        <v>2014</v>
      </c>
      <c r="Q4660" s="107">
        <f t="shared" si="154"/>
        <v>2020</v>
      </c>
      <c r="R4660" s="107">
        <v>2</v>
      </c>
      <c r="S4660" s="43">
        <v>220152</v>
      </c>
      <c r="T4660" s="74">
        <v>44138</v>
      </c>
    </row>
    <row r="4661" spans="1:20" x14ac:dyDescent="0.3">
      <c r="A4661" s="42">
        <v>44147</v>
      </c>
      <c r="B4661" s="37">
        <f t="shared" si="149"/>
        <v>20201112</v>
      </c>
      <c r="C4661" s="109">
        <v>1.11E-2</v>
      </c>
      <c r="D4661" s="109">
        <v>1.2999999999999999E-2</v>
      </c>
      <c r="E4661" s="109">
        <v>1.4999999999999999E-2</v>
      </c>
      <c r="F4661" s="109">
        <v>1.6E-2</v>
      </c>
      <c r="G4661" s="130">
        <v>0</v>
      </c>
      <c r="H4661" s="71">
        <v>8.9</v>
      </c>
      <c r="I4661" s="71">
        <v>11.6</v>
      </c>
      <c r="J4661" s="71">
        <v>14.3</v>
      </c>
      <c r="K4661" s="121">
        <v>-2.3E-3</v>
      </c>
      <c r="L4661" s="121">
        <v>-5.0000000000000001E-3</v>
      </c>
      <c r="M4661" s="75" t="s">
        <v>146</v>
      </c>
      <c r="N4661" s="75" t="b">
        <v>1</v>
      </c>
      <c r="O4661" s="75" t="s">
        <v>145</v>
      </c>
      <c r="P4661" s="75">
        <v>2014</v>
      </c>
      <c r="Q4661" s="107">
        <f t="shared" si="154"/>
        <v>2020</v>
      </c>
      <c r="R4661" s="107">
        <v>2</v>
      </c>
      <c r="S4661" s="43">
        <v>220152</v>
      </c>
      <c r="T4661" s="74">
        <v>44138</v>
      </c>
    </row>
    <row r="4662" spans="1:20" x14ac:dyDescent="0.3">
      <c r="A4662" s="42">
        <v>44148</v>
      </c>
      <c r="B4662" s="37">
        <f t="shared" si="149"/>
        <v>20201113</v>
      </c>
      <c r="C4662" s="109">
        <v>1.1200000000000002E-2</v>
      </c>
      <c r="D4662" s="109">
        <v>1.2999999999999999E-2</v>
      </c>
      <c r="E4662" s="109">
        <v>1.4999999999999999E-2</v>
      </c>
      <c r="F4662" s="109">
        <v>1.6E-2</v>
      </c>
      <c r="G4662" s="130">
        <v>0</v>
      </c>
      <c r="H4662" s="71">
        <v>8.9</v>
      </c>
      <c r="I4662" s="71">
        <v>11.6</v>
      </c>
      <c r="J4662" s="71">
        <v>14.3</v>
      </c>
      <c r="K4662" s="121">
        <v>-2.2000000000000001E-3</v>
      </c>
      <c r="L4662" s="121">
        <v>-5.0000000000000001E-3</v>
      </c>
      <c r="M4662" s="75" t="s">
        <v>146</v>
      </c>
      <c r="N4662" s="75" t="b">
        <v>1</v>
      </c>
      <c r="O4662" s="75" t="s">
        <v>145</v>
      </c>
      <c r="P4662" s="75">
        <v>2014</v>
      </c>
      <c r="Q4662" s="107">
        <f t="shared" si="154"/>
        <v>2020</v>
      </c>
      <c r="R4662" s="107">
        <v>2</v>
      </c>
      <c r="S4662" s="43">
        <v>220152</v>
      </c>
      <c r="T4662" s="74">
        <v>44138</v>
      </c>
    </row>
    <row r="4663" spans="1:20" x14ac:dyDescent="0.3">
      <c r="A4663" s="42">
        <v>44149</v>
      </c>
      <c r="B4663" s="37">
        <f t="shared" ref="B4663:B4665" si="156">YEAR(A4663)*10000+MONTH(A4663)*100+DAY(A4663)</f>
        <v>20201114</v>
      </c>
      <c r="C4663" s="109">
        <v>1.1200000000000002E-2</v>
      </c>
      <c r="D4663" s="109">
        <v>1.2999999999999999E-2</v>
      </c>
      <c r="E4663" s="109">
        <v>1.4999999999999999E-2</v>
      </c>
      <c r="F4663" s="109">
        <v>1.6E-2</v>
      </c>
      <c r="G4663" s="130">
        <v>0</v>
      </c>
      <c r="H4663" s="71">
        <v>8.9</v>
      </c>
      <c r="I4663" s="71">
        <v>11.6</v>
      </c>
      <c r="J4663" s="71">
        <v>14.3</v>
      </c>
      <c r="K4663" s="121">
        <v>-2.2000000000000001E-3</v>
      </c>
      <c r="L4663" s="121">
        <v>-5.0000000000000001E-3</v>
      </c>
      <c r="M4663" s="75" t="s">
        <v>146</v>
      </c>
      <c r="N4663" s="75" t="b">
        <v>1</v>
      </c>
      <c r="O4663" s="75" t="s">
        <v>145</v>
      </c>
      <c r="P4663" s="75">
        <v>2014</v>
      </c>
      <c r="Q4663" s="107">
        <f t="shared" si="154"/>
        <v>2020</v>
      </c>
      <c r="R4663" s="107">
        <v>2</v>
      </c>
      <c r="S4663" s="43">
        <v>220152</v>
      </c>
      <c r="T4663" s="74">
        <v>44138</v>
      </c>
    </row>
    <row r="4664" spans="1:20" x14ac:dyDescent="0.3">
      <c r="A4664" s="42">
        <v>44150</v>
      </c>
      <c r="B4664" s="37">
        <f t="shared" si="156"/>
        <v>20201115</v>
      </c>
      <c r="C4664" s="109">
        <v>1.1200000000000002E-2</v>
      </c>
      <c r="D4664" s="109">
        <v>1.2999999999999999E-2</v>
      </c>
      <c r="E4664" s="109">
        <v>1.4999999999999999E-2</v>
      </c>
      <c r="F4664" s="109">
        <v>1.6E-2</v>
      </c>
      <c r="G4664" s="130">
        <v>0</v>
      </c>
      <c r="H4664" s="71">
        <v>8.9</v>
      </c>
      <c r="I4664" s="71">
        <v>11.6</v>
      </c>
      <c r="J4664" s="71">
        <v>14.3</v>
      </c>
      <c r="K4664" s="121">
        <v>-2.2000000000000001E-3</v>
      </c>
      <c r="L4664" s="121">
        <v>-5.0000000000000001E-3</v>
      </c>
      <c r="M4664" s="75" t="s">
        <v>146</v>
      </c>
      <c r="N4664" s="75" t="b">
        <v>1</v>
      </c>
      <c r="O4664" s="75" t="s">
        <v>145</v>
      </c>
      <c r="P4664" s="75">
        <v>2014</v>
      </c>
      <c r="Q4664" s="107">
        <f t="shared" si="154"/>
        <v>2020</v>
      </c>
      <c r="R4664" s="107">
        <v>2</v>
      </c>
      <c r="S4664" s="43">
        <v>220152</v>
      </c>
      <c r="T4664" s="74">
        <v>44138</v>
      </c>
    </row>
    <row r="4665" spans="1:20" x14ac:dyDescent="0.3">
      <c r="A4665" s="42">
        <v>44151</v>
      </c>
      <c r="B4665" s="37">
        <f t="shared" si="156"/>
        <v>20201116</v>
      </c>
      <c r="C4665" s="109">
        <v>1.1200000000000002E-2</v>
      </c>
      <c r="D4665" s="109">
        <v>1.2999999999999999E-2</v>
      </c>
      <c r="E4665" s="109">
        <v>1.4999999999999999E-2</v>
      </c>
      <c r="F4665" s="109">
        <v>1.6E-2</v>
      </c>
      <c r="G4665" s="130">
        <v>0</v>
      </c>
      <c r="H4665" s="71">
        <v>8.9</v>
      </c>
      <c r="I4665" s="71">
        <v>11.6</v>
      </c>
      <c r="J4665" s="71">
        <v>14.3</v>
      </c>
      <c r="K4665" s="121">
        <v>-2.0999999999999999E-3</v>
      </c>
      <c r="L4665" s="121">
        <v>-5.0000000000000001E-3</v>
      </c>
      <c r="M4665" s="75" t="s">
        <v>146</v>
      </c>
      <c r="N4665" s="75" t="b">
        <v>1</v>
      </c>
      <c r="O4665" s="75" t="s">
        <v>145</v>
      </c>
      <c r="P4665" s="75">
        <v>2014</v>
      </c>
      <c r="Q4665" s="107">
        <f t="shared" si="154"/>
        <v>2020</v>
      </c>
      <c r="R4665" s="107">
        <v>2</v>
      </c>
      <c r="S4665" s="43">
        <v>220152</v>
      </c>
      <c r="T4665" s="74">
        <v>44138</v>
      </c>
    </row>
    <row r="4666" spans="1:20" x14ac:dyDescent="0.3">
      <c r="A4666" s="42">
        <v>44152</v>
      </c>
      <c r="B4666" s="37">
        <f t="shared" si="149"/>
        <v>20201117</v>
      </c>
      <c r="C4666" s="109">
        <v>1.0800000000000001E-2</v>
      </c>
      <c r="D4666" s="109">
        <v>1.2999999999999999E-2</v>
      </c>
      <c r="E4666" s="109">
        <v>1.4999999999999999E-2</v>
      </c>
      <c r="F4666" s="109">
        <v>1.6E-2</v>
      </c>
      <c r="G4666" s="130">
        <v>0</v>
      </c>
      <c r="H4666" s="71">
        <v>8.9</v>
      </c>
      <c r="I4666" s="71">
        <v>11.6</v>
      </c>
      <c r="J4666" s="71">
        <v>14.3</v>
      </c>
      <c r="K4666" s="121">
        <v>-2.3999999999999998E-3</v>
      </c>
      <c r="L4666" s="121">
        <v>-5.0000000000000001E-3</v>
      </c>
      <c r="M4666" s="75" t="s">
        <v>146</v>
      </c>
      <c r="N4666" s="75" t="b">
        <v>1</v>
      </c>
      <c r="O4666" s="75" t="s">
        <v>145</v>
      </c>
      <c r="P4666" s="75">
        <v>2014</v>
      </c>
      <c r="Q4666" s="107">
        <f t="shared" si="154"/>
        <v>2020</v>
      </c>
      <c r="R4666" s="107">
        <v>2</v>
      </c>
      <c r="S4666" s="43">
        <v>220152</v>
      </c>
      <c r="T4666" s="74">
        <v>44138</v>
      </c>
    </row>
    <row r="4667" spans="1:20" x14ac:dyDescent="0.3">
      <c r="A4667" s="42">
        <v>44153</v>
      </c>
      <c r="B4667" s="37">
        <f t="shared" si="149"/>
        <v>20201118</v>
      </c>
      <c r="C4667" s="109">
        <v>1.0800000000000001E-2</v>
      </c>
      <c r="D4667" s="109">
        <v>1.2999999999999999E-2</v>
      </c>
      <c r="E4667" s="109">
        <v>1.4999999999999999E-2</v>
      </c>
      <c r="F4667" s="109">
        <v>1.6E-2</v>
      </c>
      <c r="G4667" s="130">
        <v>0</v>
      </c>
      <c r="H4667" s="71">
        <v>8.9</v>
      </c>
      <c r="I4667" s="71">
        <v>11.6</v>
      </c>
      <c r="J4667" s="71">
        <v>14.3</v>
      </c>
      <c r="K4667" s="121">
        <v>-2.3999999999999998E-3</v>
      </c>
      <c r="L4667" s="121">
        <v>-5.0000000000000001E-3</v>
      </c>
      <c r="M4667" s="75" t="s">
        <v>146</v>
      </c>
      <c r="N4667" s="75" t="b">
        <v>1</v>
      </c>
      <c r="O4667" s="75" t="s">
        <v>145</v>
      </c>
      <c r="P4667" s="75">
        <v>2014</v>
      </c>
      <c r="Q4667" s="107">
        <f t="shared" si="154"/>
        <v>2020</v>
      </c>
      <c r="R4667" s="107">
        <v>2</v>
      </c>
      <c r="S4667" s="43">
        <v>220152</v>
      </c>
      <c r="T4667" s="74">
        <v>44138</v>
      </c>
    </row>
    <row r="4668" spans="1:20" x14ac:dyDescent="0.3">
      <c r="A4668" s="42">
        <v>44154</v>
      </c>
      <c r="B4668" s="37">
        <f t="shared" si="149"/>
        <v>20201119</v>
      </c>
      <c r="C4668" s="109">
        <v>1.0500000000000001E-2</v>
      </c>
      <c r="D4668" s="109">
        <v>1.2999999999999999E-2</v>
      </c>
      <c r="E4668" s="109">
        <v>1.4999999999999999E-2</v>
      </c>
      <c r="F4668" s="109">
        <v>1.6E-2</v>
      </c>
      <c r="G4668" s="130">
        <v>0</v>
      </c>
      <c r="H4668" s="71">
        <v>8.9</v>
      </c>
      <c r="I4668" s="71">
        <v>11.6</v>
      </c>
      <c r="J4668" s="71">
        <v>14.3</v>
      </c>
      <c r="K4668" s="121">
        <v>-2.5999999999999999E-3</v>
      </c>
      <c r="L4668" s="121">
        <v>-5.0000000000000001E-3</v>
      </c>
      <c r="M4668" s="75" t="s">
        <v>146</v>
      </c>
      <c r="N4668" s="75" t="b">
        <v>1</v>
      </c>
      <c r="O4668" s="75" t="s">
        <v>145</v>
      </c>
      <c r="P4668" s="75">
        <v>2014</v>
      </c>
      <c r="Q4668" s="107">
        <f t="shared" si="154"/>
        <v>2020</v>
      </c>
      <c r="R4668" s="107">
        <v>2</v>
      </c>
      <c r="S4668" s="43">
        <v>220152</v>
      </c>
      <c r="T4668" s="74">
        <v>44138</v>
      </c>
    </row>
    <row r="4669" spans="1:20" ht="13.2" customHeight="1" x14ac:dyDescent="0.3">
      <c r="A4669" s="42">
        <v>44155</v>
      </c>
      <c r="B4669" s="37">
        <f t="shared" si="149"/>
        <v>20201120</v>
      </c>
      <c r="C4669" s="109">
        <v>1.01E-2</v>
      </c>
      <c r="D4669" s="109">
        <v>1.2999999999999999E-2</v>
      </c>
      <c r="E4669" s="109">
        <v>1.4999999999999999E-2</v>
      </c>
      <c r="F4669" s="109">
        <v>1.6E-2</v>
      </c>
      <c r="G4669" s="130">
        <v>0</v>
      </c>
      <c r="H4669" s="71">
        <v>8.9</v>
      </c>
      <c r="I4669" s="71">
        <v>11.6</v>
      </c>
      <c r="J4669" s="71">
        <v>14.3</v>
      </c>
      <c r="K4669" s="121">
        <v>-3.0000000000000001E-3</v>
      </c>
      <c r="L4669" s="121">
        <v>-5.0000000000000001E-3</v>
      </c>
      <c r="M4669" s="75" t="s">
        <v>146</v>
      </c>
      <c r="N4669" s="75" t="b">
        <v>1</v>
      </c>
      <c r="O4669" s="75" t="s">
        <v>145</v>
      </c>
      <c r="P4669" s="75">
        <v>2014</v>
      </c>
      <c r="Q4669" s="107">
        <f t="shared" si="154"/>
        <v>2020</v>
      </c>
      <c r="R4669" s="107">
        <v>2</v>
      </c>
      <c r="S4669" s="43">
        <v>220152</v>
      </c>
      <c r="T4669" s="74">
        <v>44138</v>
      </c>
    </row>
    <row r="4670" spans="1:20" ht="13.2" customHeight="1" x14ac:dyDescent="0.3">
      <c r="A4670" s="42">
        <v>44156</v>
      </c>
      <c r="B4670" s="37">
        <f t="shared" ref="B4670:B4671" si="157">YEAR(A4670)*10000+MONTH(A4670)*100+DAY(A4670)</f>
        <v>20201121</v>
      </c>
      <c r="C4670" s="109">
        <v>1.01E-2</v>
      </c>
      <c r="D4670" s="109">
        <v>1.2999999999999999E-2</v>
      </c>
      <c r="E4670" s="109">
        <v>1.4999999999999999E-2</v>
      </c>
      <c r="F4670" s="109">
        <v>1.6E-2</v>
      </c>
      <c r="G4670" s="130">
        <v>0</v>
      </c>
      <c r="H4670" s="71">
        <v>8.9</v>
      </c>
      <c r="I4670" s="71">
        <v>11.6</v>
      </c>
      <c r="J4670" s="71">
        <v>14.3</v>
      </c>
      <c r="K4670" s="121">
        <v>-3.0000000000000001E-3</v>
      </c>
      <c r="L4670" s="121">
        <v>-5.0000000000000001E-3</v>
      </c>
      <c r="M4670" s="75" t="s">
        <v>146</v>
      </c>
      <c r="N4670" s="75" t="b">
        <v>1</v>
      </c>
      <c r="O4670" s="75" t="s">
        <v>145</v>
      </c>
      <c r="P4670" s="75">
        <v>2014</v>
      </c>
      <c r="Q4670" s="107">
        <f t="shared" si="154"/>
        <v>2020</v>
      </c>
      <c r="R4670" s="107">
        <v>2</v>
      </c>
      <c r="S4670" s="43">
        <v>220152</v>
      </c>
      <c r="T4670" s="74">
        <v>44138</v>
      </c>
    </row>
    <row r="4671" spans="1:20" ht="13.2" customHeight="1" x14ac:dyDescent="0.3">
      <c r="A4671" s="42">
        <v>44157</v>
      </c>
      <c r="B4671" s="37">
        <f t="shared" si="157"/>
        <v>20201122</v>
      </c>
      <c r="C4671" s="109">
        <v>1.01E-2</v>
      </c>
      <c r="D4671" s="109">
        <v>1.2999999999999999E-2</v>
      </c>
      <c r="E4671" s="109">
        <v>1.4999999999999999E-2</v>
      </c>
      <c r="F4671" s="109">
        <v>1.6E-2</v>
      </c>
      <c r="G4671" s="130">
        <v>0</v>
      </c>
      <c r="H4671" s="71">
        <v>8.9</v>
      </c>
      <c r="I4671" s="71">
        <v>11.6</v>
      </c>
      <c r="J4671" s="71">
        <v>14.3</v>
      </c>
      <c r="K4671" s="121">
        <v>-3.0000000000000001E-3</v>
      </c>
      <c r="L4671" s="121">
        <v>-5.0000000000000001E-3</v>
      </c>
      <c r="M4671" s="75" t="s">
        <v>146</v>
      </c>
      <c r="N4671" s="75" t="b">
        <v>1</v>
      </c>
      <c r="O4671" s="75" t="s">
        <v>145</v>
      </c>
      <c r="P4671" s="75">
        <v>2014</v>
      </c>
      <c r="Q4671" s="107">
        <f t="shared" si="154"/>
        <v>2020</v>
      </c>
      <c r="R4671" s="107">
        <v>2</v>
      </c>
      <c r="S4671" s="43">
        <v>220152</v>
      </c>
      <c r="T4671" s="74">
        <v>44138</v>
      </c>
    </row>
    <row r="4672" spans="1:20" x14ac:dyDescent="0.3">
      <c r="A4672" s="42">
        <v>44158</v>
      </c>
      <c r="B4672" s="37">
        <f t="shared" si="149"/>
        <v>20201123</v>
      </c>
      <c r="C4672" s="109">
        <v>1.04E-2</v>
      </c>
      <c r="D4672" s="109">
        <v>1.2999999999999999E-2</v>
      </c>
      <c r="E4672" s="109">
        <v>1.4999999999999999E-2</v>
      </c>
      <c r="F4672" s="109">
        <v>1.6E-2</v>
      </c>
      <c r="G4672" s="130">
        <v>0</v>
      </c>
      <c r="H4672" s="71">
        <v>8.9</v>
      </c>
      <c r="I4672" s="71">
        <v>11.6</v>
      </c>
      <c r="J4672" s="71">
        <v>14.3</v>
      </c>
      <c r="K4672" s="121">
        <v>-2.8000000000000004E-3</v>
      </c>
      <c r="L4672" s="121">
        <v>-5.0000000000000001E-3</v>
      </c>
      <c r="M4672" s="75" t="s">
        <v>146</v>
      </c>
      <c r="N4672" s="75" t="b">
        <v>1</v>
      </c>
      <c r="O4672" s="75" t="s">
        <v>145</v>
      </c>
      <c r="P4672" s="75">
        <v>2014</v>
      </c>
      <c r="Q4672" s="107">
        <f t="shared" si="154"/>
        <v>2020</v>
      </c>
      <c r="R4672" s="107">
        <v>2</v>
      </c>
      <c r="S4672" s="43">
        <v>220152</v>
      </c>
      <c r="T4672" s="74">
        <v>44138</v>
      </c>
    </row>
    <row r="4673" spans="1:20" x14ac:dyDescent="0.3">
      <c r="A4673" s="42">
        <v>44159</v>
      </c>
      <c r="B4673" s="37">
        <f t="shared" si="149"/>
        <v>20201124</v>
      </c>
      <c r="C4673" s="109">
        <v>1.0700000000000001E-2</v>
      </c>
      <c r="D4673" s="109">
        <v>1.2999999999999999E-2</v>
      </c>
      <c r="E4673" s="109">
        <v>1.4999999999999999E-2</v>
      </c>
      <c r="F4673" s="109">
        <v>1.6E-2</v>
      </c>
      <c r="G4673" s="130">
        <v>0</v>
      </c>
      <c r="H4673" s="71">
        <v>8.9</v>
      </c>
      <c r="I4673" s="71">
        <v>11.6</v>
      </c>
      <c r="J4673" s="71">
        <v>14.3</v>
      </c>
      <c r="K4673" s="121">
        <v>-2.7000000000000001E-3</v>
      </c>
      <c r="L4673" s="121">
        <v>-5.0000000000000001E-3</v>
      </c>
      <c r="M4673" s="75" t="s">
        <v>146</v>
      </c>
      <c r="N4673" s="75" t="b">
        <v>1</v>
      </c>
      <c r="O4673" s="75" t="s">
        <v>145</v>
      </c>
      <c r="P4673" s="75">
        <v>2014</v>
      </c>
      <c r="Q4673" s="107">
        <f t="shared" si="154"/>
        <v>2020</v>
      </c>
      <c r="R4673" s="107">
        <v>2</v>
      </c>
      <c r="S4673" s="43">
        <v>220152</v>
      </c>
      <c r="T4673" s="74">
        <v>44138</v>
      </c>
    </row>
    <row r="4674" spans="1:20" x14ac:dyDescent="0.3">
      <c r="A4674" s="42">
        <v>44160</v>
      </c>
      <c r="B4674" s="37">
        <f t="shared" si="149"/>
        <v>20201125</v>
      </c>
      <c r="C4674" s="109">
        <v>1.06E-2</v>
      </c>
      <c r="D4674" s="109">
        <v>1.2999999999999999E-2</v>
      </c>
      <c r="E4674" s="109">
        <v>1.4999999999999999E-2</v>
      </c>
      <c r="F4674" s="109">
        <v>1.6E-2</v>
      </c>
      <c r="G4674" s="130">
        <v>0</v>
      </c>
      <c r="H4674" s="71">
        <v>8.9</v>
      </c>
      <c r="I4674" s="71">
        <v>11.6</v>
      </c>
      <c r="J4674" s="71">
        <v>14.3</v>
      </c>
      <c r="K4674" s="121">
        <v>-2.5999999999999999E-3</v>
      </c>
      <c r="L4674" s="121">
        <v>-5.0000000000000001E-3</v>
      </c>
      <c r="M4674" s="75" t="s">
        <v>146</v>
      </c>
      <c r="N4674" s="75" t="b">
        <v>1</v>
      </c>
      <c r="O4674" s="75" t="s">
        <v>145</v>
      </c>
      <c r="P4674" s="75">
        <v>2014</v>
      </c>
      <c r="Q4674" s="107">
        <f t="shared" si="154"/>
        <v>2020</v>
      </c>
      <c r="R4674" s="107">
        <v>2</v>
      </c>
      <c r="S4674" s="43">
        <v>220152</v>
      </c>
      <c r="T4674" s="74">
        <v>44138</v>
      </c>
    </row>
    <row r="4675" spans="1:20" x14ac:dyDescent="0.3">
      <c r="A4675" s="42">
        <v>44161</v>
      </c>
      <c r="B4675" s="37">
        <f t="shared" si="149"/>
        <v>20201126</v>
      </c>
      <c r="C4675" s="109">
        <v>1.0500000000000001E-2</v>
      </c>
      <c r="D4675" s="109">
        <v>1.2999999999999999E-2</v>
      </c>
      <c r="E4675" s="109">
        <v>1.4999999999999999E-2</v>
      </c>
      <c r="F4675" s="109">
        <v>1.6E-2</v>
      </c>
      <c r="G4675" s="130">
        <v>0</v>
      </c>
      <c r="H4675" s="71">
        <v>8.9</v>
      </c>
      <c r="I4675" s="71">
        <v>11.6</v>
      </c>
      <c r="J4675" s="71">
        <v>14.3</v>
      </c>
      <c r="K4675" s="121">
        <v>-2.7000000000000001E-3</v>
      </c>
      <c r="L4675" s="121">
        <v>-5.0000000000000001E-3</v>
      </c>
      <c r="M4675" s="75" t="s">
        <v>146</v>
      </c>
      <c r="N4675" s="75" t="b">
        <v>1</v>
      </c>
      <c r="O4675" s="75" t="s">
        <v>145</v>
      </c>
      <c r="P4675" s="75">
        <v>2014</v>
      </c>
      <c r="Q4675" s="107">
        <f t="shared" si="154"/>
        <v>2020</v>
      </c>
      <c r="R4675" s="107">
        <v>2</v>
      </c>
      <c r="S4675" s="43">
        <v>220152</v>
      </c>
      <c r="T4675" s="74">
        <v>44138</v>
      </c>
    </row>
    <row r="4676" spans="1:20" x14ac:dyDescent="0.3">
      <c r="A4676" s="42">
        <v>44162</v>
      </c>
      <c r="B4676" s="37">
        <f t="shared" si="149"/>
        <v>20201127</v>
      </c>
      <c r="C4676" s="109">
        <v>1.0200000000000001E-2</v>
      </c>
      <c r="D4676" s="109">
        <v>1.2999999999999999E-2</v>
      </c>
      <c r="E4676" s="109">
        <v>1.4999999999999999E-2</v>
      </c>
      <c r="F4676" s="109">
        <v>1.6E-2</v>
      </c>
      <c r="G4676" s="130">
        <v>0</v>
      </c>
      <c r="H4676" s="71">
        <v>8.9</v>
      </c>
      <c r="I4676" s="71">
        <v>11.6</v>
      </c>
      <c r="J4676" s="71">
        <v>14.3</v>
      </c>
      <c r="K4676" s="121">
        <v>-3.0000000000000001E-3</v>
      </c>
      <c r="L4676" s="121">
        <v>-5.0000000000000001E-3</v>
      </c>
      <c r="M4676" s="75" t="s">
        <v>146</v>
      </c>
      <c r="N4676" s="75" t="b">
        <v>1</v>
      </c>
      <c r="O4676" s="75" t="s">
        <v>145</v>
      </c>
      <c r="P4676" s="75">
        <v>2014</v>
      </c>
      <c r="Q4676" s="107">
        <f t="shared" si="154"/>
        <v>2020</v>
      </c>
      <c r="R4676" s="107">
        <v>2</v>
      </c>
      <c r="S4676" s="43">
        <v>220152</v>
      </c>
      <c r="T4676" s="74">
        <v>44138</v>
      </c>
    </row>
    <row r="4677" spans="1:20" x14ac:dyDescent="0.3">
      <c r="A4677" s="42">
        <v>44163</v>
      </c>
      <c r="B4677" s="37">
        <f t="shared" ref="B4677:B4678" si="158">YEAR(A4677)*10000+MONTH(A4677)*100+DAY(A4677)</f>
        <v>20201128</v>
      </c>
      <c r="C4677" s="109">
        <v>1.0200000000000001E-2</v>
      </c>
      <c r="D4677" s="109">
        <v>1.2999999999999999E-2</v>
      </c>
      <c r="E4677" s="109">
        <v>1.4999999999999999E-2</v>
      </c>
      <c r="F4677" s="109">
        <v>1.6E-2</v>
      </c>
      <c r="G4677" s="130">
        <v>0</v>
      </c>
      <c r="H4677" s="71">
        <v>8.9</v>
      </c>
      <c r="I4677" s="71">
        <v>11.6</v>
      </c>
      <c r="J4677" s="71">
        <v>14.3</v>
      </c>
      <c r="K4677" s="121">
        <v>-3.0000000000000001E-3</v>
      </c>
      <c r="L4677" s="121">
        <v>-5.0000000000000001E-3</v>
      </c>
      <c r="M4677" s="75" t="s">
        <v>146</v>
      </c>
      <c r="N4677" s="75" t="b">
        <v>1</v>
      </c>
      <c r="O4677" s="75" t="s">
        <v>145</v>
      </c>
      <c r="P4677" s="75">
        <v>2014</v>
      </c>
      <c r="Q4677" s="107">
        <f t="shared" si="154"/>
        <v>2020</v>
      </c>
      <c r="R4677" s="107">
        <v>2</v>
      </c>
      <c r="S4677" s="43">
        <v>220152</v>
      </c>
      <c r="T4677" s="74">
        <v>44138</v>
      </c>
    </row>
    <row r="4678" spans="1:20" x14ac:dyDescent="0.3">
      <c r="A4678" s="42">
        <v>44164</v>
      </c>
      <c r="B4678" s="37">
        <f t="shared" si="158"/>
        <v>20201129</v>
      </c>
      <c r="C4678" s="109">
        <v>1.0200000000000001E-2</v>
      </c>
      <c r="D4678" s="109">
        <v>1.2999999999999999E-2</v>
      </c>
      <c r="E4678" s="109">
        <v>1.4999999999999999E-2</v>
      </c>
      <c r="F4678" s="109">
        <v>1.6E-2</v>
      </c>
      <c r="G4678" s="130">
        <v>0</v>
      </c>
      <c r="H4678" s="71">
        <v>8.9</v>
      </c>
      <c r="I4678" s="71">
        <v>11.6</v>
      </c>
      <c r="J4678" s="71">
        <v>14.3</v>
      </c>
      <c r="K4678" s="121">
        <v>-3.0000000000000001E-3</v>
      </c>
      <c r="L4678" s="121">
        <v>-5.0000000000000001E-3</v>
      </c>
      <c r="M4678" s="75" t="s">
        <v>146</v>
      </c>
      <c r="N4678" s="75" t="b">
        <v>1</v>
      </c>
      <c r="O4678" s="75" t="s">
        <v>145</v>
      </c>
      <c r="P4678" s="75">
        <v>2014</v>
      </c>
      <c r="Q4678" s="107">
        <f t="shared" si="154"/>
        <v>2020</v>
      </c>
      <c r="R4678" s="107">
        <v>2</v>
      </c>
      <c r="S4678" s="43">
        <v>220152</v>
      </c>
      <c r="T4678" s="74">
        <v>44138</v>
      </c>
    </row>
    <row r="4679" spans="1:20" x14ac:dyDescent="0.3">
      <c r="A4679" s="42">
        <v>44165</v>
      </c>
      <c r="B4679" s="37">
        <f t="shared" si="149"/>
        <v>20201130</v>
      </c>
      <c r="C4679" s="109">
        <v>1.0200000000000001E-2</v>
      </c>
      <c r="D4679" s="109">
        <v>1.2999999999999999E-2</v>
      </c>
      <c r="E4679" s="109">
        <v>1.4999999999999999E-2</v>
      </c>
      <c r="F4679" s="109">
        <v>1.6E-2</v>
      </c>
      <c r="G4679" s="130">
        <v>0</v>
      </c>
      <c r="H4679" s="71">
        <v>8.9</v>
      </c>
      <c r="I4679" s="71">
        <v>11.6</v>
      </c>
      <c r="J4679" s="71">
        <v>14.3</v>
      </c>
      <c r="K4679" s="121">
        <v>-3.0999999999999999E-3</v>
      </c>
      <c r="L4679" s="121">
        <v>-5.0000000000000001E-3</v>
      </c>
      <c r="M4679" s="75" t="s">
        <v>146</v>
      </c>
      <c r="N4679" s="75" t="b">
        <v>1</v>
      </c>
      <c r="O4679" s="75" t="s">
        <v>145</v>
      </c>
      <c r="P4679" s="75">
        <v>2014</v>
      </c>
      <c r="Q4679" s="107">
        <f t="shared" si="154"/>
        <v>2020</v>
      </c>
      <c r="R4679" s="107">
        <v>2</v>
      </c>
      <c r="S4679" s="43">
        <v>220152</v>
      </c>
      <c r="T4679" s="74">
        <v>44138</v>
      </c>
    </row>
    <row r="4680" spans="1:20" x14ac:dyDescent="0.3">
      <c r="A4680" s="42">
        <v>44166</v>
      </c>
      <c r="B4680" s="37">
        <f t="shared" si="149"/>
        <v>20201201</v>
      </c>
      <c r="C4680" s="109">
        <v>1.0800000000000001E-2</v>
      </c>
      <c r="D4680" s="109">
        <v>1.2999999999999999E-2</v>
      </c>
      <c r="E4680" s="109">
        <v>1.4999999999999999E-2</v>
      </c>
      <c r="F4680" s="109">
        <v>1.6E-2</v>
      </c>
      <c r="G4680" s="130">
        <v>0</v>
      </c>
      <c r="H4680" s="71">
        <v>8.9</v>
      </c>
      <c r="I4680" s="71">
        <v>11.6</v>
      </c>
      <c r="J4680" s="71">
        <v>14.3</v>
      </c>
      <c r="K4680" s="121">
        <v>-2.5999999999999999E-3</v>
      </c>
      <c r="L4680" s="121">
        <v>-5.0000000000000001E-3</v>
      </c>
      <c r="M4680" s="75" t="s">
        <v>146</v>
      </c>
      <c r="N4680" s="75" t="b">
        <v>1</v>
      </c>
      <c r="O4680" s="75" t="s">
        <v>145</v>
      </c>
      <c r="P4680" s="75">
        <v>2014</v>
      </c>
      <c r="Q4680" s="107">
        <f t="shared" si="154"/>
        <v>2020</v>
      </c>
      <c r="R4680" s="107">
        <v>2</v>
      </c>
      <c r="S4680" s="43">
        <v>220152</v>
      </c>
      <c r="T4680" s="74">
        <v>44138</v>
      </c>
    </row>
    <row r="4681" spans="1:20" x14ac:dyDescent="0.3">
      <c r="A4681" s="42">
        <v>44167</v>
      </c>
      <c r="B4681" s="37">
        <f t="shared" si="149"/>
        <v>20201202</v>
      </c>
      <c r="C4681" s="109">
        <v>1.1699999999999999E-2</v>
      </c>
      <c r="D4681" s="109">
        <v>1.2999999999999999E-2</v>
      </c>
      <c r="E4681" s="109">
        <v>1.4999999999999999E-2</v>
      </c>
      <c r="F4681" s="109">
        <v>1.6E-2</v>
      </c>
      <c r="G4681" s="130">
        <v>0</v>
      </c>
      <c r="H4681" s="71">
        <v>8.9</v>
      </c>
      <c r="I4681" s="71">
        <v>11.6</v>
      </c>
      <c r="J4681" s="71">
        <v>14.3</v>
      </c>
      <c r="K4681" s="121">
        <v>-1.9E-3</v>
      </c>
      <c r="L4681" s="121">
        <v>-5.0000000000000001E-3</v>
      </c>
      <c r="M4681" s="75" t="s">
        <v>146</v>
      </c>
      <c r="N4681" s="75" t="b">
        <v>1</v>
      </c>
      <c r="O4681" s="75" t="s">
        <v>145</v>
      </c>
      <c r="P4681" s="75">
        <v>2014</v>
      </c>
      <c r="Q4681" s="107">
        <f t="shared" si="154"/>
        <v>2020</v>
      </c>
      <c r="R4681" s="107">
        <v>2</v>
      </c>
      <c r="S4681" s="43">
        <v>220152</v>
      </c>
      <c r="T4681" s="74">
        <v>44138</v>
      </c>
    </row>
    <row r="4682" spans="1:20" x14ac:dyDescent="0.3">
      <c r="A4682" s="42">
        <v>44168</v>
      </c>
      <c r="B4682" s="37">
        <f t="shared" si="149"/>
        <v>20201203</v>
      </c>
      <c r="C4682" s="109">
        <v>1.15E-2</v>
      </c>
      <c r="D4682" s="109">
        <v>1.2999999999999999E-2</v>
      </c>
      <c r="E4682" s="109">
        <v>1.4999999999999999E-2</v>
      </c>
      <c r="F4682" s="109">
        <v>1.6E-2</v>
      </c>
      <c r="G4682" s="130">
        <v>0</v>
      </c>
      <c r="H4682" s="71">
        <v>8.9</v>
      </c>
      <c r="I4682" s="71">
        <v>11.6</v>
      </c>
      <c r="J4682" s="71">
        <v>14.3</v>
      </c>
      <c r="K4682" s="121">
        <v>-2E-3</v>
      </c>
      <c r="L4682" s="121">
        <v>-5.0000000000000001E-3</v>
      </c>
      <c r="M4682" s="75" t="s">
        <v>146</v>
      </c>
      <c r="N4682" s="75" t="b">
        <v>1</v>
      </c>
      <c r="O4682" s="75" t="s">
        <v>145</v>
      </c>
      <c r="P4682" s="75">
        <v>2014</v>
      </c>
      <c r="Q4682" s="107">
        <f t="shared" si="154"/>
        <v>2020</v>
      </c>
      <c r="R4682" s="107">
        <v>2</v>
      </c>
      <c r="S4682" s="43">
        <v>220152</v>
      </c>
      <c r="T4682" s="74">
        <v>44138</v>
      </c>
    </row>
    <row r="4683" spans="1:20" x14ac:dyDescent="0.3">
      <c r="A4683" s="42">
        <v>44169</v>
      </c>
      <c r="B4683" s="37">
        <f t="shared" si="149"/>
        <v>20201204</v>
      </c>
      <c r="C4683" s="109">
        <v>1.2199999999999999E-2</v>
      </c>
      <c r="D4683" s="109">
        <v>1.2999999999999999E-2</v>
      </c>
      <c r="E4683" s="109">
        <v>1.4999999999999999E-2</v>
      </c>
      <c r="F4683" s="109">
        <v>1.6E-2</v>
      </c>
      <c r="G4683" s="130">
        <v>0</v>
      </c>
      <c r="H4683" s="71">
        <v>8.9</v>
      </c>
      <c r="I4683" s="71">
        <v>11.6</v>
      </c>
      <c r="J4683" s="71">
        <v>14.3</v>
      </c>
      <c r="K4683" s="121">
        <v>-1.2999999999999999E-3</v>
      </c>
      <c r="L4683" s="121">
        <v>-5.0000000000000001E-3</v>
      </c>
      <c r="M4683" s="75" t="s">
        <v>146</v>
      </c>
      <c r="N4683" s="75" t="b">
        <v>1</v>
      </c>
      <c r="O4683" s="75" t="s">
        <v>145</v>
      </c>
      <c r="P4683" s="75">
        <v>2014</v>
      </c>
      <c r="Q4683" s="107">
        <f t="shared" si="154"/>
        <v>2020</v>
      </c>
      <c r="R4683" s="107">
        <v>2</v>
      </c>
      <c r="S4683" s="43">
        <v>220152</v>
      </c>
      <c r="T4683" s="74">
        <v>44138</v>
      </c>
    </row>
    <row r="4684" spans="1:20" x14ac:dyDescent="0.3">
      <c r="A4684" s="42">
        <v>44170</v>
      </c>
      <c r="B4684" s="37">
        <f t="shared" ref="B4684:B4685" si="159">YEAR(A4684)*10000+MONTH(A4684)*100+DAY(A4684)</f>
        <v>20201205</v>
      </c>
      <c r="C4684" s="109">
        <v>1.2199999999999999E-2</v>
      </c>
      <c r="D4684" s="109">
        <v>1.2999999999999999E-2</v>
      </c>
      <c r="E4684" s="109">
        <v>1.4999999999999999E-2</v>
      </c>
      <c r="F4684" s="109">
        <v>1.6E-2</v>
      </c>
      <c r="G4684" s="130">
        <v>0</v>
      </c>
      <c r="H4684" s="71">
        <v>8.9</v>
      </c>
      <c r="I4684" s="71">
        <v>11.6</v>
      </c>
      <c r="J4684" s="71">
        <v>14.3</v>
      </c>
      <c r="K4684" s="121">
        <v>-1.2999999999999999E-3</v>
      </c>
      <c r="L4684" s="121">
        <v>-5.0000000000000001E-3</v>
      </c>
      <c r="M4684" s="75" t="s">
        <v>146</v>
      </c>
      <c r="N4684" s="75" t="b">
        <v>1</v>
      </c>
      <c r="O4684" s="75" t="s">
        <v>145</v>
      </c>
      <c r="P4684" s="75">
        <v>2014</v>
      </c>
      <c r="Q4684" s="107">
        <f t="shared" si="154"/>
        <v>2020</v>
      </c>
      <c r="R4684" s="107">
        <v>2</v>
      </c>
      <c r="S4684" s="43">
        <v>220152</v>
      </c>
      <c r="T4684" s="74">
        <v>44138</v>
      </c>
    </row>
    <row r="4685" spans="1:20" x14ac:dyDescent="0.3">
      <c r="A4685" s="42">
        <v>44171</v>
      </c>
      <c r="B4685" s="37">
        <f t="shared" si="159"/>
        <v>20201206</v>
      </c>
      <c r="C4685" s="109">
        <v>1.2199999999999999E-2</v>
      </c>
      <c r="D4685" s="109">
        <v>1.2999999999999999E-2</v>
      </c>
      <c r="E4685" s="109">
        <v>1.4999999999999999E-2</v>
      </c>
      <c r="F4685" s="109">
        <v>1.6E-2</v>
      </c>
      <c r="G4685" s="130">
        <v>0</v>
      </c>
      <c r="H4685" s="71">
        <v>8.9</v>
      </c>
      <c r="I4685" s="71">
        <v>11.6</v>
      </c>
      <c r="J4685" s="71">
        <v>14.3</v>
      </c>
      <c r="K4685" s="121">
        <v>-1.2999999999999999E-3</v>
      </c>
      <c r="L4685" s="121">
        <v>-5.0000000000000001E-3</v>
      </c>
      <c r="M4685" s="75" t="s">
        <v>146</v>
      </c>
      <c r="N4685" s="75" t="b">
        <v>1</v>
      </c>
      <c r="O4685" s="75" t="s">
        <v>145</v>
      </c>
      <c r="P4685" s="75">
        <v>2014</v>
      </c>
      <c r="Q4685" s="107">
        <f t="shared" si="154"/>
        <v>2020</v>
      </c>
      <c r="R4685" s="107">
        <v>2</v>
      </c>
      <c r="S4685" s="43">
        <v>220152</v>
      </c>
      <c r="T4685" s="74">
        <v>44138</v>
      </c>
    </row>
    <row r="4686" spans="1:20" x14ac:dyDescent="0.3">
      <c r="A4686" s="42">
        <v>44172</v>
      </c>
      <c r="B4686" s="37">
        <f t="shared" si="149"/>
        <v>20201207</v>
      </c>
      <c r="C4686" s="109">
        <v>1.1899999999999999E-2</v>
      </c>
      <c r="D4686" s="109">
        <v>1.2999999999999999E-2</v>
      </c>
      <c r="E4686" s="109">
        <v>1.4999999999999999E-2</v>
      </c>
      <c r="F4686" s="109">
        <v>1.6E-2</v>
      </c>
      <c r="G4686" s="130">
        <v>0</v>
      </c>
      <c r="H4686" s="71">
        <v>8.9</v>
      </c>
      <c r="I4686" s="71">
        <v>11.6</v>
      </c>
      <c r="J4686" s="71">
        <v>14.3</v>
      </c>
      <c r="K4686" s="121">
        <v>-1.6000000000000001E-3</v>
      </c>
      <c r="L4686" s="121">
        <v>-5.0000000000000001E-3</v>
      </c>
      <c r="M4686" s="75" t="s">
        <v>146</v>
      </c>
      <c r="N4686" s="75" t="b">
        <v>1</v>
      </c>
      <c r="O4686" s="75" t="s">
        <v>145</v>
      </c>
      <c r="P4686" s="75">
        <v>2014</v>
      </c>
      <c r="Q4686" s="107">
        <f t="shared" si="154"/>
        <v>2020</v>
      </c>
      <c r="R4686" s="107">
        <v>2</v>
      </c>
      <c r="S4686" s="43">
        <v>220152</v>
      </c>
      <c r="T4686" s="74">
        <v>44138</v>
      </c>
    </row>
    <row r="4687" spans="1:20" x14ac:dyDescent="0.3">
      <c r="A4687" s="42">
        <v>44173</v>
      </c>
      <c r="B4687" s="37">
        <f t="shared" si="149"/>
        <v>20201208</v>
      </c>
      <c r="C4687" s="109">
        <v>1.18E-2</v>
      </c>
      <c r="D4687" s="109">
        <v>1.2999999999999999E-2</v>
      </c>
      <c r="E4687" s="109">
        <v>1.4999999999999999E-2</v>
      </c>
      <c r="F4687" s="109">
        <v>1.6E-2</v>
      </c>
      <c r="G4687" s="130">
        <v>0</v>
      </c>
      <c r="H4687" s="71">
        <v>8.9</v>
      </c>
      <c r="I4687" s="71">
        <v>11.6</v>
      </c>
      <c r="J4687" s="71">
        <v>14.3</v>
      </c>
      <c r="K4687" s="121">
        <v>-1.7000000000000001E-3</v>
      </c>
      <c r="L4687" s="121">
        <v>-5.0000000000000001E-3</v>
      </c>
      <c r="M4687" s="75" t="s">
        <v>146</v>
      </c>
      <c r="N4687" s="75" t="b">
        <v>1</v>
      </c>
      <c r="O4687" s="75" t="s">
        <v>145</v>
      </c>
      <c r="P4687" s="75">
        <v>2014</v>
      </c>
      <c r="Q4687" s="107">
        <f t="shared" si="154"/>
        <v>2020</v>
      </c>
      <c r="R4687" s="107">
        <v>2</v>
      </c>
      <c r="S4687" s="43">
        <v>220152</v>
      </c>
      <c r="T4687" s="74">
        <v>44138</v>
      </c>
    </row>
    <row r="4688" spans="1:20" x14ac:dyDescent="0.3">
      <c r="A4688" s="42">
        <v>44174</v>
      </c>
      <c r="B4688" s="37">
        <f t="shared" si="149"/>
        <v>20201209</v>
      </c>
      <c r="C4688" s="109">
        <v>1.18E-2</v>
      </c>
      <c r="D4688" s="109">
        <v>1.2999999999999999E-2</v>
      </c>
      <c r="E4688" s="109">
        <v>1.4999999999999999E-2</v>
      </c>
      <c r="F4688" s="109">
        <v>1.6E-2</v>
      </c>
      <c r="G4688" s="130">
        <v>0</v>
      </c>
      <c r="H4688" s="71">
        <v>8.9</v>
      </c>
      <c r="I4688" s="71">
        <v>11.6</v>
      </c>
      <c r="J4688" s="71">
        <v>14.3</v>
      </c>
      <c r="K4688" s="121">
        <v>-1.8E-3</v>
      </c>
      <c r="L4688" s="121">
        <v>-5.0000000000000001E-3</v>
      </c>
      <c r="M4688" s="75" t="s">
        <v>146</v>
      </c>
      <c r="N4688" s="75" t="b">
        <v>1</v>
      </c>
      <c r="O4688" s="75" t="s">
        <v>145</v>
      </c>
      <c r="P4688" s="75">
        <v>2014</v>
      </c>
      <c r="Q4688" s="107">
        <f t="shared" si="154"/>
        <v>2020</v>
      </c>
      <c r="R4688" s="107">
        <v>2</v>
      </c>
      <c r="S4688" s="43">
        <v>220152</v>
      </c>
      <c r="T4688" s="74">
        <v>44138</v>
      </c>
    </row>
    <row r="4689" spans="1:20" x14ac:dyDescent="0.3">
      <c r="A4689" s="42">
        <v>44175</v>
      </c>
      <c r="B4689" s="37">
        <f t="shared" si="149"/>
        <v>20201210</v>
      </c>
      <c r="C4689" s="109">
        <v>1.1599999999999999E-2</v>
      </c>
      <c r="D4689" s="109">
        <v>1.2999999999999999E-2</v>
      </c>
      <c r="E4689" s="109">
        <v>1.4999999999999999E-2</v>
      </c>
      <c r="F4689" s="109">
        <v>1.6E-2</v>
      </c>
      <c r="G4689" s="130">
        <v>0</v>
      </c>
      <c r="H4689" s="71">
        <v>8.9</v>
      </c>
      <c r="I4689" s="71">
        <v>11.6</v>
      </c>
      <c r="J4689" s="71">
        <v>14.3</v>
      </c>
      <c r="K4689" s="121">
        <v>-1.9E-3</v>
      </c>
      <c r="L4689" s="121">
        <v>-5.0000000000000001E-3</v>
      </c>
      <c r="M4689" s="75" t="s">
        <v>146</v>
      </c>
      <c r="N4689" s="75" t="b">
        <v>1</v>
      </c>
      <c r="O4689" s="75" t="s">
        <v>145</v>
      </c>
      <c r="P4689" s="75">
        <v>2014</v>
      </c>
      <c r="Q4689" s="107">
        <f t="shared" si="154"/>
        <v>2020</v>
      </c>
      <c r="R4689" s="107">
        <v>2</v>
      </c>
      <c r="S4689" s="43">
        <v>220152</v>
      </c>
      <c r="T4689" s="74">
        <v>44138</v>
      </c>
    </row>
    <row r="4690" spans="1:20" x14ac:dyDescent="0.3">
      <c r="A4690" s="42">
        <v>44176</v>
      </c>
      <c r="B4690" s="37">
        <f t="shared" si="149"/>
        <v>20201211</v>
      </c>
      <c r="C4690" s="109">
        <v>1.15E-2</v>
      </c>
      <c r="D4690" s="109">
        <v>1.2999999999999999E-2</v>
      </c>
      <c r="E4690" s="109">
        <v>1.4999999999999999E-2</v>
      </c>
      <c r="F4690" s="109">
        <v>1.6E-2</v>
      </c>
      <c r="G4690" s="130">
        <v>0</v>
      </c>
      <c r="H4690" s="71">
        <v>8.9</v>
      </c>
      <c r="I4690" s="71">
        <v>11.6</v>
      </c>
      <c r="J4690" s="71">
        <v>14.3</v>
      </c>
      <c r="K4690" s="121">
        <v>-1.9E-3</v>
      </c>
      <c r="L4690" s="121">
        <v>-5.0000000000000001E-3</v>
      </c>
      <c r="M4690" s="75" t="s">
        <v>146</v>
      </c>
      <c r="N4690" s="75" t="b">
        <v>1</v>
      </c>
      <c r="O4690" s="75" t="s">
        <v>145</v>
      </c>
      <c r="P4690" s="75">
        <v>2014</v>
      </c>
      <c r="Q4690" s="107">
        <f t="shared" si="154"/>
        <v>2020</v>
      </c>
      <c r="R4690" s="107">
        <v>2</v>
      </c>
      <c r="S4690" s="43">
        <v>220152</v>
      </c>
      <c r="T4690" s="74">
        <v>44138</v>
      </c>
    </row>
    <row r="4691" spans="1:20" x14ac:dyDescent="0.3">
      <c r="A4691" s="42">
        <v>44177</v>
      </c>
      <c r="B4691" s="37">
        <f t="shared" ref="B4691:B4692" si="160">YEAR(A4691)*10000+MONTH(A4691)*100+DAY(A4691)</f>
        <v>20201212</v>
      </c>
      <c r="C4691" s="109">
        <v>1.15E-2</v>
      </c>
      <c r="D4691" s="109">
        <v>1.2999999999999999E-2</v>
      </c>
      <c r="E4691" s="109">
        <v>1.4999999999999999E-2</v>
      </c>
      <c r="F4691" s="109">
        <v>1.6E-2</v>
      </c>
      <c r="G4691" s="130">
        <v>0</v>
      </c>
      <c r="H4691" s="71">
        <v>8.9</v>
      </c>
      <c r="I4691" s="71">
        <v>11.6</v>
      </c>
      <c r="J4691" s="71">
        <v>14.3</v>
      </c>
      <c r="K4691" s="121">
        <v>-1.9E-3</v>
      </c>
      <c r="L4691" s="121">
        <v>-5.0000000000000001E-3</v>
      </c>
      <c r="M4691" s="75" t="s">
        <v>146</v>
      </c>
      <c r="N4691" s="75" t="b">
        <v>1</v>
      </c>
      <c r="O4691" s="75" t="s">
        <v>145</v>
      </c>
      <c r="P4691" s="75">
        <v>2014</v>
      </c>
      <c r="Q4691" s="107">
        <f t="shared" si="154"/>
        <v>2020</v>
      </c>
      <c r="R4691" s="107">
        <v>2</v>
      </c>
      <c r="S4691" s="43">
        <v>220152</v>
      </c>
      <c r="T4691" s="74">
        <v>44138</v>
      </c>
    </row>
    <row r="4692" spans="1:20" x14ac:dyDescent="0.3">
      <c r="A4692" s="42">
        <v>44178</v>
      </c>
      <c r="B4692" s="37">
        <f t="shared" si="160"/>
        <v>20201213</v>
      </c>
      <c r="C4692" s="109">
        <v>1.15E-2</v>
      </c>
      <c r="D4692" s="109">
        <v>1.2999999999999999E-2</v>
      </c>
      <c r="E4692" s="109">
        <v>1.4999999999999999E-2</v>
      </c>
      <c r="F4692" s="109">
        <v>1.6E-2</v>
      </c>
      <c r="G4692" s="130">
        <v>0</v>
      </c>
      <c r="H4692" s="71">
        <v>8.9</v>
      </c>
      <c r="I4692" s="71">
        <v>11.6</v>
      </c>
      <c r="J4692" s="71">
        <v>14.3</v>
      </c>
      <c r="K4692" s="121">
        <v>-1.9E-3</v>
      </c>
      <c r="L4692" s="121">
        <v>-5.0000000000000001E-3</v>
      </c>
      <c r="M4692" s="75" t="s">
        <v>146</v>
      </c>
      <c r="N4692" s="75" t="b">
        <v>1</v>
      </c>
      <c r="O4692" s="75" t="s">
        <v>145</v>
      </c>
      <c r="P4692" s="75">
        <v>2014</v>
      </c>
      <c r="Q4692" s="107">
        <f t="shared" si="154"/>
        <v>2020</v>
      </c>
      <c r="R4692" s="107">
        <v>2</v>
      </c>
      <c r="S4692" s="43">
        <v>220152</v>
      </c>
      <c r="T4692" s="74">
        <v>44138</v>
      </c>
    </row>
    <row r="4693" spans="1:20" x14ac:dyDescent="0.3">
      <c r="A4693" s="42">
        <v>44179</v>
      </c>
      <c r="B4693" s="37">
        <f t="shared" si="149"/>
        <v>20201214</v>
      </c>
      <c r="C4693" s="109">
        <v>1.1599999999999999E-2</v>
      </c>
      <c r="D4693" s="109">
        <v>1.2999999999999999E-2</v>
      </c>
      <c r="E4693" s="109">
        <v>1.4999999999999999E-2</v>
      </c>
      <c r="F4693" s="109">
        <v>1.6E-2</v>
      </c>
      <c r="G4693" s="130">
        <v>0</v>
      </c>
      <c r="H4693" s="71">
        <v>8.9</v>
      </c>
      <c r="I4693" s="71">
        <v>11.6</v>
      </c>
      <c r="J4693" s="71">
        <v>14.3</v>
      </c>
      <c r="K4693" s="121">
        <v>-1.7000000000000001E-3</v>
      </c>
      <c r="L4693" s="121">
        <v>-5.0000000000000001E-3</v>
      </c>
      <c r="M4693" s="75" t="s">
        <v>146</v>
      </c>
      <c r="N4693" s="75" t="b">
        <v>1</v>
      </c>
      <c r="O4693" s="75" t="s">
        <v>145</v>
      </c>
      <c r="P4693" s="75">
        <v>2014</v>
      </c>
      <c r="Q4693" s="107">
        <f t="shared" si="154"/>
        <v>2020</v>
      </c>
      <c r="R4693" s="107">
        <v>2</v>
      </c>
      <c r="S4693" s="43">
        <v>220152</v>
      </c>
      <c r="T4693" s="74">
        <v>44138</v>
      </c>
    </row>
    <row r="4694" spans="1:20" x14ac:dyDescent="0.3">
      <c r="A4694" s="42">
        <v>44180</v>
      </c>
      <c r="B4694" s="37">
        <f t="shared" si="149"/>
        <v>20201215</v>
      </c>
      <c r="C4694" s="109">
        <v>1.18E-2</v>
      </c>
      <c r="D4694" s="109">
        <v>1.2999999999999999E-2</v>
      </c>
      <c r="E4694" s="109">
        <v>1.4999999999999999E-2</v>
      </c>
      <c r="F4694" s="109">
        <v>1.6E-2</v>
      </c>
      <c r="G4694" s="130">
        <v>0</v>
      </c>
      <c r="H4694" s="71">
        <v>8.9</v>
      </c>
      <c r="I4694" s="71">
        <v>11.6</v>
      </c>
      <c r="J4694" s="71">
        <v>14.3</v>
      </c>
      <c r="K4694" s="121">
        <v>-1.7000000000000001E-3</v>
      </c>
      <c r="L4694" s="121">
        <v>-5.0000000000000001E-3</v>
      </c>
      <c r="M4694" s="75" t="s">
        <v>146</v>
      </c>
      <c r="N4694" s="75" t="b">
        <v>1</v>
      </c>
      <c r="O4694" s="75" t="s">
        <v>145</v>
      </c>
      <c r="P4694" s="75">
        <v>2014</v>
      </c>
      <c r="Q4694" s="107">
        <f t="shared" si="154"/>
        <v>2020</v>
      </c>
      <c r="R4694" s="107">
        <v>2</v>
      </c>
      <c r="S4694" s="43">
        <v>220152</v>
      </c>
      <c r="T4694" s="74">
        <v>44138</v>
      </c>
    </row>
    <row r="4695" spans="1:20" x14ac:dyDescent="0.3">
      <c r="A4695" s="42">
        <v>44181</v>
      </c>
      <c r="B4695" s="37">
        <f t="shared" si="149"/>
        <v>20201216</v>
      </c>
      <c r="C4695" s="109">
        <v>1.18E-2</v>
      </c>
      <c r="D4695" s="109">
        <v>1.2999999999999999E-2</v>
      </c>
      <c r="E4695" s="109">
        <v>1.4999999999999999E-2</v>
      </c>
      <c r="F4695" s="109">
        <v>1.6E-2</v>
      </c>
      <c r="G4695" s="130">
        <v>0</v>
      </c>
      <c r="H4695" s="71">
        <v>8.9</v>
      </c>
      <c r="I4695" s="71">
        <v>11.6</v>
      </c>
      <c r="J4695" s="71">
        <v>14.3</v>
      </c>
      <c r="K4695" s="121">
        <v>-1.7000000000000001E-3</v>
      </c>
      <c r="L4695" s="121">
        <v>-5.0000000000000001E-3</v>
      </c>
      <c r="M4695" s="75" t="s">
        <v>146</v>
      </c>
      <c r="N4695" s="75" t="b">
        <v>1</v>
      </c>
      <c r="O4695" s="75" t="s">
        <v>145</v>
      </c>
      <c r="P4695" s="75">
        <v>2014</v>
      </c>
      <c r="Q4695" s="107">
        <f t="shared" si="154"/>
        <v>2020</v>
      </c>
      <c r="R4695" s="107">
        <v>2</v>
      </c>
      <c r="S4695" s="43">
        <v>220152</v>
      </c>
      <c r="T4695" s="74">
        <v>44138</v>
      </c>
    </row>
    <row r="4696" spans="1:20" x14ac:dyDescent="0.3">
      <c r="A4696" s="42">
        <v>44182</v>
      </c>
      <c r="B4696" s="37">
        <f t="shared" si="149"/>
        <v>20201217</v>
      </c>
      <c r="C4696" s="109">
        <v>1.18E-2</v>
      </c>
      <c r="D4696" s="109">
        <v>1.2999999999999999E-2</v>
      </c>
      <c r="E4696" s="109">
        <v>1.4999999999999999E-2</v>
      </c>
      <c r="F4696" s="109">
        <v>1.6E-2</v>
      </c>
      <c r="G4696" s="130">
        <v>0</v>
      </c>
      <c r="H4696" s="71">
        <v>8.9</v>
      </c>
      <c r="I4696" s="71">
        <v>11.6</v>
      </c>
      <c r="J4696" s="71">
        <v>14.3</v>
      </c>
      <c r="K4696" s="121">
        <v>-1.7000000000000001E-3</v>
      </c>
      <c r="L4696" s="121">
        <v>-5.0000000000000001E-3</v>
      </c>
      <c r="M4696" s="75" t="s">
        <v>146</v>
      </c>
      <c r="N4696" s="75" t="b">
        <v>1</v>
      </c>
      <c r="O4696" s="75" t="s">
        <v>145</v>
      </c>
      <c r="P4696" s="75">
        <v>2014</v>
      </c>
      <c r="Q4696" s="107">
        <f t="shared" si="154"/>
        <v>2020</v>
      </c>
      <c r="R4696" s="107">
        <v>2</v>
      </c>
      <c r="S4696" s="43">
        <v>220152</v>
      </c>
      <c r="T4696" s="74">
        <v>44138</v>
      </c>
    </row>
    <row r="4697" spans="1:20" x14ac:dyDescent="0.3">
      <c r="A4697" s="42">
        <v>44183</v>
      </c>
      <c r="B4697" s="37">
        <f t="shared" si="149"/>
        <v>20201218</v>
      </c>
      <c r="C4697" s="109">
        <v>1.1699999999999999E-2</v>
      </c>
      <c r="D4697" s="109">
        <v>1.2999999999999999E-2</v>
      </c>
      <c r="E4697" s="109">
        <v>1.4999999999999999E-2</v>
      </c>
      <c r="F4697" s="109">
        <v>1.6E-2</v>
      </c>
      <c r="G4697" s="130">
        <v>0</v>
      </c>
      <c r="H4697" s="71">
        <v>8.9</v>
      </c>
      <c r="I4697" s="71">
        <v>11.6</v>
      </c>
      <c r="J4697" s="71">
        <v>14.3</v>
      </c>
      <c r="K4697" s="121">
        <v>-1.9E-3</v>
      </c>
      <c r="L4697" s="121">
        <v>-5.0000000000000001E-3</v>
      </c>
      <c r="M4697" s="75" t="s">
        <v>146</v>
      </c>
      <c r="N4697" s="75" t="b">
        <v>1</v>
      </c>
      <c r="O4697" s="75" t="s">
        <v>145</v>
      </c>
      <c r="P4697" s="75">
        <v>2014</v>
      </c>
      <c r="Q4697" s="107">
        <f t="shared" si="154"/>
        <v>2020</v>
      </c>
      <c r="R4697" s="107">
        <v>2</v>
      </c>
      <c r="S4697" s="43">
        <v>220152</v>
      </c>
      <c r="T4697" s="74">
        <v>44138</v>
      </c>
    </row>
    <row r="4698" spans="1:20" x14ac:dyDescent="0.3">
      <c r="A4698" s="42">
        <v>44184</v>
      </c>
      <c r="B4698" s="37">
        <f t="shared" ref="B4698:B4699" si="161">YEAR(A4698)*10000+MONTH(A4698)*100+DAY(A4698)</f>
        <v>20201219</v>
      </c>
      <c r="C4698" s="109">
        <v>1.1699999999999999E-2</v>
      </c>
      <c r="D4698" s="109">
        <v>1.2999999999999999E-2</v>
      </c>
      <c r="E4698" s="109">
        <v>1.4999999999999999E-2</v>
      </c>
      <c r="F4698" s="109">
        <v>1.6E-2</v>
      </c>
      <c r="G4698" s="130">
        <v>0</v>
      </c>
      <c r="H4698" s="71">
        <v>8.9</v>
      </c>
      <c r="I4698" s="71">
        <v>11.6</v>
      </c>
      <c r="J4698" s="71">
        <v>14.3</v>
      </c>
      <c r="K4698" s="121">
        <v>-1.9E-3</v>
      </c>
      <c r="L4698" s="121">
        <v>-5.0000000000000001E-3</v>
      </c>
      <c r="M4698" s="75" t="s">
        <v>146</v>
      </c>
      <c r="N4698" s="75" t="b">
        <v>1</v>
      </c>
      <c r="O4698" s="75" t="s">
        <v>145</v>
      </c>
      <c r="P4698" s="75">
        <v>2014</v>
      </c>
      <c r="Q4698" s="107">
        <f t="shared" si="154"/>
        <v>2020</v>
      </c>
      <c r="R4698" s="107">
        <v>2</v>
      </c>
      <c r="S4698" s="43">
        <v>220152</v>
      </c>
      <c r="T4698" s="74">
        <v>44138</v>
      </c>
    </row>
    <row r="4699" spans="1:20" x14ac:dyDescent="0.3">
      <c r="A4699" s="42">
        <v>44185</v>
      </c>
      <c r="B4699" s="37">
        <f t="shared" si="161"/>
        <v>20201220</v>
      </c>
      <c r="C4699" s="109">
        <v>1.1699999999999999E-2</v>
      </c>
      <c r="D4699" s="109">
        <v>1.2999999999999999E-2</v>
      </c>
      <c r="E4699" s="109">
        <v>1.4999999999999999E-2</v>
      </c>
      <c r="F4699" s="109">
        <v>1.6E-2</v>
      </c>
      <c r="G4699" s="130">
        <v>0</v>
      </c>
      <c r="H4699" s="71">
        <v>8.9</v>
      </c>
      <c r="I4699" s="71">
        <v>11.6</v>
      </c>
      <c r="J4699" s="71">
        <v>14.3</v>
      </c>
      <c r="K4699" s="121">
        <v>-1.9E-3</v>
      </c>
      <c r="L4699" s="121">
        <v>-5.0000000000000001E-3</v>
      </c>
      <c r="M4699" s="75" t="s">
        <v>146</v>
      </c>
      <c r="N4699" s="75" t="b">
        <v>1</v>
      </c>
      <c r="O4699" s="75" t="s">
        <v>145</v>
      </c>
      <c r="P4699" s="75">
        <v>2014</v>
      </c>
      <c r="Q4699" s="107">
        <f t="shared" si="154"/>
        <v>2020</v>
      </c>
      <c r="R4699" s="107">
        <v>2</v>
      </c>
      <c r="S4699" s="43">
        <v>220152</v>
      </c>
      <c r="T4699" s="74">
        <v>44138</v>
      </c>
    </row>
    <row r="4700" spans="1:20" x14ac:dyDescent="0.3">
      <c r="A4700" s="42">
        <v>44186</v>
      </c>
      <c r="B4700" s="37">
        <f t="shared" si="149"/>
        <v>20201221</v>
      </c>
      <c r="C4700" s="109">
        <v>1.1699999999999999E-2</v>
      </c>
      <c r="D4700" s="109">
        <v>1.2999999999999999E-2</v>
      </c>
      <c r="E4700" s="109">
        <v>1.4999999999999999E-2</v>
      </c>
      <c r="F4700" s="109">
        <v>1.6E-2</v>
      </c>
      <c r="G4700" s="130">
        <v>0</v>
      </c>
      <c r="H4700" s="71">
        <v>8.9</v>
      </c>
      <c r="I4700" s="71">
        <v>11.6</v>
      </c>
      <c r="J4700" s="71">
        <v>14.3</v>
      </c>
      <c r="K4700" s="121">
        <v>-1.9E-3</v>
      </c>
      <c r="L4700" s="121">
        <v>-5.0000000000000001E-3</v>
      </c>
      <c r="M4700" s="75" t="s">
        <v>146</v>
      </c>
      <c r="N4700" s="75" t="b">
        <v>1</v>
      </c>
      <c r="O4700" s="75" t="s">
        <v>145</v>
      </c>
      <c r="P4700" s="75">
        <v>2014</v>
      </c>
      <c r="Q4700" s="107">
        <f t="shared" si="154"/>
        <v>2020</v>
      </c>
      <c r="R4700" s="107">
        <v>2</v>
      </c>
      <c r="S4700" s="43">
        <v>220152</v>
      </c>
      <c r="T4700" s="74">
        <v>44138</v>
      </c>
    </row>
    <row r="4701" spans="1:20" x14ac:dyDescent="0.3">
      <c r="A4701" s="42">
        <v>44187</v>
      </c>
      <c r="B4701" s="37">
        <f t="shared" si="149"/>
        <v>20201222</v>
      </c>
      <c r="C4701" s="109">
        <v>1.1399999999999999E-2</v>
      </c>
      <c r="D4701" s="109">
        <v>1.2999999999999999E-2</v>
      </c>
      <c r="E4701" s="109">
        <v>1.4999999999999999E-2</v>
      </c>
      <c r="F4701" s="109">
        <v>1.6E-2</v>
      </c>
      <c r="G4701" s="130">
        <v>0</v>
      </c>
      <c r="H4701" s="71">
        <v>8.9</v>
      </c>
      <c r="I4701" s="71">
        <v>11.6</v>
      </c>
      <c r="J4701" s="71">
        <v>14.3</v>
      </c>
      <c r="K4701" s="121">
        <v>-2.0999999999999999E-3</v>
      </c>
      <c r="L4701" s="121">
        <v>-5.0000000000000001E-3</v>
      </c>
      <c r="M4701" s="75" t="s">
        <v>146</v>
      </c>
      <c r="N4701" s="75" t="b">
        <v>1</v>
      </c>
      <c r="O4701" s="75" t="s">
        <v>145</v>
      </c>
      <c r="P4701" s="75">
        <v>2014</v>
      </c>
      <c r="Q4701" s="107">
        <f t="shared" si="154"/>
        <v>2020</v>
      </c>
      <c r="R4701" s="107">
        <v>2</v>
      </c>
      <c r="S4701" s="43">
        <v>220152</v>
      </c>
      <c r="T4701" s="74">
        <v>44138</v>
      </c>
    </row>
    <row r="4702" spans="1:20" x14ac:dyDescent="0.3">
      <c r="A4702" s="42">
        <v>44188</v>
      </c>
      <c r="B4702" s="37">
        <f t="shared" si="149"/>
        <v>20201223</v>
      </c>
      <c r="C4702" s="109">
        <v>1.1699999999999999E-2</v>
      </c>
      <c r="D4702" s="109">
        <v>1.2999999999999999E-2</v>
      </c>
      <c r="E4702" s="109">
        <v>1.4999999999999999E-2</v>
      </c>
      <c r="F4702" s="109">
        <v>1.6E-2</v>
      </c>
      <c r="G4702" s="130">
        <v>0</v>
      </c>
      <c r="H4702" s="71">
        <v>8.9</v>
      </c>
      <c r="I4702" s="71">
        <v>11.6</v>
      </c>
      <c r="J4702" s="71">
        <v>14.3</v>
      </c>
      <c r="K4702" s="121">
        <v>-2E-3</v>
      </c>
      <c r="L4702" s="121">
        <v>-5.0000000000000001E-3</v>
      </c>
      <c r="M4702" s="75" t="s">
        <v>146</v>
      </c>
      <c r="N4702" s="75" t="b">
        <v>1</v>
      </c>
      <c r="O4702" s="75" t="s">
        <v>145</v>
      </c>
      <c r="P4702" s="75">
        <v>2014</v>
      </c>
      <c r="Q4702" s="107">
        <f t="shared" si="154"/>
        <v>2020</v>
      </c>
      <c r="R4702" s="107">
        <v>2</v>
      </c>
      <c r="S4702" s="43">
        <v>220152</v>
      </c>
      <c r="T4702" s="74">
        <v>44138</v>
      </c>
    </row>
    <row r="4703" spans="1:20" x14ac:dyDescent="0.3">
      <c r="A4703" s="42">
        <v>44189</v>
      </c>
      <c r="B4703" s="37">
        <f t="shared" si="149"/>
        <v>20201224</v>
      </c>
      <c r="C4703" s="109">
        <v>1.15E-2</v>
      </c>
      <c r="D4703" s="109">
        <v>1.2999999999999999E-2</v>
      </c>
      <c r="E4703" s="109">
        <v>1.4999999999999999E-2</v>
      </c>
      <c r="F4703" s="109">
        <v>1.6E-2</v>
      </c>
      <c r="G4703" s="130">
        <v>0</v>
      </c>
      <c r="H4703" s="71">
        <v>8.9</v>
      </c>
      <c r="I4703" s="71">
        <v>11.6</v>
      </c>
      <c r="J4703" s="71">
        <v>14.3</v>
      </c>
      <c r="K4703" s="121">
        <v>-2.0999999999999999E-3</v>
      </c>
      <c r="L4703" s="121">
        <v>-5.0000000000000001E-3</v>
      </c>
      <c r="M4703" s="75" t="s">
        <v>146</v>
      </c>
      <c r="N4703" s="75" t="b">
        <v>1</v>
      </c>
      <c r="O4703" s="75" t="s">
        <v>145</v>
      </c>
      <c r="P4703" s="75">
        <v>2014</v>
      </c>
      <c r="Q4703" s="107">
        <f t="shared" si="154"/>
        <v>2020</v>
      </c>
      <c r="R4703" s="107">
        <v>2</v>
      </c>
      <c r="S4703" s="43">
        <v>220152</v>
      </c>
      <c r="T4703" s="74">
        <v>44138</v>
      </c>
    </row>
    <row r="4704" spans="1:20" x14ac:dyDescent="0.3">
      <c r="A4704" s="42">
        <v>44190</v>
      </c>
      <c r="B4704" s="37">
        <f t="shared" si="149"/>
        <v>20201225</v>
      </c>
      <c r="C4704" s="109">
        <v>1.15E-2</v>
      </c>
      <c r="D4704" s="109">
        <v>1.2999999999999999E-2</v>
      </c>
      <c r="E4704" s="109">
        <v>1.4999999999999999E-2</v>
      </c>
      <c r="F4704" s="109">
        <v>1.6E-2</v>
      </c>
      <c r="G4704" s="130">
        <v>0</v>
      </c>
      <c r="H4704" s="71">
        <v>8.9</v>
      </c>
      <c r="I4704" s="71">
        <v>11.6</v>
      </c>
      <c r="J4704" s="71">
        <v>14.3</v>
      </c>
      <c r="K4704" s="121">
        <v>-2.0999999999999999E-3</v>
      </c>
      <c r="L4704" s="121">
        <v>-5.0000000000000001E-3</v>
      </c>
      <c r="M4704" s="75" t="s">
        <v>146</v>
      </c>
      <c r="N4704" s="75" t="b">
        <v>1</v>
      </c>
      <c r="O4704" s="75" t="s">
        <v>145</v>
      </c>
      <c r="P4704" s="75">
        <v>2014</v>
      </c>
      <c r="Q4704" s="107">
        <f t="shared" si="154"/>
        <v>2020</v>
      </c>
      <c r="R4704" s="107">
        <v>2</v>
      </c>
      <c r="S4704" s="43">
        <v>220152</v>
      </c>
      <c r="T4704" s="74">
        <v>44138</v>
      </c>
    </row>
    <row r="4705" spans="1:21" x14ac:dyDescent="0.3">
      <c r="A4705" s="42">
        <v>44191</v>
      </c>
      <c r="B4705" s="37">
        <f t="shared" ref="B4705:B4706" si="162">YEAR(A4705)*10000+MONTH(A4705)*100+DAY(A4705)</f>
        <v>20201226</v>
      </c>
      <c r="C4705" s="109">
        <v>1.15E-2</v>
      </c>
      <c r="D4705" s="109">
        <v>1.2999999999999999E-2</v>
      </c>
      <c r="E4705" s="109">
        <v>1.4999999999999999E-2</v>
      </c>
      <c r="F4705" s="109">
        <v>1.6E-2</v>
      </c>
      <c r="G4705" s="130">
        <v>0</v>
      </c>
      <c r="H4705" s="71">
        <v>8.9</v>
      </c>
      <c r="I4705" s="71">
        <v>11.6</v>
      </c>
      <c r="J4705" s="71">
        <v>14.3</v>
      </c>
      <c r="K4705" s="121">
        <v>-2.0999999999999999E-3</v>
      </c>
      <c r="L4705" s="121">
        <v>-5.0000000000000001E-3</v>
      </c>
      <c r="M4705" s="75" t="s">
        <v>146</v>
      </c>
      <c r="N4705" s="75" t="b">
        <v>1</v>
      </c>
      <c r="O4705" s="75" t="s">
        <v>145</v>
      </c>
      <c r="P4705" s="75">
        <v>2014</v>
      </c>
      <c r="Q4705" s="107">
        <f t="shared" si="154"/>
        <v>2020</v>
      </c>
      <c r="R4705" s="107">
        <v>2</v>
      </c>
      <c r="S4705" s="43">
        <v>220152</v>
      </c>
      <c r="T4705" s="74">
        <v>44138</v>
      </c>
    </row>
    <row r="4706" spans="1:21" x14ac:dyDescent="0.3">
      <c r="A4706" s="42">
        <v>44192</v>
      </c>
      <c r="B4706" s="37">
        <f t="shared" si="162"/>
        <v>20201227</v>
      </c>
      <c r="C4706" s="109">
        <v>1.15E-2</v>
      </c>
      <c r="D4706" s="109">
        <v>1.2999999999999999E-2</v>
      </c>
      <c r="E4706" s="109">
        <v>1.4999999999999999E-2</v>
      </c>
      <c r="F4706" s="109">
        <v>1.6E-2</v>
      </c>
      <c r="G4706" s="130">
        <v>0</v>
      </c>
      <c r="H4706" s="71">
        <v>8.9</v>
      </c>
      <c r="I4706" s="71">
        <v>11.6</v>
      </c>
      <c r="J4706" s="71">
        <v>14.3</v>
      </c>
      <c r="K4706" s="121">
        <v>-2.0999999999999999E-3</v>
      </c>
      <c r="L4706" s="121">
        <v>-5.0000000000000001E-3</v>
      </c>
      <c r="M4706" s="75" t="s">
        <v>146</v>
      </c>
      <c r="N4706" s="75" t="b">
        <v>1</v>
      </c>
      <c r="O4706" s="75" t="s">
        <v>145</v>
      </c>
      <c r="P4706" s="75">
        <v>2014</v>
      </c>
      <c r="Q4706" s="107">
        <f t="shared" si="154"/>
        <v>2020</v>
      </c>
      <c r="R4706" s="107">
        <v>2</v>
      </c>
      <c r="S4706" s="43">
        <v>220152</v>
      </c>
      <c r="T4706" s="74">
        <v>44138</v>
      </c>
    </row>
    <row r="4707" spans="1:21" x14ac:dyDescent="0.3">
      <c r="A4707" s="42">
        <v>44193</v>
      </c>
      <c r="B4707" s="37">
        <f t="shared" si="149"/>
        <v>20201228</v>
      </c>
      <c r="C4707" s="109">
        <v>1.15E-2</v>
      </c>
      <c r="D4707" s="109">
        <v>1.2999999999999999E-2</v>
      </c>
      <c r="E4707" s="109">
        <v>1.4999999999999999E-2</v>
      </c>
      <c r="F4707" s="109">
        <v>1.6E-2</v>
      </c>
      <c r="G4707" s="130">
        <v>0</v>
      </c>
      <c r="H4707" s="71">
        <v>8.9</v>
      </c>
      <c r="I4707" s="71">
        <v>11.6</v>
      </c>
      <c r="J4707" s="71">
        <v>14.3</v>
      </c>
      <c r="K4707" s="121">
        <v>-2.0999999999999999E-3</v>
      </c>
      <c r="L4707" s="121">
        <v>-5.0000000000000001E-3</v>
      </c>
      <c r="M4707" s="75" t="s">
        <v>146</v>
      </c>
      <c r="N4707" s="75" t="b">
        <v>1</v>
      </c>
      <c r="O4707" s="75" t="s">
        <v>145</v>
      </c>
      <c r="P4707" s="75">
        <v>2014</v>
      </c>
      <c r="Q4707" s="107">
        <f t="shared" si="154"/>
        <v>2020</v>
      </c>
      <c r="R4707" s="107">
        <v>2</v>
      </c>
      <c r="S4707" s="43">
        <v>220152</v>
      </c>
      <c r="T4707" s="74">
        <v>44138</v>
      </c>
    </row>
    <row r="4708" spans="1:21" x14ac:dyDescent="0.3">
      <c r="A4708" s="42">
        <v>44194</v>
      </c>
      <c r="B4708" s="37">
        <f t="shared" si="149"/>
        <v>20201229</v>
      </c>
      <c r="C4708" s="109">
        <v>1.1399999999999999E-2</v>
      </c>
      <c r="D4708" s="109">
        <v>1.2999999999999999E-2</v>
      </c>
      <c r="E4708" s="109">
        <v>1.4999999999999999E-2</v>
      </c>
      <c r="F4708" s="109">
        <v>1.6E-2</v>
      </c>
      <c r="G4708" s="130">
        <v>0</v>
      </c>
      <c r="H4708" s="71">
        <v>8.9</v>
      </c>
      <c r="I4708" s="71">
        <v>11.6</v>
      </c>
      <c r="J4708" s="71">
        <v>14.3</v>
      </c>
      <c r="K4708" s="121">
        <v>-2.3E-3</v>
      </c>
      <c r="L4708" s="121">
        <v>-5.0000000000000001E-3</v>
      </c>
      <c r="M4708" s="75" t="s">
        <v>146</v>
      </c>
      <c r="N4708" s="75" t="b">
        <v>1</v>
      </c>
      <c r="O4708" s="75" t="s">
        <v>145</v>
      </c>
      <c r="P4708" s="75">
        <v>2014</v>
      </c>
      <c r="Q4708" s="107">
        <f t="shared" si="154"/>
        <v>2020</v>
      </c>
      <c r="R4708" s="107">
        <v>2</v>
      </c>
      <c r="S4708" s="43">
        <v>220152</v>
      </c>
      <c r="T4708" s="74">
        <v>44138</v>
      </c>
    </row>
    <row r="4709" spans="1:21" x14ac:dyDescent="0.3">
      <c r="A4709" s="42">
        <v>44195</v>
      </c>
      <c r="B4709" s="37">
        <f t="shared" si="149"/>
        <v>20201230</v>
      </c>
      <c r="C4709" s="109">
        <v>1.1299999999999999E-2</v>
      </c>
      <c r="D4709" s="109">
        <v>1.2999999999999999E-2</v>
      </c>
      <c r="E4709" s="109">
        <v>1.4999999999999999E-2</v>
      </c>
      <c r="F4709" s="109">
        <v>1.6E-2</v>
      </c>
      <c r="G4709" s="130">
        <v>0</v>
      </c>
      <c r="H4709" s="71">
        <v>8.9</v>
      </c>
      <c r="I4709" s="71">
        <v>11.6</v>
      </c>
      <c r="J4709" s="71">
        <v>14.3</v>
      </c>
      <c r="K4709" s="121">
        <v>-2.3999999999999998E-3</v>
      </c>
      <c r="L4709" s="121">
        <v>-5.0000000000000001E-3</v>
      </c>
      <c r="M4709" s="75" t="s">
        <v>146</v>
      </c>
      <c r="N4709" s="75" t="b">
        <v>1</v>
      </c>
      <c r="O4709" s="75" t="s">
        <v>145</v>
      </c>
      <c r="P4709" s="75">
        <v>2014</v>
      </c>
      <c r="Q4709" s="107">
        <f t="shared" si="154"/>
        <v>2020</v>
      </c>
      <c r="R4709" s="107">
        <v>2</v>
      </c>
      <c r="S4709" s="43">
        <v>220152</v>
      </c>
      <c r="T4709" s="74">
        <v>44138</v>
      </c>
    </row>
    <row r="4710" spans="1:21" s="116" customFormat="1" x14ac:dyDescent="0.3">
      <c r="A4710" s="110">
        <v>44196</v>
      </c>
      <c r="B4710" s="132">
        <f t="shared" si="149"/>
        <v>20201231</v>
      </c>
      <c r="C4710" s="111">
        <v>1.1000000000000001E-2</v>
      </c>
      <c r="D4710" s="120">
        <v>1.2E-2</v>
      </c>
      <c r="E4710" s="120">
        <v>1.4E-2</v>
      </c>
      <c r="F4710" s="120">
        <v>1.4999999999999999E-2</v>
      </c>
      <c r="G4710" s="133">
        <v>0</v>
      </c>
      <c r="H4710" s="124">
        <v>8.9</v>
      </c>
      <c r="I4710" s="124">
        <v>11.6</v>
      </c>
      <c r="J4710" s="124">
        <v>14.3</v>
      </c>
      <c r="K4710" s="131">
        <v>-2.8000000000000004E-3</v>
      </c>
      <c r="L4710" s="131">
        <v>-5.0000000000000001E-3</v>
      </c>
      <c r="M4710" s="98" t="s">
        <v>146</v>
      </c>
      <c r="N4710" s="98" t="b">
        <v>1</v>
      </c>
      <c r="O4710" s="98" t="s">
        <v>145</v>
      </c>
      <c r="P4710" s="98">
        <v>2014</v>
      </c>
      <c r="Q4710" s="105">
        <f t="shared" si="154"/>
        <v>2020</v>
      </c>
      <c r="R4710" s="105">
        <v>2</v>
      </c>
      <c r="S4710" s="127">
        <v>221026</v>
      </c>
      <c r="T4710" s="128">
        <v>44265</v>
      </c>
      <c r="U4710" s="98" t="s">
        <v>176</v>
      </c>
    </row>
    <row r="4711" spans="1:21" x14ac:dyDescent="0.3">
      <c r="A4711" s="42">
        <v>44197</v>
      </c>
      <c r="B4711" s="37">
        <f t="shared" si="149"/>
        <v>20210101</v>
      </c>
      <c r="C4711" s="109">
        <v>1.1000000000000001E-2</v>
      </c>
      <c r="D4711" s="109">
        <v>1.2E-2</v>
      </c>
      <c r="E4711" s="109">
        <v>1.4E-2</v>
      </c>
      <c r="F4711" s="109">
        <v>1.4999999999999999E-2</v>
      </c>
      <c r="G4711" s="130">
        <v>0</v>
      </c>
      <c r="H4711" s="71">
        <v>8.9</v>
      </c>
      <c r="I4711" s="71">
        <v>11.6</v>
      </c>
      <c r="J4711" s="71">
        <v>14.3</v>
      </c>
      <c r="K4711" s="121">
        <v>-2.8000000000000004E-3</v>
      </c>
      <c r="L4711" s="121">
        <v>-5.0000000000000001E-3</v>
      </c>
      <c r="M4711" s="75" t="s">
        <v>146</v>
      </c>
      <c r="N4711" s="75" t="b">
        <v>1</v>
      </c>
      <c r="O4711" s="75" t="s">
        <v>145</v>
      </c>
      <c r="P4711" s="75">
        <v>2014</v>
      </c>
      <c r="Q4711" s="107">
        <f t="shared" si="154"/>
        <v>2021</v>
      </c>
      <c r="R4711" s="107">
        <v>2</v>
      </c>
      <c r="S4711" s="43">
        <v>221026</v>
      </c>
      <c r="T4711" s="74">
        <v>44265</v>
      </c>
    </row>
    <row r="4712" spans="1:21" x14ac:dyDescent="0.3">
      <c r="A4712" s="42">
        <v>44198</v>
      </c>
      <c r="B4712" s="37">
        <f t="shared" ref="B4712:B4713" si="163">YEAR(A4712)*10000+MONTH(A4712)*100+DAY(A4712)</f>
        <v>20210102</v>
      </c>
      <c r="C4712" s="109">
        <v>1.1000000000000001E-2</v>
      </c>
      <c r="D4712" s="109">
        <v>1.2E-2</v>
      </c>
      <c r="E4712" s="109">
        <v>1.4E-2</v>
      </c>
      <c r="F4712" s="109">
        <v>1.4999999999999999E-2</v>
      </c>
      <c r="G4712" s="130">
        <v>0</v>
      </c>
      <c r="H4712" s="71">
        <v>8.9</v>
      </c>
      <c r="I4712" s="71">
        <v>11.6</v>
      </c>
      <c r="J4712" s="71">
        <v>14.3</v>
      </c>
      <c r="K4712" s="121">
        <v>-2.8000000000000004E-3</v>
      </c>
      <c r="L4712" s="121">
        <v>-5.0000000000000001E-3</v>
      </c>
      <c r="M4712" s="75" t="s">
        <v>146</v>
      </c>
      <c r="N4712" s="75" t="b">
        <v>1</v>
      </c>
      <c r="O4712" s="75" t="s">
        <v>145</v>
      </c>
      <c r="P4712" s="75">
        <v>2014</v>
      </c>
      <c r="Q4712" s="107">
        <f t="shared" si="154"/>
        <v>2021</v>
      </c>
      <c r="R4712" s="107">
        <v>2</v>
      </c>
      <c r="S4712" s="43">
        <v>221026</v>
      </c>
      <c r="T4712" s="74">
        <v>44265</v>
      </c>
    </row>
    <row r="4713" spans="1:21" x14ac:dyDescent="0.3">
      <c r="A4713" s="42">
        <v>44199</v>
      </c>
      <c r="B4713" s="37">
        <f t="shared" si="163"/>
        <v>20210103</v>
      </c>
      <c r="C4713" s="109">
        <v>1.1000000000000001E-2</v>
      </c>
      <c r="D4713" s="109">
        <v>1.2E-2</v>
      </c>
      <c r="E4713" s="109">
        <v>1.4E-2</v>
      </c>
      <c r="F4713" s="109">
        <v>1.4999999999999999E-2</v>
      </c>
      <c r="G4713" s="130">
        <v>0</v>
      </c>
      <c r="H4713" s="71">
        <v>8.9</v>
      </c>
      <c r="I4713" s="71">
        <v>11.6</v>
      </c>
      <c r="J4713" s="71">
        <v>14.3</v>
      </c>
      <c r="K4713" s="121">
        <v>-2.8000000000000004E-3</v>
      </c>
      <c r="L4713" s="121">
        <v>-5.0000000000000001E-3</v>
      </c>
      <c r="M4713" s="75" t="s">
        <v>146</v>
      </c>
      <c r="N4713" s="75" t="b">
        <v>1</v>
      </c>
      <c r="O4713" s="75" t="s">
        <v>145</v>
      </c>
      <c r="P4713" s="75">
        <v>2014</v>
      </c>
      <c r="Q4713" s="107">
        <f t="shared" si="154"/>
        <v>2021</v>
      </c>
      <c r="R4713" s="107">
        <v>2</v>
      </c>
      <c r="S4713" s="43">
        <v>221026</v>
      </c>
      <c r="T4713" s="74">
        <v>44265</v>
      </c>
    </row>
    <row r="4714" spans="1:21" x14ac:dyDescent="0.3">
      <c r="A4714" s="42">
        <v>44200</v>
      </c>
      <c r="B4714" s="37">
        <f t="shared" si="149"/>
        <v>20210104</v>
      </c>
      <c r="C4714" s="109">
        <v>1.11E-2</v>
      </c>
      <c r="D4714" s="109">
        <v>1.2E-2</v>
      </c>
      <c r="E4714" s="109">
        <v>1.4E-2</v>
      </c>
      <c r="F4714" s="109">
        <v>1.4999999999999999E-2</v>
      </c>
      <c r="G4714" s="130">
        <v>0</v>
      </c>
      <c r="H4714" s="71">
        <v>8.9</v>
      </c>
      <c r="I4714" s="71">
        <v>11.6</v>
      </c>
      <c r="J4714" s="71">
        <v>14.3</v>
      </c>
      <c r="K4714" s="121">
        <v>-2.7000000000000001E-3</v>
      </c>
      <c r="L4714" s="121">
        <v>-5.0000000000000001E-3</v>
      </c>
      <c r="M4714" s="75" t="s">
        <v>146</v>
      </c>
      <c r="N4714" s="75" t="b">
        <v>1</v>
      </c>
      <c r="O4714" s="75" t="s">
        <v>145</v>
      </c>
      <c r="P4714" s="75">
        <v>2014</v>
      </c>
      <c r="Q4714" s="107">
        <f t="shared" si="154"/>
        <v>2021</v>
      </c>
      <c r="R4714" s="107">
        <v>2</v>
      </c>
      <c r="S4714" s="43">
        <v>221026</v>
      </c>
      <c r="T4714" s="74">
        <v>44265</v>
      </c>
    </row>
    <row r="4715" spans="1:21" x14ac:dyDescent="0.3">
      <c r="A4715" s="42">
        <v>44201</v>
      </c>
      <c r="B4715" s="37">
        <f t="shared" ref="B4715:B4765" si="164">YEAR(A4715)*10000+MONTH(A4715)*100+DAY(A4715)</f>
        <v>20210105</v>
      </c>
      <c r="C4715" s="109">
        <v>1.1599999999999999E-2</v>
      </c>
      <c r="D4715" s="109">
        <v>1.2E-2</v>
      </c>
      <c r="E4715" s="109">
        <v>1.4E-2</v>
      </c>
      <c r="F4715" s="109">
        <v>1.4999999999999999E-2</v>
      </c>
      <c r="G4715" s="130">
        <v>0</v>
      </c>
      <c r="H4715" s="71">
        <v>8.9</v>
      </c>
      <c r="I4715" s="71">
        <v>11.6</v>
      </c>
      <c r="J4715" s="71">
        <v>14.3</v>
      </c>
      <c r="K4715" s="121">
        <v>-2.3999999999999998E-3</v>
      </c>
      <c r="L4715" s="121">
        <v>-5.0000000000000001E-3</v>
      </c>
      <c r="M4715" s="75" t="s">
        <v>146</v>
      </c>
      <c r="N4715" s="75" t="b">
        <v>1</v>
      </c>
      <c r="O4715" s="75" t="s">
        <v>145</v>
      </c>
      <c r="P4715" s="75">
        <v>2014</v>
      </c>
      <c r="Q4715" s="107">
        <f t="shared" si="154"/>
        <v>2021</v>
      </c>
      <c r="R4715" s="107">
        <v>2</v>
      </c>
      <c r="S4715" s="43">
        <v>221026</v>
      </c>
      <c r="T4715" s="74">
        <v>44265</v>
      </c>
    </row>
    <row r="4716" spans="1:21" x14ac:dyDescent="0.3">
      <c r="A4716" s="42">
        <v>44202</v>
      </c>
      <c r="B4716" s="37">
        <f t="shared" si="164"/>
        <v>20210106</v>
      </c>
      <c r="C4716" s="109">
        <v>1.23E-2</v>
      </c>
      <c r="D4716" s="109">
        <v>1.2E-2</v>
      </c>
      <c r="E4716" s="109">
        <v>1.4E-2</v>
      </c>
      <c r="F4716" s="109">
        <v>1.4999999999999999E-2</v>
      </c>
      <c r="G4716" s="130">
        <v>0</v>
      </c>
      <c r="H4716" s="71">
        <v>8.9</v>
      </c>
      <c r="I4716" s="71">
        <v>11.6</v>
      </c>
      <c r="J4716" s="71">
        <v>14.3</v>
      </c>
      <c r="K4716" s="121">
        <v>-1.9E-3</v>
      </c>
      <c r="L4716" s="121">
        <v>-5.0000000000000001E-3</v>
      </c>
      <c r="M4716" s="75" t="s">
        <v>146</v>
      </c>
      <c r="N4716" s="75" t="b">
        <v>1</v>
      </c>
      <c r="O4716" s="75" t="s">
        <v>145</v>
      </c>
      <c r="P4716" s="75">
        <v>2014</v>
      </c>
      <c r="Q4716" s="107">
        <f t="shared" si="154"/>
        <v>2021</v>
      </c>
      <c r="R4716" s="107">
        <v>2</v>
      </c>
      <c r="S4716" s="43">
        <v>221026</v>
      </c>
      <c r="T4716" s="74">
        <v>44265</v>
      </c>
    </row>
    <row r="4717" spans="1:21" x14ac:dyDescent="0.3">
      <c r="A4717" s="42">
        <v>44203</v>
      </c>
      <c r="B4717" s="37">
        <f t="shared" si="164"/>
        <v>20210107</v>
      </c>
      <c r="C4717" s="109">
        <v>1.2699999999999999E-2</v>
      </c>
      <c r="D4717" s="109">
        <v>1.2E-2</v>
      </c>
      <c r="E4717" s="109">
        <v>1.4E-2</v>
      </c>
      <c r="F4717" s="109">
        <v>1.4999999999999999E-2</v>
      </c>
      <c r="G4717" s="130">
        <v>0</v>
      </c>
      <c r="H4717" s="71">
        <v>8.9</v>
      </c>
      <c r="I4717" s="71">
        <v>11.6</v>
      </c>
      <c r="J4717" s="71">
        <v>14.3</v>
      </c>
      <c r="K4717" s="121">
        <v>-1.7000000000000001E-3</v>
      </c>
      <c r="L4717" s="121">
        <v>-5.0000000000000001E-3</v>
      </c>
      <c r="M4717" s="75" t="s">
        <v>146</v>
      </c>
      <c r="N4717" s="75" t="b">
        <v>1</v>
      </c>
      <c r="O4717" s="75" t="s">
        <v>145</v>
      </c>
      <c r="P4717" s="75">
        <v>2014</v>
      </c>
      <c r="Q4717" s="107">
        <f t="shared" si="154"/>
        <v>2021</v>
      </c>
      <c r="R4717" s="107">
        <v>2</v>
      </c>
      <c r="S4717" s="43">
        <v>221026</v>
      </c>
      <c r="T4717" s="74">
        <v>44265</v>
      </c>
    </row>
    <row r="4718" spans="1:21" x14ac:dyDescent="0.3">
      <c r="A4718" s="42">
        <v>44204</v>
      </c>
      <c r="B4718" s="37">
        <f t="shared" si="164"/>
        <v>20210108</v>
      </c>
      <c r="C4718" s="109">
        <v>1.3000000000000001E-2</v>
      </c>
      <c r="D4718" s="109">
        <v>1.2E-2</v>
      </c>
      <c r="E4718" s="109">
        <v>1.4E-2</v>
      </c>
      <c r="F4718" s="109">
        <v>1.4999999999999999E-2</v>
      </c>
      <c r="G4718" s="130">
        <v>0</v>
      </c>
      <c r="H4718" s="71">
        <v>8.9</v>
      </c>
      <c r="I4718" s="71">
        <v>11.6</v>
      </c>
      <c r="J4718" s="71">
        <v>14.3</v>
      </c>
      <c r="K4718" s="121">
        <v>-1.2999999999999999E-3</v>
      </c>
      <c r="L4718" s="121">
        <v>-5.0000000000000001E-3</v>
      </c>
      <c r="M4718" s="75" t="s">
        <v>146</v>
      </c>
      <c r="N4718" s="75" t="b">
        <v>1</v>
      </c>
      <c r="O4718" s="75" t="s">
        <v>145</v>
      </c>
      <c r="P4718" s="75">
        <v>2014</v>
      </c>
      <c r="Q4718" s="107">
        <f t="shared" ref="Q4718:Q4750" si="165">YEAR(A4718)</f>
        <v>2021</v>
      </c>
      <c r="R4718" s="107">
        <v>2</v>
      </c>
      <c r="S4718" s="43">
        <v>221026</v>
      </c>
      <c r="T4718" s="74">
        <v>44265</v>
      </c>
    </row>
    <row r="4719" spans="1:21" x14ac:dyDescent="0.3">
      <c r="A4719" s="42">
        <v>44205</v>
      </c>
      <c r="B4719" s="37">
        <f t="shared" ref="B4719:B4720" si="166">YEAR(A4719)*10000+MONTH(A4719)*100+DAY(A4719)</f>
        <v>20210109</v>
      </c>
      <c r="C4719" s="109">
        <v>1.3000000000000001E-2</v>
      </c>
      <c r="D4719" s="109">
        <v>1.2E-2</v>
      </c>
      <c r="E4719" s="109">
        <v>1.4E-2</v>
      </c>
      <c r="F4719" s="109">
        <v>1.4999999999999999E-2</v>
      </c>
      <c r="G4719" s="130">
        <v>0</v>
      </c>
      <c r="H4719" s="71">
        <v>8.9</v>
      </c>
      <c r="I4719" s="71">
        <v>11.6</v>
      </c>
      <c r="J4719" s="71">
        <v>14.3</v>
      </c>
      <c r="K4719" s="121">
        <v>-1.2999999999999999E-3</v>
      </c>
      <c r="L4719" s="121">
        <v>-5.0000000000000001E-3</v>
      </c>
      <c r="M4719" s="75" t="s">
        <v>146</v>
      </c>
      <c r="N4719" s="75" t="b">
        <v>1</v>
      </c>
      <c r="O4719" s="75" t="s">
        <v>145</v>
      </c>
      <c r="P4719" s="75">
        <v>2014</v>
      </c>
      <c r="Q4719" s="107">
        <f t="shared" si="165"/>
        <v>2021</v>
      </c>
      <c r="R4719" s="107">
        <v>2</v>
      </c>
      <c r="S4719" s="43">
        <v>221026</v>
      </c>
      <c r="T4719" s="74">
        <v>44265</v>
      </c>
    </row>
    <row r="4720" spans="1:21" x14ac:dyDescent="0.3">
      <c r="A4720" s="42">
        <v>44206</v>
      </c>
      <c r="B4720" s="37">
        <f t="shared" si="166"/>
        <v>20210110</v>
      </c>
      <c r="C4720" s="109">
        <v>1.3000000000000001E-2</v>
      </c>
      <c r="D4720" s="109">
        <v>1.2E-2</v>
      </c>
      <c r="E4720" s="109">
        <v>1.4E-2</v>
      </c>
      <c r="F4720" s="109">
        <v>1.4999999999999999E-2</v>
      </c>
      <c r="G4720" s="130">
        <v>0</v>
      </c>
      <c r="H4720" s="71">
        <v>8.9</v>
      </c>
      <c r="I4720" s="71">
        <v>11.6</v>
      </c>
      <c r="J4720" s="71">
        <v>14.3</v>
      </c>
      <c r="K4720" s="121">
        <v>-1.2999999999999999E-3</v>
      </c>
      <c r="L4720" s="121">
        <v>-5.0000000000000001E-3</v>
      </c>
      <c r="M4720" s="75" t="s">
        <v>146</v>
      </c>
      <c r="N4720" s="75" t="b">
        <v>1</v>
      </c>
      <c r="O4720" s="75" t="s">
        <v>145</v>
      </c>
      <c r="P4720" s="75">
        <v>2014</v>
      </c>
      <c r="Q4720" s="107">
        <f t="shared" si="165"/>
        <v>2021</v>
      </c>
      <c r="R4720" s="107">
        <v>2</v>
      </c>
      <c r="S4720" s="43">
        <v>221026</v>
      </c>
      <c r="T4720" s="74">
        <v>44265</v>
      </c>
    </row>
    <row r="4721" spans="1:20" x14ac:dyDescent="0.3">
      <c r="A4721" s="42">
        <v>44207</v>
      </c>
      <c r="B4721" s="37">
        <f t="shared" si="164"/>
        <v>20210111</v>
      </c>
      <c r="C4721" s="109">
        <v>1.32E-2</v>
      </c>
      <c r="D4721" s="109">
        <v>1.2E-2</v>
      </c>
      <c r="E4721" s="109">
        <v>1.4E-2</v>
      </c>
      <c r="F4721" s="109">
        <v>1.4999999999999999E-2</v>
      </c>
      <c r="G4721" s="130">
        <v>0</v>
      </c>
      <c r="H4721" s="71">
        <v>8.9</v>
      </c>
      <c r="I4721" s="71">
        <v>11.6</v>
      </c>
      <c r="J4721" s="71">
        <v>14.3</v>
      </c>
      <c r="K4721" s="121">
        <v>-1E-3</v>
      </c>
      <c r="L4721" s="121">
        <v>-5.0000000000000001E-3</v>
      </c>
      <c r="M4721" s="75" t="s">
        <v>146</v>
      </c>
      <c r="N4721" s="75" t="b">
        <v>1</v>
      </c>
      <c r="O4721" s="75" t="s">
        <v>145</v>
      </c>
      <c r="P4721" s="75">
        <v>2014</v>
      </c>
      <c r="Q4721" s="107">
        <f t="shared" si="165"/>
        <v>2021</v>
      </c>
      <c r="R4721" s="107">
        <v>2</v>
      </c>
      <c r="S4721" s="43">
        <v>221026</v>
      </c>
      <c r="T4721" s="74">
        <v>44265</v>
      </c>
    </row>
    <row r="4722" spans="1:20" x14ac:dyDescent="0.3">
      <c r="A4722" s="42">
        <v>44208</v>
      </c>
      <c r="B4722" s="37">
        <f t="shared" si="164"/>
        <v>20210112</v>
      </c>
      <c r="C4722" s="109">
        <v>1.34E-2</v>
      </c>
      <c r="D4722" s="109">
        <v>1.2E-2</v>
      </c>
      <c r="E4722" s="109">
        <v>1.4E-2</v>
      </c>
      <c r="F4722" s="109">
        <v>1.4999999999999999E-2</v>
      </c>
      <c r="G4722" s="130">
        <v>0</v>
      </c>
      <c r="H4722" s="71">
        <v>8.9</v>
      </c>
      <c r="I4722" s="71">
        <v>11.6</v>
      </c>
      <c r="J4722" s="71">
        <v>14.3</v>
      </c>
      <c r="K4722" s="121">
        <v>-8.9999999999999998E-4</v>
      </c>
      <c r="L4722" s="121">
        <v>-5.0000000000000001E-3</v>
      </c>
      <c r="M4722" s="75" t="s">
        <v>146</v>
      </c>
      <c r="N4722" s="75" t="b">
        <v>1</v>
      </c>
      <c r="O4722" s="75" t="s">
        <v>145</v>
      </c>
      <c r="P4722" s="75">
        <v>2014</v>
      </c>
      <c r="Q4722" s="107">
        <f t="shared" si="165"/>
        <v>2021</v>
      </c>
      <c r="R4722" s="107">
        <v>2</v>
      </c>
      <c r="S4722" s="43">
        <v>221026</v>
      </c>
      <c r="T4722" s="74">
        <v>44265</v>
      </c>
    </row>
    <row r="4723" spans="1:20" x14ac:dyDescent="0.3">
      <c r="A4723" s="42">
        <v>44209</v>
      </c>
      <c r="B4723" s="37">
        <f t="shared" si="164"/>
        <v>20210113</v>
      </c>
      <c r="C4723" s="109">
        <v>1.3100000000000001E-2</v>
      </c>
      <c r="D4723" s="109">
        <v>1.2E-2</v>
      </c>
      <c r="E4723" s="109">
        <v>1.4E-2</v>
      </c>
      <c r="F4723" s="109">
        <v>1.4999999999999999E-2</v>
      </c>
      <c r="G4723" s="130">
        <v>0</v>
      </c>
      <c r="H4723" s="71">
        <v>8.9</v>
      </c>
      <c r="I4723" s="71">
        <v>11.6</v>
      </c>
      <c r="J4723" s="71">
        <v>14.3</v>
      </c>
      <c r="K4723" s="121">
        <v>-1.1999999999999999E-3</v>
      </c>
      <c r="L4723" s="121">
        <v>-5.0000000000000001E-3</v>
      </c>
      <c r="M4723" s="75" t="s">
        <v>146</v>
      </c>
      <c r="N4723" s="75" t="b">
        <v>1</v>
      </c>
      <c r="O4723" s="75" t="s">
        <v>145</v>
      </c>
      <c r="P4723" s="75">
        <v>2014</v>
      </c>
      <c r="Q4723" s="107">
        <f t="shared" si="165"/>
        <v>2021</v>
      </c>
      <c r="R4723" s="107">
        <v>2</v>
      </c>
      <c r="S4723" s="43">
        <v>221026</v>
      </c>
      <c r="T4723" s="74">
        <v>44265</v>
      </c>
    </row>
    <row r="4724" spans="1:20" x14ac:dyDescent="0.3">
      <c r="A4724" s="42">
        <v>44210</v>
      </c>
      <c r="B4724" s="37">
        <f t="shared" si="164"/>
        <v>20210114</v>
      </c>
      <c r="C4724" s="109">
        <v>1.3500000000000002E-2</v>
      </c>
      <c r="D4724" s="109">
        <v>1.2E-2</v>
      </c>
      <c r="E4724" s="109">
        <v>1.4E-2</v>
      </c>
      <c r="F4724" s="109">
        <v>1.4999999999999999E-2</v>
      </c>
      <c r="G4724" s="130">
        <v>0</v>
      </c>
      <c r="H4724" s="71">
        <v>8.9</v>
      </c>
      <c r="I4724" s="71">
        <v>11.6</v>
      </c>
      <c r="J4724" s="71">
        <v>14.3</v>
      </c>
      <c r="K4724" s="121">
        <v>-8.9999999999999998E-4</v>
      </c>
      <c r="L4724" s="121">
        <v>-5.0000000000000001E-3</v>
      </c>
      <c r="M4724" s="75" t="s">
        <v>146</v>
      </c>
      <c r="N4724" s="75" t="b">
        <v>1</v>
      </c>
      <c r="O4724" s="75" t="s">
        <v>145</v>
      </c>
      <c r="P4724" s="75">
        <v>2014</v>
      </c>
      <c r="Q4724" s="107">
        <f t="shared" si="165"/>
        <v>2021</v>
      </c>
      <c r="R4724" s="107">
        <v>2</v>
      </c>
      <c r="S4724" s="43">
        <v>221026</v>
      </c>
      <c r="T4724" s="74">
        <v>44265</v>
      </c>
    </row>
    <row r="4725" spans="1:20" x14ac:dyDescent="0.3">
      <c r="A4725" s="42">
        <v>44211</v>
      </c>
      <c r="B4725" s="37">
        <f t="shared" si="164"/>
        <v>20210115</v>
      </c>
      <c r="C4725" s="109">
        <v>1.3000000000000001E-2</v>
      </c>
      <c r="D4725" s="109">
        <v>1.2E-2</v>
      </c>
      <c r="E4725" s="109">
        <v>1.4E-2</v>
      </c>
      <c r="F4725" s="109">
        <v>1.4999999999999999E-2</v>
      </c>
      <c r="G4725" s="130">
        <v>0</v>
      </c>
      <c r="H4725" s="71">
        <v>8.9</v>
      </c>
      <c r="I4725" s="71">
        <v>11.6</v>
      </c>
      <c r="J4725" s="71">
        <v>14.3</v>
      </c>
      <c r="K4725" s="121">
        <v>-1.2999999999999999E-3</v>
      </c>
      <c r="L4725" s="121">
        <v>-5.0000000000000001E-3</v>
      </c>
      <c r="M4725" s="75" t="s">
        <v>146</v>
      </c>
      <c r="N4725" s="75" t="b">
        <v>1</v>
      </c>
      <c r="O4725" s="75" t="s">
        <v>145</v>
      </c>
      <c r="P4725" s="75">
        <v>2014</v>
      </c>
      <c r="Q4725" s="107">
        <f t="shared" si="165"/>
        <v>2021</v>
      </c>
      <c r="R4725" s="107">
        <v>2</v>
      </c>
      <c r="S4725" s="43">
        <v>221026</v>
      </c>
      <c r="T4725" s="74">
        <v>44265</v>
      </c>
    </row>
    <row r="4726" spans="1:20" x14ac:dyDescent="0.3">
      <c r="A4726" s="42">
        <v>44212</v>
      </c>
      <c r="B4726" s="37">
        <f t="shared" ref="B4726:B4727" si="167">YEAR(A4726)*10000+MONTH(A4726)*100+DAY(A4726)</f>
        <v>20210116</v>
      </c>
      <c r="C4726" s="109">
        <v>1.3000000000000001E-2</v>
      </c>
      <c r="D4726" s="109">
        <v>1.2E-2</v>
      </c>
      <c r="E4726" s="109">
        <v>1.4E-2</v>
      </c>
      <c r="F4726" s="109">
        <v>1.4999999999999999E-2</v>
      </c>
      <c r="G4726" s="130">
        <v>0</v>
      </c>
      <c r="H4726" s="71">
        <v>8.9</v>
      </c>
      <c r="I4726" s="71">
        <v>11.6</v>
      </c>
      <c r="J4726" s="71">
        <v>14.3</v>
      </c>
      <c r="K4726" s="121">
        <v>-1.2999999999999999E-3</v>
      </c>
      <c r="L4726" s="121">
        <v>-5.0000000000000001E-3</v>
      </c>
      <c r="M4726" s="75" t="s">
        <v>146</v>
      </c>
      <c r="N4726" s="75" t="b">
        <v>1</v>
      </c>
      <c r="O4726" s="75" t="s">
        <v>145</v>
      </c>
      <c r="P4726" s="75">
        <v>2014</v>
      </c>
      <c r="Q4726" s="107">
        <f t="shared" si="165"/>
        <v>2021</v>
      </c>
      <c r="R4726" s="107">
        <v>2</v>
      </c>
      <c r="S4726" s="43">
        <v>221026</v>
      </c>
      <c r="T4726" s="74">
        <v>44265</v>
      </c>
    </row>
    <row r="4727" spans="1:20" x14ac:dyDescent="0.3">
      <c r="A4727" s="42">
        <v>44213</v>
      </c>
      <c r="B4727" s="37">
        <f t="shared" si="167"/>
        <v>20210117</v>
      </c>
      <c r="C4727" s="109">
        <v>1.3000000000000001E-2</v>
      </c>
      <c r="D4727" s="109">
        <v>1.2E-2</v>
      </c>
      <c r="E4727" s="109">
        <v>1.4E-2</v>
      </c>
      <c r="F4727" s="109">
        <v>1.4999999999999999E-2</v>
      </c>
      <c r="G4727" s="130">
        <v>0</v>
      </c>
      <c r="H4727" s="71">
        <v>8.9</v>
      </c>
      <c r="I4727" s="71">
        <v>11.6</v>
      </c>
      <c r="J4727" s="71">
        <v>14.3</v>
      </c>
      <c r="K4727" s="121">
        <v>-1.2999999999999999E-3</v>
      </c>
      <c r="L4727" s="121">
        <v>-5.0000000000000001E-3</v>
      </c>
      <c r="M4727" s="75" t="s">
        <v>146</v>
      </c>
      <c r="N4727" s="75" t="b">
        <v>1</v>
      </c>
      <c r="O4727" s="75" t="s">
        <v>145</v>
      </c>
      <c r="P4727" s="75">
        <v>2014</v>
      </c>
      <c r="Q4727" s="107">
        <f t="shared" si="165"/>
        <v>2021</v>
      </c>
      <c r="R4727" s="107">
        <v>2</v>
      </c>
      <c r="S4727" s="43">
        <v>221026</v>
      </c>
      <c r="T4727" s="74">
        <v>44265</v>
      </c>
    </row>
    <row r="4728" spans="1:20" x14ac:dyDescent="0.3">
      <c r="A4728" s="42">
        <v>44214</v>
      </c>
      <c r="B4728" s="37">
        <f t="shared" si="164"/>
        <v>20210118</v>
      </c>
      <c r="C4728" s="109">
        <v>1.3000000000000001E-2</v>
      </c>
      <c r="D4728" s="109">
        <v>1.2E-2</v>
      </c>
      <c r="E4728" s="109">
        <v>1.4E-2</v>
      </c>
      <c r="F4728" s="109">
        <v>1.4999999999999999E-2</v>
      </c>
      <c r="G4728" s="130">
        <v>0</v>
      </c>
      <c r="H4728" s="71">
        <v>8.9</v>
      </c>
      <c r="I4728" s="71">
        <v>11.6</v>
      </c>
      <c r="J4728" s="71">
        <v>14.3</v>
      </c>
      <c r="K4728" s="121">
        <v>-1.2999999999999999E-3</v>
      </c>
      <c r="L4728" s="121">
        <v>-5.0000000000000001E-3</v>
      </c>
      <c r="M4728" s="75" t="s">
        <v>146</v>
      </c>
      <c r="N4728" s="75" t="b">
        <v>1</v>
      </c>
      <c r="O4728" s="75" t="s">
        <v>145</v>
      </c>
      <c r="P4728" s="75">
        <v>2014</v>
      </c>
      <c r="Q4728" s="107">
        <f t="shared" si="165"/>
        <v>2021</v>
      </c>
      <c r="R4728" s="107">
        <v>2</v>
      </c>
      <c r="S4728" s="43">
        <v>221026</v>
      </c>
      <c r="T4728" s="74">
        <v>44265</v>
      </c>
    </row>
    <row r="4729" spans="1:20" x14ac:dyDescent="0.3">
      <c r="A4729" s="42">
        <v>44215</v>
      </c>
      <c r="B4729" s="37">
        <f t="shared" si="164"/>
        <v>20210119</v>
      </c>
      <c r="C4729" s="109">
        <v>1.3100000000000001E-2</v>
      </c>
      <c r="D4729" s="109">
        <v>1.2E-2</v>
      </c>
      <c r="E4729" s="109">
        <v>1.4E-2</v>
      </c>
      <c r="F4729" s="109">
        <v>1.4999999999999999E-2</v>
      </c>
      <c r="G4729" s="130">
        <v>0</v>
      </c>
      <c r="H4729" s="71">
        <v>8.9</v>
      </c>
      <c r="I4729" s="71">
        <v>11.6</v>
      </c>
      <c r="J4729" s="71">
        <v>14.3</v>
      </c>
      <c r="K4729" s="121">
        <v>-1.4000000000000002E-3</v>
      </c>
      <c r="L4729" s="121">
        <v>-5.0000000000000001E-3</v>
      </c>
      <c r="M4729" s="75" t="s">
        <v>146</v>
      </c>
      <c r="N4729" s="75" t="b">
        <v>1</v>
      </c>
      <c r="O4729" s="75" t="s">
        <v>145</v>
      </c>
      <c r="P4729" s="75">
        <v>2014</v>
      </c>
      <c r="Q4729" s="107">
        <f t="shared" si="165"/>
        <v>2021</v>
      </c>
      <c r="R4729" s="107">
        <v>2</v>
      </c>
      <c r="S4729" s="43">
        <v>221026</v>
      </c>
      <c r="T4729" s="74">
        <v>44265</v>
      </c>
    </row>
    <row r="4730" spans="1:20" x14ac:dyDescent="0.3">
      <c r="A4730" s="42">
        <v>44216</v>
      </c>
      <c r="B4730" s="37">
        <f t="shared" si="164"/>
        <v>20210120</v>
      </c>
      <c r="C4730" s="109">
        <v>1.3300000000000001E-2</v>
      </c>
      <c r="D4730" s="109">
        <v>1.2E-2</v>
      </c>
      <c r="E4730" s="109">
        <v>1.4E-2</v>
      </c>
      <c r="F4730" s="109">
        <v>1.4999999999999999E-2</v>
      </c>
      <c r="G4730" s="130">
        <v>0</v>
      </c>
      <c r="H4730" s="71">
        <v>8.9</v>
      </c>
      <c r="I4730" s="71">
        <v>11.6</v>
      </c>
      <c r="J4730" s="71">
        <v>14.3</v>
      </c>
      <c r="K4730" s="121">
        <v>-8.9999999999999998E-4</v>
      </c>
      <c r="L4730" s="121">
        <v>-5.0000000000000001E-3</v>
      </c>
      <c r="M4730" s="75" t="s">
        <v>146</v>
      </c>
      <c r="N4730" s="75" t="b">
        <v>1</v>
      </c>
      <c r="O4730" s="75" t="s">
        <v>145</v>
      </c>
      <c r="P4730" s="75">
        <v>2014</v>
      </c>
      <c r="Q4730" s="107">
        <f t="shared" si="165"/>
        <v>2021</v>
      </c>
      <c r="R4730" s="107">
        <v>2</v>
      </c>
      <c r="S4730" s="43">
        <v>221026</v>
      </c>
      <c r="T4730" s="74">
        <v>44265</v>
      </c>
    </row>
    <row r="4731" spans="1:20" x14ac:dyDescent="0.3">
      <c r="A4731" s="42">
        <v>44217</v>
      </c>
      <c r="B4731" s="37">
        <f t="shared" si="164"/>
        <v>20210121</v>
      </c>
      <c r="C4731" s="109">
        <v>1.3600000000000001E-2</v>
      </c>
      <c r="D4731" s="109">
        <v>1.2E-2</v>
      </c>
      <c r="E4731" s="109">
        <v>1.4E-2</v>
      </c>
      <c r="F4731" s="109">
        <v>1.4999999999999999E-2</v>
      </c>
      <c r="G4731" s="130">
        <v>0</v>
      </c>
      <c r="H4731" s="71">
        <v>8.9</v>
      </c>
      <c r="I4731" s="71">
        <v>11.6</v>
      </c>
      <c r="J4731" s="71">
        <v>14.3</v>
      </c>
      <c r="K4731" s="121">
        <v>-8.0000000000000004E-4</v>
      </c>
      <c r="L4731" s="121">
        <v>-5.0000000000000001E-3</v>
      </c>
      <c r="M4731" s="75" t="s">
        <v>146</v>
      </c>
      <c r="N4731" s="75" t="b">
        <v>1</v>
      </c>
      <c r="O4731" s="75" t="s">
        <v>145</v>
      </c>
      <c r="P4731" s="75">
        <v>2014</v>
      </c>
      <c r="Q4731" s="107">
        <f t="shared" si="165"/>
        <v>2021</v>
      </c>
      <c r="R4731" s="107">
        <v>2</v>
      </c>
      <c r="S4731" s="43">
        <v>221026</v>
      </c>
      <c r="T4731" s="74">
        <v>44265</v>
      </c>
    </row>
    <row r="4732" spans="1:20" x14ac:dyDescent="0.3">
      <c r="A4732" s="42">
        <v>44218</v>
      </c>
      <c r="B4732" s="37">
        <f t="shared" si="164"/>
        <v>20210122</v>
      </c>
      <c r="C4732" s="109">
        <v>1.34E-2</v>
      </c>
      <c r="D4732" s="109">
        <v>1.2E-2</v>
      </c>
      <c r="E4732" s="109">
        <v>1.4E-2</v>
      </c>
      <c r="F4732" s="109">
        <v>1.4999999999999999E-2</v>
      </c>
      <c r="G4732" s="130">
        <v>0</v>
      </c>
      <c r="H4732" s="71">
        <v>8.9</v>
      </c>
      <c r="I4732" s="71">
        <v>11.6</v>
      </c>
      <c r="J4732" s="71">
        <v>14.3</v>
      </c>
      <c r="K4732" s="121">
        <v>-1E-3</v>
      </c>
      <c r="L4732" s="121">
        <v>-5.0000000000000001E-3</v>
      </c>
      <c r="M4732" s="75" t="s">
        <v>146</v>
      </c>
      <c r="N4732" s="75" t="b">
        <v>1</v>
      </c>
      <c r="O4732" s="75" t="s">
        <v>145</v>
      </c>
      <c r="P4732" s="75">
        <v>2014</v>
      </c>
      <c r="Q4732" s="107">
        <f t="shared" si="165"/>
        <v>2021</v>
      </c>
      <c r="R4732" s="107">
        <v>2</v>
      </c>
      <c r="S4732" s="43">
        <v>221026</v>
      </c>
      <c r="T4732" s="74">
        <v>44265</v>
      </c>
    </row>
    <row r="4733" spans="1:20" x14ac:dyDescent="0.3">
      <c r="A4733" s="42">
        <v>44219</v>
      </c>
      <c r="B4733" s="37">
        <f t="shared" ref="B4733:B4734" si="168">YEAR(A4733)*10000+MONTH(A4733)*100+DAY(A4733)</f>
        <v>20210123</v>
      </c>
      <c r="C4733" s="109">
        <v>1.34E-2</v>
      </c>
      <c r="D4733" s="109">
        <v>1.2E-2</v>
      </c>
      <c r="E4733" s="109">
        <v>1.4E-2</v>
      </c>
      <c r="F4733" s="109">
        <v>1.4999999999999999E-2</v>
      </c>
      <c r="G4733" s="130">
        <v>0</v>
      </c>
      <c r="H4733" s="71">
        <v>8.9</v>
      </c>
      <c r="I4733" s="71">
        <v>11.6</v>
      </c>
      <c r="J4733" s="71">
        <v>14.3</v>
      </c>
      <c r="K4733" s="121">
        <v>-1E-3</v>
      </c>
      <c r="L4733" s="121">
        <v>-5.0000000000000001E-3</v>
      </c>
      <c r="M4733" s="75" t="s">
        <v>146</v>
      </c>
      <c r="N4733" s="75" t="b">
        <v>1</v>
      </c>
      <c r="O4733" s="75" t="s">
        <v>145</v>
      </c>
      <c r="P4733" s="75">
        <v>2014</v>
      </c>
      <c r="Q4733" s="107">
        <f t="shared" si="165"/>
        <v>2021</v>
      </c>
      <c r="R4733" s="107">
        <v>2</v>
      </c>
      <c r="S4733" s="43">
        <v>221026</v>
      </c>
      <c r="T4733" s="74">
        <v>44265</v>
      </c>
    </row>
    <row r="4734" spans="1:20" x14ac:dyDescent="0.3">
      <c r="A4734" s="42">
        <v>44220</v>
      </c>
      <c r="B4734" s="37">
        <f t="shared" si="168"/>
        <v>20210124</v>
      </c>
      <c r="C4734" s="109">
        <v>1.34E-2</v>
      </c>
      <c r="D4734" s="109">
        <v>1.2E-2</v>
      </c>
      <c r="E4734" s="109">
        <v>1.4E-2</v>
      </c>
      <c r="F4734" s="109">
        <v>1.4999999999999999E-2</v>
      </c>
      <c r="G4734" s="130">
        <v>0</v>
      </c>
      <c r="H4734" s="71">
        <v>8.9</v>
      </c>
      <c r="I4734" s="71">
        <v>11.6</v>
      </c>
      <c r="J4734" s="71">
        <v>14.3</v>
      </c>
      <c r="K4734" s="121">
        <v>-1E-3</v>
      </c>
      <c r="L4734" s="121">
        <v>-5.0000000000000001E-3</v>
      </c>
      <c r="M4734" s="75" t="s">
        <v>146</v>
      </c>
      <c r="N4734" s="75" t="b">
        <v>1</v>
      </c>
      <c r="O4734" s="75" t="s">
        <v>145</v>
      </c>
      <c r="P4734" s="75">
        <v>2014</v>
      </c>
      <c r="Q4734" s="107">
        <f t="shared" si="165"/>
        <v>2021</v>
      </c>
      <c r="R4734" s="107">
        <v>2</v>
      </c>
      <c r="S4734" s="43">
        <v>221026</v>
      </c>
      <c r="T4734" s="74">
        <v>44265</v>
      </c>
    </row>
    <row r="4735" spans="1:20" x14ac:dyDescent="0.3">
      <c r="A4735" s="42">
        <v>44221</v>
      </c>
      <c r="B4735" s="37">
        <f t="shared" si="164"/>
        <v>20210125</v>
      </c>
      <c r="C4735" s="109">
        <v>1.32E-2</v>
      </c>
      <c r="D4735" s="109">
        <v>1.2E-2</v>
      </c>
      <c r="E4735" s="109">
        <v>1.4E-2</v>
      </c>
      <c r="F4735" s="109">
        <v>1.4999999999999999E-2</v>
      </c>
      <c r="G4735" s="130">
        <v>0</v>
      </c>
      <c r="H4735" s="71">
        <v>8.9</v>
      </c>
      <c r="I4735" s="71">
        <v>11.6</v>
      </c>
      <c r="J4735" s="71">
        <v>14.3</v>
      </c>
      <c r="K4735" s="121">
        <v>-1.1999999999999999E-3</v>
      </c>
      <c r="L4735" s="121">
        <v>-5.0000000000000001E-3</v>
      </c>
      <c r="M4735" s="75" t="s">
        <v>146</v>
      </c>
      <c r="N4735" s="75" t="b">
        <v>1</v>
      </c>
      <c r="O4735" s="75" t="s">
        <v>145</v>
      </c>
      <c r="P4735" s="75">
        <v>2014</v>
      </c>
      <c r="Q4735" s="107">
        <f t="shared" si="165"/>
        <v>2021</v>
      </c>
      <c r="R4735" s="107">
        <v>2</v>
      </c>
      <c r="S4735" s="43">
        <v>221026</v>
      </c>
      <c r="T4735" s="74">
        <v>44265</v>
      </c>
    </row>
    <row r="4736" spans="1:20" x14ac:dyDescent="0.3">
      <c r="A4736" s="42">
        <v>44222</v>
      </c>
      <c r="B4736" s="37">
        <f t="shared" si="164"/>
        <v>20210126</v>
      </c>
      <c r="C4736" s="109">
        <v>1.3300000000000001E-2</v>
      </c>
      <c r="D4736" s="109">
        <v>1.2E-2</v>
      </c>
      <c r="E4736" s="109">
        <v>1.4E-2</v>
      </c>
      <c r="F4736" s="109">
        <v>1.4999999999999999E-2</v>
      </c>
      <c r="G4736" s="130">
        <v>0</v>
      </c>
      <c r="H4736" s="71">
        <v>8.9</v>
      </c>
      <c r="I4736" s="71">
        <v>11.6</v>
      </c>
      <c r="J4736" s="71">
        <v>14.3</v>
      </c>
      <c r="K4736" s="121">
        <v>-8.9999999999999998E-4</v>
      </c>
      <c r="L4736" s="121">
        <v>-5.0000000000000001E-3</v>
      </c>
      <c r="M4736" s="75" t="s">
        <v>146</v>
      </c>
      <c r="N4736" s="75" t="b">
        <v>1</v>
      </c>
      <c r="O4736" s="75" t="s">
        <v>145</v>
      </c>
      <c r="P4736" s="75">
        <v>2014</v>
      </c>
      <c r="Q4736" s="107">
        <f t="shared" si="165"/>
        <v>2021</v>
      </c>
      <c r="R4736" s="107">
        <v>2</v>
      </c>
      <c r="S4736" s="43">
        <v>221026</v>
      </c>
      <c r="T4736" s="74">
        <v>44265</v>
      </c>
    </row>
    <row r="4737" spans="1:20" x14ac:dyDescent="0.3">
      <c r="A4737" s="42">
        <v>44223</v>
      </c>
      <c r="B4737" s="37">
        <f t="shared" si="164"/>
        <v>20210127</v>
      </c>
      <c r="C4737" s="109">
        <v>1.32E-2</v>
      </c>
      <c r="D4737" s="109">
        <v>1.2E-2</v>
      </c>
      <c r="E4737" s="109">
        <v>1.4E-2</v>
      </c>
      <c r="F4737" s="109">
        <v>1.4999999999999999E-2</v>
      </c>
      <c r="G4737" s="130">
        <v>0</v>
      </c>
      <c r="H4737" s="71">
        <v>8.9</v>
      </c>
      <c r="I4737" s="71">
        <v>11.6</v>
      </c>
      <c r="J4737" s="71">
        <v>14.3</v>
      </c>
      <c r="K4737" s="121">
        <v>-8.0000000000000004E-4</v>
      </c>
      <c r="L4737" s="121">
        <v>-5.0000000000000001E-3</v>
      </c>
      <c r="M4737" s="75" t="s">
        <v>146</v>
      </c>
      <c r="N4737" s="75" t="b">
        <v>1</v>
      </c>
      <c r="O4737" s="75" t="s">
        <v>145</v>
      </c>
      <c r="P4737" s="75">
        <v>2014</v>
      </c>
      <c r="Q4737" s="107">
        <f t="shared" si="165"/>
        <v>2021</v>
      </c>
      <c r="R4737" s="107">
        <v>2</v>
      </c>
      <c r="S4737" s="43">
        <v>221026</v>
      </c>
      <c r="T4737" s="74">
        <v>44265</v>
      </c>
    </row>
    <row r="4738" spans="1:20" x14ac:dyDescent="0.3">
      <c r="A4738" s="42">
        <v>44224</v>
      </c>
      <c r="B4738" s="37">
        <f t="shared" si="164"/>
        <v>20210128</v>
      </c>
      <c r="C4738" s="109">
        <v>1.3500000000000002E-2</v>
      </c>
      <c r="D4738" s="109">
        <v>1.2E-2</v>
      </c>
      <c r="E4738" s="109">
        <v>1.4E-2</v>
      </c>
      <c r="F4738" s="109">
        <v>1.4999999999999999E-2</v>
      </c>
      <c r="G4738" s="130">
        <v>0</v>
      </c>
      <c r="H4738" s="71">
        <v>8.9</v>
      </c>
      <c r="I4738" s="71">
        <v>11.6</v>
      </c>
      <c r="J4738" s="71">
        <v>14.3</v>
      </c>
      <c r="K4738" s="121">
        <v>-7.000000000000001E-4</v>
      </c>
      <c r="L4738" s="121">
        <v>-5.0000000000000001E-3</v>
      </c>
      <c r="M4738" s="75" t="s">
        <v>146</v>
      </c>
      <c r="N4738" s="75" t="b">
        <v>1</v>
      </c>
      <c r="O4738" s="75" t="s">
        <v>145</v>
      </c>
      <c r="P4738" s="75">
        <v>2014</v>
      </c>
      <c r="Q4738" s="107">
        <f t="shared" si="165"/>
        <v>2021</v>
      </c>
      <c r="R4738" s="107">
        <v>2</v>
      </c>
      <c r="S4738" s="43">
        <v>221026</v>
      </c>
      <c r="T4738" s="74">
        <v>44265</v>
      </c>
    </row>
    <row r="4739" spans="1:20" x14ac:dyDescent="0.3">
      <c r="A4739" s="42">
        <v>44225</v>
      </c>
      <c r="B4739" s="37">
        <f t="shared" si="164"/>
        <v>20210129</v>
      </c>
      <c r="C4739" s="109">
        <v>1.3500000000000002E-2</v>
      </c>
      <c r="D4739" s="109">
        <v>1.2E-2</v>
      </c>
      <c r="E4739" s="109">
        <v>1.4E-2</v>
      </c>
      <c r="F4739" s="109">
        <v>1.4999999999999999E-2</v>
      </c>
      <c r="G4739" s="130">
        <v>0</v>
      </c>
      <c r="H4739" s="71">
        <v>8.9</v>
      </c>
      <c r="I4739" s="71">
        <v>11.6</v>
      </c>
      <c r="J4739" s="71">
        <v>14.3</v>
      </c>
      <c r="K4739" s="121">
        <v>-7.000000000000001E-4</v>
      </c>
      <c r="L4739" s="121">
        <v>-5.0000000000000001E-3</v>
      </c>
      <c r="M4739" s="75" t="s">
        <v>146</v>
      </c>
      <c r="N4739" s="75" t="b">
        <v>1</v>
      </c>
      <c r="O4739" s="75" t="s">
        <v>145</v>
      </c>
      <c r="P4739" s="75">
        <v>2014</v>
      </c>
      <c r="Q4739" s="107">
        <f t="shared" si="165"/>
        <v>2021</v>
      </c>
      <c r="R4739" s="107">
        <v>2</v>
      </c>
      <c r="S4739" s="43">
        <v>221026</v>
      </c>
      <c r="T4739" s="74">
        <v>44265</v>
      </c>
    </row>
    <row r="4740" spans="1:20" x14ac:dyDescent="0.3">
      <c r="A4740" s="42">
        <v>44226</v>
      </c>
      <c r="B4740" s="37">
        <f t="shared" ref="B4740:B4741" si="169">YEAR(A4740)*10000+MONTH(A4740)*100+DAY(A4740)</f>
        <v>20210130</v>
      </c>
      <c r="C4740" s="109">
        <v>1.3500000000000002E-2</v>
      </c>
      <c r="D4740" s="109">
        <v>1.2E-2</v>
      </c>
      <c r="E4740" s="109">
        <v>1.4E-2</v>
      </c>
      <c r="F4740" s="109">
        <v>1.4999999999999999E-2</v>
      </c>
      <c r="G4740" s="130">
        <v>0</v>
      </c>
      <c r="H4740" s="71">
        <v>8.9</v>
      </c>
      <c r="I4740" s="71">
        <v>11.6</v>
      </c>
      <c r="J4740" s="71">
        <v>14.3</v>
      </c>
      <c r="K4740" s="121">
        <v>-7.000000000000001E-4</v>
      </c>
      <c r="L4740" s="121">
        <v>-5.0000000000000001E-3</v>
      </c>
      <c r="M4740" s="75" t="s">
        <v>146</v>
      </c>
      <c r="N4740" s="75" t="b">
        <v>1</v>
      </c>
      <c r="O4740" s="75" t="s">
        <v>145</v>
      </c>
      <c r="P4740" s="75">
        <v>2014</v>
      </c>
      <c r="Q4740" s="107">
        <f t="shared" si="165"/>
        <v>2021</v>
      </c>
      <c r="R4740" s="107">
        <v>2</v>
      </c>
      <c r="S4740" s="43">
        <v>221026</v>
      </c>
      <c r="T4740" s="74">
        <v>44265</v>
      </c>
    </row>
    <row r="4741" spans="1:20" x14ac:dyDescent="0.3">
      <c r="A4741" s="42">
        <v>44227</v>
      </c>
      <c r="B4741" s="37">
        <f t="shared" si="169"/>
        <v>20210131</v>
      </c>
      <c r="C4741" s="109">
        <v>1.3500000000000002E-2</v>
      </c>
      <c r="D4741" s="109">
        <v>1.2E-2</v>
      </c>
      <c r="E4741" s="109">
        <v>1.4E-2</v>
      </c>
      <c r="F4741" s="109">
        <v>1.4999999999999999E-2</v>
      </c>
      <c r="G4741" s="130">
        <v>0</v>
      </c>
      <c r="H4741" s="71">
        <v>8.9</v>
      </c>
      <c r="I4741" s="71">
        <v>11.6</v>
      </c>
      <c r="J4741" s="71">
        <v>14.3</v>
      </c>
      <c r="K4741" s="121">
        <v>-7.000000000000001E-4</v>
      </c>
      <c r="L4741" s="121">
        <v>-5.0000000000000001E-3</v>
      </c>
      <c r="M4741" s="75" t="s">
        <v>146</v>
      </c>
      <c r="N4741" s="75" t="b">
        <v>1</v>
      </c>
      <c r="O4741" s="75" t="s">
        <v>145</v>
      </c>
      <c r="P4741" s="75">
        <v>2014</v>
      </c>
      <c r="Q4741" s="107">
        <f t="shared" si="165"/>
        <v>2021</v>
      </c>
      <c r="R4741" s="107">
        <v>2</v>
      </c>
      <c r="S4741" s="43">
        <v>221026</v>
      </c>
      <c r="T4741" s="74">
        <v>44265</v>
      </c>
    </row>
    <row r="4742" spans="1:20" x14ac:dyDescent="0.3">
      <c r="A4742" s="42">
        <v>44228</v>
      </c>
      <c r="B4742" s="37">
        <f t="shared" si="164"/>
        <v>20210201</v>
      </c>
      <c r="C4742" s="109">
        <v>1.3500000000000002E-2</v>
      </c>
      <c r="D4742" s="109">
        <v>1.2E-2</v>
      </c>
      <c r="E4742" s="109">
        <v>1.4E-2</v>
      </c>
      <c r="F4742" s="109">
        <v>1.4999999999999999E-2</v>
      </c>
      <c r="G4742" s="130">
        <v>0</v>
      </c>
      <c r="H4742" s="71">
        <v>8.9</v>
      </c>
      <c r="I4742" s="71">
        <v>11.6</v>
      </c>
      <c r="J4742" s="71">
        <v>14.3</v>
      </c>
      <c r="K4742" s="121">
        <v>-8.0000000000000004E-4</v>
      </c>
      <c r="L4742" s="121">
        <v>-5.0000000000000001E-3</v>
      </c>
      <c r="M4742" s="75" t="s">
        <v>146</v>
      </c>
      <c r="N4742" s="75" t="b">
        <v>1</v>
      </c>
      <c r="O4742" s="75" t="s">
        <v>145</v>
      </c>
      <c r="P4742" s="75">
        <v>2014</v>
      </c>
      <c r="Q4742" s="107">
        <f t="shared" si="165"/>
        <v>2021</v>
      </c>
      <c r="R4742" s="107">
        <v>2</v>
      </c>
      <c r="S4742" s="43">
        <v>221026</v>
      </c>
      <c r="T4742" s="74">
        <v>44265</v>
      </c>
    </row>
    <row r="4743" spans="1:20" x14ac:dyDescent="0.3">
      <c r="A4743" s="42">
        <v>44229</v>
      </c>
      <c r="B4743" s="37">
        <f t="shared" si="164"/>
        <v>20210202</v>
      </c>
      <c r="C4743" s="109">
        <v>1.37E-2</v>
      </c>
      <c r="D4743" s="109">
        <v>1.2E-2</v>
      </c>
      <c r="E4743" s="109">
        <v>1.4E-2</v>
      </c>
      <c r="F4743" s="109">
        <v>1.4999999999999999E-2</v>
      </c>
      <c r="G4743" s="130">
        <v>0</v>
      </c>
      <c r="H4743" s="71">
        <v>8.9</v>
      </c>
      <c r="I4743" s="71">
        <v>11.6</v>
      </c>
      <c r="J4743" s="71">
        <v>14.3</v>
      </c>
      <c r="K4743" s="121">
        <v>-7.000000000000001E-4</v>
      </c>
      <c r="L4743" s="121">
        <v>-5.0000000000000001E-3</v>
      </c>
      <c r="M4743" s="75" t="s">
        <v>146</v>
      </c>
      <c r="N4743" s="75" t="b">
        <v>1</v>
      </c>
      <c r="O4743" s="75" t="s">
        <v>145</v>
      </c>
      <c r="P4743" s="75">
        <v>2014</v>
      </c>
      <c r="Q4743" s="107">
        <f t="shared" si="165"/>
        <v>2021</v>
      </c>
      <c r="R4743" s="107">
        <v>2</v>
      </c>
      <c r="S4743" s="43">
        <v>221026</v>
      </c>
      <c r="T4743" s="74">
        <v>44265</v>
      </c>
    </row>
    <row r="4744" spans="1:20" x14ac:dyDescent="0.3">
      <c r="A4744" s="42">
        <v>44230</v>
      </c>
      <c r="B4744" s="37">
        <f t="shared" si="164"/>
        <v>20210203</v>
      </c>
      <c r="C4744" s="109">
        <v>1.3999999999999999E-2</v>
      </c>
      <c r="D4744" s="109">
        <v>1.2E-2</v>
      </c>
      <c r="E4744" s="109">
        <v>1.4E-2</v>
      </c>
      <c r="F4744" s="109">
        <v>1.4999999999999999E-2</v>
      </c>
      <c r="G4744" s="130">
        <v>0</v>
      </c>
      <c r="H4744" s="71">
        <v>8.9</v>
      </c>
      <c r="I4744" s="71">
        <v>11.6</v>
      </c>
      <c r="J4744" s="71">
        <v>14.3</v>
      </c>
      <c r="K4744" s="121">
        <v>-5.9999999999999995E-4</v>
      </c>
      <c r="L4744" s="121">
        <v>-5.0000000000000001E-3</v>
      </c>
      <c r="M4744" s="75" t="s">
        <v>146</v>
      </c>
      <c r="N4744" s="75" t="b">
        <v>1</v>
      </c>
      <c r="O4744" s="75" t="s">
        <v>145</v>
      </c>
      <c r="P4744" s="75">
        <v>2014</v>
      </c>
      <c r="Q4744" s="107">
        <f t="shared" si="165"/>
        <v>2021</v>
      </c>
      <c r="R4744" s="107">
        <v>2</v>
      </c>
      <c r="S4744" s="43">
        <v>221026</v>
      </c>
      <c r="T4744" s="74">
        <v>44265</v>
      </c>
    </row>
    <row r="4745" spans="1:20" x14ac:dyDescent="0.3">
      <c r="A4745" s="42">
        <v>44231</v>
      </c>
      <c r="B4745" s="37">
        <f t="shared" si="164"/>
        <v>20210204</v>
      </c>
      <c r="C4745" s="109">
        <v>1.43E-2</v>
      </c>
      <c r="D4745" s="109">
        <v>1.2E-2</v>
      </c>
      <c r="E4745" s="109">
        <v>1.4E-2</v>
      </c>
      <c r="F4745" s="109">
        <v>1.4999999999999999E-2</v>
      </c>
      <c r="G4745" s="130">
        <v>0</v>
      </c>
      <c r="H4745" s="71">
        <v>8.9</v>
      </c>
      <c r="I4745" s="71">
        <v>11.6</v>
      </c>
      <c r="J4745" s="71">
        <v>14.3</v>
      </c>
      <c r="K4745" s="121">
        <v>-2.9999999999999997E-4</v>
      </c>
      <c r="L4745" s="121">
        <v>-5.0000000000000001E-3</v>
      </c>
      <c r="M4745" s="75" t="s">
        <v>146</v>
      </c>
      <c r="N4745" s="75" t="b">
        <v>1</v>
      </c>
      <c r="O4745" s="75" t="s">
        <v>145</v>
      </c>
      <c r="P4745" s="75">
        <v>2014</v>
      </c>
      <c r="Q4745" s="107">
        <f t="shared" si="165"/>
        <v>2021</v>
      </c>
      <c r="R4745" s="107">
        <v>2</v>
      </c>
      <c r="S4745" s="43">
        <v>221026</v>
      </c>
      <c r="T4745" s="74">
        <v>44265</v>
      </c>
    </row>
    <row r="4746" spans="1:20" x14ac:dyDescent="0.3">
      <c r="A4746" s="42">
        <v>44232</v>
      </c>
      <c r="B4746" s="37">
        <f t="shared" si="164"/>
        <v>20210205</v>
      </c>
      <c r="C4746" s="109">
        <v>1.47E-2</v>
      </c>
      <c r="D4746" s="109">
        <v>1.2E-2</v>
      </c>
      <c r="E4746" s="109">
        <v>1.4E-2</v>
      </c>
      <c r="F4746" s="109">
        <v>1.4999999999999999E-2</v>
      </c>
      <c r="G4746" s="130">
        <v>0</v>
      </c>
      <c r="H4746" s="71">
        <v>8.9</v>
      </c>
      <c r="I4746" s="71">
        <v>11.6</v>
      </c>
      <c r="J4746" s="71">
        <v>14.3</v>
      </c>
      <c r="K4746" s="121">
        <v>0</v>
      </c>
      <c r="L4746" s="121">
        <v>-5.0000000000000001E-3</v>
      </c>
      <c r="M4746" s="75" t="s">
        <v>146</v>
      </c>
      <c r="N4746" s="75" t="b">
        <v>1</v>
      </c>
      <c r="O4746" s="75" t="s">
        <v>145</v>
      </c>
      <c r="P4746" s="75">
        <v>2014</v>
      </c>
      <c r="Q4746" s="107">
        <f t="shared" si="165"/>
        <v>2021</v>
      </c>
      <c r="R4746" s="107">
        <v>2</v>
      </c>
      <c r="S4746" s="43">
        <v>221026</v>
      </c>
      <c r="T4746" s="74">
        <v>44265</v>
      </c>
    </row>
    <row r="4747" spans="1:20" x14ac:dyDescent="0.3">
      <c r="A4747" s="42">
        <v>44233</v>
      </c>
      <c r="B4747" s="37">
        <f t="shared" ref="B4747:B4748" si="170">YEAR(A4747)*10000+MONTH(A4747)*100+DAY(A4747)</f>
        <v>20210206</v>
      </c>
      <c r="C4747" s="109">
        <v>1.47E-2</v>
      </c>
      <c r="D4747" s="109">
        <v>1.2E-2</v>
      </c>
      <c r="E4747" s="109">
        <v>1.4E-2</v>
      </c>
      <c r="F4747" s="109">
        <v>1.4999999999999999E-2</v>
      </c>
      <c r="G4747" s="130">
        <v>0</v>
      </c>
      <c r="H4747" s="71">
        <v>8.9</v>
      </c>
      <c r="I4747" s="71">
        <v>11.6</v>
      </c>
      <c r="J4747" s="71">
        <v>14.3</v>
      </c>
      <c r="K4747" s="121">
        <v>0</v>
      </c>
      <c r="L4747" s="121">
        <v>-5.0000000000000001E-3</v>
      </c>
      <c r="M4747" s="75" t="s">
        <v>146</v>
      </c>
      <c r="N4747" s="75" t="b">
        <v>1</v>
      </c>
      <c r="O4747" s="75" t="s">
        <v>145</v>
      </c>
      <c r="P4747" s="75">
        <v>2014</v>
      </c>
      <c r="Q4747" s="107">
        <f t="shared" si="165"/>
        <v>2021</v>
      </c>
      <c r="R4747" s="107">
        <v>2</v>
      </c>
      <c r="S4747" s="43">
        <v>221026</v>
      </c>
      <c r="T4747" s="74">
        <v>44265</v>
      </c>
    </row>
    <row r="4748" spans="1:20" x14ac:dyDescent="0.3">
      <c r="A4748" s="42">
        <v>44234</v>
      </c>
      <c r="B4748" s="37">
        <f t="shared" si="170"/>
        <v>20210207</v>
      </c>
      <c r="C4748" s="109">
        <v>1.47E-2</v>
      </c>
      <c r="D4748" s="109">
        <v>1.2E-2</v>
      </c>
      <c r="E4748" s="109">
        <v>1.4E-2</v>
      </c>
      <c r="F4748" s="109">
        <v>1.4999999999999999E-2</v>
      </c>
      <c r="G4748" s="130">
        <v>0</v>
      </c>
      <c r="H4748" s="71">
        <v>8.9</v>
      </c>
      <c r="I4748" s="71">
        <v>11.6</v>
      </c>
      <c r="J4748" s="71">
        <v>14.3</v>
      </c>
      <c r="K4748" s="121">
        <v>0</v>
      </c>
      <c r="L4748" s="121">
        <v>-5.0000000000000001E-3</v>
      </c>
      <c r="M4748" s="75" t="s">
        <v>146</v>
      </c>
      <c r="N4748" s="75" t="b">
        <v>1</v>
      </c>
      <c r="O4748" s="75" t="s">
        <v>145</v>
      </c>
      <c r="P4748" s="75">
        <v>2014</v>
      </c>
      <c r="Q4748" s="107">
        <f t="shared" si="165"/>
        <v>2021</v>
      </c>
      <c r="R4748" s="107">
        <v>2</v>
      </c>
      <c r="S4748" s="43">
        <v>221026</v>
      </c>
      <c r="T4748" s="74">
        <v>44265</v>
      </c>
    </row>
    <row r="4749" spans="1:20" x14ac:dyDescent="0.3">
      <c r="A4749" s="42">
        <v>44235</v>
      </c>
      <c r="B4749" s="37">
        <f t="shared" si="164"/>
        <v>20210208</v>
      </c>
      <c r="C4749" s="109">
        <v>1.47E-2</v>
      </c>
      <c r="D4749" s="109">
        <v>1.2E-2</v>
      </c>
      <c r="E4749" s="109">
        <v>1.4E-2</v>
      </c>
      <c r="F4749" s="109">
        <v>1.4999999999999999E-2</v>
      </c>
      <c r="G4749" s="130">
        <v>0</v>
      </c>
      <c r="H4749" s="71">
        <v>8.9</v>
      </c>
      <c r="I4749" s="71">
        <v>11.6</v>
      </c>
      <c r="J4749" s="71">
        <v>14.3</v>
      </c>
      <c r="K4749" s="121">
        <v>1E-4</v>
      </c>
      <c r="L4749" s="121">
        <v>-5.0000000000000001E-3</v>
      </c>
      <c r="M4749" s="75" t="s">
        <v>146</v>
      </c>
      <c r="N4749" s="75" t="b">
        <v>1</v>
      </c>
      <c r="O4749" s="75" t="s">
        <v>145</v>
      </c>
      <c r="P4749" s="75">
        <v>2014</v>
      </c>
      <c r="Q4749" s="107">
        <f t="shared" si="165"/>
        <v>2021</v>
      </c>
      <c r="R4749" s="107">
        <v>2</v>
      </c>
      <c r="S4749" s="43">
        <v>221026</v>
      </c>
      <c r="T4749" s="74">
        <v>44265</v>
      </c>
    </row>
    <row r="4750" spans="1:20" x14ac:dyDescent="0.3">
      <c r="A4750" s="42">
        <v>44236</v>
      </c>
      <c r="B4750" s="37">
        <f t="shared" si="164"/>
        <v>20210209</v>
      </c>
      <c r="C4750" s="109">
        <v>1.46E-2</v>
      </c>
      <c r="D4750" s="109">
        <v>1.2E-2</v>
      </c>
      <c r="E4750" s="109">
        <v>1.4E-2</v>
      </c>
      <c r="F4750" s="109">
        <v>1.4999999999999999E-2</v>
      </c>
      <c r="G4750" s="130">
        <v>0</v>
      </c>
      <c r="H4750" s="71">
        <v>8.9</v>
      </c>
      <c r="I4750" s="71">
        <v>11.6</v>
      </c>
      <c r="J4750" s="71">
        <v>14.3</v>
      </c>
      <c r="K4750" s="121">
        <v>0</v>
      </c>
      <c r="L4750" s="121">
        <v>-5.0000000000000001E-3</v>
      </c>
      <c r="M4750" s="75" t="s">
        <v>146</v>
      </c>
      <c r="N4750" s="75" t="b">
        <v>1</v>
      </c>
      <c r="O4750" s="75" t="s">
        <v>145</v>
      </c>
      <c r="P4750" s="75">
        <v>2014</v>
      </c>
      <c r="Q4750" s="107">
        <f t="shared" si="165"/>
        <v>2021</v>
      </c>
      <c r="R4750" s="107">
        <v>2</v>
      </c>
      <c r="S4750" s="43">
        <v>221026</v>
      </c>
      <c r="T4750" s="74">
        <v>44265</v>
      </c>
    </row>
    <row r="4751" spans="1:20" x14ac:dyDescent="0.3">
      <c r="A4751" s="42">
        <v>44237</v>
      </c>
      <c r="B4751" s="37">
        <f t="shared" si="164"/>
        <v>20210210</v>
      </c>
      <c r="C4751" s="109">
        <v>1.46E-2</v>
      </c>
      <c r="D4751" s="109">
        <v>1.2E-2</v>
      </c>
      <c r="E4751" s="109">
        <v>1.4E-2</v>
      </c>
      <c r="F4751" s="109">
        <v>1.4999999999999999E-2</v>
      </c>
      <c r="G4751" s="130">
        <v>0</v>
      </c>
      <c r="H4751" s="71">
        <v>8.9</v>
      </c>
      <c r="I4751" s="71">
        <v>11.6</v>
      </c>
      <c r="J4751" s="71">
        <v>14.3</v>
      </c>
      <c r="K4751" s="121">
        <v>-4.0000000000000002E-4</v>
      </c>
      <c r="L4751" s="121">
        <v>-5.0000000000000001E-3</v>
      </c>
      <c r="M4751" s="75" t="s">
        <v>146</v>
      </c>
      <c r="N4751" s="75" t="b">
        <v>1</v>
      </c>
      <c r="O4751" s="75" t="s">
        <v>145</v>
      </c>
      <c r="P4751" s="75">
        <v>2014</v>
      </c>
      <c r="Q4751" s="107">
        <f t="shared" ref="Q4751:Q4814" si="171">YEAR(A4751)</f>
        <v>2021</v>
      </c>
      <c r="R4751" s="107">
        <v>2</v>
      </c>
      <c r="S4751" s="43">
        <v>221026</v>
      </c>
      <c r="T4751" s="74">
        <v>44265</v>
      </c>
    </row>
    <row r="4752" spans="1:20" x14ac:dyDescent="0.3">
      <c r="A4752" s="42">
        <v>44238</v>
      </c>
      <c r="B4752" s="37">
        <f t="shared" si="164"/>
        <v>20210211</v>
      </c>
      <c r="C4752" s="109">
        <v>1.47E-2</v>
      </c>
      <c r="D4752" s="109">
        <v>1.2E-2</v>
      </c>
      <c r="E4752" s="109">
        <v>1.4E-2</v>
      </c>
      <c r="F4752" s="109">
        <v>1.4999999999999999E-2</v>
      </c>
      <c r="G4752" s="130">
        <v>0</v>
      </c>
      <c r="H4752" s="71">
        <v>8.9</v>
      </c>
      <c r="I4752" s="71">
        <v>11.6</v>
      </c>
      <c r="J4752" s="71">
        <v>14.3</v>
      </c>
      <c r="K4752" s="121">
        <v>-2.9999999999999997E-4</v>
      </c>
      <c r="L4752" s="121">
        <v>-5.0000000000000001E-3</v>
      </c>
      <c r="M4752" s="75" t="s">
        <v>146</v>
      </c>
      <c r="N4752" s="75" t="b">
        <v>1</v>
      </c>
      <c r="O4752" s="75" t="s">
        <v>145</v>
      </c>
      <c r="P4752" s="75">
        <v>2014</v>
      </c>
      <c r="Q4752" s="107">
        <f t="shared" si="171"/>
        <v>2021</v>
      </c>
      <c r="R4752" s="107">
        <v>2</v>
      </c>
      <c r="S4752" s="43">
        <v>221026</v>
      </c>
      <c r="T4752" s="74">
        <v>44265</v>
      </c>
    </row>
    <row r="4753" spans="1:20" x14ac:dyDescent="0.3">
      <c r="A4753" s="42">
        <v>44239</v>
      </c>
      <c r="B4753" s="37">
        <f t="shared" si="164"/>
        <v>20210212</v>
      </c>
      <c r="C4753" s="109">
        <v>1.5100000000000001E-2</v>
      </c>
      <c r="D4753" s="109">
        <v>1.2E-2</v>
      </c>
      <c r="E4753" s="109">
        <v>1.4E-2</v>
      </c>
      <c r="F4753" s="109">
        <v>1.4999999999999999E-2</v>
      </c>
      <c r="G4753" s="130">
        <v>0</v>
      </c>
      <c r="H4753" s="71">
        <v>8.9</v>
      </c>
      <c r="I4753" s="71">
        <v>11.6</v>
      </c>
      <c r="J4753" s="71">
        <v>14.3</v>
      </c>
      <c r="K4753" s="121">
        <v>-1E-4</v>
      </c>
      <c r="L4753" s="121">
        <v>-5.0000000000000001E-3</v>
      </c>
      <c r="M4753" s="75" t="s">
        <v>146</v>
      </c>
      <c r="N4753" s="75" t="b">
        <v>1</v>
      </c>
      <c r="O4753" s="75" t="s">
        <v>145</v>
      </c>
      <c r="P4753" s="75">
        <v>2014</v>
      </c>
      <c r="Q4753" s="107">
        <f t="shared" si="171"/>
        <v>2021</v>
      </c>
      <c r="R4753" s="107">
        <v>2</v>
      </c>
      <c r="S4753" s="43">
        <v>221026</v>
      </c>
      <c r="T4753" s="74">
        <v>44265</v>
      </c>
    </row>
    <row r="4754" spans="1:20" x14ac:dyDescent="0.3">
      <c r="A4754" s="42">
        <v>44240</v>
      </c>
      <c r="B4754" s="37">
        <f t="shared" ref="B4754:B4755" si="172">YEAR(A4754)*10000+MONTH(A4754)*100+DAY(A4754)</f>
        <v>20210213</v>
      </c>
      <c r="C4754" s="109">
        <v>1.5100000000000001E-2</v>
      </c>
      <c r="D4754" s="109">
        <v>1.2E-2</v>
      </c>
      <c r="E4754" s="109">
        <v>1.4E-2</v>
      </c>
      <c r="F4754" s="109">
        <v>1.4999999999999999E-2</v>
      </c>
      <c r="G4754" s="130">
        <v>0</v>
      </c>
      <c r="H4754" s="71">
        <v>8.9</v>
      </c>
      <c r="I4754" s="71">
        <v>11.6</v>
      </c>
      <c r="J4754" s="71">
        <v>14.3</v>
      </c>
      <c r="K4754" s="121">
        <v>-1E-4</v>
      </c>
      <c r="L4754" s="121">
        <v>-5.0000000000000001E-3</v>
      </c>
      <c r="M4754" s="75" t="s">
        <v>146</v>
      </c>
      <c r="N4754" s="75" t="b">
        <v>1</v>
      </c>
      <c r="O4754" s="75" t="s">
        <v>145</v>
      </c>
      <c r="P4754" s="75">
        <v>2014</v>
      </c>
      <c r="Q4754" s="107">
        <f t="shared" si="171"/>
        <v>2021</v>
      </c>
      <c r="R4754" s="107">
        <v>2</v>
      </c>
      <c r="S4754" s="43">
        <v>221026</v>
      </c>
      <c r="T4754" s="74">
        <v>44265</v>
      </c>
    </row>
    <row r="4755" spans="1:20" x14ac:dyDescent="0.3">
      <c r="A4755" s="42">
        <v>44241</v>
      </c>
      <c r="B4755" s="37">
        <f t="shared" si="172"/>
        <v>20210214</v>
      </c>
      <c r="C4755" s="109">
        <v>1.5100000000000001E-2</v>
      </c>
      <c r="D4755" s="109">
        <v>1.2E-2</v>
      </c>
      <c r="E4755" s="109">
        <v>1.4E-2</v>
      </c>
      <c r="F4755" s="109">
        <v>1.4999999999999999E-2</v>
      </c>
      <c r="G4755" s="130">
        <v>0</v>
      </c>
      <c r="H4755" s="71">
        <v>8.9</v>
      </c>
      <c r="I4755" s="71">
        <v>11.6</v>
      </c>
      <c r="J4755" s="71">
        <v>14.3</v>
      </c>
      <c r="K4755" s="121">
        <v>-1E-4</v>
      </c>
      <c r="L4755" s="121">
        <v>-5.0000000000000001E-3</v>
      </c>
      <c r="M4755" s="75" t="s">
        <v>146</v>
      </c>
      <c r="N4755" s="75" t="b">
        <v>1</v>
      </c>
      <c r="O4755" s="75" t="s">
        <v>145</v>
      </c>
      <c r="P4755" s="75">
        <v>2014</v>
      </c>
      <c r="Q4755" s="107">
        <f t="shared" si="171"/>
        <v>2021</v>
      </c>
      <c r="R4755" s="107">
        <v>2</v>
      </c>
      <c r="S4755" s="43">
        <v>221026</v>
      </c>
      <c r="T4755" s="74">
        <v>44265</v>
      </c>
    </row>
    <row r="4756" spans="1:20" x14ac:dyDescent="0.3">
      <c r="A4756" s="42">
        <v>44242</v>
      </c>
      <c r="B4756" s="37">
        <f t="shared" si="164"/>
        <v>20210215</v>
      </c>
      <c r="C4756" s="109">
        <v>1.5100000000000001E-2</v>
      </c>
      <c r="D4756" s="109">
        <v>1.2E-2</v>
      </c>
      <c r="E4756" s="109">
        <v>1.4E-2</v>
      </c>
      <c r="F4756" s="109">
        <v>1.4999999999999999E-2</v>
      </c>
      <c r="G4756" s="130">
        <v>0</v>
      </c>
      <c r="H4756" s="71">
        <v>8.9</v>
      </c>
      <c r="I4756" s="71">
        <v>11.6</v>
      </c>
      <c r="J4756" s="71">
        <v>14.3</v>
      </c>
      <c r="K4756" s="121">
        <v>-1E-4</v>
      </c>
      <c r="L4756" s="121">
        <v>-5.0000000000000001E-3</v>
      </c>
      <c r="M4756" s="75" t="s">
        <v>146</v>
      </c>
      <c r="N4756" s="75" t="b">
        <v>1</v>
      </c>
      <c r="O4756" s="75" t="s">
        <v>145</v>
      </c>
      <c r="P4756" s="75">
        <v>2014</v>
      </c>
      <c r="Q4756" s="107">
        <f t="shared" si="171"/>
        <v>2021</v>
      </c>
      <c r="R4756" s="107">
        <v>2</v>
      </c>
      <c r="S4756" s="43">
        <v>221026</v>
      </c>
      <c r="T4756" s="74">
        <v>44265</v>
      </c>
    </row>
    <row r="4757" spans="1:20" x14ac:dyDescent="0.3">
      <c r="A4757" s="42">
        <v>44243</v>
      </c>
      <c r="B4757" s="37">
        <f t="shared" si="164"/>
        <v>20210216</v>
      </c>
      <c r="C4757" s="109">
        <v>1.6E-2</v>
      </c>
      <c r="D4757" s="109">
        <v>1.2E-2</v>
      </c>
      <c r="E4757" s="109">
        <v>1.4E-2</v>
      </c>
      <c r="F4757" s="109">
        <v>1.4999999999999999E-2</v>
      </c>
      <c r="G4757" s="130">
        <v>0</v>
      </c>
      <c r="H4757" s="71">
        <v>8.9</v>
      </c>
      <c r="I4757" s="71">
        <v>11.6</v>
      </c>
      <c r="J4757" s="71">
        <v>14.3</v>
      </c>
      <c r="K4757" s="121">
        <v>5.0000000000000001E-4</v>
      </c>
      <c r="L4757" s="121">
        <v>-5.0000000000000001E-3</v>
      </c>
      <c r="M4757" s="75" t="s">
        <v>146</v>
      </c>
      <c r="N4757" s="75" t="b">
        <v>1</v>
      </c>
      <c r="O4757" s="75" t="s">
        <v>145</v>
      </c>
      <c r="P4757" s="75">
        <v>2014</v>
      </c>
      <c r="Q4757" s="107">
        <f t="shared" si="171"/>
        <v>2021</v>
      </c>
      <c r="R4757" s="107">
        <v>2</v>
      </c>
      <c r="S4757" s="43">
        <v>221026</v>
      </c>
      <c r="T4757" s="74">
        <v>44265</v>
      </c>
    </row>
    <row r="4758" spans="1:20" x14ac:dyDescent="0.3">
      <c r="A4758" s="42">
        <v>44244</v>
      </c>
      <c r="B4758" s="37">
        <f t="shared" si="164"/>
        <v>20210217</v>
      </c>
      <c r="C4758" s="109">
        <v>1.5800000000000002E-2</v>
      </c>
      <c r="D4758" s="109">
        <v>1.2E-2</v>
      </c>
      <c r="E4758" s="109">
        <v>1.4E-2</v>
      </c>
      <c r="F4758" s="109">
        <v>1.4999999999999999E-2</v>
      </c>
      <c r="G4758" s="130">
        <v>0</v>
      </c>
      <c r="H4758" s="71">
        <v>8.9</v>
      </c>
      <c r="I4758" s="71">
        <v>11.6</v>
      </c>
      <c r="J4758" s="71">
        <v>14.3</v>
      </c>
      <c r="K4758" s="121">
        <v>2.9999999999999997E-4</v>
      </c>
      <c r="L4758" s="121">
        <v>-5.0000000000000001E-3</v>
      </c>
      <c r="M4758" s="75" t="s">
        <v>146</v>
      </c>
      <c r="N4758" s="75" t="b">
        <v>1</v>
      </c>
      <c r="O4758" s="75" t="s">
        <v>145</v>
      </c>
      <c r="P4758" s="75">
        <v>2014</v>
      </c>
      <c r="Q4758" s="107">
        <f t="shared" si="171"/>
        <v>2021</v>
      </c>
      <c r="R4758" s="107">
        <v>2</v>
      </c>
      <c r="S4758" s="43">
        <v>221026</v>
      </c>
      <c r="T4758" s="74">
        <v>44265</v>
      </c>
    </row>
    <row r="4759" spans="1:20" x14ac:dyDescent="0.3">
      <c r="A4759" s="42">
        <v>44245</v>
      </c>
      <c r="B4759" s="37">
        <f t="shared" si="164"/>
        <v>20210218</v>
      </c>
      <c r="C4759" s="109">
        <v>1.61E-2</v>
      </c>
      <c r="D4759" s="109">
        <v>1.2E-2</v>
      </c>
      <c r="E4759" s="109">
        <v>1.4E-2</v>
      </c>
      <c r="F4759" s="109">
        <v>1.4999999999999999E-2</v>
      </c>
      <c r="G4759" s="130">
        <v>0</v>
      </c>
      <c r="H4759" s="71">
        <v>8.9</v>
      </c>
      <c r="I4759" s="71">
        <v>11.6</v>
      </c>
      <c r="J4759" s="71">
        <v>14.3</v>
      </c>
      <c r="K4759" s="121">
        <v>8.0000000000000004E-4</v>
      </c>
      <c r="L4759" s="121">
        <v>-5.0000000000000001E-3</v>
      </c>
      <c r="M4759" s="75" t="s">
        <v>146</v>
      </c>
      <c r="N4759" s="75" t="b">
        <v>1</v>
      </c>
      <c r="O4759" s="75" t="s">
        <v>145</v>
      </c>
      <c r="P4759" s="75">
        <v>2014</v>
      </c>
      <c r="Q4759" s="107">
        <f t="shared" si="171"/>
        <v>2021</v>
      </c>
      <c r="R4759" s="107">
        <v>2</v>
      </c>
      <c r="S4759" s="43">
        <v>221026</v>
      </c>
      <c r="T4759" s="74">
        <v>44265</v>
      </c>
    </row>
    <row r="4760" spans="1:20" x14ac:dyDescent="0.3">
      <c r="A4760" s="42">
        <v>44246</v>
      </c>
      <c r="B4760" s="37">
        <f t="shared" si="164"/>
        <v>20210219</v>
      </c>
      <c r="C4760" s="109">
        <v>1.6799999999999999E-2</v>
      </c>
      <c r="D4760" s="109">
        <v>1.2E-2</v>
      </c>
      <c r="E4760" s="109">
        <v>1.4E-2</v>
      </c>
      <c r="F4760" s="109">
        <v>1.4999999999999999E-2</v>
      </c>
      <c r="G4760" s="130">
        <v>0</v>
      </c>
      <c r="H4760" s="71">
        <v>8.9</v>
      </c>
      <c r="I4760" s="71">
        <v>11.6</v>
      </c>
      <c r="J4760" s="71">
        <v>14.3</v>
      </c>
      <c r="K4760" s="121">
        <v>1.6000000000000001E-3</v>
      </c>
      <c r="L4760" s="121">
        <v>-5.0000000000000001E-3</v>
      </c>
      <c r="M4760" s="75" t="s">
        <v>146</v>
      </c>
      <c r="N4760" s="75" t="b">
        <v>1</v>
      </c>
      <c r="O4760" s="75" t="s">
        <v>145</v>
      </c>
      <c r="P4760" s="75">
        <v>2014</v>
      </c>
      <c r="Q4760" s="107">
        <f t="shared" si="171"/>
        <v>2021</v>
      </c>
      <c r="R4760" s="107">
        <v>2</v>
      </c>
      <c r="S4760" s="43">
        <v>221026</v>
      </c>
      <c r="T4760" s="74">
        <v>44265</v>
      </c>
    </row>
    <row r="4761" spans="1:20" x14ac:dyDescent="0.3">
      <c r="A4761" s="42">
        <v>44247</v>
      </c>
      <c r="B4761" s="37">
        <f t="shared" ref="B4761:B4762" si="173">YEAR(A4761)*10000+MONTH(A4761)*100+DAY(A4761)</f>
        <v>20210220</v>
      </c>
      <c r="C4761" s="109">
        <v>1.6799999999999999E-2</v>
      </c>
      <c r="D4761" s="109">
        <v>1.2E-2</v>
      </c>
      <c r="E4761" s="109">
        <v>1.4E-2</v>
      </c>
      <c r="F4761" s="109">
        <v>1.4999999999999999E-2</v>
      </c>
      <c r="G4761" s="130">
        <v>0</v>
      </c>
      <c r="H4761" s="71">
        <v>8.9</v>
      </c>
      <c r="I4761" s="71">
        <v>11.6</v>
      </c>
      <c r="J4761" s="71">
        <v>14.3</v>
      </c>
      <c r="K4761" s="121">
        <v>1.6000000000000001E-3</v>
      </c>
      <c r="L4761" s="121">
        <v>-5.0000000000000001E-3</v>
      </c>
      <c r="M4761" s="75" t="s">
        <v>146</v>
      </c>
      <c r="N4761" s="75" t="b">
        <v>1</v>
      </c>
      <c r="O4761" s="75" t="s">
        <v>145</v>
      </c>
      <c r="P4761" s="75">
        <v>2014</v>
      </c>
      <c r="Q4761" s="107">
        <f t="shared" si="171"/>
        <v>2021</v>
      </c>
      <c r="R4761" s="107">
        <v>2</v>
      </c>
      <c r="S4761" s="43">
        <v>221026</v>
      </c>
      <c r="T4761" s="74">
        <v>44265</v>
      </c>
    </row>
    <row r="4762" spans="1:20" x14ac:dyDescent="0.3">
      <c r="A4762" s="42">
        <v>44248</v>
      </c>
      <c r="B4762" s="37">
        <f t="shared" si="173"/>
        <v>20210221</v>
      </c>
      <c r="C4762" s="109">
        <v>1.6799999999999999E-2</v>
      </c>
      <c r="D4762" s="109">
        <v>1.2E-2</v>
      </c>
      <c r="E4762" s="109">
        <v>1.4E-2</v>
      </c>
      <c r="F4762" s="109">
        <v>1.4999999999999999E-2</v>
      </c>
      <c r="G4762" s="130">
        <v>0</v>
      </c>
      <c r="H4762" s="71">
        <v>8.9</v>
      </c>
      <c r="I4762" s="71">
        <v>11.6</v>
      </c>
      <c r="J4762" s="71">
        <v>14.3</v>
      </c>
      <c r="K4762" s="121">
        <v>1.6000000000000001E-3</v>
      </c>
      <c r="L4762" s="121">
        <v>-5.0000000000000001E-3</v>
      </c>
      <c r="M4762" s="75" t="s">
        <v>146</v>
      </c>
      <c r="N4762" s="75" t="b">
        <v>1</v>
      </c>
      <c r="O4762" s="75" t="s">
        <v>145</v>
      </c>
      <c r="P4762" s="75">
        <v>2014</v>
      </c>
      <c r="Q4762" s="107">
        <f t="shared" si="171"/>
        <v>2021</v>
      </c>
      <c r="R4762" s="107">
        <v>2</v>
      </c>
      <c r="S4762" s="43">
        <v>221026</v>
      </c>
      <c r="T4762" s="74">
        <v>44265</v>
      </c>
    </row>
    <row r="4763" spans="1:20" x14ac:dyDescent="0.3">
      <c r="A4763" s="42">
        <v>44249</v>
      </c>
      <c r="B4763" s="37">
        <f t="shared" si="164"/>
        <v>20210222</v>
      </c>
      <c r="C4763" s="109">
        <v>1.7100000000000001E-2</v>
      </c>
      <c r="D4763" s="109">
        <v>1.2E-2</v>
      </c>
      <c r="E4763" s="109">
        <v>1.4E-2</v>
      </c>
      <c r="F4763" s="109">
        <v>1.4999999999999999E-2</v>
      </c>
      <c r="G4763" s="130">
        <v>0</v>
      </c>
      <c r="H4763" s="71">
        <v>8.9</v>
      </c>
      <c r="I4763" s="71">
        <v>11.6</v>
      </c>
      <c r="J4763" s="71">
        <v>14.3</v>
      </c>
      <c r="K4763" s="121">
        <v>2E-3</v>
      </c>
      <c r="L4763" s="121">
        <v>-5.0000000000000001E-3</v>
      </c>
      <c r="M4763" s="75" t="s">
        <v>146</v>
      </c>
      <c r="N4763" s="75" t="b">
        <v>1</v>
      </c>
      <c r="O4763" s="75" t="s">
        <v>145</v>
      </c>
      <c r="P4763" s="75">
        <v>2014</v>
      </c>
      <c r="Q4763" s="107">
        <f t="shared" si="171"/>
        <v>2021</v>
      </c>
      <c r="R4763" s="107">
        <v>2</v>
      </c>
      <c r="S4763" s="43">
        <v>221026</v>
      </c>
      <c r="T4763" s="74">
        <v>44265</v>
      </c>
    </row>
    <row r="4764" spans="1:20" x14ac:dyDescent="0.3">
      <c r="A4764" s="42">
        <v>44250</v>
      </c>
      <c r="B4764" s="37">
        <f t="shared" si="164"/>
        <v>20210223</v>
      </c>
      <c r="C4764" s="109">
        <v>1.7500000000000002E-2</v>
      </c>
      <c r="D4764" s="109">
        <v>1.2E-2</v>
      </c>
      <c r="E4764" s="109">
        <v>1.4E-2</v>
      </c>
      <c r="F4764" s="109">
        <v>1.4999999999999999E-2</v>
      </c>
      <c r="G4764" s="130">
        <v>0</v>
      </c>
      <c r="H4764" s="71">
        <v>8.9</v>
      </c>
      <c r="I4764" s="71">
        <v>11.6</v>
      </c>
      <c r="J4764" s="71">
        <v>14.3</v>
      </c>
      <c r="K4764" s="121">
        <v>2.5000000000000001E-3</v>
      </c>
      <c r="L4764" s="121">
        <v>-5.0000000000000001E-3</v>
      </c>
      <c r="M4764" s="75" t="s">
        <v>146</v>
      </c>
      <c r="N4764" s="75" t="b">
        <v>1</v>
      </c>
      <c r="O4764" s="75" t="s">
        <v>145</v>
      </c>
      <c r="P4764" s="75">
        <v>2014</v>
      </c>
      <c r="Q4764" s="107">
        <f t="shared" si="171"/>
        <v>2021</v>
      </c>
      <c r="R4764" s="107">
        <v>2</v>
      </c>
      <c r="S4764" s="43">
        <v>221026</v>
      </c>
      <c r="T4764" s="74">
        <v>44265</v>
      </c>
    </row>
    <row r="4765" spans="1:20" x14ac:dyDescent="0.3">
      <c r="A4765" s="42">
        <v>44251</v>
      </c>
      <c r="B4765" s="37">
        <f t="shared" si="164"/>
        <v>20210224</v>
      </c>
      <c r="C4765" s="109">
        <v>1.77E-2</v>
      </c>
      <c r="D4765" s="109">
        <v>1.2E-2</v>
      </c>
      <c r="E4765" s="109">
        <v>1.4E-2</v>
      </c>
      <c r="F4765" s="109">
        <v>1.4999999999999999E-2</v>
      </c>
      <c r="G4765" s="130">
        <v>0</v>
      </c>
      <c r="H4765" s="71">
        <v>8.9</v>
      </c>
      <c r="I4765" s="71">
        <v>11.6</v>
      </c>
      <c r="J4765" s="71">
        <v>14.3</v>
      </c>
      <c r="K4765" s="121">
        <v>2.3999999999999998E-3</v>
      </c>
      <c r="L4765" s="121">
        <v>-5.0000000000000001E-3</v>
      </c>
      <c r="M4765" s="75" t="s">
        <v>146</v>
      </c>
      <c r="N4765" s="75" t="b">
        <v>1</v>
      </c>
      <c r="O4765" s="75" t="s">
        <v>145</v>
      </c>
      <c r="P4765" s="75">
        <v>2014</v>
      </c>
      <c r="Q4765" s="107">
        <f t="shared" si="171"/>
        <v>2021</v>
      </c>
      <c r="R4765" s="107">
        <v>2</v>
      </c>
      <c r="S4765" s="43">
        <v>221026</v>
      </c>
      <c r="T4765" s="74">
        <v>44265</v>
      </c>
    </row>
    <row r="4766" spans="1:20" x14ac:dyDescent="0.3">
      <c r="A4766" s="42">
        <v>44252</v>
      </c>
      <c r="B4766" s="37">
        <f t="shared" ref="B4766:B4829" si="174">YEAR(A4766)*10000+MONTH(A4766)*100+DAY(A4766)</f>
        <v>20210225</v>
      </c>
      <c r="C4766" s="109">
        <v>1.83E-2</v>
      </c>
      <c r="D4766" s="109">
        <v>1.2E-2</v>
      </c>
      <c r="E4766" s="109">
        <v>1.4E-2</v>
      </c>
      <c r="F4766" s="109">
        <v>1.4999999999999999E-2</v>
      </c>
      <c r="G4766" s="130">
        <v>0</v>
      </c>
      <c r="H4766" s="71">
        <v>8.9</v>
      </c>
      <c r="I4766" s="71">
        <v>11.6</v>
      </c>
      <c r="J4766" s="71">
        <v>14.3</v>
      </c>
      <c r="K4766" s="121">
        <v>2.5999999999999999E-3</v>
      </c>
      <c r="L4766" s="121">
        <v>-5.0000000000000001E-3</v>
      </c>
      <c r="M4766" s="75" t="s">
        <v>146</v>
      </c>
      <c r="N4766" s="75" t="b">
        <v>1</v>
      </c>
      <c r="O4766" s="75" t="s">
        <v>145</v>
      </c>
      <c r="P4766" s="75">
        <v>2014</v>
      </c>
      <c r="Q4766" s="107">
        <f t="shared" si="171"/>
        <v>2021</v>
      </c>
      <c r="R4766" s="107">
        <v>2</v>
      </c>
      <c r="S4766" s="43">
        <v>221026</v>
      </c>
      <c r="T4766" s="74">
        <v>44265</v>
      </c>
    </row>
    <row r="4767" spans="1:20" x14ac:dyDescent="0.3">
      <c r="A4767" s="42">
        <v>44253</v>
      </c>
      <c r="B4767" s="37">
        <f t="shared" si="174"/>
        <v>20210226</v>
      </c>
      <c r="C4767" s="109">
        <v>1.6899999999999998E-2</v>
      </c>
      <c r="D4767" s="109">
        <v>1.2E-2</v>
      </c>
      <c r="E4767" s="109">
        <v>1.4E-2</v>
      </c>
      <c r="F4767" s="109">
        <v>1.4999999999999999E-2</v>
      </c>
      <c r="G4767" s="130">
        <v>0</v>
      </c>
      <c r="H4767" s="71">
        <v>8.9</v>
      </c>
      <c r="I4767" s="71">
        <v>11.6</v>
      </c>
      <c r="J4767" s="71">
        <v>14.3</v>
      </c>
      <c r="K4767" s="121">
        <v>1.5E-3</v>
      </c>
      <c r="L4767" s="121">
        <v>-5.0000000000000001E-3</v>
      </c>
      <c r="M4767" s="75" t="s">
        <v>146</v>
      </c>
      <c r="N4767" s="75" t="b">
        <v>1</v>
      </c>
      <c r="O4767" s="75" t="s">
        <v>145</v>
      </c>
      <c r="P4767" s="75">
        <v>2014</v>
      </c>
      <c r="Q4767" s="107">
        <f t="shared" si="171"/>
        <v>2021</v>
      </c>
      <c r="R4767" s="107">
        <v>2</v>
      </c>
      <c r="S4767" s="43">
        <v>221026</v>
      </c>
      <c r="T4767" s="74">
        <v>44265</v>
      </c>
    </row>
    <row r="4768" spans="1:20" x14ac:dyDescent="0.3">
      <c r="A4768" s="42">
        <v>44254</v>
      </c>
      <c r="B4768" s="37">
        <f t="shared" ref="B4768:B4769" si="175">YEAR(A4768)*10000+MONTH(A4768)*100+DAY(A4768)</f>
        <v>20210227</v>
      </c>
      <c r="C4768" s="109">
        <v>1.6899999999999998E-2</v>
      </c>
      <c r="D4768" s="109">
        <v>1.2E-2</v>
      </c>
      <c r="E4768" s="109">
        <v>1.4E-2</v>
      </c>
      <c r="F4768" s="109">
        <v>1.4999999999999999E-2</v>
      </c>
      <c r="G4768" s="130">
        <v>0</v>
      </c>
      <c r="H4768" s="71">
        <v>8.9</v>
      </c>
      <c r="I4768" s="71">
        <v>11.6</v>
      </c>
      <c r="J4768" s="71">
        <v>14.3</v>
      </c>
      <c r="K4768" s="121">
        <v>1.5E-3</v>
      </c>
      <c r="L4768" s="121">
        <v>-5.0000000000000001E-3</v>
      </c>
      <c r="M4768" s="75" t="s">
        <v>146</v>
      </c>
      <c r="N4768" s="75" t="b">
        <v>1</v>
      </c>
      <c r="O4768" s="75" t="s">
        <v>145</v>
      </c>
      <c r="P4768" s="75">
        <v>2014</v>
      </c>
      <c r="Q4768" s="107">
        <f t="shared" si="171"/>
        <v>2021</v>
      </c>
      <c r="R4768" s="107">
        <v>2</v>
      </c>
      <c r="S4768" s="43">
        <v>221026</v>
      </c>
      <c r="T4768" s="74">
        <v>44265</v>
      </c>
    </row>
    <row r="4769" spans="1:20" x14ac:dyDescent="0.3">
      <c r="A4769" s="42">
        <v>44255</v>
      </c>
      <c r="B4769" s="37">
        <f t="shared" si="175"/>
        <v>20210228</v>
      </c>
      <c r="C4769" s="109">
        <v>1.6899999999999998E-2</v>
      </c>
      <c r="D4769" s="109">
        <v>1.2E-2</v>
      </c>
      <c r="E4769" s="109">
        <v>1.4E-2</v>
      </c>
      <c r="F4769" s="109">
        <v>1.4999999999999999E-2</v>
      </c>
      <c r="G4769" s="130">
        <v>0</v>
      </c>
      <c r="H4769" s="71">
        <v>8.9</v>
      </c>
      <c r="I4769" s="71">
        <v>11.6</v>
      </c>
      <c r="J4769" s="71">
        <v>14.3</v>
      </c>
      <c r="K4769" s="121">
        <v>1.5E-3</v>
      </c>
      <c r="L4769" s="121">
        <v>-5.0000000000000001E-3</v>
      </c>
      <c r="M4769" s="75" t="s">
        <v>146</v>
      </c>
      <c r="N4769" s="75" t="b">
        <v>1</v>
      </c>
      <c r="O4769" s="75" t="s">
        <v>145</v>
      </c>
      <c r="P4769" s="75">
        <v>2014</v>
      </c>
      <c r="Q4769" s="107">
        <f t="shared" si="171"/>
        <v>2021</v>
      </c>
      <c r="R4769" s="107">
        <v>2</v>
      </c>
      <c r="S4769" s="43">
        <v>221026</v>
      </c>
      <c r="T4769" s="74">
        <v>44265</v>
      </c>
    </row>
    <row r="4770" spans="1:20" x14ac:dyDescent="0.3">
      <c r="A4770" s="42">
        <v>44256</v>
      </c>
      <c r="B4770" s="37">
        <f t="shared" si="174"/>
        <v>20210301</v>
      </c>
      <c r="C4770" s="109">
        <v>1.6899999999999998E-2</v>
      </c>
      <c r="D4770" s="109">
        <v>1.2E-2</v>
      </c>
      <c r="E4770" s="109">
        <v>1.4E-2</v>
      </c>
      <c r="F4770" s="109">
        <v>1.4999999999999999E-2</v>
      </c>
      <c r="G4770" s="130">
        <v>0</v>
      </c>
      <c r="H4770" s="71">
        <v>8.9</v>
      </c>
      <c r="I4770" s="71">
        <v>11.6</v>
      </c>
      <c r="J4770" s="71">
        <v>14.3</v>
      </c>
      <c r="K4770" s="121">
        <v>1.6000000000000001E-3</v>
      </c>
      <c r="L4770" s="121">
        <v>-5.0000000000000001E-3</v>
      </c>
      <c r="M4770" s="75" t="s">
        <v>146</v>
      </c>
      <c r="N4770" s="75" t="b">
        <v>1</v>
      </c>
      <c r="O4770" s="75" t="s">
        <v>145</v>
      </c>
      <c r="P4770" s="75">
        <v>2014</v>
      </c>
      <c r="Q4770" s="107">
        <f t="shared" si="171"/>
        <v>2021</v>
      </c>
      <c r="R4770" s="107">
        <v>2</v>
      </c>
      <c r="S4770" s="43">
        <v>221026</v>
      </c>
      <c r="T4770" s="74">
        <v>44265</v>
      </c>
    </row>
    <row r="4771" spans="1:20" x14ac:dyDescent="0.3">
      <c r="A4771" s="42">
        <v>44257</v>
      </c>
      <c r="B4771" s="37">
        <f t="shared" si="174"/>
        <v>20210302</v>
      </c>
      <c r="C4771" s="109">
        <v>1.7000000000000001E-2</v>
      </c>
      <c r="D4771" s="109">
        <v>1.2E-2</v>
      </c>
      <c r="E4771" s="109">
        <v>1.4E-2</v>
      </c>
      <c r="F4771" s="109">
        <v>1.4999999999999999E-2</v>
      </c>
      <c r="G4771" s="130">
        <v>0</v>
      </c>
      <c r="H4771" s="71">
        <v>8.9</v>
      </c>
      <c r="I4771" s="71">
        <v>11.6</v>
      </c>
      <c r="J4771" s="71">
        <v>14.3</v>
      </c>
      <c r="K4771" s="121">
        <v>1.7000000000000001E-3</v>
      </c>
      <c r="L4771" s="121">
        <v>-5.0000000000000001E-3</v>
      </c>
      <c r="M4771" s="75" t="s">
        <v>146</v>
      </c>
      <c r="N4771" s="75" t="b">
        <v>1</v>
      </c>
      <c r="O4771" s="75" t="s">
        <v>145</v>
      </c>
      <c r="P4771" s="75">
        <v>2014</v>
      </c>
      <c r="Q4771" s="107">
        <f t="shared" si="171"/>
        <v>2021</v>
      </c>
      <c r="R4771" s="107">
        <v>2</v>
      </c>
      <c r="S4771" s="43">
        <v>221026</v>
      </c>
      <c r="T4771" s="74">
        <v>44265</v>
      </c>
    </row>
    <row r="4772" spans="1:20" x14ac:dyDescent="0.3">
      <c r="A4772" s="42">
        <v>44258</v>
      </c>
      <c r="B4772" s="37">
        <f t="shared" si="174"/>
        <v>20210303</v>
      </c>
      <c r="C4772" s="109">
        <v>1.7399999999999999E-2</v>
      </c>
      <c r="D4772" s="109">
        <v>1.2E-2</v>
      </c>
      <c r="E4772" s="109">
        <v>1.4E-2</v>
      </c>
      <c r="F4772" s="109">
        <v>1.4999999999999999E-2</v>
      </c>
      <c r="G4772" s="130">
        <v>0</v>
      </c>
      <c r="H4772" s="71">
        <v>8.9</v>
      </c>
      <c r="I4772" s="71">
        <v>11.6</v>
      </c>
      <c r="J4772" s="71">
        <v>14.3</v>
      </c>
      <c r="K4772" s="121">
        <v>2E-3</v>
      </c>
      <c r="L4772" s="121">
        <v>-5.0000000000000001E-3</v>
      </c>
      <c r="M4772" s="75" t="s">
        <v>146</v>
      </c>
      <c r="N4772" s="75" t="b">
        <v>1</v>
      </c>
      <c r="O4772" s="75" t="s">
        <v>145</v>
      </c>
      <c r="P4772" s="75">
        <v>2014</v>
      </c>
      <c r="Q4772" s="107">
        <f t="shared" si="171"/>
        <v>2021</v>
      </c>
      <c r="R4772" s="107">
        <v>2</v>
      </c>
      <c r="S4772" s="43">
        <v>221026</v>
      </c>
      <c r="T4772" s="74">
        <v>44265</v>
      </c>
    </row>
    <row r="4773" spans="1:20" x14ac:dyDescent="0.3">
      <c r="A4773" s="42">
        <v>44259</v>
      </c>
      <c r="B4773" s="37">
        <f t="shared" si="174"/>
        <v>20210304</v>
      </c>
      <c r="C4773" s="109">
        <v>1.8200000000000001E-2</v>
      </c>
      <c r="D4773" s="109">
        <v>1.2E-2</v>
      </c>
      <c r="E4773" s="109">
        <v>1.4E-2</v>
      </c>
      <c r="F4773" s="109">
        <v>1.4999999999999999E-2</v>
      </c>
      <c r="G4773" s="130">
        <v>0</v>
      </c>
      <c r="H4773" s="71">
        <v>8.9</v>
      </c>
      <c r="I4773" s="71">
        <v>11.6</v>
      </c>
      <c r="J4773" s="71">
        <v>14.3</v>
      </c>
      <c r="K4773" s="121">
        <v>2.8000000000000004E-3</v>
      </c>
      <c r="L4773" s="121">
        <v>-5.0000000000000001E-3</v>
      </c>
      <c r="M4773" s="75" t="s">
        <v>146</v>
      </c>
      <c r="N4773" s="75" t="b">
        <v>1</v>
      </c>
      <c r="O4773" s="75" t="s">
        <v>145</v>
      </c>
      <c r="P4773" s="75">
        <v>2014</v>
      </c>
      <c r="Q4773" s="107">
        <f t="shared" si="171"/>
        <v>2021</v>
      </c>
      <c r="R4773" s="107">
        <v>2</v>
      </c>
      <c r="S4773" s="43">
        <v>221026</v>
      </c>
      <c r="T4773" s="74">
        <v>44265</v>
      </c>
    </row>
    <row r="4774" spans="1:20" x14ac:dyDescent="0.3">
      <c r="A4774" s="42">
        <v>44260</v>
      </c>
      <c r="B4774" s="37">
        <f t="shared" si="174"/>
        <v>20210305</v>
      </c>
      <c r="C4774" s="109">
        <v>1.8000000000000002E-2</v>
      </c>
      <c r="D4774" s="109">
        <v>1.2E-2</v>
      </c>
      <c r="E4774" s="109">
        <v>1.4E-2</v>
      </c>
      <c r="F4774" s="109">
        <v>1.4999999999999999E-2</v>
      </c>
      <c r="G4774" s="130">
        <v>0</v>
      </c>
      <c r="H4774" s="71">
        <v>8.9</v>
      </c>
      <c r="I4774" s="71">
        <v>11.6</v>
      </c>
      <c r="J4774" s="71">
        <v>14.3</v>
      </c>
      <c r="K4774" s="121">
        <v>2.5000000000000001E-3</v>
      </c>
      <c r="L4774" s="121">
        <v>-5.0000000000000001E-3</v>
      </c>
      <c r="M4774" s="75" t="s">
        <v>146</v>
      </c>
      <c r="N4774" s="75" t="b">
        <v>1</v>
      </c>
      <c r="O4774" s="75" t="s">
        <v>145</v>
      </c>
      <c r="P4774" s="75">
        <v>2014</v>
      </c>
      <c r="Q4774" s="107">
        <f t="shared" si="171"/>
        <v>2021</v>
      </c>
      <c r="R4774" s="107">
        <v>2</v>
      </c>
      <c r="S4774" s="43">
        <v>221026</v>
      </c>
      <c r="T4774" s="74">
        <v>44265</v>
      </c>
    </row>
    <row r="4775" spans="1:20" x14ac:dyDescent="0.3">
      <c r="A4775" s="42">
        <v>44261</v>
      </c>
      <c r="B4775" s="37">
        <f t="shared" ref="B4775:B4776" si="176">YEAR(A4775)*10000+MONTH(A4775)*100+DAY(A4775)</f>
        <v>20210306</v>
      </c>
      <c r="C4775" s="109">
        <v>1.8000000000000002E-2</v>
      </c>
      <c r="D4775" s="109">
        <v>1.2E-2</v>
      </c>
      <c r="E4775" s="109">
        <v>1.4E-2</v>
      </c>
      <c r="F4775" s="109">
        <v>1.4999999999999999E-2</v>
      </c>
      <c r="G4775" s="130">
        <v>0</v>
      </c>
      <c r="H4775" s="71">
        <v>8.9</v>
      </c>
      <c r="I4775" s="71">
        <v>11.6</v>
      </c>
      <c r="J4775" s="71">
        <v>14.3</v>
      </c>
      <c r="K4775" s="121">
        <v>2.5000000000000001E-3</v>
      </c>
      <c r="L4775" s="121">
        <v>-5.0000000000000001E-3</v>
      </c>
      <c r="M4775" s="75" t="s">
        <v>146</v>
      </c>
      <c r="N4775" s="75" t="b">
        <v>1</v>
      </c>
      <c r="O4775" s="75" t="s">
        <v>145</v>
      </c>
      <c r="P4775" s="75">
        <v>2014</v>
      </c>
      <c r="Q4775" s="107">
        <f t="shared" si="171"/>
        <v>2021</v>
      </c>
      <c r="R4775" s="107">
        <v>2</v>
      </c>
      <c r="S4775" s="43">
        <v>221026</v>
      </c>
      <c r="T4775" s="74">
        <v>44265</v>
      </c>
    </row>
    <row r="4776" spans="1:20" x14ac:dyDescent="0.3">
      <c r="A4776" s="42">
        <v>44262</v>
      </c>
      <c r="B4776" s="37">
        <f t="shared" si="176"/>
        <v>20210307</v>
      </c>
      <c r="C4776" s="109">
        <v>1.8000000000000002E-2</v>
      </c>
      <c r="D4776" s="109">
        <v>1.2E-2</v>
      </c>
      <c r="E4776" s="109">
        <v>1.4E-2</v>
      </c>
      <c r="F4776" s="109">
        <v>1.4999999999999999E-2</v>
      </c>
      <c r="G4776" s="130">
        <v>0</v>
      </c>
      <c r="H4776" s="71">
        <v>8.9</v>
      </c>
      <c r="I4776" s="71">
        <v>11.6</v>
      </c>
      <c r="J4776" s="71">
        <v>14.3</v>
      </c>
      <c r="K4776" s="121">
        <v>2.5000000000000001E-3</v>
      </c>
      <c r="L4776" s="121">
        <v>-5.0000000000000001E-3</v>
      </c>
      <c r="M4776" s="75" t="s">
        <v>146</v>
      </c>
      <c r="N4776" s="75" t="b">
        <v>1</v>
      </c>
      <c r="O4776" s="75" t="s">
        <v>145</v>
      </c>
      <c r="P4776" s="75">
        <v>2014</v>
      </c>
      <c r="Q4776" s="107">
        <f t="shared" si="171"/>
        <v>2021</v>
      </c>
      <c r="R4776" s="107">
        <v>2</v>
      </c>
      <c r="S4776" s="43">
        <v>221026</v>
      </c>
      <c r="T4776" s="74">
        <v>44265</v>
      </c>
    </row>
    <row r="4777" spans="1:20" x14ac:dyDescent="0.3">
      <c r="A4777" s="42">
        <v>44263</v>
      </c>
      <c r="B4777" s="37">
        <f t="shared" si="174"/>
        <v>20210308</v>
      </c>
      <c r="C4777" s="109">
        <v>1.84E-2</v>
      </c>
      <c r="D4777" s="109">
        <v>1.2E-2</v>
      </c>
      <c r="E4777" s="109">
        <v>1.4E-2</v>
      </c>
      <c r="F4777" s="109">
        <v>1.4999999999999999E-2</v>
      </c>
      <c r="G4777" s="130">
        <v>0</v>
      </c>
      <c r="H4777" s="71">
        <v>8.9</v>
      </c>
      <c r="I4777" s="71">
        <v>11.6</v>
      </c>
      <c r="J4777" s="71">
        <v>14.3</v>
      </c>
      <c r="K4777" s="121">
        <v>2.8000000000000004E-3</v>
      </c>
      <c r="L4777" s="121">
        <v>-5.0000000000000001E-3</v>
      </c>
      <c r="M4777" s="75" t="s">
        <v>146</v>
      </c>
      <c r="N4777" s="75" t="b">
        <v>1</v>
      </c>
      <c r="O4777" s="75" t="s">
        <v>145</v>
      </c>
      <c r="P4777" s="75">
        <v>2014</v>
      </c>
      <c r="Q4777" s="107">
        <f t="shared" si="171"/>
        <v>2021</v>
      </c>
      <c r="R4777" s="107">
        <v>2</v>
      </c>
      <c r="S4777" s="43">
        <v>221026</v>
      </c>
      <c r="T4777" s="74">
        <v>44265</v>
      </c>
    </row>
    <row r="4778" spans="1:20" x14ac:dyDescent="0.3">
      <c r="A4778" s="42">
        <v>44264</v>
      </c>
      <c r="B4778" s="37">
        <f t="shared" si="174"/>
        <v>20210309</v>
      </c>
      <c r="C4778" s="109">
        <v>1.77E-2</v>
      </c>
      <c r="D4778" s="109">
        <v>1.2E-2</v>
      </c>
      <c r="E4778" s="109">
        <v>1.4E-2</v>
      </c>
      <c r="F4778" s="109">
        <v>1.4999999999999999E-2</v>
      </c>
      <c r="G4778" s="130">
        <v>0</v>
      </c>
      <c r="H4778" s="71">
        <v>8.9</v>
      </c>
      <c r="I4778" s="71">
        <v>11.6</v>
      </c>
      <c r="J4778" s="71">
        <v>14.3</v>
      </c>
      <c r="K4778" s="121">
        <v>2E-3</v>
      </c>
      <c r="L4778" s="121">
        <v>-5.0000000000000001E-3</v>
      </c>
      <c r="M4778" s="75" t="s">
        <v>146</v>
      </c>
      <c r="N4778" s="75" t="b">
        <v>1</v>
      </c>
      <c r="O4778" s="75" t="s">
        <v>145</v>
      </c>
      <c r="P4778" s="75">
        <v>2014</v>
      </c>
      <c r="Q4778" s="107">
        <f t="shared" si="171"/>
        <v>2021</v>
      </c>
      <c r="R4778" s="107">
        <v>2</v>
      </c>
      <c r="S4778" s="43">
        <v>221026</v>
      </c>
      <c r="T4778" s="74">
        <v>44265</v>
      </c>
    </row>
    <row r="4779" spans="1:20" x14ac:dyDescent="0.3">
      <c r="A4779" s="42">
        <v>44265</v>
      </c>
      <c r="B4779" s="37">
        <f t="shared" si="174"/>
        <v>20210310</v>
      </c>
      <c r="C4779" s="109">
        <v>1.7600000000000001E-2</v>
      </c>
      <c r="D4779" s="109">
        <v>1.2E-2</v>
      </c>
      <c r="E4779" s="109">
        <v>1.4E-2</v>
      </c>
      <c r="F4779" s="109">
        <v>1.4999999999999999E-2</v>
      </c>
      <c r="G4779" s="130">
        <v>0</v>
      </c>
      <c r="H4779" s="71">
        <v>8.9</v>
      </c>
      <c r="I4779" s="71">
        <v>11.6</v>
      </c>
      <c r="J4779" s="71">
        <v>14.3</v>
      </c>
      <c r="K4779" s="121">
        <v>1.7000000000000001E-3</v>
      </c>
      <c r="L4779" s="121">
        <v>-5.0000000000000001E-3</v>
      </c>
      <c r="M4779" s="75" t="s">
        <v>146</v>
      </c>
      <c r="N4779" s="75" t="b">
        <v>1</v>
      </c>
      <c r="O4779" s="75" t="s">
        <v>145</v>
      </c>
      <c r="P4779" s="75">
        <v>2014</v>
      </c>
      <c r="Q4779" s="107">
        <f t="shared" si="171"/>
        <v>2021</v>
      </c>
      <c r="R4779" s="107">
        <v>2</v>
      </c>
      <c r="S4779" s="43">
        <v>221026</v>
      </c>
      <c r="T4779" s="74">
        <v>44265</v>
      </c>
    </row>
    <row r="4780" spans="1:20" x14ac:dyDescent="0.3">
      <c r="A4780" s="42">
        <v>44266</v>
      </c>
      <c r="B4780" s="37">
        <f t="shared" si="174"/>
        <v>20210311</v>
      </c>
      <c r="C4780" s="109">
        <v>1.8000000000000002E-2</v>
      </c>
      <c r="D4780" s="109">
        <v>1.2E-2</v>
      </c>
      <c r="E4780" s="109">
        <v>1.4E-2</v>
      </c>
      <c r="F4780" s="109">
        <v>1.4999999999999999E-2</v>
      </c>
      <c r="G4780" s="130">
        <v>0</v>
      </c>
      <c r="H4780" s="71">
        <v>8.9</v>
      </c>
      <c r="I4780" s="71">
        <v>11.6</v>
      </c>
      <c r="J4780" s="71">
        <v>14.3</v>
      </c>
      <c r="K4780" s="121">
        <v>1.9E-3</v>
      </c>
      <c r="L4780" s="121">
        <v>-5.0000000000000001E-3</v>
      </c>
      <c r="M4780" s="75" t="s">
        <v>146</v>
      </c>
      <c r="N4780" s="75" t="b">
        <v>1</v>
      </c>
      <c r="O4780" s="75" t="s">
        <v>145</v>
      </c>
      <c r="P4780" s="75">
        <v>2014</v>
      </c>
      <c r="Q4780" s="107">
        <f t="shared" si="171"/>
        <v>2021</v>
      </c>
      <c r="R4780" s="107">
        <v>2</v>
      </c>
      <c r="S4780" s="43">
        <v>221026</v>
      </c>
      <c r="T4780" s="74">
        <v>44265</v>
      </c>
    </row>
    <row r="4781" spans="1:20" x14ac:dyDescent="0.3">
      <c r="A4781" s="42">
        <v>44267</v>
      </c>
      <c r="B4781" s="37">
        <f t="shared" si="174"/>
        <v>20210312</v>
      </c>
      <c r="C4781" s="109">
        <v>1.9400000000000001E-2</v>
      </c>
      <c r="D4781" s="109">
        <v>1.2E-2</v>
      </c>
      <c r="E4781" s="109">
        <v>1.4E-2</v>
      </c>
      <c r="F4781" s="109">
        <v>1.4999999999999999E-2</v>
      </c>
      <c r="G4781" s="130">
        <v>0</v>
      </c>
      <c r="H4781" s="71">
        <v>8.9</v>
      </c>
      <c r="I4781" s="71">
        <v>11.6</v>
      </c>
      <c r="J4781" s="71">
        <v>14.3</v>
      </c>
      <c r="K4781" s="121">
        <v>3.3E-3</v>
      </c>
      <c r="L4781" s="121">
        <v>-5.0000000000000001E-3</v>
      </c>
      <c r="M4781" s="75" t="s">
        <v>146</v>
      </c>
      <c r="N4781" s="75" t="b">
        <v>1</v>
      </c>
      <c r="O4781" s="75" t="s">
        <v>145</v>
      </c>
      <c r="P4781" s="75">
        <v>2014</v>
      </c>
      <c r="Q4781" s="107">
        <f t="shared" si="171"/>
        <v>2021</v>
      </c>
      <c r="R4781" s="107">
        <v>2</v>
      </c>
      <c r="S4781" s="43">
        <v>221026</v>
      </c>
      <c r="T4781" s="74">
        <v>44265</v>
      </c>
    </row>
    <row r="4782" spans="1:20" x14ac:dyDescent="0.3">
      <c r="A4782" s="42">
        <v>44268</v>
      </c>
      <c r="B4782" s="37">
        <f t="shared" ref="B4782:B4783" si="177">YEAR(A4782)*10000+MONTH(A4782)*100+DAY(A4782)</f>
        <v>20210313</v>
      </c>
      <c r="C4782" s="109">
        <v>1.9400000000000001E-2</v>
      </c>
      <c r="D4782" s="109">
        <v>1.2E-2</v>
      </c>
      <c r="E4782" s="109">
        <v>1.4E-2</v>
      </c>
      <c r="F4782" s="109">
        <v>1.4999999999999999E-2</v>
      </c>
      <c r="G4782" s="130">
        <v>0</v>
      </c>
      <c r="H4782" s="71">
        <v>8.9</v>
      </c>
      <c r="I4782" s="71">
        <v>11.6</v>
      </c>
      <c r="J4782" s="71">
        <v>14.3</v>
      </c>
      <c r="K4782" s="121">
        <v>3.3E-3</v>
      </c>
      <c r="L4782" s="121">
        <v>-5.0000000000000001E-3</v>
      </c>
      <c r="M4782" s="75" t="s">
        <v>146</v>
      </c>
      <c r="N4782" s="75" t="b">
        <v>1</v>
      </c>
      <c r="O4782" s="75" t="s">
        <v>145</v>
      </c>
      <c r="P4782" s="75">
        <v>2014</v>
      </c>
      <c r="Q4782" s="107">
        <f t="shared" si="171"/>
        <v>2021</v>
      </c>
      <c r="R4782" s="107">
        <v>2</v>
      </c>
      <c r="S4782" s="43">
        <v>221026</v>
      </c>
      <c r="T4782" s="74">
        <v>44265</v>
      </c>
    </row>
    <row r="4783" spans="1:20" x14ac:dyDescent="0.3">
      <c r="A4783" s="42">
        <v>44269</v>
      </c>
      <c r="B4783" s="37">
        <f t="shared" si="177"/>
        <v>20210314</v>
      </c>
      <c r="C4783" s="109">
        <v>1.9400000000000001E-2</v>
      </c>
      <c r="D4783" s="109">
        <v>1.2E-2</v>
      </c>
      <c r="E4783" s="109">
        <v>1.4E-2</v>
      </c>
      <c r="F4783" s="109">
        <v>1.4999999999999999E-2</v>
      </c>
      <c r="G4783" s="130">
        <v>0</v>
      </c>
      <c r="H4783" s="71">
        <v>8.9</v>
      </c>
      <c r="I4783" s="71">
        <v>11.6</v>
      </c>
      <c r="J4783" s="71">
        <v>14.3</v>
      </c>
      <c r="K4783" s="121">
        <v>3.3E-3</v>
      </c>
      <c r="L4783" s="121">
        <v>-5.0000000000000001E-3</v>
      </c>
      <c r="M4783" s="75" t="s">
        <v>146</v>
      </c>
      <c r="N4783" s="75" t="b">
        <v>1</v>
      </c>
      <c r="O4783" s="75" t="s">
        <v>145</v>
      </c>
      <c r="P4783" s="75">
        <v>2014</v>
      </c>
      <c r="Q4783" s="107">
        <f t="shared" si="171"/>
        <v>2021</v>
      </c>
      <c r="R4783" s="107">
        <v>2</v>
      </c>
      <c r="S4783" s="43">
        <v>221026</v>
      </c>
      <c r="T4783" s="74">
        <v>44265</v>
      </c>
    </row>
    <row r="4784" spans="1:20" x14ac:dyDescent="0.3">
      <c r="A4784" s="42">
        <v>44270</v>
      </c>
      <c r="B4784" s="37">
        <f t="shared" si="174"/>
        <v>20210315</v>
      </c>
      <c r="C4784" s="109">
        <v>1.9099999999999999E-2</v>
      </c>
      <c r="D4784" s="109">
        <v>1.2E-2</v>
      </c>
      <c r="E4784" s="109">
        <v>1.4E-2</v>
      </c>
      <c r="F4784" s="109">
        <v>1.4999999999999999E-2</v>
      </c>
      <c r="G4784" s="130">
        <v>0</v>
      </c>
      <c r="H4784" s="71">
        <v>8.9</v>
      </c>
      <c r="I4784" s="71">
        <v>11.6</v>
      </c>
      <c r="J4784" s="71">
        <v>14.3</v>
      </c>
      <c r="K4784" s="121">
        <v>3.0000000000000001E-3</v>
      </c>
      <c r="L4784" s="121">
        <v>-5.0000000000000001E-3</v>
      </c>
      <c r="M4784" s="75" t="s">
        <v>146</v>
      </c>
      <c r="N4784" s="75" t="b">
        <v>1</v>
      </c>
      <c r="O4784" s="75" t="s">
        <v>145</v>
      </c>
      <c r="P4784" s="75">
        <v>2014</v>
      </c>
      <c r="Q4784" s="107">
        <f t="shared" si="171"/>
        <v>2021</v>
      </c>
      <c r="R4784" s="107">
        <v>2</v>
      </c>
      <c r="S4784" s="43">
        <v>221026</v>
      </c>
      <c r="T4784" s="74">
        <v>44265</v>
      </c>
    </row>
    <row r="4785" spans="1:21" x14ac:dyDescent="0.3">
      <c r="A4785" s="42">
        <v>44271</v>
      </c>
      <c r="B4785" s="37">
        <f t="shared" si="174"/>
        <v>20210316</v>
      </c>
      <c r="C4785" s="109">
        <v>1.9400000000000001E-2</v>
      </c>
      <c r="D4785" s="109">
        <v>1.2E-2</v>
      </c>
      <c r="E4785" s="109">
        <v>1.4E-2</v>
      </c>
      <c r="F4785" s="109">
        <v>1.4999999999999999E-2</v>
      </c>
      <c r="G4785" s="130">
        <v>0</v>
      </c>
      <c r="H4785" s="71">
        <v>8.9</v>
      </c>
      <c r="I4785" s="71">
        <v>11.6</v>
      </c>
      <c r="J4785" s="71">
        <v>14.3</v>
      </c>
      <c r="K4785" s="121">
        <v>3.2000000000000002E-3</v>
      </c>
      <c r="L4785" s="121">
        <v>-5.0000000000000001E-3</v>
      </c>
      <c r="M4785" s="75" t="s">
        <v>146</v>
      </c>
      <c r="N4785" s="75" t="b">
        <v>1</v>
      </c>
      <c r="O4785" s="75" t="s">
        <v>145</v>
      </c>
      <c r="P4785" s="75">
        <v>2014</v>
      </c>
      <c r="Q4785" s="107">
        <f t="shared" si="171"/>
        <v>2021</v>
      </c>
      <c r="R4785" s="107">
        <v>2</v>
      </c>
      <c r="S4785" s="43">
        <v>221026</v>
      </c>
      <c r="T4785" s="74">
        <v>44265</v>
      </c>
    </row>
    <row r="4786" spans="1:21" x14ac:dyDescent="0.3">
      <c r="A4786" s="42">
        <v>44272</v>
      </c>
      <c r="B4786" s="37">
        <f t="shared" si="174"/>
        <v>20210317</v>
      </c>
      <c r="C4786" s="109">
        <v>1.9900000000000001E-2</v>
      </c>
      <c r="D4786" s="109">
        <v>1.2E-2</v>
      </c>
      <c r="E4786" s="109">
        <v>1.4E-2</v>
      </c>
      <c r="F4786" s="109">
        <v>1.4999999999999999E-2</v>
      </c>
      <c r="G4786" s="130">
        <v>0</v>
      </c>
      <c r="H4786" s="71">
        <v>8.9</v>
      </c>
      <c r="I4786" s="71">
        <v>11.6</v>
      </c>
      <c r="J4786" s="71">
        <v>14.3</v>
      </c>
      <c r="K4786" s="121">
        <v>3.5999999999999999E-3</v>
      </c>
      <c r="L4786" s="121">
        <v>-5.0000000000000001E-3</v>
      </c>
      <c r="M4786" s="75" t="s">
        <v>146</v>
      </c>
      <c r="N4786" s="75" t="b">
        <v>1</v>
      </c>
      <c r="O4786" s="75" t="s">
        <v>145</v>
      </c>
      <c r="P4786" s="75">
        <v>2014</v>
      </c>
      <c r="Q4786" s="107">
        <f t="shared" si="171"/>
        <v>2021</v>
      </c>
      <c r="R4786" s="107">
        <v>2</v>
      </c>
      <c r="S4786" s="43">
        <v>221026</v>
      </c>
      <c r="T4786" s="74">
        <v>44265</v>
      </c>
    </row>
    <row r="4787" spans="1:21" x14ac:dyDescent="0.3">
      <c r="A4787" s="42">
        <v>44273</v>
      </c>
      <c r="B4787" s="37">
        <f t="shared" si="174"/>
        <v>20210318</v>
      </c>
      <c r="C4787" s="109">
        <v>0.02</v>
      </c>
      <c r="D4787" s="109">
        <v>1.2E-2</v>
      </c>
      <c r="E4787" s="109">
        <v>1.4E-2</v>
      </c>
      <c r="F4787" s="109">
        <v>1.4999999999999999E-2</v>
      </c>
      <c r="G4787" s="130">
        <v>0</v>
      </c>
      <c r="H4787" s="71">
        <v>8.9</v>
      </c>
      <c r="I4787" s="71">
        <v>11.6</v>
      </c>
      <c r="J4787" s="71">
        <v>14.3</v>
      </c>
      <c r="K4787" s="121">
        <v>3.5999999999999999E-3</v>
      </c>
      <c r="L4787" s="121">
        <v>-5.0000000000000001E-3</v>
      </c>
      <c r="M4787" s="75" t="s">
        <v>146</v>
      </c>
      <c r="N4787" s="75" t="b">
        <v>1</v>
      </c>
      <c r="O4787" s="75" t="s">
        <v>145</v>
      </c>
      <c r="P4787" s="75">
        <v>2014</v>
      </c>
      <c r="Q4787" s="107">
        <f t="shared" si="171"/>
        <v>2021</v>
      </c>
      <c r="R4787" s="107">
        <v>2</v>
      </c>
      <c r="S4787" s="43">
        <v>221026</v>
      </c>
      <c r="T4787" s="74">
        <v>44265</v>
      </c>
    </row>
    <row r="4788" spans="1:21" x14ac:dyDescent="0.3">
      <c r="A4788" s="42">
        <v>44274</v>
      </c>
      <c r="B4788" s="37">
        <f t="shared" si="174"/>
        <v>20210319</v>
      </c>
      <c r="C4788" s="109">
        <v>1.9699999999999999E-2</v>
      </c>
      <c r="D4788" s="109">
        <v>1.2E-2</v>
      </c>
      <c r="E4788" s="109">
        <v>1.4E-2</v>
      </c>
      <c r="F4788" s="109">
        <v>1.4999999999999999E-2</v>
      </c>
      <c r="G4788" s="130">
        <v>0</v>
      </c>
      <c r="H4788" s="71">
        <v>8.9</v>
      </c>
      <c r="I4788" s="71">
        <v>11.6</v>
      </c>
      <c r="J4788" s="71">
        <v>14.3</v>
      </c>
      <c r="K4788" s="121">
        <v>3.3E-3</v>
      </c>
      <c r="L4788" s="121">
        <v>-5.0000000000000001E-3</v>
      </c>
      <c r="M4788" s="75" t="s">
        <v>146</v>
      </c>
      <c r="N4788" s="75" t="b">
        <v>1</v>
      </c>
      <c r="O4788" s="75" t="s">
        <v>145</v>
      </c>
      <c r="P4788" s="75">
        <v>2014</v>
      </c>
      <c r="Q4788" s="107">
        <f t="shared" si="171"/>
        <v>2021</v>
      </c>
      <c r="R4788" s="107">
        <v>2</v>
      </c>
      <c r="S4788" s="43">
        <v>221026</v>
      </c>
      <c r="T4788" s="74">
        <v>44265</v>
      </c>
    </row>
    <row r="4789" spans="1:21" x14ac:dyDescent="0.3">
      <c r="A4789" s="42">
        <v>44275</v>
      </c>
      <c r="B4789" s="37">
        <f t="shared" ref="B4789:B4790" si="178">YEAR(A4789)*10000+MONTH(A4789)*100+DAY(A4789)</f>
        <v>20210320</v>
      </c>
      <c r="C4789" s="109">
        <v>1.9699999999999999E-2</v>
      </c>
      <c r="D4789" s="109">
        <v>1.2E-2</v>
      </c>
      <c r="E4789" s="109">
        <v>1.4E-2</v>
      </c>
      <c r="F4789" s="109">
        <v>1.4999999999999999E-2</v>
      </c>
      <c r="G4789" s="130">
        <v>0</v>
      </c>
      <c r="H4789" s="71">
        <v>8.9</v>
      </c>
      <c r="I4789" s="71">
        <v>11.6</v>
      </c>
      <c r="J4789" s="71">
        <v>14.3</v>
      </c>
      <c r="K4789" s="121">
        <v>3.3E-3</v>
      </c>
      <c r="L4789" s="121">
        <v>-5.0000000000000001E-3</v>
      </c>
      <c r="M4789" s="75" t="s">
        <v>146</v>
      </c>
      <c r="N4789" s="75" t="b">
        <v>1</v>
      </c>
      <c r="O4789" s="75" t="s">
        <v>145</v>
      </c>
      <c r="P4789" s="75">
        <v>2014</v>
      </c>
      <c r="Q4789" s="107">
        <f t="shared" si="171"/>
        <v>2021</v>
      </c>
      <c r="R4789" s="107">
        <v>2</v>
      </c>
      <c r="S4789" s="43">
        <v>221026</v>
      </c>
      <c r="T4789" s="74">
        <v>44265</v>
      </c>
    </row>
    <row r="4790" spans="1:21" x14ac:dyDescent="0.3">
      <c r="A4790" s="42">
        <v>44276</v>
      </c>
      <c r="B4790" s="37">
        <f t="shared" si="178"/>
        <v>20210321</v>
      </c>
      <c r="C4790" s="109">
        <v>1.9699999999999999E-2</v>
      </c>
      <c r="D4790" s="109">
        <v>1.2E-2</v>
      </c>
      <c r="E4790" s="109">
        <v>1.4E-2</v>
      </c>
      <c r="F4790" s="109">
        <v>1.4999999999999999E-2</v>
      </c>
      <c r="G4790" s="130">
        <v>0</v>
      </c>
      <c r="H4790" s="71">
        <v>8.9</v>
      </c>
      <c r="I4790" s="71">
        <v>11.6</v>
      </c>
      <c r="J4790" s="71">
        <v>14.3</v>
      </c>
      <c r="K4790" s="121">
        <v>3.3E-3</v>
      </c>
      <c r="L4790" s="121">
        <v>-5.0000000000000001E-3</v>
      </c>
      <c r="M4790" s="75" t="s">
        <v>146</v>
      </c>
      <c r="N4790" s="75" t="b">
        <v>1</v>
      </c>
      <c r="O4790" s="75" t="s">
        <v>145</v>
      </c>
      <c r="P4790" s="75">
        <v>2014</v>
      </c>
      <c r="Q4790" s="107">
        <f t="shared" si="171"/>
        <v>2021</v>
      </c>
      <c r="R4790" s="107">
        <v>2</v>
      </c>
      <c r="S4790" s="43">
        <v>221026</v>
      </c>
      <c r="T4790" s="74">
        <v>44265</v>
      </c>
    </row>
    <row r="4791" spans="1:21" x14ac:dyDescent="0.3">
      <c r="A4791" s="42">
        <v>44277</v>
      </c>
      <c r="B4791" s="37">
        <f t="shared" si="174"/>
        <v>20210322</v>
      </c>
      <c r="C4791" s="109">
        <v>1.9400000000000001E-2</v>
      </c>
      <c r="D4791" s="109">
        <v>1.2E-2</v>
      </c>
      <c r="E4791" s="109">
        <v>1.4E-2</v>
      </c>
      <c r="F4791" s="109">
        <v>1.4999999999999999E-2</v>
      </c>
      <c r="G4791" s="130">
        <v>0</v>
      </c>
      <c r="H4791" s="71">
        <v>8.9</v>
      </c>
      <c r="I4791" s="71">
        <v>11.6</v>
      </c>
      <c r="J4791" s="71">
        <v>14.3</v>
      </c>
      <c r="K4791" s="121">
        <v>2.8999999999999998E-3</v>
      </c>
      <c r="L4791" s="121">
        <v>-5.0000000000000001E-3</v>
      </c>
      <c r="M4791" s="75" t="s">
        <v>146</v>
      </c>
      <c r="N4791" s="75" t="b">
        <v>1</v>
      </c>
      <c r="O4791" s="75" t="s">
        <v>145</v>
      </c>
      <c r="P4791" s="75">
        <v>2014</v>
      </c>
      <c r="Q4791" s="107">
        <f t="shared" si="171"/>
        <v>2021</v>
      </c>
      <c r="R4791" s="107">
        <v>2</v>
      </c>
      <c r="S4791" s="43">
        <v>221026</v>
      </c>
      <c r="T4791" s="74">
        <v>44265</v>
      </c>
    </row>
    <row r="4792" spans="1:21" x14ac:dyDescent="0.3">
      <c r="A4792" s="42">
        <v>44278</v>
      </c>
      <c r="B4792" s="37">
        <f t="shared" si="174"/>
        <v>20210323</v>
      </c>
      <c r="C4792" s="109">
        <v>1.8799999999999997E-2</v>
      </c>
      <c r="D4792" s="109">
        <v>1.2E-2</v>
      </c>
      <c r="E4792" s="109">
        <v>1.4E-2</v>
      </c>
      <c r="F4792" s="109">
        <v>1.4999999999999999E-2</v>
      </c>
      <c r="G4792" s="130">
        <v>0</v>
      </c>
      <c r="H4792" s="71">
        <v>8.9</v>
      </c>
      <c r="I4792" s="71">
        <v>11.6</v>
      </c>
      <c r="J4792" s="71">
        <v>14.3</v>
      </c>
      <c r="K4792" s="121">
        <v>2.3999999999999998E-3</v>
      </c>
      <c r="L4792" s="121">
        <v>-5.0000000000000001E-3</v>
      </c>
      <c r="M4792" s="75" t="s">
        <v>146</v>
      </c>
      <c r="N4792" s="75" t="b">
        <v>1</v>
      </c>
      <c r="O4792" s="75" t="s">
        <v>145</v>
      </c>
      <c r="P4792" s="75">
        <v>2014</v>
      </c>
      <c r="Q4792" s="107">
        <f t="shared" si="171"/>
        <v>2021</v>
      </c>
      <c r="R4792" s="107">
        <v>2</v>
      </c>
      <c r="S4792" s="43">
        <v>221026</v>
      </c>
      <c r="T4792" s="74">
        <v>44265</v>
      </c>
    </row>
    <row r="4793" spans="1:21" x14ac:dyDescent="0.3">
      <c r="A4793" s="42">
        <v>44279</v>
      </c>
      <c r="B4793" s="37">
        <f t="shared" si="174"/>
        <v>20210324</v>
      </c>
      <c r="C4793" s="109">
        <v>1.84E-2</v>
      </c>
      <c r="D4793" s="109">
        <v>1.2E-2</v>
      </c>
      <c r="E4793" s="109">
        <v>1.4E-2</v>
      </c>
      <c r="F4793" s="109">
        <v>1.4999999999999999E-2</v>
      </c>
      <c r="G4793" s="130">
        <v>0</v>
      </c>
      <c r="H4793" s="71">
        <v>8.9</v>
      </c>
      <c r="I4793" s="71">
        <v>11.6</v>
      </c>
      <c r="J4793" s="71">
        <v>14.3</v>
      </c>
      <c r="K4793" s="121">
        <v>2E-3</v>
      </c>
      <c r="L4793" s="121">
        <v>-5.0000000000000001E-3</v>
      </c>
      <c r="M4793" s="75" t="s">
        <v>146</v>
      </c>
      <c r="N4793" s="75" t="b">
        <v>1</v>
      </c>
      <c r="O4793" s="75" t="s">
        <v>145</v>
      </c>
      <c r="P4793" s="75">
        <v>2014</v>
      </c>
      <c r="Q4793" s="107">
        <f t="shared" si="171"/>
        <v>2021</v>
      </c>
      <c r="R4793" s="107">
        <v>2</v>
      </c>
      <c r="S4793" s="43">
        <v>221026</v>
      </c>
      <c r="T4793" s="74">
        <v>44265</v>
      </c>
    </row>
    <row r="4794" spans="1:21" x14ac:dyDescent="0.3">
      <c r="A4794" s="42">
        <v>44280</v>
      </c>
      <c r="B4794" s="37">
        <f t="shared" si="174"/>
        <v>20210325</v>
      </c>
      <c r="C4794" s="109">
        <v>1.84E-2</v>
      </c>
      <c r="D4794" s="109">
        <v>1.2E-2</v>
      </c>
      <c r="E4794" s="109">
        <v>1.4E-2</v>
      </c>
      <c r="F4794" s="109">
        <v>1.4999999999999999E-2</v>
      </c>
      <c r="G4794" s="130">
        <v>0</v>
      </c>
      <c r="H4794" s="71">
        <v>8.9</v>
      </c>
      <c r="I4794" s="71">
        <v>11.6</v>
      </c>
      <c r="J4794" s="71">
        <v>14.3</v>
      </c>
      <c r="K4794" s="121">
        <v>2E-3</v>
      </c>
      <c r="L4794" s="121">
        <v>-5.0000000000000001E-3</v>
      </c>
      <c r="M4794" s="75" t="s">
        <v>146</v>
      </c>
      <c r="N4794" s="75" t="b">
        <v>1</v>
      </c>
      <c r="O4794" s="75" t="s">
        <v>145</v>
      </c>
      <c r="P4794" s="75">
        <v>2014</v>
      </c>
      <c r="Q4794" s="107">
        <f t="shared" si="171"/>
        <v>2021</v>
      </c>
      <c r="R4794" s="107">
        <v>2</v>
      </c>
      <c r="S4794" s="43">
        <v>221026</v>
      </c>
      <c r="T4794" s="74">
        <v>44265</v>
      </c>
    </row>
    <row r="4795" spans="1:21" x14ac:dyDescent="0.3">
      <c r="A4795" s="42">
        <v>44281</v>
      </c>
      <c r="B4795" s="37">
        <f t="shared" si="174"/>
        <v>20210326</v>
      </c>
      <c r="C4795" s="109">
        <v>1.8799999999999997E-2</v>
      </c>
      <c r="D4795" s="109">
        <v>1.2E-2</v>
      </c>
      <c r="E4795" s="109">
        <v>1.4E-2</v>
      </c>
      <c r="F4795" s="109">
        <v>1.4999999999999999E-2</v>
      </c>
      <c r="G4795" s="130">
        <v>0</v>
      </c>
      <c r="H4795" s="71">
        <v>8.9</v>
      </c>
      <c r="I4795" s="71">
        <v>11.6</v>
      </c>
      <c r="J4795" s="71">
        <v>14.3</v>
      </c>
      <c r="K4795" s="121">
        <v>2.3999999999999998E-3</v>
      </c>
      <c r="L4795" s="121">
        <v>-5.0000000000000001E-3</v>
      </c>
      <c r="M4795" s="75" t="s">
        <v>146</v>
      </c>
      <c r="N4795" s="75" t="b">
        <v>1</v>
      </c>
      <c r="O4795" s="75" t="s">
        <v>145</v>
      </c>
      <c r="P4795" s="75">
        <v>2014</v>
      </c>
      <c r="Q4795" s="107">
        <f t="shared" si="171"/>
        <v>2021</v>
      </c>
      <c r="R4795" s="107">
        <v>2</v>
      </c>
      <c r="S4795" s="43">
        <v>221026</v>
      </c>
      <c r="T4795" s="74">
        <v>44265</v>
      </c>
    </row>
    <row r="4796" spans="1:21" x14ac:dyDescent="0.3">
      <c r="A4796" s="42">
        <v>44282</v>
      </c>
      <c r="B4796" s="37">
        <f t="shared" ref="B4796:B4797" si="179">YEAR(A4796)*10000+MONTH(A4796)*100+DAY(A4796)</f>
        <v>20210327</v>
      </c>
      <c r="C4796" s="109">
        <v>1.8799999999999997E-2</v>
      </c>
      <c r="D4796" s="109">
        <v>1.2E-2</v>
      </c>
      <c r="E4796" s="109">
        <v>1.4E-2</v>
      </c>
      <c r="F4796" s="109">
        <v>1.4999999999999999E-2</v>
      </c>
      <c r="G4796" s="130">
        <v>0</v>
      </c>
      <c r="H4796" s="71">
        <v>8.9</v>
      </c>
      <c r="I4796" s="71">
        <v>11.6</v>
      </c>
      <c r="J4796" s="71">
        <v>14.3</v>
      </c>
      <c r="K4796" s="121">
        <v>2.3999999999999998E-3</v>
      </c>
      <c r="L4796" s="121">
        <v>-5.0000000000000001E-3</v>
      </c>
      <c r="M4796" s="75" t="s">
        <v>146</v>
      </c>
      <c r="N4796" s="75" t="b">
        <v>1</v>
      </c>
      <c r="O4796" s="75" t="s">
        <v>145</v>
      </c>
      <c r="P4796" s="75">
        <v>2014</v>
      </c>
      <c r="Q4796" s="107">
        <f t="shared" si="171"/>
        <v>2021</v>
      </c>
      <c r="R4796" s="107">
        <v>2</v>
      </c>
      <c r="S4796" s="43">
        <v>221026</v>
      </c>
      <c r="T4796" s="74">
        <v>44265</v>
      </c>
    </row>
    <row r="4797" spans="1:21" x14ac:dyDescent="0.3">
      <c r="A4797" s="42">
        <v>44283</v>
      </c>
      <c r="B4797" s="37">
        <f t="shared" si="179"/>
        <v>20210328</v>
      </c>
      <c r="C4797" s="109">
        <v>1.8799999999999997E-2</v>
      </c>
      <c r="D4797" s="109">
        <v>1.2E-2</v>
      </c>
      <c r="E4797" s="109">
        <v>1.4E-2</v>
      </c>
      <c r="F4797" s="109">
        <v>1.4999999999999999E-2</v>
      </c>
      <c r="G4797" s="130">
        <v>0</v>
      </c>
      <c r="H4797" s="71">
        <v>8.9</v>
      </c>
      <c r="I4797" s="71">
        <v>11.6</v>
      </c>
      <c r="J4797" s="71">
        <v>14.3</v>
      </c>
      <c r="K4797" s="121">
        <v>2.3999999999999998E-3</v>
      </c>
      <c r="L4797" s="121">
        <v>-5.0000000000000001E-3</v>
      </c>
      <c r="M4797" s="75" t="s">
        <v>146</v>
      </c>
      <c r="N4797" s="75" t="b">
        <v>1</v>
      </c>
      <c r="O4797" s="75" t="s">
        <v>145</v>
      </c>
      <c r="P4797" s="75">
        <v>2014</v>
      </c>
      <c r="Q4797" s="107">
        <f t="shared" si="171"/>
        <v>2021</v>
      </c>
      <c r="R4797" s="107">
        <v>2</v>
      </c>
      <c r="S4797" s="43">
        <v>221026</v>
      </c>
      <c r="T4797" s="74">
        <v>44265</v>
      </c>
    </row>
    <row r="4798" spans="1:21" ht="13.2" customHeight="1" x14ac:dyDescent="0.3">
      <c r="A4798" s="42">
        <v>44284</v>
      </c>
      <c r="B4798" s="37">
        <f t="shared" si="174"/>
        <v>20210329</v>
      </c>
      <c r="C4798" s="109">
        <v>1.9199999999999998E-2</v>
      </c>
      <c r="D4798" s="109">
        <v>1.2E-2</v>
      </c>
      <c r="E4798" s="109">
        <v>1.4E-2</v>
      </c>
      <c r="F4798" s="109">
        <v>1.4999999999999999E-2</v>
      </c>
      <c r="G4798" s="130">
        <v>0</v>
      </c>
      <c r="H4798" s="71">
        <v>8.9</v>
      </c>
      <c r="I4798" s="71">
        <v>11.6</v>
      </c>
      <c r="J4798" s="71">
        <v>14.3</v>
      </c>
      <c r="K4798" s="121">
        <v>2.8000000000000004E-3</v>
      </c>
      <c r="L4798" s="121">
        <v>-5.0000000000000001E-3</v>
      </c>
      <c r="M4798" s="75" t="s">
        <v>146</v>
      </c>
      <c r="N4798" s="75" t="b">
        <v>1</v>
      </c>
      <c r="O4798" s="75" t="s">
        <v>145</v>
      </c>
      <c r="P4798" s="75">
        <v>2014</v>
      </c>
      <c r="Q4798" s="107">
        <f t="shared" si="171"/>
        <v>2021</v>
      </c>
      <c r="R4798" s="107">
        <v>2</v>
      </c>
      <c r="S4798" s="43">
        <v>221026</v>
      </c>
      <c r="T4798" s="74">
        <v>44265</v>
      </c>
    </row>
    <row r="4799" spans="1:21" x14ac:dyDescent="0.3">
      <c r="A4799" s="42">
        <v>44285</v>
      </c>
      <c r="B4799" s="37">
        <f t="shared" si="174"/>
        <v>20210330</v>
      </c>
      <c r="C4799" s="109">
        <v>1.8799999999999997E-2</v>
      </c>
      <c r="D4799" s="109">
        <v>1.2E-2</v>
      </c>
      <c r="E4799" s="109">
        <v>1.4E-2</v>
      </c>
      <c r="F4799" s="109">
        <v>1.4999999999999999E-2</v>
      </c>
      <c r="G4799" s="130">
        <v>0</v>
      </c>
      <c r="H4799" s="71">
        <v>8.9</v>
      </c>
      <c r="I4799" s="71">
        <v>11.6</v>
      </c>
      <c r="J4799" s="71">
        <v>14.3</v>
      </c>
      <c r="K4799" s="121">
        <v>2.5000000000000001E-3</v>
      </c>
      <c r="L4799" s="121">
        <v>-5.0000000000000001E-3</v>
      </c>
      <c r="M4799" s="75" t="s">
        <v>146</v>
      </c>
      <c r="N4799" s="75" t="b">
        <v>1</v>
      </c>
      <c r="O4799" s="75" t="s">
        <v>145</v>
      </c>
      <c r="P4799" s="75">
        <v>2014</v>
      </c>
      <c r="Q4799" s="107">
        <f t="shared" si="171"/>
        <v>2021</v>
      </c>
      <c r="R4799" s="107">
        <v>2</v>
      </c>
      <c r="S4799" s="43">
        <v>221026</v>
      </c>
      <c r="T4799" s="74">
        <v>44265</v>
      </c>
    </row>
    <row r="4800" spans="1:21" s="116" customFormat="1" x14ac:dyDescent="0.3">
      <c r="A4800" s="110">
        <v>44286</v>
      </c>
      <c r="B4800" s="132">
        <f t="shared" si="174"/>
        <v>20210331</v>
      </c>
      <c r="C4800" s="111">
        <v>1.9E-2</v>
      </c>
      <c r="D4800" s="120">
        <v>0.01</v>
      </c>
      <c r="E4800" s="120">
        <v>1.2E-2</v>
      </c>
      <c r="F4800" s="120">
        <v>1.2999999999999999E-2</v>
      </c>
      <c r="G4800" s="133">
        <v>0</v>
      </c>
      <c r="H4800" s="124">
        <v>8.5</v>
      </c>
      <c r="I4800" s="124">
        <v>11.1</v>
      </c>
      <c r="J4800" s="124">
        <v>13.6</v>
      </c>
      <c r="K4800" s="131">
        <v>2.8000000000000004E-3</v>
      </c>
      <c r="L4800" s="131">
        <v>-5.0000000000000001E-3</v>
      </c>
      <c r="M4800" s="98" t="s">
        <v>146</v>
      </c>
      <c r="N4800" s="98" t="b">
        <v>1</v>
      </c>
      <c r="O4800" s="98" t="s">
        <v>145</v>
      </c>
      <c r="P4800" s="98">
        <v>2014</v>
      </c>
      <c r="Q4800" s="105">
        <f t="shared" si="171"/>
        <v>2021</v>
      </c>
      <c r="R4800" s="105">
        <v>2</v>
      </c>
      <c r="S4800" s="127">
        <v>221045</v>
      </c>
      <c r="T4800" s="128">
        <v>44319</v>
      </c>
      <c r="U4800" s="98" t="s">
        <v>176</v>
      </c>
    </row>
    <row r="4801" spans="1:20" x14ac:dyDescent="0.3">
      <c r="A4801" s="42">
        <v>44287</v>
      </c>
      <c r="B4801" s="37">
        <f t="shared" si="174"/>
        <v>20210401</v>
      </c>
      <c r="C4801" s="109">
        <v>1.8799999999999997E-2</v>
      </c>
      <c r="D4801" s="109">
        <v>0.01</v>
      </c>
      <c r="E4801" s="109">
        <v>1.2E-2</v>
      </c>
      <c r="F4801" s="109">
        <v>1.2999999999999999E-2</v>
      </c>
      <c r="G4801" s="130">
        <v>0</v>
      </c>
      <c r="H4801" s="71">
        <v>8.5</v>
      </c>
      <c r="I4801" s="71">
        <v>11.1</v>
      </c>
      <c r="J4801" s="71">
        <v>13.6</v>
      </c>
      <c r="K4801" s="121">
        <v>2.7000000000000001E-3</v>
      </c>
      <c r="L4801" s="121">
        <v>-5.0000000000000001E-3</v>
      </c>
      <c r="M4801" s="75" t="s">
        <v>146</v>
      </c>
      <c r="N4801" s="75" t="b">
        <v>1</v>
      </c>
      <c r="O4801" s="75" t="s">
        <v>145</v>
      </c>
      <c r="P4801" s="75">
        <v>2014</v>
      </c>
      <c r="Q4801" s="107">
        <f t="shared" si="171"/>
        <v>2021</v>
      </c>
      <c r="R4801" s="107">
        <v>2</v>
      </c>
      <c r="S4801" s="43">
        <v>221045</v>
      </c>
      <c r="T4801" s="74">
        <v>44319</v>
      </c>
    </row>
    <row r="4802" spans="1:20" x14ac:dyDescent="0.3">
      <c r="A4802" s="42">
        <v>44288</v>
      </c>
      <c r="B4802" s="37">
        <f t="shared" si="174"/>
        <v>20210402</v>
      </c>
      <c r="C4802" s="109">
        <v>1.8799999999999997E-2</v>
      </c>
      <c r="D4802" s="109">
        <v>0.01</v>
      </c>
      <c r="E4802" s="109">
        <v>1.2E-2</v>
      </c>
      <c r="F4802" s="109">
        <v>1.2999999999999999E-2</v>
      </c>
      <c r="G4802" s="130">
        <v>0</v>
      </c>
      <c r="H4802" s="71">
        <v>8.5</v>
      </c>
      <c r="I4802" s="71">
        <v>11.1</v>
      </c>
      <c r="J4802" s="71">
        <v>13.6</v>
      </c>
      <c r="K4802" s="121">
        <v>2.7000000000000001E-3</v>
      </c>
      <c r="L4802" s="121">
        <v>-5.0000000000000001E-3</v>
      </c>
      <c r="M4802" s="75" t="s">
        <v>146</v>
      </c>
      <c r="N4802" s="75" t="b">
        <v>1</v>
      </c>
      <c r="O4802" s="75" t="s">
        <v>145</v>
      </c>
      <c r="P4802" s="75">
        <v>2014</v>
      </c>
      <c r="Q4802" s="107">
        <f t="shared" si="171"/>
        <v>2021</v>
      </c>
      <c r="R4802" s="107">
        <v>2</v>
      </c>
      <c r="S4802" s="43">
        <v>221045</v>
      </c>
      <c r="T4802" s="74">
        <v>44319</v>
      </c>
    </row>
    <row r="4803" spans="1:20" x14ac:dyDescent="0.3">
      <c r="A4803" s="42">
        <v>44289</v>
      </c>
      <c r="B4803" s="37">
        <f t="shared" ref="B4803:B4804" si="180">YEAR(A4803)*10000+MONTH(A4803)*100+DAY(A4803)</f>
        <v>20210403</v>
      </c>
      <c r="C4803" s="109">
        <v>1.8799999999999997E-2</v>
      </c>
      <c r="D4803" s="109">
        <v>0.01</v>
      </c>
      <c r="E4803" s="109">
        <v>1.2E-2</v>
      </c>
      <c r="F4803" s="109">
        <v>1.2999999999999999E-2</v>
      </c>
      <c r="G4803" s="130">
        <v>0</v>
      </c>
      <c r="H4803" s="71">
        <v>8.5</v>
      </c>
      <c r="I4803" s="71">
        <v>11.1</v>
      </c>
      <c r="J4803" s="71">
        <v>13.6</v>
      </c>
      <c r="K4803" s="121">
        <v>2.7000000000000001E-3</v>
      </c>
      <c r="L4803" s="121">
        <v>-5.0000000000000001E-3</v>
      </c>
      <c r="M4803" s="75" t="s">
        <v>146</v>
      </c>
      <c r="N4803" s="75" t="b">
        <v>1</v>
      </c>
      <c r="O4803" s="75" t="s">
        <v>145</v>
      </c>
      <c r="P4803" s="75">
        <v>2014</v>
      </c>
      <c r="Q4803" s="107">
        <f t="shared" si="171"/>
        <v>2021</v>
      </c>
      <c r="R4803" s="107">
        <v>2</v>
      </c>
      <c r="S4803" s="43">
        <v>221045</v>
      </c>
      <c r="T4803" s="74">
        <v>44319</v>
      </c>
    </row>
    <row r="4804" spans="1:20" x14ac:dyDescent="0.3">
      <c r="A4804" s="42">
        <v>44290</v>
      </c>
      <c r="B4804" s="37">
        <f t="shared" si="180"/>
        <v>20210404</v>
      </c>
      <c r="C4804" s="109">
        <v>1.8799999999999997E-2</v>
      </c>
      <c r="D4804" s="109">
        <v>0.01</v>
      </c>
      <c r="E4804" s="109">
        <v>1.2E-2</v>
      </c>
      <c r="F4804" s="109">
        <v>1.2999999999999999E-2</v>
      </c>
      <c r="G4804" s="130">
        <v>0</v>
      </c>
      <c r="H4804" s="71">
        <v>8.5</v>
      </c>
      <c r="I4804" s="71">
        <v>11.1</v>
      </c>
      <c r="J4804" s="71">
        <v>13.6</v>
      </c>
      <c r="K4804" s="121">
        <v>2.7000000000000001E-3</v>
      </c>
      <c r="L4804" s="121">
        <v>-5.0000000000000001E-3</v>
      </c>
      <c r="M4804" s="75" t="s">
        <v>146</v>
      </c>
      <c r="N4804" s="75" t="b">
        <v>1</v>
      </c>
      <c r="O4804" s="75" t="s">
        <v>145</v>
      </c>
      <c r="P4804" s="75">
        <v>2014</v>
      </c>
      <c r="Q4804" s="107">
        <f t="shared" si="171"/>
        <v>2021</v>
      </c>
      <c r="R4804" s="107">
        <v>2</v>
      </c>
      <c r="S4804" s="43">
        <v>221045</v>
      </c>
      <c r="T4804" s="74">
        <v>44319</v>
      </c>
    </row>
    <row r="4805" spans="1:20" x14ac:dyDescent="0.3">
      <c r="A4805" s="42">
        <v>44291</v>
      </c>
      <c r="B4805" s="37">
        <f t="shared" si="174"/>
        <v>20210405</v>
      </c>
      <c r="C4805" s="109">
        <v>1.9099999999999999E-2</v>
      </c>
      <c r="D4805" s="109">
        <v>0.01</v>
      </c>
      <c r="E4805" s="109">
        <v>1.2E-2</v>
      </c>
      <c r="F4805" s="109">
        <v>1.2999999999999999E-2</v>
      </c>
      <c r="G4805" s="130">
        <v>0</v>
      </c>
      <c r="H4805" s="71">
        <v>8.5</v>
      </c>
      <c r="I4805" s="71">
        <v>11.1</v>
      </c>
      <c r="J4805" s="71">
        <v>13.6</v>
      </c>
      <c r="K4805" s="121">
        <v>3.0000000000000001E-3</v>
      </c>
      <c r="L4805" s="121">
        <v>-5.0000000000000001E-3</v>
      </c>
      <c r="M4805" s="75" t="s">
        <v>146</v>
      </c>
      <c r="N4805" s="75" t="b">
        <v>1</v>
      </c>
      <c r="O4805" s="75" t="s">
        <v>145</v>
      </c>
      <c r="P4805" s="75">
        <v>2014</v>
      </c>
      <c r="Q4805" s="107">
        <f t="shared" si="171"/>
        <v>2021</v>
      </c>
      <c r="R4805" s="107">
        <v>2</v>
      </c>
      <c r="S4805" s="43">
        <v>221045</v>
      </c>
      <c r="T4805" s="74">
        <v>44319</v>
      </c>
    </row>
    <row r="4806" spans="1:20" x14ac:dyDescent="0.3">
      <c r="A4806" s="42">
        <v>44292</v>
      </c>
      <c r="B4806" s="37">
        <f t="shared" si="174"/>
        <v>20210406</v>
      </c>
      <c r="C4806" s="109">
        <v>1.84E-2</v>
      </c>
      <c r="D4806" s="109">
        <v>0.01</v>
      </c>
      <c r="E4806" s="109">
        <v>1.2E-2</v>
      </c>
      <c r="F4806" s="109">
        <v>1.2999999999999999E-2</v>
      </c>
      <c r="G4806" s="130">
        <v>0</v>
      </c>
      <c r="H4806" s="71">
        <v>8.5</v>
      </c>
      <c r="I4806" s="71">
        <v>11.1</v>
      </c>
      <c r="J4806" s="71">
        <v>13.6</v>
      </c>
      <c r="K4806" s="121">
        <v>2.5999999999999999E-3</v>
      </c>
      <c r="L4806" s="121">
        <v>-5.0000000000000001E-3</v>
      </c>
      <c r="M4806" s="75" t="s">
        <v>146</v>
      </c>
      <c r="N4806" s="75" t="b">
        <v>1</v>
      </c>
      <c r="O4806" s="75" t="s">
        <v>145</v>
      </c>
      <c r="P4806" s="75">
        <v>2014</v>
      </c>
      <c r="Q4806" s="107">
        <f t="shared" si="171"/>
        <v>2021</v>
      </c>
      <c r="R4806" s="107">
        <v>2</v>
      </c>
      <c r="S4806" s="43">
        <v>221045</v>
      </c>
      <c r="T4806" s="74">
        <v>44319</v>
      </c>
    </row>
    <row r="4807" spans="1:20" x14ac:dyDescent="0.3">
      <c r="A4807" s="42">
        <v>44293</v>
      </c>
      <c r="B4807" s="37">
        <f t="shared" si="174"/>
        <v>20210407</v>
      </c>
      <c r="C4807" s="109">
        <v>1.8600000000000002E-2</v>
      </c>
      <c r="D4807" s="109">
        <v>0.01</v>
      </c>
      <c r="E4807" s="109">
        <v>1.2E-2</v>
      </c>
      <c r="F4807" s="109">
        <v>1.2999999999999999E-2</v>
      </c>
      <c r="G4807" s="130">
        <v>0</v>
      </c>
      <c r="H4807" s="71">
        <v>8.5</v>
      </c>
      <c r="I4807" s="71">
        <v>11.1</v>
      </c>
      <c r="J4807" s="71">
        <v>13.6</v>
      </c>
      <c r="K4807" s="121">
        <v>2.8999999999999998E-3</v>
      </c>
      <c r="L4807" s="121">
        <v>-5.0000000000000001E-3</v>
      </c>
      <c r="M4807" s="75" t="s">
        <v>146</v>
      </c>
      <c r="N4807" s="75" t="b">
        <v>1</v>
      </c>
      <c r="O4807" s="75" t="s">
        <v>145</v>
      </c>
      <c r="P4807" s="75">
        <v>2014</v>
      </c>
      <c r="Q4807" s="107">
        <f t="shared" si="171"/>
        <v>2021</v>
      </c>
      <c r="R4807" s="107">
        <v>2</v>
      </c>
      <c r="S4807" s="43">
        <v>221045</v>
      </c>
      <c r="T4807" s="74">
        <v>44319</v>
      </c>
    </row>
    <row r="4808" spans="1:20" x14ac:dyDescent="0.3">
      <c r="A4808" s="42">
        <v>44294</v>
      </c>
      <c r="B4808" s="37">
        <f t="shared" si="174"/>
        <v>20210408</v>
      </c>
      <c r="C4808" s="109">
        <v>1.83E-2</v>
      </c>
      <c r="D4808" s="109">
        <v>0.01</v>
      </c>
      <c r="E4808" s="109">
        <v>1.2E-2</v>
      </c>
      <c r="F4808" s="109">
        <v>1.2999999999999999E-2</v>
      </c>
      <c r="G4808" s="130">
        <v>0</v>
      </c>
      <c r="H4808" s="71">
        <v>8.5</v>
      </c>
      <c r="I4808" s="71">
        <v>11.1</v>
      </c>
      <c r="J4808" s="71">
        <v>13.6</v>
      </c>
      <c r="K4808" s="121">
        <v>2.5999999999999999E-3</v>
      </c>
      <c r="L4808" s="121">
        <v>-5.0000000000000001E-3</v>
      </c>
      <c r="M4808" s="75" t="s">
        <v>146</v>
      </c>
      <c r="N4808" s="75" t="b">
        <v>1</v>
      </c>
      <c r="O4808" s="75" t="s">
        <v>145</v>
      </c>
      <c r="P4808" s="75">
        <v>2014</v>
      </c>
      <c r="Q4808" s="107">
        <f t="shared" si="171"/>
        <v>2021</v>
      </c>
      <c r="R4808" s="107">
        <v>2</v>
      </c>
      <c r="S4808" s="43">
        <v>221045</v>
      </c>
      <c r="T4808" s="74">
        <v>44319</v>
      </c>
    </row>
    <row r="4809" spans="1:20" x14ac:dyDescent="0.3">
      <c r="A4809" s="42">
        <v>44295</v>
      </c>
      <c r="B4809" s="37">
        <f t="shared" si="174"/>
        <v>20210409</v>
      </c>
      <c r="C4809" s="109">
        <v>1.8500000000000003E-2</v>
      </c>
      <c r="D4809" s="109">
        <v>0.01</v>
      </c>
      <c r="E4809" s="109">
        <v>1.2E-2</v>
      </c>
      <c r="F4809" s="109">
        <v>1.2999999999999999E-2</v>
      </c>
      <c r="G4809" s="130">
        <v>0</v>
      </c>
      <c r="H4809" s="71">
        <v>8.5</v>
      </c>
      <c r="I4809" s="71">
        <v>11.1</v>
      </c>
      <c r="J4809" s="71">
        <v>13.6</v>
      </c>
      <c r="K4809" s="121">
        <v>2.8999999999999998E-3</v>
      </c>
      <c r="L4809" s="121">
        <v>-5.0000000000000001E-3</v>
      </c>
      <c r="M4809" s="75" t="s">
        <v>146</v>
      </c>
      <c r="N4809" s="75" t="b">
        <v>1</v>
      </c>
      <c r="O4809" s="75" t="s">
        <v>145</v>
      </c>
      <c r="P4809" s="75">
        <v>2014</v>
      </c>
      <c r="Q4809" s="107">
        <f t="shared" si="171"/>
        <v>2021</v>
      </c>
      <c r="R4809" s="107">
        <v>2</v>
      </c>
      <c r="S4809" s="43">
        <v>221045</v>
      </c>
      <c r="T4809" s="74">
        <v>44319</v>
      </c>
    </row>
    <row r="4810" spans="1:20" x14ac:dyDescent="0.3">
      <c r="A4810" s="42">
        <v>44296</v>
      </c>
      <c r="B4810" s="37">
        <f t="shared" ref="B4810:B4811" si="181">YEAR(A4810)*10000+MONTH(A4810)*100+DAY(A4810)</f>
        <v>20210410</v>
      </c>
      <c r="C4810" s="109">
        <v>1.8500000000000003E-2</v>
      </c>
      <c r="D4810" s="109">
        <v>0.01</v>
      </c>
      <c r="E4810" s="109">
        <v>1.2E-2</v>
      </c>
      <c r="F4810" s="109">
        <v>1.2999999999999999E-2</v>
      </c>
      <c r="G4810" s="130">
        <v>0</v>
      </c>
      <c r="H4810" s="71">
        <v>8.5</v>
      </c>
      <c r="I4810" s="71">
        <v>11.1</v>
      </c>
      <c r="J4810" s="71">
        <v>13.6</v>
      </c>
      <c r="K4810" s="121">
        <v>2.8999999999999998E-3</v>
      </c>
      <c r="L4810" s="121">
        <v>-5.0000000000000001E-3</v>
      </c>
      <c r="M4810" s="75" t="s">
        <v>146</v>
      </c>
      <c r="N4810" s="75" t="b">
        <v>1</v>
      </c>
      <c r="O4810" s="75" t="s">
        <v>145</v>
      </c>
      <c r="P4810" s="75">
        <v>2014</v>
      </c>
      <c r="Q4810" s="107">
        <f t="shared" si="171"/>
        <v>2021</v>
      </c>
      <c r="R4810" s="107">
        <v>2</v>
      </c>
      <c r="S4810" s="43">
        <v>221045</v>
      </c>
      <c r="T4810" s="74">
        <v>44319</v>
      </c>
    </row>
    <row r="4811" spans="1:20" x14ac:dyDescent="0.3">
      <c r="A4811" s="42">
        <v>44297</v>
      </c>
      <c r="B4811" s="37">
        <f t="shared" si="181"/>
        <v>20210411</v>
      </c>
      <c r="C4811" s="109">
        <v>1.8500000000000003E-2</v>
      </c>
      <c r="D4811" s="109">
        <v>0.01</v>
      </c>
      <c r="E4811" s="109">
        <v>1.2E-2</v>
      </c>
      <c r="F4811" s="109">
        <v>1.2999999999999999E-2</v>
      </c>
      <c r="G4811" s="130">
        <v>0</v>
      </c>
      <c r="H4811" s="71">
        <v>8.5</v>
      </c>
      <c r="I4811" s="71">
        <v>11.1</v>
      </c>
      <c r="J4811" s="71">
        <v>13.6</v>
      </c>
      <c r="K4811" s="121">
        <v>2.8999999999999998E-3</v>
      </c>
      <c r="L4811" s="121">
        <v>-5.0000000000000001E-3</v>
      </c>
      <c r="M4811" s="75" t="s">
        <v>146</v>
      </c>
      <c r="N4811" s="75" t="b">
        <v>1</v>
      </c>
      <c r="O4811" s="75" t="s">
        <v>145</v>
      </c>
      <c r="P4811" s="75">
        <v>2014</v>
      </c>
      <c r="Q4811" s="107">
        <f t="shared" si="171"/>
        <v>2021</v>
      </c>
      <c r="R4811" s="107">
        <v>2</v>
      </c>
      <c r="S4811" s="43">
        <v>221045</v>
      </c>
      <c r="T4811" s="74">
        <v>44319</v>
      </c>
    </row>
    <row r="4812" spans="1:20" x14ac:dyDescent="0.3">
      <c r="A4812" s="42">
        <v>44298</v>
      </c>
      <c r="B4812" s="37">
        <f t="shared" si="174"/>
        <v>20210412</v>
      </c>
      <c r="C4812" s="109">
        <v>1.8600000000000002E-2</v>
      </c>
      <c r="D4812" s="109">
        <v>0.01</v>
      </c>
      <c r="E4812" s="109">
        <v>1.2E-2</v>
      </c>
      <c r="F4812" s="109">
        <v>1.2999999999999999E-2</v>
      </c>
      <c r="G4812" s="130">
        <v>0</v>
      </c>
      <c r="H4812" s="71">
        <v>8.5</v>
      </c>
      <c r="I4812" s="71">
        <v>11.1</v>
      </c>
      <c r="J4812" s="71">
        <v>13.6</v>
      </c>
      <c r="K4812" s="121">
        <v>3.0000000000000001E-3</v>
      </c>
      <c r="L4812" s="121">
        <v>-5.0000000000000001E-3</v>
      </c>
      <c r="M4812" s="75" t="s">
        <v>146</v>
      </c>
      <c r="N4812" s="75" t="b">
        <v>1</v>
      </c>
      <c r="O4812" s="75" t="s">
        <v>145</v>
      </c>
      <c r="P4812" s="75">
        <v>2014</v>
      </c>
      <c r="Q4812" s="107">
        <f t="shared" si="171"/>
        <v>2021</v>
      </c>
      <c r="R4812" s="107">
        <v>2</v>
      </c>
      <c r="S4812" s="43">
        <v>221045</v>
      </c>
      <c r="T4812" s="74">
        <v>44319</v>
      </c>
    </row>
    <row r="4813" spans="1:20" x14ac:dyDescent="0.3">
      <c r="A4813" s="42">
        <v>44299</v>
      </c>
      <c r="B4813" s="37">
        <f t="shared" si="174"/>
        <v>20210413</v>
      </c>
      <c r="C4813" s="109">
        <v>1.8600000000000002E-2</v>
      </c>
      <c r="D4813" s="109">
        <v>0.01</v>
      </c>
      <c r="E4813" s="109">
        <v>1.2E-2</v>
      </c>
      <c r="F4813" s="109">
        <v>1.2999999999999999E-2</v>
      </c>
      <c r="G4813" s="130">
        <v>0</v>
      </c>
      <c r="H4813" s="71">
        <v>8.5</v>
      </c>
      <c r="I4813" s="71">
        <v>11.1</v>
      </c>
      <c r="J4813" s="71">
        <v>13.6</v>
      </c>
      <c r="K4813" s="121">
        <v>3.0000000000000001E-3</v>
      </c>
      <c r="L4813" s="121">
        <v>-5.0000000000000001E-3</v>
      </c>
      <c r="M4813" s="75" t="s">
        <v>146</v>
      </c>
      <c r="N4813" s="75" t="b">
        <v>1</v>
      </c>
      <c r="O4813" s="75" t="s">
        <v>145</v>
      </c>
      <c r="P4813" s="75">
        <v>2014</v>
      </c>
      <c r="Q4813" s="107">
        <f t="shared" si="171"/>
        <v>2021</v>
      </c>
      <c r="R4813" s="107">
        <v>2</v>
      </c>
      <c r="S4813" s="43">
        <v>221045</v>
      </c>
      <c r="T4813" s="74">
        <v>44319</v>
      </c>
    </row>
    <row r="4814" spans="1:20" x14ac:dyDescent="0.3">
      <c r="A4814" s="42">
        <v>44300</v>
      </c>
      <c r="B4814" s="37">
        <f t="shared" si="174"/>
        <v>20210414</v>
      </c>
      <c r="C4814" s="109">
        <v>1.8799999999999997E-2</v>
      </c>
      <c r="D4814" s="109">
        <v>0.01</v>
      </c>
      <c r="E4814" s="109">
        <v>1.2E-2</v>
      </c>
      <c r="F4814" s="109">
        <v>1.2999999999999999E-2</v>
      </c>
      <c r="G4814" s="130">
        <v>0</v>
      </c>
      <c r="H4814" s="71">
        <v>8.5</v>
      </c>
      <c r="I4814" s="71">
        <v>11.1</v>
      </c>
      <c r="J4814" s="71">
        <v>13.6</v>
      </c>
      <c r="K4814" s="121">
        <v>3.4000000000000002E-3</v>
      </c>
      <c r="L4814" s="121">
        <v>-5.0000000000000001E-3</v>
      </c>
      <c r="M4814" s="75" t="s">
        <v>146</v>
      </c>
      <c r="N4814" s="75" t="b">
        <v>1</v>
      </c>
      <c r="O4814" s="75" t="s">
        <v>145</v>
      </c>
      <c r="P4814" s="75">
        <v>2014</v>
      </c>
      <c r="Q4814" s="107">
        <f t="shared" si="171"/>
        <v>2021</v>
      </c>
      <c r="R4814" s="107">
        <v>2</v>
      </c>
      <c r="S4814" s="43">
        <v>221045</v>
      </c>
      <c r="T4814" s="74">
        <v>44319</v>
      </c>
    </row>
    <row r="4815" spans="1:20" x14ac:dyDescent="0.3">
      <c r="A4815" s="42">
        <v>44301</v>
      </c>
      <c r="B4815" s="37">
        <f t="shared" si="174"/>
        <v>20210415</v>
      </c>
      <c r="C4815" s="109">
        <v>1.8100000000000002E-2</v>
      </c>
      <c r="D4815" s="109">
        <v>0.01</v>
      </c>
      <c r="E4815" s="109">
        <v>1.2E-2</v>
      </c>
      <c r="F4815" s="109">
        <v>1.2999999999999999E-2</v>
      </c>
      <c r="G4815" s="130">
        <v>0</v>
      </c>
      <c r="H4815" s="71">
        <v>8.5</v>
      </c>
      <c r="I4815" s="71">
        <v>11.1</v>
      </c>
      <c r="J4815" s="71">
        <v>13.6</v>
      </c>
      <c r="K4815" s="121">
        <v>2.7000000000000001E-3</v>
      </c>
      <c r="L4815" s="121">
        <v>-5.0000000000000001E-3</v>
      </c>
      <c r="M4815" s="75" t="s">
        <v>146</v>
      </c>
      <c r="N4815" s="75" t="b">
        <v>1</v>
      </c>
      <c r="O4815" s="75" t="s">
        <v>145</v>
      </c>
      <c r="P4815" s="75">
        <v>2014</v>
      </c>
      <c r="Q4815" s="107">
        <f t="shared" ref="Q4815:Q4878" si="182">YEAR(A4815)</f>
        <v>2021</v>
      </c>
      <c r="R4815" s="107">
        <v>2</v>
      </c>
      <c r="S4815" s="43">
        <v>221045</v>
      </c>
      <c r="T4815" s="74">
        <v>44319</v>
      </c>
    </row>
    <row r="4816" spans="1:20" x14ac:dyDescent="0.3">
      <c r="A4816" s="42">
        <v>44302</v>
      </c>
      <c r="B4816" s="37">
        <f t="shared" si="174"/>
        <v>20210416</v>
      </c>
      <c r="C4816" s="109">
        <v>1.9E-2</v>
      </c>
      <c r="D4816" s="109">
        <v>0.01</v>
      </c>
      <c r="E4816" s="109">
        <v>1.2E-2</v>
      </c>
      <c r="F4816" s="109">
        <v>1.2999999999999999E-2</v>
      </c>
      <c r="G4816" s="130">
        <v>0</v>
      </c>
      <c r="H4816" s="71">
        <v>8.5</v>
      </c>
      <c r="I4816" s="71">
        <v>11.1</v>
      </c>
      <c r="J4816" s="71">
        <v>13.6</v>
      </c>
      <c r="K4816" s="121">
        <v>3.0999999999999999E-3</v>
      </c>
      <c r="L4816" s="121">
        <v>-5.0000000000000001E-3</v>
      </c>
      <c r="M4816" s="75" t="s">
        <v>146</v>
      </c>
      <c r="N4816" s="75" t="b">
        <v>1</v>
      </c>
      <c r="O4816" s="75" t="s">
        <v>145</v>
      </c>
      <c r="P4816" s="75">
        <v>2014</v>
      </c>
      <c r="Q4816" s="107">
        <f t="shared" si="182"/>
        <v>2021</v>
      </c>
      <c r="R4816" s="107">
        <v>2</v>
      </c>
      <c r="S4816" s="43">
        <v>221045</v>
      </c>
      <c r="T4816" s="74">
        <v>44319</v>
      </c>
    </row>
    <row r="4817" spans="1:20" x14ac:dyDescent="0.3">
      <c r="A4817" s="42">
        <v>44303</v>
      </c>
      <c r="B4817" s="37">
        <f t="shared" ref="B4817:B4818" si="183">YEAR(A4817)*10000+MONTH(A4817)*100+DAY(A4817)</f>
        <v>20210417</v>
      </c>
      <c r="C4817" s="109">
        <v>1.9E-2</v>
      </c>
      <c r="D4817" s="109">
        <v>0.01</v>
      </c>
      <c r="E4817" s="109">
        <v>1.2E-2</v>
      </c>
      <c r="F4817" s="109">
        <v>1.2999999999999999E-2</v>
      </c>
      <c r="G4817" s="130">
        <v>0</v>
      </c>
      <c r="H4817" s="71">
        <v>8.5</v>
      </c>
      <c r="I4817" s="71">
        <v>11.1</v>
      </c>
      <c r="J4817" s="71">
        <v>13.6</v>
      </c>
      <c r="K4817" s="121">
        <v>3.0999999999999999E-3</v>
      </c>
      <c r="L4817" s="121">
        <v>-5.0000000000000001E-3</v>
      </c>
      <c r="M4817" s="75" t="s">
        <v>146</v>
      </c>
      <c r="N4817" s="75" t="b">
        <v>1</v>
      </c>
      <c r="O4817" s="75" t="s">
        <v>145</v>
      </c>
      <c r="P4817" s="75">
        <v>2014</v>
      </c>
      <c r="Q4817" s="107">
        <f t="shared" si="182"/>
        <v>2021</v>
      </c>
      <c r="R4817" s="107">
        <v>2</v>
      </c>
      <c r="S4817" s="43">
        <v>221045</v>
      </c>
      <c r="T4817" s="74">
        <v>44319</v>
      </c>
    </row>
    <row r="4818" spans="1:20" x14ac:dyDescent="0.3">
      <c r="A4818" s="42">
        <v>44304</v>
      </c>
      <c r="B4818" s="37">
        <f t="shared" si="183"/>
        <v>20210418</v>
      </c>
      <c r="C4818" s="109">
        <v>1.9E-2</v>
      </c>
      <c r="D4818" s="109">
        <v>0.01</v>
      </c>
      <c r="E4818" s="109">
        <v>1.2E-2</v>
      </c>
      <c r="F4818" s="109">
        <v>1.2999999999999999E-2</v>
      </c>
      <c r="G4818" s="130">
        <v>0</v>
      </c>
      <c r="H4818" s="71">
        <v>8.5</v>
      </c>
      <c r="I4818" s="71">
        <v>11.1</v>
      </c>
      <c r="J4818" s="71">
        <v>13.6</v>
      </c>
      <c r="K4818" s="121">
        <v>3.0999999999999999E-3</v>
      </c>
      <c r="L4818" s="121">
        <v>-5.0000000000000001E-3</v>
      </c>
      <c r="M4818" s="75" t="s">
        <v>146</v>
      </c>
      <c r="N4818" s="75" t="b">
        <v>1</v>
      </c>
      <c r="O4818" s="75" t="s">
        <v>145</v>
      </c>
      <c r="P4818" s="75">
        <v>2014</v>
      </c>
      <c r="Q4818" s="107">
        <f t="shared" si="182"/>
        <v>2021</v>
      </c>
      <c r="R4818" s="107">
        <v>2</v>
      </c>
      <c r="S4818" s="43">
        <v>221045</v>
      </c>
      <c r="T4818" s="74">
        <v>44319</v>
      </c>
    </row>
    <row r="4819" spans="1:20" x14ac:dyDescent="0.3">
      <c r="A4819" s="42">
        <v>44305</v>
      </c>
      <c r="B4819" s="37">
        <f t="shared" si="174"/>
        <v>20210419</v>
      </c>
      <c r="C4819" s="109">
        <v>1.9400000000000001E-2</v>
      </c>
      <c r="D4819" s="109">
        <v>0.01</v>
      </c>
      <c r="E4819" s="109">
        <v>1.2E-2</v>
      </c>
      <c r="F4819" s="109">
        <v>1.2999999999999999E-2</v>
      </c>
      <c r="G4819" s="130">
        <v>0</v>
      </c>
      <c r="H4819" s="71">
        <v>8.5</v>
      </c>
      <c r="I4819" s="71">
        <v>11.1</v>
      </c>
      <c r="J4819" s="71">
        <v>13.6</v>
      </c>
      <c r="K4819" s="121">
        <v>3.4000000000000002E-3</v>
      </c>
      <c r="L4819" s="121">
        <v>-5.0000000000000001E-3</v>
      </c>
      <c r="M4819" s="75" t="s">
        <v>146</v>
      </c>
      <c r="N4819" s="75" t="b">
        <v>1</v>
      </c>
      <c r="O4819" s="75" t="s">
        <v>145</v>
      </c>
      <c r="P4819" s="75">
        <v>2014</v>
      </c>
      <c r="Q4819" s="107">
        <f t="shared" si="182"/>
        <v>2021</v>
      </c>
      <c r="R4819" s="107">
        <v>2</v>
      </c>
      <c r="S4819" s="43">
        <v>221045</v>
      </c>
      <c r="T4819" s="74">
        <v>44319</v>
      </c>
    </row>
    <row r="4820" spans="1:20" x14ac:dyDescent="0.3">
      <c r="A4820" s="42">
        <v>44306</v>
      </c>
      <c r="B4820" s="37">
        <f t="shared" si="174"/>
        <v>20210420</v>
      </c>
      <c r="C4820" s="109">
        <v>1.9199999999999998E-2</v>
      </c>
      <c r="D4820" s="109">
        <v>0.01</v>
      </c>
      <c r="E4820" s="109">
        <v>1.2E-2</v>
      </c>
      <c r="F4820" s="109">
        <v>1.2999999999999999E-2</v>
      </c>
      <c r="G4820" s="130">
        <v>0</v>
      </c>
      <c r="H4820" s="71">
        <v>8.5</v>
      </c>
      <c r="I4820" s="71">
        <v>11.1</v>
      </c>
      <c r="J4820" s="71">
        <v>13.6</v>
      </c>
      <c r="K4820" s="121">
        <v>3.4000000000000002E-3</v>
      </c>
      <c r="L4820" s="121">
        <v>-5.0000000000000001E-3</v>
      </c>
      <c r="M4820" s="75" t="s">
        <v>146</v>
      </c>
      <c r="N4820" s="75" t="b">
        <v>1</v>
      </c>
      <c r="O4820" s="75" t="s">
        <v>145</v>
      </c>
      <c r="P4820" s="75">
        <v>2014</v>
      </c>
      <c r="Q4820" s="107">
        <f t="shared" si="182"/>
        <v>2021</v>
      </c>
      <c r="R4820" s="107">
        <v>2</v>
      </c>
      <c r="S4820" s="43">
        <v>221045</v>
      </c>
      <c r="T4820" s="74">
        <v>44319</v>
      </c>
    </row>
    <row r="4821" spans="1:20" x14ac:dyDescent="0.3">
      <c r="A4821" s="42">
        <v>44307</v>
      </c>
      <c r="B4821" s="37">
        <f t="shared" si="174"/>
        <v>20210421</v>
      </c>
      <c r="C4821" s="109">
        <v>1.9299999999999998E-2</v>
      </c>
      <c r="D4821" s="109">
        <v>0.01</v>
      </c>
      <c r="E4821" s="109">
        <v>1.2E-2</v>
      </c>
      <c r="F4821" s="109">
        <v>1.2999999999999999E-2</v>
      </c>
      <c r="G4821" s="130">
        <v>0</v>
      </c>
      <c r="H4821" s="71">
        <v>8.5</v>
      </c>
      <c r="I4821" s="71">
        <v>11.1</v>
      </c>
      <c r="J4821" s="71">
        <v>13.6</v>
      </c>
      <c r="K4821" s="121">
        <v>3.4000000000000002E-3</v>
      </c>
      <c r="L4821" s="121">
        <v>-5.0000000000000001E-3</v>
      </c>
      <c r="M4821" s="75" t="s">
        <v>146</v>
      </c>
      <c r="N4821" s="75" t="b">
        <v>1</v>
      </c>
      <c r="O4821" s="75" t="s">
        <v>145</v>
      </c>
      <c r="P4821" s="75">
        <v>2014</v>
      </c>
      <c r="Q4821" s="107">
        <f t="shared" si="182"/>
        <v>2021</v>
      </c>
      <c r="R4821" s="107">
        <v>2</v>
      </c>
      <c r="S4821" s="43">
        <v>221045</v>
      </c>
      <c r="T4821" s="74">
        <v>44319</v>
      </c>
    </row>
    <row r="4822" spans="1:20" x14ac:dyDescent="0.3">
      <c r="A4822" s="42">
        <v>44308</v>
      </c>
      <c r="B4822" s="37">
        <f t="shared" si="174"/>
        <v>20210422</v>
      </c>
      <c r="C4822" s="109">
        <v>1.9299999999999998E-2</v>
      </c>
      <c r="D4822" s="109">
        <v>0.01</v>
      </c>
      <c r="E4822" s="109">
        <v>1.2E-2</v>
      </c>
      <c r="F4822" s="109">
        <v>1.2999999999999999E-2</v>
      </c>
      <c r="G4822" s="130">
        <v>0</v>
      </c>
      <c r="H4822" s="71">
        <v>8.5</v>
      </c>
      <c r="I4822" s="71">
        <v>11.1</v>
      </c>
      <c r="J4822" s="71">
        <v>13.6</v>
      </c>
      <c r="K4822" s="121">
        <v>3.4999999999999996E-3</v>
      </c>
      <c r="L4822" s="121">
        <v>-5.0000000000000001E-3</v>
      </c>
      <c r="M4822" s="75" t="s">
        <v>146</v>
      </c>
      <c r="N4822" s="75" t="b">
        <v>1</v>
      </c>
      <c r="O4822" s="75" t="s">
        <v>145</v>
      </c>
      <c r="P4822" s="75">
        <v>2014</v>
      </c>
      <c r="Q4822" s="107">
        <f t="shared" si="182"/>
        <v>2021</v>
      </c>
      <c r="R4822" s="107">
        <v>2</v>
      </c>
      <c r="S4822" s="43">
        <v>221045</v>
      </c>
      <c r="T4822" s="74">
        <v>44319</v>
      </c>
    </row>
    <row r="4823" spans="1:20" x14ac:dyDescent="0.3">
      <c r="A4823" s="42">
        <v>44309</v>
      </c>
      <c r="B4823" s="37">
        <f t="shared" si="174"/>
        <v>20210423</v>
      </c>
      <c r="C4823" s="109">
        <v>1.9400000000000001E-2</v>
      </c>
      <c r="D4823" s="109">
        <v>0.01</v>
      </c>
      <c r="E4823" s="109">
        <v>1.2E-2</v>
      </c>
      <c r="F4823" s="109">
        <v>1.2999999999999999E-2</v>
      </c>
      <c r="G4823" s="130">
        <v>0</v>
      </c>
      <c r="H4823" s="71">
        <v>8.5</v>
      </c>
      <c r="I4823" s="71">
        <v>11.1</v>
      </c>
      <c r="J4823" s="71">
        <v>13.6</v>
      </c>
      <c r="K4823" s="121">
        <v>3.8E-3</v>
      </c>
      <c r="L4823" s="121">
        <v>-5.0000000000000001E-3</v>
      </c>
      <c r="M4823" s="75" t="s">
        <v>146</v>
      </c>
      <c r="N4823" s="75" t="b">
        <v>1</v>
      </c>
      <c r="O4823" s="75" t="s">
        <v>145</v>
      </c>
      <c r="P4823" s="75">
        <v>2014</v>
      </c>
      <c r="Q4823" s="107">
        <f t="shared" si="182"/>
        <v>2021</v>
      </c>
      <c r="R4823" s="107">
        <v>2</v>
      </c>
      <c r="S4823" s="43">
        <v>221045</v>
      </c>
      <c r="T4823" s="74">
        <v>44319</v>
      </c>
    </row>
    <row r="4824" spans="1:20" x14ac:dyDescent="0.3">
      <c r="A4824" s="42">
        <v>44310</v>
      </c>
      <c r="B4824" s="37">
        <f t="shared" ref="B4824:B4825" si="184">YEAR(A4824)*10000+MONTH(A4824)*100+DAY(A4824)</f>
        <v>20210424</v>
      </c>
      <c r="C4824" s="109">
        <v>1.9400000000000001E-2</v>
      </c>
      <c r="D4824" s="109">
        <v>0.01</v>
      </c>
      <c r="E4824" s="109">
        <v>1.2E-2</v>
      </c>
      <c r="F4824" s="109">
        <v>1.2999999999999999E-2</v>
      </c>
      <c r="G4824" s="130">
        <v>0</v>
      </c>
      <c r="H4824" s="71">
        <v>8.5</v>
      </c>
      <c r="I4824" s="71">
        <v>11.1</v>
      </c>
      <c r="J4824" s="71">
        <v>13.6</v>
      </c>
      <c r="K4824" s="121">
        <v>3.8E-3</v>
      </c>
      <c r="L4824" s="121">
        <v>-5.0000000000000001E-3</v>
      </c>
      <c r="M4824" s="75" t="s">
        <v>146</v>
      </c>
      <c r="N4824" s="75" t="b">
        <v>1</v>
      </c>
      <c r="O4824" s="75" t="s">
        <v>145</v>
      </c>
      <c r="P4824" s="75">
        <v>2014</v>
      </c>
      <c r="Q4824" s="107">
        <f t="shared" si="182"/>
        <v>2021</v>
      </c>
      <c r="R4824" s="107">
        <v>2</v>
      </c>
      <c r="S4824" s="43">
        <v>221045</v>
      </c>
      <c r="T4824" s="74">
        <v>44319</v>
      </c>
    </row>
    <row r="4825" spans="1:20" x14ac:dyDescent="0.3">
      <c r="A4825" s="42">
        <v>44311</v>
      </c>
      <c r="B4825" s="37">
        <f t="shared" si="184"/>
        <v>20210425</v>
      </c>
      <c r="C4825" s="109">
        <v>1.9400000000000001E-2</v>
      </c>
      <c r="D4825" s="109">
        <v>0.01</v>
      </c>
      <c r="E4825" s="109">
        <v>1.2E-2</v>
      </c>
      <c r="F4825" s="109">
        <v>1.2999999999999999E-2</v>
      </c>
      <c r="G4825" s="130">
        <v>0</v>
      </c>
      <c r="H4825" s="71">
        <v>8.5</v>
      </c>
      <c r="I4825" s="71">
        <v>11.1</v>
      </c>
      <c r="J4825" s="71">
        <v>13.6</v>
      </c>
      <c r="K4825" s="121">
        <v>3.8E-3</v>
      </c>
      <c r="L4825" s="121">
        <v>-5.0000000000000001E-3</v>
      </c>
      <c r="M4825" s="75" t="s">
        <v>146</v>
      </c>
      <c r="N4825" s="75" t="b">
        <v>1</v>
      </c>
      <c r="O4825" s="75" t="s">
        <v>145</v>
      </c>
      <c r="P4825" s="75">
        <v>2014</v>
      </c>
      <c r="Q4825" s="107">
        <f t="shared" si="182"/>
        <v>2021</v>
      </c>
      <c r="R4825" s="107">
        <v>2</v>
      </c>
      <c r="S4825" s="43">
        <v>221045</v>
      </c>
      <c r="T4825" s="74">
        <v>44319</v>
      </c>
    </row>
    <row r="4826" spans="1:20" x14ac:dyDescent="0.3">
      <c r="A4826" s="42">
        <v>44312</v>
      </c>
      <c r="B4826" s="37">
        <f t="shared" si="174"/>
        <v>20210426</v>
      </c>
      <c r="C4826" s="109">
        <v>1.9599999999999999E-2</v>
      </c>
      <c r="D4826" s="109">
        <v>0.01</v>
      </c>
      <c r="E4826" s="109">
        <v>1.2E-2</v>
      </c>
      <c r="F4826" s="109">
        <v>1.2999999999999999E-2</v>
      </c>
      <c r="G4826" s="130">
        <v>0</v>
      </c>
      <c r="H4826" s="71">
        <v>8.5</v>
      </c>
      <c r="I4826" s="71">
        <v>11.1</v>
      </c>
      <c r="J4826" s="71">
        <v>13.6</v>
      </c>
      <c r="K4826" s="121">
        <v>3.9000000000000003E-3</v>
      </c>
      <c r="L4826" s="121">
        <v>-5.0000000000000001E-3</v>
      </c>
      <c r="M4826" s="75" t="s">
        <v>146</v>
      </c>
      <c r="N4826" s="75" t="b">
        <v>1</v>
      </c>
      <c r="O4826" s="75" t="s">
        <v>145</v>
      </c>
      <c r="P4826" s="75">
        <v>2014</v>
      </c>
      <c r="Q4826" s="107">
        <f t="shared" si="182"/>
        <v>2021</v>
      </c>
      <c r="R4826" s="107">
        <v>2</v>
      </c>
      <c r="S4826" s="43">
        <v>221045</v>
      </c>
      <c r="T4826" s="74">
        <v>44319</v>
      </c>
    </row>
    <row r="4827" spans="1:20" x14ac:dyDescent="0.3">
      <c r="A4827" s="42">
        <v>44313</v>
      </c>
      <c r="B4827" s="37">
        <f t="shared" si="174"/>
        <v>20210427</v>
      </c>
      <c r="C4827" s="109">
        <v>1.9900000000000001E-2</v>
      </c>
      <c r="D4827" s="109">
        <v>0.01</v>
      </c>
      <c r="E4827" s="109">
        <v>1.2E-2</v>
      </c>
      <c r="F4827" s="109">
        <v>1.2999999999999999E-2</v>
      </c>
      <c r="G4827" s="130">
        <v>0</v>
      </c>
      <c r="H4827" s="71">
        <v>8.5</v>
      </c>
      <c r="I4827" s="71">
        <v>11.1</v>
      </c>
      <c r="J4827" s="71">
        <v>13.6</v>
      </c>
      <c r="K4827" s="121">
        <v>4.1999999999999997E-3</v>
      </c>
      <c r="L4827" s="121">
        <v>-5.0000000000000001E-3</v>
      </c>
      <c r="M4827" s="75" t="s">
        <v>146</v>
      </c>
      <c r="N4827" s="75" t="b">
        <v>1</v>
      </c>
      <c r="O4827" s="75" t="s">
        <v>145</v>
      </c>
      <c r="P4827" s="75">
        <v>2014</v>
      </c>
      <c r="Q4827" s="107">
        <f t="shared" si="182"/>
        <v>2021</v>
      </c>
      <c r="R4827" s="107">
        <v>2</v>
      </c>
      <c r="S4827" s="43">
        <v>221045</v>
      </c>
      <c r="T4827" s="74">
        <v>44319</v>
      </c>
    </row>
    <row r="4828" spans="1:20" x14ac:dyDescent="0.3">
      <c r="A4828" s="42">
        <v>44314</v>
      </c>
      <c r="B4828" s="37">
        <f t="shared" si="174"/>
        <v>20210428</v>
      </c>
      <c r="C4828" s="109">
        <v>1.9599999999999999E-2</v>
      </c>
      <c r="D4828" s="109">
        <v>0.01</v>
      </c>
      <c r="E4828" s="109">
        <v>1.2E-2</v>
      </c>
      <c r="F4828" s="109">
        <v>1.2999999999999999E-2</v>
      </c>
      <c r="G4828" s="130">
        <v>0</v>
      </c>
      <c r="H4828" s="71">
        <v>8.5</v>
      </c>
      <c r="I4828" s="71">
        <v>11.1</v>
      </c>
      <c r="J4828" s="71">
        <v>13.6</v>
      </c>
      <c r="K4828" s="121">
        <v>3.8E-3</v>
      </c>
      <c r="L4828" s="121">
        <v>-5.0000000000000001E-3</v>
      </c>
      <c r="M4828" s="75" t="s">
        <v>146</v>
      </c>
      <c r="N4828" s="75" t="b">
        <v>1</v>
      </c>
      <c r="O4828" s="75" t="s">
        <v>145</v>
      </c>
      <c r="P4828" s="75">
        <v>2014</v>
      </c>
      <c r="Q4828" s="107">
        <f t="shared" si="182"/>
        <v>2021</v>
      </c>
      <c r="R4828" s="107">
        <v>2</v>
      </c>
      <c r="S4828" s="43">
        <v>221045</v>
      </c>
      <c r="T4828" s="74">
        <v>44319</v>
      </c>
    </row>
    <row r="4829" spans="1:20" x14ac:dyDescent="0.3">
      <c r="A4829" s="42">
        <v>44315</v>
      </c>
      <c r="B4829" s="37">
        <f t="shared" si="174"/>
        <v>20210429</v>
      </c>
      <c r="C4829" s="109">
        <v>1.9900000000000001E-2</v>
      </c>
      <c r="D4829" s="109">
        <v>0.01</v>
      </c>
      <c r="E4829" s="109">
        <v>1.2E-2</v>
      </c>
      <c r="F4829" s="109">
        <v>1.2999999999999999E-2</v>
      </c>
      <c r="G4829" s="130">
        <v>0</v>
      </c>
      <c r="H4829" s="71">
        <v>8.5</v>
      </c>
      <c r="I4829" s="71">
        <v>11.1</v>
      </c>
      <c r="J4829" s="71">
        <v>13.6</v>
      </c>
      <c r="K4829" s="121">
        <v>4.0000000000000001E-3</v>
      </c>
      <c r="L4829" s="121">
        <v>-5.0000000000000001E-3</v>
      </c>
      <c r="M4829" s="75" t="s">
        <v>146</v>
      </c>
      <c r="N4829" s="75" t="b">
        <v>1</v>
      </c>
      <c r="O4829" s="75" t="s">
        <v>145</v>
      </c>
      <c r="P4829" s="75">
        <v>2014</v>
      </c>
      <c r="Q4829" s="107">
        <f t="shared" si="182"/>
        <v>2021</v>
      </c>
      <c r="R4829" s="107">
        <v>2</v>
      </c>
      <c r="S4829" s="43">
        <v>221045</v>
      </c>
      <c r="T4829" s="74">
        <v>44319</v>
      </c>
    </row>
    <row r="4830" spans="1:20" x14ac:dyDescent="0.3">
      <c r="A4830" s="42">
        <v>44316</v>
      </c>
      <c r="B4830" s="37">
        <f t="shared" ref="B4830:B4905" si="185">YEAR(A4830)*10000+MONTH(A4830)*100+DAY(A4830)</f>
        <v>20210430</v>
      </c>
      <c r="C4830" s="109">
        <v>1.9699999999999999E-2</v>
      </c>
      <c r="D4830" s="109">
        <v>0.01</v>
      </c>
      <c r="E4830" s="109">
        <v>1.2E-2</v>
      </c>
      <c r="F4830" s="109">
        <v>1.2999999999999999E-2</v>
      </c>
      <c r="G4830" s="130">
        <v>0</v>
      </c>
      <c r="H4830" s="71">
        <v>8.5</v>
      </c>
      <c r="I4830" s="71">
        <v>11.1</v>
      </c>
      <c r="J4830" s="71">
        <v>13.6</v>
      </c>
      <c r="K4830" s="121">
        <v>4.0000000000000001E-3</v>
      </c>
      <c r="L4830" s="121">
        <v>-5.0000000000000001E-3</v>
      </c>
      <c r="M4830" s="75" t="s">
        <v>146</v>
      </c>
      <c r="N4830" s="75" t="b">
        <v>1</v>
      </c>
      <c r="O4830" s="75" t="s">
        <v>145</v>
      </c>
      <c r="P4830" s="75">
        <v>2014</v>
      </c>
      <c r="Q4830" s="107">
        <f t="shared" si="182"/>
        <v>2021</v>
      </c>
      <c r="R4830" s="107">
        <v>2</v>
      </c>
      <c r="S4830" s="43">
        <v>221045</v>
      </c>
      <c r="T4830" s="74">
        <v>44319</v>
      </c>
    </row>
    <row r="4831" spans="1:20" x14ac:dyDescent="0.3">
      <c r="A4831" s="42">
        <v>44317</v>
      </c>
      <c r="B4831" s="37">
        <f t="shared" si="185"/>
        <v>20210501</v>
      </c>
      <c r="C4831" s="109">
        <v>1.9699999999999999E-2</v>
      </c>
      <c r="D4831" s="109">
        <v>0.01</v>
      </c>
      <c r="E4831" s="109">
        <v>1.2E-2</v>
      </c>
      <c r="F4831" s="109">
        <v>1.2999999999999999E-2</v>
      </c>
      <c r="G4831" s="130">
        <v>0</v>
      </c>
      <c r="H4831" s="71">
        <v>8.5</v>
      </c>
      <c r="I4831" s="71">
        <v>11.1</v>
      </c>
      <c r="J4831" s="71">
        <v>13.6</v>
      </c>
      <c r="K4831" s="121">
        <v>4.0000000000000001E-3</v>
      </c>
      <c r="L4831" s="121">
        <v>-5.0000000000000001E-3</v>
      </c>
      <c r="M4831" s="75" t="s">
        <v>146</v>
      </c>
      <c r="N4831" s="75" t="b">
        <v>1</v>
      </c>
      <c r="O4831" s="75" t="s">
        <v>145</v>
      </c>
      <c r="P4831" s="75">
        <v>2014</v>
      </c>
      <c r="Q4831" s="107">
        <f t="shared" si="182"/>
        <v>2021</v>
      </c>
      <c r="R4831" s="107">
        <v>2</v>
      </c>
      <c r="S4831" s="43">
        <v>221045</v>
      </c>
      <c r="T4831" s="74">
        <v>44319</v>
      </c>
    </row>
    <row r="4832" spans="1:20" x14ac:dyDescent="0.3">
      <c r="A4832" s="42">
        <v>44318</v>
      </c>
      <c r="B4832" s="37">
        <f t="shared" si="185"/>
        <v>20210502</v>
      </c>
      <c r="C4832" s="109">
        <v>1.9699999999999999E-2</v>
      </c>
      <c r="D4832" s="109">
        <v>0.01</v>
      </c>
      <c r="E4832" s="109">
        <v>1.2E-2</v>
      </c>
      <c r="F4832" s="109">
        <v>1.2999999999999999E-2</v>
      </c>
      <c r="G4832" s="130">
        <v>0</v>
      </c>
      <c r="H4832" s="71">
        <v>8.5</v>
      </c>
      <c r="I4832" s="71">
        <v>11.1</v>
      </c>
      <c r="J4832" s="71">
        <v>13.6</v>
      </c>
      <c r="K4832" s="121">
        <v>4.0000000000000001E-3</v>
      </c>
      <c r="L4832" s="121">
        <v>-5.0000000000000001E-3</v>
      </c>
      <c r="M4832" s="75" t="s">
        <v>146</v>
      </c>
      <c r="N4832" s="75" t="b">
        <v>1</v>
      </c>
      <c r="O4832" s="75" t="s">
        <v>145</v>
      </c>
      <c r="P4832" s="75">
        <v>2014</v>
      </c>
      <c r="Q4832" s="107">
        <f t="shared" si="182"/>
        <v>2021</v>
      </c>
      <c r="R4832" s="107">
        <v>2</v>
      </c>
      <c r="S4832" s="43">
        <v>221045</v>
      </c>
      <c r="T4832" s="74">
        <v>44319</v>
      </c>
    </row>
    <row r="4833" spans="1:20" x14ac:dyDescent="0.3">
      <c r="A4833" s="42">
        <v>44319</v>
      </c>
      <c r="B4833" s="37">
        <f t="shared" si="185"/>
        <v>20210503</v>
      </c>
      <c r="C4833" s="109">
        <v>1.9599999999999999E-2</v>
      </c>
      <c r="D4833" s="109">
        <v>0.01</v>
      </c>
      <c r="E4833" s="109">
        <v>1.2E-2</v>
      </c>
      <c r="F4833" s="109">
        <v>1.2999999999999999E-2</v>
      </c>
      <c r="G4833" s="130">
        <v>0</v>
      </c>
      <c r="H4833" s="71">
        <v>8.5</v>
      </c>
      <c r="I4833" s="71">
        <v>11.1</v>
      </c>
      <c r="J4833" s="71">
        <v>13.6</v>
      </c>
      <c r="K4833" s="121">
        <v>3.8E-3</v>
      </c>
      <c r="L4833" s="121">
        <v>-5.0000000000000001E-3</v>
      </c>
      <c r="M4833" s="75" t="s">
        <v>146</v>
      </c>
      <c r="N4833" s="75" t="b">
        <v>1</v>
      </c>
      <c r="O4833" s="75" t="s">
        <v>145</v>
      </c>
      <c r="P4833" s="75">
        <v>2014</v>
      </c>
      <c r="Q4833" s="107">
        <f t="shared" si="182"/>
        <v>2021</v>
      </c>
      <c r="R4833" s="107">
        <v>2</v>
      </c>
      <c r="S4833" s="43">
        <v>221045</v>
      </c>
      <c r="T4833" s="74">
        <v>44319</v>
      </c>
    </row>
    <row r="4834" spans="1:20" x14ac:dyDescent="0.3">
      <c r="A4834" s="42">
        <v>44320</v>
      </c>
      <c r="B4834" s="37">
        <f t="shared" si="185"/>
        <v>20210504</v>
      </c>
      <c r="C4834" s="109">
        <v>1.9599999999999999E-2</v>
      </c>
      <c r="D4834" s="109">
        <v>0.01</v>
      </c>
      <c r="E4834" s="109">
        <v>1.2E-2</v>
      </c>
      <c r="F4834" s="109">
        <v>1.2999999999999999E-2</v>
      </c>
      <c r="G4834" s="130">
        <v>0</v>
      </c>
      <c r="H4834" s="71">
        <v>8.5</v>
      </c>
      <c r="I4834" s="71">
        <v>11.1</v>
      </c>
      <c r="J4834" s="71">
        <v>13.6</v>
      </c>
      <c r="K4834" s="121">
        <v>3.8E-3</v>
      </c>
      <c r="L4834" s="121">
        <v>-5.0000000000000001E-3</v>
      </c>
      <c r="M4834" s="75" t="s">
        <v>146</v>
      </c>
      <c r="N4834" s="75" t="b">
        <v>1</v>
      </c>
      <c r="O4834" s="75" t="s">
        <v>145</v>
      </c>
      <c r="P4834" s="75">
        <v>2014</v>
      </c>
      <c r="Q4834" s="107">
        <f t="shared" si="182"/>
        <v>2021</v>
      </c>
      <c r="R4834" s="107">
        <v>2</v>
      </c>
      <c r="S4834" s="43">
        <v>221045</v>
      </c>
      <c r="T4834" s="74">
        <v>44319</v>
      </c>
    </row>
    <row r="4835" spans="1:20" x14ac:dyDescent="0.3">
      <c r="A4835" s="42">
        <v>44321</v>
      </c>
      <c r="B4835" s="37">
        <f t="shared" si="185"/>
        <v>20210505</v>
      </c>
      <c r="C4835" s="109">
        <v>1.95E-2</v>
      </c>
      <c r="D4835" s="109">
        <v>0.01</v>
      </c>
      <c r="E4835" s="109">
        <v>1.2E-2</v>
      </c>
      <c r="F4835" s="109">
        <v>1.2999999999999999E-2</v>
      </c>
      <c r="G4835" s="130">
        <v>0</v>
      </c>
      <c r="H4835" s="71">
        <v>8.5</v>
      </c>
      <c r="I4835" s="71">
        <v>11.1</v>
      </c>
      <c r="J4835" s="71">
        <v>13.6</v>
      </c>
      <c r="K4835" s="121">
        <v>3.4000000000000002E-3</v>
      </c>
      <c r="L4835" s="121">
        <v>-5.0000000000000001E-3</v>
      </c>
      <c r="M4835" s="75" t="s">
        <v>146</v>
      </c>
      <c r="N4835" s="75" t="b">
        <v>1</v>
      </c>
      <c r="O4835" s="75" t="s">
        <v>145</v>
      </c>
      <c r="P4835" s="75">
        <v>2014</v>
      </c>
      <c r="Q4835" s="107">
        <f t="shared" si="182"/>
        <v>2021</v>
      </c>
      <c r="R4835" s="107">
        <v>2</v>
      </c>
      <c r="S4835" s="43">
        <v>221045</v>
      </c>
      <c r="T4835" s="74">
        <v>44319</v>
      </c>
    </row>
    <row r="4836" spans="1:20" x14ac:dyDescent="0.3">
      <c r="A4836" s="42">
        <v>44322</v>
      </c>
      <c r="B4836" s="37">
        <f t="shared" si="185"/>
        <v>20210506</v>
      </c>
      <c r="C4836" s="109">
        <v>1.9599999999999999E-2</v>
      </c>
      <c r="D4836" s="109">
        <v>0.01</v>
      </c>
      <c r="E4836" s="109">
        <v>1.2E-2</v>
      </c>
      <c r="F4836" s="109">
        <v>1.2999999999999999E-2</v>
      </c>
      <c r="G4836" s="130">
        <v>0</v>
      </c>
      <c r="H4836" s="71">
        <v>8.5</v>
      </c>
      <c r="I4836" s="71">
        <v>11.1</v>
      </c>
      <c r="J4836" s="71">
        <v>13.6</v>
      </c>
      <c r="K4836" s="121">
        <v>3.2000000000000002E-3</v>
      </c>
      <c r="L4836" s="121">
        <v>-5.0000000000000001E-3</v>
      </c>
      <c r="M4836" s="75" t="s">
        <v>146</v>
      </c>
      <c r="N4836" s="75" t="b">
        <v>1</v>
      </c>
      <c r="O4836" s="75" t="s">
        <v>145</v>
      </c>
      <c r="P4836" s="75">
        <v>2014</v>
      </c>
      <c r="Q4836" s="107">
        <f t="shared" si="182"/>
        <v>2021</v>
      </c>
      <c r="R4836" s="107">
        <v>2</v>
      </c>
      <c r="S4836" s="43">
        <v>221045</v>
      </c>
      <c r="T4836" s="74">
        <v>44319</v>
      </c>
    </row>
    <row r="4837" spans="1:20" x14ac:dyDescent="0.3">
      <c r="A4837" s="42">
        <v>44323</v>
      </c>
      <c r="B4837" s="37">
        <f t="shared" si="185"/>
        <v>20210507</v>
      </c>
      <c r="C4837" s="109">
        <v>1.95E-2</v>
      </c>
      <c r="D4837" s="109">
        <v>0.01</v>
      </c>
      <c r="E4837" s="109">
        <v>1.2E-2</v>
      </c>
      <c r="F4837" s="109">
        <v>1.2999999999999999E-2</v>
      </c>
      <c r="G4837" s="130">
        <v>0</v>
      </c>
      <c r="H4837" s="71">
        <v>8.5</v>
      </c>
      <c r="I4837" s="71">
        <v>11.1</v>
      </c>
      <c r="J4837" s="71">
        <v>13.6</v>
      </c>
      <c r="K4837" s="121">
        <v>2.7000000000000001E-3</v>
      </c>
      <c r="L4837" s="121">
        <v>-5.0000000000000001E-3</v>
      </c>
      <c r="M4837" s="75" t="s">
        <v>146</v>
      </c>
      <c r="N4837" s="75" t="b">
        <v>1</v>
      </c>
      <c r="O4837" s="75" t="s">
        <v>145</v>
      </c>
      <c r="P4837" s="75">
        <v>2014</v>
      </c>
      <c r="Q4837" s="107">
        <f t="shared" si="182"/>
        <v>2021</v>
      </c>
      <c r="R4837" s="107">
        <v>2</v>
      </c>
      <c r="S4837" s="43">
        <v>221045</v>
      </c>
      <c r="T4837" s="74">
        <v>44319</v>
      </c>
    </row>
    <row r="4838" spans="1:20" x14ac:dyDescent="0.3">
      <c r="A4838" s="42">
        <v>44324</v>
      </c>
      <c r="B4838" s="37">
        <f t="shared" si="185"/>
        <v>20210508</v>
      </c>
      <c r="C4838" s="109">
        <v>1.95E-2</v>
      </c>
      <c r="D4838" s="109">
        <v>0.01</v>
      </c>
      <c r="E4838" s="109">
        <v>1.2E-2</v>
      </c>
      <c r="F4838" s="109">
        <v>1.2999999999999999E-2</v>
      </c>
      <c r="G4838" s="130">
        <v>0</v>
      </c>
      <c r="H4838" s="71">
        <v>8.5</v>
      </c>
      <c r="I4838" s="71">
        <v>11.1</v>
      </c>
      <c r="J4838" s="71">
        <v>13.6</v>
      </c>
      <c r="K4838" s="121">
        <v>2.7000000000000001E-3</v>
      </c>
      <c r="L4838" s="121">
        <v>-5.0000000000000001E-3</v>
      </c>
      <c r="M4838" s="75" t="s">
        <v>146</v>
      </c>
      <c r="N4838" s="75" t="b">
        <v>1</v>
      </c>
      <c r="O4838" s="75" t="s">
        <v>145</v>
      </c>
      <c r="P4838" s="75">
        <v>2014</v>
      </c>
      <c r="Q4838" s="107">
        <f t="shared" si="182"/>
        <v>2021</v>
      </c>
      <c r="R4838" s="107">
        <v>2</v>
      </c>
      <c r="S4838" s="43">
        <v>221045</v>
      </c>
      <c r="T4838" s="74">
        <v>44319</v>
      </c>
    </row>
    <row r="4839" spans="1:20" x14ac:dyDescent="0.3">
      <c r="A4839" s="42">
        <v>44325</v>
      </c>
      <c r="B4839" s="37">
        <f t="shared" si="185"/>
        <v>20210509</v>
      </c>
      <c r="C4839" s="109">
        <v>1.95E-2</v>
      </c>
      <c r="D4839" s="109">
        <v>0.01</v>
      </c>
      <c r="E4839" s="109">
        <v>1.2E-2</v>
      </c>
      <c r="F4839" s="109">
        <v>1.2999999999999999E-2</v>
      </c>
      <c r="G4839" s="130">
        <v>0</v>
      </c>
      <c r="H4839" s="71">
        <v>8.5</v>
      </c>
      <c r="I4839" s="71">
        <v>11.1</v>
      </c>
      <c r="J4839" s="71">
        <v>13.6</v>
      </c>
      <c r="K4839" s="121">
        <v>2.7000000000000001E-3</v>
      </c>
      <c r="L4839" s="121">
        <v>-5.0000000000000001E-3</v>
      </c>
      <c r="M4839" s="75" t="s">
        <v>146</v>
      </c>
      <c r="N4839" s="75" t="b">
        <v>1</v>
      </c>
      <c r="O4839" s="75" t="s">
        <v>145</v>
      </c>
      <c r="P4839" s="75">
        <v>2014</v>
      </c>
      <c r="Q4839" s="107">
        <f t="shared" si="182"/>
        <v>2021</v>
      </c>
      <c r="R4839" s="107">
        <v>2</v>
      </c>
      <c r="S4839" s="43">
        <v>221045</v>
      </c>
      <c r="T4839" s="74">
        <v>44319</v>
      </c>
    </row>
    <row r="4840" spans="1:20" x14ac:dyDescent="0.3">
      <c r="A4840" s="42">
        <v>44326</v>
      </c>
      <c r="B4840" s="37">
        <f t="shared" si="185"/>
        <v>20210510</v>
      </c>
      <c r="C4840" s="109">
        <v>1.9699999999999999E-2</v>
      </c>
      <c r="D4840" s="109">
        <v>0.01</v>
      </c>
      <c r="E4840" s="109">
        <v>1.2E-2</v>
      </c>
      <c r="F4840" s="109">
        <v>1.2999999999999999E-2</v>
      </c>
      <c r="G4840" s="130">
        <v>0</v>
      </c>
      <c r="H4840" s="71">
        <v>8.5</v>
      </c>
      <c r="I4840" s="71">
        <v>11.1</v>
      </c>
      <c r="J4840" s="71">
        <v>13.6</v>
      </c>
      <c r="K4840" s="121">
        <v>2.8000000000000004E-3</v>
      </c>
      <c r="L4840" s="121">
        <v>-5.0000000000000001E-3</v>
      </c>
      <c r="M4840" s="75" t="s">
        <v>146</v>
      </c>
      <c r="N4840" s="75" t="b">
        <v>1</v>
      </c>
      <c r="O4840" s="75" t="s">
        <v>145</v>
      </c>
      <c r="P4840" s="75">
        <v>2014</v>
      </c>
      <c r="Q4840" s="107">
        <f t="shared" si="182"/>
        <v>2021</v>
      </c>
      <c r="R4840" s="107">
        <v>2</v>
      </c>
      <c r="S4840" s="43">
        <v>221045</v>
      </c>
      <c r="T4840" s="74">
        <v>44319</v>
      </c>
    </row>
    <row r="4841" spans="1:20" x14ac:dyDescent="0.3">
      <c r="A4841" s="42">
        <v>44327</v>
      </c>
      <c r="B4841" s="37">
        <f t="shared" si="185"/>
        <v>20210511</v>
      </c>
      <c r="C4841" s="109">
        <v>0.02</v>
      </c>
      <c r="D4841" s="109">
        <v>0.01</v>
      </c>
      <c r="E4841" s="109">
        <v>1.2E-2</v>
      </c>
      <c r="F4841" s="109">
        <v>1.2999999999999999E-2</v>
      </c>
      <c r="G4841" s="130">
        <v>0</v>
      </c>
      <c r="H4841" s="71">
        <v>8.5</v>
      </c>
      <c r="I4841" s="71">
        <v>11.1</v>
      </c>
      <c r="J4841" s="71">
        <v>13.6</v>
      </c>
      <c r="K4841" s="121">
        <v>3.2000000000000002E-3</v>
      </c>
      <c r="L4841" s="121">
        <v>-5.0000000000000001E-3</v>
      </c>
      <c r="M4841" s="75" t="s">
        <v>146</v>
      </c>
      <c r="N4841" s="75" t="b">
        <v>1</v>
      </c>
      <c r="O4841" s="75" t="s">
        <v>145</v>
      </c>
      <c r="P4841" s="75">
        <v>2014</v>
      </c>
      <c r="Q4841" s="107">
        <f t="shared" si="182"/>
        <v>2021</v>
      </c>
      <c r="R4841" s="107">
        <v>2</v>
      </c>
      <c r="S4841" s="43">
        <v>221045</v>
      </c>
      <c r="T4841" s="74">
        <v>44319</v>
      </c>
    </row>
    <row r="4842" spans="1:20" x14ac:dyDescent="0.3">
      <c r="A4842" s="42">
        <v>44328</v>
      </c>
      <c r="B4842" s="37">
        <f t="shared" si="185"/>
        <v>20210512</v>
      </c>
      <c r="C4842" s="109">
        <v>2.0499999999999997E-2</v>
      </c>
      <c r="D4842" s="109">
        <v>0.01</v>
      </c>
      <c r="E4842" s="109">
        <v>1.2E-2</v>
      </c>
      <c r="F4842" s="109">
        <v>1.2999999999999999E-2</v>
      </c>
      <c r="G4842" s="130">
        <v>0</v>
      </c>
      <c r="H4842" s="71">
        <v>8.5</v>
      </c>
      <c r="I4842" s="71">
        <v>11.1</v>
      </c>
      <c r="J4842" s="71">
        <v>13.6</v>
      </c>
      <c r="K4842" s="121">
        <v>3.3E-3</v>
      </c>
      <c r="L4842" s="121">
        <v>-5.0000000000000001E-3</v>
      </c>
      <c r="M4842" s="75" t="s">
        <v>146</v>
      </c>
      <c r="N4842" s="75" t="b">
        <v>1</v>
      </c>
      <c r="O4842" s="75" t="s">
        <v>145</v>
      </c>
      <c r="P4842" s="75">
        <v>2014</v>
      </c>
      <c r="Q4842" s="107">
        <f t="shared" si="182"/>
        <v>2021</v>
      </c>
      <c r="R4842" s="107">
        <v>2</v>
      </c>
      <c r="S4842" s="43">
        <v>221045</v>
      </c>
      <c r="T4842" s="74">
        <v>44319</v>
      </c>
    </row>
    <row r="4843" spans="1:20" x14ac:dyDescent="0.3">
      <c r="A4843" s="42">
        <v>44329</v>
      </c>
      <c r="B4843" s="37">
        <f t="shared" si="185"/>
        <v>20210513</v>
      </c>
      <c r="C4843" s="109">
        <v>2.0299999999999999E-2</v>
      </c>
      <c r="D4843" s="109">
        <v>0.01</v>
      </c>
      <c r="E4843" s="109">
        <v>1.2E-2</v>
      </c>
      <c r="F4843" s="109">
        <v>1.2999999999999999E-2</v>
      </c>
      <c r="G4843" s="130">
        <v>0</v>
      </c>
      <c r="H4843" s="71">
        <v>8.5</v>
      </c>
      <c r="I4843" s="71">
        <v>11.1</v>
      </c>
      <c r="J4843" s="71">
        <v>13.6</v>
      </c>
      <c r="K4843" s="121">
        <v>3.2000000000000002E-3</v>
      </c>
      <c r="L4843" s="121">
        <v>-5.0000000000000001E-3</v>
      </c>
      <c r="M4843" s="75" t="s">
        <v>146</v>
      </c>
      <c r="N4843" s="75" t="b">
        <v>1</v>
      </c>
      <c r="O4843" s="75" t="s">
        <v>145</v>
      </c>
      <c r="P4843" s="75">
        <v>2014</v>
      </c>
      <c r="Q4843" s="107">
        <f t="shared" si="182"/>
        <v>2021</v>
      </c>
      <c r="R4843" s="107">
        <v>2</v>
      </c>
      <c r="S4843" s="43">
        <v>221045</v>
      </c>
      <c r="T4843" s="74">
        <v>44319</v>
      </c>
    </row>
    <row r="4844" spans="1:20" x14ac:dyDescent="0.3">
      <c r="A4844" s="42">
        <v>44330</v>
      </c>
      <c r="B4844" s="37">
        <f t="shared" si="185"/>
        <v>20210514</v>
      </c>
      <c r="C4844" s="109">
        <v>2.0400000000000001E-2</v>
      </c>
      <c r="D4844" s="109">
        <v>0.01</v>
      </c>
      <c r="E4844" s="109">
        <v>1.2E-2</v>
      </c>
      <c r="F4844" s="109">
        <v>1.2999999999999999E-2</v>
      </c>
      <c r="G4844" s="130">
        <v>0</v>
      </c>
      <c r="H4844" s="71">
        <v>8.5</v>
      </c>
      <c r="I4844" s="71">
        <v>11.1</v>
      </c>
      <c r="J4844" s="71">
        <v>13.6</v>
      </c>
      <c r="K4844" s="121">
        <v>3.2000000000000002E-3</v>
      </c>
      <c r="L4844" s="121">
        <v>-5.0000000000000001E-3</v>
      </c>
      <c r="M4844" s="75" t="s">
        <v>146</v>
      </c>
      <c r="N4844" s="75" t="b">
        <v>1</v>
      </c>
      <c r="O4844" s="75" t="s">
        <v>145</v>
      </c>
      <c r="P4844" s="75">
        <v>2014</v>
      </c>
      <c r="Q4844" s="107">
        <f t="shared" si="182"/>
        <v>2021</v>
      </c>
      <c r="R4844" s="107">
        <v>2</v>
      </c>
      <c r="S4844" s="43">
        <v>221045</v>
      </c>
      <c r="T4844" s="74">
        <v>44319</v>
      </c>
    </row>
    <row r="4845" spans="1:20" x14ac:dyDescent="0.3">
      <c r="A4845" s="42">
        <v>44331</v>
      </c>
      <c r="B4845" s="37">
        <f t="shared" si="185"/>
        <v>20210515</v>
      </c>
      <c r="C4845" s="109">
        <v>2.0400000000000001E-2</v>
      </c>
      <c r="D4845" s="109">
        <v>0.01</v>
      </c>
      <c r="E4845" s="109">
        <v>1.2E-2</v>
      </c>
      <c r="F4845" s="109">
        <v>1.2999999999999999E-2</v>
      </c>
      <c r="G4845" s="130">
        <v>0</v>
      </c>
      <c r="H4845" s="71">
        <v>8.5</v>
      </c>
      <c r="I4845" s="71">
        <v>11.1</v>
      </c>
      <c r="J4845" s="71">
        <v>13.6</v>
      </c>
      <c r="K4845" s="121">
        <v>3.2000000000000002E-3</v>
      </c>
      <c r="L4845" s="121">
        <v>-5.0000000000000001E-3</v>
      </c>
      <c r="M4845" s="75" t="s">
        <v>146</v>
      </c>
      <c r="N4845" s="75" t="b">
        <v>1</v>
      </c>
      <c r="O4845" s="75" t="s">
        <v>145</v>
      </c>
      <c r="P4845" s="75">
        <v>2014</v>
      </c>
      <c r="Q4845" s="107">
        <f t="shared" si="182"/>
        <v>2021</v>
      </c>
      <c r="R4845" s="107">
        <v>2</v>
      </c>
      <c r="S4845" s="43">
        <v>221045</v>
      </c>
      <c r="T4845" s="74">
        <v>44319</v>
      </c>
    </row>
    <row r="4846" spans="1:20" x14ac:dyDescent="0.3">
      <c r="A4846" s="42">
        <v>44332</v>
      </c>
      <c r="B4846" s="37">
        <f t="shared" si="185"/>
        <v>20210516</v>
      </c>
      <c r="C4846" s="109">
        <v>2.0400000000000001E-2</v>
      </c>
      <c r="D4846" s="109">
        <v>0.01</v>
      </c>
      <c r="E4846" s="109">
        <v>1.2E-2</v>
      </c>
      <c r="F4846" s="109">
        <v>1.2999999999999999E-2</v>
      </c>
      <c r="G4846" s="130">
        <v>0</v>
      </c>
      <c r="H4846" s="71">
        <v>8.5</v>
      </c>
      <c r="I4846" s="71">
        <v>11.1</v>
      </c>
      <c r="J4846" s="71">
        <v>13.6</v>
      </c>
      <c r="K4846" s="121">
        <v>3.2000000000000002E-3</v>
      </c>
      <c r="L4846" s="121">
        <v>-5.0000000000000001E-3</v>
      </c>
      <c r="M4846" s="75" t="s">
        <v>146</v>
      </c>
      <c r="N4846" s="75" t="b">
        <v>1</v>
      </c>
      <c r="O4846" s="75" t="s">
        <v>145</v>
      </c>
      <c r="P4846" s="75">
        <v>2014</v>
      </c>
      <c r="Q4846" s="107">
        <f t="shared" si="182"/>
        <v>2021</v>
      </c>
      <c r="R4846" s="107">
        <v>2</v>
      </c>
      <c r="S4846" s="43">
        <v>221045</v>
      </c>
      <c r="T4846" s="74">
        <v>44319</v>
      </c>
    </row>
    <row r="4847" spans="1:20" x14ac:dyDescent="0.3">
      <c r="A4847" s="42">
        <v>44333</v>
      </c>
      <c r="B4847" s="37">
        <f t="shared" si="185"/>
        <v>20210517</v>
      </c>
      <c r="C4847" s="109">
        <v>2.0499999999999997E-2</v>
      </c>
      <c r="D4847" s="109">
        <v>0.01</v>
      </c>
      <c r="E4847" s="109">
        <v>1.2E-2</v>
      </c>
      <c r="F4847" s="109">
        <v>1.2999999999999999E-2</v>
      </c>
      <c r="G4847" s="130">
        <v>0</v>
      </c>
      <c r="H4847" s="71">
        <v>8.5</v>
      </c>
      <c r="I4847" s="71">
        <v>11.1</v>
      </c>
      <c r="J4847" s="71">
        <v>13.6</v>
      </c>
      <c r="K4847" s="121">
        <v>3.0999999999999999E-3</v>
      </c>
      <c r="L4847" s="121">
        <v>-5.0000000000000001E-3</v>
      </c>
      <c r="M4847" s="75" t="s">
        <v>146</v>
      </c>
      <c r="N4847" s="75" t="b">
        <v>1</v>
      </c>
      <c r="O4847" s="75" t="s">
        <v>145</v>
      </c>
      <c r="P4847" s="75">
        <v>2014</v>
      </c>
      <c r="Q4847" s="107">
        <f t="shared" si="182"/>
        <v>2021</v>
      </c>
      <c r="R4847" s="107">
        <v>2</v>
      </c>
      <c r="S4847" s="43">
        <v>221045</v>
      </c>
      <c r="T4847" s="74">
        <v>44319</v>
      </c>
    </row>
    <row r="4848" spans="1:20" x14ac:dyDescent="0.3">
      <c r="A4848" s="42">
        <v>44334</v>
      </c>
      <c r="B4848" s="37">
        <f t="shared" si="185"/>
        <v>20210518</v>
      </c>
      <c r="C4848" s="109">
        <v>2.0400000000000001E-2</v>
      </c>
      <c r="D4848" s="109">
        <v>0.01</v>
      </c>
      <c r="E4848" s="109">
        <v>1.2E-2</v>
      </c>
      <c r="F4848" s="109">
        <v>1.2999999999999999E-2</v>
      </c>
      <c r="G4848" s="130">
        <v>0</v>
      </c>
      <c r="H4848" s="71">
        <v>8.5</v>
      </c>
      <c r="I4848" s="71">
        <v>11.1</v>
      </c>
      <c r="J4848" s="71">
        <v>13.6</v>
      </c>
      <c r="K4848" s="121">
        <v>3.0999999999999999E-3</v>
      </c>
      <c r="L4848" s="121">
        <v>-5.0000000000000001E-3</v>
      </c>
      <c r="M4848" s="75" t="s">
        <v>146</v>
      </c>
      <c r="N4848" s="75" t="b">
        <v>1</v>
      </c>
      <c r="O4848" s="75" t="s">
        <v>145</v>
      </c>
      <c r="P4848" s="75">
        <v>2014</v>
      </c>
      <c r="Q4848" s="107">
        <f t="shared" si="182"/>
        <v>2021</v>
      </c>
      <c r="R4848" s="107">
        <v>2</v>
      </c>
      <c r="S4848" s="43">
        <v>221045</v>
      </c>
      <c r="T4848" s="74">
        <v>44319</v>
      </c>
    </row>
    <row r="4849" spans="1:20" x14ac:dyDescent="0.3">
      <c r="A4849" s="42">
        <v>44335</v>
      </c>
      <c r="B4849" s="37">
        <f t="shared" si="185"/>
        <v>20210519</v>
      </c>
      <c r="C4849" s="109">
        <v>2.0400000000000001E-2</v>
      </c>
      <c r="D4849" s="109">
        <v>0.01</v>
      </c>
      <c r="E4849" s="109">
        <v>1.2E-2</v>
      </c>
      <c r="F4849" s="109">
        <v>1.2999999999999999E-2</v>
      </c>
      <c r="G4849" s="130">
        <v>0</v>
      </c>
      <c r="H4849" s="71">
        <v>8.5</v>
      </c>
      <c r="I4849" s="71">
        <v>11.1</v>
      </c>
      <c r="J4849" s="71">
        <v>13.6</v>
      </c>
      <c r="K4849" s="121">
        <v>3.2000000000000002E-3</v>
      </c>
      <c r="L4849" s="121">
        <v>-5.0000000000000001E-3</v>
      </c>
      <c r="M4849" s="75" t="s">
        <v>146</v>
      </c>
      <c r="N4849" s="75" t="b">
        <v>1</v>
      </c>
      <c r="O4849" s="75" t="s">
        <v>145</v>
      </c>
      <c r="P4849" s="75">
        <v>2014</v>
      </c>
      <c r="Q4849" s="107">
        <f t="shared" si="182"/>
        <v>2021</v>
      </c>
      <c r="R4849" s="107">
        <v>2</v>
      </c>
      <c r="S4849" s="43">
        <v>221045</v>
      </c>
      <c r="T4849" s="74">
        <v>44319</v>
      </c>
    </row>
    <row r="4850" spans="1:20" x14ac:dyDescent="0.3">
      <c r="A4850" s="42">
        <v>44336</v>
      </c>
      <c r="B4850" s="37">
        <f t="shared" si="185"/>
        <v>20210520</v>
      </c>
      <c r="C4850" s="109">
        <v>2.0099999999999996E-2</v>
      </c>
      <c r="D4850" s="109">
        <v>0.01</v>
      </c>
      <c r="E4850" s="109">
        <v>1.2E-2</v>
      </c>
      <c r="F4850" s="109">
        <v>1.2999999999999999E-2</v>
      </c>
      <c r="G4850" s="130">
        <v>0</v>
      </c>
      <c r="H4850" s="71">
        <v>8.5</v>
      </c>
      <c r="I4850" s="71">
        <v>11.1</v>
      </c>
      <c r="J4850" s="71">
        <v>13.6</v>
      </c>
      <c r="K4850" s="121">
        <v>3.0000000000000001E-3</v>
      </c>
      <c r="L4850" s="121">
        <v>-5.0000000000000001E-3</v>
      </c>
      <c r="M4850" s="75" t="s">
        <v>146</v>
      </c>
      <c r="N4850" s="75" t="b">
        <v>1</v>
      </c>
      <c r="O4850" s="75" t="s">
        <v>145</v>
      </c>
      <c r="P4850" s="75">
        <v>2014</v>
      </c>
      <c r="Q4850" s="107">
        <f t="shared" si="182"/>
        <v>2021</v>
      </c>
      <c r="R4850" s="107">
        <v>2</v>
      </c>
      <c r="S4850" s="43">
        <v>221045</v>
      </c>
      <c r="T4850" s="74">
        <v>44319</v>
      </c>
    </row>
    <row r="4851" spans="1:20" x14ac:dyDescent="0.3">
      <c r="A4851" s="42">
        <v>44337</v>
      </c>
      <c r="B4851" s="37">
        <f t="shared" si="185"/>
        <v>20210521</v>
      </c>
      <c r="C4851" s="109">
        <v>2.0099999999999996E-2</v>
      </c>
      <c r="D4851" s="109">
        <v>0.01</v>
      </c>
      <c r="E4851" s="109">
        <v>1.2E-2</v>
      </c>
      <c r="F4851" s="109">
        <v>1.2999999999999999E-2</v>
      </c>
      <c r="G4851" s="130">
        <v>0</v>
      </c>
      <c r="H4851" s="71">
        <v>8.5</v>
      </c>
      <c r="I4851" s="71">
        <v>11.1</v>
      </c>
      <c r="J4851" s="71">
        <v>13.6</v>
      </c>
      <c r="K4851" s="121">
        <v>3.2000000000000002E-3</v>
      </c>
      <c r="L4851" s="121">
        <v>-5.0000000000000001E-3</v>
      </c>
      <c r="M4851" s="75" t="s">
        <v>146</v>
      </c>
      <c r="N4851" s="75" t="b">
        <v>1</v>
      </c>
      <c r="O4851" s="75" t="s">
        <v>145</v>
      </c>
      <c r="P4851" s="75">
        <v>2014</v>
      </c>
      <c r="Q4851" s="107">
        <f t="shared" si="182"/>
        <v>2021</v>
      </c>
      <c r="R4851" s="107">
        <v>2</v>
      </c>
      <c r="S4851" s="43">
        <v>221045</v>
      </c>
      <c r="T4851" s="74">
        <v>44319</v>
      </c>
    </row>
    <row r="4852" spans="1:20" x14ac:dyDescent="0.3">
      <c r="A4852" s="42">
        <v>44338</v>
      </c>
      <c r="B4852" s="37">
        <f t="shared" si="185"/>
        <v>20210522</v>
      </c>
      <c r="C4852" s="109">
        <v>2.0099999999999996E-2</v>
      </c>
      <c r="D4852" s="109">
        <v>0.01</v>
      </c>
      <c r="E4852" s="109">
        <v>1.2E-2</v>
      </c>
      <c r="F4852" s="109">
        <v>1.2999999999999999E-2</v>
      </c>
      <c r="G4852" s="130">
        <v>0</v>
      </c>
      <c r="H4852" s="71">
        <v>8.5</v>
      </c>
      <c r="I4852" s="71">
        <v>11.1</v>
      </c>
      <c r="J4852" s="71">
        <v>13.6</v>
      </c>
      <c r="K4852" s="121">
        <v>3.2000000000000002E-3</v>
      </c>
      <c r="L4852" s="121">
        <v>-5.0000000000000001E-3</v>
      </c>
      <c r="M4852" s="75" t="s">
        <v>146</v>
      </c>
      <c r="N4852" s="75" t="b">
        <v>1</v>
      </c>
      <c r="O4852" s="75" t="s">
        <v>145</v>
      </c>
      <c r="P4852" s="75">
        <v>2014</v>
      </c>
      <c r="Q4852" s="107">
        <f t="shared" si="182"/>
        <v>2021</v>
      </c>
      <c r="R4852" s="107">
        <v>2</v>
      </c>
      <c r="S4852" s="43">
        <v>221045</v>
      </c>
      <c r="T4852" s="74">
        <v>44319</v>
      </c>
    </row>
    <row r="4853" spans="1:20" x14ac:dyDescent="0.3">
      <c r="A4853" s="42">
        <v>44339</v>
      </c>
      <c r="B4853" s="37">
        <f t="shared" si="185"/>
        <v>20210523</v>
      </c>
      <c r="C4853" s="109">
        <v>2.0099999999999996E-2</v>
      </c>
      <c r="D4853" s="109">
        <v>0.01</v>
      </c>
      <c r="E4853" s="109">
        <v>1.2E-2</v>
      </c>
      <c r="F4853" s="109">
        <v>1.2999999999999999E-2</v>
      </c>
      <c r="G4853" s="130">
        <v>0</v>
      </c>
      <c r="H4853" s="71">
        <v>8.5</v>
      </c>
      <c r="I4853" s="71">
        <v>11.1</v>
      </c>
      <c r="J4853" s="71">
        <v>13.6</v>
      </c>
      <c r="K4853" s="121">
        <v>3.2000000000000002E-3</v>
      </c>
      <c r="L4853" s="121">
        <v>-5.0000000000000001E-3</v>
      </c>
      <c r="M4853" s="75" t="s">
        <v>146</v>
      </c>
      <c r="N4853" s="75" t="b">
        <v>1</v>
      </c>
      <c r="O4853" s="75" t="s">
        <v>145</v>
      </c>
      <c r="P4853" s="75">
        <v>2014</v>
      </c>
      <c r="Q4853" s="107">
        <f t="shared" si="182"/>
        <v>2021</v>
      </c>
      <c r="R4853" s="107">
        <v>2</v>
      </c>
      <c r="S4853" s="43">
        <v>221045</v>
      </c>
      <c r="T4853" s="74">
        <v>44319</v>
      </c>
    </row>
    <row r="4854" spans="1:20" x14ac:dyDescent="0.3">
      <c r="A4854" s="42">
        <v>44340</v>
      </c>
      <c r="B4854" s="37">
        <f t="shared" si="185"/>
        <v>20210524</v>
      </c>
      <c r="C4854" s="109">
        <v>2.0099999999999996E-2</v>
      </c>
      <c r="D4854" s="109">
        <v>0.01</v>
      </c>
      <c r="E4854" s="109">
        <v>1.2E-2</v>
      </c>
      <c r="F4854" s="109">
        <v>1.2999999999999999E-2</v>
      </c>
      <c r="G4854" s="130">
        <v>0</v>
      </c>
      <c r="H4854" s="71">
        <v>8.5</v>
      </c>
      <c r="I4854" s="71">
        <v>11.1</v>
      </c>
      <c r="J4854" s="71">
        <v>13.6</v>
      </c>
      <c r="K4854" s="121">
        <v>3.2000000000000002E-3</v>
      </c>
      <c r="L4854" s="121">
        <v>-5.0000000000000001E-3</v>
      </c>
      <c r="M4854" s="75" t="s">
        <v>146</v>
      </c>
      <c r="N4854" s="75" t="b">
        <v>1</v>
      </c>
      <c r="O4854" s="75" t="s">
        <v>145</v>
      </c>
      <c r="P4854" s="75">
        <v>2014</v>
      </c>
      <c r="Q4854" s="107">
        <f t="shared" si="182"/>
        <v>2021</v>
      </c>
      <c r="R4854" s="107">
        <v>2</v>
      </c>
      <c r="S4854" s="43">
        <v>221045</v>
      </c>
      <c r="T4854" s="74">
        <v>44319</v>
      </c>
    </row>
    <row r="4855" spans="1:20" x14ac:dyDescent="0.3">
      <c r="A4855" s="42">
        <v>44341</v>
      </c>
      <c r="B4855" s="37">
        <f t="shared" si="185"/>
        <v>20210525</v>
      </c>
      <c r="C4855" s="109">
        <v>1.9299999999999998E-2</v>
      </c>
      <c r="D4855" s="109">
        <v>0.01</v>
      </c>
      <c r="E4855" s="109">
        <v>1.2E-2</v>
      </c>
      <c r="F4855" s="109">
        <v>1.2999999999999999E-2</v>
      </c>
      <c r="G4855" s="130">
        <v>0</v>
      </c>
      <c r="H4855" s="71">
        <v>8.5</v>
      </c>
      <c r="I4855" s="71">
        <v>11.1</v>
      </c>
      <c r="J4855" s="71">
        <v>13.6</v>
      </c>
      <c r="K4855" s="121">
        <v>2.3999999999999998E-3</v>
      </c>
      <c r="L4855" s="121">
        <v>-5.0000000000000001E-3</v>
      </c>
      <c r="M4855" s="75" t="s">
        <v>146</v>
      </c>
      <c r="N4855" s="75" t="b">
        <v>1</v>
      </c>
      <c r="O4855" s="75" t="s">
        <v>145</v>
      </c>
      <c r="P4855" s="75">
        <v>2014</v>
      </c>
      <c r="Q4855" s="107">
        <f t="shared" si="182"/>
        <v>2021</v>
      </c>
      <c r="R4855" s="107">
        <v>2</v>
      </c>
      <c r="S4855" s="43">
        <v>221045</v>
      </c>
      <c r="T4855" s="74">
        <v>44319</v>
      </c>
    </row>
    <row r="4856" spans="1:20" x14ac:dyDescent="0.3">
      <c r="A4856" s="42">
        <v>44342</v>
      </c>
      <c r="B4856" s="37">
        <f t="shared" si="185"/>
        <v>20210526</v>
      </c>
      <c r="C4856" s="109">
        <v>1.9099999999999999E-2</v>
      </c>
      <c r="D4856" s="109">
        <v>0.01</v>
      </c>
      <c r="E4856" s="109">
        <v>1.2E-2</v>
      </c>
      <c r="F4856" s="109">
        <v>1.2999999999999999E-2</v>
      </c>
      <c r="G4856" s="130">
        <v>0</v>
      </c>
      <c r="H4856" s="71">
        <v>8.5</v>
      </c>
      <c r="I4856" s="71">
        <v>11.1</v>
      </c>
      <c r="J4856" s="71">
        <v>13.6</v>
      </c>
      <c r="K4856" s="121">
        <v>2.0999999999999999E-3</v>
      </c>
      <c r="L4856" s="121">
        <v>-5.0000000000000001E-3</v>
      </c>
      <c r="M4856" s="75" t="s">
        <v>146</v>
      </c>
      <c r="N4856" s="75" t="b">
        <v>1</v>
      </c>
      <c r="O4856" s="75" t="s">
        <v>145</v>
      </c>
      <c r="P4856" s="75">
        <v>2014</v>
      </c>
      <c r="Q4856" s="107">
        <f t="shared" si="182"/>
        <v>2021</v>
      </c>
      <c r="R4856" s="107">
        <v>2</v>
      </c>
      <c r="S4856" s="43">
        <v>221045</v>
      </c>
      <c r="T4856" s="74">
        <v>44319</v>
      </c>
    </row>
    <row r="4857" spans="1:20" x14ac:dyDescent="0.3">
      <c r="A4857" s="42">
        <v>44343</v>
      </c>
      <c r="B4857" s="37">
        <f t="shared" si="185"/>
        <v>20210527</v>
      </c>
      <c r="C4857" s="109">
        <v>1.9299999999999998E-2</v>
      </c>
      <c r="D4857" s="109">
        <v>0.01</v>
      </c>
      <c r="E4857" s="109">
        <v>1.2E-2</v>
      </c>
      <c r="F4857" s="109">
        <v>1.2999999999999999E-2</v>
      </c>
      <c r="G4857" s="130">
        <v>0</v>
      </c>
      <c r="H4857" s="71">
        <v>8.5</v>
      </c>
      <c r="I4857" s="71">
        <v>11.1</v>
      </c>
      <c r="J4857" s="71">
        <v>13.6</v>
      </c>
      <c r="K4857" s="121">
        <v>2.2000000000000001E-3</v>
      </c>
      <c r="L4857" s="121">
        <v>-5.0000000000000001E-3</v>
      </c>
      <c r="M4857" s="75" t="s">
        <v>146</v>
      </c>
      <c r="N4857" s="75" t="b">
        <v>1</v>
      </c>
      <c r="O4857" s="75" t="s">
        <v>145</v>
      </c>
      <c r="P4857" s="75">
        <v>2014</v>
      </c>
      <c r="Q4857" s="107">
        <f t="shared" si="182"/>
        <v>2021</v>
      </c>
      <c r="R4857" s="107">
        <v>2</v>
      </c>
      <c r="S4857" s="43">
        <v>221045</v>
      </c>
      <c r="T4857" s="74">
        <v>44319</v>
      </c>
    </row>
    <row r="4858" spans="1:20" x14ac:dyDescent="0.3">
      <c r="A4858" s="42">
        <v>44344</v>
      </c>
      <c r="B4858" s="37">
        <f t="shared" si="185"/>
        <v>20210528</v>
      </c>
      <c r="C4858" s="109">
        <v>1.9400000000000001E-2</v>
      </c>
      <c r="D4858" s="109">
        <v>0.01</v>
      </c>
      <c r="E4858" s="109">
        <v>1.2E-2</v>
      </c>
      <c r="F4858" s="109">
        <v>1.2999999999999999E-2</v>
      </c>
      <c r="G4858" s="130">
        <v>0</v>
      </c>
      <c r="H4858" s="71">
        <v>8.5</v>
      </c>
      <c r="I4858" s="71">
        <v>11.1</v>
      </c>
      <c r="J4858" s="71">
        <v>13.6</v>
      </c>
      <c r="K4858" s="121">
        <v>2.2000000000000001E-3</v>
      </c>
      <c r="L4858" s="121">
        <v>-5.0000000000000001E-3</v>
      </c>
      <c r="M4858" s="75" t="s">
        <v>146</v>
      </c>
      <c r="N4858" s="75" t="b">
        <v>1</v>
      </c>
      <c r="O4858" s="75" t="s">
        <v>145</v>
      </c>
      <c r="P4858" s="75">
        <v>2014</v>
      </c>
      <c r="Q4858" s="107">
        <f t="shared" si="182"/>
        <v>2021</v>
      </c>
      <c r="R4858" s="107">
        <v>2</v>
      </c>
      <c r="S4858" s="43">
        <v>221045</v>
      </c>
      <c r="T4858" s="74">
        <v>44319</v>
      </c>
    </row>
    <row r="4859" spans="1:20" x14ac:dyDescent="0.3">
      <c r="A4859" s="42">
        <v>44345</v>
      </c>
      <c r="B4859" s="37">
        <f t="shared" si="185"/>
        <v>20210529</v>
      </c>
      <c r="C4859" s="109">
        <v>1.9400000000000001E-2</v>
      </c>
      <c r="D4859" s="109">
        <v>0.01</v>
      </c>
      <c r="E4859" s="109">
        <v>1.2E-2</v>
      </c>
      <c r="F4859" s="109">
        <v>1.2999999999999999E-2</v>
      </c>
      <c r="G4859" s="130">
        <v>0</v>
      </c>
      <c r="H4859" s="71">
        <v>8.5</v>
      </c>
      <c r="I4859" s="71">
        <v>11.1</v>
      </c>
      <c r="J4859" s="71">
        <v>13.6</v>
      </c>
      <c r="K4859" s="121">
        <v>2.2000000000000001E-3</v>
      </c>
      <c r="L4859" s="121">
        <v>-5.0000000000000001E-3</v>
      </c>
      <c r="M4859" s="75" t="s">
        <v>146</v>
      </c>
      <c r="N4859" s="75" t="b">
        <v>1</v>
      </c>
      <c r="O4859" s="75" t="s">
        <v>145</v>
      </c>
      <c r="P4859" s="75">
        <v>2014</v>
      </c>
      <c r="Q4859" s="107">
        <f t="shared" si="182"/>
        <v>2021</v>
      </c>
      <c r="R4859" s="107">
        <v>2</v>
      </c>
      <c r="S4859" s="43">
        <v>221045</v>
      </c>
      <c r="T4859" s="74">
        <v>44319</v>
      </c>
    </row>
    <row r="4860" spans="1:20" x14ac:dyDescent="0.3">
      <c r="A4860" s="42">
        <v>44346</v>
      </c>
      <c r="B4860" s="37">
        <f t="shared" si="185"/>
        <v>20210530</v>
      </c>
      <c r="C4860" s="109">
        <v>1.9400000000000001E-2</v>
      </c>
      <c r="D4860" s="109">
        <v>0.01</v>
      </c>
      <c r="E4860" s="109">
        <v>1.2E-2</v>
      </c>
      <c r="F4860" s="109">
        <v>1.2999999999999999E-2</v>
      </c>
      <c r="G4860" s="130">
        <v>0</v>
      </c>
      <c r="H4860" s="71">
        <v>8.5</v>
      </c>
      <c r="I4860" s="71">
        <v>11.1</v>
      </c>
      <c r="J4860" s="71">
        <v>13.6</v>
      </c>
      <c r="K4860" s="121">
        <v>2.2000000000000001E-3</v>
      </c>
      <c r="L4860" s="121">
        <v>-5.0000000000000001E-3</v>
      </c>
      <c r="M4860" s="75" t="s">
        <v>146</v>
      </c>
      <c r="N4860" s="75" t="b">
        <v>1</v>
      </c>
      <c r="O4860" s="75" t="s">
        <v>145</v>
      </c>
      <c r="P4860" s="75">
        <v>2014</v>
      </c>
      <c r="Q4860" s="107">
        <f t="shared" si="182"/>
        <v>2021</v>
      </c>
      <c r="R4860" s="107">
        <v>2</v>
      </c>
      <c r="S4860" s="43">
        <v>221045</v>
      </c>
      <c r="T4860" s="74">
        <v>44319</v>
      </c>
    </row>
    <row r="4861" spans="1:20" x14ac:dyDescent="0.3">
      <c r="A4861" s="42">
        <v>44347</v>
      </c>
      <c r="B4861" s="37">
        <f t="shared" si="185"/>
        <v>20210531</v>
      </c>
      <c r="C4861" s="109">
        <v>1.9199999999999998E-2</v>
      </c>
      <c r="D4861" s="109">
        <v>0.01</v>
      </c>
      <c r="E4861" s="109">
        <v>1.2E-2</v>
      </c>
      <c r="F4861" s="109">
        <v>1.2999999999999999E-2</v>
      </c>
      <c r="G4861" s="130">
        <v>0</v>
      </c>
      <c r="H4861" s="71">
        <v>8.5</v>
      </c>
      <c r="I4861" s="71">
        <v>11.1</v>
      </c>
      <c r="J4861" s="71">
        <v>13.6</v>
      </c>
      <c r="K4861" s="121">
        <v>2.0999999999999999E-3</v>
      </c>
      <c r="L4861" s="121">
        <v>-5.0000000000000001E-3</v>
      </c>
      <c r="M4861" s="75" t="s">
        <v>146</v>
      </c>
      <c r="N4861" s="75" t="b">
        <v>1</v>
      </c>
      <c r="O4861" s="75" t="s">
        <v>145</v>
      </c>
      <c r="P4861" s="75">
        <v>2014</v>
      </c>
      <c r="Q4861" s="107">
        <f t="shared" si="182"/>
        <v>2021</v>
      </c>
      <c r="R4861" s="107">
        <v>2</v>
      </c>
      <c r="S4861" s="43">
        <v>221045</v>
      </c>
      <c r="T4861" s="74">
        <v>44319</v>
      </c>
    </row>
    <row r="4862" spans="1:20" x14ac:dyDescent="0.3">
      <c r="A4862" s="42">
        <v>44348</v>
      </c>
      <c r="B4862" s="37">
        <f t="shared" si="185"/>
        <v>20210601</v>
      </c>
      <c r="C4862" s="109">
        <v>1.9099999999999999E-2</v>
      </c>
      <c r="D4862" s="109">
        <v>0.01</v>
      </c>
      <c r="E4862" s="109">
        <v>1.2E-2</v>
      </c>
      <c r="F4862" s="109">
        <v>1.2999999999999999E-2</v>
      </c>
      <c r="G4862" s="130">
        <v>0</v>
      </c>
      <c r="H4862" s="71">
        <v>8.5</v>
      </c>
      <c r="I4862" s="71">
        <v>11.1</v>
      </c>
      <c r="J4862" s="71">
        <v>13.6</v>
      </c>
      <c r="K4862" s="121">
        <v>2.2000000000000001E-3</v>
      </c>
      <c r="L4862" s="121">
        <v>-5.0000000000000001E-3</v>
      </c>
      <c r="M4862" s="75" t="s">
        <v>146</v>
      </c>
      <c r="N4862" s="75" t="b">
        <v>1</v>
      </c>
      <c r="O4862" s="75" t="s">
        <v>145</v>
      </c>
      <c r="P4862" s="75">
        <v>2014</v>
      </c>
      <c r="Q4862" s="107">
        <f t="shared" si="182"/>
        <v>2021</v>
      </c>
      <c r="R4862" s="107">
        <v>2</v>
      </c>
      <c r="S4862" s="43">
        <v>221045</v>
      </c>
      <c r="T4862" s="74">
        <v>44319</v>
      </c>
    </row>
    <row r="4863" spans="1:20" x14ac:dyDescent="0.3">
      <c r="A4863" s="42">
        <v>44349</v>
      </c>
      <c r="B4863" s="37">
        <f t="shared" si="185"/>
        <v>20210602</v>
      </c>
      <c r="C4863" s="109">
        <v>1.9400000000000001E-2</v>
      </c>
      <c r="D4863" s="109">
        <v>0.01</v>
      </c>
      <c r="E4863" s="109">
        <v>1.2E-2</v>
      </c>
      <c r="F4863" s="109">
        <v>1.2999999999999999E-2</v>
      </c>
      <c r="G4863" s="130">
        <v>0</v>
      </c>
      <c r="H4863" s="71">
        <v>8.5</v>
      </c>
      <c r="I4863" s="71">
        <v>11.1</v>
      </c>
      <c r="J4863" s="71">
        <v>13.6</v>
      </c>
      <c r="K4863" s="121">
        <v>2E-3</v>
      </c>
      <c r="L4863" s="121">
        <v>-5.0000000000000001E-3</v>
      </c>
      <c r="M4863" s="75" t="s">
        <v>146</v>
      </c>
      <c r="N4863" s="75" t="b">
        <v>1</v>
      </c>
      <c r="O4863" s="75" t="s">
        <v>145</v>
      </c>
      <c r="P4863" s="75">
        <v>2014</v>
      </c>
      <c r="Q4863" s="107">
        <f t="shared" si="182"/>
        <v>2021</v>
      </c>
      <c r="R4863" s="107">
        <v>2</v>
      </c>
      <c r="S4863" s="43">
        <v>221045</v>
      </c>
      <c r="T4863" s="74">
        <v>44319</v>
      </c>
    </row>
    <row r="4864" spans="1:20" x14ac:dyDescent="0.3">
      <c r="A4864" s="42">
        <v>44350</v>
      </c>
      <c r="B4864" s="37">
        <f t="shared" si="185"/>
        <v>20210603</v>
      </c>
      <c r="C4864" s="109">
        <v>1.9599999999999999E-2</v>
      </c>
      <c r="D4864" s="109">
        <v>0.01</v>
      </c>
      <c r="E4864" s="109">
        <v>1.2E-2</v>
      </c>
      <c r="F4864" s="109">
        <v>1.2999999999999999E-2</v>
      </c>
      <c r="G4864" s="130">
        <v>0</v>
      </c>
      <c r="H4864" s="71">
        <v>8.5</v>
      </c>
      <c r="I4864" s="71">
        <v>11.1</v>
      </c>
      <c r="J4864" s="71">
        <v>13.6</v>
      </c>
      <c r="K4864" s="121">
        <v>2.2000000000000001E-3</v>
      </c>
      <c r="L4864" s="121">
        <v>-5.0000000000000001E-3</v>
      </c>
      <c r="M4864" s="75" t="s">
        <v>146</v>
      </c>
      <c r="N4864" s="75" t="b">
        <v>1</v>
      </c>
      <c r="O4864" s="75" t="s">
        <v>145</v>
      </c>
      <c r="P4864" s="75">
        <v>2014</v>
      </c>
      <c r="Q4864" s="107">
        <f t="shared" si="182"/>
        <v>2021</v>
      </c>
      <c r="R4864" s="107">
        <v>2</v>
      </c>
      <c r="S4864" s="43">
        <v>221045</v>
      </c>
      <c r="T4864" s="74">
        <v>44319</v>
      </c>
    </row>
    <row r="4865" spans="1:20" x14ac:dyDescent="0.3">
      <c r="A4865" s="42">
        <v>44351</v>
      </c>
      <c r="B4865" s="37">
        <f t="shared" si="185"/>
        <v>20210604</v>
      </c>
      <c r="C4865" s="109">
        <v>1.9E-2</v>
      </c>
      <c r="D4865" s="109">
        <v>0.01</v>
      </c>
      <c r="E4865" s="109">
        <v>1.2E-2</v>
      </c>
      <c r="F4865" s="109">
        <v>1.2999999999999999E-2</v>
      </c>
      <c r="G4865" s="130">
        <v>0</v>
      </c>
      <c r="H4865" s="71">
        <v>8.5</v>
      </c>
      <c r="I4865" s="71">
        <v>11.1</v>
      </c>
      <c r="J4865" s="71">
        <v>13.6</v>
      </c>
      <c r="K4865" s="121">
        <v>1.7000000000000001E-3</v>
      </c>
      <c r="L4865" s="121">
        <v>-5.0000000000000001E-3</v>
      </c>
      <c r="M4865" s="75" t="s">
        <v>146</v>
      </c>
      <c r="N4865" s="75" t="b">
        <v>1</v>
      </c>
      <c r="O4865" s="75" t="s">
        <v>145</v>
      </c>
      <c r="P4865" s="75">
        <v>2014</v>
      </c>
      <c r="Q4865" s="107">
        <f t="shared" si="182"/>
        <v>2021</v>
      </c>
      <c r="R4865" s="107">
        <v>2</v>
      </c>
      <c r="S4865" s="43">
        <v>221045</v>
      </c>
      <c r="T4865" s="74">
        <v>44319</v>
      </c>
    </row>
    <row r="4866" spans="1:20" x14ac:dyDescent="0.3">
      <c r="A4866" s="42">
        <v>44352</v>
      </c>
      <c r="B4866" s="37">
        <f t="shared" ref="B4866:B4867" si="186">YEAR(A4866)*10000+MONTH(A4866)*100+DAY(A4866)</f>
        <v>20210605</v>
      </c>
      <c r="C4866" s="109">
        <v>1.9E-2</v>
      </c>
      <c r="D4866" s="109">
        <v>0.01</v>
      </c>
      <c r="E4866" s="109">
        <v>1.2E-2</v>
      </c>
      <c r="F4866" s="109">
        <v>1.2999999999999999E-2</v>
      </c>
      <c r="G4866" s="130">
        <v>0</v>
      </c>
      <c r="H4866" s="71">
        <v>8.5</v>
      </c>
      <c r="I4866" s="71">
        <v>11.1</v>
      </c>
      <c r="J4866" s="71">
        <v>13.6</v>
      </c>
      <c r="K4866" s="121">
        <v>1.7000000000000001E-3</v>
      </c>
      <c r="L4866" s="121">
        <v>-5.0000000000000001E-3</v>
      </c>
      <c r="M4866" s="75" t="s">
        <v>146</v>
      </c>
      <c r="N4866" s="75" t="b">
        <v>1</v>
      </c>
      <c r="O4866" s="75" t="s">
        <v>145</v>
      </c>
      <c r="P4866" s="75">
        <v>2014</v>
      </c>
      <c r="Q4866" s="107">
        <f t="shared" si="182"/>
        <v>2021</v>
      </c>
      <c r="R4866" s="107">
        <v>2</v>
      </c>
      <c r="S4866" s="43">
        <v>221045</v>
      </c>
      <c r="T4866" s="74">
        <v>44319</v>
      </c>
    </row>
    <row r="4867" spans="1:20" x14ac:dyDescent="0.3">
      <c r="A4867" s="42">
        <v>44353</v>
      </c>
      <c r="B4867" s="37">
        <f t="shared" si="186"/>
        <v>20210606</v>
      </c>
      <c r="C4867" s="109">
        <v>1.9E-2</v>
      </c>
      <c r="D4867" s="109">
        <v>0.01</v>
      </c>
      <c r="E4867" s="109">
        <v>1.2E-2</v>
      </c>
      <c r="F4867" s="109">
        <v>1.2999999999999999E-2</v>
      </c>
      <c r="G4867" s="130">
        <v>0</v>
      </c>
      <c r="H4867" s="71">
        <v>8.5</v>
      </c>
      <c r="I4867" s="71">
        <v>11.1</v>
      </c>
      <c r="J4867" s="71">
        <v>13.6</v>
      </c>
      <c r="K4867" s="121">
        <v>1.7000000000000001E-3</v>
      </c>
      <c r="L4867" s="121">
        <v>-5.0000000000000001E-3</v>
      </c>
      <c r="M4867" s="75" t="s">
        <v>146</v>
      </c>
      <c r="N4867" s="75" t="b">
        <v>1</v>
      </c>
      <c r="O4867" s="75" t="s">
        <v>145</v>
      </c>
      <c r="P4867" s="75">
        <v>2014</v>
      </c>
      <c r="Q4867" s="107">
        <f t="shared" si="182"/>
        <v>2021</v>
      </c>
      <c r="R4867" s="107">
        <v>2</v>
      </c>
      <c r="S4867" s="43">
        <v>221045</v>
      </c>
      <c r="T4867" s="74">
        <v>44319</v>
      </c>
    </row>
    <row r="4868" spans="1:20" x14ac:dyDescent="0.3">
      <c r="A4868" s="42">
        <v>44354</v>
      </c>
      <c r="B4868" s="37">
        <f t="shared" si="185"/>
        <v>20210607</v>
      </c>
      <c r="C4868" s="109">
        <v>1.9099999999999999E-2</v>
      </c>
      <c r="D4868" s="109">
        <v>0.01</v>
      </c>
      <c r="E4868" s="109">
        <v>1.2E-2</v>
      </c>
      <c r="F4868" s="109">
        <v>1.2999999999999999E-2</v>
      </c>
      <c r="G4868" s="130">
        <v>0</v>
      </c>
      <c r="H4868" s="71">
        <v>8.5</v>
      </c>
      <c r="I4868" s="71">
        <v>11.1</v>
      </c>
      <c r="J4868" s="71">
        <v>13.6</v>
      </c>
      <c r="K4868" s="121">
        <v>1.8E-3</v>
      </c>
      <c r="L4868" s="121">
        <v>-5.0000000000000001E-3</v>
      </c>
      <c r="M4868" s="75" t="s">
        <v>146</v>
      </c>
      <c r="N4868" s="75" t="b">
        <v>1</v>
      </c>
      <c r="O4868" s="75" t="s">
        <v>145</v>
      </c>
      <c r="P4868" s="75">
        <v>2014</v>
      </c>
      <c r="Q4868" s="107">
        <f t="shared" si="182"/>
        <v>2021</v>
      </c>
      <c r="R4868" s="107">
        <v>2</v>
      </c>
      <c r="S4868" s="43">
        <v>221045</v>
      </c>
      <c r="T4868" s="74">
        <v>44319</v>
      </c>
    </row>
    <row r="4869" spans="1:20" x14ac:dyDescent="0.3">
      <c r="A4869" s="42">
        <v>44355</v>
      </c>
      <c r="B4869" s="37">
        <f t="shared" si="185"/>
        <v>20210608</v>
      </c>
      <c r="C4869" s="109">
        <v>1.89E-2</v>
      </c>
      <c r="D4869" s="109">
        <v>0.01</v>
      </c>
      <c r="E4869" s="109">
        <v>1.2E-2</v>
      </c>
      <c r="F4869" s="109">
        <v>1.2999999999999999E-2</v>
      </c>
      <c r="G4869" s="130">
        <v>0</v>
      </c>
      <c r="H4869" s="71">
        <v>8.5</v>
      </c>
      <c r="I4869" s="71">
        <v>11.1</v>
      </c>
      <c r="J4869" s="71">
        <v>13.6</v>
      </c>
      <c r="K4869" s="121">
        <v>1.7000000000000001E-3</v>
      </c>
      <c r="L4869" s="121">
        <v>-5.0000000000000001E-3</v>
      </c>
      <c r="M4869" s="75" t="s">
        <v>146</v>
      </c>
      <c r="N4869" s="75" t="b">
        <v>1</v>
      </c>
      <c r="O4869" s="75" t="s">
        <v>145</v>
      </c>
      <c r="P4869" s="75">
        <v>2014</v>
      </c>
      <c r="Q4869" s="107">
        <f t="shared" si="182"/>
        <v>2021</v>
      </c>
      <c r="R4869" s="107">
        <v>2</v>
      </c>
      <c r="S4869" s="43">
        <v>221045</v>
      </c>
      <c r="T4869" s="74">
        <v>44319</v>
      </c>
    </row>
    <row r="4870" spans="1:20" x14ac:dyDescent="0.3">
      <c r="A4870" s="42">
        <v>44356</v>
      </c>
      <c r="B4870" s="37">
        <f t="shared" si="185"/>
        <v>20210609</v>
      </c>
      <c r="C4870" s="109">
        <v>1.8600000000000002E-2</v>
      </c>
      <c r="D4870" s="109">
        <v>0.01</v>
      </c>
      <c r="E4870" s="109">
        <v>1.2E-2</v>
      </c>
      <c r="F4870" s="109">
        <v>1.2999999999999999E-2</v>
      </c>
      <c r="G4870" s="130">
        <v>0</v>
      </c>
      <c r="H4870" s="71">
        <v>8.5</v>
      </c>
      <c r="I4870" s="71">
        <v>11.1</v>
      </c>
      <c r="J4870" s="71">
        <v>13.6</v>
      </c>
      <c r="K4870" s="121">
        <v>1.5E-3</v>
      </c>
      <c r="L4870" s="121">
        <v>-5.0000000000000001E-3</v>
      </c>
      <c r="M4870" s="75" t="s">
        <v>146</v>
      </c>
      <c r="N4870" s="75" t="b">
        <v>1</v>
      </c>
      <c r="O4870" s="75" t="s">
        <v>145</v>
      </c>
      <c r="P4870" s="75">
        <v>2014</v>
      </c>
      <c r="Q4870" s="107">
        <f t="shared" si="182"/>
        <v>2021</v>
      </c>
      <c r="R4870" s="107">
        <v>2</v>
      </c>
      <c r="S4870" s="43">
        <v>221045</v>
      </c>
      <c r="T4870" s="74">
        <v>44319</v>
      </c>
    </row>
    <row r="4871" spans="1:20" x14ac:dyDescent="0.3">
      <c r="A4871" s="42">
        <v>44357</v>
      </c>
      <c r="B4871" s="37">
        <f t="shared" si="185"/>
        <v>20210610</v>
      </c>
      <c r="C4871" s="109">
        <v>1.8500000000000003E-2</v>
      </c>
      <c r="D4871" s="109">
        <v>0.01</v>
      </c>
      <c r="E4871" s="109">
        <v>1.2E-2</v>
      </c>
      <c r="F4871" s="109">
        <v>1.2999999999999999E-2</v>
      </c>
      <c r="G4871" s="130">
        <v>0</v>
      </c>
      <c r="H4871" s="71">
        <v>8.5</v>
      </c>
      <c r="I4871" s="71">
        <v>11.1</v>
      </c>
      <c r="J4871" s="71">
        <v>13.6</v>
      </c>
      <c r="K4871" s="121">
        <v>1.2999999999999999E-3</v>
      </c>
      <c r="L4871" s="121">
        <v>-5.0000000000000001E-3</v>
      </c>
      <c r="M4871" s="75" t="s">
        <v>146</v>
      </c>
      <c r="N4871" s="75" t="b">
        <v>1</v>
      </c>
      <c r="O4871" s="75" t="s">
        <v>145</v>
      </c>
      <c r="P4871" s="75">
        <v>2014</v>
      </c>
      <c r="Q4871" s="107">
        <f t="shared" si="182"/>
        <v>2021</v>
      </c>
      <c r="R4871" s="107">
        <v>2</v>
      </c>
      <c r="S4871" s="43">
        <v>221045</v>
      </c>
      <c r="T4871" s="74">
        <v>44319</v>
      </c>
    </row>
    <row r="4872" spans="1:20" x14ac:dyDescent="0.3">
      <c r="A4872" s="42">
        <v>44358</v>
      </c>
      <c r="B4872" s="37">
        <f t="shared" si="185"/>
        <v>20210611</v>
      </c>
      <c r="C4872" s="109">
        <v>1.84E-2</v>
      </c>
      <c r="D4872" s="109">
        <v>0.01</v>
      </c>
      <c r="E4872" s="109">
        <v>1.2E-2</v>
      </c>
      <c r="F4872" s="109">
        <v>1.2999999999999999E-2</v>
      </c>
      <c r="G4872" s="130">
        <v>0</v>
      </c>
      <c r="H4872" s="71">
        <v>8.5</v>
      </c>
      <c r="I4872" s="71">
        <v>11.1</v>
      </c>
      <c r="J4872" s="71">
        <v>13.6</v>
      </c>
      <c r="K4872" s="121">
        <v>1.1999999999999999E-3</v>
      </c>
      <c r="L4872" s="121">
        <v>-5.0000000000000001E-3</v>
      </c>
      <c r="M4872" s="75" t="s">
        <v>146</v>
      </c>
      <c r="N4872" s="75" t="b">
        <v>1</v>
      </c>
      <c r="O4872" s="75" t="s">
        <v>145</v>
      </c>
      <c r="P4872" s="75">
        <v>2014</v>
      </c>
      <c r="Q4872" s="107">
        <f t="shared" si="182"/>
        <v>2021</v>
      </c>
      <c r="R4872" s="107">
        <v>2</v>
      </c>
      <c r="S4872" s="43">
        <v>221045</v>
      </c>
      <c r="T4872" s="74">
        <v>44319</v>
      </c>
    </row>
    <row r="4873" spans="1:20" x14ac:dyDescent="0.3">
      <c r="A4873" s="42">
        <v>44359</v>
      </c>
      <c r="B4873" s="37">
        <f t="shared" ref="B4873:B4874" si="187">YEAR(A4873)*10000+MONTH(A4873)*100+DAY(A4873)</f>
        <v>20210612</v>
      </c>
      <c r="C4873" s="109">
        <v>1.84E-2</v>
      </c>
      <c r="D4873" s="109">
        <v>0.01</v>
      </c>
      <c r="E4873" s="109">
        <v>1.2E-2</v>
      </c>
      <c r="F4873" s="109">
        <v>1.2999999999999999E-2</v>
      </c>
      <c r="G4873" s="130">
        <v>0</v>
      </c>
      <c r="H4873" s="71">
        <v>8.5</v>
      </c>
      <c r="I4873" s="71">
        <v>11.1</v>
      </c>
      <c r="J4873" s="71">
        <v>13.6</v>
      </c>
      <c r="K4873" s="121">
        <v>1.1999999999999999E-3</v>
      </c>
      <c r="L4873" s="121">
        <v>-5.0000000000000001E-3</v>
      </c>
      <c r="M4873" s="75" t="s">
        <v>146</v>
      </c>
      <c r="N4873" s="75" t="b">
        <v>1</v>
      </c>
      <c r="O4873" s="75" t="s">
        <v>145</v>
      </c>
      <c r="P4873" s="75">
        <v>2014</v>
      </c>
      <c r="Q4873" s="107">
        <f t="shared" si="182"/>
        <v>2021</v>
      </c>
      <c r="R4873" s="107">
        <v>2</v>
      </c>
      <c r="S4873" s="43">
        <v>221045</v>
      </c>
      <c r="T4873" s="74">
        <v>44319</v>
      </c>
    </row>
    <row r="4874" spans="1:20" x14ac:dyDescent="0.3">
      <c r="A4874" s="42">
        <v>44360</v>
      </c>
      <c r="B4874" s="37">
        <f t="shared" si="187"/>
        <v>20210613</v>
      </c>
      <c r="C4874" s="109">
        <v>1.84E-2</v>
      </c>
      <c r="D4874" s="109">
        <v>0.01</v>
      </c>
      <c r="E4874" s="109">
        <v>1.2E-2</v>
      </c>
      <c r="F4874" s="109">
        <v>1.2999999999999999E-2</v>
      </c>
      <c r="G4874" s="130">
        <v>0</v>
      </c>
      <c r="H4874" s="71">
        <v>8.5</v>
      </c>
      <c r="I4874" s="71">
        <v>11.1</v>
      </c>
      <c r="J4874" s="71">
        <v>13.6</v>
      </c>
      <c r="K4874" s="121">
        <v>1.1999999999999999E-3</v>
      </c>
      <c r="L4874" s="121">
        <v>-5.0000000000000001E-3</v>
      </c>
      <c r="M4874" s="75" t="s">
        <v>146</v>
      </c>
      <c r="N4874" s="75" t="b">
        <v>1</v>
      </c>
      <c r="O4874" s="75" t="s">
        <v>145</v>
      </c>
      <c r="P4874" s="75">
        <v>2014</v>
      </c>
      <c r="Q4874" s="107">
        <f t="shared" si="182"/>
        <v>2021</v>
      </c>
      <c r="R4874" s="107">
        <v>2</v>
      </c>
      <c r="S4874" s="43">
        <v>221045</v>
      </c>
      <c r="T4874" s="74">
        <v>44319</v>
      </c>
    </row>
    <row r="4875" spans="1:20" x14ac:dyDescent="0.3">
      <c r="A4875" s="42">
        <v>44361</v>
      </c>
      <c r="B4875" s="37">
        <f t="shared" si="185"/>
        <v>20210614</v>
      </c>
      <c r="C4875" s="109">
        <v>1.8600000000000002E-2</v>
      </c>
      <c r="D4875" s="109">
        <v>0.01</v>
      </c>
      <c r="E4875" s="109">
        <v>1.2E-2</v>
      </c>
      <c r="F4875" s="109">
        <v>1.2999999999999999E-2</v>
      </c>
      <c r="G4875" s="130">
        <v>0</v>
      </c>
      <c r="H4875" s="71">
        <v>8.5</v>
      </c>
      <c r="I4875" s="71">
        <v>11.1</v>
      </c>
      <c r="J4875" s="71">
        <v>13.6</v>
      </c>
      <c r="K4875" s="121">
        <v>1.4000000000000002E-3</v>
      </c>
      <c r="L4875" s="121">
        <v>-5.0000000000000001E-3</v>
      </c>
      <c r="M4875" s="75" t="s">
        <v>146</v>
      </c>
      <c r="N4875" s="75" t="b">
        <v>1</v>
      </c>
      <c r="O4875" s="75" t="s">
        <v>145</v>
      </c>
      <c r="P4875" s="75">
        <v>2014</v>
      </c>
      <c r="Q4875" s="107">
        <f t="shared" si="182"/>
        <v>2021</v>
      </c>
      <c r="R4875" s="107">
        <v>2</v>
      </c>
      <c r="S4875" s="43">
        <v>221045</v>
      </c>
      <c r="T4875" s="74">
        <v>44319</v>
      </c>
    </row>
    <row r="4876" spans="1:20" x14ac:dyDescent="0.3">
      <c r="A4876" s="42">
        <v>44362</v>
      </c>
      <c r="B4876" s="37">
        <f t="shared" si="185"/>
        <v>20210615</v>
      </c>
      <c r="C4876" s="109">
        <v>1.84E-2</v>
      </c>
      <c r="D4876" s="109">
        <v>0.01</v>
      </c>
      <c r="E4876" s="109">
        <v>1.2E-2</v>
      </c>
      <c r="F4876" s="109">
        <v>1.2999999999999999E-2</v>
      </c>
      <c r="G4876" s="130">
        <v>0</v>
      </c>
      <c r="H4876" s="71">
        <v>8.5</v>
      </c>
      <c r="I4876" s="71">
        <v>11.1</v>
      </c>
      <c r="J4876" s="71">
        <v>13.6</v>
      </c>
      <c r="K4876" s="121">
        <v>1E-3</v>
      </c>
      <c r="L4876" s="121">
        <v>-5.0000000000000001E-3</v>
      </c>
      <c r="M4876" s="75" t="s">
        <v>146</v>
      </c>
      <c r="N4876" s="75" t="b">
        <v>1</v>
      </c>
      <c r="O4876" s="75" t="s">
        <v>145</v>
      </c>
      <c r="P4876" s="75">
        <v>2014</v>
      </c>
      <c r="Q4876" s="107">
        <f t="shared" si="182"/>
        <v>2021</v>
      </c>
      <c r="R4876" s="107">
        <v>2</v>
      </c>
      <c r="S4876" s="43">
        <v>221045</v>
      </c>
      <c r="T4876" s="74">
        <v>44319</v>
      </c>
    </row>
    <row r="4877" spans="1:20" x14ac:dyDescent="0.3">
      <c r="A4877" s="42">
        <v>44363</v>
      </c>
      <c r="B4877" s="37">
        <f t="shared" si="185"/>
        <v>20210616</v>
      </c>
      <c r="C4877" s="109">
        <v>1.8600000000000002E-2</v>
      </c>
      <c r="D4877" s="109">
        <v>0.01</v>
      </c>
      <c r="E4877" s="109">
        <v>1.2E-2</v>
      </c>
      <c r="F4877" s="109">
        <v>1.2999999999999999E-2</v>
      </c>
      <c r="G4877" s="130">
        <v>0</v>
      </c>
      <c r="H4877" s="71">
        <v>8.5</v>
      </c>
      <c r="I4877" s="71">
        <v>11.1</v>
      </c>
      <c r="J4877" s="71">
        <v>13.6</v>
      </c>
      <c r="K4877" s="121">
        <v>1.2999999999999999E-3</v>
      </c>
      <c r="L4877" s="121">
        <v>-5.0000000000000001E-3</v>
      </c>
      <c r="M4877" s="75" t="s">
        <v>146</v>
      </c>
      <c r="N4877" s="75" t="b">
        <v>1</v>
      </c>
      <c r="O4877" s="75" t="s">
        <v>145</v>
      </c>
      <c r="P4877" s="75">
        <v>2014</v>
      </c>
      <c r="Q4877" s="107">
        <f t="shared" si="182"/>
        <v>2021</v>
      </c>
      <c r="R4877" s="107">
        <v>2</v>
      </c>
      <c r="S4877" s="43">
        <v>221045</v>
      </c>
      <c r="T4877" s="74">
        <v>44319</v>
      </c>
    </row>
    <row r="4878" spans="1:20" x14ac:dyDescent="0.3">
      <c r="A4878" s="42">
        <v>44364</v>
      </c>
      <c r="B4878" s="37">
        <f t="shared" si="185"/>
        <v>20210617</v>
      </c>
      <c r="C4878" s="109">
        <v>1.8000000000000002E-2</v>
      </c>
      <c r="D4878" s="109">
        <v>0.01</v>
      </c>
      <c r="E4878" s="109">
        <v>1.2E-2</v>
      </c>
      <c r="F4878" s="109">
        <v>1.2999999999999999E-2</v>
      </c>
      <c r="G4878" s="130">
        <v>0</v>
      </c>
      <c r="H4878" s="71">
        <v>8.5</v>
      </c>
      <c r="I4878" s="71">
        <v>11.1</v>
      </c>
      <c r="J4878" s="71">
        <v>13.6</v>
      </c>
      <c r="K4878" s="121">
        <v>1.1999999999999999E-3</v>
      </c>
      <c r="L4878" s="121">
        <v>-5.0000000000000001E-3</v>
      </c>
      <c r="M4878" s="75" t="s">
        <v>146</v>
      </c>
      <c r="N4878" s="75" t="b">
        <v>1</v>
      </c>
      <c r="O4878" s="75" t="s">
        <v>145</v>
      </c>
      <c r="P4878" s="75">
        <v>2014</v>
      </c>
      <c r="Q4878" s="107">
        <f t="shared" si="182"/>
        <v>2021</v>
      </c>
      <c r="R4878" s="107">
        <v>2</v>
      </c>
      <c r="S4878" s="43">
        <v>221045</v>
      </c>
      <c r="T4878" s="74">
        <v>44319</v>
      </c>
    </row>
    <row r="4879" spans="1:20" x14ac:dyDescent="0.3">
      <c r="A4879" s="42">
        <v>44365</v>
      </c>
      <c r="B4879" s="37">
        <f t="shared" si="185"/>
        <v>20210618</v>
      </c>
      <c r="C4879" s="109">
        <v>1.7399999999999999E-2</v>
      </c>
      <c r="D4879" s="109">
        <v>0.01</v>
      </c>
      <c r="E4879" s="109">
        <v>1.2E-2</v>
      </c>
      <c r="F4879" s="109">
        <v>1.2999999999999999E-2</v>
      </c>
      <c r="G4879" s="130">
        <v>0</v>
      </c>
      <c r="H4879" s="71">
        <v>8.5</v>
      </c>
      <c r="I4879" s="71">
        <v>11.1</v>
      </c>
      <c r="J4879" s="71">
        <v>13.6</v>
      </c>
      <c r="K4879" s="121">
        <v>8.0000000000000004E-4</v>
      </c>
      <c r="L4879" s="121">
        <v>-5.0000000000000001E-3</v>
      </c>
      <c r="M4879" s="75" t="s">
        <v>146</v>
      </c>
      <c r="N4879" s="75" t="b">
        <v>1</v>
      </c>
      <c r="O4879" s="75" t="s">
        <v>145</v>
      </c>
      <c r="P4879" s="75">
        <v>2014</v>
      </c>
      <c r="Q4879" s="107">
        <f t="shared" ref="Q4879:Q4942" si="188">YEAR(A4879)</f>
        <v>2021</v>
      </c>
      <c r="R4879" s="107">
        <v>2</v>
      </c>
      <c r="S4879" s="43">
        <v>221045</v>
      </c>
      <c r="T4879" s="74">
        <v>44319</v>
      </c>
    </row>
    <row r="4880" spans="1:20" x14ac:dyDescent="0.3">
      <c r="A4880" s="42">
        <v>44366</v>
      </c>
      <c r="B4880" s="37">
        <f t="shared" ref="B4880:B4881" si="189">YEAR(A4880)*10000+MONTH(A4880)*100+DAY(A4880)</f>
        <v>20210619</v>
      </c>
      <c r="C4880" s="109">
        <v>1.7399999999999999E-2</v>
      </c>
      <c r="D4880" s="109">
        <v>0.01</v>
      </c>
      <c r="E4880" s="109">
        <v>1.2E-2</v>
      </c>
      <c r="F4880" s="109">
        <v>1.2999999999999999E-2</v>
      </c>
      <c r="G4880" s="130">
        <v>0</v>
      </c>
      <c r="H4880" s="71">
        <v>8.5</v>
      </c>
      <c r="I4880" s="71">
        <v>11.1</v>
      </c>
      <c r="J4880" s="71">
        <v>13.6</v>
      </c>
      <c r="K4880" s="121">
        <v>8.0000000000000004E-4</v>
      </c>
      <c r="L4880" s="121">
        <v>-5.0000000000000001E-3</v>
      </c>
      <c r="M4880" s="75" t="s">
        <v>146</v>
      </c>
      <c r="N4880" s="75" t="b">
        <v>1</v>
      </c>
      <c r="O4880" s="75" t="s">
        <v>145</v>
      </c>
      <c r="P4880" s="75">
        <v>2014</v>
      </c>
      <c r="Q4880" s="107">
        <f t="shared" si="188"/>
        <v>2021</v>
      </c>
      <c r="R4880" s="107">
        <v>2</v>
      </c>
      <c r="S4880" s="43">
        <v>221045</v>
      </c>
      <c r="T4880" s="74">
        <v>44319</v>
      </c>
    </row>
    <row r="4881" spans="1:21" x14ac:dyDescent="0.3">
      <c r="A4881" s="42">
        <v>44367</v>
      </c>
      <c r="B4881" s="37">
        <f t="shared" si="189"/>
        <v>20210620</v>
      </c>
      <c r="C4881" s="109">
        <v>1.7399999999999999E-2</v>
      </c>
      <c r="D4881" s="109">
        <v>0.01</v>
      </c>
      <c r="E4881" s="109">
        <v>1.2E-2</v>
      </c>
      <c r="F4881" s="109">
        <v>1.2999999999999999E-2</v>
      </c>
      <c r="G4881" s="130">
        <v>0</v>
      </c>
      <c r="H4881" s="71">
        <v>8.5</v>
      </c>
      <c r="I4881" s="71">
        <v>11.1</v>
      </c>
      <c r="J4881" s="71">
        <v>13.6</v>
      </c>
      <c r="K4881" s="121">
        <v>8.0000000000000004E-4</v>
      </c>
      <c r="L4881" s="121">
        <v>-5.0000000000000001E-3</v>
      </c>
      <c r="M4881" s="75" t="s">
        <v>146</v>
      </c>
      <c r="N4881" s="75" t="b">
        <v>1</v>
      </c>
      <c r="O4881" s="75" t="s">
        <v>145</v>
      </c>
      <c r="P4881" s="75">
        <v>2014</v>
      </c>
      <c r="Q4881" s="107">
        <f t="shared" si="188"/>
        <v>2021</v>
      </c>
      <c r="R4881" s="107">
        <v>2</v>
      </c>
      <c r="S4881" s="43">
        <v>221045</v>
      </c>
      <c r="T4881" s="74">
        <v>44319</v>
      </c>
    </row>
    <row r="4882" spans="1:21" x14ac:dyDescent="0.3">
      <c r="A4882" s="42">
        <v>44368</v>
      </c>
      <c r="B4882" s="37">
        <f t="shared" si="185"/>
        <v>20210621</v>
      </c>
      <c r="C4882" s="109">
        <v>1.7899999999999999E-2</v>
      </c>
      <c r="D4882" s="109">
        <v>0.01</v>
      </c>
      <c r="E4882" s="109">
        <v>1.2E-2</v>
      </c>
      <c r="F4882" s="109">
        <v>1.2999999999999999E-2</v>
      </c>
      <c r="G4882" s="130">
        <v>0</v>
      </c>
      <c r="H4882" s="71">
        <v>8.5</v>
      </c>
      <c r="I4882" s="71">
        <v>11.1</v>
      </c>
      <c r="J4882" s="71">
        <v>13.6</v>
      </c>
      <c r="K4882" s="121">
        <v>1.1999999999999999E-3</v>
      </c>
      <c r="L4882" s="121">
        <v>-5.0000000000000001E-3</v>
      </c>
      <c r="M4882" s="75" t="s">
        <v>146</v>
      </c>
      <c r="N4882" s="75" t="b">
        <v>1</v>
      </c>
      <c r="O4882" s="75" t="s">
        <v>145</v>
      </c>
      <c r="P4882" s="75">
        <v>2014</v>
      </c>
      <c r="Q4882" s="107">
        <f t="shared" si="188"/>
        <v>2021</v>
      </c>
      <c r="R4882" s="107">
        <v>2</v>
      </c>
      <c r="S4882" s="43">
        <v>221045</v>
      </c>
      <c r="T4882" s="74">
        <v>44319</v>
      </c>
    </row>
    <row r="4883" spans="1:21" x14ac:dyDescent="0.3">
      <c r="A4883" s="42">
        <v>44369</v>
      </c>
      <c r="B4883" s="37">
        <f t="shared" si="185"/>
        <v>20210622</v>
      </c>
      <c r="C4883" s="109">
        <v>1.7899999999999999E-2</v>
      </c>
      <c r="D4883" s="109">
        <v>0.01</v>
      </c>
      <c r="E4883" s="109">
        <v>1.2E-2</v>
      </c>
      <c r="F4883" s="109">
        <v>1.2999999999999999E-2</v>
      </c>
      <c r="G4883" s="130">
        <v>0</v>
      </c>
      <c r="H4883" s="71">
        <v>8.5</v>
      </c>
      <c r="I4883" s="71">
        <v>11.1</v>
      </c>
      <c r="J4883" s="71">
        <v>13.6</v>
      </c>
      <c r="K4883" s="121">
        <v>1.1000000000000001E-3</v>
      </c>
      <c r="L4883" s="121">
        <v>-5.0000000000000001E-3</v>
      </c>
      <c r="M4883" s="75" t="s">
        <v>146</v>
      </c>
      <c r="N4883" s="75" t="b">
        <v>1</v>
      </c>
      <c r="O4883" s="75" t="s">
        <v>145</v>
      </c>
      <c r="P4883" s="75">
        <v>2014</v>
      </c>
      <c r="Q4883" s="107">
        <f t="shared" si="188"/>
        <v>2021</v>
      </c>
      <c r="R4883" s="107">
        <v>2</v>
      </c>
      <c r="S4883" s="43">
        <v>221045</v>
      </c>
      <c r="T4883" s="74">
        <v>44319</v>
      </c>
    </row>
    <row r="4884" spans="1:21" x14ac:dyDescent="0.3">
      <c r="A4884" s="42">
        <v>44370</v>
      </c>
      <c r="B4884" s="37">
        <f t="shared" si="185"/>
        <v>20210623</v>
      </c>
      <c r="C4884" s="109">
        <v>1.7899999999999999E-2</v>
      </c>
      <c r="D4884" s="109">
        <v>0.01</v>
      </c>
      <c r="E4884" s="109">
        <v>1.2E-2</v>
      </c>
      <c r="F4884" s="109">
        <v>1.2999999999999999E-2</v>
      </c>
      <c r="G4884" s="130">
        <v>0</v>
      </c>
      <c r="H4884" s="71">
        <v>8.5</v>
      </c>
      <c r="I4884" s="71">
        <v>11.1</v>
      </c>
      <c r="J4884" s="71">
        <v>13.6</v>
      </c>
      <c r="K4884" s="121">
        <v>1.1000000000000001E-3</v>
      </c>
      <c r="L4884" s="121">
        <v>-5.0000000000000001E-3</v>
      </c>
      <c r="M4884" s="75" t="s">
        <v>146</v>
      </c>
      <c r="N4884" s="75" t="b">
        <v>1</v>
      </c>
      <c r="O4884" s="75" t="s">
        <v>145</v>
      </c>
      <c r="P4884" s="75">
        <v>2014</v>
      </c>
      <c r="Q4884" s="107">
        <f t="shared" si="188"/>
        <v>2021</v>
      </c>
      <c r="R4884" s="107">
        <v>2</v>
      </c>
      <c r="S4884" s="43">
        <v>221045</v>
      </c>
      <c r="T4884" s="74">
        <v>44319</v>
      </c>
    </row>
    <row r="4885" spans="1:21" x14ac:dyDescent="0.3">
      <c r="A4885" s="42">
        <v>44371</v>
      </c>
      <c r="B4885" s="37">
        <f t="shared" si="185"/>
        <v>20210624</v>
      </c>
      <c r="C4885" s="109">
        <v>1.77E-2</v>
      </c>
      <c r="D4885" s="109">
        <v>0.01</v>
      </c>
      <c r="E4885" s="109">
        <v>1.2E-2</v>
      </c>
      <c r="F4885" s="109">
        <v>1.2999999999999999E-2</v>
      </c>
      <c r="G4885" s="130">
        <v>0</v>
      </c>
      <c r="H4885" s="71">
        <v>8.5</v>
      </c>
      <c r="I4885" s="71">
        <v>11.1</v>
      </c>
      <c r="J4885" s="71">
        <v>13.6</v>
      </c>
      <c r="K4885" s="121">
        <v>1E-3</v>
      </c>
      <c r="L4885" s="121">
        <v>-5.0000000000000001E-3</v>
      </c>
      <c r="M4885" s="75" t="s">
        <v>146</v>
      </c>
      <c r="N4885" s="75" t="b">
        <v>1</v>
      </c>
      <c r="O4885" s="75" t="s">
        <v>145</v>
      </c>
      <c r="P4885" s="75">
        <v>2014</v>
      </c>
      <c r="Q4885" s="107">
        <f t="shared" si="188"/>
        <v>2021</v>
      </c>
      <c r="R4885" s="107">
        <v>2</v>
      </c>
      <c r="S4885" s="43">
        <v>221045</v>
      </c>
      <c r="T4885" s="74">
        <v>44319</v>
      </c>
    </row>
    <row r="4886" spans="1:21" x14ac:dyDescent="0.3">
      <c r="A4886" s="42">
        <v>44372</v>
      </c>
      <c r="B4886" s="37">
        <f t="shared" si="185"/>
        <v>20210625</v>
      </c>
      <c r="C4886" s="109">
        <v>1.83E-2</v>
      </c>
      <c r="D4886" s="109">
        <v>0.01</v>
      </c>
      <c r="E4886" s="109">
        <v>1.2E-2</v>
      </c>
      <c r="F4886" s="109">
        <v>1.2999999999999999E-2</v>
      </c>
      <c r="G4886" s="130">
        <v>0</v>
      </c>
      <c r="H4886" s="71">
        <v>8.5</v>
      </c>
      <c r="I4886" s="71">
        <v>11.1</v>
      </c>
      <c r="J4886" s="71">
        <v>13.6</v>
      </c>
      <c r="K4886" s="121">
        <v>1.5E-3</v>
      </c>
      <c r="L4886" s="121">
        <v>-5.0000000000000001E-3</v>
      </c>
      <c r="M4886" s="75" t="s">
        <v>146</v>
      </c>
      <c r="N4886" s="75" t="b">
        <v>1</v>
      </c>
      <c r="O4886" s="75" t="s">
        <v>145</v>
      </c>
      <c r="P4886" s="75">
        <v>2014</v>
      </c>
      <c r="Q4886" s="107">
        <f t="shared" si="188"/>
        <v>2021</v>
      </c>
      <c r="R4886" s="107">
        <v>2</v>
      </c>
      <c r="S4886" s="43">
        <v>221045</v>
      </c>
      <c r="T4886" s="74">
        <v>44319</v>
      </c>
    </row>
    <row r="4887" spans="1:21" x14ac:dyDescent="0.3">
      <c r="A4887" s="42">
        <v>44373</v>
      </c>
      <c r="B4887" s="37">
        <f t="shared" ref="B4887:B4888" si="190">YEAR(A4887)*10000+MONTH(A4887)*100+DAY(A4887)</f>
        <v>20210626</v>
      </c>
      <c r="C4887" s="109">
        <v>1.83E-2</v>
      </c>
      <c r="D4887" s="109">
        <v>0.01</v>
      </c>
      <c r="E4887" s="109">
        <v>1.2E-2</v>
      </c>
      <c r="F4887" s="109">
        <v>1.2999999999999999E-2</v>
      </c>
      <c r="G4887" s="130">
        <v>0</v>
      </c>
      <c r="H4887" s="71">
        <v>8.5</v>
      </c>
      <c r="I4887" s="71">
        <v>11.1</v>
      </c>
      <c r="J4887" s="71">
        <v>13.6</v>
      </c>
      <c r="K4887" s="121">
        <v>1.5E-3</v>
      </c>
      <c r="L4887" s="121">
        <v>-5.0000000000000001E-3</v>
      </c>
      <c r="M4887" s="75" t="s">
        <v>146</v>
      </c>
      <c r="N4887" s="75" t="b">
        <v>1</v>
      </c>
      <c r="O4887" s="75" t="s">
        <v>145</v>
      </c>
      <c r="P4887" s="75">
        <v>2014</v>
      </c>
      <c r="Q4887" s="107">
        <f t="shared" si="188"/>
        <v>2021</v>
      </c>
      <c r="R4887" s="107">
        <v>2</v>
      </c>
      <c r="S4887" s="43">
        <v>221045</v>
      </c>
      <c r="T4887" s="74">
        <v>44319</v>
      </c>
    </row>
    <row r="4888" spans="1:21" x14ac:dyDescent="0.3">
      <c r="A4888" s="42">
        <v>44374</v>
      </c>
      <c r="B4888" s="37">
        <f t="shared" si="190"/>
        <v>20210627</v>
      </c>
      <c r="C4888" s="109">
        <v>1.83E-2</v>
      </c>
      <c r="D4888" s="109">
        <v>0.01</v>
      </c>
      <c r="E4888" s="109">
        <v>1.2E-2</v>
      </c>
      <c r="F4888" s="109">
        <v>1.2999999999999999E-2</v>
      </c>
      <c r="G4888" s="130">
        <v>0</v>
      </c>
      <c r="H4888" s="71">
        <v>8.5</v>
      </c>
      <c r="I4888" s="71">
        <v>11.1</v>
      </c>
      <c r="J4888" s="71">
        <v>13.6</v>
      </c>
      <c r="K4888" s="121">
        <v>1.5E-3</v>
      </c>
      <c r="L4888" s="121">
        <v>-5.0000000000000001E-3</v>
      </c>
      <c r="M4888" s="75" t="s">
        <v>146</v>
      </c>
      <c r="N4888" s="75" t="b">
        <v>1</v>
      </c>
      <c r="O4888" s="75" t="s">
        <v>145</v>
      </c>
      <c r="P4888" s="75">
        <v>2014</v>
      </c>
      <c r="Q4888" s="107">
        <f t="shared" si="188"/>
        <v>2021</v>
      </c>
      <c r="R4888" s="107">
        <v>2</v>
      </c>
      <c r="S4888" s="43">
        <v>221045</v>
      </c>
      <c r="T4888" s="74">
        <v>44319</v>
      </c>
    </row>
    <row r="4889" spans="1:21" x14ac:dyDescent="0.3">
      <c r="A4889" s="42">
        <v>44375</v>
      </c>
      <c r="B4889" s="37">
        <f t="shared" si="185"/>
        <v>20210628</v>
      </c>
      <c r="C4889" s="109">
        <v>1.8000000000000002E-2</v>
      </c>
      <c r="D4889" s="109">
        <v>0.01</v>
      </c>
      <c r="E4889" s="109">
        <v>1.2E-2</v>
      </c>
      <c r="F4889" s="109">
        <v>1.2999999999999999E-2</v>
      </c>
      <c r="G4889" s="130">
        <v>0</v>
      </c>
      <c r="H4889" s="71">
        <v>8.5</v>
      </c>
      <c r="I4889" s="71">
        <v>11.1</v>
      </c>
      <c r="J4889" s="71">
        <v>13.6</v>
      </c>
      <c r="K4889" s="121">
        <v>1.2999999999999999E-3</v>
      </c>
      <c r="L4889" s="121">
        <v>-5.0000000000000001E-3</v>
      </c>
      <c r="M4889" s="75" t="s">
        <v>146</v>
      </c>
      <c r="N4889" s="75" t="b">
        <v>1</v>
      </c>
      <c r="O4889" s="75" t="s">
        <v>145</v>
      </c>
      <c r="P4889" s="75">
        <v>2014</v>
      </c>
      <c r="Q4889" s="107">
        <f t="shared" si="188"/>
        <v>2021</v>
      </c>
      <c r="R4889" s="107">
        <v>2</v>
      </c>
      <c r="S4889" s="43">
        <v>221045</v>
      </c>
      <c r="T4889" s="74">
        <v>44319</v>
      </c>
    </row>
    <row r="4890" spans="1:21" x14ac:dyDescent="0.3">
      <c r="A4890" s="42">
        <v>44376</v>
      </c>
      <c r="B4890" s="37">
        <f t="shared" si="185"/>
        <v>20210629</v>
      </c>
      <c r="C4890" s="109">
        <v>1.8000000000000002E-2</v>
      </c>
      <c r="D4890" s="109">
        <v>0.01</v>
      </c>
      <c r="E4890" s="109">
        <v>1.2E-2</v>
      </c>
      <c r="F4890" s="109">
        <v>1.2999999999999999E-2</v>
      </c>
      <c r="G4890" s="130">
        <v>0</v>
      </c>
      <c r="H4890" s="71">
        <v>8.5</v>
      </c>
      <c r="I4890" s="71">
        <v>11.1</v>
      </c>
      <c r="J4890" s="71">
        <v>13.6</v>
      </c>
      <c r="K4890" s="121">
        <v>1.4000000000000002E-3</v>
      </c>
      <c r="L4890" s="121">
        <v>-5.0000000000000001E-3</v>
      </c>
      <c r="M4890" s="75" t="s">
        <v>146</v>
      </c>
      <c r="N4890" s="75" t="b">
        <v>1</v>
      </c>
      <c r="O4890" s="75" t="s">
        <v>145</v>
      </c>
      <c r="P4890" s="75">
        <v>2014</v>
      </c>
      <c r="Q4890" s="107">
        <f t="shared" si="188"/>
        <v>2021</v>
      </c>
      <c r="R4890" s="107">
        <v>2</v>
      </c>
      <c r="S4890" s="43">
        <v>221045</v>
      </c>
      <c r="T4890" s="74">
        <v>44319</v>
      </c>
    </row>
    <row r="4891" spans="1:21" s="129" customFormat="1" x14ac:dyDescent="0.3">
      <c r="A4891" s="122">
        <v>44377</v>
      </c>
      <c r="B4891" s="142">
        <f t="shared" si="185"/>
        <v>20210630</v>
      </c>
      <c r="C4891" s="111">
        <v>1.77E-2</v>
      </c>
      <c r="D4891" s="111">
        <v>0.01</v>
      </c>
      <c r="E4891" s="111">
        <v>1.2E-2</v>
      </c>
      <c r="F4891" s="111">
        <v>1.2999999999999999E-2</v>
      </c>
      <c r="G4891" s="133">
        <v>0</v>
      </c>
      <c r="H4891" s="124">
        <v>8.6</v>
      </c>
      <c r="I4891" s="124">
        <v>11.2</v>
      </c>
      <c r="J4891" s="124">
        <v>13.7</v>
      </c>
      <c r="K4891" s="131">
        <v>1.1000000000000001E-3</v>
      </c>
      <c r="L4891" s="131">
        <v>-5.0000000000000001E-3</v>
      </c>
      <c r="M4891" s="98" t="s">
        <v>146</v>
      </c>
      <c r="N4891" s="98" t="b">
        <v>1</v>
      </c>
      <c r="O4891" s="98" t="s">
        <v>145</v>
      </c>
      <c r="P4891" s="98">
        <v>2014</v>
      </c>
      <c r="Q4891" s="105">
        <f t="shared" si="188"/>
        <v>2021</v>
      </c>
      <c r="R4891" s="105">
        <v>2</v>
      </c>
      <c r="S4891" s="127">
        <v>221086</v>
      </c>
      <c r="T4891" s="128">
        <v>44402</v>
      </c>
      <c r="U4891" s="104" t="s">
        <v>176</v>
      </c>
    </row>
    <row r="4892" spans="1:21" x14ac:dyDescent="0.3">
      <c r="A4892" s="42">
        <v>44378</v>
      </c>
      <c r="B4892" s="37">
        <f t="shared" si="185"/>
        <v>20210701</v>
      </c>
      <c r="C4892" s="109">
        <v>1.77E-2</v>
      </c>
      <c r="D4892" s="109">
        <v>0.01</v>
      </c>
      <c r="E4892" s="109">
        <v>1.2E-2</v>
      </c>
      <c r="F4892" s="109">
        <v>1.2999999999999999E-2</v>
      </c>
      <c r="G4892" s="130">
        <v>0</v>
      </c>
      <c r="H4892" s="71">
        <v>8.6</v>
      </c>
      <c r="I4892" s="71">
        <v>11.2</v>
      </c>
      <c r="J4892" s="71">
        <v>13.7</v>
      </c>
      <c r="K4892" s="121">
        <v>1.1000000000000001E-3</v>
      </c>
      <c r="L4892" s="121">
        <v>-5.0000000000000001E-3</v>
      </c>
      <c r="M4892" s="75" t="s">
        <v>146</v>
      </c>
      <c r="N4892" s="75" t="b">
        <v>1</v>
      </c>
      <c r="O4892" s="75" t="s">
        <v>145</v>
      </c>
      <c r="P4892" s="75">
        <v>2014</v>
      </c>
      <c r="Q4892" s="107">
        <f t="shared" si="188"/>
        <v>2021</v>
      </c>
      <c r="R4892" s="107">
        <v>2</v>
      </c>
      <c r="S4892" s="43">
        <v>221086</v>
      </c>
      <c r="T4892" s="74">
        <v>44402</v>
      </c>
    </row>
    <row r="4893" spans="1:21" x14ac:dyDescent="0.3">
      <c r="A4893" s="42">
        <v>44379</v>
      </c>
      <c r="B4893" s="37">
        <f t="shared" si="185"/>
        <v>20210702</v>
      </c>
      <c r="C4893" s="109">
        <v>1.77E-2</v>
      </c>
      <c r="D4893" s="109">
        <v>0.01</v>
      </c>
      <c r="E4893" s="109">
        <v>1.2E-2</v>
      </c>
      <c r="F4893" s="109">
        <v>1.2999999999999999E-2</v>
      </c>
      <c r="G4893" s="130">
        <v>0</v>
      </c>
      <c r="H4893" s="71">
        <v>8.6</v>
      </c>
      <c r="I4893" s="71">
        <v>11.2</v>
      </c>
      <c r="J4893" s="71">
        <v>13.7</v>
      </c>
      <c r="K4893" s="121">
        <v>1.1000000000000001E-3</v>
      </c>
      <c r="L4893" s="121">
        <v>-5.0000000000000001E-3</v>
      </c>
      <c r="M4893" s="75" t="s">
        <v>146</v>
      </c>
      <c r="N4893" s="75" t="b">
        <v>1</v>
      </c>
      <c r="O4893" s="75" t="s">
        <v>145</v>
      </c>
      <c r="P4893" s="75">
        <v>2014</v>
      </c>
      <c r="Q4893" s="107">
        <f t="shared" si="188"/>
        <v>2021</v>
      </c>
      <c r="R4893" s="107">
        <v>2</v>
      </c>
      <c r="S4893" s="43">
        <v>221086</v>
      </c>
      <c r="T4893" s="74">
        <v>44402</v>
      </c>
    </row>
    <row r="4894" spans="1:21" x14ac:dyDescent="0.3">
      <c r="A4894" s="42">
        <v>44380</v>
      </c>
      <c r="B4894" s="37">
        <f t="shared" ref="B4894:B4895" si="191">YEAR(A4894)*10000+MONTH(A4894)*100+DAY(A4894)</f>
        <v>20210703</v>
      </c>
      <c r="C4894" s="109">
        <v>1.77E-2</v>
      </c>
      <c r="D4894" s="109">
        <v>0.01</v>
      </c>
      <c r="E4894" s="109">
        <v>1.2E-2</v>
      </c>
      <c r="F4894" s="109">
        <v>1.2999999999999999E-2</v>
      </c>
      <c r="G4894" s="130">
        <v>0</v>
      </c>
      <c r="H4894" s="71">
        <v>8.6</v>
      </c>
      <c r="I4894" s="71">
        <v>11.2</v>
      </c>
      <c r="J4894" s="71">
        <v>13.7</v>
      </c>
      <c r="K4894" s="121">
        <v>1.1000000000000001E-3</v>
      </c>
      <c r="L4894" s="121">
        <v>-5.0000000000000001E-3</v>
      </c>
      <c r="M4894" s="75" t="s">
        <v>146</v>
      </c>
      <c r="N4894" s="75" t="b">
        <v>1</v>
      </c>
      <c r="O4894" s="75" t="s">
        <v>145</v>
      </c>
      <c r="P4894" s="75">
        <v>2014</v>
      </c>
      <c r="Q4894" s="107">
        <f t="shared" si="188"/>
        <v>2021</v>
      </c>
      <c r="R4894" s="107">
        <v>2</v>
      </c>
      <c r="S4894" s="43">
        <v>221086</v>
      </c>
      <c r="T4894" s="74">
        <v>44402</v>
      </c>
    </row>
    <row r="4895" spans="1:21" x14ac:dyDescent="0.3">
      <c r="A4895" s="42">
        <v>44381</v>
      </c>
      <c r="B4895" s="37">
        <f t="shared" si="191"/>
        <v>20210704</v>
      </c>
      <c r="C4895" s="109">
        <v>1.77E-2</v>
      </c>
      <c r="D4895" s="109">
        <v>0.01</v>
      </c>
      <c r="E4895" s="109">
        <v>1.2E-2</v>
      </c>
      <c r="F4895" s="109">
        <v>1.2999999999999999E-2</v>
      </c>
      <c r="G4895" s="130">
        <v>0</v>
      </c>
      <c r="H4895" s="71">
        <v>8.6</v>
      </c>
      <c r="I4895" s="71">
        <v>11.2</v>
      </c>
      <c r="J4895" s="71">
        <v>13.7</v>
      </c>
      <c r="K4895" s="121">
        <v>1.1000000000000001E-3</v>
      </c>
      <c r="L4895" s="121">
        <v>-5.0000000000000001E-3</v>
      </c>
      <c r="M4895" s="75" t="s">
        <v>146</v>
      </c>
      <c r="N4895" s="75" t="b">
        <v>1</v>
      </c>
      <c r="O4895" s="75" t="s">
        <v>145</v>
      </c>
      <c r="P4895" s="75">
        <v>2014</v>
      </c>
      <c r="Q4895" s="107">
        <f t="shared" si="188"/>
        <v>2021</v>
      </c>
      <c r="R4895" s="107">
        <v>2</v>
      </c>
      <c r="S4895" s="43">
        <v>221086</v>
      </c>
      <c r="T4895" s="74">
        <v>44402</v>
      </c>
    </row>
    <row r="4896" spans="1:21" x14ac:dyDescent="0.3">
      <c r="A4896" s="42">
        <v>44382</v>
      </c>
      <c r="B4896" s="37">
        <f t="shared" si="185"/>
        <v>20210705</v>
      </c>
      <c r="C4896" s="109">
        <v>1.77E-2</v>
      </c>
      <c r="D4896" s="109">
        <v>0.01</v>
      </c>
      <c r="E4896" s="109">
        <v>1.2E-2</v>
      </c>
      <c r="F4896" s="109">
        <v>1.2999999999999999E-2</v>
      </c>
      <c r="G4896" s="130">
        <v>0</v>
      </c>
      <c r="H4896" s="71">
        <v>8.6</v>
      </c>
      <c r="I4896" s="71">
        <v>11.2</v>
      </c>
      <c r="J4896" s="71">
        <v>13.7</v>
      </c>
      <c r="K4896" s="121">
        <v>1.1000000000000001E-3</v>
      </c>
      <c r="L4896" s="121">
        <v>-5.0000000000000001E-3</v>
      </c>
      <c r="M4896" s="75" t="s">
        <v>146</v>
      </c>
      <c r="N4896" s="75" t="b">
        <v>1</v>
      </c>
      <c r="O4896" s="75" t="s">
        <v>145</v>
      </c>
      <c r="P4896" s="75">
        <v>2014</v>
      </c>
      <c r="Q4896" s="107">
        <f t="shared" si="188"/>
        <v>2021</v>
      </c>
      <c r="R4896" s="107">
        <v>2</v>
      </c>
      <c r="S4896" s="43">
        <v>221086</v>
      </c>
      <c r="T4896" s="74">
        <v>44402</v>
      </c>
    </row>
    <row r="4897" spans="1:20" x14ac:dyDescent="0.3">
      <c r="A4897" s="42">
        <v>44383</v>
      </c>
      <c r="B4897" s="37">
        <f t="shared" si="185"/>
        <v>20210706</v>
      </c>
      <c r="C4897" s="109">
        <v>1.72E-2</v>
      </c>
      <c r="D4897" s="109">
        <v>0.01</v>
      </c>
      <c r="E4897" s="109">
        <v>1.2E-2</v>
      </c>
      <c r="F4897" s="109">
        <v>1.2999999999999999E-2</v>
      </c>
      <c r="G4897" s="130">
        <v>0</v>
      </c>
      <c r="H4897" s="71">
        <v>8.6</v>
      </c>
      <c r="I4897" s="71">
        <v>11.2</v>
      </c>
      <c r="J4897" s="71">
        <v>13.7</v>
      </c>
      <c r="K4897" s="121">
        <v>5.9999999999999995E-4</v>
      </c>
      <c r="L4897" s="121">
        <v>-5.0000000000000001E-3</v>
      </c>
      <c r="M4897" s="75" t="s">
        <v>146</v>
      </c>
      <c r="N4897" s="75" t="b">
        <v>1</v>
      </c>
      <c r="O4897" s="75" t="s">
        <v>145</v>
      </c>
      <c r="P4897" s="75">
        <v>2014</v>
      </c>
      <c r="Q4897" s="107">
        <f t="shared" si="188"/>
        <v>2021</v>
      </c>
      <c r="R4897" s="107">
        <v>2</v>
      </c>
      <c r="S4897" s="43">
        <v>221086</v>
      </c>
      <c r="T4897" s="74">
        <v>44402</v>
      </c>
    </row>
    <row r="4898" spans="1:20" x14ac:dyDescent="0.3">
      <c r="A4898" s="42">
        <v>44384</v>
      </c>
      <c r="B4898" s="37">
        <f t="shared" si="185"/>
        <v>20210707</v>
      </c>
      <c r="C4898" s="109">
        <v>1.6899999999999998E-2</v>
      </c>
      <c r="D4898" s="109">
        <v>0.01</v>
      </c>
      <c r="E4898" s="109">
        <v>1.2E-2</v>
      </c>
      <c r="F4898" s="109">
        <v>1.2999999999999999E-2</v>
      </c>
      <c r="G4898" s="130">
        <v>0</v>
      </c>
      <c r="H4898" s="71">
        <v>8.6</v>
      </c>
      <c r="I4898" s="71">
        <v>11.2</v>
      </c>
      <c r="J4898" s="71">
        <v>13.7</v>
      </c>
      <c r="K4898" s="121">
        <v>7.000000000000001E-4</v>
      </c>
      <c r="L4898" s="121">
        <v>-5.0000000000000001E-3</v>
      </c>
      <c r="M4898" s="75" t="s">
        <v>146</v>
      </c>
      <c r="N4898" s="75" t="b">
        <v>1</v>
      </c>
      <c r="O4898" s="75" t="s">
        <v>145</v>
      </c>
      <c r="P4898" s="75">
        <v>2014</v>
      </c>
      <c r="Q4898" s="107">
        <f t="shared" si="188"/>
        <v>2021</v>
      </c>
      <c r="R4898" s="107">
        <v>2</v>
      </c>
      <c r="S4898" s="43">
        <v>221086</v>
      </c>
      <c r="T4898" s="74">
        <v>44402</v>
      </c>
    </row>
    <row r="4899" spans="1:20" x14ac:dyDescent="0.3">
      <c r="A4899" s="42">
        <v>44385</v>
      </c>
      <c r="B4899" s="37">
        <f t="shared" si="185"/>
        <v>20210708</v>
      </c>
      <c r="C4899" s="109">
        <v>1.67E-2</v>
      </c>
      <c r="D4899" s="109">
        <v>0.01</v>
      </c>
      <c r="E4899" s="109">
        <v>1.2E-2</v>
      </c>
      <c r="F4899" s="109">
        <v>1.2999999999999999E-2</v>
      </c>
      <c r="G4899" s="130">
        <v>0</v>
      </c>
      <c r="H4899" s="71">
        <v>8.6</v>
      </c>
      <c r="I4899" s="71">
        <v>11.2</v>
      </c>
      <c r="J4899" s="71">
        <v>13.7</v>
      </c>
      <c r="K4899" s="121">
        <v>8.0000000000000004E-4</v>
      </c>
      <c r="L4899" s="121">
        <v>-5.0000000000000001E-3</v>
      </c>
      <c r="M4899" s="75" t="s">
        <v>146</v>
      </c>
      <c r="N4899" s="75" t="b">
        <v>1</v>
      </c>
      <c r="O4899" s="75" t="s">
        <v>145</v>
      </c>
      <c r="P4899" s="75">
        <v>2014</v>
      </c>
      <c r="Q4899" s="107">
        <f t="shared" si="188"/>
        <v>2021</v>
      </c>
      <c r="R4899" s="107">
        <v>2</v>
      </c>
      <c r="S4899" s="43">
        <v>221086</v>
      </c>
      <c r="T4899" s="74">
        <v>44402</v>
      </c>
    </row>
    <row r="4900" spans="1:20" x14ac:dyDescent="0.3">
      <c r="A4900" s="42">
        <v>44386</v>
      </c>
      <c r="B4900" s="37">
        <f t="shared" si="185"/>
        <v>20210709</v>
      </c>
      <c r="C4900" s="109">
        <v>1.7399999999999999E-2</v>
      </c>
      <c r="D4900" s="109">
        <v>0.01</v>
      </c>
      <c r="E4900" s="109">
        <v>1.2E-2</v>
      </c>
      <c r="F4900" s="109">
        <v>1.2999999999999999E-2</v>
      </c>
      <c r="G4900" s="130">
        <v>0</v>
      </c>
      <c r="H4900" s="71">
        <v>8.6</v>
      </c>
      <c r="I4900" s="71">
        <v>11.2</v>
      </c>
      <c r="J4900" s="71">
        <v>13.7</v>
      </c>
      <c r="K4900" s="121">
        <v>1.5E-3</v>
      </c>
      <c r="L4900" s="121">
        <v>-5.0000000000000001E-3</v>
      </c>
      <c r="M4900" s="75" t="s">
        <v>146</v>
      </c>
      <c r="N4900" s="75" t="b">
        <v>1</v>
      </c>
      <c r="O4900" s="75" t="s">
        <v>145</v>
      </c>
      <c r="P4900" s="75">
        <v>2014</v>
      </c>
      <c r="Q4900" s="107">
        <f t="shared" si="188"/>
        <v>2021</v>
      </c>
      <c r="R4900" s="107">
        <v>2</v>
      </c>
      <c r="S4900" s="43">
        <v>221086</v>
      </c>
      <c r="T4900" s="74">
        <v>44402</v>
      </c>
    </row>
    <row r="4901" spans="1:20" x14ac:dyDescent="0.3">
      <c r="A4901" s="42">
        <v>44387</v>
      </c>
      <c r="B4901" s="37">
        <f t="shared" ref="B4901:B4902" si="192">YEAR(A4901)*10000+MONTH(A4901)*100+DAY(A4901)</f>
        <v>20210710</v>
      </c>
      <c r="C4901" s="109">
        <v>1.7399999999999999E-2</v>
      </c>
      <c r="D4901" s="109">
        <v>0.01</v>
      </c>
      <c r="E4901" s="109">
        <v>1.2E-2</v>
      </c>
      <c r="F4901" s="109">
        <v>1.2999999999999999E-2</v>
      </c>
      <c r="G4901" s="130">
        <v>0</v>
      </c>
      <c r="H4901" s="71">
        <v>8.6</v>
      </c>
      <c r="I4901" s="71">
        <v>11.2</v>
      </c>
      <c r="J4901" s="71">
        <v>13.7</v>
      </c>
      <c r="K4901" s="121">
        <v>1.5E-3</v>
      </c>
      <c r="L4901" s="121">
        <v>-5.0000000000000001E-3</v>
      </c>
      <c r="M4901" s="75" t="s">
        <v>146</v>
      </c>
      <c r="N4901" s="75" t="b">
        <v>1</v>
      </c>
      <c r="O4901" s="75" t="s">
        <v>145</v>
      </c>
      <c r="P4901" s="75">
        <v>2014</v>
      </c>
      <c r="Q4901" s="107">
        <f t="shared" si="188"/>
        <v>2021</v>
      </c>
      <c r="R4901" s="107">
        <v>2</v>
      </c>
      <c r="S4901" s="43">
        <v>221086</v>
      </c>
      <c r="T4901" s="74">
        <v>44402</v>
      </c>
    </row>
    <row r="4902" spans="1:20" x14ac:dyDescent="0.3">
      <c r="A4902" s="42">
        <v>44388</v>
      </c>
      <c r="B4902" s="37">
        <f t="shared" si="192"/>
        <v>20210711</v>
      </c>
      <c r="C4902" s="109">
        <v>1.7399999999999999E-2</v>
      </c>
      <c r="D4902" s="109">
        <v>0.01</v>
      </c>
      <c r="E4902" s="109">
        <v>1.2E-2</v>
      </c>
      <c r="F4902" s="109">
        <v>1.2999999999999999E-2</v>
      </c>
      <c r="G4902" s="130">
        <v>0</v>
      </c>
      <c r="H4902" s="71">
        <v>8.6</v>
      </c>
      <c r="I4902" s="71">
        <v>11.2</v>
      </c>
      <c r="J4902" s="71">
        <v>13.7</v>
      </c>
      <c r="K4902" s="121">
        <v>1.5E-3</v>
      </c>
      <c r="L4902" s="121">
        <v>-5.0000000000000001E-3</v>
      </c>
      <c r="M4902" s="75" t="s">
        <v>146</v>
      </c>
      <c r="N4902" s="75" t="b">
        <v>1</v>
      </c>
      <c r="O4902" s="75" t="s">
        <v>145</v>
      </c>
      <c r="P4902" s="75">
        <v>2014</v>
      </c>
      <c r="Q4902" s="107">
        <f t="shared" si="188"/>
        <v>2021</v>
      </c>
      <c r="R4902" s="107">
        <v>2</v>
      </c>
      <c r="S4902" s="43">
        <v>221086</v>
      </c>
      <c r="T4902" s="74">
        <v>44402</v>
      </c>
    </row>
    <row r="4903" spans="1:20" x14ac:dyDescent="0.3">
      <c r="A4903" s="42">
        <v>44389</v>
      </c>
      <c r="B4903" s="37">
        <f t="shared" si="185"/>
        <v>20210712</v>
      </c>
      <c r="C4903" s="109">
        <v>1.7500000000000002E-2</v>
      </c>
      <c r="D4903" s="109">
        <v>0.01</v>
      </c>
      <c r="E4903" s="109">
        <v>1.2E-2</v>
      </c>
      <c r="F4903" s="109">
        <v>1.2999999999999999E-2</v>
      </c>
      <c r="G4903" s="130">
        <v>0</v>
      </c>
      <c r="H4903" s="71">
        <v>8.6</v>
      </c>
      <c r="I4903" s="71">
        <v>11.2</v>
      </c>
      <c r="J4903" s="71">
        <v>13.7</v>
      </c>
      <c r="K4903" s="121">
        <v>1.4000000000000002E-3</v>
      </c>
      <c r="L4903" s="121">
        <v>-5.0000000000000001E-3</v>
      </c>
      <c r="M4903" s="75" t="s">
        <v>146</v>
      </c>
      <c r="N4903" s="75" t="b">
        <v>1</v>
      </c>
      <c r="O4903" s="75" t="s">
        <v>145</v>
      </c>
      <c r="P4903" s="75">
        <v>2014</v>
      </c>
      <c r="Q4903" s="107">
        <f t="shared" si="188"/>
        <v>2021</v>
      </c>
      <c r="R4903" s="107">
        <v>2</v>
      </c>
      <c r="S4903" s="43">
        <v>221086</v>
      </c>
      <c r="T4903" s="74">
        <v>44402</v>
      </c>
    </row>
    <row r="4904" spans="1:20" x14ac:dyDescent="0.3">
      <c r="A4904" s="42">
        <v>44390</v>
      </c>
      <c r="B4904" s="37">
        <f t="shared" si="185"/>
        <v>20210713</v>
      </c>
      <c r="C4904" s="109">
        <v>1.77E-2</v>
      </c>
      <c r="D4904" s="109">
        <v>0.01</v>
      </c>
      <c r="E4904" s="109">
        <v>1.2E-2</v>
      </c>
      <c r="F4904" s="109">
        <v>1.2999999999999999E-2</v>
      </c>
      <c r="G4904" s="130">
        <v>0</v>
      </c>
      <c r="H4904" s="71">
        <v>8.6</v>
      </c>
      <c r="I4904" s="71">
        <v>11.2</v>
      </c>
      <c r="J4904" s="71">
        <v>13.7</v>
      </c>
      <c r="K4904" s="121">
        <v>1.5E-3</v>
      </c>
      <c r="L4904" s="121">
        <v>-5.0000000000000001E-3</v>
      </c>
      <c r="M4904" s="75" t="s">
        <v>146</v>
      </c>
      <c r="N4904" s="75" t="b">
        <v>1</v>
      </c>
      <c r="O4904" s="75" t="s">
        <v>145</v>
      </c>
      <c r="P4904" s="75">
        <v>2014</v>
      </c>
      <c r="Q4904" s="107">
        <f t="shared" si="188"/>
        <v>2021</v>
      </c>
      <c r="R4904" s="107">
        <v>2</v>
      </c>
      <c r="S4904" s="43">
        <v>221086</v>
      </c>
      <c r="T4904" s="74">
        <v>44402</v>
      </c>
    </row>
    <row r="4905" spans="1:20" x14ac:dyDescent="0.3">
      <c r="A4905" s="42">
        <v>44391</v>
      </c>
      <c r="B4905" s="37">
        <f t="shared" si="185"/>
        <v>20210714</v>
      </c>
      <c r="C4905" s="109">
        <v>1.7299999999999999E-2</v>
      </c>
      <c r="D4905" s="109">
        <v>0.01</v>
      </c>
      <c r="E4905" s="109">
        <v>1.2E-2</v>
      </c>
      <c r="F4905" s="109">
        <v>1.2999999999999999E-2</v>
      </c>
      <c r="G4905" s="130">
        <v>0</v>
      </c>
      <c r="H4905" s="71">
        <v>8.6</v>
      </c>
      <c r="I4905" s="71">
        <v>11.2</v>
      </c>
      <c r="J4905" s="71">
        <v>13.7</v>
      </c>
      <c r="K4905" s="121">
        <v>1.1999999999999999E-3</v>
      </c>
      <c r="L4905" s="121">
        <v>-5.0000000000000001E-3</v>
      </c>
      <c r="M4905" s="75" t="s">
        <v>146</v>
      </c>
      <c r="N4905" s="75" t="b">
        <v>1</v>
      </c>
      <c r="O4905" s="75" t="s">
        <v>145</v>
      </c>
      <c r="P4905" s="75">
        <v>2014</v>
      </c>
      <c r="Q4905" s="107">
        <f t="shared" si="188"/>
        <v>2021</v>
      </c>
      <c r="R4905" s="107">
        <v>2</v>
      </c>
      <c r="S4905" s="43">
        <v>221086</v>
      </c>
      <c r="T4905" s="74">
        <v>44402</v>
      </c>
    </row>
    <row r="4906" spans="1:20" x14ac:dyDescent="0.3">
      <c r="A4906" s="42">
        <v>44392</v>
      </c>
      <c r="B4906" s="37">
        <f t="shared" ref="B4906:B4975" si="193">YEAR(A4906)*10000+MONTH(A4906)*100+DAY(A4906)</f>
        <v>20210715</v>
      </c>
      <c r="C4906" s="109">
        <v>1.7000000000000001E-2</v>
      </c>
      <c r="D4906" s="109">
        <v>0.01</v>
      </c>
      <c r="E4906" s="109">
        <v>1.2E-2</v>
      </c>
      <c r="F4906" s="109">
        <v>1.2999999999999999E-2</v>
      </c>
      <c r="G4906" s="130">
        <v>0</v>
      </c>
      <c r="H4906" s="71">
        <v>8.6</v>
      </c>
      <c r="I4906" s="71">
        <v>11.2</v>
      </c>
      <c r="J4906" s="71">
        <v>13.7</v>
      </c>
      <c r="K4906" s="121">
        <v>1E-3</v>
      </c>
      <c r="L4906" s="121">
        <v>-5.0000000000000001E-3</v>
      </c>
      <c r="M4906" s="75" t="s">
        <v>146</v>
      </c>
      <c r="N4906" s="75" t="b">
        <v>1</v>
      </c>
      <c r="O4906" s="75" t="s">
        <v>145</v>
      </c>
      <c r="P4906" s="75">
        <v>2014</v>
      </c>
      <c r="Q4906" s="107">
        <f t="shared" si="188"/>
        <v>2021</v>
      </c>
      <c r="R4906" s="107">
        <v>2</v>
      </c>
      <c r="S4906" s="43">
        <v>221086</v>
      </c>
      <c r="T4906" s="74">
        <v>44402</v>
      </c>
    </row>
    <row r="4907" spans="1:20" x14ac:dyDescent="0.3">
      <c r="A4907" s="42">
        <v>44393</v>
      </c>
      <c r="B4907" s="37">
        <f t="shared" si="193"/>
        <v>20210716</v>
      </c>
      <c r="C4907" s="109">
        <v>1.6899999999999998E-2</v>
      </c>
      <c r="D4907" s="109">
        <v>0.01</v>
      </c>
      <c r="E4907" s="109">
        <v>1.2E-2</v>
      </c>
      <c r="F4907" s="109">
        <v>1.2999999999999999E-2</v>
      </c>
      <c r="G4907" s="130">
        <v>0</v>
      </c>
      <c r="H4907" s="71">
        <v>8.6</v>
      </c>
      <c r="I4907" s="71">
        <v>11.2</v>
      </c>
      <c r="J4907" s="71">
        <v>13.7</v>
      </c>
      <c r="K4907" s="121">
        <v>8.0000000000000004E-4</v>
      </c>
      <c r="L4907" s="121">
        <v>-5.0000000000000001E-3</v>
      </c>
      <c r="M4907" s="75" t="s">
        <v>146</v>
      </c>
      <c r="N4907" s="75" t="b">
        <v>1</v>
      </c>
      <c r="O4907" s="75" t="s">
        <v>145</v>
      </c>
      <c r="P4907" s="75">
        <v>2014</v>
      </c>
      <c r="Q4907" s="107">
        <f t="shared" si="188"/>
        <v>2021</v>
      </c>
      <c r="R4907" s="107">
        <v>2</v>
      </c>
      <c r="S4907" s="43">
        <v>221086</v>
      </c>
      <c r="T4907" s="74">
        <v>44402</v>
      </c>
    </row>
    <row r="4908" spans="1:20" x14ac:dyDescent="0.3">
      <c r="A4908" s="42">
        <v>44394</v>
      </c>
      <c r="B4908" s="37">
        <f t="shared" ref="B4908:B4909" si="194">YEAR(A4908)*10000+MONTH(A4908)*100+DAY(A4908)</f>
        <v>20210717</v>
      </c>
      <c r="C4908" s="109">
        <v>1.6899999999999998E-2</v>
      </c>
      <c r="D4908" s="109">
        <v>0.01</v>
      </c>
      <c r="E4908" s="109">
        <v>1.2E-2</v>
      </c>
      <c r="F4908" s="109">
        <v>1.2999999999999999E-2</v>
      </c>
      <c r="G4908" s="130">
        <v>0</v>
      </c>
      <c r="H4908" s="71">
        <v>8.6</v>
      </c>
      <c r="I4908" s="71">
        <v>11.2</v>
      </c>
      <c r="J4908" s="71">
        <v>13.7</v>
      </c>
      <c r="K4908" s="121">
        <v>8.0000000000000004E-4</v>
      </c>
      <c r="L4908" s="121">
        <v>-5.0000000000000001E-3</v>
      </c>
      <c r="M4908" s="75" t="s">
        <v>146</v>
      </c>
      <c r="N4908" s="75" t="b">
        <v>1</v>
      </c>
      <c r="O4908" s="75" t="s">
        <v>145</v>
      </c>
      <c r="P4908" s="75">
        <v>2014</v>
      </c>
      <c r="Q4908" s="107">
        <f t="shared" si="188"/>
        <v>2021</v>
      </c>
      <c r="R4908" s="107">
        <v>2</v>
      </c>
      <c r="S4908" s="43">
        <v>221086</v>
      </c>
      <c r="T4908" s="74">
        <v>44402</v>
      </c>
    </row>
    <row r="4909" spans="1:20" x14ac:dyDescent="0.3">
      <c r="A4909" s="42">
        <v>44395</v>
      </c>
      <c r="B4909" s="37">
        <f t="shared" si="194"/>
        <v>20210718</v>
      </c>
      <c r="C4909" s="109">
        <v>1.6899999999999998E-2</v>
      </c>
      <c r="D4909" s="109">
        <v>0.01</v>
      </c>
      <c r="E4909" s="109">
        <v>1.2E-2</v>
      </c>
      <c r="F4909" s="109">
        <v>1.2999999999999999E-2</v>
      </c>
      <c r="G4909" s="130">
        <v>0</v>
      </c>
      <c r="H4909" s="71">
        <v>8.6</v>
      </c>
      <c r="I4909" s="71">
        <v>11.2</v>
      </c>
      <c r="J4909" s="71">
        <v>13.7</v>
      </c>
      <c r="K4909" s="121">
        <v>8.0000000000000004E-4</v>
      </c>
      <c r="L4909" s="121">
        <v>-5.0000000000000001E-3</v>
      </c>
      <c r="M4909" s="75" t="s">
        <v>146</v>
      </c>
      <c r="N4909" s="75" t="b">
        <v>1</v>
      </c>
      <c r="O4909" s="75" t="s">
        <v>145</v>
      </c>
      <c r="P4909" s="75">
        <v>2014</v>
      </c>
      <c r="Q4909" s="107">
        <f t="shared" si="188"/>
        <v>2021</v>
      </c>
      <c r="R4909" s="107">
        <v>2</v>
      </c>
      <c r="S4909" s="43">
        <v>221086</v>
      </c>
      <c r="T4909" s="74">
        <v>44402</v>
      </c>
    </row>
    <row r="4910" spans="1:20" x14ac:dyDescent="0.3">
      <c r="A4910" s="42">
        <v>44396</v>
      </c>
      <c r="B4910" s="37">
        <f t="shared" si="193"/>
        <v>20210719</v>
      </c>
      <c r="C4910" s="109">
        <v>1.6E-2</v>
      </c>
      <c r="D4910" s="109">
        <v>0.01</v>
      </c>
      <c r="E4910" s="109">
        <v>1.2E-2</v>
      </c>
      <c r="F4910" s="109">
        <v>1.2999999999999999E-2</v>
      </c>
      <c r="G4910" s="130">
        <v>0</v>
      </c>
      <c r="H4910" s="71">
        <v>8.6</v>
      </c>
      <c r="I4910" s="71">
        <v>11.2</v>
      </c>
      <c r="J4910" s="71">
        <v>13.7</v>
      </c>
      <c r="K4910" s="121">
        <v>2.9999999999999997E-4</v>
      </c>
      <c r="L4910" s="121">
        <v>-5.0000000000000001E-3</v>
      </c>
      <c r="M4910" s="75" t="s">
        <v>146</v>
      </c>
      <c r="N4910" s="75" t="b">
        <v>1</v>
      </c>
      <c r="O4910" s="75" t="s">
        <v>145</v>
      </c>
      <c r="P4910" s="75">
        <v>2014</v>
      </c>
      <c r="Q4910" s="107">
        <f t="shared" si="188"/>
        <v>2021</v>
      </c>
      <c r="R4910" s="107">
        <v>2</v>
      </c>
      <c r="S4910" s="43">
        <v>221086</v>
      </c>
      <c r="T4910" s="74">
        <v>44402</v>
      </c>
    </row>
    <row r="4911" spans="1:20" x14ac:dyDescent="0.3">
      <c r="A4911" s="42">
        <v>44397</v>
      </c>
      <c r="B4911" s="37">
        <f t="shared" si="193"/>
        <v>20210720</v>
      </c>
      <c r="C4911" s="109">
        <v>1.66E-2</v>
      </c>
      <c r="D4911" s="109">
        <v>0.01</v>
      </c>
      <c r="E4911" s="109">
        <v>1.2E-2</v>
      </c>
      <c r="F4911" s="109">
        <v>1.2999999999999999E-2</v>
      </c>
      <c r="G4911" s="130">
        <v>0</v>
      </c>
      <c r="H4911" s="71">
        <v>8.6</v>
      </c>
      <c r="I4911" s="71">
        <v>11.2</v>
      </c>
      <c r="J4911" s="71">
        <v>13.7</v>
      </c>
      <c r="K4911" s="121">
        <v>1.1999999999999999E-3</v>
      </c>
      <c r="L4911" s="121">
        <v>-5.0000000000000001E-3</v>
      </c>
      <c r="M4911" s="75" t="s">
        <v>146</v>
      </c>
      <c r="N4911" s="75" t="b">
        <v>1</v>
      </c>
      <c r="O4911" s="75" t="s">
        <v>145</v>
      </c>
      <c r="P4911" s="75">
        <v>2014</v>
      </c>
      <c r="Q4911" s="107">
        <f t="shared" si="188"/>
        <v>2021</v>
      </c>
      <c r="R4911" s="107">
        <v>2</v>
      </c>
      <c r="S4911" s="43">
        <v>221086</v>
      </c>
      <c r="T4911" s="74">
        <v>44402</v>
      </c>
    </row>
    <row r="4912" spans="1:20" x14ac:dyDescent="0.3">
      <c r="A4912" s="42">
        <v>44398</v>
      </c>
      <c r="B4912" s="37">
        <f t="shared" si="193"/>
        <v>20210721</v>
      </c>
      <c r="C4912" s="109">
        <v>1.7100000000000001E-2</v>
      </c>
      <c r="D4912" s="109">
        <v>0.01</v>
      </c>
      <c r="E4912" s="109">
        <v>1.2E-2</v>
      </c>
      <c r="F4912" s="109">
        <v>1.2999999999999999E-2</v>
      </c>
      <c r="G4912" s="130">
        <v>0</v>
      </c>
      <c r="H4912" s="71">
        <v>8.6</v>
      </c>
      <c r="I4912" s="71">
        <v>11.2</v>
      </c>
      <c r="J4912" s="71">
        <v>13.7</v>
      </c>
      <c r="K4912" s="121">
        <v>1.4000000000000002E-3</v>
      </c>
      <c r="L4912" s="121">
        <v>-5.0000000000000001E-3</v>
      </c>
      <c r="M4912" s="75" t="s">
        <v>146</v>
      </c>
      <c r="N4912" s="75" t="b">
        <v>1</v>
      </c>
      <c r="O4912" s="75" t="s">
        <v>145</v>
      </c>
      <c r="P4912" s="75">
        <v>2014</v>
      </c>
      <c r="Q4912" s="107">
        <f t="shared" si="188"/>
        <v>2021</v>
      </c>
      <c r="R4912" s="107">
        <v>2</v>
      </c>
      <c r="S4912" s="43">
        <v>221086</v>
      </c>
      <c r="T4912" s="74">
        <v>44402</v>
      </c>
    </row>
    <row r="4913" spans="1:20" x14ac:dyDescent="0.3">
      <c r="A4913" s="42">
        <v>44399</v>
      </c>
      <c r="B4913" s="37">
        <f t="shared" si="193"/>
        <v>20210722</v>
      </c>
      <c r="C4913" s="109">
        <v>1.6799999999999999E-2</v>
      </c>
      <c r="D4913" s="109">
        <v>0.01</v>
      </c>
      <c r="E4913" s="109">
        <v>1.2E-2</v>
      </c>
      <c r="F4913" s="109">
        <v>1.2999999999999999E-2</v>
      </c>
      <c r="G4913" s="130">
        <v>0</v>
      </c>
      <c r="H4913" s="71">
        <v>8.6</v>
      </c>
      <c r="I4913" s="71">
        <v>11.2</v>
      </c>
      <c r="J4913" s="71">
        <v>13.7</v>
      </c>
      <c r="K4913" s="121">
        <v>1E-3</v>
      </c>
      <c r="L4913" s="121">
        <v>-5.0000000000000001E-3</v>
      </c>
      <c r="M4913" s="75" t="s">
        <v>146</v>
      </c>
      <c r="N4913" s="75" t="b">
        <v>1</v>
      </c>
      <c r="O4913" s="75" t="s">
        <v>145</v>
      </c>
      <c r="P4913" s="75">
        <v>2014</v>
      </c>
      <c r="Q4913" s="107">
        <f t="shared" si="188"/>
        <v>2021</v>
      </c>
      <c r="R4913" s="107">
        <v>2</v>
      </c>
      <c r="S4913" s="43">
        <v>221086</v>
      </c>
      <c r="T4913" s="74">
        <v>44402</v>
      </c>
    </row>
    <row r="4914" spans="1:20" x14ac:dyDescent="0.3">
      <c r="A4914" s="42">
        <v>44400</v>
      </c>
      <c r="B4914" s="37">
        <f t="shared" si="193"/>
        <v>20210723</v>
      </c>
      <c r="C4914" s="109">
        <v>1.6899999999999998E-2</v>
      </c>
      <c r="D4914" s="109">
        <v>0.01</v>
      </c>
      <c r="E4914" s="109">
        <v>1.2E-2</v>
      </c>
      <c r="F4914" s="109">
        <v>1.2999999999999999E-2</v>
      </c>
      <c r="G4914" s="130">
        <v>0</v>
      </c>
      <c r="H4914" s="71">
        <v>8.6</v>
      </c>
      <c r="I4914" s="71">
        <v>11.2</v>
      </c>
      <c r="J4914" s="71">
        <v>13.7</v>
      </c>
      <c r="K4914" s="121">
        <v>8.9999999999999998E-4</v>
      </c>
      <c r="L4914" s="121">
        <v>-5.0000000000000001E-3</v>
      </c>
      <c r="M4914" s="75" t="s">
        <v>146</v>
      </c>
      <c r="N4914" s="75" t="b">
        <v>1</v>
      </c>
      <c r="O4914" s="75" t="s">
        <v>145</v>
      </c>
      <c r="P4914" s="75">
        <v>2014</v>
      </c>
      <c r="Q4914" s="107">
        <f t="shared" si="188"/>
        <v>2021</v>
      </c>
      <c r="R4914" s="107">
        <v>2</v>
      </c>
      <c r="S4914" s="43">
        <v>221086</v>
      </c>
      <c r="T4914" s="74">
        <v>44402</v>
      </c>
    </row>
    <row r="4915" spans="1:20" x14ac:dyDescent="0.3">
      <c r="A4915" s="42">
        <v>44401</v>
      </c>
      <c r="B4915" s="37">
        <f t="shared" ref="B4915:B4916" si="195">YEAR(A4915)*10000+MONTH(A4915)*100+DAY(A4915)</f>
        <v>20210724</v>
      </c>
      <c r="C4915" s="109">
        <v>1.6899999999999998E-2</v>
      </c>
      <c r="D4915" s="109">
        <v>0.01</v>
      </c>
      <c r="E4915" s="109">
        <v>1.2E-2</v>
      </c>
      <c r="F4915" s="109">
        <v>1.2999999999999999E-2</v>
      </c>
      <c r="G4915" s="130">
        <v>0</v>
      </c>
      <c r="H4915" s="71">
        <v>8.6</v>
      </c>
      <c r="I4915" s="71">
        <v>11.2</v>
      </c>
      <c r="J4915" s="71">
        <v>13.7</v>
      </c>
      <c r="K4915" s="121">
        <v>8.9999999999999998E-4</v>
      </c>
      <c r="L4915" s="121">
        <v>-5.0000000000000001E-3</v>
      </c>
      <c r="M4915" s="75" t="s">
        <v>146</v>
      </c>
      <c r="N4915" s="75" t="b">
        <v>1</v>
      </c>
      <c r="O4915" s="75" t="s">
        <v>145</v>
      </c>
      <c r="P4915" s="75">
        <v>2014</v>
      </c>
      <c r="Q4915" s="107">
        <f t="shared" si="188"/>
        <v>2021</v>
      </c>
      <c r="R4915" s="107">
        <v>2</v>
      </c>
      <c r="S4915" s="43">
        <v>221086</v>
      </c>
      <c r="T4915" s="74">
        <v>44402</v>
      </c>
    </row>
    <row r="4916" spans="1:20" x14ac:dyDescent="0.3">
      <c r="A4916" s="42">
        <v>44402</v>
      </c>
      <c r="B4916" s="37">
        <f t="shared" si="195"/>
        <v>20210725</v>
      </c>
      <c r="C4916" s="109">
        <v>1.6899999999999998E-2</v>
      </c>
      <c r="D4916" s="109">
        <v>0.01</v>
      </c>
      <c r="E4916" s="109">
        <v>1.2E-2</v>
      </c>
      <c r="F4916" s="109">
        <v>1.2999999999999999E-2</v>
      </c>
      <c r="G4916" s="130">
        <v>0</v>
      </c>
      <c r="H4916" s="71">
        <v>8.6</v>
      </c>
      <c r="I4916" s="71">
        <v>11.2</v>
      </c>
      <c r="J4916" s="71">
        <v>13.7</v>
      </c>
      <c r="K4916" s="121">
        <v>8.9999999999999998E-4</v>
      </c>
      <c r="L4916" s="121">
        <v>-5.0000000000000001E-3</v>
      </c>
      <c r="M4916" s="75" t="s">
        <v>146</v>
      </c>
      <c r="N4916" s="75" t="b">
        <v>1</v>
      </c>
      <c r="O4916" s="75" t="s">
        <v>145</v>
      </c>
      <c r="P4916" s="75">
        <v>2014</v>
      </c>
      <c r="Q4916" s="107">
        <f t="shared" si="188"/>
        <v>2021</v>
      </c>
      <c r="R4916" s="107">
        <v>2</v>
      </c>
      <c r="S4916" s="43">
        <v>221086</v>
      </c>
      <c r="T4916" s="74">
        <v>44402</v>
      </c>
    </row>
    <row r="4917" spans="1:20" x14ac:dyDescent="0.3">
      <c r="A4917" s="42">
        <v>44403</v>
      </c>
      <c r="B4917" s="37">
        <f t="shared" si="193"/>
        <v>20210726</v>
      </c>
      <c r="C4917" s="109">
        <v>1.7000000000000001E-2</v>
      </c>
      <c r="D4917" s="109">
        <v>0.01</v>
      </c>
      <c r="E4917" s="109">
        <v>1.2E-2</v>
      </c>
      <c r="F4917" s="109">
        <v>1.2999999999999999E-2</v>
      </c>
      <c r="G4917" s="130">
        <v>0</v>
      </c>
      <c r="H4917" s="71">
        <v>8.6</v>
      </c>
      <c r="I4917" s="71">
        <v>11.2</v>
      </c>
      <c r="J4917" s="71">
        <v>13.7</v>
      </c>
      <c r="K4917" s="121">
        <v>7.000000000000001E-4</v>
      </c>
      <c r="L4917" s="121">
        <v>-5.0000000000000001E-3</v>
      </c>
      <c r="M4917" s="75" t="s">
        <v>146</v>
      </c>
      <c r="N4917" s="75" t="b">
        <v>1</v>
      </c>
      <c r="O4917" s="75" t="s">
        <v>145</v>
      </c>
      <c r="P4917" s="75">
        <v>2014</v>
      </c>
      <c r="Q4917" s="107">
        <f t="shared" si="188"/>
        <v>2021</v>
      </c>
      <c r="R4917" s="107">
        <v>2</v>
      </c>
      <c r="S4917" s="43">
        <v>221086</v>
      </c>
      <c r="T4917" s="74">
        <v>44402</v>
      </c>
    </row>
    <row r="4918" spans="1:20" x14ac:dyDescent="0.3">
      <c r="A4918" s="42">
        <v>44404</v>
      </c>
      <c r="B4918" s="37">
        <f t="shared" si="193"/>
        <v>20210727</v>
      </c>
      <c r="C4918" s="109">
        <v>1.6500000000000001E-2</v>
      </c>
      <c r="D4918" s="109">
        <v>0.01</v>
      </c>
      <c r="E4918" s="109">
        <v>1.2E-2</v>
      </c>
      <c r="F4918" s="109">
        <v>1.2999999999999999E-2</v>
      </c>
      <c r="G4918" s="130">
        <v>0</v>
      </c>
      <c r="H4918" s="71">
        <v>8.6</v>
      </c>
      <c r="I4918" s="71">
        <v>11.2</v>
      </c>
      <c r="J4918" s="71">
        <v>13.7</v>
      </c>
      <c r="K4918" s="121">
        <v>4.0000000000000002E-4</v>
      </c>
      <c r="L4918" s="121">
        <v>-5.0000000000000001E-3</v>
      </c>
      <c r="M4918" s="75" t="s">
        <v>146</v>
      </c>
      <c r="N4918" s="75" t="b">
        <v>1</v>
      </c>
      <c r="O4918" s="75" t="s">
        <v>145</v>
      </c>
      <c r="P4918" s="75">
        <v>2014</v>
      </c>
      <c r="Q4918" s="107">
        <f t="shared" si="188"/>
        <v>2021</v>
      </c>
      <c r="R4918" s="107">
        <v>2</v>
      </c>
      <c r="S4918" s="43">
        <v>221086</v>
      </c>
      <c r="T4918" s="74">
        <v>44402</v>
      </c>
    </row>
    <row r="4919" spans="1:20" x14ac:dyDescent="0.3">
      <c r="A4919" s="42">
        <v>44405</v>
      </c>
      <c r="B4919" s="37">
        <f t="shared" si="193"/>
        <v>20210728</v>
      </c>
      <c r="C4919" s="109">
        <v>1.6399999999999998E-2</v>
      </c>
      <c r="D4919" s="109">
        <v>0.01</v>
      </c>
      <c r="E4919" s="109">
        <v>1.2E-2</v>
      </c>
      <c r="F4919" s="109">
        <v>1.2999999999999999E-2</v>
      </c>
      <c r="G4919" s="130">
        <v>0</v>
      </c>
      <c r="H4919" s="71">
        <v>8.6</v>
      </c>
      <c r="I4919" s="71">
        <v>11.2</v>
      </c>
      <c r="J4919" s="71">
        <v>13.7</v>
      </c>
      <c r="K4919" s="121">
        <v>2.0000000000000001E-4</v>
      </c>
      <c r="L4919" s="121">
        <v>-5.0000000000000001E-3</v>
      </c>
      <c r="M4919" s="75" t="s">
        <v>146</v>
      </c>
      <c r="N4919" s="75" t="b">
        <v>1</v>
      </c>
      <c r="O4919" s="75" t="s">
        <v>145</v>
      </c>
      <c r="P4919" s="75">
        <v>2014</v>
      </c>
      <c r="Q4919" s="107">
        <f t="shared" si="188"/>
        <v>2021</v>
      </c>
      <c r="R4919" s="107">
        <v>2</v>
      </c>
      <c r="S4919" s="43">
        <v>221086</v>
      </c>
      <c r="T4919" s="74">
        <v>44402</v>
      </c>
    </row>
    <row r="4920" spans="1:20" x14ac:dyDescent="0.3">
      <c r="A4920" s="42">
        <v>44406</v>
      </c>
      <c r="B4920" s="37">
        <f t="shared" si="193"/>
        <v>20210729</v>
      </c>
      <c r="C4920" s="109">
        <v>1.66E-2</v>
      </c>
      <c r="D4920" s="109">
        <v>0.01</v>
      </c>
      <c r="E4920" s="109">
        <v>1.2E-2</v>
      </c>
      <c r="F4920" s="109">
        <v>1.2999999999999999E-2</v>
      </c>
      <c r="G4920" s="130">
        <v>0</v>
      </c>
      <c r="H4920" s="71">
        <v>8.6</v>
      </c>
      <c r="I4920" s="71">
        <v>11.2</v>
      </c>
      <c r="J4920" s="71">
        <v>13.7</v>
      </c>
      <c r="K4920" s="121">
        <v>2.9999999999999997E-4</v>
      </c>
      <c r="L4920" s="121">
        <v>-5.0000000000000001E-3</v>
      </c>
      <c r="M4920" s="75" t="s">
        <v>146</v>
      </c>
      <c r="N4920" s="75" t="b">
        <v>1</v>
      </c>
      <c r="O4920" s="75" t="s">
        <v>145</v>
      </c>
      <c r="P4920" s="75">
        <v>2014</v>
      </c>
      <c r="Q4920" s="107">
        <f t="shared" si="188"/>
        <v>2021</v>
      </c>
      <c r="R4920" s="107">
        <v>2</v>
      </c>
      <c r="S4920" s="43">
        <v>221086</v>
      </c>
      <c r="T4920" s="74">
        <v>44402</v>
      </c>
    </row>
    <row r="4921" spans="1:20" x14ac:dyDescent="0.3">
      <c r="A4921" s="42">
        <v>44407</v>
      </c>
      <c r="B4921" s="37">
        <f t="shared" si="193"/>
        <v>20210730</v>
      </c>
      <c r="C4921" s="109">
        <v>1.6799999999999999E-2</v>
      </c>
      <c r="D4921" s="109">
        <v>0.01</v>
      </c>
      <c r="E4921" s="109">
        <v>1.2E-2</v>
      </c>
      <c r="F4921" s="109">
        <v>1.2999999999999999E-2</v>
      </c>
      <c r="G4921" s="130">
        <v>0</v>
      </c>
      <c r="H4921" s="71">
        <v>8.6</v>
      </c>
      <c r="I4921" s="71">
        <v>11.2</v>
      </c>
      <c r="J4921" s="71">
        <v>13.7</v>
      </c>
      <c r="K4921" s="121">
        <v>5.9999999999999995E-4</v>
      </c>
      <c r="L4921" s="121">
        <v>-5.0000000000000001E-3</v>
      </c>
      <c r="M4921" s="75" t="s">
        <v>146</v>
      </c>
      <c r="N4921" s="75" t="b">
        <v>1</v>
      </c>
      <c r="O4921" s="75" t="s">
        <v>145</v>
      </c>
      <c r="P4921" s="75">
        <v>2014</v>
      </c>
      <c r="Q4921" s="107">
        <f t="shared" si="188"/>
        <v>2021</v>
      </c>
      <c r="R4921" s="107">
        <v>2</v>
      </c>
      <c r="S4921" s="43">
        <v>221086</v>
      </c>
      <c r="T4921" s="74">
        <v>44402</v>
      </c>
    </row>
    <row r="4922" spans="1:20" x14ac:dyDescent="0.3">
      <c r="A4922" s="42">
        <v>44408</v>
      </c>
      <c r="B4922" s="37">
        <f t="shared" ref="B4922:B4924" si="196">YEAR(A4922)*10000+MONTH(A4922)*100+DAY(A4922)</f>
        <v>20210731</v>
      </c>
      <c r="C4922" s="109">
        <v>1.6799999999999999E-2</v>
      </c>
      <c r="D4922" s="109">
        <v>0.01</v>
      </c>
      <c r="E4922" s="109">
        <v>1.2E-2</v>
      </c>
      <c r="F4922" s="109">
        <v>1.2999999999999999E-2</v>
      </c>
      <c r="G4922" s="130">
        <v>0</v>
      </c>
      <c r="H4922" s="71">
        <v>8.6</v>
      </c>
      <c r="I4922" s="71">
        <v>11.2</v>
      </c>
      <c r="J4922" s="71">
        <v>13.7</v>
      </c>
      <c r="K4922" s="121">
        <v>5.9999999999999995E-4</v>
      </c>
      <c r="L4922" s="121">
        <v>-5.0000000000000001E-3</v>
      </c>
      <c r="M4922" s="75" t="s">
        <v>146</v>
      </c>
      <c r="N4922" s="75" t="b">
        <v>1</v>
      </c>
      <c r="O4922" s="75" t="s">
        <v>145</v>
      </c>
      <c r="P4922" s="75">
        <v>2014</v>
      </c>
      <c r="Q4922" s="107">
        <f t="shared" si="188"/>
        <v>2021</v>
      </c>
      <c r="R4922" s="107">
        <v>2</v>
      </c>
      <c r="S4922" s="43">
        <v>221086</v>
      </c>
      <c r="T4922" s="74">
        <v>44402</v>
      </c>
    </row>
    <row r="4923" spans="1:20" x14ac:dyDescent="0.3">
      <c r="A4923" s="42">
        <v>44409</v>
      </c>
      <c r="B4923" s="37">
        <f t="shared" si="196"/>
        <v>20210801</v>
      </c>
      <c r="C4923" s="109">
        <v>1.6799999999999999E-2</v>
      </c>
      <c r="D4923" s="109">
        <v>0.01</v>
      </c>
      <c r="E4923" s="109">
        <v>1.2E-2</v>
      </c>
      <c r="F4923" s="109">
        <v>1.2999999999999999E-2</v>
      </c>
      <c r="G4923" s="130">
        <v>0</v>
      </c>
      <c r="H4923" s="71">
        <v>8.6</v>
      </c>
      <c r="I4923" s="71">
        <v>11.2</v>
      </c>
      <c r="J4923" s="71">
        <v>13.7</v>
      </c>
      <c r="K4923" s="121">
        <v>5.9999999999999995E-4</v>
      </c>
      <c r="L4923" s="121">
        <v>-5.0000000000000001E-3</v>
      </c>
      <c r="M4923" s="75" t="s">
        <v>146</v>
      </c>
      <c r="N4923" s="75" t="b">
        <v>1</v>
      </c>
      <c r="O4923" s="75" t="s">
        <v>145</v>
      </c>
      <c r="P4923" s="75">
        <v>2014</v>
      </c>
      <c r="Q4923" s="107">
        <f t="shared" si="188"/>
        <v>2021</v>
      </c>
      <c r="R4923" s="107">
        <v>2</v>
      </c>
      <c r="S4923" s="43">
        <v>221086</v>
      </c>
      <c r="T4923" s="74">
        <v>44402</v>
      </c>
    </row>
    <row r="4924" spans="1:20" x14ac:dyDescent="0.3">
      <c r="A4924" s="42">
        <v>44410</v>
      </c>
      <c r="B4924" s="37">
        <f t="shared" si="196"/>
        <v>20210802</v>
      </c>
      <c r="C4924" s="109">
        <v>1.6799999999999999E-2</v>
      </c>
      <c r="D4924" s="109">
        <v>0.01</v>
      </c>
      <c r="E4924" s="109">
        <v>1.2E-2</v>
      </c>
      <c r="F4924" s="109">
        <v>1.2999999999999999E-2</v>
      </c>
      <c r="G4924" s="130">
        <v>0</v>
      </c>
      <c r="H4924" s="71">
        <v>8.6</v>
      </c>
      <c r="I4924" s="71">
        <v>11.2</v>
      </c>
      <c r="J4924" s="71">
        <v>13.7</v>
      </c>
      <c r="K4924" s="121">
        <v>5.9999999999999995E-4</v>
      </c>
      <c r="L4924" s="121">
        <v>-5.0000000000000001E-3</v>
      </c>
      <c r="M4924" s="75" t="s">
        <v>146</v>
      </c>
      <c r="N4924" s="75" t="b">
        <v>1</v>
      </c>
      <c r="O4924" s="75" t="s">
        <v>145</v>
      </c>
      <c r="P4924" s="75">
        <v>2014</v>
      </c>
      <c r="Q4924" s="107">
        <f t="shared" si="188"/>
        <v>2021</v>
      </c>
      <c r="R4924" s="107">
        <v>2</v>
      </c>
      <c r="S4924" s="43">
        <v>221086</v>
      </c>
      <c r="T4924" s="74">
        <v>44402</v>
      </c>
    </row>
    <row r="4925" spans="1:20" x14ac:dyDescent="0.3">
      <c r="A4925" s="42">
        <v>44411</v>
      </c>
      <c r="B4925" s="37">
        <f t="shared" si="193"/>
        <v>20210803</v>
      </c>
      <c r="C4925" s="109">
        <v>1.61E-2</v>
      </c>
      <c r="D4925" s="109">
        <v>0.01</v>
      </c>
      <c r="E4925" s="109">
        <v>1.2E-2</v>
      </c>
      <c r="F4925" s="109">
        <v>1.2999999999999999E-2</v>
      </c>
      <c r="G4925" s="130">
        <v>0</v>
      </c>
      <c r="H4925" s="71">
        <v>8.6</v>
      </c>
      <c r="I4925" s="71">
        <v>11.2</v>
      </c>
      <c r="J4925" s="71">
        <v>13.7</v>
      </c>
      <c r="K4925" s="121">
        <v>2.9999999999999997E-4</v>
      </c>
      <c r="L4925" s="121">
        <v>-5.0000000000000001E-3</v>
      </c>
      <c r="M4925" s="75" t="s">
        <v>146</v>
      </c>
      <c r="N4925" s="75" t="b">
        <v>1</v>
      </c>
      <c r="O4925" s="75" t="s">
        <v>145</v>
      </c>
      <c r="P4925" s="75">
        <v>2014</v>
      </c>
      <c r="Q4925" s="107">
        <f t="shared" si="188"/>
        <v>2021</v>
      </c>
      <c r="R4925" s="107">
        <v>2</v>
      </c>
      <c r="S4925" s="43">
        <v>221086</v>
      </c>
      <c r="T4925" s="74">
        <v>44402</v>
      </c>
    </row>
    <row r="4926" spans="1:20" x14ac:dyDescent="0.3">
      <c r="A4926" s="42">
        <v>44412</v>
      </c>
      <c r="B4926" s="37">
        <f t="shared" si="193"/>
        <v>20210804</v>
      </c>
      <c r="C4926" s="109">
        <v>1.6200000000000003E-2</v>
      </c>
      <c r="D4926" s="109">
        <v>0.01</v>
      </c>
      <c r="E4926" s="109">
        <v>1.2E-2</v>
      </c>
      <c r="F4926" s="109">
        <v>1.2999999999999999E-2</v>
      </c>
      <c r="G4926" s="130">
        <v>0</v>
      </c>
      <c r="H4926" s="71">
        <v>8.6</v>
      </c>
      <c r="I4926" s="71">
        <v>11.2</v>
      </c>
      <c r="J4926" s="71">
        <v>13.7</v>
      </c>
      <c r="K4926" s="121">
        <v>4.0000000000000002E-4</v>
      </c>
      <c r="L4926" s="121">
        <v>-5.0000000000000001E-3</v>
      </c>
      <c r="M4926" s="75" t="s">
        <v>146</v>
      </c>
      <c r="N4926" s="75" t="b">
        <v>1</v>
      </c>
      <c r="O4926" s="75" t="s">
        <v>145</v>
      </c>
      <c r="P4926" s="75">
        <v>2014</v>
      </c>
      <c r="Q4926" s="107">
        <f t="shared" si="188"/>
        <v>2021</v>
      </c>
      <c r="R4926" s="107">
        <v>2</v>
      </c>
      <c r="S4926" s="43">
        <v>221086</v>
      </c>
      <c r="T4926" s="74">
        <v>44402</v>
      </c>
    </row>
    <row r="4927" spans="1:20" x14ac:dyDescent="0.3">
      <c r="A4927" s="42">
        <v>44413</v>
      </c>
      <c r="B4927" s="37">
        <f t="shared" si="193"/>
        <v>20210805</v>
      </c>
      <c r="C4927" s="109">
        <v>1.6200000000000003E-2</v>
      </c>
      <c r="D4927" s="109">
        <v>0.01</v>
      </c>
      <c r="E4927" s="109">
        <v>1.2E-2</v>
      </c>
      <c r="F4927" s="109">
        <v>1.2999999999999999E-2</v>
      </c>
      <c r="G4927" s="130">
        <v>0</v>
      </c>
      <c r="H4927" s="71">
        <v>8.6</v>
      </c>
      <c r="I4927" s="71">
        <v>11.2</v>
      </c>
      <c r="J4927" s="71">
        <v>13.7</v>
      </c>
      <c r="K4927" s="121">
        <v>5.0000000000000001E-4</v>
      </c>
      <c r="L4927" s="121">
        <v>-5.0000000000000001E-3</v>
      </c>
      <c r="M4927" s="75" t="s">
        <v>146</v>
      </c>
      <c r="N4927" s="75" t="b">
        <v>1</v>
      </c>
      <c r="O4927" s="75" t="s">
        <v>145</v>
      </c>
      <c r="P4927" s="75">
        <v>2014</v>
      </c>
      <c r="Q4927" s="107">
        <f t="shared" si="188"/>
        <v>2021</v>
      </c>
      <c r="R4927" s="107">
        <v>2</v>
      </c>
      <c r="S4927" s="43">
        <v>221086</v>
      </c>
      <c r="T4927" s="74">
        <v>44402</v>
      </c>
    </row>
    <row r="4928" spans="1:20" x14ac:dyDescent="0.3">
      <c r="A4928" s="42">
        <v>44414</v>
      </c>
      <c r="B4928" s="37">
        <f t="shared" si="193"/>
        <v>20210806</v>
      </c>
      <c r="C4928" s="109">
        <v>1.6799999999999999E-2</v>
      </c>
      <c r="D4928" s="109">
        <v>0.01</v>
      </c>
      <c r="E4928" s="109">
        <v>1.2E-2</v>
      </c>
      <c r="F4928" s="109">
        <v>1.2999999999999999E-2</v>
      </c>
      <c r="G4928" s="130">
        <v>0</v>
      </c>
      <c r="H4928" s="71">
        <v>8.6</v>
      </c>
      <c r="I4928" s="71">
        <v>11.2</v>
      </c>
      <c r="J4928" s="71">
        <v>13.7</v>
      </c>
      <c r="K4928" s="121">
        <v>8.9999999999999998E-4</v>
      </c>
      <c r="L4928" s="121">
        <v>-5.0000000000000001E-3</v>
      </c>
      <c r="M4928" s="75" t="s">
        <v>146</v>
      </c>
      <c r="N4928" s="75" t="b">
        <v>1</v>
      </c>
      <c r="O4928" s="75" t="s">
        <v>145</v>
      </c>
      <c r="P4928" s="75">
        <v>2014</v>
      </c>
      <c r="Q4928" s="107">
        <f t="shared" si="188"/>
        <v>2021</v>
      </c>
      <c r="R4928" s="107">
        <v>2</v>
      </c>
      <c r="S4928" s="43">
        <v>221086</v>
      </c>
      <c r="T4928" s="74">
        <v>44402</v>
      </c>
    </row>
    <row r="4929" spans="1:20" x14ac:dyDescent="0.3">
      <c r="A4929" s="42">
        <v>44415</v>
      </c>
      <c r="B4929" s="37">
        <f t="shared" ref="B4929:B4930" si="197">YEAR(A4929)*10000+MONTH(A4929)*100+DAY(A4929)</f>
        <v>20210807</v>
      </c>
      <c r="C4929" s="109">
        <v>1.6799999999999999E-2</v>
      </c>
      <c r="D4929" s="109">
        <v>0.01</v>
      </c>
      <c r="E4929" s="109">
        <v>1.2E-2</v>
      </c>
      <c r="F4929" s="109">
        <v>1.2999999999999999E-2</v>
      </c>
      <c r="G4929" s="130">
        <v>0</v>
      </c>
      <c r="H4929" s="71">
        <v>8.6</v>
      </c>
      <c r="I4929" s="71">
        <v>11.2</v>
      </c>
      <c r="J4929" s="71">
        <v>13.7</v>
      </c>
      <c r="K4929" s="121">
        <v>8.9999999999999998E-4</v>
      </c>
      <c r="L4929" s="121">
        <v>-5.0000000000000001E-3</v>
      </c>
      <c r="M4929" s="75" t="s">
        <v>146</v>
      </c>
      <c r="N4929" s="75" t="b">
        <v>1</v>
      </c>
      <c r="O4929" s="75" t="s">
        <v>145</v>
      </c>
      <c r="P4929" s="75">
        <v>2014</v>
      </c>
      <c r="Q4929" s="107">
        <f t="shared" si="188"/>
        <v>2021</v>
      </c>
      <c r="R4929" s="107">
        <v>2</v>
      </c>
      <c r="S4929" s="43">
        <v>221086</v>
      </c>
      <c r="T4929" s="74">
        <v>44402</v>
      </c>
    </row>
    <row r="4930" spans="1:20" x14ac:dyDescent="0.3">
      <c r="A4930" s="42">
        <v>44416</v>
      </c>
      <c r="B4930" s="37">
        <f t="shared" si="197"/>
        <v>20210808</v>
      </c>
      <c r="C4930" s="109">
        <v>1.6799999999999999E-2</v>
      </c>
      <c r="D4930" s="109">
        <v>0.01</v>
      </c>
      <c r="E4930" s="109">
        <v>1.2E-2</v>
      </c>
      <c r="F4930" s="109">
        <v>1.2999999999999999E-2</v>
      </c>
      <c r="G4930" s="130">
        <v>0</v>
      </c>
      <c r="H4930" s="71">
        <v>8.6</v>
      </c>
      <c r="I4930" s="71">
        <v>11.2</v>
      </c>
      <c r="J4930" s="71">
        <v>13.7</v>
      </c>
      <c r="K4930" s="121">
        <v>8.9999999999999998E-4</v>
      </c>
      <c r="L4930" s="121">
        <v>-5.0000000000000001E-3</v>
      </c>
      <c r="M4930" s="75" t="s">
        <v>146</v>
      </c>
      <c r="N4930" s="75" t="b">
        <v>1</v>
      </c>
      <c r="O4930" s="75" t="s">
        <v>145</v>
      </c>
      <c r="P4930" s="75">
        <v>2014</v>
      </c>
      <c r="Q4930" s="107">
        <f t="shared" si="188"/>
        <v>2021</v>
      </c>
      <c r="R4930" s="107">
        <v>2</v>
      </c>
      <c r="S4930" s="43">
        <v>221086</v>
      </c>
      <c r="T4930" s="74">
        <v>44402</v>
      </c>
    </row>
    <row r="4931" spans="1:20" x14ac:dyDescent="0.3">
      <c r="A4931" s="42">
        <v>44417</v>
      </c>
      <c r="B4931" s="37">
        <f t="shared" si="193"/>
        <v>20210809</v>
      </c>
      <c r="C4931" s="109">
        <v>1.7100000000000001E-2</v>
      </c>
      <c r="D4931" s="109">
        <v>0.01</v>
      </c>
      <c r="E4931" s="109">
        <v>1.2E-2</v>
      </c>
      <c r="F4931" s="109">
        <v>1.2999999999999999E-2</v>
      </c>
      <c r="G4931" s="130">
        <v>0</v>
      </c>
      <c r="H4931" s="71">
        <v>8.6</v>
      </c>
      <c r="I4931" s="71">
        <v>11.2</v>
      </c>
      <c r="J4931" s="71">
        <v>13.7</v>
      </c>
      <c r="K4931" s="121">
        <v>1.2999999999999999E-3</v>
      </c>
      <c r="L4931" s="121">
        <v>-5.0000000000000001E-3</v>
      </c>
      <c r="M4931" s="75" t="s">
        <v>146</v>
      </c>
      <c r="N4931" s="75" t="b">
        <v>1</v>
      </c>
      <c r="O4931" s="75" t="s">
        <v>145</v>
      </c>
      <c r="P4931" s="75">
        <v>2014</v>
      </c>
      <c r="Q4931" s="107">
        <f t="shared" si="188"/>
        <v>2021</v>
      </c>
      <c r="R4931" s="107">
        <v>2</v>
      </c>
      <c r="S4931" s="43">
        <v>221086</v>
      </c>
      <c r="T4931" s="74">
        <v>44402</v>
      </c>
    </row>
    <row r="4932" spans="1:20" x14ac:dyDescent="0.3">
      <c r="A4932" s="42">
        <v>44418</v>
      </c>
      <c r="B4932" s="37">
        <f t="shared" si="193"/>
        <v>20210810</v>
      </c>
      <c r="C4932" s="109">
        <v>1.72E-2</v>
      </c>
      <c r="D4932" s="109">
        <v>0.01</v>
      </c>
      <c r="E4932" s="109">
        <v>1.2E-2</v>
      </c>
      <c r="F4932" s="109">
        <v>1.2999999999999999E-2</v>
      </c>
      <c r="G4932" s="130">
        <v>0</v>
      </c>
      <c r="H4932" s="71">
        <v>8.6</v>
      </c>
      <c r="I4932" s="71">
        <v>11.2</v>
      </c>
      <c r="J4932" s="71">
        <v>13.7</v>
      </c>
      <c r="K4932" s="121">
        <v>1.2999999999999999E-3</v>
      </c>
      <c r="L4932" s="121">
        <v>-5.0000000000000001E-3</v>
      </c>
      <c r="M4932" s="75" t="s">
        <v>146</v>
      </c>
      <c r="N4932" s="75" t="b">
        <v>1</v>
      </c>
      <c r="O4932" s="75" t="s">
        <v>145</v>
      </c>
      <c r="P4932" s="75">
        <v>2014</v>
      </c>
      <c r="Q4932" s="107">
        <f t="shared" si="188"/>
        <v>2021</v>
      </c>
      <c r="R4932" s="107">
        <v>2</v>
      </c>
      <c r="S4932" s="43">
        <v>221086</v>
      </c>
      <c r="T4932" s="74">
        <v>44402</v>
      </c>
    </row>
    <row r="4933" spans="1:20" x14ac:dyDescent="0.3">
      <c r="A4933" s="42">
        <v>44419</v>
      </c>
      <c r="B4933" s="37">
        <f t="shared" si="193"/>
        <v>20210811</v>
      </c>
      <c r="C4933" s="109">
        <v>1.7299999999999999E-2</v>
      </c>
      <c r="D4933" s="109">
        <v>0.01</v>
      </c>
      <c r="E4933" s="109">
        <v>1.2E-2</v>
      </c>
      <c r="F4933" s="109">
        <v>1.2999999999999999E-2</v>
      </c>
      <c r="G4933" s="130">
        <v>0</v>
      </c>
      <c r="H4933" s="71">
        <v>8.6</v>
      </c>
      <c r="I4933" s="71">
        <v>11.2</v>
      </c>
      <c r="J4933" s="71">
        <v>13.7</v>
      </c>
      <c r="K4933" s="121">
        <v>1.5E-3</v>
      </c>
      <c r="L4933" s="121">
        <v>-5.0000000000000001E-3</v>
      </c>
      <c r="M4933" s="75" t="s">
        <v>146</v>
      </c>
      <c r="N4933" s="75" t="b">
        <v>1</v>
      </c>
      <c r="O4933" s="75" t="s">
        <v>145</v>
      </c>
      <c r="P4933" s="75">
        <v>2014</v>
      </c>
      <c r="Q4933" s="107">
        <f t="shared" si="188"/>
        <v>2021</v>
      </c>
      <c r="R4933" s="107">
        <v>2</v>
      </c>
      <c r="S4933" s="43">
        <v>221086</v>
      </c>
      <c r="T4933" s="74">
        <v>44402</v>
      </c>
    </row>
    <row r="4934" spans="1:20" x14ac:dyDescent="0.3">
      <c r="A4934" s="42">
        <v>44420</v>
      </c>
      <c r="B4934" s="37">
        <f t="shared" si="193"/>
        <v>20210812</v>
      </c>
      <c r="C4934" s="109">
        <v>1.7299999999999999E-2</v>
      </c>
      <c r="D4934" s="109">
        <v>0.01</v>
      </c>
      <c r="E4934" s="109">
        <v>1.2E-2</v>
      </c>
      <c r="F4934" s="109">
        <v>1.2999999999999999E-2</v>
      </c>
      <c r="G4934" s="130">
        <v>0</v>
      </c>
      <c r="H4934" s="71">
        <v>8.6</v>
      </c>
      <c r="I4934" s="71">
        <v>11.2</v>
      </c>
      <c r="J4934" s="71">
        <v>13.7</v>
      </c>
      <c r="K4934" s="121">
        <v>1.2999999999999999E-3</v>
      </c>
      <c r="L4934" s="121">
        <v>-5.0000000000000001E-3</v>
      </c>
      <c r="M4934" s="75" t="s">
        <v>146</v>
      </c>
      <c r="N4934" s="75" t="b">
        <v>1</v>
      </c>
      <c r="O4934" s="75" t="s">
        <v>145</v>
      </c>
      <c r="P4934" s="75">
        <v>2014</v>
      </c>
      <c r="Q4934" s="107">
        <f t="shared" si="188"/>
        <v>2021</v>
      </c>
      <c r="R4934" s="107">
        <v>2</v>
      </c>
      <c r="S4934" s="43">
        <v>221086</v>
      </c>
      <c r="T4934" s="74">
        <v>44402</v>
      </c>
    </row>
    <row r="4935" spans="1:20" x14ac:dyDescent="0.3">
      <c r="A4935" s="42">
        <v>44421</v>
      </c>
      <c r="B4935" s="37">
        <f t="shared" si="193"/>
        <v>20210813</v>
      </c>
      <c r="C4935" s="109">
        <v>1.6799999999999999E-2</v>
      </c>
      <c r="D4935" s="109">
        <v>0.01</v>
      </c>
      <c r="E4935" s="109">
        <v>1.2E-2</v>
      </c>
      <c r="F4935" s="109">
        <v>1.2999999999999999E-2</v>
      </c>
      <c r="G4935" s="130">
        <v>0</v>
      </c>
      <c r="H4935" s="71">
        <v>8.6</v>
      </c>
      <c r="I4935" s="71">
        <v>11.2</v>
      </c>
      <c r="J4935" s="71">
        <v>13.7</v>
      </c>
      <c r="K4935" s="121">
        <v>8.9999999999999998E-4</v>
      </c>
      <c r="L4935" s="121">
        <v>-5.0000000000000001E-3</v>
      </c>
      <c r="M4935" s="75" t="s">
        <v>146</v>
      </c>
      <c r="N4935" s="75" t="b">
        <v>1</v>
      </c>
      <c r="O4935" s="75" t="s">
        <v>145</v>
      </c>
      <c r="P4935" s="75">
        <v>2014</v>
      </c>
      <c r="Q4935" s="107">
        <f t="shared" si="188"/>
        <v>2021</v>
      </c>
      <c r="R4935" s="107">
        <v>2</v>
      </c>
      <c r="S4935" s="43">
        <v>221086</v>
      </c>
      <c r="T4935" s="74">
        <v>44402</v>
      </c>
    </row>
    <row r="4936" spans="1:20" x14ac:dyDescent="0.3">
      <c r="A4936" s="42">
        <v>44422</v>
      </c>
      <c r="B4936" s="37">
        <f t="shared" ref="B4936:B4937" si="198">YEAR(A4936)*10000+MONTH(A4936)*100+DAY(A4936)</f>
        <v>20210814</v>
      </c>
      <c r="C4936" s="109">
        <v>1.6799999999999999E-2</v>
      </c>
      <c r="D4936" s="109">
        <v>0.01</v>
      </c>
      <c r="E4936" s="109">
        <v>1.2E-2</v>
      </c>
      <c r="F4936" s="109">
        <v>1.2999999999999999E-2</v>
      </c>
      <c r="G4936" s="130">
        <v>0</v>
      </c>
      <c r="H4936" s="71">
        <v>8.6</v>
      </c>
      <c r="I4936" s="71">
        <v>11.2</v>
      </c>
      <c r="J4936" s="71">
        <v>13.7</v>
      </c>
      <c r="K4936" s="121">
        <v>8.9999999999999998E-4</v>
      </c>
      <c r="L4936" s="121">
        <v>-5.0000000000000001E-3</v>
      </c>
      <c r="M4936" s="75" t="s">
        <v>146</v>
      </c>
      <c r="N4936" s="75" t="b">
        <v>1</v>
      </c>
      <c r="O4936" s="75" t="s">
        <v>145</v>
      </c>
      <c r="P4936" s="75">
        <v>2014</v>
      </c>
      <c r="Q4936" s="107">
        <f t="shared" si="188"/>
        <v>2021</v>
      </c>
      <c r="R4936" s="107">
        <v>2</v>
      </c>
      <c r="S4936" s="43">
        <v>221086</v>
      </c>
      <c r="T4936" s="74">
        <v>44402</v>
      </c>
    </row>
    <row r="4937" spans="1:20" x14ac:dyDescent="0.3">
      <c r="A4937" s="42">
        <v>44423</v>
      </c>
      <c r="B4937" s="37">
        <f t="shared" si="198"/>
        <v>20210815</v>
      </c>
      <c r="C4937" s="109">
        <v>1.6799999999999999E-2</v>
      </c>
      <c r="D4937" s="109">
        <v>0.01</v>
      </c>
      <c r="E4937" s="109">
        <v>1.2E-2</v>
      </c>
      <c r="F4937" s="109">
        <v>1.2999999999999999E-2</v>
      </c>
      <c r="G4937" s="130">
        <v>0</v>
      </c>
      <c r="H4937" s="71">
        <v>8.6</v>
      </c>
      <c r="I4937" s="71">
        <v>11.2</v>
      </c>
      <c r="J4937" s="71">
        <v>13.7</v>
      </c>
      <c r="K4937" s="121">
        <v>8.9999999999999998E-4</v>
      </c>
      <c r="L4937" s="121">
        <v>-5.0000000000000001E-3</v>
      </c>
      <c r="M4937" s="75" t="s">
        <v>146</v>
      </c>
      <c r="N4937" s="75" t="b">
        <v>1</v>
      </c>
      <c r="O4937" s="75" t="s">
        <v>145</v>
      </c>
      <c r="P4937" s="75">
        <v>2014</v>
      </c>
      <c r="Q4937" s="107">
        <f t="shared" si="188"/>
        <v>2021</v>
      </c>
      <c r="R4937" s="107">
        <v>2</v>
      </c>
      <c r="S4937" s="43">
        <v>221086</v>
      </c>
      <c r="T4937" s="74">
        <v>44402</v>
      </c>
    </row>
    <row r="4938" spans="1:20" x14ac:dyDescent="0.3">
      <c r="A4938" s="42">
        <v>44424</v>
      </c>
      <c r="B4938" s="37">
        <f t="shared" si="193"/>
        <v>20210816</v>
      </c>
      <c r="C4938" s="109">
        <v>1.6500000000000001E-2</v>
      </c>
      <c r="D4938" s="109">
        <v>0.01</v>
      </c>
      <c r="E4938" s="109">
        <v>1.2E-2</v>
      </c>
      <c r="F4938" s="109">
        <v>1.2999999999999999E-2</v>
      </c>
      <c r="G4938" s="130">
        <v>0</v>
      </c>
      <c r="H4938" s="71">
        <v>8.6</v>
      </c>
      <c r="I4938" s="71">
        <v>11.2</v>
      </c>
      <c r="J4938" s="71">
        <v>13.7</v>
      </c>
      <c r="K4938" s="121">
        <v>8.0000000000000004E-4</v>
      </c>
      <c r="L4938" s="121">
        <v>-5.0000000000000001E-3</v>
      </c>
      <c r="M4938" s="75" t="s">
        <v>146</v>
      </c>
      <c r="N4938" s="75" t="b">
        <v>1</v>
      </c>
      <c r="O4938" s="75" t="s">
        <v>145</v>
      </c>
      <c r="P4938" s="75">
        <v>2014</v>
      </c>
      <c r="Q4938" s="107">
        <f t="shared" si="188"/>
        <v>2021</v>
      </c>
      <c r="R4938" s="107">
        <v>2</v>
      </c>
      <c r="S4938" s="43">
        <v>221086</v>
      </c>
      <c r="T4938" s="74">
        <v>44402</v>
      </c>
    </row>
    <row r="4939" spans="1:20" x14ac:dyDescent="0.3">
      <c r="A4939" s="42">
        <v>44425</v>
      </c>
      <c r="B4939" s="37">
        <f t="shared" si="193"/>
        <v>20210817</v>
      </c>
      <c r="C4939" s="109">
        <v>1.6500000000000001E-2</v>
      </c>
      <c r="D4939" s="109">
        <v>0.01</v>
      </c>
      <c r="E4939" s="109">
        <v>1.2E-2</v>
      </c>
      <c r="F4939" s="109">
        <v>1.2999999999999999E-2</v>
      </c>
      <c r="G4939" s="130">
        <v>0</v>
      </c>
      <c r="H4939" s="71">
        <v>8.6</v>
      </c>
      <c r="I4939" s="71">
        <v>11.2</v>
      </c>
      <c r="J4939" s="71">
        <v>13.7</v>
      </c>
      <c r="K4939" s="121">
        <v>1E-3</v>
      </c>
      <c r="L4939" s="121">
        <v>-5.0000000000000001E-3</v>
      </c>
      <c r="M4939" s="75" t="s">
        <v>146</v>
      </c>
      <c r="N4939" s="75" t="b">
        <v>1</v>
      </c>
      <c r="O4939" s="75" t="s">
        <v>145</v>
      </c>
      <c r="P4939" s="75">
        <v>2014</v>
      </c>
      <c r="Q4939" s="107">
        <f t="shared" si="188"/>
        <v>2021</v>
      </c>
      <c r="R4939" s="107">
        <v>2</v>
      </c>
      <c r="S4939" s="43">
        <v>221086</v>
      </c>
      <c r="T4939" s="74">
        <v>44402</v>
      </c>
    </row>
    <row r="4940" spans="1:20" x14ac:dyDescent="0.3">
      <c r="A4940" s="42">
        <v>44426</v>
      </c>
      <c r="B4940" s="37">
        <f t="shared" si="193"/>
        <v>20210818</v>
      </c>
      <c r="C4940" s="109">
        <v>1.6500000000000001E-2</v>
      </c>
      <c r="D4940" s="109">
        <v>0.01</v>
      </c>
      <c r="E4940" s="109">
        <v>1.2E-2</v>
      </c>
      <c r="F4940" s="109">
        <v>1.2999999999999999E-2</v>
      </c>
      <c r="G4940" s="130">
        <v>0</v>
      </c>
      <c r="H4940" s="71">
        <v>8.6</v>
      </c>
      <c r="I4940" s="71">
        <v>11.2</v>
      </c>
      <c r="J4940" s="71">
        <v>13.7</v>
      </c>
      <c r="K4940" s="121">
        <v>8.9999999999999998E-4</v>
      </c>
      <c r="L4940" s="121">
        <v>-5.0000000000000001E-3</v>
      </c>
      <c r="M4940" s="75" t="s">
        <v>146</v>
      </c>
      <c r="N4940" s="75" t="b">
        <v>1</v>
      </c>
      <c r="O4940" s="75" t="s">
        <v>145</v>
      </c>
      <c r="P4940" s="75">
        <v>2014</v>
      </c>
      <c r="Q4940" s="107">
        <f t="shared" si="188"/>
        <v>2021</v>
      </c>
      <c r="R4940" s="107">
        <v>2</v>
      </c>
      <c r="S4940" s="43">
        <v>221086</v>
      </c>
      <c r="T4940" s="74">
        <v>44402</v>
      </c>
    </row>
    <row r="4941" spans="1:20" x14ac:dyDescent="0.3">
      <c r="A4941" s="42">
        <v>44427</v>
      </c>
      <c r="B4941" s="37">
        <f t="shared" si="193"/>
        <v>20210819</v>
      </c>
      <c r="C4941" s="109">
        <v>1.6200000000000003E-2</v>
      </c>
      <c r="D4941" s="109">
        <v>0.01</v>
      </c>
      <c r="E4941" s="109">
        <v>1.2E-2</v>
      </c>
      <c r="F4941" s="109">
        <v>1.2999999999999999E-2</v>
      </c>
      <c r="G4941" s="130">
        <v>0</v>
      </c>
      <c r="H4941" s="71">
        <v>8.6</v>
      </c>
      <c r="I4941" s="71">
        <v>11.2</v>
      </c>
      <c r="J4941" s="71">
        <v>13.7</v>
      </c>
      <c r="K4941" s="121">
        <v>7.000000000000001E-4</v>
      </c>
      <c r="L4941" s="121">
        <v>-5.0000000000000001E-3</v>
      </c>
      <c r="M4941" s="75" t="s">
        <v>146</v>
      </c>
      <c r="N4941" s="75" t="b">
        <v>1</v>
      </c>
      <c r="O4941" s="75" t="s">
        <v>145</v>
      </c>
      <c r="P4941" s="75">
        <v>2014</v>
      </c>
      <c r="Q4941" s="107">
        <f t="shared" si="188"/>
        <v>2021</v>
      </c>
      <c r="R4941" s="107">
        <v>2</v>
      </c>
      <c r="S4941" s="43">
        <v>221086</v>
      </c>
      <c r="T4941" s="74">
        <v>44402</v>
      </c>
    </row>
    <row r="4942" spans="1:20" x14ac:dyDescent="0.3">
      <c r="A4942" s="42">
        <v>44428</v>
      </c>
      <c r="B4942" s="37">
        <f t="shared" si="193"/>
        <v>20210820</v>
      </c>
      <c r="C4942" s="109">
        <v>1.6299999999999999E-2</v>
      </c>
      <c r="D4942" s="109">
        <v>0.01</v>
      </c>
      <c r="E4942" s="109">
        <v>1.2E-2</v>
      </c>
      <c r="F4942" s="109">
        <v>1.2999999999999999E-2</v>
      </c>
      <c r="G4942" s="130">
        <v>0</v>
      </c>
      <c r="H4942" s="71">
        <v>8.6</v>
      </c>
      <c r="I4942" s="71">
        <v>11.2</v>
      </c>
      <c r="J4942" s="71">
        <v>13.7</v>
      </c>
      <c r="K4942" s="121">
        <v>8.0000000000000004E-4</v>
      </c>
      <c r="L4942" s="121">
        <v>-5.0000000000000001E-3</v>
      </c>
      <c r="M4942" s="75" t="s">
        <v>146</v>
      </c>
      <c r="N4942" s="75" t="b">
        <v>1</v>
      </c>
      <c r="O4942" s="75" t="s">
        <v>145</v>
      </c>
      <c r="P4942" s="75">
        <v>2014</v>
      </c>
      <c r="Q4942" s="107">
        <f t="shared" si="188"/>
        <v>2021</v>
      </c>
      <c r="R4942" s="107">
        <v>2</v>
      </c>
      <c r="S4942" s="43">
        <v>221086</v>
      </c>
      <c r="T4942" s="74">
        <v>44402</v>
      </c>
    </row>
    <row r="4943" spans="1:20" x14ac:dyDescent="0.3">
      <c r="A4943" s="42">
        <v>44429</v>
      </c>
      <c r="B4943" s="37">
        <f t="shared" ref="B4943:B4944" si="199">YEAR(A4943)*10000+MONTH(A4943)*100+DAY(A4943)</f>
        <v>20210821</v>
      </c>
      <c r="C4943" s="109">
        <v>1.6299999999999999E-2</v>
      </c>
      <c r="D4943" s="109">
        <v>0.01</v>
      </c>
      <c r="E4943" s="109">
        <v>1.2E-2</v>
      </c>
      <c r="F4943" s="109">
        <v>1.2999999999999999E-2</v>
      </c>
      <c r="G4943" s="130">
        <v>0</v>
      </c>
      <c r="H4943" s="71">
        <v>8.6</v>
      </c>
      <c r="I4943" s="71">
        <v>11.2</v>
      </c>
      <c r="J4943" s="71">
        <v>13.7</v>
      </c>
      <c r="K4943" s="121">
        <v>8.0000000000000004E-4</v>
      </c>
      <c r="L4943" s="121">
        <v>-5.0000000000000001E-3</v>
      </c>
      <c r="M4943" s="75" t="s">
        <v>146</v>
      </c>
      <c r="N4943" s="75" t="b">
        <v>1</v>
      </c>
      <c r="O4943" s="75" t="s">
        <v>145</v>
      </c>
      <c r="P4943" s="75">
        <v>2014</v>
      </c>
      <c r="Q4943" s="107">
        <f t="shared" ref="Q4943:Q4952" si="200">YEAR(A4943)</f>
        <v>2021</v>
      </c>
      <c r="R4943" s="107">
        <v>2</v>
      </c>
      <c r="S4943" s="43">
        <v>221086</v>
      </c>
      <c r="T4943" s="74">
        <v>44402</v>
      </c>
    </row>
    <row r="4944" spans="1:20" x14ac:dyDescent="0.3">
      <c r="A4944" s="42">
        <v>44430</v>
      </c>
      <c r="B4944" s="37">
        <f t="shared" si="199"/>
        <v>20210822</v>
      </c>
      <c r="C4944" s="109">
        <v>1.6299999999999999E-2</v>
      </c>
      <c r="D4944" s="109">
        <v>0.01</v>
      </c>
      <c r="E4944" s="109">
        <v>1.2E-2</v>
      </c>
      <c r="F4944" s="109">
        <v>1.2999999999999999E-2</v>
      </c>
      <c r="G4944" s="130">
        <v>0</v>
      </c>
      <c r="H4944" s="71">
        <v>8.6</v>
      </c>
      <c r="I4944" s="71">
        <v>11.2</v>
      </c>
      <c r="J4944" s="71">
        <v>13.7</v>
      </c>
      <c r="K4944" s="121">
        <v>8.0000000000000004E-4</v>
      </c>
      <c r="L4944" s="121">
        <v>-5.0000000000000001E-3</v>
      </c>
      <c r="M4944" s="75" t="s">
        <v>146</v>
      </c>
      <c r="N4944" s="75" t="b">
        <v>1</v>
      </c>
      <c r="O4944" s="75" t="s">
        <v>145</v>
      </c>
      <c r="P4944" s="75">
        <v>2014</v>
      </c>
      <c r="Q4944" s="107">
        <f t="shared" si="200"/>
        <v>2021</v>
      </c>
      <c r="R4944" s="107">
        <v>2</v>
      </c>
      <c r="S4944" s="43">
        <v>221086</v>
      </c>
      <c r="T4944" s="74">
        <v>44402</v>
      </c>
    </row>
    <row r="4945" spans="1:20" x14ac:dyDescent="0.3">
      <c r="A4945" s="42">
        <v>44431</v>
      </c>
      <c r="B4945" s="37">
        <f t="shared" si="193"/>
        <v>20210823</v>
      </c>
      <c r="C4945" s="109">
        <v>1.6500000000000001E-2</v>
      </c>
      <c r="D4945" s="109">
        <v>0.01</v>
      </c>
      <c r="E4945" s="109">
        <v>1.2E-2</v>
      </c>
      <c r="F4945" s="109">
        <v>1.2999999999999999E-2</v>
      </c>
      <c r="G4945" s="130">
        <v>0</v>
      </c>
      <c r="H4945" s="71">
        <v>8.6</v>
      </c>
      <c r="I4945" s="71">
        <v>11.2</v>
      </c>
      <c r="J4945" s="71">
        <v>13.7</v>
      </c>
      <c r="K4945" s="121">
        <v>8.9999999999999998E-4</v>
      </c>
      <c r="L4945" s="121">
        <v>-5.0000000000000001E-3</v>
      </c>
      <c r="M4945" s="75" t="s">
        <v>146</v>
      </c>
      <c r="N4945" s="75" t="b">
        <v>1</v>
      </c>
      <c r="O4945" s="75" t="s">
        <v>145</v>
      </c>
      <c r="P4945" s="75">
        <v>2014</v>
      </c>
      <c r="Q4945" s="107">
        <f t="shared" si="200"/>
        <v>2021</v>
      </c>
      <c r="R4945" s="107">
        <v>2</v>
      </c>
      <c r="S4945" s="43">
        <v>221086</v>
      </c>
      <c r="T4945" s="74">
        <v>44402</v>
      </c>
    </row>
    <row r="4946" spans="1:20" x14ac:dyDescent="0.3">
      <c r="A4946" s="42">
        <v>44432</v>
      </c>
      <c r="B4946" s="37">
        <f t="shared" si="193"/>
        <v>20210824</v>
      </c>
      <c r="C4946" s="109">
        <v>1.6799999999999999E-2</v>
      </c>
      <c r="D4946" s="109">
        <v>0.01</v>
      </c>
      <c r="E4946" s="109">
        <v>1.2E-2</v>
      </c>
      <c r="F4946" s="109">
        <v>1.2999999999999999E-2</v>
      </c>
      <c r="G4946" s="130">
        <v>0</v>
      </c>
      <c r="H4946" s="71">
        <v>8.6</v>
      </c>
      <c r="I4946" s="71">
        <v>11.2</v>
      </c>
      <c r="J4946" s="71">
        <v>13.7</v>
      </c>
      <c r="K4946" s="121">
        <v>1.1000000000000001E-3</v>
      </c>
      <c r="L4946" s="121">
        <v>-5.0000000000000001E-3</v>
      </c>
      <c r="M4946" s="75" t="s">
        <v>146</v>
      </c>
      <c r="N4946" s="75" t="b">
        <v>1</v>
      </c>
      <c r="O4946" s="75" t="s">
        <v>145</v>
      </c>
      <c r="P4946" s="75">
        <v>2014</v>
      </c>
      <c r="Q4946" s="107">
        <f t="shared" si="200"/>
        <v>2021</v>
      </c>
      <c r="R4946" s="107">
        <v>2</v>
      </c>
      <c r="S4946" s="43">
        <v>221086</v>
      </c>
      <c r="T4946" s="74">
        <v>44402</v>
      </c>
    </row>
    <row r="4947" spans="1:20" x14ac:dyDescent="0.3">
      <c r="A4947" s="42">
        <v>44433</v>
      </c>
      <c r="B4947" s="37">
        <f t="shared" si="193"/>
        <v>20210825</v>
      </c>
      <c r="C4947" s="109">
        <v>1.7299999999999999E-2</v>
      </c>
      <c r="D4947" s="109">
        <v>0.01</v>
      </c>
      <c r="E4947" s="109">
        <v>1.2E-2</v>
      </c>
      <c r="F4947" s="109">
        <v>1.2999999999999999E-2</v>
      </c>
      <c r="G4947" s="130">
        <v>0</v>
      </c>
      <c r="H4947" s="71">
        <v>8.6</v>
      </c>
      <c r="I4947" s="71">
        <v>11.2</v>
      </c>
      <c r="J4947" s="71">
        <v>13.7</v>
      </c>
      <c r="K4947" s="121">
        <v>1.5E-3</v>
      </c>
      <c r="L4947" s="121">
        <v>-5.0000000000000001E-3</v>
      </c>
      <c r="M4947" s="75" t="s">
        <v>146</v>
      </c>
      <c r="N4947" s="75" t="b">
        <v>1</v>
      </c>
      <c r="O4947" s="75" t="s">
        <v>145</v>
      </c>
      <c r="P4947" s="75">
        <v>2014</v>
      </c>
      <c r="Q4947" s="107">
        <f t="shared" si="200"/>
        <v>2021</v>
      </c>
      <c r="R4947" s="107">
        <v>2</v>
      </c>
      <c r="S4947" s="43">
        <v>221086</v>
      </c>
      <c r="T4947" s="74">
        <v>44402</v>
      </c>
    </row>
    <row r="4948" spans="1:20" x14ac:dyDescent="0.3">
      <c r="A4948" s="42">
        <v>44434</v>
      </c>
      <c r="B4948" s="37">
        <f t="shared" si="193"/>
        <v>20210826</v>
      </c>
      <c r="C4948" s="109">
        <v>1.6899999999999998E-2</v>
      </c>
      <c r="D4948" s="109">
        <v>0.01</v>
      </c>
      <c r="E4948" s="109">
        <v>1.2E-2</v>
      </c>
      <c r="F4948" s="109">
        <v>1.2999999999999999E-2</v>
      </c>
      <c r="G4948" s="130">
        <v>0</v>
      </c>
      <c r="H4948" s="71">
        <v>8.6</v>
      </c>
      <c r="I4948" s="71">
        <v>11.2</v>
      </c>
      <c r="J4948" s="71">
        <v>13.7</v>
      </c>
      <c r="K4948" s="121">
        <v>1.1999999999999999E-3</v>
      </c>
      <c r="L4948" s="121">
        <v>-5.0000000000000001E-3</v>
      </c>
      <c r="M4948" s="75" t="s">
        <v>146</v>
      </c>
      <c r="N4948" s="75" t="b">
        <v>1</v>
      </c>
      <c r="O4948" s="75" t="s">
        <v>145</v>
      </c>
      <c r="P4948" s="75">
        <v>2014</v>
      </c>
      <c r="Q4948" s="107">
        <f t="shared" si="200"/>
        <v>2021</v>
      </c>
      <c r="R4948" s="107">
        <v>2</v>
      </c>
      <c r="S4948" s="43">
        <v>221086</v>
      </c>
      <c r="T4948" s="74">
        <v>44402</v>
      </c>
    </row>
    <row r="4949" spans="1:20" x14ac:dyDescent="0.3">
      <c r="A4949" s="42">
        <v>44435</v>
      </c>
      <c r="B4949" s="37">
        <f t="shared" si="193"/>
        <v>20210827</v>
      </c>
      <c r="C4949" s="109">
        <v>1.66E-2</v>
      </c>
      <c r="D4949" s="109">
        <v>0.01</v>
      </c>
      <c r="E4949" s="109">
        <v>1.2E-2</v>
      </c>
      <c r="F4949" s="109">
        <v>1.2999999999999999E-2</v>
      </c>
      <c r="G4949" s="130">
        <v>0</v>
      </c>
      <c r="H4949" s="71">
        <v>8.6</v>
      </c>
      <c r="I4949" s="71">
        <v>11.2</v>
      </c>
      <c r="J4949" s="71">
        <v>13.7</v>
      </c>
      <c r="K4949" s="121">
        <v>7.000000000000001E-4</v>
      </c>
      <c r="L4949" s="121">
        <v>-5.0000000000000001E-3</v>
      </c>
      <c r="M4949" s="75" t="s">
        <v>146</v>
      </c>
      <c r="N4949" s="75" t="b">
        <v>1</v>
      </c>
      <c r="O4949" s="75" t="s">
        <v>145</v>
      </c>
      <c r="P4949" s="75">
        <v>2014</v>
      </c>
      <c r="Q4949" s="107">
        <f t="shared" si="200"/>
        <v>2021</v>
      </c>
      <c r="R4949" s="107">
        <v>2</v>
      </c>
      <c r="S4949" s="43">
        <v>221086</v>
      </c>
      <c r="T4949" s="74">
        <v>44402</v>
      </c>
    </row>
    <row r="4950" spans="1:20" x14ac:dyDescent="0.3">
      <c r="A4950" s="42">
        <v>44436</v>
      </c>
      <c r="B4950" s="37">
        <f t="shared" ref="B4950:B4951" si="201">YEAR(A4950)*10000+MONTH(A4950)*100+DAY(A4950)</f>
        <v>20210828</v>
      </c>
      <c r="C4950" s="109">
        <v>1.66E-2</v>
      </c>
      <c r="D4950" s="109">
        <v>0.01</v>
      </c>
      <c r="E4950" s="109">
        <v>1.2E-2</v>
      </c>
      <c r="F4950" s="109">
        <v>1.2999999999999999E-2</v>
      </c>
      <c r="G4950" s="130">
        <v>0</v>
      </c>
      <c r="H4950" s="71">
        <v>8.6</v>
      </c>
      <c r="I4950" s="71">
        <v>11.2</v>
      </c>
      <c r="J4950" s="71">
        <v>13.7</v>
      </c>
      <c r="K4950" s="121">
        <v>7.000000000000001E-4</v>
      </c>
      <c r="L4950" s="121">
        <v>-5.0000000000000001E-3</v>
      </c>
      <c r="M4950" s="75" t="s">
        <v>146</v>
      </c>
      <c r="N4950" s="75" t="b">
        <v>1</v>
      </c>
      <c r="O4950" s="75" t="s">
        <v>145</v>
      </c>
      <c r="P4950" s="75">
        <v>2014</v>
      </c>
      <c r="Q4950" s="107">
        <f t="shared" si="200"/>
        <v>2021</v>
      </c>
      <c r="R4950" s="107">
        <v>2</v>
      </c>
      <c r="S4950" s="43">
        <v>221086</v>
      </c>
      <c r="T4950" s="74">
        <v>44402</v>
      </c>
    </row>
    <row r="4951" spans="1:20" x14ac:dyDescent="0.3">
      <c r="A4951" s="42">
        <v>44437</v>
      </c>
      <c r="B4951" s="37">
        <f t="shared" si="201"/>
        <v>20210829</v>
      </c>
      <c r="C4951" s="109">
        <v>1.66E-2</v>
      </c>
      <c r="D4951" s="109">
        <v>0.01</v>
      </c>
      <c r="E4951" s="109">
        <v>1.2E-2</v>
      </c>
      <c r="F4951" s="109">
        <v>1.2999999999999999E-2</v>
      </c>
      <c r="G4951" s="130">
        <v>0</v>
      </c>
      <c r="H4951" s="71">
        <v>8.6</v>
      </c>
      <c r="I4951" s="71">
        <v>11.2</v>
      </c>
      <c r="J4951" s="71">
        <v>13.7</v>
      </c>
      <c r="K4951" s="121">
        <v>7.000000000000001E-4</v>
      </c>
      <c r="L4951" s="121">
        <v>-5.0000000000000001E-3</v>
      </c>
      <c r="M4951" s="75" t="s">
        <v>146</v>
      </c>
      <c r="N4951" s="75" t="b">
        <v>1</v>
      </c>
      <c r="O4951" s="75" t="s">
        <v>145</v>
      </c>
      <c r="P4951" s="75">
        <v>2014</v>
      </c>
      <c r="Q4951" s="107">
        <f t="shared" si="200"/>
        <v>2021</v>
      </c>
      <c r="R4951" s="107">
        <v>2</v>
      </c>
      <c r="S4951" s="43">
        <v>221086</v>
      </c>
      <c r="T4951" s="74">
        <v>44402</v>
      </c>
    </row>
    <row r="4952" spans="1:20" x14ac:dyDescent="0.3">
      <c r="A4952" s="42">
        <v>44438</v>
      </c>
      <c r="B4952" s="37">
        <f t="shared" si="193"/>
        <v>20210830</v>
      </c>
      <c r="C4952" s="109">
        <v>1.66E-2</v>
      </c>
      <c r="D4952" s="109">
        <v>0.01</v>
      </c>
      <c r="E4952" s="109">
        <v>1.2E-2</v>
      </c>
      <c r="F4952" s="109">
        <v>1.2999999999999999E-2</v>
      </c>
      <c r="G4952" s="130">
        <v>0</v>
      </c>
      <c r="H4952" s="71">
        <v>8.6</v>
      </c>
      <c r="I4952" s="71">
        <v>11.2</v>
      </c>
      <c r="J4952" s="71">
        <v>13.7</v>
      </c>
      <c r="K4952" s="121">
        <v>5.9999999999999995E-4</v>
      </c>
      <c r="L4952" s="121">
        <v>-5.0000000000000001E-3</v>
      </c>
      <c r="M4952" s="75" t="s">
        <v>146</v>
      </c>
      <c r="N4952" s="75" t="b">
        <v>1</v>
      </c>
      <c r="O4952" s="75" t="s">
        <v>145</v>
      </c>
      <c r="P4952" s="75">
        <v>2014</v>
      </c>
      <c r="Q4952" s="107">
        <f t="shared" si="200"/>
        <v>2021</v>
      </c>
      <c r="R4952" s="107">
        <v>2</v>
      </c>
      <c r="S4952" s="43">
        <v>221086</v>
      </c>
      <c r="T4952" s="74">
        <v>44402</v>
      </c>
    </row>
    <row r="4953" spans="1:20" x14ac:dyDescent="0.3">
      <c r="A4953" s="42">
        <v>44439</v>
      </c>
      <c r="B4953" s="37">
        <f t="shared" si="193"/>
        <v>20210831</v>
      </c>
      <c r="C4953" s="109">
        <v>1.7100000000000001E-2</v>
      </c>
      <c r="D4953" s="109">
        <v>0.01</v>
      </c>
      <c r="E4953" s="109">
        <v>1.2E-2</v>
      </c>
      <c r="F4953" s="109">
        <v>1.2999999999999999E-2</v>
      </c>
      <c r="G4953" s="130">
        <v>0</v>
      </c>
      <c r="H4953" s="71">
        <v>8.6</v>
      </c>
      <c r="I4953" s="71">
        <v>11.2</v>
      </c>
      <c r="J4953" s="71">
        <v>13.7</v>
      </c>
      <c r="K4953" s="121">
        <v>1.2999999999999999E-3</v>
      </c>
      <c r="L4953" s="121">
        <v>-5.0000000000000001E-3</v>
      </c>
      <c r="M4953" s="75" t="s">
        <v>146</v>
      </c>
      <c r="N4953" s="75" t="b">
        <v>1</v>
      </c>
      <c r="O4953" s="75" t="s">
        <v>145</v>
      </c>
      <c r="P4953" s="75">
        <v>2014</v>
      </c>
      <c r="Q4953" s="107">
        <f t="shared" ref="Q4953:Q4981" si="202">YEAR(A4953)</f>
        <v>2021</v>
      </c>
      <c r="R4953" s="107">
        <v>2</v>
      </c>
      <c r="S4953" s="43">
        <v>221086</v>
      </c>
      <c r="T4953" s="74">
        <v>44402</v>
      </c>
    </row>
    <row r="4954" spans="1:20" x14ac:dyDescent="0.3">
      <c r="A4954" s="42">
        <v>44440</v>
      </c>
      <c r="B4954" s="37">
        <f t="shared" si="193"/>
        <v>20210901</v>
      </c>
      <c r="C4954" s="109">
        <v>1.6500000000000001E-2</v>
      </c>
      <c r="D4954" s="109">
        <v>0.01</v>
      </c>
      <c r="E4954" s="109">
        <v>1.2E-2</v>
      </c>
      <c r="F4954" s="109">
        <v>1.2999999999999999E-2</v>
      </c>
      <c r="G4954" s="130">
        <v>0</v>
      </c>
      <c r="H4954" s="71">
        <v>8.6</v>
      </c>
      <c r="I4954" s="71">
        <v>11.2</v>
      </c>
      <c r="J4954" s="71">
        <v>13.7</v>
      </c>
      <c r="K4954" s="121">
        <v>5.9999999999999995E-4</v>
      </c>
      <c r="L4954" s="121">
        <v>-5.0000000000000001E-3</v>
      </c>
      <c r="M4954" s="75" t="s">
        <v>146</v>
      </c>
      <c r="N4954" s="75" t="b">
        <v>1</v>
      </c>
      <c r="O4954" s="75" t="s">
        <v>145</v>
      </c>
      <c r="P4954" s="75">
        <v>2014</v>
      </c>
      <c r="Q4954" s="107">
        <f t="shared" si="202"/>
        <v>2021</v>
      </c>
      <c r="R4954" s="107">
        <v>2</v>
      </c>
      <c r="S4954" s="43">
        <v>221086</v>
      </c>
      <c r="T4954" s="74">
        <v>44402</v>
      </c>
    </row>
    <row r="4955" spans="1:20" x14ac:dyDescent="0.3">
      <c r="A4955" s="42">
        <v>44441</v>
      </c>
      <c r="B4955" s="37">
        <f t="shared" si="193"/>
        <v>20210902</v>
      </c>
      <c r="C4955" s="109">
        <v>1.6299999999999999E-2</v>
      </c>
      <c r="D4955" s="109">
        <v>0.01</v>
      </c>
      <c r="E4955" s="109">
        <v>1.2E-2</v>
      </c>
      <c r="F4955" s="109">
        <v>1.2999999999999999E-2</v>
      </c>
      <c r="G4955" s="130">
        <v>0</v>
      </c>
      <c r="H4955" s="71">
        <v>8.6</v>
      </c>
      <c r="I4955" s="71">
        <v>11.2</v>
      </c>
      <c r="J4955" s="71">
        <v>13.7</v>
      </c>
      <c r="K4955" s="121">
        <v>0</v>
      </c>
      <c r="L4955" s="121">
        <v>-5.0000000000000001E-3</v>
      </c>
      <c r="M4955" s="75" t="s">
        <v>146</v>
      </c>
      <c r="N4955" s="75" t="b">
        <v>1</v>
      </c>
      <c r="O4955" s="75" t="s">
        <v>145</v>
      </c>
      <c r="P4955" s="75">
        <v>2014</v>
      </c>
      <c r="Q4955" s="107">
        <f t="shared" si="202"/>
        <v>2021</v>
      </c>
      <c r="R4955" s="107">
        <v>2</v>
      </c>
      <c r="S4955" s="43">
        <v>221086</v>
      </c>
      <c r="T4955" s="74">
        <v>44402</v>
      </c>
    </row>
    <row r="4956" spans="1:20" x14ac:dyDescent="0.3">
      <c r="A4956" s="42">
        <v>44442</v>
      </c>
      <c r="B4956" s="37">
        <f t="shared" si="193"/>
        <v>20210903</v>
      </c>
      <c r="C4956" s="109">
        <v>1.66E-2</v>
      </c>
      <c r="D4956" s="109">
        <v>0.01</v>
      </c>
      <c r="E4956" s="109">
        <v>1.2E-2</v>
      </c>
      <c r="F4956" s="109">
        <v>1.2999999999999999E-2</v>
      </c>
      <c r="G4956" s="130">
        <v>0</v>
      </c>
      <c r="H4956" s="71">
        <v>8.6</v>
      </c>
      <c r="I4956" s="71">
        <v>11.2</v>
      </c>
      <c r="J4956" s="71">
        <v>13.7</v>
      </c>
      <c r="K4956" s="121">
        <v>2.0000000000000001E-4</v>
      </c>
      <c r="L4956" s="121">
        <v>-5.0000000000000001E-3</v>
      </c>
      <c r="M4956" s="75" t="s">
        <v>146</v>
      </c>
      <c r="N4956" s="75" t="b">
        <v>1</v>
      </c>
      <c r="O4956" s="75" t="s">
        <v>145</v>
      </c>
      <c r="P4956" s="75">
        <v>2014</v>
      </c>
      <c r="Q4956" s="107">
        <f t="shared" si="202"/>
        <v>2021</v>
      </c>
      <c r="R4956" s="107">
        <v>2</v>
      </c>
      <c r="S4956" s="43">
        <v>221086</v>
      </c>
      <c r="T4956" s="74">
        <v>44402</v>
      </c>
    </row>
    <row r="4957" spans="1:20" x14ac:dyDescent="0.3">
      <c r="A4957" s="42">
        <v>44443</v>
      </c>
      <c r="B4957" s="37">
        <f t="shared" ref="B4957:B4958" si="203">YEAR(A4957)*10000+MONTH(A4957)*100+DAY(A4957)</f>
        <v>20210904</v>
      </c>
      <c r="C4957" s="109">
        <v>1.66E-2</v>
      </c>
      <c r="D4957" s="109">
        <v>0.01</v>
      </c>
      <c r="E4957" s="109">
        <v>1.2E-2</v>
      </c>
      <c r="F4957" s="109">
        <v>1.2999999999999999E-2</v>
      </c>
      <c r="G4957" s="130">
        <v>0</v>
      </c>
      <c r="H4957" s="71">
        <v>8.6</v>
      </c>
      <c r="I4957" s="71">
        <v>11.2</v>
      </c>
      <c r="J4957" s="71">
        <v>13.7</v>
      </c>
      <c r="K4957" s="121">
        <v>2.0000000000000001E-4</v>
      </c>
      <c r="L4957" s="121">
        <v>-5.0000000000000001E-3</v>
      </c>
      <c r="M4957" s="75" t="s">
        <v>146</v>
      </c>
      <c r="N4957" s="75" t="b">
        <v>1</v>
      </c>
      <c r="O4957" s="75" t="s">
        <v>145</v>
      </c>
      <c r="P4957" s="75">
        <v>2014</v>
      </c>
      <c r="Q4957" s="107">
        <f t="shared" si="202"/>
        <v>2021</v>
      </c>
      <c r="R4957" s="107">
        <v>2</v>
      </c>
      <c r="S4957" s="43">
        <v>221086</v>
      </c>
      <c r="T4957" s="74">
        <v>44402</v>
      </c>
    </row>
    <row r="4958" spans="1:20" x14ac:dyDescent="0.3">
      <c r="A4958" s="42">
        <v>44444</v>
      </c>
      <c r="B4958" s="37">
        <f t="shared" si="203"/>
        <v>20210905</v>
      </c>
      <c r="C4958" s="109">
        <v>1.66E-2</v>
      </c>
      <c r="D4958" s="109">
        <v>0.01</v>
      </c>
      <c r="E4958" s="109">
        <v>1.2E-2</v>
      </c>
      <c r="F4958" s="109">
        <v>1.2999999999999999E-2</v>
      </c>
      <c r="G4958" s="130">
        <v>0</v>
      </c>
      <c r="H4958" s="71">
        <v>8.6</v>
      </c>
      <c r="I4958" s="71">
        <v>11.2</v>
      </c>
      <c r="J4958" s="71">
        <v>13.7</v>
      </c>
      <c r="K4958" s="121">
        <v>2.0000000000000001E-4</v>
      </c>
      <c r="L4958" s="121">
        <v>-5.0000000000000001E-3</v>
      </c>
      <c r="M4958" s="75" t="s">
        <v>146</v>
      </c>
      <c r="N4958" s="75" t="b">
        <v>1</v>
      </c>
      <c r="O4958" s="75" t="s">
        <v>145</v>
      </c>
      <c r="P4958" s="75">
        <v>2014</v>
      </c>
      <c r="Q4958" s="107">
        <f t="shared" si="202"/>
        <v>2021</v>
      </c>
      <c r="R4958" s="107">
        <v>2</v>
      </c>
      <c r="S4958" s="43">
        <v>221086</v>
      </c>
      <c r="T4958" s="74">
        <v>44402</v>
      </c>
    </row>
    <row r="4959" spans="1:20" x14ac:dyDescent="0.3">
      <c r="A4959" s="42">
        <v>44445</v>
      </c>
      <c r="B4959" s="37">
        <f t="shared" si="193"/>
        <v>20210906</v>
      </c>
      <c r="C4959" s="109">
        <v>1.66E-2</v>
      </c>
      <c r="D4959" s="109">
        <v>0.01</v>
      </c>
      <c r="E4959" s="109">
        <v>1.2E-2</v>
      </c>
      <c r="F4959" s="109">
        <v>1.2999999999999999E-2</v>
      </c>
      <c r="G4959" s="130">
        <v>0</v>
      </c>
      <c r="H4959" s="71">
        <v>8.6</v>
      </c>
      <c r="I4959" s="71">
        <v>11.2</v>
      </c>
      <c r="J4959" s="71">
        <v>13.7</v>
      </c>
      <c r="K4959" s="121">
        <v>2.0000000000000001E-4</v>
      </c>
      <c r="L4959" s="121">
        <v>-5.0000000000000001E-3</v>
      </c>
      <c r="M4959" s="75" t="s">
        <v>146</v>
      </c>
      <c r="N4959" s="75" t="b">
        <v>1</v>
      </c>
      <c r="O4959" s="75" t="s">
        <v>145</v>
      </c>
      <c r="P4959" s="75">
        <v>2014</v>
      </c>
      <c r="Q4959" s="107">
        <f t="shared" si="202"/>
        <v>2021</v>
      </c>
      <c r="R4959" s="107">
        <v>2</v>
      </c>
      <c r="S4959" s="43">
        <v>221086</v>
      </c>
      <c r="T4959" s="74">
        <v>44402</v>
      </c>
    </row>
    <row r="4960" spans="1:20" x14ac:dyDescent="0.3">
      <c r="A4960" s="42">
        <v>44446</v>
      </c>
      <c r="B4960" s="37">
        <f t="shared" si="193"/>
        <v>20210907</v>
      </c>
      <c r="C4960" s="109">
        <v>1.7100000000000001E-2</v>
      </c>
      <c r="D4960" s="109">
        <v>0.01</v>
      </c>
      <c r="E4960" s="109">
        <v>1.2E-2</v>
      </c>
      <c r="F4960" s="109">
        <v>1.2999999999999999E-2</v>
      </c>
      <c r="G4960" s="130">
        <v>0</v>
      </c>
      <c r="H4960" s="71">
        <v>8.6</v>
      </c>
      <c r="I4960" s="71">
        <v>11.2</v>
      </c>
      <c r="J4960" s="71">
        <v>13.7</v>
      </c>
      <c r="K4960" s="121">
        <v>5.9999999999999995E-4</v>
      </c>
      <c r="L4960" s="121">
        <v>-5.0000000000000001E-3</v>
      </c>
      <c r="M4960" s="75" t="s">
        <v>146</v>
      </c>
      <c r="N4960" s="75" t="b">
        <v>1</v>
      </c>
      <c r="O4960" s="75" t="s">
        <v>145</v>
      </c>
      <c r="P4960" s="75">
        <v>2014</v>
      </c>
      <c r="Q4960" s="107">
        <f t="shared" si="202"/>
        <v>2021</v>
      </c>
      <c r="R4960" s="107">
        <v>2</v>
      </c>
      <c r="S4960" s="43">
        <v>221086</v>
      </c>
      <c r="T4960" s="74">
        <v>44402</v>
      </c>
    </row>
    <row r="4961" spans="1:20" x14ac:dyDescent="0.3">
      <c r="A4961" s="42">
        <v>44447</v>
      </c>
      <c r="B4961" s="37">
        <f t="shared" si="193"/>
        <v>20210908</v>
      </c>
      <c r="C4961" s="109">
        <v>1.6899999999999998E-2</v>
      </c>
      <c r="D4961" s="109">
        <v>0.01</v>
      </c>
      <c r="E4961" s="109">
        <v>1.2E-2</v>
      </c>
      <c r="F4961" s="109">
        <v>1.2999999999999999E-2</v>
      </c>
      <c r="G4961" s="130">
        <v>0</v>
      </c>
      <c r="H4961" s="71">
        <v>8.6</v>
      </c>
      <c r="I4961" s="71">
        <v>11.2</v>
      </c>
      <c r="J4961" s="71">
        <v>13.7</v>
      </c>
      <c r="K4961" s="121">
        <v>4.0000000000000002E-4</v>
      </c>
      <c r="L4961" s="121">
        <v>-5.0000000000000001E-3</v>
      </c>
      <c r="M4961" s="75" t="s">
        <v>146</v>
      </c>
      <c r="N4961" s="75" t="b">
        <v>1</v>
      </c>
      <c r="O4961" s="75" t="s">
        <v>145</v>
      </c>
      <c r="P4961" s="75">
        <v>2014</v>
      </c>
      <c r="Q4961" s="107">
        <f t="shared" si="202"/>
        <v>2021</v>
      </c>
      <c r="R4961" s="107">
        <v>2</v>
      </c>
      <c r="S4961" s="43">
        <v>221086</v>
      </c>
      <c r="T4961" s="74">
        <v>44402</v>
      </c>
    </row>
    <row r="4962" spans="1:20" x14ac:dyDescent="0.3">
      <c r="A4962" s="42">
        <v>44448</v>
      </c>
      <c r="B4962" s="37">
        <f t="shared" si="193"/>
        <v>20210909</v>
      </c>
      <c r="C4962" s="109">
        <v>1.6500000000000001E-2</v>
      </c>
      <c r="D4962" s="109">
        <v>0.01</v>
      </c>
      <c r="E4962" s="109">
        <v>1.2E-2</v>
      </c>
      <c r="F4962" s="109">
        <v>1.2999999999999999E-2</v>
      </c>
      <c r="G4962" s="130">
        <v>0</v>
      </c>
      <c r="H4962" s="71">
        <v>8.6</v>
      </c>
      <c r="I4962" s="71">
        <v>11.2</v>
      </c>
      <c r="J4962" s="71">
        <v>13.7</v>
      </c>
      <c r="K4962" s="121">
        <v>-1E-4</v>
      </c>
      <c r="L4962" s="121">
        <v>-5.0000000000000001E-3</v>
      </c>
      <c r="M4962" s="75" t="s">
        <v>146</v>
      </c>
      <c r="N4962" s="75" t="b">
        <v>1</v>
      </c>
      <c r="O4962" s="75" t="s">
        <v>145</v>
      </c>
      <c r="P4962" s="75">
        <v>2014</v>
      </c>
      <c r="Q4962" s="107">
        <f t="shared" si="202"/>
        <v>2021</v>
      </c>
      <c r="R4962" s="107">
        <v>2</v>
      </c>
      <c r="S4962" s="43">
        <v>221086</v>
      </c>
      <c r="T4962" s="74">
        <v>44402</v>
      </c>
    </row>
    <row r="4963" spans="1:20" x14ac:dyDescent="0.3">
      <c r="A4963" s="42">
        <v>44449</v>
      </c>
      <c r="B4963" s="37">
        <f t="shared" si="193"/>
        <v>20210910</v>
      </c>
      <c r="C4963" s="109">
        <v>1.7100000000000001E-2</v>
      </c>
      <c r="D4963" s="109">
        <v>0.01</v>
      </c>
      <c r="E4963" s="109">
        <v>1.2E-2</v>
      </c>
      <c r="F4963" s="109">
        <v>1.2999999999999999E-2</v>
      </c>
      <c r="G4963" s="130">
        <v>0</v>
      </c>
      <c r="H4963" s="71">
        <v>8.6</v>
      </c>
      <c r="I4963" s="71">
        <v>11.2</v>
      </c>
      <c r="J4963" s="71">
        <v>13.7</v>
      </c>
      <c r="K4963" s="121">
        <v>2.9999999999999997E-4</v>
      </c>
      <c r="L4963" s="121">
        <v>-5.0000000000000001E-3</v>
      </c>
      <c r="M4963" s="75" t="s">
        <v>146</v>
      </c>
      <c r="N4963" s="75" t="b">
        <v>1</v>
      </c>
      <c r="O4963" s="75" t="s">
        <v>145</v>
      </c>
      <c r="P4963" s="75">
        <v>2014</v>
      </c>
      <c r="Q4963" s="107">
        <f t="shared" si="202"/>
        <v>2021</v>
      </c>
      <c r="R4963" s="107">
        <v>2</v>
      </c>
      <c r="S4963" s="43">
        <v>221086</v>
      </c>
      <c r="T4963" s="74">
        <v>44402</v>
      </c>
    </row>
    <row r="4964" spans="1:20" x14ac:dyDescent="0.3">
      <c r="A4964" s="42">
        <v>44450</v>
      </c>
      <c r="B4964" s="37">
        <f t="shared" ref="B4964:B4965" si="204">YEAR(A4964)*10000+MONTH(A4964)*100+DAY(A4964)</f>
        <v>20210911</v>
      </c>
      <c r="C4964" s="109">
        <v>1.7100000000000001E-2</v>
      </c>
      <c r="D4964" s="109">
        <v>0.01</v>
      </c>
      <c r="E4964" s="109">
        <v>1.2E-2</v>
      </c>
      <c r="F4964" s="109">
        <v>1.2999999999999999E-2</v>
      </c>
      <c r="G4964" s="130">
        <v>0</v>
      </c>
      <c r="H4964" s="71">
        <v>8.6</v>
      </c>
      <c r="I4964" s="71">
        <v>11.2</v>
      </c>
      <c r="J4964" s="71">
        <v>13.7</v>
      </c>
      <c r="K4964" s="121">
        <v>2.9999999999999997E-4</v>
      </c>
      <c r="L4964" s="121">
        <v>-5.0000000000000001E-3</v>
      </c>
      <c r="M4964" s="75" t="s">
        <v>146</v>
      </c>
      <c r="N4964" s="75" t="b">
        <v>1</v>
      </c>
      <c r="O4964" s="75" t="s">
        <v>145</v>
      </c>
      <c r="P4964" s="75">
        <v>2014</v>
      </c>
      <c r="Q4964" s="107">
        <f t="shared" si="202"/>
        <v>2021</v>
      </c>
      <c r="R4964" s="107">
        <v>2</v>
      </c>
      <c r="S4964" s="43">
        <v>221086</v>
      </c>
      <c r="T4964" s="74">
        <v>44402</v>
      </c>
    </row>
    <row r="4965" spans="1:20" x14ac:dyDescent="0.3">
      <c r="A4965" s="42">
        <v>44451</v>
      </c>
      <c r="B4965" s="37">
        <f t="shared" si="204"/>
        <v>20210912</v>
      </c>
      <c r="C4965" s="109">
        <v>1.7100000000000001E-2</v>
      </c>
      <c r="D4965" s="109">
        <v>0.01</v>
      </c>
      <c r="E4965" s="109">
        <v>1.2E-2</v>
      </c>
      <c r="F4965" s="109">
        <v>1.2999999999999999E-2</v>
      </c>
      <c r="G4965" s="130">
        <v>0</v>
      </c>
      <c r="H4965" s="71">
        <v>8.6</v>
      </c>
      <c r="I4965" s="71">
        <v>11.2</v>
      </c>
      <c r="J4965" s="71">
        <v>13.7</v>
      </c>
      <c r="K4965" s="121">
        <v>2.9999999999999997E-4</v>
      </c>
      <c r="L4965" s="121">
        <v>-5.0000000000000001E-3</v>
      </c>
      <c r="M4965" s="75" t="s">
        <v>146</v>
      </c>
      <c r="N4965" s="75" t="b">
        <v>1</v>
      </c>
      <c r="O4965" s="75" t="s">
        <v>145</v>
      </c>
      <c r="P4965" s="75">
        <v>2014</v>
      </c>
      <c r="Q4965" s="107">
        <f t="shared" si="202"/>
        <v>2021</v>
      </c>
      <c r="R4965" s="107">
        <v>2</v>
      </c>
      <c r="S4965" s="43">
        <v>221086</v>
      </c>
      <c r="T4965" s="74">
        <v>44402</v>
      </c>
    </row>
    <row r="4966" spans="1:20" x14ac:dyDescent="0.3">
      <c r="A4966" s="42">
        <v>44452</v>
      </c>
      <c r="B4966" s="37">
        <f t="shared" si="193"/>
        <v>20210913</v>
      </c>
      <c r="C4966" s="109">
        <v>1.7000000000000001E-2</v>
      </c>
      <c r="D4966" s="109">
        <v>0.01</v>
      </c>
      <c r="E4966" s="109">
        <v>1.2E-2</v>
      </c>
      <c r="F4966" s="109">
        <v>1.2999999999999999E-2</v>
      </c>
      <c r="G4966" s="130">
        <v>0</v>
      </c>
      <c r="H4966" s="71">
        <v>8.6</v>
      </c>
      <c r="I4966" s="71">
        <v>11.2</v>
      </c>
      <c r="J4966" s="71">
        <v>13.7</v>
      </c>
      <c r="K4966" s="121">
        <v>2.9999999999999997E-4</v>
      </c>
      <c r="L4966" s="121">
        <v>-5.0000000000000001E-3</v>
      </c>
      <c r="M4966" s="75" t="s">
        <v>146</v>
      </c>
      <c r="N4966" s="75" t="b">
        <v>1</v>
      </c>
      <c r="O4966" s="75" t="s">
        <v>145</v>
      </c>
      <c r="P4966" s="75">
        <v>2014</v>
      </c>
      <c r="Q4966" s="107">
        <f t="shared" si="202"/>
        <v>2021</v>
      </c>
      <c r="R4966" s="107">
        <v>2</v>
      </c>
      <c r="S4966" s="43">
        <v>221086</v>
      </c>
      <c r="T4966" s="74">
        <v>44402</v>
      </c>
    </row>
    <row r="4967" spans="1:20" x14ac:dyDescent="0.3">
      <c r="A4967" s="42">
        <v>44453</v>
      </c>
      <c r="B4967" s="37">
        <f t="shared" si="193"/>
        <v>20210914</v>
      </c>
      <c r="C4967" s="109">
        <v>1.6500000000000001E-2</v>
      </c>
      <c r="D4967" s="109">
        <v>0.01</v>
      </c>
      <c r="E4967" s="109">
        <v>1.2E-2</v>
      </c>
      <c r="F4967" s="109">
        <v>1.2999999999999999E-2</v>
      </c>
      <c r="G4967" s="130">
        <v>0</v>
      </c>
      <c r="H4967" s="71">
        <v>8.6</v>
      </c>
      <c r="I4967" s="71">
        <v>11.2</v>
      </c>
      <c r="J4967" s="71">
        <v>13.7</v>
      </c>
      <c r="K4967" s="121">
        <v>0</v>
      </c>
      <c r="L4967" s="121">
        <v>-5.0000000000000001E-3</v>
      </c>
      <c r="M4967" s="75" t="s">
        <v>146</v>
      </c>
      <c r="N4967" s="75" t="b">
        <v>1</v>
      </c>
      <c r="O4967" s="75" t="s">
        <v>145</v>
      </c>
      <c r="P4967" s="75">
        <v>2014</v>
      </c>
      <c r="Q4967" s="107">
        <f t="shared" si="202"/>
        <v>2021</v>
      </c>
      <c r="R4967" s="107">
        <v>2</v>
      </c>
      <c r="S4967" s="43">
        <v>221086</v>
      </c>
      <c r="T4967" s="74">
        <v>44402</v>
      </c>
    </row>
    <row r="4968" spans="1:20" x14ac:dyDescent="0.3">
      <c r="A4968" s="42">
        <v>44454</v>
      </c>
      <c r="B4968" s="37">
        <f t="shared" si="193"/>
        <v>20210915</v>
      </c>
      <c r="C4968" s="109">
        <v>1.6899999999999998E-2</v>
      </c>
      <c r="D4968" s="109">
        <v>0.01</v>
      </c>
      <c r="E4968" s="109">
        <v>1.2E-2</v>
      </c>
      <c r="F4968" s="109">
        <v>1.2999999999999999E-2</v>
      </c>
      <c r="G4968" s="130">
        <v>0</v>
      </c>
      <c r="H4968" s="71">
        <v>8.6</v>
      </c>
      <c r="I4968" s="71">
        <v>11.2</v>
      </c>
      <c r="J4968" s="71">
        <v>13.7</v>
      </c>
      <c r="K4968" s="121">
        <v>2.9999999999999997E-4</v>
      </c>
      <c r="L4968" s="121">
        <v>-5.0000000000000001E-3</v>
      </c>
      <c r="M4968" s="75" t="s">
        <v>146</v>
      </c>
      <c r="N4968" s="75" t="b">
        <v>1</v>
      </c>
      <c r="O4968" s="75" t="s">
        <v>145</v>
      </c>
      <c r="P4968" s="75">
        <v>2014</v>
      </c>
      <c r="Q4968" s="107">
        <f t="shared" si="202"/>
        <v>2021</v>
      </c>
      <c r="R4968" s="107">
        <v>2</v>
      </c>
      <c r="S4968" s="43">
        <v>221086</v>
      </c>
      <c r="T4968" s="74">
        <v>44402</v>
      </c>
    </row>
    <row r="4969" spans="1:20" x14ac:dyDescent="0.3">
      <c r="A4969" s="42">
        <v>44455</v>
      </c>
      <c r="B4969" s="37">
        <f t="shared" si="193"/>
        <v>20210916</v>
      </c>
      <c r="C4969" s="109">
        <v>1.6899999999999998E-2</v>
      </c>
      <c r="D4969" s="109">
        <v>0.01</v>
      </c>
      <c r="E4969" s="109">
        <v>1.2E-2</v>
      </c>
      <c r="F4969" s="109">
        <v>1.2999999999999999E-2</v>
      </c>
      <c r="G4969" s="130">
        <v>0</v>
      </c>
      <c r="H4969" s="71">
        <v>8.6</v>
      </c>
      <c r="I4969" s="71">
        <v>11.2</v>
      </c>
      <c r="J4969" s="71">
        <v>13.7</v>
      </c>
      <c r="K4969" s="121">
        <v>2.9999999999999997E-4</v>
      </c>
      <c r="L4969" s="121">
        <v>-5.0000000000000001E-3</v>
      </c>
      <c r="M4969" s="75" t="s">
        <v>146</v>
      </c>
      <c r="N4969" s="75" t="b">
        <v>1</v>
      </c>
      <c r="O4969" s="75" t="s">
        <v>145</v>
      </c>
      <c r="P4969" s="75">
        <v>2014</v>
      </c>
      <c r="Q4969" s="107">
        <f t="shared" si="202"/>
        <v>2021</v>
      </c>
      <c r="R4969" s="107">
        <v>2</v>
      </c>
      <c r="S4969" s="43">
        <v>221086</v>
      </c>
      <c r="T4969" s="74">
        <v>44402</v>
      </c>
    </row>
    <row r="4970" spans="1:20" x14ac:dyDescent="0.3">
      <c r="A4970" s="42">
        <v>44456</v>
      </c>
      <c r="B4970" s="37">
        <f t="shared" si="193"/>
        <v>20210917</v>
      </c>
      <c r="C4970" s="109">
        <v>1.7399999999999999E-2</v>
      </c>
      <c r="D4970" s="109">
        <v>0.01</v>
      </c>
      <c r="E4970" s="109">
        <v>1.2E-2</v>
      </c>
      <c r="F4970" s="109">
        <v>1.2999999999999999E-2</v>
      </c>
      <c r="G4970" s="130">
        <v>0</v>
      </c>
      <c r="H4970" s="71">
        <v>8.6</v>
      </c>
      <c r="I4970" s="71">
        <v>11.2</v>
      </c>
      <c r="J4970" s="71">
        <v>13.7</v>
      </c>
      <c r="K4970" s="121">
        <v>8.0000000000000004E-4</v>
      </c>
      <c r="L4970" s="121">
        <v>-5.0000000000000001E-3</v>
      </c>
      <c r="M4970" s="75" t="s">
        <v>146</v>
      </c>
      <c r="N4970" s="75" t="b">
        <v>1</v>
      </c>
      <c r="O4970" s="75" t="s">
        <v>145</v>
      </c>
      <c r="P4970" s="75">
        <v>2014</v>
      </c>
      <c r="Q4970" s="107">
        <f t="shared" si="202"/>
        <v>2021</v>
      </c>
      <c r="R4970" s="107">
        <v>2</v>
      </c>
      <c r="S4970" s="43">
        <v>221086</v>
      </c>
      <c r="T4970" s="74">
        <v>44402</v>
      </c>
    </row>
    <row r="4971" spans="1:20" x14ac:dyDescent="0.3">
      <c r="A4971" s="42">
        <v>44457</v>
      </c>
      <c r="B4971" s="37">
        <f t="shared" ref="B4971:B4972" si="205">YEAR(A4971)*10000+MONTH(A4971)*100+DAY(A4971)</f>
        <v>20210918</v>
      </c>
      <c r="C4971" s="109">
        <v>1.7399999999999999E-2</v>
      </c>
      <c r="D4971" s="109">
        <v>0.01</v>
      </c>
      <c r="E4971" s="109">
        <v>1.2E-2</v>
      </c>
      <c r="F4971" s="109">
        <v>1.2999999999999999E-2</v>
      </c>
      <c r="G4971" s="130">
        <v>0</v>
      </c>
      <c r="H4971" s="71">
        <v>8.6</v>
      </c>
      <c r="I4971" s="71">
        <v>11.2</v>
      </c>
      <c r="J4971" s="71">
        <v>13.7</v>
      </c>
      <c r="K4971" s="121">
        <v>8.0000000000000004E-4</v>
      </c>
      <c r="L4971" s="121">
        <v>-5.0000000000000001E-3</v>
      </c>
      <c r="M4971" s="75" t="s">
        <v>146</v>
      </c>
      <c r="N4971" s="75" t="b">
        <v>1</v>
      </c>
      <c r="O4971" s="75" t="s">
        <v>145</v>
      </c>
      <c r="P4971" s="75">
        <v>2014</v>
      </c>
      <c r="Q4971" s="107">
        <f t="shared" si="202"/>
        <v>2021</v>
      </c>
      <c r="R4971" s="107">
        <v>2</v>
      </c>
      <c r="S4971" s="43">
        <v>221086</v>
      </c>
      <c r="T4971" s="74">
        <v>44402</v>
      </c>
    </row>
    <row r="4972" spans="1:20" x14ac:dyDescent="0.3">
      <c r="A4972" s="42">
        <v>44458</v>
      </c>
      <c r="B4972" s="37">
        <f t="shared" si="205"/>
        <v>20210919</v>
      </c>
      <c r="C4972" s="109">
        <v>1.7399999999999999E-2</v>
      </c>
      <c r="D4972" s="109">
        <v>0.01</v>
      </c>
      <c r="E4972" s="109">
        <v>1.2E-2</v>
      </c>
      <c r="F4972" s="109">
        <v>1.2999999999999999E-2</v>
      </c>
      <c r="G4972" s="130">
        <v>0</v>
      </c>
      <c r="H4972" s="71">
        <v>8.6</v>
      </c>
      <c r="I4972" s="71">
        <v>11.2</v>
      </c>
      <c r="J4972" s="71">
        <v>13.7</v>
      </c>
      <c r="K4972" s="121">
        <v>8.0000000000000004E-4</v>
      </c>
      <c r="L4972" s="121">
        <v>-5.0000000000000001E-3</v>
      </c>
      <c r="M4972" s="75" t="s">
        <v>146</v>
      </c>
      <c r="N4972" s="75" t="b">
        <v>1</v>
      </c>
      <c r="O4972" s="75" t="s">
        <v>145</v>
      </c>
      <c r="P4972" s="75">
        <v>2014</v>
      </c>
      <c r="Q4972" s="107">
        <f t="shared" si="202"/>
        <v>2021</v>
      </c>
      <c r="R4972" s="107">
        <v>2</v>
      </c>
      <c r="S4972" s="43">
        <v>221086</v>
      </c>
      <c r="T4972" s="74">
        <v>44402</v>
      </c>
    </row>
    <row r="4973" spans="1:20" x14ac:dyDescent="0.3">
      <c r="A4973" s="42">
        <v>44459</v>
      </c>
      <c r="B4973" s="37">
        <f t="shared" si="193"/>
        <v>20210920</v>
      </c>
      <c r="C4973" s="109">
        <v>1.6899999999999998E-2</v>
      </c>
      <c r="D4973" s="109">
        <v>0.01</v>
      </c>
      <c r="E4973" s="109">
        <v>1.2E-2</v>
      </c>
      <c r="F4973" s="109">
        <v>1.2999999999999999E-2</v>
      </c>
      <c r="G4973" s="130">
        <v>0</v>
      </c>
      <c r="H4973" s="71">
        <v>8.6</v>
      </c>
      <c r="I4973" s="71">
        <v>11.2</v>
      </c>
      <c r="J4973" s="71">
        <v>13.7</v>
      </c>
      <c r="K4973" s="121">
        <v>5.0000000000000001E-4</v>
      </c>
      <c r="L4973" s="121">
        <v>-5.0000000000000001E-3</v>
      </c>
      <c r="M4973" s="75" t="s">
        <v>146</v>
      </c>
      <c r="N4973" s="75" t="b">
        <v>1</v>
      </c>
      <c r="O4973" s="75" t="s">
        <v>145</v>
      </c>
      <c r="P4973" s="75">
        <v>2014</v>
      </c>
      <c r="Q4973" s="107">
        <f t="shared" si="202"/>
        <v>2021</v>
      </c>
      <c r="R4973" s="107">
        <v>2</v>
      </c>
      <c r="S4973" s="43">
        <v>221086</v>
      </c>
      <c r="T4973" s="74">
        <v>44402</v>
      </c>
    </row>
    <row r="4974" spans="1:20" x14ac:dyDescent="0.3">
      <c r="A4974" s="42">
        <v>44460</v>
      </c>
      <c r="B4974" s="37">
        <f t="shared" si="193"/>
        <v>20210921</v>
      </c>
      <c r="C4974" s="109">
        <v>1.7000000000000001E-2</v>
      </c>
      <c r="D4974" s="109">
        <v>0.01</v>
      </c>
      <c r="E4974" s="109">
        <v>1.2E-2</v>
      </c>
      <c r="F4974" s="109">
        <v>1.2999999999999999E-2</v>
      </c>
      <c r="G4974" s="130">
        <v>0</v>
      </c>
      <c r="H4974" s="71">
        <v>8.6</v>
      </c>
      <c r="I4974" s="71">
        <v>11.2</v>
      </c>
      <c r="J4974" s="71">
        <v>13.7</v>
      </c>
      <c r="K4974" s="121">
        <v>7.000000000000001E-4</v>
      </c>
      <c r="L4974" s="121">
        <v>-5.0000000000000001E-3</v>
      </c>
      <c r="M4974" s="75" t="s">
        <v>146</v>
      </c>
      <c r="N4974" s="75" t="b">
        <v>1</v>
      </c>
      <c r="O4974" s="75" t="s">
        <v>145</v>
      </c>
      <c r="P4974" s="75">
        <v>2014</v>
      </c>
      <c r="Q4974" s="107">
        <f t="shared" si="202"/>
        <v>2021</v>
      </c>
      <c r="R4974" s="107">
        <v>2</v>
      </c>
      <c r="S4974" s="43">
        <v>221086</v>
      </c>
      <c r="T4974" s="74">
        <v>44402</v>
      </c>
    </row>
    <row r="4975" spans="1:20" x14ac:dyDescent="0.3">
      <c r="A4975" s="42">
        <v>44461</v>
      </c>
      <c r="B4975" s="37">
        <f t="shared" si="193"/>
        <v>20210922</v>
      </c>
      <c r="C4975" s="109">
        <v>1.6799999999999999E-2</v>
      </c>
      <c r="D4975" s="109">
        <v>0.01</v>
      </c>
      <c r="E4975" s="109">
        <v>1.2E-2</v>
      </c>
      <c r="F4975" s="109">
        <v>1.2999999999999999E-2</v>
      </c>
      <c r="G4975" s="130">
        <v>0</v>
      </c>
      <c r="H4975" s="71">
        <v>8.6</v>
      </c>
      <c r="I4975" s="71">
        <v>11.2</v>
      </c>
      <c r="J4975" s="71">
        <v>13.7</v>
      </c>
      <c r="K4975" s="121">
        <v>5.0000000000000001E-4</v>
      </c>
      <c r="L4975" s="121">
        <v>-5.0000000000000001E-3</v>
      </c>
      <c r="M4975" s="75" t="s">
        <v>146</v>
      </c>
      <c r="N4975" s="75" t="b">
        <v>1</v>
      </c>
      <c r="O4975" s="75" t="s">
        <v>145</v>
      </c>
      <c r="P4975" s="75">
        <v>2014</v>
      </c>
      <c r="Q4975" s="107">
        <f t="shared" si="202"/>
        <v>2021</v>
      </c>
      <c r="R4975" s="107">
        <v>2</v>
      </c>
      <c r="S4975" s="43">
        <v>221086</v>
      </c>
      <c r="T4975" s="74">
        <v>44402</v>
      </c>
    </row>
    <row r="4976" spans="1:20" x14ac:dyDescent="0.3">
      <c r="A4976" s="42">
        <v>44462</v>
      </c>
      <c r="B4976" s="37">
        <f t="shared" ref="B4976:B4981" si="206">YEAR(A4976)*10000+MONTH(A4976)*100+DAY(A4976)</f>
        <v>20210923</v>
      </c>
      <c r="C4976" s="109">
        <v>1.77E-2</v>
      </c>
      <c r="D4976" s="109">
        <v>0.01</v>
      </c>
      <c r="E4976" s="109">
        <v>1.2E-2</v>
      </c>
      <c r="F4976" s="109">
        <v>1.2999999999999999E-2</v>
      </c>
      <c r="G4976" s="130">
        <v>0</v>
      </c>
      <c r="H4976" s="71">
        <v>8.6</v>
      </c>
      <c r="I4976" s="71">
        <v>11.2</v>
      </c>
      <c r="J4976" s="71">
        <v>13.7</v>
      </c>
      <c r="K4976" s="121">
        <v>1E-3</v>
      </c>
      <c r="L4976" s="121">
        <v>-5.0000000000000001E-3</v>
      </c>
      <c r="M4976" s="75" t="s">
        <v>146</v>
      </c>
      <c r="N4976" s="75" t="b">
        <v>1</v>
      </c>
      <c r="O4976" s="75" t="s">
        <v>145</v>
      </c>
      <c r="P4976" s="75">
        <v>2014</v>
      </c>
      <c r="Q4976" s="107">
        <f t="shared" si="202"/>
        <v>2021</v>
      </c>
      <c r="R4976" s="107">
        <v>2</v>
      </c>
      <c r="S4976" s="43">
        <v>221086</v>
      </c>
      <c r="T4976" s="74">
        <v>44402</v>
      </c>
    </row>
    <row r="4977" spans="1:21" x14ac:dyDescent="0.3">
      <c r="A4977" s="42">
        <v>44463</v>
      </c>
      <c r="B4977" s="37">
        <f t="shared" si="206"/>
        <v>20210924</v>
      </c>
      <c r="C4977" s="109">
        <v>1.83E-2</v>
      </c>
      <c r="D4977" s="109">
        <v>0.01</v>
      </c>
      <c r="E4977" s="109">
        <v>1.2E-2</v>
      </c>
      <c r="F4977" s="109">
        <v>1.2999999999999999E-2</v>
      </c>
      <c r="G4977" s="130">
        <v>0</v>
      </c>
      <c r="H4977" s="71">
        <v>8.6</v>
      </c>
      <c r="I4977" s="71">
        <v>11.2</v>
      </c>
      <c r="J4977" s="71">
        <v>13.7</v>
      </c>
      <c r="K4977" s="121">
        <v>1.6000000000000001E-3</v>
      </c>
      <c r="L4977" s="121">
        <v>-5.0000000000000001E-3</v>
      </c>
      <c r="M4977" s="75" t="s">
        <v>146</v>
      </c>
      <c r="N4977" s="75" t="b">
        <v>1</v>
      </c>
      <c r="O4977" s="75" t="s">
        <v>145</v>
      </c>
      <c r="P4977" s="75">
        <v>2014</v>
      </c>
      <c r="Q4977" s="107">
        <f t="shared" si="202"/>
        <v>2021</v>
      </c>
      <c r="R4977" s="107">
        <v>2</v>
      </c>
      <c r="S4977" s="43">
        <v>221086</v>
      </c>
      <c r="T4977" s="74">
        <v>44402</v>
      </c>
    </row>
    <row r="4978" spans="1:21" x14ac:dyDescent="0.3">
      <c r="A4978" s="42">
        <v>44464</v>
      </c>
      <c r="B4978" s="37">
        <f t="shared" ref="B4978:B4979" si="207">YEAR(A4978)*10000+MONTH(A4978)*100+DAY(A4978)</f>
        <v>20210925</v>
      </c>
      <c r="C4978" s="109">
        <v>1.83E-2</v>
      </c>
      <c r="D4978" s="109">
        <v>0.01</v>
      </c>
      <c r="E4978" s="109">
        <v>1.2E-2</v>
      </c>
      <c r="F4978" s="109">
        <v>1.2999999999999999E-2</v>
      </c>
      <c r="G4978" s="130">
        <v>0</v>
      </c>
      <c r="H4978" s="71">
        <v>8.6</v>
      </c>
      <c r="I4978" s="71">
        <v>11.2</v>
      </c>
      <c r="J4978" s="71">
        <v>13.7</v>
      </c>
      <c r="K4978" s="121">
        <v>1.6000000000000001E-3</v>
      </c>
      <c r="L4978" s="121">
        <v>-5.0000000000000001E-3</v>
      </c>
      <c r="M4978" s="75" t="s">
        <v>146</v>
      </c>
      <c r="N4978" s="75" t="b">
        <v>1</v>
      </c>
      <c r="O4978" s="75" t="s">
        <v>145</v>
      </c>
      <c r="P4978" s="75">
        <v>2014</v>
      </c>
      <c r="Q4978" s="107">
        <f t="shared" si="202"/>
        <v>2021</v>
      </c>
      <c r="R4978" s="107">
        <v>2</v>
      </c>
      <c r="S4978" s="43">
        <v>221086</v>
      </c>
      <c r="T4978" s="74">
        <v>44402</v>
      </c>
    </row>
    <row r="4979" spans="1:21" x14ac:dyDescent="0.3">
      <c r="A4979" s="42">
        <v>44465</v>
      </c>
      <c r="B4979" s="37">
        <f t="shared" si="207"/>
        <v>20210926</v>
      </c>
      <c r="C4979" s="109">
        <v>1.83E-2</v>
      </c>
      <c r="D4979" s="109">
        <v>0.01</v>
      </c>
      <c r="E4979" s="109">
        <v>1.2E-2</v>
      </c>
      <c r="F4979" s="109">
        <v>1.2999999999999999E-2</v>
      </c>
      <c r="G4979" s="130">
        <v>0</v>
      </c>
      <c r="H4979" s="71">
        <v>8.6</v>
      </c>
      <c r="I4979" s="71">
        <v>11.2</v>
      </c>
      <c r="J4979" s="71">
        <v>13.7</v>
      </c>
      <c r="K4979" s="121">
        <v>1.6000000000000001E-3</v>
      </c>
      <c r="L4979" s="121">
        <v>-5.0000000000000001E-3</v>
      </c>
      <c r="M4979" s="75" t="s">
        <v>146</v>
      </c>
      <c r="N4979" s="75" t="b">
        <v>1</v>
      </c>
      <c r="O4979" s="75" t="s">
        <v>145</v>
      </c>
      <c r="P4979" s="75">
        <v>2014</v>
      </c>
      <c r="Q4979" s="107">
        <f t="shared" si="202"/>
        <v>2021</v>
      </c>
      <c r="R4979" s="107">
        <v>2</v>
      </c>
      <c r="S4979" s="43">
        <v>221086</v>
      </c>
      <c r="T4979" s="74">
        <v>44402</v>
      </c>
    </row>
    <row r="4980" spans="1:21" x14ac:dyDescent="0.3">
      <c r="A4980" s="42">
        <v>44466</v>
      </c>
      <c r="B4980" s="37">
        <f t="shared" si="206"/>
        <v>20210927</v>
      </c>
      <c r="C4980" s="109">
        <v>1.8500000000000003E-2</v>
      </c>
      <c r="D4980" s="109">
        <v>0.01</v>
      </c>
      <c r="E4980" s="109">
        <v>1.2E-2</v>
      </c>
      <c r="F4980" s="109">
        <v>1.2999999999999999E-2</v>
      </c>
      <c r="G4980" s="130">
        <v>0</v>
      </c>
      <c r="H4980" s="71">
        <v>8.6</v>
      </c>
      <c r="I4980" s="71">
        <v>11.2</v>
      </c>
      <c r="J4980" s="71">
        <v>13.7</v>
      </c>
      <c r="K4980" s="121">
        <v>1.6000000000000001E-3</v>
      </c>
      <c r="L4980" s="121">
        <v>-5.0000000000000001E-3</v>
      </c>
      <c r="M4980" s="75" t="s">
        <v>146</v>
      </c>
      <c r="N4980" s="75" t="b">
        <v>1</v>
      </c>
      <c r="O4980" s="75" t="s">
        <v>145</v>
      </c>
      <c r="P4980" s="75">
        <v>2014</v>
      </c>
      <c r="Q4980" s="107">
        <f t="shared" si="202"/>
        <v>2021</v>
      </c>
      <c r="R4980" s="107">
        <v>2</v>
      </c>
      <c r="S4980" s="43">
        <v>221086</v>
      </c>
      <c r="T4980" s="74">
        <v>44402</v>
      </c>
    </row>
    <row r="4981" spans="1:21" ht="13.95" customHeight="1" x14ac:dyDescent="0.3">
      <c r="A4981" s="42">
        <v>44467</v>
      </c>
      <c r="B4981" s="37">
        <f t="shared" si="206"/>
        <v>20210928</v>
      </c>
      <c r="C4981" s="109">
        <v>1.9E-2</v>
      </c>
      <c r="D4981" s="109">
        <v>0.01</v>
      </c>
      <c r="E4981" s="109">
        <v>1.2E-2</v>
      </c>
      <c r="F4981" s="109">
        <v>1.2999999999999999E-2</v>
      </c>
      <c r="G4981" s="130">
        <v>0</v>
      </c>
      <c r="H4981" s="71">
        <v>8.6</v>
      </c>
      <c r="I4981" s="71">
        <v>11.2</v>
      </c>
      <c r="J4981" s="71">
        <v>13.7</v>
      </c>
      <c r="K4981" s="121">
        <v>2E-3</v>
      </c>
      <c r="L4981" s="121">
        <v>-5.0000000000000001E-3</v>
      </c>
      <c r="M4981" s="75" t="s">
        <v>146</v>
      </c>
      <c r="N4981" s="75" t="b">
        <v>1</v>
      </c>
      <c r="O4981" s="75" t="s">
        <v>145</v>
      </c>
      <c r="P4981" s="75">
        <v>2014</v>
      </c>
      <c r="Q4981" s="107">
        <f t="shared" si="202"/>
        <v>2021</v>
      </c>
      <c r="R4981" s="107">
        <v>2</v>
      </c>
      <c r="S4981" s="43">
        <v>221086</v>
      </c>
      <c r="T4981" s="74">
        <v>44402</v>
      </c>
    </row>
    <row r="4982" spans="1:21" ht="13.95" customHeight="1" x14ac:dyDescent="0.3">
      <c r="A4982" s="42">
        <v>44468</v>
      </c>
      <c r="B4982" s="37">
        <f t="shared" ref="B4982:B5005" si="208">YEAR(A4982)*10000+MONTH(A4982)*100+DAY(A4982)</f>
        <v>20210929</v>
      </c>
      <c r="C4982" s="109">
        <v>1.9199999999999998E-2</v>
      </c>
      <c r="D4982" s="109">
        <v>0.01</v>
      </c>
      <c r="E4982" s="109">
        <v>1.2E-2</v>
      </c>
      <c r="F4982" s="109">
        <v>1.2999999999999999E-2</v>
      </c>
      <c r="G4982" s="130">
        <v>0</v>
      </c>
      <c r="H4982" s="71">
        <v>8.6</v>
      </c>
      <c r="I4982" s="71">
        <v>11.2</v>
      </c>
      <c r="J4982" s="71">
        <v>13.7</v>
      </c>
      <c r="K4982" s="121">
        <v>2.5000000000000001E-3</v>
      </c>
      <c r="L4982" s="121">
        <v>-5.0000000000000001E-3</v>
      </c>
      <c r="M4982" s="75" t="s">
        <v>146</v>
      </c>
      <c r="N4982" s="75" t="b">
        <v>1</v>
      </c>
      <c r="O4982" s="75" t="s">
        <v>145</v>
      </c>
      <c r="P4982" s="75">
        <v>2014</v>
      </c>
      <c r="Q4982" s="107">
        <f t="shared" ref="Q4982:Q4983" si="209">YEAR(A4982)</f>
        <v>2021</v>
      </c>
      <c r="R4982" s="107">
        <v>2</v>
      </c>
      <c r="S4982" s="43">
        <v>221086</v>
      </c>
      <c r="T4982" s="74">
        <v>44402</v>
      </c>
    </row>
    <row r="4983" spans="1:21" s="259" customFormat="1" x14ac:dyDescent="0.3">
      <c r="A4983" s="251">
        <v>44469</v>
      </c>
      <c r="B4983" s="252">
        <f t="shared" si="208"/>
        <v>20210930</v>
      </c>
      <c r="C4983" s="135">
        <v>1.9199999999999998E-2</v>
      </c>
      <c r="D4983" s="135">
        <v>0.01</v>
      </c>
      <c r="E4983" s="135">
        <v>1.2E-2</v>
      </c>
      <c r="F4983" s="135">
        <v>1.2999999999999999E-2</v>
      </c>
      <c r="G4983" s="253">
        <v>0</v>
      </c>
      <c r="H4983" s="254">
        <v>8.6</v>
      </c>
      <c r="I4983" s="254">
        <v>11.1</v>
      </c>
      <c r="J4983" s="254">
        <v>13.6</v>
      </c>
      <c r="K4983" s="255">
        <v>2.5000000000000001E-3</v>
      </c>
      <c r="L4983" s="255">
        <v>-5.0000000000000001E-3</v>
      </c>
      <c r="M4983" s="134" t="s">
        <v>146</v>
      </c>
      <c r="N4983" s="134" t="b">
        <v>1</v>
      </c>
      <c r="O4983" s="134" t="s">
        <v>145</v>
      </c>
      <c r="P4983" s="134">
        <v>2014</v>
      </c>
      <c r="Q4983" s="256">
        <f t="shared" si="209"/>
        <v>2021</v>
      </c>
      <c r="R4983" s="256">
        <v>2</v>
      </c>
      <c r="S4983" s="257">
        <v>221126</v>
      </c>
      <c r="T4983" s="258">
        <v>44519</v>
      </c>
      <c r="U4983" s="134"/>
    </row>
    <row r="4984" spans="1:21" x14ac:dyDescent="0.3">
      <c r="A4984" s="42">
        <v>44470</v>
      </c>
      <c r="B4984" s="37">
        <f t="shared" si="208"/>
        <v>20211001</v>
      </c>
      <c r="C4984" s="109">
        <v>1.89E-2</v>
      </c>
      <c r="D4984" s="109">
        <v>0.01</v>
      </c>
      <c r="E4984" s="109">
        <v>1.2E-2</v>
      </c>
      <c r="F4984" s="109">
        <v>1.2999999999999999E-2</v>
      </c>
      <c r="G4984" s="130">
        <v>0</v>
      </c>
      <c r="H4984" s="71">
        <v>8.6</v>
      </c>
      <c r="I4984" s="71">
        <v>11.1</v>
      </c>
      <c r="J4984" s="71">
        <v>13.6</v>
      </c>
      <c r="K4984" s="121">
        <v>2.2000000000000001E-3</v>
      </c>
      <c r="L4984" s="121">
        <v>-5.0000000000000001E-3</v>
      </c>
      <c r="M4984" s="75" t="s">
        <v>146</v>
      </c>
      <c r="N4984" s="75" t="b">
        <v>1</v>
      </c>
      <c r="O4984" s="75" t="s">
        <v>145</v>
      </c>
      <c r="P4984" s="75">
        <v>2014</v>
      </c>
      <c r="Q4984" s="107">
        <f t="shared" ref="Q4984:Q5007" si="210">YEAR(A4984)</f>
        <v>2021</v>
      </c>
      <c r="R4984" s="107">
        <v>2</v>
      </c>
      <c r="S4984" s="43">
        <v>221126</v>
      </c>
      <c r="T4984" s="74">
        <v>44519</v>
      </c>
    </row>
    <row r="4985" spans="1:21" x14ac:dyDescent="0.3">
      <c r="A4985" s="42">
        <v>44471</v>
      </c>
      <c r="B4985" s="37">
        <f t="shared" ref="B4985:B4986" si="211">YEAR(A4985)*10000+MONTH(A4985)*100+DAY(A4985)</f>
        <v>20211002</v>
      </c>
      <c r="C4985" s="109">
        <v>1.89E-2</v>
      </c>
      <c r="D4985" s="109">
        <v>0.01</v>
      </c>
      <c r="E4985" s="109">
        <v>1.2E-2</v>
      </c>
      <c r="F4985" s="109">
        <v>1.2999999999999999E-2</v>
      </c>
      <c r="G4985" s="130">
        <v>0</v>
      </c>
      <c r="H4985" s="71">
        <v>8.6</v>
      </c>
      <c r="I4985" s="71">
        <v>11.1</v>
      </c>
      <c r="J4985" s="71">
        <v>13.6</v>
      </c>
      <c r="K4985" s="121">
        <v>2.2000000000000001E-3</v>
      </c>
      <c r="L4985" s="121">
        <v>-5.0000000000000001E-3</v>
      </c>
      <c r="M4985" s="75" t="s">
        <v>146</v>
      </c>
      <c r="N4985" s="75" t="b">
        <v>1</v>
      </c>
      <c r="O4985" s="75" t="s">
        <v>145</v>
      </c>
      <c r="P4985" s="75">
        <v>2014</v>
      </c>
      <c r="Q4985" s="107">
        <f t="shared" si="210"/>
        <v>2021</v>
      </c>
      <c r="R4985" s="107">
        <v>2</v>
      </c>
      <c r="S4985" s="43">
        <v>221126</v>
      </c>
      <c r="T4985" s="74">
        <v>44519</v>
      </c>
    </row>
    <row r="4986" spans="1:21" x14ac:dyDescent="0.3">
      <c r="A4986" s="42">
        <v>44472</v>
      </c>
      <c r="B4986" s="37">
        <f t="shared" si="211"/>
        <v>20211003</v>
      </c>
      <c r="C4986" s="109">
        <v>1.89E-2</v>
      </c>
      <c r="D4986" s="109">
        <v>0.01</v>
      </c>
      <c r="E4986" s="109">
        <v>1.2E-2</v>
      </c>
      <c r="F4986" s="109">
        <v>1.2999999999999999E-2</v>
      </c>
      <c r="G4986" s="130">
        <v>0</v>
      </c>
      <c r="H4986" s="71">
        <v>8.6</v>
      </c>
      <c r="I4986" s="71">
        <v>11.1</v>
      </c>
      <c r="J4986" s="71">
        <v>13.6</v>
      </c>
      <c r="K4986" s="121">
        <v>2.2000000000000001E-3</v>
      </c>
      <c r="L4986" s="121">
        <v>-5.0000000000000001E-3</v>
      </c>
      <c r="M4986" s="75" t="s">
        <v>146</v>
      </c>
      <c r="N4986" s="75" t="b">
        <v>1</v>
      </c>
      <c r="O4986" s="75" t="s">
        <v>145</v>
      </c>
      <c r="P4986" s="75">
        <v>2014</v>
      </c>
      <c r="Q4986" s="107">
        <f t="shared" si="210"/>
        <v>2021</v>
      </c>
      <c r="R4986" s="107">
        <v>2</v>
      </c>
      <c r="S4986" s="43">
        <v>221126</v>
      </c>
      <c r="T4986" s="74">
        <v>44519</v>
      </c>
    </row>
    <row r="4987" spans="1:21" x14ac:dyDescent="0.3">
      <c r="A4987" s="42">
        <v>44473</v>
      </c>
      <c r="B4987" s="37">
        <f t="shared" si="208"/>
        <v>20211004</v>
      </c>
      <c r="C4987" s="109">
        <v>1.9E-2</v>
      </c>
      <c r="D4987" s="109">
        <v>0.01</v>
      </c>
      <c r="E4987" s="109">
        <v>1.2E-2</v>
      </c>
      <c r="F4987" s="109">
        <v>1.2999999999999999E-2</v>
      </c>
      <c r="G4987" s="130">
        <v>0</v>
      </c>
      <c r="H4987" s="71">
        <v>8.6</v>
      </c>
      <c r="I4987" s="71">
        <v>11.1</v>
      </c>
      <c r="J4987" s="71">
        <v>13.6</v>
      </c>
      <c r="K4987" s="121">
        <v>2.2000000000000001E-3</v>
      </c>
      <c r="L4987" s="121">
        <v>-5.0000000000000001E-3</v>
      </c>
      <c r="M4987" s="75" t="s">
        <v>146</v>
      </c>
      <c r="N4987" s="75" t="b">
        <v>1</v>
      </c>
      <c r="O4987" s="75" t="s">
        <v>145</v>
      </c>
      <c r="P4987" s="75">
        <v>2014</v>
      </c>
      <c r="Q4987" s="107">
        <f t="shared" si="210"/>
        <v>2021</v>
      </c>
      <c r="R4987" s="107">
        <v>2</v>
      </c>
      <c r="S4987" s="43">
        <v>221126</v>
      </c>
      <c r="T4987" s="74">
        <v>44519</v>
      </c>
    </row>
    <row r="4988" spans="1:21" x14ac:dyDescent="0.3">
      <c r="A4988" s="42">
        <v>44474</v>
      </c>
      <c r="B4988" s="37">
        <f t="shared" si="208"/>
        <v>20211005</v>
      </c>
      <c r="C4988" s="109">
        <v>1.9400000000000001E-2</v>
      </c>
      <c r="D4988" s="109">
        <v>0.01</v>
      </c>
      <c r="E4988" s="109">
        <v>1.2E-2</v>
      </c>
      <c r="F4988" s="109">
        <v>1.2999999999999999E-2</v>
      </c>
      <c r="G4988" s="130">
        <v>0</v>
      </c>
      <c r="H4988" s="71">
        <v>8.6</v>
      </c>
      <c r="I4988" s="71">
        <v>11.1</v>
      </c>
      <c r="J4988" s="71">
        <v>13.6</v>
      </c>
      <c r="K4988" s="121">
        <v>2.3E-3</v>
      </c>
      <c r="L4988" s="121">
        <v>-5.0000000000000001E-3</v>
      </c>
      <c r="M4988" s="75" t="s">
        <v>146</v>
      </c>
      <c r="N4988" s="75" t="b">
        <v>1</v>
      </c>
      <c r="O4988" s="75" t="s">
        <v>145</v>
      </c>
      <c r="P4988" s="75">
        <v>2014</v>
      </c>
      <c r="Q4988" s="107">
        <f t="shared" si="210"/>
        <v>2021</v>
      </c>
      <c r="R4988" s="107">
        <v>2</v>
      </c>
      <c r="S4988" s="43">
        <v>221126</v>
      </c>
      <c r="T4988" s="74">
        <v>44519</v>
      </c>
    </row>
    <row r="4989" spans="1:21" x14ac:dyDescent="0.3">
      <c r="A4989" s="42">
        <v>44475</v>
      </c>
      <c r="B4989" s="37">
        <f t="shared" si="208"/>
        <v>20211006</v>
      </c>
      <c r="C4989" s="109">
        <v>1.9199999999999998E-2</v>
      </c>
      <c r="D4989" s="109">
        <v>0.01</v>
      </c>
      <c r="E4989" s="109">
        <v>1.2E-2</v>
      </c>
      <c r="F4989" s="109">
        <v>1.2999999999999999E-2</v>
      </c>
      <c r="G4989" s="130">
        <v>0</v>
      </c>
      <c r="H4989" s="71">
        <v>8.6</v>
      </c>
      <c r="I4989" s="71">
        <v>11.1</v>
      </c>
      <c r="J4989" s="71">
        <v>13.6</v>
      </c>
      <c r="K4989" s="121">
        <v>2.0999999999999999E-3</v>
      </c>
      <c r="L4989" s="121">
        <v>-5.0000000000000001E-3</v>
      </c>
      <c r="M4989" s="75" t="s">
        <v>146</v>
      </c>
      <c r="N4989" s="75" t="b">
        <v>1</v>
      </c>
      <c r="O4989" s="75" t="s">
        <v>145</v>
      </c>
      <c r="P4989" s="75">
        <v>2014</v>
      </c>
      <c r="Q4989" s="107">
        <f t="shared" si="210"/>
        <v>2021</v>
      </c>
      <c r="R4989" s="107">
        <v>2</v>
      </c>
      <c r="S4989" s="43">
        <v>221126</v>
      </c>
      <c r="T4989" s="74">
        <v>44519</v>
      </c>
    </row>
    <row r="4990" spans="1:21" x14ac:dyDescent="0.3">
      <c r="A4990" s="42">
        <v>44476</v>
      </c>
      <c r="B4990" s="37">
        <f t="shared" si="208"/>
        <v>20211007</v>
      </c>
      <c r="C4990" s="109">
        <v>1.9699999999999999E-2</v>
      </c>
      <c r="D4990" s="109">
        <v>0.01</v>
      </c>
      <c r="E4990" s="109">
        <v>1.2E-2</v>
      </c>
      <c r="F4990" s="109">
        <v>1.2999999999999999E-2</v>
      </c>
      <c r="G4990" s="130">
        <v>0</v>
      </c>
      <c r="H4990" s="71">
        <v>8.6</v>
      </c>
      <c r="I4990" s="71">
        <v>11.1</v>
      </c>
      <c r="J4990" s="71">
        <v>13.6</v>
      </c>
      <c r="K4990" s="121">
        <v>2.5000000000000001E-3</v>
      </c>
      <c r="L4990" s="121">
        <v>-5.0000000000000001E-3</v>
      </c>
      <c r="M4990" s="75" t="s">
        <v>146</v>
      </c>
      <c r="N4990" s="75" t="b">
        <v>1</v>
      </c>
      <c r="O4990" s="75" t="s">
        <v>145</v>
      </c>
      <c r="P4990" s="75">
        <v>2014</v>
      </c>
      <c r="Q4990" s="107">
        <f t="shared" si="210"/>
        <v>2021</v>
      </c>
      <c r="R4990" s="107">
        <v>2</v>
      </c>
      <c r="S4990" s="43">
        <v>221126</v>
      </c>
      <c r="T4990" s="74">
        <v>44519</v>
      </c>
    </row>
    <row r="4991" spans="1:21" x14ac:dyDescent="0.3">
      <c r="A4991" s="42">
        <v>44477</v>
      </c>
      <c r="B4991" s="37">
        <f t="shared" si="208"/>
        <v>20211008</v>
      </c>
      <c r="C4991" s="109">
        <v>2.0199999999999999E-2</v>
      </c>
      <c r="D4991" s="109">
        <v>0.01</v>
      </c>
      <c r="E4991" s="109">
        <v>1.2E-2</v>
      </c>
      <c r="F4991" s="109">
        <v>1.2999999999999999E-2</v>
      </c>
      <c r="G4991" s="130">
        <v>0</v>
      </c>
      <c r="H4991" s="71">
        <v>8.6</v>
      </c>
      <c r="I4991" s="71">
        <v>11.1</v>
      </c>
      <c r="J4991" s="71">
        <v>13.6</v>
      </c>
      <c r="K4991" s="121">
        <v>2.5999999999999999E-3</v>
      </c>
      <c r="L4991" s="121">
        <v>-5.0000000000000001E-3</v>
      </c>
      <c r="M4991" s="75" t="s">
        <v>146</v>
      </c>
      <c r="N4991" s="75" t="b">
        <v>1</v>
      </c>
      <c r="O4991" s="75" t="s">
        <v>145</v>
      </c>
      <c r="P4991" s="75">
        <v>2014</v>
      </c>
      <c r="Q4991" s="107">
        <f t="shared" si="210"/>
        <v>2021</v>
      </c>
      <c r="R4991" s="107">
        <v>2</v>
      </c>
      <c r="S4991" s="43">
        <v>221126</v>
      </c>
      <c r="T4991" s="74">
        <v>44519</v>
      </c>
    </row>
    <row r="4992" spans="1:21" x14ac:dyDescent="0.3">
      <c r="A4992" s="42">
        <v>44478</v>
      </c>
      <c r="B4992" s="37">
        <f t="shared" ref="B4992:B4993" si="212">YEAR(A4992)*10000+MONTH(A4992)*100+DAY(A4992)</f>
        <v>20211009</v>
      </c>
      <c r="C4992" s="109">
        <v>2.0199999999999999E-2</v>
      </c>
      <c r="D4992" s="109">
        <v>0.01</v>
      </c>
      <c r="E4992" s="109">
        <v>1.2E-2</v>
      </c>
      <c r="F4992" s="109">
        <v>1.2999999999999999E-2</v>
      </c>
      <c r="G4992" s="130">
        <v>0</v>
      </c>
      <c r="H4992" s="71">
        <v>8.6</v>
      </c>
      <c r="I4992" s="71">
        <v>11.1</v>
      </c>
      <c r="J4992" s="71">
        <v>13.6</v>
      </c>
      <c r="K4992" s="121">
        <v>2.5999999999999999E-3</v>
      </c>
      <c r="L4992" s="121">
        <v>-5.0000000000000001E-3</v>
      </c>
      <c r="M4992" s="75" t="s">
        <v>146</v>
      </c>
      <c r="N4992" s="75" t="b">
        <v>1</v>
      </c>
      <c r="O4992" s="75" t="s">
        <v>145</v>
      </c>
      <c r="P4992" s="75">
        <v>2014</v>
      </c>
      <c r="Q4992" s="107">
        <f t="shared" si="210"/>
        <v>2021</v>
      </c>
      <c r="R4992" s="107">
        <v>2</v>
      </c>
      <c r="S4992" s="43">
        <v>221126</v>
      </c>
      <c r="T4992" s="74">
        <v>44519</v>
      </c>
    </row>
    <row r="4993" spans="1:20" x14ac:dyDescent="0.3">
      <c r="A4993" s="42">
        <v>44479</v>
      </c>
      <c r="B4993" s="37">
        <f t="shared" si="212"/>
        <v>20211010</v>
      </c>
      <c r="C4993" s="109">
        <v>2.0199999999999999E-2</v>
      </c>
      <c r="D4993" s="109">
        <v>0.01</v>
      </c>
      <c r="E4993" s="109">
        <v>1.2E-2</v>
      </c>
      <c r="F4993" s="109">
        <v>1.2999999999999999E-2</v>
      </c>
      <c r="G4993" s="130">
        <v>0</v>
      </c>
      <c r="H4993" s="71">
        <v>8.6</v>
      </c>
      <c r="I4993" s="71">
        <v>11.1</v>
      </c>
      <c r="J4993" s="71">
        <v>13.6</v>
      </c>
      <c r="K4993" s="121">
        <v>2.5999999999999999E-3</v>
      </c>
      <c r="L4993" s="121">
        <v>-5.0000000000000001E-3</v>
      </c>
      <c r="M4993" s="75" t="s">
        <v>146</v>
      </c>
      <c r="N4993" s="75" t="b">
        <v>1</v>
      </c>
      <c r="O4993" s="75" t="s">
        <v>145</v>
      </c>
      <c r="P4993" s="75">
        <v>2014</v>
      </c>
      <c r="Q4993" s="107">
        <f t="shared" si="210"/>
        <v>2021</v>
      </c>
      <c r="R4993" s="107">
        <v>2</v>
      </c>
      <c r="S4993" s="43">
        <v>221126</v>
      </c>
      <c r="T4993" s="74">
        <v>44519</v>
      </c>
    </row>
    <row r="4994" spans="1:20" x14ac:dyDescent="0.3">
      <c r="A4994" s="42">
        <v>44480</v>
      </c>
      <c r="B4994" s="37">
        <f t="shared" si="208"/>
        <v>20211011</v>
      </c>
      <c r="C4994" s="109">
        <v>2.0199999999999999E-2</v>
      </c>
      <c r="D4994" s="109">
        <v>0.01</v>
      </c>
      <c r="E4994" s="109">
        <v>1.2E-2</v>
      </c>
      <c r="F4994" s="109">
        <v>1.2999999999999999E-2</v>
      </c>
      <c r="G4994" s="130">
        <v>0</v>
      </c>
      <c r="H4994" s="71">
        <v>8.6</v>
      </c>
      <c r="I4994" s="71">
        <v>11.1</v>
      </c>
      <c r="J4994" s="71">
        <v>13.6</v>
      </c>
      <c r="K4994" s="121">
        <v>2.5999999999999999E-3</v>
      </c>
      <c r="L4994" s="121">
        <v>-5.0000000000000001E-3</v>
      </c>
      <c r="M4994" s="75" t="s">
        <v>146</v>
      </c>
      <c r="N4994" s="75" t="b">
        <v>1</v>
      </c>
      <c r="O4994" s="75" t="s">
        <v>145</v>
      </c>
      <c r="P4994" s="75">
        <v>2014</v>
      </c>
      <c r="Q4994" s="107">
        <f t="shared" si="210"/>
        <v>2021</v>
      </c>
      <c r="R4994" s="107">
        <v>2</v>
      </c>
      <c r="S4994" s="43">
        <v>221126</v>
      </c>
      <c r="T4994" s="74">
        <v>44519</v>
      </c>
    </row>
    <row r="4995" spans="1:20" x14ac:dyDescent="0.3">
      <c r="A4995" s="42">
        <v>44481</v>
      </c>
      <c r="B4995" s="37">
        <f t="shared" si="208"/>
        <v>20211012</v>
      </c>
      <c r="C4995" s="109">
        <v>0.02</v>
      </c>
      <c r="D4995" s="109">
        <v>0.01</v>
      </c>
      <c r="E4995" s="109">
        <v>1.2E-2</v>
      </c>
      <c r="F4995" s="109">
        <v>1.2999999999999999E-2</v>
      </c>
      <c r="G4995" s="130">
        <v>0</v>
      </c>
      <c r="H4995" s="71">
        <v>8.6</v>
      </c>
      <c r="I4995" s="71">
        <v>11.1</v>
      </c>
      <c r="J4995" s="71">
        <v>13.6</v>
      </c>
      <c r="K4995" s="121">
        <v>2.3999999999999998E-3</v>
      </c>
      <c r="L4995" s="121">
        <v>-5.0000000000000001E-3</v>
      </c>
      <c r="M4995" s="75" t="s">
        <v>146</v>
      </c>
      <c r="N4995" s="75" t="b">
        <v>1</v>
      </c>
      <c r="O4995" s="75" t="s">
        <v>145</v>
      </c>
      <c r="P4995" s="75">
        <v>2014</v>
      </c>
      <c r="Q4995" s="107">
        <f t="shared" si="210"/>
        <v>2021</v>
      </c>
      <c r="R4995" s="107">
        <v>2</v>
      </c>
      <c r="S4995" s="43">
        <v>221126</v>
      </c>
      <c r="T4995" s="74">
        <v>44519</v>
      </c>
    </row>
    <row r="4996" spans="1:20" x14ac:dyDescent="0.3">
      <c r="A4996" s="42">
        <v>44482</v>
      </c>
      <c r="B4996" s="37">
        <f t="shared" si="208"/>
        <v>20211013</v>
      </c>
      <c r="C4996" s="109">
        <v>1.9599999999999999E-2</v>
      </c>
      <c r="D4996" s="109">
        <v>0.01</v>
      </c>
      <c r="E4996" s="109">
        <v>1.2E-2</v>
      </c>
      <c r="F4996" s="109">
        <v>1.2999999999999999E-2</v>
      </c>
      <c r="G4996" s="130">
        <v>0</v>
      </c>
      <c r="H4996" s="71">
        <v>8.6</v>
      </c>
      <c r="I4996" s="71">
        <v>11.1</v>
      </c>
      <c r="J4996" s="71">
        <v>13.6</v>
      </c>
      <c r="K4996" s="121">
        <v>2E-3</v>
      </c>
      <c r="L4996" s="121">
        <v>-5.0000000000000001E-3</v>
      </c>
      <c r="M4996" s="75" t="s">
        <v>146</v>
      </c>
      <c r="N4996" s="75" t="b">
        <v>1</v>
      </c>
      <c r="O4996" s="75" t="s">
        <v>145</v>
      </c>
      <c r="P4996" s="75">
        <v>2014</v>
      </c>
      <c r="Q4996" s="107">
        <f t="shared" si="210"/>
        <v>2021</v>
      </c>
      <c r="R4996" s="107">
        <v>2</v>
      </c>
      <c r="S4996" s="43">
        <v>221126</v>
      </c>
      <c r="T4996" s="74">
        <v>44519</v>
      </c>
    </row>
    <row r="4997" spans="1:20" x14ac:dyDescent="0.3">
      <c r="A4997" s="42">
        <v>44483</v>
      </c>
      <c r="B4997" s="37">
        <f t="shared" si="208"/>
        <v>20211014</v>
      </c>
      <c r="C4997" s="109">
        <v>1.9099999999999999E-2</v>
      </c>
      <c r="D4997" s="109">
        <v>0.01</v>
      </c>
      <c r="E4997" s="109">
        <v>1.2E-2</v>
      </c>
      <c r="F4997" s="109">
        <v>1.2999999999999999E-2</v>
      </c>
      <c r="G4997" s="130">
        <v>0</v>
      </c>
      <c r="H4997" s="71">
        <v>8.6</v>
      </c>
      <c r="I4997" s="71">
        <v>11.1</v>
      </c>
      <c r="J4997" s="71">
        <v>13.6</v>
      </c>
      <c r="K4997" s="121">
        <v>1.4000000000000002E-3</v>
      </c>
      <c r="L4997" s="121">
        <v>-5.0000000000000001E-3</v>
      </c>
      <c r="M4997" s="75" t="s">
        <v>146</v>
      </c>
      <c r="N4997" s="75" t="b">
        <v>1</v>
      </c>
      <c r="O4997" s="75" t="s">
        <v>145</v>
      </c>
      <c r="P4997" s="75">
        <v>2014</v>
      </c>
      <c r="Q4997" s="107">
        <f t="shared" si="210"/>
        <v>2021</v>
      </c>
      <c r="R4997" s="107">
        <v>2</v>
      </c>
      <c r="S4997" s="43">
        <v>221126</v>
      </c>
      <c r="T4997" s="74">
        <v>44519</v>
      </c>
    </row>
    <row r="4998" spans="1:20" x14ac:dyDescent="0.3">
      <c r="A4998" s="42">
        <v>44484</v>
      </c>
      <c r="B4998" s="37">
        <f t="shared" si="208"/>
        <v>20211015</v>
      </c>
      <c r="C4998" s="109">
        <v>1.9299999999999998E-2</v>
      </c>
      <c r="D4998" s="109">
        <v>0.01</v>
      </c>
      <c r="E4998" s="109">
        <v>1.2E-2</v>
      </c>
      <c r="F4998" s="109">
        <v>1.2999999999999999E-2</v>
      </c>
      <c r="G4998" s="130">
        <v>0</v>
      </c>
      <c r="H4998" s="71">
        <v>8.6</v>
      </c>
      <c r="I4998" s="71">
        <v>11.1</v>
      </c>
      <c r="J4998" s="71">
        <v>13.6</v>
      </c>
      <c r="K4998" s="121">
        <v>1.5E-3</v>
      </c>
      <c r="L4998" s="121">
        <v>-5.0000000000000001E-3</v>
      </c>
      <c r="M4998" s="75" t="s">
        <v>146</v>
      </c>
      <c r="N4998" s="75" t="b">
        <v>1</v>
      </c>
      <c r="O4998" s="75" t="s">
        <v>145</v>
      </c>
      <c r="P4998" s="75">
        <v>2014</v>
      </c>
      <c r="Q4998" s="107">
        <f t="shared" si="210"/>
        <v>2021</v>
      </c>
      <c r="R4998" s="107">
        <v>2</v>
      </c>
      <c r="S4998" s="43">
        <v>221126</v>
      </c>
      <c r="T4998" s="74">
        <v>44519</v>
      </c>
    </row>
    <row r="4999" spans="1:20" x14ac:dyDescent="0.3">
      <c r="A4999" s="42">
        <v>44485</v>
      </c>
      <c r="B4999" s="37">
        <f t="shared" ref="B4999:B5000" si="213">YEAR(A4999)*10000+MONTH(A4999)*100+DAY(A4999)</f>
        <v>20211016</v>
      </c>
      <c r="C4999" s="109">
        <v>1.9299999999999998E-2</v>
      </c>
      <c r="D4999" s="109">
        <v>0.01</v>
      </c>
      <c r="E4999" s="109">
        <v>1.2E-2</v>
      </c>
      <c r="F4999" s="109">
        <v>1.2999999999999999E-2</v>
      </c>
      <c r="G4999" s="130">
        <v>0</v>
      </c>
      <c r="H4999" s="71">
        <v>8.6</v>
      </c>
      <c r="I4999" s="71">
        <v>11.1</v>
      </c>
      <c r="J4999" s="71">
        <v>13.6</v>
      </c>
      <c r="K4999" s="121">
        <v>1.5E-3</v>
      </c>
      <c r="L4999" s="121">
        <v>-5.0000000000000001E-3</v>
      </c>
      <c r="M4999" s="75" t="s">
        <v>146</v>
      </c>
      <c r="N4999" s="75" t="b">
        <v>1</v>
      </c>
      <c r="O4999" s="75" t="s">
        <v>145</v>
      </c>
      <c r="P4999" s="75">
        <v>2014</v>
      </c>
      <c r="Q4999" s="107">
        <f t="shared" si="210"/>
        <v>2021</v>
      </c>
      <c r="R4999" s="107">
        <v>2</v>
      </c>
      <c r="S4999" s="43">
        <v>221126</v>
      </c>
      <c r="T4999" s="74">
        <v>44519</v>
      </c>
    </row>
    <row r="5000" spans="1:20" x14ac:dyDescent="0.3">
      <c r="A5000" s="42">
        <v>44486</v>
      </c>
      <c r="B5000" s="37">
        <f t="shared" si="213"/>
        <v>20211017</v>
      </c>
      <c r="C5000" s="109">
        <v>1.9299999999999998E-2</v>
      </c>
      <c r="D5000" s="109">
        <v>0.01</v>
      </c>
      <c r="E5000" s="109">
        <v>1.2E-2</v>
      </c>
      <c r="F5000" s="109">
        <v>1.2999999999999999E-2</v>
      </c>
      <c r="G5000" s="130">
        <v>0</v>
      </c>
      <c r="H5000" s="71">
        <v>8.6</v>
      </c>
      <c r="I5000" s="71">
        <v>11.1</v>
      </c>
      <c r="J5000" s="71">
        <v>13.6</v>
      </c>
      <c r="K5000" s="121">
        <v>1.5E-3</v>
      </c>
      <c r="L5000" s="121">
        <v>-5.0000000000000001E-3</v>
      </c>
      <c r="M5000" s="75" t="s">
        <v>146</v>
      </c>
      <c r="N5000" s="75" t="b">
        <v>1</v>
      </c>
      <c r="O5000" s="75" t="s">
        <v>145</v>
      </c>
      <c r="P5000" s="75">
        <v>2014</v>
      </c>
      <c r="Q5000" s="107">
        <f t="shared" si="210"/>
        <v>2021</v>
      </c>
      <c r="R5000" s="107">
        <v>2</v>
      </c>
      <c r="S5000" s="43">
        <v>221126</v>
      </c>
      <c r="T5000" s="74">
        <v>44519</v>
      </c>
    </row>
    <row r="5001" spans="1:20" x14ac:dyDescent="0.3">
      <c r="A5001" s="42">
        <v>44487</v>
      </c>
      <c r="B5001" s="37">
        <f t="shared" si="208"/>
        <v>20211018</v>
      </c>
      <c r="C5001" s="109">
        <v>1.9199999999999998E-2</v>
      </c>
      <c r="D5001" s="109">
        <v>0.01</v>
      </c>
      <c r="E5001" s="109">
        <v>1.2E-2</v>
      </c>
      <c r="F5001" s="109">
        <v>1.2999999999999999E-2</v>
      </c>
      <c r="G5001" s="130">
        <v>0</v>
      </c>
      <c r="H5001" s="71">
        <v>8.6</v>
      </c>
      <c r="I5001" s="71">
        <v>11.1</v>
      </c>
      <c r="J5001" s="71">
        <v>13.6</v>
      </c>
      <c r="K5001" s="121">
        <v>1.4000000000000002E-3</v>
      </c>
      <c r="L5001" s="121">
        <v>-5.0000000000000001E-3</v>
      </c>
      <c r="M5001" s="75" t="s">
        <v>146</v>
      </c>
      <c r="N5001" s="75" t="b">
        <v>1</v>
      </c>
      <c r="O5001" s="75" t="s">
        <v>145</v>
      </c>
      <c r="P5001" s="75">
        <v>2014</v>
      </c>
      <c r="Q5001" s="107">
        <f t="shared" si="210"/>
        <v>2021</v>
      </c>
      <c r="R5001" s="107">
        <v>2</v>
      </c>
      <c r="S5001" s="43">
        <v>221126</v>
      </c>
      <c r="T5001" s="74">
        <v>44519</v>
      </c>
    </row>
    <row r="5002" spans="1:20" x14ac:dyDescent="0.3">
      <c r="A5002" s="42">
        <v>44488</v>
      </c>
      <c r="B5002" s="37">
        <f t="shared" si="208"/>
        <v>20211019</v>
      </c>
      <c r="C5002" s="109">
        <v>1.9599999999999999E-2</v>
      </c>
      <c r="D5002" s="109">
        <v>0.01</v>
      </c>
      <c r="E5002" s="109">
        <v>1.2E-2</v>
      </c>
      <c r="F5002" s="109">
        <v>1.2999999999999999E-2</v>
      </c>
      <c r="G5002" s="130">
        <v>0</v>
      </c>
      <c r="H5002" s="71">
        <v>8.6</v>
      </c>
      <c r="I5002" s="71">
        <v>11.1</v>
      </c>
      <c r="J5002" s="71">
        <v>13.6</v>
      </c>
      <c r="K5002" s="121">
        <v>1.8E-3</v>
      </c>
      <c r="L5002" s="121">
        <v>-5.0000000000000001E-3</v>
      </c>
      <c r="M5002" s="75" t="s">
        <v>146</v>
      </c>
      <c r="N5002" s="75" t="b">
        <v>1</v>
      </c>
      <c r="O5002" s="75" t="s">
        <v>145</v>
      </c>
      <c r="P5002" s="75">
        <v>2014</v>
      </c>
      <c r="Q5002" s="107">
        <f t="shared" si="210"/>
        <v>2021</v>
      </c>
      <c r="R5002" s="107">
        <v>2</v>
      </c>
      <c r="S5002" s="43">
        <v>221126</v>
      </c>
      <c r="T5002" s="74">
        <v>44519</v>
      </c>
    </row>
    <row r="5003" spans="1:20" x14ac:dyDescent="0.3">
      <c r="A5003" s="42">
        <v>44489</v>
      </c>
      <c r="B5003" s="37">
        <f t="shared" si="208"/>
        <v>20211020</v>
      </c>
      <c r="C5003" s="109">
        <v>1.9799999999999998E-2</v>
      </c>
      <c r="D5003" s="109">
        <v>0.01</v>
      </c>
      <c r="E5003" s="109">
        <v>1.2E-2</v>
      </c>
      <c r="F5003" s="109">
        <v>1.2999999999999999E-2</v>
      </c>
      <c r="G5003" s="130">
        <v>0</v>
      </c>
      <c r="H5003" s="71">
        <v>8.6</v>
      </c>
      <c r="I5003" s="71">
        <v>11.1</v>
      </c>
      <c r="J5003" s="71">
        <v>13.6</v>
      </c>
      <c r="K5003" s="121">
        <v>2E-3</v>
      </c>
      <c r="L5003" s="121">
        <v>-5.0000000000000001E-3</v>
      </c>
      <c r="M5003" s="75" t="s">
        <v>146</v>
      </c>
      <c r="N5003" s="75" t="b">
        <v>1</v>
      </c>
      <c r="O5003" s="75" t="s">
        <v>145</v>
      </c>
      <c r="P5003" s="75">
        <v>2014</v>
      </c>
      <c r="Q5003" s="107">
        <f t="shared" si="210"/>
        <v>2021</v>
      </c>
      <c r="R5003" s="107">
        <v>2</v>
      </c>
      <c r="S5003" s="43">
        <v>221126</v>
      </c>
      <c r="T5003" s="74">
        <v>44519</v>
      </c>
    </row>
    <row r="5004" spans="1:20" x14ac:dyDescent="0.3">
      <c r="A5004" s="42">
        <v>44490</v>
      </c>
      <c r="B5004" s="37">
        <f t="shared" si="208"/>
        <v>20211021</v>
      </c>
      <c r="C5004" s="109">
        <v>2.0099999999999996E-2</v>
      </c>
      <c r="D5004" s="109">
        <v>0.01</v>
      </c>
      <c r="E5004" s="109">
        <v>1.2E-2</v>
      </c>
      <c r="F5004" s="109">
        <v>1.2999999999999999E-2</v>
      </c>
      <c r="G5004" s="130">
        <v>0</v>
      </c>
      <c r="H5004" s="71">
        <v>8.6</v>
      </c>
      <c r="I5004" s="71">
        <v>11.1</v>
      </c>
      <c r="J5004" s="71">
        <v>13.6</v>
      </c>
      <c r="K5004" s="121">
        <v>2.0999999999999999E-3</v>
      </c>
      <c r="L5004" s="121">
        <v>-5.0000000000000001E-3</v>
      </c>
      <c r="M5004" s="75" t="s">
        <v>146</v>
      </c>
      <c r="N5004" s="75" t="b">
        <v>1</v>
      </c>
      <c r="O5004" s="75" t="s">
        <v>145</v>
      </c>
      <c r="P5004" s="75">
        <v>2014</v>
      </c>
      <c r="Q5004" s="107">
        <f t="shared" si="210"/>
        <v>2021</v>
      </c>
      <c r="R5004" s="107">
        <v>2</v>
      </c>
      <c r="S5004" s="43">
        <v>221126</v>
      </c>
      <c r="T5004" s="74">
        <v>44519</v>
      </c>
    </row>
    <row r="5005" spans="1:20" x14ac:dyDescent="0.3">
      <c r="A5005" s="42">
        <v>44491</v>
      </c>
      <c r="B5005" s="37">
        <f t="shared" si="208"/>
        <v>20211022</v>
      </c>
      <c r="C5005" s="109">
        <v>1.9900000000000001E-2</v>
      </c>
      <c r="D5005" s="109">
        <v>0.01</v>
      </c>
      <c r="E5005" s="109">
        <v>1.2E-2</v>
      </c>
      <c r="F5005" s="109">
        <v>1.2999999999999999E-2</v>
      </c>
      <c r="G5005" s="130">
        <v>0</v>
      </c>
      <c r="H5005" s="71">
        <v>8.6</v>
      </c>
      <c r="I5005" s="71">
        <v>11.1</v>
      </c>
      <c r="J5005" s="71">
        <v>13.6</v>
      </c>
      <c r="K5005" s="121">
        <v>1.8E-3</v>
      </c>
      <c r="L5005" s="121">
        <v>-5.0000000000000001E-3</v>
      </c>
      <c r="M5005" s="75" t="s">
        <v>146</v>
      </c>
      <c r="N5005" s="75" t="b">
        <v>1</v>
      </c>
      <c r="O5005" s="75" t="s">
        <v>145</v>
      </c>
      <c r="P5005" s="75">
        <v>2014</v>
      </c>
      <c r="Q5005" s="107">
        <f t="shared" si="210"/>
        <v>2021</v>
      </c>
      <c r="R5005" s="107">
        <v>2</v>
      </c>
      <c r="S5005" s="43">
        <v>221126</v>
      </c>
      <c r="T5005" s="74">
        <v>44519</v>
      </c>
    </row>
    <row r="5006" spans="1:20" x14ac:dyDescent="0.3">
      <c r="A5006" s="42">
        <v>44492</v>
      </c>
      <c r="B5006" s="37">
        <f t="shared" ref="B5006:B5075" si="214">YEAR(A5006)*10000+MONTH(A5006)*100+DAY(A5006)</f>
        <v>20211023</v>
      </c>
      <c r="C5006" s="109">
        <v>1.9900000000000001E-2</v>
      </c>
      <c r="D5006" s="109">
        <v>0.01</v>
      </c>
      <c r="E5006" s="109">
        <v>1.2E-2</v>
      </c>
      <c r="F5006" s="109">
        <v>1.2999999999999999E-2</v>
      </c>
      <c r="G5006" s="130">
        <v>0</v>
      </c>
      <c r="H5006" s="71">
        <v>8.6</v>
      </c>
      <c r="I5006" s="71">
        <v>11.1</v>
      </c>
      <c r="J5006" s="71">
        <v>13.6</v>
      </c>
      <c r="K5006" s="121">
        <v>1.8E-3</v>
      </c>
      <c r="L5006" s="121">
        <v>-5.0000000000000001E-3</v>
      </c>
      <c r="M5006" s="75" t="s">
        <v>146</v>
      </c>
      <c r="N5006" s="75" t="b">
        <v>1</v>
      </c>
      <c r="O5006" s="75" t="s">
        <v>145</v>
      </c>
      <c r="P5006" s="75">
        <v>2014</v>
      </c>
      <c r="Q5006" s="107">
        <f t="shared" si="210"/>
        <v>2021</v>
      </c>
      <c r="R5006" s="107">
        <v>2</v>
      </c>
      <c r="S5006" s="43">
        <v>221126</v>
      </c>
      <c r="T5006" s="74">
        <v>44519</v>
      </c>
    </row>
    <row r="5007" spans="1:20" x14ac:dyDescent="0.3">
      <c r="A5007" s="42">
        <v>44493</v>
      </c>
      <c r="B5007" s="37">
        <f t="shared" si="214"/>
        <v>20211024</v>
      </c>
      <c r="C5007" s="109">
        <v>1.9900000000000001E-2</v>
      </c>
      <c r="D5007" s="109">
        <v>0.01</v>
      </c>
      <c r="E5007" s="109">
        <v>1.2E-2</v>
      </c>
      <c r="F5007" s="109">
        <v>1.2999999999999999E-2</v>
      </c>
      <c r="G5007" s="130">
        <v>0</v>
      </c>
      <c r="H5007" s="71">
        <v>8.6</v>
      </c>
      <c r="I5007" s="71">
        <v>11.1</v>
      </c>
      <c r="J5007" s="71">
        <v>13.6</v>
      </c>
      <c r="K5007" s="121">
        <v>1.8E-3</v>
      </c>
      <c r="L5007" s="121">
        <v>-5.0000000000000001E-3</v>
      </c>
      <c r="M5007" s="75" t="s">
        <v>146</v>
      </c>
      <c r="N5007" s="75" t="b">
        <v>1</v>
      </c>
      <c r="O5007" s="75" t="s">
        <v>145</v>
      </c>
      <c r="P5007" s="75">
        <v>2014</v>
      </c>
      <c r="Q5007" s="107">
        <f t="shared" si="210"/>
        <v>2021</v>
      </c>
      <c r="R5007" s="107">
        <v>2</v>
      </c>
      <c r="S5007" s="43">
        <v>221126</v>
      </c>
      <c r="T5007" s="74">
        <v>44519</v>
      </c>
    </row>
    <row r="5008" spans="1:20" x14ac:dyDescent="0.3">
      <c r="A5008" s="42">
        <v>44494</v>
      </c>
      <c r="B5008" s="37">
        <f t="shared" si="214"/>
        <v>20211025</v>
      </c>
      <c r="C5008" s="109">
        <v>0.02</v>
      </c>
      <c r="D5008" s="109">
        <v>0.01</v>
      </c>
      <c r="E5008" s="109">
        <v>1.2E-2</v>
      </c>
      <c r="F5008" s="109">
        <v>1.2999999999999999E-2</v>
      </c>
      <c r="G5008" s="130">
        <v>0</v>
      </c>
      <c r="H5008" s="71">
        <v>8.6</v>
      </c>
      <c r="I5008" s="71">
        <v>11.1</v>
      </c>
      <c r="J5008" s="71">
        <v>13.6</v>
      </c>
      <c r="K5008" s="121">
        <v>1.8E-3</v>
      </c>
      <c r="L5008" s="121">
        <v>-5.0000000000000001E-3</v>
      </c>
      <c r="M5008" s="75" t="s">
        <v>146</v>
      </c>
      <c r="N5008" s="75" t="b">
        <v>1</v>
      </c>
      <c r="O5008" s="75" t="s">
        <v>145</v>
      </c>
      <c r="P5008" s="75">
        <v>2014</v>
      </c>
      <c r="Q5008" s="107">
        <f t="shared" ref="Q5008:Q5011" si="215">YEAR(A5008)</f>
        <v>2021</v>
      </c>
      <c r="R5008" s="107">
        <v>2</v>
      </c>
      <c r="S5008" s="43">
        <v>221126</v>
      </c>
      <c r="T5008" s="74">
        <v>44519</v>
      </c>
    </row>
    <row r="5009" spans="1:20" x14ac:dyDescent="0.3">
      <c r="A5009" s="42">
        <v>44495</v>
      </c>
      <c r="B5009" s="37">
        <f t="shared" si="214"/>
        <v>20211026</v>
      </c>
      <c r="C5009" s="109">
        <v>1.95E-2</v>
      </c>
      <c r="D5009" s="109">
        <v>0.01</v>
      </c>
      <c r="E5009" s="109">
        <v>1.2E-2</v>
      </c>
      <c r="F5009" s="109">
        <v>1.2999999999999999E-2</v>
      </c>
      <c r="G5009" s="130">
        <v>0</v>
      </c>
      <c r="H5009" s="71">
        <v>8.6</v>
      </c>
      <c r="I5009" s="71">
        <v>11.1</v>
      </c>
      <c r="J5009" s="71">
        <v>13.6</v>
      </c>
      <c r="K5009" s="121">
        <v>1.4E-3</v>
      </c>
      <c r="L5009" s="121">
        <v>-5.0000000000000001E-3</v>
      </c>
      <c r="M5009" s="75" t="s">
        <v>146</v>
      </c>
      <c r="N5009" s="75" t="b">
        <v>1</v>
      </c>
      <c r="O5009" s="75" t="s">
        <v>145</v>
      </c>
      <c r="P5009" s="75">
        <v>2014</v>
      </c>
      <c r="Q5009" s="107">
        <f t="shared" si="215"/>
        <v>2021</v>
      </c>
      <c r="R5009" s="107">
        <v>2</v>
      </c>
      <c r="S5009" s="43">
        <v>221126</v>
      </c>
      <c r="T5009" s="74">
        <v>44519</v>
      </c>
    </row>
    <row r="5010" spans="1:20" x14ac:dyDescent="0.3">
      <c r="A5010" s="42">
        <v>44496</v>
      </c>
      <c r="B5010" s="37">
        <f t="shared" si="214"/>
        <v>20211027</v>
      </c>
      <c r="C5010" s="109">
        <v>1.8799999999999997E-2</v>
      </c>
      <c r="D5010" s="109">
        <v>0.01</v>
      </c>
      <c r="E5010" s="109">
        <v>1.2E-2</v>
      </c>
      <c r="F5010" s="109">
        <v>1.2999999999999999E-2</v>
      </c>
      <c r="G5010" s="130">
        <v>0</v>
      </c>
      <c r="H5010" s="71">
        <v>8.6</v>
      </c>
      <c r="I5010" s="71">
        <v>11.1</v>
      </c>
      <c r="J5010" s="71">
        <v>13.6</v>
      </c>
      <c r="K5010" s="121">
        <v>8.9999999999999998E-4</v>
      </c>
      <c r="L5010" s="121">
        <v>-5.0000000000000001E-3</v>
      </c>
      <c r="M5010" s="75" t="s">
        <v>146</v>
      </c>
      <c r="N5010" s="75" t="b">
        <v>1</v>
      </c>
      <c r="O5010" s="75" t="s">
        <v>145</v>
      </c>
      <c r="P5010" s="75">
        <v>2014</v>
      </c>
      <c r="Q5010" s="107">
        <f t="shared" si="215"/>
        <v>2021</v>
      </c>
      <c r="R5010" s="107">
        <v>2</v>
      </c>
      <c r="S5010" s="43">
        <v>221126</v>
      </c>
      <c r="T5010" s="74">
        <v>44519</v>
      </c>
    </row>
    <row r="5011" spans="1:20" x14ac:dyDescent="0.3">
      <c r="A5011" s="42">
        <v>44497</v>
      </c>
      <c r="B5011" s="37">
        <f t="shared" si="214"/>
        <v>20211028</v>
      </c>
      <c r="C5011" s="109">
        <v>1.9099999999999999E-2</v>
      </c>
      <c r="D5011" s="109">
        <v>0.01</v>
      </c>
      <c r="E5011" s="109">
        <v>1.2E-2</v>
      </c>
      <c r="F5011" s="109">
        <v>1.2999999999999999E-2</v>
      </c>
      <c r="G5011" s="130">
        <v>0</v>
      </c>
      <c r="H5011" s="71">
        <v>8.6</v>
      </c>
      <c r="I5011" s="71">
        <v>11.1</v>
      </c>
      <c r="J5011" s="71">
        <v>13.6</v>
      </c>
      <c r="K5011" s="121">
        <v>1.9E-3</v>
      </c>
      <c r="L5011" s="121">
        <v>-5.0000000000000001E-3</v>
      </c>
      <c r="M5011" s="75" t="s">
        <v>146</v>
      </c>
      <c r="N5011" s="75" t="b">
        <v>1</v>
      </c>
      <c r="O5011" s="75" t="s">
        <v>145</v>
      </c>
      <c r="P5011" s="75">
        <v>2014</v>
      </c>
      <c r="Q5011" s="107">
        <f t="shared" si="215"/>
        <v>2021</v>
      </c>
      <c r="R5011" s="107">
        <v>2</v>
      </c>
      <c r="S5011" s="43">
        <v>221126</v>
      </c>
      <c r="T5011" s="74">
        <v>44519</v>
      </c>
    </row>
    <row r="5012" spans="1:20" x14ac:dyDescent="0.3">
      <c r="A5012" s="42">
        <v>44498</v>
      </c>
      <c r="B5012" s="37">
        <f t="shared" si="214"/>
        <v>20211029</v>
      </c>
      <c r="C5012" s="109">
        <v>1.9799999999999998E-2</v>
      </c>
      <c r="D5012" s="109">
        <v>0.01</v>
      </c>
      <c r="E5012" s="109">
        <v>1.2E-2</v>
      </c>
      <c r="F5012" s="109">
        <v>1.2999999999999999E-2</v>
      </c>
      <c r="G5012" s="130">
        <v>0</v>
      </c>
      <c r="H5012" s="71">
        <v>8.6</v>
      </c>
      <c r="I5012" s="71">
        <v>11.1</v>
      </c>
      <c r="J5012" s="71">
        <v>13.6</v>
      </c>
      <c r="K5012" s="121">
        <v>2.5999999999999999E-3</v>
      </c>
      <c r="L5012" s="121">
        <v>-5.0000000000000001E-3</v>
      </c>
      <c r="M5012" s="75" t="s">
        <v>146</v>
      </c>
      <c r="N5012" s="75" t="b">
        <v>1</v>
      </c>
      <c r="O5012" s="75" t="s">
        <v>145</v>
      </c>
      <c r="P5012" s="75">
        <v>2014</v>
      </c>
      <c r="Q5012" s="107">
        <f t="shared" ref="Q5012:Q5053" si="216">YEAR(A5012)</f>
        <v>2021</v>
      </c>
      <c r="R5012" s="107">
        <v>2</v>
      </c>
      <c r="S5012" s="43">
        <v>221126</v>
      </c>
      <c r="T5012" s="74">
        <v>44519</v>
      </c>
    </row>
    <row r="5013" spans="1:20" x14ac:dyDescent="0.3">
      <c r="A5013" s="42">
        <v>44499</v>
      </c>
      <c r="B5013" s="37">
        <f t="shared" ref="B5013:B5014" si="217">YEAR(A5013)*10000+MONTH(A5013)*100+DAY(A5013)</f>
        <v>20211030</v>
      </c>
      <c r="C5013" s="109">
        <v>1.9799999999999998E-2</v>
      </c>
      <c r="D5013" s="109">
        <v>0.01</v>
      </c>
      <c r="E5013" s="109">
        <v>1.2E-2</v>
      </c>
      <c r="F5013" s="109">
        <v>1.2999999999999999E-2</v>
      </c>
      <c r="G5013" s="130">
        <v>0</v>
      </c>
      <c r="H5013" s="71">
        <v>8.6</v>
      </c>
      <c r="I5013" s="71">
        <v>11.1</v>
      </c>
      <c r="J5013" s="71">
        <v>13.6</v>
      </c>
      <c r="K5013" s="121">
        <v>2.5999999999999999E-3</v>
      </c>
      <c r="L5013" s="121">
        <v>-5.0000000000000001E-3</v>
      </c>
      <c r="M5013" s="75" t="s">
        <v>146</v>
      </c>
      <c r="N5013" s="75" t="b">
        <v>1</v>
      </c>
      <c r="O5013" s="75" t="s">
        <v>145</v>
      </c>
      <c r="P5013" s="75">
        <v>2014</v>
      </c>
      <c r="Q5013" s="107">
        <f t="shared" si="216"/>
        <v>2021</v>
      </c>
      <c r="R5013" s="107">
        <v>2</v>
      </c>
      <c r="S5013" s="43">
        <v>221126</v>
      </c>
      <c r="T5013" s="74">
        <v>44519</v>
      </c>
    </row>
    <row r="5014" spans="1:20" x14ac:dyDescent="0.3">
      <c r="A5014" s="42">
        <v>44500</v>
      </c>
      <c r="B5014" s="37">
        <f t="shared" si="217"/>
        <v>20211031</v>
      </c>
      <c r="C5014" s="109">
        <v>1.9799999999999998E-2</v>
      </c>
      <c r="D5014" s="109">
        <v>0.01</v>
      </c>
      <c r="E5014" s="109">
        <v>1.2E-2</v>
      </c>
      <c r="F5014" s="109">
        <v>1.2999999999999999E-2</v>
      </c>
      <c r="G5014" s="130">
        <v>0</v>
      </c>
      <c r="H5014" s="71">
        <v>8.6</v>
      </c>
      <c r="I5014" s="71">
        <v>11.1</v>
      </c>
      <c r="J5014" s="71">
        <v>13.6</v>
      </c>
      <c r="K5014" s="121">
        <v>2.5999999999999999E-3</v>
      </c>
      <c r="L5014" s="121">
        <v>-5.0000000000000001E-3</v>
      </c>
      <c r="M5014" s="75" t="s">
        <v>146</v>
      </c>
      <c r="N5014" s="75" t="b">
        <v>1</v>
      </c>
      <c r="O5014" s="75" t="s">
        <v>145</v>
      </c>
      <c r="P5014" s="75">
        <v>2014</v>
      </c>
      <c r="Q5014" s="107">
        <f t="shared" si="216"/>
        <v>2021</v>
      </c>
      <c r="R5014" s="107">
        <v>2</v>
      </c>
      <c r="S5014" s="43">
        <v>221126</v>
      </c>
      <c r="T5014" s="74">
        <v>44519</v>
      </c>
    </row>
    <row r="5015" spans="1:20" x14ac:dyDescent="0.3">
      <c r="A5015" s="42">
        <v>44501</v>
      </c>
      <c r="B5015" s="37">
        <f t="shared" si="214"/>
        <v>20211101</v>
      </c>
      <c r="C5015" s="109">
        <v>0.02</v>
      </c>
      <c r="D5015" s="109">
        <v>0.01</v>
      </c>
      <c r="E5015" s="109">
        <v>1.2E-2</v>
      </c>
      <c r="F5015" s="109">
        <v>1.2999999999999999E-2</v>
      </c>
      <c r="G5015" s="130">
        <v>0</v>
      </c>
      <c r="H5015" s="71">
        <v>8.6</v>
      </c>
      <c r="I5015" s="71">
        <v>11.1</v>
      </c>
      <c r="J5015" s="71">
        <v>13.6</v>
      </c>
      <c r="K5015" s="121">
        <v>3.0999999999999999E-3</v>
      </c>
      <c r="L5015" s="121">
        <v>-5.0000000000000001E-3</v>
      </c>
      <c r="M5015" s="75" t="s">
        <v>146</v>
      </c>
      <c r="N5015" s="75" t="b">
        <v>1</v>
      </c>
      <c r="O5015" s="75" t="s">
        <v>145</v>
      </c>
      <c r="P5015" s="75">
        <v>2014</v>
      </c>
      <c r="Q5015" s="107">
        <f t="shared" si="216"/>
        <v>2021</v>
      </c>
      <c r="R5015" s="107">
        <v>2</v>
      </c>
      <c r="S5015" s="43">
        <v>221126</v>
      </c>
      <c r="T5015" s="74">
        <v>44519</v>
      </c>
    </row>
    <row r="5016" spans="1:20" x14ac:dyDescent="0.3">
      <c r="A5016" s="42">
        <v>44502</v>
      </c>
      <c r="B5016" s="37">
        <f t="shared" si="214"/>
        <v>20211102</v>
      </c>
      <c r="C5016" s="109">
        <v>0.02</v>
      </c>
      <c r="D5016" s="109">
        <v>0.01</v>
      </c>
      <c r="E5016" s="109">
        <v>1.2E-2</v>
      </c>
      <c r="F5016" s="109">
        <v>1.2999999999999999E-2</v>
      </c>
      <c r="G5016" s="130">
        <v>0</v>
      </c>
      <c r="H5016" s="71">
        <v>8.6</v>
      </c>
      <c r="I5016" s="71">
        <v>11.1</v>
      </c>
      <c r="J5016" s="71">
        <v>13.6</v>
      </c>
      <c r="K5016" s="121">
        <v>3.2000000000000002E-3</v>
      </c>
      <c r="L5016" s="121">
        <v>-5.0000000000000001E-3</v>
      </c>
      <c r="M5016" s="75" t="s">
        <v>146</v>
      </c>
      <c r="N5016" s="75" t="b">
        <v>1</v>
      </c>
      <c r="O5016" s="75" t="s">
        <v>145</v>
      </c>
      <c r="P5016" s="75">
        <v>2014</v>
      </c>
      <c r="Q5016" s="107">
        <f t="shared" si="216"/>
        <v>2021</v>
      </c>
      <c r="R5016" s="107">
        <v>2</v>
      </c>
      <c r="S5016" s="43">
        <v>221126</v>
      </c>
      <c r="T5016" s="74">
        <v>44519</v>
      </c>
    </row>
    <row r="5017" spans="1:20" x14ac:dyDescent="0.3">
      <c r="A5017" s="42">
        <v>44503</v>
      </c>
      <c r="B5017" s="37">
        <f t="shared" si="214"/>
        <v>20211103</v>
      </c>
      <c r="C5017" s="109">
        <v>0.02</v>
      </c>
      <c r="D5017" s="109">
        <v>0.01</v>
      </c>
      <c r="E5017" s="109">
        <v>1.2E-2</v>
      </c>
      <c r="F5017" s="109">
        <v>1.2999999999999999E-2</v>
      </c>
      <c r="G5017" s="130">
        <v>0</v>
      </c>
      <c r="H5017" s="71">
        <v>8.6</v>
      </c>
      <c r="I5017" s="71">
        <v>11.1</v>
      </c>
      <c r="J5017" s="71">
        <v>13.6</v>
      </c>
      <c r="K5017" s="121">
        <v>3.0000000000000001E-3</v>
      </c>
      <c r="L5017" s="121">
        <v>-5.0000000000000001E-3</v>
      </c>
      <c r="M5017" s="75" t="s">
        <v>146</v>
      </c>
      <c r="N5017" s="75" t="b">
        <v>1</v>
      </c>
      <c r="O5017" s="75" t="s">
        <v>145</v>
      </c>
      <c r="P5017" s="75">
        <v>2014</v>
      </c>
      <c r="Q5017" s="107">
        <f t="shared" si="216"/>
        <v>2021</v>
      </c>
      <c r="R5017" s="107">
        <v>2</v>
      </c>
      <c r="S5017" s="43">
        <v>221126</v>
      </c>
      <c r="T5017" s="74">
        <v>44519</v>
      </c>
    </row>
    <row r="5018" spans="1:20" x14ac:dyDescent="0.3">
      <c r="A5018" s="42">
        <v>44504</v>
      </c>
      <c r="B5018" s="37">
        <f t="shared" si="214"/>
        <v>20211104</v>
      </c>
      <c r="C5018" s="109">
        <v>1.95E-2</v>
      </c>
      <c r="D5018" s="109">
        <v>0.01</v>
      </c>
      <c r="E5018" s="109">
        <v>1.2E-2</v>
      </c>
      <c r="F5018" s="109">
        <v>1.2999999999999999E-2</v>
      </c>
      <c r="G5018" s="130">
        <v>0</v>
      </c>
      <c r="H5018" s="71">
        <v>8.6</v>
      </c>
      <c r="I5018" s="71">
        <v>11.1</v>
      </c>
      <c r="J5018" s="71">
        <v>13.6</v>
      </c>
      <c r="K5018" s="121">
        <v>2.3E-3</v>
      </c>
      <c r="L5018" s="121">
        <v>-5.0000000000000001E-3</v>
      </c>
      <c r="M5018" s="75" t="s">
        <v>146</v>
      </c>
      <c r="N5018" s="75" t="b">
        <v>1</v>
      </c>
      <c r="O5018" s="75" t="s">
        <v>145</v>
      </c>
      <c r="P5018" s="75">
        <v>2014</v>
      </c>
      <c r="Q5018" s="107">
        <f t="shared" si="216"/>
        <v>2021</v>
      </c>
      <c r="R5018" s="107">
        <v>2</v>
      </c>
      <c r="S5018" s="43">
        <v>221126</v>
      </c>
      <c r="T5018" s="74">
        <v>44519</v>
      </c>
    </row>
    <row r="5019" spans="1:20" x14ac:dyDescent="0.3">
      <c r="A5019" s="42">
        <v>44505</v>
      </c>
      <c r="B5019" s="37">
        <f t="shared" si="214"/>
        <v>20211105</v>
      </c>
      <c r="C5019" s="109">
        <v>1.9E-2</v>
      </c>
      <c r="D5019" s="109">
        <v>0.01</v>
      </c>
      <c r="E5019" s="109">
        <v>1.2E-2</v>
      </c>
      <c r="F5019" s="109">
        <v>1.2999999999999999E-2</v>
      </c>
      <c r="G5019" s="130">
        <v>0</v>
      </c>
      <c r="H5019" s="71">
        <v>8.6</v>
      </c>
      <c r="I5019" s="71">
        <v>11.1</v>
      </c>
      <c r="J5019" s="71">
        <v>13.6</v>
      </c>
      <c r="K5019" s="121">
        <v>1.7000000000000001E-3</v>
      </c>
      <c r="L5019" s="121">
        <v>-5.0000000000000001E-3</v>
      </c>
      <c r="M5019" s="75" t="s">
        <v>146</v>
      </c>
      <c r="N5019" s="75" t="b">
        <v>1</v>
      </c>
      <c r="O5019" s="75" t="s">
        <v>145</v>
      </c>
      <c r="P5019" s="75">
        <v>2014</v>
      </c>
      <c r="Q5019" s="107">
        <f t="shared" si="216"/>
        <v>2021</v>
      </c>
      <c r="R5019" s="107">
        <v>2</v>
      </c>
      <c r="S5019" s="43">
        <v>221126</v>
      </c>
      <c r="T5019" s="74">
        <v>44519</v>
      </c>
    </row>
    <row r="5020" spans="1:20" x14ac:dyDescent="0.3">
      <c r="A5020" s="42">
        <v>44506</v>
      </c>
      <c r="B5020" s="37">
        <f t="shared" ref="B5020:B5021" si="218">YEAR(A5020)*10000+MONTH(A5020)*100+DAY(A5020)</f>
        <v>20211106</v>
      </c>
      <c r="C5020" s="109">
        <v>1.9E-2</v>
      </c>
      <c r="D5020" s="109">
        <v>0.01</v>
      </c>
      <c r="E5020" s="109">
        <v>1.2E-2</v>
      </c>
      <c r="F5020" s="109">
        <v>1.2999999999999999E-2</v>
      </c>
      <c r="G5020" s="130">
        <v>0</v>
      </c>
      <c r="H5020" s="71">
        <v>8.6</v>
      </c>
      <c r="I5020" s="71">
        <v>11.1</v>
      </c>
      <c r="J5020" s="71">
        <v>13.6</v>
      </c>
      <c r="K5020" s="121">
        <v>1.7000000000000001E-3</v>
      </c>
      <c r="L5020" s="121">
        <v>-5.0000000000000001E-3</v>
      </c>
      <c r="M5020" s="75" t="s">
        <v>146</v>
      </c>
      <c r="N5020" s="75" t="b">
        <v>1</v>
      </c>
      <c r="O5020" s="75" t="s">
        <v>145</v>
      </c>
      <c r="P5020" s="75">
        <v>2014</v>
      </c>
      <c r="Q5020" s="107">
        <f t="shared" si="216"/>
        <v>2021</v>
      </c>
      <c r="R5020" s="107">
        <v>2</v>
      </c>
      <c r="S5020" s="43">
        <v>221126</v>
      </c>
      <c r="T5020" s="74">
        <v>44519</v>
      </c>
    </row>
    <row r="5021" spans="1:20" x14ac:dyDescent="0.3">
      <c r="A5021" s="42">
        <v>44507</v>
      </c>
      <c r="B5021" s="37">
        <f t="shared" si="218"/>
        <v>20211107</v>
      </c>
      <c r="C5021" s="109">
        <v>1.9E-2</v>
      </c>
      <c r="D5021" s="109">
        <v>0.01</v>
      </c>
      <c r="E5021" s="109">
        <v>1.2E-2</v>
      </c>
      <c r="F5021" s="109">
        <v>1.2999999999999999E-2</v>
      </c>
      <c r="G5021" s="130">
        <v>0</v>
      </c>
      <c r="H5021" s="71">
        <v>8.6</v>
      </c>
      <c r="I5021" s="71">
        <v>11.1</v>
      </c>
      <c r="J5021" s="71">
        <v>13.6</v>
      </c>
      <c r="K5021" s="121">
        <v>1.7000000000000001E-3</v>
      </c>
      <c r="L5021" s="121">
        <v>-5.0000000000000001E-3</v>
      </c>
      <c r="M5021" s="75" t="s">
        <v>146</v>
      </c>
      <c r="N5021" s="75" t="b">
        <v>1</v>
      </c>
      <c r="O5021" s="75" t="s">
        <v>145</v>
      </c>
      <c r="P5021" s="75">
        <v>2014</v>
      </c>
      <c r="Q5021" s="107">
        <f t="shared" si="216"/>
        <v>2021</v>
      </c>
      <c r="R5021" s="107">
        <v>2</v>
      </c>
      <c r="S5021" s="43">
        <v>221126</v>
      </c>
      <c r="T5021" s="74">
        <v>44519</v>
      </c>
    </row>
    <row r="5022" spans="1:20" x14ac:dyDescent="0.3">
      <c r="A5022" s="42">
        <v>44508</v>
      </c>
      <c r="B5022" s="37">
        <f t="shared" si="214"/>
        <v>20211108</v>
      </c>
      <c r="C5022" s="109">
        <v>1.9199999999999998E-2</v>
      </c>
      <c r="D5022" s="109">
        <v>0.01</v>
      </c>
      <c r="E5022" s="109">
        <v>1.2E-2</v>
      </c>
      <c r="F5022" s="109">
        <v>1.2999999999999999E-2</v>
      </c>
      <c r="G5022" s="130">
        <v>0</v>
      </c>
      <c r="H5022" s="71">
        <v>8.6</v>
      </c>
      <c r="I5022" s="71">
        <v>11.1</v>
      </c>
      <c r="J5022" s="71">
        <v>13.6</v>
      </c>
      <c r="K5022" s="121">
        <v>1.1999999999999999E-3</v>
      </c>
      <c r="L5022" s="121">
        <v>-5.0000000000000001E-3</v>
      </c>
      <c r="M5022" s="75" t="s">
        <v>146</v>
      </c>
      <c r="N5022" s="75" t="b">
        <v>1</v>
      </c>
      <c r="O5022" s="75" t="s">
        <v>145</v>
      </c>
      <c r="P5022" s="75">
        <v>2014</v>
      </c>
      <c r="Q5022" s="107">
        <f t="shared" si="216"/>
        <v>2021</v>
      </c>
      <c r="R5022" s="107">
        <v>2</v>
      </c>
      <c r="S5022" s="43">
        <v>221126</v>
      </c>
      <c r="T5022" s="74">
        <v>44519</v>
      </c>
    </row>
    <row r="5023" spans="1:20" x14ac:dyDescent="0.3">
      <c r="A5023" s="42">
        <v>44509</v>
      </c>
      <c r="B5023" s="37">
        <f t="shared" si="214"/>
        <v>20211109</v>
      </c>
      <c r="C5023" s="109">
        <v>1.89E-2</v>
      </c>
      <c r="D5023" s="109">
        <v>0.01</v>
      </c>
      <c r="E5023" s="109">
        <v>1.2E-2</v>
      </c>
      <c r="F5023" s="109">
        <v>1.2999999999999999E-2</v>
      </c>
      <c r="G5023" s="130">
        <v>0</v>
      </c>
      <c r="H5023" s="71">
        <v>8.6</v>
      </c>
      <c r="I5023" s="71">
        <v>11.1</v>
      </c>
      <c r="J5023" s="71">
        <v>13.6</v>
      </c>
      <c r="K5023" s="121">
        <v>8.0000000000000004E-4</v>
      </c>
      <c r="L5023" s="121">
        <v>-5.0000000000000001E-3</v>
      </c>
      <c r="M5023" s="75" t="s">
        <v>146</v>
      </c>
      <c r="N5023" s="75" t="b">
        <v>1</v>
      </c>
      <c r="O5023" s="75" t="s">
        <v>145</v>
      </c>
      <c r="P5023" s="75">
        <v>2014</v>
      </c>
      <c r="Q5023" s="107">
        <f t="shared" si="216"/>
        <v>2021</v>
      </c>
      <c r="R5023" s="107">
        <v>2</v>
      </c>
      <c r="S5023" s="43">
        <v>221126</v>
      </c>
      <c r="T5023" s="74">
        <v>44519</v>
      </c>
    </row>
    <row r="5024" spans="1:20" x14ac:dyDescent="0.3">
      <c r="A5024" s="42">
        <v>44510</v>
      </c>
      <c r="B5024" s="37">
        <f t="shared" si="214"/>
        <v>20211110</v>
      </c>
      <c r="C5024" s="109">
        <v>1.9599999999999999E-2</v>
      </c>
      <c r="D5024" s="109">
        <v>0.01</v>
      </c>
      <c r="E5024" s="109">
        <v>1.2E-2</v>
      </c>
      <c r="F5024" s="109">
        <v>1.2999999999999999E-2</v>
      </c>
      <c r="G5024" s="130">
        <v>0</v>
      </c>
      <c r="H5024" s="71">
        <v>8.6</v>
      </c>
      <c r="I5024" s="71">
        <v>11.1</v>
      </c>
      <c r="J5024" s="71">
        <v>13.6</v>
      </c>
      <c r="K5024" s="121">
        <v>1.1000000000000001E-3</v>
      </c>
      <c r="L5024" s="121">
        <v>-5.0000000000000001E-3</v>
      </c>
      <c r="M5024" s="75" t="s">
        <v>146</v>
      </c>
      <c r="N5024" s="75" t="b">
        <v>1</v>
      </c>
      <c r="O5024" s="75" t="s">
        <v>145</v>
      </c>
      <c r="P5024" s="75">
        <v>2014</v>
      </c>
      <c r="Q5024" s="107">
        <f t="shared" si="216"/>
        <v>2021</v>
      </c>
      <c r="R5024" s="107">
        <v>2</v>
      </c>
      <c r="S5024" s="43">
        <v>221126</v>
      </c>
      <c r="T5024" s="74">
        <v>44519</v>
      </c>
    </row>
    <row r="5025" spans="1:20" x14ac:dyDescent="0.3">
      <c r="A5025" s="42">
        <v>44511</v>
      </c>
      <c r="B5025" s="37">
        <f t="shared" si="214"/>
        <v>20211111</v>
      </c>
      <c r="C5025" s="109">
        <v>1.9599999999999999E-2</v>
      </c>
      <c r="D5025" s="109">
        <v>0.01</v>
      </c>
      <c r="E5025" s="109">
        <v>1.2E-2</v>
      </c>
      <c r="F5025" s="109">
        <v>1.2999999999999999E-2</v>
      </c>
      <c r="G5025" s="130">
        <v>0</v>
      </c>
      <c r="H5025" s="71">
        <v>8.6</v>
      </c>
      <c r="I5025" s="71">
        <v>11.1</v>
      </c>
      <c r="J5025" s="71">
        <v>13.6</v>
      </c>
      <c r="K5025" s="121">
        <v>1.1000000000000001E-3</v>
      </c>
      <c r="L5025" s="121">
        <v>-5.0000000000000001E-3</v>
      </c>
      <c r="M5025" s="75" t="s">
        <v>146</v>
      </c>
      <c r="N5025" s="75" t="b">
        <v>1</v>
      </c>
      <c r="O5025" s="75" t="s">
        <v>145</v>
      </c>
      <c r="P5025" s="75">
        <v>2014</v>
      </c>
      <c r="Q5025" s="107">
        <f t="shared" si="216"/>
        <v>2021</v>
      </c>
      <c r="R5025" s="107">
        <v>2</v>
      </c>
      <c r="S5025" s="43">
        <v>221126</v>
      </c>
      <c r="T5025" s="74">
        <v>44519</v>
      </c>
    </row>
    <row r="5026" spans="1:20" x14ac:dyDescent="0.3">
      <c r="A5026" s="42">
        <v>44512</v>
      </c>
      <c r="B5026" s="37">
        <f t="shared" si="214"/>
        <v>20211112</v>
      </c>
      <c r="C5026" s="109">
        <v>1.9699999999999999E-2</v>
      </c>
      <c r="D5026" s="109">
        <v>0.01</v>
      </c>
      <c r="E5026" s="109">
        <v>1.2E-2</v>
      </c>
      <c r="F5026" s="109">
        <v>1.2999999999999999E-2</v>
      </c>
      <c r="G5026" s="130">
        <v>0</v>
      </c>
      <c r="H5026" s="71">
        <v>8.6</v>
      </c>
      <c r="I5026" s="71">
        <v>11.1</v>
      </c>
      <c r="J5026" s="71">
        <v>13.6</v>
      </c>
      <c r="K5026" s="121">
        <v>1E-3</v>
      </c>
      <c r="L5026" s="121">
        <v>-5.0000000000000001E-3</v>
      </c>
      <c r="M5026" s="75" t="s">
        <v>146</v>
      </c>
      <c r="N5026" s="75" t="b">
        <v>1</v>
      </c>
      <c r="O5026" s="75" t="s">
        <v>145</v>
      </c>
      <c r="P5026" s="75">
        <v>2014</v>
      </c>
      <c r="Q5026" s="107">
        <f t="shared" si="216"/>
        <v>2021</v>
      </c>
      <c r="R5026" s="107">
        <v>2</v>
      </c>
      <c r="S5026" s="43">
        <v>221126</v>
      </c>
      <c r="T5026" s="74">
        <v>44519</v>
      </c>
    </row>
    <row r="5027" spans="1:20" x14ac:dyDescent="0.3">
      <c r="A5027" s="42">
        <v>44513</v>
      </c>
      <c r="B5027" s="37">
        <f t="shared" ref="B5027:B5028" si="219">YEAR(A5027)*10000+MONTH(A5027)*100+DAY(A5027)</f>
        <v>20211113</v>
      </c>
      <c r="C5027" s="109">
        <v>1.9699999999999999E-2</v>
      </c>
      <c r="D5027" s="109">
        <v>0.01</v>
      </c>
      <c r="E5027" s="109">
        <v>1.2E-2</v>
      </c>
      <c r="F5027" s="109">
        <v>1.2999999999999999E-2</v>
      </c>
      <c r="G5027" s="130">
        <v>0</v>
      </c>
      <c r="H5027" s="71">
        <v>8.6</v>
      </c>
      <c r="I5027" s="71">
        <v>11.1</v>
      </c>
      <c r="J5027" s="71">
        <v>13.6</v>
      </c>
      <c r="K5027" s="121">
        <v>1E-3</v>
      </c>
      <c r="L5027" s="121">
        <v>-5.0000000000000001E-3</v>
      </c>
      <c r="M5027" s="75" t="s">
        <v>146</v>
      </c>
      <c r="N5027" s="75" t="b">
        <v>1</v>
      </c>
      <c r="O5027" s="75" t="s">
        <v>145</v>
      </c>
      <c r="P5027" s="75">
        <v>2014</v>
      </c>
      <c r="Q5027" s="107">
        <f t="shared" si="216"/>
        <v>2021</v>
      </c>
      <c r="R5027" s="107">
        <v>2</v>
      </c>
      <c r="S5027" s="43">
        <v>221126</v>
      </c>
      <c r="T5027" s="74">
        <v>44519</v>
      </c>
    </row>
    <row r="5028" spans="1:20" x14ac:dyDescent="0.3">
      <c r="A5028" s="42">
        <v>44514</v>
      </c>
      <c r="B5028" s="37">
        <f t="shared" si="219"/>
        <v>20211114</v>
      </c>
      <c r="C5028" s="109">
        <v>1.9699999999999999E-2</v>
      </c>
      <c r="D5028" s="109">
        <v>0.01</v>
      </c>
      <c r="E5028" s="109">
        <v>1.2E-2</v>
      </c>
      <c r="F5028" s="109">
        <v>1.2999999999999999E-2</v>
      </c>
      <c r="G5028" s="130">
        <v>0</v>
      </c>
      <c r="H5028" s="71">
        <v>8.6</v>
      </c>
      <c r="I5028" s="71">
        <v>11.1</v>
      </c>
      <c r="J5028" s="71">
        <v>13.6</v>
      </c>
      <c r="K5028" s="121">
        <v>1E-3</v>
      </c>
      <c r="L5028" s="121">
        <v>-5.0000000000000001E-3</v>
      </c>
      <c r="M5028" s="75" t="s">
        <v>146</v>
      </c>
      <c r="N5028" s="75" t="b">
        <v>1</v>
      </c>
      <c r="O5028" s="75" t="s">
        <v>145</v>
      </c>
      <c r="P5028" s="75">
        <v>2014</v>
      </c>
      <c r="Q5028" s="107">
        <f t="shared" si="216"/>
        <v>2021</v>
      </c>
      <c r="R5028" s="107">
        <v>2</v>
      </c>
      <c r="S5028" s="43">
        <v>221126</v>
      </c>
      <c r="T5028" s="74">
        <v>44519</v>
      </c>
    </row>
    <row r="5029" spans="1:20" x14ac:dyDescent="0.3">
      <c r="A5029" s="42">
        <v>44515</v>
      </c>
      <c r="B5029" s="37">
        <f t="shared" si="214"/>
        <v>20211115</v>
      </c>
      <c r="C5029" s="109">
        <v>2.0199999999999999E-2</v>
      </c>
      <c r="D5029" s="109">
        <v>0.01</v>
      </c>
      <c r="E5029" s="109">
        <v>1.2E-2</v>
      </c>
      <c r="F5029" s="109">
        <v>1.2999999999999999E-2</v>
      </c>
      <c r="G5029" s="130">
        <v>0</v>
      </c>
      <c r="H5029" s="71">
        <v>8.6</v>
      </c>
      <c r="I5029" s="71">
        <v>11.1</v>
      </c>
      <c r="J5029" s="71">
        <v>13.6</v>
      </c>
      <c r="K5029" s="121">
        <v>1.1999999999999999E-3</v>
      </c>
      <c r="L5029" s="121">
        <v>-5.0000000000000001E-3</v>
      </c>
      <c r="M5029" s="75" t="s">
        <v>146</v>
      </c>
      <c r="N5029" s="75" t="b">
        <v>1</v>
      </c>
      <c r="O5029" s="75" t="s">
        <v>145</v>
      </c>
      <c r="P5029" s="75">
        <v>2014</v>
      </c>
      <c r="Q5029" s="107">
        <f t="shared" si="216"/>
        <v>2021</v>
      </c>
      <c r="R5029" s="107">
        <v>2</v>
      </c>
      <c r="S5029" s="43">
        <v>221126</v>
      </c>
      <c r="T5029" s="74">
        <v>44519</v>
      </c>
    </row>
    <row r="5030" spans="1:20" x14ac:dyDescent="0.3">
      <c r="A5030" s="42">
        <v>44516</v>
      </c>
      <c r="B5030" s="37">
        <f t="shared" si="214"/>
        <v>20211116</v>
      </c>
      <c r="C5030" s="109">
        <v>2.06E-2</v>
      </c>
      <c r="D5030" s="109">
        <v>0.01</v>
      </c>
      <c r="E5030" s="109">
        <v>1.2E-2</v>
      </c>
      <c r="F5030" s="109">
        <v>1.2999999999999999E-2</v>
      </c>
      <c r="G5030" s="130">
        <v>0</v>
      </c>
      <c r="H5030" s="71">
        <v>8.6</v>
      </c>
      <c r="I5030" s="71">
        <v>11.1</v>
      </c>
      <c r="J5030" s="71">
        <v>13.6</v>
      </c>
      <c r="K5030" s="121">
        <v>1.8E-3</v>
      </c>
      <c r="L5030" s="121">
        <v>-5.0000000000000001E-3</v>
      </c>
      <c r="M5030" s="75" t="s">
        <v>146</v>
      </c>
      <c r="N5030" s="75" t="b">
        <v>1</v>
      </c>
      <c r="O5030" s="75" t="s">
        <v>145</v>
      </c>
      <c r="P5030" s="75">
        <v>2014</v>
      </c>
      <c r="Q5030" s="107">
        <f t="shared" si="216"/>
        <v>2021</v>
      </c>
      <c r="R5030" s="107">
        <v>2</v>
      </c>
      <c r="S5030" s="43">
        <v>221126</v>
      </c>
      <c r="T5030" s="74">
        <v>44519</v>
      </c>
    </row>
    <row r="5031" spans="1:20" x14ac:dyDescent="0.3">
      <c r="A5031" s="42">
        <v>44517</v>
      </c>
      <c r="B5031" s="37">
        <f t="shared" si="214"/>
        <v>20211117</v>
      </c>
      <c r="C5031" s="109">
        <v>0.02</v>
      </c>
      <c r="D5031" s="109">
        <v>0.01</v>
      </c>
      <c r="E5031" s="109">
        <v>1.2E-2</v>
      </c>
      <c r="F5031" s="109">
        <v>1.2999999999999999E-2</v>
      </c>
      <c r="G5031" s="130">
        <v>0</v>
      </c>
      <c r="H5031" s="71">
        <v>8.6</v>
      </c>
      <c r="I5031" s="71">
        <v>11.1</v>
      </c>
      <c r="J5031" s="71">
        <v>13.6</v>
      </c>
      <c r="K5031" s="121">
        <v>1.1000000000000001E-3</v>
      </c>
      <c r="L5031" s="121">
        <v>-5.0000000000000001E-3</v>
      </c>
      <c r="M5031" s="75" t="s">
        <v>146</v>
      </c>
      <c r="N5031" s="75" t="b">
        <v>1</v>
      </c>
      <c r="O5031" s="75" t="s">
        <v>145</v>
      </c>
      <c r="P5031" s="75">
        <v>2014</v>
      </c>
      <c r="Q5031" s="107">
        <f t="shared" si="216"/>
        <v>2021</v>
      </c>
      <c r="R5031" s="107">
        <v>2</v>
      </c>
      <c r="S5031" s="43">
        <v>221126</v>
      </c>
      <c r="T5031" s="74">
        <v>44519</v>
      </c>
    </row>
    <row r="5032" spans="1:20" x14ac:dyDescent="0.3">
      <c r="A5032" s="42">
        <v>44518</v>
      </c>
      <c r="B5032" s="37">
        <f t="shared" si="214"/>
        <v>20211118</v>
      </c>
      <c r="C5032" s="109">
        <v>0.02</v>
      </c>
      <c r="D5032" s="109">
        <v>0.01</v>
      </c>
      <c r="E5032" s="109">
        <v>1.2E-2</v>
      </c>
      <c r="F5032" s="109">
        <v>1.2999999999999999E-2</v>
      </c>
      <c r="G5032" s="130">
        <v>0</v>
      </c>
      <c r="H5032" s="71">
        <v>8.6</v>
      </c>
      <c r="I5032" s="71">
        <v>11.1</v>
      </c>
      <c r="J5032" s="71">
        <v>13.6</v>
      </c>
      <c r="K5032" s="121">
        <v>1.1000000000000001E-3</v>
      </c>
      <c r="L5032" s="121">
        <v>-5.0000000000000001E-3</v>
      </c>
      <c r="M5032" s="75" t="s">
        <v>146</v>
      </c>
      <c r="N5032" s="75" t="b">
        <v>1</v>
      </c>
      <c r="O5032" s="75" t="s">
        <v>145</v>
      </c>
      <c r="P5032" s="75">
        <v>2014</v>
      </c>
      <c r="Q5032" s="107">
        <f t="shared" si="216"/>
        <v>2021</v>
      </c>
      <c r="R5032" s="107">
        <v>2</v>
      </c>
      <c r="S5032" s="43">
        <v>221126</v>
      </c>
      <c r="T5032" s="74">
        <v>44519</v>
      </c>
    </row>
    <row r="5033" spans="1:20" x14ac:dyDescent="0.3">
      <c r="A5033" s="42">
        <v>44519</v>
      </c>
      <c r="B5033" s="37">
        <f t="shared" si="214"/>
        <v>20211119</v>
      </c>
      <c r="C5033" s="109">
        <v>1.9599999999999999E-2</v>
      </c>
      <c r="D5033" s="109">
        <v>0.01</v>
      </c>
      <c r="E5033" s="109">
        <v>1.2E-2</v>
      </c>
      <c r="F5033" s="109">
        <v>1.2999999999999999E-2</v>
      </c>
      <c r="G5033" s="130">
        <v>0</v>
      </c>
      <c r="H5033" s="71">
        <v>8.6</v>
      </c>
      <c r="I5033" s="71">
        <v>11.1</v>
      </c>
      <c r="J5033" s="71">
        <v>13.6</v>
      </c>
      <c r="K5033" s="121">
        <v>7.000000000000001E-4</v>
      </c>
      <c r="L5033" s="121">
        <v>-5.0000000000000001E-3</v>
      </c>
      <c r="M5033" s="75" t="s">
        <v>146</v>
      </c>
      <c r="N5033" s="75" t="b">
        <v>1</v>
      </c>
      <c r="O5033" s="75" t="s">
        <v>145</v>
      </c>
      <c r="P5033" s="75">
        <v>2014</v>
      </c>
      <c r="Q5033" s="107">
        <f t="shared" si="216"/>
        <v>2021</v>
      </c>
      <c r="R5033" s="107">
        <v>2</v>
      </c>
      <c r="S5033" s="43">
        <v>221126</v>
      </c>
      <c r="T5033" s="74">
        <v>44519</v>
      </c>
    </row>
    <row r="5034" spans="1:20" x14ac:dyDescent="0.3">
      <c r="A5034" s="42">
        <v>44520</v>
      </c>
      <c r="B5034" s="37">
        <f t="shared" ref="B5034:B5035" si="220">YEAR(A5034)*10000+MONTH(A5034)*100+DAY(A5034)</f>
        <v>20211120</v>
      </c>
      <c r="C5034" s="109">
        <v>1.9599999999999999E-2</v>
      </c>
      <c r="D5034" s="109">
        <v>0.01</v>
      </c>
      <c r="E5034" s="109">
        <v>1.2E-2</v>
      </c>
      <c r="F5034" s="109">
        <v>1.2999999999999999E-2</v>
      </c>
      <c r="G5034" s="130">
        <v>0</v>
      </c>
      <c r="H5034" s="71">
        <v>8.6</v>
      </c>
      <c r="I5034" s="71">
        <v>11.1</v>
      </c>
      <c r="J5034" s="71">
        <v>13.6</v>
      </c>
      <c r="K5034" s="121">
        <v>7.000000000000001E-4</v>
      </c>
      <c r="L5034" s="121">
        <v>-5.0000000000000001E-3</v>
      </c>
      <c r="M5034" s="75" t="s">
        <v>146</v>
      </c>
      <c r="N5034" s="75" t="b">
        <v>1</v>
      </c>
      <c r="O5034" s="75" t="s">
        <v>145</v>
      </c>
      <c r="P5034" s="75">
        <v>2014</v>
      </c>
      <c r="Q5034" s="107">
        <f t="shared" si="216"/>
        <v>2021</v>
      </c>
      <c r="R5034" s="107">
        <v>2</v>
      </c>
      <c r="S5034" s="43">
        <v>221126</v>
      </c>
      <c r="T5034" s="74">
        <v>44519</v>
      </c>
    </row>
    <row r="5035" spans="1:20" x14ac:dyDescent="0.3">
      <c r="A5035" s="42">
        <v>44521</v>
      </c>
      <c r="B5035" s="37">
        <f t="shared" si="220"/>
        <v>20211121</v>
      </c>
      <c r="C5035" s="109">
        <v>1.9599999999999999E-2</v>
      </c>
      <c r="D5035" s="109">
        <v>0.01</v>
      </c>
      <c r="E5035" s="109">
        <v>1.2E-2</v>
      </c>
      <c r="F5035" s="109">
        <v>1.2999999999999999E-2</v>
      </c>
      <c r="G5035" s="130">
        <v>0</v>
      </c>
      <c r="H5035" s="71">
        <v>8.6</v>
      </c>
      <c r="I5035" s="71">
        <v>11.1</v>
      </c>
      <c r="J5035" s="71">
        <v>13.6</v>
      </c>
      <c r="K5035" s="121">
        <v>7.000000000000001E-4</v>
      </c>
      <c r="L5035" s="121">
        <v>-5.0000000000000001E-3</v>
      </c>
      <c r="M5035" s="75" t="s">
        <v>146</v>
      </c>
      <c r="N5035" s="75" t="b">
        <v>1</v>
      </c>
      <c r="O5035" s="75" t="s">
        <v>145</v>
      </c>
      <c r="P5035" s="75">
        <v>2014</v>
      </c>
      <c r="Q5035" s="107">
        <f t="shared" si="216"/>
        <v>2021</v>
      </c>
      <c r="R5035" s="107">
        <v>2</v>
      </c>
      <c r="S5035" s="43">
        <v>221126</v>
      </c>
      <c r="T5035" s="74">
        <v>44519</v>
      </c>
    </row>
    <row r="5036" spans="1:20" x14ac:dyDescent="0.3">
      <c r="A5036" s="42">
        <v>44522</v>
      </c>
      <c r="B5036" s="37">
        <f t="shared" si="214"/>
        <v>20211122</v>
      </c>
      <c r="C5036" s="109">
        <v>2.0499999999999997E-2</v>
      </c>
      <c r="D5036" s="109">
        <v>0.01</v>
      </c>
      <c r="E5036" s="109">
        <v>1.2E-2</v>
      </c>
      <c r="F5036" s="109">
        <v>1.2999999999999999E-2</v>
      </c>
      <c r="G5036" s="130">
        <v>0</v>
      </c>
      <c r="H5036" s="71">
        <v>8.6</v>
      </c>
      <c r="I5036" s="71">
        <v>11.1</v>
      </c>
      <c r="J5036" s="71">
        <v>13.6</v>
      </c>
      <c r="K5036" s="121">
        <v>1.7000000000000001E-3</v>
      </c>
      <c r="L5036" s="121">
        <v>-5.0000000000000001E-3</v>
      </c>
      <c r="M5036" s="75" t="s">
        <v>146</v>
      </c>
      <c r="N5036" s="75" t="b">
        <v>1</v>
      </c>
      <c r="O5036" s="75" t="s">
        <v>145</v>
      </c>
      <c r="P5036" s="75">
        <v>2014</v>
      </c>
      <c r="Q5036" s="107">
        <f t="shared" si="216"/>
        <v>2021</v>
      </c>
      <c r="R5036" s="107">
        <v>2</v>
      </c>
      <c r="S5036" s="43">
        <v>221126</v>
      </c>
      <c r="T5036" s="74">
        <v>44519</v>
      </c>
    </row>
    <row r="5037" spans="1:20" x14ac:dyDescent="0.3">
      <c r="A5037" s="42">
        <v>44523</v>
      </c>
      <c r="B5037" s="37">
        <f t="shared" si="214"/>
        <v>20211123</v>
      </c>
      <c r="C5037" s="109">
        <v>2.1000000000000001E-2</v>
      </c>
      <c r="D5037" s="109">
        <v>0.01</v>
      </c>
      <c r="E5037" s="109">
        <v>1.2E-2</v>
      </c>
      <c r="F5037" s="109">
        <v>1.2999999999999999E-2</v>
      </c>
      <c r="G5037" s="130">
        <v>0</v>
      </c>
      <c r="H5037" s="71">
        <v>8.6</v>
      </c>
      <c r="I5037" s="71">
        <v>11.1</v>
      </c>
      <c r="J5037" s="71">
        <v>13.6</v>
      </c>
      <c r="K5037" s="121">
        <v>2.0999999999999999E-3</v>
      </c>
      <c r="L5037" s="121">
        <v>-5.0000000000000001E-3</v>
      </c>
      <c r="M5037" s="75" t="s">
        <v>146</v>
      </c>
      <c r="N5037" s="75" t="b">
        <v>1</v>
      </c>
      <c r="O5037" s="75" t="s">
        <v>145</v>
      </c>
      <c r="P5037" s="75">
        <v>2014</v>
      </c>
      <c r="Q5037" s="107">
        <f t="shared" si="216"/>
        <v>2021</v>
      </c>
      <c r="R5037" s="107">
        <v>2</v>
      </c>
      <c r="S5037" s="43">
        <v>221126</v>
      </c>
      <c r="T5037" s="74">
        <v>44519</v>
      </c>
    </row>
    <row r="5038" spans="1:20" x14ac:dyDescent="0.3">
      <c r="A5038" s="42">
        <v>44524</v>
      </c>
      <c r="B5038" s="37">
        <f t="shared" si="214"/>
        <v>20211124</v>
      </c>
      <c r="C5038" s="109">
        <v>2.0299999999999999E-2</v>
      </c>
      <c r="D5038" s="109">
        <v>0.01</v>
      </c>
      <c r="E5038" s="109">
        <v>1.2E-2</v>
      </c>
      <c r="F5038" s="109">
        <v>1.2999999999999999E-2</v>
      </c>
      <c r="G5038" s="130">
        <v>0</v>
      </c>
      <c r="H5038" s="71">
        <v>8.6</v>
      </c>
      <c r="I5038" s="71">
        <v>11.1</v>
      </c>
      <c r="J5038" s="71">
        <v>13.6</v>
      </c>
      <c r="K5038" s="121">
        <v>1.5E-3</v>
      </c>
      <c r="L5038" s="121">
        <v>-5.0000000000000001E-3</v>
      </c>
      <c r="M5038" s="75" t="s">
        <v>146</v>
      </c>
      <c r="N5038" s="75" t="b">
        <v>1</v>
      </c>
      <c r="O5038" s="75" t="s">
        <v>145</v>
      </c>
      <c r="P5038" s="75">
        <v>2014</v>
      </c>
      <c r="Q5038" s="107">
        <f t="shared" si="216"/>
        <v>2021</v>
      </c>
      <c r="R5038" s="107">
        <v>2</v>
      </c>
      <c r="S5038" s="43">
        <v>221126</v>
      </c>
      <c r="T5038" s="74">
        <v>44519</v>
      </c>
    </row>
    <row r="5039" spans="1:20" x14ac:dyDescent="0.3">
      <c r="A5039" s="42">
        <v>44525</v>
      </c>
      <c r="B5039" s="37">
        <f t="shared" si="214"/>
        <v>20211125</v>
      </c>
      <c r="C5039" s="109">
        <v>2.0299999999999999E-2</v>
      </c>
      <c r="D5039" s="109">
        <v>0.01</v>
      </c>
      <c r="E5039" s="109">
        <v>1.2E-2</v>
      </c>
      <c r="F5039" s="109">
        <v>1.2999999999999999E-2</v>
      </c>
      <c r="G5039" s="130">
        <v>0</v>
      </c>
      <c r="H5039" s="71">
        <v>8.6</v>
      </c>
      <c r="I5039" s="71">
        <v>11.1</v>
      </c>
      <c r="J5039" s="71">
        <v>13.6</v>
      </c>
      <c r="K5039" s="121">
        <v>1.5E-3</v>
      </c>
      <c r="L5039" s="121">
        <v>-5.0000000000000001E-3</v>
      </c>
      <c r="M5039" s="75" t="s">
        <v>146</v>
      </c>
      <c r="N5039" s="75" t="b">
        <v>1</v>
      </c>
      <c r="O5039" s="75" t="s">
        <v>145</v>
      </c>
      <c r="P5039" s="75">
        <v>2014</v>
      </c>
      <c r="Q5039" s="107">
        <f t="shared" si="216"/>
        <v>2021</v>
      </c>
      <c r="R5039" s="107">
        <v>2</v>
      </c>
      <c r="S5039" s="43">
        <v>221126</v>
      </c>
      <c r="T5039" s="74">
        <v>44519</v>
      </c>
    </row>
    <row r="5040" spans="1:20" x14ac:dyDescent="0.3">
      <c r="A5040" s="42">
        <v>44526</v>
      </c>
      <c r="B5040" s="37">
        <f t="shared" si="214"/>
        <v>20211126</v>
      </c>
      <c r="C5040" s="109">
        <v>1.95E-2</v>
      </c>
      <c r="D5040" s="109">
        <v>0.01</v>
      </c>
      <c r="E5040" s="109">
        <v>1.2E-2</v>
      </c>
      <c r="F5040" s="109">
        <v>1.2999999999999999E-2</v>
      </c>
      <c r="G5040" s="130">
        <v>0</v>
      </c>
      <c r="H5040" s="71">
        <v>8.6</v>
      </c>
      <c r="I5040" s="71">
        <v>11.1</v>
      </c>
      <c r="J5040" s="71">
        <v>13.6</v>
      </c>
      <c r="K5040" s="121">
        <v>8.9999999999999998E-4</v>
      </c>
      <c r="L5040" s="121">
        <v>-5.0000000000000001E-3</v>
      </c>
      <c r="M5040" s="75" t="s">
        <v>146</v>
      </c>
      <c r="N5040" s="75" t="b">
        <v>1</v>
      </c>
      <c r="O5040" s="75" t="s">
        <v>145</v>
      </c>
      <c r="P5040" s="75">
        <v>2014</v>
      </c>
      <c r="Q5040" s="107">
        <f t="shared" si="216"/>
        <v>2021</v>
      </c>
      <c r="R5040" s="107">
        <v>2</v>
      </c>
      <c r="S5040" s="43">
        <v>221126</v>
      </c>
      <c r="T5040" s="74">
        <v>44519</v>
      </c>
    </row>
    <row r="5041" spans="1:20" x14ac:dyDescent="0.3">
      <c r="A5041" s="42">
        <v>44527</v>
      </c>
      <c r="B5041" s="37">
        <f t="shared" ref="B5041:B5042" si="221">YEAR(A5041)*10000+MONTH(A5041)*100+DAY(A5041)</f>
        <v>20211127</v>
      </c>
      <c r="C5041" s="109">
        <v>1.95E-2</v>
      </c>
      <c r="D5041" s="109">
        <v>0.01</v>
      </c>
      <c r="E5041" s="109">
        <v>1.2E-2</v>
      </c>
      <c r="F5041" s="109">
        <v>1.2999999999999999E-2</v>
      </c>
      <c r="G5041" s="130">
        <v>0</v>
      </c>
      <c r="H5041" s="71">
        <v>8.6</v>
      </c>
      <c r="I5041" s="71">
        <v>11.1</v>
      </c>
      <c r="J5041" s="71">
        <v>13.6</v>
      </c>
      <c r="K5041" s="121">
        <v>8.9999999999999998E-4</v>
      </c>
      <c r="L5041" s="121">
        <v>-5.0000000000000001E-3</v>
      </c>
      <c r="M5041" s="75" t="s">
        <v>146</v>
      </c>
      <c r="N5041" s="75" t="b">
        <v>1</v>
      </c>
      <c r="O5041" s="75" t="s">
        <v>145</v>
      </c>
      <c r="P5041" s="75">
        <v>2014</v>
      </c>
      <c r="Q5041" s="107">
        <f t="shared" si="216"/>
        <v>2021</v>
      </c>
      <c r="R5041" s="107">
        <v>2</v>
      </c>
      <c r="S5041" s="43">
        <v>221126</v>
      </c>
      <c r="T5041" s="74">
        <v>44519</v>
      </c>
    </row>
    <row r="5042" spans="1:20" x14ac:dyDescent="0.3">
      <c r="A5042" s="42">
        <v>44528</v>
      </c>
      <c r="B5042" s="37">
        <f t="shared" si="221"/>
        <v>20211128</v>
      </c>
      <c r="C5042" s="109">
        <v>1.95E-2</v>
      </c>
      <c r="D5042" s="109">
        <v>0.01</v>
      </c>
      <c r="E5042" s="109">
        <v>1.2E-2</v>
      </c>
      <c r="F5042" s="109">
        <v>1.2999999999999999E-2</v>
      </c>
      <c r="G5042" s="130">
        <v>0</v>
      </c>
      <c r="H5042" s="71">
        <v>8.6</v>
      </c>
      <c r="I5042" s="71">
        <v>11.1</v>
      </c>
      <c r="J5042" s="71">
        <v>13.6</v>
      </c>
      <c r="K5042" s="121">
        <v>8.9999999999999998E-4</v>
      </c>
      <c r="L5042" s="121">
        <v>-5.0000000000000001E-3</v>
      </c>
      <c r="M5042" s="75" t="s">
        <v>146</v>
      </c>
      <c r="N5042" s="75" t="b">
        <v>1</v>
      </c>
      <c r="O5042" s="75" t="s">
        <v>145</v>
      </c>
      <c r="P5042" s="75">
        <v>2014</v>
      </c>
      <c r="Q5042" s="107">
        <f t="shared" si="216"/>
        <v>2021</v>
      </c>
      <c r="R5042" s="107">
        <v>2</v>
      </c>
      <c r="S5042" s="43">
        <v>221126</v>
      </c>
      <c r="T5042" s="74">
        <v>44519</v>
      </c>
    </row>
    <row r="5043" spans="1:20" x14ac:dyDescent="0.3">
      <c r="A5043" s="42">
        <v>44529</v>
      </c>
      <c r="B5043" s="37">
        <f t="shared" si="214"/>
        <v>20211129</v>
      </c>
      <c r="C5043" s="109">
        <v>1.9E-2</v>
      </c>
      <c r="D5043" s="109">
        <v>0.01</v>
      </c>
      <c r="E5043" s="109">
        <v>1.2E-2</v>
      </c>
      <c r="F5043" s="109">
        <v>1.2999999999999999E-2</v>
      </c>
      <c r="G5043" s="130">
        <v>0</v>
      </c>
      <c r="H5043" s="71">
        <v>8.6</v>
      </c>
      <c r="I5043" s="71">
        <v>11.1</v>
      </c>
      <c r="J5043" s="71">
        <v>13.6</v>
      </c>
      <c r="K5043" s="121">
        <v>5.9999999999999995E-4</v>
      </c>
      <c r="L5043" s="121">
        <v>-5.0000000000000001E-3</v>
      </c>
      <c r="M5043" s="75" t="s">
        <v>146</v>
      </c>
      <c r="N5043" s="75" t="b">
        <v>1</v>
      </c>
      <c r="O5043" s="75" t="s">
        <v>145</v>
      </c>
      <c r="P5043" s="75">
        <v>2014</v>
      </c>
      <c r="Q5043" s="107">
        <f t="shared" si="216"/>
        <v>2021</v>
      </c>
      <c r="R5043" s="107">
        <v>2</v>
      </c>
      <c r="S5043" s="43">
        <v>221126</v>
      </c>
      <c r="T5043" s="74">
        <v>44519</v>
      </c>
    </row>
    <row r="5044" spans="1:20" x14ac:dyDescent="0.3">
      <c r="A5044" s="42">
        <v>44530</v>
      </c>
      <c r="B5044" s="37">
        <f t="shared" si="214"/>
        <v>20211130</v>
      </c>
      <c r="C5044" s="109">
        <v>1.8600000000000002E-2</v>
      </c>
      <c r="D5044" s="109">
        <v>0.01</v>
      </c>
      <c r="E5044" s="109">
        <v>1.2E-2</v>
      </c>
      <c r="F5044" s="109">
        <v>1.2999999999999999E-2</v>
      </c>
      <c r="G5044" s="130">
        <v>0</v>
      </c>
      <c r="H5044" s="71">
        <v>8.6</v>
      </c>
      <c r="I5044" s="71">
        <v>11.1</v>
      </c>
      <c r="J5044" s="71">
        <v>13.6</v>
      </c>
      <c r="K5044" s="121">
        <v>4.0000000000000002E-4</v>
      </c>
      <c r="L5044" s="121">
        <v>-5.0000000000000001E-3</v>
      </c>
      <c r="M5044" s="75" t="s">
        <v>146</v>
      </c>
      <c r="N5044" s="75" t="b">
        <v>1</v>
      </c>
      <c r="O5044" s="75" t="s">
        <v>145</v>
      </c>
      <c r="P5044" s="75">
        <v>2014</v>
      </c>
      <c r="Q5044" s="107">
        <f t="shared" si="216"/>
        <v>2021</v>
      </c>
      <c r="R5044" s="107">
        <v>2</v>
      </c>
      <c r="S5044" s="43">
        <v>221126</v>
      </c>
      <c r="T5044" s="74">
        <v>44519</v>
      </c>
    </row>
    <row r="5045" spans="1:20" x14ac:dyDescent="0.3">
      <c r="A5045" s="42">
        <v>44531</v>
      </c>
      <c r="B5045" s="37">
        <f t="shared" si="214"/>
        <v>20211201</v>
      </c>
      <c r="C5045" s="109">
        <v>1.77E-2</v>
      </c>
      <c r="D5045" s="109">
        <v>0.01</v>
      </c>
      <c r="E5045" s="109">
        <v>1.2E-2</v>
      </c>
      <c r="F5045" s="109">
        <v>1.2999999999999999E-2</v>
      </c>
      <c r="G5045" s="130">
        <v>0</v>
      </c>
      <c r="H5045" s="71">
        <v>8.6</v>
      </c>
      <c r="I5045" s="71">
        <v>11.1</v>
      </c>
      <c r="J5045" s="71">
        <v>13.6</v>
      </c>
      <c r="K5045" s="121">
        <v>-5.9999999999999995E-4</v>
      </c>
      <c r="L5045" s="121">
        <v>-5.0000000000000001E-3</v>
      </c>
      <c r="M5045" s="75" t="s">
        <v>146</v>
      </c>
      <c r="N5045" s="75" t="b">
        <v>1</v>
      </c>
      <c r="O5045" s="75" t="s">
        <v>145</v>
      </c>
      <c r="P5045" s="75">
        <v>2014</v>
      </c>
      <c r="Q5045" s="107">
        <f t="shared" si="216"/>
        <v>2021</v>
      </c>
      <c r="R5045" s="107">
        <v>2</v>
      </c>
      <c r="S5045" s="43">
        <v>221126</v>
      </c>
      <c r="T5045" s="74">
        <v>44519</v>
      </c>
    </row>
    <row r="5046" spans="1:20" x14ac:dyDescent="0.3">
      <c r="A5046" s="42">
        <v>44532</v>
      </c>
      <c r="B5046" s="37">
        <f t="shared" si="214"/>
        <v>20211202</v>
      </c>
      <c r="C5046" s="109">
        <v>1.77E-2</v>
      </c>
      <c r="D5046" s="109">
        <v>0.01</v>
      </c>
      <c r="E5046" s="109">
        <v>1.2E-2</v>
      </c>
      <c r="F5046" s="109">
        <v>1.2999999999999999E-2</v>
      </c>
      <c r="G5046" s="130">
        <v>0</v>
      </c>
      <c r="H5046" s="71">
        <v>8.6</v>
      </c>
      <c r="I5046" s="71">
        <v>11.1</v>
      </c>
      <c r="J5046" s="71">
        <v>13.6</v>
      </c>
      <c r="K5046" s="121">
        <v>-1E-3</v>
      </c>
      <c r="L5046" s="121">
        <v>-5.0000000000000001E-3</v>
      </c>
      <c r="M5046" s="75" t="s">
        <v>146</v>
      </c>
      <c r="N5046" s="75" t="b">
        <v>1</v>
      </c>
      <c r="O5046" s="75" t="s">
        <v>145</v>
      </c>
      <c r="P5046" s="75">
        <v>2014</v>
      </c>
      <c r="Q5046" s="107">
        <f t="shared" si="216"/>
        <v>2021</v>
      </c>
      <c r="R5046" s="107">
        <v>2</v>
      </c>
      <c r="S5046" s="43">
        <v>221126</v>
      </c>
      <c r="T5046" s="74">
        <v>44519</v>
      </c>
    </row>
    <row r="5047" spans="1:20" x14ac:dyDescent="0.3">
      <c r="A5047" s="42">
        <v>44533</v>
      </c>
      <c r="B5047" s="37">
        <f t="shared" si="214"/>
        <v>20211203</v>
      </c>
      <c r="C5047" s="109">
        <v>1.72E-2</v>
      </c>
      <c r="D5047" s="109">
        <v>0.01</v>
      </c>
      <c r="E5047" s="109">
        <v>1.2E-2</v>
      </c>
      <c r="F5047" s="109">
        <v>1.2999999999999999E-2</v>
      </c>
      <c r="G5047" s="130">
        <v>0</v>
      </c>
      <c r="H5047" s="71">
        <v>8.6</v>
      </c>
      <c r="I5047" s="71">
        <v>11.1</v>
      </c>
      <c r="J5047" s="71">
        <v>13.6</v>
      </c>
      <c r="K5047" s="121">
        <v>-1.5E-3</v>
      </c>
      <c r="L5047" s="121">
        <v>-5.0000000000000001E-3</v>
      </c>
      <c r="M5047" s="75" t="s">
        <v>146</v>
      </c>
      <c r="N5047" s="75" t="b">
        <v>1</v>
      </c>
      <c r="O5047" s="75" t="s">
        <v>145</v>
      </c>
      <c r="P5047" s="75">
        <v>2014</v>
      </c>
      <c r="Q5047" s="107">
        <f t="shared" si="216"/>
        <v>2021</v>
      </c>
      <c r="R5047" s="107">
        <v>2</v>
      </c>
      <c r="S5047" s="43">
        <v>221126</v>
      </c>
      <c r="T5047" s="74">
        <v>44519</v>
      </c>
    </row>
    <row r="5048" spans="1:20" x14ac:dyDescent="0.3">
      <c r="A5048" s="42">
        <v>44534</v>
      </c>
      <c r="B5048" s="37">
        <f t="shared" ref="B5048:B5049" si="222">YEAR(A5048)*10000+MONTH(A5048)*100+DAY(A5048)</f>
        <v>20211204</v>
      </c>
      <c r="C5048" s="109">
        <v>1.72E-2</v>
      </c>
      <c r="D5048" s="109">
        <v>0.01</v>
      </c>
      <c r="E5048" s="109">
        <v>1.2E-2</v>
      </c>
      <c r="F5048" s="109">
        <v>1.2999999999999999E-2</v>
      </c>
      <c r="G5048" s="130">
        <v>0</v>
      </c>
      <c r="H5048" s="71">
        <v>8.6</v>
      </c>
      <c r="I5048" s="71">
        <v>11.1</v>
      </c>
      <c r="J5048" s="71">
        <v>13.6</v>
      </c>
      <c r="K5048" s="121">
        <v>-1.5E-3</v>
      </c>
      <c r="L5048" s="121">
        <v>-5.0000000000000001E-3</v>
      </c>
      <c r="M5048" s="75" t="s">
        <v>146</v>
      </c>
      <c r="N5048" s="75" t="b">
        <v>1</v>
      </c>
      <c r="O5048" s="75" t="s">
        <v>145</v>
      </c>
      <c r="P5048" s="75">
        <v>2014</v>
      </c>
      <c r="Q5048" s="107">
        <f t="shared" si="216"/>
        <v>2021</v>
      </c>
      <c r="R5048" s="107">
        <v>2</v>
      </c>
      <c r="S5048" s="43">
        <v>221126</v>
      </c>
      <c r="T5048" s="74">
        <v>44519</v>
      </c>
    </row>
    <row r="5049" spans="1:20" x14ac:dyDescent="0.3">
      <c r="A5049" s="42">
        <v>44535</v>
      </c>
      <c r="B5049" s="37">
        <f t="shared" si="222"/>
        <v>20211205</v>
      </c>
      <c r="C5049" s="109">
        <v>1.72E-2</v>
      </c>
      <c r="D5049" s="109">
        <v>0.01</v>
      </c>
      <c r="E5049" s="109">
        <v>1.2E-2</v>
      </c>
      <c r="F5049" s="109">
        <v>1.2999999999999999E-2</v>
      </c>
      <c r="G5049" s="130">
        <v>0</v>
      </c>
      <c r="H5049" s="71">
        <v>8.6</v>
      </c>
      <c r="I5049" s="71">
        <v>11.1</v>
      </c>
      <c r="J5049" s="71">
        <v>13.6</v>
      </c>
      <c r="K5049" s="121">
        <v>-1.5E-3</v>
      </c>
      <c r="L5049" s="121">
        <v>-5.0000000000000001E-3</v>
      </c>
      <c r="M5049" s="75" t="s">
        <v>146</v>
      </c>
      <c r="N5049" s="75" t="b">
        <v>1</v>
      </c>
      <c r="O5049" s="75" t="s">
        <v>145</v>
      </c>
      <c r="P5049" s="75">
        <v>2014</v>
      </c>
      <c r="Q5049" s="107">
        <f t="shared" si="216"/>
        <v>2021</v>
      </c>
      <c r="R5049" s="107">
        <v>2</v>
      </c>
      <c r="S5049" s="43">
        <v>221126</v>
      </c>
      <c r="T5049" s="74">
        <v>44519</v>
      </c>
    </row>
    <row r="5050" spans="1:20" x14ac:dyDescent="0.3">
      <c r="A5050" s="42">
        <v>44536</v>
      </c>
      <c r="B5050" s="37">
        <f t="shared" si="214"/>
        <v>20211206</v>
      </c>
      <c r="C5050" s="109">
        <v>1.77E-2</v>
      </c>
      <c r="D5050" s="109">
        <v>0.01</v>
      </c>
      <c r="E5050" s="109">
        <v>1.2E-2</v>
      </c>
      <c r="F5050" s="109">
        <v>1.2999999999999999E-2</v>
      </c>
      <c r="G5050" s="130">
        <v>0</v>
      </c>
      <c r="H5050" s="71">
        <v>8.6</v>
      </c>
      <c r="I5050" s="71">
        <v>11.1</v>
      </c>
      <c r="J5050" s="71">
        <v>13.6</v>
      </c>
      <c r="K5050" s="121">
        <v>-1E-3</v>
      </c>
      <c r="L5050" s="121">
        <v>-5.0000000000000001E-3</v>
      </c>
      <c r="M5050" s="75" t="s">
        <v>146</v>
      </c>
      <c r="N5050" s="75" t="b">
        <v>1</v>
      </c>
      <c r="O5050" s="75" t="s">
        <v>145</v>
      </c>
      <c r="P5050" s="75">
        <v>2014</v>
      </c>
      <c r="Q5050" s="107">
        <f t="shared" si="216"/>
        <v>2021</v>
      </c>
      <c r="R5050" s="107">
        <v>2</v>
      </c>
      <c r="S5050" s="43">
        <v>221126</v>
      </c>
      <c r="T5050" s="74">
        <v>44519</v>
      </c>
    </row>
    <row r="5051" spans="1:20" x14ac:dyDescent="0.3">
      <c r="A5051" s="42">
        <v>44537</v>
      </c>
      <c r="B5051" s="37">
        <f t="shared" si="214"/>
        <v>20211207</v>
      </c>
      <c r="C5051" s="109">
        <v>1.8100000000000002E-2</v>
      </c>
      <c r="D5051" s="109">
        <v>0.01</v>
      </c>
      <c r="E5051" s="109">
        <v>1.2E-2</v>
      </c>
      <c r="F5051" s="109">
        <v>1.2999999999999999E-2</v>
      </c>
      <c r="G5051" s="130">
        <v>0</v>
      </c>
      <c r="H5051" s="71">
        <v>8.6</v>
      </c>
      <c r="I5051" s="71">
        <v>11.1</v>
      </c>
      <c r="J5051" s="71">
        <v>13.6</v>
      </c>
      <c r="K5051" s="121">
        <v>-8.0000000000000004E-4</v>
      </c>
      <c r="L5051" s="121">
        <v>-5.0000000000000001E-3</v>
      </c>
      <c r="M5051" s="75" t="s">
        <v>146</v>
      </c>
      <c r="N5051" s="75" t="b">
        <v>1</v>
      </c>
      <c r="O5051" s="75" t="s">
        <v>145</v>
      </c>
      <c r="P5051" s="75">
        <v>2014</v>
      </c>
      <c r="Q5051" s="107">
        <f t="shared" si="216"/>
        <v>2021</v>
      </c>
      <c r="R5051" s="107">
        <v>2</v>
      </c>
      <c r="S5051" s="43">
        <v>221126</v>
      </c>
      <c r="T5051" s="74">
        <v>44519</v>
      </c>
    </row>
    <row r="5052" spans="1:20" x14ac:dyDescent="0.3">
      <c r="A5052" s="42">
        <v>44538</v>
      </c>
      <c r="B5052" s="37">
        <f t="shared" si="214"/>
        <v>20211208</v>
      </c>
      <c r="C5052" s="109">
        <v>1.8200000000000001E-2</v>
      </c>
      <c r="D5052" s="109">
        <v>0.01</v>
      </c>
      <c r="E5052" s="109">
        <v>1.2E-2</v>
      </c>
      <c r="F5052" s="109">
        <v>1.2999999999999999E-2</v>
      </c>
      <c r="G5052" s="130">
        <v>0</v>
      </c>
      <c r="H5052" s="71">
        <v>8.6</v>
      </c>
      <c r="I5052" s="71">
        <v>11.1</v>
      </c>
      <c r="J5052" s="71">
        <v>13.6</v>
      </c>
      <c r="K5052" s="121">
        <v>-8.0000000000000004E-4</v>
      </c>
      <c r="L5052" s="121">
        <v>-5.0000000000000001E-3</v>
      </c>
      <c r="M5052" s="75" t="s">
        <v>146</v>
      </c>
      <c r="N5052" s="75" t="b">
        <v>1</v>
      </c>
      <c r="O5052" s="75" t="s">
        <v>145</v>
      </c>
      <c r="P5052" s="75">
        <v>2014</v>
      </c>
      <c r="Q5052" s="107">
        <f t="shared" si="216"/>
        <v>2021</v>
      </c>
      <c r="R5052" s="107">
        <v>2</v>
      </c>
      <c r="S5052" s="43">
        <v>221126</v>
      </c>
      <c r="T5052" s="74">
        <v>44519</v>
      </c>
    </row>
    <row r="5053" spans="1:20" x14ac:dyDescent="0.3">
      <c r="A5053" s="42">
        <v>44539</v>
      </c>
      <c r="B5053" s="37">
        <f t="shared" si="214"/>
        <v>20211209</v>
      </c>
      <c r="C5053" s="109">
        <v>1.7899999999999999E-2</v>
      </c>
      <c r="D5053" s="109">
        <v>0.01</v>
      </c>
      <c r="E5053" s="109">
        <v>1.2E-2</v>
      </c>
      <c r="F5053" s="109">
        <v>1.2999999999999999E-2</v>
      </c>
      <c r="G5053" s="130">
        <v>0</v>
      </c>
      <c r="H5053" s="71">
        <v>8.6</v>
      </c>
      <c r="I5053" s="71">
        <v>11.1</v>
      </c>
      <c r="J5053" s="71">
        <v>13.6</v>
      </c>
      <c r="K5053" s="121">
        <v>-8.0000000000000004E-4</v>
      </c>
      <c r="L5053" s="121">
        <v>-5.0000000000000001E-3</v>
      </c>
      <c r="M5053" s="75" t="s">
        <v>146</v>
      </c>
      <c r="N5053" s="75" t="b">
        <v>1</v>
      </c>
      <c r="O5053" s="75" t="s">
        <v>145</v>
      </c>
      <c r="P5053" s="75">
        <v>2014</v>
      </c>
      <c r="Q5053" s="107">
        <f t="shared" si="216"/>
        <v>2021</v>
      </c>
      <c r="R5053" s="107">
        <v>2</v>
      </c>
      <c r="S5053" s="43">
        <v>221126</v>
      </c>
      <c r="T5053" s="74">
        <v>44519</v>
      </c>
    </row>
    <row r="5054" spans="1:20" x14ac:dyDescent="0.3">
      <c r="A5054" s="42">
        <v>44540</v>
      </c>
      <c r="B5054" s="37">
        <f t="shared" si="214"/>
        <v>20211210</v>
      </c>
      <c r="C5054" s="109">
        <v>1.78E-2</v>
      </c>
      <c r="D5054" s="109">
        <v>0.01</v>
      </c>
      <c r="E5054" s="109">
        <v>1.2E-2</v>
      </c>
      <c r="F5054" s="109">
        <v>1.2999999999999999E-2</v>
      </c>
      <c r="G5054" s="130">
        <v>0</v>
      </c>
      <c r="H5054" s="71">
        <v>8.6</v>
      </c>
      <c r="I5054" s="71">
        <v>11.1</v>
      </c>
      <c r="J5054" s="71">
        <v>13.6</v>
      </c>
      <c r="K5054" s="121">
        <v>-7.000000000000001E-4</v>
      </c>
      <c r="L5054" s="121">
        <v>-5.0000000000000001E-3</v>
      </c>
      <c r="M5054" s="75" t="s">
        <v>146</v>
      </c>
      <c r="N5054" s="75" t="b">
        <v>1</v>
      </c>
      <c r="O5054" s="75" t="s">
        <v>145</v>
      </c>
      <c r="P5054" s="75">
        <v>2014</v>
      </c>
      <c r="Q5054" s="107">
        <f t="shared" ref="Q5054:Q5074" si="223">YEAR(A5054)</f>
        <v>2021</v>
      </c>
      <c r="R5054" s="107">
        <v>2</v>
      </c>
      <c r="S5054" s="43">
        <v>221126</v>
      </c>
      <c r="T5054" s="74">
        <v>44519</v>
      </c>
    </row>
    <row r="5055" spans="1:20" x14ac:dyDescent="0.3">
      <c r="A5055" s="42">
        <v>44541</v>
      </c>
      <c r="B5055" s="37">
        <f t="shared" ref="B5055:B5056" si="224">YEAR(A5055)*10000+MONTH(A5055)*100+DAY(A5055)</f>
        <v>20211211</v>
      </c>
      <c r="C5055" s="109">
        <v>1.78E-2</v>
      </c>
      <c r="D5055" s="109">
        <v>0.01</v>
      </c>
      <c r="E5055" s="109">
        <v>1.2E-2</v>
      </c>
      <c r="F5055" s="109">
        <v>1.2999999999999999E-2</v>
      </c>
      <c r="G5055" s="130">
        <v>0</v>
      </c>
      <c r="H5055" s="71">
        <v>8.6</v>
      </c>
      <c r="I5055" s="71">
        <v>11.1</v>
      </c>
      <c r="J5055" s="71">
        <v>13.6</v>
      </c>
      <c r="K5055" s="121">
        <v>-7.000000000000001E-4</v>
      </c>
      <c r="L5055" s="121">
        <v>-5.0000000000000001E-3</v>
      </c>
      <c r="M5055" s="75" t="s">
        <v>146</v>
      </c>
      <c r="N5055" s="75" t="b">
        <v>1</v>
      </c>
      <c r="O5055" s="75" t="s">
        <v>145</v>
      </c>
      <c r="P5055" s="75">
        <v>2014</v>
      </c>
      <c r="Q5055" s="107">
        <f t="shared" si="223"/>
        <v>2021</v>
      </c>
      <c r="R5055" s="107">
        <v>2</v>
      </c>
      <c r="S5055" s="43">
        <v>221126</v>
      </c>
      <c r="T5055" s="74">
        <v>44519</v>
      </c>
    </row>
    <row r="5056" spans="1:20" x14ac:dyDescent="0.3">
      <c r="A5056" s="42">
        <v>44542</v>
      </c>
      <c r="B5056" s="37">
        <f t="shared" si="224"/>
        <v>20211212</v>
      </c>
      <c r="C5056" s="109">
        <v>1.78E-2</v>
      </c>
      <c r="D5056" s="109">
        <v>0.01</v>
      </c>
      <c r="E5056" s="109">
        <v>1.2E-2</v>
      </c>
      <c r="F5056" s="109">
        <v>1.2999999999999999E-2</v>
      </c>
      <c r="G5056" s="130">
        <v>0</v>
      </c>
      <c r="H5056" s="71">
        <v>8.6</v>
      </c>
      <c r="I5056" s="71">
        <v>11.1</v>
      </c>
      <c r="J5056" s="71">
        <v>13.6</v>
      </c>
      <c r="K5056" s="121">
        <v>-7.000000000000001E-4</v>
      </c>
      <c r="L5056" s="121">
        <v>-5.0000000000000001E-3</v>
      </c>
      <c r="M5056" s="75" t="s">
        <v>146</v>
      </c>
      <c r="N5056" s="75" t="b">
        <v>1</v>
      </c>
      <c r="O5056" s="75" t="s">
        <v>145</v>
      </c>
      <c r="P5056" s="75">
        <v>2014</v>
      </c>
      <c r="Q5056" s="107">
        <f t="shared" si="223"/>
        <v>2021</v>
      </c>
      <c r="R5056" s="107">
        <v>2</v>
      </c>
      <c r="S5056" s="43">
        <v>221126</v>
      </c>
      <c r="T5056" s="74">
        <v>44519</v>
      </c>
    </row>
    <row r="5057" spans="1:20" x14ac:dyDescent="0.3">
      <c r="A5057" s="42">
        <v>44543</v>
      </c>
      <c r="B5057" s="37">
        <f t="shared" si="214"/>
        <v>20211213</v>
      </c>
      <c r="C5057" s="109">
        <v>1.72E-2</v>
      </c>
      <c r="D5057" s="109">
        <v>0.01</v>
      </c>
      <c r="E5057" s="109">
        <v>1.2E-2</v>
      </c>
      <c r="F5057" s="109">
        <v>1.2999999999999999E-2</v>
      </c>
      <c r="G5057" s="130">
        <v>0</v>
      </c>
      <c r="H5057" s="71">
        <v>8.6</v>
      </c>
      <c r="I5057" s="71">
        <v>11.1</v>
      </c>
      <c r="J5057" s="71">
        <v>13.6</v>
      </c>
      <c r="K5057" s="121">
        <v>-8.9999999999999998E-4</v>
      </c>
      <c r="L5057" s="121">
        <v>-5.0000000000000001E-3</v>
      </c>
      <c r="M5057" s="75" t="s">
        <v>146</v>
      </c>
      <c r="N5057" s="75" t="b">
        <v>1</v>
      </c>
      <c r="O5057" s="75" t="s">
        <v>145</v>
      </c>
      <c r="P5057" s="75">
        <v>2014</v>
      </c>
      <c r="Q5057" s="107">
        <f t="shared" si="223"/>
        <v>2021</v>
      </c>
      <c r="R5057" s="107">
        <v>2</v>
      </c>
      <c r="S5057" s="43">
        <v>221126</v>
      </c>
      <c r="T5057" s="74">
        <v>44519</v>
      </c>
    </row>
    <row r="5058" spans="1:20" x14ac:dyDescent="0.3">
      <c r="A5058" s="42">
        <v>44544</v>
      </c>
      <c r="B5058" s="37">
        <f t="shared" si="214"/>
        <v>20211214</v>
      </c>
      <c r="C5058" s="109">
        <v>1.7600000000000001E-2</v>
      </c>
      <c r="D5058" s="109">
        <v>0.01</v>
      </c>
      <c r="E5058" s="109">
        <v>1.2E-2</v>
      </c>
      <c r="F5058" s="109">
        <v>1.2999999999999999E-2</v>
      </c>
      <c r="G5058" s="130">
        <v>0</v>
      </c>
      <c r="H5058" s="71">
        <v>8.6</v>
      </c>
      <c r="I5058" s="71">
        <v>11.1</v>
      </c>
      <c r="J5058" s="71">
        <v>13.6</v>
      </c>
      <c r="K5058" s="121">
        <v>-2.9999999999999997E-4</v>
      </c>
      <c r="L5058" s="121">
        <v>-5.0000000000000001E-3</v>
      </c>
      <c r="M5058" s="75" t="s">
        <v>146</v>
      </c>
      <c r="N5058" s="75" t="b">
        <v>1</v>
      </c>
      <c r="O5058" s="75" t="s">
        <v>145</v>
      </c>
      <c r="P5058" s="75">
        <v>2014</v>
      </c>
      <c r="Q5058" s="107">
        <f t="shared" si="223"/>
        <v>2021</v>
      </c>
      <c r="R5058" s="107">
        <v>2</v>
      </c>
      <c r="S5058" s="43">
        <v>221126</v>
      </c>
      <c r="T5058" s="74">
        <v>44519</v>
      </c>
    </row>
    <row r="5059" spans="1:20" x14ac:dyDescent="0.3">
      <c r="A5059" s="42">
        <v>44545</v>
      </c>
      <c r="B5059" s="37">
        <f t="shared" si="214"/>
        <v>20211215</v>
      </c>
      <c r="C5059" s="109">
        <v>1.72E-2</v>
      </c>
      <c r="D5059" s="109">
        <v>0.01</v>
      </c>
      <c r="E5059" s="109">
        <v>1.2E-2</v>
      </c>
      <c r="F5059" s="109">
        <v>1.2999999999999999E-2</v>
      </c>
      <c r="G5059" s="130">
        <v>0</v>
      </c>
      <c r="H5059" s="71">
        <v>8.6</v>
      </c>
      <c r="I5059" s="71">
        <v>11.1</v>
      </c>
      <c r="J5059" s="71">
        <v>13.6</v>
      </c>
      <c r="K5059" s="121">
        <v>-5.0000000000000001E-4</v>
      </c>
      <c r="L5059" s="121">
        <v>-5.0000000000000001E-3</v>
      </c>
      <c r="M5059" s="75" t="s">
        <v>146</v>
      </c>
      <c r="N5059" s="75" t="b">
        <v>1</v>
      </c>
      <c r="O5059" s="75" t="s">
        <v>145</v>
      </c>
      <c r="P5059" s="75">
        <v>2014</v>
      </c>
      <c r="Q5059" s="107">
        <f t="shared" si="223"/>
        <v>2021</v>
      </c>
      <c r="R5059" s="107">
        <v>2</v>
      </c>
      <c r="S5059" s="43">
        <v>221126</v>
      </c>
      <c r="T5059" s="74">
        <v>44519</v>
      </c>
    </row>
    <row r="5060" spans="1:20" x14ac:dyDescent="0.3">
      <c r="A5060" s="42">
        <v>44546</v>
      </c>
      <c r="B5060" s="37">
        <f t="shared" si="214"/>
        <v>20211216</v>
      </c>
      <c r="C5060" s="109">
        <v>1.67E-2</v>
      </c>
      <c r="D5060" s="109">
        <v>0.01</v>
      </c>
      <c r="E5060" s="109">
        <v>1.2E-2</v>
      </c>
      <c r="F5060" s="109">
        <v>1.2999999999999999E-2</v>
      </c>
      <c r="G5060" s="130">
        <v>0</v>
      </c>
      <c r="H5060" s="71">
        <v>8.6</v>
      </c>
      <c r="I5060" s="71">
        <v>11.1</v>
      </c>
      <c r="J5060" s="71">
        <v>13.6</v>
      </c>
      <c r="K5060" s="121">
        <v>-8.0000000000000004E-4</v>
      </c>
      <c r="L5060" s="121">
        <v>-5.0000000000000001E-3</v>
      </c>
      <c r="M5060" s="75" t="s">
        <v>146</v>
      </c>
      <c r="N5060" s="75" t="b">
        <v>1</v>
      </c>
      <c r="O5060" s="75" t="s">
        <v>145</v>
      </c>
      <c r="P5060" s="75">
        <v>2014</v>
      </c>
      <c r="Q5060" s="107">
        <f t="shared" si="223"/>
        <v>2021</v>
      </c>
      <c r="R5060" s="107">
        <v>2</v>
      </c>
      <c r="S5060" s="43">
        <v>221126</v>
      </c>
      <c r="T5060" s="74">
        <v>44519</v>
      </c>
    </row>
    <row r="5061" spans="1:20" x14ac:dyDescent="0.3">
      <c r="A5061" s="42">
        <v>44547</v>
      </c>
      <c r="B5061" s="37">
        <f t="shared" si="214"/>
        <v>20211217</v>
      </c>
      <c r="C5061" s="109">
        <v>1.6399999999999998E-2</v>
      </c>
      <c r="D5061" s="109">
        <v>0.01</v>
      </c>
      <c r="E5061" s="109">
        <v>1.2E-2</v>
      </c>
      <c r="F5061" s="109">
        <v>1.2999999999999999E-2</v>
      </c>
      <c r="G5061" s="130">
        <v>0</v>
      </c>
      <c r="H5061" s="71">
        <v>8.6</v>
      </c>
      <c r="I5061" s="71">
        <v>11.1</v>
      </c>
      <c r="J5061" s="71">
        <v>13.6</v>
      </c>
      <c r="K5061" s="121">
        <v>-8.9999999999999998E-4</v>
      </c>
      <c r="L5061" s="121">
        <v>-5.0000000000000001E-3</v>
      </c>
      <c r="M5061" s="75" t="s">
        <v>146</v>
      </c>
      <c r="N5061" s="75" t="b">
        <v>1</v>
      </c>
      <c r="O5061" s="75" t="s">
        <v>145</v>
      </c>
      <c r="P5061" s="75">
        <v>2014</v>
      </c>
      <c r="Q5061" s="107">
        <f t="shared" si="223"/>
        <v>2021</v>
      </c>
      <c r="R5061" s="107">
        <v>2</v>
      </c>
      <c r="S5061" s="43">
        <v>221126</v>
      </c>
      <c r="T5061" s="74">
        <v>44519</v>
      </c>
    </row>
    <row r="5062" spans="1:20" x14ac:dyDescent="0.3">
      <c r="A5062" s="42">
        <v>44548</v>
      </c>
      <c r="B5062" s="37">
        <f t="shared" ref="B5062:B5063" si="225">YEAR(A5062)*10000+MONTH(A5062)*100+DAY(A5062)</f>
        <v>20211218</v>
      </c>
      <c r="C5062" s="109">
        <v>1.6399999999999998E-2</v>
      </c>
      <c r="D5062" s="109">
        <v>0.01</v>
      </c>
      <c r="E5062" s="109">
        <v>1.2E-2</v>
      </c>
      <c r="F5062" s="109">
        <v>1.2999999999999999E-2</v>
      </c>
      <c r="G5062" s="130">
        <v>0</v>
      </c>
      <c r="H5062" s="71">
        <v>8.6</v>
      </c>
      <c r="I5062" s="71">
        <v>11.1</v>
      </c>
      <c r="J5062" s="71">
        <v>13.6</v>
      </c>
      <c r="K5062" s="121">
        <v>-8.9999999999999998E-4</v>
      </c>
      <c r="L5062" s="121">
        <v>-5.0000000000000001E-3</v>
      </c>
      <c r="M5062" s="75" t="s">
        <v>146</v>
      </c>
      <c r="N5062" s="75" t="b">
        <v>1</v>
      </c>
      <c r="O5062" s="75" t="s">
        <v>145</v>
      </c>
      <c r="P5062" s="75">
        <v>2014</v>
      </c>
      <c r="Q5062" s="107">
        <f t="shared" si="223"/>
        <v>2021</v>
      </c>
      <c r="R5062" s="107">
        <v>2</v>
      </c>
      <c r="S5062" s="43">
        <v>221126</v>
      </c>
      <c r="T5062" s="74">
        <v>44519</v>
      </c>
    </row>
    <row r="5063" spans="1:20" x14ac:dyDescent="0.3">
      <c r="A5063" s="42">
        <v>44549</v>
      </c>
      <c r="B5063" s="37">
        <f t="shared" si="225"/>
        <v>20211219</v>
      </c>
      <c r="C5063" s="109">
        <v>1.6399999999999998E-2</v>
      </c>
      <c r="D5063" s="109">
        <v>0.01</v>
      </c>
      <c r="E5063" s="109">
        <v>1.2E-2</v>
      </c>
      <c r="F5063" s="109">
        <v>1.2999999999999999E-2</v>
      </c>
      <c r="G5063" s="130">
        <v>0</v>
      </c>
      <c r="H5063" s="71">
        <v>8.6</v>
      </c>
      <c r="I5063" s="71">
        <v>11.1</v>
      </c>
      <c r="J5063" s="71">
        <v>13.6</v>
      </c>
      <c r="K5063" s="121">
        <v>-8.9999999999999998E-4</v>
      </c>
      <c r="L5063" s="121">
        <v>-5.0000000000000001E-3</v>
      </c>
      <c r="M5063" s="75" t="s">
        <v>146</v>
      </c>
      <c r="N5063" s="75" t="b">
        <v>1</v>
      </c>
      <c r="O5063" s="75" t="s">
        <v>145</v>
      </c>
      <c r="P5063" s="75">
        <v>2014</v>
      </c>
      <c r="Q5063" s="107">
        <f t="shared" si="223"/>
        <v>2021</v>
      </c>
      <c r="R5063" s="107">
        <v>2</v>
      </c>
      <c r="S5063" s="43">
        <v>221126</v>
      </c>
      <c r="T5063" s="74">
        <v>44519</v>
      </c>
    </row>
    <row r="5064" spans="1:20" x14ac:dyDescent="0.3">
      <c r="A5064" s="42">
        <v>44550</v>
      </c>
      <c r="B5064" s="37">
        <f t="shared" si="214"/>
        <v>20211220</v>
      </c>
      <c r="C5064" s="109">
        <v>1.7100000000000001E-2</v>
      </c>
      <c r="D5064" s="109">
        <v>0.01</v>
      </c>
      <c r="E5064" s="109">
        <v>1.2E-2</v>
      </c>
      <c r="F5064" s="109">
        <v>1.2999999999999999E-2</v>
      </c>
      <c r="G5064" s="130">
        <v>0</v>
      </c>
      <c r="H5064" s="71">
        <v>8.6</v>
      </c>
      <c r="I5064" s="71">
        <v>11.1</v>
      </c>
      <c r="J5064" s="71">
        <v>13.6</v>
      </c>
      <c r="K5064" s="121">
        <v>-2.0000000000000001E-4</v>
      </c>
      <c r="L5064" s="121">
        <v>-5.0000000000000001E-3</v>
      </c>
      <c r="M5064" s="75" t="s">
        <v>146</v>
      </c>
      <c r="N5064" s="75" t="b">
        <v>1</v>
      </c>
      <c r="O5064" s="75" t="s">
        <v>145</v>
      </c>
      <c r="P5064" s="75">
        <v>2014</v>
      </c>
      <c r="Q5064" s="107">
        <f t="shared" si="223"/>
        <v>2021</v>
      </c>
      <c r="R5064" s="107">
        <v>2</v>
      </c>
      <c r="S5064" s="43">
        <v>221126</v>
      </c>
      <c r="T5064" s="74">
        <v>44519</v>
      </c>
    </row>
    <row r="5065" spans="1:20" x14ac:dyDescent="0.3">
      <c r="A5065" s="42">
        <v>44551</v>
      </c>
      <c r="B5065" s="37">
        <f t="shared" si="214"/>
        <v>20211221</v>
      </c>
      <c r="C5065" s="109">
        <v>1.7399999999999999E-2</v>
      </c>
      <c r="D5065" s="109">
        <v>0.01</v>
      </c>
      <c r="E5065" s="109">
        <v>1.2E-2</v>
      </c>
      <c r="F5065" s="109">
        <v>1.2999999999999999E-2</v>
      </c>
      <c r="G5065" s="130">
        <v>0</v>
      </c>
      <c r="H5065" s="71">
        <v>8.6</v>
      </c>
      <c r="I5065" s="71">
        <v>11.1</v>
      </c>
      <c r="J5065" s="71">
        <v>13.6</v>
      </c>
      <c r="K5065" s="121">
        <v>-2.0000000000000001E-4</v>
      </c>
      <c r="L5065" s="121">
        <v>-5.0000000000000001E-3</v>
      </c>
      <c r="M5065" s="75" t="s">
        <v>146</v>
      </c>
      <c r="N5065" s="75" t="b">
        <v>1</v>
      </c>
      <c r="O5065" s="75" t="s">
        <v>145</v>
      </c>
      <c r="P5065" s="75">
        <v>2014</v>
      </c>
      <c r="Q5065" s="107">
        <f t="shared" si="223"/>
        <v>2021</v>
      </c>
      <c r="R5065" s="107">
        <v>2</v>
      </c>
      <c r="S5065" s="43">
        <v>221126</v>
      </c>
      <c r="T5065" s="74">
        <v>44519</v>
      </c>
    </row>
    <row r="5066" spans="1:20" x14ac:dyDescent="0.3">
      <c r="A5066" s="42">
        <v>44552</v>
      </c>
      <c r="B5066" s="37">
        <f t="shared" si="214"/>
        <v>20211222</v>
      </c>
      <c r="C5066" s="109">
        <v>1.7100000000000001E-2</v>
      </c>
      <c r="D5066" s="109">
        <v>0.01</v>
      </c>
      <c r="E5066" s="109">
        <v>1.2E-2</v>
      </c>
      <c r="F5066" s="109">
        <v>1.2999999999999999E-2</v>
      </c>
      <c r="G5066" s="130">
        <v>0</v>
      </c>
      <c r="H5066" s="71">
        <v>8.6</v>
      </c>
      <c r="I5066" s="71">
        <v>11.1</v>
      </c>
      <c r="J5066" s="71">
        <v>13.6</v>
      </c>
      <c r="K5066" s="121">
        <v>-5.9999999999999995E-4</v>
      </c>
      <c r="L5066" s="121">
        <v>-5.0000000000000001E-3</v>
      </c>
      <c r="M5066" s="75" t="s">
        <v>146</v>
      </c>
      <c r="N5066" s="75" t="b">
        <v>1</v>
      </c>
      <c r="O5066" s="75" t="s">
        <v>145</v>
      </c>
      <c r="P5066" s="75">
        <v>2014</v>
      </c>
      <c r="Q5066" s="107">
        <f t="shared" si="223"/>
        <v>2021</v>
      </c>
      <c r="R5066" s="107">
        <v>2</v>
      </c>
      <c r="S5066" s="43">
        <v>221126</v>
      </c>
      <c r="T5066" s="74">
        <v>44519</v>
      </c>
    </row>
    <row r="5067" spans="1:20" x14ac:dyDescent="0.3">
      <c r="A5067" s="42">
        <v>44553</v>
      </c>
      <c r="B5067" s="37">
        <f t="shared" si="214"/>
        <v>20211223</v>
      </c>
      <c r="C5067" s="109">
        <v>1.7299999999999999E-2</v>
      </c>
      <c r="D5067" s="109">
        <v>0.01</v>
      </c>
      <c r="E5067" s="109">
        <v>1.2E-2</v>
      </c>
      <c r="F5067" s="109">
        <v>1.2999999999999999E-2</v>
      </c>
      <c r="G5067" s="130">
        <v>0</v>
      </c>
      <c r="H5067" s="71">
        <v>8.6</v>
      </c>
      <c r="I5067" s="71">
        <v>11.1</v>
      </c>
      <c r="J5067" s="71">
        <v>13.6</v>
      </c>
      <c r="K5067" s="121">
        <v>-2.0000000000000001E-4</v>
      </c>
      <c r="L5067" s="121">
        <v>-5.0000000000000001E-3</v>
      </c>
      <c r="M5067" s="75" t="s">
        <v>146</v>
      </c>
      <c r="N5067" s="75" t="b">
        <v>1</v>
      </c>
      <c r="O5067" s="75" t="s">
        <v>145</v>
      </c>
      <c r="P5067" s="75">
        <v>2014</v>
      </c>
      <c r="Q5067" s="107">
        <f t="shared" si="223"/>
        <v>2021</v>
      </c>
      <c r="R5067" s="107">
        <v>2</v>
      </c>
      <c r="S5067" s="43">
        <v>221126</v>
      </c>
      <c r="T5067" s="74">
        <v>44519</v>
      </c>
    </row>
    <row r="5068" spans="1:20" x14ac:dyDescent="0.3">
      <c r="A5068" s="42">
        <v>44554</v>
      </c>
      <c r="B5068" s="37">
        <f t="shared" si="214"/>
        <v>20211224</v>
      </c>
      <c r="C5068" s="109">
        <v>1.7500000000000002E-2</v>
      </c>
      <c r="D5068" s="109">
        <v>0.01</v>
      </c>
      <c r="E5068" s="109">
        <v>1.2E-2</v>
      </c>
      <c r="F5068" s="109">
        <v>1.2999999999999999E-2</v>
      </c>
      <c r="G5068" s="130">
        <v>0</v>
      </c>
      <c r="H5068" s="71">
        <v>8.6</v>
      </c>
      <c r="I5068" s="71">
        <v>11.1</v>
      </c>
      <c r="J5068" s="71">
        <v>13.6</v>
      </c>
      <c r="K5068" s="121">
        <v>-1E-4</v>
      </c>
      <c r="L5068" s="121">
        <v>-5.0000000000000001E-3</v>
      </c>
      <c r="M5068" s="75" t="s">
        <v>146</v>
      </c>
      <c r="N5068" s="75" t="b">
        <v>1</v>
      </c>
      <c r="O5068" s="75" t="s">
        <v>145</v>
      </c>
      <c r="P5068" s="75">
        <v>2014</v>
      </c>
      <c r="Q5068" s="107">
        <f t="shared" si="223"/>
        <v>2021</v>
      </c>
      <c r="R5068" s="107">
        <v>2</v>
      </c>
      <c r="S5068" s="43">
        <v>221126</v>
      </c>
      <c r="T5068" s="74">
        <v>44519</v>
      </c>
    </row>
    <row r="5069" spans="1:20" x14ac:dyDescent="0.3">
      <c r="A5069" s="42">
        <v>44555</v>
      </c>
      <c r="B5069" s="37">
        <f t="shared" ref="B5069:B5070" si="226">YEAR(A5069)*10000+MONTH(A5069)*100+DAY(A5069)</f>
        <v>20211225</v>
      </c>
      <c r="C5069" s="109">
        <v>1.7500000000000002E-2</v>
      </c>
      <c r="D5069" s="109">
        <v>0.01</v>
      </c>
      <c r="E5069" s="109">
        <v>1.2E-2</v>
      </c>
      <c r="F5069" s="109">
        <v>1.2999999999999999E-2</v>
      </c>
      <c r="G5069" s="130">
        <v>0</v>
      </c>
      <c r="H5069" s="71">
        <v>8.6</v>
      </c>
      <c r="I5069" s="71">
        <v>11.1</v>
      </c>
      <c r="J5069" s="71">
        <v>13.6</v>
      </c>
      <c r="K5069" s="121">
        <v>-1E-4</v>
      </c>
      <c r="L5069" s="121">
        <v>-5.0000000000000001E-3</v>
      </c>
      <c r="M5069" s="75" t="s">
        <v>146</v>
      </c>
      <c r="N5069" s="75" t="b">
        <v>1</v>
      </c>
      <c r="O5069" s="75" t="s">
        <v>145</v>
      </c>
      <c r="P5069" s="75">
        <v>2014</v>
      </c>
      <c r="Q5069" s="107">
        <f t="shared" si="223"/>
        <v>2021</v>
      </c>
      <c r="R5069" s="107">
        <v>2</v>
      </c>
      <c r="S5069" s="43">
        <v>221126</v>
      </c>
      <c r="T5069" s="74">
        <v>44519</v>
      </c>
    </row>
    <row r="5070" spans="1:20" x14ac:dyDescent="0.3">
      <c r="A5070" s="42">
        <v>44556</v>
      </c>
      <c r="B5070" s="37">
        <f t="shared" si="226"/>
        <v>20211226</v>
      </c>
      <c r="C5070" s="109">
        <v>1.7500000000000002E-2</v>
      </c>
      <c r="D5070" s="109">
        <v>0.01</v>
      </c>
      <c r="E5070" s="109">
        <v>1.2E-2</v>
      </c>
      <c r="F5070" s="109">
        <v>1.2999999999999999E-2</v>
      </c>
      <c r="G5070" s="130">
        <v>0</v>
      </c>
      <c r="H5070" s="71">
        <v>8.6</v>
      </c>
      <c r="I5070" s="71">
        <v>11.1</v>
      </c>
      <c r="J5070" s="71">
        <v>13.6</v>
      </c>
      <c r="K5070" s="121">
        <v>-1E-4</v>
      </c>
      <c r="L5070" s="121">
        <v>-5.0000000000000001E-3</v>
      </c>
      <c r="M5070" s="75" t="s">
        <v>146</v>
      </c>
      <c r="N5070" s="75" t="b">
        <v>1</v>
      </c>
      <c r="O5070" s="75" t="s">
        <v>145</v>
      </c>
      <c r="P5070" s="75">
        <v>2014</v>
      </c>
      <c r="Q5070" s="107">
        <f t="shared" si="223"/>
        <v>2021</v>
      </c>
      <c r="R5070" s="107">
        <v>2</v>
      </c>
      <c r="S5070" s="43">
        <v>221126</v>
      </c>
      <c r="T5070" s="74">
        <v>44519</v>
      </c>
    </row>
    <row r="5071" spans="1:20" x14ac:dyDescent="0.3">
      <c r="A5071" s="42">
        <v>44557</v>
      </c>
      <c r="B5071" s="37">
        <f t="shared" si="214"/>
        <v>20211227</v>
      </c>
      <c r="C5071" s="109">
        <v>1.7500000000000002E-2</v>
      </c>
      <c r="D5071" s="109">
        <v>0.01</v>
      </c>
      <c r="E5071" s="109">
        <v>1.2E-2</v>
      </c>
      <c r="F5071" s="109">
        <v>1.2999999999999999E-2</v>
      </c>
      <c r="G5071" s="130">
        <v>0</v>
      </c>
      <c r="H5071" s="71">
        <v>8.6</v>
      </c>
      <c r="I5071" s="71">
        <v>11.1</v>
      </c>
      <c r="J5071" s="71">
        <v>13.6</v>
      </c>
      <c r="K5071" s="121">
        <v>-1E-4</v>
      </c>
      <c r="L5071" s="121">
        <v>-5.0000000000000001E-3</v>
      </c>
      <c r="M5071" s="75" t="s">
        <v>146</v>
      </c>
      <c r="N5071" s="75" t="b">
        <v>1</v>
      </c>
      <c r="O5071" s="75" t="s">
        <v>145</v>
      </c>
      <c r="P5071" s="75">
        <v>2014</v>
      </c>
      <c r="Q5071" s="107">
        <f t="shared" si="223"/>
        <v>2021</v>
      </c>
      <c r="R5071" s="107">
        <v>2</v>
      </c>
      <c r="S5071" s="43">
        <v>221126</v>
      </c>
      <c r="T5071" s="74">
        <v>44519</v>
      </c>
    </row>
    <row r="5072" spans="1:20" x14ac:dyDescent="0.3">
      <c r="A5072" s="42">
        <v>44558</v>
      </c>
      <c r="B5072" s="37">
        <f t="shared" si="214"/>
        <v>20211228</v>
      </c>
      <c r="C5072" s="109">
        <v>1.7500000000000002E-2</v>
      </c>
      <c r="D5072" s="109">
        <v>0.01</v>
      </c>
      <c r="E5072" s="109">
        <v>1.2E-2</v>
      </c>
      <c r="F5072" s="109">
        <v>1.2999999999999999E-2</v>
      </c>
      <c r="G5072" s="130">
        <v>0</v>
      </c>
      <c r="H5072" s="71">
        <v>8.6</v>
      </c>
      <c r="I5072" s="71">
        <v>11.1</v>
      </c>
      <c r="J5072" s="71">
        <v>13.6</v>
      </c>
      <c r="K5072" s="121">
        <v>-1E-4</v>
      </c>
      <c r="L5072" s="121">
        <v>-5.0000000000000001E-3</v>
      </c>
      <c r="M5072" s="75" t="s">
        <v>146</v>
      </c>
      <c r="N5072" s="75" t="b">
        <v>1</v>
      </c>
      <c r="O5072" s="75" t="s">
        <v>145</v>
      </c>
      <c r="P5072" s="75">
        <v>2014</v>
      </c>
      <c r="Q5072" s="107">
        <f t="shared" si="223"/>
        <v>2021</v>
      </c>
      <c r="R5072" s="107">
        <v>2</v>
      </c>
      <c r="S5072" s="43">
        <v>221126</v>
      </c>
      <c r="T5072" s="74">
        <v>44519</v>
      </c>
    </row>
    <row r="5073" spans="1:20" x14ac:dyDescent="0.3">
      <c r="A5073" s="42">
        <v>44559</v>
      </c>
      <c r="B5073" s="37">
        <f t="shared" si="214"/>
        <v>20211229</v>
      </c>
      <c r="C5073" s="109">
        <v>1.7500000000000002E-2</v>
      </c>
      <c r="D5073" s="109">
        <v>0.01</v>
      </c>
      <c r="E5073" s="109">
        <v>1.2E-2</v>
      </c>
      <c r="F5073" s="109">
        <v>1.2999999999999999E-2</v>
      </c>
      <c r="G5073" s="130">
        <v>0</v>
      </c>
      <c r="H5073" s="71">
        <v>8.6</v>
      </c>
      <c r="I5073" s="71">
        <v>11.1</v>
      </c>
      <c r="J5073" s="71">
        <v>13.6</v>
      </c>
      <c r="K5073" s="121">
        <v>-4.0000000000000002E-4</v>
      </c>
      <c r="L5073" s="121">
        <v>-5.0000000000000001E-3</v>
      </c>
      <c r="M5073" s="75" t="s">
        <v>146</v>
      </c>
      <c r="N5073" s="75" t="b">
        <v>1</v>
      </c>
      <c r="O5073" s="75" t="s">
        <v>145</v>
      </c>
      <c r="P5073" s="75">
        <v>2014</v>
      </c>
      <c r="Q5073" s="107">
        <f t="shared" si="223"/>
        <v>2021</v>
      </c>
      <c r="R5073" s="107">
        <v>2</v>
      </c>
      <c r="S5073" s="43">
        <v>221126</v>
      </c>
      <c r="T5073" s="74">
        <v>44519</v>
      </c>
    </row>
    <row r="5074" spans="1:20" x14ac:dyDescent="0.3">
      <c r="A5074" s="42">
        <v>44560</v>
      </c>
      <c r="B5074" s="37">
        <f t="shared" si="214"/>
        <v>20211230</v>
      </c>
      <c r="C5074" s="109">
        <v>1.7000000000000001E-2</v>
      </c>
      <c r="D5074" s="109">
        <v>0.01</v>
      </c>
      <c r="E5074" s="109">
        <v>1.2E-2</v>
      </c>
      <c r="F5074" s="109">
        <v>1.2999999999999999E-2</v>
      </c>
      <c r="G5074" s="130">
        <v>0</v>
      </c>
      <c r="H5074" s="71">
        <v>8.6</v>
      </c>
      <c r="I5074" s="71">
        <v>11.1</v>
      </c>
      <c r="J5074" s="71">
        <v>13.6</v>
      </c>
      <c r="K5074" s="121">
        <v>-1.1000000000000001E-3</v>
      </c>
      <c r="L5074" s="121">
        <v>-5.0000000000000001E-3</v>
      </c>
      <c r="M5074" s="75" t="s">
        <v>146</v>
      </c>
      <c r="N5074" s="75" t="b">
        <v>1</v>
      </c>
      <c r="O5074" s="75" t="s">
        <v>145</v>
      </c>
      <c r="P5074" s="75">
        <v>2014</v>
      </c>
      <c r="Q5074" s="107">
        <f t="shared" si="223"/>
        <v>2021</v>
      </c>
      <c r="R5074" s="107">
        <v>2</v>
      </c>
      <c r="S5074" s="43">
        <v>221126</v>
      </c>
      <c r="T5074" s="74">
        <v>44519</v>
      </c>
    </row>
    <row r="5075" spans="1:20" x14ac:dyDescent="0.3">
      <c r="A5075" s="42">
        <v>44561</v>
      </c>
      <c r="B5075" s="37">
        <f t="shared" si="214"/>
        <v>20211231</v>
      </c>
      <c r="C5075" s="109">
        <v>1.66E-2</v>
      </c>
      <c r="D5075" s="109">
        <v>0.01</v>
      </c>
      <c r="E5075" s="109">
        <v>1.2E-2</v>
      </c>
      <c r="F5075" s="109">
        <v>1.2999999999999999E-2</v>
      </c>
      <c r="G5075" s="130">
        <v>0</v>
      </c>
      <c r="H5075" s="71">
        <v>8.6</v>
      </c>
      <c r="I5075" s="71">
        <v>11.1</v>
      </c>
      <c r="J5075" s="71">
        <v>13.6</v>
      </c>
      <c r="K5075" s="121">
        <v>-1.4E-3</v>
      </c>
      <c r="L5075" s="121">
        <v>-5.0000000000000001E-3</v>
      </c>
      <c r="M5075" s="75" t="s">
        <v>146</v>
      </c>
      <c r="N5075" s="75" t="b">
        <v>1</v>
      </c>
      <c r="O5075" s="75" t="s">
        <v>145</v>
      </c>
      <c r="P5075" s="75">
        <v>2014</v>
      </c>
      <c r="Q5075" s="107">
        <f t="shared" ref="Q5075:Q5079" si="227">YEAR(A5075)</f>
        <v>2021</v>
      </c>
      <c r="R5075" s="107">
        <v>2</v>
      </c>
      <c r="S5075" s="43">
        <v>221126</v>
      </c>
      <c r="T5075" s="74">
        <v>44519</v>
      </c>
    </row>
    <row r="5076" spans="1:20" x14ac:dyDescent="0.3">
      <c r="A5076" s="42">
        <v>44562</v>
      </c>
      <c r="B5076" s="37">
        <f t="shared" ref="B5076:B5095" si="228">YEAR(A5076)*10000+MONTH(A5076)*100+DAY(A5076)</f>
        <v>20220101</v>
      </c>
      <c r="C5076" s="109">
        <v>1.66E-2</v>
      </c>
      <c r="D5076" s="109">
        <v>0.01</v>
      </c>
      <c r="E5076" s="109">
        <v>1.2E-2</v>
      </c>
      <c r="F5076" s="109">
        <v>1.2999999999999999E-2</v>
      </c>
      <c r="G5076" s="130">
        <v>0</v>
      </c>
      <c r="H5076" s="71">
        <v>8.6</v>
      </c>
      <c r="I5076" s="71">
        <v>11.1</v>
      </c>
      <c r="J5076" s="71">
        <v>13.6</v>
      </c>
      <c r="K5076" s="121">
        <v>-1.4E-3</v>
      </c>
      <c r="L5076" s="121">
        <v>-5.0000000000000001E-3</v>
      </c>
      <c r="M5076" s="75" t="s">
        <v>146</v>
      </c>
      <c r="N5076" s="75" t="b">
        <v>1</v>
      </c>
      <c r="O5076" s="75" t="s">
        <v>145</v>
      </c>
      <c r="P5076" s="75">
        <v>2014</v>
      </c>
      <c r="Q5076" s="107">
        <f t="shared" si="227"/>
        <v>2022</v>
      </c>
      <c r="R5076" s="107">
        <v>2</v>
      </c>
      <c r="S5076" s="43">
        <v>221126</v>
      </c>
      <c r="T5076" s="74">
        <v>44519</v>
      </c>
    </row>
    <row r="5077" spans="1:20" x14ac:dyDescent="0.3">
      <c r="A5077" s="42">
        <v>44563</v>
      </c>
      <c r="B5077" s="37">
        <f t="shared" si="228"/>
        <v>20220102</v>
      </c>
      <c r="C5077" s="109">
        <v>1.66E-2</v>
      </c>
      <c r="D5077" s="109">
        <v>0.01</v>
      </c>
      <c r="E5077" s="109">
        <v>1.2E-2</v>
      </c>
      <c r="F5077" s="109">
        <v>1.2999999999999999E-2</v>
      </c>
      <c r="G5077" s="130">
        <v>0</v>
      </c>
      <c r="H5077" s="71">
        <v>8.6</v>
      </c>
      <c r="I5077" s="71">
        <v>11.1</v>
      </c>
      <c r="J5077" s="71">
        <v>13.6</v>
      </c>
      <c r="K5077" s="121">
        <v>-1.4E-3</v>
      </c>
      <c r="L5077" s="121">
        <v>-5.0000000000000001E-3</v>
      </c>
      <c r="M5077" s="75" t="s">
        <v>146</v>
      </c>
      <c r="N5077" s="75" t="b">
        <v>1</v>
      </c>
      <c r="O5077" s="75" t="s">
        <v>145</v>
      </c>
      <c r="P5077" s="75">
        <v>2014</v>
      </c>
      <c r="Q5077" s="107">
        <f t="shared" si="227"/>
        <v>2022</v>
      </c>
      <c r="R5077" s="107">
        <v>2</v>
      </c>
      <c r="S5077" s="43">
        <v>221126</v>
      </c>
      <c r="T5077" s="74">
        <v>44519</v>
      </c>
    </row>
    <row r="5078" spans="1:20" x14ac:dyDescent="0.3">
      <c r="A5078" s="42">
        <v>44564</v>
      </c>
      <c r="B5078" s="37">
        <f t="shared" si="228"/>
        <v>20220103</v>
      </c>
      <c r="C5078" s="109">
        <v>1.66E-2</v>
      </c>
      <c r="D5078" s="109">
        <v>0.01</v>
      </c>
      <c r="E5078" s="109">
        <v>1.2E-2</v>
      </c>
      <c r="F5078" s="109">
        <v>1.2999999999999999E-2</v>
      </c>
      <c r="G5078" s="130">
        <v>0</v>
      </c>
      <c r="H5078" s="71">
        <v>8.6</v>
      </c>
      <c r="I5078" s="71">
        <v>11.1</v>
      </c>
      <c r="J5078" s="71">
        <v>13.6</v>
      </c>
      <c r="K5078" s="121">
        <v>-1.4E-3</v>
      </c>
      <c r="L5078" s="121">
        <v>-5.0000000000000001E-3</v>
      </c>
      <c r="M5078" s="75" t="s">
        <v>146</v>
      </c>
      <c r="N5078" s="75" t="b">
        <v>1</v>
      </c>
      <c r="O5078" s="75" t="s">
        <v>145</v>
      </c>
      <c r="P5078" s="75">
        <v>2014</v>
      </c>
      <c r="Q5078" s="107">
        <f t="shared" si="227"/>
        <v>2022</v>
      </c>
      <c r="R5078" s="107">
        <v>2</v>
      </c>
      <c r="S5078" s="43">
        <v>221126</v>
      </c>
      <c r="T5078" s="74">
        <v>44519</v>
      </c>
    </row>
    <row r="5079" spans="1:20" x14ac:dyDescent="0.3">
      <c r="A5079" s="42">
        <v>44565</v>
      </c>
      <c r="B5079" s="37">
        <f t="shared" si="228"/>
        <v>20220104</v>
      </c>
      <c r="C5079" s="109">
        <v>1.8200000000000001E-2</v>
      </c>
      <c r="D5079" s="109">
        <v>0.01</v>
      </c>
      <c r="E5079" s="109">
        <v>1.2E-2</v>
      </c>
      <c r="F5079" s="109">
        <v>1.2999999999999999E-2</v>
      </c>
      <c r="G5079" s="130">
        <v>0</v>
      </c>
      <c r="H5079" s="71">
        <v>8.6</v>
      </c>
      <c r="I5079" s="71">
        <v>11.1</v>
      </c>
      <c r="J5079" s="71">
        <v>13.6</v>
      </c>
      <c r="K5079" s="121">
        <v>-2.9999999999999997E-4</v>
      </c>
      <c r="L5079" s="121">
        <v>-5.0000000000000001E-3</v>
      </c>
      <c r="M5079" s="75" t="s">
        <v>146</v>
      </c>
      <c r="N5079" s="75" t="b">
        <v>1</v>
      </c>
      <c r="O5079" s="75" t="s">
        <v>145</v>
      </c>
      <c r="P5079" s="75">
        <v>2014</v>
      </c>
      <c r="Q5079" s="107">
        <f t="shared" si="227"/>
        <v>2022</v>
      </c>
      <c r="R5079" s="107">
        <v>2</v>
      </c>
      <c r="S5079" s="43">
        <v>221126</v>
      </c>
      <c r="T5079" s="74">
        <v>44519</v>
      </c>
    </row>
    <row r="5080" spans="1:20" x14ac:dyDescent="0.3">
      <c r="A5080" s="42">
        <v>44566</v>
      </c>
      <c r="B5080" s="37">
        <f t="shared" si="228"/>
        <v>20220105</v>
      </c>
      <c r="C5080" s="109">
        <v>1.84E-2</v>
      </c>
      <c r="D5080" s="109">
        <v>0.01</v>
      </c>
      <c r="E5080" s="109">
        <v>1.2E-2</v>
      </c>
      <c r="F5080" s="109">
        <v>1.2999999999999999E-2</v>
      </c>
      <c r="G5080" s="130">
        <v>0</v>
      </c>
      <c r="H5080" s="71">
        <v>8.6</v>
      </c>
      <c r="I5080" s="71">
        <v>11.1</v>
      </c>
      <c r="J5080" s="71">
        <v>13.6</v>
      </c>
      <c r="K5080" s="121">
        <v>4.0000000000000002E-4</v>
      </c>
      <c r="L5080" s="121">
        <v>-5.0000000000000001E-3</v>
      </c>
      <c r="M5080" s="75" t="s">
        <v>146</v>
      </c>
      <c r="N5080" s="75" t="b">
        <v>1</v>
      </c>
      <c r="O5080" s="75" t="s">
        <v>145</v>
      </c>
      <c r="P5080" s="75">
        <v>2014</v>
      </c>
      <c r="Q5080" s="107">
        <f t="shared" ref="Q5080:Q5095" si="229">YEAR(A5080)</f>
        <v>2022</v>
      </c>
      <c r="R5080" s="107">
        <v>2</v>
      </c>
      <c r="S5080" s="43">
        <v>221126</v>
      </c>
      <c r="T5080" s="74">
        <v>44519</v>
      </c>
    </row>
    <row r="5081" spans="1:20" x14ac:dyDescent="0.3">
      <c r="A5081" s="42">
        <v>44567</v>
      </c>
      <c r="B5081" s="37">
        <f t="shared" si="228"/>
        <v>20220106</v>
      </c>
      <c r="C5081" s="109">
        <v>1.9199999999999998E-2</v>
      </c>
      <c r="D5081" s="109">
        <v>0.01</v>
      </c>
      <c r="E5081" s="109">
        <v>1.2E-2</v>
      </c>
      <c r="F5081" s="109">
        <v>1.2999999999999999E-2</v>
      </c>
      <c r="G5081" s="130">
        <v>0</v>
      </c>
      <c r="H5081" s="71">
        <v>8.6</v>
      </c>
      <c r="I5081" s="71">
        <v>11.1</v>
      </c>
      <c r="J5081" s="71">
        <v>13.6</v>
      </c>
      <c r="K5081" s="121">
        <v>1.6000000000000001E-3</v>
      </c>
      <c r="L5081" s="121">
        <v>-5.0000000000000001E-3</v>
      </c>
      <c r="M5081" s="75" t="s">
        <v>146</v>
      </c>
      <c r="N5081" s="75" t="b">
        <v>1</v>
      </c>
      <c r="O5081" s="75" t="s">
        <v>145</v>
      </c>
      <c r="P5081" s="75">
        <v>2014</v>
      </c>
      <c r="Q5081" s="107">
        <f t="shared" si="229"/>
        <v>2022</v>
      </c>
      <c r="R5081" s="107">
        <v>2</v>
      </c>
      <c r="S5081" s="43">
        <v>221126</v>
      </c>
      <c r="T5081" s="74">
        <v>44519</v>
      </c>
    </row>
    <row r="5082" spans="1:20" x14ac:dyDescent="0.3">
      <c r="A5082" s="42">
        <v>44568</v>
      </c>
      <c r="B5082" s="37">
        <f t="shared" si="228"/>
        <v>20220107</v>
      </c>
      <c r="C5082" s="109">
        <v>1.9599999999999999E-2</v>
      </c>
      <c r="D5082" s="109">
        <v>0.01</v>
      </c>
      <c r="E5082" s="109">
        <v>1.2E-2</v>
      </c>
      <c r="F5082" s="109">
        <v>1.2999999999999999E-2</v>
      </c>
      <c r="G5082" s="130">
        <v>0</v>
      </c>
      <c r="H5082" s="71">
        <v>8.6</v>
      </c>
      <c r="I5082" s="71">
        <v>11.1</v>
      </c>
      <c r="J5082" s="71">
        <v>13.6</v>
      </c>
      <c r="K5082" s="121">
        <v>2E-3</v>
      </c>
      <c r="L5082" s="121">
        <v>-5.0000000000000001E-3</v>
      </c>
      <c r="M5082" s="75" t="s">
        <v>146</v>
      </c>
      <c r="N5082" s="75" t="b">
        <v>1</v>
      </c>
      <c r="O5082" s="75" t="s">
        <v>145</v>
      </c>
      <c r="P5082" s="75">
        <v>2014</v>
      </c>
      <c r="Q5082" s="107">
        <f t="shared" si="229"/>
        <v>2022</v>
      </c>
      <c r="R5082" s="107">
        <v>2</v>
      </c>
      <c r="S5082" s="43">
        <v>221126</v>
      </c>
      <c r="T5082" s="74">
        <v>44519</v>
      </c>
    </row>
    <row r="5083" spans="1:20" x14ac:dyDescent="0.3">
      <c r="A5083" s="42">
        <v>44569</v>
      </c>
      <c r="B5083" s="37">
        <f t="shared" ref="B5083:B5084" si="230">YEAR(A5083)*10000+MONTH(A5083)*100+DAY(A5083)</f>
        <v>20220108</v>
      </c>
      <c r="C5083" s="109">
        <v>1.9599999999999999E-2</v>
      </c>
      <c r="D5083" s="109">
        <v>0.01</v>
      </c>
      <c r="E5083" s="109">
        <v>1.2E-2</v>
      </c>
      <c r="F5083" s="109">
        <v>1.2999999999999999E-2</v>
      </c>
      <c r="G5083" s="130">
        <v>0</v>
      </c>
      <c r="H5083" s="71">
        <v>8.6</v>
      </c>
      <c r="I5083" s="71">
        <v>11.1</v>
      </c>
      <c r="J5083" s="71">
        <v>13.6</v>
      </c>
      <c r="K5083" s="121">
        <v>2E-3</v>
      </c>
      <c r="L5083" s="121">
        <v>-5.0000000000000001E-3</v>
      </c>
      <c r="M5083" s="75" t="s">
        <v>146</v>
      </c>
      <c r="N5083" s="75" t="b">
        <v>1</v>
      </c>
      <c r="O5083" s="75" t="s">
        <v>145</v>
      </c>
      <c r="P5083" s="75">
        <v>2014</v>
      </c>
      <c r="Q5083" s="107">
        <f t="shared" si="229"/>
        <v>2022</v>
      </c>
      <c r="R5083" s="107">
        <v>2</v>
      </c>
      <c r="S5083" s="43">
        <v>221126</v>
      </c>
      <c r="T5083" s="74">
        <v>44519</v>
      </c>
    </row>
    <row r="5084" spans="1:20" x14ac:dyDescent="0.3">
      <c r="A5084" s="42">
        <v>44570</v>
      </c>
      <c r="B5084" s="37">
        <f t="shared" si="230"/>
        <v>20220109</v>
      </c>
      <c r="C5084" s="109">
        <v>1.9599999999999999E-2</v>
      </c>
      <c r="D5084" s="109">
        <v>0.01</v>
      </c>
      <c r="E5084" s="109">
        <v>1.2E-2</v>
      </c>
      <c r="F5084" s="109">
        <v>1.2999999999999999E-2</v>
      </c>
      <c r="G5084" s="130">
        <v>0</v>
      </c>
      <c r="H5084" s="71">
        <v>8.6</v>
      </c>
      <c r="I5084" s="71">
        <v>11.1</v>
      </c>
      <c r="J5084" s="71">
        <v>13.6</v>
      </c>
      <c r="K5084" s="121">
        <v>2E-3</v>
      </c>
      <c r="L5084" s="121">
        <v>-5.0000000000000001E-3</v>
      </c>
      <c r="M5084" s="75" t="s">
        <v>146</v>
      </c>
      <c r="N5084" s="75" t="b">
        <v>1</v>
      </c>
      <c r="O5084" s="75" t="s">
        <v>145</v>
      </c>
      <c r="P5084" s="75">
        <v>2014</v>
      </c>
      <c r="Q5084" s="107">
        <f t="shared" si="229"/>
        <v>2022</v>
      </c>
      <c r="R5084" s="107">
        <v>2</v>
      </c>
      <c r="S5084" s="43">
        <v>221126</v>
      </c>
      <c r="T5084" s="74">
        <v>44519</v>
      </c>
    </row>
    <row r="5085" spans="1:20" x14ac:dyDescent="0.3">
      <c r="A5085" s="42">
        <v>44571</v>
      </c>
      <c r="B5085" s="37">
        <f t="shared" si="228"/>
        <v>20220110</v>
      </c>
      <c r="C5085" s="109">
        <v>1.95E-2</v>
      </c>
      <c r="D5085" s="109">
        <v>0.01</v>
      </c>
      <c r="E5085" s="109">
        <v>1.2E-2</v>
      </c>
      <c r="F5085" s="109">
        <v>1.2999999999999999E-2</v>
      </c>
      <c r="G5085" s="130">
        <v>0</v>
      </c>
      <c r="H5085" s="71">
        <v>8.6</v>
      </c>
      <c r="I5085" s="71">
        <v>11.1</v>
      </c>
      <c r="J5085" s="71">
        <v>13.6</v>
      </c>
      <c r="K5085" s="121">
        <v>1.9E-3</v>
      </c>
      <c r="L5085" s="121">
        <v>-5.0000000000000001E-3</v>
      </c>
      <c r="M5085" s="75" t="s">
        <v>146</v>
      </c>
      <c r="N5085" s="75" t="b">
        <v>1</v>
      </c>
      <c r="O5085" s="75" t="s">
        <v>145</v>
      </c>
      <c r="P5085" s="75">
        <v>2014</v>
      </c>
      <c r="Q5085" s="107">
        <f t="shared" si="229"/>
        <v>2022</v>
      </c>
      <c r="R5085" s="107">
        <v>2</v>
      </c>
      <c r="S5085" s="43">
        <v>221126</v>
      </c>
      <c r="T5085" s="74">
        <v>44519</v>
      </c>
    </row>
    <row r="5086" spans="1:20" x14ac:dyDescent="0.3">
      <c r="A5086" s="42">
        <v>44572</v>
      </c>
      <c r="B5086" s="37">
        <f t="shared" si="228"/>
        <v>20220111</v>
      </c>
      <c r="C5086" s="109">
        <v>1.9400000000000001E-2</v>
      </c>
      <c r="D5086" s="109">
        <v>0.01</v>
      </c>
      <c r="E5086" s="109">
        <v>1.2E-2</v>
      </c>
      <c r="F5086" s="109">
        <v>1.2999999999999999E-2</v>
      </c>
      <c r="G5086" s="130">
        <v>0</v>
      </c>
      <c r="H5086" s="71">
        <v>8.6</v>
      </c>
      <c r="I5086" s="71">
        <v>11.1</v>
      </c>
      <c r="J5086" s="71">
        <v>13.6</v>
      </c>
      <c r="K5086" s="121">
        <v>1.7000000000000001E-3</v>
      </c>
      <c r="L5086" s="121">
        <v>-5.0000000000000001E-3</v>
      </c>
      <c r="M5086" s="75" t="s">
        <v>146</v>
      </c>
      <c r="N5086" s="75" t="b">
        <v>1</v>
      </c>
      <c r="O5086" s="75" t="s">
        <v>145</v>
      </c>
      <c r="P5086" s="75">
        <v>2014</v>
      </c>
      <c r="Q5086" s="107">
        <f t="shared" si="229"/>
        <v>2022</v>
      </c>
      <c r="R5086" s="107">
        <v>2</v>
      </c>
      <c r="S5086" s="43">
        <v>221126</v>
      </c>
      <c r="T5086" s="74">
        <v>44519</v>
      </c>
    </row>
    <row r="5087" spans="1:20" x14ac:dyDescent="0.3">
      <c r="A5087" s="42">
        <v>44573</v>
      </c>
      <c r="B5087" s="37">
        <f t="shared" si="228"/>
        <v>20220112</v>
      </c>
      <c r="C5087" s="109">
        <v>1.9699999999999999E-2</v>
      </c>
      <c r="D5087" s="109">
        <v>0.01</v>
      </c>
      <c r="E5087" s="109">
        <v>1.2E-2</v>
      </c>
      <c r="F5087" s="109">
        <v>1.2999999999999999E-2</v>
      </c>
      <c r="G5087" s="130">
        <v>0</v>
      </c>
      <c r="H5087" s="71">
        <v>8.6</v>
      </c>
      <c r="I5087" s="71">
        <v>11.1</v>
      </c>
      <c r="J5087" s="71">
        <v>13.6</v>
      </c>
      <c r="K5087" s="121">
        <v>2.0999999999999999E-3</v>
      </c>
      <c r="L5087" s="121">
        <v>-5.0000000000000001E-3</v>
      </c>
      <c r="M5087" s="75" t="s">
        <v>146</v>
      </c>
      <c r="N5087" s="75" t="b">
        <v>1</v>
      </c>
      <c r="O5087" s="75" t="s">
        <v>145</v>
      </c>
      <c r="P5087" s="75">
        <v>2014</v>
      </c>
      <c r="Q5087" s="107">
        <f t="shared" si="229"/>
        <v>2022</v>
      </c>
      <c r="R5087" s="107">
        <v>2</v>
      </c>
      <c r="S5087" s="43">
        <v>221126</v>
      </c>
      <c r="T5087" s="74">
        <v>44519</v>
      </c>
    </row>
    <row r="5088" spans="1:20" x14ac:dyDescent="0.3">
      <c r="A5088" s="42">
        <v>44574</v>
      </c>
      <c r="B5088" s="37">
        <f t="shared" si="228"/>
        <v>20220113</v>
      </c>
      <c r="C5088" s="109">
        <v>1.9400000000000001E-2</v>
      </c>
      <c r="D5088" s="109">
        <v>0.01</v>
      </c>
      <c r="E5088" s="109">
        <v>1.2E-2</v>
      </c>
      <c r="F5088" s="109">
        <v>1.2999999999999999E-2</v>
      </c>
      <c r="G5088" s="130">
        <v>0</v>
      </c>
      <c r="H5088" s="71">
        <v>8.6</v>
      </c>
      <c r="I5088" s="71">
        <v>11.1</v>
      </c>
      <c r="J5088" s="71">
        <v>13.6</v>
      </c>
      <c r="K5088" s="121">
        <v>2.0999999999999999E-3</v>
      </c>
      <c r="L5088" s="121">
        <v>-5.0000000000000001E-3</v>
      </c>
      <c r="M5088" s="75" t="s">
        <v>146</v>
      </c>
      <c r="N5088" s="75" t="b">
        <v>1</v>
      </c>
      <c r="O5088" s="75" t="s">
        <v>145</v>
      </c>
      <c r="P5088" s="75">
        <v>2014</v>
      </c>
      <c r="Q5088" s="107">
        <f t="shared" si="229"/>
        <v>2022</v>
      </c>
      <c r="R5088" s="107">
        <v>2</v>
      </c>
      <c r="S5088" s="43">
        <v>221126</v>
      </c>
      <c r="T5088" s="74">
        <v>44519</v>
      </c>
    </row>
    <row r="5089" spans="1:20" x14ac:dyDescent="0.3">
      <c r="A5089" s="42">
        <v>44575</v>
      </c>
      <c r="B5089" s="37">
        <f t="shared" si="228"/>
        <v>20220114</v>
      </c>
      <c r="C5089" s="109">
        <v>0.02</v>
      </c>
      <c r="D5089" s="109">
        <v>0.01</v>
      </c>
      <c r="E5089" s="109">
        <v>1.2E-2</v>
      </c>
      <c r="F5089" s="109">
        <v>1.2999999999999999E-2</v>
      </c>
      <c r="G5089" s="130">
        <v>0</v>
      </c>
      <c r="H5089" s="71">
        <v>8.6</v>
      </c>
      <c r="I5089" s="71">
        <v>11.1</v>
      </c>
      <c r="J5089" s="71">
        <v>13.6</v>
      </c>
      <c r="K5089" s="121">
        <v>2.5999999999999999E-3</v>
      </c>
      <c r="L5089" s="121">
        <v>-5.0000000000000001E-3</v>
      </c>
      <c r="M5089" s="75" t="s">
        <v>146</v>
      </c>
      <c r="N5089" s="75" t="b">
        <v>1</v>
      </c>
      <c r="O5089" s="75" t="s">
        <v>145</v>
      </c>
      <c r="P5089" s="75">
        <v>2014</v>
      </c>
      <c r="Q5089" s="107">
        <f t="shared" si="229"/>
        <v>2022</v>
      </c>
      <c r="R5089" s="107">
        <v>2</v>
      </c>
      <c r="S5089" s="43">
        <v>221126</v>
      </c>
      <c r="T5089" s="74">
        <v>44519</v>
      </c>
    </row>
    <row r="5090" spans="1:20" x14ac:dyDescent="0.3">
      <c r="A5090" s="42">
        <v>44576</v>
      </c>
      <c r="B5090" s="37">
        <f t="shared" ref="B5090:B5091" si="231">YEAR(A5090)*10000+MONTH(A5090)*100+DAY(A5090)</f>
        <v>20220115</v>
      </c>
      <c r="C5090" s="109">
        <v>0.02</v>
      </c>
      <c r="D5090" s="109">
        <v>0.01</v>
      </c>
      <c r="E5090" s="109">
        <v>1.2E-2</v>
      </c>
      <c r="F5090" s="109">
        <v>1.2999999999999999E-2</v>
      </c>
      <c r="G5090" s="130">
        <v>0</v>
      </c>
      <c r="H5090" s="71">
        <v>8.6</v>
      </c>
      <c r="I5090" s="71">
        <v>11.1</v>
      </c>
      <c r="J5090" s="71">
        <v>13.6</v>
      </c>
      <c r="K5090" s="121">
        <v>2.5999999999999999E-3</v>
      </c>
      <c r="L5090" s="121">
        <v>-5.0000000000000001E-3</v>
      </c>
      <c r="M5090" s="75" t="s">
        <v>146</v>
      </c>
      <c r="N5090" s="75" t="b">
        <v>1</v>
      </c>
      <c r="O5090" s="75" t="s">
        <v>145</v>
      </c>
      <c r="P5090" s="75">
        <v>2014</v>
      </c>
      <c r="Q5090" s="107">
        <f t="shared" si="229"/>
        <v>2022</v>
      </c>
      <c r="R5090" s="107">
        <v>2</v>
      </c>
      <c r="S5090" s="43">
        <v>221126</v>
      </c>
      <c r="T5090" s="74">
        <v>44519</v>
      </c>
    </row>
    <row r="5091" spans="1:20" x14ac:dyDescent="0.3">
      <c r="A5091" s="42">
        <v>44577</v>
      </c>
      <c r="B5091" s="37">
        <f t="shared" si="231"/>
        <v>20220116</v>
      </c>
      <c r="C5091" s="109">
        <v>0.02</v>
      </c>
      <c r="D5091" s="109">
        <v>0.01</v>
      </c>
      <c r="E5091" s="109">
        <v>1.2E-2</v>
      </c>
      <c r="F5091" s="109">
        <v>1.2999999999999999E-2</v>
      </c>
      <c r="G5091" s="130">
        <v>0</v>
      </c>
      <c r="H5091" s="71">
        <v>8.6</v>
      </c>
      <c r="I5091" s="71">
        <v>11.1</v>
      </c>
      <c r="J5091" s="71">
        <v>13.6</v>
      </c>
      <c r="K5091" s="121">
        <v>2.5999999999999999E-3</v>
      </c>
      <c r="L5091" s="121">
        <v>-5.0000000000000001E-3</v>
      </c>
      <c r="M5091" s="75" t="s">
        <v>146</v>
      </c>
      <c r="N5091" s="75" t="b">
        <v>1</v>
      </c>
      <c r="O5091" s="75" t="s">
        <v>145</v>
      </c>
      <c r="P5091" s="75">
        <v>2014</v>
      </c>
      <c r="Q5091" s="107">
        <f t="shared" si="229"/>
        <v>2022</v>
      </c>
      <c r="R5091" s="107">
        <v>2</v>
      </c>
      <c r="S5091" s="43">
        <v>221126</v>
      </c>
      <c r="T5091" s="74">
        <v>44519</v>
      </c>
    </row>
    <row r="5092" spans="1:20" x14ac:dyDescent="0.3">
      <c r="A5092" s="42">
        <v>44578</v>
      </c>
      <c r="B5092" s="37">
        <f t="shared" si="228"/>
        <v>20220117</v>
      </c>
      <c r="C5092" s="109">
        <v>2.0299999999999999E-2</v>
      </c>
      <c r="D5092" s="109">
        <v>0.01</v>
      </c>
      <c r="E5092" s="109">
        <v>1.2E-2</v>
      </c>
      <c r="F5092" s="109">
        <v>1.2999999999999999E-2</v>
      </c>
      <c r="G5092" s="130">
        <v>0</v>
      </c>
      <c r="H5092" s="71">
        <v>8.6</v>
      </c>
      <c r="I5092" s="71">
        <v>11.1</v>
      </c>
      <c r="J5092" s="71">
        <v>13.6</v>
      </c>
      <c r="K5092" s="121">
        <v>2.8999999999999998E-3</v>
      </c>
      <c r="L5092" s="121">
        <v>-5.0000000000000001E-3</v>
      </c>
      <c r="M5092" s="75" t="s">
        <v>146</v>
      </c>
      <c r="N5092" s="75" t="b">
        <v>1</v>
      </c>
      <c r="O5092" s="75" t="s">
        <v>145</v>
      </c>
      <c r="P5092" s="75">
        <v>2014</v>
      </c>
      <c r="Q5092" s="107">
        <f t="shared" si="229"/>
        <v>2022</v>
      </c>
      <c r="R5092" s="107">
        <v>2</v>
      </c>
      <c r="S5092" s="43">
        <v>221126</v>
      </c>
      <c r="T5092" s="74">
        <v>44519</v>
      </c>
    </row>
    <row r="5093" spans="1:20" x14ac:dyDescent="0.3">
      <c r="A5093" s="42">
        <v>44579</v>
      </c>
      <c r="B5093" s="37">
        <f t="shared" si="228"/>
        <v>20220118</v>
      </c>
      <c r="C5093" s="109">
        <v>2.1000000000000001E-2</v>
      </c>
      <c r="D5093" s="109">
        <v>0.01</v>
      </c>
      <c r="E5093" s="109">
        <v>1.2E-2</v>
      </c>
      <c r="F5093" s="109">
        <v>1.2999999999999999E-2</v>
      </c>
      <c r="G5093" s="130">
        <v>0</v>
      </c>
      <c r="H5093" s="71">
        <v>8.6</v>
      </c>
      <c r="I5093" s="71">
        <v>11.1</v>
      </c>
      <c r="J5093" s="71">
        <v>13.6</v>
      </c>
      <c r="K5093" s="121">
        <v>3.4000000000000002E-3</v>
      </c>
      <c r="L5093" s="121">
        <v>-5.0000000000000001E-3</v>
      </c>
      <c r="M5093" s="75" t="s">
        <v>146</v>
      </c>
      <c r="N5093" s="75" t="b">
        <v>1</v>
      </c>
      <c r="O5093" s="75" t="s">
        <v>145</v>
      </c>
      <c r="P5093" s="75">
        <v>2014</v>
      </c>
      <c r="Q5093" s="107">
        <f t="shared" si="229"/>
        <v>2022</v>
      </c>
      <c r="R5093" s="107">
        <v>2</v>
      </c>
      <c r="S5093" s="43">
        <v>221126</v>
      </c>
      <c r="T5093" s="74">
        <v>44519</v>
      </c>
    </row>
    <row r="5094" spans="1:20" x14ac:dyDescent="0.3">
      <c r="A5094" s="42">
        <v>44580</v>
      </c>
      <c r="B5094" s="37">
        <f t="shared" si="228"/>
        <v>20220119</v>
      </c>
      <c r="C5094" s="109">
        <v>2.07E-2</v>
      </c>
      <c r="D5094" s="109">
        <v>0.01</v>
      </c>
      <c r="E5094" s="109">
        <v>1.2E-2</v>
      </c>
      <c r="F5094" s="109">
        <v>1.2999999999999999E-2</v>
      </c>
      <c r="G5094" s="130">
        <v>0</v>
      </c>
      <c r="H5094" s="71">
        <v>8.6</v>
      </c>
      <c r="I5094" s="71">
        <v>11.1</v>
      </c>
      <c r="J5094" s="71">
        <v>13.6</v>
      </c>
      <c r="K5094" s="121">
        <v>3.3E-3</v>
      </c>
      <c r="L5094" s="121">
        <v>-5.0000000000000001E-3</v>
      </c>
      <c r="M5094" s="75" t="s">
        <v>146</v>
      </c>
      <c r="N5094" s="75" t="b">
        <v>1</v>
      </c>
      <c r="O5094" s="75" t="s">
        <v>145</v>
      </c>
      <c r="P5094" s="75">
        <v>2014</v>
      </c>
      <c r="Q5094" s="107">
        <f t="shared" si="229"/>
        <v>2022</v>
      </c>
      <c r="R5094" s="107">
        <v>2</v>
      </c>
      <c r="S5094" s="43">
        <v>221126</v>
      </c>
      <c r="T5094" s="74">
        <v>44519</v>
      </c>
    </row>
    <row r="5095" spans="1:20" x14ac:dyDescent="0.3">
      <c r="A5095" s="42">
        <v>44581</v>
      </c>
      <c r="B5095" s="37">
        <f t="shared" si="228"/>
        <v>20220120</v>
      </c>
      <c r="C5095" s="109">
        <v>2.06E-2</v>
      </c>
      <c r="D5095" s="109">
        <v>0.01</v>
      </c>
      <c r="E5095" s="109">
        <v>1.2E-2</v>
      </c>
      <c r="F5095" s="109">
        <v>1.2999999999999999E-2</v>
      </c>
      <c r="G5095" s="130">
        <v>0</v>
      </c>
      <c r="H5095" s="71">
        <v>8.6</v>
      </c>
      <c r="I5095" s="71">
        <v>11.1</v>
      </c>
      <c r="J5095" s="71">
        <v>13.6</v>
      </c>
      <c r="K5095" s="121">
        <v>3.0999999999999999E-3</v>
      </c>
      <c r="L5095" s="121">
        <v>-5.0000000000000001E-3</v>
      </c>
      <c r="M5095" s="75" t="s">
        <v>146</v>
      </c>
      <c r="N5095" s="75" t="b">
        <v>1</v>
      </c>
      <c r="O5095" s="75" t="s">
        <v>145</v>
      </c>
      <c r="P5095" s="75">
        <v>2014</v>
      </c>
      <c r="Q5095" s="107">
        <f t="shared" si="229"/>
        <v>2022</v>
      </c>
      <c r="R5095" s="107">
        <v>2</v>
      </c>
      <c r="S5095" s="43">
        <v>221126</v>
      </c>
      <c r="T5095" s="74">
        <v>44519</v>
      </c>
    </row>
  </sheetData>
  <autoFilter ref="A4:V4952" xr:uid="{00000000-0001-0000-0100-000000000000}"/>
  <mergeCells count="7">
    <mergeCell ref="D3:F3"/>
    <mergeCell ref="H3:J3"/>
    <mergeCell ref="S3:T3"/>
    <mergeCell ref="C2:J2"/>
    <mergeCell ref="K2:L2"/>
    <mergeCell ref="N3:R3"/>
    <mergeCell ref="M2:R2"/>
  </mergeCells>
  <phoneticPr fontId="2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"/>
  <dimension ref="A1:O63"/>
  <sheetViews>
    <sheetView workbookViewId="0">
      <pane xSplit="1" ySplit="3" topLeftCell="B55" activePane="bottomRight" state="frozen"/>
      <selection activeCell="H9" sqref="H9"/>
      <selection pane="topRight" activeCell="H9" sqref="H9"/>
      <selection pane="bottomLeft" activeCell="H9" sqref="H9"/>
      <selection pane="bottomRight" activeCell="M60" sqref="M60"/>
    </sheetView>
  </sheetViews>
  <sheetFormatPr defaultColWidth="8" defaultRowHeight="15.6" x14ac:dyDescent="0.3"/>
  <cols>
    <col min="1" max="1" width="8" style="1" customWidth="1"/>
    <col min="2" max="2" width="8" style="7" customWidth="1"/>
    <col min="3" max="3" width="8" style="17" customWidth="1"/>
    <col min="4" max="4" width="8" style="18" customWidth="1"/>
    <col min="5" max="5" width="8" style="19" customWidth="1"/>
    <col min="6" max="6" width="9.1640625" style="17" customWidth="1"/>
    <col min="7" max="7" width="8" style="7" customWidth="1"/>
    <col min="8" max="9" width="8" style="4"/>
    <col min="10" max="10" width="8" style="6" customWidth="1"/>
    <col min="11" max="16384" width="8" style="7"/>
  </cols>
  <sheetData>
    <row r="1" spans="1:15" x14ac:dyDescent="0.3">
      <c r="A1" s="1" t="s">
        <v>58</v>
      </c>
      <c r="B1" s="2"/>
      <c r="C1" s="3"/>
      <c r="D1" s="2"/>
      <c r="E1" s="4"/>
      <c r="F1" s="5"/>
      <c r="G1" s="2"/>
    </row>
    <row r="2" spans="1:15" x14ac:dyDescent="0.3">
      <c r="A2" s="8"/>
      <c r="B2" s="2"/>
      <c r="C2" s="3"/>
      <c r="D2" s="2"/>
      <c r="E2" s="4"/>
      <c r="F2" s="5"/>
      <c r="G2" s="2"/>
    </row>
    <row r="3" spans="1:15" s="1" customFormat="1" ht="58.5" customHeight="1" x14ac:dyDescent="0.3">
      <c r="A3" s="9" t="s">
        <v>59</v>
      </c>
      <c r="B3" s="10" t="s">
        <v>60</v>
      </c>
      <c r="C3" s="11" t="s">
        <v>61</v>
      </c>
      <c r="D3" s="10" t="s">
        <v>62</v>
      </c>
      <c r="E3" s="12" t="s">
        <v>186</v>
      </c>
      <c r="F3" s="11" t="s">
        <v>63</v>
      </c>
      <c r="G3" s="10" t="s">
        <v>157</v>
      </c>
      <c r="H3" s="12" t="s">
        <v>158</v>
      </c>
      <c r="I3" s="12" t="s">
        <v>159</v>
      </c>
      <c r="J3" s="11" t="s">
        <v>185</v>
      </c>
      <c r="K3" s="23"/>
      <c r="L3" s="23"/>
      <c r="M3" s="23"/>
      <c r="N3" s="23"/>
      <c r="O3" s="23"/>
    </row>
    <row r="4" spans="1:15" x14ac:dyDescent="0.3">
      <c r="A4" s="13">
        <v>1966</v>
      </c>
      <c r="B4" s="14">
        <v>5000</v>
      </c>
      <c r="C4" s="3">
        <v>0</v>
      </c>
      <c r="D4" s="14">
        <v>600</v>
      </c>
      <c r="E4" s="4">
        <v>1.7999999999999992E-2</v>
      </c>
      <c r="F4" s="3">
        <v>79.2</v>
      </c>
      <c r="G4" s="14">
        <f>B4</f>
        <v>5000</v>
      </c>
      <c r="H4" s="4">
        <v>0</v>
      </c>
      <c r="I4" s="4">
        <v>0</v>
      </c>
      <c r="J4" s="15"/>
    </row>
    <row r="5" spans="1:15" x14ac:dyDescent="0.3">
      <c r="A5" s="13">
        <v>1967</v>
      </c>
      <c r="B5" s="14">
        <v>5000</v>
      </c>
      <c r="C5" s="3">
        <v>104.17</v>
      </c>
      <c r="D5" s="14">
        <v>600</v>
      </c>
      <c r="E5" s="4">
        <v>1.7999999999999992E-2</v>
      </c>
      <c r="F5" s="3">
        <v>79.2</v>
      </c>
      <c r="G5" s="14">
        <f t="shared" ref="G5:G60" si="0">B5</f>
        <v>5000</v>
      </c>
      <c r="H5" s="4">
        <v>0</v>
      </c>
      <c r="I5" s="4">
        <v>0</v>
      </c>
      <c r="J5" s="15"/>
    </row>
    <row r="6" spans="1:15" x14ac:dyDescent="0.3">
      <c r="A6" s="13">
        <v>1968</v>
      </c>
      <c r="B6" s="14">
        <v>5100</v>
      </c>
      <c r="C6" s="3">
        <v>104.86</v>
      </c>
      <c r="D6" s="14">
        <v>600</v>
      </c>
      <c r="E6" s="4">
        <v>1.7999999999999992E-2</v>
      </c>
      <c r="F6" s="3">
        <v>81</v>
      </c>
      <c r="G6" s="14">
        <f t="shared" si="0"/>
        <v>5100</v>
      </c>
      <c r="H6" s="4">
        <v>0</v>
      </c>
      <c r="I6" s="4">
        <v>0</v>
      </c>
      <c r="J6" s="15"/>
    </row>
    <row r="7" spans="1:15" x14ac:dyDescent="0.3">
      <c r="A7" s="13">
        <v>1969</v>
      </c>
      <c r="B7" s="14">
        <v>5200</v>
      </c>
      <c r="C7" s="3">
        <v>106.25</v>
      </c>
      <c r="D7" s="14">
        <v>600</v>
      </c>
      <c r="E7" s="4">
        <v>1.7999999999999992E-2</v>
      </c>
      <c r="F7" s="3">
        <v>82.8</v>
      </c>
      <c r="G7" s="14">
        <f t="shared" si="0"/>
        <v>5200</v>
      </c>
      <c r="H7" s="4">
        <v>0</v>
      </c>
      <c r="I7" s="4">
        <v>0</v>
      </c>
      <c r="J7" s="15"/>
    </row>
    <row r="8" spans="1:15" x14ac:dyDescent="0.3">
      <c r="A8" s="13">
        <v>1970</v>
      </c>
      <c r="B8" s="14">
        <v>5300</v>
      </c>
      <c r="C8" s="3">
        <v>108.33</v>
      </c>
      <c r="D8" s="14">
        <v>600</v>
      </c>
      <c r="E8" s="4">
        <v>1.7999999999999992E-2</v>
      </c>
      <c r="F8" s="3">
        <v>84.6</v>
      </c>
      <c r="G8" s="14">
        <f t="shared" si="0"/>
        <v>5300</v>
      </c>
      <c r="H8" s="4">
        <v>0</v>
      </c>
      <c r="I8" s="4">
        <v>0</v>
      </c>
      <c r="J8" s="15"/>
    </row>
    <row r="9" spans="1:15" x14ac:dyDescent="0.3">
      <c r="A9" s="13">
        <v>1971</v>
      </c>
      <c r="B9" s="14">
        <v>5400</v>
      </c>
      <c r="C9" s="3">
        <v>110.42</v>
      </c>
      <c r="D9" s="14">
        <v>600</v>
      </c>
      <c r="E9" s="4">
        <v>1.7999999999999992E-2</v>
      </c>
      <c r="F9" s="3">
        <v>86.4</v>
      </c>
      <c r="G9" s="14">
        <f t="shared" si="0"/>
        <v>5400</v>
      </c>
      <c r="H9" s="4">
        <v>0</v>
      </c>
      <c r="I9" s="4">
        <v>0</v>
      </c>
      <c r="J9" s="15"/>
    </row>
    <row r="10" spans="1:15" x14ac:dyDescent="0.3">
      <c r="A10" s="13">
        <v>1972</v>
      </c>
      <c r="B10" s="14">
        <v>5500</v>
      </c>
      <c r="C10" s="3">
        <v>112.5</v>
      </c>
      <c r="D10" s="14">
        <v>600</v>
      </c>
      <c r="E10" s="4">
        <v>1.7999999999999992E-2</v>
      </c>
      <c r="F10" s="3">
        <v>88.2</v>
      </c>
      <c r="G10" s="14">
        <f t="shared" si="0"/>
        <v>5500</v>
      </c>
      <c r="H10" s="4">
        <v>0</v>
      </c>
      <c r="I10" s="4">
        <v>0</v>
      </c>
      <c r="J10" s="15"/>
    </row>
    <row r="11" spans="1:15" x14ac:dyDescent="0.3">
      <c r="A11" s="13">
        <v>1973</v>
      </c>
      <c r="B11" s="14">
        <v>5900</v>
      </c>
      <c r="C11" s="3">
        <v>116.66</v>
      </c>
      <c r="D11" s="14">
        <v>600</v>
      </c>
      <c r="E11" s="4">
        <v>1.7999999999999992E-2</v>
      </c>
      <c r="F11" s="3">
        <v>93.6</v>
      </c>
      <c r="G11" s="14">
        <f t="shared" si="0"/>
        <v>5900</v>
      </c>
      <c r="H11" s="4">
        <v>0</v>
      </c>
      <c r="I11" s="4">
        <v>0</v>
      </c>
      <c r="J11" s="15"/>
    </row>
    <row r="12" spans="1:15" x14ac:dyDescent="0.3">
      <c r="A12" s="13">
        <v>1974</v>
      </c>
      <c r="B12" s="14">
        <v>6600</v>
      </c>
      <c r="C12" s="3">
        <v>125</v>
      </c>
      <c r="D12" s="14">
        <v>700</v>
      </c>
      <c r="E12" s="4">
        <v>1.7999999999999992E-2</v>
      </c>
      <c r="F12" s="3">
        <v>106.2</v>
      </c>
      <c r="G12" s="14">
        <f t="shared" si="0"/>
        <v>6600</v>
      </c>
      <c r="H12" s="4">
        <v>0</v>
      </c>
      <c r="I12" s="4">
        <v>0</v>
      </c>
      <c r="J12" s="15"/>
    </row>
    <row r="13" spans="1:15" x14ac:dyDescent="0.3">
      <c r="A13" s="13">
        <v>1975</v>
      </c>
      <c r="B13" s="14">
        <v>7400</v>
      </c>
      <c r="C13" s="3">
        <v>138.19</v>
      </c>
      <c r="D13" s="14">
        <v>700</v>
      </c>
      <c r="E13" s="4">
        <v>1.7999999999999992E-2</v>
      </c>
      <c r="F13" s="3">
        <v>120.6</v>
      </c>
      <c r="G13" s="14">
        <f t="shared" si="0"/>
        <v>7400</v>
      </c>
      <c r="H13" s="4">
        <v>0</v>
      </c>
      <c r="I13" s="4">
        <v>0</v>
      </c>
      <c r="J13" s="15"/>
    </row>
    <row r="14" spans="1:15" x14ac:dyDescent="0.3">
      <c r="A14" s="13">
        <v>1976</v>
      </c>
      <c r="B14" s="14">
        <v>8300</v>
      </c>
      <c r="C14" s="3">
        <v>154.86000000000001</v>
      </c>
      <c r="D14" s="14">
        <v>800</v>
      </c>
      <c r="E14" s="4">
        <v>1.7999999999999992E-2</v>
      </c>
      <c r="F14" s="3">
        <v>135</v>
      </c>
      <c r="G14" s="14">
        <f t="shared" si="0"/>
        <v>8300</v>
      </c>
      <c r="H14" s="4">
        <v>0</v>
      </c>
      <c r="I14" s="4">
        <v>0</v>
      </c>
      <c r="J14" s="15"/>
    </row>
    <row r="15" spans="1:15" x14ac:dyDescent="0.3">
      <c r="A15" s="13">
        <v>1977</v>
      </c>
      <c r="B15" s="14">
        <v>9300</v>
      </c>
      <c r="C15" s="5">
        <v>173.61</v>
      </c>
      <c r="D15" s="14">
        <v>900</v>
      </c>
      <c r="E15" s="4">
        <v>1.7999999999999992E-2</v>
      </c>
      <c r="F15" s="3">
        <v>151.19999999999999</v>
      </c>
      <c r="G15" s="14">
        <f t="shared" si="0"/>
        <v>9300</v>
      </c>
      <c r="H15" s="4">
        <v>0</v>
      </c>
      <c r="I15" s="4">
        <v>0</v>
      </c>
      <c r="J15" s="15"/>
    </row>
    <row r="16" spans="1:15" x14ac:dyDescent="0.3">
      <c r="A16" s="13">
        <v>1978</v>
      </c>
      <c r="B16" s="14">
        <v>10400</v>
      </c>
      <c r="C16" s="5">
        <v>194.44</v>
      </c>
      <c r="D16" s="14">
        <v>1000</v>
      </c>
      <c r="E16" s="4">
        <v>1.7999999999999992E-2</v>
      </c>
      <c r="F16" s="3">
        <v>169.2</v>
      </c>
      <c r="G16" s="14">
        <f t="shared" si="0"/>
        <v>10400</v>
      </c>
      <c r="H16" s="4">
        <v>0</v>
      </c>
      <c r="I16" s="4">
        <v>0</v>
      </c>
      <c r="J16" s="15"/>
    </row>
    <row r="17" spans="1:10" x14ac:dyDescent="0.3">
      <c r="A17" s="13">
        <v>1979</v>
      </c>
      <c r="B17" s="14">
        <v>11700</v>
      </c>
      <c r="C17" s="5">
        <v>218.06</v>
      </c>
      <c r="D17" s="14">
        <v>1100</v>
      </c>
      <c r="E17" s="4">
        <v>1.7999999999999992E-2</v>
      </c>
      <c r="F17" s="3">
        <v>190.8</v>
      </c>
      <c r="G17" s="14">
        <f t="shared" si="0"/>
        <v>11700</v>
      </c>
      <c r="H17" s="4">
        <v>0</v>
      </c>
      <c r="I17" s="4">
        <v>0</v>
      </c>
      <c r="J17" s="15"/>
    </row>
    <row r="18" spans="1:10" x14ac:dyDescent="0.3">
      <c r="A18" s="8">
        <v>1980</v>
      </c>
      <c r="B18" s="2">
        <v>13100</v>
      </c>
      <c r="C18" s="5">
        <v>244.44</v>
      </c>
      <c r="D18" s="14">
        <v>1300</v>
      </c>
      <c r="E18" s="4">
        <v>1.7999999999999992E-2</v>
      </c>
      <c r="F18" s="3">
        <v>212.4</v>
      </c>
      <c r="G18" s="14">
        <f t="shared" si="0"/>
        <v>13100</v>
      </c>
      <c r="H18" s="4">
        <v>0</v>
      </c>
      <c r="I18" s="4">
        <v>0</v>
      </c>
      <c r="J18" s="15">
        <v>0.09</v>
      </c>
    </row>
    <row r="19" spans="1:10" x14ac:dyDescent="0.3">
      <c r="A19" s="8">
        <v>1981</v>
      </c>
      <c r="B19" s="2">
        <v>14700</v>
      </c>
      <c r="C19" s="5">
        <v>274.31</v>
      </c>
      <c r="D19" s="14">
        <v>1400</v>
      </c>
      <c r="E19" s="4">
        <v>1.7999999999999992E-2</v>
      </c>
      <c r="F19" s="3">
        <v>239.4</v>
      </c>
      <c r="G19" s="14">
        <f t="shared" si="0"/>
        <v>14700</v>
      </c>
      <c r="H19" s="4">
        <v>0</v>
      </c>
      <c r="I19" s="4">
        <v>0</v>
      </c>
      <c r="J19" s="15">
        <v>9.9000000000000005E-2</v>
      </c>
    </row>
    <row r="20" spans="1:10" x14ac:dyDescent="0.3">
      <c r="A20" s="8">
        <v>1982</v>
      </c>
      <c r="B20" s="2">
        <v>16500</v>
      </c>
      <c r="C20" s="5">
        <v>307.64999999999998</v>
      </c>
      <c r="D20" s="14">
        <v>1600</v>
      </c>
      <c r="E20" s="4">
        <v>1.7999999999999992E-2</v>
      </c>
      <c r="F20" s="3">
        <v>268.2</v>
      </c>
      <c r="G20" s="14">
        <f t="shared" si="0"/>
        <v>16500</v>
      </c>
      <c r="H20" s="4">
        <v>0</v>
      </c>
      <c r="I20" s="4">
        <v>0</v>
      </c>
      <c r="J20" s="15">
        <v>0.123</v>
      </c>
    </row>
    <row r="21" spans="1:10" x14ac:dyDescent="0.3">
      <c r="A21" s="8">
        <v>1983</v>
      </c>
      <c r="B21" s="2">
        <v>18500</v>
      </c>
      <c r="C21" s="5">
        <v>345.15</v>
      </c>
      <c r="D21" s="14">
        <v>1800</v>
      </c>
      <c r="E21" s="4">
        <v>1.7999999999999992E-2</v>
      </c>
      <c r="F21" s="3">
        <v>300.60000000000002</v>
      </c>
      <c r="G21" s="14">
        <f t="shared" si="0"/>
        <v>18500</v>
      </c>
      <c r="H21" s="4">
        <v>0</v>
      </c>
      <c r="I21" s="4">
        <v>0</v>
      </c>
      <c r="J21" s="15">
        <v>0.112</v>
      </c>
    </row>
    <row r="22" spans="1:10" x14ac:dyDescent="0.3">
      <c r="A22" s="8">
        <v>1984</v>
      </c>
      <c r="B22" s="2">
        <v>20800</v>
      </c>
      <c r="C22" s="5">
        <v>387.5</v>
      </c>
      <c r="D22" s="14">
        <v>2000</v>
      </c>
      <c r="E22" s="4">
        <v>1.7999999999999992E-2</v>
      </c>
      <c r="F22" s="3">
        <v>338.4</v>
      </c>
      <c r="G22" s="14">
        <f t="shared" si="0"/>
        <v>20800</v>
      </c>
      <c r="H22" s="4">
        <v>0</v>
      </c>
      <c r="I22" s="4">
        <v>0</v>
      </c>
      <c r="J22" s="15">
        <v>6.7000000000000004E-2</v>
      </c>
    </row>
    <row r="23" spans="1:10" x14ac:dyDescent="0.3">
      <c r="A23" s="8">
        <v>1985</v>
      </c>
      <c r="B23" s="2">
        <v>23400</v>
      </c>
      <c r="C23" s="5">
        <v>435.42</v>
      </c>
      <c r="D23" s="14">
        <v>2300</v>
      </c>
      <c r="E23" s="4">
        <v>1.7999999999999992E-2</v>
      </c>
      <c r="F23" s="3">
        <v>379.8</v>
      </c>
      <c r="G23" s="14">
        <f t="shared" si="0"/>
        <v>23400</v>
      </c>
      <c r="H23" s="4">
        <v>0</v>
      </c>
      <c r="I23" s="4">
        <v>0</v>
      </c>
      <c r="J23" s="15">
        <v>4.3999999999999997E-2</v>
      </c>
    </row>
    <row r="24" spans="1:10" x14ac:dyDescent="0.3">
      <c r="A24" s="8">
        <v>1986</v>
      </c>
      <c r="B24" s="2">
        <v>25800</v>
      </c>
      <c r="C24" s="5">
        <v>486.11</v>
      </c>
      <c r="D24" s="14">
        <v>2500</v>
      </c>
      <c r="E24" s="4">
        <v>1.7999999999999992E-2</v>
      </c>
      <c r="F24" s="3">
        <v>419.4</v>
      </c>
      <c r="G24" s="14">
        <f t="shared" si="0"/>
        <v>25800</v>
      </c>
      <c r="H24" s="4">
        <v>0</v>
      </c>
      <c r="I24" s="4">
        <v>0</v>
      </c>
      <c r="J24" s="15">
        <v>0.04</v>
      </c>
    </row>
    <row r="25" spans="1:10" x14ac:dyDescent="0.3">
      <c r="A25" s="8">
        <v>1987</v>
      </c>
      <c r="B25" s="2">
        <v>25900</v>
      </c>
      <c r="C25" s="5">
        <v>521.52</v>
      </c>
      <c r="D25" s="14">
        <v>2500</v>
      </c>
      <c r="E25" s="4">
        <v>1.8999999999999993E-2</v>
      </c>
      <c r="F25" s="3">
        <v>444.6</v>
      </c>
      <c r="G25" s="14">
        <f t="shared" si="0"/>
        <v>25900</v>
      </c>
      <c r="H25" s="4">
        <v>0</v>
      </c>
      <c r="I25" s="4">
        <v>0</v>
      </c>
      <c r="J25" s="15">
        <v>4.1000000000000002E-2</v>
      </c>
    </row>
    <row r="26" spans="1:10" x14ac:dyDescent="0.3">
      <c r="A26" s="8">
        <v>1988</v>
      </c>
      <c r="B26" s="2">
        <v>26500</v>
      </c>
      <c r="C26" s="5">
        <v>543.05999999999995</v>
      </c>
      <c r="D26" s="14">
        <v>2600</v>
      </c>
      <c r="E26" s="4">
        <v>0.02</v>
      </c>
      <c r="F26" s="3">
        <v>478</v>
      </c>
      <c r="G26" s="14">
        <f t="shared" si="0"/>
        <v>26500</v>
      </c>
      <c r="H26" s="4">
        <v>0</v>
      </c>
      <c r="I26" s="4">
        <v>0</v>
      </c>
      <c r="J26" s="15">
        <v>4.3999999999999997E-2</v>
      </c>
    </row>
    <row r="27" spans="1:10" x14ac:dyDescent="0.3">
      <c r="A27" s="8">
        <v>1989</v>
      </c>
      <c r="B27" s="2">
        <v>27700</v>
      </c>
      <c r="C27" s="5">
        <v>556.25</v>
      </c>
      <c r="D27" s="14">
        <v>2700</v>
      </c>
      <c r="E27" s="4">
        <v>2.0999999999999994E-2</v>
      </c>
      <c r="F27" s="3">
        <v>525</v>
      </c>
      <c r="G27" s="14">
        <f t="shared" si="0"/>
        <v>27700</v>
      </c>
      <c r="H27" s="4">
        <v>0</v>
      </c>
      <c r="I27" s="4">
        <v>0</v>
      </c>
      <c r="J27" s="15">
        <v>4.1000000000000002E-2</v>
      </c>
    </row>
    <row r="28" spans="1:10" x14ac:dyDescent="0.3">
      <c r="A28" s="8">
        <v>1990</v>
      </c>
      <c r="B28" s="2">
        <v>28900</v>
      </c>
      <c r="C28" s="5">
        <v>577.08000000000004</v>
      </c>
      <c r="D28" s="14">
        <v>2800</v>
      </c>
      <c r="E28" s="4">
        <v>2.1999999999999995E-2</v>
      </c>
      <c r="F28" s="3">
        <v>574.20000000000005</v>
      </c>
      <c r="G28" s="14">
        <f t="shared" si="0"/>
        <v>28900</v>
      </c>
      <c r="H28" s="4">
        <v>0</v>
      </c>
      <c r="I28" s="4">
        <v>0</v>
      </c>
      <c r="J28" s="15">
        <v>4.8000000000000001E-2</v>
      </c>
    </row>
    <row r="29" spans="1:10" x14ac:dyDescent="0.3">
      <c r="A29" s="8">
        <v>1991</v>
      </c>
      <c r="B29" s="2">
        <v>30500</v>
      </c>
      <c r="C29" s="5">
        <v>604.86</v>
      </c>
      <c r="D29" s="14">
        <v>3000</v>
      </c>
      <c r="E29" s="4">
        <v>2.2999999999999996E-2</v>
      </c>
      <c r="F29" s="3">
        <v>632.5</v>
      </c>
      <c r="G29" s="14">
        <f t="shared" si="0"/>
        <v>30500</v>
      </c>
      <c r="H29" s="4">
        <v>0</v>
      </c>
      <c r="I29" s="4">
        <v>0</v>
      </c>
      <c r="J29" s="15">
        <v>4.8000000000000001E-2</v>
      </c>
    </row>
    <row r="30" spans="1:10" x14ac:dyDescent="0.3">
      <c r="A30" s="8">
        <v>1992</v>
      </c>
      <c r="B30" s="2">
        <v>32200</v>
      </c>
      <c r="C30" s="5">
        <v>636.11</v>
      </c>
      <c r="D30" s="14">
        <v>3200</v>
      </c>
      <c r="E30" s="4">
        <v>2.3999999999999997E-2</v>
      </c>
      <c r="F30" s="3">
        <v>696</v>
      </c>
      <c r="G30" s="14">
        <f t="shared" si="0"/>
        <v>32200</v>
      </c>
      <c r="H30" s="4">
        <v>0</v>
      </c>
      <c r="I30" s="4">
        <v>0</v>
      </c>
      <c r="J30" s="15">
        <v>5.8000000000000003E-2</v>
      </c>
    </row>
    <row r="31" spans="1:10" x14ac:dyDescent="0.3">
      <c r="A31" s="8">
        <v>1993</v>
      </c>
      <c r="B31" s="2">
        <v>33400</v>
      </c>
      <c r="C31" s="5">
        <v>667.36</v>
      </c>
      <c r="D31" s="14">
        <v>3300</v>
      </c>
      <c r="E31" s="4">
        <v>2.5000000000000001E-2</v>
      </c>
      <c r="F31" s="3">
        <v>752.5</v>
      </c>
      <c r="G31" s="14">
        <f t="shared" si="0"/>
        <v>33400</v>
      </c>
      <c r="H31" s="4">
        <v>0</v>
      </c>
      <c r="I31" s="4">
        <v>0</v>
      </c>
      <c r="J31" s="15">
        <v>1.7999999999999999E-2</v>
      </c>
    </row>
    <row r="32" spans="1:10" x14ac:dyDescent="0.3">
      <c r="A32" s="8">
        <v>1994</v>
      </c>
      <c r="B32" s="2">
        <v>34400</v>
      </c>
      <c r="C32" s="5">
        <v>694.44</v>
      </c>
      <c r="D32" s="14">
        <v>3400</v>
      </c>
      <c r="E32" s="4">
        <v>2.5999999999999999E-2</v>
      </c>
      <c r="F32" s="3">
        <v>806</v>
      </c>
      <c r="G32" s="14">
        <f t="shared" si="0"/>
        <v>34400</v>
      </c>
      <c r="H32" s="4">
        <v>0</v>
      </c>
      <c r="I32" s="4">
        <v>0</v>
      </c>
      <c r="J32" s="15">
        <v>1.9E-2</v>
      </c>
    </row>
    <row r="33" spans="1:10" x14ac:dyDescent="0.3">
      <c r="A33" s="8">
        <v>1995</v>
      </c>
      <c r="B33" s="2">
        <v>34900</v>
      </c>
      <c r="C33" s="5">
        <v>713.19</v>
      </c>
      <c r="D33" s="14">
        <v>3400</v>
      </c>
      <c r="E33" s="4">
        <v>2.7E-2</v>
      </c>
      <c r="F33" s="3">
        <v>850.5</v>
      </c>
      <c r="G33" s="14">
        <f t="shared" si="0"/>
        <v>34900</v>
      </c>
      <c r="H33" s="4">
        <v>0</v>
      </c>
      <c r="I33" s="4">
        <v>0</v>
      </c>
      <c r="J33" s="15">
        <v>0</v>
      </c>
    </row>
    <row r="34" spans="1:10" x14ac:dyDescent="0.3">
      <c r="A34" s="8">
        <v>1996</v>
      </c>
      <c r="B34" s="2">
        <v>35400</v>
      </c>
      <c r="C34" s="5">
        <v>727.08</v>
      </c>
      <c r="D34" s="14">
        <v>3500</v>
      </c>
      <c r="E34" s="4">
        <v>2.8000000000000001E-2</v>
      </c>
      <c r="F34" s="3">
        <v>893.2</v>
      </c>
      <c r="G34" s="14">
        <f t="shared" si="0"/>
        <v>35400</v>
      </c>
      <c r="H34" s="4">
        <v>0</v>
      </c>
      <c r="I34" s="4">
        <v>0</v>
      </c>
      <c r="J34" s="15">
        <v>2.3E-2</v>
      </c>
    </row>
    <row r="35" spans="1:10" x14ac:dyDescent="0.3">
      <c r="A35" s="8">
        <v>1997</v>
      </c>
      <c r="B35" s="2">
        <v>35800</v>
      </c>
      <c r="C35" s="5">
        <v>736.81</v>
      </c>
      <c r="D35" s="14">
        <v>3500</v>
      </c>
      <c r="E35" s="4">
        <v>0.03</v>
      </c>
      <c r="F35" s="3">
        <v>969</v>
      </c>
      <c r="G35" s="14">
        <f t="shared" si="0"/>
        <v>35800</v>
      </c>
      <c r="H35" s="4">
        <v>0</v>
      </c>
      <c r="I35" s="4">
        <v>0</v>
      </c>
      <c r="J35" s="15">
        <v>1.4999999999999999E-2</v>
      </c>
    </row>
    <row r="36" spans="1:10" x14ac:dyDescent="0.3">
      <c r="A36" s="8">
        <v>1998</v>
      </c>
      <c r="B36" s="2">
        <v>36900</v>
      </c>
      <c r="C36" s="5">
        <v>744.79</v>
      </c>
      <c r="D36" s="14">
        <v>3500</v>
      </c>
      <c r="E36" s="4">
        <v>3.2000000000000001E-2</v>
      </c>
      <c r="F36" s="3">
        <v>1068.8</v>
      </c>
      <c r="G36" s="14">
        <f t="shared" si="0"/>
        <v>36900</v>
      </c>
      <c r="H36" s="4">
        <v>0</v>
      </c>
      <c r="I36" s="4">
        <v>0</v>
      </c>
      <c r="J36" s="15">
        <v>1.9E-2</v>
      </c>
    </row>
    <row r="37" spans="1:10" x14ac:dyDescent="0.3">
      <c r="A37" s="8">
        <v>1999</v>
      </c>
      <c r="B37" s="2">
        <v>37400</v>
      </c>
      <c r="C37" s="5">
        <v>751.67</v>
      </c>
      <c r="D37" s="14">
        <v>3500</v>
      </c>
      <c r="E37" s="4">
        <v>3.5000000000000003E-2</v>
      </c>
      <c r="F37" s="3">
        <v>1186.5</v>
      </c>
      <c r="G37" s="14">
        <f t="shared" si="0"/>
        <v>37400</v>
      </c>
      <c r="H37" s="4">
        <v>0</v>
      </c>
      <c r="I37" s="4">
        <v>0</v>
      </c>
      <c r="J37" s="15">
        <v>8.9999999999999993E-3</v>
      </c>
    </row>
    <row r="38" spans="1:10" x14ac:dyDescent="0.3">
      <c r="A38" s="8">
        <v>2000</v>
      </c>
      <c r="B38" s="2">
        <v>37600</v>
      </c>
      <c r="C38" s="5">
        <v>762.92</v>
      </c>
      <c r="D38" s="14">
        <v>3500</v>
      </c>
      <c r="E38" s="4">
        <v>3.9E-2</v>
      </c>
      <c r="F38" s="3">
        <v>1329.9</v>
      </c>
      <c r="G38" s="14">
        <f t="shared" si="0"/>
        <v>37600</v>
      </c>
      <c r="H38" s="4">
        <v>0</v>
      </c>
      <c r="I38" s="4">
        <v>0</v>
      </c>
      <c r="J38" s="15">
        <v>1.6E-2</v>
      </c>
    </row>
    <row r="39" spans="1:10" x14ac:dyDescent="0.3">
      <c r="A39" s="8">
        <v>2001</v>
      </c>
      <c r="B39" s="2">
        <v>38300</v>
      </c>
      <c r="C39" s="5">
        <v>775</v>
      </c>
      <c r="D39" s="14">
        <v>3500</v>
      </c>
      <c r="E39" s="4">
        <v>4.2999999999999997E-2</v>
      </c>
      <c r="F39" s="3">
        <v>1496.4</v>
      </c>
      <c r="G39" s="14">
        <f t="shared" si="0"/>
        <v>38300</v>
      </c>
      <c r="H39" s="4">
        <v>0</v>
      </c>
      <c r="I39" s="4">
        <v>0</v>
      </c>
      <c r="J39" s="15">
        <v>2.5000000000000001E-2</v>
      </c>
    </row>
    <row r="40" spans="1:10" x14ac:dyDescent="0.3">
      <c r="A40" s="8">
        <v>2002</v>
      </c>
      <c r="B40" s="2">
        <v>39100</v>
      </c>
      <c r="C40" s="5">
        <v>788.75</v>
      </c>
      <c r="D40" s="14">
        <v>3500</v>
      </c>
      <c r="E40" s="4">
        <v>4.7E-2</v>
      </c>
      <c r="F40" s="3">
        <v>1673.2</v>
      </c>
      <c r="G40" s="14">
        <f t="shared" si="0"/>
        <v>39100</v>
      </c>
      <c r="H40" s="4">
        <v>0</v>
      </c>
      <c r="I40" s="4">
        <v>0</v>
      </c>
      <c r="J40" s="15">
        <v>0.03</v>
      </c>
    </row>
    <row r="41" spans="1:10" x14ac:dyDescent="0.3">
      <c r="A41" s="8">
        <v>2003</v>
      </c>
      <c r="B41" s="2">
        <v>39900</v>
      </c>
      <c r="C41" s="5">
        <v>801.25</v>
      </c>
      <c r="D41" s="14">
        <v>3500</v>
      </c>
      <c r="E41" s="4">
        <v>4.9500000000000002E-2</v>
      </c>
      <c r="F41" s="3">
        <v>1801.8</v>
      </c>
      <c r="G41" s="14">
        <f t="shared" si="0"/>
        <v>39900</v>
      </c>
      <c r="H41" s="4">
        <v>0</v>
      </c>
      <c r="I41" s="4">
        <v>0</v>
      </c>
      <c r="J41" s="15">
        <v>1.6E-2</v>
      </c>
    </row>
    <row r="42" spans="1:10" x14ac:dyDescent="0.3">
      <c r="A42" s="8">
        <v>2004</v>
      </c>
      <c r="B42" s="2">
        <v>40500</v>
      </c>
      <c r="C42" s="5">
        <v>814.17</v>
      </c>
      <c r="D42" s="14">
        <v>3500</v>
      </c>
      <c r="E42" s="4">
        <v>4.9500000000000002E-2</v>
      </c>
      <c r="F42" s="3">
        <v>1831.5</v>
      </c>
      <c r="G42" s="14">
        <f t="shared" si="0"/>
        <v>40500</v>
      </c>
      <c r="H42" s="4">
        <v>0</v>
      </c>
      <c r="I42" s="4">
        <v>0</v>
      </c>
      <c r="J42" s="15">
        <v>3.2000000000000001E-2</v>
      </c>
    </row>
    <row r="43" spans="1:10" x14ac:dyDescent="0.3">
      <c r="A43" s="8">
        <v>2005</v>
      </c>
      <c r="B43" s="2">
        <v>41100</v>
      </c>
      <c r="C43" s="5">
        <v>828.75</v>
      </c>
      <c r="D43" s="14">
        <v>3500</v>
      </c>
      <c r="E43" s="4">
        <v>4.9500000000000002E-2</v>
      </c>
      <c r="F43" s="3">
        <v>1861.2</v>
      </c>
      <c r="G43" s="14">
        <f t="shared" si="0"/>
        <v>41100</v>
      </c>
      <c r="H43" s="4">
        <v>0</v>
      </c>
      <c r="I43" s="4">
        <v>0</v>
      </c>
      <c r="J43" s="15">
        <v>1.7000000000000001E-2</v>
      </c>
    </row>
    <row r="44" spans="1:10" x14ac:dyDescent="0.3">
      <c r="A44" s="8">
        <v>2006</v>
      </c>
      <c r="B44" s="2">
        <v>42100</v>
      </c>
      <c r="C44" s="5">
        <v>844.58</v>
      </c>
      <c r="D44" s="14">
        <v>3500</v>
      </c>
      <c r="E44" s="4">
        <v>4.9500000000000002E-2</v>
      </c>
      <c r="F44" s="3">
        <v>1910.7</v>
      </c>
      <c r="G44" s="14">
        <f t="shared" si="0"/>
        <v>42100</v>
      </c>
      <c r="H44" s="4">
        <v>0</v>
      </c>
      <c r="I44" s="4">
        <v>0</v>
      </c>
      <c r="J44" s="15">
        <v>2.3E-2</v>
      </c>
    </row>
    <row r="45" spans="1:10" x14ac:dyDescent="0.3">
      <c r="A45" s="8">
        <v>2007</v>
      </c>
      <c r="B45" s="2">
        <v>43700</v>
      </c>
      <c r="C45" s="5">
        <v>863.75</v>
      </c>
      <c r="D45" s="14">
        <v>3500</v>
      </c>
      <c r="E45" s="4">
        <v>4.9500000000000002E-2</v>
      </c>
      <c r="F45" s="3">
        <v>1989.9</v>
      </c>
      <c r="G45" s="14">
        <f t="shared" si="0"/>
        <v>43700</v>
      </c>
      <c r="H45" s="4">
        <v>0</v>
      </c>
      <c r="I45" s="4">
        <v>0</v>
      </c>
      <c r="J45" s="16">
        <v>2.1000000000000001E-2</v>
      </c>
    </row>
    <row r="46" spans="1:10" x14ac:dyDescent="0.3">
      <c r="A46" s="8">
        <v>2008</v>
      </c>
      <c r="B46" s="2">
        <v>44900</v>
      </c>
      <c r="C46" s="5">
        <v>884.58</v>
      </c>
      <c r="D46" s="14">
        <v>3500</v>
      </c>
      <c r="E46" s="4">
        <v>4.9500000000000002E-2</v>
      </c>
      <c r="F46" s="3">
        <v>2049.3000000000002</v>
      </c>
      <c r="G46" s="14">
        <f t="shared" si="0"/>
        <v>44900</v>
      </c>
      <c r="H46" s="4">
        <v>0</v>
      </c>
      <c r="I46" s="4">
        <v>0</v>
      </c>
      <c r="J46" s="16">
        <v>0.02</v>
      </c>
    </row>
    <row r="47" spans="1:10" x14ac:dyDescent="0.3">
      <c r="A47" s="8">
        <v>2009</v>
      </c>
      <c r="B47" s="2">
        <v>46300</v>
      </c>
      <c r="C47" s="5">
        <v>908.75</v>
      </c>
      <c r="D47" s="14">
        <v>3500</v>
      </c>
      <c r="E47" s="4">
        <v>4.9500000000000002E-2</v>
      </c>
      <c r="F47" s="3">
        <v>2118.6</v>
      </c>
      <c r="G47" s="14">
        <f t="shared" si="0"/>
        <v>46300</v>
      </c>
      <c r="H47" s="4">
        <v>0</v>
      </c>
      <c r="I47" s="4">
        <v>0</v>
      </c>
      <c r="J47" s="16">
        <v>2.5000000000000001E-2</v>
      </c>
    </row>
    <row r="48" spans="1:10" x14ac:dyDescent="0.3">
      <c r="A48" s="8">
        <v>2010</v>
      </c>
      <c r="B48" s="2">
        <v>47200</v>
      </c>
      <c r="C48" s="5">
        <v>934.17</v>
      </c>
      <c r="D48" s="14">
        <v>3500</v>
      </c>
      <c r="E48" s="4">
        <v>4.9500000000000002E-2</v>
      </c>
      <c r="F48" s="3">
        <v>2163.15</v>
      </c>
      <c r="G48" s="14">
        <f t="shared" si="0"/>
        <v>47200</v>
      </c>
      <c r="H48" s="4">
        <v>0</v>
      </c>
      <c r="I48" s="4">
        <v>0</v>
      </c>
      <c r="J48" s="16">
        <v>4.0000000000000001E-3</v>
      </c>
    </row>
    <row r="49" spans="1:10" x14ac:dyDescent="0.3">
      <c r="A49" s="8">
        <v>2011</v>
      </c>
      <c r="B49" s="2">
        <v>48300</v>
      </c>
      <c r="C49" s="5">
        <v>960</v>
      </c>
      <c r="D49" s="14">
        <v>3500</v>
      </c>
      <c r="E49" s="4">
        <v>4.9500000000000002E-2</v>
      </c>
      <c r="F49" s="3">
        <v>2217.6</v>
      </c>
      <c r="G49" s="14">
        <f t="shared" si="0"/>
        <v>48300</v>
      </c>
      <c r="H49" s="4">
        <v>0</v>
      </c>
      <c r="I49" s="4">
        <v>0</v>
      </c>
      <c r="J49" s="16">
        <v>1.7000000000000001E-2</v>
      </c>
    </row>
    <row r="50" spans="1:10" x14ac:dyDescent="0.3">
      <c r="A50" s="8">
        <v>2012</v>
      </c>
      <c r="B50" s="2">
        <v>50100</v>
      </c>
      <c r="C50" s="5">
        <v>986.67</v>
      </c>
      <c r="D50" s="14">
        <v>3500</v>
      </c>
      <c r="E50" s="4">
        <v>5.0250000000000003E-2</v>
      </c>
      <c r="F50" s="3">
        <v>2341.65</v>
      </c>
      <c r="G50" s="14">
        <f t="shared" si="0"/>
        <v>50100</v>
      </c>
      <c r="H50" s="4">
        <v>0</v>
      </c>
      <c r="I50" s="4">
        <v>0</v>
      </c>
      <c r="J50" s="16">
        <v>2.8000000000000001E-2</v>
      </c>
    </row>
    <row r="51" spans="1:10" x14ac:dyDescent="0.3">
      <c r="A51" s="8">
        <v>2013</v>
      </c>
      <c r="B51" s="2">
        <v>51100</v>
      </c>
      <c r="C51" s="5">
        <v>1012.5</v>
      </c>
      <c r="D51" s="14">
        <v>3500</v>
      </c>
      <c r="E51" s="4">
        <v>5.0999999999999997E-2</v>
      </c>
      <c r="F51" s="3">
        <v>2427.6</v>
      </c>
      <c r="G51" s="14">
        <f t="shared" si="0"/>
        <v>51100</v>
      </c>
      <c r="H51" s="4">
        <v>0</v>
      </c>
      <c r="I51" s="4">
        <v>0</v>
      </c>
      <c r="J51" s="16">
        <v>1.7999999999999999E-2</v>
      </c>
    </row>
    <row r="52" spans="1:10" x14ac:dyDescent="0.3">
      <c r="A52" s="8">
        <v>2014</v>
      </c>
      <c r="B52" s="2">
        <v>52500</v>
      </c>
      <c r="C52" s="5">
        <v>1038.33</v>
      </c>
      <c r="D52" s="14">
        <v>3500</v>
      </c>
      <c r="E52" s="4">
        <f>E51+0.15%/2</f>
        <v>5.1749999999999997E-2</v>
      </c>
      <c r="F52" s="3">
        <v>2535.75</v>
      </c>
      <c r="G52" s="14">
        <f t="shared" si="0"/>
        <v>52500</v>
      </c>
      <c r="H52" s="4">
        <v>0</v>
      </c>
      <c r="I52" s="4">
        <v>0</v>
      </c>
      <c r="J52" s="16">
        <v>8.9999999999999993E-3</v>
      </c>
    </row>
    <row r="53" spans="1:10" x14ac:dyDescent="0.3">
      <c r="A53" s="8">
        <v>2015</v>
      </c>
      <c r="B53" s="2">
        <v>53600</v>
      </c>
      <c r="C53" s="5">
        <v>1065</v>
      </c>
      <c r="D53" s="14">
        <v>3500</v>
      </c>
      <c r="E53" s="4">
        <f>E52+0.15%/2</f>
        <v>5.2499999999999998E-2</v>
      </c>
      <c r="F53" s="3">
        <v>2630.25</v>
      </c>
      <c r="G53" s="14">
        <f t="shared" si="0"/>
        <v>53600</v>
      </c>
      <c r="H53" s="4">
        <v>0</v>
      </c>
      <c r="I53" s="4">
        <v>0</v>
      </c>
      <c r="J53" s="16">
        <v>1.7999999999999999E-2</v>
      </c>
    </row>
    <row r="54" spans="1:10" x14ac:dyDescent="0.3">
      <c r="A54" s="8">
        <v>2016</v>
      </c>
      <c r="B54" s="2">
        <v>54900</v>
      </c>
      <c r="C54" s="5">
        <v>1092.5</v>
      </c>
      <c r="D54" s="14">
        <v>3500</v>
      </c>
      <c r="E54" s="4">
        <v>5.3249999999999999E-2</v>
      </c>
      <c r="F54" s="3">
        <v>2737.05</v>
      </c>
      <c r="G54" s="14">
        <f t="shared" si="0"/>
        <v>54900</v>
      </c>
      <c r="H54" s="4">
        <v>0</v>
      </c>
      <c r="I54" s="4">
        <v>0</v>
      </c>
      <c r="J54" s="16">
        <v>1.2E-2</v>
      </c>
    </row>
    <row r="55" spans="1:10" x14ac:dyDescent="0.3">
      <c r="A55" s="8">
        <v>2017</v>
      </c>
      <c r="B55" s="2">
        <v>55300</v>
      </c>
      <c r="C55" s="5">
        <v>1114.17</v>
      </c>
      <c r="D55" s="14">
        <v>3500</v>
      </c>
      <c r="E55" s="4">
        <v>5.3999999999999999E-2</v>
      </c>
      <c r="F55" s="3">
        <v>2797.2</v>
      </c>
      <c r="G55" s="14">
        <f t="shared" si="0"/>
        <v>55300</v>
      </c>
      <c r="H55" s="4">
        <v>0</v>
      </c>
      <c r="I55" s="4">
        <v>0</v>
      </c>
      <c r="J55" s="16">
        <v>1.4E-2</v>
      </c>
    </row>
    <row r="56" spans="1:10" x14ac:dyDescent="0.3">
      <c r="A56" s="8">
        <v>2018</v>
      </c>
      <c r="B56" s="2">
        <v>55900</v>
      </c>
      <c r="C56" s="5">
        <v>1134.17</v>
      </c>
      <c r="D56" s="14">
        <v>3500</v>
      </c>
      <c r="E56" s="4">
        <v>5.3999999999999999E-2</v>
      </c>
      <c r="F56" s="3">
        <v>2829.6</v>
      </c>
      <c r="G56" s="14">
        <f t="shared" si="0"/>
        <v>55900</v>
      </c>
      <c r="H56" s="4">
        <v>0</v>
      </c>
      <c r="I56" s="4">
        <v>0</v>
      </c>
      <c r="J56" s="16">
        <v>1.4999999999999999E-2</v>
      </c>
    </row>
    <row r="57" spans="1:10" x14ac:dyDescent="0.3">
      <c r="A57" s="8">
        <v>2019</v>
      </c>
      <c r="B57" s="2">
        <v>57400</v>
      </c>
      <c r="C57" s="5">
        <v>1154.58</v>
      </c>
      <c r="D57" s="14">
        <v>3500</v>
      </c>
      <c r="E57" s="4">
        <v>5.3999999999999999E-2</v>
      </c>
      <c r="F57" s="3">
        <v>2991.45</v>
      </c>
      <c r="G57" s="14">
        <f t="shared" si="0"/>
        <v>57400</v>
      </c>
      <c r="H57" s="4">
        <v>1.5E-3</v>
      </c>
      <c r="I57" s="4">
        <v>0</v>
      </c>
      <c r="J57" s="16">
        <v>2.3E-2</v>
      </c>
    </row>
    <row r="58" spans="1:10" x14ac:dyDescent="0.3">
      <c r="A58" s="8">
        <v>2020</v>
      </c>
      <c r="B58" s="2">
        <v>58700</v>
      </c>
      <c r="C58" s="5">
        <v>1177.3</v>
      </c>
      <c r="D58" s="14">
        <v>3500</v>
      </c>
      <c r="E58" s="4">
        <v>5.3999999999999999E-2</v>
      </c>
      <c r="F58" s="3">
        <v>3146.4</v>
      </c>
      <c r="G58" s="14">
        <f t="shared" si="0"/>
        <v>58700</v>
      </c>
      <c r="H58" s="4">
        <v>3.0000000000000001E-3</v>
      </c>
      <c r="I58" s="4">
        <v>0</v>
      </c>
      <c r="J58" s="16">
        <v>1.9E-2</v>
      </c>
    </row>
    <row r="59" spans="1:10" x14ac:dyDescent="0.3">
      <c r="A59" s="8">
        <v>2021</v>
      </c>
      <c r="B59" s="2">
        <v>61600</v>
      </c>
      <c r="C59" s="5">
        <v>1208.26</v>
      </c>
      <c r="D59" s="14">
        <v>3500</v>
      </c>
      <c r="E59" s="4">
        <v>5.3999999999999999E-2</v>
      </c>
      <c r="F59" s="3">
        <v>3427.9</v>
      </c>
      <c r="G59" s="14">
        <f t="shared" si="0"/>
        <v>61600</v>
      </c>
      <c r="H59" s="4">
        <v>5.0000000000000001E-3</v>
      </c>
      <c r="I59" s="4">
        <v>0</v>
      </c>
      <c r="J59" s="16">
        <v>0.01</v>
      </c>
    </row>
    <row r="60" spans="1:10" x14ac:dyDescent="0.3">
      <c r="A60" s="8">
        <v>2022</v>
      </c>
      <c r="B60" s="2">
        <v>64900</v>
      </c>
      <c r="C60" s="5">
        <v>1253.5899999999999</v>
      </c>
      <c r="D60" s="14">
        <v>3500</v>
      </c>
      <c r="E60" s="4">
        <v>5.3999999999999999E-2</v>
      </c>
      <c r="F60" s="3">
        <v>3776.1</v>
      </c>
      <c r="G60" s="14">
        <f t="shared" si="0"/>
        <v>64900</v>
      </c>
      <c r="H60" s="4">
        <v>7.4999999999999997E-3</v>
      </c>
      <c r="I60" s="4">
        <v>0</v>
      </c>
      <c r="J60" s="16">
        <v>2.7E-2</v>
      </c>
    </row>
    <row r="61" spans="1:10" x14ac:dyDescent="0.3">
      <c r="A61" s="8">
        <v>2023</v>
      </c>
      <c r="H61" s="4">
        <v>0.01</v>
      </c>
      <c r="I61" s="4">
        <v>0</v>
      </c>
    </row>
    <row r="62" spans="1:10" x14ac:dyDescent="0.3">
      <c r="A62" s="8">
        <v>2024</v>
      </c>
      <c r="G62" s="20" t="s">
        <v>160</v>
      </c>
      <c r="H62" s="4">
        <v>0.01</v>
      </c>
      <c r="I62" s="4">
        <v>0.04</v>
      </c>
    </row>
    <row r="63" spans="1:10" x14ac:dyDescent="0.3">
      <c r="A63" s="8">
        <v>2025</v>
      </c>
      <c r="G63" s="20" t="s">
        <v>161</v>
      </c>
      <c r="H63" s="4">
        <v>0.01</v>
      </c>
      <c r="I63" s="4">
        <v>0.04</v>
      </c>
    </row>
  </sheetData>
  <autoFilter ref="A3:O63" xr:uid="{00000000-0001-0000-0200-000000000000}"/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L63"/>
  <sheetViews>
    <sheetView workbookViewId="0">
      <pane xSplit="1" ySplit="3" topLeftCell="B55" activePane="bottomRight" state="frozen"/>
      <selection activeCell="H9" sqref="H9"/>
      <selection pane="topRight" activeCell="H9" sqref="H9"/>
      <selection pane="bottomLeft" activeCell="H9" sqref="H9"/>
      <selection pane="bottomRight" activeCell="E64" sqref="E64"/>
    </sheetView>
  </sheetViews>
  <sheetFormatPr defaultColWidth="8" defaultRowHeight="15.6" x14ac:dyDescent="0.3"/>
  <cols>
    <col min="1" max="1" width="8" style="1" customWidth="1"/>
    <col min="2" max="2" width="8" style="7" customWidth="1"/>
    <col min="3" max="3" width="8" style="17" customWidth="1"/>
    <col min="4" max="4" width="8" style="18" customWidth="1"/>
    <col min="5" max="5" width="8" style="7" customWidth="1"/>
    <col min="6" max="6" width="9" style="17" customWidth="1"/>
    <col min="7" max="9" width="8" style="7"/>
    <col min="10" max="10" width="8.4140625" style="17" customWidth="1"/>
    <col min="11" max="11" width="8" style="7"/>
    <col min="12" max="12" width="14.08203125" style="27" customWidth="1"/>
    <col min="13" max="16384" width="8" style="7"/>
  </cols>
  <sheetData>
    <row r="1" spans="1:12" x14ac:dyDescent="0.3">
      <c r="A1" s="1" t="s">
        <v>64</v>
      </c>
      <c r="B1" s="2"/>
      <c r="C1" s="3"/>
      <c r="D1" s="2"/>
      <c r="E1" s="21"/>
      <c r="F1" s="5"/>
      <c r="G1" s="2"/>
      <c r="H1" s="21"/>
      <c r="I1" s="21"/>
      <c r="J1" s="5"/>
    </row>
    <row r="2" spans="1:12" x14ac:dyDescent="0.3">
      <c r="A2" s="8"/>
      <c r="B2" s="2"/>
      <c r="C2" s="3"/>
      <c r="D2" s="2"/>
      <c r="E2" s="21"/>
      <c r="F2" s="5"/>
      <c r="G2" s="2"/>
      <c r="H2" s="21"/>
      <c r="I2" s="21"/>
      <c r="J2" s="5"/>
    </row>
    <row r="3" spans="1:12" s="1" customFormat="1" ht="41.4" x14ac:dyDescent="0.3">
      <c r="A3" s="9" t="s">
        <v>59</v>
      </c>
      <c r="B3" s="10" t="s">
        <v>60</v>
      </c>
      <c r="C3" s="11" t="s">
        <v>61</v>
      </c>
      <c r="D3" s="10" t="s">
        <v>62</v>
      </c>
      <c r="E3" s="22" t="s">
        <v>186</v>
      </c>
      <c r="F3" s="11" t="s">
        <v>63</v>
      </c>
      <c r="G3" s="10" t="s">
        <v>157</v>
      </c>
      <c r="H3" s="22" t="s">
        <v>158</v>
      </c>
      <c r="I3" s="22" t="s">
        <v>159</v>
      </c>
      <c r="J3" s="11" t="s">
        <v>194</v>
      </c>
      <c r="L3" s="28"/>
    </row>
    <row r="4" spans="1:12" x14ac:dyDescent="0.3">
      <c r="A4" s="13">
        <v>1966</v>
      </c>
      <c r="B4" s="14">
        <v>5000</v>
      </c>
      <c r="C4" s="3">
        <v>0</v>
      </c>
      <c r="D4" s="14">
        <v>600</v>
      </c>
      <c r="E4" s="21">
        <v>1.7999999999999992E-2</v>
      </c>
      <c r="F4" s="3">
        <v>79.2</v>
      </c>
      <c r="G4" s="14">
        <f>B4</f>
        <v>5000</v>
      </c>
      <c r="H4" s="21">
        <v>0</v>
      </c>
      <c r="I4" s="21">
        <v>0</v>
      </c>
      <c r="J4" s="15">
        <v>0</v>
      </c>
    </row>
    <row r="5" spans="1:12" x14ac:dyDescent="0.3">
      <c r="A5" s="13">
        <v>1967</v>
      </c>
      <c r="B5" s="14">
        <v>5000</v>
      </c>
      <c r="C5" s="3">
        <v>104.17</v>
      </c>
      <c r="D5" s="14">
        <v>600</v>
      </c>
      <c r="E5" s="21">
        <v>1.7999999999999992E-2</v>
      </c>
      <c r="F5" s="3">
        <v>79.2</v>
      </c>
      <c r="G5" s="14">
        <f t="shared" ref="G5:G60" si="0">B5</f>
        <v>5000</v>
      </c>
      <c r="H5" s="21">
        <v>0</v>
      </c>
      <c r="I5" s="21">
        <v>0</v>
      </c>
      <c r="J5" s="15">
        <v>2.0000000000000018E-3</v>
      </c>
    </row>
    <row r="6" spans="1:12" x14ac:dyDescent="0.3">
      <c r="A6" s="13">
        <v>1968</v>
      </c>
      <c r="B6" s="14">
        <v>5100</v>
      </c>
      <c r="C6" s="3">
        <v>104.86</v>
      </c>
      <c r="D6" s="14">
        <v>600</v>
      </c>
      <c r="E6" s="21">
        <v>1.7999999999999992E-2</v>
      </c>
      <c r="F6" s="3">
        <v>81</v>
      </c>
      <c r="G6" s="14">
        <f t="shared" si="0"/>
        <v>5100</v>
      </c>
      <c r="H6" s="21">
        <v>0</v>
      </c>
      <c r="I6" s="21">
        <v>0</v>
      </c>
      <c r="J6" s="15">
        <v>2.0000000000000018E-3</v>
      </c>
    </row>
    <row r="7" spans="1:12" x14ac:dyDescent="0.3">
      <c r="A7" s="13">
        <v>1969</v>
      </c>
      <c r="B7" s="14">
        <v>5200</v>
      </c>
      <c r="C7" s="3">
        <v>106.25</v>
      </c>
      <c r="D7" s="14">
        <v>600</v>
      </c>
      <c r="E7" s="21">
        <v>1.7999999999999992E-2</v>
      </c>
      <c r="F7" s="3">
        <v>82.8</v>
      </c>
      <c r="G7" s="14">
        <f t="shared" si="0"/>
        <v>5200</v>
      </c>
      <c r="H7" s="21">
        <v>0</v>
      </c>
      <c r="I7" s="21">
        <v>0</v>
      </c>
      <c r="J7" s="15">
        <v>2.0000000000000018E-3</v>
      </c>
    </row>
    <row r="8" spans="1:12" x14ac:dyDescent="0.3">
      <c r="A8" s="13">
        <v>1970</v>
      </c>
      <c r="B8" s="14">
        <v>5300</v>
      </c>
      <c r="C8" s="3">
        <v>108.33</v>
      </c>
      <c r="D8" s="14">
        <v>600</v>
      </c>
      <c r="E8" s="21">
        <v>1.7999999999999992E-2</v>
      </c>
      <c r="F8" s="3">
        <v>84.6</v>
      </c>
      <c r="G8" s="14">
        <f t="shared" si="0"/>
        <v>5300</v>
      </c>
      <c r="H8" s="21">
        <v>0</v>
      </c>
      <c r="I8" s="21">
        <v>0</v>
      </c>
      <c r="J8" s="15">
        <v>2.0000000000000018E-3</v>
      </c>
    </row>
    <row r="9" spans="1:12" x14ac:dyDescent="0.3">
      <c r="A9" s="13">
        <v>1971</v>
      </c>
      <c r="B9" s="14">
        <v>5400</v>
      </c>
      <c r="C9" s="3">
        <v>110.42</v>
      </c>
      <c r="D9" s="14">
        <v>600</v>
      </c>
      <c r="E9" s="21">
        <v>1.7999999999999992E-2</v>
      </c>
      <c r="F9" s="3">
        <v>86.4</v>
      </c>
      <c r="G9" s="14">
        <f t="shared" si="0"/>
        <v>5400</v>
      </c>
      <c r="H9" s="21">
        <v>0</v>
      </c>
      <c r="I9" s="21">
        <v>0</v>
      </c>
      <c r="J9" s="15">
        <v>2.0000000000000018E-3</v>
      </c>
    </row>
    <row r="10" spans="1:12" x14ac:dyDescent="0.3">
      <c r="A10" s="13">
        <v>1972</v>
      </c>
      <c r="B10" s="14">
        <v>5500</v>
      </c>
      <c r="C10" s="3">
        <v>112.5</v>
      </c>
      <c r="D10" s="14">
        <v>600</v>
      </c>
      <c r="E10" s="21">
        <v>1.7999999999999992E-2</v>
      </c>
      <c r="F10" s="3">
        <v>88.2</v>
      </c>
      <c r="G10" s="14">
        <f t="shared" si="0"/>
        <v>5500</v>
      </c>
      <c r="H10" s="21">
        <v>0</v>
      </c>
      <c r="I10" s="21">
        <v>0</v>
      </c>
      <c r="J10" s="15">
        <v>2.0000000000000018E-3</v>
      </c>
      <c r="L10" s="26" t="s">
        <v>193</v>
      </c>
    </row>
    <row r="11" spans="1:12" x14ac:dyDescent="0.3">
      <c r="A11" s="13">
        <v>1973</v>
      </c>
      <c r="B11" s="14">
        <v>5600</v>
      </c>
      <c r="C11" s="3">
        <v>114.58</v>
      </c>
      <c r="D11" s="14">
        <v>600</v>
      </c>
      <c r="E11" s="21">
        <v>1.7999999999999992E-2</v>
      </c>
      <c r="F11" s="3">
        <v>90</v>
      </c>
      <c r="G11" s="14">
        <f t="shared" si="0"/>
        <v>5600</v>
      </c>
      <c r="H11" s="21">
        <v>0</v>
      </c>
      <c r="I11" s="21">
        <v>0</v>
      </c>
      <c r="J11" s="24"/>
      <c r="L11" s="29" t="s">
        <v>187</v>
      </c>
    </row>
    <row r="12" spans="1:12" x14ac:dyDescent="0.3">
      <c r="A12" s="13">
        <v>1974</v>
      </c>
      <c r="B12" s="14">
        <v>6600</v>
      </c>
      <c r="C12" s="3">
        <v>122.92</v>
      </c>
      <c r="D12" s="14">
        <v>700</v>
      </c>
      <c r="E12" s="21">
        <v>1.7999999999999992E-2</v>
      </c>
      <c r="F12" s="3">
        <v>106.2</v>
      </c>
      <c r="G12" s="14">
        <f t="shared" si="0"/>
        <v>6600</v>
      </c>
      <c r="H12" s="21">
        <v>0</v>
      </c>
      <c r="I12" s="21">
        <v>0</v>
      </c>
      <c r="J12" s="15">
        <v>8.2000000000000073E-2</v>
      </c>
      <c r="L12" s="29" t="s">
        <v>188</v>
      </c>
    </row>
    <row r="13" spans="1:12" x14ac:dyDescent="0.3">
      <c r="A13" s="13">
        <v>1975</v>
      </c>
      <c r="B13" s="14">
        <v>7400</v>
      </c>
      <c r="C13" s="3">
        <v>136.11000000000001</v>
      </c>
      <c r="D13" s="14">
        <v>700</v>
      </c>
      <c r="E13" s="21">
        <v>1.7999999999999992E-2</v>
      </c>
      <c r="F13" s="3">
        <v>120.6</v>
      </c>
      <c r="G13" s="14">
        <f t="shared" si="0"/>
        <v>7400</v>
      </c>
      <c r="H13" s="21">
        <v>0</v>
      </c>
      <c r="I13" s="21">
        <v>0</v>
      </c>
      <c r="J13" s="15">
        <v>0.10400000000000009</v>
      </c>
      <c r="L13" s="29" t="s">
        <v>189</v>
      </c>
    </row>
    <row r="14" spans="1:12" x14ac:dyDescent="0.3">
      <c r="A14" s="13">
        <v>1976</v>
      </c>
      <c r="B14" s="14">
        <v>8300</v>
      </c>
      <c r="C14" s="3">
        <v>154.86000000000001</v>
      </c>
      <c r="D14" s="14">
        <v>800</v>
      </c>
      <c r="E14" s="21">
        <v>1.7999999999999992E-2</v>
      </c>
      <c r="F14" s="3">
        <v>135</v>
      </c>
      <c r="G14" s="14">
        <f t="shared" si="0"/>
        <v>8300</v>
      </c>
      <c r="H14" s="21">
        <v>0</v>
      </c>
      <c r="I14" s="21">
        <v>0</v>
      </c>
      <c r="J14" s="15">
        <v>0.1120000000000001</v>
      </c>
      <c r="L14" s="29" t="s">
        <v>190</v>
      </c>
    </row>
    <row r="15" spans="1:12" x14ac:dyDescent="0.3">
      <c r="A15" s="13">
        <v>1977</v>
      </c>
      <c r="B15" s="14">
        <v>9300</v>
      </c>
      <c r="C15" s="5">
        <v>173.61</v>
      </c>
      <c r="D15" s="14">
        <v>900</v>
      </c>
      <c r="E15" s="21">
        <v>1.7999999999999992E-2</v>
      </c>
      <c r="F15" s="3">
        <v>151.19999999999999</v>
      </c>
      <c r="G15" s="14">
        <f t="shared" si="0"/>
        <v>9300</v>
      </c>
      <c r="H15" s="21">
        <v>0</v>
      </c>
      <c r="I15" s="21">
        <v>0</v>
      </c>
      <c r="J15" s="15">
        <v>8.2000000000000073E-2</v>
      </c>
      <c r="L15" s="29" t="s">
        <v>191</v>
      </c>
    </row>
    <row r="16" spans="1:12" x14ac:dyDescent="0.3">
      <c r="A16" s="13">
        <v>1978</v>
      </c>
      <c r="B16" s="14">
        <v>10400</v>
      </c>
      <c r="C16" s="5">
        <v>194.44</v>
      </c>
      <c r="D16" s="14">
        <v>1000</v>
      </c>
      <c r="E16" s="21">
        <v>1.7999999999999992E-2</v>
      </c>
      <c r="F16" s="3">
        <v>169.2</v>
      </c>
      <c r="G16" s="14">
        <f t="shared" si="0"/>
        <v>10400</v>
      </c>
      <c r="H16" s="21">
        <v>0</v>
      </c>
      <c r="I16" s="21">
        <v>0</v>
      </c>
      <c r="J16" s="15">
        <v>7.4999999999999956E-2</v>
      </c>
      <c r="L16" s="29" t="s">
        <v>192</v>
      </c>
    </row>
    <row r="17" spans="1:10" x14ac:dyDescent="0.3">
      <c r="A17" s="13">
        <v>1979</v>
      </c>
      <c r="B17" s="14">
        <v>11700</v>
      </c>
      <c r="C17" s="5">
        <v>218.06</v>
      </c>
      <c r="D17" s="14">
        <v>1100</v>
      </c>
      <c r="E17" s="21">
        <v>1.7999999999999992E-2</v>
      </c>
      <c r="F17" s="3">
        <v>190.8</v>
      </c>
      <c r="G17" s="14">
        <f t="shared" si="0"/>
        <v>11700</v>
      </c>
      <c r="H17" s="21">
        <v>0</v>
      </c>
      <c r="I17" s="21">
        <v>0</v>
      </c>
      <c r="J17" s="15">
        <v>9.000000000000008E-2</v>
      </c>
    </row>
    <row r="18" spans="1:10" x14ac:dyDescent="0.3">
      <c r="A18" s="8">
        <v>1980</v>
      </c>
      <c r="B18" s="2">
        <v>13100</v>
      </c>
      <c r="C18" s="5">
        <v>244.44</v>
      </c>
      <c r="D18" s="14">
        <v>1300</v>
      </c>
      <c r="E18" s="21">
        <v>1.7999999999999992E-2</v>
      </c>
      <c r="F18" s="3">
        <v>212.4</v>
      </c>
      <c r="G18" s="2">
        <f t="shared" si="0"/>
        <v>13100</v>
      </c>
      <c r="H18" s="21">
        <v>0</v>
      </c>
      <c r="I18" s="21">
        <v>0</v>
      </c>
      <c r="J18" s="15">
        <v>0.09</v>
      </c>
    </row>
    <row r="19" spans="1:10" x14ac:dyDescent="0.3">
      <c r="A19" s="8">
        <v>1981</v>
      </c>
      <c r="B19" s="2">
        <v>14700</v>
      </c>
      <c r="C19" s="5">
        <v>274.31</v>
      </c>
      <c r="D19" s="14">
        <v>1400</v>
      </c>
      <c r="E19" s="21">
        <v>1.7999999999999992E-2</v>
      </c>
      <c r="F19" s="3">
        <v>239.4</v>
      </c>
      <c r="G19" s="2">
        <f t="shared" si="0"/>
        <v>14700</v>
      </c>
      <c r="H19" s="21">
        <v>0</v>
      </c>
      <c r="I19" s="21">
        <v>0</v>
      </c>
      <c r="J19" s="15">
        <v>9.9000000000000005E-2</v>
      </c>
    </row>
    <row r="20" spans="1:10" x14ac:dyDescent="0.3">
      <c r="A20" s="8">
        <v>1982</v>
      </c>
      <c r="B20" s="2">
        <v>16500</v>
      </c>
      <c r="C20" s="5">
        <v>307.64999999999998</v>
      </c>
      <c r="D20" s="14">
        <v>1600</v>
      </c>
      <c r="E20" s="21">
        <v>1.7999999999999992E-2</v>
      </c>
      <c r="F20" s="3">
        <v>268.2</v>
      </c>
      <c r="G20" s="2">
        <f t="shared" si="0"/>
        <v>16500</v>
      </c>
      <c r="H20" s="21">
        <v>0</v>
      </c>
      <c r="I20" s="21">
        <v>0</v>
      </c>
      <c r="J20" s="15">
        <v>0.123</v>
      </c>
    </row>
    <row r="21" spans="1:10" x14ac:dyDescent="0.3">
      <c r="A21" s="8">
        <v>1983</v>
      </c>
      <c r="B21" s="2">
        <v>18500</v>
      </c>
      <c r="C21" s="5">
        <v>345.15</v>
      </c>
      <c r="D21" s="14">
        <v>1800</v>
      </c>
      <c r="E21" s="21">
        <v>1.7999999999999992E-2</v>
      </c>
      <c r="F21" s="3">
        <v>300.60000000000002</v>
      </c>
      <c r="G21" s="2">
        <f t="shared" si="0"/>
        <v>18500</v>
      </c>
      <c r="H21" s="21">
        <v>0</v>
      </c>
      <c r="I21" s="21">
        <v>0</v>
      </c>
      <c r="J21" s="15">
        <v>0.112</v>
      </c>
    </row>
    <row r="22" spans="1:10" x14ac:dyDescent="0.3">
      <c r="A22" s="8">
        <v>1984</v>
      </c>
      <c r="B22" s="2">
        <v>20800</v>
      </c>
      <c r="C22" s="5">
        <v>387.5</v>
      </c>
      <c r="D22" s="14">
        <v>2000</v>
      </c>
      <c r="E22" s="21">
        <v>1.7999999999999992E-2</v>
      </c>
      <c r="F22" s="3">
        <v>338.4</v>
      </c>
      <c r="G22" s="2">
        <f t="shared" si="0"/>
        <v>20800</v>
      </c>
      <c r="H22" s="21">
        <v>0</v>
      </c>
      <c r="I22" s="21">
        <v>0</v>
      </c>
      <c r="J22" s="15">
        <v>6.7000000000000004E-2</v>
      </c>
    </row>
    <row r="23" spans="1:10" x14ac:dyDescent="0.3">
      <c r="A23" s="8">
        <v>1985</v>
      </c>
      <c r="B23" s="2">
        <v>23400</v>
      </c>
      <c r="C23" s="5">
        <v>435.42</v>
      </c>
      <c r="D23" s="14">
        <v>2300</v>
      </c>
      <c r="E23" s="21">
        <v>1.7999999999999992E-2</v>
      </c>
      <c r="F23" s="3">
        <v>379.8</v>
      </c>
      <c r="G23" s="2">
        <f t="shared" si="0"/>
        <v>23400</v>
      </c>
      <c r="H23" s="21">
        <v>0</v>
      </c>
      <c r="I23" s="21">
        <v>0</v>
      </c>
      <c r="J23" s="15">
        <v>4.3999999999999997E-2</v>
      </c>
    </row>
    <row r="24" spans="1:10" x14ac:dyDescent="0.3">
      <c r="A24" s="8">
        <v>1986</v>
      </c>
      <c r="B24" s="2">
        <v>25800</v>
      </c>
      <c r="C24" s="5">
        <v>486.11</v>
      </c>
      <c r="D24" s="14">
        <v>2500</v>
      </c>
      <c r="E24" s="21">
        <v>1.7999999999999992E-2</v>
      </c>
      <c r="F24" s="3">
        <v>419.4</v>
      </c>
      <c r="G24" s="2">
        <f t="shared" si="0"/>
        <v>25800</v>
      </c>
      <c r="H24" s="21">
        <v>0</v>
      </c>
      <c r="I24" s="21">
        <v>0</v>
      </c>
      <c r="J24" s="15">
        <v>0.04</v>
      </c>
    </row>
    <row r="25" spans="1:10" x14ac:dyDescent="0.3">
      <c r="A25" s="8">
        <v>1987</v>
      </c>
      <c r="B25" s="2">
        <v>25900</v>
      </c>
      <c r="C25" s="5">
        <v>521.52</v>
      </c>
      <c r="D25" s="14">
        <v>2500</v>
      </c>
      <c r="E25" s="21">
        <v>1.8999999999999993E-2</v>
      </c>
      <c r="F25" s="3">
        <v>444.6</v>
      </c>
      <c r="G25" s="2">
        <f t="shared" si="0"/>
        <v>25900</v>
      </c>
      <c r="H25" s="21">
        <v>0</v>
      </c>
      <c r="I25" s="21">
        <v>0</v>
      </c>
      <c r="J25" s="15">
        <v>4.1000000000000002E-2</v>
      </c>
    </row>
    <row r="26" spans="1:10" x14ac:dyDescent="0.3">
      <c r="A26" s="8">
        <v>1988</v>
      </c>
      <c r="B26" s="2">
        <v>26500</v>
      </c>
      <c r="C26" s="5">
        <v>543.05999999999995</v>
      </c>
      <c r="D26" s="14">
        <v>2600</v>
      </c>
      <c r="E26" s="21">
        <v>0.02</v>
      </c>
      <c r="F26" s="3">
        <v>478</v>
      </c>
      <c r="G26" s="2">
        <f t="shared" si="0"/>
        <v>26500</v>
      </c>
      <c r="H26" s="21">
        <v>0</v>
      </c>
      <c r="I26" s="21">
        <v>0</v>
      </c>
      <c r="J26" s="15">
        <v>4.3999999999999997E-2</v>
      </c>
    </row>
    <row r="27" spans="1:10" x14ac:dyDescent="0.3">
      <c r="A27" s="8">
        <v>1989</v>
      </c>
      <c r="B27" s="2">
        <v>27700</v>
      </c>
      <c r="C27" s="5">
        <v>556.25</v>
      </c>
      <c r="D27" s="14">
        <v>2700</v>
      </c>
      <c r="E27" s="21">
        <v>2.0999999999999994E-2</v>
      </c>
      <c r="F27" s="3">
        <v>525</v>
      </c>
      <c r="G27" s="2">
        <f t="shared" si="0"/>
        <v>27700</v>
      </c>
      <c r="H27" s="21">
        <v>0</v>
      </c>
      <c r="I27" s="21">
        <v>0</v>
      </c>
      <c r="J27" s="15">
        <v>4.1000000000000002E-2</v>
      </c>
    </row>
    <row r="28" spans="1:10" x14ac:dyDescent="0.3">
      <c r="A28" s="8">
        <v>1990</v>
      </c>
      <c r="B28" s="2">
        <v>28900</v>
      </c>
      <c r="C28" s="5">
        <v>577.08000000000004</v>
      </c>
      <c r="D28" s="14">
        <v>2800</v>
      </c>
      <c r="E28" s="21">
        <v>2.1999999999999995E-2</v>
      </c>
      <c r="F28" s="3">
        <v>574.20000000000005</v>
      </c>
      <c r="G28" s="2">
        <f t="shared" si="0"/>
        <v>28900</v>
      </c>
      <c r="H28" s="21">
        <v>0</v>
      </c>
      <c r="I28" s="21">
        <v>0</v>
      </c>
      <c r="J28" s="15">
        <v>4.8000000000000001E-2</v>
      </c>
    </row>
    <row r="29" spans="1:10" x14ac:dyDescent="0.3">
      <c r="A29" s="8">
        <v>1991</v>
      </c>
      <c r="B29" s="2">
        <v>30500</v>
      </c>
      <c r="C29" s="5">
        <v>604.86</v>
      </c>
      <c r="D29" s="14">
        <v>3000</v>
      </c>
      <c r="E29" s="21">
        <v>2.2999999999999996E-2</v>
      </c>
      <c r="F29" s="3">
        <v>632.5</v>
      </c>
      <c r="G29" s="2">
        <f t="shared" si="0"/>
        <v>30500</v>
      </c>
      <c r="H29" s="21">
        <v>0</v>
      </c>
      <c r="I29" s="21">
        <v>0</v>
      </c>
      <c r="J29" s="15">
        <v>4.8000000000000001E-2</v>
      </c>
    </row>
    <row r="30" spans="1:10" x14ac:dyDescent="0.3">
      <c r="A30" s="8">
        <v>1992</v>
      </c>
      <c r="B30" s="2">
        <v>32200</v>
      </c>
      <c r="C30" s="5">
        <v>636.11</v>
      </c>
      <c r="D30" s="14">
        <v>3200</v>
      </c>
      <c r="E30" s="21">
        <v>2.3999999999999997E-2</v>
      </c>
      <c r="F30" s="3">
        <v>696</v>
      </c>
      <c r="G30" s="2">
        <f t="shared" si="0"/>
        <v>32200</v>
      </c>
      <c r="H30" s="21">
        <v>0</v>
      </c>
      <c r="I30" s="21">
        <v>0</v>
      </c>
      <c r="J30" s="15">
        <v>5.8000000000000003E-2</v>
      </c>
    </row>
    <row r="31" spans="1:10" x14ac:dyDescent="0.3">
      <c r="A31" s="8">
        <v>1993</v>
      </c>
      <c r="B31" s="2">
        <v>33400</v>
      </c>
      <c r="C31" s="5">
        <v>667.36</v>
      </c>
      <c r="D31" s="14">
        <v>3300</v>
      </c>
      <c r="E31" s="21">
        <v>2.5000000000000001E-2</v>
      </c>
      <c r="F31" s="3">
        <v>752.5</v>
      </c>
      <c r="G31" s="2">
        <f t="shared" si="0"/>
        <v>33400</v>
      </c>
      <c r="H31" s="21">
        <v>0</v>
      </c>
      <c r="I31" s="21">
        <v>0</v>
      </c>
      <c r="J31" s="15">
        <v>1.7999999999999999E-2</v>
      </c>
    </row>
    <row r="32" spans="1:10" x14ac:dyDescent="0.3">
      <c r="A32" s="8">
        <v>1994</v>
      </c>
      <c r="B32" s="2">
        <v>34400</v>
      </c>
      <c r="C32" s="5">
        <v>694.44</v>
      </c>
      <c r="D32" s="14">
        <v>3400</v>
      </c>
      <c r="E32" s="21">
        <v>2.5999999999999999E-2</v>
      </c>
      <c r="F32" s="3">
        <v>806</v>
      </c>
      <c r="G32" s="2">
        <f t="shared" si="0"/>
        <v>34400</v>
      </c>
      <c r="H32" s="21">
        <v>0</v>
      </c>
      <c r="I32" s="21">
        <v>0</v>
      </c>
      <c r="J32" s="15">
        <v>1.9E-2</v>
      </c>
    </row>
    <row r="33" spans="1:10" x14ac:dyDescent="0.3">
      <c r="A33" s="8">
        <v>1995</v>
      </c>
      <c r="B33" s="2">
        <v>34900</v>
      </c>
      <c r="C33" s="5">
        <v>713.19</v>
      </c>
      <c r="D33" s="14">
        <v>3400</v>
      </c>
      <c r="E33" s="21">
        <v>2.7E-2</v>
      </c>
      <c r="F33" s="3">
        <v>850.5</v>
      </c>
      <c r="G33" s="2">
        <f t="shared" si="0"/>
        <v>34900</v>
      </c>
      <c r="H33" s="21">
        <v>0</v>
      </c>
      <c r="I33" s="21">
        <v>0</v>
      </c>
      <c r="J33" s="15">
        <v>0</v>
      </c>
    </row>
    <row r="34" spans="1:10" x14ac:dyDescent="0.3">
      <c r="A34" s="8">
        <v>1996</v>
      </c>
      <c r="B34" s="2">
        <v>35400</v>
      </c>
      <c r="C34" s="5">
        <v>727.08</v>
      </c>
      <c r="D34" s="14">
        <v>3500</v>
      </c>
      <c r="E34" s="21">
        <v>2.8000000000000001E-2</v>
      </c>
      <c r="F34" s="3">
        <v>893.2</v>
      </c>
      <c r="G34" s="2">
        <f t="shared" si="0"/>
        <v>35400</v>
      </c>
      <c r="H34" s="21">
        <v>0</v>
      </c>
      <c r="I34" s="21">
        <v>0</v>
      </c>
      <c r="J34" s="15">
        <v>2.3E-2</v>
      </c>
    </row>
    <row r="35" spans="1:10" x14ac:dyDescent="0.3">
      <c r="A35" s="8">
        <v>1997</v>
      </c>
      <c r="B35" s="2">
        <v>35800</v>
      </c>
      <c r="C35" s="5">
        <v>736.81</v>
      </c>
      <c r="D35" s="14">
        <v>3500</v>
      </c>
      <c r="E35" s="21">
        <v>0.03</v>
      </c>
      <c r="F35" s="3">
        <v>969</v>
      </c>
      <c r="G35" s="2">
        <f t="shared" si="0"/>
        <v>35800</v>
      </c>
      <c r="H35" s="21">
        <v>0</v>
      </c>
      <c r="I35" s="21">
        <v>0</v>
      </c>
      <c r="J35" s="15">
        <v>1.4999999999999999E-2</v>
      </c>
    </row>
    <row r="36" spans="1:10" x14ac:dyDescent="0.3">
      <c r="A36" s="8">
        <v>1998</v>
      </c>
      <c r="B36" s="2">
        <v>36900</v>
      </c>
      <c r="C36" s="5">
        <v>744.79</v>
      </c>
      <c r="D36" s="14">
        <v>3500</v>
      </c>
      <c r="E36" s="21">
        <v>3.2000000000000001E-2</v>
      </c>
      <c r="F36" s="3">
        <v>1068.8</v>
      </c>
      <c r="G36" s="2">
        <f t="shared" si="0"/>
        <v>36900</v>
      </c>
      <c r="H36" s="21">
        <v>0</v>
      </c>
      <c r="I36" s="21">
        <v>0</v>
      </c>
      <c r="J36" s="15">
        <v>1.9E-2</v>
      </c>
    </row>
    <row r="37" spans="1:10" x14ac:dyDescent="0.3">
      <c r="A37" s="8">
        <v>1999</v>
      </c>
      <c r="B37" s="2">
        <v>37400</v>
      </c>
      <c r="C37" s="5">
        <v>751.67</v>
      </c>
      <c r="D37" s="14">
        <v>3500</v>
      </c>
      <c r="E37" s="21">
        <v>3.5000000000000003E-2</v>
      </c>
      <c r="F37" s="3">
        <v>1186.5</v>
      </c>
      <c r="G37" s="2">
        <f t="shared" si="0"/>
        <v>37400</v>
      </c>
      <c r="H37" s="21">
        <v>0</v>
      </c>
      <c r="I37" s="21">
        <v>0</v>
      </c>
      <c r="J37" s="15">
        <v>8.9999999999999993E-3</v>
      </c>
    </row>
    <row r="38" spans="1:10" x14ac:dyDescent="0.3">
      <c r="A38" s="8">
        <v>2000</v>
      </c>
      <c r="B38" s="2">
        <v>37600</v>
      </c>
      <c r="C38" s="5">
        <v>762.92</v>
      </c>
      <c r="D38" s="14">
        <v>3500</v>
      </c>
      <c r="E38" s="21">
        <v>3.9E-2</v>
      </c>
      <c r="F38" s="3">
        <v>1329.9</v>
      </c>
      <c r="G38" s="2">
        <f t="shared" si="0"/>
        <v>37600</v>
      </c>
      <c r="H38" s="21">
        <v>0</v>
      </c>
      <c r="I38" s="21">
        <v>0</v>
      </c>
      <c r="J38" s="15">
        <v>1.6E-2</v>
      </c>
    </row>
    <row r="39" spans="1:10" x14ac:dyDescent="0.3">
      <c r="A39" s="8">
        <v>2001</v>
      </c>
      <c r="B39" s="2">
        <v>38300</v>
      </c>
      <c r="C39" s="5">
        <v>775</v>
      </c>
      <c r="D39" s="14">
        <v>3500</v>
      </c>
      <c r="E39" s="21">
        <v>4.2999999999999997E-2</v>
      </c>
      <c r="F39" s="3">
        <v>1496.4</v>
      </c>
      <c r="G39" s="2">
        <f t="shared" si="0"/>
        <v>38300</v>
      </c>
      <c r="H39" s="21">
        <v>0</v>
      </c>
      <c r="I39" s="21">
        <v>0</v>
      </c>
      <c r="J39" s="15">
        <v>2.5000000000000001E-2</v>
      </c>
    </row>
    <row r="40" spans="1:10" x14ac:dyDescent="0.3">
      <c r="A40" s="8">
        <v>2002</v>
      </c>
      <c r="B40" s="2">
        <v>39100</v>
      </c>
      <c r="C40" s="5">
        <v>788.75</v>
      </c>
      <c r="D40" s="14">
        <v>3500</v>
      </c>
      <c r="E40" s="21">
        <v>4.7E-2</v>
      </c>
      <c r="F40" s="3">
        <v>1673.2</v>
      </c>
      <c r="G40" s="2">
        <f t="shared" si="0"/>
        <v>39100</v>
      </c>
      <c r="H40" s="21">
        <v>0</v>
      </c>
      <c r="I40" s="21">
        <v>0</v>
      </c>
      <c r="J40" s="15">
        <v>0.03</v>
      </c>
    </row>
    <row r="41" spans="1:10" x14ac:dyDescent="0.3">
      <c r="A41" s="8">
        <v>2003</v>
      </c>
      <c r="B41" s="2">
        <v>39900</v>
      </c>
      <c r="C41" s="5">
        <v>801.25</v>
      </c>
      <c r="D41" s="14">
        <v>3500</v>
      </c>
      <c r="E41" s="21">
        <v>4.9500000000000002E-2</v>
      </c>
      <c r="F41" s="3">
        <v>1801.8</v>
      </c>
      <c r="G41" s="2">
        <f t="shared" si="0"/>
        <v>39900</v>
      </c>
      <c r="H41" s="21">
        <v>0</v>
      </c>
      <c r="I41" s="21">
        <v>0</v>
      </c>
      <c r="J41" s="15">
        <v>1.6E-2</v>
      </c>
    </row>
    <row r="42" spans="1:10" x14ac:dyDescent="0.3">
      <c r="A42" s="8">
        <v>2004</v>
      </c>
      <c r="B42" s="2">
        <v>40500</v>
      </c>
      <c r="C42" s="5">
        <v>814.17</v>
      </c>
      <c r="D42" s="14">
        <v>3500</v>
      </c>
      <c r="E42" s="21">
        <v>4.9500000000000002E-2</v>
      </c>
      <c r="F42" s="3">
        <v>1831.5</v>
      </c>
      <c r="G42" s="2">
        <f t="shared" si="0"/>
        <v>40500</v>
      </c>
      <c r="H42" s="21">
        <v>0</v>
      </c>
      <c r="I42" s="21">
        <v>0</v>
      </c>
      <c r="J42" s="15">
        <v>3.2000000000000001E-2</v>
      </c>
    </row>
    <row r="43" spans="1:10" x14ac:dyDescent="0.3">
      <c r="A43" s="8">
        <v>2005</v>
      </c>
      <c r="B43" s="2">
        <v>41100</v>
      </c>
      <c r="C43" s="5">
        <v>828.75</v>
      </c>
      <c r="D43" s="14">
        <v>3500</v>
      </c>
      <c r="E43" s="21">
        <v>4.9500000000000002E-2</v>
      </c>
      <c r="F43" s="3">
        <v>1861.2</v>
      </c>
      <c r="G43" s="2">
        <f t="shared" si="0"/>
        <v>41100</v>
      </c>
      <c r="H43" s="21">
        <v>0</v>
      </c>
      <c r="I43" s="21">
        <v>0</v>
      </c>
      <c r="J43" s="15">
        <v>1.7000000000000001E-2</v>
      </c>
    </row>
    <row r="44" spans="1:10" x14ac:dyDescent="0.3">
      <c r="A44" s="8">
        <v>2006</v>
      </c>
      <c r="B44" s="2">
        <v>42100</v>
      </c>
      <c r="C44" s="5">
        <v>844.58</v>
      </c>
      <c r="D44" s="14">
        <v>3500</v>
      </c>
      <c r="E44" s="21">
        <v>4.9500000000000002E-2</v>
      </c>
      <c r="F44" s="3">
        <v>1910.7</v>
      </c>
      <c r="G44" s="2">
        <f t="shared" si="0"/>
        <v>42100</v>
      </c>
      <c r="H44" s="21">
        <v>0</v>
      </c>
      <c r="I44" s="21">
        <v>0</v>
      </c>
      <c r="J44" s="15">
        <v>2.3E-2</v>
      </c>
    </row>
    <row r="45" spans="1:10" x14ac:dyDescent="0.3">
      <c r="A45" s="8">
        <v>2007</v>
      </c>
      <c r="B45" s="2">
        <v>43700</v>
      </c>
      <c r="C45" s="5">
        <v>863.75</v>
      </c>
      <c r="D45" s="14">
        <v>3500</v>
      </c>
      <c r="E45" s="21">
        <v>4.9500000000000002E-2</v>
      </c>
      <c r="F45" s="3">
        <v>1989.9</v>
      </c>
      <c r="G45" s="2">
        <f t="shared" si="0"/>
        <v>43700</v>
      </c>
      <c r="H45" s="21">
        <v>0</v>
      </c>
      <c r="I45" s="21">
        <v>0</v>
      </c>
      <c r="J45" s="16">
        <v>2.1000000000000001E-2</v>
      </c>
    </row>
    <row r="46" spans="1:10" x14ac:dyDescent="0.3">
      <c r="A46" s="8">
        <v>2008</v>
      </c>
      <c r="B46" s="2">
        <v>44900</v>
      </c>
      <c r="C46" s="5">
        <v>884.58</v>
      </c>
      <c r="D46" s="14">
        <v>3500</v>
      </c>
      <c r="E46" s="21">
        <v>4.9500000000000002E-2</v>
      </c>
      <c r="F46" s="3">
        <v>2049.3000000000002</v>
      </c>
      <c r="G46" s="2">
        <f t="shared" si="0"/>
        <v>44900</v>
      </c>
      <c r="H46" s="21">
        <v>0</v>
      </c>
      <c r="I46" s="21">
        <v>0</v>
      </c>
      <c r="J46" s="16">
        <v>0.02</v>
      </c>
    </row>
    <row r="47" spans="1:10" x14ac:dyDescent="0.3">
      <c r="A47" s="8">
        <v>2009</v>
      </c>
      <c r="B47" s="2">
        <v>46300</v>
      </c>
      <c r="C47" s="5">
        <v>908.75</v>
      </c>
      <c r="D47" s="14">
        <v>3500</v>
      </c>
      <c r="E47" s="21">
        <v>4.9500000000000002E-2</v>
      </c>
      <c r="F47" s="3">
        <v>2118.6</v>
      </c>
      <c r="G47" s="2">
        <f t="shared" si="0"/>
        <v>46300</v>
      </c>
      <c r="H47" s="21">
        <v>0</v>
      </c>
      <c r="I47" s="21">
        <v>0</v>
      </c>
      <c r="J47" s="16">
        <v>2.5000000000000001E-2</v>
      </c>
    </row>
    <row r="48" spans="1:10" x14ac:dyDescent="0.3">
      <c r="A48" s="8">
        <v>2010</v>
      </c>
      <c r="B48" s="2">
        <v>47200</v>
      </c>
      <c r="C48" s="5">
        <v>934.17</v>
      </c>
      <c r="D48" s="14">
        <v>3500</v>
      </c>
      <c r="E48" s="21">
        <v>4.9500000000000002E-2</v>
      </c>
      <c r="F48" s="3">
        <v>2163.15</v>
      </c>
      <c r="G48" s="2">
        <f t="shared" si="0"/>
        <v>47200</v>
      </c>
      <c r="H48" s="21">
        <v>0</v>
      </c>
      <c r="I48" s="21">
        <v>0</v>
      </c>
      <c r="J48" s="16">
        <v>4.0000000000000001E-3</v>
      </c>
    </row>
    <row r="49" spans="1:10" x14ac:dyDescent="0.3">
      <c r="A49" s="8">
        <v>2011</v>
      </c>
      <c r="B49" s="2">
        <v>48300</v>
      </c>
      <c r="C49" s="5">
        <v>960</v>
      </c>
      <c r="D49" s="14">
        <v>3500</v>
      </c>
      <c r="E49" s="21">
        <v>4.9500000000000002E-2</v>
      </c>
      <c r="F49" s="3">
        <v>2217.6</v>
      </c>
      <c r="G49" s="2">
        <f t="shared" si="0"/>
        <v>48300</v>
      </c>
      <c r="H49" s="21">
        <v>0</v>
      </c>
      <c r="I49" s="21">
        <v>0</v>
      </c>
      <c r="J49" s="16">
        <v>1.7000000000000001E-2</v>
      </c>
    </row>
    <row r="50" spans="1:10" x14ac:dyDescent="0.3">
      <c r="A50" s="8">
        <v>2012</v>
      </c>
      <c r="B50" s="2">
        <v>50100</v>
      </c>
      <c r="C50" s="5">
        <v>986.67</v>
      </c>
      <c r="D50" s="14">
        <v>3500</v>
      </c>
      <c r="E50" s="21">
        <v>4.9500000000000002E-2</v>
      </c>
      <c r="F50" s="3">
        <v>2306.6999999999998</v>
      </c>
      <c r="G50" s="2">
        <f t="shared" si="0"/>
        <v>50100</v>
      </c>
      <c r="H50" s="21">
        <v>0</v>
      </c>
      <c r="I50" s="21">
        <v>0</v>
      </c>
      <c r="J50" s="16">
        <v>2.8000000000000001E-2</v>
      </c>
    </row>
    <row r="51" spans="1:10" x14ac:dyDescent="0.3">
      <c r="A51" s="8">
        <v>2013</v>
      </c>
      <c r="B51" s="2">
        <v>51100</v>
      </c>
      <c r="C51" s="5">
        <v>1012.5</v>
      </c>
      <c r="D51" s="14">
        <v>3500</v>
      </c>
      <c r="E51" s="21">
        <v>4.9500000000000002E-2</v>
      </c>
      <c r="F51" s="3">
        <v>2356.1999999999998</v>
      </c>
      <c r="G51" s="2">
        <f t="shared" si="0"/>
        <v>51100</v>
      </c>
      <c r="H51" s="21">
        <v>0</v>
      </c>
      <c r="I51" s="21">
        <v>0</v>
      </c>
      <c r="J51" s="16">
        <v>1.7999999999999999E-2</v>
      </c>
    </row>
    <row r="52" spans="1:10" x14ac:dyDescent="0.3">
      <c r="A52" s="8">
        <v>2014</v>
      </c>
      <c r="B52" s="2">
        <v>52500</v>
      </c>
      <c r="C52" s="5">
        <v>1038.33</v>
      </c>
      <c r="D52" s="14">
        <v>3500</v>
      </c>
      <c r="E52" s="21">
        <v>4.9500000000000002E-2</v>
      </c>
      <c r="F52" s="3">
        <v>2425.5</v>
      </c>
      <c r="G52" s="2">
        <f t="shared" si="0"/>
        <v>52500</v>
      </c>
      <c r="H52" s="21">
        <v>0</v>
      </c>
      <c r="I52" s="21">
        <v>0</v>
      </c>
      <c r="J52" s="16">
        <v>8.9999999999999993E-3</v>
      </c>
    </row>
    <row r="53" spans="1:10" x14ac:dyDescent="0.3">
      <c r="A53" s="8">
        <v>2015</v>
      </c>
      <c r="B53" s="2">
        <v>53600</v>
      </c>
      <c r="C53" s="5">
        <v>1065</v>
      </c>
      <c r="D53" s="14">
        <v>3500</v>
      </c>
      <c r="E53" s="21">
        <v>4.9500000000000002E-2</v>
      </c>
      <c r="F53" s="3">
        <v>2479.9499999999998</v>
      </c>
      <c r="G53" s="2">
        <f t="shared" si="0"/>
        <v>53600</v>
      </c>
      <c r="H53" s="21">
        <v>0</v>
      </c>
      <c r="I53" s="21">
        <v>0</v>
      </c>
      <c r="J53" s="16">
        <v>1.7999999999999999E-2</v>
      </c>
    </row>
    <row r="54" spans="1:10" x14ac:dyDescent="0.3">
      <c r="A54" s="8">
        <v>2016</v>
      </c>
      <c r="B54" s="2">
        <v>54900</v>
      </c>
      <c r="C54" s="5">
        <v>1092.5</v>
      </c>
      <c r="D54" s="14">
        <v>3500</v>
      </c>
      <c r="E54" s="21">
        <v>4.9500000000000002E-2</v>
      </c>
      <c r="F54" s="3">
        <v>2544.3000000000002</v>
      </c>
      <c r="G54" s="2">
        <f t="shared" si="0"/>
        <v>54900</v>
      </c>
      <c r="H54" s="21">
        <v>0</v>
      </c>
      <c r="I54" s="21">
        <v>0</v>
      </c>
      <c r="J54" s="16">
        <v>1.2E-2</v>
      </c>
    </row>
    <row r="55" spans="1:10" x14ac:dyDescent="0.3">
      <c r="A55" s="8">
        <v>2017</v>
      </c>
      <c r="B55" s="2">
        <v>55300</v>
      </c>
      <c r="C55" s="5">
        <v>1114.17</v>
      </c>
      <c r="D55" s="14">
        <v>3500</v>
      </c>
      <c r="E55" s="21">
        <v>4.9500000000000002E-2</v>
      </c>
      <c r="F55" s="3">
        <v>2564.1</v>
      </c>
      <c r="G55" s="2">
        <f t="shared" si="0"/>
        <v>55300</v>
      </c>
      <c r="H55" s="21">
        <v>0</v>
      </c>
      <c r="I55" s="21">
        <v>0</v>
      </c>
      <c r="J55" s="16">
        <v>1.4E-2</v>
      </c>
    </row>
    <row r="56" spans="1:10" x14ac:dyDescent="0.3">
      <c r="A56" s="8">
        <v>2018</v>
      </c>
      <c r="B56" s="2">
        <v>55900</v>
      </c>
      <c r="C56" s="5">
        <v>1134.17</v>
      </c>
      <c r="D56" s="14">
        <v>3500</v>
      </c>
      <c r="E56" s="21">
        <v>4.9500000000000002E-2</v>
      </c>
      <c r="F56" s="3">
        <v>2593.8000000000002</v>
      </c>
      <c r="G56" s="2">
        <f t="shared" si="0"/>
        <v>55900</v>
      </c>
      <c r="H56" s="21">
        <v>0</v>
      </c>
      <c r="I56" s="21">
        <v>0</v>
      </c>
      <c r="J56" s="16">
        <v>1.4999999999999999E-2</v>
      </c>
    </row>
    <row r="57" spans="1:10" x14ac:dyDescent="0.3">
      <c r="A57" s="8">
        <v>2019</v>
      </c>
      <c r="B57" s="2">
        <v>57400</v>
      </c>
      <c r="C57" s="5">
        <v>1154.58</v>
      </c>
      <c r="D57" s="14">
        <v>3500</v>
      </c>
      <c r="E57" s="21">
        <v>4.9500000000000002E-2</v>
      </c>
      <c r="F57" s="3">
        <v>2748.9</v>
      </c>
      <c r="G57" s="2">
        <f t="shared" si="0"/>
        <v>57400</v>
      </c>
      <c r="H57" s="21">
        <v>1.5E-3</v>
      </c>
      <c r="I57" s="21">
        <v>0</v>
      </c>
      <c r="J57" s="16">
        <v>2.3E-2</v>
      </c>
    </row>
    <row r="58" spans="1:10" x14ac:dyDescent="0.3">
      <c r="A58" s="8">
        <v>2020</v>
      </c>
      <c r="B58" s="2">
        <v>58700</v>
      </c>
      <c r="C58" s="5">
        <v>1177.3</v>
      </c>
      <c r="D58" s="14">
        <v>3500</v>
      </c>
      <c r="E58" s="21">
        <v>4.9500000000000002E-2</v>
      </c>
      <c r="F58" s="3">
        <v>2898</v>
      </c>
      <c r="G58" s="2">
        <f t="shared" si="0"/>
        <v>58700</v>
      </c>
      <c r="H58" s="21">
        <v>3.0000000000000001E-3</v>
      </c>
      <c r="I58" s="21">
        <v>0</v>
      </c>
      <c r="J58" s="16">
        <v>1.9E-2</v>
      </c>
    </row>
    <row r="59" spans="1:10" x14ac:dyDescent="0.3">
      <c r="A59" s="8">
        <v>2021</v>
      </c>
      <c r="B59" s="2">
        <v>61600</v>
      </c>
      <c r="C59" s="5">
        <v>1208.26</v>
      </c>
      <c r="D59" s="14">
        <v>3500</v>
      </c>
      <c r="E59" s="21">
        <v>4.9500000000000002E-2</v>
      </c>
      <c r="F59" s="3">
        <v>3166.45</v>
      </c>
      <c r="G59" s="2">
        <f t="shared" si="0"/>
        <v>61600</v>
      </c>
      <c r="H59" s="21">
        <v>5.0000000000000001E-3</v>
      </c>
      <c r="I59" s="21">
        <v>0</v>
      </c>
      <c r="J59" s="16">
        <v>0.01</v>
      </c>
    </row>
    <row r="60" spans="1:10" x14ac:dyDescent="0.3">
      <c r="A60" s="8">
        <v>2022</v>
      </c>
      <c r="B60" s="2">
        <v>64900</v>
      </c>
      <c r="C60" s="5">
        <v>1253.5899999999999</v>
      </c>
      <c r="D60" s="14">
        <v>3500</v>
      </c>
      <c r="E60" s="21">
        <v>4.9500000000000002E-2</v>
      </c>
      <c r="F60" s="3">
        <v>3499.8</v>
      </c>
      <c r="G60" s="2">
        <f t="shared" si="0"/>
        <v>64900</v>
      </c>
      <c r="H60" s="21">
        <v>7.4999999999999997E-3</v>
      </c>
      <c r="I60" s="21">
        <v>0</v>
      </c>
      <c r="J60" s="16">
        <v>2.7E-2</v>
      </c>
    </row>
    <row r="61" spans="1:10" x14ac:dyDescent="0.3">
      <c r="A61" s="8">
        <v>2023</v>
      </c>
      <c r="H61" s="4">
        <v>0.01</v>
      </c>
      <c r="I61" s="4">
        <v>0</v>
      </c>
    </row>
    <row r="62" spans="1:10" x14ac:dyDescent="0.3">
      <c r="A62" s="8">
        <v>2024</v>
      </c>
      <c r="G62" s="20" t="s">
        <v>160</v>
      </c>
      <c r="H62" s="4">
        <v>0.01</v>
      </c>
      <c r="I62" s="4">
        <v>0.04</v>
      </c>
    </row>
    <row r="63" spans="1:10" x14ac:dyDescent="0.3">
      <c r="A63" s="8">
        <v>2025</v>
      </c>
      <c r="G63" s="20" t="s">
        <v>161</v>
      </c>
      <c r="H63" s="4">
        <v>0.01</v>
      </c>
      <c r="I63" s="4">
        <v>0.04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I75"/>
  <sheetViews>
    <sheetView workbookViewId="0">
      <pane xSplit="1" ySplit="3" topLeftCell="B65" activePane="bottomRight" state="frozen"/>
      <selection activeCell="H9" sqref="H9"/>
      <selection pane="topRight" activeCell="H9" sqref="H9"/>
      <selection pane="bottomLeft" activeCell="H9" sqref="H9"/>
      <selection pane="bottomRight" activeCell="F78" sqref="F78"/>
    </sheetView>
  </sheetViews>
  <sheetFormatPr defaultColWidth="11.1640625" defaultRowHeight="15.6" x14ac:dyDescent="0.3"/>
  <cols>
    <col min="1" max="1" width="8.83203125" style="153" customWidth="1"/>
    <col min="2" max="5" width="8.83203125" style="154" customWidth="1"/>
    <col min="6" max="6" width="14.58203125" style="155" bestFit="1" customWidth="1"/>
    <col min="7" max="7" width="14.58203125" style="153" bestFit="1" customWidth="1"/>
    <col min="8" max="16384" width="11.1640625" style="153"/>
  </cols>
  <sheetData>
    <row r="1" spans="1:7" s="143" customFormat="1" x14ac:dyDescent="0.3">
      <c r="A1" s="143" t="s">
        <v>65</v>
      </c>
      <c r="B1" s="144"/>
      <c r="C1" s="144"/>
      <c r="D1" s="144"/>
      <c r="E1" s="144"/>
      <c r="F1" s="145"/>
    </row>
    <row r="2" spans="1:7" s="143" customFormat="1" x14ac:dyDescent="0.3">
      <c r="B2" s="144"/>
      <c r="C2" s="144"/>
      <c r="D2" s="144"/>
      <c r="E2" s="144"/>
      <c r="F2" s="145"/>
    </row>
    <row r="3" spans="1:7" s="146" customFormat="1" ht="62.4" x14ac:dyDescent="0.3">
      <c r="A3" s="146" t="s">
        <v>59</v>
      </c>
      <c r="B3" s="147" t="s">
        <v>2</v>
      </c>
      <c r="C3" s="147" t="s">
        <v>3</v>
      </c>
      <c r="D3" s="147" t="s">
        <v>4</v>
      </c>
      <c r="E3" s="147" t="s">
        <v>5</v>
      </c>
      <c r="F3" s="148" t="s">
        <v>132</v>
      </c>
      <c r="G3" s="148" t="s">
        <v>133</v>
      </c>
    </row>
    <row r="4" spans="1:7" s="149" customFormat="1" x14ac:dyDescent="0.3">
      <c r="A4" s="149">
        <v>1952</v>
      </c>
      <c r="B4" s="150">
        <v>40</v>
      </c>
      <c r="C4" s="150">
        <v>40</v>
      </c>
      <c r="D4" s="150">
        <v>40</v>
      </c>
      <c r="E4" s="150">
        <v>40</v>
      </c>
      <c r="F4" s="151"/>
      <c r="G4" s="152"/>
    </row>
    <row r="5" spans="1:7" s="149" customFormat="1" x14ac:dyDescent="0.3">
      <c r="A5" s="149">
        <v>1953</v>
      </c>
      <c r="B5" s="150">
        <v>40</v>
      </c>
      <c r="C5" s="150">
        <v>40</v>
      </c>
      <c r="D5" s="150">
        <v>40</v>
      </c>
      <c r="E5" s="150">
        <v>40</v>
      </c>
      <c r="F5" s="151"/>
      <c r="G5" s="152"/>
    </row>
    <row r="6" spans="1:7" s="149" customFormat="1" x14ac:dyDescent="0.3">
      <c r="A6" s="149">
        <v>1954</v>
      </c>
      <c r="B6" s="150">
        <v>40</v>
      </c>
      <c r="C6" s="150">
        <v>40</v>
      </c>
      <c r="D6" s="150">
        <v>40</v>
      </c>
      <c r="E6" s="150">
        <v>40</v>
      </c>
      <c r="F6" s="151"/>
      <c r="G6" s="152"/>
    </row>
    <row r="7" spans="1:7" s="149" customFormat="1" x14ac:dyDescent="0.3">
      <c r="A7" s="149">
        <v>1955</v>
      </c>
      <c r="B7" s="150">
        <v>40</v>
      </c>
      <c r="C7" s="150">
        <v>40</v>
      </c>
      <c r="D7" s="150">
        <v>40</v>
      </c>
      <c r="E7" s="150">
        <v>40</v>
      </c>
      <c r="F7" s="151"/>
      <c r="G7" s="152"/>
    </row>
    <row r="8" spans="1:7" s="149" customFormat="1" x14ac:dyDescent="0.3">
      <c r="A8" s="149">
        <v>1956</v>
      </c>
      <c r="B8" s="150">
        <v>40</v>
      </c>
      <c r="C8" s="150">
        <v>40</v>
      </c>
      <c r="D8" s="150">
        <v>40</v>
      </c>
      <c r="E8" s="150">
        <v>40</v>
      </c>
      <c r="F8" s="151"/>
      <c r="G8" s="152"/>
    </row>
    <row r="9" spans="1:7" s="149" customFormat="1" x14ac:dyDescent="0.3">
      <c r="A9" s="149">
        <v>1957</v>
      </c>
      <c r="B9" s="150">
        <v>40</v>
      </c>
      <c r="C9" s="150">
        <v>40</v>
      </c>
      <c r="D9" s="150">
        <v>40</v>
      </c>
      <c r="E9" s="150">
        <v>40</v>
      </c>
      <c r="F9" s="151"/>
      <c r="G9" s="152"/>
    </row>
    <row r="10" spans="1:7" s="149" customFormat="1" x14ac:dyDescent="0.3">
      <c r="A10" s="149">
        <v>1958</v>
      </c>
      <c r="B10" s="150">
        <v>55</v>
      </c>
      <c r="C10" s="150">
        <v>55</v>
      </c>
      <c r="D10" s="150">
        <v>55</v>
      </c>
      <c r="E10" s="150">
        <v>55</v>
      </c>
      <c r="F10" s="151"/>
      <c r="G10" s="152"/>
    </row>
    <row r="11" spans="1:7" s="149" customFormat="1" x14ac:dyDescent="0.3">
      <c r="A11" s="149">
        <v>1959</v>
      </c>
      <c r="B11" s="150">
        <v>55</v>
      </c>
      <c r="C11" s="150">
        <v>55</v>
      </c>
      <c r="D11" s="150">
        <v>55</v>
      </c>
      <c r="E11" s="150">
        <v>55</v>
      </c>
      <c r="F11" s="151"/>
      <c r="G11" s="152"/>
    </row>
    <row r="12" spans="1:7" s="149" customFormat="1" x14ac:dyDescent="0.3">
      <c r="A12" s="149">
        <v>1960</v>
      </c>
      <c r="B12" s="150">
        <v>55</v>
      </c>
      <c r="C12" s="150">
        <v>55</v>
      </c>
      <c r="D12" s="150">
        <v>55</v>
      </c>
      <c r="E12" s="150">
        <v>55</v>
      </c>
      <c r="F12" s="151"/>
      <c r="G12" s="152"/>
    </row>
    <row r="13" spans="1:7" s="149" customFormat="1" x14ac:dyDescent="0.3">
      <c r="A13" s="149">
        <v>1961</v>
      </c>
      <c r="B13" s="150">
        <v>55</v>
      </c>
      <c r="C13" s="150">
        <v>55</v>
      </c>
      <c r="D13" s="150">
        <v>55</v>
      </c>
      <c r="E13" s="150">
        <v>55</v>
      </c>
      <c r="F13" s="151"/>
      <c r="G13" s="152"/>
    </row>
    <row r="14" spans="1:7" s="149" customFormat="1" x14ac:dyDescent="0.3">
      <c r="A14" s="149">
        <v>1962</v>
      </c>
      <c r="B14" s="150">
        <v>55</v>
      </c>
      <c r="C14" s="150">
        <v>65</v>
      </c>
      <c r="D14" s="150">
        <v>65</v>
      </c>
      <c r="E14" s="150">
        <v>65</v>
      </c>
      <c r="F14" s="151"/>
      <c r="G14" s="152"/>
    </row>
    <row r="15" spans="1:7" s="149" customFormat="1" x14ac:dyDescent="0.3">
      <c r="A15" s="149">
        <v>1963</v>
      </c>
      <c r="B15" s="150">
        <v>65</v>
      </c>
      <c r="C15" s="150">
        <v>65</v>
      </c>
      <c r="D15" s="150">
        <v>65</v>
      </c>
      <c r="E15" s="150">
        <v>65</v>
      </c>
      <c r="F15" s="151"/>
      <c r="G15" s="152"/>
    </row>
    <row r="16" spans="1:7" s="149" customFormat="1" x14ac:dyDescent="0.3">
      <c r="A16" s="149">
        <v>1964</v>
      </c>
      <c r="B16" s="150">
        <v>75</v>
      </c>
      <c r="C16" s="150">
        <v>75</v>
      </c>
      <c r="D16" s="150">
        <v>75</v>
      </c>
      <c r="E16" s="150">
        <v>75</v>
      </c>
      <c r="F16" s="151"/>
      <c r="G16" s="152"/>
    </row>
    <row r="17" spans="1:7" s="149" customFormat="1" x14ac:dyDescent="0.3">
      <c r="A17" s="149">
        <v>1965</v>
      </c>
      <c r="B17" s="150">
        <v>75</v>
      </c>
      <c r="C17" s="150">
        <v>75</v>
      </c>
      <c r="D17" s="150">
        <v>75</v>
      </c>
      <c r="E17" s="150">
        <v>75</v>
      </c>
      <c r="F17" s="151"/>
      <c r="G17" s="152"/>
    </row>
    <row r="18" spans="1:7" s="149" customFormat="1" x14ac:dyDescent="0.3">
      <c r="A18" s="149">
        <v>1966</v>
      </c>
      <c r="B18" s="150">
        <v>75</v>
      </c>
      <c r="C18" s="150">
        <v>75</v>
      </c>
      <c r="D18" s="150">
        <v>75</v>
      </c>
      <c r="E18" s="150">
        <v>75</v>
      </c>
      <c r="F18" s="151"/>
      <c r="G18" s="152"/>
    </row>
    <row r="19" spans="1:7" s="149" customFormat="1" x14ac:dyDescent="0.3">
      <c r="A19" s="149">
        <v>1967</v>
      </c>
      <c r="B19" s="150">
        <v>75</v>
      </c>
      <c r="C19" s="150">
        <v>75</v>
      </c>
      <c r="D19" s="150">
        <v>75</v>
      </c>
      <c r="E19" s="150">
        <v>75</v>
      </c>
      <c r="F19" s="151"/>
      <c r="G19" s="152"/>
    </row>
    <row r="20" spans="1:7" s="149" customFormat="1" x14ac:dyDescent="0.3">
      <c r="A20" s="149">
        <v>1968</v>
      </c>
      <c r="B20" s="150">
        <v>76.5</v>
      </c>
      <c r="C20" s="150">
        <v>76.5</v>
      </c>
      <c r="D20" s="150">
        <v>76.5</v>
      </c>
      <c r="E20" s="150">
        <v>76.5</v>
      </c>
      <c r="F20" s="151"/>
      <c r="G20" s="152"/>
    </row>
    <row r="21" spans="1:7" s="149" customFormat="1" x14ac:dyDescent="0.3">
      <c r="A21" s="149">
        <v>1969</v>
      </c>
      <c r="B21" s="150">
        <v>78</v>
      </c>
      <c r="C21" s="150">
        <v>78</v>
      </c>
      <c r="D21" s="150">
        <v>78</v>
      </c>
      <c r="E21" s="150">
        <v>78</v>
      </c>
      <c r="F21" s="151"/>
      <c r="G21" s="152"/>
    </row>
    <row r="22" spans="1:7" s="149" customFormat="1" x14ac:dyDescent="0.3">
      <c r="A22" s="149">
        <v>1970</v>
      </c>
      <c r="B22" s="150">
        <v>79.58</v>
      </c>
      <c r="C22" s="150">
        <v>79.58</v>
      </c>
      <c r="D22" s="150">
        <v>79.58</v>
      </c>
      <c r="E22" s="150">
        <v>79.58</v>
      </c>
      <c r="F22" s="151"/>
      <c r="G22" s="152"/>
    </row>
    <row r="23" spans="1:7" s="149" customFormat="1" x14ac:dyDescent="0.3">
      <c r="A23" s="149">
        <v>1971</v>
      </c>
      <c r="B23" s="150">
        <v>80</v>
      </c>
      <c r="C23" s="150">
        <v>80</v>
      </c>
      <c r="D23" s="150">
        <v>80</v>
      </c>
      <c r="E23" s="150">
        <v>80</v>
      </c>
      <c r="F23" s="151"/>
      <c r="G23" s="152"/>
    </row>
    <row r="24" spans="1:7" s="149" customFormat="1" x14ac:dyDescent="0.3">
      <c r="A24" s="149">
        <v>1972</v>
      </c>
      <c r="B24" s="150">
        <v>82.88</v>
      </c>
      <c r="C24" s="150">
        <v>82.88</v>
      </c>
      <c r="D24" s="150">
        <v>82.88</v>
      </c>
      <c r="E24" s="150">
        <v>82.88</v>
      </c>
      <c r="F24" s="151"/>
      <c r="G24" s="152"/>
    </row>
    <row r="25" spans="1:7" s="149" customFormat="1" x14ac:dyDescent="0.3">
      <c r="A25" s="149">
        <v>1973</v>
      </c>
      <c r="B25" s="150">
        <v>82.88</v>
      </c>
      <c r="C25" s="150">
        <v>100</v>
      </c>
      <c r="D25" s="150">
        <v>100</v>
      </c>
      <c r="E25" s="150">
        <v>105.3</v>
      </c>
      <c r="F25" s="151"/>
      <c r="G25" s="152"/>
    </row>
    <row r="26" spans="1:7" s="149" customFormat="1" x14ac:dyDescent="0.3">
      <c r="A26" s="149">
        <v>1974</v>
      </c>
      <c r="B26" s="150">
        <v>108.14</v>
      </c>
      <c r="C26" s="150">
        <v>110.09</v>
      </c>
      <c r="D26" s="150">
        <v>112.95</v>
      </c>
      <c r="E26" s="150">
        <v>117.02</v>
      </c>
      <c r="F26" s="151"/>
      <c r="G26" s="152"/>
    </row>
    <row r="27" spans="1:7" s="149" customFormat="1" x14ac:dyDescent="0.3">
      <c r="A27" s="149">
        <v>1975</v>
      </c>
      <c r="B27" s="150">
        <v>120.06</v>
      </c>
      <c r="C27" s="150">
        <v>123.42</v>
      </c>
      <c r="D27" s="150">
        <v>125.76</v>
      </c>
      <c r="E27" s="150">
        <v>129.28</v>
      </c>
      <c r="F27" s="151"/>
      <c r="G27" s="152"/>
    </row>
    <row r="28" spans="1:7" s="149" customFormat="1" x14ac:dyDescent="0.3">
      <c r="A28" s="149">
        <v>1976</v>
      </c>
      <c r="B28" s="150">
        <v>132.9</v>
      </c>
      <c r="C28" s="150">
        <v>135.43</v>
      </c>
      <c r="D28" s="150">
        <v>137.06</v>
      </c>
      <c r="E28" s="150">
        <v>139.38999999999999</v>
      </c>
      <c r="F28" s="151"/>
      <c r="G28" s="152"/>
    </row>
    <row r="29" spans="1:7" s="149" customFormat="1" x14ac:dyDescent="0.3">
      <c r="A29" s="149">
        <v>1977</v>
      </c>
      <c r="B29" s="150">
        <v>141.34</v>
      </c>
      <c r="C29" s="150">
        <v>143.46</v>
      </c>
      <c r="D29" s="150">
        <v>147.05000000000001</v>
      </c>
      <c r="E29" s="150">
        <v>150.43</v>
      </c>
      <c r="F29" s="151"/>
      <c r="G29" s="152"/>
    </row>
    <row r="30" spans="1:7" s="149" customFormat="1" x14ac:dyDescent="0.3">
      <c r="A30" s="149">
        <v>1978</v>
      </c>
      <c r="B30" s="150">
        <v>153.44</v>
      </c>
      <c r="C30" s="150">
        <v>156.66</v>
      </c>
      <c r="D30" s="150">
        <v>159.79</v>
      </c>
      <c r="E30" s="150">
        <v>164.74</v>
      </c>
      <c r="F30" s="151"/>
      <c r="G30" s="152"/>
    </row>
    <row r="31" spans="1:7" s="149" customFormat="1" x14ac:dyDescent="0.3">
      <c r="A31" s="149">
        <v>1979</v>
      </c>
      <c r="B31" s="150">
        <v>167.21</v>
      </c>
      <c r="C31" s="150">
        <v>170.39</v>
      </c>
      <c r="D31" s="150">
        <v>174.82</v>
      </c>
      <c r="E31" s="150">
        <v>179.02</v>
      </c>
      <c r="F31" s="151"/>
      <c r="G31" s="152"/>
    </row>
    <row r="32" spans="1:7" s="149" customFormat="1" x14ac:dyDescent="0.3">
      <c r="A32" s="149">
        <v>1980</v>
      </c>
      <c r="B32" s="150">
        <v>182.42</v>
      </c>
      <c r="C32" s="150">
        <v>186.8</v>
      </c>
      <c r="D32" s="150">
        <v>191.28</v>
      </c>
      <c r="E32" s="150">
        <v>196.83</v>
      </c>
      <c r="F32" s="151"/>
      <c r="G32" s="152"/>
    </row>
    <row r="33" spans="1:7" s="149" customFormat="1" x14ac:dyDescent="0.3">
      <c r="A33" s="149">
        <v>1981</v>
      </c>
      <c r="B33" s="150">
        <v>202.14</v>
      </c>
      <c r="C33" s="150">
        <v>208.2</v>
      </c>
      <c r="D33" s="150">
        <v>214.86</v>
      </c>
      <c r="E33" s="150">
        <v>221.74</v>
      </c>
      <c r="F33" s="151"/>
      <c r="G33" s="152"/>
    </row>
    <row r="34" spans="1:7" s="149" customFormat="1" x14ac:dyDescent="0.3">
      <c r="A34" s="149">
        <v>1982</v>
      </c>
      <c r="B34" s="150">
        <v>227.73</v>
      </c>
      <c r="C34" s="150">
        <v>232.97</v>
      </c>
      <c r="D34" s="150">
        <v>239.73</v>
      </c>
      <c r="E34" s="150">
        <v>246.92</v>
      </c>
      <c r="F34" s="151"/>
      <c r="G34" s="152"/>
    </row>
    <row r="35" spans="1:7" s="149" customFormat="1" x14ac:dyDescent="0.3">
      <c r="A35" s="149">
        <v>1983</v>
      </c>
      <c r="B35" s="150">
        <v>251.12</v>
      </c>
      <c r="C35" s="150">
        <v>254.13</v>
      </c>
      <c r="D35" s="150">
        <v>256.67</v>
      </c>
      <c r="E35" s="150">
        <v>260.52</v>
      </c>
      <c r="F35" s="151"/>
      <c r="G35" s="152"/>
    </row>
    <row r="36" spans="1:7" s="149" customFormat="1" x14ac:dyDescent="0.3">
      <c r="A36" s="149">
        <v>1984</v>
      </c>
      <c r="B36" s="150">
        <v>263.77999999999997</v>
      </c>
      <c r="C36" s="150">
        <v>266.27999999999997</v>
      </c>
      <c r="D36" s="150">
        <v>269.74</v>
      </c>
      <c r="E36" s="150">
        <v>272.17</v>
      </c>
      <c r="F36" s="151"/>
      <c r="G36" s="152"/>
    </row>
    <row r="37" spans="1:7" s="149" customFormat="1" x14ac:dyDescent="0.3">
      <c r="A37" s="149">
        <v>1985</v>
      </c>
      <c r="B37" s="150">
        <v>273.8</v>
      </c>
      <c r="C37" s="150">
        <v>276.54000000000002</v>
      </c>
      <c r="D37" s="150">
        <v>280.14</v>
      </c>
      <c r="E37" s="150">
        <v>282.94</v>
      </c>
      <c r="F37" s="151"/>
      <c r="G37" s="152"/>
    </row>
    <row r="38" spans="1:7" x14ac:dyDescent="0.3">
      <c r="A38" s="153">
        <v>1986</v>
      </c>
      <c r="B38" s="154">
        <v>285.2</v>
      </c>
      <c r="C38" s="154">
        <v>288.33999999999997</v>
      </c>
      <c r="D38" s="154">
        <v>291.51</v>
      </c>
      <c r="E38" s="154">
        <v>294.43</v>
      </c>
      <c r="G38" s="155"/>
    </row>
    <row r="39" spans="1:7" x14ac:dyDescent="0.3">
      <c r="A39" s="153">
        <v>1987</v>
      </c>
      <c r="B39" s="154">
        <v>297.37</v>
      </c>
      <c r="C39" s="154">
        <v>300.33999999999997</v>
      </c>
      <c r="D39" s="154">
        <v>303.64</v>
      </c>
      <c r="E39" s="154">
        <v>308.19</v>
      </c>
      <c r="G39" s="155"/>
    </row>
    <row r="40" spans="1:7" x14ac:dyDescent="0.3">
      <c r="A40" s="153">
        <v>1988</v>
      </c>
      <c r="B40" s="154">
        <v>310.66000000000003</v>
      </c>
      <c r="C40" s="154">
        <v>313.14999999999998</v>
      </c>
      <c r="D40" s="154">
        <v>315.97000000000003</v>
      </c>
      <c r="E40" s="154">
        <v>320.08</v>
      </c>
      <c r="G40" s="155"/>
    </row>
    <row r="41" spans="1:7" x14ac:dyDescent="0.3">
      <c r="A41" s="153">
        <v>1989</v>
      </c>
      <c r="B41" s="154">
        <v>323.27999999999997</v>
      </c>
      <c r="C41" s="154">
        <v>325.87</v>
      </c>
      <c r="D41" s="154">
        <v>330.43</v>
      </c>
      <c r="E41" s="154">
        <v>337.04</v>
      </c>
      <c r="F41" s="155">
        <v>50000</v>
      </c>
      <c r="G41" s="155">
        <v>76333</v>
      </c>
    </row>
    <row r="42" spans="1:7" x14ac:dyDescent="0.3">
      <c r="A42" s="153">
        <v>1990</v>
      </c>
      <c r="B42" s="154">
        <v>340.07</v>
      </c>
      <c r="C42" s="154">
        <v>343.13</v>
      </c>
      <c r="D42" s="154">
        <v>347.93</v>
      </c>
      <c r="E42" s="154">
        <v>351.41</v>
      </c>
      <c r="F42" s="155">
        <v>50850</v>
      </c>
      <c r="G42" s="155">
        <v>78501</v>
      </c>
    </row>
    <row r="43" spans="1:7" x14ac:dyDescent="0.3">
      <c r="A43" s="153">
        <v>1991</v>
      </c>
      <c r="B43" s="154">
        <v>354.92</v>
      </c>
      <c r="C43" s="154">
        <v>362.37</v>
      </c>
      <c r="D43" s="154">
        <v>369.62</v>
      </c>
      <c r="E43" s="154">
        <v>373.32</v>
      </c>
      <c r="F43" s="155">
        <v>51765</v>
      </c>
      <c r="G43" s="155">
        <v>80970</v>
      </c>
    </row>
    <row r="44" spans="1:7" x14ac:dyDescent="0.3">
      <c r="A44" s="153">
        <v>1992</v>
      </c>
      <c r="B44" s="154">
        <v>374.07</v>
      </c>
      <c r="C44" s="154">
        <v>374.44</v>
      </c>
      <c r="D44" s="154">
        <v>376.31</v>
      </c>
      <c r="E44" s="154">
        <v>378.19</v>
      </c>
      <c r="F44" s="155">
        <v>53215</v>
      </c>
      <c r="G44" s="155">
        <v>83276</v>
      </c>
    </row>
    <row r="45" spans="1:7" x14ac:dyDescent="0.3">
      <c r="A45" s="153">
        <v>1993</v>
      </c>
      <c r="B45" s="154">
        <v>378.95</v>
      </c>
      <c r="C45" s="154">
        <v>381.6</v>
      </c>
      <c r="D45" s="154">
        <v>383.51</v>
      </c>
      <c r="E45" s="154">
        <v>384.66</v>
      </c>
      <c r="F45" s="155">
        <v>53215</v>
      </c>
      <c r="G45" s="155">
        <v>83790</v>
      </c>
    </row>
    <row r="46" spans="1:7" x14ac:dyDescent="0.3">
      <c r="A46" s="153">
        <v>1994</v>
      </c>
      <c r="B46" s="154">
        <v>385.81</v>
      </c>
      <c r="C46" s="154">
        <v>387.74</v>
      </c>
      <c r="D46" s="154">
        <v>387.74</v>
      </c>
      <c r="E46" s="154">
        <v>387.74</v>
      </c>
      <c r="F46" s="155">
        <v>53215</v>
      </c>
      <c r="G46" s="155">
        <v>84196</v>
      </c>
    </row>
    <row r="47" spans="1:7" x14ac:dyDescent="0.3">
      <c r="A47" s="153">
        <v>1995</v>
      </c>
      <c r="B47" s="154">
        <v>387.74</v>
      </c>
      <c r="C47" s="154">
        <v>388.52</v>
      </c>
      <c r="D47" s="154">
        <v>392.41</v>
      </c>
      <c r="E47" s="154">
        <v>394.76</v>
      </c>
      <c r="F47" s="155">
        <v>53215</v>
      </c>
      <c r="G47" s="155">
        <v>84484</v>
      </c>
    </row>
    <row r="48" spans="1:7" x14ac:dyDescent="0.3">
      <c r="A48" s="153">
        <v>1996</v>
      </c>
      <c r="B48" s="154">
        <v>394.76</v>
      </c>
      <c r="C48" s="154">
        <v>395.55</v>
      </c>
      <c r="D48" s="154">
        <v>397.92</v>
      </c>
      <c r="E48" s="154">
        <v>399.91</v>
      </c>
      <c r="F48" s="155">
        <v>53215</v>
      </c>
      <c r="G48" s="155">
        <v>84978</v>
      </c>
    </row>
    <row r="49" spans="1:8" x14ac:dyDescent="0.3">
      <c r="A49" s="153">
        <v>1997</v>
      </c>
      <c r="B49" s="154">
        <v>400.71</v>
      </c>
      <c r="C49" s="154">
        <v>403.51</v>
      </c>
      <c r="D49" s="154">
        <v>405.12</v>
      </c>
      <c r="E49" s="154">
        <v>406.34</v>
      </c>
      <c r="F49" s="155">
        <v>53215</v>
      </c>
      <c r="G49" s="155">
        <v>85529</v>
      </c>
    </row>
    <row r="50" spans="1:8" x14ac:dyDescent="0.3">
      <c r="A50" s="153">
        <v>1998</v>
      </c>
      <c r="B50" s="154">
        <v>407.15</v>
      </c>
      <c r="C50" s="154">
        <v>407.15</v>
      </c>
      <c r="D50" s="154">
        <v>408.78</v>
      </c>
      <c r="E50" s="154">
        <v>410.82</v>
      </c>
      <c r="F50" s="155">
        <v>53215</v>
      </c>
      <c r="G50" s="155">
        <v>85893</v>
      </c>
    </row>
    <row r="51" spans="1:8" x14ac:dyDescent="0.3">
      <c r="A51" s="153">
        <v>1999</v>
      </c>
      <c r="B51" s="154">
        <v>410.82</v>
      </c>
      <c r="C51" s="154">
        <v>411.23</v>
      </c>
      <c r="D51" s="154">
        <v>413.7</v>
      </c>
      <c r="E51" s="154">
        <v>417.42</v>
      </c>
      <c r="F51" s="155">
        <v>53215</v>
      </c>
      <c r="G51" s="155">
        <v>86279</v>
      </c>
    </row>
    <row r="52" spans="1:8" x14ac:dyDescent="0.3">
      <c r="A52" s="153">
        <v>2000</v>
      </c>
      <c r="B52" s="154">
        <v>419.92</v>
      </c>
      <c r="C52" s="154">
        <v>420.34</v>
      </c>
      <c r="D52" s="154">
        <v>424.12</v>
      </c>
      <c r="E52" s="154">
        <v>428.79</v>
      </c>
      <c r="F52" s="155">
        <v>53960</v>
      </c>
      <c r="G52" s="155">
        <v>87824</v>
      </c>
    </row>
    <row r="53" spans="1:8" x14ac:dyDescent="0.3">
      <c r="A53" s="153">
        <v>2001</v>
      </c>
      <c r="B53" s="154">
        <v>431.36</v>
      </c>
      <c r="C53" s="154">
        <v>433.52</v>
      </c>
      <c r="D53" s="154">
        <v>436.55</v>
      </c>
      <c r="E53" s="154">
        <v>442.66</v>
      </c>
      <c r="F53" s="155">
        <v>55309</v>
      </c>
      <c r="G53" s="155">
        <v>90191</v>
      </c>
    </row>
    <row r="54" spans="1:8" x14ac:dyDescent="0.3">
      <c r="A54" s="153">
        <v>2002</v>
      </c>
      <c r="B54" s="154">
        <v>442.66</v>
      </c>
      <c r="C54" s="154">
        <v>442.66</v>
      </c>
      <c r="D54" s="154">
        <v>443.99</v>
      </c>
      <c r="E54" s="154">
        <v>449.32</v>
      </c>
      <c r="F54" s="155">
        <v>56968</v>
      </c>
      <c r="G54" s="155">
        <v>92541</v>
      </c>
    </row>
    <row r="55" spans="1:8" x14ac:dyDescent="0.3">
      <c r="A55" s="153">
        <v>2003</v>
      </c>
      <c r="B55" s="154">
        <v>453.36</v>
      </c>
      <c r="C55" s="154">
        <v>456.08</v>
      </c>
      <c r="D55" s="154">
        <v>461.55</v>
      </c>
      <c r="E55" s="154">
        <v>461.55</v>
      </c>
      <c r="F55" s="155">
        <v>57879</v>
      </c>
      <c r="G55" s="155">
        <v>94530</v>
      </c>
    </row>
    <row r="56" spans="1:8" x14ac:dyDescent="0.3">
      <c r="A56" s="153">
        <v>2004</v>
      </c>
      <c r="B56" s="154">
        <v>462.47</v>
      </c>
      <c r="C56" s="154">
        <v>463.39</v>
      </c>
      <c r="D56" s="154">
        <v>466.63</v>
      </c>
      <c r="E56" s="154">
        <v>471.76</v>
      </c>
      <c r="F56" s="155">
        <v>59790</v>
      </c>
      <c r="G56" s="155">
        <v>97075</v>
      </c>
    </row>
    <row r="57" spans="1:8" x14ac:dyDescent="0.3">
      <c r="A57" s="153">
        <v>2005</v>
      </c>
      <c r="B57" s="154">
        <v>471.76</v>
      </c>
      <c r="C57" s="154">
        <v>473.65</v>
      </c>
      <c r="D57" s="154">
        <v>476.97</v>
      </c>
      <c r="E57" s="154">
        <v>479.83</v>
      </c>
      <c r="F57" s="155">
        <v>60806</v>
      </c>
      <c r="G57" s="155">
        <v>98851</v>
      </c>
    </row>
    <row r="58" spans="1:8" x14ac:dyDescent="0.3">
      <c r="A58" s="153">
        <v>2006</v>
      </c>
      <c r="B58" s="154">
        <v>484.63</v>
      </c>
      <c r="C58" s="154">
        <v>484.63</v>
      </c>
      <c r="D58" s="154">
        <v>487.54</v>
      </c>
      <c r="E58" s="154">
        <v>491.93</v>
      </c>
      <c r="F58" s="155">
        <v>62144</v>
      </c>
      <c r="G58" s="155">
        <v>101119</v>
      </c>
      <c r="H58" s="155"/>
    </row>
    <row r="59" spans="1:8" x14ac:dyDescent="0.3">
      <c r="A59" s="153">
        <v>2007</v>
      </c>
      <c r="B59" s="154">
        <v>491.93</v>
      </c>
      <c r="C59" s="154">
        <v>491.93</v>
      </c>
      <c r="D59" s="154">
        <v>497.83</v>
      </c>
      <c r="E59" s="154">
        <v>502.31</v>
      </c>
      <c r="F59" s="155">
        <v>63511</v>
      </c>
      <c r="G59" s="155">
        <v>103191</v>
      </c>
      <c r="H59" s="155"/>
    </row>
    <row r="60" spans="1:8" x14ac:dyDescent="0.3">
      <c r="A60" s="153">
        <v>2008</v>
      </c>
      <c r="B60" s="154">
        <v>502.31</v>
      </c>
      <c r="C60" s="154">
        <v>502.31</v>
      </c>
      <c r="D60" s="154">
        <v>505.83</v>
      </c>
      <c r="E60" s="154">
        <v>516.96</v>
      </c>
      <c r="F60" s="155">
        <v>64718</v>
      </c>
      <c r="G60" s="155">
        <v>105267</v>
      </c>
      <c r="H60" s="155"/>
    </row>
    <row r="61" spans="1:8" x14ac:dyDescent="0.3">
      <c r="A61" s="153">
        <v>2009</v>
      </c>
      <c r="B61" s="154">
        <v>516.96</v>
      </c>
      <c r="C61" s="154">
        <v>516.96</v>
      </c>
      <c r="D61" s="154">
        <v>516.96</v>
      </c>
      <c r="E61" s="154">
        <v>516.96</v>
      </c>
      <c r="F61" s="155">
        <v>66335</v>
      </c>
      <c r="G61" s="155">
        <v>107692</v>
      </c>
      <c r="H61" s="155"/>
    </row>
    <row r="62" spans="1:8" x14ac:dyDescent="0.3">
      <c r="A62" s="153">
        <v>2010</v>
      </c>
      <c r="B62" s="154">
        <v>516.96</v>
      </c>
      <c r="C62" s="154">
        <v>516.96</v>
      </c>
      <c r="D62" s="154">
        <v>518.51</v>
      </c>
      <c r="E62" s="154">
        <v>521.62</v>
      </c>
      <c r="F62" s="155">
        <v>66733</v>
      </c>
      <c r="G62" s="155">
        <v>108214</v>
      </c>
      <c r="H62" s="155"/>
    </row>
    <row r="63" spans="1:8" x14ac:dyDescent="0.3">
      <c r="A63" s="153">
        <v>2011</v>
      </c>
      <c r="B63" s="154">
        <v>524.23</v>
      </c>
      <c r="C63" s="154">
        <v>526.85</v>
      </c>
      <c r="D63" s="154">
        <v>533.70000000000005</v>
      </c>
      <c r="E63" s="154">
        <v>537.97</v>
      </c>
      <c r="F63" s="155">
        <v>67668</v>
      </c>
      <c r="G63" s="155">
        <v>110123</v>
      </c>
      <c r="H63" s="155"/>
    </row>
    <row r="64" spans="1:8" x14ac:dyDescent="0.3">
      <c r="A64" s="153">
        <v>2012</v>
      </c>
      <c r="B64" s="154">
        <v>540.12</v>
      </c>
      <c r="C64" s="154">
        <v>540.12</v>
      </c>
      <c r="D64" s="154">
        <v>544.98</v>
      </c>
      <c r="E64" s="154">
        <v>544.98</v>
      </c>
      <c r="F64" s="155">
        <v>69562</v>
      </c>
      <c r="G64" s="155">
        <v>112966</v>
      </c>
      <c r="H64" s="155"/>
    </row>
    <row r="65" spans="1:9" x14ac:dyDescent="0.3">
      <c r="A65" s="153">
        <v>2013</v>
      </c>
      <c r="B65" s="154">
        <v>546.07000000000005</v>
      </c>
      <c r="C65" s="154">
        <v>546.07000000000005</v>
      </c>
      <c r="D65" s="154">
        <v>549.89</v>
      </c>
      <c r="E65" s="154">
        <v>550.99</v>
      </c>
      <c r="F65" s="155">
        <v>70954</v>
      </c>
      <c r="G65" s="155">
        <v>114815</v>
      </c>
      <c r="H65" s="155"/>
    </row>
    <row r="66" spans="1:9" x14ac:dyDescent="0.3">
      <c r="A66" s="153">
        <v>2014</v>
      </c>
      <c r="B66" s="154">
        <v>551.54</v>
      </c>
      <c r="C66" s="154">
        <v>551.54</v>
      </c>
      <c r="D66" s="154">
        <v>558.71</v>
      </c>
      <c r="E66" s="154">
        <v>563.74</v>
      </c>
      <c r="F66" s="155">
        <v>71592</v>
      </c>
      <c r="G66" s="155">
        <v>116103</v>
      </c>
      <c r="H66" s="155"/>
    </row>
    <row r="67" spans="1:9" x14ac:dyDescent="0.3">
      <c r="A67" s="153">
        <v>2015</v>
      </c>
      <c r="B67" s="154">
        <v>563.74</v>
      </c>
      <c r="C67" s="154">
        <v>563.74</v>
      </c>
      <c r="D67" s="154">
        <v>564.87</v>
      </c>
      <c r="E67" s="154">
        <v>569.95000000000005</v>
      </c>
      <c r="F67" s="155">
        <v>72809</v>
      </c>
      <c r="G67" s="155">
        <v>118055</v>
      </c>
      <c r="H67" s="155"/>
    </row>
    <row r="68" spans="1:9" x14ac:dyDescent="0.3">
      <c r="A68" s="153">
        <v>2016</v>
      </c>
      <c r="B68" s="154">
        <v>570.52</v>
      </c>
      <c r="C68" s="154">
        <v>570.52</v>
      </c>
      <c r="D68" s="154">
        <v>573.37</v>
      </c>
      <c r="E68" s="154">
        <v>578.53</v>
      </c>
      <c r="F68" s="155">
        <v>73756</v>
      </c>
      <c r="G68" s="155">
        <v>119615</v>
      </c>
      <c r="H68" s="155"/>
    </row>
    <row r="69" spans="1:9" x14ac:dyDescent="0.3">
      <c r="A69" s="153">
        <v>2017</v>
      </c>
      <c r="B69" s="154">
        <v>578.53</v>
      </c>
      <c r="C69" s="154">
        <v>578.53</v>
      </c>
      <c r="D69" s="154">
        <v>583.74</v>
      </c>
      <c r="E69" s="154">
        <v>585.49</v>
      </c>
      <c r="F69" s="156">
        <v>74788</v>
      </c>
      <c r="G69" s="156">
        <v>121314</v>
      </c>
      <c r="H69" s="156"/>
    </row>
    <row r="70" spans="1:9" x14ac:dyDescent="0.3">
      <c r="A70" s="153">
        <v>2018</v>
      </c>
      <c r="B70" s="154">
        <v>586.66</v>
      </c>
      <c r="C70" s="154">
        <v>589.59</v>
      </c>
      <c r="D70" s="154">
        <v>596.66999999999996</v>
      </c>
      <c r="E70" s="154">
        <v>600.85</v>
      </c>
      <c r="F70" s="156">
        <v>75910</v>
      </c>
      <c r="G70" s="156">
        <v>123386</v>
      </c>
      <c r="H70" s="156"/>
    </row>
    <row r="71" spans="1:9" x14ac:dyDescent="0.3">
      <c r="A71" s="153">
        <v>2019</v>
      </c>
      <c r="B71" s="154">
        <v>601.45000000000005</v>
      </c>
      <c r="C71" s="154">
        <v>601.45000000000005</v>
      </c>
      <c r="D71" s="154">
        <v>607.46</v>
      </c>
      <c r="E71" s="154">
        <v>613.53</v>
      </c>
      <c r="F71" s="156">
        <v>77580</v>
      </c>
      <c r="G71" s="156">
        <v>126058</v>
      </c>
      <c r="H71" s="156"/>
      <c r="I71" s="157"/>
    </row>
    <row r="72" spans="1:9" x14ac:dyDescent="0.3">
      <c r="A72" s="153">
        <v>2020</v>
      </c>
      <c r="B72" s="154">
        <v>613.53</v>
      </c>
      <c r="C72" s="154">
        <v>613.53</v>
      </c>
      <c r="D72" s="154">
        <v>613.53</v>
      </c>
      <c r="E72" s="154">
        <v>614.14</v>
      </c>
      <c r="F72" s="156">
        <v>79054</v>
      </c>
      <c r="G72" s="155">
        <v>128149</v>
      </c>
      <c r="H72" s="156"/>
    </row>
    <row r="73" spans="1:9" x14ac:dyDescent="0.3">
      <c r="A73" s="153">
        <v>2021</v>
      </c>
      <c r="B73" s="154">
        <v>615.37</v>
      </c>
      <c r="C73" s="154">
        <v>618.45000000000005</v>
      </c>
      <c r="D73" s="154">
        <v>626.49</v>
      </c>
      <c r="E73" s="154">
        <v>635.26</v>
      </c>
      <c r="F73" s="159">
        <v>79845</v>
      </c>
      <c r="G73" s="155">
        <v>129757</v>
      </c>
      <c r="H73" s="156"/>
    </row>
    <row r="74" spans="1:9" x14ac:dyDescent="0.3">
      <c r="A74" s="153">
        <v>2022</v>
      </c>
      <c r="B74" s="154">
        <v>642.25</v>
      </c>
      <c r="F74" s="155">
        <v>81761</v>
      </c>
      <c r="G74" s="155">
        <f>H74</f>
        <v>133141</v>
      </c>
      <c r="H74" s="158">
        <f>ROUNDUP(3*IF(E74&gt;0,B74+C74+D74+E74,IF(D74&gt;0,B74+C74+2*D74,IF(C74&gt;0,B74+3*C74,4*B74)))/15%+F74,0)</f>
        <v>133141</v>
      </c>
    </row>
    <row r="75" spans="1:9" x14ac:dyDescent="0.3">
      <c r="G75" s="155"/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6"/>
  <dimension ref="A1:Q43"/>
  <sheetViews>
    <sheetView workbookViewId="0">
      <pane xSplit="1" ySplit="4" topLeftCell="G38" activePane="bottomRight" state="frozen"/>
      <selection activeCell="N23" sqref="N23:N40"/>
      <selection pane="topRight" activeCell="N23" sqref="N23:N40"/>
      <selection pane="bottomLeft" activeCell="N23" sqref="N23:N40"/>
      <selection pane="bottomRight" activeCell="J44" sqref="J44"/>
    </sheetView>
  </sheetViews>
  <sheetFormatPr defaultColWidth="11.1640625" defaultRowHeight="15.6" x14ac:dyDescent="0.3"/>
  <cols>
    <col min="1" max="1" width="7.33203125" style="7" customWidth="1"/>
    <col min="2" max="2" width="7.6640625" style="7" bestFit="1" customWidth="1"/>
    <col min="3" max="15" width="11.1640625" style="7" customWidth="1"/>
    <col min="16" max="16" width="9.1640625" style="7" bestFit="1" customWidth="1"/>
    <col min="17" max="16384" width="11.1640625" style="7"/>
  </cols>
  <sheetData>
    <row r="1" spans="1:17" ht="18" x14ac:dyDescent="0.35">
      <c r="A1" s="160" t="s">
        <v>76</v>
      </c>
      <c r="B1" s="1"/>
      <c r="C1" s="1"/>
      <c r="P1" s="7" t="s">
        <v>148</v>
      </c>
      <c r="Q1" s="7">
        <f>COUNTA(A:A)+2</f>
        <v>43</v>
      </c>
    </row>
    <row r="2" spans="1:17" x14ac:dyDescent="0.3">
      <c r="A2" s="161"/>
      <c r="B2" s="45">
        <v>1</v>
      </c>
      <c r="C2" s="162" t="s">
        <v>175</v>
      </c>
      <c r="P2" s="7" t="s">
        <v>150</v>
      </c>
      <c r="Q2" s="7">
        <f ca="1">COUNTA(INDIRECT("A"&amp;Q1&amp;":M"&amp;Q1))-1</f>
        <v>10</v>
      </c>
    </row>
    <row r="3" spans="1:17" s="1" customFormat="1" ht="46.8" x14ac:dyDescent="0.3">
      <c r="A3" s="1" t="s">
        <v>97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  <c r="O3" s="164" t="s">
        <v>28</v>
      </c>
      <c r="P3" s="165" t="s">
        <v>149</v>
      </c>
      <c r="Q3" s="166">
        <f ca="1">DATE(INDIRECT("A"&amp;_lastRow),_lastMonth,1)</f>
        <v>44470</v>
      </c>
    </row>
    <row r="4" spans="1:17" s="167" customFormat="1" ht="46.8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  <c r="O4" s="168" t="s">
        <v>29</v>
      </c>
    </row>
    <row r="5" spans="1:17" x14ac:dyDescent="0.3">
      <c r="A5" s="25">
        <v>1983</v>
      </c>
      <c r="B5" s="31">
        <v>370.21</v>
      </c>
      <c r="C5" s="31">
        <v>373.77</v>
      </c>
      <c r="D5" s="31">
        <v>376.43</v>
      </c>
      <c r="E5" s="31">
        <v>378.85</v>
      </c>
      <c r="F5" s="31">
        <v>380.95</v>
      </c>
      <c r="G5" s="31">
        <v>384.3</v>
      </c>
      <c r="H5" s="31">
        <v>383.87</v>
      </c>
      <c r="I5" s="31">
        <v>385.1</v>
      </c>
      <c r="J5" s="31">
        <v>389.6</v>
      </c>
      <c r="K5" s="31">
        <v>389.9</v>
      </c>
      <c r="L5" s="31">
        <v>388.53</v>
      </c>
      <c r="M5" s="31">
        <v>390.57</v>
      </c>
      <c r="N5" s="17">
        <v>382.67333333333335</v>
      </c>
      <c r="O5" s="169"/>
    </row>
    <row r="6" spans="1:17" x14ac:dyDescent="0.3">
      <c r="A6" s="25">
        <v>1984</v>
      </c>
      <c r="B6" s="31">
        <v>395.05</v>
      </c>
      <c r="C6" s="31">
        <v>393.04</v>
      </c>
      <c r="D6" s="31">
        <v>394.14</v>
      </c>
      <c r="E6" s="31">
        <v>394.59</v>
      </c>
      <c r="F6" s="31">
        <v>396.38</v>
      </c>
      <c r="G6" s="31">
        <v>401.12</v>
      </c>
      <c r="H6" s="31">
        <v>398.5</v>
      </c>
      <c r="I6" s="31">
        <v>398.95</v>
      </c>
      <c r="J6" s="31">
        <v>402.77</v>
      </c>
      <c r="K6" s="31">
        <v>401.92</v>
      </c>
      <c r="L6" s="31">
        <v>403.8</v>
      </c>
      <c r="M6" s="31">
        <v>402.68</v>
      </c>
      <c r="N6" s="17">
        <v>398.57833333333332</v>
      </c>
      <c r="O6" s="169"/>
    </row>
    <row r="7" spans="1:17" x14ac:dyDescent="0.3">
      <c r="A7" s="25">
        <v>1985</v>
      </c>
      <c r="B7" s="31">
        <v>405.59</v>
      </c>
      <c r="C7" s="31">
        <v>406.05</v>
      </c>
      <c r="D7" s="31">
        <v>407.77</v>
      </c>
      <c r="E7" s="31">
        <v>409.51</v>
      </c>
      <c r="F7" s="31">
        <v>410.34</v>
      </c>
      <c r="G7" s="31">
        <v>413.71</v>
      </c>
      <c r="H7" s="31">
        <v>413.17</v>
      </c>
      <c r="I7" s="31">
        <v>413.37</v>
      </c>
      <c r="J7" s="31">
        <v>417.2</v>
      </c>
      <c r="K7" s="31">
        <v>417.88</v>
      </c>
      <c r="L7" s="31">
        <v>419.07</v>
      </c>
      <c r="M7" s="31">
        <v>418.52</v>
      </c>
      <c r="N7" s="17">
        <v>412.68166666666656</v>
      </c>
      <c r="O7" s="169"/>
    </row>
    <row r="8" spans="1:17" x14ac:dyDescent="0.3">
      <c r="A8" s="25">
        <v>1986</v>
      </c>
      <c r="B8" s="31">
        <v>422.33</v>
      </c>
      <c r="C8" s="31">
        <v>421.95</v>
      </c>
      <c r="D8" s="31">
        <v>422.09</v>
      </c>
      <c r="E8" s="31">
        <v>421.39</v>
      </c>
      <c r="F8" s="31">
        <v>419.98</v>
      </c>
      <c r="G8" s="31">
        <v>425.69</v>
      </c>
      <c r="H8" s="31">
        <v>426.45</v>
      </c>
      <c r="I8" s="31">
        <v>425.31</v>
      </c>
      <c r="J8" s="31">
        <v>428.27</v>
      </c>
      <c r="K8" s="31">
        <v>428.89</v>
      </c>
      <c r="L8" s="31">
        <v>429.18</v>
      </c>
      <c r="M8" s="31">
        <v>429.94</v>
      </c>
      <c r="N8" s="17">
        <v>425.1225</v>
      </c>
      <c r="O8" s="169"/>
    </row>
    <row r="9" spans="1:17" x14ac:dyDescent="0.3">
      <c r="A9" s="25">
        <v>1987</v>
      </c>
      <c r="B9" s="31">
        <v>433.03</v>
      </c>
      <c r="C9" s="31">
        <v>434.35</v>
      </c>
      <c r="D9" s="31">
        <v>434.31</v>
      </c>
      <c r="E9" s="31">
        <v>434.76</v>
      </c>
      <c r="F9" s="31">
        <v>438.23</v>
      </c>
      <c r="G9" s="31">
        <v>441.03</v>
      </c>
      <c r="H9" s="31">
        <v>440.65</v>
      </c>
      <c r="I9" s="31">
        <v>439.21</v>
      </c>
      <c r="J9" s="31">
        <v>446.5</v>
      </c>
      <c r="K9" s="31">
        <v>450.66</v>
      </c>
      <c r="L9" s="31">
        <v>451.05</v>
      </c>
      <c r="M9" s="31">
        <v>449.72</v>
      </c>
      <c r="N9" s="17">
        <v>441.125</v>
      </c>
      <c r="O9" s="169"/>
    </row>
    <row r="10" spans="1:17" x14ac:dyDescent="0.3">
      <c r="A10" s="25">
        <v>1988</v>
      </c>
      <c r="B10" s="31">
        <v>453.08</v>
      </c>
      <c r="C10" s="31">
        <v>453.8</v>
      </c>
      <c r="D10" s="31">
        <v>455.08</v>
      </c>
      <c r="E10" s="31">
        <v>458.33</v>
      </c>
      <c r="F10" s="31">
        <v>458.39</v>
      </c>
      <c r="G10" s="31">
        <v>460.69</v>
      </c>
      <c r="H10" s="31">
        <v>460.65</v>
      </c>
      <c r="I10" s="31">
        <v>461.43</v>
      </c>
      <c r="J10" s="31">
        <v>463.63</v>
      </c>
      <c r="K10" s="31">
        <v>465.7</v>
      </c>
      <c r="L10" s="31">
        <v>467.78</v>
      </c>
      <c r="M10" s="31">
        <v>468.55</v>
      </c>
      <c r="N10" s="17">
        <v>460.59249999999997</v>
      </c>
      <c r="O10" s="169"/>
    </row>
    <row r="11" spans="1:17" x14ac:dyDescent="0.3">
      <c r="A11" s="25">
        <v>1989</v>
      </c>
      <c r="B11" s="31">
        <v>471.69</v>
      </c>
      <c r="C11" s="31">
        <v>473.17</v>
      </c>
      <c r="D11" s="31">
        <v>475.99</v>
      </c>
      <c r="E11" s="31">
        <v>479.03</v>
      </c>
      <c r="F11" s="31">
        <v>479.99</v>
      </c>
      <c r="G11" s="31">
        <v>485.89</v>
      </c>
      <c r="H11" s="31">
        <v>484.27</v>
      </c>
      <c r="I11" s="31">
        <v>488.78</v>
      </c>
      <c r="J11" s="31">
        <v>493.59</v>
      </c>
      <c r="K11" s="31">
        <v>493.25</v>
      </c>
      <c r="L11" s="31">
        <v>491.54</v>
      </c>
      <c r="M11" s="31">
        <v>491.98</v>
      </c>
      <c r="N11" s="17">
        <v>484.09750000000003</v>
      </c>
      <c r="O11" s="170">
        <v>492.12</v>
      </c>
    </row>
    <row r="12" spans="1:17" x14ac:dyDescent="0.3">
      <c r="A12" s="25">
        <v>1990</v>
      </c>
      <c r="B12" s="31">
        <v>496.38</v>
      </c>
      <c r="C12" s="31">
        <v>493.7</v>
      </c>
      <c r="D12" s="31">
        <v>497.3</v>
      </c>
      <c r="E12" s="31">
        <v>500.63</v>
      </c>
      <c r="F12" s="31">
        <v>502.06</v>
      </c>
      <c r="G12" s="31">
        <v>505.73</v>
      </c>
      <c r="H12" s="31">
        <v>507.46</v>
      </c>
      <c r="I12" s="31">
        <v>511.47</v>
      </c>
      <c r="J12" s="31">
        <v>513.61</v>
      </c>
      <c r="K12" s="31">
        <v>515.65</v>
      </c>
      <c r="L12" s="31">
        <v>515.12</v>
      </c>
      <c r="M12" s="31">
        <v>515.01</v>
      </c>
      <c r="N12" s="17">
        <v>506.17666666666656</v>
      </c>
      <c r="O12" s="170">
        <v>516.97</v>
      </c>
      <c r="P12" s="171"/>
    </row>
    <row r="13" spans="1:17" x14ac:dyDescent="0.3">
      <c r="A13" s="25">
        <v>1991</v>
      </c>
      <c r="B13" s="31">
        <v>542.05999999999995</v>
      </c>
      <c r="C13" s="31">
        <v>546.4</v>
      </c>
      <c r="D13" s="31">
        <v>548.13</v>
      </c>
      <c r="E13" s="31">
        <v>550.49</v>
      </c>
      <c r="F13" s="31">
        <v>553.82000000000005</v>
      </c>
      <c r="G13" s="31">
        <v>553.44000000000005</v>
      </c>
      <c r="H13" s="31">
        <v>552.91</v>
      </c>
      <c r="I13" s="31">
        <v>555.61</v>
      </c>
      <c r="J13" s="31">
        <v>555.69000000000005</v>
      </c>
      <c r="K13" s="31">
        <v>558.98</v>
      </c>
      <c r="L13" s="31">
        <v>558.85</v>
      </c>
      <c r="M13" s="31">
        <v>561.52</v>
      </c>
      <c r="N13" s="17">
        <v>553.1583333333333</v>
      </c>
      <c r="O13" s="170">
        <v>541.99</v>
      </c>
      <c r="P13" s="171"/>
    </row>
    <row r="14" spans="1:17" x14ac:dyDescent="0.3">
      <c r="A14" s="25">
        <v>1992</v>
      </c>
      <c r="B14" s="31">
        <v>564.32000000000005</v>
      </c>
      <c r="C14" s="31">
        <v>565.30999999999995</v>
      </c>
      <c r="D14" s="31">
        <v>563.13</v>
      </c>
      <c r="E14" s="31">
        <v>566.91</v>
      </c>
      <c r="F14" s="31">
        <v>573.51</v>
      </c>
      <c r="G14" s="31">
        <v>571.30999999999995</v>
      </c>
      <c r="H14" s="31">
        <v>573.28</v>
      </c>
      <c r="I14" s="31">
        <v>575.16</v>
      </c>
      <c r="J14" s="31">
        <v>576.22</v>
      </c>
      <c r="K14" s="31">
        <v>578.91999999999996</v>
      </c>
      <c r="L14" s="31">
        <v>579.83000000000004</v>
      </c>
      <c r="M14" s="31">
        <v>580.15</v>
      </c>
      <c r="N14" s="17">
        <v>572.33749999999998</v>
      </c>
      <c r="O14" s="172">
        <v>562.33750000000009</v>
      </c>
      <c r="P14" s="171"/>
    </row>
    <row r="15" spans="1:17" x14ac:dyDescent="0.3">
      <c r="A15" s="25">
        <v>1993</v>
      </c>
      <c r="B15" s="31">
        <v>580.79</v>
      </c>
      <c r="C15" s="31">
        <v>580.36</v>
      </c>
      <c r="D15" s="31">
        <v>580.66999999999996</v>
      </c>
      <c r="E15" s="31">
        <v>582.83000000000004</v>
      </c>
      <c r="F15" s="31">
        <v>581.63</v>
      </c>
      <c r="G15" s="31">
        <v>581.63</v>
      </c>
      <c r="H15" s="31">
        <v>584.36</v>
      </c>
      <c r="I15" s="31">
        <v>584.02</v>
      </c>
      <c r="J15" s="31">
        <v>584.63</v>
      </c>
      <c r="K15" s="31">
        <v>583.75</v>
      </c>
      <c r="L15" s="31">
        <v>584.41</v>
      </c>
      <c r="M15" s="31">
        <v>585.03</v>
      </c>
      <c r="N15" s="17">
        <v>582.84250000000009</v>
      </c>
      <c r="O15" s="172">
        <v>579.28916666666669</v>
      </c>
      <c r="P15" s="171"/>
    </row>
    <row r="16" spans="1:17" x14ac:dyDescent="0.3">
      <c r="A16" s="25">
        <v>1994</v>
      </c>
      <c r="B16" s="31">
        <v>586.88</v>
      </c>
      <c r="C16" s="31">
        <v>586.79999999999995</v>
      </c>
      <c r="D16" s="31">
        <v>589.45000000000005</v>
      </c>
      <c r="E16" s="31">
        <v>592.42999999999995</v>
      </c>
      <c r="F16" s="31">
        <v>591.87</v>
      </c>
      <c r="G16" s="31">
        <v>594</v>
      </c>
      <c r="H16" s="31">
        <v>596.32000000000005</v>
      </c>
      <c r="I16" s="31">
        <v>593.48</v>
      </c>
      <c r="J16" s="31">
        <v>595.87</v>
      </c>
      <c r="K16" s="31">
        <v>594.71</v>
      </c>
      <c r="L16" s="31">
        <v>596.20000000000005</v>
      </c>
      <c r="M16" s="31">
        <v>595.76</v>
      </c>
      <c r="N16" s="17">
        <v>592.81416666666667</v>
      </c>
      <c r="O16" s="172">
        <v>587.3024999999999</v>
      </c>
      <c r="P16" s="171"/>
    </row>
    <row r="17" spans="1:16" x14ac:dyDescent="0.3">
      <c r="A17" s="25">
        <v>1995</v>
      </c>
      <c r="B17" s="31">
        <v>596.55999999999995</v>
      </c>
      <c r="C17" s="31">
        <v>597.6</v>
      </c>
      <c r="D17" s="31">
        <v>598.54</v>
      </c>
      <c r="E17" s="31">
        <v>594.34</v>
      </c>
      <c r="F17" s="31">
        <v>594.75</v>
      </c>
      <c r="G17" s="31">
        <v>597.5</v>
      </c>
      <c r="H17" s="31">
        <v>596.47</v>
      </c>
      <c r="I17" s="31">
        <v>600.34</v>
      </c>
      <c r="J17" s="31">
        <v>601.85</v>
      </c>
      <c r="K17" s="31">
        <v>599.80999999999995</v>
      </c>
      <c r="L17" s="31">
        <v>602.15</v>
      </c>
      <c r="M17" s="31">
        <v>604.11</v>
      </c>
      <c r="N17" s="17">
        <v>598.66833333333329</v>
      </c>
      <c r="O17" s="172">
        <v>595.96916666666664</v>
      </c>
      <c r="P17" s="171"/>
    </row>
    <row r="18" spans="1:16" x14ac:dyDescent="0.3">
      <c r="A18" s="25">
        <v>1996</v>
      </c>
      <c r="B18" s="31">
        <v>598.79999999999995</v>
      </c>
      <c r="C18" s="31">
        <v>602.82000000000005</v>
      </c>
      <c r="D18" s="31">
        <v>605.12</v>
      </c>
      <c r="E18" s="31">
        <v>601.70000000000005</v>
      </c>
      <c r="F18" s="31">
        <v>610.17999999999995</v>
      </c>
      <c r="G18" s="31">
        <v>612.82000000000005</v>
      </c>
      <c r="H18" s="31">
        <v>611.76</v>
      </c>
      <c r="I18" s="31">
        <v>614.77</v>
      </c>
      <c r="J18" s="31">
        <v>614.36</v>
      </c>
      <c r="K18" s="31">
        <v>620.21</v>
      </c>
      <c r="L18" s="31">
        <v>619.12</v>
      </c>
      <c r="M18" s="31">
        <v>620.13</v>
      </c>
      <c r="N18" s="17">
        <v>610.98249999999996</v>
      </c>
      <c r="O18" s="172">
        <v>603.0141666666666</v>
      </c>
      <c r="P18" s="171"/>
    </row>
    <row r="19" spans="1:16" x14ac:dyDescent="0.3">
      <c r="A19" s="25">
        <v>1997</v>
      </c>
      <c r="B19" s="31">
        <v>621.5</v>
      </c>
      <c r="C19" s="31">
        <v>620.20000000000005</v>
      </c>
      <c r="D19" s="31">
        <v>620.92999999999995</v>
      </c>
      <c r="E19" s="31">
        <v>622.26</v>
      </c>
      <c r="F19" s="31">
        <v>629.19000000000005</v>
      </c>
      <c r="G19" s="31">
        <v>621.76</v>
      </c>
      <c r="H19" s="31">
        <v>622.36</v>
      </c>
      <c r="I19" s="31">
        <v>622.04999999999995</v>
      </c>
      <c r="J19" s="31">
        <v>624.6</v>
      </c>
      <c r="K19" s="31">
        <v>624.02</v>
      </c>
      <c r="L19" s="31">
        <v>626.91</v>
      </c>
      <c r="M19" s="31">
        <v>625.53</v>
      </c>
      <c r="N19" s="17">
        <v>623.4425</v>
      </c>
      <c r="O19" s="172">
        <v>619.6825</v>
      </c>
      <c r="P19" s="171"/>
    </row>
    <row r="20" spans="1:16" x14ac:dyDescent="0.3">
      <c r="A20" s="25">
        <v>1998</v>
      </c>
      <c r="B20" s="31">
        <v>631.04</v>
      </c>
      <c r="C20" s="31">
        <v>634.04</v>
      </c>
      <c r="D20" s="31">
        <v>632.26</v>
      </c>
      <c r="E20" s="31">
        <v>633.63</v>
      </c>
      <c r="F20" s="31">
        <v>630.98</v>
      </c>
      <c r="G20" s="31">
        <v>630.92999999999995</v>
      </c>
      <c r="H20" s="31">
        <v>630.55999999999995</v>
      </c>
      <c r="I20" s="31">
        <v>632.17999999999995</v>
      </c>
      <c r="J20" s="31">
        <v>631.65</v>
      </c>
      <c r="K20" s="31">
        <v>635.25</v>
      </c>
      <c r="L20" s="31">
        <v>634.57000000000005</v>
      </c>
      <c r="M20" s="31">
        <v>636.15</v>
      </c>
      <c r="N20" s="17">
        <v>632.76999999999987</v>
      </c>
      <c r="O20" s="172">
        <v>628.19583333333333</v>
      </c>
      <c r="P20" s="173"/>
    </row>
    <row r="21" spans="1:16" x14ac:dyDescent="0.3">
      <c r="A21" s="25">
        <v>1999</v>
      </c>
      <c r="B21" s="31">
        <v>633.85</v>
      </c>
      <c r="C21" s="31">
        <v>634.9</v>
      </c>
      <c r="D21" s="31">
        <v>635.6</v>
      </c>
      <c r="E21" s="31">
        <v>638.20000000000005</v>
      </c>
      <c r="F21" s="31">
        <v>640.74</v>
      </c>
      <c r="G21" s="31">
        <v>640.82000000000005</v>
      </c>
      <c r="H21" s="31">
        <v>643.75</v>
      </c>
      <c r="I21" s="31">
        <v>642.33000000000004</v>
      </c>
      <c r="J21" s="31">
        <v>643.04999999999995</v>
      </c>
      <c r="K21" s="31">
        <v>642.54999999999995</v>
      </c>
      <c r="L21" s="31">
        <v>642.95000000000005</v>
      </c>
      <c r="M21" s="31">
        <v>646.45000000000005</v>
      </c>
      <c r="N21" s="17">
        <v>640.4325</v>
      </c>
      <c r="O21" s="172">
        <v>635.37249999999995</v>
      </c>
      <c r="P21" s="173"/>
    </row>
    <row r="22" spans="1:16" x14ac:dyDescent="0.3">
      <c r="A22" s="25">
        <v>2000</v>
      </c>
      <c r="B22" s="31">
        <v>647.9</v>
      </c>
      <c r="C22" s="31">
        <v>649.30999999999995</v>
      </c>
      <c r="D22" s="31">
        <v>651.54</v>
      </c>
      <c r="E22" s="31">
        <v>652.33000000000004</v>
      </c>
      <c r="F22" s="31">
        <v>654.89</v>
      </c>
      <c r="G22" s="31">
        <v>655.49</v>
      </c>
      <c r="H22" s="31">
        <v>656.49</v>
      </c>
      <c r="I22" s="31">
        <v>658.82</v>
      </c>
      <c r="J22" s="31">
        <v>659.15</v>
      </c>
      <c r="K22" s="31">
        <v>659</v>
      </c>
      <c r="L22" s="31">
        <v>660.44</v>
      </c>
      <c r="M22" s="31">
        <v>660.46</v>
      </c>
      <c r="N22" s="17">
        <f>AVERAGE(B22:M22)</f>
        <v>655.4849999999999</v>
      </c>
      <c r="O22" s="174">
        <f>SUM(B22:G22,H21:M21)/12</f>
        <v>647.7116666666667</v>
      </c>
      <c r="P22" s="173"/>
    </row>
    <row r="23" spans="1:16" x14ac:dyDescent="0.3">
      <c r="A23" s="25">
        <v>2001</v>
      </c>
      <c r="B23" s="31">
        <v>657.36</v>
      </c>
      <c r="C23" s="31">
        <v>653.79999999999995</v>
      </c>
      <c r="D23" s="31">
        <v>655.36</v>
      </c>
      <c r="E23" s="31">
        <v>652.70000000000005</v>
      </c>
      <c r="F23" s="31">
        <v>652.49</v>
      </c>
      <c r="G23" s="31">
        <v>657.04</v>
      </c>
      <c r="H23" s="31">
        <v>656.66</v>
      </c>
      <c r="I23" s="31">
        <v>659.76</v>
      </c>
      <c r="J23" s="31">
        <v>660.23</v>
      </c>
      <c r="K23" s="31">
        <v>661.26</v>
      </c>
      <c r="L23" s="31">
        <v>660.01</v>
      </c>
      <c r="M23" s="31">
        <v>660.59</v>
      </c>
      <c r="N23" s="17">
        <f t="shared" ref="N23:N41" si="0">AVERAGE(B23:M23)</f>
        <v>657.27166666666665</v>
      </c>
      <c r="O23" s="174">
        <f t="shared" ref="O23:O42" si="1">SUM(B23:G23,H22:M22)/12</f>
        <v>656.92583333333334</v>
      </c>
      <c r="P23" s="173"/>
    </row>
    <row r="24" spans="1:16" x14ac:dyDescent="0.3">
      <c r="A24" s="25">
        <v>2002</v>
      </c>
      <c r="B24" s="31">
        <v>663.43</v>
      </c>
      <c r="C24" s="31">
        <v>660.14</v>
      </c>
      <c r="D24" s="31">
        <v>667.56</v>
      </c>
      <c r="E24" s="31">
        <v>672.36</v>
      </c>
      <c r="F24" s="31">
        <v>671.84</v>
      </c>
      <c r="G24" s="31">
        <v>670.72</v>
      </c>
      <c r="H24" s="31">
        <v>677.13</v>
      </c>
      <c r="I24" s="31">
        <v>672.56</v>
      </c>
      <c r="J24" s="31">
        <v>674.26</v>
      </c>
      <c r="K24" s="31">
        <v>679.68</v>
      </c>
      <c r="L24" s="31">
        <v>680.67</v>
      </c>
      <c r="M24" s="31">
        <v>685.58</v>
      </c>
      <c r="N24" s="17">
        <f t="shared" si="0"/>
        <v>672.99416666666673</v>
      </c>
      <c r="O24" s="174">
        <f t="shared" si="1"/>
        <v>663.71333333333348</v>
      </c>
      <c r="P24" s="173"/>
    </row>
    <row r="25" spans="1:16" x14ac:dyDescent="0.3">
      <c r="A25" s="25">
        <v>2003</v>
      </c>
      <c r="B25" s="31">
        <v>680.76</v>
      </c>
      <c r="C25" s="31">
        <v>687.27</v>
      </c>
      <c r="D25" s="31">
        <v>682.67</v>
      </c>
      <c r="E25" s="31">
        <v>686.14</v>
      </c>
      <c r="F25" s="31">
        <v>685.09</v>
      </c>
      <c r="G25" s="31">
        <v>691.71</v>
      </c>
      <c r="H25" s="31">
        <v>691.14</v>
      </c>
      <c r="I25" s="31">
        <v>694.46</v>
      </c>
      <c r="J25" s="31">
        <v>697.48</v>
      </c>
      <c r="K25" s="31">
        <v>697.16</v>
      </c>
      <c r="L25" s="31">
        <v>700.71</v>
      </c>
      <c r="M25" s="31">
        <v>698.74</v>
      </c>
      <c r="N25" s="17">
        <f t="shared" si="0"/>
        <v>691.11083333333329</v>
      </c>
      <c r="O25" s="174">
        <f t="shared" si="1"/>
        <v>681.96</v>
      </c>
      <c r="P25" s="173"/>
    </row>
    <row r="26" spans="1:16" x14ac:dyDescent="0.3">
      <c r="A26" s="25">
        <v>2004</v>
      </c>
      <c r="B26" s="31">
        <v>702.22</v>
      </c>
      <c r="C26" s="31">
        <v>701.78</v>
      </c>
      <c r="D26" s="31">
        <v>705.41</v>
      </c>
      <c r="E26" s="31">
        <v>704.46</v>
      </c>
      <c r="F26" s="31">
        <v>710.26</v>
      </c>
      <c r="G26" s="31">
        <v>706.1</v>
      </c>
      <c r="H26" s="31">
        <v>708.99</v>
      </c>
      <c r="I26" s="31">
        <v>711.69</v>
      </c>
      <c r="J26" s="31">
        <v>710.76</v>
      </c>
      <c r="K26" s="31">
        <v>712.35</v>
      </c>
      <c r="L26" s="31">
        <v>717.21</v>
      </c>
      <c r="M26" s="31">
        <v>719.76</v>
      </c>
      <c r="N26" s="17">
        <f t="shared" si="0"/>
        <v>709.24916666666661</v>
      </c>
      <c r="O26" s="174">
        <f t="shared" si="1"/>
        <v>700.82666666666682</v>
      </c>
      <c r="P26" s="173"/>
    </row>
    <row r="27" spans="1:16" x14ac:dyDescent="0.3">
      <c r="A27" s="25">
        <v>2005</v>
      </c>
      <c r="B27" s="31">
        <v>725.52</v>
      </c>
      <c r="C27" s="31">
        <v>731.97</v>
      </c>
      <c r="D27" s="31">
        <v>725.61</v>
      </c>
      <c r="E27" s="31">
        <v>728.85</v>
      </c>
      <c r="F27" s="31">
        <v>733.28</v>
      </c>
      <c r="G27" s="31">
        <v>735.74</v>
      </c>
      <c r="H27" s="31">
        <v>736.06</v>
      </c>
      <c r="I27" s="31">
        <v>741.6</v>
      </c>
      <c r="J27" s="31">
        <v>749.58</v>
      </c>
      <c r="K27" s="31">
        <v>745.78</v>
      </c>
      <c r="L27" s="31">
        <v>745.05</v>
      </c>
      <c r="M27" s="31">
        <v>744.17</v>
      </c>
      <c r="N27" s="17">
        <f t="shared" si="0"/>
        <v>736.93416666666656</v>
      </c>
      <c r="O27" s="174">
        <f t="shared" si="1"/>
        <v>721.81083333333333</v>
      </c>
      <c r="P27" s="173"/>
    </row>
    <row r="28" spans="1:16" x14ac:dyDescent="0.3">
      <c r="A28" s="25">
        <v>2006</v>
      </c>
      <c r="B28" s="31">
        <v>745.93</v>
      </c>
      <c r="C28" s="31">
        <v>745.79</v>
      </c>
      <c r="D28" s="31">
        <v>748.55</v>
      </c>
      <c r="E28" s="31">
        <v>750.74</v>
      </c>
      <c r="F28" s="31">
        <v>751.16</v>
      </c>
      <c r="G28" s="31">
        <v>751.96</v>
      </c>
      <c r="H28" s="31">
        <v>754.66</v>
      </c>
      <c r="I28" s="31">
        <v>759.03</v>
      </c>
      <c r="J28" s="31">
        <v>756.71</v>
      </c>
      <c r="K28" s="31">
        <v>762.36</v>
      </c>
      <c r="L28" s="31">
        <v>761.12</v>
      </c>
      <c r="M28" s="31">
        <v>772.69</v>
      </c>
      <c r="N28" s="17">
        <f t="shared" si="0"/>
        <v>755.05833333333328</v>
      </c>
      <c r="O28" s="174">
        <f t="shared" si="1"/>
        <v>746.36416666666662</v>
      </c>
      <c r="P28" s="173"/>
    </row>
    <row r="29" spans="1:16" x14ac:dyDescent="0.3">
      <c r="A29" s="25">
        <v>2007</v>
      </c>
      <c r="B29" s="31">
        <v>774.05</v>
      </c>
      <c r="C29" s="31">
        <v>771.19</v>
      </c>
      <c r="D29" s="31">
        <v>780.84</v>
      </c>
      <c r="E29" s="31">
        <v>781.61</v>
      </c>
      <c r="F29" s="31">
        <v>786.14</v>
      </c>
      <c r="G29" s="31">
        <v>790.91</v>
      </c>
      <c r="H29" s="31">
        <v>791.97</v>
      </c>
      <c r="I29" s="31">
        <v>789.5</v>
      </c>
      <c r="J29" s="31">
        <v>790.82</v>
      </c>
      <c r="K29" s="31">
        <v>794.07</v>
      </c>
      <c r="L29" s="31">
        <v>799.65</v>
      </c>
      <c r="M29" s="31">
        <v>798.51</v>
      </c>
      <c r="N29" s="17">
        <f t="shared" si="0"/>
        <v>787.43833333333339</v>
      </c>
      <c r="O29" s="174">
        <f t="shared" si="1"/>
        <v>770.9425</v>
      </c>
      <c r="P29" s="173"/>
    </row>
    <row r="30" spans="1:16" x14ac:dyDescent="0.3">
      <c r="A30" s="25">
        <v>2008</v>
      </c>
      <c r="B30" s="31">
        <v>798.25</v>
      </c>
      <c r="C30" s="31">
        <v>803.71</v>
      </c>
      <c r="D30" s="31">
        <v>805.58</v>
      </c>
      <c r="E30" s="31">
        <v>809.15</v>
      </c>
      <c r="F30" s="31">
        <v>808.82</v>
      </c>
      <c r="G30" s="31">
        <v>809.74</v>
      </c>
      <c r="H30" s="31">
        <v>811.17</v>
      </c>
      <c r="I30" s="31">
        <v>811.74</v>
      </c>
      <c r="J30" s="31">
        <v>813.44</v>
      </c>
      <c r="K30" s="31">
        <v>818.07</v>
      </c>
      <c r="L30" s="31">
        <v>818.7</v>
      </c>
      <c r="M30" s="31">
        <v>813.41</v>
      </c>
      <c r="N30" s="17">
        <f t="shared" si="0"/>
        <v>810.14833333333343</v>
      </c>
      <c r="O30" s="174">
        <f t="shared" si="1"/>
        <v>799.98083333333341</v>
      </c>
      <c r="P30" s="173"/>
    </row>
    <row r="31" spans="1:16" x14ac:dyDescent="0.3">
      <c r="A31" s="25">
        <v>2009</v>
      </c>
      <c r="B31" s="31">
        <v>815.93</v>
      </c>
      <c r="C31" s="31">
        <v>818.61</v>
      </c>
      <c r="D31" s="31">
        <v>820.04</v>
      </c>
      <c r="E31" s="31">
        <v>817.69</v>
      </c>
      <c r="F31" s="31">
        <v>818.17</v>
      </c>
      <c r="G31" s="31">
        <v>821.24</v>
      </c>
      <c r="H31" s="31">
        <v>822.34</v>
      </c>
      <c r="I31" s="31">
        <v>821.94</v>
      </c>
      <c r="J31" s="31">
        <v>827.12</v>
      </c>
      <c r="K31" s="31">
        <v>825.41</v>
      </c>
      <c r="L31" s="31">
        <v>828.18</v>
      </c>
      <c r="M31" s="31">
        <v>833.11</v>
      </c>
      <c r="N31" s="17">
        <f t="shared" si="0"/>
        <v>822.48166666666691</v>
      </c>
      <c r="O31" s="174">
        <f t="shared" si="1"/>
        <v>816.51750000000004</v>
      </c>
      <c r="P31" s="173"/>
    </row>
    <row r="32" spans="1:16" x14ac:dyDescent="0.3">
      <c r="A32" s="25">
        <v>2010</v>
      </c>
      <c r="B32" s="31">
        <v>834.37</v>
      </c>
      <c r="C32" s="31">
        <v>841.55</v>
      </c>
      <c r="D32" s="31">
        <v>841.96</v>
      </c>
      <c r="E32" s="31">
        <v>845.81</v>
      </c>
      <c r="F32" s="31">
        <v>847.03</v>
      </c>
      <c r="G32" s="31">
        <v>850.35</v>
      </c>
      <c r="H32" s="31">
        <v>853.51</v>
      </c>
      <c r="I32" s="31">
        <v>858.6</v>
      </c>
      <c r="J32" s="31">
        <v>864.38</v>
      </c>
      <c r="K32" s="31">
        <v>860.06</v>
      </c>
      <c r="L32" s="31">
        <v>863.78</v>
      </c>
      <c r="M32" s="31">
        <v>866.3</v>
      </c>
      <c r="N32" s="17">
        <f t="shared" si="0"/>
        <v>852.30833333333339</v>
      </c>
      <c r="O32" s="174">
        <f t="shared" si="1"/>
        <v>834.93083333333345</v>
      </c>
      <c r="P32" s="173"/>
    </row>
    <row r="33" spans="1:16" x14ac:dyDescent="0.3">
      <c r="A33" s="25">
        <v>2011</v>
      </c>
      <c r="B33" s="31">
        <v>872.71</v>
      </c>
      <c r="C33" s="31">
        <v>870.82</v>
      </c>
      <c r="D33" s="31">
        <v>870.34</v>
      </c>
      <c r="E33" s="31">
        <v>870.25</v>
      </c>
      <c r="F33" s="31">
        <v>871.52</v>
      </c>
      <c r="G33" s="31">
        <v>870.45</v>
      </c>
      <c r="H33" s="31">
        <v>868.93</v>
      </c>
      <c r="I33" s="31">
        <v>872.66</v>
      </c>
      <c r="J33" s="31">
        <v>872.46</v>
      </c>
      <c r="K33" s="31">
        <v>881.93</v>
      </c>
      <c r="L33" s="31">
        <v>880.34</v>
      </c>
      <c r="M33" s="31">
        <v>881</v>
      </c>
      <c r="N33" s="17">
        <f t="shared" si="0"/>
        <v>873.61749999999995</v>
      </c>
      <c r="O33" s="174">
        <f t="shared" si="1"/>
        <v>866.06000000000006</v>
      </c>
      <c r="P33" s="173"/>
    </row>
    <row r="34" spans="1:16" x14ac:dyDescent="0.3">
      <c r="A34" s="25">
        <v>2012</v>
      </c>
      <c r="B34" s="31">
        <v>885.02</v>
      </c>
      <c r="C34" s="31">
        <v>881.15</v>
      </c>
      <c r="D34" s="31">
        <v>887.03</v>
      </c>
      <c r="E34" s="31">
        <v>889.75</v>
      </c>
      <c r="F34" s="31">
        <v>890.13</v>
      </c>
      <c r="G34" s="31">
        <v>893.86</v>
      </c>
      <c r="H34" s="31">
        <v>900.62</v>
      </c>
      <c r="I34" s="31">
        <v>904.36</v>
      </c>
      <c r="J34" s="31">
        <v>902.63</v>
      </c>
      <c r="K34" s="31">
        <v>903.21</v>
      </c>
      <c r="L34" s="31">
        <v>904.13</v>
      </c>
      <c r="M34" s="31">
        <v>903.6</v>
      </c>
      <c r="N34" s="17">
        <f t="shared" si="0"/>
        <v>895.45749999999987</v>
      </c>
      <c r="O34" s="174">
        <f t="shared" si="1"/>
        <v>882.02166666666665</v>
      </c>
    </row>
    <row r="35" spans="1:16" x14ac:dyDescent="0.3">
      <c r="A35" s="25">
        <v>2013</v>
      </c>
      <c r="B35" s="31">
        <v>900.97</v>
      </c>
      <c r="C35" s="31">
        <v>905.53</v>
      </c>
      <c r="D35" s="31">
        <v>903.49</v>
      </c>
      <c r="E35" s="31">
        <v>904.68</v>
      </c>
      <c r="F35" s="31">
        <v>913.07</v>
      </c>
      <c r="G35" s="31">
        <v>910.51</v>
      </c>
      <c r="H35" s="31">
        <v>909.77</v>
      </c>
      <c r="I35" s="31">
        <v>911.65</v>
      </c>
      <c r="J35" s="31">
        <v>912.83</v>
      </c>
      <c r="K35" s="31">
        <v>916.54</v>
      </c>
      <c r="L35" s="31">
        <v>922.98</v>
      </c>
      <c r="M35" s="31">
        <v>924.25</v>
      </c>
      <c r="N35" s="17">
        <f t="shared" si="0"/>
        <v>911.35583333333341</v>
      </c>
      <c r="O35" s="174">
        <f t="shared" si="1"/>
        <v>904.73333333333323</v>
      </c>
      <c r="P35" s="173"/>
    </row>
    <row r="36" spans="1:16" x14ac:dyDescent="0.3">
      <c r="A36" s="25">
        <v>2014</v>
      </c>
      <c r="B36" s="31">
        <v>923.42</v>
      </c>
      <c r="C36" s="31">
        <v>926.66</v>
      </c>
      <c r="D36" s="31">
        <v>926.88</v>
      </c>
      <c r="E36" s="31">
        <v>931.65</v>
      </c>
      <c r="F36" s="31">
        <v>935.92</v>
      </c>
      <c r="G36" s="31">
        <v>936.81</v>
      </c>
      <c r="H36" s="31">
        <v>942.51</v>
      </c>
      <c r="I36" s="31">
        <v>940.29</v>
      </c>
      <c r="J36" s="31">
        <v>940.38</v>
      </c>
      <c r="K36" s="31">
        <v>942.04</v>
      </c>
      <c r="L36" s="31">
        <v>938.94</v>
      </c>
      <c r="M36" s="31">
        <v>939.77</v>
      </c>
      <c r="N36" s="17">
        <f t="shared" si="0"/>
        <v>935.43916666666689</v>
      </c>
      <c r="O36" s="174">
        <f t="shared" si="1"/>
        <v>923.28000000000009</v>
      </c>
      <c r="P36" s="173"/>
    </row>
    <row r="37" spans="1:16" x14ac:dyDescent="0.3">
      <c r="A37" s="25">
        <v>2015</v>
      </c>
      <c r="B37" s="31">
        <v>948.65</v>
      </c>
      <c r="C37" s="31">
        <v>949.77</v>
      </c>
      <c r="D37" s="31">
        <v>951.79</v>
      </c>
      <c r="E37" s="31">
        <v>954.57</v>
      </c>
      <c r="F37" s="31">
        <v>948.63</v>
      </c>
      <c r="G37" s="31">
        <v>953.66</v>
      </c>
      <c r="H37" s="31">
        <v>957.49</v>
      </c>
      <c r="I37" s="31">
        <v>945.5</v>
      </c>
      <c r="J37" s="31">
        <v>954.29</v>
      </c>
      <c r="K37" s="31">
        <v>955.64</v>
      </c>
      <c r="L37" s="31">
        <v>951.61</v>
      </c>
      <c r="M37" s="31">
        <v>954.61</v>
      </c>
      <c r="N37" s="17">
        <f t="shared" si="0"/>
        <v>952.18416666666656</v>
      </c>
      <c r="O37" s="174">
        <f t="shared" si="1"/>
        <v>945.91666666666686</v>
      </c>
      <c r="P37" s="173"/>
    </row>
    <row r="38" spans="1:16" x14ac:dyDescent="0.3">
      <c r="A38" s="7">
        <v>2016</v>
      </c>
      <c r="B38" s="31">
        <v>949.98</v>
      </c>
      <c r="C38" s="31">
        <v>954.32</v>
      </c>
      <c r="D38" s="31">
        <v>956.18</v>
      </c>
      <c r="E38" s="31">
        <v>953.4</v>
      </c>
      <c r="F38" s="31">
        <v>955.25</v>
      </c>
      <c r="G38" s="31">
        <v>957.26</v>
      </c>
      <c r="H38" s="31">
        <v>957.34</v>
      </c>
      <c r="I38" s="31">
        <v>959.01</v>
      </c>
      <c r="J38" s="31">
        <v>955.65</v>
      </c>
      <c r="K38" s="31">
        <v>954.86</v>
      </c>
      <c r="L38" s="31">
        <v>959.85</v>
      </c>
      <c r="M38" s="31">
        <v>968.01</v>
      </c>
      <c r="N38" s="17">
        <f t="shared" si="0"/>
        <v>956.75916666666683</v>
      </c>
      <c r="O38" s="174">
        <f t="shared" si="1"/>
        <v>953.79416666666668</v>
      </c>
    </row>
    <row r="39" spans="1:16" x14ac:dyDescent="0.3">
      <c r="A39" s="7">
        <v>2017</v>
      </c>
      <c r="B39" s="31">
        <v>967.07</v>
      </c>
      <c r="C39" s="31">
        <v>964.56</v>
      </c>
      <c r="D39" s="31">
        <v>967.22</v>
      </c>
      <c r="E39" s="31">
        <v>971.86</v>
      </c>
      <c r="F39" s="31">
        <v>971.2</v>
      </c>
      <c r="G39" s="31">
        <v>972.81</v>
      </c>
      <c r="H39" s="31">
        <v>970.31</v>
      </c>
      <c r="I39" s="31">
        <v>977.12</v>
      </c>
      <c r="J39" s="31">
        <v>985.81</v>
      </c>
      <c r="K39" s="31">
        <v>982.76</v>
      </c>
      <c r="L39" s="31">
        <v>990.34</v>
      </c>
      <c r="M39" s="31">
        <v>991.42</v>
      </c>
      <c r="N39" s="17">
        <f t="shared" si="0"/>
        <v>976.04000000000008</v>
      </c>
      <c r="O39" s="174">
        <f t="shared" si="1"/>
        <v>964.12000000000023</v>
      </c>
    </row>
    <row r="40" spans="1:16" x14ac:dyDescent="0.3">
      <c r="A40" s="7">
        <v>2018</v>
      </c>
      <c r="B40" s="31">
        <v>991.9</v>
      </c>
      <c r="C40" s="31">
        <v>999.31</v>
      </c>
      <c r="D40" s="31">
        <v>998.33</v>
      </c>
      <c r="E40" s="31">
        <v>994.55</v>
      </c>
      <c r="F40" s="31">
        <v>996.59</v>
      </c>
      <c r="G40" s="31">
        <v>1002.64</v>
      </c>
      <c r="H40" s="31">
        <v>1000.16</v>
      </c>
      <c r="I40" s="31">
        <v>1005.96</v>
      </c>
      <c r="J40" s="31">
        <v>1000.51</v>
      </c>
      <c r="K40" s="31">
        <v>1005.91</v>
      </c>
      <c r="L40" s="31">
        <v>1009.95</v>
      </c>
      <c r="M40" s="31">
        <v>1008.3</v>
      </c>
      <c r="N40" s="17">
        <f t="shared" si="0"/>
        <v>1001.1758333333333</v>
      </c>
      <c r="O40" s="174">
        <f t="shared" si="1"/>
        <v>990.09000000000015</v>
      </c>
    </row>
    <row r="41" spans="1:16" x14ac:dyDescent="0.3">
      <c r="A41" s="7">
        <v>2019</v>
      </c>
      <c r="B41" s="31">
        <v>1010.23</v>
      </c>
      <c r="C41" s="31">
        <v>1009.68</v>
      </c>
      <c r="D41" s="31">
        <v>1015.53</v>
      </c>
      <c r="E41" s="31">
        <v>1019.4</v>
      </c>
      <c r="F41" s="31">
        <v>1033.0899999999999</v>
      </c>
      <c r="G41" s="31">
        <v>1022.64</v>
      </c>
      <c r="H41" s="31">
        <v>1028.47</v>
      </c>
      <c r="I41" s="31">
        <v>1032.22</v>
      </c>
      <c r="J41" s="31">
        <v>1038.69</v>
      </c>
      <c r="K41" s="31">
        <v>1043.76</v>
      </c>
      <c r="L41" s="31">
        <v>1040.49</v>
      </c>
      <c r="M41" s="31">
        <v>1043.42</v>
      </c>
      <c r="N41" s="17">
        <f t="shared" si="0"/>
        <v>1028.135</v>
      </c>
      <c r="O41" s="174">
        <f t="shared" si="1"/>
        <v>1011.7799999999999</v>
      </c>
    </row>
    <row r="42" spans="1:16" x14ac:dyDescent="0.3">
      <c r="A42" s="7">
        <v>2020</v>
      </c>
      <c r="B42" s="31">
        <v>1047.92</v>
      </c>
      <c r="C42" s="31">
        <v>1045.53</v>
      </c>
      <c r="D42" s="31">
        <v>1047.79</v>
      </c>
      <c r="E42" s="31">
        <v>1116.3</v>
      </c>
      <c r="F42" s="31">
        <v>1139.1400000000001</v>
      </c>
      <c r="G42" s="31">
        <v>1116.81</v>
      </c>
      <c r="H42" s="31">
        <v>1113.42</v>
      </c>
      <c r="I42" s="31">
        <v>1109.6300000000001</v>
      </c>
      <c r="J42" s="31">
        <v>1107.99</v>
      </c>
      <c r="K42" s="31">
        <v>1103.72</v>
      </c>
      <c r="L42" s="31">
        <v>1109.55</v>
      </c>
      <c r="M42" s="31">
        <v>1115.1400000000001</v>
      </c>
      <c r="N42" s="17">
        <f>AVERAGE(B42:M42)</f>
        <v>1097.7449999999999</v>
      </c>
      <c r="O42" s="174">
        <f t="shared" si="1"/>
        <v>1061.7116666666668</v>
      </c>
    </row>
    <row r="43" spans="1:16" x14ac:dyDescent="0.3">
      <c r="A43" s="7">
        <v>2021</v>
      </c>
      <c r="B43" s="31">
        <v>1132.5899999999999</v>
      </c>
      <c r="C43" s="31">
        <v>1134.1199999999999</v>
      </c>
      <c r="D43" s="31">
        <v>1120.9000000000001</v>
      </c>
      <c r="E43" s="31">
        <v>1127.73</v>
      </c>
      <c r="F43" s="31">
        <v>1135.54</v>
      </c>
      <c r="G43" s="31">
        <v>1122.3800000000001</v>
      </c>
      <c r="H43" s="31">
        <v>1130.4100000000001</v>
      </c>
      <c r="I43" s="31">
        <v>1134.26</v>
      </c>
      <c r="J43" s="31">
        <v>1135.3399999999999</v>
      </c>
      <c r="K43" s="31">
        <v>1133.93</v>
      </c>
      <c r="L43" s="31"/>
      <c r="M43" s="31"/>
      <c r="N43" s="17">
        <f>AVERAGE(B43:M43)</f>
        <v>1130.72</v>
      </c>
      <c r="O43" s="174"/>
    </row>
  </sheetData>
  <pageMargins left="0.75" right="0.75" top="1" bottom="1" header="0.4921259845" footer="0.492125984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0"/>
  <dimension ref="A1:O35"/>
  <sheetViews>
    <sheetView workbookViewId="0">
      <pane xSplit="1" ySplit="4" topLeftCell="B29" activePane="bottomRight" state="frozen"/>
      <selection activeCell="B35" sqref="B35"/>
      <selection pane="topRight" activeCell="B35" sqref="B35"/>
      <selection pane="bottomLeft" activeCell="B35" sqref="B35"/>
      <selection pane="bottomRight" activeCell="K36" sqref="K36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72</v>
      </c>
      <c r="B1" s="1"/>
      <c r="C1" s="1"/>
    </row>
    <row r="2" spans="1:15" x14ac:dyDescent="0.3">
      <c r="A2" s="161"/>
      <c r="B2" s="45">
        <v>2</v>
      </c>
      <c r="C2" s="162" t="s">
        <v>154</v>
      </c>
    </row>
    <row r="3" spans="1:15" s="1" customFormat="1" x14ac:dyDescent="0.3">
      <c r="A3" s="1" t="s">
        <v>110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530.74</v>
      </c>
      <c r="C5" s="31">
        <v>518.89</v>
      </c>
      <c r="D5" s="31">
        <v>521.87</v>
      </c>
      <c r="E5" s="31">
        <v>527.99</v>
      </c>
      <c r="F5" s="31">
        <v>520</v>
      </c>
      <c r="G5" s="31">
        <v>525.33000000000004</v>
      </c>
      <c r="H5" s="31">
        <v>525.01</v>
      </c>
      <c r="I5" s="31">
        <v>530.78</v>
      </c>
      <c r="J5" s="31">
        <v>533.30999999999995</v>
      </c>
      <c r="K5" s="31">
        <v>532.49</v>
      </c>
      <c r="L5" s="31">
        <v>529.65</v>
      </c>
      <c r="M5" s="31">
        <v>528.9</v>
      </c>
      <c r="N5" s="17">
        <v>527.07999999999993</v>
      </c>
      <c r="O5" s="171"/>
    </row>
    <row r="6" spans="1:15" x14ac:dyDescent="0.3">
      <c r="A6" s="25">
        <v>1992</v>
      </c>
      <c r="B6" s="31">
        <v>534.02</v>
      </c>
      <c r="C6" s="31">
        <v>535.88</v>
      </c>
      <c r="D6" s="31">
        <v>533.74</v>
      </c>
      <c r="E6" s="31">
        <v>539.9</v>
      </c>
      <c r="F6" s="31">
        <v>536.67999999999995</v>
      </c>
      <c r="G6" s="31">
        <v>538.51</v>
      </c>
      <c r="H6" s="31">
        <v>539.84</v>
      </c>
      <c r="I6" s="31">
        <v>550.77</v>
      </c>
      <c r="J6" s="31">
        <v>554.38</v>
      </c>
      <c r="K6" s="31">
        <v>550.44000000000005</v>
      </c>
      <c r="L6" s="31">
        <v>545.82000000000005</v>
      </c>
      <c r="M6" s="31">
        <v>551.74</v>
      </c>
      <c r="N6" s="17">
        <v>542.64333333333332</v>
      </c>
      <c r="O6" s="171"/>
    </row>
    <row r="7" spans="1:15" x14ac:dyDescent="0.3">
      <c r="A7" s="25">
        <v>1993</v>
      </c>
      <c r="B7" s="31">
        <v>544.41999999999996</v>
      </c>
      <c r="C7" s="31">
        <v>545.15</v>
      </c>
      <c r="D7" s="31">
        <v>554.88</v>
      </c>
      <c r="E7" s="31">
        <v>567.65</v>
      </c>
      <c r="F7" s="31">
        <v>554.41</v>
      </c>
      <c r="G7" s="31">
        <v>553.14</v>
      </c>
      <c r="H7" s="31">
        <v>552.15</v>
      </c>
      <c r="I7" s="31">
        <v>558.64</v>
      </c>
      <c r="J7" s="31">
        <v>562.49</v>
      </c>
      <c r="K7" s="31">
        <v>560.89</v>
      </c>
      <c r="L7" s="31">
        <v>552.59</v>
      </c>
      <c r="M7" s="31">
        <v>556.49</v>
      </c>
      <c r="N7" s="17">
        <v>555.24166666666667</v>
      </c>
      <c r="O7" s="171"/>
    </row>
    <row r="8" spans="1:15" x14ac:dyDescent="0.3">
      <c r="A8" s="25">
        <v>1994</v>
      </c>
      <c r="B8" s="31">
        <v>557.44000000000005</v>
      </c>
      <c r="C8" s="31">
        <v>551.92999999999995</v>
      </c>
      <c r="D8" s="31">
        <v>554.58000000000004</v>
      </c>
      <c r="E8" s="31">
        <v>562.69000000000005</v>
      </c>
      <c r="F8" s="31">
        <v>536.59</v>
      </c>
      <c r="G8" s="31">
        <v>554.44000000000005</v>
      </c>
      <c r="H8" s="31">
        <v>556.73</v>
      </c>
      <c r="I8" s="31">
        <v>555.66</v>
      </c>
      <c r="J8" s="31">
        <v>583.16999999999996</v>
      </c>
      <c r="K8" s="31">
        <v>568.35</v>
      </c>
      <c r="L8" s="31">
        <v>558.46</v>
      </c>
      <c r="M8" s="31">
        <v>560.12</v>
      </c>
      <c r="N8" s="17">
        <v>558.34666666666669</v>
      </c>
      <c r="O8" s="171"/>
    </row>
    <row r="9" spans="1:15" x14ac:dyDescent="0.3">
      <c r="A9" s="25">
        <v>1995</v>
      </c>
      <c r="B9" s="31">
        <v>559.21</v>
      </c>
      <c r="C9" s="31">
        <v>557.09</v>
      </c>
      <c r="D9" s="31">
        <v>561.16</v>
      </c>
      <c r="E9" s="31">
        <v>565.09</v>
      </c>
      <c r="F9" s="31">
        <v>556.44000000000005</v>
      </c>
      <c r="G9" s="31">
        <v>552.52</v>
      </c>
      <c r="H9" s="31">
        <v>542.27</v>
      </c>
      <c r="I9" s="31">
        <v>545.66999999999996</v>
      </c>
      <c r="J9" s="31">
        <v>556.99</v>
      </c>
      <c r="K9" s="31">
        <v>565.24</v>
      </c>
      <c r="L9" s="31">
        <v>562.85</v>
      </c>
      <c r="M9" s="31">
        <v>556.98</v>
      </c>
      <c r="N9" s="17">
        <v>556.79250000000002</v>
      </c>
      <c r="O9" s="171"/>
    </row>
    <row r="10" spans="1:15" x14ac:dyDescent="0.3">
      <c r="A10" s="25">
        <v>1996</v>
      </c>
      <c r="B10" s="31">
        <v>551.94000000000005</v>
      </c>
      <c r="C10" s="31">
        <v>553.15</v>
      </c>
      <c r="D10" s="31">
        <v>560.71</v>
      </c>
      <c r="E10" s="31">
        <v>547.87</v>
      </c>
      <c r="F10" s="31">
        <v>553.51</v>
      </c>
      <c r="G10" s="31">
        <v>546.79999999999995</v>
      </c>
      <c r="H10" s="31">
        <v>549.14</v>
      </c>
      <c r="I10" s="31">
        <v>557.86</v>
      </c>
      <c r="J10" s="31">
        <v>561.45000000000005</v>
      </c>
      <c r="K10" s="31">
        <v>552.5</v>
      </c>
      <c r="L10" s="31">
        <v>566.70000000000005</v>
      </c>
      <c r="M10" s="31">
        <v>571.91999999999996</v>
      </c>
      <c r="N10" s="17">
        <v>556.12916666666672</v>
      </c>
      <c r="O10" s="171"/>
    </row>
    <row r="11" spans="1:15" x14ac:dyDescent="0.3">
      <c r="A11" s="25">
        <v>1997</v>
      </c>
      <c r="B11" s="31">
        <v>564.23</v>
      </c>
      <c r="C11" s="31">
        <v>559.05999999999995</v>
      </c>
      <c r="D11" s="31">
        <v>561.58000000000004</v>
      </c>
      <c r="E11" s="31">
        <v>555.39</v>
      </c>
      <c r="F11" s="31">
        <v>556.27</v>
      </c>
      <c r="G11" s="31">
        <v>558.05999999999995</v>
      </c>
      <c r="H11" s="31">
        <v>555.29</v>
      </c>
      <c r="I11" s="31">
        <v>556.28</v>
      </c>
      <c r="J11" s="31">
        <v>551.07000000000005</v>
      </c>
      <c r="K11" s="31">
        <v>554.89</v>
      </c>
      <c r="L11" s="31">
        <v>552.37</v>
      </c>
      <c r="M11" s="31">
        <v>551.09</v>
      </c>
      <c r="N11" s="17">
        <v>556.29833333333329</v>
      </c>
      <c r="O11" s="171"/>
    </row>
    <row r="12" spans="1:15" x14ac:dyDescent="0.3">
      <c r="A12" s="25">
        <v>1998</v>
      </c>
      <c r="B12" s="31">
        <v>556.37</v>
      </c>
      <c r="C12" s="31">
        <v>556.76</v>
      </c>
      <c r="D12" s="31">
        <v>562.20000000000005</v>
      </c>
      <c r="E12" s="31">
        <v>564.71</v>
      </c>
      <c r="F12" s="31">
        <v>561.23</v>
      </c>
      <c r="G12" s="31">
        <v>561.55999999999995</v>
      </c>
      <c r="H12" s="31">
        <v>566.47</v>
      </c>
      <c r="I12" s="31">
        <v>570.1</v>
      </c>
      <c r="J12" s="31">
        <v>570.22</v>
      </c>
      <c r="K12" s="31">
        <v>569.30999999999995</v>
      </c>
      <c r="L12" s="31">
        <v>575.35</v>
      </c>
      <c r="M12" s="31">
        <v>577.26</v>
      </c>
      <c r="N12" s="17">
        <v>565.9616666666667</v>
      </c>
      <c r="O12" s="171"/>
    </row>
    <row r="13" spans="1:15" x14ac:dyDescent="0.3">
      <c r="A13" s="25">
        <v>1999</v>
      </c>
      <c r="B13" s="31">
        <v>565.94000000000005</v>
      </c>
      <c r="C13" s="31">
        <v>572.05999999999995</v>
      </c>
      <c r="D13" s="31">
        <v>573.54</v>
      </c>
      <c r="E13" s="31">
        <v>585.75</v>
      </c>
      <c r="F13" s="31">
        <v>581.35</v>
      </c>
      <c r="G13" s="31">
        <v>582.45000000000005</v>
      </c>
      <c r="H13" s="31">
        <v>576.66999999999996</v>
      </c>
      <c r="I13" s="31">
        <v>568.02</v>
      </c>
      <c r="J13" s="31">
        <v>570.65</v>
      </c>
      <c r="K13" s="31">
        <v>576.71</v>
      </c>
      <c r="L13" s="31">
        <v>576.48</v>
      </c>
      <c r="M13" s="31">
        <v>585.32000000000005</v>
      </c>
      <c r="N13" s="17">
        <v>576.245</v>
      </c>
      <c r="O13" s="171"/>
    </row>
    <row r="14" spans="1:15" x14ac:dyDescent="0.3">
      <c r="A14" s="25">
        <v>2000</v>
      </c>
      <c r="B14" s="31">
        <v>580.98</v>
      </c>
      <c r="C14" s="31">
        <v>585.29999999999995</v>
      </c>
      <c r="D14" s="31">
        <v>594.11</v>
      </c>
      <c r="E14" s="31">
        <v>592.14</v>
      </c>
      <c r="F14" s="31">
        <v>593.88</v>
      </c>
      <c r="G14" s="31">
        <v>594.66</v>
      </c>
      <c r="H14" s="31">
        <v>591.5</v>
      </c>
      <c r="I14" s="31">
        <v>593.35</v>
      </c>
      <c r="J14" s="31">
        <v>602.70000000000005</v>
      </c>
      <c r="K14" s="31">
        <v>598.72</v>
      </c>
      <c r="L14" s="31">
        <v>597.86</v>
      </c>
      <c r="M14" s="31">
        <v>602.80999999999995</v>
      </c>
      <c r="N14" s="17">
        <v>594.00083333333339</v>
      </c>
      <c r="O14" s="171"/>
    </row>
    <row r="15" spans="1:15" x14ac:dyDescent="0.3">
      <c r="A15" s="25">
        <v>2001</v>
      </c>
      <c r="B15" s="31">
        <v>593.75</v>
      </c>
      <c r="C15" s="31">
        <v>591.21</v>
      </c>
      <c r="D15" s="31">
        <v>593.59</v>
      </c>
      <c r="E15" s="31">
        <v>590.38</v>
      </c>
      <c r="F15" s="31">
        <v>583.32000000000005</v>
      </c>
      <c r="G15" s="31">
        <v>589.63</v>
      </c>
      <c r="H15" s="31">
        <v>588.87</v>
      </c>
      <c r="I15" s="31">
        <v>595.6</v>
      </c>
      <c r="J15" s="31">
        <v>601.76</v>
      </c>
      <c r="K15" s="31">
        <v>598.36</v>
      </c>
      <c r="L15" s="31">
        <v>590.07000000000005</v>
      </c>
      <c r="M15" s="31">
        <v>596.03</v>
      </c>
      <c r="N15" s="17">
        <f>AVERAGE(B15:M15)</f>
        <v>592.71416666666676</v>
      </c>
      <c r="O15" s="171"/>
    </row>
    <row r="16" spans="1:15" x14ac:dyDescent="0.3">
      <c r="A16" s="25">
        <v>2002</v>
      </c>
      <c r="B16" s="31">
        <v>598.59</v>
      </c>
      <c r="C16" s="31">
        <v>589.47</v>
      </c>
      <c r="D16" s="31">
        <v>600.5</v>
      </c>
      <c r="E16" s="31">
        <v>602.9</v>
      </c>
      <c r="F16" s="31">
        <v>606.16999999999996</v>
      </c>
      <c r="G16" s="31">
        <v>604.87</v>
      </c>
      <c r="H16" s="31">
        <v>605.57000000000005</v>
      </c>
      <c r="I16" s="31">
        <v>606.53</v>
      </c>
      <c r="J16" s="31">
        <v>613.58000000000004</v>
      </c>
      <c r="K16" s="31">
        <v>619.91</v>
      </c>
      <c r="L16" s="31">
        <v>627.20000000000005</v>
      </c>
      <c r="M16" s="31">
        <v>631.78</v>
      </c>
      <c r="N16" s="17">
        <f t="shared" ref="N16:N35" si="0">AVERAGE(B16:M16)</f>
        <v>608.9224999999999</v>
      </c>
      <c r="O16" s="171"/>
    </row>
    <row r="17" spans="1:15" x14ac:dyDescent="0.3">
      <c r="A17" s="25">
        <v>2003</v>
      </c>
      <c r="B17" s="31">
        <v>624.27</v>
      </c>
      <c r="C17" s="31">
        <v>635.91999999999996</v>
      </c>
      <c r="D17" s="31">
        <v>629.47</v>
      </c>
      <c r="E17" s="31">
        <v>633.58000000000004</v>
      </c>
      <c r="F17" s="31">
        <v>637.34</v>
      </c>
      <c r="G17" s="31">
        <v>646.16</v>
      </c>
      <c r="H17" s="31">
        <v>650.51</v>
      </c>
      <c r="I17" s="31">
        <v>653.30999999999995</v>
      </c>
      <c r="J17" s="31">
        <v>643.9</v>
      </c>
      <c r="K17" s="31">
        <v>630.96</v>
      </c>
      <c r="L17" s="31">
        <v>648.63</v>
      </c>
      <c r="M17" s="31">
        <v>641.51</v>
      </c>
      <c r="N17" s="17">
        <f t="shared" si="0"/>
        <v>639.63</v>
      </c>
      <c r="O17" s="171"/>
    </row>
    <row r="18" spans="1:15" x14ac:dyDescent="0.3">
      <c r="A18" s="25">
        <v>2004</v>
      </c>
      <c r="B18" s="31">
        <v>645.69000000000005</v>
      </c>
      <c r="C18" s="31">
        <v>653.30999999999995</v>
      </c>
      <c r="D18" s="31">
        <v>655.97</v>
      </c>
      <c r="E18" s="31">
        <v>639.1</v>
      </c>
      <c r="F18" s="31">
        <v>667.29</v>
      </c>
      <c r="G18" s="31">
        <v>655.75</v>
      </c>
      <c r="H18" s="31">
        <v>659.81</v>
      </c>
      <c r="I18" s="31">
        <v>655.27</v>
      </c>
      <c r="J18" s="31">
        <v>651</v>
      </c>
      <c r="K18" s="31">
        <v>661.41</v>
      </c>
      <c r="L18" s="31">
        <v>660.21</v>
      </c>
      <c r="M18" s="31">
        <v>661.07</v>
      </c>
      <c r="N18" s="17">
        <f t="shared" si="0"/>
        <v>655.49</v>
      </c>
      <c r="O18" s="171"/>
    </row>
    <row r="19" spans="1:15" x14ac:dyDescent="0.3">
      <c r="A19" s="25">
        <v>2005</v>
      </c>
      <c r="B19" s="31">
        <v>672.64</v>
      </c>
      <c r="C19" s="31">
        <v>676.06</v>
      </c>
      <c r="D19" s="31">
        <v>663.53</v>
      </c>
      <c r="E19" s="31">
        <v>672.78</v>
      </c>
      <c r="F19" s="31">
        <v>677.15</v>
      </c>
      <c r="G19" s="31">
        <v>679.67</v>
      </c>
      <c r="H19" s="31">
        <v>687.24</v>
      </c>
      <c r="I19" s="31">
        <v>688.53</v>
      </c>
      <c r="J19" s="31">
        <v>689.2</v>
      </c>
      <c r="K19" s="31">
        <v>696.17</v>
      </c>
      <c r="L19" s="31">
        <v>691.91</v>
      </c>
      <c r="M19" s="31">
        <v>690.68</v>
      </c>
      <c r="N19" s="17">
        <f t="shared" si="0"/>
        <v>682.13</v>
      </c>
    </row>
    <row r="20" spans="1:15" x14ac:dyDescent="0.3">
      <c r="A20" s="25">
        <v>2006</v>
      </c>
      <c r="B20" s="31">
        <v>697.33</v>
      </c>
      <c r="C20" s="31">
        <v>694.95</v>
      </c>
      <c r="D20" s="31">
        <v>695.43</v>
      </c>
      <c r="E20" s="31">
        <v>702.64</v>
      </c>
      <c r="F20" s="31">
        <v>702.73</v>
      </c>
      <c r="G20" s="31">
        <v>701.15</v>
      </c>
      <c r="H20" s="31">
        <v>702.94</v>
      </c>
      <c r="I20" s="31">
        <v>706.8</v>
      </c>
      <c r="J20" s="31">
        <v>715.51</v>
      </c>
      <c r="K20" s="31">
        <v>715.48</v>
      </c>
      <c r="L20" s="31">
        <v>708.47</v>
      </c>
      <c r="M20" s="31">
        <v>728.48</v>
      </c>
      <c r="N20" s="17">
        <f t="shared" si="0"/>
        <v>705.99250000000018</v>
      </c>
    </row>
    <row r="21" spans="1:15" x14ac:dyDescent="0.3">
      <c r="A21" s="7">
        <v>2007</v>
      </c>
      <c r="B21" s="31">
        <v>730.48</v>
      </c>
      <c r="C21" s="31">
        <v>718.55</v>
      </c>
      <c r="D21" s="31">
        <v>729.04</v>
      </c>
      <c r="E21" s="31">
        <v>734.95</v>
      </c>
      <c r="F21" s="31">
        <v>724.76</v>
      </c>
      <c r="G21" s="31">
        <v>739.71</v>
      </c>
      <c r="H21" s="31">
        <v>738.06</v>
      </c>
      <c r="I21" s="31">
        <v>733.01</v>
      </c>
      <c r="J21" s="31">
        <v>742.24</v>
      </c>
      <c r="K21" s="31">
        <v>744.97</v>
      </c>
      <c r="L21" s="31">
        <v>743.54</v>
      </c>
      <c r="M21" s="31">
        <v>743.14</v>
      </c>
      <c r="N21" s="17">
        <f t="shared" si="0"/>
        <v>735.20416666666654</v>
      </c>
    </row>
    <row r="22" spans="1:15" x14ac:dyDescent="0.3">
      <c r="A22" s="7">
        <v>2008</v>
      </c>
      <c r="B22" s="31">
        <v>742.79</v>
      </c>
      <c r="C22" s="31">
        <v>747.28</v>
      </c>
      <c r="D22" s="31">
        <v>754.11</v>
      </c>
      <c r="E22" s="31">
        <v>757.9</v>
      </c>
      <c r="F22" s="31">
        <v>758.62</v>
      </c>
      <c r="G22" s="31">
        <v>766.01</v>
      </c>
      <c r="H22" s="31">
        <v>759.85</v>
      </c>
      <c r="I22" s="31">
        <v>776.68</v>
      </c>
      <c r="J22" s="31">
        <v>774.98</v>
      </c>
      <c r="K22" s="31">
        <v>775.42</v>
      </c>
      <c r="L22" s="31">
        <v>790.35</v>
      </c>
      <c r="M22" s="31">
        <v>782.49</v>
      </c>
      <c r="N22" s="17">
        <f t="shared" si="0"/>
        <v>765.54000000000008</v>
      </c>
    </row>
    <row r="23" spans="1:15" x14ac:dyDescent="0.3">
      <c r="A23" s="7">
        <v>2009</v>
      </c>
      <c r="B23" s="31">
        <v>777.4</v>
      </c>
      <c r="C23" s="31">
        <v>780.17</v>
      </c>
      <c r="D23" s="31">
        <v>795.38</v>
      </c>
      <c r="E23" s="31">
        <v>792.33</v>
      </c>
      <c r="F23" s="31">
        <v>804.24</v>
      </c>
      <c r="G23" s="31">
        <v>799.05</v>
      </c>
      <c r="H23" s="31">
        <v>805.13</v>
      </c>
      <c r="I23" s="31">
        <v>795.35</v>
      </c>
      <c r="J23" s="31">
        <v>801.24</v>
      </c>
      <c r="K23" s="31">
        <v>812.3</v>
      </c>
      <c r="L23" s="31">
        <v>823.69</v>
      </c>
      <c r="M23" s="31">
        <v>821.35</v>
      </c>
      <c r="N23" s="17">
        <f t="shared" si="0"/>
        <v>800.63583333333338</v>
      </c>
    </row>
    <row r="24" spans="1:15" x14ac:dyDescent="0.3">
      <c r="A24" s="7">
        <v>2010</v>
      </c>
      <c r="B24" s="31">
        <v>818.59</v>
      </c>
      <c r="C24" s="31">
        <v>832.66</v>
      </c>
      <c r="D24" s="31">
        <v>830.94</v>
      </c>
      <c r="E24" s="31">
        <v>830.16</v>
      </c>
      <c r="F24" s="31">
        <v>829.86</v>
      </c>
      <c r="G24" s="31">
        <v>837.65</v>
      </c>
      <c r="H24" s="31">
        <v>829.4</v>
      </c>
      <c r="I24" s="31">
        <v>841.78</v>
      </c>
      <c r="J24" s="31">
        <v>846.49</v>
      </c>
      <c r="K24" s="31">
        <v>835.97</v>
      </c>
      <c r="L24" s="31">
        <v>848.78</v>
      </c>
      <c r="M24" s="31">
        <v>855.94</v>
      </c>
      <c r="N24" s="17">
        <f t="shared" si="0"/>
        <v>836.51833333333332</v>
      </c>
    </row>
    <row r="25" spans="1:15" x14ac:dyDescent="0.3">
      <c r="A25" s="7">
        <v>2011</v>
      </c>
      <c r="B25" s="31">
        <v>868.02</v>
      </c>
      <c r="C25" s="31">
        <v>878.13</v>
      </c>
      <c r="D25" s="31">
        <v>873.81</v>
      </c>
      <c r="E25" s="31">
        <v>867.75</v>
      </c>
      <c r="F25" s="31">
        <v>869.34</v>
      </c>
      <c r="G25" s="31">
        <v>863.27</v>
      </c>
      <c r="H25" s="31">
        <v>875.37</v>
      </c>
      <c r="I25" s="31">
        <v>878.51</v>
      </c>
      <c r="J25" s="31">
        <v>887</v>
      </c>
      <c r="K25" s="31">
        <v>898.79</v>
      </c>
      <c r="L25" s="31">
        <v>889.34</v>
      </c>
      <c r="M25" s="31">
        <v>898.97</v>
      </c>
      <c r="N25" s="17">
        <f t="shared" si="0"/>
        <v>879.02499999999998</v>
      </c>
    </row>
    <row r="26" spans="1:15" x14ac:dyDescent="0.3">
      <c r="A26" s="7">
        <v>2012</v>
      </c>
      <c r="B26" s="31">
        <v>910.19</v>
      </c>
      <c r="C26" s="31">
        <v>907.22</v>
      </c>
      <c r="D26" s="31">
        <v>913.34</v>
      </c>
      <c r="E26" s="31">
        <v>922.7</v>
      </c>
      <c r="F26" s="31">
        <v>914.1</v>
      </c>
      <c r="G26" s="31">
        <v>921.05</v>
      </c>
      <c r="H26" s="31">
        <v>937.29</v>
      </c>
      <c r="I26" s="31">
        <v>950.09</v>
      </c>
      <c r="J26" s="31">
        <v>939.77</v>
      </c>
      <c r="K26" s="31">
        <v>933.98</v>
      </c>
      <c r="L26" s="31">
        <v>927.83</v>
      </c>
      <c r="M26" s="31">
        <v>931.88</v>
      </c>
      <c r="N26" s="17">
        <f t="shared" si="0"/>
        <v>925.78666666666652</v>
      </c>
    </row>
    <row r="27" spans="1:15" x14ac:dyDescent="0.3">
      <c r="A27" s="7">
        <v>2013</v>
      </c>
      <c r="B27" s="31">
        <v>939.61</v>
      </c>
      <c r="C27" s="31">
        <v>945.69</v>
      </c>
      <c r="D27" s="31">
        <v>938.1</v>
      </c>
      <c r="E27" s="31">
        <v>941.34</v>
      </c>
      <c r="F27" s="31">
        <v>937.27</v>
      </c>
      <c r="G27" s="31">
        <v>939.45</v>
      </c>
      <c r="H27" s="31">
        <v>951.71</v>
      </c>
      <c r="I27" s="31">
        <v>961.12</v>
      </c>
      <c r="J27" s="31">
        <v>956.27</v>
      </c>
      <c r="K27" s="31">
        <v>963.61</v>
      </c>
      <c r="L27" s="31">
        <v>967.57</v>
      </c>
      <c r="M27" s="31">
        <v>969.66</v>
      </c>
      <c r="N27" s="17">
        <f t="shared" si="0"/>
        <v>950.94999999999993</v>
      </c>
    </row>
    <row r="28" spans="1:15" x14ac:dyDescent="0.3">
      <c r="A28" s="7">
        <v>2014</v>
      </c>
      <c r="B28" s="31">
        <v>963.46</v>
      </c>
      <c r="C28" s="31">
        <v>971.69</v>
      </c>
      <c r="D28" s="31">
        <v>976.7</v>
      </c>
      <c r="E28" s="31">
        <v>985.19</v>
      </c>
      <c r="F28" s="31">
        <v>989.87</v>
      </c>
      <c r="G28" s="31">
        <v>996.16</v>
      </c>
      <c r="H28" s="31">
        <v>1002.42</v>
      </c>
      <c r="I28" s="31">
        <v>999.87</v>
      </c>
      <c r="J28" s="31">
        <v>1003.12</v>
      </c>
      <c r="K28" s="31">
        <v>1002.12</v>
      </c>
      <c r="L28" s="31">
        <v>1007.77</v>
      </c>
      <c r="M28" s="31">
        <v>1008.99</v>
      </c>
      <c r="N28" s="17">
        <f t="shared" si="0"/>
        <v>992.2800000000002</v>
      </c>
    </row>
    <row r="29" spans="1:15" x14ac:dyDescent="0.3">
      <c r="A29" s="7">
        <v>2015</v>
      </c>
      <c r="B29" s="31">
        <v>1014.67</v>
      </c>
      <c r="C29" s="31">
        <v>1011.57</v>
      </c>
      <c r="D29" s="31">
        <v>1015.92</v>
      </c>
      <c r="E29" s="31">
        <v>1016.75</v>
      </c>
      <c r="F29" s="31">
        <v>1030.55</v>
      </c>
      <c r="G29" s="31">
        <v>1019.8</v>
      </c>
      <c r="H29" s="31">
        <v>1022.24</v>
      </c>
      <c r="I29" s="31">
        <v>1006.87</v>
      </c>
      <c r="J29" s="31">
        <v>1014.43</v>
      </c>
      <c r="K29" s="31">
        <v>1018.68</v>
      </c>
      <c r="L29" s="31">
        <v>1023.23</v>
      </c>
      <c r="M29" s="31">
        <v>1033.57</v>
      </c>
      <c r="N29" s="17">
        <f t="shared" si="0"/>
        <v>1019.0233333333332</v>
      </c>
    </row>
    <row r="30" spans="1:15" x14ac:dyDescent="0.3">
      <c r="A30" s="7">
        <v>2016</v>
      </c>
      <c r="B30" s="31">
        <v>1015.91</v>
      </c>
      <c r="C30" s="31">
        <v>1004.42</v>
      </c>
      <c r="D30" s="31">
        <v>1004.91</v>
      </c>
      <c r="E30" s="31">
        <v>1001.64</v>
      </c>
      <c r="F30" s="31">
        <v>1014.25</v>
      </c>
      <c r="G30" s="31">
        <v>1018.54</v>
      </c>
      <c r="H30" s="31">
        <v>1023.11</v>
      </c>
      <c r="I30" s="31">
        <v>1015.05</v>
      </c>
      <c r="J30" s="31">
        <v>1012.16</v>
      </c>
      <c r="K30" s="31">
        <v>1022.36</v>
      </c>
      <c r="L30" s="31">
        <v>1029.76</v>
      </c>
      <c r="M30" s="31">
        <v>1023.33</v>
      </c>
      <c r="N30" s="17">
        <f t="shared" si="0"/>
        <v>1015.4533333333334</v>
      </c>
    </row>
    <row r="31" spans="1:15" x14ac:dyDescent="0.3">
      <c r="A31" s="7">
        <v>2017</v>
      </c>
      <c r="B31" s="31">
        <v>1030.8399999999999</v>
      </c>
      <c r="C31" s="31">
        <v>1043.3399999999999</v>
      </c>
      <c r="D31" s="31">
        <v>1034.6500000000001</v>
      </c>
      <c r="E31" s="31">
        <v>1033.01</v>
      </c>
      <c r="F31" s="31">
        <v>1028.93</v>
      </c>
      <c r="G31" s="31">
        <v>1027.44</v>
      </c>
      <c r="H31" s="31">
        <v>1019.16</v>
      </c>
      <c r="I31" s="31">
        <v>1031.02</v>
      </c>
      <c r="J31" s="31">
        <v>1040.17</v>
      </c>
      <c r="K31" s="31">
        <v>1033.1600000000001</v>
      </c>
      <c r="L31" s="31">
        <v>1048.6300000000001</v>
      </c>
      <c r="M31" s="31">
        <v>1033.24</v>
      </c>
      <c r="N31" s="17">
        <f t="shared" si="0"/>
        <v>1033.6325000000002</v>
      </c>
    </row>
    <row r="32" spans="1:15" x14ac:dyDescent="0.3">
      <c r="A32" s="7">
        <v>2018</v>
      </c>
      <c r="B32" s="31">
        <v>1034.1500000000001</v>
      </c>
      <c r="C32" s="31">
        <v>1041.67</v>
      </c>
      <c r="D32" s="31">
        <v>1024.67</v>
      </c>
      <c r="E32" s="31">
        <v>1027.79</v>
      </c>
      <c r="F32" s="31">
        <v>1044.69</v>
      </c>
      <c r="G32" s="31">
        <v>1047.68</v>
      </c>
      <c r="H32" s="31">
        <v>1027.94</v>
      </c>
      <c r="I32" s="31">
        <v>1026.3900000000001</v>
      </c>
      <c r="J32" s="31">
        <v>1038.05</v>
      </c>
      <c r="K32" s="31">
        <v>1037.04</v>
      </c>
      <c r="L32" s="31">
        <v>1038.44</v>
      </c>
      <c r="M32" s="31">
        <v>1052.1199999999999</v>
      </c>
      <c r="N32" s="17">
        <f t="shared" si="0"/>
        <v>1036.7191666666668</v>
      </c>
    </row>
    <row r="33" spans="1:14" x14ac:dyDescent="0.3">
      <c r="A33" s="7">
        <v>2019</v>
      </c>
      <c r="B33" s="31">
        <v>1041.27</v>
      </c>
      <c r="C33" s="31">
        <v>1040.47</v>
      </c>
      <c r="D33" s="31">
        <v>1055.42</v>
      </c>
      <c r="E33" s="31">
        <v>1063.18</v>
      </c>
      <c r="F33" s="31">
        <v>1051.0999999999999</v>
      </c>
      <c r="G33" s="31">
        <v>1064.46</v>
      </c>
      <c r="H33" s="31">
        <v>1060.69</v>
      </c>
      <c r="I33" s="31">
        <v>1072.1600000000001</v>
      </c>
      <c r="J33" s="31">
        <v>1054.55</v>
      </c>
      <c r="K33" s="31">
        <v>1070.18</v>
      </c>
      <c r="L33" s="31">
        <v>1059.4100000000001</v>
      </c>
      <c r="M33" s="31">
        <v>1067.05</v>
      </c>
      <c r="N33" s="17">
        <f t="shared" si="0"/>
        <v>1058.3283333333331</v>
      </c>
    </row>
    <row r="34" spans="1:14" x14ac:dyDescent="0.3">
      <c r="A34" s="7">
        <v>2020</v>
      </c>
      <c r="B34" s="31">
        <v>1069.74</v>
      </c>
      <c r="C34" s="31">
        <v>1060.3900000000001</v>
      </c>
      <c r="D34" s="31">
        <v>1083.46</v>
      </c>
      <c r="E34" s="31">
        <v>1121.7</v>
      </c>
      <c r="F34" s="31">
        <v>1141.8399999999999</v>
      </c>
      <c r="G34" s="31">
        <v>1117.3800000000001</v>
      </c>
      <c r="H34" s="31">
        <v>1120.6600000000001</v>
      </c>
      <c r="I34" s="31">
        <v>1107.55</v>
      </c>
      <c r="J34" s="31">
        <v>1094.56</v>
      </c>
      <c r="K34" s="31">
        <v>1090.01</v>
      </c>
      <c r="L34" s="31">
        <v>1076.1400000000001</v>
      </c>
      <c r="M34" s="31">
        <v>1079.8499999999999</v>
      </c>
      <c r="N34" s="17">
        <f t="shared" si="0"/>
        <v>1096.9399999999998</v>
      </c>
    </row>
    <row r="35" spans="1:14" x14ac:dyDescent="0.3">
      <c r="A35" s="7">
        <v>2021</v>
      </c>
      <c r="B35" s="31">
        <v>1085.48</v>
      </c>
      <c r="C35" s="31">
        <v>1083.03</v>
      </c>
      <c r="D35" s="31">
        <v>1096.19</v>
      </c>
      <c r="E35" s="31">
        <v>1085.4100000000001</v>
      </c>
      <c r="F35" s="31">
        <v>1085.3900000000001</v>
      </c>
      <c r="G35" s="31">
        <v>1089.32</v>
      </c>
      <c r="H35" s="31">
        <v>1105.33</v>
      </c>
      <c r="I35" s="31">
        <v>1124.3399999999999</v>
      </c>
      <c r="J35" s="31">
        <v>1122.46</v>
      </c>
      <c r="K35" s="31">
        <v>1100.83</v>
      </c>
      <c r="L35" s="31"/>
      <c r="M35" s="31"/>
      <c r="N35" s="17">
        <f t="shared" si="0"/>
        <v>1097.778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9"/>
  <dimension ref="A1:O35"/>
  <sheetViews>
    <sheetView workbookViewId="0">
      <pane xSplit="1" ySplit="4" topLeftCell="B23" activePane="bottomRight" state="frozen"/>
      <selection activeCell="B35" sqref="B35"/>
      <selection pane="topRight" activeCell="B35" sqref="B35"/>
      <selection pane="bottomLeft" activeCell="B35" sqref="B35"/>
      <selection pane="bottomRight" activeCell="L35" sqref="L35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73</v>
      </c>
      <c r="B1" s="1"/>
      <c r="C1" s="1"/>
    </row>
    <row r="2" spans="1:15" x14ac:dyDescent="0.3">
      <c r="A2" s="161"/>
      <c r="B2" s="45">
        <v>3</v>
      </c>
      <c r="C2" s="162" t="s">
        <v>154</v>
      </c>
    </row>
    <row r="3" spans="1:15" s="1" customFormat="1" x14ac:dyDescent="0.3">
      <c r="A3" s="1" t="s">
        <v>111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455.69</v>
      </c>
      <c r="C5" s="31">
        <v>455.72</v>
      </c>
      <c r="D5" s="31">
        <v>457.37</v>
      </c>
      <c r="E5" s="31">
        <v>453.87</v>
      </c>
      <c r="F5" s="31">
        <v>459.86</v>
      </c>
      <c r="G5" s="31">
        <v>458.62</v>
      </c>
      <c r="H5" s="31">
        <v>467.19</v>
      </c>
      <c r="I5" s="31">
        <v>466.29</v>
      </c>
      <c r="J5" s="31">
        <v>461.63</v>
      </c>
      <c r="K5" s="31">
        <v>458.74</v>
      </c>
      <c r="L5" s="31">
        <v>455.63</v>
      </c>
      <c r="M5" s="31">
        <v>445.81</v>
      </c>
      <c r="N5" s="17">
        <v>458.03500000000003</v>
      </c>
      <c r="O5" s="171"/>
    </row>
    <row r="6" spans="1:15" x14ac:dyDescent="0.3">
      <c r="A6" s="25">
        <v>1992</v>
      </c>
      <c r="B6" s="31">
        <v>458.28</v>
      </c>
      <c r="C6" s="31">
        <v>463.94</v>
      </c>
      <c r="D6" s="31">
        <v>459.27</v>
      </c>
      <c r="E6" s="31">
        <v>468.44</v>
      </c>
      <c r="F6" s="31">
        <v>473.66</v>
      </c>
      <c r="G6" s="31">
        <v>472.94</v>
      </c>
      <c r="H6" s="31">
        <v>470.33</v>
      </c>
      <c r="I6" s="31">
        <v>474.56</v>
      </c>
      <c r="J6" s="31">
        <v>471.5</v>
      </c>
      <c r="K6" s="31">
        <v>477.63</v>
      </c>
      <c r="L6" s="31">
        <v>480.46</v>
      </c>
      <c r="M6" s="31">
        <v>480.84</v>
      </c>
      <c r="N6" s="17">
        <v>470.98750000000001</v>
      </c>
      <c r="O6" s="171"/>
    </row>
    <row r="7" spans="1:15" x14ac:dyDescent="0.3">
      <c r="A7" s="25">
        <v>1993</v>
      </c>
      <c r="B7" s="31">
        <v>478.02</v>
      </c>
      <c r="C7" s="31">
        <v>477.95</v>
      </c>
      <c r="D7" s="31">
        <v>477.98</v>
      </c>
      <c r="E7" s="31">
        <v>475.34</v>
      </c>
      <c r="F7" s="31">
        <v>471.88</v>
      </c>
      <c r="G7" s="31">
        <v>477.81</v>
      </c>
      <c r="H7" s="31">
        <v>482.37</v>
      </c>
      <c r="I7" s="31">
        <v>482.35</v>
      </c>
      <c r="J7" s="31">
        <v>482.83</v>
      </c>
      <c r="K7" s="31">
        <v>483.76</v>
      </c>
      <c r="L7" s="31">
        <v>484.54</v>
      </c>
      <c r="M7" s="31">
        <v>486.46</v>
      </c>
      <c r="N7" s="17">
        <v>480.10750000000002</v>
      </c>
      <c r="O7" s="171"/>
    </row>
    <row r="8" spans="1:15" x14ac:dyDescent="0.3">
      <c r="A8" s="25">
        <v>1994</v>
      </c>
      <c r="B8" s="31">
        <v>495.39</v>
      </c>
      <c r="C8" s="31">
        <v>507.72</v>
      </c>
      <c r="D8" s="31">
        <v>492.33</v>
      </c>
      <c r="E8" s="31">
        <v>493.86</v>
      </c>
      <c r="F8" s="31">
        <v>486.53</v>
      </c>
      <c r="G8" s="31">
        <v>480.8</v>
      </c>
      <c r="H8" s="31">
        <v>483.36</v>
      </c>
      <c r="I8" s="31">
        <v>478.57</v>
      </c>
      <c r="J8" s="31">
        <v>484.35</v>
      </c>
      <c r="K8" s="31">
        <v>479.51</v>
      </c>
      <c r="L8" s="31">
        <v>482.38</v>
      </c>
      <c r="M8" s="31">
        <v>485.05</v>
      </c>
      <c r="N8" s="17">
        <v>487.48750000000013</v>
      </c>
      <c r="O8" s="171"/>
    </row>
    <row r="9" spans="1:15" x14ac:dyDescent="0.3">
      <c r="A9" s="25">
        <v>1995</v>
      </c>
      <c r="B9" s="31">
        <v>483.21</v>
      </c>
      <c r="C9" s="31">
        <v>485.4</v>
      </c>
      <c r="D9" s="31">
        <v>492.95</v>
      </c>
      <c r="E9" s="31">
        <v>490.23</v>
      </c>
      <c r="F9" s="31">
        <v>488.31</v>
      </c>
      <c r="G9" s="31">
        <v>492.64</v>
      </c>
      <c r="H9" s="31">
        <v>486.09</v>
      </c>
      <c r="I9" s="31">
        <v>496.4</v>
      </c>
      <c r="J9" s="31">
        <v>506.38</v>
      </c>
      <c r="K9" s="31">
        <v>498.55</v>
      </c>
      <c r="L9" s="31">
        <v>497.67</v>
      </c>
      <c r="M9" s="31">
        <v>498.49</v>
      </c>
      <c r="N9" s="17">
        <v>493.02666666666664</v>
      </c>
      <c r="O9" s="171"/>
    </row>
    <row r="10" spans="1:15" x14ac:dyDescent="0.3">
      <c r="A10" s="25">
        <v>1996</v>
      </c>
      <c r="B10" s="31">
        <v>501.2</v>
      </c>
      <c r="C10" s="31">
        <v>496.39</v>
      </c>
      <c r="D10" s="31">
        <v>502.02</v>
      </c>
      <c r="E10" s="31">
        <v>504.24</v>
      </c>
      <c r="F10" s="31">
        <v>518.91</v>
      </c>
      <c r="G10" s="31">
        <v>527.19000000000005</v>
      </c>
      <c r="H10" s="31">
        <v>517.63</v>
      </c>
      <c r="I10" s="31">
        <v>520.98</v>
      </c>
      <c r="J10" s="31">
        <v>525.17999999999995</v>
      </c>
      <c r="K10" s="31">
        <v>526.87</v>
      </c>
      <c r="L10" s="31">
        <v>529.09</v>
      </c>
      <c r="M10" s="31">
        <v>516.76</v>
      </c>
      <c r="N10" s="17">
        <v>515.5383333333333</v>
      </c>
      <c r="O10" s="171"/>
    </row>
    <row r="11" spans="1:15" x14ac:dyDescent="0.3">
      <c r="A11" s="25">
        <v>1997</v>
      </c>
      <c r="B11" s="31">
        <v>515.16999999999996</v>
      </c>
      <c r="C11" s="31">
        <v>516.41999999999996</v>
      </c>
      <c r="D11" s="31">
        <v>511.79</v>
      </c>
      <c r="E11" s="31">
        <v>512.49</v>
      </c>
      <c r="F11" s="31">
        <v>529.85</v>
      </c>
      <c r="G11" s="31">
        <v>513.36</v>
      </c>
      <c r="H11" s="31">
        <v>511.71</v>
      </c>
      <c r="I11" s="31">
        <v>503.73</v>
      </c>
      <c r="J11" s="31">
        <v>502.85</v>
      </c>
      <c r="K11" s="31">
        <v>509.14</v>
      </c>
      <c r="L11" s="31">
        <v>508.57</v>
      </c>
      <c r="M11" s="31">
        <v>513.53</v>
      </c>
      <c r="N11" s="17">
        <v>512.38416666666672</v>
      </c>
      <c r="O11" s="171"/>
    </row>
    <row r="12" spans="1:15" x14ac:dyDescent="0.3">
      <c r="A12" s="25">
        <v>1998</v>
      </c>
      <c r="B12" s="31">
        <v>512.47</v>
      </c>
      <c r="C12" s="31">
        <v>517.22</v>
      </c>
      <c r="D12" s="31">
        <v>515.34</v>
      </c>
      <c r="E12" s="31">
        <v>516.04999999999995</v>
      </c>
      <c r="F12" s="31">
        <v>509.3</v>
      </c>
      <c r="G12" s="31">
        <v>499.74</v>
      </c>
      <c r="H12" s="31">
        <v>516.49</v>
      </c>
      <c r="I12" s="31">
        <v>515.01</v>
      </c>
      <c r="J12" s="31">
        <v>516.61</v>
      </c>
      <c r="K12" s="31">
        <v>520.55999999999995</v>
      </c>
      <c r="L12" s="31">
        <v>512.61</v>
      </c>
      <c r="M12" s="31">
        <v>522.12</v>
      </c>
      <c r="N12" s="17">
        <v>514.45999999999992</v>
      </c>
      <c r="O12" s="171"/>
    </row>
    <row r="13" spans="1:15" x14ac:dyDescent="0.3">
      <c r="A13" s="25">
        <v>1999</v>
      </c>
      <c r="B13" s="31">
        <v>510.73</v>
      </c>
      <c r="C13" s="31">
        <v>513.48</v>
      </c>
      <c r="D13" s="31">
        <v>512.53</v>
      </c>
      <c r="E13" s="31">
        <v>519.76</v>
      </c>
      <c r="F13" s="31">
        <v>516.11</v>
      </c>
      <c r="G13" s="31">
        <v>520.16</v>
      </c>
      <c r="H13" s="31">
        <v>519.65</v>
      </c>
      <c r="I13" s="31">
        <v>515.13</v>
      </c>
      <c r="J13" s="31">
        <v>509.97</v>
      </c>
      <c r="K13" s="31">
        <v>503.25</v>
      </c>
      <c r="L13" s="31">
        <v>504.14</v>
      </c>
      <c r="M13" s="31">
        <v>507.79</v>
      </c>
      <c r="N13" s="17">
        <v>512.72500000000002</v>
      </c>
      <c r="O13" s="171"/>
    </row>
    <row r="14" spans="1:15" x14ac:dyDescent="0.3">
      <c r="A14" s="25">
        <v>2000</v>
      </c>
      <c r="B14" s="31">
        <v>512.53</v>
      </c>
      <c r="C14" s="31">
        <v>512.89</v>
      </c>
      <c r="D14" s="31">
        <v>520.41</v>
      </c>
      <c r="E14" s="31">
        <v>515.54999999999995</v>
      </c>
      <c r="F14" s="31">
        <v>520.66</v>
      </c>
      <c r="G14" s="31">
        <v>518.91</v>
      </c>
      <c r="H14" s="31">
        <v>526.01</v>
      </c>
      <c r="I14" s="31">
        <v>531.73</v>
      </c>
      <c r="J14" s="31">
        <v>534.44000000000005</v>
      </c>
      <c r="K14" s="31">
        <v>527.14</v>
      </c>
      <c r="L14" s="31">
        <v>531.55999999999995</v>
      </c>
      <c r="M14" s="31">
        <v>522.72</v>
      </c>
      <c r="N14" s="17">
        <v>522.87916666666683</v>
      </c>
      <c r="O14" s="171"/>
    </row>
    <row r="15" spans="1:15" x14ac:dyDescent="0.3">
      <c r="A15" s="25">
        <v>2001</v>
      </c>
      <c r="B15" s="31">
        <v>523.88</v>
      </c>
      <c r="C15" s="31">
        <v>527.15</v>
      </c>
      <c r="D15" s="31">
        <v>528.62</v>
      </c>
      <c r="E15" s="31">
        <v>521.51</v>
      </c>
      <c r="F15" s="31">
        <v>520.64</v>
      </c>
      <c r="G15" s="31">
        <v>525.64</v>
      </c>
      <c r="H15" s="31">
        <v>526.6</v>
      </c>
      <c r="I15" s="31">
        <v>550.96</v>
      </c>
      <c r="J15" s="31">
        <v>536.30999999999995</v>
      </c>
      <c r="K15" s="31">
        <v>537.92999999999995</v>
      </c>
      <c r="L15" s="31">
        <v>534.79999999999995</v>
      </c>
      <c r="M15" s="31">
        <v>546.80999999999995</v>
      </c>
      <c r="N15" s="17">
        <f>AVERAGE(B15:M15)</f>
        <v>531.73750000000007</v>
      </c>
      <c r="O15" s="171"/>
    </row>
    <row r="16" spans="1:15" x14ac:dyDescent="0.3">
      <c r="A16" s="25">
        <v>2002</v>
      </c>
      <c r="B16" s="31">
        <v>550.47</v>
      </c>
      <c r="C16" s="31">
        <v>545.91</v>
      </c>
      <c r="D16" s="31">
        <v>559.45000000000005</v>
      </c>
      <c r="E16" s="31">
        <v>557.27</v>
      </c>
      <c r="F16" s="31">
        <v>558.57000000000005</v>
      </c>
      <c r="G16" s="31">
        <v>559.19000000000005</v>
      </c>
      <c r="H16" s="31">
        <v>557.98</v>
      </c>
      <c r="I16" s="31">
        <v>557.6</v>
      </c>
      <c r="J16" s="31">
        <v>554.36</v>
      </c>
      <c r="K16" s="31">
        <v>560.41999999999996</v>
      </c>
      <c r="L16" s="31">
        <v>564.08000000000004</v>
      </c>
      <c r="M16" s="31">
        <v>565.16</v>
      </c>
      <c r="N16" s="17">
        <f t="shared" ref="N16:N35" si="0">AVERAGE(B16:M16)</f>
        <v>557.5383333333333</v>
      </c>
      <c r="O16" s="171"/>
    </row>
    <row r="17" spans="1:15" x14ac:dyDescent="0.3">
      <c r="A17" s="25">
        <v>2003</v>
      </c>
      <c r="B17" s="31">
        <v>563.44000000000005</v>
      </c>
      <c r="C17" s="31">
        <v>570.63</v>
      </c>
      <c r="D17" s="31">
        <v>558.96</v>
      </c>
      <c r="E17" s="31">
        <v>562.77</v>
      </c>
      <c r="F17" s="31">
        <v>567.04999999999995</v>
      </c>
      <c r="G17" s="31">
        <v>568.33000000000004</v>
      </c>
      <c r="H17" s="31">
        <v>566.85</v>
      </c>
      <c r="I17" s="31">
        <v>575.79</v>
      </c>
      <c r="J17" s="31">
        <v>580.64</v>
      </c>
      <c r="K17" s="31">
        <v>576.57000000000005</v>
      </c>
      <c r="L17" s="31">
        <v>579.30999999999995</v>
      </c>
      <c r="M17" s="31">
        <v>571.83000000000004</v>
      </c>
      <c r="N17" s="17">
        <f t="shared" si="0"/>
        <v>570.18083333333334</v>
      </c>
      <c r="O17" s="171"/>
    </row>
    <row r="18" spans="1:15" x14ac:dyDescent="0.3">
      <c r="A18" s="25">
        <v>2004</v>
      </c>
      <c r="B18" s="31">
        <v>578.57000000000005</v>
      </c>
      <c r="C18" s="31">
        <v>570.72</v>
      </c>
      <c r="D18" s="31">
        <v>575.72</v>
      </c>
      <c r="E18" s="31">
        <v>582.91999999999996</v>
      </c>
      <c r="F18" s="31">
        <v>602.95000000000005</v>
      </c>
      <c r="G18" s="31">
        <v>586.34</v>
      </c>
      <c r="H18" s="31">
        <v>585.96</v>
      </c>
      <c r="I18" s="31">
        <v>580.54999999999995</v>
      </c>
      <c r="J18" s="31">
        <v>582.45000000000005</v>
      </c>
      <c r="K18" s="31">
        <v>588.28</v>
      </c>
      <c r="L18" s="31">
        <v>591.09</v>
      </c>
      <c r="M18" s="31">
        <v>593.69000000000005</v>
      </c>
      <c r="N18" s="17">
        <f t="shared" si="0"/>
        <v>584.93666666666661</v>
      </c>
      <c r="O18" s="171"/>
    </row>
    <row r="19" spans="1:15" x14ac:dyDescent="0.3">
      <c r="A19" s="25">
        <v>2005</v>
      </c>
      <c r="B19" s="31">
        <v>592.91999999999996</v>
      </c>
      <c r="C19" s="31">
        <v>602.92999999999995</v>
      </c>
      <c r="D19" s="31">
        <v>596.21</v>
      </c>
      <c r="E19" s="31">
        <v>598.51</v>
      </c>
      <c r="F19" s="31">
        <v>595.1</v>
      </c>
      <c r="G19" s="31">
        <v>594.37</v>
      </c>
      <c r="H19" s="31">
        <v>608.4</v>
      </c>
      <c r="I19" s="31">
        <v>606.32000000000005</v>
      </c>
      <c r="J19" s="31">
        <v>608.29999999999995</v>
      </c>
      <c r="K19" s="31">
        <v>609.87</v>
      </c>
      <c r="L19" s="31">
        <v>609.28</v>
      </c>
      <c r="M19" s="31">
        <v>612.54</v>
      </c>
      <c r="N19" s="17">
        <f t="shared" si="0"/>
        <v>602.89583333333326</v>
      </c>
    </row>
    <row r="20" spans="1:15" x14ac:dyDescent="0.3">
      <c r="A20" s="25">
        <v>2006</v>
      </c>
      <c r="B20" s="31">
        <v>614.91999999999996</v>
      </c>
      <c r="C20" s="31">
        <v>608.21</v>
      </c>
      <c r="D20" s="31">
        <v>613.73</v>
      </c>
      <c r="E20" s="31">
        <v>615.66999999999996</v>
      </c>
      <c r="F20" s="31">
        <v>622.44000000000005</v>
      </c>
      <c r="G20" s="31">
        <v>627.17999999999995</v>
      </c>
      <c r="H20" s="31">
        <v>620.91999999999996</v>
      </c>
      <c r="I20" s="31">
        <v>624.07000000000005</v>
      </c>
      <c r="J20" s="31">
        <v>631.87</v>
      </c>
      <c r="K20" s="31">
        <v>627.14</v>
      </c>
      <c r="L20" s="31">
        <v>629.20000000000005</v>
      </c>
      <c r="M20" s="31">
        <v>635.34</v>
      </c>
      <c r="N20" s="17">
        <f t="shared" si="0"/>
        <v>622.5575</v>
      </c>
    </row>
    <row r="21" spans="1:15" x14ac:dyDescent="0.3">
      <c r="A21" s="7">
        <v>2007</v>
      </c>
      <c r="B21" s="31">
        <v>635.25</v>
      </c>
      <c r="C21" s="31">
        <v>637.29</v>
      </c>
      <c r="D21" s="31">
        <v>654.62</v>
      </c>
      <c r="E21" s="31">
        <v>640.32000000000005</v>
      </c>
      <c r="F21" s="31">
        <v>637.49</v>
      </c>
      <c r="G21" s="31">
        <v>645.41999999999996</v>
      </c>
      <c r="H21" s="31">
        <v>637.52</v>
      </c>
      <c r="I21" s="31">
        <v>644.89</v>
      </c>
      <c r="J21" s="31">
        <v>644.97</v>
      </c>
      <c r="K21" s="31">
        <v>643.72</v>
      </c>
      <c r="L21" s="31">
        <v>656.98</v>
      </c>
      <c r="M21" s="31">
        <v>653.88</v>
      </c>
      <c r="N21" s="17">
        <f t="shared" si="0"/>
        <v>644.36250000000007</v>
      </c>
    </row>
    <row r="22" spans="1:15" x14ac:dyDescent="0.3">
      <c r="A22" s="7">
        <v>2008</v>
      </c>
      <c r="B22" s="31">
        <v>651.76</v>
      </c>
      <c r="C22" s="31">
        <v>651.77</v>
      </c>
      <c r="D22" s="31">
        <v>648.24</v>
      </c>
      <c r="E22" s="31">
        <v>654.65</v>
      </c>
      <c r="F22" s="31">
        <v>659.45</v>
      </c>
      <c r="G22" s="31">
        <v>649.02</v>
      </c>
      <c r="H22" s="31">
        <v>667.31</v>
      </c>
      <c r="I22" s="31">
        <v>668.78</v>
      </c>
      <c r="J22" s="31">
        <v>658.27</v>
      </c>
      <c r="K22" s="31">
        <v>667.59</v>
      </c>
      <c r="L22" s="31">
        <v>664.21</v>
      </c>
      <c r="M22" s="31">
        <v>672.43</v>
      </c>
      <c r="N22" s="17">
        <f t="shared" si="0"/>
        <v>659.45666666666671</v>
      </c>
    </row>
    <row r="23" spans="1:15" x14ac:dyDescent="0.3">
      <c r="A23" s="7">
        <v>2009</v>
      </c>
      <c r="B23" s="31">
        <v>687.99</v>
      </c>
      <c r="C23" s="31">
        <v>688.49</v>
      </c>
      <c r="D23" s="31">
        <v>683.03</v>
      </c>
      <c r="E23" s="31">
        <v>686.21</v>
      </c>
      <c r="F23" s="31">
        <v>683.12</v>
      </c>
      <c r="G23" s="31">
        <v>690.44</v>
      </c>
      <c r="H23" s="31">
        <v>701.62</v>
      </c>
      <c r="I23" s="31">
        <v>693.87</v>
      </c>
      <c r="J23" s="31">
        <v>697.43</v>
      </c>
      <c r="K23" s="31">
        <v>698.99</v>
      </c>
      <c r="L23" s="31">
        <v>686</v>
      </c>
      <c r="M23" s="31">
        <v>683.64</v>
      </c>
      <c r="N23" s="17">
        <f t="shared" si="0"/>
        <v>690.06916666666666</v>
      </c>
    </row>
    <row r="24" spans="1:15" x14ac:dyDescent="0.3">
      <c r="A24" s="7">
        <v>2010</v>
      </c>
      <c r="B24" s="31">
        <v>678.56</v>
      </c>
      <c r="C24" s="31">
        <v>705.84</v>
      </c>
      <c r="D24" s="31">
        <v>698.91</v>
      </c>
      <c r="E24" s="31">
        <v>715.26</v>
      </c>
      <c r="F24" s="31">
        <v>715.63</v>
      </c>
      <c r="G24" s="31">
        <v>707.57</v>
      </c>
      <c r="H24" s="31">
        <v>699.15</v>
      </c>
      <c r="I24" s="31">
        <v>700.75</v>
      </c>
      <c r="J24" s="31">
        <v>702.19</v>
      </c>
      <c r="K24" s="31">
        <v>716.97</v>
      </c>
      <c r="L24" s="31">
        <v>715.8</v>
      </c>
      <c r="M24" s="31">
        <v>723.53</v>
      </c>
      <c r="N24" s="17">
        <f t="shared" si="0"/>
        <v>706.68</v>
      </c>
    </row>
    <row r="25" spans="1:15" x14ac:dyDescent="0.3">
      <c r="A25" s="7">
        <v>2011</v>
      </c>
      <c r="B25" s="31">
        <v>719.87</v>
      </c>
      <c r="C25" s="31">
        <v>710.72</v>
      </c>
      <c r="D25" s="31">
        <v>719.28</v>
      </c>
      <c r="E25" s="31">
        <v>714.33</v>
      </c>
      <c r="F25" s="31">
        <v>713.09</v>
      </c>
      <c r="G25" s="31">
        <v>711.88</v>
      </c>
      <c r="H25" s="31">
        <v>711.01</v>
      </c>
      <c r="I25" s="31">
        <v>717.9</v>
      </c>
      <c r="J25" s="31">
        <v>733.46</v>
      </c>
      <c r="K25" s="31">
        <v>724.1</v>
      </c>
      <c r="L25" s="31">
        <v>735.67</v>
      </c>
      <c r="M25" s="31">
        <v>725.35</v>
      </c>
      <c r="N25" s="17">
        <f t="shared" si="0"/>
        <v>719.72166666666669</v>
      </c>
    </row>
    <row r="26" spans="1:15" x14ac:dyDescent="0.3">
      <c r="A26" s="7">
        <v>2012</v>
      </c>
      <c r="B26" s="31">
        <v>728.69</v>
      </c>
      <c r="C26" s="31">
        <v>729.26</v>
      </c>
      <c r="D26" s="31">
        <v>741.69</v>
      </c>
      <c r="E26" s="31">
        <v>725.52</v>
      </c>
      <c r="F26" s="31">
        <v>740.2</v>
      </c>
      <c r="G26" s="31">
        <v>747.81</v>
      </c>
      <c r="H26" s="31">
        <v>743.41</v>
      </c>
      <c r="I26" s="31">
        <v>743.07</v>
      </c>
      <c r="J26" s="31">
        <v>739.98</v>
      </c>
      <c r="K26" s="31">
        <v>732.97</v>
      </c>
      <c r="L26" s="31">
        <v>747.14</v>
      </c>
      <c r="M26" s="31">
        <v>741.22</v>
      </c>
      <c r="N26" s="17">
        <f t="shared" si="0"/>
        <v>738.4133333333333</v>
      </c>
    </row>
    <row r="27" spans="1:15" x14ac:dyDescent="0.3">
      <c r="A27" s="7">
        <v>2013</v>
      </c>
      <c r="B27" s="31">
        <v>739.46</v>
      </c>
      <c r="C27" s="31">
        <v>740.92</v>
      </c>
      <c r="D27" s="31">
        <v>747.51</v>
      </c>
      <c r="E27" s="31">
        <v>747.36</v>
      </c>
      <c r="F27" s="31">
        <v>754.41</v>
      </c>
      <c r="G27" s="31">
        <v>746.57</v>
      </c>
      <c r="H27" s="31">
        <v>758.78</v>
      </c>
      <c r="I27" s="31">
        <v>759.73</v>
      </c>
      <c r="J27" s="31">
        <v>758.9</v>
      </c>
      <c r="K27" s="31">
        <v>758.07</v>
      </c>
      <c r="L27" s="31">
        <v>754.75</v>
      </c>
      <c r="M27" s="31">
        <v>762.85</v>
      </c>
      <c r="N27" s="17">
        <f t="shared" si="0"/>
        <v>752.4425</v>
      </c>
    </row>
    <row r="28" spans="1:15" x14ac:dyDescent="0.3">
      <c r="A28" s="7">
        <v>2014</v>
      </c>
      <c r="B28" s="31">
        <v>769.8</v>
      </c>
      <c r="C28" s="31">
        <v>768.3</v>
      </c>
      <c r="D28" s="31">
        <v>760.85</v>
      </c>
      <c r="E28" s="31">
        <v>770.3</v>
      </c>
      <c r="F28" s="31">
        <v>759.21</v>
      </c>
      <c r="G28" s="31">
        <v>772.9</v>
      </c>
      <c r="H28" s="31">
        <v>779.8</v>
      </c>
      <c r="I28" s="31">
        <v>784.35</v>
      </c>
      <c r="J28" s="31">
        <v>771.13</v>
      </c>
      <c r="K28" s="31">
        <v>781.85</v>
      </c>
      <c r="L28" s="31">
        <v>781.67</v>
      </c>
      <c r="M28" s="31">
        <v>786.2</v>
      </c>
      <c r="N28" s="17">
        <f t="shared" si="0"/>
        <v>773.86333333333334</v>
      </c>
    </row>
    <row r="29" spans="1:15" x14ac:dyDescent="0.3">
      <c r="A29" s="7">
        <v>2015</v>
      </c>
      <c r="B29" s="31">
        <v>792.09</v>
      </c>
      <c r="C29" s="31">
        <v>789.67</v>
      </c>
      <c r="D29" s="31">
        <v>785.74</v>
      </c>
      <c r="E29" s="31">
        <v>805.61</v>
      </c>
      <c r="F29" s="31">
        <v>807.35</v>
      </c>
      <c r="G29" s="31">
        <v>808.79</v>
      </c>
      <c r="H29" s="31">
        <v>799.67</v>
      </c>
      <c r="I29" s="31">
        <v>792.22</v>
      </c>
      <c r="J29" s="31">
        <v>803.82</v>
      </c>
      <c r="K29" s="31">
        <v>813.95</v>
      </c>
      <c r="L29" s="31">
        <v>802.39</v>
      </c>
      <c r="M29" s="31">
        <v>800.93</v>
      </c>
      <c r="N29" s="17">
        <f t="shared" si="0"/>
        <v>800.18583333333333</v>
      </c>
    </row>
    <row r="30" spans="1:15" x14ac:dyDescent="0.3">
      <c r="A30" s="7">
        <v>2016</v>
      </c>
      <c r="B30" s="31">
        <v>802.98</v>
      </c>
      <c r="C30" s="31">
        <v>811.68</v>
      </c>
      <c r="D30" s="31">
        <v>815.11</v>
      </c>
      <c r="E30" s="31">
        <v>808.91</v>
      </c>
      <c r="F30" s="31">
        <v>816.5</v>
      </c>
      <c r="G30" s="31">
        <v>825.02</v>
      </c>
      <c r="H30" s="31">
        <v>821.3</v>
      </c>
      <c r="I30" s="31">
        <v>822.48</v>
      </c>
      <c r="J30" s="31">
        <v>832.67</v>
      </c>
      <c r="K30" s="31">
        <v>816.92</v>
      </c>
      <c r="L30" s="31">
        <v>816.09</v>
      </c>
      <c r="M30" s="31">
        <v>823.21</v>
      </c>
      <c r="N30" s="17">
        <f t="shared" si="0"/>
        <v>817.73916666666662</v>
      </c>
    </row>
    <row r="31" spans="1:15" x14ac:dyDescent="0.3">
      <c r="A31" s="7">
        <v>2017</v>
      </c>
      <c r="B31" s="31">
        <v>821.94</v>
      </c>
      <c r="C31" s="31">
        <v>814.19</v>
      </c>
      <c r="D31" s="31">
        <v>821.68</v>
      </c>
      <c r="E31" s="31">
        <v>818.65</v>
      </c>
      <c r="F31" s="31">
        <v>820.72</v>
      </c>
      <c r="G31" s="31">
        <v>822.14</v>
      </c>
      <c r="H31" s="31">
        <v>816.11</v>
      </c>
      <c r="I31" s="31">
        <v>816.47</v>
      </c>
      <c r="J31" s="31">
        <v>816.49</v>
      </c>
      <c r="K31" s="31">
        <v>812.39</v>
      </c>
      <c r="L31" s="31">
        <v>832.74</v>
      </c>
      <c r="M31" s="31">
        <v>846.07</v>
      </c>
      <c r="N31" s="17">
        <f t="shared" si="0"/>
        <v>821.63250000000005</v>
      </c>
    </row>
    <row r="32" spans="1:15" x14ac:dyDescent="0.3">
      <c r="A32" s="7">
        <v>2018</v>
      </c>
      <c r="B32" s="31">
        <v>834.67</v>
      </c>
      <c r="C32" s="31">
        <v>846.19</v>
      </c>
      <c r="D32" s="31">
        <v>842.93</v>
      </c>
      <c r="E32" s="31">
        <v>840.25</v>
      </c>
      <c r="F32" s="31">
        <v>830.58</v>
      </c>
      <c r="G32" s="31">
        <v>825.12</v>
      </c>
      <c r="H32" s="31">
        <v>830.91</v>
      </c>
      <c r="I32" s="31">
        <v>850.82</v>
      </c>
      <c r="J32" s="31">
        <v>842.85</v>
      </c>
      <c r="K32" s="31">
        <v>857.12</v>
      </c>
      <c r="L32" s="31">
        <v>851.2</v>
      </c>
      <c r="M32" s="31">
        <v>849.42</v>
      </c>
      <c r="N32" s="17">
        <f t="shared" si="0"/>
        <v>841.83833333333348</v>
      </c>
    </row>
    <row r="33" spans="1:14" x14ac:dyDescent="0.3">
      <c r="A33" s="7">
        <v>2019</v>
      </c>
      <c r="B33" s="31">
        <v>854.5</v>
      </c>
      <c r="C33" s="31">
        <v>847.4</v>
      </c>
      <c r="D33" s="31">
        <v>851.58</v>
      </c>
      <c r="E33" s="31">
        <v>853.54</v>
      </c>
      <c r="F33" s="31">
        <v>863.25</v>
      </c>
      <c r="G33" s="31">
        <v>865.4</v>
      </c>
      <c r="H33" s="31">
        <v>879.7</v>
      </c>
      <c r="I33" s="31">
        <v>873.41</v>
      </c>
      <c r="J33" s="31">
        <v>877.72</v>
      </c>
      <c r="K33" s="31">
        <v>884.89</v>
      </c>
      <c r="L33" s="31">
        <v>879.52</v>
      </c>
      <c r="M33" s="31">
        <v>872.26</v>
      </c>
      <c r="N33" s="17">
        <f t="shared" si="0"/>
        <v>866.93083333333334</v>
      </c>
    </row>
    <row r="34" spans="1:14" x14ac:dyDescent="0.3">
      <c r="A34" s="7">
        <v>2020</v>
      </c>
      <c r="B34" s="31">
        <v>882.33</v>
      </c>
      <c r="C34" s="31">
        <v>889.85</v>
      </c>
      <c r="D34" s="31">
        <v>897.33</v>
      </c>
      <c r="E34" s="31">
        <v>967.26</v>
      </c>
      <c r="F34" s="31">
        <v>996.01</v>
      </c>
      <c r="G34" s="31">
        <v>992.78</v>
      </c>
      <c r="H34" s="31">
        <v>963.49</v>
      </c>
      <c r="I34" s="31">
        <v>961.5</v>
      </c>
      <c r="J34" s="31">
        <v>952.89</v>
      </c>
      <c r="K34" s="31">
        <v>961.75</v>
      </c>
      <c r="L34" s="31">
        <v>932.12</v>
      </c>
      <c r="M34" s="31">
        <v>930.97</v>
      </c>
      <c r="N34" s="17">
        <f t="shared" si="0"/>
        <v>944.02333333333343</v>
      </c>
    </row>
    <row r="35" spans="1:14" x14ac:dyDescent="0.3">
      <c r="A35" s="7">
        <v>2021</v>
      </c>
      <c r="B35" s="31">
        <v>952.71</v>
      </c>
      <c r="C35" s="31">
        <v>927.42</v>
      </c>
      <c r="D35" s="31">
        <v>921.2</v>
      </c>
      <c r="E35" s="31">
        <v>934.86</v>
      </c>
      <c r="F35" s="31">
        <v>952.47</v>
      </c>
      <c r="G35" s="31">
        <v>972.56</v>
      </c>
      <c r="H35" s="31">
        <v>960.8</v>
      </c>
      <c r="I35" s="31">
        <v>948.13</v>
      </c>
      <c r="J35" s="31">
        <v>955.96</v>
      </c>
      <c r="K35" s="31">
        <v>942.56</v>
      </c>
      <c r="L35" s="31"/>
      <c r="M35" s="31"/>
      <c r="N35" s="17">
        <f t="shared" si="0"/>
        <v>946.86699999999996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8"/>
  <dimension ref="A1:O35"/>
  <sheetViews>
    <sheetView workbookViewId="0">
      <pane xSplit="1" ySplit="4" topLeftCell="B23" activePane="bottomRight" state="frozen"/>
      <selection activeCell="B35" sqref="B35"/>
      <selection pane="topRight" activeCell="B35" sqref="B35"/>
      <selection pane="bottomLeft" activeCell="B35" sqref="B35"/>
      <selection pane="bottomRight" activeCell="L35" sqref="L35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74</v>
      </c>
      <c r="B1" s="1"/>
      <c r="C1" s="1"/>
    </row>
    <row r="2" spans="1:15" x14ac:dyDescent="0.3">
      <c r="A2" s="161"/>
      <c r="B2" s="45">
        <v>4</v>
      </c>
      <c r="C2" s="162" t="s">
        <v>154</v>
      </c>
    </row>
    <row r="3" spans="1:15" s="1" customFormat="1" x14ac:dyDescent="0.3">
      <c r="A3" s="1" t="s">
        <v>112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496.65</v>
      </c>
      <c r="C5" s="31">
        <v>501.57</v>
      </c>
      <c r="D5" s="31">
        <v>501.16</v>
      </c>
      <c r="E5" s="31">
        <v>506.66</v>
      </c>
      <c r="F5" s="31">
        <v>508.61</v>
      </c>
      <c r="G5" s="31">
        <v>508.4</v>
      </c>
      <c r="H5" s="31">
        <v>508.34</v>
      </c>
      <c r="I5" s="31">
        <v>505.82</v>
      </c>
      <c r="J5" s="31">
        <v>508.5</v>
      </c>
      <c r="K5" s="31">
        <v>512.14</v>
      </c>
      <c r="L5" s="31">
        <v>515.64</v>
      </c>
      <c r="M5" s="31">
        <v>516.95000000000005</v>
      </c>
      <c r="N5" s="17">
        <v>507.5366666666668</v>
      </c>
      <c r="O5" s="171"/>
    </row>
    <row r="6" spans="1:15" x14ac:dyDescent="0.3">
      <c r="A6" s="25">
        <v>1992</v>
      </c>
      <c r="B6" s="31">
        <v>520.87</v>
      </c>
      <c r="C6" s="31">
        <v>519.55999999999995</v>
      </c>
      <c r="D6" s="31">
        <v>517</v>
      </c>
      <c r="E6" s="31">
        <v>520.38</v>
      </c>
      <c r="F6" s="31">
        <v>523.65</v>
      </c>
      <c r="G6" s="31">
        <v>522.27</v>
      </c>
      <c r="H6" s="31">
        <v>525.51</v>
      </c>
      <c r="I6" s="31">
        <v>531.32000000000005</v>
      </c>
      <c r="J6" s="31">
        <v>528.07000000000005</v>
      </c>
      <c r="K6" s="31">
        <v>527.74</v>
      </c>
      <c r="L6" s="31">
        <v>525.61</v>
      </c>
      <c r="M6" s="31">
        <v>525.95000000000005</v>
      </c>
      <c r="N6" s="17">
        <v>523.9941666666665</v>
      </c>
      <c r="O6" s="171"/>
    </row>
    <row r="7" spans="1:15" x14ac:dyDescent="0.3">
      <c r="A7" s="25">
        <v>1993</v>
      </c>
      <c r="B7" s="31">
        <v>526.88</v>
      </c>
      <c r="C7" s="31">
        <v>525.84</v>
      </c>
      <c r="D7" s="31">
        <v>529.25</v>
      </c>
      <c r="E7" s="31">
        <v>527.82000000000005</v>
      </c>
      <c r="F7" s="31">
        <v>526.98</v>
      </c>
      <c r="G7" s="31">
        <v>528.21</v>
      </c>
      <c r="H7" s="31">
        <v>530.66</v>
      </c>
      <c r="I7" s="31">
        <v>533.32000000000005</v>
      </c>
      <c r="J7" s="31">
        <v>532.33000000000004</v>
      </c>
      <c r="K7" s="31">
        <v>531.57000000000005</v>
      </c>
      <c r="L7" s="31">
        <v>530.23</v>
      </c>
      <c r="M7" s="31">
        <v>530.71</v>
      </c>
      <c r="N7" s="17">
        <v>529.48333333333335</v>
      </c>
      <c r="O7" s="171"/>
    </row>
    <row r="8" spans="1:15" x14ac:dyDescent="0.3">
      <c r="A8" s="25">
        <v>1994</v>
      </c>
      <c r="B8" s="31">
        <v>531.6</v>
      </c>
      <c r="C8" s="31">
        <v>536.29</v>
      </c>
      <c r="D8" s="31">
        <v>535.84</v>
      </c>
      <c r="E8" s="31">
        <v>533.41999999999996</v>
      </c>
      <c r="F8" s="31">
        <v>530.14</v>
      </c>
      <c r="G8" s="31">
        <v>532.41</v>
      </c>
      <c r="H8" s="31">
        <v>533.52</v>
      </c>
      <c r="I8" s="31">
        <v>527.1</v>
      </c>
      <c r="J8" s="31">
        <v>530.5</v>
      </c>
      <c r="K8" s="31">
        <v>529.57000000000005</v>
      </c>
      <c r="L8" s="31">
        <v>533.09</v>
      </c>
      <c r="M8" s="31">
        <v>530.41</v>
      </c>
      <c r="N8" s="17">
        <v>531.99083333333328</v>
      </c>
      <c r="O8" s="171"/>
    </row>
    <row r="9" spans="1:15" x14ac:dyDescent="0.3">
      <c r="A9" s="25">
        <v>1995</v>
      </c>
      <c r="B9" s="31">
        <v>532.92999999999995</v>
      </c>
      <c r="C9" s="31">
        <v>524.57000000000005</v>
      </c>
      <c r="D9" s="31">
        <v>526.42999999999995</v>
      </c>
      <c r="E9" s="31">
        <v>528.96</v>
      </c>
      <c r="F9" s="31">
        <v>517.03</v>
      </c>
      <c r="G9" s="31">
        <v>527.77</v>
      </c>
      <c r="H9" s="31">
        <v>523.33000000000004</v>
      </c>
      <c r="I9" s="31">
        <v>528.21</v>
      </c>
      <c r="J9" s="31">
        <v>527.4</v>
      </c>
      <c r="K9" s="31">
        <v>521.19000000000005</v>
      </c>
      <c r="L9" s="31">
        <v>524.76</v>
      </c>
      <c r="M9" s="31">
        <v>530.42999999999995</v>
      </c>
      <c r="N9" s="17">
        <v>526.08416666666665</v>
      </c>
      <c r="O9" s="171"/>
    </row>
    <row r="10" spans="1:15" x14ac:dyDescent="0.3">
      <c r="A10" s="25">
        <v>1996</v>
      </c>
      <c r="B10" s="31">
        <v>525.22</v>
      </c>
      <c r="C10" s="31">
        <v>530</v>
      </c>
      <c r="D10" s="31">
        <v>530.29</v>
      </c>
      <c r="E10" s="31">
        <v>526.87</v>
      </c>
      <c r="F10" s="31">
        <v>533.95000000000005</v>
      </c>
      <c r="G10" s="31">
        <v>531.62</v>
      </c>
      <c r="H10" s="31">
        <v>530.59</v>
      </c>
      <c r="I10" s="31">
        <v>531.92999999999995</v>
      </c>
      <c r="J10" s="31">
        <v>532.14</v>
      </c>
      <c r="K10" s="31">
        <v>540.72</v>
      </c>
      <c r="L10" s="31">
        <v>538.79999999999995</v>
      </c>
      <c r="M10" s="31">
        <v>537.29999999999995</v>
      </c>
      <c r="N10" s="17">
        <v>532.4525000000001</v>
      </c>
      <c r="O10" s="171"/>
    </row>
    <row r="11" spans="1:15" x14ac:dyDescent="0.3">
      <c r="A11" s="25">
        <v>1997</v>
      </c>
      <c r="B11" s="31">
        <v>538.88</v>
      </c>
      <c r="C11" s="31">
        <v>537.83000000000004</v>
      </c>
      <c r="D11" s="31">
        <v>538.49</v>
      </c>
      <c r="E11" s="31">
        <v>537.91</v>
      </c>
      <c r="F11" s="31">
        <v>539.89</v>
      </c>
      <c r="G11" s="31">
        <v>540.66</v>
      </c>
      <c r="H11" s="31">
        <v>535.62</v>
      </c>
      <c r="I11" s="31">
        <v>534.35</v>
      </c>
      <c r="J11" s="31">
        <v>538.16999999999996</v>
      </c>
      <c r="K11" s="31">
        <v>540.92999999999995</v>
      </c>
      <c r="L11" s="31">
        <v>536.25</v>
      </c>
      <c r="M11" s="31">
        <v>538.22</v>
      </c>
      <c r="N11" s="17">
        <v>538.1</v>
      </c>
      <c r="O11" s="171"/>
    </row>
    <row r="12" spans="1:15" x14ac:dyDescent="0.3">
      <c r="A12" s="25">
        <v>1998</v>
      </c>
      <c r="B12" s="31">
        <v>538.09</v>
      </c>
      <c r="C12" s="31">
        <v>545.02</v>
      </c>
      <c r="D12" s="31">
        <v>545.32000000000005</v>
      </c>
      <c r="E12" s="31">
        <v>548.91999999999996</v>
      </c>
      <c r="F12" s="31">
        <v>547.75</v>
      </c>
      <c r="G12" s="31">
        <v>546.05999999999995</v>
      </c>
      <c r="H12" s="31">
        <v>553.32000000000005</v>
      </c>
      <c r="I12" s="31">
        <v>551.11</v>
      </c>
      <c r="J12" s="31">
        <v>549.52</v>
      </c>
      <c r="K12" s="31">
        <v>550.02</v>
      </c>
      <c r="L12" s="31">
        <v>551.91</v>
      </c>
      <c r="M12" s="31">
        <v>558.25</v>
      </c>
      <c r="N12" s="17">
        <v>548.7741666666667</v>
      </c>
      <c r="O12" s="171"/>
    </row>
    <row r="13" spans="1:15" x14ac:dyDescent="0.3">
      <c r="A13" s="25">
        <v>1999</v>
      </c>
      <c r="B13" s="31">
        <v>538.52</v>
      </c>
      <c r="C13" s="31">
        <v>544.70000000000005</v>
      </c>
      <c r="D13" s="31">
        <v>538.37</v>
      </c>
      <c r="E13" s="31">
        <v>550.61</v>
      </c>
      <c r="F13" s="31">
        <v>548.25</v>
      </c>
      <c r="G13" s="31">
        <v>551.07000000000005</v>
      </c>
      <c r="H13" s="31">
        <v>555.27</v>
      </c>
      <c r="I13" s="31">
        <v>553.16</v>
      </c>
      <c r="J13" s="31">
        <v>553.29999999999995</v>
      </c>
      <c r="K13" s="31">
        <v>548.24</v>
      </c>
      <c r="L13" s="31">
        <v>549.79</v>
      </c>
      <c r="M13" s="31">
        <v>552.22</v>
      </c>
      <c r="N13" s="17">
        <v>548.62500000000011</v>
      </c>
      <c r="O13" s="171"/>
    </row>
    <row r="14" spans="1:15" x14ac:dyDescent="0.3">
      <c r="A14" s="25">
        <v>2000</v>
      </c>
      <c r="B14" s="31">
        <v>551.83000000000004</v>
      </c>
      <c r="C14" s="31">
        <v>552.04999999999995</v>
      </c>
      <c r="D14" s="31">
        <v>554.64</v>
      </c>
      <c r="E14" s="31">
        <v>556</v>
      </c>
      <c r="F14" s="31">
        <v>560.46</v>
      </c>
      <c r="G14" s="31">
        <v>564.74</v>
      </c>
      <c r="H14" s="31">
        <v>562.54</v>
      </c>
      <c r="I14" s="31">
        <v>566.82000000000005</v>
      </c>
      <c r="J14" s="31">
        <v>566.51</v>
      </c>
      <c r="K14" s="31">
        <v>569.59</v>
      </c>
      <c r="L14" s="31">
        <v>571.46</v>
      </c>
      <c r="M14" s="31">
        <v>569.34</v>
      </c>
      <c r="N14" s="17">
        <v>562.16500000000008</v>
      </c>
      <c r="O14" s="171"/>
    </row>
    <row r="15" spans="1:15" x14ac:dyDescent="0.3">
      <c r="A15" s="25">
        <v>2001</v>
      </c>
      <c r="B15" s="31">
        <v>569.34</v>
      </c>
      <c r="C15" s="31">
        <v>570.58000000000004</v>
      </c>
      <c r="D15" s="31">
        <v>571.39</v>
      </c>
      <c r="E15" s="31">
        <v>568.73</v>
      </c>
      <c r="F15" s="31">
        <v>565.91999999999996</v>
      </c>
      <c r="G15" s="31">
        <v>572.39</v>
      </c>
      <c r="H15" s="31">
        <v>574.6</v>
      </c>
      <c r="I15" s="31">
        <v>580.92999999999995</v>
      </c>
      <c r="J15" s="31">
        <v>580.46</v>
      </c>
      <c r="K15" s="31">
        <v>585.46</v>
      </c>
      <c r="L15" s="31">
        <v>587.44000000000005</v>
      </c>
      <c r="M15" s="31">
        <v>590.04999999999995</v>
      </c>
      <c r="N15" s="17">
        <f>AVERAGE(B15:M15)</f>
        <v>576.44083333333333</v>
      </c>
      <c r="O15" s="171"/>
    </row>
    <row r="16" spans="1:15" x14ac:dyDescent="0.3">
      <c r="A16" s="25">
        <v>2002</v>
      </c>
      <c r="B16" s="31">
        <v>590.30999999999995</v>
      </c>
      <c r="C16" s="31">
        <v>587.21</v>
      </c>
      <c r="D16" s="31">
        <v>590.66999999999996</v>
      </c>
      <c r="E16" s="31">
        <v>595.73</v>
      </c>
      <c r="F16" s="31">
        <v>596.66</v>
      </c>
      <c r="G16" s="31">
        <v>597.22</v>
      </c>
      <c r="H16" s="31">
        <v>603.21</v>
      </c>
      <c r="I16" s="31">
        <v>594.27</v>
      </c>
      <c r="J16" s="31">
        <v>595.03</v>
      </c>
      <c r="K16" s="31">
        <v>601.73</v>
      </c>
      <c r="L16" s="31">
        <v>602.65</v>
      </c>
      <c r="M16" s="31">
        <v>606.30999999999995</v>
      </c>
      <c r="N16" s="17">
        <f t="shared" ref="N16:N35" si="0">AVERAGE(B16:M16)</f>
        <v>596.75</v>
      </c>
      <c r="O16" s="171"/>
    </row>
    <row r="17" spans="1:15" x14ac:dyDescent="0.3">
      <c r="A17" s="25">
        <v>2003</v>
      </c>
      <c r="B17" s="31">
        <v>605.66999999999996</v>
      </c>
      <c r="C17" s="31">
        <v>607.78</v>
      </c>
      <c r="D17" s="31">
        <v>605.36</v>
      </c>
      <c r="E17" s="31">
        <v>611.55999999999995</v>
      </c>
      <c r="F17" s="31">
        <v>611.61</v>
      </c>
      <c r="G17" s="31">
        <v>610.25</v>
      </c>
      <c r="H17" s="31">
        <v>609.02</v>
      </c>
      <c r="I17" s="31">
        <v>612.34</v>
      </c>
      <c r="J17" s="31">
        <v>613.36</v>
      </c>
      <c r="K17" s="31">
        <v>612.87</v>
      </c>
      <c r="L17" s="31">
        <v>614.49</v>
      </c>
      <c r="M17" s="31">
        <v>615.20000000000005</v>
      </c>
      <c r="N17" s="17">
        <f t="shared" si="0"/>
        <v>610.7924999999999</v>
      </c>
      <c r="O17" s="171"/>
    </row>
    <row r="18" spans="1:15" x14ac:dyDescent="0.3">
      <c r="A18" s="25">
        <v>2004</v>
      </c>
      <c r="B18" s="31">
        <v>613.80999999999995</v>
      </c>
      <c r="C18" s="31">
        <v>611.28</v>
      </c>
      <c r="D18" s="31">
        <v>617.51</v>
      </c>
      <c r="E18" s="31">
        <v>620.57000000000005</v>
      </c>
      <c r="F18" s="31">
        <v>628.66999999999996</v>
      </c>
      <c r="G18" s="31">
        <v>622.87</v>
      </c>
      <c r="H18" s="31">
        <v>626.03</v>
      </c>
      <c r="I18" s="31">
        <v>627.86</v>
      </c>
      <c r="J18" s="31">
        <v>630.30999999999995</v>
      </c>
      <c r="K18" s="31">
        <v>634.11</v>
      </c>
      <c r="L18" s="31">
        <v>630.92999999999995</v>
      </c>
      <c r="M18" s="31">
        <v>640.27</v>
      </c>
      <c r="N18" s="17">
        <f t="shared" si="0"/>
        <v>625.35166666666657</v>
      </c>
      <c r="O18" s="171"/>
    </row>
    <row r="19" spans="1:15" x14ac:dyDescent="0.3">
      <c r="A19" s="25">
        <v>2005</v>
      </c>
      <c r="B19" s="31">
        <v>647.09</v>
      </c>
      <c r="C19" s="31">
        <v>654.46</v>
      </c>
      <c r="D19" s="31">
        <v>646.66</v>
      </c>
      <c r="E19" s="31">
        <v>647.29</v>
      </c>
      <c r="F19" s="31">
        <v>652.17999999999995</v>
      </c>
      <c r="G19" s="31">
        <v>653.36</v>
      </c>
      <c r="H19" s="31">
        <v>653.4</v>
      </c>
      <c r="I19" s="31">
        <v>658.94</v>
      </c>
      <c r="J19" s="31">
        <v>670.58</v>
      </c>
      <c r="K19" s="31">
        <v>669.71</v>
      </c>
      <c r="L19" s="31">
        <v>668.28</v>
      </c>
      <c r="M19" s="31">
        <v>661.46</v>
      </c>
      <c r="N19" s="17">
        <f t="shared" si="0"/>
        <v>656.95083333333321</v>
      </c>
    </row>
    <row r="20" spans="1:15" x14ac:dyDescent="0.3">
      <c r="A20" s="25">
        <v>2006</v>
      </c>
      <c r="B20" s="31">
        <v>670.77</v>
      </c>
      <c r="C20" s="31">
        <v>667.99</v>
      </c>
      <c r="D20" s="31">
        <v>669.1</v>
      </c>
      <c r="E20" s="31">
        <v>668.54</v>
      </c>
      <c r="F20" s="31">
        <v>659.75</v>
      </c>
      <c r="G20" s="31">
        <v>673.52</v>
      </c>
      <c r="H20" s="31">
        <v>673.61</v>
      </c>
      <c r="I20" s="31">
        <v>677.46</v>
      </c>
      <c r="J20" s="31">
        <v>678.01</v>
      </c>
      <c r="K20" s="31">
        <v>677.09</v>
      </c>
      <c r="L20" s="31">
        <v>681.45</v>
      </c>
      <c r="M20" s="31">
        <v>682.35</v>
      </c>
      <c r="N20" s="17">
        <f t="shared" si="0"/>
        <v>673.3033333333334</v>
      </c>
    </row>
    <row r="21" spans="1:15" x14ac:dyDescent="0.3">
      <c r="A21" s="7">
        <v>2007</v>
      </c>
      <c r="B21" s="31">
        <v>682.46</v>
      </c>
      <c r="C21" s="31">
        <v>685.27</v>
      </c>
      <c r="D21" s="31">
        <v>702.35</v>
      </c>
      <c r="E21" s="31">
        <v>690.92</v>
      </c>
      <c r="F21" s="31">
        <v>698.13</v>
      </c>
      <c r="G21" s="31">
        <v>700.49</v>
      </c>
      <c r="H21" s="31">
        <v>691.92</v>
      </c>
      <c r="I21" s="31">
        <v>698</v>
      </c>
      <c r="J21" s="31">
        <v>690.76</v>
      </c>
      <c r="K21" s="31">
        <v>691.96</v>
      </c>
      <c r="L21" s="31">
        <v>702.98</v>
      </c>
      <c r="M21" s="31">
        <v>697.56</v>
      </c>
      <c r="N21" s="17">
        <f t="shared" si="0"/>
        <v>694.4</v>
      </c>
    </row>
    <row r="22" spans="1:15" x14ac:dyDescent="0.3">
      <c r="A22" s="7">
        <v>2008</v>
      </c>
      <c r="B22" s="31">
        <v>703.5</v>
      </c>
      <c r="C22" s="31">
        <v>702.46</v>
      </c>
      <c r="D22" s="31">
        <v>702.69</v>
      </c>
      <c r="E22" s="31">
        <v>709.13</v>
      </c>
      <c r="F22" s="31">
        <v>711.59</v>
      </c>
      <c r="G22" s="31">
        <v>706.55</v>
      </c>
      <c r="H22" s="31">
        <v>718.18</v>
      </c>
      <c r="I22" s="31">
        <v>715.99</v>
      </c>
      <c r="J22" s="31">
        <v>715.75</v>
      </c>
      <c r="K22" s="31">
        <v>724.31</v>
      </c>
      <c r="L22" s="31">
        <v>719.37</v>
      </c>
      <c r="M22" s="31">
        <v>719.81</v>
      </c>
      <c r="N22" s="17">
        <f t="shared" si="0"/>
        <v>712.44416666666666</v>
      </c>
    </row>
    <row r="23" spans="1:15" x14ac:dyDescent="0.3">
      <c r="A23" s="7">
        <v>2009</v>
      </c>
      <c r="B23" s="31">
        <v>723.38</v>
      </c>
      <c r="C23" s="31">
        <v>727.99</v>
      </c>
      <c r="D23" s="31">
        <v>727.68</v>
      </c>
      <c r="E23" s="31">
        <v>730.96</v>
      </c>
      <c r="F23" s="31">
        <v>730.86</v>
      </c>
      <c r="G23" s="31">
        <v>727.23</v>
      </c>
      <c r="H23" s="31">
        <v>726.65</v>
      </c>
      <c r="I23" s="31">
        <v>731.01</v>
      </c>
      <c r="J23" s="31">
        <v>739.24</v>
      </c>
      <c r="K23" s="31">
        <v>722.03</v>
      </c>
      <c r="L23" s="31">
        <v>727.58</v>
      </c>
      <c r="M23" s="31">
        <v>737.26</v>
      </c>
      <c r="N23" s="17">
        <f t="shared" si="0"/>
        <v>729.32249999999988</v>
      </c>
    </row>
    <row r="24" spans="1:15" x14ac:dyDescent="0.3">
      <c r="A24" s="7">
        <v>2010</v>
      </c>
      <c r="B24" s="31">
        <v>741.46</v>
      </c>
      <c r="C24" s="31">
        <v>756.98</v>
      </c>
      <c r="D24" s="31">
        <v>747.75</v>
      </c>
      <c r="E24" s="31">
        <v>750.99</v>
      </c>
      <c r="F24" s="31">
        <v>753.64</v>
      </c>
      <c r="G24" s="31">
        <v>757.36</v>
      </c>
      <c r="H24" s="31">
        <v>763.42</v>
      </c>
      <c r="I24" s="31">
        <v>757.64</v>
      </c>
      <c r="J24" s="31">
        <v>767.36</v>
      </c>
      <c r="K24" s="31">
        <v>767.05</v>
      </c>
      <c r="L24" s="31">
        <v>759.92</v>
      </c>
      <c r="M24" s="31">
        <v>773.16</v>
      </c>
      <c r="N24" s="17">
        <f t="shared" si="0"/>
        <v>758.06083333333333</v>
      </c>
    </row>
    <row r="25" spans="1:15" x14ac:dyDescent="0.3">
      <c r="A25" s="7">
        <v>2011</v>
      </c>
      <c r="B25" s="31">
        <v>760.05</v>
      </c>
      <c r="C25" s="31">
        <v>761.99</v>
      </c>
      <c r="D25" s="31">
        <v>765.58</v>
      </c>
      <c r="E25" s="31">
        <v>763.97</v>
      </c>
      <c r="F25" s="31">
        <v>759.07</v>
      </c>
      <c r="G25" s="31">
        <v>767.04</v>
      </c>
      <c r="H25" s="31">
        <v>764.46</v>
      </c>
      <c r="I25" s="31">
        <v>766.24</v>
      </c>
      <c r="J25" s="31">
        <v>760.48</v>
      </c>
      <c r="K25" s="31">
        <v>768</v>
      </c>
      <c r="L25" s="31">
        <v>777.24</v>
      </c>
      <c r="M25" s="31">
        <v>773.88</v>
      </c>
      <c r="N25" s="17">
        <f t="shared" si="0"/>
        <v>765.66666666666663</v>
      </c>
    </row>
    <row r="26" spans="1:15" x14ac:dyDescent="0.3">
      <c r="A26" s="7">
        <v>2012</v>
      </c>
      <c r="B26" s="31">
        <v>776.89</v>
      </c>
      <c r="C26" s="31">
        <v>770.67</v>
      </c>
      <c r="D26" s="31">
        <v>778.41</v>
      </c>
      <c r="E26" s="31">
        <v>777.75</v>
      </c>
      <c r="F26" s="31">
        <v>788.04</v>
      </c>
      <c r="G26" s="31">
        <v>786.5</v>
      </c>
      <c r="H26" s="31">
        <v>785.59</v>
      </c>
      <c r="I26" s="31">
        <v>793.06</v>
      </c>
      <c r="J26" s="31">
        <v>797.92</v>
      </c>
      <c r="K26" s="31">
        <v>797.65</v>
      </c>
      <c r="L26" s="31">
        <v>808.34</v>
      </c>
      <c r="M26" s="31">
        <v>799.47</v>
      </c>
      <c r="N26" s="17">
        <f t="shared" si="0"/>
        <v>788.35749999999996</v>
      </c>
    </row>
    <row r="27" spans="1:15" x14ac:dyDescent="0.3">
      <c r="A27" s="7">
        <v>2013</v>
      </c>
      <c r="B27" s="31">
        <v>790.06</v>
      </c>
      <c r="C27" s="31">
        <v>788.19</v>
      </c>
      <c r="D27" s="31">
        <v>785.95</v>
      </c>
      <c r="E27" s="31">
        <v>787.67</v>
      </c>
      <c r="F27" s="31">
        <v>800.19</v>
      </c>
      <c r="G27" s="31">
        <v>797.14</v>
      </c>
      <c r="H27" s="31">
        <v>803.13</v>
      </c>
      <c r="I27" s="31">
        <v>802.86</v>
      </c>
      <c r="J27" s="31">
        <v>799.23</v>
      </c>
      <c r="K27" s="31">
        <v>805.83</v>
      </c>
      <c r="L27" s="31">
        <v>809.73</v>
      </c>
      <c r="M27" s="31">
        <v>799.18</v>
      </c>
      <c r="N27" s="17">
        <f t="shared" si="0"/>
        <v>797.43</v>
      </c>
    </row>
    <row r="28" spans="1:15" x14ac:dyDescent="0.3">
      <c r="A28" s="7">
        <v>2014</v>
      </c>
      <c r="B28" s="31">
        <v>807.84</v>
      </c>
      <c r="C28" s="31">
        <v>816.64</v>
      </c>
      <c r="D28" s="31">
        <v>808.36</v>
      </c>
      <c r="E28" s="31">
        <v>818.13</v>
      </c>
      <c r="F28" s="31">
        <v>827.54</v>
      </c>
      <c r="G28" s="31">
        <v>823.14</v>
      </c>
      <c r="H28" s="31">
        <v>825.06</v>
      </c>
      <c r="I28" s="31">
        <v>821.66</v>
      </c>
      <c r="J28" s="31">
        <v>816.03</v>
      </c>
      <c r="K28" s="31">
        <v>828.59</v>
      </c>
      <c r="L28" s="31">
        <v>818.48</v>
      </c>
      <c r="M28" s="31">
        <v>827.02</v>
      </c>
      <c r="N28" s="17">
        <f t="shared" si="0"/>
        <v>819.87416666666661</v>
      </c>
    </row>
    <row r="29" spans="1:15" x14ac:dyDescent="0.3">
      <c r="A29" s="7">
        <v>2015</v>
      </c>
      <c r="B29" s="31">
        <v>836.51</v>
      </c>
      <c r="C29" s="31">
        <v>826</v>
      </c>
      <c r="D29" s="31">
        <v>820.91</v>
      </c>
      <c r="E29" s="31">
        <v>836.44</v>
      </c>
      <c r="F29" s="31">
        <v>832.89</v>
      </c>
      <c r="G29" s="31">
        <v>840.19</v>
      </c>
      <c r="H29" s="31">
        <v>837.39</v>
      </c>
      <c r="I29" s="31">
        <v>830.49</v>
      </c>
      <c r="J29" s="31">
        <v>838.03</v>
      </c>
      <c r="K29" s="31">
        <v>843.51</v>
      </c>
      <c r="L29" s="31">
        <v>834.09</v>
      </c>
      <c r="M29" s="31">
        <v>843.43</v>
      </c>
      <c r="N29" s="17">
        <f t="shared" si="0"/>
        <v>834.99000000000012</v>
      </c>
    </row>
    <row r="30" spans="1:15" x14ac:dyDescent="0.3">
      <c r="A30" s="7">
        <v>2016</v>
      </c>
      <c r="B30" s="31">
        <v>839.65</v>
      </c>
      <c r="C30" s="31">
        <v>855.42</v>
      </c>
      <c r="D30" s="31">
        <v>865.66</v>
      </c>
      <c r="E30" s="31">
        <v>854.14</v>
      </c>
      <c r="F30" s="31">
        <v>835.98</v>
      </c>
      <c r="G30" s="31">
        <v>840.27</v>
      </c>
      <c r="H30" s="31">
        <v>846.39</v>
      </c>
      <c r="I30" s="31">
        <v>846.48</v>
      </c>
      <c r="J30" s="31">
        <v>852.73</v>
      </c>
      <c r="K30" s="31">
        <v>842.6</v>
      </c>
      <c r="L30" s="31">
        <v>840.93</v>
      </c>
      <c r="M30" s="31">
        <v>854.24</v>
      </c>
      <c r="N30" s="17">
        <f t="shared" si="0"/>
        <v>847.87416666666684</v>
      </c>
    </row>
    <row r="31" spans="1:15" x14ac:dyDescent="0.3">
      <c r="A31" s="7">
        <v>2017</v>
      </c>
      <c r="B31" s="31">
        <v>853.1</v>
      </c>
      <c r="C31" s="31">
        <v>848.03</v>
      </c>
      <c r="D31" s="31">
        <v>861.23</v>
      </c>
      <c r="E31" s="31">
        <v>865.48</v>
      </c>
      <c r="F31" s="31">
        <v>850.93</v>
      </c>
      <c r="G31" s="31">
        <v>865.78</v>
      </c>
      <c r="H31" s="31">
        <v>861.64</v>
      </c>
      <c r="I31" s="31">
        <v>868.65</v>
      </c>
      <c r="J31" s="31">
        <v>872.69</v>
      </c>
      <c r="K31" s="31">
        <v>856.77</v>
      </c>
      <c r="L31" s="31">
        <v>868.88</v>
      </c>
      <c r="M31" s="31">
        <v>861.75</v>
      </c>
      <c r="N31" s="17">
        <f t="shared" si="0"/>
        <v>861.24416666666673</v>
      </c>
    </row>
    <row r="32" spans="1:15" x14ac:dyDescent="0.3">
      <c r="A32" s="7">
        <v>2018</v>
      </c>
      <c r="B32" s="31">
        <v>851.93</v>
      </c>
      <c r="C32" s="31">
        <v>868.27</v>
      </c>
      <c r="D32" s="31">
        <v>868.95</v>
      </c>
      <c r="E32" s="31">
        <v>858.23</v>
      </c>
      <c r="F32" s="31">
        <v>868.1</v>
      </c>
      <c r="G32" s="31">
        <v>866.72</v>
      </c>
      <c r="H32" s="31">
        <v>875.81</v>
      </c>
      <c r="I32" s="31">
        <v>876.83</v>
      </c>
      <c r="J32" s="31">
        <v>874.73</v>
      </c>
      <c r="K32" s="31">
        <v>874.91</v>
      </c>
      <c r="L32" s="31">
        <v>885.93</v>
      </c>
      <c r="M32" s="31">
        <v>889.96</v>
      </c>
      <c r="N32" s="17">
        <f t="shared" si="0"/>
        <v>871.69749999999988</v>
      </c>
    </row>
    <row r="33" spans="1:14" x14ac:dyDescent="0.3">
      <c r="A33" s="7">
        <v>2019</v>
      </c>
      <c r="B33" s="31">
        <v>892.78</v>
      </c>
      <c r="C33" s="31">
        <v>887.33</v>
      </c>
      <c r="D33" s="31">
        <v>893.11</v>
      </c>
      <c r="E33" s="31">
        <v>894.09</v>
      </c>
      <c r="F33" s="31">
        <v>904.45</v>
      </c>
      <c r="G33" s="31">
        <v>899.27</v>
      </c>
      <c r="H33" s="31">
        <v>901.95</v>
      </c>
      <c r="I33" s="31">
        <v>906.55</v>
      </c>
      <c r="J33" s="31">
        <v>912.4</v>
      </c>
      <c r="K33" s="31">
        <v>920.06</v>
      </c>
      <c r="L33" s="31">
        <v>925.04</v>
      </c>
      <c r="M33" s="31">
        <v>919.97</v>
      </c>
      <c r="N33" s="17">
        <f t="shared" si="0"/>
        <v>904.74999999999989</v>
      </c>
    </row>
    <row r="34" spans="1:14" x14ac:dyDescent="0.3">
      <c r="A34" s="7">
        <v>2020</v>
      </c>
      <c r="B34" s="31">
        <v>932.23</v>
      </c>
      <c r="C34" s="31">
        <v>929.33</v>
      </c>
      <c r="D34" s="31">
        <v>930.26</v>
      </c>
      <c r="E34" s="31">
        <v>996.75</v>
      </c>
      <c r="F34" s="31">
        <v>1014.88</v>
      </c>
      <c r="G34" s="31">
        <v>983.71</v>
      </c>
      <c r="H34" s="31">
        <v>954.03</v>
      </c>
      <c r="I34" s="31">
        <v>967.43</v>
      </c>
      <c r="J34" s="31">
        <v>960.37</v>
      </c>
      <c r="K34" s="31">
        <v>982.57</v>
      </c>
      <c r="L34" s="31">
        <v>953.04</v>
      </c>
      <c r="M34" s="31">
        <v>1005.03</v>
      </c>
      <c r="N34" s="17">
        <f t="shared" si="0"/>
        <v>967.46916666666664</v>
      </c>
    </row>
    <row r="35" spans="1:14" x14ac:dyDescent="0.3">
      <c r="A35" s="7">
        <v>2021</v>
      </c>
      <c r="B35" s="31">
        <v>993.77</v>
      </c>
      <c r="C35" s="31">
        <v>964.73</v>
      </c>
      <c r="D35" s="31">
        <v>948.74</v>
      </c>
      <c r="E35" s="31">
        <v>955.25</v>
      </c>
      <c r="F35" s="31">
        <v>991.26</v>
      </c>
      <c r="G35" s="31">
        <v>991.71</v>
      </c>
      <c r="H35" s="31">
        <v>983.78</v>
      </c>
      <c r="I35" s="31">
        <v>977.82</v>
      </c>
      <c r="J35" s="31">
        <v>984.67</v>
      </c>
      <c r="K35" s="31">
        <v>995.35</v>
      </c>
      <c r="L35" s="31"/>
      <c r="M35" s="31"/>
      <c r="N35" s="17">
        <f t="shared" si="0"/>
        <v>978.70799999999997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7"/>
  <dimension ref="A1:O35"/>
  <sheetViews>
    <sheetView workbookViewId="0">
      <pane xSplit="1" ySplit="4" topLeftCell="C23" activePane="bottomRight" state="frozen"/>
      <selection activeCell="B35" sqref="B35"/>
      <selection pane="topRight" activeCell="B35" sqref="B35"/>
      <selection pane="bottomLeft" activeCell="B35" sqref="B35"/>
      <selection pane="bottomRight" activeCell="L35" sqref="L35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75</v>
      </c>
      <c r="B1" s="1"/>
      <c r="C1" s="1"/>
    </row>
    <row r="2" spans="1:15" x14ac:dyDescent="0.3">
      <c r="A2" s="161"/>
      <c r="B2" s="45">
        <v>5</v>
      </c>
      <c r="C2" s="162" t="s">
        <v>154</v>
      </c>
    </row>
    <row r="3" spans="1:15" s="1" customFormat="1" x14ac:dyDescent="0.3">
      <c r="A3" s="1" t="s">
        <v>113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496.34</v>
      </c>
      <c r="C5" s="31">
        <v>504.47</v>
      </c>
      <c r="D5" s="31">
        <v>504.61</v>
      </c>
      <c r="E5" s="31">
        <v>502.73</v>
      </c>
      <c r="F5" s="31">
        <v>495.92</v>
      </c>
      <c r="G5" s="31">
        <v>497.4</v>
      </c>
      <c r="H5" s="31">
        <v>502.07</v>
      </c>
      <c r="I5" s="31">
        <v>503.81</v>
      </c>
      <c r="J5" s="31">
        <v>500.76</v>
      </c>
      <c r="K5" s="31">
        <v>504.67</v>
      </c>
      <c r="L5" s="31">
        <v>503.68</v>
      </c>
      <c r="M5" s="31">
        <v>502.12</v>
      </c>
      <c r="N5" s="17">
        <v>501.5483333333334</v>
      </c>
      <c r="O5" s="171"/>
    </row>
    <row r="6" spans="1:15" x14ac:dyDescent="0.3">
      <c r="A6" s="25">
        <v>1992</v>
      </c>
      <c r="B6" s="31">
        <v>508.29</v>
      </c>
      <c r="C6" s="31">
        <v>500.58</v>
      </c>
      <c r="D6" s="31">
        <v>502.93</v>
      </c>
      <c r="E6" s="31">
        <v>510.37</v>
      </c>
      <c r="F6" s="31">
        <v>511.57</v>
      </c>
      <c r="G6" s="31">
        <v>506.21</v>
      </c>
      <c r="H6" s="31">
        <v>510.65</v>
      </c>
      <c r="I6" s="31">
        <v>506.8</v>
      </c>
      <c r="J6" s="31">
        <v>513.14</v>
      </c>
      <c r="K6" s="31">
        <v>521.17999999999995</v>
      </c>
      <c r="L6" s="31">
        <v>522.6</v>
      </c>
      <c r="M6" s="31">
        <v>520.22</v>
      </c>
      <c r="N6" s="17">
        <v>511.21166666666682</v>
      </c>
      <c r="O6" s="171"/>
    </row>
    <row r="7" spans="1:15" x14ac:dyDescent="0.3">
      <c r="A7" s="25">
        <v>1993</v>
      </c>
      <c r="B7" s="31">
        <v>516.80999999999995</v>
      </c>
      <c r="C7" s="31">
        <v>516.95000000000005</v>
      </c>
      <c r="D7" s="31">
        <v>517.70000000000005</v>
      </c>
      <c r="E7" s="31">
        <v>530.87</v>
      </c>
      <c r="F7" s="31">
        <v>519.54</v>
      </c>
      <c r="G7" s="31">
        <v>521.04</v>
      </c>
      <c r="H7" s="31">
        <v>525.78</v>
      </c>
      <c r="I7" s="31">
        <v>530.48</v>
      </c>
      <c r="J7" s="31">
        <v>534.86</v>
      </c>
      <c r="K7" s="31">
        <v>531.61</v>
      </c>
      <c r="L7" s="31">
        <v>529.07000000000005</v>
      </c>
      <c r="M7" s="31">
        <v>528.44000000000005</v>
      </c>
      <c r="N7" s="17">
        <v>525.26249999999993</v>
      </c>
      <c r="O7" s="171"/>
    </row>
    <row r="8" spans="1:15" x14ac:dyDescent="0.3">
      <c r="A8" s="25">
        <v>1994</v>
      </c>
      <c r="B8" s="31">
        <v>531.04999999999995</v>
      </c>
      <c r="C8" s="31">
        <v>530.04999999999995</v>
      </c>
      <c r="D8" s="31">
        <v>519.19000000000005</v>
      </c>
      <c r="E8" s="31">
        <v>529.95000000000005</v>
      </c>
      <c r="F8" s="31">
        <v>515.74</v>
      </c>
      <c r="G8" s="31">
        <v>517.44000000000005</v>
      </c>
      <c r="H8" s="31">
        <v>531.20000000000005</v>
      </c>
      <c r="I8" s="31">
        <v>520.86</v>
      </c>
      <c r="J8" s="31">
        <v>528.88</v>
      </c>
      <c r="K8" s="31">
        <v>528.02</v>
      </c>
      <c r="L8" s="31">
        <v>525.38</v>
      </c>
      <c r="M8" s="31">
        <v>530.59</v>
      </c>
      <c r="N8" s="17">
        <v>525.69583333333333</v>
      </c>
      <c r="O8" s="171"/>
    </row>
    <row r="9" spans="1:15" x14ac:dyDescent="0.3">
      <c r="A9" s="25">
        <v>1995</v>
      </c>
      <c r="B9" s="31">
        <v>539.29</v>
      </c>
      <c r="C9" s="31">
        <v>535.08000000000004</v>
      </c>
      <c r="D9" s="31">
        <v>535.78</v>
      </c>
      <c r="E9" s="31">
        <v>533.59</v>
      </c>
      <c r="F9" s="31">
        <v>529.84</v>
      </c>
      <c r="G9" s="31">
        <v>533.80999999999995</v>
      </c>
      <c r="H9" s="31">
        <v>530.73</v>
      </c>
      <c r="I9" s="31">
        <v>529.69000000000005</v>
      </c>
      <c r="J9" s="31">
        <v>539.37</v>
      </c>
      <c r="K9" s="31">
        <v>533.59</v>
      </c>
      <c r="L9" s="31">
        <v>533.64</v>
      </c>
      <c r="M9" s="31">
        <v>540.11</v>
      </c>
      <c r="N9" s="17">
        <v>534.54333333333329</v>
      </c>
      <c r="O9" s="171"/>
    </row>
    <row r="10" spans="1:15" x14ac:dyDescent="0.3">
      <c r="A10" s="25">
        <v>1996</v>
      </c>
      <c r="B10" s="31">
        <v>530.97</v>
      </c>
      <c r="C10" s="31">
        <v>530.30999999999995</v>
      </c>
      <c r="D10" s="31">
        <v>541.9</v>
      </c>
      <c r="E10" s="31">
        <v>535.69000000000005</v>
      </c>
      <c r="F10" s="31">
        <v>533.84</v>
      </c>
      <c r="G10" s="31">
        <v>534.54</v>
      </c>
      <c r="H10" s="31">
        <v>536.77</v>
      </c>
      <c r="I10" s="31">
        <v>530.25</v>
      </c>
      <c r="J10" s="31">
        <v>541.26</v>
      </c>
      <c r="K10" s="31">
        <v>541.59</v>
      </c>
      <c r="L10" s="31">
        <v>543.04999999999995</v>
      </c>
      <c r="M10" s="31">
        <v>544.02</v>
      </c>
      <c r="N10" s="17">
        <v>537.01583333333338</v>
      </c>
      <c r="O10" s="171"/>
    </row>
    <row r="11" spans="1:15" x14ac:dyDescent="0.3">
      <c r="A11" s="25">
        <v>1997</v>
      </c>
      <c r="B11" s="31">
        <v>546.5</v>
      </c>
      <c r="C11" s="31">
        <v>546.91</v>
      </c>
      <c r="D11" s="31">
        <v>546.89</v>
      </c>
      <c r="E11" s="31">
        <v>546.66</v>
      </c>
      <c r="F11" s="31">
        <v>547.35</v>
      </c>
      <c r="G11" s="31">
        <v>552.17999999999995</v>
      </c>
      <c r="H11" s="31">
        <v>562.48</v>
      </c>
      <c r="I11" s="31">
        <v>544.41</v>
      </c>
      <c r="J11" s="31">
        <v>548.16999999999996</v>
      </c>
      <c r="K11" s="31">
        <v>549.88</v>
      </c>
      <c r="L11" s="31">
        <v>543.91</v>
      </c>
      <c r="M11" s="31">
        <v>547.80999999999995</v>
      </c>
      <c r="N11" s="17">
        <v>548.5958333333333</v>
      </c>
      <c r="O11" s="171"/>
    </row>
    <row r="12" spans="1:15" x14ac:dyDescent="0.3">
      <c r="A12" s="25">
        <v>1998</v>
      </c>
      <c r="B12" s="31">
        <v>544.27</v>
      </c>
      <c r="C12" s="31">
        <v>547.87</v>
      </c>
      <c r="D12" s="31">
        <v>553.9</v>
      </c>
      <c r="E12" s="31">
        <v>558.4</v>
      </c>
      <c r="F12" s="31">
        <v>553.4</v>
      </c>
      <c r="G12" s="31">
        <v>553.86</v>
      </c>
      <c r="H12" s="31">
        <v>554.33000000000004</v>
      </c>
      <c r="I12" s="31">
        <v>550.16999999999996</v>
      </c>
      <c r="J12" s="31">
        <v>550.38</v>
      </c>
      <c r="K12" s="31">
        <v>557.07000000000005</v>
      </c>
      <c r="L12" s="31">
        <v>548.77</v>
      </c>
      <c r="M12" s="31">
        <v>556.65</v>
      </c>
      <c r="N12" s="17">
        <v>552.42250000000001</v>
      </c>
      <c r="O12" s="171"/>
    </row>
    <row r="13" spans="1:15" x14ac:dyDescent="0.3">
      <c r="A13" s="25">
        <v>1999</v>
      </c>
      <c r="B13" s="31">
        <v>554.96</v>
      </c>
      <c r="C13" s="31">
        <v>554.88</v>
      </c>
      <c r="D13" s="31">
        <v>549.54</v>
      </c>
      <c r="E13" s="31">
        <v>556.82000000000005</v>
      </c>
      <c r="F13" s="31">
        <v>555.45000000000005</v>
      </c>
      <c r="G13" s="31">
        <v>559.77</v>
      </c>
      <c r="H13" s="31">
        <v>561.9</v>
      </c>
      <c r="I13" s="31">
        <v>559.83000000000004</v>
      </c>
      <c r="J13" s="31">
        <v>566.99</v>
      </c>
      <c r="K13" s="31">
        <v>571.17999999999995</v>
      </c>
      <c r="L13" s="31">
        <v>568.91999999999996</v>
      </c>
      <c r="M13" s="31">
        <v>571.92999999999995</v>
      </c>
      <c r="N13" s="17">
        <v>561.01416666666671</v>
      </c>
      <c r="O13" s="171"/>
    </row>
    <row r="14" spans="1:15" x14ac:dyDescent="0.3">
      <c r="A14" s="25">
        <v>2000</v>
      </c>
      <c r="B14" s="31">
        <v>570.86</v>
      </c>
      <c r="C14" s="31">
        <v>571.75</v>
      </c>
      <c r="D14" s="31">
        <v>574.42999999999995</v>
      </c>
      <c r="E14" s="31">
        <v>578.03</v>
      </c>
      <c r="F14" s="31">
        <v>580.55999999999995</v>
      </c>
      <c r="G14" s="31">
        <v>585.94000000000005</v>
      </c>
      <c r="H14" s="31">
        <v>586.79999999999995</v>
      </c>
      <c r="I14" s="31">
        <v>593.75</v>
      </c>
      <c r="J14" s="31">
        <v>596.74</v>
      </c>
      <c r="K14" s="31">
        <v>596.41</v>
      </c>
      <c r="L14" s="31">
        <v>591.41999999999996</v>
      </c>
      <c r="M14" s="31">
        <v>595.71</v>
      </c>
      <c r="N14" s="17">
        <v>585.19999999999993</v>
      </c>
      <c r="O14" s="171"/>
    </row>
    <row r="15" spans="1:15" x14ac:dyDescent="0.3">
      <c r="A15" s="25">
        <v>2001</v>
      </c>
      <c r="B15" s="31">
        <v>581.28</v>
      </c>
      <c r="C15" s="31">
        <v>583.28</v>
      </c>
      <c r="D15" s="31">
        <v>583.53</v>
      </c>
      <c r="E15" s="31">
        <v>580.98</v>
      </c>
      <c r="F15" s="31">
        <v>580.21</v>
      </c>
      <c r="G15" s="31">
        <v>583.48</v>
      </c>
      <c r="H15" s="31">
        <v>582.88</v>
      </c>
      <c r="I15" s="31">
        <v>608.41</v>
      </c>
      <c r="J15" s="31">
        <v>593.88</v>
      </c>
      <c r="K15" s="31">
        <v>592.79999999999995</v>
      </c>
      <c r="L15" s="31">
        <v>595.04999999999995</v>
      </c>
      <c r="M15" s="31">
        <v>599.22</v>
      </c>
      <c r="N15" s="17">
        <f>AVERAGE(B15:M15)</f>
        <v>588.75000000000011</v>
      </c>
      <c r="O15" s="171"/>
    </row>
    <row r="16" spans="1:15" x14ac:dyDescent="0.3">
      <c r="A16" s="25">
        <v>2002</v>
      </c>
      <c r="B16" s="31">
        <v>595.34</v>
      </c>
      <c r="C16" s="31">
        <v>593.88</v>
      </c>
      <c r="D16" s="31">
        <v>600.88</v>
      </c>
      <c r="E16" s="31">
        <v>604.29</v>
      </c>
      <c r="F16" s="31">
        <v>604.70000000000005</v>
      </c>
      <c r="G16" s="31">
        <v>604.75</v>
      </c>
      <c r="H16" s="31">
        <v>607.14</v>
      </c>
      <c r="I16" s="31">
        <v>603.85</v>
      </c>
      <c r="J16" s="31">
        <v>601.75</v>
      </c>
      <c r="K16" s="31">
        <v>610.87</v>
      </c>
      <c r="L16" s="31">
        <v>606.95000000000005</v>
      </c>
      <c r="M16" s="31">
        <v>608.37</v>
      </c>
      <c r="N16" s="17">
        <f t="shared" ref="N16:N35" si="0">AVERAGE(B16:M16)</f>
        <v>603.56416666666667</v>
      </c>
      <c r="O16" s="171"/>
    </row>
    <row r="17" spans="1:15" x14ac:dyDescent="0.3">
      <c r="A17" s="25">
        <v>2003</v>
      </c>
      <c r="B17" s="31">
        <v>607.72</v>
      </c>
      <c r="C17" s="31">
        <v>611.49</v>
      </c>
      <c r="D17" s="31">
        <v>610.35</v>
      </c>
      <c r="E17" s="31">
        <v>614.32000000000005</v>
      </c>
      <c r="F17" s="31">
        <v>612.91</v>
      </c>
      <c r="G17" s="31">
        <v>617.95000000000005</v>
      </c>
      <c r="H17" s="31">
        <v>622.64</v>
      </c>
      <c r="I17" s="31">
        <v>625.89</v>
      </c>
      <c r="J17" s="31">
        <v>625.91</v>
      </c>
      <c r="K17" s="31">
        <v>623.24</v>
      </c>
      <c r="L17" s="31">
        <v>628.30999999999995</v>
      </c>
      <c r="M17" s="31">
        <v>620.59</v>
      </c>
      <c r="N17" s="17">
        <f t="shared" si="0"/>
        <v>618.44333333333327</v>
      </c>
      <c r="O17" s="171"/>
    </row>
    <row r="18" spans="1:15" x14ac:dyDescent="0.3">
      <c r="A18" s="25">
        <v>2004</v>
      </c>
      <c r="B18" s="31">
        <v>625.96</v>
      </c>
      <c r="C18" s="31">
        <v>623.02</v>
      </c>
      <c r="D18" s="31">
        <v>621.67999999999995</v>
      </c>
      <c r="E18" s="31">
        <v>620.79999999999995</v>
      </c>
      <c r="F18" s="31">
        <v>629.87</v>
      </c>
      <c r="G18" s="31">
        <v>625.73</v>
      </c>
      <c r="H18" s="31">
        <v>626.5</v>
      </c>
      <c r="I18" s="31">
        <v>627.42999999999995</v>
      </c>
      <c r="J18" s="31">
        <v>627.57000000000005</v>
      </c>
      <c r="K18" s="31">
        <v>629.33000000000004</v>
      </c>
      <c r="L18" s="31">
        <v>631.16</v>
      </c>
      <c r="M18" s="31">
        <v>639.59</v>
      </c>
      <c r="N18" s="17">
        <f t="shared" si="0"/>
        <v>627.38666666666666</v>
      </c>
      <c r="O18" s="171"/>
    </row>
    <row r="19" spans="1:15" x14ac:dyDescent="0.3">
      <c r="A19" s="25">
        <v>2005</v>
      </c>
      <c r="B19" s="31">
        <v>646.61</v>
      </c>
      <c r="C19" s="31">
        <v>649.71</v>
      </c>
      <c r="D19" s="31">
        <v>648.24</v>
      </c>
      <c r="E19" s="31">
        <v>649.91</v>
      </c>
      <c r="F19" s="31">
        <v>648.16</v>
      </c>
      <c r="G19" s="31">
        <v>650.87</v>
      </c>
      <c r="H19" s="31">
        <v>653.75</v>
      </c>
      <c r="I19" s="31">
        <v>655.93</v>
      </c>
      <c r="J19" s="31">
        <v>662.04</v>
      </c>
      <c r="K19" s="31">
        <v>662.55</v>
      </c>
      <c r="L19" s="31">
        <v>661.11</v>
      </c>
      <c r="M19" s="31">
        <v>659.61</v>
      </c>
      <c r="N19" s="17">
        <f t="shared" si="0"/>
        <v>654.04083333333335</v>
      </c>
    </row>
    <row r="20" spans="1:15" x14ac:dyDescent="0.3">
      <c r="A20" s="25">
        <v>2006</v>
      </c>
      <c r="B20" s="31">
        <v>662.92</v>
      </c>
      <c r="C20" s="31">
        <v>662.64</v>
      </c>
      <c r="D20" s="31">
        <v>663.94</v>
      </c>
      <c r="E20" s="31">
        <v>668.49</v>
      </c>
      <c r="F20" s="31">
        <v>666.5</v>
      </c>
      <c r="G20" s="31">
        <v>672.37</v>
      </c>
      <c r="H20" s="31">
        <v>670.29</v>
      </c>
      <c r="I20" s="31">
        <v>672.28</v>
      </c>
      <c r="J20" s="31">
        <v>679.3</v>
      </c>
      <c r="K20" s="31">
        <v>679.68</v>
      </c>
      <c r="L20" s="31">
        <v>685.18</v>
      </c>
      <c r="M20" s="31">
        <v>693.93</v>
      </c>
      <c r="N20" s="17">
        <f t="shared" si="0"/>
        <v>673.12666666666667</v>
      </c>
    </row>
    <row r="21" spans="1:15" x14ac:dyDescent="0.3">
      <c r="A21" s="7">
        <v>2007</v>
      </c>
      <c r="B21" s="31">
        <v>692.65</v>
      </c>
      <c r="C21" s="31">
        <v>695.54</v>
      </c>
      <c r="D21" s="31">
        <v>705.63</v>
      </c>
      <c r="E21" s="31">
        <v>703.71</v>
      </c>
      <c r="F21" s="31">
        <v>710.01</v>
      </c>
      <c r="G21" s="31">
        <v>710.93</v>
      </c>
      <c r="H21" s="31">
        <v>702.16</v>
      </c>
      <c r="I21" s="31">
        <v>706.88</v>
      </c>
      <c r="J21" s="31">
        <v>705.54</v>
      </c>
      <c r="K21" s="31">
        <v>712.92</v>
      </c>
      <c r="L21" s="31">
        <v>718.28</v>
      </c>
      <c r="M21" s="31">
        <v>719.48</v>
      </c>
      <c r="N21" s="17">
        <f t="shared" si="0"/>
        <v>706.97749999999996</v>
      </c>
    </row>
    <row r="22" spans="1:15" x14ac:dyDescent="0.3">
      <c r="A22" s="7">
        <v>2008</v>
      </c>
      <c r="B22" s="31">
        <v>714.91</v>
      </c>
      <c r="C22" s="31">
        <v>720.04</v>
      </c>
      <c r="D22" s="31">
        <v>718.1</v>
      </c>
      <c r="E22" s="31">
        <v>721.88</v>
      </c>
      <c r="F22" s="31">
        <v>728.13</v>
      </c>
      <c r="G22" s="31">
        <v>727.48</v>
      </c>
      <c r="H22" s="31">
        <v>736.08</v>
      </c>
      <c r="I22" s="31">
        <v>739.53</v>
      </c>
      <c r="J22" s="31">
        <v>731.95</v>
      </c>
      <c r="K22" s="31">
        <v>740.81</v>
      </c>
      <c r="L22" s="31">
        <v>736.99</v>
      </c>
      <c r="M22" s="31">
        <v>733.38</v>
      </c>
      <c r="N22" s="17">
        <f t="shared" si="0"/>
        <v>729.10666666666657</v>
      </c>
    </row>
    <row r="23" spans="1:15" x14ac:dyDescent="0.3">
      <c r="A23" s="7">
        <v>2009</v>
      </c>
      <c r="B23" s="31">
        <v>740.82</v>
      </c>
      <c r="C23" s="31">
        <v>741.62</v>
      </c>
      <c r="D23" s="31">
        <v>742.65</v>
      </c>
      <c r="E23" s="31">
        <v>740.06</v>
      </c>
      <c r="F23" s="31">
        <v>744.73</v>
      </c>
      <c r="G23" s="31">
        <v>745.49</v>
      </c>
      <c r="H23" s="31">
        <v>759.09</v>
      </c>
      <c r="I23" s="31">
        <v>755.25</v>
      </c>
      <c r="J23" s="31">
        <v>762.54</v>
      </c>
      <c r="K23" s="31">
        <v>748.23</v>
      </c>
      <c r="L23" s="31">
        <v>751.6</v>
      </c>
      <c r="M23" s="31">
        <v>755.87</v>
      </c>
      <c r="N23" s="17">
        <f t="shared" si="0"/>
        <v>748.99583333333339</v>
      </c>
    </row>
    <row r="24" spans="1:15" x14ac:dyDescent="0.3">
      <c r="A24" s="7">
        <v>2010</v>
      </c>
      <c r="B24" s="31">
        <v>754.31</v>
      </c>
      <c r="C24" s="31">
        <v>758.55</v>
      </c>
      <c r="D24" s="31">
        <v>758.46</v>
      </c>
      <c r="E24" s="31">
        <v>760.95</v>
      </c>
      <c r="F24" s="31">
        <v>751.96</v>
      </c>
      <c r="G24" s="31">
        <v>757.95</v>
      </c>
      <c r="H24" s="31">
        <v>755.58</v>
      </c>
      <c r="I24" s="31">
        <v>755.56</v>
      </c>
      <c r="J24" s="31">
        <v>763.98</v>
      </c>
      <c r="K24" s="31">
        <v>765.52</v>
      </c>
      <c r="L24" s="31">
        <v>767.56</v>
      </c>
      <c r="M24" s="31">
        <v>776.2</v>
      </c>
      <c r="N24" s="17">
        <f t="shared" si="0"/>
        <v>760.54833333333329</v>
      </c>
    </row>
    <row r="25" spans="1:15" x14ac:dyDescent="0.3">
      <c r="A25" s="7">
        <v>2011</v>
      </c>
      <c r="B25" s="31">
        <v>785.2</v>
      </c>
      <c r="C25" s="31">
        <v>782.24</v>
      </c>
      <c r="D25" s="31">
        <v>785.95</v>
      </c>
      <c r="E25" s="31">
        <v>788.26</v>
      </c>
      <c r="F25" s="31">
        <v>783.82</v>
      </c>
      <c r="G25" s="31">
        <v>779.01</v>
      </c>
      <c r="H25" s="31">
        <v>783.01</v>
      </c>
      <c r="I25" s="31">
        <v>785.31</v>
      </c>
      <c r="J25" s="31">
        <v>791.69</v>
      </c>
      <c r="K25" s="31">
        <v>794.94</v>
      </c>
      <c r="L25" s="31">
        <v>797.89</v>
      </c>
      <c r="M25" s="31">
        <v>790.98</v>
      </c>
      <c r="N25" s="17">
        <f t="shared" si="0"/>
        <v>787.35833333333346</v>
      </c>
    </row>
    <row r="26" spans="1:15" x14ac:dyDescent="0.3">
      <c r="A26" s="7">
        <v>2012</v>
      </c>
      <c r="B26" s="31">
        <v>794.35</v>
      </c>
      <c r="C26" s="31">
        <v>798.2</v>
      </c>
      <c r="D26" s="31">
        <v>807.58</v>
      </c>
      <c r="E26" s="31">
        <v>803.64</v>
      </c>
      <c r="F26" s="31">
        <v>806.81</v>
      </c>
      <c r="G26" s="31">
        <v>810.86</v>
      </c>
      <c r="H26" s="31">
        <v>807.17</v>
      </c>
      <c r="I26" s="31">
        <v>815.16</v>
      </c>
      <c r="J26" s="31">
        <v>809.36</v>
      </c>
      <c r="K26" s="31">
        <v>812.35</v>
      </c>
      <c r="L26" s="31">
        <v>807.82</v>
      </c>
      <c r="M26" s="31">
        <v>805.79</v>
      </c>
      <c r="N26" s="17">
        <f t="shared" si="0"/>
        <v>806.59083333333331</v>
      </c>
    </row>
    <row r="27" spans="1:15" x14ac:dyDescent="0.3">
      <c r="A27" s="7">
        <v>2013</v>
      </c>
      <c r="B27" s="31">
        <v>805.34</v>
      </c>
      <c r="C27" s="31">
        <v>797.85</v>
      </c>
      <c r="D27" s="31">
        <v>795.08</v>
      </c>
      <c r="E27" s="31">
        <v>796.43</v>
      </c>
      <c r="F27" s="31">
        <v>807.08</v>
      </c>
      <c r="G27" s="31">
        <v>808.62</v>
      </c>
      <c r="H27" s="31">
        <v>801.29</v>
      </c>
      <c r="I27" s="31">
        <v>808.95</v>
      </c>
      <c r="J27" s="31">
        <v>795.61</v>
      </c>
      <c r="K27" s="31">
        <v>803.11</v>
      </c>
      <c r="L27" s="31">
        <v>822.64</v>
      </c>
      <c r="M27" s="31">
        <v>812.4</v>
      </c>
      <c r="N27" s="17">
        <f t="shared" si="0"/>
        <v>804.53333333333319</v>
      </c>
    </row>
    <row r="28" spans="1:15" x14ac:dyDescent="0.3">
      <c r="A28" s="7">
        <v>2014</v>
      </c>
      <c r="B28" s="31">
        <v>811.47</v>
      </c>
      <c r="C28" s="31">
        <v>821.04</v>
      </c>
      <c r="D28" s="31">
        <v>813.98</v>
      </c>
      <c r="E28" s="31">
        <v>828.44</v>
      </c>
      <c r="F28" s="31">
        <v>832.88</v>
      </c>
      <c r="G28" s="31">
        <v>833.03</v>
      </c>
      <c r="H28" s="31">
        <v>843.97</v>
      </c>
      <c r="I28" s="31">
        <v>834.88</v>
      </c>
      <c r="J28" s="31">
        <v>842.57</v>
      </c>
      <c r="K28" s="31">
        <v>835.59</v>
      </c>
      <c r="L28" s="31">
        <v>835.99</v>
      </c>
      <c r="M28" s="31">
        <v>847.79</v>
      </c>
      <c r="N28" s="17">
        <f t="shared" si="0"/>
        <v>831.80249999999978</v>
      </c>
    </row>
    <row r="29" spans="1:15" x14ac:dyDescent="0.3">
      <c r="A29" s="7">
        <v>2015</v>
      </c>
      <c r="B29" s="31">
        <v>846.57</v>
      </c>
      <c r="C29" s="31">
        <v>852.71</v>
      </c>
      <c r="D29" s="31">
        <v>848.49</v>
      </c>
      <c r="E29" s="31">
        <v>853.71</v>
      </c>
      <c r="F29" s="31">
        <v>846.18</v>
      </c>
      <c r="G29" s="31">
        <v>854.86</v>
      </c>
      <c r="H29" s="31">
        <v>862.67</v>
      </c>
      <c r="I29" s="31">
        <v>853.65</v>
      </c>
      <c r="J29" s="31">
        <v>859.27</v>
      </c>
      <c r="K29" s="31">
        <v>862.4</v>
      </c>
      <c r="L29" s="31">
        <v>858.24</v>
      </c>
      <c r="M29" s="31">
        <v>862.96</v>
      </c>
      <c r="N29" s="17">
        <f t="shared" si="0"/>
        <v>855.14249999999993</v>
      </c>
    </row>
    <row r="30" spans="1:15" x14ac:dyDescent="0.3">
      <c r="A30" s="7">
        <v>2016</v>
      </c>
      <c r="B30" s="31">
        <v>861.71</v>
      </c>
      <c r="C30" s="31">
        <v>867.5</v>
      </c>
      <c r="D30" s="31">
        <v>879.64</v>
      </c>
      <c r="E30" s="31">
        <v>873.2</v>
      </c>
      <c r="F30" s="31">
        <v>875.2</v>
      </c>
      <c r="G30" s="31">
        <v>883.39</v>
      </c>
      <c r="H30" s="31">
        <v>873.81</v>
      </c>
      <c r="I30" s="31">
        <v>870.93</v>
      </c>
      <c r="J30" s="31">
        <v>873.1</v>
      </c>
      <c r="K30" s="31">
        <v>881.36</v>
      </c>
      <c r="L30" s="31">
        <v>873.89</v>
      </c>
      <c r="M30" s="31">
        <v>883.02</v>
      </c>
      <c r="N30" s="17">
        <f t="shared" si="0"/>
        <v>874.72916666666686</v>
      </c>
    </row>
    <row r="31" spans="1:15" x14ac:dyDescent="0.3">
      <c r="A31" s="7">
        <v>2017</v>
      </c>
      <c r="B31" s="31">
        <v>883.93</v>
      </c>
      <c r="C31" s="31">
        <v>873.78</v>
      </c>
      <c r="D31" s="31">
        <v>879.85</v>
      </c>
      <c r="E31" s="31">
        <v>879.57</v>
      </c>
      <c r="F31" s="31">
        <v>881.59</v>
      </c>
      <c r="G31" s="31">
        <v>879.33</v>
      </c>
      <c r="H31" s="31">
        <v>871.39</v>
      </c>
      <c r="I31" s="31">
        <v>891.59</v>
      </c>
      <c r="J31" s="31">
        <v>900.05</v>
      </c>
      <c r="K31" s="31">
        <v>896.04</v>
      </c>
      <c r="L31" s="31">
        <v>905.36</v>
      </c>
      <c r="M31" s="31">
        <v>898.49</v>
      </c>
      <c r="N31" s="17">
        <f t="shared" si="0"/>
        <v>886.74750000000006</v>
      </c>
    </row>
    <row r="32" spans="1:15" x14ac:dyDescent="0.3">
      <c r="A32" s="7">
        <v>2018</v>
      </c>
      <c r="B32" s="31">
        <v>902.91</v>
      </c>
      <c r="C32" s="31">
        <v>914.24</v>
      </c>
      <c r="D32" s="31">
        <v>904.3</v>
      </c>
      <c r="E32" s="31">
        <v>904.76</v>
      </c>
      <c r="F32" s="31">
        <v>905.65</v>
      </c>
      <c r="G32" s="31">
        <v>903.78</v>
      </c>
      <c r="H32" s="31">
        <v>912.49</v>
      </c>
      <c r="I32" s="31">
        <v>921.95</v>
      </c>
      <c r="J32" s="31">
        <v>913.89</v>
      </c>
      <c r="K32" s="31">
        <v>913.32</v>
      </c>
      <c r="L32" s="31">
        <v>925.34</v>
      </c>
      <c r="M32" s="31">
        <v>921.25</v>
      </c>
      <c r="N32" s="17">
        <f t="shared" si="0"/>
        <v>911.9899999999999</v>
      </c>
    </row>
    <row r="33" spans="1:14" x14ac:dyDescent="0.3">
      <c r="A33" s="7">
        <v>2019</v>
      </c>
      <c r="B33" s="31">
        <v>925.68</v>
      </c>
      <c r="C33" s="31">
        <v>922.1</v>
      </c>
      <c r="D33" s="31">
        <v>931.67</v>
      </c>
      <c r="E33" s="31">
        <v>934.68</v>
      </c>
      <c r="F33" s="31">
        <v>944.06</v>
      </c>
      <c r="G33" s="31">
        <v>934.62</v>
      </c>
      <c r="H33" s="31">
        <v>936.61</v>
      </c>
      <c r="I33" s="31">
        <v>940.91</v>
      </c>
      <c r="J33" s="31">
        <v>947.17</v>
      </c>
      <c r="K33" s="31">
        <v>960.69</v>
      </c>
      <c r="L33" s="31">
        <v>957.09</v>
      </c>
      <c r="M33" s="31">
        <v>961.72</v>
      </c>
      <c r="N33" s="17">
        <f t="shared" si="0"/>
        <v>941.41666666666652</v>
      </c>
    </row>
    <row r="34" spans="1:14" x14ac:dyDescent="0.3">
      <c r="A34" s="7">
        <v>2020</v>
      </c>
      <c r="B34" s="31">
        <v>962.39</v>
      </c>
      <c r="C34" s="31">
        <v>965.47</v>
      </c>
      <c r="D34" s="31">
        <v>973.08</v>
      </c>
      <c r="E34" s="31">
        <v>1038.6400000000001</v>
      </c>
      <c r="F34" s="31">
        <v>1010.44</v>
      </c>
      <c r="G34" s="31">
        <v>1015.35</v>
      </c>
      <c r="H34" s="31">
        <v>1001.52</v>
      </c>
      <c r="I34" s="31">
        <v>996.82</v>
      </c>
      <c r="J34" s="31">
        <v>1001.11</v>
      </c>
      <c r="K34" s="31">
        <v>1000.52</v>
      </c>
      <c r="L34" s="31">
        <v>991.03</v>
      </c>
      <c r="M34" s="31">
        <v>1007.31</v>
      </c>
      <c r="N34" s="17">
        <f t="shared" si="0"/>
        <v>996.97333333333347</v>
      </c>
    </row>
    <row r="35" spans="1:14" x14ac:dyDescent="0.3">
      <c r="A35" s="7">
        <v>2021</v>
      </c>
      <c r="B35" s="31">
        <v>1012.86</v>
      </c>
      <c r="C35" s="31">
        <v>1010.29</v>
      </c>
      <c r="D35" s="31">
        <v>1004.77</v>
      </c>
      <c r="E35" s="31">
        <v>1011.59</v>
      </c>
      <c r="F35" s="31">
        <v>999.42</v>
      </c>
      <c r="G35" s="31">
        <v>1015.49</v>
      </c>
      <c r="H35" s="31">
        <v>1003.68</v>
      </c>
      <c r="I35" s="31">
        <v>1005.46</v>
      </c>
      <c r="J35" s="31">
        <v>1018.39</v>
      </c>
      <c r="K35" s="31">
        <v>1013.97</v>
      </c>
      <c r="L35" s="31"/>
      <c r="M35" s="31"/>
      <c r="N35" s="17">
        <f t="shared" si="0"/>
        <v>1009.592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/>
  <dimension ref="A1:O35"/>
  <sheetViews>
    <sheetView workbookViewId="0">
      <pane xSplit="1" ySplit="4" topLeftCell="B23" activePane="bottomRight" state="frozen"/>
      <selection activeCell="B35" sqref="B35"/>
      <selection pane="topRight" activeCell="B35" sqref="B35"/>
      <selection pane="bottomLeft" activeCell="B35" sqref="B35"/>
      <selection pane="bottomRight" activeCell="L35" sqref="L35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66</v>
      </c>
      <c r="B1" s="1"/>
      <c r="C1" s="1"/>
      <c r="F1" s="7" t="str">
        <f>$A15&amp;B$3&amp;$A$2&amp;$B$2</f>
        <v>2001016</v>
      </c>
    </row>
    <row r="2" spans="1:15" x14ac:dyDescent="0.3">
      <c r="A2" s="161"/>
      <c r="B2" s="45">
        <v>6</v>
      </c>
      <c r="C2" s="162" t="s">
        <v>154</v>
      </c>
    </row>
    <row r="3" spans="1:15" s="1" customFormat="1" x14ac:dyDescent="0.3">
      <c r="A3" s="1" t="s">
        <v>114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537</v>
      </c>
      <c r="C5" s="31">
        <v>542.07000000000005</v>
      </c>
      <c r="D5" s="31">
        <v>542.62</v>
      </c>
      <c r="E5" s="31">
        <v>544.19000000000005</v>
      </c>
      <c r="F5" s="31">
        <v>543.12</v>
      </c>
      <c r="G5" s="31">
        <v>547.1</v>
      </c>
      <c r="H5" s="31">
        <v>545.34</v>
      </c>
      <c r="I5" s="31">
        <v>549.1</v>
      </c>
      <c r="J5" s="31">
        <v>549.12</v>
      </c>
      <c r="K5" s="31">
        <v>550.35</v>
      </c>
      <c r="L5" s="31">
        <v>546.79999999999995</v>
      </c>
      <c r="M5" s="31">
        <v>548.87</v>
      </c>
      <c r="N5" s="17">
        <v>545.47333333333336</v>
      </c>
      <c r="O5" s="171"/>
    </row>
    <row r="6" spans="1:15" x14ac:dyDescent="0.3">
      <c r="A6" s="25">
        <v>1992</v>
      </c>
      <c r="B6" s="31">
        <v>549.91</v>
      </c>
      <c r="C6" s="31">
        <v>553.03</v>
      </c>
      <c r="D6" s="31">
        <v>553.66</v>
      </c>
      <c r="E6" s="31">
        <v>557.05999999999995</v>
      </c>
      <c r="F6" s="31">
        <v>565.29</v>
      </c>
      <c r="G6" s="31">
        <v>567.97</v>
      </c>
      <c r="H6" s="31">
        <v>570.63</v>
      </c>
      <c r="I6" s="31">
        <v>571.1</v>
      </c>
      <c r="J6" s="31">
        <v>574.27</v>
      </c>
      <c r="K6" s="31">
        <v>576.66</v>
      </c>
      <c r="L6" s="31">
        <v>575.92999999999995</v>
      </c>
      <c r="M6" s="31">
        <v>575.79</v>
      </c>
      <c r="N6" s="17">
        <v>565.94166666666672</v>
      </c>
      <c r="O6" s="171"/>
    </row>
    <row r="7" spans="1:15" x14ac:dyDescent="0.3">
      <c r="A7" s="25">
        <v>1993</v>
      </c>
      <c r="B7" s="31">
        <v>573.45000000000005</v>
      </c>
      <c r="C7" s="31">
        <v>569.84</v>
      </c>
      <c r="D7" s="31">
        <v>572.21</v>
      </c>
      <c r="E7" s="31">
        <v>571.6</v>
      </c>
      <c r="F7" s="31">
        <v>567.85</v>
      </c>
      <c r="G7" s="31">
        <v>573.08000000000004</v>
      </c>
      <c r="H7" s="31">
        <v>574.04999999999995</v>
      </c>
      <c r="I7" s="31">
        <v>574.88</v>
      </c>
      <c r="J7" s="31">
        <v>578.4</v>
      </c>
      <c r="K7" s="31">
        <v>573.07000000000005</v>
      </c>
      <c r="L7" s="31">
        <v>572.97</v>
      </c>
      <c r="M7" s="31">
        <v>569.88</v>
      </c>
      <c r="N7" s="17">
        <v>572.60666666666668</v>
      </c>
      <c r="O7" s="171"/>
    </row>
    <row r="8" spans="1:15" x14ac:dyDescent="0.3">
      <c r="A8" s="25">
        <v>1994</v>
      </c>
      <c r="B8" s="31">
        <v>569.86</v>
      </c>
      <c r="C8" s="31">
        <v>570.02</v>
      </c>
      <c r="D8" s="31">
        <v>575.16999999999996</v>
      </c>
      <c r="E8" s="31">
        <v>577.13</v>
      </c>
      <c r="F8" s="31">
        <v>568.29999999999995</v>
      </c>
      <c r="G8" s="31">
        <v>577.96</v>
      </c>
      <c r="H8" s="31">
        <v>579.48</v>
      </c>
      <c r="I8" s="31">
        <v>575.49</v>
      </c>
      <c r="J8" s="31">
        <v>579.85</v>
      </c>
      <c r="K8" s="31">
        <v>577.51</v>
      </c>
      <c r="L8" s="31">
        <v>575.75</v>
      </c>
      <c r="M8" s="31">
        <v>578.47</v>
      </c>
      <c r="N8" s="17">
        <v>575.41583333333347</v>
      </c>
      <c r="O8" s="171"/>
    </row>
    <row r="9" spans="1:15" x14ac:dyDescent="0.3">
      <c r="A9" s="25">
        <v>1995</v>
      </c>
      <c r="B9" s="31">
        <v>575.1</v>
      </c>
      <c r="C9" s="31">
        <v>578.46</v>
      </c>
      <c r="D9" s="31">
        <v>582.85</v>
      </c>
      <c r="E9" s="31">
        <v>574.64</v>
      </c>
      <c r="F9" s="31">
        <v>570.66999999999996</v>
      </c>
      <c r="G9" s="31">
        <v>579.83000000000004</v>
      </c>
      <c r="H9" s="31">
        <v>576.16</v>
      </c>
      <c r="I9" s="31">
        <v>579.73</v>
      </c>
      <c r="J9" s="31">
        <v>585.94000000000005</v>
      </c>
      <c r="K9" s="31">
        <v>580.77</v>
      </c>
      <c r="L9" s="31">
        <v>586.54</v>
      </c>
      <c r="M9" s="31">
        <v>582.13</v>
      </c>
      <c r="N9" s="17">
        <v>579.40166666666664</v>
      </c>
      <c r="O9" s="171"/>
    </row>
    <row r="10" spans="1:15" x14ac:dyDescent="0.3">
      <c r="A10" s="25">
        <v>1996</v>
      </c>
      <c r="B10" s="31">
        <v>572.39</v>
      </c>
      <c r="C10" s="31">
        <v>586.25</v>
      </c>
      <c r="D10" s="31">
        <v>586.55999999999995</v>
      </c>
      <c r="E10" s="31">
        <v>580.38</v>
      </c>
      <c r="F10" s="31">
        <v>585.38</v>
      </c>
      <c r="G10" s="31">
        <v>584.91</v>
      </c>
      <c r="H10" s="31">
        <v>578</v>
      </c>
      <c r="I10" s="31">
        <v>585.84</v>
      </c>
      <c r="J10" s="31">
        <v>588.45000000000005</v>
      </c>
      <c r="K10" s="31">
        <v>595.67999999999995</v>
      </c>
      <c r="L10" s="31">
        <v>587.85</v>
      </c>
      <c r="M10" s="31">
        <v>594.24</v>
      </c>
      <c r="N10" s="17">
        <v>585.49416666666673</v>
      </c>
      <c r="O10" s="171"/>
    </row>
    <row r="11" spans="1:15" x14ac:dyDescent="0.3">
      <c r="A11" s="25">
        <v>1997</v>
      </c>
      <c r="B11" s="31">
        <v>592.12</v>
      </c>
      <c r="C11" s="31">
        <v>591.28</v>
      </c>
      <c r="D11" s="31">
        <v>591.51</v>
      </c>
      <c r="E11" s="31">
        <v>593.41999999999996</v>
      </c>
      <c r="F11" s="31">
        <v>600.32000000000005</v>
      </c>
      <c r="G11" s="31">
        <v>592.22</v>
      </c>
      <c r="H11" s="31">
        <v>591.48</v>
      </c>
      <c r="I11" s="31">
        <v>592.12</v>
      </c>
      <c r="J11" s="31">
        <v>595.9</v>
      </c>
      <c r="K11" s="31">
        <v>596.94000000000005</v>
      </c>
      <c r="L11" s="31">
        <v>597.44000000000005</v>
      </c>
      <c r="M11" s="31">
        <v>596.29</v>
      </c>
      <c r="N11" s="17">
        <v>594.25333333333333</v>
      </c>
      <c r="O11" s="171"/>
    </row>
    <row r="12" spans="1:15" x14ac:dyDescent="0.3">
      <c r="A12" s="25">
        <v>1998</v>
      </c>
      <c r="B12" s="31">
        <v>602.21</v>
      </c>
      <c r="C12" s="31">
        <v>605.88</v>
      </c>
      <c r="D12" s="31">
        <v>602.57000000000005</v>
      </c>
      <c r="E12" s="31">
        <v>606.88</v>
      </c>
      <c r="F12" s="31">
        <v>599.95000000000005</v>
      </c>
      <c r="G12" s="31">
        <v>600.39</v>
      </c>
      <c r="H12" s="31">
        <v>599.42999999999995</v>
      </c>
      <c r="I12" s="31">
        <v>599.91999999999996</v>
      </c>
      <c r="J12" s="31">
        <v>600.14</v>
      </c>
      <c r="K12" s="31">
        <v>605.08000000000004</v>
      </c>
      <c r="L12" s="31">
        <v>601.91999999999996</v>
      </c>
      <c r="M12" s="31">
        <v>601.85</v>
      </c>
      <c r="N12" s="17">
        <v>602.18500000000006</v>
      </c>
      <c r="O12" s="171"/>
    </row>
    <row r="13" spans="1:15" x14ac:dyDescent="0.3">
      <c r="A13" s="25">
        <v>1999</v>
      </c>
      <c r="B13" s="31">
        <v>600.84</v>
      </c>
      <c r="C13" s="31">
        <v>603.17999999999995</v>
      </c>
      <c r="D13" s="31">
        <v>601.51</v>
      </c>
      <c r="E13" s="31">
        <v>605.15</v>
      </c>
      <c r="F13" s="31">
        <v>605.33000000000004</v>
      </c>
      <c r="G13" s="31">
        <v>606.51</v>
      </c>
      <c r="H13" s="31">
        <v>607.80999999999995</v>
      </c>
      <c r="I13" s="31">
        <v>607</v>
      </c>
      <c r="J13" s="31">
        <v>608.04</v>
      </c>
      <c r="K13" s="31">
        <v>608.11</v>
      </c>
      <c r="L13" s="31">
        <v>606.19000000000005</v>
      </c>
      <c r="M13" s="31">
        <v>608.84</v>
      </c>
      <c r="N13" s="17">
        <v>605.70916666666665</v>
      </c>
      <c r="O13" s="171"/>
    </row>
    <row r="14" spans="1:15" x14ac:dyDescent="0.3">
      <c r="A14" s="25">
        <v>2000</v>
      </c>
      <c r="B14" s="31">
        <v>609.91</v>
      </c>
      <c r="C14" s="31">
        <v>610.78</v>
      </c>
      <c r="D14" s="31">
        <v>613.03</v>
      </c>
      <c r="E14" s="31">
        <v>612.04</v>
      </c>
      <c r="F14" s="31">
        <v>613.05999999999995</v>
      </c>
      <c r="G14" s="31">
        <v>615.44000000000005</v>
      </c>
      <c r="H14" s="31">
        <v>616.16</v>
      </c>
      <c r="I14" s="31">
        <v>618.54999999999995</v>
      </c>
      <c r="J14" s="31">
        <v>620</v>
      </c>
      <c r="K14" s="31">
        <v>621.36</v>
      </c>
      <c r="L14" s="31">
        <v>623.13</v>
      </c>
      <c r="M14" s="31">
        <v>620.79999999999995</v>
      </c>
      <c r="N14" s="17">
        <v>616.18833333333339</v>
      </c>
      <c r="O14" s="171"/>
    </row>
    <row r="15" spans="1:15" x14ac:dyDescent="0.3">
      <c r="A15" s="25">
        <v>2001</v>
      </c>
      <c r="B15" s="31">
        <v>627.78</v>
      </c>
      <c r="C15" s="31">
        <v>625.83000000000004</v>
      </c>
      <c r="D15" s="31">
        <v>623.48</v>
      </c>
      <c r="E15" s="31">
        <v>620.29</v>
      </c>
      <c r="F15" s="31">
        <v>611.51</v>
      </c>
      <c r="G15" s="31">
        <v>625.6</v>
      </c>
      <c r="H15" s="31">
        <v>622.73</v>
      </c>
      <c r="I15" s="31">
        <v>624.34</v>
      </c>
      <c r="J15" s="31">
        <v>624.17999999999995</v>
      </c>
      <c r="K15" s="31">
        <v>624.86</v>
      </c>
      <c r="L15" s="31">
        <v>624.12</v>
      </c>
      <c r="M15" s="31">
        <v>628.32000000000005</v>
      </c>
      <c r="N15" s="17">
        <f>AVERAGE(B15:M15)</f>
        <v>623.5866666666667</v>
      </c>
      <c r="O15" s="171"/>
    </row>
    <row r="16" spans="1:15" x14ac:dyDescent="0.3">
      <c r="A16" s="25">
        <v>2002</v>
      </c>
      <c r="B16" s="31">
        <v>633.16</v>
      </c>
      <c r="C16" s="31">
        <v>627.12</v>
      </c>
      <c r="D16" s="31">
        <v>633.54999999999995</v>
      </c>
      <c r="E16" s="31">
        <v>640.96</v>
      </c>
      <c r="F16" s="31">
        <v>639.39</v>
      </c>
      <c r="G16" s="31">
        <v>635.5</v>
      </c>
      <c r="H16" s="31">
        <v>641.49</v>
      </c>
      <c r="I16" s="31">
        <v>639.29999999999995</v>
      </c>
      <c r="J16" s="31">
        <v>636.24</v>
      </c>
      <c r="K16" s="31">
        <v>645.4</v>
      </c>
      <c r="L16" s="31">
        <v>646.32000000000005</v>
      </c>
      <c r="M16" s="31">
        <v>649.97</v>
      </c>
      <c r="N16" s="17">
        <f t="shared" ref="N16:N35" si="0">AVERAGE(B16:M16)</f>
        <v>639.0333333333333</v>
      </c>
      <c r="O16" s="171"/>
    </row>
    <row r="17" spans="1:15" x14ac:dyDescent="0.3">
      <c r="A17" s="25">
        <v>2003</v>
      </c>
      <c r="B17" s="31">
        <v>646.23</v>
      </c>
      <c r="C17" s="31">
        <v>653.04999999999995</v>
      </c>
      <c r="D17" s="31">
        <v>649.79</v>
      </c>
      <c r="E17" s="31">
        <v>650.66</v>
      </c>
      <c r="F17" s="31">
        <v>653.08000000000004</v>
      </c>
      <c r="G17" s="31">
        <v>656.06</v>
      </c>
      <c r="H17" s="31">
        <v>656.89</v>
      </c>
      <c r="I17" s="31">
        <v>657.68</v>
      </c>
      <c r="J17" s="31">
        <v>660.24</v>
      </c>
      <c r="K17" s="31">
        <v>663.81</v>
      </c>
      <c r="L17" s="31">
        <v>668.44</v>
      </c>
      <c r="M17" s="31">
        <v>666.83</v>
      </c>
      <c r="N17" s="17">
        <f t="shared" si="0"/>
        <v>656.89666666666665</v>
      </c>
      <c r="O17" s="171"/>
    </row>
    <row r="18" spans="1:15" x14ac:dyDescent="0.3">
      <c r="A18" s="25">
        <v>2004</v>
      </c>
      <c r="B18" s="31">
        <v>663.85</v>
      </c>
      <c r="C18" s="31">
        <v>665.67</v>
      </c>
      <c r="D18" s="31">
        <v>666.36</v>
      </c>
      <c r="E18" s="31">
        <v>669.3</v>
      </c>
      <c r="F18" s="31">
        <v>675.4</v>
      </c>
      <c r="G18" s="31">
        <v>674.57</v>
      </c>
      <c r="H18" s="31">
        <v>668.8</v>
      </c>
      <c r="I18" s="31">
        <v>674.65</v>
      </c>
      <c r="J18" s="31">
        <v>682.37</v>
      </c>
      <c r="K18" s="31">
        <v>677.38</v>
      </c>
      <c r="L18" s="31">
        <v>679.12</v>
      </c>
      <c r="M18" s="31">
        <v>680.1</v>
      </c>
      <c r="N18" s="17">
        <f t="shared" si="0"/>
        <v>673.13083333333338</v>
      </c>
      <c r="O18" s="171"/>
    </row>
    <row r="19" spans="1:15" x14ac:dyDescent="0.3">
      <c r="A19" s="25">
        <v>2005</v>
      </c>
      <c r="B19" s="31">
        <v>689.61</v>
      </c>
      <c r="C19" s="31">
        <v>693.24</v>
      </c>
      <c r="D19" s="31">
        <v>689.71</v>
      </c>
      <c r="E19" s="31">
        <v>689.27</v>
      </c>
      <c r="F19" s="31">
        <v>687.93</v>
      </c>
      <c r="G19" s="31">
        <v>688.1</v>
      </c>
      <c r="H19" s="31">
        <v>699.31</v>
      </c>
      <c r="I19" s="31">
        <v>698.72</v>
      </c>
      <c r="J19" s="31">
        <v>707.34</v>
      </c>
      <c r="K19" s="31">
        <v>702.11</v>
      </c>
      <c r="L19" s="31">
        <v>695.09</v>
      </c>
      <c r="M19" s="31">
        <v>697.95</v>
      </c>
      <c r="N19" s="17">
        <f t="shared" si="0"/>
        <v>694.86500000000012</v>
      </c>
    </row>
    <row r="20" spans="1:15" x14ac:dyDescent="0.3">
      <c r="A20" s="25">
        <v>2006</v>
      </c>
      <c r="B20" s="31">
        <v>697.98</v>
      </c>
      <c r="C20" s="31">
        <v>697.37</v>
      </c>
      <c r="D20" s="31">
        <v>702.26</v>
      </c>
      <c r="E20" s="31">
        <v>703.36</v>
      </c>
      <c r="F20" s="31">
        <v>699.13</v>
      </c>
      <c r="G20" s="31">
        <v>709.33</v>
      </c>
      <c r="H20" s="31">
        <v>707.73</v>
      </c>
      <c r="I20" s="31">
        <v>715.5</v>
      </c>
      <c r="J20" s="31">
        <v>705.55</v>
      </c>
      <c r="K20" s="31">
        <v>710.36</v>
      </c>
      <c r="L20" s="31">
        <v>718.12</v>
      </c>
      <c r="M20" s="31">
        <v>722.67</v>
      </c>
      <c r="N20" s="17">
        <f t="shared" si="0"/>
        <v>707.4466666666666</v>
      </c>
    </row>
    <row r="21" spans="1:15" x14ac:dyDescent="0.3">
      <c r="A21" s="7">
        <v>2007</v>
      </c>
      <c r="B21" s="31">
        <v>722.78</v>
      </c>
      <c r="C21" s="31">
        <v>727.63</v>
      </c>
      <c r="D21" s="31">
        <v>736.16</v>
      </c>
      <c r="E21" s="31">
        <v>732.31</v>
      </c>
      <c r="F21" s="31">
        <v>741.69</v>
      </c>
      <c r="G21" s="31">
        <v>736.44</v>
      </c>
      <c r="H21" s="31">
        <v>737.7</v>
      </c>
      <c r="I21" s="31">
        <v>737.34</v>
      </c>
      <c r="J21" s="31">
        <v>739.43</v>
      </c>
      <c r="K21" s="31">
        <v>737.36</v>
      </c>
      <c r="L21" s="31">
        <v>745.38</v>
      </c>
      <c r="M21" s="31">
        <v>748.28</v>
      </c>
      <c r="N21" s="17">
        <f t="shared" si="0"/>
        <v>736.875</v>
      </c>
    </row>
    <row r="22" spans="1:15" x14ac:dyDescent="0.3">
      <c r="A22" s="7">
        <v>2008</v>
      </c>
      <c r="B22" s="31">
        <v>747.57</v>
      </c>
      <c r="C22" s="31">
        <v>742.8</v>
      </c>
      <c r="D22" s="31">
        <v>750.22</v>
      </c>
      <c r="E22" s="31">
        <v>757.89</v>
      </c>
      <c r="F22" s="31">
        <v>754.06</v>
      </c>
      <c r="G22" s="31">
        <v>747.91</v>
      </c>
      <c r="H22" s="31">
        <v>755.89</v>
      </c>
      <c r="I22" s="31">
        <v>744.81</v>
      </c>
      <c r="J22" s="31">
        <v>747.81</v>
      </c>
      <c r="K22" s="31">
        <v>758.31</v>
      </c>
      <c r="L22" s="31">
        <v>750.68</v>
      </c>
      <c r="M22" s="31">
        <v>751.21</v>
      </c>
      <c r="N22" s="17">
        <f t="shared" si="0"/>
        <v>750.76333333333332</v>
      </c>
    </row>
    <row r="23" spans="1:15" x14ac:dyDescent="0.3">
      <c r="A23" s="7">
        <v>2009</v>
      </c>
      <c r="B23" s="31">
        <v>746.59</v>
      </c>
      <c r="C23" s="31">
        <v>756.56</v>
      </c>
      <c r="D23" s="31">
        <v>754.74</v>
      </c>
      <c r="E23" s="31">
        <v>749.06</v>
      </c>
      <c r="F23" s="31">
        <v>756.57</v>
      </c>
      <c r="G23" s="31">
        <v>766.08</v>
      </c>
      <c r="H23" s="31">
        <v>760.61</v>
      </c>
      <c r="I23" s="31">
        <v>767.24</v>
      </c>
      <c r="J23" s="31">
        <v>768.13</v>
      </c>
      <c r="K23" s="31">
        <v>758.03</v>
      </c>
      <c r="L23" s="31">
        <v>763.14</v>
      </c>
      <c r="M23" s="31">
        <v>758.71</v>
      </c>
      <c r="N23" s="17">
        <f t="shared" si="0"/>
        <v>758.7883333333333</v>
      </c>
    </row>
    <row r="24" spans="1:15" x14ac:dyDescent="0.3">
      <c r="A24" s="7">
        <v>2010</v>
      </c>
      <c r="B24" s="31">
        <v>774.77</v>
      </c>
      <c r="C24" s="31">
        <v>773.13</v>
      </c>
      <c r="D24" s="31">
        <v>773.36</v>
      </c>
      <c r="E24" s="31">
        <v>774.28</v>
      </c>
      <c r="F24" s="31">
        <v>779.9</v>
      </c>
      <c r="G24" s="31">
        <v>787.74</v>
      </c>
      <c r="H24" s="31">
        <v>778.31</v>
      </c>
      <c r="I24" s="31">
        <v>790.15</v>
      </c>
      <c r="J24" s="31">
        <v>786.8</v>
      </c>
      <c r="K24" s="31">
        <v>794.81</v>
      </c>
      <c r="L24" s="31">
        <v>798.46</v>
      </c>
      <c r="M24" s="31">
        <v>797.4</v>
      </c>
      <c r="N24" s="17">
        <f t="shared" si="0"/>
        <v>784.09249999999986</v>
      </c>
    </row>
    <row r="25" spans="1:15" x14ac:dyDescent="0.3">
      <c r="A25" s="7">
        <v>2011</v>
      </c>
      <c r="B25" s="31">
        <v>802.6</v>
      </c>
      <c r="C25" s="31">
        <v>802.62</v>
      </c>
      <c r="D25" s="31">
        <v>796.12</v>
      </c>
      <c r="E25" s="31">
        <v>803.82</v>
      </c>
      <c r="F25" s="31">
        <v>797.47</v>
      </c>
      <c r="G25" s="31">
        <v>794.3</v>
      </c>
      <c r="H25" s="31">
        <v>808.75</v>
      </c>
      <c r="I25" s="31">
        <v>797.36</v>
      </c>
      <c r="J25" s="31">
        <v>803.21</v>
      </c>
      <c r="K25" s="31">
        <v>812.48</v>
      </c>
      <c r="L25" s="31">
        <v>812.88</v>
      </c>
      <c r="M25" s="31">
        <v>813.39</v>
      </c>
      <c r="N25" s="17">
        <f t="shared" si="0"/>
        <v>803.74999999999989</v>
      </c>
    </row>
    <row r="26" spans="1:15" x14ac:dyDescent="0.3">
      <c r="A26" s="7">
        <v>2012</v>
      </c>
      <c r="B26" s="31">
        <v>813.59</v>
      </c>
      <c r="C26" s="31">
        <v>810.71</v>
      </c>
      <c r="D26" s="31">
        <v>820.08</v>
      </c>
      <c r="E26" s="31">
        <v>816.59</v>
      </c>
      <c r="F26" s="31">
        <v>819</v>
      </c>
      <c r="G26" s="31">
        <v>813.51</v>
      </c>
      <c r="H26" s="31">
        <v>819.98</v>
      </c>
      <c r="I26" s="31">
        <v>832.51</v>
      </c>
      <c r="J26" s="31">
        <v>833.6</v>
      </c>
      <c r="K26" s="31">
        <v>828.94</v>
      </c>
      <c r="L26" s="31">
        <v>833.65</v>
      </c>
      <c r="M26" s="31">
        <v>831.47</v>
      </c>
      <c r="N26" s="17">
        <f t="shared" si="0"/>
        <v>822.80250000000012</v>
      </c>
    </row>
    <row r="27" spans="1:15" x14ac:dyDescent="0.3">
      <c r="A27" s="7">
        <v>2013</v>
      </c>
      <c r="B27" s="31">
        <v>823.76</v>
      </c>
      <c r="C27" s="31">
        <v>829.3</v>
      </c>
      <c r="D27" s="31">
        <v>822.26</v>
      </c>
      <c r="E27" s="31">
        <v>828.74</v>
      </c>
      <c r="F27" s="31">
        <v>833.97</v>
      </c>
      <c r="G27" s="31">
        <v>836.89</v>
      </c>
      <c r="H27" s="31">
        <v>830.16</v>
      </c>
      <c r="I27" s="31">
        <v>832.22</v>
      </c>
      <c r="J27" s="31">
        <v>836.59</v>
      </c>
      <c r="K27" s="31">
        <v>838.16</v>
      </c>
      <c r="L27" s="31">
        <v>837</v>
      </c>
      <c r="M27" s="31">
        <v>841.61</v>
      </c>
      <c r="N27" s="17">
        <f t="shared" si="0"/>
        <v>832.55500000000018</v>
      </c>
    </row>
    <row r="28" spans="1:15" x14ac:dyDescent="0.3">
      <c r="A28" s="7">
        <v>2014</v>
      </c>
      <c r="B28" s="31">
        <v>839.31</v>
      </c>
      <c r="C28" s="31">
        <v>840.79</v>
      </c>
      <c r="D28" s="31">
        <v>842.48</v>
      </c>
      <c r="E28" s="31">
        <v>843.18</v>
      </c>
      <c r="F28" s="31">
        <v>851.86</v>
      </c>
      <c r="G28" s="31">
        <v>855.27</v>
      </c>
      <c r="H28" s="31">
        <v>858.15</v>
      </c>
      <c r="I28" s="31">
        <v>855.04</v>
      </c>
      <c r="J28" s="31">
        <v>847.63</v>
      </c>
      <c r="K28" s="31">
        <v>851.38</v>
      </c>
      <c r="L28" s="31">
        <v>851.34</v>
      </c>
      <c r="M28" s="31">
        <v>857.68</v>
      </c>
      <c r="N28" s="17">
        <f t="shared" si="0"/>
        <v>849.5091666666666</v>
      </c>
    </row>
    <row r="29" spans="1:15" x14ac:dyDescent="0.3">
      <c r="A29" s="7">
        <v>2015</v>
      </c>
      <c r="B29" s="31">
        <v>854.6</v>
      </c>
      <c r="C29" s="31">
        <v>860.69</v>
      </c>
      <c r="D29" s="31">
        <v>866.9</v>
      </c>
      <c r="E29" s="31">
        <v>876.46</v>
      </c>
      <c r="F29" s="31">
        <v>861.79</v>
      </c>
      <c r="G29" s="31">
        <v>875.02</v>
      </c>
      <c r="H29" s="31">
        <v>873.71</v>
      </c>
      <c r="I29" s="31">
        <v>864.41</v>
      </c>
      <c r="J29" s="31">
        <v>873.65</v>
      </c>
      <c r="K29" s="31">
        <v>875.2</v>
      </c>
      <c r="L29" s="31">
        <v>868.34</v>
      </c>
      <c r="M29" s="31">
        <v>858.22</v>
      </c>
      <c r="N29" s="17">
        <f t="shared" si="0"/>
        <v>867.41583333333335</v>
      </c>
    </row>
    <row r="30" spans="1:15" x14ac:dyDescent="0.3">
      <c r="A30" s="7">
        <v>2016</v>
      </c>
      <c r="B30" s="31">
        <v>878.96</v>
      </c>
      <c r="C30" s="31">
        <v>878.44</v>
      </c>
      <c r="D30" s="31">
        <v>875.73</v>
      </c>
      <c r="E30" s="31">
        <v>870.21</v>
      </c>
      <c r="F30" s="31">
        <v>877.12</v>
      </c>
      <c r="G30" s="31">
        <v>866.92</v>
      </c>
      <c r="H30" s="31">
        <v>877.72</v>
      </c>
      <c r="I30" s="31">
        <v>878.69</v>
      </c>
      <c r="J30" s="31">
        <v>883.25</v>
      </c>
      <c r="K30" s="31">
        <v>882.35</v>
      </c>
      <c r="L30" s="31">
        <v>882.89</v>
      </c>
      <c r="M30" s="31">
        <v>886.26</v>
      </c>
      <c r="N30" s="17">
        <f t="shared" si="0"/>
        <v>878.2116666666667</v>
      </c>
    </row>
    <row r="31" spans="1:15" x14ac:dyDescent="0.3">
      <c r="A31" s="7">
        <v>2017</v>
      </c>
      <c r="B31" s="31">
        <v>888.87</v>
      </c>
      <c r="C31" s="31">
        <v>886.56</v>
      </c>
      <c r="D31" s="31">
        <v>892.73</v>
      </c>
      <c r="E31" s="31">
        <v>895.41</v>
      </c>
      <c r="F31" s="31">
        <v>896.94</v>
      </c>
      <c r="G31" s="31">
        <v>893.16</v>
      </c>
      <c r="H31" s="31">
        <v>900.18</v>
      </c>
      <c r="I31" s="31">
        <v>910.51</v>
      </c>
      <c r="J31" s="31">
        <v>912.69</v>
      </c>
      <c r="K31" s="31">
        <v>910.94</v>
      </c>
      <c r="L31" s="31">
        <v>922.52</v>
      </c>
      <c r="M31" s="31">
        <v>919.64</v>
      </c>
      <c r="N31" s="17">
        <f t="shared" si="0"/>
        <v>902.51250000000016</v>
      </c>
    </row>
    <row r="32" spans="1:15" x14ac:dyDescent="0.3">
      <c r="A32" s="7">
        <v>2018</v>
      </c>
      <c r="B32" s="31">
        <v>918.18</v>
      </c>
      <c r="C32" s="31">
        <v>927.58</v>
      </c>
      <c r="D32" s="31">
        <v>931.05</v>
      </c>
      <c r="E32" s="31">
        <v>926.58</v>
      </c>
      <c r="F32" s="31">
        <v>927.28</v>
      </c>
      <c r="G32" s="31">
        <v>935.84</v>
      </c>
      <c r="H32" s="31">
        <v>927.43</v>
      </c>
      <c r="I32" s="31">
        <v>935.24</v>
      </c>
      <c r="J32" s="31">
        <v>927.91</v>
      </c>
      <c r="K32" s="31">
        <v>935.12</v>
      </c>
      <c r="L32" s="31">
        <v>936.03</v>
      </c>
      <c r="M32" s="31">
        <v>943.49</v>
      </c>
      <c r="N32" s="17">
        <f t="shared" si="0"/>
        <v>930.97750000000008</v>
      </c>
    </row>
    <row r="33" spans="1:14" x14ac:dyDescent="0.3">
      <c r="A33" s="7">
        <v>2019</v>
      </c>
      <c r="B33" s="31">
        <v>947.9</v>
      </c>
      <c r="C33" s="31">
        <v>948.78</v>
      </c>
      <c r="D33" s="31">
        <v>946.11</v>
      </c>
      <c r="E33" s="31">
        <v>953.51</v>
      </c>
      <c r="F33" s="31">
        <v>957.67</v>
      </c>
      <c r="G33" s="31">
        <v>964.59</v>
      </c>
      <c r="H33" s="31">
        <v>961.94</v>
      </c>
      <c r="I33" s="31">
        <v>967.36</v>
      </c>
      <c r="J33" s="31">
        <v>973.28</v>
      </c>
      <c r="K33" s="31">
        <v>976.29</v>
      </c>
      <c r="L33" s="31">
        <v>981.99</v>
      </c>
      <c r="M33" s="31">
        <v>987.15</v>
      </c>
      <c r="N33" s="17">
        <f t="shared" si="0"/>
        <v>963.88083333333327</v>
      </c>
    </row>
    <row r="34" spans="1:14" x14ac:dyDescent="0.3">
      <c r="A34" s="7">
        <v>2020</v>
      </c>
      <c r="B34" s="31">
        <v>994.37</v>
      </c>
      <c r="C34" s="31">
        <v>988.51</v>
      </c>
      <c r="D34" s="31">
        <v>995.99</v>
      </c>
      <c r="E34" s="31">
        <v>1051.79</v>
      </c>
      <c r="F34" s="31">
        <v>1076.9000000000001</v>
      </c>
      <c r="G34" s="31">
        <v>1061.0899999999999</v>
      </c>
      <c r="H34" s="31">
        <v>1048.46</v>
      </c>
      <c r="I34" s="31">
        <v>1052.0999999999999</v>
      </c>
      <c r="J34" s="31">
        <v>1045.98</v>
      </c>
      <c r="K34" s="31">
        <v>1055.1400000000001</v>
      </c>
      <c r="L34" s="31">
        <v>1057.67</v>
      </c>
      <c r="M34" s="31">
        <v>1052.76</v>
      </c>
      <c r="N34" s="17">
        <f t="shared" si="0"/>
        <v>1040.0633333333333</v>
      </c>
    </row>
    <row r="35" spans="1:14" x14ac:dyDescent="0.3">
      <c r="A35" s="7">
        <v>2021</v>
      </c>
      <c r="B35" s="31">
        <v>1076.1500000000001</v>
      </c>
      <c r="C35" s="31">
        <v>1069.8800000000001</v>
      </c>
      <c r="D35" s="31">
        <v>1062.51</v>
      </c>
      <c r="E35" s="31">
        <v>1068.5999999999999</v>
      </c>
      <c r="F35" s="31">
        <v>1073.32</v>
      </c>
      <c r="G35" s="31">
        <v>1061.92</v>
      </c>
      <c r="H35" s="31">
        <v>1053.3599999999999</v>
      </c>
      <c r="I35" s="31">
        <v>1070.04</v>
      </c>
      <c r="J35" s="31">
        <v>1072.96</v>
      </c>
      <c r="K35" s="31">
        <v>1074.31</v>
      </c>
      <c r="L35" s="31"/>
      <c r="M35" s="31"/>
      <c r="N35" s="17">
        <f t="shared" si="0"/>
        <v>1068.3049999999998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21"/>
  <dimension ref="A1:O35"/>
  <sheetViews>
    <sheetView workbookViewId="0">
      <pane xSplit="1" ySplit="4" topLeftCell="B23" activePane="bottomRight" state="frozen"/>
      <selection activeCell="B35" sqref="B35"/>
      <selection pane="topRight" activeCell="B35" sqref="B35"/>
      <selection pane="bottomLeft" activeCell="B35" sqref="B35"/>
      <selection pane="bottomRight" activeCell="L35" sqref="L35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67</v>
      </c>
      <c r="B1" s="1"/>
      <c r="C1" s="1"/>
    </row>
    <row r="2" spans="1:15" x14ac:dyDescent="0.3">
      <c r="A2" s="161"/>
      <c r="B2" s="45">
        <v>7</v>
      </c>
      <c r="C2" s="162" t="s">
        <v>154</v>
      </c>
    </row>
    <row r="3" spans="1:15" s="1" customFormat="1" x14ac:dyDescent="0.3">
      <c r="A3" s="1" t="s">
        <v>115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560.53</v>
      </c>
      <c r="C5" s="31">
        <v>567.77</v>
      </c>
      <c r="D5" s="31">
        <v>567.83000000000004</v>
      </c>
      <c r="E5" s="31">
        <v>570.77</v>
      </c>
      <c r="F5" s="31">
        <v>573.76</v>
      </c>
      <c r="G5" s="31">
        <v>575.57000000000005</v>
      </c>
      <c r="H5" s="31">
        <v>576.99</v>
      </c>
      <c r="I5" s="31">
        <v>579.08000000000004</v>
      </c>
      <c r="J5" s="31">
        <v>580.44000000000005</v>
      </c>
      <c r="K5" s="31">
        <v>584.44000000000005</v>
      </c>
      <c r="L5" s="31">
        <v>585.23</v>
      </c>
      <c r="M5" s="31">
        <v>588.42999999999995</v>
      </c>
      <c r="N5" s="17">
        <v>575.90333333333331</v>
      </c>
      <c r="O5" s="171"/>
    </row>
    <row r="6" spans="1:15" x14ac:dyDescent="0.3">
      <c r="A6" s="25">
        <v>1992</v>
      </c>
      <c r="B6" s="31">
        <v>589.80999999999995</v>
      </c>
      <c r="C6" s="31">
        <v>590.87</v>
      </c>
      <c r="D6" s="31">
        <v>588.04999999999995</v>
      </c>
      <c r="E6" s="31">
        <v>593.11</v>
      </c>
      <c r="F6" s="31">
        <v>598.11</v>
      </c>
      <c r="G6" s="31">
        <v>596.75</v>
      </c>
      <c r="H6" s="31">
        <v>599.74</v>
      </c>
      <c r="I6" s="31">
        <v>603.59</v>
      </c>
      <c r="J6" s="31">
        <v>603.42999999999995</v>
      </c>
      <c r="K6" s="31">
        <v>606.19000000000005</v>
      </c>
      <c r="L6" s="31">
        <v>606.20000000000005</v>
      </c>
      <c r="M6" s="31">
        <v>606.98</v>
      </c>
      <c r="N6" s="17">
        <v>598.56916666666666</v>
      </c>
      <c r="O6" s="171"/>
    </row>
    <row r="7" spans="1:15" x14ac:dyDescent="0.3">
      <c r="A7" s="25">
        <v>1993</v>
      </c>
      <c r="B7" s="31">
        <v>608.85</v>
      </c>
      <c r="C7" s="31">
        <v>608.64</v>
      </c>
      <c r="D7" s="31">
        <v>608.37</v>
      </c>
      <c r="E7" s="31">
        <v>611.73</v>
      </c>
      <c r="F7" s="31">
        <v>610.23</v>
      </c>
      <c r="G7" s="31">
        <v>611.22</v>
      </c>
      <c r="H7" s="31">
        <v>613.6</v>
      </c>
      <c r="I7" s="31">
        <v>612.12</v>
      </c>
      <c r="J7" s="31">
        <v>613.91</v>
      </c>
      <c r="K7" s="31">
        <v>614.54</v>
      </c>
      <c r="L7" s="31">
        <v>615.17999999999995</v>
      </c>
      <c r="M7" s="31">
        <v>616.91</v>
      </c>
      <c r="N7" s="17">
        <v>612.10833333333335</v>
      </c>
      <c r="O7" s="171"/>
    </row>
    <row r="8" spans="1:15" x14ac:dyDescent="0.3">
      <c r="A8" s="25">
        <v>1994</v>
      </c>
      <c r="B8" s="31">
        <v>617.54</v>
      </c>
      <c r="C8" s="31">
        <v>619.45000000000005</v>
      </c>
      <c r="D8" s="31">
        <v>624.41999999999996</v>
      </c>
      <c r="E8" s="31">
        <v>627.54999999999995</v>
      </c>
      <c r="F8" s="31">
        <v>627.47</v>
      </c>
      <c r="G8" s="31">
        <v>629.79</v>
      </c>
      <c r="H8" s="31">
        <v>631.65</v>
      </c>
      <c r="I8" s="31">
        <v>629.75</v>
      </c>
      <c r="J8" s="31">
        <v>631.91999999999996</v>
      </c>
      <c r="K8" s="31">
        <v>631.04</v>
      </c>
      <c r="L8" s="31">
        <v>632.04</v>
      </c>
      <c r="M8" s="31">
        <v>631.85</v>
      </c>
      <c r="N8" s="17">
        <v>627.87250000000006</v>
      </c>
      <c r="O8" s="171"/>
    </row>
    <row r="9" spans="1:15" x14ac:dyDescent="0.3">
      <c r="A9" s="25">
        <v>1995</v>
      </c>
      <c r="B9" s="31">
        <v>632.51</v>
      </c>
      <c r="C9" s="31">
        <v>631.71</v>
      </c>
      <c r="D9" s="31">
        <v>632.52</v>
      </c>
      <c r="E9" s="31">
        <v>628.76</v>
      </c>
      <c r="F9" s="31">
        <v>627.91999999999996</v>
      </c>
      <c r="G9" s="31">
        <v>631.46</v>
      </c>
      <c r="H9" s="31">
        <v>631.37</v>
      </c>
      <c r="I9" s="31">
        <v>636.62</v>
      </c>
      <c r="J9" s="31">
        <v>637.87</v>
      </c>
      <c r="K9" s="31">
        <v>634.79</v>
      </c>
      <c r="L9" s="31">
        <v>636.71</v>
      </c>
      <c r="M9" s="31">
        <v>645.52</v>
      </c>
      <c r="N9" s="17">
        <v>633.98</v>
      </c>
      <c r="O9" s="171"/>
    </row>
    <row r="10" spans="1:15" x14ac:dyDescent="0.3">
      <c r="A10" s="25">
        <v>1996</v>
      </c>
      <c r="B10" s="31">
        <v>636.1</v>
      </c>
      <c r="C10" s="31">
        <v>638.04</v>
      </c>
      <c r="D10" s="31">
        <v>641.65</v>
      </c>
      <c r="E10" s="31">
        <v>641.52</v>
      </c>
      <c r="F10" s="31">
        <v>647.62</v>
      </c>
      <c r="G10" s="31">
        <v>652.29</v>
      </c>
      <c r="H10" s="31">
        <v>652.35</v>
      </c>
      <c r="I10" s="31">
        <v>653.30999999999995</v>
      </c>
      <c r="J10" s="31">
        <v>652.52</v>
      </c>
      <c r="K10" s="31">
        <v>658.18</v>
      </c>
      <c r="L10" s="31">
        <v>658.8</v>
      </c>
      <c r="M10" s="31">
        <v>659.12</v>
      </c>
      <c r="N10" s="17">
        <v>649.29166666666663</v>
      </c>
      <c r="O10" s="171"/>
    </row>
    <row r="11" spans="1:15" x14ac:dyDescent="0.3">
      <c r="A11" s="25">
        <v>1997</v>
      </c>
      <c r="B11" s="31">
        <v>661.06</v>
      </c>
      <c r="C11" s="31">
        <v>662.16</v>
      </c>
      <c r="D11" s="31">
        <v>661</v>
      </c>
      <c r="E11" s="31">
        <v>661.84</v>
      </c>
      <c r="F11" s="31">
        <v>669.3</v>
      </c>
      <c r="G11" s="31">
        <v>660.14</v>
      </c>
      <c r="H11" s="31">
        <v>660.15</v>
      </c>
      <c r="I11" s="31">
        <v>660.78</v>
      </c>
      <c r="J11" s="31">
        <v>665.7</v>
      </c>
      <c r="K11" s="31">
        <v>663.3</v>
      </c>
      <c r="L11" s="31">
        <v>669.77</v>
      </c>
      <c r="M11" s="31">
        <v>666.89</v>
      </c>
      <c r="N11" s="17">
        <v>663.50749999999994</v>
      </c>
      <c r="O11" s="171"/>
    </row>
    <row r="12" spans="1:15" x14ac:dyDescent="0.3">
      <c r="A12" s="25">
        <v>1998</v>
      </c>
      <c r="B12" s="31">
        <v>673.03</v>
      </c>
      <c r="C12" s="31">
        <v>675.61</v>
      </c>
      <c r="D12" s="31">
        <v>672.84</v>
      </c>
      <c r="E12" s="31">
        <v>674.36</v>
      </c>
      <c r="F12" s="31">
        <v>669.97</v>
      </c>
      <c r="G12" s="31">
        <v>670.05</v>
      </c>
      <c r="H12" s="31">
        <v>667.01</v>
      </c>
      <c r="I12" s="31">
        <v>670.41</v>
      </c>
      <c r="J12" s="31">
        <v>670.32</v>
      </c>
      <c r="K12" s="31">
        <v>675.97</v>
      </c>
      <c r="L12" s="31">
        <v>674.08</v>
      </c>
      <c r="M12" s="31">
        <v>676.71</v>
      </c>
      <c r="N12" s="17">
        <v>672.53000000000009</v>
      </c>
      <c r="O12" s="171"/>
    </row>
    <row r="13" spans="1:15" x14ac:dyDescent="0.3">
      <c r="A13" s="25">
        <v>1999</v>
      </c>
      <c r="B13" s="31">
        <v>675.36</v>
      </c>
      <c r="C13" s="31">
        <v>675.7</v>
      </c>
      <c r="D13" s="31">
        <v>677.45</v>
      </c>
      <c r="E13" s="31">
        <v>679.6</v>
      </c>
      <c r="F13" s="31">
        <v>684.35</v>
      </c>
      <c r="G13" s="31">
        <v>684.2</v>
      </c>
      <c r="H13" s="31">
        <v>687.87</v>
      </c>
      <c r="I13" s="31">
        <v>686.56</v>
      </c>
      <c r="J13" s="31">
        <v>686.46</v>
      </c>
      <c r="K13" s="31">
        <v>687.02</v>
      </c>
      <c r="L13" s="31">
        <v>686.22</v>
      </c>
      <c r="M13" s="31">
        <v>691.02</v>
      </c>
      <c r="N13" s="17">
        <v>683.48416666666662</v>
      </c>
      <c r="O13" s="171"/>
    </row>
    <row r="14" spans="1:15" x14ac:dyDescent="0.3">
      <c r="A14" s="25">
        <v>2000</v>
      </c>
      <c r="B14" s="31">
        <v>692.5</v>
      </c>
      <c r="C14" s="31">
        <v>694.79</v>
      </c>
      <c r="D14" s="31">
        <v>695.61</v>
      </c>
      <c r="E14" s="31">
        <v>697.48</v>
      </c>
      <c r="F14" s="31">
        <v>698.65</v>
      </c>
      <c r="G14" s="31">
        <v>699.54</v>
      </c>
      <c r="H14" s="31">
        <v>701.24</v>
      </c>
      <c r="I14" s="31">
        <v>703.4</v>
      </c>
      <c r="J14" s="31">
        <v>703.73</v>
      </c>
      <c r="K14" s="31">
        <v>702.9</v>
      </c>
      <c r="L14" s="31">
        <v>704.07</v>
      </c>
      <c r="M14" s="31">
        <v>705.23</v>
      </c>
      <c r="N14" s="17">
        <v>699.92833333333317</v>
      </c>
      <c r="O14" s="171"/>
    </row>
    <row r="15" spans="1:15" x14ac:dyDescent="0.3">
      <c r="A15" s="25">
        <v>2001</v>
      </c>
      <c r="B15" s="31">
        <v>698.62</v>
      </c>
      <c r="C15" s="31">
        <v>692.1</v>
      </c>
      <c r="D15" s="31">
        <v>695.86</v>
      </c>
      <c r="E15" s="31">
        <v>692.14</v>
      </c>
      <c r="F15" s="31">
        <v>690.73</v>
      </c>
      <c r="G15" s="31">
        <v>695.22</v>
      </c>
      <c r="H15" s="31">
        <v>696.41</v>
      </c>
      <c r="I15" s="31">
        <v>695.69</v>
      </c>
      <c r="J15" s="31">
        <v>699.31</v>
      </c>
      <c r="K15" s="31">
        <v>697.67</v>
      </c>
      <c r="L15" s="31">
        <v>701.01</v>
      </c>
      <c r="M15" s="31">
        <v>698.38</v>
      </c>
      <c r="N15" s="17">
        <f>AVERAGE(B15:M15)</f>
        <v>696.09499999999991</v>
      </c>
      <c r="O15" s="171"/>
    </row>
    <row r="16" spans="1:15" x14ac:dyDescent="0.3">
      <c r="A16" s="25">
        <v>2002</v>
      </c>
      <c r="B16" s="31">
        <v>698.51</v>
      </c>
      <c r="C16" s="31">
        <v>697.03</v>
      </c>
      <c r="D16" s="31">
        <v>704.28</v>
      </c>
      <c r="E16" s="31">
        <v>709.01</v>
      </c>
      <c r="F16" s="31">
        <v>708.58</v>
      </c>
      <c r="G16" s="31">
        <v>709.21</v>
      </c>
      <c r="H16" s="31">
        <v>716.46</v>
      </c>
      <c r="I16" s="31">
        <v>712.37</v>
      </c>
      <c r="J16" s="31">
        <v>715.7</v>
      </c>
      <c r="K16" s="31">
        <v>719.6</v>
      </c>
      <c r="L16" s="31">
        <v>720.31</v>
      </c>
      <c r="M16" s="31">
        <v>722.96</v>
      </c>
      <c r="N16" s="17">
        <f t="shared" ref="N16:N35" si="0">AVERAGE(B16:M16)</f>
        <v>711.16833333333341</v>
      </c>
      <c r="O16" s="171"/>
    </row>
    <row r="17" spans="1:15" x14ac:dyDescent="0.3">
      <c r="A17" s="25">
        <v>2003</v>
      </c>
      <c r="B17" s="31">
        <v>716.06</v>
      </c>
      <c r="C17" s="31">
        <v>724.73</v>
      </c>
      <c r="D17" s="31">
        <v>720.77</v>
      </c>
      <c r="E17" s="31">
        <v>721.53</v>
      </c>
      <c r="F17" s="31">
        <v>722.85</v>
      </c>
      <c r="G17" s="31">
        <v>728.82</v>
      </c>
      <c r="H17" s="31">
        <v>727</v>
      </c>
      <c r="I17" s="31">
        <v>734.71</v>
      </c>
      <c r="J17" s="31">
        <v>736.25</v>
      </c>
      <c r="K17" s="31">
        <v>736.27</v>
      </c>
      <c r="L17" s="31">
        <v>737.61</v>
      </c>
      <c r="M17" s="31">
        <v>737.25</v>
      </c>
      <c r="N17" s="17">
        <f t="shared" si="0"/>
        <v>728.65416666666658</v>
      </c>
      <c r="O17" s="171"/>
    </row>
    <row r="18" spans="1:15" x14ac:dyDescent="0.3">
      <c r="A18" s="25">
        <v>2004</v>
      </c>
      <c r="B18" s="31">
        <v>744.83</v>
      </c>
      <c r="C18" s="31">
        <v>742.92</v>
      </c>
      <c r="D18" s="31">
        <v>744.88</v>
      </c>
      <c r="E18" s="31">
        <v>746.99</v>
      </c>
      <c r="F18" s="31">
        <v>752.13</v>
      </c>
      <c r="G18" s="31">
        <v>745.86</v>
      </c>
      <c r="H18" s="31">
        <v>750.15</v>
      </c>
      <c r="I18" s="31">
        <v>750.31</v>
      </c>
      <c r="J18" s="31">
        <v>744.13</v>
      </c>
      <c r="K18" s="31">
        <v>750.81</v>
      </c>
      <c r="L18" s="31">
        <v>755.16</v>
      </c>
      <c r="M18" s="31">
        <v>759.22</v>
      </c>
      <c r="N18" s="17">
        <f t="shared" si="0"/>
        <v>748.94916666666666</v>
      </c>
      <c r="O18" s="171"/>
    </row>
    <row r="19" spans="1:15" x14ac:dyDescent="0.3">
      <c r="A19" s="25">
        <v>2005</v>
      </c>
      <c r="B19" s="31">
        <v>763.57</v>
      </c>
      <c r="C19" s="31">
        <v>770.53</v>
      </c>
      <c r="D19" s="31">
        <v>764.37</v>
      </c>
      <c r="E19" s="31">
        <v>770.65</v>
      </c>
      <c r="F19" s="31">
        <v>773.59</v>
      </c>
      <c r="G19" s="31">
        <v>777.54</v>
      </c>
      <c r="H19" s="31">
        <v>775.18</v>
      </c>
      <c r="I19" s="31">
        <v>780.65</v>
      </c>
      <c r="J19" s="31">
        <v>789.72</v>
      </c>
      <c r="K19" s="31">
        <v>784.49</v>
      </c>
      <c r="L19" s="31">
        <v>782.34</v>
      </c>
      <c r="M19" s="31">
        <v>782.16</v>
      </c>
      <c r="N19" s="17">
        <f t="shared" si="0"/>
        <v>776.23249999999996</v>
      </c>
    </row>
    <row r="20" spans="1:15" x14ac:dyDescent="0.3">
      <c r="A20" s="25">
        <v>2006</v>
      </c>
      <c r="B20" s="31">
        <v>783.23</v>
      </c>
      <c r="C20" s="31">
        <v>781.13</v>
      </c>
      <c r="D20" s="31">
        <v>783.7</v>
      </c>
      <c r="E20" s="31">
        <v>782.76</v>
      </c>
      <c r="F20" s="31">
        <v>783.5</v>
      </c>
      <c r="G20" s="31">
        <v>781.85</v>
      </c>
      <c r="H20" s="31">
        <v>787.48</v>
      </c>
      <c r="I20" s="31">
        <v>790.24</v>
      </c>
      <c r="J20" s="31">
        <v>794.13</v>
      </c>
      <c r="K20" s="31">
        <v>796.81</v>
      </c>
      <c r="L20" s="31">
        <v>793.43</v>
      </c>
      <c r="M20" s="31">
        <v>806.61</v>
      </c>
      <c r="N20" s="17">
        <f t="shared" si="0"/>
        <v>788.73916666666685</v>
      </c>
    </row>
    <row r="21" spans="1:15" x14ac:dyDescent="0.3">
      <c r="A21" s="7">
        <v>2007</v>
      </c>
      <c r="B21" s="31">
        <v>806.36</v>
      </c>
      <c r="C21" s="31">
        <v>802.19</v>
      </c>
      <c r="D21" s="31">
        <v>813.05</v>
      </c>
      <c r="E21" s="31">
        <v>814.53</v>
      </c>
      <c r="F21" s="31">
        <v>817.19</v>
      </c>
      <c r="G21" s="31">
        <v>824.87</v>
      </c>
      <c r="H21" s="31">
        <v>824.73</v>
      </c>
      <c r="I21" s="31">
        <v>821.26</v>
      </c>
      <c r="J21" s="31">
        <v>821.33</v>
      </c>
      <c r="K21" s="31">
        <v>823.8</v>
      </c>
      <c r="L21" s="31">
        <v>831.61</v>
      </c>
      <c r="M21" s="31">
        <v>828.09</v>
      </c>
      <c r="N21" s="17">
        <f t="shared" si="0"/>
        <v>819.08416666666665</v>
      </c>
    </row>
    <row r="22" spans="1:15" x14ac:dyDescent="0.3">
      <c r="A22" s="7">
        <v>2008</v>
      </c>
      <c r="B22" s="31">
        <v>828.77</v>
      </c>
      <c r="C22" s="31">
        <v>835.66</v>
      </c>
      <c r="D22" s="31">
        <v>833.64</v>
      </c>
      <c r="E22" s="31">
        <v>835.14</v>
      </c>
      <c r="F22" s="31">
        <v>838</v>
      </c>
      <c r="G22" s="31">
        <v>840.24</v>
      </c>
      <c r="H22" s="31">
        <v>838.01</v>
      </c>
      <c r="I22" s="31">
        <v>840.27</v>
      </c>
      <c r="J22" s="31">
        <v>840.25</v>
      </c>
      <c r="K22" s="31">
        <v>846.59</v>
      </c>
      <c r="L22" s="31">
        <v>846.56</v>
      </c>
      <c r="M22" s="31">
        <v>836.6</v>
      </c>
      <c r="N22" s="17">
        <f t="shared" si="0"/>
        <v>838.31083333333333</v>
      </c>
    </row>
    <row r="23" spans="1:15" x14ac:dyDescent="0.3">
      <c r="A23" s="7">
        <v>2009</v>
      </c>
      <c r="B23" s="31">
        <v>840.71</v>
      </c>
      <c r="C23" s="31">
        <v>843.74</v>
      </c>
      <c r="D23" s="31">
        <v>846.39</v>
      </c>
      <c r="E23" s="31">
        <v>847.03</v>
      </c>
      <c r="F23" s="31">
        <v>843.7</v>
      </c>
      <c r="G23" s="31">
        <v>843.52</v>
      </c>
      <c r="H23" s="31">
        <v>844.41</v>
      </c>
      <c r="I23" s="31">
        <v>847.89</v>
      </c>
      <c r="J23" s="31">
        <v>854.26</v>
      </c>
      <c r="K23" s="31">
        <v>853.06</v>
      </c>
      <c r="L23" s="31">
        <v>856.04</v>
      </c>
      <c r="M23" s="31">
        <v>864.01</v>
      </c>
      <c r="N23" s="17">
        <f t="shared" si="0"/>
        <v>848.73</v>
      </c>
    </row>
    <row r="24" spans="1:15" x14ac:dyDescent="0.3">
      <c r="A24" s="7">
        <v>2010</v>
      </c>
      <c r="B24" s="31">
        <v>863.99</v>
      </c>
      <c r="C24" s="31">
        <v>873.13</v>
      </c>
      <c r="D24" s="31">
        <v>869.92</v>
      </c>
      <c r="E24" s="31">
        <v>872.02</v>
      </c>
      <c r="F24" s="31">
        <v>873.41</v>
      </c>
      <c r="G24" s="31">
        <v>875.53</v>
      </c>
      <c r="H24" s="31">
        <v>883.23</v>
      </c>
      <c r="I24" s="31">
        <v>888.77</v>
      </c>
      <c r="J24" s="31">
        <v>902.92</v>
      </c>
      <c r="K24" s="31">
        <v>887.52</v>
      </c>
      <c r="L24" s="31">
        <v>891.52</v>
      </c>
      <c r="M24" s="31">
        <v>893.22</v>
      </c>
      <c r="N24" s="17">
        <f t="shared" si="0"/>
        <v>881.26499999999999</v>
      </c>
    </row>
    <row r="25" spans="1:15" x14ac:dyDescent="0.3">
      <c r="A25" s="7">
        <v>2011</v>
      </c>
      <c r="B25" s="31">
        <v>897.65</v>
      </c>
      <c r="C25" s="31">
        <v>894.31</v>
      </c>
      <c r="D25" s="31">
        <v>895.95</v>
      </c>
      <c r="E25" s="31">
        <v>890.57</v>
      </c>
      <c r="F25" s="31">
        <v>892.92</v>
      </c>
      <c r="G25" s="31">
        <v>889.79</v>
      </c>
      <c r="H25" s="31">
        <v>887.48</v>
      </c>
      <c r="I25" s="31">
        <v>888.93</v>
      </c>
      <c r="J25" s="31">
        <v>889.54</v>
      </c>
      <c r="K25" s="31">
        <v>902.69</v>
      </c>
      <c r="L25" s="31">
        <v>894.27</v>
      </c>
      <c r="M25" s="31">
        <v>896.88</v>
      </c>
      <c r="N25" s="17">
        <f t="shared" si="0"/>
        <v>893.41499999999996</v>
      </c>
    </row>
    <row r="26" spans="1:15" x14ac:dyDescent="0.3">
      <c r="A26" s="7">
        <v>2012</v>
      </c>
      <c r="B26" s="31">
        <v>898.12</v>
      </c>
      <c r="C26" s="31">
        <v>891.99</v>
      </c>
      <c r="D26" s="31">
        <v>895.7</v>
      </c>
      <c r="E26" s="31">
        <v>904.03</v>
      </c>
      <c r="F26" s="31">
        <v>902.52</v>
      </c>
      <c r="G26" s="31">
        <v>909.36</v>
      </c>
      <c r="H26" s="31">
        <v>912.62</v>
      </c>
      <c r="I26" s="31">
        <v>909.92</v>
      </c>
      <c r="J26" s="31">
        <v>911.61</v>
      </c>
      <c r="K26" s="31">
        <v>912.12</v>
      </c>
      <c r="L26" s="31">
        <v>911.53</v>
      </c>
      <c r="M26" s="31">
        <v>912.93</v>
      </c>
      <c r="N26" s="17">
        <f t="shared" si="0"/>
        <v>906.03750000000002</v>
      </c>
    </row>
    <row r="27" spans="1:15" x14ac:dyDescent="0.3">
      <c r="A27" s="7">
        <v>2013</v>
      </c>
      <c r="B27" s="31">
        <v>911.91</v>
      </c>
      <c r="C27" s="31">
        <v>913.97</v>
      </c>
      <c r="D27" s="31">
        <v>916.4</v>
      </c>
      <c r="E27" s="31">
        <v>913.68</v>
      </c>
      <c r="F27" s="31">
        <v>921.52</v>
      </c>
      <c r="G27" s="31">
        <v>919.36</v>
      </c>
      <c r="H27" s="31">
        <v>917.13</v>
      </c>
      <c r="I27" s="31">
        <v>924.32</v>
      </c>
      <c r="J27" s="31">
        <v>920.44</v>
      </c>
      <c r="K27" s="31">
        <v>924.9</v>
      </c>
      <c r="L27" s="31">
        <v>930.35</v>
      </c>
      <c r="M27" s="31">
        <v>926.57</v>
      </c>
      <c r="N27" s="17">
        <f t="shared" si="0"/>
        <v>920.04583333333323</v>
      </c>
    </row>
    <row r="28" spans="1:15" x14ac:dyDescent="0.3">
      <c r="A28" s="7">
        <v>2014</v>
      </c>
      <c r="B28" s="31">
        <v>931.18</v>
      </c>
      <c r="C28" s="31">
        <v>933.14</v>
      </c>
      <c r="D28" s="31">
        <v>928.55</v>
      </c>
      <c r="E28" s="31">
        <v>933.21</v>
      </c>
      <c r="F28" s="31">
        <v>938.99</v>
      </c>
      <c r="G28" s="31">
        <v>938.8</v>
      </c>
      <c r="H28" s="31">
        <v>946.05</v>
      </c>
      <c r="I28" s="31">
        <v>943.21</v>
      </c>
      <c r="J28" s="31">
        <v>944.35</v>
      </c>
      <c r="K28" s="31">
        <v>942.61</v>
      </c>
      <c r="L28" s="31">
        <v>940.28</v>
      </c>
      <c r="M28" s="31">
        <v>941.16</v>
      </c>
      <c r="N28" s="17">
        <f t="shared" si="0"/>
        <v>938.46083333333343</v>
      </c>
    </row>
    <row r="29" spans="1:15" x14ac:dyDescent="0.3">
      <c r="A29" s="7">
        <v>2015</v>
      </c>
      <c r="B29" s="31">
        <v>950.59</v>
      </c>
      <c r="C29" s="31">
        <v>957.18</v>
      </c>
      <c r="D29" s="31">
        <v>963.25</v>
      </c>
      <c r="E29" s="31">
        <v>964.69</v>
      </c>
      <c r="F29" s="31">
        <v>956.75</v>
      </c>
      <c r="G29" s="31">
        <v>960.91</v>
      </c>
      <c r="H29" s="31">
        <v>973.2</v>
      </c>
      <c r="I29" s="31">
        <v>959.78</v>
      </c>
      <c r="J29" s="31">
        <v>966.96</v>
      </c>
      <c r="K29" s="31">
        <v>968.71</v>
      </c>
      <c r="L29" s="31">
        <v>967.43</v>
      </c>
      <c r="M29" s="31">
        <v>970.35</v>
      </c>
      <c r="N29" s="17">
        <f t="shared" si="0"/>
        <v>963.31666666666672</v>
      </c>
    </row>
    <row r="30" spans="1:15" x14ac:dyDescent="0.3">
      <c r="A30" s="7">
        <v>2016</v>
      </c>
      <c r="B30" s="31">
        <v>963.82</v>
      </c>
      <c r="C30" s="31">
        <v>965.72</v>
      </c>
      <c r="D30" s="31">
        <v>970.73</v>
      </c>
      <c r="E30" s="31">
        <v>970.72</v>
      </c>
      <c r="F30" s="31">
        <v>975.33</v>
      </c>
      <c r="G30" s="31">
        <v>979.68</v>
      </c>
      <c r="H30" s="31">
        <v>976.69</v>
      </c>
      <c r="I30" s="31">
        <v>979.54</v>
      </c>
      <c r="J30" s="31">
        <v>970.27</v>
      </c>
      <c r="K30" s="31">
        <v>974.03</v>
      </c>
      <c r="L30" s="31">
        <v>977.36</v>
      </c>
      <c r="M30" s="31">
        <v>988.01</v>
      </c>
      <c r="N30" s="17">
        <f t="shared" si="0"/>
        <v>974.32500000000016</v>
      </c>
    </row>
    <row r="31" spans="1:15" x14ac:dyDescent="0.3">
      <c r="A31" s="7">
        <v>2017</v>
      </c>
      <c r="B31" s="31">
        <v>987.13</v>
      </c>
      <c r="C31" s="31">
        <v>984.85</v>
      </c>
      <c r="D31" s="31">
        <v>984.72</v>
      </c>
      <c r="E31" s="31">
        <v>988.93</v>
      </c>
      <c r="F31" s="31">
        <v>988.44</v>
      </c>
      <c r="G31" s="31">
        <v>988.01</v>
      </c>
      <c r="H31" s="31">
        <v>985.22</v>
      </c>
      <c r="I31" s="31">
        <v>991.98</v>
      </c>
      <c r="J31" s="31">
        <v>1001.94</v>
      </c>
      <c r="K31" s="31">
        <v>999.57</v>
      </c>
      <c r="L31" s="31">
        <v>1007.25</v>
      </c>
      <c r="M31" s="31">
        <v>1009.26</v>
      </c>
      <c r="N31" s="17">
        <f t="shared" si="0"/>
        <v>993.10833333333346</v>
      </c>
    </row>
    <row r="32" spans="1:15" x14ac:dyDescent="0.3">
      <c r="A32" s="7">
        <v>2018</v>
      </c>
      <c r="B32" s="31">
        <v>1012.9</v>
      </c>
      <c r="C32" s="31">
        <v>1019.25</v>
      </c>
      <c r="D32" s="31">
        <v>1016.16</v>
      </c>
      <c r="E32" s="31">
        <v>1014.57</v>
      </c>
      <c r="F32" s="31">
        <v>1015.73</v>
      </c>
      <c r="G32" s="31">
        <v>1021.24</v>
      </c>
      <c r="H32" s="31">
        <v>1018.47</v>
      </c>
      <c r="I32" s="31">
        <v>1024.68</v>
      </c>
      <c r="J32" s="31">
        <v>1024.96</v>
      </c>
      <c r="K32" s="31">
        <v>1029.32</v>
      </c>
      <c r="L32" s="31">
        <v>1033.5999999999999</v>
      </c>
      <c r="M32" s="31">
        <v>1031.58</v>
      </c>
      <c r="N32" s="17">
        <f t="shared" si="0"/>
        <v>1021.8716666666668</v>
      </c>
    </row>
    <row r="33" spans="1:14" x14ac:dyDescent="0.3">
      <c r="A33" s="7">
        <v>2019</v>
      </c>
      <c r="B33" s="31">
        <v>1029.73</v>
      </c>
      <c r="C33" s="31">
        <v>1030.79</v>
      </c>
      <c r="D33" s="31">
        <v>1038.27</v>
      </c>
      <c r="E33" s="31">
        <v>1041.18</v>
      </c>
      <c r="F33" s="31">
        <v>1055.1199999999999</v>
      </c>
      <c r="G33" s="31">
        <v>1037.74</v>
      </c>
      <c r="H33" s="31">
        <v>1052.53</v>
      </c>
      <c r="I33" s="31">
        <v>1058.1500000000001</v>
      </c>
      <c r="J33" s="31">
        <v>1062.82</v>
      </c>
      <c r="K33" s="31">
        <v>1063.53</v>
      </c>
      <c r="L33" s="31">
        <v>1061.31</v>
      </c>
      <c r="M33" s="31">
        <v>1063.73</v>
      </c>
      <c r="N33" s="17">
        <f t="shared" si="0"/>
        <v>1049.575</v>
      </c>
    </row>
    <row r="34" spans="1:14" x14ac:dyDescent="0.3">
      <c r="A34" s="7">
        <v>2020</v>
      </c>
      <c r="B34" s="31">
        <v>1064.01</v>
      </c>
      <c r="C34" s="31">
        <v>1063.8699999999999</v>
      </c>
      <c r="D34" s="31">
        <v>1065.23</v>
      </c>
      <c r="E34" s="31">
        <v>1132.5</v>
      </c>
      <c r="F34" s="31">
        <v>1170.8399999999999</v>
      </c>
      <c r="G34" s="31">
        <v>1148.55</v>
      </c>
      <c r="H34" s="31">
        <v>1154.72</v>
      </c>
      <c r="I34" s="31">
        <v>1150</v>
      </c>
      <c r="J34" s="31">
        <v>1147.51</v>
      </c>
      <c r="K34" s="31">
        <v>1138.78</v>
      </c>
      <c r="L34" s="31">
        <v>1147.7</v>
      </c>
      <c r="M34" s="31">
        <v>1148.49</v>
      </c>
      <c r="N34" s="17">
        <f t="shared" si="0"/>
        <v>1127.6833333333336</v>
      </c>
    </row>
    <row r="35" spans="1:14" x14ac:dyDescent="0.3">
      <c r="A35" s="7">
        <v>2021</v>
      </c>
      <c r="B35" s="31">
        <v>1175.1600000000001</v>
      </c>
      <c r="C35" s="31">
        <v>1181.51</v>
      </c>
      <c r="D35" s="31">
        <v>1166.21</v>
      </c>
      <c r="E35" s="31">
        <v>1166.8499999999999</v>
      </c>
      <c r="F35" s="31">
        <v>1179.81</v>
      </c>
      <c r="G35" s="31">
        <v>1152.8</v>
      </c>
      <c r="H35" s="31">
        <v>1163.76</v>
      </c>
      <c r="I35" s="31">
        <v>1171.07</v>
      </c>
      <c r="J35" s="31">
        <v>1163.98</v>
      </c>
      <c r="K35" s="31">
        <v>1169.96</v>
      </c>
      <c r="L35" s="31"/>
      <c r="M35" s="31"/>
      <c r="N35" s="17">
        <f t="shared" si="0"/>
        <v>1169.1110000000001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25"/>
  <dimension ref="A1:O35"/>
  <sheetViews>
    <sheetView workbookViewId="0">
      <pane xSplit="1" ySplit="4" topLeftCell="B25" activePane="bottomRight" state="frozen"/>
      <selection activeCell="B35" sqref="B35"/>
      <selection pane="topRight" activeCell="B35" sqref="B35"/>
      <selection pane="bottomLeft" activeCell="B35" sqref="B35"/>
      <selection pane="bottomRight" activeCell="L35" sqref="L35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71</v>
      </c>
      <c r="B1" s="1"/>
      <c r="C1" s="1"/>
    </row>
    <row r="2" spans="1:15" x14ac:dyDescent="0.3">
      <c r="A2" s="161"/>
      <c r="B2" s="45">
        <v>8</v>
      </c>
      <c r="C2" s="162" t="s">
        <v>154</v>
      </c>
    </row>
    <row r="3" spans="1:15" s="1" customFormat="1" x14ac:dyDescent="0.3">
      <c r="A3" s="1" t="s">
        <v>116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491.26</v>
      </c>
      <c r="C5" s="31">
        <v>495</v>
      </c>
      <c r="D5" s="31">
        <v>499.32</v>
      </c>
      <c r="E5" s="31">
        <v>494.58</v>
      </c>
      <c r="F5" s="31">
        <v>497.88</v>
      </c>
      <c r="G5" s="31">
        <v>504.42</v>
      </c>
      <c r="H5" s="31">
        <v>504.7</v>
      </c>
      <c r="I5" s="31">
        <v>507.25</v>
      </c>
      <c r="J5" s="31">
        <v>502.74</v>
      </c>
      <c r="K5" s="31">
        <v>510.51</v>
      </c>
      <c r="L5" s="31">
        <v>504.93</v>
      </c>
      <c r="M5" s="31">
        <v>509.35</v>
      </c>
      <c r="N5" s="17">
        <v>501.82833333333338</v>
      </c>
      <c r="O5" s="171"/>
    </row>
    <row r="6" spans="1:15" x14ac:dyDescent="0.3">
      <c r="A6" s="25">
        <v>1992</v>
      </c>
      <c r="B6" s="31">
        <v>514.51</v>
      </c>
      <c r="C6" s="31">
        <v>506.34</v>
      </c>
      <c r="D6" s="31">
        <v>505.36</v>
      </c>
      <c r="E6" s="31">
        <v>507.48</v>
      </c>
      <c r="F6" s="31">
        <v>509.13</v>
      </c>
      <c r="G6" s="31">
        <v>515.25</v>
      </c>
      <c r="H6" s="31">
        <v>514.58000000000004</v>
      </c>
      <c r="I6" s="31">
        <v>515.20000000000005</v>
      </c>
      <c r="J6" s="31">
        <v>509.79</v>
      </c>
      <c r="K6" s="31">
        <v>517.64</v>
      </c>
      <c r="L6" s="31">
        <v>515.30999999999995</v>
      </c>
      <c r="M6" s="31">
        <v>520.66</v>
      </c>
      <c r="N6" s="17">
        <v>512.60416666666663</v>
      </c>
      <c r="O6" s="171"/>
    </row>
    <row r="7" spans="1:15" x14ac:dyDescent="0.3">
      <c r="A7" s="25">
        <v>1993</v>
      </c>
      <c r="B7" s="31">
        <v>516.30999999999995</v>
      </c>
      <c r="C7" s="31">
        <v>513.85</v>
      </c>
      <c r="D7" s="31">
        <v>513.15</v>
      </c>
      <c r="E7" s="31">
        <v>517.47</v>
      </c>
      <c r="F7" s="31">
        <v>511.27</v>
      </c>
      <c r="G7" s="31">
        <v>517.71</v>
      </c>
      <c r="H7" s="31">
        <v>523.1</v>
      </c>
      <c r="I7" s="31">
        <v>524.42999999999995</v>
      </c>
      <c r="J7" s="31">
        <v>523.03</v>
      </c>
      <c r="K7" s="31">
        <v>521.83000000000004</v>
      </c>
      <c r="L7" s="31">
        <v>518</v>
      </c>
      <c r="M7" s="31">
        <v>523.26</v>
      </c>
      <c r="N7" s="17">
        <v>518.61749999999995</v>
      </c>
      <c r="O7" s="171"/>
    </row>
    <row r="8" spans="1:15" x14ac:dyDescent="0.3">
      <c r="A8" s="25">
        <v>1994</v>
      </c>
      <c r="B8" s="31">
        <v>520.39</v>
      </c>
      <c r="C8" s="31">
        <v>516.35</v>
      </c>
      <c r="D8" s="31">
        <v>524.16</v>
      </c>
      <c r="E8" s="31">
        <v>522.94000000000005</v>
      </c>
      <c r="F8" s="31">
        <v>520.11</v>
      </c>
      <c r="G8" s="31">
        <v>532.5</v>
      </c>
      <c r="H8" s="31">
        <v>529.70000000000005</v>
      </c>
      <c r="I8" s="31">
        <v>525.46</v>
      </c>
      <c r="J8" s="31">
        <v>531.21</v>
      </c>
      <c r="K8" s="31">
        <v>527.45000000000005</v>
      </c>
      <c r="L8" s="31">
        <v>532.32000000000005</v>
      </c>
      <c r="M8" s="31">
        <v>531.44000000000005</v>
      </c>
      <c r="N8" s="17">
        <v>526.16916666666668</v>
      </c>
      <c r="O8" s="171"/>
    </row>
    <row r="9" spans="1:15" x14ac:dyDescent="0.3">
      <c r="A9" s="25">
        <v>1995</v>
      </c>
      <c r="B9" s="31">
        <v>519.95000000000005</v>
      </c>
      <c r="C9" s="31">
        <v>521.69000000000005</v>
      </c>
      <c r="D9" s="31">
        <v>530.03</v>
      </c>
      <c r="E9" s="31">
        <v>523.99</v>
      </c>
      <c r="F9" s="31">
        <v>524.66</v>
      </c>
      <c r="G9" s="31">
        <v>536.27</v>
      </c>
      <c r="H9" s="31">
        <v>535.84</v>
      </c>
      <c r="I9" s="31">
        <v>532.84</v>
      </c>
      <c r="J9" s="31">
        <v>535.34</v>
      </c>
      <c r="K9" s="31">
        <v>536.46</v>
      </c>
      <c r="L9" s="31">
        <v>531.83000000000004</v>
      </c>
      <c r="M9" s="31">
        <v>536.41999999999996</v>
      </c>
      <c r="N9" s="17">
        <v>530.44333333333327</v>
      </c>
      <c r="O9" s="171"/>
    </row>
    <row r="10" spans="1:15" x14ac:dyDescent="0.3">
      <c r="A10" s="25">
        <v>1996</v>
      </c>
      <c r="B10" s="31">
        <v>530.14</v>
      </c>
      <c r="C10" s="31">
        <v>529.6</v>
      </c>
      <c r="D10" s="31">
        <v>537.01</v>
      </c>
      <c r="E10" s="31">
        <v>531.4</v>
      </c>
      <c r="F10" s="31">
        <v>540.84</v>
      </c>
      <c r="G10" s="31">
        <v>547.82000000000005</v>
      </c>
      <c r="H10" s="31">
        <v>533.01</v>
      </c>
      <c r="I10" s="31">
        <v>543.79</v>
      </c>
      <c r="J10" s="31">
        <v>539.14</v>
      </c>
      <c r="K10" s="31">
        <v>551.88</v>
      </c>
      <c r="L10" s="31">
        <v>545.34</v>
      </c>
      <c r="M10" s="31">
        <v>546.27</v>
      </c>
      <c r="N10" s="17">
        <v>539.68666666666684</v>
      </c>
      <c r="O10" s="171"/>
    </row>
    <row r="11" spans="1:15" x14ac:dyDescent="0.3">
      <c r="A11" s="25">
        <v>1997</v>
      </c>
      <c r="B11" s="31">
        <v>543.42999999999995</v>
      </c>
      <c r="C11" s="31">
        <v>540.6</v>
      </c>
      <c r="D11" s="31">
        <v>546.21</v>
      </c>
      <c r="E11" s="31">
        <v>548.79999999999995</v>
      </c>
      <c r="F11" s="31">
        <v>547.44000000000005</v>
      </c>
      <c r="G11" s="31">
        <v>550.9</v>
      </c>
      <c r="H11" s="31">
        <v>557.99</v>
      </c>
      <c r="I11" s="31">
        <v>556.92999999999995</v>
      </c>
      <c r="J11" s="31">
        <v>547.64</v>
      </c>
      <c r="K11" s="31">
        <v>556.07000000000005</v>
      </c>
      <c r="L11" s="31">
        <v>551.01</v>
      </c>
      <c r="M11" s="31">
        <v>554.35</v>
      </c>
      <c r="N11" s="17">
        <v>550.11416666666673</v>
      </c>
      <c r="O11" s="171"/>
    </row>
    <row r="12" spans="1:15" x14ac:dyDescent="0.3">
      <c r="A12" s="25">
        <v>1998</v>
      </c>
      <c r="B12" s="31">
        <v>556.08000000000004</v>
      </c>
      <c r="C12" s="31">
        <v>562.20000000000005</v>
      </c>
      <c r="D12" s="31">
        <v>556.92999999999995</v>
      </c>
      <c r="E12" s="31">
        <v>557.32000000000005</v>
      </c>
      <c r="F12" s="31">
        <v>565.88</v>
      </c>
      <c r="G12" s="31">
        <v>567.1</v>
      </c>
      <c r="H12" s="31">
        <v>571.71</v>
      </c>
      <c r="I12" s="31">
        <v>570.51</v>
      </c>
      <c r="J12" s="31">
        <v>566.58000000000004</v>
      </c>
      <c r="K12" s="31">
        <v>569.54</v>
      </c>
      <c r="L12" s="31">
        <v>564.32000000000005</v>
      </c>
      <c r="M12" s="31">
        <v>566.67999999999995</v>
      </c>
      <c r="N12" s="17">
        <v>564.57083333333333</v>
      </c>
      <c r="O12" s="171"/>
    </row>
    <row r="13" spans="1:15" x14ac:dyDescent="0.3">
      <c r="A13" s="25">
        <v>1999</v>
      </c>
      <c r="B13" s="31">
        <v>560.12</v>
      </c>
      <c r="C13" s="31">
        <v>562.02</v>
      </c>
      <c r="D13" s="31">
        <v>559.17999999999995</v>
      </c>
      <c r="E13" s="31">
        <v>564.25</v>
      </c>
      <c r="F13" s="31">
        <v>562.16999999999996</v>
      </c>
      <c r="G13" s="31">
        <v>566.98</v>
      </c>
      <c r="H13" s="31">
        <v>571.29</v>
      </c>
      <c r="I13" s="31">
        <v>566.6</v>
      </c>
      <c r="J13" s="31">
        <v>560.64</v>
      </c>
      <c r="K13" s="31">
        <v>564.6</v>
      </c>
      <c r="L13" s="31">
        <v>565.82000000000005</v>
      </c>
      <c r="M13" s="31">
        <v>574.76</v>
      </c>
      <c r="N13" s="17">
        <v>564.86916666666673</v>
      </c>
      <c r="O13" s="171"/>
    </row>
    <row r="14" spans="1:15" x14ac:dyDescent="0.3">
      <c r="A14" s="25">
        <v>2000</v>
      </c>
      <c r="B14" s="31">
        <v>574.22</v>
      </c>
      <c r="C14" s="31">
        <v>576.91999999999996</v>
      </c>
      <c r="D14" s="31">
        <v>580.02</v>
      </c>
      <c r="E14" s="31">
        <v>580.09</v>
      </c>
      <c r="F14" s="31">
        <v>585.6</v>
      </c>
      <c r="G14" s="31">
        <v>591.21</v>
      </c>
      <c r="H14" s="31">
        <v>588.27</v>
      </c>
      <c r="I14" s="31">
        <v>588.80999999999995</v>
      </c>
      <c r="J14" s="31">
        <v>588.76</v>
      </c>
      <c r="K14" s="31">
        <v>585.24</v>
      </c>
      <c r="L14" s="31">
        <v>584.35</v>
      </c>
      <c r="M14" s="31">
        <v>588.5</v>
      </c>
      <c r="N14" s="17">
        <v>584.33249999999998</v>
      </c>
      <c r="O14" s="171"/>
    </row>
    <row r="15" spans="1:15" x14ac:dyDescent="0.3">
      <c r="A15" s="25">
        <v>2001</v>
      </c>
      <c r="B15" s="31">
        <v>577.69000000000005</v>
      </c>
      <c r="C15" s="31">
        <v>578.78</v>
      </c>
      <c r="D15" s="31">
        <v>579.96</v>
      </c>
      <c r="E15" s="31">
        <v>579.38</v>
      </c>
      <c r="F15" s="31">
        <v>580.27</v>
      </c>
      <c r="G15" s="31">
        <v>585.04</v>
      </c>
      <c r="H15" s="31">
        <v>587.57000000000005</v>
      </c>
      <c r="I15" s="31">
        <v>593.59</v>
      </c>
      <c r="J15" s="31">
        <v>590.02</v>
      </c>
      <c r="K15" s="31">
        <v>588.88</v>
      </c>
      <c r="L15" s="31">
        <v>586.14</v>
      </c>
      <c r="M15" s="31">
        <v>590.16999999999996</v>
      </c>
      <c r="N15" s="17">
        <f>AVERAGE(B15:M15)</f>
        <v>584.79083333333335</v>
      </c>
      <c r="O15" s="171"/>
    </row>
    <row r="16" spans="1:15" x14ac:dyDescent="0.3">
      <c r="A16" s="25">
        <v>2002</v>
      </c>
      <c r="B16" s="31">
        <v>590.66</v>
      </c>
      <c r="C16" s="31">
        <v>592.36</v>
      </c>
      <c r="D16" s="31">
        <v>595.35</v>
      </c>
      <c r="E16" s="31">
        <v>602.49</v>
      </c>
      <c r="F16" s="31">
        <v>602.88</v>
      </c>
      <c r="G16" s="31">
        <v>602.83000000000004</v>
      </c>
      <c r="H16" s="31">
        <v>609.84</v>
      </c>
      <c r="I16" s="31">
        <v>603.82000000000005</v>
      </c>
      <c r="J16" s="31">
        <v>605.66</v>
      </c>
      <c r="K16" s="31">
        <v>608.33000000000004</v>
      </c>
      <c r="L16" s="31">
        <v>617.27</v>
      </c>
      <c r="M16" s="31">
        <v>620.48</v>
      </c>
      <c r="N16" s="17">
        <f t="shared" ref="N16:N35" si="0">AVERAGE(B16:M16)</f>
        <v>604.33083333333332</v>
      </c>
      <c r="O16" s="171"/>
    </row>
    <row r="17" spans="1:15" x14ac:dyDescent="0.3">
      <c r="A17" s="25">
        <v>2003</v>
      </c>
      <c r="B17" s="31">
        <v>614.79</v>
      </c>
      <c r="C17" s="31">
        <v>616.35</v>
      </c>
      <c r="D17" s="31">
        <v>615.65</v>
      </c>
      <c r="E17" s="31">
        <v>617.16</v>
      </c>
      <c r="F17" s="31">
        <v>613.26</v>
      </c>
      <c r="G17" s="31">
        <v>618.47</v>
      </c>
      <c r="H17" s="31">
        <v>618.07000000000005</v>
      </c>
      <c r="I17" s="31">
        <v>621.30999999999995</v>
      </c>
      <c r="J17" s="31">
        <v>625.6</v>
      </c>
      <c r="K17" s="31">
        <v>624.41</v>
      </c>
      <c r="L17" s="31">
        <v>626.27</v>
      </c>
      <c r="M17" s="31">
        <v>628.39</v>
      </c>
      <c r="N17" s="17">
        <f t="shared" si="0"/>
        <v>619.97750000000008</v>
      </c>
      <c r="O17" s="171"/>
    </row>
    <row r="18" spans="1:15" x14ac:dyDescent="0.3">
      <c r="A18" s="25">
        <v>2004</v>
      </c>
      <c r="B18" s="31">
        <v>630.23</v>
      </c>
      <c r="C18" s="31">
        <v>631.46</v>
      </c>
      <c r="D18" s="31">
        <v>630.04999999999995</v>
      </c>
      <c r="E18" s="31">
        <v>630.45000000000005</v>
      </c>
      <c r="F18" s="31">
        <v>639.54999999999995</v>
      </c>
      <c r="G18" s="31">
        <v>630.79999999999995</v>
      </c>
      <c r="H18" s="31">
        <v>634.47</v>
      </c>
      <c r="I18" s="31">
        <v>638.73</v>
      </c>
      <c r="J18" s="31">
        <v>639.52</v>
      </c>
      <c r="K18" s="31">
        <v>648.71</v>
      </c>
      <c r="L18" s="31">
        <v>648.54999999999995</v>
      </c>
      <c r="M18" s="31">
        <v>645.27</v>
      </c>
      <c r="N18" s="17">
        <f t="shared" si="0"/>
        <v>637.31583333333344</v>
      </c>
      <c r="O18" s="171"/>
    </row>
    <row r="19" spans="1:15" x14ac:dyDescent="0.3">
      <c r="A19" s="25">
        <v>2005</v>
      </c>
      <c r="B19" s="31">
        <v>657.8</v>
      </c>
      <c r="C19" s="31">
        <v>656.6</v>
      </c>
      <c r="D19" s="31">
        <v>660.09</v>
      </c>
      <c r="E19" s="31">
        <v>657.46</v>
      </c>
      <c r="F19" s="31">
        <v>665.2</v>
      </c>
      <c r="G19" s="31">
        <v>670.1</v>
      </c>
      <c r="H19" s="31">
        <v>666.94</v>
      </c>
      <c r="I19" s="31">
        <v>672.51</v>
      </c>
      <c r="J19" s="31">
        <v>675.9</v>
      </c>
      <c r="K19" s="31">
        <v>674.14</v>
      </c>
      <c r="L19" s="31">
        <v>671.47</v>
      </c>
      <c r="M19" s="31">
        <v>668.7</v>
      </c>
      <c r="N19" s="17">
        <f t="shared" si="0"/>
        <v>666.40916666666669</v>
      </c>
    </row>
    <row r="20" spans="1:15" x14ac:dyDescent="0.3">
      <c r="A20" s="25">
        <v>2006</v>
      </c>
      <c r="B20" s="31">
        <v>673.65</v>
      </c>
      <c r="C20" s="31">
        <v>673.3</v>
      </c>
      <c r="D20" s="31">
        <v>675.69</v>
      </c>
      <c r="E20" s="31">
        <v>679.91</v>
      </c>
      <c r="F20" s="31">
        <v>677.7</v>
      </c>
      <c r="G20" s="31">
        <v>686.68</v>
      </c>
      <c r="H20" s="31">
        <v>686.85</v>
      </c>
      <c r="I20" s="31">
        <v>686.05</v>
      </c>
      <c r="J20" s="31">
        <v>691.44</v>
      </c>
      <c r="K20" s="31">
        <v>691.72</v>
      </c>
      <c r="L20" s="31">
        <v>696.21</v>
      </c>
      <c r="M20" s="31">
        <v>711.87</v>
      </c>
      <c r="N20" s="17">
        <f t="shared" si="0"/>
        <v>685.92250000000013</v>
      </c>
    </row>
    <row r="21" spans="1:15" x14ac:dyDescent="0.3">
      <c r="A21" s="7">
        <v>2007</v>
      </c>
      <c r="B21" s="31">
        <v>708.61</v>
      </c>
      <c r="C21" s="31">
        <v>711.38</v>
      </c>
      <c r="D21" s="31">
        <v>721.01</v>
      </c>
      <c r="E21" s="31">
        <v>722.25</v>
      </c>
      <c r="F21" s="31">
        <v>721.94</v>
      </c>
      <c r="G21" s="31">
        <v>728.02</v>
      </c>
      <c r="H21" s="31">
        <v>727.72</v>
      </c>
      <c r="I21" s="31">
        <v>728.53</v>
      </c>
      <c r="J21" s="31">
        <v>727.33</v>
      </c>
      <c r="K21" s="31">
        <v>732.32</v>
      </c>
      <c r="L21" s="31">
        <v>740.57</v>
      </c>
      <c r="M21" s="31">
        <v>734.58</v>
      </c>
      <c r="N21" s="17">
        <f t="shared" si="0"/>
        <v>725.35500000000002</v>
      </c>
    </row>
    <row r="22" spans="1:15" x14ac:dyDescent="0.3">
      <c r="A22" s="7">
        <v>2008</v>
      </c>
      <c r="B22" s="31">
        <v>731.54</v>
      </c>
      <c r="C22" s="31">
        <v>742.96</v>
      </c>
      <c r="D22" s="31">
        <v>740.59</v>
      </c>
      <c r="E22" s="31">
        <v>747.95</v>
      </c>
      <c r="F22" s="31">
        <v>749.49</v>
      </c>
      <c r="G22" s="31">
        <v>743.97</v>
      </c>
      <c r="H22" s="31">
        <v>744.84</v>
      </c>
      <c r="I22" s="31">
        <v>748.41</v>
      </c>
      <c r="J22" s="31">
        <v>745.76</v>
      </c>
      <c r="K22" s="31">
        <v>748.05</v>
      </c>
      <c r="L22" s="31">
        <v>751.59</v>
      </c>
      <c r="M22" s="31">
        <v>755.76</v>
      </c>
      <c r="N22" s="17">
        <f t="shared" si="0"/>
        <v>745.90916666666669</v>
      </c>
    </row>
    <row r="23" spans="1:15" x14ac:dyDescent="0.3">
      <c r="A23" s="7">
        <v>2009</v>
      </c>
      <c r="B23" s="31">
        <v>764.68</v>
      </c>
      <c r="C23" s="31">
        <v>761.48</v>
      </c>
      <c r="D23" s="31">
        <v>764.15</v>
      </c>
      <c r="E23" s="31">
        <v>760.26</v>
      </c>
      <c r="F23" s="31">
        <v>756.29</v>
      </c>
      <c r="G23" s="31">
        <v>760.24</v>
      </c>
      <c r="H23" s="31">
        <v>769.11</v>
      </c>
      <c r="I23" s="31">
        <v>765.73</v>
      </c>
      <c r="J23" s="31">
        <v>774.43</v>
      </c>
      <c r="K23" s="31">
        <v>776.28</v>
      </c>
      <c r="L23" s="31">
        <v>770.52</v>
      </c>
      <c r="M23" s="31">
        <v>768.94</v>
      </c>
      <c r="N23" s="17">
        <f t="shared" si="0"/>
        <v>766.0091666666666</v>
      </c>
    </row>
    <row r="24" spans="1:15" x14ac:dyDescent="0.3">
      <c r="A24" s="7">
        <v>2010</v>
      </c>
      <c r="B24" s="31">
        <v>762.81</v>
      </c>
      <c r="C24" s="31">
        <v>774.8</v>
      </c>
      <c r="D24" s="31">
        <v>770.4</v>
      </c>
      <c r="E24" s="31">
        <v>775.42</v>
      </c>
      <c r="F24" s="31">
        <v>779.3</v>
      </c>
      <c r="G24" s="31">
        <v>778.42</v>
      </c>
      <c r="H24" s="31">
        <v>783.94</v>
      </c>
      <c r="I24" s="31">
        <v>782.79</v>
      </c>
      <c r="J24" s="31">
        <v>791.25</v>
      </c>
      <c r="K24" s="31">
        <v>790.96</v>
      </c>
      <c r="L24" s="31">
        <v>791.49</v>
      </c>
      <c r="M24" s="31">
        <v>797.56</v>
      </c>
      <c r="N24" s="17">
        <f t="shared" si="0"/>
        <v>781.59499999999991</v>
      </c>
    </row>
    <row r="25" spans="1:15" x14ac:dyDescent="0.3">
      <c r="A25" s="7">
        <v>2011</v>
      </c>
      <c r="B25" s="31">
        <v>798.67</v>
      </c>
      <c r="C25" s="31">
        <v>799.47</v>
      </c>
      <c r="D25" s="31">
        <v>798.88</v>
      </c>
      <c r="E25" s="31">
        <v>798.62</v>
      </c>
      <c r="F25" s="31">
        <v>806.06</v>
      </c>
      <c r="G25" s="31">
        <v>805.63</v>
      </c>
      <c r="H25" s="31">
        <v>798.53</v>
      </c>
      <c r="I25" s="31">
        <v>806.55</v>
      </c>
      <c r="J25" s="31">
        <v>800.73</v>
      </c>
      <c r="K25" s="31">
        <v>804.47</v>
      </c>
      <c r="L25" s="31">
        <v>805.25</v>
      </c>
      <c r="M25" s="31">
        <v>797.66</v>
      </c>
      <c r="N25" s="17">
        <f t="shared" si="0"/>
        <v>801.71</v>
      </c>
    </row>
    <row r="26" spans="1:15" x14ac:dyDescent="0.3">
      <c r="A26" s="7">
        <v>2012</v>
      </c>
      <c r="B26" s="31">
        <v>815.32</v>
      </c>
      <c r="C26" s="31">
        <v>808.03</v>
      </c>
      <c r="D26" s="31">
        <v>818.09</v>
      </c>
      <c r="E26" s="31">
        <v>817.43</v>
      </c>
      <c r="F26" s="31">
        <v>820.83</v>
      </c>
      <c r="G26" s="31">
        <v>820.36</v>
      </c>
      <c r="H26" s="31">
        <v>827.47</v>
      </c>
      <c r="I26" s="31">
        <v>833.27</v>
      </c>
      <c r="J26" s="31">
        <v>835.63</v>
      </c>
      <c r="K26" s="31">
        <v>831.01</v>
      </c>
      <c r="L26" s="31">
        <v>827.81</v>
      </c>
      <c r="M26" s="31">
        <v>828.27</v>
      </c>
      <c r="N26" s="17">
        <f t="shared" si="0"/>
        <v>823.62666666666655</v>
      </c>
    </row>
    <row r="27" spans="1:15" x14ac:dyDescent="0.3">
      <c r="A27" s="7">
        <v>2013</v>
      </c>
      <c r="B27" s="31">
        <v>827.46</v>
      </c>
      <c r="C27" s="31">
        <v>818.64</v>
      </c>
      <c r="D27" s="31">
        <v>824.22</v>
      </c>
      <c r="E27" s="31">
        <v>823.94</v>
      </c>
      <c r="F27" s="31">
        <v>821.56</v>
      </c>
      <c r="G27" s="31">
        <v>826.28</v>
      </c>
      <c r="H27" s="31">
        <v>825.68</v>
      </c>
      <c r="I27" s="31">
        <v>823.58</v>
      </c>
      <c r="J27" s="31">
        <v>825.4</v>
      </c>
      <c r="K27" s="31">
        <v>827.41</v>
      </c>
      <c r="L27" s="31">
        <v>843.03</v>
      </c>
      <c r="M27" s="31">
        <v>852.52</v>
      </c>
      <c r="N27" s="17">
        <f t="shared" si="0"/>
        <v>828.31000000000006</v>
      </c>
    </row>
    <row r="28" spans="1:15" x14ac:dyDescent="0.3">
      <c r="A28" s="7">
        <v>2014</v>
      </c>
      <c r="B28" s="31">
        <v>843.44</v>
      </c>
      <c r="C28" s="31">
        <v>853.41</v>
      </c>
      <c r="D28" s="31">
        <v>857.67</v>
      </c>
      <c r="E28" s="31">
        <v>862.35</v>
      </c>
      <c r="F28" s="31">
        <v>858.41</v>
      </c>
      <c r="G28" s="31">
        <v>863.86</v>
      </c>
      <c r="H28" s="31">
        <v>865.93</v>
      </c>
      <c r="I28" s="31">
        <v>870.54</v>
      </c>
      <c r="J28" s="31">
        <v>871.56</v>
      </c>
      <c r="K28" s="31">
        <v>874.52</v>
      </c>
      <c r="L28" s="31">
        <v>868.74</v>
      </c>
      <c r="M28" s="31">
        <v>867.78</v>
      </c>
      <c r="N28" s="17">
        <f t="shared" si="0"/>
        <v>863.18416666666678</v>
      </c>
    </row>
    <row r="29" spans="1:15" x14ac:dyDescent="0.3">
      <c r="A29" s="7">
        <v>2015</v>
      </c>
      <c r="B29" s="31">
        <v>876.36</v>
      </c>
      <c r="C29" s="31">
        <v>872.5</v>
      </c>
      <c r="D29" s="31">
        <v>865.04</v>
      </c>
      <c r="E29" s="31">
        <v>868.12</v>
      </c>
      <c r="F29" s="31">
        <v>878.88</v>
      </c>
      <c r="G29" s="31">
        <v>882.07</v>
      </c>
      <c r="H29" s="31">
        <v>888.06</v>
      </c>
      <c r="I29" s="31">
        <v>879.29</v>
      </c>
      <c r="J29" s="31">
        <v>881.25</v>
      </c>
      <c r="K29" s="31">
        <v>892.69</v>
      </c>
      <c r="L29" s="31">
        <v>882.54</v>
      </c>
      <c r="M29" s="31">
        <v>893.36</v>
      </c>
      <c r="N29" s="17">
        <f t="shared" si="0"/>
        <v>880.01333333333332</v>
      </c>
    </row>
    <row r="30" spans="1:15" x14ac:dyDescent="0.3">
      <c r="A30" s="7">
        <v>2016</v>
      </c>
      <c r="B30" s="31">
        <v>879.24</v>
      </c>
      <c r="C30" s="31">
        <v>886.84</v>
      </c>
      <c r="D30" s="31">
        <v>885.64</v>
      </c>
      <c r="E30" s="31">
        <v>884.63</v>
      </c>
      <c r="F30" s="31">
        <v>885.78</v>
      </c>
      <c r="G30" s="31">
        <v>892.75</v>
      </c>
      <c r="H30" s="31">
        <v>886.62</v>
      </c>
      <c r="I30" s="31">
        <v>888.41</v>
      </c>
      <c r="J30" s="31">
        <v>886.78</v>
      </c>
      <c r="K30" s="31">
        <v>886.88</v>
      </c>
      <c r="L30" s="31">
        <v>898.26</v>
      </c>
      <c r="M30" s="31">
        <v>896.62</v>
      </c>
      <c r="N30" s="17">
        <f t="shared" si="0"/>
        <v>888.20416666666677</v>
      </c>
    </row>
    <row r="31" spans="1:15" x14ac:dyDescent="0.3">
      <c r="A31" s="7">
        <v>2017</v>
      </c>
      <c r="B31" s="31">
        <v>902.09</v>
      </c>
      <c r="C31" s="31">
        <v>905.34</v>
      </c>
      <c r="D31" s="31">
        <v>906.12</v>
      </c>
      <c r="E31" s="31">
        <v>920.8</v>
      </c>
      <c r="F31" s="31">
        <v>907.98</v>
      </c>
      <c r="G31" s="31">
        <v>896.12</v>
      </c>
      <c r="H31" s="31">
        <v>904.91</v>
      </c>
      <c r="I31" s="31">
        <v>913.5</v>
      </c>
      <c r="J31" s="31">
        <v>917.39</v>
      </c>
      <c r="K31" s="31">
        <v>909.06</v>
      </c>
      <c r="L31" s="31">
        <v>917.15</v>
      </c>
      <c r="M31" s="31">
        <v>923.63</v>
      </c>
      <c r="N31" s="17">
        <f t="shared" si="0"/>
        <v>910.34083333333319</v>
      </c>
    </row>
    <row r="32" spans="1:15" x14ac:dyDescent="0.3">
      <c r="A32" s="7">
        <v>2018</v>
      </c>
      <c r="B32" s="31">
        <v>922.94</v>
      </c>
      <c r="C32" s="31">
        <v>927.4</v>
      </c>
      <c r="D32" s="31">
        <v>930.23</v>
      </c>
      <c r="E32" s="31">
        <v>935.97</v>
      </c>
      <c r="F32" s="31">
        <v>937.32</v>
      </c>
      <c r="G32" s="31">
        <v>944.53</v>
      </c>
      <c r="H32" s="31">
        <v>938.92</v>
      </c>
      <c r="I32" s="31">
        <v>944.17</v>
      </c>
      <c r="J32" s="31">
        <v>934.2</v>
      </c>
      <c r="K32" s="31">
        <v>939.2</v>
      </c>
      <c r="L32" s="31">
        <v>942</v>
      </c>
      <c r="M32" s="31">
        <v>941.27</v>
      </c>
      <c r="N32" s="17">
        <f t="shared" si="0"/>
        <v>936.51250000000016</v>
      </c>
    </row>
    <row r="33" spans="1:14" x14ac:dyDescent="0.3">
      <c r="A33" s="7">
        <v>2019</v>
      </c>
      <c r="B33" s="31">
        <v>955.54</v>
      </c>
      <c r="C33" s="31">
        <v>953.26</v>
      </c>
      <c r="D33" s="31">
        <v>958.05</v>
      </c>
      <c r="E33" s="31">
        <v>943.71</v>
      </c>
      <c r="F33" s="31">
        <v>951.51</v>
      </c>
      <c r="G33" s="31">
        <v>948.18</v>
      </c>
      <c r="H33" s="31">
        <v>950.64</v>
      </c>
      <c r="I33" s="31">
        <v>947.25</v>
      </c>
      <c r="J33" s="31">
        <v>961.45</v>
      </c>
      <c r="K33" s="31">
        <v>964.9</v>
      </c>
      <c r="L33" s="31">
        <v>957.67</v>
      </c>
      <c r="M33" s="31">
        <v>953.63</v>
      </c>
      <c r="N33" s="17">
        <f t="shared" si="0"/>
        <v>953.81583333333322</v>
      </c>
    </row>
    <row r="34" spans="1:14" x14ac:dyDescent="0.3">
      <c r="A34" s="7">
        <v>2020</v>
      </c>
      <c r="B34" s="31">
        <v>952.21</v>
      </c>
      <c r="C34" s="31">
        <v>957.54</v>
      </c>
      <c r="D34" s="31">
        <v>937.47</v>
      </c>
      <c r="E34" s="31">
        <v>1034.46</v>
      </c>
      <c r="F34" s="31">
        <v>1039.3599999999999</v>
      </c>
      <c r="G34" s="31">
        <v>1005.77</v>
      </c>
      <c r="H34" s="31">
        <v>1003.99</v>
      </c>
      <c r="I34" s="31">
        <v>989.16</v>
      </c>
      <c r="J34" s="31">
        <v>990.11</v>
      </c>
      <c r="K34" s="31">
        <v>992.23</v>
      </c>
      <c r="L34" s="31">
        <v>1001.38</v>
      </c>
      <c r="M34" s="31">
        <v>1019.06</v>
      </c>
      <c r="N34" s="17">
        <f t="shared" si="0"/>
        <v>993.5616666666665</v>
      </c>
    </row>
    <row r="35" spans="1:14" x14ac:dyDescent="0.3">
      <c r="A35" s="7">
        <v>2021</v>
      </c>
      <c r="B35" s="31">
        <v>1027.47</v>
      </c>
      <c r="C35" s="31">
        <v>1026.56</v>
      </c>
      <c r="D35" s="31">
        <v>1004.02</v>
      </c>
      <c r="E35" s="31">
        <v>1020.51</v>
      </c>
      <c r="F35" s="31">
        <v>1034.67</v>
      </c>
      <c r="G35" s="31">
        <v>1025.54</v>
      </c>
      <c r="H35" s="31">
        <v>1022.13</v>
      </c>
      <c r="I35" s="31">
        <v>1015.99</v>
      </c>
      <c r="J35" s="31">
        <v>1025.25</v>
      </c>
      <c r="K35" s="31">
        <v>1044.68</v>
      </c>
      <c r="L35" s="31"/>
      <c r="M35" s="31"/>
      <c r="N35" s="17">
        <f t="shared" si="0"/>
        <v>1024.682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4"/>
  <dimension ref="A1:O35"/>
  <sheetViews>
    <sheetView workbookViewId="0">
      <pane xSplit="1" ySplit="4" topLeftCell="B23" activePane="bottomRight" state="frozen"/>
      <selection activeCell="B35" sqref="B35"/>
      <selection pane="topRight" activeCell="B35" sqref="B35"/>
      <selection pane="bottomLeft" activeCell="B35" sqref="B35"/>
      <selection pane="bottomRight" activeCell="L35" sqref="L35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70</v>
      </c>
      <c r="B1" s="1"/>
      <c r="C1" s="1"/>
    </row>
    <row r="2" spans="1:15" x14ac:dyDescent="0.3">
      <c r="A2" s="161"/>
      <c r="B2" s="45">
        <v>9</v>
      </c>
      <c r="C2" s="162" t="s">
        <v>154</v>
      </c>
    </row>
    <row r="3" spans="1:15" s="1" customFormat="1" x14ac:dyDescent="0.3">
      <c r="A3" s="1" t="s">
        <v>117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494.36</v>
      </c>
      <c r="C5" s="31">
        <v>491.91</v>
      </c>
      <c r="D5" s="31">
        <v>493.95</v>
      </c>
      <c r="E5" s="31">
        <v>499.91</v>
      </c>
      <c r="F5" s="31">
        <v>500.18</v>
      </c>
      <c r="G5" s="31">
        <v>504.78</v>
      </c>
      <c r="H5" s="31">
        <v>504.21</v>
      </c>
      <c r="I5" s="31">
        <v>508.16</v>
      </c>
      <c r="J5" s="31">
        <v>511.66</v>
      </c>
      <c r="K5" s="31">
        <v>513.98</v>
      </c>
      <c r="L5" s="31">
        <v>511.78</v>
      </c>
      <c r="M5" s="31">
        <v>510.61</v>
      </c>
      <c r="N5" s="17">
        <v>503.7908333333333</v>
      </c>
      <c r="O5" s="171"/>
    </row>
    <row r="6" spans="1:15" x14ac:dyDescent="0.3">
      <c r="A6" s="25">
        <v>1992</v>
      </c>
      <c r="B6" s="31">
        <v>513.07000000000005</v>
      </c>
      <c r="C6" s="31">
        <v>514.12</v>
      </c>
      <c r="D6" s="31">
        <v>511.42</v>
      </c>
      <c r="E6" s="31">
        <v>509.21</v>
      </c>
      <c r="F6" s="31">
        <v>511.68</v>
      </c>
      <c r="G6" s="31">
        <v>509.09</v>
      </c>
      <c r="H6" s="31">
        <v>506.98</v>
      </c>
      <c r="I6" s="31">
        <v>501.53</v>
      </c>
      <c r="J6" s="31">
        <v>512.33000000000004</v>
      </c>
      <c r="K6" s="31">
        <v>511.44</v>
      </c>
      <c r="L6" s="31">
        <v>511.36</v>
      </c>
      <c r="M6" s="31">
        <v>513.94000000000005</v>
      </c>
      <c r="N6" s="17">
        <v>510.51416666666665</v>
      </c>
      <c r="O6" s="171"/>
    </row>
    <row r="7" spans="1:15" x14ac:dyDescent="0.3">
      <c r="A7" s="25">
        <v>1993</v>
      </c>
      <c r="B7" s="31">
        <v>517.01</v>
      </c>
      <c r="C7" s="31">
        <v>515.19000000000005</v>
      </c>
      <c r="D7" s="31">
        <v>516.66</v>
      </c>
      <c r="E7" s="31">
        <v>518.23</v>
      </c>
      <c r="F7" s="31">
        <v>515.39</v>
      </c>
      <c r="G7" s="31">
        <v>512.66999999999996</v>
      </c>
      <c r="H7" s="31">
        <v>515.70000000000005</v>
      </c>
      <c r="I7" s="31">
        <v>515.30999999999995</v>
      </c>
      <c r="J7" s="31">
        <v>510.96</v>
      </c>
      <c r="K7" s="31">
        <v>512.30999999999995</v>
      </c>
      <c r="L7" s="31">
        <v>515.03</v>
      </c>
      <c r="M7" s="31">
        <v>516.42999999999995</v>
      </c>
      <c r="N7" s="17">
        <v>515.07416666666666</v>
      </c>
      <c r="O7" s="171"/>
    </row>
    <row r="8" spans="1:15" x14ac:dyDescent="0.3">
      <c r="A8" s="25">
        <v>1994</v>
      </c>
      <c r="B8" s="31">
        <v>514.87</v>
      </c>
      <c r="C8" s="31">
        <v>512.82000000000005</v>
      </c>
      <c r="D8" s="31">
        <v>526.42999999999995</v>
      </c>
      <c r="E8" s="31">
        <v>534.19000000000005</v>
      </c>
      <c r="F8" s="31">
        <v>530.88</v>
      </c>
      <c r="G8" s="31">
        <v>535.89</v>
      </c>
      <c r="H8" s="31">
        <v>537.71</v>
      </c>
      <c r="I8" s="31">
        <v>535.30999999999995</v>
      </c>
      <c r="J8" s="31">
        <v>534.16</v>
      </c>
      <c r="K8" s="31">
        <v>532.04</v>
      </c>
      <c r="L8" s="31">
        <v>536.65</v>
      </c>
      <c r="M8" s="31">
        <v>531.30999999999995</v>
      </c>
      <c r="N8" s="17">
        <v>530.18833333333339</v>
      </c>
      <c r="O8" s="171"/>
    </row>
    <row r="9" spans="1:15" x14ac:dyDescent="0.3">
      <c r="A9" s="25">
        <v>1995</v>
      </c>
      <c r="B9" s="31">
        <v>531.49</v>
      </c>
      <c r="C9" s="31">
        <v>530.36</v>
      </c>
      <c r="D9" s="31">
        <v>526.66999999999996</v>
      </c>
      <c r="E9" s="31">
        <v>525.71</v>
      </c>
      <c r="F9" s="31">
        <v>528.20000000000005</v>
      </c>
      <c r="G9" s="31">
        <v>533.96</v>
      </c>
      <c r="H9" s="31">
        <v>531.5</v>
      </c>
      <c r="I9" s="31">
        <v>532.45000000000005</v>
      </c>
      <c r="J9" s="31">
        <v>535.98</v>
      </c>
      <c r="K9" s="31">
        <v>533.91999999999996</v>
      </c>
      <c r="L9" s="31">
        <v>531.83000000000004</v>
      </c>
      <c r="M9" s="31">
        <v>535.98</v>
      </c>
      <c r="N9" s="17">
        <v>531.50416666666661</v>
      </c>
      <c r="O9" s="171"/>
    </row>
    <row r="10" spans="1:15" x14ac:dyDescent="0.3">
      <c r="A10" s="25">
        <v>1996</v>
      </c>
      <c r="B10" s="31">
        <v>531.99</v>
      </c>
      <c r="C10" s="31">
        <v>531.54999999999995</v>
      </c>
      <c r="D10" s="31">
        <v>533.55999999999995</v>
      </c>
      <c r="E10" s="31">
        <v>530.16999999999996</v>
      </c>
      <c r="F10" s="31">
        <v>535.02</v>
      </c>
      <c r="G10" s="31">
        <v>530.05999999999995</v>
      </c>
      <c r="H10" s="31">
        <v>530.74</v>
      </c>
      <c r="I10" s="31">
        <v>535.82000000000005</v>
      </c>
      <c r="J10" s="31">
        <v>538.54</v>
      </c>
      <c r="K10" s="31">
        <v>539.17999999999995</v>
      </c>
      <c r="L10" s="31">
        <v>540.85</v>
      </c>
      <c r="M10" s="31">
        <v>545.32000000000005</v>
      </c>
      <c r="N10" s="17">
        <v>535.23333333333335</v>
      </c>
      <c r="O10" s="171"/>
    </row>
    <row r="11" spans="1:15" x14ac:dyDescent="0.3">
      <c r="A11" s="25">
        <v>1997</v>
      </c>
      <c r="B11" s="31">
        <v>543.97</v>
      </c>
      <c r="C11" s="31">
        <v>538.24</v>
      </c>
      <c r="D11" s="31">
        <v>549.41999999999996</v>
      </c>
      <c r="E11" s="31">
        <v>548.67999999999995</v>
      </c>
      <c r="F11" s="31">
        <v>545.77</v>
      </c>
      <c r="G11" s="31">
        <v>545.80999999999995</v>
      </c>
      <c r="H11" s="31">
        <v>550.23</v>
      </c>
      <c r="I11" s="31">
        <v>549.20000000000005</v>
      </c>
      <c r="J11" s="31">
        <v>548.62</v>
      </c>
      <c r="K11" s="31">
        <v>554.87</v>
      </c>
      <c r="L11" s="31">
        <v>551.01</v>
      </c>
      <c r="M11" s="31">
        <v>550.41</v>
      </c>
      <c r="N11" s="17">
        <v>548.01916666666659</v>
      </c>
      <c r="O11" s="171"/>
    </row>
    <row r="12" spans="1:15" x14ac:dyDescent="0.3">
      <c r="A12" s="25">
        <v>1998</v>
      </c>
      <c r="B12" s="31">
        <v>556.55999999999995</v>
      </c>
      <c r="C12" s="31">
        <v>558.52</v>
      </c>
      <c r="D12" s="31">
        <v>556.69000000000005</v>
      </c>
      <c r="E12" s="31">
        <v>559.26</v>
      </c>
      <c r="F12" s="31">
        <v>559.53</v>
      </c>
      <c r="G12" s="31">
        <v>564.16</v>
      </c>
      <c r="H12" s="31">
        <v>566.86</v>
      </c>
      <c r="I12" s="31">
        <v>566.03</v>
      </c>
      <c r="J12" s="31">
        <v>565.25</v>
      </c>
      <c r="K12" s="31">
        <v>568.36</v>
      </c>
      <c r="L12" s="31">
        <v>567.79</v>
      </c>
      <c r="M12" s="31">
        <v>573.79</v>
      </c>
      <c r="N12" s="17">
        <v>563.56666666666661</v>
      </c>
      <c r="O12" s="171"/>
    </row>
    <row r="13" spans="1:15" x14ac:dyDescent="0.3">
      <c r="A13" s="25">
        <v>1999</v>
      </c>
      <c r="B13" s="31">
        <v>564.64</v>
      </c>
      <c r="C13" s="31">
        <v>562.82000000000005</v>
      </c>
      <c r="D13" s="31">
        <v>563.5</v>
      </c>
      <c r="E13" s="31">
        <v>570.27</v>
      </c>
      <c r="F13" s="31">
        <v>571.1</v>
      </c>
      <c r="G13" s="31">
        <v>570.05999999999995</v>
      </c>
      <c r="H13" s="31">
        <v>571.42999999999995</v>
      </c>
      <c r="I13" s="31">
        <v>568.22</v>
      </c>
      <c r="J13" s="31">
        <v>571.99</v>
      </c>
      <c r="K13" s="31">
        <v>571.72</v>
      </c>
      <c r="L13" s="31">
        <v>574.33000000000004</v>
      </c>
      <c r="M13" s="31">
        <v>577.27</v>
      </c>
      <c r="N13" s="17">
        <v>569.7791666666667</v>
      </c>
      <c r="O13" s="171"/>
    </row>
    <row r="14" spans="1:15" x14ac:dyDescent="0.3">
      <c r="A14" s="25">
        <v>2000</v>
      </c>
      <c r="B14" s="31">
        <v>577.51</v>
      </c>
      <c r="C14" s="31">
        <v>578.45000000000005</v>
      </c>
      <c r="D14" s="31">
        <v>580.74</v>
      </c>
      <c r="E14" s="31">
        <v>580.99</v>
      </c>
      <c r="F14" s="31">
        <v>586.14</v>
      </c>
      <c r="G14" s="31">
        <v>590.88</v>
      </c>
      <c r="H14" s="31">
        <v>588.94000000000005</v>
      </c>
      <c r="I14" s="31">
        <v>586.58000000000004</v>
      </c>
      <c r="J14" s="31">
        <v>589.24</v>
      </c>
      <c r="K14" s="31">
        <v>593.04999999999995</v>
      </c>
      <c r="L14" s="31">
        <v>591.15</v>
      </c>
      <c r="M14" s="31">
        <v>594.35</v>
      </c>
      <c r="N14" s="17">
        <v>586.50166666666667</v>
      </c>
      <c r="O14" s="171"/>
    </row>
    <row r="15" spans="1:15" x14ac:dyDescent="0.3">
      <c r="A15" s="25">
        <v>2001</v>
      </c>
      <c r="B15" s="31">
        <v>590.33000000000004</v>
      </c>
      <c r="C15" s="31">
        <v>592.91</v>
      </c>
      <c r="D15" s="31">
        <v>594.47</v>
      </c>
      <c r="E15" s="31">
        <v>593.72</v>
      </c>
      <c r="F15" s="31">
        <v>594.35</v>
      </c>
      <c r="G15" s="31">
        <v>593.88</v>
      </c>
      <c r="H15" s="31">
        <v>593.04999999999995</v>
      </c>
      <c r="I15" s="31">
        <v>605.47</v>
      </c>
      <c r="J15" s="31">
        <v>598.69000000000005</v>
      </c>
      <c r="K15" s="31">
        <v>602.36</v>
      </c>
      <c r="L15" s="31">
        <v>596.89</v>
      </c>
      <c r="M15" s="31">
        <v>603.4</v>
      </c>
      <c r="N15" s="17">
        <f>AVERAGE(B15:M15)</f>
        <v>596.62666666666667</v>
      </c>
      <c r="O15" s="171"/>
    </row>
    <row r="16" spans="1:15" x14ac:dyDescent="0.3">
      <c r="A16" s="25">
        <v>2002</v>
      </c>
      <c r="B16" s="31">
        <v>604.16999999999996</v>
      </c>
      <c r="C16" s="31">
        <v>597.99</v>
      </c>
      <c r="D16" s="31">
        <v>603.86</v>
      </c>
      <c r="E16" s="31">
        <v>612.63</v>
      </c>
      <c r="F16" s="31">
        <v>605.82000000000005</v>
      </c>
      <c r="G16" s="31">
        <v>604.26</v>
      </c>
      <c r="H16" s="31">
        <v>614.54999999999995</v>
      </c>
      <c r="I16" s="31">
        <v>607.57000000000005</v>
      </c>
      <c r="J16" s="31">
        <v>615.4</v>
      </c>
      <c r="K16" s="31">
        <v>615.9</v>
      </c>
      <c r="L16" s="31">
        <v>618.03</v>
      </c>
      <c r="M16" s="31">
        <v>624.12</v>
      </c>
      <c r="N16" s="17">
        <f t="shared" ref="N16:N35" si="0">AVERAGE(B16:M16)</f>
        <v>610.35833333333323</v>
      </c>
      <c r="O16" s="171"/>
    </row>
    <row r="17" spans="1:15" x14ac:dyDescent="0.3">
      <c r="A17" s="25">
        <v>2003</v>
      </c>
      <c r="B17" s="31">
        <v>622.73</v>
      </c>
      <c r="C17" s="31">
        <v>630.66</v>
      </c>
      <c r="D17" s="31">
        <v>626.66</v>
      </c>
      <c r="E17" s="31">
        <v>632.04999999999995</v>
      </c>
      <c r="F17" s="31">
        <v>626.92999999999995</v>
      </c>
      <c r="G17" s="31">
        <v>642.03</v>
      </c>
      <c r="H17" s="31">
        <v>635.03</v>
      </c>
      <c r="I17" s="31">
        <v>635.9</v>
      </c>
      <c r="J17" s="31">
        <v>643.47</v>
      </c>
      <c r="K17" s="31">
        <v>640.67999999999995</v>
      </c>
      <c r="L17" s="31">
        <v>644.46</v>
      </c>
      <c r="M17" s="31">
        <v>642.23</v>
      </c>
      <c r="N17" s="17">
        <f t="shared" si="0"/>
        <v>635.23583333333329</v>
      </c>
      <c r="O17" s="171"/>
    </row>
    <row r="18" spans="1:15" x14ac:dyDescent="0.3">
      <c r="A18" s="25">
        <v>2004</v>
      </c>
      <c r="B18" s="31">
        <v>639.82000000000005</v>
      </c>
      <c r="C18" s="31">
        <v>641.98</v>
      </c>
      <c r="D18" s="31">
        <v>647.75</v>
      </c>
      <c r="E18" s="31">
        <v>642.21</v>
      </c>
      <c r="F18" s="31">
        <v>659.75</v>
      </c>
      <c r="G18" s="31">
        <v>646.46</v>
      </c>
      <c r="H18" s="31">
        <v>660.62</v>
      </c>
      <c r="I18" s="31">
        <v>658.51</v>
      </c>
      <c r="J18" s="31">
        <v>659.21</v>
      </c>
      <c r="K18" s="31">
        <v>657.87</v>
      </c>
      <c r="L18" s="31">
        <v>668.97</v>
      </c>
      <c r="M18" s="31">
        <v>669.72</v>
      </c>
      <c r="N18" s="17">
        <f t="shared" si="0"/>
        <v>654.40583333333336</v>
      </c>
      <c r="O18" s="171"/>
    </row>
    <row r="19" spans="1:15" x14ac:dyDescent="0.3">
      <c r="A19" s="25">
        <v>2005</v>
      </c>
      <c r="B19" s="31">
        <v>678.02</v>
      </c>
      <c r="C19" s="31">
        <v>679.36</v>
      </c>
      <c r="D19" s="31">
        <v>667.8</v>
      </c>
      <c r="E19" s="31">
        <v>668.3</v>
      </c>
      <c r="F19" s="31">
        <v>681.84</v>
      </c>
      <c r="G19" s="31">
        <v>682.36</v>
      </c>
      <c r="H19" s="31">
        <v>677.09</v>
      </c>
      <c r="I19" s="31">
        <v>688.22</v>
      </c>
      <c r="J19" s="31">
        <v>688.11</v>
      </c>
      <c r="K19" s="31">
        <v>694.03</v>
      </c>
      <c r="L19" s="31">
        <v>690.74</v>
      </c>
      <c r="M19" s="31">
        <v>688.52</v>
      </c>
      <c r="N19" s="17">
        <f t="shared" si="0"/>
        <v>682.03249999999991</v>
      </c>
    </row>
    <row r="20" spans="1:15" x14ac:dyDescent="0.3">
      <c r="A20" s="25">
        <v>2006</v>
      </c>
      <c r="B20" s="31">
        <v>696.87</v>
      </c>
      <c r="C20" s="31">
        <v>695.7</v>
      </c>
      <c r="D20" s="31">
        <v>700.87</v>
      </c>
      <c r="E20" s="31">
        <v>707.91</v>
      </c>
      <c r="F20" s="31">
        <v>706.74</v>
      </c>
      <c r="G20" s="31">
        <v>710.64</v>
      </c>
      <c r="H20" s="31">
        <v>713.63</v>
      </c>
      <c r="I20" s="31">
        <v>710.22</v>
      </c>
      <c r="J20" s="31">
        <v>703.61</v>
      </c>
      <c r="K20" s="31">
        <v>714.65</v>
      </c>
      <c r="L20" s="31">
        <v>715.61</v>
      </c>
      <c r="M20" s="31">
        <v>720.17</v>
      </c>
      <c r="N20" s="17">
        <f t="shared" si="0"/>
        <v>708.05166666666662</v>
      </c>
    </row>
    <row r="21" spans="1:15" x14ac:dyDescent="0.3">
      <c r="A21" s="7">
        <v>2007</v>
      </c>
      <c r="B21" s="31">
        <v>726.4</v>
      </c>
      <c r="C21" s="31">
        <v>731.21</v>
      </c>
      <c r="D21" s="31">
        <v>741.74</v>
      </c>
      <c r="E21" s="31">
        <v>737.67</v>
      </c>
      <c r="F21" s="31">
        <v>746.13</v>
      </c>
      <c r="G21" s="31">
        <v>750.12</v>
      </c>
      <c r="H21" s="31">
        <v>749.94</v>
      </c>
      <c r="I21" s="31">
        <v>747.59</v>
      </c>
      <c r="J21" s="31">
        <v>758.76</v>
      </c>
      <c r="K21" s="31">
        <v>755.66</v>
      </c>
      <c r="L21" s="31">
        <v>761.72</v>
      </c>
      <c r="M21" s="31">
        <v>768.44</v>
      </c>
      <c r="N21" s="17">
        <f t="shared" si="0"/>
        <v>747.94833333333338</v>
      </c>
    </row>
    <row r="22" spans="1:15" x14ac:dyDescent="0.3">
      <c r="A22" s="7">
        <v>2008</v>
      </c>
      <c r="B22" s="31">
        <v>758.49</v>
      </c>
      <c r="C22" s="31">
        <v>771.07</v>
      </c>
      <c r="D22" s="31">
        <v>775.15</v>
      </c>
      <c r="E22" s="31">
        <v>782.89</v>
      </c>
      <c r="F22" s="31">
        <v>780.06</v>
      </c>
      <c r="G22" s="31">
        <v>787.68</v>
      </c>
      <c r="H22" s="31">
        <v>785.14</v>
      </c>
      <c r="I22" s="31">
        <v>789.76</v>
      </c>
      <c r="J22" s="31">
        <v>792.39</v>
      </c>
      <c r="K22" s="31">
        <v>794.84</v>
      </c>
      <c r="L22" s="31">
        <v>797.83</v>
      </c>
      <c r="M22" s="31">
        <v>787.33</v>
      </c>
      <c r="N22" s="17">
        <f t="shared" si="0"/>
        <v>783.55250000000012</v>
      </c>
    </row>
    <row r="23" spans="1:15" x14ac:dyDescent="0.3">
      <c r="A23" s="7">
        <v>2009</v>
      </c>
      <c r="B23" s="31">
        <v>795.13</v>
      </c>
      <c r="C23" s="31">
        <v>795.16</v>
      </c>
      <c r="D23" s="31">
        <v>791.73</v>
      </c>
      <c r="E23" s="31">
        <v>794.01</v>
      </c>
      <c r="F23" s="31">
        <v>794.03</v>
      </c>
      <c r="G23" s="31">
        <v>800.11</v>
      </c>
      <c r="H23" s="31">
        <v>801.71</v>
      </c>
      <c r="I23" s="31">
        <v>797.91</v>
      </c>
      <c r="J23" s="31">
        <v>807.09</v>
      </c>
      <c r="K23" s="31">
        <v>812.52</v>
      </c>
      <c r="L23" s="31">
        <v>815.89</v>
      </c>
      <c r="M23" s="31">
        <v>826.74</v>
      </c>
      <c r="N23" s="17">
        <f t="shared" si="0"/>
        <v>802.66916666666657</v>
      </c>
    </row>
    <row r="24" spans="1:15" x14ac:dyDescent="0.3">
      <c r="A24" s="7">
        <v>2010</v>
      </c>
      <c r="B24" s="31">
        <v>823.84</v>
      </c>
      <c r="C24" s="31">
        <v>823.16</v>
      </c>
      <c r="D24" s="31">
        <v>830.66</v>
      </c>
      <c r="E24" s="31">
        <v>840.87</v>
      </c>
      <c r="F24" s="31">
        <v>841.57</v>
      </c>
      <c r="G24" s="31">
        <v>843.62</v>
      </c>
      <c r="H24" s="31">
        <v>842.76</v>
      </c>
      <c r="I24" s="31">
        <v>848.01</v>
      </c>
      <c r="J24" s="31">
        <v>854.64</v>
      </c>
      <c r="K24" s="31">
        <v>856.63</v>
      </c>
      <c r="L24" s="31">
        <v>857.05</v>
      </c>
      <c r="M24" s="31">
        <v>862.82</v>
      </c>
      <c r="N24" s="17">
        <f t="shared" si="0"/>
        <v>843.8024999999999</v>
      </c>
    </row>
    <row r="25" spans="1:15" x14ac:dyDescent="0.3">
      <c r="A25" s="7">
        <v>2011</v>
      </c>
      <c r="B25" s="31">
        <v>879.82</v>
      </c>
      <c r="C25" s="31">
        <v>856.14</v>
      </c>
      <c r="D25" s="31">
        <v>864.68</v>
      </c>
      <c r="E25" s="31">
        <v>870.17</v>
      </c>
      <c r="F25" s="31">
        <v>857.97</v>
      </c>
      <c r="G25" s="31">
        <v>861.89</v>
      </c>
      <c r="H25" s="31">
        <v>865.78</v>
      </c>
      <c r="I25" s="31">
        <v>884.05</v>
      </c>
      <c r="J25" s="31">
        <v>900.16</v>
      </c>
      <c r="K25" s="31">
        <v>889.74</v>
      </c>
      <c r="L25" s="31">
        <v>891.84</v>
      </c>
      <c r="M25" s="31">
        <v>888.53</v>
      </c>
      <c r="N25" s="17">
        <f t="shared" si="0"/>
        <v>875.89750000000004</v>
      </c>
    </row>
    <row r="26" spans="1:15" x14ac:dyDescent="0.3">
      <c r="A26" s="7">
        <v>2012</v>
      </c>
      <c r="B26" s="31">
        <v>903.71</v>
      </c>
      <c r="C26" s="31">
        <v>901.39</v>
      </c>
      <c r="D26" s="31">
        <v>910.14</v>
      </c>
      <c r="E26" s="31">
        <v>905.52</v>
      </c>
      <c r="F26" s="31">
        <v>911.4</v>
      </c>
      <c r="G26" s="31">
        <v>910.86</v>
      </c>
      <c r="H26" s="31">
        <v>930.75</v>
      </c>
      <c r="I26" s="31">
        <v>939.83</v>
      </c>
      <c r="J26" s="31">
        <v>926.78</v>
      </c>
      <c r="K26" s="31">
        <v>927.82</v>
      </c>
      <c r="L26" s="31">
        <v>927.1</v>
      </c>
      <c r="M26" s="31">
        <v>927.95</v>
      </c>
      <c r="N26" s="17">
        <f t="shared" si="0"/>
        <v>918.60416666666663</v>
      </c>
    </row>
    <row r="27" spans="1:15" x14ac:dyDescent="0.3">
      <c r="A27" s="7">
        <v>2013</v>
      </c>
      <c r="B27" s="31">
        <v>926.54</v>
      </c>
      <c r="C27" s="31">
        <v>947.64</v>
      </c>
      <c r="D27" s="31">
        <v>945.18</v>
      </c>
      <c r="E27" s="31">
        <v>935.29</v>
      </c>
      <c r="F27" s="31">
        <v>951.28</v>
      </c>
      <c r="G27" s="31">
        <v>949.45</v>
      </c>
      <c r="H27" s="31">
        <v>950.85</v>
      </c>
      <c r="I27" s="31">
        <v>948.27</v>
      </c>
      <c r="J27" s="31">
        <v>944.39</v>
      </c>
      <c r="K27" s="31">
        <v>946.37</v>
      </c>
      <c r="L27" s="31">
        <v>953.54</v>
      </c>
      <c r="M27" s="31">
        <v>956.07</v>
      </c>
      <c r="N27" s="17">
        <f t="shared" si="0"/>
        <v>946.23916666666662</v>
      </c>
    </row>
    <row r="28" spans="1:15" x14ac:dyDescent="0.3">
      <c r="A28" s="7">
        <v>2014</v>
      </c>
      <c r="B28" s="31">
        <v>943.32</v>
      </c>
      <c r="C28" s="31">
        <v>964.58</v>
      </c>
      <c r="D28" s="31">
        <v>961.06</v>
      </c>
      <c r="E28" s="31">
        <v>973.97</v>
      </c>
      <c r="F28" s="31">
        <v>971.92</v>
      </c>
      <c r="G28" s="31">
        <v>981.71</v>
      </c>
      <c r="H28" s="31">
        <v>987.89</v>
      </c>
      <c r="I28" s="31">
        <v>981.95</v>
      </c>
      <c r="J28" s="31">
        <v>976.58</v>
      </c>
      <c r="K28" s="31">
        <v>984.18</v>
      </c>
      <c r="L28" s="31">
        <v>987.8</v>
      </c>
      <c r="M28" s="31">
        <v>979.44</v>
      </c>
      <c r="N28" s="17">
        <f t="shared" si="0"/>
        <v>974.53333333333342</v>
      </c>
    </row>
    <row r="29" spans="1:15" x14ac:dyDescent="0.3">
      <c r="A29" s="7">
        <v>2015</v>
      </c>
      <c r="B29" s="31">
        <v>978.64</v>
      </c>
      <c r="C29" s="31">
        <v>980.9</v>
      </c>
      <c r="D29" s="31">
        <v>976.72</v>
      </c>
      <c r="E29" s="31">
        <v>978.33</v>
      </c>
      <c r="F29" s="31">
        <v>982.94</v>
      </c>
      <c r="G29" s="31">
        <v>972.69</v>
      </c>
      <c r="H29" s="31">
        <v>977.6</v>
      </c>
      <c r="I29" s="31">
        <v>975.71</v>
      </c>
      <c r="J29" s="31">
        <v>980.16</v>
      </c>
      <c r="K29" s="31">
        <v>986.77</v>
      </c>
      <c r="L29" s="31">
        <v>980.03</v>
      </c>
      <c r="M29" s="31">
        <v>989.11</v>
      </c>
      <c r="N29" s="17">
        <f t="shared" si="0"/>
        <v>979.96666666666704</v>
      </c>
    </row>
    <row r="30" spans="1:15" x14ac:dyDescent="0.3">
      <c r="A30" s="7">
        <v>2016</v>
      </c>
      <c r="B30" s="31">
        <v>982.36</v>
      </c>
      <c r="C30" s="31">
        <v>989.15</v>
      </c>
      <c r="D30" s="31">
        <v>978.44</v>
      </c>
      <c r="E30" s="31">
        <v>981.76</v>
      </c>
      <c r="F30" s="31">
        <v>988.16</v>
      </c>
      <c r="G30" s="31">
        <v>990.2</v>
      </c>
      <c r="H30" s="31">
        <v>987.88</v>
      </c>
      <c r="I30" s="31">
        <v>988.28</v>
      </c>
      <c r="J30" s="31">
        <v>988.44</v>
      </c>
      <c r="K30" s="31">
        <v>989.42</v>
      </c>
      <c r="L30" s="31">
        <v>984.34</v>
      </c>
      <c r="M30" s="31">
        <v>1004.7</v>
      </c>
      <c r="N30" s="17">
        <f t="shared" si="0"/>
        <v>987.76083333333338</v>
      </c>
    </row>
    <row r="31" spans="1:15" x14ac:dyDescent="0.3">
      <c r="A31" s="7">
        <v>2017</v>
      </c>
      <c r="B31" s="31">
        <v>1011.46</v>
      </c>
      <c r="C31" s="31">
        <v>996.41</v>
      </c>
      <c r="D31" s="31">
        <v>1016.1</v>
      </c>
      <c r="E31" s="31">
        <v>1007.63</v>
      </c>
      <c r="F31" s="31">
        <v>997.28</v>
      </c>
      <c r="G31" s="31">
        <v>1003.74</v>
      </c>
      <c r="H31" s="31">
        <v>1002.79</v>
      </c>
      <c r="I31" s="31">
        <v>1012.94</v>
      </c>
      <c r="J31" s="31">
        <v>1009.88</v>
      </c>
      <c r="K31" s="31">
        <v>1000.84</v>
      </c>
      <c r="L31" s="31">
        <v>1014.96</v>
      </c>
      <c r="M31" s="31">
        <v>1037.1500000000001</v>
      </c>
      <c r="N31" s="17">
        <f t="shared" si="0"/>
        <v>1009.2649999999999</v>
      </c>
    </row>
    <row r="32" spans="1:15" x14ac:dyDescent="0.3">
      <c r="A32" s="7">
        <v>2018</v>
      </c>
      <c r="B32" s="31">
        <v>1018.12</v>
      </c>
      <c r="C32" s="31">
        <v>1016.52</v>
      </c>
      <c r="D32" s="31">
        <v>1010.39</v>
      </c>
      <c r="E32" s="31">
        <v>1005.65</v>
      </c>
      <c r="F32" s="31">
        <v>1011.66</v>
      </c>
      <c r="G32" s="31">
        <v>1022.24</v>
      </c>
      <c r="H32" s="31">
        <v>1010.28</v>
      </c>
      <c r="I32" s="31">
        <v>1010.38</v>
      </c>
      <c r="J32" s="31">
        <v>1010.13</v>
      </c>
      <c r="K32" s="31">
        <v>1022.57</v>
      </c>
      <c r="L32" s="31">
        <v>1026.08</v>
      </c>
      <c r="M32" s="31">
        <v>1007.45</v>
      </c>
      <c r="N32" s="17">
        <f t="shared" si="0"/>
        <v>1014.2891666666666</v>
      </c>
    </row>
    <row r="33" spans="1:14" x14ac:dyDescent="0.3">
      <c r="A33" s="7">
        <v>2019</v>
      </c>
      <c r="B33" s="31">
        <v>1027.76</v>
      </c>
      <c r="C33" s="31">
        <v>1024.18</v>
      </c>
      <c r="D33" s="31">
        <v>1030.32</v>
      </c>
      <c r="E33" s="31">
        <v>1041.95</v>
      </c>
      <c r="F33" s="31">
        <v>1068.49</v>
      </c>
      <c r="G33" s="31">
        <v>1033.8</v>
      </c>
      <c r="H33" s="31">
        <v>1034.79</v>
      </c>
      <c r="I33" s="31">
        <v>1028.05</v>
      </c>
      <c r="J33" s="31">
        <v>1042.8399999999999</v>
      </c>
      <c r="K33" s="31">
        <v>1051.77</v>
      </c>
      <c r="L33" s="31">
        <v>1060.6400000000001</v>
      </c>
      <c r="M33" s="31">
        <v>1047.18</v>
      </c>
      <c r="N33" s="17">
        <f t="shared" si="0"/>
        <v>1040.9808333333333</v>
      </c>
    </row>
    <row r="34" spans="1:14" x14ac:dyDescent="0.3">
      <c r="A34" s="7">
        <v>2020</v>
      </c>
      <c r="B34" s="31">
        <v>1047.8</v>
      </c>
      <c r="C34" s="31">
        <v>1058.28</v>
      </c>
      <c r="D34" s="31">
        <v>1063.32</v>
      </c>
      <c r="E34" s="31">
        <v>1129.81</v>
      </c>
      <c r="F34" s="31">
        <v>1149.9100000000001</v>
      </c>
      <c r="G34" s="31">
        <v>1103.6199999999999</v>
      </c>
      <c r="H34" s="31">
        <v>1081.8599999999999</v>
      </c>
      <c r="I34" s="31">
        <v>1106.04</v>
      </c>
      <c r="J34" s="31">
        <v>1097.51</v>
      </c>
      <c r="K34" s="31">
        <v>1093.05</v>
      </c>
      <c r="L34" s="31">
        <v>1083.6199999999999</v>
      </c>
      <c r="M34" s="31">
        <v>1097.9000000000001</v>
      </c>
      <c r="N34" s="17">
        <f t="shared" si="0"/>
        <v>1092.7266666666667</v>
      </c>
    </row>
    <row r="35" spans="1:14" x14ac:dyDescent="0.3">
      <c r="A35" s="7">
        <v>2021</v>
      </c>
      <c r="B35" s="31">
        <v>1094.24</v>
      </c>
      <c r="C35" s="31">
        <v>1091.69</v>
      </c>
      <c r="D35" s="31">
        <v>1098.19</v>
      </c>
      <c r="E35" s="31">
        <v>1109.68</v>
      </c>
      <c r="F35" s="31">
        <v>1109.19</v>
      </c>
      <c r="G35" s="31">
        <v>1099.4100000000001</v>
      </c>
      <c r="H35" s="31">
        <v>1109.0999999999999</v>
      </c>
      <c r="I35" s="31">
        <v>1119.21</v>
      </c>
      <c r="J35" s="31">
        <v>1113.8399999999999</v>
      </c>
      <c r="K35" s="31">
        <v>1115.3499999999999</v>
      </c>
      <c r="L35" s="31"/>
      <c r="M35" s="31"/>
      <c r="N35" s="17">
        <f t="shared" si="0"/>
        <v>1105.99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23"/>
  <dimension ref="A1:O35"/>
  <sheetViews>
    <sheetView workbookViewId="0">
      <pane xSplit="1" ySplit="4" topLeftCell="B23" activePane="bottomRight" state="frozen"/>
      <selection activeCell="B35" sqref="B35"/>
      <selection pane="topRight" activeCell="B35" sqref="B35"/>
      <selection pane="bottomLeft" activeCell="B35" sqref="B35"/>
      <selection pane="bottomRight" activeCell="L35" sqref="L35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69</v>
      </c>
      <c r="B1" s="1"/>
      <c r="C1" s="1"/>
    </row>
    <row r="2" spans="1:15" x14ac:dyDescent="0.3">
      <c r="A2" s="161"/>
      <c r="B2" s="45">
        <v>10</v>
      </c>
      <c r="C2" s="162" t="s">
        <v>154</v>
      </c>
    </row>
    <row r="3" spans="1:15" s="1" customFormat="1" x14ac:dyDescent="0.3">
      <c r="A3" s="1" t="s">
        <v>118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536.09</v>
      </c>
      <c r="C5" s="31">
        <v>534.34</v>
      </c>
      <c r="D5" s="31">
        <v>539.74</v>
      </c>
      <c r="E5" s="31">
        <v>541.07000000000005</v>
      </c>
      <c r="F5" s="31">
        <v>545.77</v>
      </c>
      <c r="G5" s="31">
        <v>544.16999999999996</v>
      </c>
      <c r="H5" s="31">
        <v>546</v>
      </c>
      <c r="I5" s="31">
        <v>550.04999999999995</v>
      </c>
      <c r="J5" s="31">
        <v>550.02</v>
      </c>
      <c r="K5" s="31">
        <v>553.87</v>
      </c>
      <c r="L5" s="31">
        <v>549.13</v>
      </c>
      <c r="M5" s="31">
        <v>552.79999999999995</v>
      </c>
      <c r="N5" s="17">
        <v>545.25416666666672</v>
      </c>
      <c r="O5" s="171"/>
    </row>
    <row r="6" spans="1:15" x14ac:dyDescent="0.3">
      <c r="A6" s="25">
        <v>1992</v>
      </c>
      <c r="B6" s="31">
        <v>556.79</v>
      </c>
      <c r="C6" s="31">
        <v>553.44000000000005</v>
      </c>
      <c r="D6" s="31">
        <v>552.01</v>
      </c>
      <c r="E6" s="31">
        <v>557.78</v>
      </c>
      <c r="F6" s="31">
        <v>556.19000000000005</v>
      </c>
      <c r="G6" s="31">
        <v>561.83000000000004</v>
      </c>
      <c r="H6" s="31">
        <v>563.69000000000005</v>
      </c>
      <c r="I6" s="31">
        <v>566.62</v>
      </c>
      <c r="J6" s="31">
        <v>569.69000000000005</v>
      </c>
      <c r="K6" s="31">
        <v>565.98</v>
      </c>
      <c r="L6" s="31">
        <v>566.45000000000005</v>
      </c>
      <c r="M6" s="31">
        <v>567.25</v>
      </c>
      <c r="N6" s="17">
        <v>561.47666666666669</v>
      </c>
      <c r="O6" s="171"/>
    </row>
    <row r="7" spans="1:15" x14ac:dyDescent="0.3">
      <c r="A7" s="25">
        <v>1993</v>
      </c>
      <c r="B7" s="31">
        <v>574.39</v>
      </c>
      <c r="C7" s="31">
        <v>575.1</v>
      </c>
      <c r="D7" s="31">
        <v>569.55999999999995</v>
      </c>
      <c r="E7" s="31">
        <v>568.12</v>
      </c>
      <c r="F7" s="31">
        <v>563.98</v>
      </c>
      <c r="G7" s="31">
        <v>568.86</v>
      </c>
      <c r="H7" s="31">
        <v>573.16</v>
      </c>
      <c r="I7" s="31">
        <v>571.34</v>
      </c>
      <c r="J7" s="31">
        <v>573.25</v>
      </c>
      <c r="K7" s="31">
        <v>571.78</v>
      </c>
      <c r="L7" s="31">
        <v>568.78</v>
      </c>
      <c r="M7" s="31">
        <v>569.98</v>
      </c>
      <c r="N7" s="17">
        <v>570.69166666666661</v>
      </c>
      <c r="O7" s="171"/>
    </row>
    <row r="8" spans="1:15" x14ac:dyDescent="0.3">
      <c r="A8" s="25">
        <v>1994</v>
      </c>
      <c r="B8" s="31">
        <v>572.42999999999995</v>
      </c>
      <c r="C8" s="31">
        <v>567.14</v>
      </c>
      <c r="D8" s="31">
        <v>565.82000000000005</v>
      </c>
      <c r="E8" s="31">
        <v>569.54999999999995</v>
      </c>
      <c r="F8" s="31">
        <v>570.04999999999995</v>
      </c>
      <c r="G8" s="31">
        <v>576.16</v>
      </c>
      <c r="H8" s="31">
        <v>576.07000000000005</v>
      </c>
      <c r="I8" s="31">
        <v>579.9</v>
      </c>
      <c r="J8" s="31">
        <v>581.86</v>
      </c>
      <c r="K8" s="31">
        <v>577.53</v>
      </c>
      <c r="L8" s="31">
        <v>576.29</v>
      </c>
      <c r="M8" s="31">
        <v>570.02</v>
      </c>
      <c r="N8" s="17">
        <v>573.56833333333327</v>
      </c>
      <c r="O8" s="171"/>
    </row>
    <row r="9" spans="1:15" x14ac:dyDescent="0.3">
      <c r="A9" s="25">
        <v>1995</v>
      </c>
      <c r="B9" s="31">
        <v>575.54</v>
      </c>
      <c r="C9" s="31">
        <v>576.73</v>
      </c>
      <c r="D9" s="31">
        <v>574.73</v>
      </c>
      <c r="E9" s="31">
        <v>569.91999999999996</v>
      </c>
      <c r="F9" s="31">
        <v>569.47</v>
      </c>
      <c r="G9" s="31">
        <v>572.24</v>
      </c>
      <c r="H9" s="31">
        <v>570.76</v>
      </c>
      <c r="I9" s="31">
        <v>573.38</v>
      </c>
      <c r="J9" s="31">
        <v>573.97</v>
      </c>
      <c r="K9" s="31">
        <v>574.61</v>
      </c>
      <c r="L9" s="31">
        <v>570.84</v>
      </c>
      <c r="M9" s="31">
        <v>567.85</v>
      </c>
      <c r="N9" s="17">
        <v>572.50333333333344</v>
      </c>
      <c r="O9" s="171"/>
    </row>
    <row r="10" spans="1:15" x14ac:dyDescent="0.3">
      <c r="A10" s="25">
        <v>1996</v>
      </c>
      <c r="B10" s="31">
        <v>571.41</v>
      </c>
      <c r="C10" s="31">
        <v>574.34</v>
      </c>
      <c r="D10" s="31">
        <v>577.11</v>
      </c>
      <c r="E10" s="31">
        <v>570.15</v>
      </c>
      <c r="F10" s="31">
        <v>590.1</v>
      </c>
      <c r="G10" s="31">
        <v>607.45000000000005</v>
      </c>
      <c r="H10" s="31">
        <v>605.66999999999996</v>
      </c>
      <c r="I10" s="31">
        <v>613.71</v>
      </c>
      <c r="J10" s="31">
        <v>611.63</v>
      </c>
      <c r="K10" s="31">
        <v>618.62</v>
      </c>
      <c r="L10" s="31">
        <v>608.77</v>
      </c>
      <c r="M10" s="31">
        <v>609.25</v>
      </c>
      <c r="N10" s="17">
        <v>596.51750000000004</v>
      </c>
      <c r="O10" s="171"/>
    </row>
    <row r="11" spans="1:15" x14ac:dyDescent="0.3">
      <c r="A11" s="25">
        <v>1997</v>
      </c>
      <c r="B11" s="31">
        <v>607.91999999999996</v>
      </c>
      <c r="C11" s="31">
        <v>607.13</v>
      </c>
      <c r="D11" s="31">
        <v>616.4</v>
      </c>
      <c r="E11" s="31">
        <v>621.16999999999996</v>
      </c>
      <c r="F11" s="31">
        <v>616.66999999999996</v>
      </c>
      <c r="G11" s="31">
        <v>619.04</v>
      </c>
      <c r="H11" s="31">
        <v>618.77</v>
      </c>
      <c r="I11" s="31">
        <v>619.04</v>
      </c>
      <c r="J11" s="31">
        <v>622.9</v>
      </c>
      <c r="K11" s="31">
        <v>624.64</v>
      </c>
      <c r="L11" s="31">
        <v>620</v>
      </c>
      <c r="M11" s="31">
        <v>623.63</v>
      </c>
      <c r="N11" s="17">
        <v>618.10916666666674</v>
      </c>
      <c r="O11" s="171"/>
    </row>
    <row r="12" spans="1:15" x14ac:dyDescent="0.3">
      <c r="A12" s="25">
        <v>1998</v>
      </c>
      <c r="B12" s="31">
        <v>625.36</v>
      </c>
      <c r="C12" s="31">
        <v>634.72</v>
      </c>
      <c r="D12" s="31">
        <v>635.17999999999995</v>
      </c>
      <c r="E12" s="31">
        <v>635.14</v>
      </c>
      <c r="F12" s="31">
        <v>631.29</v>
      </c>
      <c r="G12" s="31">
        <v>637.33000000000004</v>
      </c>
      <c r="H12" s="31">
        <v>637</v>
      </c>
      <c r="I12" s="31">
        <v>638.13</v>
      </c>
      <c r="J12" s="31">
        <v>633.79</v>
      </c>
      <c r="K12" s="31">
        <v>636.35</v>
      </c>
      <c r="L12" s="31">
        <v>635.04999999999995</v>
      </c>
      <c r="M12" s="31">
        <v>640.65</v>
      </c>
      <c r="N12" s="17">
        <v>634.99916666666661</v>
      </c>
      <c r="O12" s="171"/>
    </row>
    <row r="13" spans="1:15" x14ac:dyDescent="0.3">
      <c r="A13" s="25">
        <v>1999</v>
      </c>
      <c r="B13" s="31">
        <v>635.37</v>
      </c>
      <c r="C13" s="31">
        <v>641.39</v>
      </c>
      <c r="D13" s="31">
        <v>641.29</v>
      </c>
      <c r="E13" s="31">
        <v>641.89</v>
      </c>
      <c r="F13" s="31">
        <v>639.71</v>
      </c>
      <c r="G13" s="31">
        <v>642.99</v>
      </c>
      <c r="H13" s="31">
        <v>648.52</v>
      </c>
      <c r="I13" s="31">
        <v>647</v>
      </c>
      <c r="J13" s="31">
        <v>645.9</v>
      </c>
      <c r="K13" s="31">
        <v>645.62</v>
      </c>
      <c r="L13" s="31">
        <v>645.92999999999995</v>
      </c>
      <c r="M13" s="31">
        <v>652.49</v>
      </c>
      <c r="N13" s="17">
        <v>644.00833333333333</v>
      </c>
      <c r="O13" s="171"/>
    </row>
    <row r="14" spans="1:15" x14ac:dyDescent="0.3">
      <c r="A14" s="25">
        <v>2000</v>
      </c>
      <c r="B14" s="31">
        <v>652.19000000000005</v>
      </c>
      <c r="C14" s="31">
        <v>657.92</v>
      </c>
      <c r="D14" s="31">
        <v>660.41</v>
      </c>
      <c r="E14" s="31">
        <v>660.69</v>
      </c>
      <c r="F14" s="31">
        <v>661.07</v>
      </c>
      <c r="G14" s="31">
        <v>663.64</v>
      </c>
      <c r="H14" s="31">
        <v>665.89</v>
      </c>
      <c r="I14" s="31">
        <v>667.34</v>
      </c>
      <c r="J14" s="31">
        <v>665.49</v>
      </c>
      <c r="K14" s="31">
        <v>665.15</v>
      </c>
      <c r="L14" s="31">
        <v>666.96</v>
      </c>
      <c r="M14" s="31">
        <v>669.24</v>
      </c>
      <c r="N14" s="17">
        <v>662.99916666666661</v>
      </c>
      <c r="O14" s="171"/>
    </row>
    <row r="15" spans="1:15" x14ac:dyDescent="0.3">
      <c r="A15" s="25">
        <v>2001</v>
      </c>
      <c r="B15" s="31">
        <v>663.85</v>
      </c>
      <c r="C15" s="31">
        <v>661.88</v>
      </c>
      <c r="D15" s="31">
        <v>669.82</v>
      </c>
      <c r="E15" s="31">
        <v>669.74</v>
      </c>
      <c r="F15" s="31">
        <v>673.18</v>
      </c>
      <c r="G15" s="31">
        <v>675.57</v>
      </c>
      <c r="H15" s="31">
        <v>674.48</v>
      </c>
      <c r="I15" s="31">
        <v>679.99</v>
      </c>
      <c r="J15" s="31">
        <v>687.18</v>
      </c>
      <c r="K15" s="31">
        <v>687.68</v>
      </c>
      <c r="L15" s="31">
        <v>677.47</v>
      </c>
      <c r="M15" s="31">
        <v>678.16</v>
      </c>
      <c r="N15" s="17">
        <f>AVERAGE(B15:M15)</f>
        <v>674.91666666666674</v>
      </c>
      <c r="O15" s="171"/>
    </row>
    <row r="16" spans="1:15" x14ac:dyDescent="0.3">
      <c r="A16" s="25">
        <v>2002</v>
      </c>
      <c r="B16" s="31">
        <v>684.3</v>
      </c>
      <c r="C16" s="31">
        <v>679.06</v>
      </c>
      <c r="D16" s="31">
        <v>688.65</v>
      </c>
      <c r="E16" s="31">
        <v>691.87</v>
      </c>
      <c r="F16" s="31">
        <v>688.89</v>
      </c>
      <c r="G16" s="31">
        <v>696.01</v>
      </c>
      <c r="H16" s="31">
        <v>696.29</v>
      </c>
      <c r="I16" s="31">
        <v>691.34</v>
      </c>
      <c r="J16" s="31">
        <v>690.07</v>
      </c>
      <c r="K16" s="31">
        <v>696.69</v>
      </c>
      <c r="L16" s="31">
        <v>698.73</v>
      </c>
      <c r="M16" s="31">
        <v>706.05</v>
      </c>
      <c r="N16" s="17">
        <f t="shared" ref="N16:N35" si="0">AVERAGE(B16:M16)</f>
        <v>692.32916666666654</v>
      </c>
      <c r="O16" s="171"/>
    </row>
    <row r="17" spans="1:15" x14ac:dyDescent="0.3">
      <c r="A17" s="25">
        <v>2003</v>
      </c>
      <c r="B17" s="31">
        <v>704.41</v>
      </c>
      <c r="C17" s="31">
        <v>711.21</v>
      </c>
      <c r="D17" s="31">
        <v>704.84</v>
      </c>
      <c r="E17" s="31">
        <v>713.14</v>
      </c>
      <c r="F17" s="31">
        <v>705.83</v>
      </c>
      <c r="G17" s="31">
        <v>717.37</v>
      </c>
      <c r="H17" s="31">
        <v>721.32</v>
      </c>
      <c r="I17" s="31">
        <v>722.18</v>
      </c>
      <c r="J17" s="31">
        <v>724.58</v>
      </c>
      <c r="K17" s="31">
        <v>718.34</v>
      </c>
      <c r="L17" s="31">
        <v>730.02</v>
      </c>
      <c r="M17" s="31">
        <v>723.24</v>
      </c>
      <c r="N17" s="17">
        <f t="shared" si="0"/>
        <v>716.37333333333333</v>
      </c>
      <c r="O17" s="171"/>
    </row>
    <row r="18" spans="1:15" x14ac:dyDescent="0.3">
      <c r="A18" s="25">
        <v>2004</v>
      </c>
      <c r="B18" s="31">
        <v>731.84</v>
      </c>
      <c r="C18" s="31">
        <v>729.93</v>
      </c>
      <c r="D18" s="31">
        <v>739.06</v>
      </c>
      <c r="E18" s="31">
        <v>729.22</v>
      </c>
      <c r="F18" s="31">
        <v>738.64</v>
      </c>
      <c r="G18" s="31">
        <v>730.46</v>
      </c>
      <c r="H18" s="31">
        <v>740.5</v>
      </c>
      <c r="I18" s="31">
        <v>746.71</v>
      </c>
      <c r="J18" s="31">
        <v>745.13</v>
      </c>
      <c r="K18" s="31">
        <v>742.07</v>
      </c>
      <c r="L18" s="31">
        <v>754.31</v>
      </c>
      <c r="M18" s="31">
        <v>755.5</v>
      </c>
      <c r="N18" s="17">
        <f t="shared" si="0"/>
        <v>740.28083333333325</v>
      </c>
      <c r="O18" s="171"/>
    </row>
    <row r="19" spans="1:15" x14ac:dyDescent="0.3">
      <c r="A19" s="25">
        <v>2005</v>
      </c>
      <c r="B19" s="31">
        <v>761.1</v>
      </c>
      <c r="C19" s="31">
        <v>774.1</v>
      </c>
      <c r="D19" s="31">
        <v>754.34</v>
      </c>
      <c r="E19" s="31">
        <v>764.98</v>
      </c>
      <c r="F19" s="31">
        <v>778.66</v>
      </c>
      <c r="G19" s="31">
        <v>777.86</v>
      </c>
      <c r="H19" s="31">
        <v>776.9</v>
      </c>
      <c r="I19" s="31">
        <v>789.18</v>
      </c>
      <c r="J19" s="31">
        <v>796.83</v>
      </c>
      <c r="K19" s="31">
        <v>802.76</v>
      </c>
      <c r="L19" s="31">
        <v>807.74</v>
      </c>
      <c r="M19" s="31">
        <v>804.83</v>
      </c>
      <c r="N19" s="17">
        <f t="shared" si="0"/>
        <v>782.44</v>
      </c>
    </row>
    <row r="20" spans="1:15" x14ac:dyDescent="0.3">
      <c r="A20" s="25">
        <v>2006</v>
      </c>
      <c r="B20" s="31">
        <v>803.13</v>
      </c>
      <c r="C20" s="31">
        <v>807.74</v>
      </c>
      <c r="D20" s="31">
        <v>810.55</v>
      </c>
      <c r="E20" s="31">
        <v>820.18</v>
      </c>
      <c r="F20" s="31">
        <v>824.97</v>
      </c>
      <c r="G20" s="31">
        <v>814.44</v>
      </c>
      <c r="H20" s="31">
        <v>821.19</v>
      </c>
      <c r="I20" s="31">
        <v>827.16</v>
      </c>
      <c r="J20" s="31">
        <v>820.26</v>
      </c>
      <c r="K20" s="31">
        <v>835.79</v>
      </c>
      <c r="L20" s="31">
        <v>826.01</v>
      </c>
      <c r="M20" s="31">
        <v>847.47</v>
      </c>
      <c r="N20" s="17">
        <f t="shared" si="0"/>
        <v>821.57416666666666</v>
      </c>
    </row>
    <row r="21" spans="1:15" x14ac:dyDescent="0.3">
      <c r="A21" s="7">
        <v>2007</v>
      </c>
      <c r="B21" s="31">
        <v>848.65</v>
      </c>
      <c r="C21" s="31">
        <v>839.89</v>
      </c>
      <c r="D21" s="31">
        <v>850.66</v>
      </c>
      <c r="E21" s="31">
        <v>854.2</v>
      </c>
      <c r="F21" s="31">
        <v>859.87</v>
      </c>
      <c r="G21" s="31">
        <v>873.77</v>
      </c>
      <c r="H21" s="31">
        <v>880.41</v>
      </c>
      <c r="I21" s="31">
        <v>873.04</v>
      </c>
      <c r="J21" s="31">
        <v>886.57</v>
      </c>
      <c r="K21" s="31">
        <v>891.03</v>
      </c>
      <c r="L21" s="31">
        <v>888.03</v>
      </c>
      <c r="M21" s="31">
        <v>894.04</v>
      </c>
      <c r="N21" s="17">
        <f t="shared" si="0"/>
        <v>870.01333333333332</v>
      </c>
    </row>
    <row r="22" spans="1:15" x14ac:dyDescent="0.3">
      <c r="A22" s="7">
        <v>2008</v>
      </c>
      <c r="B22" s="31">
        <v>889.78</v>
      </c>
      <c r="C22" s="31">
        <v>904.47</v>
      </c>
      <c r="D22" s="31">
        <v>912.19</v>
      </c>
      <c r="E22" s="31">
        <v>912.99</v>
      </c>
      <c r="F22" s="31">
        <v>909.68</v>
      </c>
      <c r="G22" s="31">
        <v>922.35</v>
      </c>
      <c r="H22" s="31">
        <v>919</v>
      </c>
      <c r="I22" s="31">
        <v>925.25</v>
      </c>
      <c r="J22" s="31">
        <v>937.31</v>
      </c>
      <c r="K22" s="31">
        <v>931.3</v>
      </c>
      <c r="L22" s="31">
        <v>949.28</v>
      </c>
      <c r="M22" s="31">
        <v>945.06</v>
      </c>
      <c r="N22" s="17">
        <f t="shared" si="0"/>
        <v>921.55499999999995</v>
      </c>
    </row>
    <row r="23" spans="1:15" x14ac:dyDescent="0.3">
      <c r="A23" s="7">
        <v>2009</v>
      </c>
      <c r="B23" s="31">
        <v>949.8</v>
      </c>
      <c r="C23" s="31">
        <v>947.15</v>
      </c>
      <c r="D23" s="31">
        <v>949.66</v>
      </c>
      <c r="E23" s="31">
        <v>940.92</v>
      </c>
      <c r="F23" s="31">
        <v>944.65</v>
      </c>
      <c r="G23" s="31">
        <v>948.72</v>
      </c>
      <c r="H23" s="31">
        <v>952.07</v>
      </c>
      <c r="I23" s="31">
        <v>935.55</v>
      </c>
      <c r="J23" s="31">
        <v>946.03</v>
      </c>
      <c r="K23" s="31">
        <v>948.25</v>
      </c>
      <c r="L23" s="31">
        <v>954.43</v>
      </c>
      <c r="M23" s="31">
        <v>955.35</v>
      </c>
      <c r="N23" s="17">
        <f t="shared" si="0"/>
        <v>947.71500000000003</v>
      </c>
    </row>
    <row r="24" spans="1:15" x14ac:dyDescent="0.3">
      <c r="A24" s="7">
        <v>2010</v>
      </c>
      <c r="B24" s="31">
        <v>959.2</v>
      </c>
      <c r="C24" s="31">
        <v>968.55</v>
      </c>
      <c r="D24" s="31">
        <v>978.04</v>
      </c>
      <c r="E24" s="31">
        <v>993.57</v>
      </c>
      <c r="F24" s="31">
        <v>987.13</v>
      </c>
      <c r="G24" s="31">
        <v>991.38</v>
      </c>
      <c r="H24" s="31">
        <v>998.22</v>
      </c>
      <c r="I24" s="31">
        <v>998.6</v>
      </c>
      <c r="J24" s="31">
        <v>1002.32</v>
      </c>
      <c r="K24" s="31">
        <v>999.46</v>
      </c>
      <c r="L24" s="31">
        <v>1002.77</v>
      </c>
      <c r="M24" s="31">
        <v>1003.25</v>
      </c>
      <c r="N24" s="17">
        <f t="shared" si="0"/>
        <v>990.2075000000001</v>
      </c>
    </row>
    <row r="25" spans="1:15" x14ac:dyDescent="0.3">
      <c r="A25" s="7">
        <v>2011</v>
      </c>
      <c r="B25" s="31">
        <v>1031.3699999999999</v>
      </c>
      <c r="C25" s="31">
        <v>1026.69</v>
      </c>
      <c r="D25" s="31">
        <v>1024.3699999999999</v>
      </c>
      <c r="E25" s="31">
        <v>1027.92</v>
      </c>
      <c r="F25" s="31">
        <v>1033.78</v>
      </c>
      <c r="G25" s="31">
        <v>1034.6600000000001</v>
      </c>
      <c r="H25" s="31">
        <v>1022.45</v>
      </c>
      <c r="I25" s="31">
        <v>1040.78</v>
      </c>
      <c r="J25" s="31">
        <v>1031.3399999999999</v>
      </c>
      <c r="K25" s="31">
        <v>1044.0999999999999</v>
      </c>
      <c r="L25" s="31">
        <v>1042.79</v>
      </c>
      <c r="M25" s="31">
        <v>1043.98</v>
      </c>
      <c r="N25" s="17">
        <f t="shared" si="0"/>
        <v>1033.6858333333332</v>
      </c>
    </row>
    <row r="26" spans="1:15" x14ac:dyDescent="0.3">
      <c r="A26" s="7">
        <v>2012</v>
      </c>
      <c r="B26" s="31">
        <v>1050.7</v>
      </c>
      <c r="C26" s="31">
        <v>1050.99</v>
      </c>
      <c r="D26" s="31">
        <v>1054.56</v>
      </c>
      <c r="E26" s="31">
        <v>1056.82</v>
      </c>
      <c r="F26" s="31">
        <v>1055.74</v>
      </c>
      <c r="G26" s="31">
        <v>1061.5899999999999</v>
      </c>
      <c r="H26" s="31">
        <v>1077.58</v>
      </c>
      <c r="I26" s="31">
        <v>1092.67</v>
      </c>
      <c r="J26" s="31">
        <v>1082.24</v>
      </c>
      <c r="K26" s="31">
        <v>1085.1600000000001</v>
      </c>
      <c r="L26" s="31">
        <v>1081.79</v>
      </c>
      <c r="M26" s="31">
        <v>1082.26</v>
      </c>
      <c r="N26" s="17">
        <f t="shared" si="0"/>
        <v>1069.3416666666667</v>
      </c>
    </row>
    <row r="27" spans="1:15" x14ac:dyDescent="0.3">
      <c r="A27" s="7">
        <v>2013</v>
      </c>
      <c r="B27" s="31">
        <v>1081.52</v>
      </c>
      <c r="C27" s="31">
        <v>1096.57</v>
      </c>
      <c r="D27" s="31">
        <v>1091</v>
      </c>
      <c r="E27" s="31">
        <v>1094.92</v>
      </c>
      <c r="F27" s="31">
        <v>1114.3</v>
      </c>
      <c r="G27" s="31">
        <v>1099.8900000000001</v>
      </c>
      <c r="H27" s="31">
        <v>1103.01</v>
      </c>
      <c r="I27" s="31">
        <v>1103.67</v>
      </c>
      <c r="J27" s="31">
        <v>1112.1400000000001</v>
      </c>
      <c r="K27" s="31">
        <v>1119.75</v>
      </c>
      <c r="L27" s="31">
        <v>1128.24</v>
      </c>
      <c r="M27" s="31">
        <v>1135.73</v>
      </c>
      <c r="N27" s="17">
        <f t="shared" si="0"/>
        <v>1106.7283333333332</v>
      </c>
    </row>
    <row r="28" spans="1:15" x14ac:dyDescent="0.3">
      <c r="A28" s="7">
        <v>2014</v>
      </c>
      <c r="B28" s="31">
        <v>1128.8</v>
      </c>
      <c r="C28" s="31">
        <v>1132.45</v>
      </c>
      <c r="D28" s="31">
        <v>1140.99</v>
      </c>
      <c r="E28" s="31">
        <v>1141.9000000000001</v>
      </c>
      <c r="F28" s="31">
        <v>1152.0899999999999</v>
      </c>
      <c r="G28" s="31">
        <v>1149.22</v>
      </c>
      <c r="H28" s="31">
        <v>1155.8699999999999</v>
      </c>
      <c r="I28" s="31">
        <v>1155.8599999999999</v>
      </c>
      <c r="J28" s="31">
        <v>1154.68</v>
      </c>
      <c r="K28" s="31">
        <v>1163.54</v>
      </c>
      <c r="L28" s="31">
        <v>1156.21</v>
      </c>
      <c r="M28" s="31">
        <v>1148.5899999999999</v>
      </c>
      <c r="N28" s="17">
        <f t="shared" si="0"/>
        <v>1148.3500000000001</v>
      </c>
    </row>
    <row r="29" spans="1:15" x14ac:dyDescent="0.3">
      <c r="A29" s="7">
        <v>2015</v>
      </c>
      <c r="B29" s="31">
        <v>1172.42</v>
      </c>
      <c r="C29" s="31">
        <v>1159.45</v>
      </c>
      <c r="D29" s="31">
        <v>1152.2</v>
      </c>
      <c r="E29" s="31">
        <v>1151.8399999999999</v>
      </c>
      <c r="F29" s="31">
        <v>1152.6600000000001</v>
      </c>
      <c r="G29" s="31">
        <v>1145.0899999999999</v>
      </c>
      <c r="H29" s="31">
        <v>1133.72</v>
      </c>
      <c r="I29" s="31">
        <v>1124.7</v>
      </c>
      <c r="J29" s="31">
        <v>1136.22</v>
      </c>
      <c r="K29" s="31">
        <v>1134.8499999999999</v>
      </c>
      <c r="L29" s="31">
        <v>1130.6600000000001</v>
      </c>
      <c r="M29" s="31">
        <v>1139.8399999999999</v>
      </c>
      <c r="N29" s="17">
        <f t="shared" si="0"/>
        <v>1144.4708333333333</v>
      </c>
    </row>
    <row r="30" spans="1:15" x14ac:dyDescent="0.3">
      <c r="A30" s="7">
        <v>2016</v>
      </c>
      <c r="B30" s="31">
        <v>1115.3699999999999</v>
      </c>
      <c r="C30" s="31">
        <v>1124.1099999999999</v>
      </c>
      <c r="D30" s="31">
        <v>1125.3800000000001</v>
      </c>
      <c r="E30" s="31">
        <v>1118.98</v>
      </c>
      <c r="F30" s="31">
        <v>1103.4000000000001</v>
      </c>
      <c r="G30" s="31">
        <v>1112.4100000000001</v>
      </c>
      <c r="H30" s="31">
        <v>1122.77</v>
      </c>
      <c r="I30" s="31">
        <v>1118.8599999999999</v>
      </c>
      <c r="J30" s="31">
        <v>1113.81</v>
      </c>
      <c r="K30" s="31">
        <v>1106.03</v>
      </c>
      <c r="L30" s="31">
        <v>1115.3800000000001</v>
      </c>
      <c r="M30" s="31">
        <v>1130.1500000000001</v>
      </c>
      <c r="N30" s="17">
        <f t="shared" si="0"/>
        <v>1117.2208333333333</v>
      </c>
    </row>
    <row r="31" spans="1:15" x14ac:dyDescent="0.3">
      <c r="A31" s="7">
        <v>2017</v>
      </c>
      <c r="B31" s="31">
        <v>1111.76</v>
      </c>
      <c r="C31" s="31">
        <v>1110.01</v>
      </c>
      <c r="D31" s="31">
        <v>1116.55</v>
      </c>
      <c r="E31" s="31">
        <v>1126.55</v>
      </c>
      <c r="F31" s="31">
        <v>1113.1400000000001</v>
      </c>
      <c r="G31" s="31">
        <v>1130.6500000000001</v>
      </c>
      <c r="H31" s="31">
        <v>1124.97</v>
      </c>
      <c r="I31" s="31">
        <v>1128.58</v>
      </c>
      <c r="J31" s="31">
        <v>1144.99</v>
      </c>
      <c r="K31" s="31">
        <v>1142.55</v>
      </c>
      <c r="L31" s="31">
        <v>1146.9000000000001</v>
      </c>
      <c r="M31" s="31">
        <v>1146.2</v>
      </c>
      <c r="N31" s="17">
        <f t="shared" si="0"/>
        <v>1128.5708333333332</v>
      </c>
    </row>
    <row r="32" spans="1:15" x14ac:dyDescent="0.3">
      <c r="A32" s="7">
        <v>2018</v>
      </c>
      <c r="B32" s="31">
        <v>1141.4000000000001</v>
      </c>
      <c r="C32" s="31">
        <v>1156.93</v>
      </c>
      <c r="D32" s="31">
        <v>1156.71</v>
      </c>
      <c r="E32" s="31">
        <v>1154.31</v>
      </c>
      <c r="F32" s="31">
        <v>1143.33</v>
      </c>
      <c r="G32" s="31">
        <v>1145.02</v>
      </c>
      <c r="H32" s="31">
        <v>1148.1300000000001</v>
      </c>
      <c r="I32" s="31">
        <v>1156.6300000000001</v>
      </c>
      <c r="J32" s="31">
        <v>1137.0899999999999</v>
      </c>
      <c r="K32" s="31">
        <v>1140.1300000000001</v>
      </c>
      <c r="L32" s="31">
        <v>1150.8599999999999</v>
      </c>
      <c r="M32" s="31">
        <v>1142.4100000000001</v>
      </c>
      <c r="N32" s="17">
        <f t="shared" si="0"/>
        <v>1147.7458333333334</v>
      </c>
    </row>
    <row r="33" spans="1:14" x14ac:dyDescent="0.3">
      <c r="A33" s="7">
        <v>2019</v>
      </c>
      <c r="B33" s="31">
        <v>1145.95</v>
      </c>
      <c r="C33" s="31">
        <v>1141.22</v>
      </c>
      <c r="D33" s="31">
        <v>1161.3599999999999</v>
      </c>
      <c r="E33" s="31">
        <v>1143.21</v>
      </c>
      <c r="F33" s="31">
        <v>1183.17</v>
      </c>
      <c r="G33" s="31">
        <v>1161.1500000000001</v>
      </c>
      <c r="H33" s="31">
        <v>1157.22</v>
      </c>
      <c r="I33" s="31">
        <v>1163.26</v>
      </c>
      <c r="J33" s="31">
        <v>1173.0999999999999</v>
      </c>
      <c r="K33" s="31">
        <v>1194.9100000000001</v>
      </c>
      <c r="L33" s="31">
        <v>1171.21</v>
      </c>
      <c r="M33" s="31">
        <v>1170.98</v>
      </c>
      <c r="N33" s="17">
        <f t="shared" si="0"/>
        <v>1163.8949999999998</v>
      </c>
    </row>
    <row r="34" spans="1:14" x14ac:dyDescent="0.3">
      <c r="A34" s="7">
        <v>2020</v>
      </c>
      <c r="B34" s="31">
        <v>1185.29</v>
      </c>
      <c r="C34" s="31">
        <v>1179.6400000000001</v>
      </c>
      <c r="D34" s="31">
        <v>1169.8399999999999</v>
      </c>
      <c r="E34" s="31">
        <v>1241.1099999999999</v>
      </c>
      <c r="F34" s="31">
        <v>1251.27</v>
      </c>
      <c r="G34" s="31">
        <v>1203.51</v>
      </c>
      <c r="H34" s="31">
        <v>1207.22</v>
      </c>
      <c r="I34" s="31">
        <v>1204.25</v>
      </c>
      <c r="J34" s="31">
        <v>1197.19</v>
      </c>
      <c r="K34" s="31">
        <v>1187.42</v>
      </c>
      <c r="L34" s="31">
        <v>1195.5899999999999</v>
      </c>
      <c r="M34" s="31">
        <v>1201.81</v>
      </c>
      <c r="N34" s="17">
        <f t="shared" si="0"/>
        <v>1202.0116666666665</v>
      </c>
    </row>
    <row r="35" spans="1:14" x14ac:dyDescent="0.3">
      <c r="A35" s="7">
        <v>2021</v>
      </c>
      <c r="B35" s="31">
        <v>1237.67</v>
      </c>
      <c r="C35" s="31">
        <v>1237.75</v>
      </c>
      <c r="D35" s="31">
        <v>1207.5999999999999</v>
      </c>
      <c r="E35" s="31">
        <v>1223.31</v>
      </c>
      <c r="F35" s="31">
        <v>1228.04</v>
      </c>
      <c r="G35" s="31">
        <v>1214.68</v>
      </c>
      <c r="H35" s="31">
        <v>1231.55</v>
      </c>
      <c r="I35" s="31">
        <v>1219.51</v>
      </c>
      <c r="J35" s="31">
        <v>1230.99</v>
      </c>
      <c r="K35" s="31">
        <v>1227.97</v>
      </c>
      <c r="L35" s="31"/>
      <c r="M35" s="31"/>
      <c r="N35" s="17">
        <f t="shared" si="0"/>
        <v>1225.9069999999999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22"/>
  <dimension ref="A1:O35"/>
  <sheetViews>
    <sheetView workbookViewId="0">
      <pane xSplit="1" ySplit="4" topLeftCell="B23" activePane="bottomRight" state="frozen"/>
      <selection activeCell="B35" sqref="B35"/>
      <selection pane="topRight" activeCell="B35" sqref="B35"/>
      <selection pane="bottomLeft" activeCell="B35" sqref="B35"/>
      <selection pane="bottomRight" activeCell="L35" sqref="L35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68</v>
      </c>
      <c r="B1" s="1"/>
      <c r="C1" s="1"/>
    </row>
    <row r="2" spans="1:15" x14ac:dyDescent="0.3">
      <c r="A2" s="161"/>
      <c r="B2" s="45">
        <v>11</v>
      </c>
      <c r="C2" s="162" t="s">
        <v>154</v>
      </c>
    </row>
    <row r="3" spans="1:15" s="1" customFormat="1" x14ac:dyDescent="0.3">
      <c r="A3" s="1" t="s">
        <v>119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541.57000000000005</v>
      </c>
      <c r="C5" s="31">
        <v>538.59</v>
      </c>
      <c r="D5" s="31">
        <v>548.58000000000004</v>
      </c>
      <c r="E5" s="31">
        <v>551.28</v>
      </c>
      <c r="F5" s="31">
        <v>552.37</v>
      </c>
      <c r="G5" s="31">
        <v>553.35</v>
      </c>
      <c r="H5" s="31">
        <v>546.66999999999996</v>
      </c>
      <c r="I5" s="31">
        <v>552.41</v>
      </c>
      <c r="J5" s="31">
        <v>554.53</v>
      </c>
      <c r="K5" s="31">
        <v>554.91</v>
      </c>
      <c r="L5" s="31">
        <v>556.17999999999995</v>
      </c>
      <c r="M5" s="31">
        <v>559.04</v>
      </c>
      <c r="N5" s="17">
        <v>550.79000000000008</v>
      </c>
      <c r="O5" s="171"/>
    </row>
    <row r="6" spans="1:15" x14ac:dyDescent="0.3">
      <c r="A6" s="25">
        <v>1992</v>
      </c>
      <c r="B6" s="31">
        <v>565.12</v>
      </c>
      <c r="C6" s="31">
        <v>567.04999999999995</v>
      </c>
      <c r="D6" s="31">
        <v>563.64</v>
      </c>
      <c r="E6" s="31">
        <v>562.45000000000005</v>
      </c>
      <c r="F6" s="31">
        <v>567.09</v>
      </c>
      <c r="G6" s="31">
        <v>564.34</v>
      </c>
      <c r="H6" s="31">
        <v>563.6</v>
      </c>
      <c r="I6" s="31">
        <v>565.98</v>
      </c>
      <c r="J6" s="31">
        <v>571.94000000000005</v>
      </c>
      <c r="K6" s="31">
        <v>574.76</v>
      </c>
      <c r="L6" s="31">
        <v>575.92999999999995</v>
      </c>
      <c r="M6" s="31">
        <v>573.98</v>
      </c>
      <c r="N6" s="17">
        <v>567.99000000000012</v>
      </c>
      <c r="O6" s="171"/>
    </row>
    <row r="7" spans="1:15" x14ac:dyDescent="0.3">
      <c r="A7" s="25">
        <v>1993</v>
      </c>
      <c r="B7" s="31">
        <v>571.41999999999996</v>
      </c>
      <c r="C7" s="31">
        <v>574.15</v>
      </c>
      <c r="D7" s="31">
        <v>578.24</v>
      </c>
      <c r="E7" s="31">
        <v>580.65</v>
      </c>
      <c r="F7" s="31">
        <v>576.39</v>
      </c>
      <c r="G7" s="31">
        <v>580.36</v>
      </c>
      <c r="H7" s="31">
        <v>584.38</v>
      </c>
      <c r="I7" s="31">
        <v>586.13</v>
      </c>
      <c r="J7" s="31">
        <v>584.55999999999995</v>
      </c>
      <c r="K7" s="31">
        <v>583.45000000000005</v>
      </c>
      <c r="L7" s="31">
        <v>584.78</v>
      </c>
      <c r="M7" s="31">
        <v>589.08000000000004</v>
      </c>
      <c r="N7" s="17">
        <v>581.13250000000005</v>
      </c>
      <c r="O7" s="171"/>
    </row>
    <row r="8" spans="1:15" x14ac:dyDescent="0.3">
      <c r="A8" s="25">
        <v>1994</v>
      </c>
      <c r="B8" s="31">
        <v>595.09</v>
      </c>
      <c r="C8" s="31">
        <v>591.23</v>
      </c>
      <c r="D8" s="31">
        <v>590.09</v>
      </c>
      <c r="E8" s="31">
        <v>593.36</v>
      </c>
      <c r="F8" s="31">
        <v>597.45000000000005</v>
      </c>
      <c r="G8" s="31">
        <v>597.07000000000005</v>
      </c>
      <c r="H8" s="31">
        <v>600.82000000000005</v>
      </c>
      <c r="I8" s="31">
        <v>596.66</v>
      </c>
      <c r="J8" s="31">
        <v>599.51</v>
      </c>
      <c r="K8" s="31">
        <v>599.85</v>
      </c>
      <c r="L8" s="31">
        <v>603.38</v>
      </c>
      <c r="M8" s="31">
        <v>604.38</v>
      </c>
      <c r="N8" s="17">
        <v>597.40750000000014</v>
      </c>
      <c r="O8" s="171"/>
    </row>
    <row r="9" spans="1:15" x14ac:dyDescent="0.3">
      <c r="A9" s="25">
        <v>1995</v>
      </c>
      <c r="B9" s="31">
        <v>604.91999999999996</v>
      </c>
      <c r="C9" s="31">
        <v>610.54999999999995</v>
      </c>
      <c r="D9" s="31">
        <v>612.30999999999995</v>
      </c>
      <c r="E9" s="31">
        <v>613.63</v>
      </c>
      <c r="F9" s="31">
        <v>615.16</v>
      </c>
      <c r="G9" s="31">
        <v>615.88</v>
      </c>
      <c r="H9" s="31">
        <v>614.53</v>
      </c>
      <c r="I9" s="31">
        <v>619.96</v>
      </c>
      <c r="J9" s="31">
        <v>618.75</v>
      </c>
      <c r="K9" s="31">
        <v>620.77</v>
      </c>
      <c r="L9" s="31">
        <v>618.66</v>
      </c>
      <c r="M9" s="31">
        <v>617.87</v>
      </c>
      <c r="N9" s="17">
        <v>615.24916666666661</v>
      </c>
      <c r="O9" s="171"/>
    </row>
    <row r="10" spans="1:15" x14ac:dyDescent="0.3">
      <c r="A10" s="25">
        <v>1996</v>
      </c>
      <c r="B10" s="31">
        <v>617.79</v>
      </c>
      <c r="C10" s="31">
        <v>618.16</v>
      </c>
      <c r="D10" s="31">
        <v>621.53</v>
      </c>
      <c r="E10" s="31">
        <v>619.57000000000005</v>
      </c>
      <c r="F10" s="31">
        <v>621.97</v>
      </c>
      <c r="G10" s="31">
        <v>631.97</v>
      </c>
      <c r="H10" s="31">
        <v>634.9</v>
      </c>
      <c r="I10" s="31">
        <v>631.32000000000005</v>
      </c>
      <c r="J10" s="31">
        <v>630.23</v>
      </c>
      <c r="K10" s="31">
        <v>635.09</v>
      </c>
      <c r="L10" s="31">
        <v>638.27</v>
      </c>
      <c r="M10" s="31">
        <v>637.91999999999996</v>
      </c>
      <c r="N10" s="17">
        <v>628.22666666666657</v>
      </c>
      <c r="O10" s="171"/>
    </row>
    <row r="11" spans="1:15" x14ac:dyDescent="0.3">
      <c r="A11" s="25">
        <v>1997</v>
      </c>
      <c r="B11" s="31">
        <v>637.72</v>
      </c>
      <c r="C11" s="31">
        <v>635.46</v>
      </c>
      <c r="D11" s="31">
        <v>635.21</v>
      </c>
      <c r="E11" s="31">
        <v>636.39</v>
      </c>
      <c r="F11" s="31">
        <v>647.84</v>
      </c>
      <c r="G11" s="31">
        <v>640.98</v>
      </c>
      <c r="H11" s="31">
        <v>639.1</v>
      </c>
      <c r="I11" s="31">
        <v>639.94000000000005</v>
      </c>
      <c r="J11" s="31">
        <v>638.65</v>
      </c>
      <c r="K11" s="31">
        <v>638.75</v>
      </c>
      <c r="L11" s="31">
        <v>636.65</v>
      </c>
      <c r="M11" s="31">
        <v>637.91</v>
      </c>
      <c r="N11" s="17">
        <v>638.7166666666667</v>
      </c>
      <c r="O11" s="171"/>
    </row>
    <row r="12" spans="1:15" x14ac:dyDescent="0.3">
      <c r="A12" s="25">
        <v>1998</v>
      </c>
      <c r="B12" s="31">
        <v>639.37</v>
      </c>
      <c r="C12" s="31">
        <v>642.01</v>
      </c>
      <c r="D12" s="31">
        <v>641.76</v>
      </c>
      <c r="E12" s="31">
        <v>641.54</v>
      </c>
      <c r="F12" s="31">
        <v>639.49</v>
      </c>
      <c r="G12" s="31">
        <v>640.66999999999996</v>
      </c>
      <c r="H12" s="31">
        <v>641.86</v>
      </c>
      <c r="I12" s="31">
        <v>644.41</v>
      </c>
      <c r="J12" s="31">
        <v>645.53</v>
      </c>
      <c r="K12" s="31">
        <v>645.80999999999995</v>
      </c>
      <c r="L12" s="31">
        <v>646.9</v>
      </c>
      <c r="M12" s="31">
        <v>647.20000000000005</v>
      </c>
      <c r="N12" s="17">
        <v>643.04583333333323</v>
      </c>
      <c r="O12" s="171"/>
    </row>
    <row r="13" spans="1:15" x14ac:dyDescent="0.3">
      <c r="A13" s="25">
        <v>1999</v>
      </c>
      <c r="B13" s="31">
        <v>646.16999999999996</v>
      </c>
      <c r="C13" s="31">
        <v>646.38</v>
      </c>
      <c r="D13" s="31">
        <v>648.6</v>
      </c>
      <c r="E13" s="31">
        <v>651.38</v>
      </c>
      <c r="F13" s="31">
        <v>652.01</v>
      </c>
      <c r="G13" s="31">
        <v>649.82000000000005</v>
      </c>
      <c r="H13" s="31">
        <v>651.57000000000005</v>
      </c>
      <c r="I13" s="31">
        <v>650.76</v>
      </c>
      <c r="J13" s="31">
        <v>654.54</v>
      </c>
      <c r="K13" s="31">
        <v>651.71</v>
      </c>
      <c r="L13" s="31">
        <v>653.13</v>
      </c>
      <c r="M13" s="31">
        <v>654.59</v>
      </c>
      <c r="N13" s="17">
        <v>650.88833333333343</v>
      </c>
      <c r="O13" s="171"/>
    </row>
    <row r="14" spans="1:15" x14ac:dyDescent="0.3">
      <c r="A14" s="25">
        <v>2000</v>
      </c>
      <c r="B14" s="31">
        <v>658.7</v>
      </c>
      <c r="C14" s="31">
        <v>657.99</v>
      </c>
      <c r="D14" s="31">
        <v>658.43</v>
      </c>
      <c r="E14" s="31">
        <v>662.73</v>
      </c>
      <c r="F14" s="31">
        <v>666.46</v>
      </c>
      <c r="G14" s="31">
        <v>661.57</v>
      </c>
      <c r="H14" s="31">
        <v>662.33</v>
      </c>
      <c r="I14" s="31">
        <v>664.67</v>
      </c>
      <c r="J14" s="31">
        <v>663.57</v>
      </c>
      <c r="K14" s="31">
        <v>665.31</v>
      </c>
      <c r="L14" s="31">
        <v>665.45</v>
      </c>
      <c r="M14" s="31">
        <v>665.42</v>
      </c>
      <c r="N14" s="17">
        <v>662.71916666666664</v>
      </c>
      <c r="O14" s="171"/>
    </row>
    <row r="15" spans="1:15" x14ac:dyDescent="0.3">
      <c r="A15" s="25">
        <v>2001</v>
      </c>
      <c r="B15" s="31">
        <v>657.37</v>
      </c>
      <c r="C15" s="31">
        <v>653.92999999999995</v>
      </c>
      <c r="D15" s="31">
        <v>653.36</v>
      </c>
      <c r="E15" s="31">
        <v>654.03</v>
      </c>
      <c r="F15" s="31">
        <v>662.36</v>
      </c>
      <c r="G15" s="31">
        <v>656.49</v>
      </c>
      <c r="H15" s="31">
        <v>658.71</v>
      </c>
      <c r="I15" s="31">
        <v>661.44</v>
      </c>
      <c r="J15" s="31">
        <v>660.51</v>
      </c>
      <c r="K15" s="31">
        <v>663.57</v>
      </c>
      <c r="L15" s="31">
        <v>653.52</v>
      </c>
      <c r="M15" s="31">
        <v>659.65</v>
      </c>
      <c r="N15" s="17">
        <f>AVERAGE(B15:M15)</f>
        <v>657.91166666666675</v>
      </c>
      <c r="O15" s="171"/>
    </row>
    <row r="16" spans="1:15" x14ac:dyDescent="0.3">
      <c r="A16" s="25">
        <v>2002</v>
      </c>
      <c r="B16" s="31">
        <v>660.48</v>
      </c>
      <c r="C16" s="31">
        <v>658.97</v>
      </c>
      <c r="D16" s="31">
        <v>671.65</v>
      </c>
      <c r="E16" s="31">
        <v>673.99</v>
      </c>
      <c r="F16" s="31">
        <v>669.37</v>
      </c>
      <c r="G16" s="31">
        <v>670.09</v>
      </c>
      <c r="H16" s="31">
        <v>674.74</v>
      </c>
      <c r="I16" s="31">
        <v>667.62</v>
      </c>
      <c r="J16" s="31">
        <v>674.54</v>
      </c>
      <c r="K16" s="31">
        <v>674.33</v>
      </c>
      <c r="L16" s="31">
        <v>675.78</v>
      </c>
      <c r="M16" s="31">
        <v>686.22</v>
      </c>
      <c r="N16" s="17">
        <f t="shared" ref="N16:N35" si="0">AVERAGE(B16:M16)</f>
        <v>671.48166666666668</v>
      </c>
      <c r="O16" s="171"/>
    </row>
    <row r="17" spans="1:15" x14ac:dyDescent="0.3">
      <c r="A17" s="25">
        <v>2003</v>
      </c>
      <c r="B17" s="31">
        <v>679.37</v>
      </c>
      <c r="C17" s="31">
        <v>683.24</v>
      </c>
      <c r="D17" s="31">
        <v>679.43</v>
      </c>
      <c r="E17" s="31">
        <v>684.37</v>
      </c>
      <c r="F17" s="31">
        <v>676.7</v>
      </c>
      <c r="G17" s="31">
        <v>689.63</v>
      </c>
      <c r="H17" s="31">
        <v>684.78</v>
      </c>
      <c r="I17" s="31">
        <v>688.3</v>
      </c>
      <c r="J17" s="31">
        <v>689.78</v>
      </c>
      <c r="K17" s="31">
        <v>689.71</v>
      </c>
      <c r="L17" s="31">
        <v>699.27</v>
      </c>
      <c r="M17" s="31">
        <v>685.91</v>
      </c>
      <c r="N17" s="17">
        <f t="shared" si="0"/>
        <v>685.87416666666661</v>
      </c>
      <c r="O17" s="171"/>
    </row>
    <row r="18" spans="1:15" x14ac:dyDescent="0.3">
      <c r="A18" s="25">
        <v>2004</v>
      </c>
      <c r="B18" s="31">
        <v>690.77</v>
      </c>
      <c r="C18" s="31">
        <v>693.43</v>
      </c>
      <c r="D18" s="31">
        <v>697.09</v>
      </c>
      <c r="E18" s="31">
        <v>687.24</v>
      </c>
      <c r="F18" s="31">
        <v>694.7</v>
      </c>
      <c r="G18" s="31">
        <v>689.96</v>
      </c>
      <c r="H18" s="31">
        <v>698.98</v>
      </c>
      <c r="I18" s="31">
        <v>703.1</v>
      </c>
      <c r="J18" s="31">
        <v>699.35</v>
      </c>
      <c r="K18" s="31">
        <v>702.74</v>
      </c>
      <c r="L18" s="31">
        <v>704.88</v>
      </c>
      <c r="M18" s="31">
        <v>706.8</v>
      </c>
      <c r="N18" s="17">
        <f t="shared" si="0"/>
        <v>697.42000000000007</v>
      </c>
      <c r="O18" s="171"/>
    </row>
    <row r="19" spans="1:15" x14ac:dyDescent="0.3">
      <c r="A19" s="25">
        <v>2005</v>
      </c>
      <c r="B19" s="31">
        <v>714.23</v>
      </c>
      <c r="C19" s="31">
        <v>718.02</v>
      </c>
      <c r="D19" s="31">
        <v>709.18</v>
      </c>
      <c r="E19" s="31">
        <v>714.84</v>
      </c>
      <c r="F19" s="31">
        <v>722.11</v>
      </c>
      <c r="G19" s="31">
        <v>724.78</v>
      </c>
      <c r="H19" s="31">
        <v>718.97</v>
      </c>
      <c r="I19" s="31">
        <v>725.73</v>
      </c>
      <c r="J19" s="31">
        <v>731.98</v>
      </c>
      <c r="K19" s="31">
        <v>728.45</v>
      </c>
      <c r="L19" s="31">
        <v>734.24</v>
      </c>
      <c r="M19" s="31">
        <v>729.64</v>
      </c>
      <c r="N19" s="17">
        <f t="shared" si="0"/>
        <v>722.68083333333334</v>
      </c>
    </row>
    <row r="20" spans="1:15" x14ac:dyDescent="0.3">
      <c r="A20" s="25">
        <v>2006</v>
      </c>
      <c r="B20" s="31">
        <v>732.99</v>
      </c>
      <c r="C20" s="31">
        <v>738.06</v>
      </c>
      <c r="D20" s="31">
        <v>735.35</v>
      </c>
      <c r="E20" s="31">
        <v>743.67</v>
      </c>
      <c r="F20" s="31">
        <v>746.52</v>
      </c>
      <c r="G20" s="31">
        <v>739.67</v>
      </c>
      <c r="H20" s="31">
        <v>745.6</v>
      </c>
      <c r="I20" s="31">
        <v>746.36</v>
      </c>
      <c r="J20" s="31">
        <v>741.72</v>
      </c>
      <c r="K20" s="31">
        <v>750.26</v>
      </c>
      <c r="L20" s="31">
        <v>744.87</v>
      </c>
      <c r="M20" s="31">
        <v>759.23</v>
      </c>
      <c r="N20" s="17">
        <f t="shared" si="0"/>
        <v>743.69166666666672</v>
      </c>
    </row>
    <row r="21" spans="1:15" x14ac:dyDescent="0.3">
      <c r="A21" s="7">
        <v>2007</v>
      </c>
      <c r="B21" s="31">
        <v>760.02</v>
      </c>
      <c r="C21" s="31">
        <v>752.46</v>
      </c>
      <c r="D21" s="31">
        <v>759.51</v>
      </c>
      <c r="E21" s="31">
        <v>762.1</v>
      </c>
      <c r="F21" s="31">
        <v>764.38</v>
      </c>
      <c r="G21" s="31">
        <v>774.9</v>
      </c>
      <c r="H21" s="31">
        <v>774.7</v>
      </c>
      <c r="I21" s="31">
        <v>770.01</v>
      </c>
      <c r="J21" s="31">
        <v>775.68</v>
      </c>
      <c r="K21" s="31">
        <v>777.6</v>
      </c>
      <c r="L21" s="31">
        <v>779.92</v>
      </c>
      <c r="M21" s="31">
        <v>778.38</v>
      </c>
      <c r="N21" s="17">
        <f t="shared" si="0"/>
        <v>769.13833333333332</v>
      </c>
    </row>
    <row r="22" spans="1:15" x14ac:dyDescent="0.3">
      <c r="A22" s="7">
        <v>2008</v>
      </c>
      <c r="B22" s="31">
        <v>775.11</v>
      </c>
      <c r="C22" s="31">
        <v>782.34</v>
      </c>
      <c r="D22" s="31">
        <v>786.88</v>
      </c>
      <c r="E22" s="31">
        <v>788.65</v>
      </c>
      <c r="F22" s="31">
        <v>784.88</v>
      </c>
      <c r="G22" s="31">
        <v>790.12</v>
      </c>
      <c r="H22" s="31">
        <v>786.72</v>
      </c>
      <c r="I22" s="31">
        <v>795.32</v>
      </c>
      <c r="J22" s="31">
        <v>795.19</v>
      </c>
      <c r="K22" s="31">
        <v>791.91</v>
      </c>
      <c r="L22" s="31">
        <v>799.69</v>
      </c>
      <c r="M22" s="31">
        <v>782.12</v>
      </c>
      <c r="N22" s="17">
        <f t="shared" si="0"/>
        <v>788.24416666666684</v>
      </c>
    </row>
    <row r="23" spans="1:15" x14ac:dyDescent="0.3">
      <c r="A23" s="7">
        <v>2009</v>
      </c>
      <c r="B23" s="31">
        <v>792.4</v>
      </c>
      <c r="C23" s="31">
        <v>787.55</v>
      </c>
      <c r="D23" s="31">
        <v>792.89</v>
      </c>
      <c r="E23" s="31">
        <v>792.71</v>
      </c>
      <c r="F23" s="31">
        <v>788.8</v>
      </c>
      <c r="G23" s="31">
        <v>790.35</v>
      </c>
      <c r="H23" s="31">
        <v>795.26</v>
      </c>
      <c r="I23" s="31">
        <v>793.7</v>
      </c>
      <c r="J23" s="31">
        <v>798.54</v>
      </c>
      <c r="K23" s="31">
        <v>803.85</v>
      </c>
      <c r="L23" s="31">
        <v>800.2</v>
      </c>
      <c r="M23" s="31">
        <v>809.7</v>
      </c>
      <c r="N23" s="17">
        <f t="shared" si="0"/>
        <v>795.49583333333339</v>
      </c>
    </row>
    <row r="24" spans="1:15" x14ac:dyDescent="0.3">
      <c r="A24" s="7">
        <v>2010</v>
      </c>
      <c r="B24" s="31">
        <v>798.02</v>
      </c>
      <c r="C24" s="31">
        <v>806.88</v>
      </c>
      <c r="D24" s="31">
        <v>810.16</v>
      </c>
      <c r="E24" s="31">
        <v>811.98</v>
      </c>
      <c r="F24" s="31">
        <v>818.17</v>
      </c>
      <c r="G24" s="31">
        <v>812.28</v>
      </c>
      <c r="H24" s="31">
        <v>825.64</v>
      </c>
      <c r="I24" s="31">
        <v>824.34</v>
      </c>
      <c r="J24" s="31">
        <v>830.17</v>
      </c>
      <c r="K24" s="31">
        <v>826.47</v>
      </c>
      <c r="L24" s="31">
        <v>823.79</v>
      </c>
      <c r="M24" s="31">
        <v>830.1</v>
      </c>
      <c r="N24" s="17">
        <f t="shared" si="0"/>
        <v>818.16666666666686</v>
      </c>
    </row>
    <row r="25" spans="1:15" x14ac:dyDescent="0.3">
      <c r="A25" s="7">
        <v>2011</v>
      </c>
      <c r="B25" s="31">
        <v>835.79</v>
      </c>
      <c r="C25" s="31">
        <v>835.85</v>
      </c>
      <c r="D25" s="31">
        <v>835.59</v>
      </c>
      <c r="E25" s="31">
        <v>835.37</v>
      </c>
      <c r="F25" s="31">
        <v>842.36</v>
      </c>
      <c r="G25" s="31">
        <v>847.33</v>
      </c>
      <c r="H25" s="31">
        <v>830.94</v>
      </c>
      <c r="I25" s="31">
        <v>843.76</v>
      </c>
      <c r="J25" s="31">
        <v>842.9</v>
      </c>
      <c r="K25" s="31">
        <v>849.19</v>
      </c>
      <c r="L25" s="31">
        <v>849.74</v>
      </c>
      <c r="M25" s="31">
        <v>847.11</v>
      </c>
      <c r="N25" s="17">
        <f t="shared" si="0"/>
        <v>841.32749999999999</v>
      </c>
    </row>
    <row r="26" spans="1:15" x14ac:dyDescent="0.3">
      <c r="A26" s="7">
        <v>2012</v>
      </c>
      <c r="B26" s="31">
        <v>856.5</v>
      </c>
      <c r="C26" s="31">
        <v>855.74</v>
      </c>
      <c r="D26" s="31">
        <v>860.95</v>
      </c>
      <c r="E26" s="31">
        <v>861.29</v>
      </c>
      <c r="F26" s="31">
        <v>858.05</v>
      </c>
      <c r="G26" s="31">
        <v>868.14</v>
      </c>
      <c r="H26" s="31">
        <v>874.95</v>
      </c>
      <c r="I26" s="31">
        <v>871.45</v>
      </c>
      <c r="J26" s="31">
        <v>872.95</v>
      </c>
      <c r="K26" s="31">
        <v>872.39</v>
      </c>
      <c r="L26" s="31">
        <v>873.27</v>
      </c>
      <c r="M26" s="31">
        <v>872.26</v>
      </c>
      <c r="N26" s="17">
        <f t="shared" si="0"/>
        <v>866.495</v>
      </c>
    </row>
    <row r="27" spans="1:15" x14ac:dyDescent="0.3">
      <c r="A27" s="7">
        <v>2013</v>
      </c>
      <c r="B27" s="31">
        <v>870.2</v>
      </c>
      <c r="C27" s="31">
        <v>873.87</v>
      </c>
      <c r="D27" s="31">
        <v>865.75</v>
      </c>
      <c r="E27" s="31">
        <v>871.3</v>
      </c>
      <c r="F27" s="31">
        <v>878.16</v>
      </c>
      <c r="G27" s="31">
        <v>873.09</v>
      </c>
      <c r="H27" s="31">
        <v>872.74</v>
      </c>
      <c r="I27" s="31">
        <v>874.54</v>
      </c>
      <c r="J27" s="31">
        <v>875.86</v>
      </c>
      <c r="K27" s="31">
        <v>877.67</v>
      </c>
      <c r="L27" s="31">
        <v>890.02</v>
      </c>
      <c r="M27" s="31">
        <v>885.59</v>
      </c>
      <c r="N27" s="17">
        <f t="shared" si="0"/>
        <v>875.73249999999996</v>
      </c>
    </row>
    <row r="28" spans="1:15" x14ac:dyDescent="0.3">
      <c r="A28" s="7">
        <v>2014</v>
      </c>
      <c r="B28" s="31">
        <v>888.25</v>
      </c>
      <c r="C28" s="31">
        <v>889.86</v>
      </c>
      <c r="D28" s="31">
        <v>897.42</v>
      </c>
      <c r="E28" s="31">
        <v>897.67</v>
      </c>
      <c r="F28" s="31">
        <v>897.71</v>
      </c>
      <c r="G28" s="31">
        <v>889.56</v>
      </c>
      <c r="H28" s="31">
        <v>896.9</v>
      </c>
      <c r="I28" s="31">
        <v>903.79</v>
      </c>
      <c r="J28" s="31">
        <v>900.73</v>
      </c>
      <c r="K28" s="31">
        <v>906</v>
      </c>
      <c r="L28" s="31">
        <v>904.82</v>
      </c>
      <c r="M28" s="31">
        <v>888.38</v>
      </c>
      <c r="N28" s="17">
        <f t="shared" si="0"/>
        <v>896.75749999999982</v>
      </c>
    </row>
    <row r="29" spans="1:15" x14ac:dyDescent="0.3">
      <c r="A29" s="7">
        <v>2015</v>
      </c>
      <c r="B29" s="31">
        <v>913.69</v>
      </c>
      <c r="C29" s="31">
        <v>910.77</v>
      </c>
      <c r="D29" s="31">
        <v>907.77</v>
      </c>
      <c r="E29" s="31">
        <v>904.37</v>
      </c>
      <c r="F29" s="31">
        <v>906.31</v>
      </c>
      <c r="G29" s="31">
        <v>907.82</v>
      </c>
      <c r="H29" s="31">
        <v>917.69</v>
      </c>
      <c r="I29" s="31">
        <v>909.42</v>
      </c>
      <c r="J29" s="31">
        <v>912.65</v>
      </c>
      <c r="K29" s="31">
        <v>914.81</v>
      </c>
      <c r="L29" s="31">
        <v>909.25</v>
      </c>
      <c r="M29" s="31">
        <v>917.15</v>
      </c>
      <c r="N29" s="17">
        <f t="shared" si="0"/>
        <v>910.97499999999991</v>
      </c>
    </row>
    <row r="30" spans="1:15" x14ac:dyDescent="0.3">
      <c r="A30" s="7">
        <v>2016</v>
      </c>
      <c r="B30" s="31">
        <v>907.68</v>
      </c>
      <c r="C30" s="31">
        <v>916.6</v>
      </c>
      <c r="D30" s="31">
        <v>915.73</v>
      </c>
      <c r="E30" s="31">
        <v>923.4</v>
      </c>
      <c r="F30" s="31">
        <v>919.18</v>
      </c>
      <c r="G30" s="31">
        <v>927.4</v>
      </c>
      <c r="H30" s="31">
        <v>917.43</v>
      </c>
      <c r="I30" s="31">
        <v>922.16</v>
      </c>
      <c r="J30" s="31">
        <v>918.98</v>
      </c>
      <c r="K30" s="31">
        <v>917.79</v>
      </c>
      <c r="L30" s="31">
        <v>927.52</v>
      </c>
      <c r="M30" s="31">
        <v>931.2</v>
      </c>
      <c r="N30" s="17">
        <f t="shared" si="0"/>
        <v>920.42250000000001</v>
      </c>
    </row>
    <row r="31" spans="1:15" x14ac:dyDescent="0.3">
      <c r="A31" s="7">
        <v>2017</v>
      </c>
      <c r="B31" s="31">
        <v>933.49</v>
      </c>
      <c r="C31" s="31">
        <v>933.34</v>
      </c>
      <c r="D31" s="31">
        <v>933.44</v>
      </c>
      <c r="E31" s="31">
        <v>941.14</v>
      </c>
      <c r="F31" s="31">
        <v>942.96</v>
      </c>
      <c r="G31" s="31">
        <v>945.3</v>
      </c>
      <c r="H31" s="31">
        <v>939.82</v>
      </c>
      <c r="I31" s="31">
        <v>939.63</v>
      </c>
      <c r="J31" s="31">
        <v>951.62</v>
      </c>
      <c r="K31" s="31">
        <v>950.15</v>
      </c>
      <c r="L31" s="31">
        <v>952.55</v>
      </c>
      <c r="M31" s="31">
        <v>958.36</v>
      </c>
      <c r="N31" s="17">
        <f t="shared" si="0"/>
        <v>943.48333333333323</v>
      </c>
    </row>
    <row r="32" spans="1:15" x14ac:dyDescent="0.3">
      <c r="A32" s="7">
        <v>2018</v>
      </c>
      <c r="B32" s="31">
        <v>958.18</v>
      </c>
      <c r="C32" s="31">
        <v>962.49</v>
      </c>
      <c r="D32" s="31">
        <v>963.5</v>
      </c>
      <c r="E32" s="31">
        <v>953.96</v>
      </c>
      <c r="F32" s="31">
        <v>958.99</v>
      </c>
      <c r="G32" s="31">
        <v>967.72</v>
      </c>
      <c r="H32" s="31">
        <v>973.83</v>
      </c>
      <c r="I32" s="31">
        <v>979.56</v>
      </c>
      <c r="J32" s="31">
        <v>975.55</v>
      </c>
      <c r="K32" s="31">
        <v>978.26</v>
      </c>
      <c r="L32" s="31">
        <v>979.83</v>
      </c>
      <c r="M32" s="31">
        <v>977.17</v>
      </c>
      <c r="N32" s="17">
        <f t="shared" si="0"/>
        <v>969.08666666666659</v>
      </c>
    </row>
    <row r="33" spans="1:14" x14ac:dyDescent="0.3">
      <c r="A33" s="7">
        <v>2019</v>
      </c>
      <c r="B33" s="31">
        <v>974.23</v>
      </c>
      <c r="C33" s="31">
        <v>974.44</v>
      </c>
      <c r="D33" s="31">
        <v>985.47</v>
      </c>
      <c r="E33" s="31">
        <v>990.85</v>
      </c>
      <c r="F33" s="31">
        <v>1003.92</v>
      </c>
      <c r="G33" s="31">
        <v>993.67</v>
      </c>
      <c r="H33" s="31">
        <v>995.7</v>
      </c>
      <c r="I33" s="31">
        <v>1003.2</v>
      </c>
      <c r="J33" s="31">
        <v>1007.69</v>
      </c>
      <c r="K33" s="31">
        <v>1015.61</v>
      </c>
      <c r="L33" s="31">
        <v>1012.26</v>
      </c>
      <c r="M33" s="31">
        <v>1014.87</v>
      </c>
      <c r="N33" s="17">
        <f t="shared" si="0"/>
        <v>997.65916666666681</v>
      </c>
    </row>
    <row r="34" spans="1:14" x14ac:dyDescent="0.3">
      <c r="A34" s="7">
        <v>2020</v>
      </c>
      <c r="B34" s="31">
        <v>1025.98</v>
      </c>
      <c r="C34" s="31">
        <v>1024.8</v>
      </c>
      <c r="D34" s="31">
        <v>1029.1400000000001</v>
      </c>
      <c r="E34" s="31">
        <v>1105.8399999999999</v>
      </c>
      <c r="F34" s="31">
        <v>1127.73</v>
      </c>
      <c r="G34" s="31">
        <v>1097</v>
      </c>
      <c r="H34" s="31">
        <v>1095.17</v>
      </c>
      <c r="I34" s="31">
        <v>1089.3</v>
      </c>
      <c r="J34" s="31">
        <v>1092.97</v>
      </c>
      <c r="K34" s="31">
        <v>1093.25</v>
      </c>
      <c r="L34" s="31">
        <v>1098.8499999999999</v>
      </c>
      <c r="M34" s="31">
        <v>1109.54</v>
      </c>
      <c r="N34" s="17">
        <f t="shared" si="0"/>
        <v>1082.4641666666666</v>
      </c>
    </row>
    <row r="35" spans="1:14" x14ac:dyDescent="0.3">
      <c r="A35" s="7">
        <v>2021</v>
      </c>
      <c r="B35" s="31">
        <v>1115.1300000000001</v>
      </c>
      <c r="C35" s="31">
        <v>1114.3399999999999</v>
      </c>
      <c r="D35" s="31">
        <v>1104.9000000000001</v>
      </c>
      <c r="E35" s="31">
        <v>1111.1600000000001</v>
      </c>
      <c r="F35" s="31">
        <v>1122.67</v>
      </c>
      <c r="G35" s="31">
        <v>1116.76</v>
      </c>
      <c r="H35" s="31">
        <v>1142.6300000000001</v>
      </c>
      <c r="I35" s="31">
        <v>1142.99</v>
      </c>
      <c r="J35" s="31">
        <v>1139</v>
      </c>
      <c r="K35" s="31">
        <v>1137.3900000000001</v>
      </c>
      <c r="L35" s="31"/>
      <c r="M35" s="31"/>
      <c r="N35" s="17">
        <f t="shared" si="0"/>
        <v>1124.6970000000001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7">
    <pageSetUpPr fitToPage="1"/>
  </sheetPr>
  <dimension ref="A1:BU455"/>
  <sheetViews>
    <sheetView zoomScale="85" zoomScaleNormal="85" workbookViewId="0">
      <pane xSplit="1" ySplit="5" topLeftCell="B427" activePane="bottomRight" state="frozen"/>
      <selection activeCell="H9" sqref="H9"/>
      <selection pane="topRight" activeCell="H9" sqref="H9"/>
      <selection pane="bottomLeft" activeCell="H9" sqref="H9"/>
      <selection pane="bottomRight" activeCell="K441" sqref="K441"/>
    </sheetView>
  </sheetViews>
  <sheetFormatPr defaultColWidth="11.1640625" defaultRowHeight="15.6" x14ac:dyDescent="0.3"/>
  <cols>
    <col min="1" max="1" width="8.6640625" style="209" customWidth="1"/>
    <col min="2" max="2" width="8.6640625" style="187" customWidth="1"/>
    <col min="3" max="3" width="8" style="176" customWidth="1"/>
    <col min="4" max="4" width="9.6640625" style="176" bestFit="1" customWidth="1"/>
    <col min="5" max="5" width="9" style="176" customWidth="1"/>
    <col min="6" max="6" width="7.4140625" style="177" customWidth="1"/>
    <col min="7" max="7" width="8.9140625" style="178" bestFit="1" customWidth="1"/>
    <col min="8" max="9" width="6.6640625" style="179" customWidth="1"/>
    <col min="10" max="10" width="2.08203125" style="178" customWidth="1"/>
    <col min="11" max="11" width="9.6640625" style="182" customWidth="1"/>
    <col min="12" max="12" width="11.33203125" style="182" customWidth="1"/>
    <col min="13" max="13" width="1.9140625" style="182" customWidth="1"/>
    <col min="14" max="15" width="11.33203125" style="182" customWidth="1"/>
    <col min="16" max="16" width="1.08203125" style="7" customWidth="1"/>
    <col min="17" max="20" width="8.83203125" style="183" customWidth="1"/>
    <col min="21" max="21" width="1.1640625" style="183" customWidth="1"/>
    <col min="22" max="25" width="8.83203125" style="201" customWidth="1"/>
    <col min="26" max="26" width="1.33203125" style="201" customWidth="1"/>
    <col min="27" max="30" width="8.83203125" style="190" customWidth="1"/>
    <col min="31" max="31" width="1.33203125" style="190" customWidth="1"/>
    <col min="32" max="33" width="8.83203125" style="190" customWidth="1"/>
    <col min="34" max="34" width="0.6640625" style="7" customWidth="1"/>
    <col min="35" max="35" width="8.83203125" style="182" customWidth="1"/>
    <col min="36" max="37" width="8.83203125" style="183" customWidth="1"/>
    <col min="38" max="38" width="1.33203125" style="7" customWidth="1"/>
    <col min="39" max="39" width="11.1640625" style="27"/>
    <col min="40" max="43" width="11.1640625" style="7"/>
    <col min="44" max="44" width="1.4140625" style="7" customWidth="1"/>
    <col min="45" max="45" width="7.4140625" style="232" bestFit="1" customWidth="1"/>
    <col min="46" max="50" width="5.6640625" style="232" customWidth="1"/>
    <col min="51" max="51" width="1.58203125" style="7" customWidth="1"/>
    <col min="52" max="57" width="5.6640625" style="196" customWidth="1"/>
    <col min="58" max="58" width="1.4140625" style="7" customWidth="1"/>
    <col min="59" max="60" width="7.6640625" style="236" customWidth="1"/>
    <col min="61" max="62" width="5.6640625" style="237" customWidth="1"/>
    <col min="63" max="63" width="7.6640625" style="236" customWidth="1"/>
    <col min="64" max="64" width="9.1640625" style="236" bestFit="1" customWidth="1"/>
    <col min="65" max="65" width="6.33203125" style="191" bestFit="1" customWidth="1"/>
    <col min="66" max="68" width="6.33203125" style="191" customWidth="1"/>
    <col min="69" max="73" width="7.33203125" style="7" bestFit="1" customWidth="1"/>
    <col min="74" max="16384" width="11.1640625" style="7"/>
  </cols>
  <sheetData>
    <row r="1" spans="1:73" x14ac:dyDescent="0.3">
      <c r="A1" s="1" t="s">
        <v>43</v>
      </c>
      <c r="B1" s="175"/>
      <c r="K1" s="180">
        <f ca="1">INDIRECT("A"&amp;L1)</f>
        <v>44562</v>
      </c>
      <c r="L1" s="181">
        <f>COUNTA(V:V)+59</f>
        <v>437</v>
      </c>
      <c r="V1" s="184">
        <v>1</v>
      </c>
      <c r="W1" s="184">
        <v>2</v>
      </c>
      <c r="X1" s="184">
        <v>3</v>
      </c>
      <c r="Y1" s="184">
        <v>4</v>
      </c>
      <c r="Z1" s="184">
        <v>0</v>
      </c>
      <c r="AA1" s="184">
        <v>7</v>
      </c>
      <c r="AB1" s="184">
        <v>8</v>
      </c>
      <c r="AC1" s="184">
        <v>9</v>
      </c>
      <c r="AD1" s="184">
        <v>10</v>
      </c>
      <c r="AE1" s="184">
        <v>0</v>
      </c>
      <c r="AF1" s="184">
        <v>11</v>
      </c>
      <c r="AG1" s="184">
        <v>12</v>
      </c>
      <c r="AM1" s="184">
        <v>13</v>
      </c>
      <c r="AN1" s="184">
        <v>14</v>
      </c>
      <c r="AO1" s="184">
        <v>15</v>
      </c>
      <c r="AP1" s="184">
        <v>16</v>
      </c>
      <c r="AQ1" s="184">
        <v>17</v>
      </c>
      <c r="AS1" s="184">
        <v>20</v>
      </c>
      <c r="AT1" s="184">
        <v>21</v>
      </c>
      <c r="AU1" s="184">
        <v>22</v>
      </c>
      <c r="AV1" s="184">
        <v>23</v>
      </c>
      <c r="AW1" s="184">
        <v>24</v>
      </c>
      <c r="AX1" s="184">
        <v>25</v>
      </c>
      <c r="AY1" s="184"/>
      <c r="AZ1" s="184">
        <v>27</v>
      </c>
      <c r="BA1" s="184">
        <v>28</v>
      </c>
      <c r="BB1" s="184">
        <v>29</v>
      </c>
      <c r="BC1" s="184">
        <v>30</v>
      </c>
      <c r="BD1" s="184">
        <v>31</v>
      </c>
      <c r="BE1" s="184">
        <v>32</v>
      </c>
      <c r="BF1" s="184">
        <v>33</v>
      </c>
      <c r="BG1" s="184">
        <v>34</v>
      </c>
      <c r="BH1" s="184">
        <v>35</v>
      </c>
      <c r="BI1" s="184">
        <v>36</v>
      </c>
      <c r="BJ1" s="184">
        <v>37</v>
      </c>
      <c r="BK1" s="184">
        <v>38</v>
      </c>
      <c r="BL1" s="184">
        <v>39</v>
      </c>
      <c r="BM1" s="184">
        <v>40</v>
      </c>
      <c r="BN1" s="184">
        <v>41</v>
      </c>
      <c r="BO1" s="184">
        <v>42</v>
      </c>
      <c r="BP1" s="184">
        <v>43</v>
      </c>
      <c r="BQ1" s="184">
        <v>44</v>
      </c>
      <c r="BR1" s="184">
        <v>45</v>
      </c>
      <c r="BS1" s="184">
        <v>46</v>
      </c>
      <c r="BT1" s="184">
        <v>47</v>
      </c>
      <c r="BU1" s="184">
        <v>48</v>
      </c>
    </row>
    <row r="2" spans="1:73" s="185" customFormat="1" ht="10.199999999999999" x14ac:dyDescent="0.2">
      <c r="B2" s="185">
        <f>COLUMN()-1</f>
        <v>1</v>
      </c>
      <c r="K2" s="186">
        <f>COLUMN()-_Offset</f>
        <v>10</v>
      </c>
      <c r="L2" s="186">
        <f>COLUMN()-_Offset</f>
        <v>11</v>
      </c>
      <c r="M2" s="186"/>
      <c r="N2" s="186">
        <f>COLUMN()-_Offset</f>
        <v>13</v>
      </c>
      <c r="O2" s="186">
        <f>COLUMN()-_Offset</f>
        <v>14</v>
      </c>
      <c r="P2" s="186"/>
      <c r="Q2" s="186">
        <f>COLUMN()-_Offset</f>
        <v>16</v>
      </c>
      <c r="R2" s="186">
        <f>COLUMN()-_Offset</f>
        <v>17</v>
      </c>
      <c r="S2" s="186">
        <f>COLUMN()-_Offset</f>
        <v>18</v>
      </c>
      <c r="T2" s="186">
        <f>COLUMN()-_Offset</f>
        <v>19</v>
      </c>
      <c r="U2" s="186"/>
      <c r="V2" s="186">
        <f>COLUMN()-_Offset</f>
        <v>21</v>
      </c>
      <c r="W2" s="186">
        <f>COLUMN()-_Offset</f>
        <v>22</v>
      </c>
      <c r="X2" s="186">
        <f>COLUMN()-_Offset</f>
        <v>23</v>
      </c>
      <c r="Y2" s="186">
        <f>COLUMN()-_Offset</f>
        <v>24</v>
      </c>
      <c r="Z2" s="186"/>
      <c r="AA2" s="186">
        <f>COLUMN()-_Offset</f>
        <v>26</v>
      </c>
      <c r="AB2" s="186">
        <f>COLUMN()-_Offset</f>
        <v>27</v>
      </c>
      <c r="AC2" s="186">
        <f>COLUMN()-_Offset</f>
        <v>28</v>
      </c>
      <c r="AD2" s="186">
        <f>COLUMN()-_Offset</f>
        <v>29</v>
      </c>
      <c r="AE2" s="186"/>
      <c r="AF2" s="186">
        <f t="shared" ref="AF2:AK2" si="0">COLUMN()-_Offset</f>
        <v>31</v>
      </c>
      <c r="AG2" s="186">
        <f t="shared" si="0"/>
        <v>32</v>
      </c>
      <c r="AH2" s="186">
        <f t="shared" si="0"/>
        <v>33</v>
      </c>
      <c r="AI2" s="186">
        <f t="shared" si="0"/>
        <v>34</v>
      </c>
      <c r="AJ2" s="186">
        <f t="shared" si="0"/>
        <v>35</v>
      </c>
      <c r="AK2" s="186">
        <f t="shared" si="0"/>
        <v>36</v>
      </c>
      <c r="AL2" s="186"/>
      <c r="AM2" s="186">
        <f>COLUMN()-_Offset</f>
        <v>38</v>
      </c>
      <c r="AN2" s="186">
        <f>COLUMN()-_Offset</f>
        <v>39</v>
      </c>
      <c r="AO2" s="186">
        <f>COLUMN()-_Offset</f>
        <v>40</v>
      </c>
      <c r="AP2" s="186">
        <f>COLUMN()-_Offset</f>
        <v>41</v>
      </c>
      <c r="AQ2" s="186">
        <f>COLUMN()-_Offset</f>
        <v>42</v>
      </c>
      <c r="AS2" s="186">
        <f t="shared" ref="AS2:BU2" si="1">COLUMN()-_Offset</f>
        <v>44</v>
      </c>
      <c r="AT2" s="186">
        <f t="shared" si="1"/>
        <v>45</v>
      </c>
      <c r="AU2" s="186">
        <f t="shared" si="1"/>
        <v>46</v>
      </c>
      <c r="AV2" s="186">
        <f t="shared" si="1"/>
        <v>47</v>
      </c>
      <c r="AW2" s="186">
        <f t="shared" si="1"/>
        <v>48</v>
      </c>
      <c r="AX2" s="186">
        <f t="shared" si="1"/>
        <v>49</v>
      </c>
      <c r="AY2" s="186"/>
      <c r="AZ2" s="186">
        <f t="shared" si="1"/>
        <v>51</v>
      </c>
      <c r="BA2" s="186">
        <f t="shared" si="1"/>
        <v>52</v>
      </c>
      <c r="BB2" s="186">
        <f t="shared" si="1"/>
        <v>53</v>
      </c>
      <c r="BC2" s="186">
        <f t="shared" si="1"/>
        <v>54</v>
      </c>
      <c r="BD2" s="186">
        <f t="shared" si="1"/>
        <v>55</v>
      </c>
      <c r="BE2" s="186">
        <f t="shared" si="1"/>
        <v>56</v>
      </c>
      <c r="BF2" s="186"/>
      <c r="BG2" s="186">
        <f t="shared" si="1"/>
        <v>58</v>
      </c>
      <c r="BH2" s="186">
        <f t="shared" si="1"/>
        <v>59</v>
      </c>
      <c r="BI2" s="186">
        <f t="shared" si="1"/>
        <v>60</v>
      </c>
      <c r="BJ2" s="186">
        <f t="shared" si="1"/>
        <v>61</v>
      </c>
      <c r="BK2" s="186">
        <f t="shared" si="1"/>
        <v>62</v>
      </c>
      <c r="BL2" s="186">
        <f t="shared" si="1"/>
        <v>63</v>
      </c>
      <c r="BM2" s="186">
        <f t="shared" si="1"/>
        <v>64</v>
      </c>
      <c r="BN2" s="186">
        <f t="shared" si="1"/>
        <v>65</v>
      </c>
      <c r="BO2" s="186">
        <f t="shared" si="1"/>
        <v>66</v>
      </c>
      <c r="BP2" s="186">
        <f t="shared" si="1"/>
        <v>67</v>
      </c>
      <c r="BQ2" s="186">
        <f t="shared" si="1"/>
        <v>68</v>
      </c>
      <c r="BR2" s="186">
        <f t="shared" si="1"/>
        <v>69</v>
      </c>
      <c r="BS2" s="186">
        <f t="shared" si="1"/>
        <v>70</v>
      </c>
      <c r="BT2" s="186">
        <f t="shared" si="1"/>
        <v>71</v>
      </c>
      <c r="BU2" s="186">
        <f t="shared" si="1"/>
        <v>72</v>
      </c>
    </row>
    <row r="3" spans="1:73" x14ac:dyDescent="0.3">
      <c r="A3" s="7"/>
      <c r="C3" s="289" t="s">
        <v>44</v>
      </c>
      <c r="D3" s="289"/>
      <c r="E3" s="289"/>
      <c r="F3" s="289"/>
      <c r="G3" s="289"/>
      <c r="H3" s="289"/>
      <c r="I3" s="289"/>
      <c r="K3" s="293" t="s">
        <v>53</v>
      </c>
      <c r="L3" s="294"/>
      <c r="N3" s="293" t="s">
        <v>54</v>
      </c>
      <c r="O3" s="294"/>
      <c r="Q3" s="291" t="s">
        <v>55</v>
      </c>
      <c r="R3" s="292"/>
      <c r="S3" s="292"/>
      <c r="T3" s="292"/>
      <c r="U3" s="188"/>
      <c r="V3" s="295" t="s">
        <v>91</v>
      </c>
      <c r="W3" s="296"/>
      <c r="X3" s="296"/>
      <c r="Y3" s="296"/>
      <c r="Z3" s="189"/>
      <c r="AA3" s="301" t="s">
        <v>92</v>
      </c>
      <c r="AB3" s="302"/>
      <c r="AC3" s="302"/>
      <c r="AD3" s="302"/>
      <c r="AF3" s="300" t="s">
        <v>94</v>
      </c>
      <c r="AG3" s="300"/>
      <c r="AI3" s="294" t="s">
        <v>9</v>
      </c>
      <c r="AJ3" s="294"/>
      <c r="AK3" s="294"/>
      <c r="AM3" s="292" t="s">
        <v>134</v>
      </c>
      <c r="AN3" s="292"/>
      <c r="AO3" s="292"/>
      <c r="AP3" s="292"/>
      <c r="AQ3" s="292"/>
      <c r="AS3" s="306" t="s">
        <v>165</v>
      </c>
      <c r="AT3" s="307"/>
      <c r="AU3" s="307"/>
      <c r="AV3" s="307"/>
      <c r="AW3" s="307"/>
      <c r="AX3" s="307"/>
      <c r="AZ3" s="306" t="s">
        <v>166</v>
      </c>
      <c r="BA3" s="307"/>
      <c r="BB3" s="307"/>
      <c r="BC3" s="307"/>
      <c r="BD3" s="307"/>
      <c r="BE3" s="307"/>
      <c r="BG3" s="306" t="s">
        <v>172</v>
      </c>
      <c r="BH3" s="307"/>
      <c r="BI3" s="307"/>
      <c r="BJ3" s="307"/>
      <c r="BK3" s="307"/>
      <c r="BL3" s="307"/>
    </row>
    <row r="4" spans="1:73" ht="31.2" x14ac:dyDescent="0.3">
      <c r="A4" s="192"/>
      <c r="C4" s="176" t="s">
        <v>0</v>
      </c>
      <c r="D4" s="193" t="s">
        <v>45</v>
      </c>
      <c r="E4" s="176" t="s">
        <v>46</v>
      </c>
      <c r="F4" s="177" t="s">
        <v>47</v>
      </c>
      <c r="G4" s="178" t="s">
        <v>47</v>
      </c>
      <c r="H4" s="179" t="s">
        <v>49</v>
      </c>
      <c r="I4" s="193" t="s">
        <v>50</v>
      </c>
      <c r="K4" s="182" t="s">
        <v>51</v>
      </c>
      <c r="L4" s="182" t="s">
        <v>52</v>
      </c>
      <c r="N4" s="182" t="s">
        <v>51</v>
      </c>
      <c r="O4" s="182" t="s">
        <v>52</v>
      </c>
      <c r="Q4" s="290" t="s">
        <v>51</v>
      </c>
      <c r="R4" s="290"/>
      <c r="S4" s="290" t="s">
        <v>52</v>
      </c>
      <c r="T4" s="290"/>
      <c r="U4" s="182"/>
      <c r="V4" s="297" t="s">
        <v>51</v>
      </c>
      <c r="W4" s="297"/>
      <c r="X4" s="297" t="s">
        <v>52</v>
      </c>
      <c r="Y4" s="297"/>
      <c r="Z4" s="194"/>
      <c r="AA4" s="303" t="s">
        <v>51</v>
      </c>
      <c r="AB4" s="303"/>
      <c r="AC4" s="303" t="s">
        <v>52</v>
      </c>
      <c r="AD4" s="303"/>
      <c r="AE4" s="195"/>
      <c r="AF4" s="195"/>
      <c r="AG4" s="195"/>
      <c r="AI4" s="182" t="s">
        <v>49</v>
      </c>
      <c r="AJ4" s="193" t="s">
        <v>50</v>
      </c>
      <c r="AK4" s="176" t="s">
        <v>46</v>
      </c>
      <c r="AS4" s="308" t="s">
        <v>162</v>
      </c>
      <c r="AT4" s="308"/>
      <c r="AU4" s="308" t="s">
        <v>163</v>
      </c>
      <c r="AV4" s="308"/>
      <c r="AW4" s="308" t="s">
        <v>164</v>
      </c>
      <c r="AX4" s="308"/>
      <c r="BG4" s="304" t="s">
        <v>171</v>
      </c>
      <c r="BH4" s="305"/>
      <c r="BI4" s="298" t="s">
        <v>173</v>
      </c>
      <c r="BJ4" s="299"/>
      <c r="BK4" s="304" t="s">
        <v>174</v>
      </c>
      <c r="BL4" s="305"/>
    </row>
    <row r="5" spans="1:73" ht="49.2" x14ac:dyDescent="0.4">
      <c r="A5" s="192"/>
      <c r="B5" s="197"/>
      <c r="C5" s="198" t="s">
        <v>10</v>
      </c>
      <c r="D5" s="199" t="s">
        <v>11</v>
      </c>
      <c r="E5" s="198" t="s">
        <v>12</v>
      </c>
      <c r="F5" s="177" t="s">
        <v>1</v>
      </c>
      <c r="G5" s="178" t="s">
        <v>48</v>
      </c>
      <c r="H5" s="200" t="s">
        <v>13</v>
      </c>
      <c r="I5" s="200" t="s">
        <v>14</v>
      </c>
      <c r="Q5" s="183" t="s">
        <v>56</v>
      </c>
      <c r="R5" s="183" t="s">
        <v>57</v>
      </c>
      <c r="S5" s="183" t="s">
        <v>56</v>
      </c>
      <c r="T5" s="183" t="s">
        <v>57</v>
      </c>
      <c r="V5" s="201" t="s">
        <v>56</v>
      </c>
      <c r="W5" s="201" t="s">
        <v>57</v>
      </c>
      <c r="X5" s="201" t="s">
        <v>56</v>
      </c>
      <c r="Y5" s="201" t="s">
        <v>57</v>
      </c>
      <c r="AA5" s="190" t="s">
        <v>56</v>
      </c>
      <c r="AB5" s="190" t="s">
        <v>57</v>
      </c>
      <c r="AC5" s="190" t="s">
        <v>56</v>
      </c>
      <c r="AD5" s="190" t="s">
        <v>57</v>
      </c>
      <c r="AF5" s="190" t="s">
        <v>56</v>
      </c>
      <c r="AG5" s="190" t="s">
        <v>57</v>
      </c>
      <c r="AI5" s="202" t="s">
        <v>195</v>
      </c>
      <c r="AJ5" s="193" t="s">
        <v>196</v>
      </c>
      <c r="AK5" s="203" t="s">
        <v>197</v>
      </c>
      <c r="AM5" s="27" t="s">
        <v>136</v>
      </c>
      <c r="AN5" s="7" t="s">
        <v>137</v>
      </c>
      <c r="AO5" s="7" t="s">
        <v>138</v>
      </c>
      <c r="AP5" s="7" t="s">
        <v>139</v>
      </c>
      <c r="AQ5" s="7" t="s">
        <v>140</v>
      </c>
      <c r="AS5" s="204" t="s">
        <v>167</v>
      </c>
      <c r="AT5" s="204" t="s">
        <v>168</v>
      </c>
      <c r="AU5" s="204" t="s">
        <v>167</v>
      </c>
      <c r="AV5" s="204" t="s">
        <v>168</v>
      </c>
      <c r="AW5" s="204" t="s">
        <v>167</v>
      </c>
      <c r="AX5" s="204" t="s">
        <v>168</v>
      </c>
      <c r="AZ5" s="205" t="s">
        <v>198</v>
      </c>
      <c r="BA5" s="205" t="s">
        <v>199</v>
      </c>
      <c r="BB5" s="205" t="s">
        <v>200</v>
      </c>
      <c r="BC5" s="205" t="s">
        <v>201</v>
      </c>
      <c r="BD5" s="205" t="s">
        <v>202</v>
      </c>
      <c r="BE5" s="205" t="s">
        <v>203</v>
      </c>
      <c r="BG5" s="206" t="s">
        <v>169</v>
      </c>
      <c r="BH5" s="206" t="s">
        <v>170</v>
      </c>
      <c r="BI5" s="207" t="s">
        <v>169</v>
      </c>
      <c r="BJ5" s="207" t="s">
        <v>170</v>
      </c>
      <c r="BK5" s="206" t="s">
        <v>169</v>
      </c>
      <c r="BL5" s="206" t="s">
        <v>170</v>
      </c>
      <c r="BM5" s="208" t="s">
        <v>204</v>
      </c>
      <c r="BN5" s="208" t="s">
        <v>205</v>
      </c>
      <c r="BO5" s="208" t="s">
        <v>206</v>
      </c>
      <c r="BP5" s="208" t="s">
        <v>207</v>
      </c>
      <c r="BQ5" s="31" t="str">
        <f>C5</f>
        <v>V122487</v>
      </c>
      <c r="BR5" s="31" t="str">
        <f t="shared" ref="BR5" si="2">D5</f>
        <v>V122521</v>
      </c>
      <c r="BS5" s="31" t="str">
        <f>H5</f>
        <v>V122542</v>
      </c>
      <c r="BT5" s="31" t="str">
        <f>I5</f>
        <v>V122544</v>
      </c>
      <c r="BU5" s="31" t="str">
        <f>E5</f>
        <v>V122553</v>
      </c>
    </row>
    <row r="6" spans="1:73" x14ac:dyDescent="0.3">
      <c r="A6" s="209">
        <v>31444</v>
      </c>
      <c r="B6" s="187">
        <v>198602</v>
      </c>
      <c r="C6" s="176">
        <v>9.9600000000000009</v>
      </c>
      <c r="D6" s="176">
        <v>12</v>
      </c>
      <c r="F6" s="177">
        <v>64.7</v>
      </c>
      <c r="G6" s="210"/>
      <c r="J6" s="210"/>
      <c r="AA6" s="211">
        <v>-99</v>
      </c>
      <c r="AB6" s="211">
        <v>-99</v>
      </c>
      <c r="AC6" s="211">
        <v>-99</v>
      </c>
      <c r="AD6" s="211">
        <v>-99</v>
      </c>
      <c r="AF6" s="211">
        <v>-99</v>
      </c>
      <c r="AG6" s="211">
        <v>-99</v>
      </c>
      <c r="AI6" s="211">
        <v>-99</v>
      </c>
      <c r="AJ6" s="211">
        <v>-99</v>
      </c>
      <c r="AK6" s="211">
        <v>-99</v>
      </c>
      <c r="AM6" s="27" t="s">
        <v>135</v>
      </c>
      <c r="AN6" s="7" t="b">
        <f t="shared" ref="AN6:AN69" si="3">1=2</f>
        <v>0</v>
      </c>
      <c r="AP6" s="211">
        <v>-99</v>
      </c>
      <c r="AQ6" s="211">
        <v>-99</v>
      </c>
      <c r="AS6" s="211">
        <v>-99</v>
      </c>
      <c r="AT6" s="211">
        <v>-99</v>
      </c>
      <c r="AU6" s="211">
        <v>-99</v>
      </c>
      <c r="AV6" s="211">
        <v>-99</v>
      </c>
      <c r="AW6" s="211">
        <v>-99</v>
      </c>
      <c r="AX6" s="211">
        <v>-99</v>
      </c>
      <c r="AZ6" s="211">
        <v>-99</v>
      </c>
      <c r="BA6" s="211">
        <v>-99</v>
      </c>
      <c r="BB6" s="211">
        <v>-99</v>
      </c>
      <c r="BC6" s="211">
        <v>-99</v>
      </c>
      <c r="BD6" s="211">
        <v>-99</v>
      </c>
      <c r="BE6" s="211">
        <v>-99</v>
      </c>
      <c r="BG6" s="211">
        <v>-99</v>
      </c>
      <c r="BH6" s="211">
        <v>-99</v>
      </c>
      <c r="BI6" s="211">
        <v>-99</v>
      </c>
      <c r="BJ6" s="211">
        <v>-99</v>
      </c>
      <c r="BK6" s="211">
        <v>-99</v>
      </c>
      <c r="BL6" s="211">
        <v>-99</v>
      </c>
      <c r="BM6" s="211">
        <v>-99</v>
      </c>
      <c r="BN6" s="211">
        <v>-99</v>
      </c>
      <c r="BO6" s="211">
        <v>-99</v>
      </c>
      <c r="BP6" s="211">
        <v>-99</v>
      </c>
      <c r="BQ6" s="171">
        <f>C6/100</f>
        <v>9.9600000000000008E-2</v>
      </c>
      <c r="BR6" s="171">
        <f t="shared" ref="BR6" si="4">D6/100</f>
        <v>0.12</v>
      </c>
      <c r="BS6" s="211">
        <v>-99</v>
      </c>
      <c r="BT6" s="211">
        <v>-99</v>
      </c>
      <c r="BU6" s="211">
        <v>-99</v>
      </c>
    </row>
    <row r="7" spans="1:73" x14ac:dyDescent="0.3">
      <c r="A7" s="209">
        <v>31472</v>
      </c>
      <c r="B7" s="187">
        <v>198603</v>
      </c>
      <c r="C7" s="176">
        <v>9.5399999999999991</v>
      </c>
      <c r="D7" s="176">
        <v>11.5</v>
      </c>
      <c r="F7" s="177">
        <v>64.900000000000006</v>
      </c>
      <c r="G7" s="210"/>
      <c r="J7" s="210"/>
      <c r="AA7" s="211">
        <v>-99</v>
      </c>
      <c r="AB7" s="211">
        <v>-99</v>
      </c>
      <c r="AC7" s="211">
        <v>-99</v>
      </c>
      <c r="AD7" s="211">
        <v>-99</v>
      </c>
      <c r="AF7" s="211">
        <v>-99</v>
      </c>
      <c r="AG7" s="211">
        <v>-99</v>
      </c>
      <c r="AI7" s="211">
        <v>-99</v>
      </c>
      <c r="AJ7" s="211">
        <v>-99</v>
      </c>
      <c r="AK7" s="211">
        <v>-99</v>
      </c>
      <c r="AM7" s="27" t="s">
        <v>135</v>
      </c>
      <c r="AN7" s="7" t="b">
        <f t="shared" si="3"/>
        <v>0</v>
      </c>
      <c r="AP7" s="211">
        <v>-99</v>
      </c>
      <c r="AQ7" s="211">
        <v>-99</v>
      </c>
      <c r="AS7" s="211">
        <v>-99</v>
      </c>
      <c r="AT7" s="211">
        <v>-99</v>
      </c>
      <c r="AU7" s="211">
        <v>-99</v>
      </c>
      <c r="AV7" s="211">
        <v>-99</v>
      </c>
      <c r="AW7" s="211">
        <v>-99</v>
      </c>
      <c r="AX7" s="211">
        <v>-99</v>
      </c>
      <c r="AZ7" s="211">
        <v>-99</v>
      </c>
      <c r="BA7" s="211">
        <v>-99</v>
      </c>
      <c r="BB7" s="211">
        <v>-99</v>
      </c>
      <c r="BC7" s="211">
        <v>-99</v>
      </c>
      <c r="BD7" s="211">
        <v>-99</v>
      </c>
      <c r="BE7" s="211">
        <v>-99</v>
      </c>
      <c r="BG7" s="211">
        <v>-99</v>
      </c>
      <c r="BH7" s="211">
        <v>-99</v>
      </c>
      <c r="BI7" s="211">
        <v>-99</v>
      </c>
      <c r="BJ7" s="211">
        <v>-99</v>
      </c>
      <c r="BK7" s="211">
        <v>-99</v>
      </c>
      <c r="BL7" s="211">
        <v>-99</v>
      </c>
      <c r="BM7" s="211">
        <v>-99</v>
      </c>
      <c r="BN7" s="211">
        <v>-99</v>
      </c>
      <c r="BO7" s="211">
        <v>-99</v>
      </c>
      <c r="BP7" s="211">
        <v>-99</v>
      </c>
      <c r="BQ7" s="171">
        <f t="shared" ref="BQ7:BQ70" si="5">C7/100</f>
        <v>9.5399999999999985E-2</v>
      </c>
      <c r="BR7" s="171">
        <f t="shared" ref="BR7:BR70" si="6">D7/100</f>
        <v>0.115</v>
      </c>
      <c r="BS7" s="211">
        <v>-99</v>
      </c>
      <c r="BT7" s="211">
        <v>-99</v>
      </c>
      <c r="BU7" s="211">
        <v>-99</v>
      </c>
    </row>
    <row r="8" spans="1:73" x14ac:dyDescent="0.3">
      <c r="A8" s="209">
        <v>31503</v>
      </c>
      <c r="B8" s="187">
        <v>198604</v>
      </c>
      <c r="C8" s="176">
        <v>9.32</v>
      </c>
      <c r="D8" s="176">
        <v>11</v>
      </c>
      <c r="F8" s="177">
        <v>64.900000000000006</v>
      </c>
      <c r="G8" s="210"/>
      <c r="J8" s="210"/>
      <c r="AA8" s="211">
        <v>-99</v>
      </c>
      <c r="AB8" s="211">
        <v>-99</v>
      </c>
      <c r="AC8" s="211">
        <v>-99</v>
      </c>
      <c r="AD8" s="211">
        <v>-99</v>
      </c>
      <c r="AF8" s="211">
        <v>-99</v>
      </c>
      <c r="AG8" s="211">
        <v>-99</v>
      </c>
      <c r="AI8" s="211">
        <v>-99</v>
      </c>
      <c r="AJ8" s="211">
        <v>-99</v>
      </c>
      <c r="AK8" s="211">
        <v>-99</v>
      </c>
      <c r="AM8" s="27" t="s">
        <v>135</v>
      </c>
      <c r="AN8" s="7" t="b">
        <f t="shared" si="3"/>
        <v>0</v>
      </c>
      <c r="AP8" s="211">
        <v>-99</v>
      </c>
      <c r="AQ8" s="211">
        <v>-99</v>
      </c>
      <c r="AS8" s="211">
        <v>-99</v>
      </c>
      <c r="AT8" s="211">
        <v>-99</v>
      </c>
      <c r="AU8" s="211">
        <v>-99</v>
      </c>
      <c r="AV8" s="211">
        <v>-99</v>
      </c>
      <c r="AW8" s="211">
        <v>-99</v>
      </c>
      <c r="AX8" s="211">
        <v>-99</v>
      </c>
      <c r="AZ8" s="211">
        <v>-99</v>
      </c>
      <c r="BA8" s="211">
        <v>-99</v>
      </c>
      <c r="BB8" s="211">
        <v>-99</v>
      </c>
      <c r="BC8" s="211">
        <v>-99</v>
      </c>
      <c r="BD8" s="211">
        <v>-99</v>
      </c>
      <c r="BE8" s="211">
        <v>-99</v>
      </c>
      <c r="BG8" s="211">
        <v>-99</v>
      </c>
      <c r="BH8" s="211">
        <v>-99</v>
      </c>
      <c r="BI8" s="211">
        <v>-99</v>
      </c>
      <c r="BJ8" s="211">
        <v>-99</v>
      </c>
      <c r="BK8" s="211">
        <v>-99</v>
      </c>
      <c r="BL8" s="211">
        <v>-99</v>
      </c>
      <c r="BM8" s="211">
        <v>-99</v>
      </c>
      <c r="BN8" s="211">
        <v>-99</v>
      </c>
      <c r="BO8" s="211">
        <v>-99</v>
      </c>
      <c r="BP8" s="211">
        <v>-99</v>
      </c>
      <c r="BQ8" s="171">
        <f t="shared" si="5"/>
        <v>9.3200000000000005E-2</v>
      </c>
      <c r="BR8" s="171">
        <f t="shared" si="6"/>
        <v>0.11</v>
      </c>
      <c r="BS8" s="211">
        <v>-99</v>
      </c>
      <c r="BT8" s="211">
        <v>-99</v>
      </c>
      <c r="BU8" s="211">
        <v>-99</v>
      </c>
    </row>
    <row r="9" spans="1:73" x14ac:dyDescent="0.3">
      <c r="A9" s="209">
        <v>31533</v>
      </c>
      <c r="B9" s="187">
        <v>198605</v>
      </c>
      <c r="C9" s="176">
        <v>9.52</v>
      </c>
      <c r="D9" s="176">
        <v>10.5</v>
      </c>
      <c r="F9" s="177">
        <v>65.3</v>
      </c>
      <c r="G9" s="210"/>
      <c r="J9" s="210"/>
      <c r="AA9" s="211">
        <v>-99</v>
      </c>
      <c r="AB9" s="211">
        <v>-99</v>
      </c>
      <c r="AC9" s="211">
        <v>-99</v>
      </c>
      <c r="AD9" s="211">
        <v>-99</v>
      </c>
      <c r="AF9" s="211">
        <v>-99</v>
      </c>
      <c r="AG9" s="211">
        <v>-99</v>
      </c>
      <c r="AI9" s="211">
        <v>-99</v>
      </c>
      <c r="AJ9" s="211">
        <v>-99</v>
      </c>
      <c r="AK9" s="211">
        <v>-99</v>
      </c>
      <c r="AM9" s="27" t="s">
        <v>135</v>
      </c>
      <c r="AN9" s="7" t="b">
        <f t="shared" si="3"/>
        <v>0</v>
      </c>
      <c r="AP9" s="211">
        <v>-99</v>
      </c>
      <c r="AQ9" s="211">
        <v>-99</v>
      </c>
      <c r="AS9" s="211">
        <v>-99</v>
      </c>
      <c r="AT9" s="211">
        <v>-99</v>
      </c>
      <c r="AU9" s="211">
        <v>-99</v>
      </c>
      <c r="AV9" s="211">
        <v>-99</v>
      </c>
      <c r="AW9" s="211">
        <v>-99</v>
      </c>
      <c r="AX9" s="211">
        <v>-99</v>
      </c>
      <c r="AZ9" s="211">
        <v>-99</v>
      </c>
      <c r="BA9" s="211">
        <v>-99</v>
      </c>
      <c r="BB9" s="211">
        <v>-99</v>
      </c>
      <c r="BC9" s="211">
        <v>-99</v>
      </c>
      <c r="BD9" s="211">
        <v>-99</v>
      </c>
      <c r="BE9" s="211">
        <v>-99</v>
      </c>
      <c r="BG9" s="211">
        <v>-99</v>
      </c>
      <c r="BH9" s="211">
        <v>-99</v>
      </c>
      <c r="BI9" s="211">
        <v>-99</v>
      </c>
      <c r="BJ9" s="211">
        <v>-99</v>
      </c>
      <c r="BK9" s="211">
        <v>-99</v>
      </c>
      <c r="BL9" s="211">
        <v>-99</v>
      </c>
      <c r="BM9" s="211">
        <v>-99</v>
      </c>
      <c r="BN9" s="211">
        <v>-99</v>
      </c>
      <c r="BO9" s="211">
        <v>-99</v>
      </c>
      <c r="BP9" s="211">
        <v>-99</v>
      </c>
      <c r="BQ9" s="171">
        <f t="shared" si="5"/>
        <v>9.5199999999999993E-2</v>
      </c>
      <c r="BR9" s="171">
        <f t="shared" si="6"/>
        <v>0.105</v>
      </c>
      <c r="BS9" s="211">
        <v>-99</v>
      </c>
      <c r="BT9" s="211">
        <v>-99</v>
      </c>
      <c r="BU9" s="211">
        <v>-99</v>
      </c>
    </row>
    <row r="10" spans="1:73" x14ac:dyDescent="0.3">
      <c r="A10" s="209">
        <v>31564</v>
      </c>
      <c r="B10" s="187">
        <v>198606</v>
      </c>
      <c r="C10" s="176">
        <v>9.42</v>
      </c>
      <c r="D10" s="176">
        <v>11</v>
      </c>
      <c r="F10" s="177">
        <v>65.400000000000006</v>
      </c>
      <c r="G10" s="210"/>
      <c r="J10" s="210"/>
      <c r="AA10" s="211">
        <v>-99</v>
      </c>
      <c r="AB10" s="211">
        <v>-99</v>
      </c>
      <c r="AC10" s="211">
        <v>-99</v>
      </c>
      <c r="AD10" s="211">
        <v>-99</v>
      </c>
      <c r="AF10" s="211">
        <v>-99</v>
      </c>
      <c r="AG10" s="211">
        <v>-99</v>
      </c>
      <c r="AI10" s="211">
        <v>-99</v>
      </c>
      <c r="AJ10" s="211">
        <v>-99</v>
      </c>
      <c r="AK10" s="211">
        <v>-99</v>
      </c>
      <c r="AM10" s="27" t="s">
        <v>135</v>
      </c>
      <c r="AN10" s="7" t="b">
        <f t="shared" si="3"/>
        <v>0</v>
      </c>
      <c r="AP10" s="211">
        <v>-99</v>
      </c>
      <c r="AQ10" s="211">
        <v>-99</v>
      </c>
      <c r="AS10" s="211">
        <v>-99</v>
      </c>
      <c r="AT10" s="211">
        <v>-99</v>
      </c>
      <c r="AU10" s="211">
        <v>-99</v>
      </c>
      <c r="AV10" s="211">
        <v>-99</v>
      </c>
      <c r="AW10" s="211">
        <v>-99</v>
      </c>
      <c r="AX10" s="211">
        <v>-99</v>
      </c>
      <c r="AZ10" s="211">
        <v>-99</v>
      </c>
      <c r="BA10" s="211">
        <v>-99</v>
      </c>
      <c r="BB10" s="211">
        <v>-99</v>
      </c>
      <c r="BC10" s="211">
        <v>-99</v>
      </c>
      <c r="BD10" s="211">
        <v>-99</v>
      </c>
      <c r="BE10" s="211">
        <v>-99</v>
      </c>
      <c r="BG10" s="211">
        <v>-99</v>
      </c>
      <c r="BH10" s="211">
        <v>-99</v>
      </c>
      <c r="BI10" s="211">
        <v>-99</v>
      </c>
      <c r="BJ10" s="211">
        <v>-99</v>
      </c>
      <c r="BK10" s="211">
        <v>-99</v>
      </c>
      <c r="BL10" s="211">
        <v>-99</v>
      </c>
      <c r="BM10" s="211">
        <v>-99</v>
      </c>
      <c r="BN10" s="211">
        <v>-99</v>
      </c>
      <c r="BO10" s="211">
        <v>-99</v>
      </c>
      <c r="BP10" s="211">
        <v>-99</v>
      </c>
      <c r="BQ10" s="171">
        <f t="shared" si="5"/>
        <v>9.4200000000000006E-2</v>
      </c>
      <c r="BR10" s="171">
        <f t="shared" si="6"/>
        <v>0.11</v>
      </c>
      <c r="BS10" s="211">
        <v>-99</v>
      </c>
      <c r="BT10" s="211">
        <v>-99</v>
      </c>
      <c r="BU10" s="211">
        <v>-99</v>
      </c>
    </row>
    <row r="11" spans="1:73" x14ac:dyDescent="0.3">
      <c r="A11" s="209">
        <v>31594</v>
      </c>
      <c r="B11" s="187">
        <v>198607</v>
      </c>
      <c r="C11" s="176">
        <v>9.36</v>
      </c>
      <c r="D11" s="176">
        <v>11</v>
      </c>
      <c r="F11" s="177">
        <v>65.900000000000006</v>
      </c>
      <c r="G11" s="210"/>
      <c r="J11" s="210"/>
      <c r="AA11" s="211">
        <v>-99</v>
      </c>
      <c r="AB11" s="211">
        <v>-99</v>
      </c>
      <c r="AC11" s="211">
        <v>-99</v>
      </c>
      <c r="AD11" s="211">
        <v>-99</v>
      </c>
      <c r="AF11" s="211">
        <v>-99</v>
      </c>
      <c r="AG11" s="211">
        <v>-99</v>
      </c>
      <c r="AI11" s="211">
        <v>-99</v>
      </c>
      <c r="AJ11" s="211">
        <v>-99</v>
      </c>
      <c r="AK11" s="211">
        <v>-99</v>
      </c>
      <c r="AM11" s="27" t="s">
        <v>135</v>
      </c>
      <c r="AN11" s="7" t="b">
        <f t="shared" si="3"/>
        <v>0</v>
      </c>
      <c r="AP11" s="211">
        <v>-99</v>
      </c>
      <c r="AQ11" s="211">
        <v>-99</v>
      </c>
      <c r="AS11" s="211">
        <v>-99</v>
      </c>
      <c r="AT11" s="211">
        <v>-99</v>
      </c>
      <c r="AU11" s="211">
        <v>-99</v>
      </c>
      <c r="AV11" s="211">
        <v>-99</v>
      </c>
      <c r="AW11" s="211">
        <v>-99</v>
      </c>
      <c r="AX11" s="211">
        <v>-99</v>
      </c>
      <c r="AZ11" s="211">
        <v>-99</v>
      </c>
      <c r="BA11" s="211">
        <v>-99</v>
      </c>
      <c r="BB11" s="211">
        <v>-99</v>
      </c>
      <c r="BC11" s="211">
        <v>-99</v>
      </c>
      <c r="BD11" s="211">
        <v>-99</v>
      </c>
      <c r="BE11" s="211">
        <v>-99</v>
      </c>
      <c r="BG11" s="211">
        <v>-99</v>
      </c>
      <c r="BH11" s="211">
        <v>-99</v>
      </c>
      <c r="BI11" s="211">
        <v>-99</v>
      </c>
      <c r="BJ11" s="211">
        <v>-99</v>
      </c>
      <c r="BK11" s="211">
        <v>-99</v>
      </c>
      <c r="BL11" s="211">
        <v>-99</v>
      </c>
      <c r="BM11" s="211">
        <v>-99</v>
      </c>
      <c r="BN11" s="211">
        <v>-99</v>
      </c>
      <c r="BO11" s="211">
        <v>-99</v>
      </c>
      <c r="BP11" s="211">
        <v>-99</v>
      </c>
      <c r="BQ11" s="171">
        <f t="shared" si="5"/>
        <v>9.3599999999999989E-2</v>
      </c>
      <c r="BR11" s="171">
        <f t="shared" si="6"/>
        <v>0.11</v>
      </c>
      <c r="BS11" s="211">
        <v>-99</v>
      </c>
      <c r="BT11" s="211">
        <v>-99</v>
      </c>
      <c r="BU11" s="211">
        <v>-99</v>
      </c>
    </row>
    <row r="12" spans="1:73" x14ac:dyDescent="0.3">
      <c r="A12" s="209">
        <v>31625</v>
      </c>
      <c r="B12" s="187">
        <v>198608</v>
      </c>
      <c r="C12" s="176">
        <v>9.16</v>
      </c>
      <c r="D12" s="176">
        <v>11</v>
      </c>
      <c r="F12" s="177">
        <v>66</v>
      </c>
      <c r="G12" s="210"/>
      <c r="J12" s="210"/>
      <c r="AA12" s="211">
        <v>-99</v>
      </c>
      <c r="AB12" s="211">
        <v>-99</v>
      </c>
      <c r="AC12" s="211">
        <v>-99</v>
      </c>
      <c r="AD12" s="211">
        <v>-99</v>
      </c>
      <c r="AF12" s="211">
        <v>-99</v>
      </c>
      <c r="AG12" s="211">
        <v>-99</v>
      </c>
      <c r="AI12" s="211">
        <v>-99</v>
      </c>
      <c r="AJ12" s="211">
        <v>-99</v>
      </c>
      <c r="AK12" s="211">
        <v>-99</v>
      </c>
      <c r="AM12" s="27" t="s">
        <v>135</v>
      </c>
      <c r="AN12" s="7" t="b">
        <f t="shared" si="3"/>
        <v>0</v>
      </c>
      <c r="AP12" s="211">
        <v>-99</v>
      </c>
      <c r="AQ12" s="211">
        <v>-99</v>
      </c>
      <c r="AS12" s="211">
        <v>-99</v>
      </c>
      <c r="AT12" s="211">
        <v>-99</v>
      </c>
      <c r="AU12" s="211">
        <v>-99</v>
      </c>
      <c r="AV12" s="211">
        <v>-99</v>
      </c>
      <c r="AW12" s="211">
        <v>-99</v>
      </c>
      <c r="AX12" s="211">
        <v>-99</v>
      </c>
      <c r="AZ12" s="211">
        <v>-99</v>
      </c>
      <c r="BA12" s="211">
        <v>-99</v>
      </c>
      <c r="BB12" s="211">
        <v>-99</v>
      </c>
      <c r="BC12" s="211">
        <v>-99</v>
      </c>
      <c r="BD12" s="211">
        <v>-99</v>
      </c>
      <c r="BE12" s="211">
        <v>-99</v>
      </c>
      <c r="BG12" s="211">
        <v>-99</v>
      </c>
      <c r="BH12" s="211">
        <v>-99</v>
      </c>
      <c r="BI12" s="211">
        <v>-99</v>
      </c>
      <c r="BJ12" s="211">
        <v>-99</v>
      </c>
      <c r="BK12" s="211">
        <v>-99</v>
      </c>
      <c r="BL12" s="211">
        <v>-99</v>
      </c>
      <c r="BM12" s="211">
        <v>-99</v>
      </c>
      <c r="BN12" s="211">
        <v>-99</v>
      </c>
      <c r="BO12" s="211">
        <v>-99</v>
      </c>
      <c r="BP12" s="211">
        <v>-99</v>
      </c>
      <c r="BQ12" s="171">
        <f t="shared" si="5"/>
        <v>9.1600000000000001E-2</v>
      </c>
      <c r="BR12" s="171">
        <f t="shared" si="6"/>
        <v>0.11</v>
      </c>
      <c r="BS12" s="211">
        <v>-99</v>
      </c>
      <c r="BT12" s="211">
        <v>-99</v>
      </c>
      <c r="BU12" s="211">
        <v>-99</v>
      </c>
    </row>
    <row r="13" spans="1:73" x14ac:dyDescent="0.3">
      <c r="A13" s="209">
        <v>31656</v>
      </c>
      <c r="B13" s="187">
        <v>198609</v>
      </c>
      <c r="C13" s="176">
        <v>9.4499999999999993</v>
      </c>
      <c r="D13" s="176">
        <v>11.25</v>
      </c>
      <c r="F13" s="177">
        <v>66</v>
      </c>
      <c r="G13" s="210"/>
      <c r="J13" s="210"/>
      <c r="AA13" s="211">
        <v>-99</v>
      </c>
      <c r="AB13" s="211">
        <v>-99</v>
      </c>
      <c r="AC13" s="211">
        <v>-99</v>
      </c>
      <c r="AD13" s="211">
        <v>-99</v>
      </c>
      <c r="AF13" s="211">
        <v>-99</v>
      </c>
      <c r="AG13" s="211">
        <v>-99</v>
      </c>
      <c r="AI13" s="211">
        <v>-99</v>
      </c>
      <c r="AJ13" s="211">
        <v>-99</v>
      </c>
      <c r="AK13" s="211">
        <v>-99</v>
      </c>
      <c r="AM13" s="27" t="s">
        <v>135</v>
      </c>
      <c r="AN13" s="7" t="b">
        <f t="shared" si="3"/>
        <v>0</v>
      </c>
      <c r="AP13" s="211">
        <v>-99</v>
      </c>
      <c r="AQ13" s="211">
        <v>-99</v>
      </c>
      <c r="AS13" s="211">
        <v>-99</v>
      </c>
      <c r="AT13" s="211">
        <v>-99</v>
      </c>
      <c r="AU13" s="211">
        <v>-99</v>
      </c>
      <c r="AV13" s="211">
        <v>-99</v>
      </c>
      <c r="AW13" s="211">
        <v>-99</v>
      </c>
      <c r="AX13" s="211">
        <v>-99</v>
      </c>
      <c r="AZ13" s="211">
        <v>-99</v>
      </c>
      <c r="BA13" s="211">
        <v>-99</v>
      </c>
      <c r="BB13" s="211">
        <v>-99</v>
      </c>
      <c r="BC13" s="211">
        <v>-99</v>
      </c>
      <c r="BD13" s="211">
        <v>-99</v>
      </c>
      <c r="BE13" s="211">
        <v>-99</v>
      </c>
      <c r="BG13" s="211">
        <v>-99</v>
      </c>
      <c r="BH13" s="211">
        <v>-99</v>
      </c>
      <c r="BI13" s="211">
        <v>-99</v>
      </c>
      <c r="BJ13" s="211">
        <v>-99</v>
      </c>
      <c r="BK13" s="211">
        <v>-99</v>
      </c>
      <c r="BL13" s="211">
        <v>-99</v>
      </c>
      <c r="BM13" s="211">
        <v>-99</v>
      </c>
      <c r="BN13" s="211">
        <v>-99</v>
      </c>
      <c r="BO13" s="211">
        <v>-99</v>
      </c>
      <c r="BP13" s="211">
        <v>-99</v>
      </c>
      <c r="BQ13" s="171">
        <f t="shared" si="5"/>
        <v>9.4499999999999987E-2</v>
      </c>
      <c r="BR13" s="171">
        <f t="shared" si="6"/>
        <v>0.1125</v>
      </c>
      <c r="BS13" s="211">
        <v>-99</v>
      </c>
      <c r="BT13" s="211">
        <v>-99</v>
      </c>
      <c r="BU13" s="211">
        <v>-99</v>
      </c>
    </row>
    <row r="14" spans="1:73" x14ac:dyDescent="0.3">
      <c r="A14" s="209">
        <v>31686</v>
      </c>
      <c r="B14" s="187">
        <v>198610</v>
      </c>
      <c r="C14" s="176">
        <v>9.5299999999999994</v>
      </c>
      <c r="D14" s="176">
        <v>11.25</v>
      </c>
      <c r="F14" s="177">
        <v>66.400000000000006</v>
      </c>
      <c r="G14" s="210"/>
      <c r="J14" s="210"/>
      <c r="AA14" s="211">
        <v>-99</v>
      </c>
      <c r="AB14" s="211">
        <v>-99</v>
      </c>
      <c r="AC14" s="211">
        <v>-99</v>
      </c>
      <c r="AD14" s="211">
        <v>-99</v>
      </c>
      <c r="AF14" s="211">
        <v>-99</v>
      </c>
      <c r="AG14" s="211">
        <v>-99</v>
      </c>
      <c r="AI14" s="211">
        <v>-99</v>
      </c>
      <c r="AJ14" s="211">
        <v>-99</v>
      </c>
      <c r="AK14" s="211">
        <v>-99</v>
      </c>
      <c r="AM14" s="27" t="s">
        <v>135</v>
      </c>
      <c r="AN14" s="7" t="b">
        <f t="shared" si="3"/>
        <v>0</v>
      </c>
      <c r="AP14" s="211">
        <v>-99</v>
      </c>
      <c r="AQ14" s="211">
        <v>-99</v>
      </c>
      <c r="AS14" s="211">
        <v>-99</v>
      </c>
      <c r="AT14" s="211">
        <v>-99</v>
      </c>
      <c r="AU14" s="211">
        <v>-99</v>
      </c>
      <c r="AV14" s="211">
        <v>-99</v>
      </c>
      <c r="AW14" s="211">
        <v>-99</v>
      </c>
      <c r="AX14" s="211">
        <v>-99</v>
      </c>
      <c r="AZ14" s="211">
        <v>-99</v>
      </c>
      <c r="BA14" s="211">
        <v>-99</v>
      </c>
      <c r="BB14" s="211">
        <v>-99</v>
      </c>
      <c r="BC14" s="211">
        <v>-99</v>
      </c>
      <c r="BD14" s="211">
        <v>-99</v>
      </c>
      <c r="BE14" s="211">
        <v>-99</v>
      </c>
      <c r="BG14" s="211">
        <v>-99</v>
      </c>
      <c r="BH14" s="211">
        <v>-99</v>
      </c>
      <c r="BI14" s="211">
        <v>-99</v>
      </c>
      <c r="BJ14" s="211">
        <v>-99</v>
      </c>
      <c r="BK14" s="211">
        <v>-99</v>
      </c>
      <c r="BL14" s="211">
        <v>-99</v>
      </c>
      <c r="BM14" s="211">
        <v>-99</v>
      </c>
      <c r="BN14" s="211">
        <v>-99</v>
      </c>
      <c r="BO14" s="211">
        <v>-99</v>
      </c>
      <c r="BP14" s="211">
        <v>-99</v>
      </c>
      <c r="BQ14" s="171">
        <f t="shared" si="5"/>
        <v>9.5299999999999996E-2</v>
      </c>
      <c r="BR14" s="171">
        <f t="shared" si="6"/>
        <v>0.1125</v>
      </c>
      <c r="BS14" s="211">
        <v>-99</v>
      </c>
      <c r="BT14" s="211">
        <v>-99</v>
      </c>
      <c r="BU14" s="211">
        <v>-99</v>
      </c>
    </row>
    <row r="15" spans="1:73" x14ac:dyDescent="0.3">
      <c r="A15" s="209">
        <v>31717</v>
      </c>
      <c r="B15" s="187">
        <v>198611</v>
      </c>
      <c r="C15" s="176">
        <v>9.26</v>
      </c>
      <c r="D15" s="176">
        <v>11.25</v>
      </c>
      <c r="F15" s="177">
        <v>66.7</v>
      </c>
      <c r="G15" s="210"/>
      <c r="J15" s="210"/>
      <c r="AA15" s="211">
        <v>-99</v>
      </c>
      <c r="AB15" s="211">
        <v>-99</v>
      </c>
      <c r="AC15" s="211">
        <v>-99</v>
      </c>
      <c r="AD15" s="211">
        <v>-99</v>
      </c>
      <c r="AF15" s="211">
        <v>-99</v>
      </c>
      <c r="AG15" s="211">
        <v>-99</v>
      </c>
      <c r="AI15" s="211">
        <v>-99</v>
      </c>
      <c r="AJ15" s="211">
        <v>-99</v>
      </c>
      <c r="AK15" s="211">
        <v>-99</v>
      </c>
      <c r="AM15" s="27" t="s">
        <v>135</v>
      </c>
      <c r="AN15" s="7" t="b">
        <f t="shared" si="3"/>
        <v>0</v>
      </c>
      <c r="AP15" s="211">
        <v>-99</v>
      </c>
      <c r="AQ15" s="211">
        <v>-99</v>
      </c>
      <c r="AS15" s="211">
        <v>-99</v>
      </c>
      <c r="AT15" s="211">
        <v>-99</v>
      </c>
      <c r="AU15" s="211">
        <v>-99</v>
      </c>
      <c r="AV15" s="211">
        <v>-99</v>
      </c>
      <c r="AW15" s="211">
        <v>-99</v>
      </c>
      <c r="AX15" s="211">
        <v>-99</v>
      </c>
      <c r="AZ15" s="211">
        <v>-99</v>
      </c>
      <c r="BA15" s="211">
        <v>-99</v>
      </c>
      <c r="BB15" s="211">
        <v>-99</v>
      </c>
      <c r="BC15" s="211">
        <v>-99</v>
      </c>
      <c r="BD15" s="211">
        <v>-99</v>
      </c>
      <c r="BE15" s="211">
        <v>-99</v>
      </c>
      <c r="BG15" s="211">
        <v>-99</v>
      </c>
      <c r="BH15" s="211">
        <v>-99</v>
      </c>
      <c r="BI15" s="211">
        <v>-99</v>
      </c>
      <c r="BJ15" s="211">
        <v>-99</v>
      </c>
      <c r="BK15" s="211">
        <v>-99</v>
      </c>
      <c r="BL15" s="211">
        <v>-99</v>
      </c>
      <c r="BM15" s="211">
        <v>-99</v>
      </c>
      <c r="BN15" s="211">
        <v>-99</v>
      </c>
      <c r="BO15" s="211">
        <v>-99</v>
      </c>
      <c r="BP15" s="211">
        <v>-99</v>
      </c>
      <c r="BQ15" s="171">
        <f t="shared" si="5"/>
        <v>9.2600000000000002E-2</v>
      </c>
      <c r="BR15" s="171">
        <f t="shared" si="6"/>
        <v>0.1125</v>
      </c>
      <c r="BS15" s="211">
        <v>-99</v>
      </c>
      <c r="BT15" s="211">
        <v>-99</v>
      </c>
      <c r="BU15" s="211">
        <v>-99</v>
      </c>
    </row>
    <row r="16" spans="1:73" x14ac:dyDescent="0.3">
      <c r="A16" s="209">
        <v>31747</v>
      </c>
      <c r="B16" s="187">
        <v>198612</v>
      </c>
      <c r="C16" s="183">
        <v>9.23</v>
      </c>
      <c r="D16" s="176">
        <v>11</v>
      </c>
      <c r="F16" s="177">
        <v>66.8</v>
      </c>
      <c r="G16" s="210"/>
      <c r="J16" s="210"/>
      <c r="AA16" s="211">
        <v>-99</v>
      </c>
      <c r="AB16" s="211">
        <v>-99</v>
      </c>
      <c r="AC16" s="211">
        <v>-99</v>
      </c>
      <c r="AD16" s="211">
        <v>-99</v>
      </c>
      <c r="AF16" s="211">
        <v>-99</v>
      </c>
      <c r="AG16" s="211">
        <v>-99</v>
      </c>
      <c r="AI16" s="211">
        <v>-99</v>
      </c>
      <c r="AJ16" s="211">
        <v>-99</v>
      </c>
      <c r="AK16" s="211">
        <v>-99</v>
      </c>
      <c r="AM16" s="27" t="s">
        <v>135</v>
      </c>
      <c r="AN16" s="7" t="b">
        <f t="shared" si="3"/>
        <v>0</v>
      </c>
      <c r="AP16" s="211">
        <v>-99</v>
      </c>
      <c r="AQ16" s="211">
        <v>-99</v>
      </c>
      <c r="AS16" s="211">
        <v>-99</v>
      </c>
      <c r="AT16" s="211">
        <v>-99</v>
      </c>
      <c r="AU16" s="211">
        <v>-99</v>
      </c>
      <c r="AV16" s="211">
        <v>-99</v>
      </c>
      <c r="AW16" s="211">
        <v>-99</v>
      </c>
      <c r="AX16" s="211">
        <v>-99</v>
      </c>
      <c r="AZ16" s="211">
        <v>-99</v>
      </c>
      <c r="BA16" s="211">
        <v>-99</v>
      </c>
      <c r="BB16" s="211">
        <v>-99</v>
      </c>
      <c r="BC16" s="211">
        <v>-99</v>
      </c>
      <c r="BD16" s="211">
        <v>-99</v>
      </c>
      <c r="BE16" s="211">
        <v>-99</v>
      </c>
      <c r="BG16" s="211">
        <v>-99</v>
      </c>
      <c r="BH16" s="211">
        <v>-99</v>
      </c>
      <c r="BI16" s="211">
        <v>-99</v>
      </c>
      <c r="BJ16" s="211">
        <v>-99</v>
      </c>
      <c r="BK16" s="211">
        <v>-99</v>
      </c>
      <c r="BL16" s="211">
        <v>-99</v>
      </c>
      <c r="BM16" s="211">
        <v>-99</v>
      </c>
      <c r="BN16" s="211">
        <v>-99</v>
      </c>
      <c r="BO16" s="211">
        <v>-99</v>
      </c>
      <c r="BP16" s="211">
        <v>-99</v>
      </c>
      <c r="BQ16" s="171">
        <f t="shared" si="5"/>
        <v>9.2300000000000007E-2</v>
      </c>
      <c r="BR16" s="171">
        <f t="shared" si="6"/>
        <v>0.11</v>
      </c>
      <c r="BS16" s="211">
        <v>-99</v>
      </c>
      <c r="BT16" s="211">
        <v>-99</v>
      </c>
      <c r="BU16" s="211">
        <v>-99</v>
      </c>
    </row>
    <row r="17" spans="1:73" x14ac:dyDescent="0.3">
      <c r="A17" s="209">
        <v>31778</v>
      </c>
      <c r="B17" s="187">
        <v>198701</v>
      </c>
      <c r="C17" s="176">
        <v>8.94</v>
      </c>
      <c r="D17" s="176">
        <v>10.5</v>
      </c>
      <c r="F17" s="177">
        <v>67</v>
      </c>
      <c r="G17" s="210"/>
      <c r="J17" s="210"/>
      <c r="AA17" s="211">
        <v>-99</v>
      </c>
      <c r="AB17" s="211">
        <v>-99</v>
      </c>
      <c r="AC17" s="211">
        <v>-99</v>
      </c>
      <c r="AD17" s="211">
        <v>-99</v>
      </c>
      <c r="AF17" s="211">
        <v>-99</v>
      </c>
      <c r="AG17" s="211">
        <v>-99</v>
      </c>
      <c r="AI17" s="211">
        <v>-99</v>
      </c>
      <c r="AJ17" s="211">
        <v>-99</v>
      </c>
      <c r="AK17" s="211">
        <v>-99</v>
      </c>
      <c r="AM17" s="27" t="s">
        <v>135</v>
      </c>
      <c r="AN17" s="7" t="b">
        <f t="shared" si="3"/>
        <v>0</v>
      </c>
      <c r="AP17" s="211">
        <v>-99</v>
      </c>
      <c r="AQ17" s="211">
        <v>-99</v>
      </c>
      <c r="AS17" s="211">
        <v>-99</v>
      </c>
      <c r="AT17" s="211">
        <v>-99</v>
      </c>
      <c r="AU17" s="211">
        <v>-99</v>
      </c>
      <c r="AV17" s="211">
        <v>-99</v>
      </c>
      <c r="AW17" s="211">
        <v>-99</v>
      </c>
      <c r="AX17" s="211">
        <v>-99</v>
      </c>
      <c r="AZ17" s="211">
        <v>-99</v>
      </c>
      <c r="BA17" s="211">
        <v>-99</v>
      </c>
      <c r="BB17" s="211">
        <v>-99</v>
      </c>
      <c r="BC17" s="211">
        <v>-99</v>
      </c>
      <c r="BD17" s="211">
        <v>-99</v>
      </c>
      <c r="BE17" s="211">
        <v>-99</v>
      </c>
      <c r="BG17" s="211">
        <v>-99</v>
      </c>
      <c r="BH17" s="211">
        <v>-99</v>
      </c>
      <c r="BI17" s="211">
        <v>-99</v>
      </c>
      <c r="BJ17" s="211">
        <v>-99</v>
      </c>
      <c r="BK17" s="211">
        <v>-99</v>
      </c>
      <c r="BL17" s="211">
        <v>-99</v>
      </c>
      <c r="BM17" s="211">
        <v>-99</v>
      </c>
      <c r="BN17" s="211">
        <v>-99</v>
      </c>
      <c r="BO17" s="211">
        <v>-99</v>
      </c>
      <c r="BP17" s="211">
        <v>-99</v>
      </c>
      <c r="BQ17" s="171">
        <f t="shared" si="5"/>
        <v>8.9399999999999993E-2</v>
      </c>
      <c r="BR17" s="171">
        <f t="shared" si="6"/>
        <v>0.105</v>
      </c>
      <c r="BS17" s="211">
        <v>-99</v>
      </c>
      <c r="BT17" s="211">
        <v>-99</v>
      </c>
      <c r="BU17" s="211">
        <v>-99</v>
      </c>
    </row>
    <row r="18" spans="1:73" x14ac:dyDescent="0.3">
      <c r="A18" s="209">
        <v>31809</v>
      </c>
      <c r="B18" s="187">
        <v>198702</v>
      </c>
      <c r="C18" s="176">
        <v>9.1</v>
      </c>
      <c r="D18" s="176">
        <v>10.5</v>
      </c>
      <c r="F18" s="177">
        <v>67.3</v>
      </c>
      <c r="G18" s="210">
        <v>2.2312373225152227E-2</v>
      </c>
      <c r="J18" s="210"/>
      <c r="AA18" s="211">
        <v>-99</v>
      </c>
      <c r="AB18" s="211">
        <v>-99</v>
      </c>
      <c r="AC18" s="211">
        <v>-99</v>
      </c>
      <c r="AD18" s="211">
        <v>-99</v>
      </c>
      <c r="AF18" s="211">
        <v>-99</v>
      </c>
      <c r="AG18" s="211">
        <v>-99</v>
      </c>
      <c r="AI18" s="211">
        <v>-99</v>
      </c>
      <c r="AJ18" s="211">
        <v>-99</v>
      </c>
      <c r="AK18" s="211">
        <v>-99</v>
      </c>
      <c r="AM18" s="27" t="s">
        <v>135</v>
      </c>
      <c r="AN18" s="7" t="b">
        <f t="shared" si="3"/>
        <v>0</v>
      </c>
      <c r="AP18" s="211">
        <v>-99</v>
      </c>
      <c r="AQ18" s="211">
        <v>-99</v>
      </c>
      <c r="AS18" s="211">
        <v>-99</v>
      </c>
      <c r="AT18" s="211">
        <v>-99</v>
      </c>
      <c r="AU18" s="211">
        <v>-99</v>
      </c>
      <c r="AV18" s="211">
        <v>-99</v>
      </c>
      <c r="AW18" s="211">
        <v>-99</v>
      </c>
      <c r="AX18" s="211">
        <v>-99</v>
      </c>
      <c r="AZ18" s="211">
        <v>-99</v>
      </c>
      <c r="BA18" s="211">
        <v>-99</v>
      </c>
      <c r="BB18" s="211">
        <v>-99</v>
      </c>
      <c r="BC18" s="211">
        <v>-99</v>
      </c>
      <c r="BD18" s="211">
        <v>-99</v>
      </c>
      <c r="BE18" s="211">
        <v>-99</v>
      </c>
      <c r="BG18" s="211">
        <v>-99</v>
      </c>
      <c r="BH18" s="211">
        <v>-99</v>
      </c>
      <c r="BI18" s="211">
        <v>-99</v>
      </c>
      <c r="BJ18" s="211">
        <v>-99</v>
      </c>
      <c r="BK18" s="211">
        <v>-99</v>
      </c>
      <c r="BL18" s="211">
        <v>-99</v>
      </c>
      <c r="BM18" s="211">
        <v>-99</v>
      </c>
      <c r="BN18" s="211">
        <v>-99</v>
      </c>
      <c r="BO18" s="211">
        <v>-99</v>
      </c>
      <c r="BP18" s="211">
        <v>-99</v>
      </c>
      <c r="BQ18" s="171">
        <f t="shared" si="5"/>
        <v>9.0999999999999998E-2</v>
      </c>
      <c r="BR18" s="171">
        <f t="shared" si="6"/>
        <v>0.105</v>
      </c>
      <c r="BS18" s="211">
        <v>-99</v>
      </c>
      <c r="BT18" s="211">
        <v>-99</v>
      </c>
      <c r="BU18" s="211">
        <v>-99</v>
      </c>
    </row>
    <row r="19" spans="1:73" x14ac:dyDescent="0.3">
      <c r="A19" s="209">
        <v>31837</v>
      </c>
      <c r="B19" s="187">
        <v>198703</v>
      </c>
      <c r="C19" s="176">
        <v>8.98</v>
      </c>
      <c r="D19" s="176">
        <v>10</v>
      </c>
      <c r="F19" s="177">
        <v>67.5</v>
      </c>
      <c r="G19" s="210">
        <v>2.3279352226720729E-2</v>
      </c>
      <c r="J19" s="210"/>
      <c r="AA19" s="211">
        <v>-99</v>
      </c>
      <c r="AB19" s="211">
        <v>-99</v>
      </c>
      <c r="AC19" s="211">
        <v>-99</v>
      </c>
      <c r="AD19" s="211">
        <v>-99</v>
      </c>
      <c r="AF19" s="211">
        <v>-99</v>
      </c>
      <c r="AG19" s="211">
        <v>-99</v>
      </c>
      <c r="AI19" s="211">
        <v>-99</v>
      </c>
      <c r="AJ19" s="211">
        <v>-99</v>
      </c>
      <c r="AK19" s="211">
        <v>-99</v>
      </c>
      <c r="AM19" s="27" t="s">
        <v>135</v>
      </c>
      <c r="AN19" s="7" t="b">
        <f t="shared" si="3"/>
        <v>0</v>
      </c>
      <c r="AP19" s="211">
        <v>-99</v>
      </c>
      <c r="AQ19" s="211">
        <v>-99</v>
      </c>
      <c r="AS19" s="211">
        <v>-99</v>
      </c>
      <c r="AT19" s="211">
        <v>-99</v>
      </c>
      <c r="AU19" s="211">
        <v>-99</v>
      </c>
      <c r="AV19" s="211">
        <v>-99</v>
      </c>
      <c r="AW19" s="211">
        <v>-99</v>
      </c>
      <c r="AX19" s="211">
        <v>-99</v>
      </c>
      <c r="AZ19" s="211">
        <v>-99</v>
      </c>
      <c r="BA19" s="211">
        <v>-99</v>
      </c>
      <c r="BB19" s="211">
        <v>-99</v>
      </c>
      <c r="BC19" s="211">
        <v>-99</v>
      </c>
      <c r="BD19" s="211">
        <v>-99</v>
      </c>
      <c r="BE19" s="211">
        <v>-99</v>
      </c>
      <c r="BG19" s="211">
        <v>-99</v>
      </c>
      <c r="BH19" s="211">
        <v>-99</v>
      </c>
      <c r="BI19" s="211">
        <v>-99</v>
      </c>
      <c r="BJ19" s="211">
        <v>-99</v>
      </c>
      <c r="BK19" s="211">
        <v>-99</v>
      </c>
      <c r="BL19" s="211">
        <v>-99</v>
      </c>
      <c r="BM19" s="211">
        <v>-99</v>
      </c>
      <c r="BN19" s="211">
        <v>-99</v>
      </c>
      <c r="BO19" s="211">
        <v>-99</v>
      </c>
      <c r="BP19" s="211">
        <v>-99</v>
      </c>
      <c r="BQ19" s="171">
        <f t="shared" si="5"/>
        <v>8.9800000000000005E-2</v>
      </c>
      <c r="BR19" s="171">
        <f t="shared" si="6"/>
        <v>0.1</v>
      </c>
      <c r="BS19" s="211">
        <v>-99</v>
      </c>
      <c r="BT19" s="211">
        <v>-99</v>
      </c>
      <c r="BU19" s="211">
        <v>-99</v>
      </c>
    </row>
    <row r="20" spans="1:73" x14ac:dyDescent="0.3">
      <c r="A20" s="209">
        <v>31868</v>
      </c>
      <c r="B20" s="187">
        <v>198704</v>
      </c>
      <c r="C20" s="176">
        <v>9.82</v>
      </c>
      <c r="D20" s="176">
        <v>11</v>
      </c>
      <c r="F20" s="177">
        <v>67.900000000000006</v>
      </c>
      <c r="G20" s="210">
        <v>2.7327935222672073E-2</v>
      </c>
      <c r="J20" s="210"/>
      <c r="AA20" s="211">
        <v>-99</v>
      </c>
      <c r="AB20" s="211">
        <v>-99</v>
      </c>
      <c r="AC20" s="211">
        <v>-99</v>
      </c>
      <c r="AD20" s="211">
        <v>-99</v>
      </c>
      <c r="AF20" s="211">
        <v>-99</v>
      </c>
      <c r="AG20" s="211">
        <v>-99</v>
      </c>
      <c r="AI20" s="211">
        <v>-99</v>
      </c>
      <c r="AJ20" s="211">
        <v>-99</v>
      </c>
      <c r="AK20" s="211">
        <v>-99</v>
      </c>
      <c r="AM20" s="27" t="s">
        <v>135</v>
      </c>
      <c r="AN20" s="7" t="b">
        <f t="shared" si="3"/>
        <v>0</v>
      </c>
      <c r="AP20" s="211">
        <v>-99</v>
      </c>
      <c r="AQ20" s="211">
        <v>-99</v>
      </c>
      <c r="AS20" s="211">
        <v>-99</v>
      </c>
      <c r="AT20" s="211">
        <v>-99</v>
      </c>
      <c r="AU20" s="211">
        <v>-99</v>
      </c>
      <c r="AV20" s="211">
        <v>-99</v>
      </c>
      <c r="AW20" s="211">
        <v>-99</v>
      </c>
      <c r="AX20" s="211">
        <v>-99</v>
      </c>
      <c r="AZ20" s="211">
        <v>-99</v>
      </c>
      <c r="BA20" s="211">
        <v>-99</v>
      </c>
      <c r="BB20" s="211">
        <v>-99</v>
      </c>
      <c r="BC20" s="211">
        <v>-99</v>
      </c>
      <c r="BD20" s="211">
        <v>-99</v>
      </c>
      <c r="BE20" s="211">
        <v>-99</v>
      </c>
      <c r="BG20" s="211">
        <v>-99</v>
      </c>
      <c r="BH20" s="211">
        <v>-99</v>
      </c>
      <c r="BI20" s="211">
        <v>-99</v>
      </c>
      <c r="BJ20" s="211">
        <v>-99</v>
      </c>
      <c r="BK20" s="211">
        <v>-99</v>
      </c>
      <c r="BL20" s="211">
        <v>-99</v>
      </c>
      <c r="BM20" s="211">
        <v>-99</v>
      </c>
      <c r="BN20" s="211">
        <v>-99</v>
      </c>
      <c r="BO20" s="211">
        <v>-99</v>
      </c>
      <c r="BP20" s="211">
        <v>-99</v>
      </c>
      <c r="BQ20" s="171">
        <f t="shared" si="5"/>
        <v>9.820000000000001E-2</v>
      </c>
      <c r="BR20" s="171">
        <f t="shared" si="6"/>
        <v>0.11</v>
      </c>
      <c r="BS20" s="211">
        <v>-99</v>
      </c>
      <c r="BT20" s="211">
        <v>-99</v>
      </c>
      <c r="BU20" s="211">
        <v>-99</v>
      </c>
    </row>
    <row r="21" spans="1:73" x14ac:dyDescent="0.3">
      <c r="A21" s="209">
        <v>31898</v>
      </c>
      <c r="B21" s="187">
        <v>198705</v>
      </c>
      <c r="C21" s="176">
        <v>9.92</v>
      </c>
      <c r="D21" s="176">
        <v>11.25</v>
      </c>
      <c r="F21" s="177">
        <v>68.3</v>
      </c>
      <c r="G21" s="210">
        <v>2.9292929292929371E-2</v>
      </c>
      <c r="J21" s="210"/>
      <c r="AA21" s="211">
        <v>-99</v>
      </c>
      <c r="AB21" s="211">
        <v>-99</v>
      </c>
      <c r="AC21" s="211">
        <v>-99</v>
      </c>
      <c r="AD21" s="211">
        <v>-99</v>
      </c>
      <c r="AF21" s="211">
        <v>-99</v>
      </c>
      <c r="AG21" s="211">
        <v>-99</v>
      </c>
      <c r="AI21" s="211">
        <v>-99</v>
      </c>
      <c r="AJ21" s="211">
        <v>-99</v>
      </c>
      <c r="AK21" s="211">
        <v>-99</v>
      </c>
      <c r="AM21" s="27" t="s">
        <v>135</v>
      </c>
      <c r="AN21" s="7" t="b">
        <f t="shared" si="3"/>
        <v>0</v>
      </c>
      <c r="AP21" s="211">
        <v>-99</v>
      </c>
      <c r="AQ21" s="211">
        <v>-99</v>
      </c>
      <c r="AS21" s="211">
        <v>-99</v>
      </c>
      <c r="AT21" s="211">
        <v>-99</v>
      </c>
      <c r="AU21" s="211">
        <v>-99</v>
      </c>
      <c r="AV21" s="211">
        <v>-99</v>
      </c>
      <c r="AW21" s="211">
        <v>-99</v>
      </c>
      <c r="AX21" s="211">
        <v>-99</v>
      </c>
      <c r="AZ21" s="211">
        <v>-99</v>
      </c>
      <c r="BA21" s="211">
        <v>-99</v>
      </c>
      <c r="BB21" s="211">
        <v>-99</v>
      </c>
      <c r="BC21" s="211">
        <v>-99</v>
      </c>
      <c r="BD21" s="211">
        <v>-99</v>
      </c>
      <c r="BE21" s="211">
        <v>-99</v>
      </c>
      <c r="BG21" s="211">
        <v>-99</v>
      </c>
      <c r="BH21" s="211">
        <v>-99</v>
      </c>
      <c r="BI21" s="211">
        <v>-99</v>
      </c>
      <c r="BJ21" s="211">
        <v>-99</v>
      </c>
      <c r="BK21" s="211">
        <v>-99</v>
      </c>
      <c r="BL21" s="211">
        <v>-99</v>
      </c>
      <c r="BM21" s="211">
        <v>-99</v>
      </c>
      <c r="BN21" s="211">
        <v>-99</v>
      </c>
      <c r="BO21" s="211">
        <v>-99</v>
      </c>
      <c r="BP21" s="211">
        <v>-99</v>
      </c>
      <c r="BQ21" s="171">
        <f t="shared" si="5"/>
        <v>9.9199999999999997E-2</v>
      </c>
      <c r="BR21" s="171">
        <f t="shared" si="6"/>
        <v>0.1125</v>
      </c>
      <c r="BS21" s="211">
        <v>-99</v>
      </c>
      <c r="BT21" s="211">
        <v>-99</v>
      </c>
      <c r="BU21" s="211">
        <v>-99</v>
      </c>
    </row>
    <row r="22" spans="1:73" x14ac:dyDescent="0.3">
      <c r="A22" s="209">
        <v>31929</v>
      </c>
      <c r="B22" s="187">
        <v>198706</v>
      </c>
      <c r="C22" s="176">
        <v>9.7799999999999994</v>
      </c>
      <c r="D22" s="176">
        <v>11.25</v>
      </c>
      <c r="F22" s="177">
        <v>68.5</v>
      </c>
      <c r="G22" s="210">
        <v>3.2290615539858791E-2</v>
      </c>
      <c r="J22" s="210"/>
      <c r="AA22" s="211">
        <v>-99</v>
      </c>
      <c r="AB22" s="211">
        <v>-99</v>
      </c>
      <c r="AC22" s="211">
        <v>-99</v>
      </c>
      <c r="AD22" s="211">
        <v>-99</v>
      </c>
      <c r="AF22" s="211">
        <v>-99</v>
      </c>
      <c r="AG22" s="211">
        <v>-99</v>
      </c>
      <c r="AI22" s="211">
        <v>-99</v>
      </c>
      <c r="AJ22" s="211">
        <v>-99</v>
      </c>
      <c r="AK22" s="211">
        <v>-99</v>
      </c>
      <c r="AM22" s="27" t="s">
        <v>135</v>
      </c>
      <c r="AN22" s="7" t="b">
        <f t="shared" si="3"/>
        <v>0</v>
      </c>
      <c r="AP22" s="211">
        <v>-99</v>
      </c>
      <c r="AQ22" s="211">
        <v>-99</v>
      </c>
      <c r="AS22" s="211">
        <v>-99</v>
      </c>
      <c r="AT22" s="211">
        <v>-99</v>
      </c>
      <c r="AU22" s="211">
        <v>-99</v>
      </c>
      <c r="AV22" s="211">
        <v>-99</v>
      </c>
      <c r="AW22" s="211">
        <v>-99</v>
      </c>
      <c r="AX22" s="211">
        <v>-99</v>
      </c>
      <c r="AZ22" s="211">
        <v>-99</v>
      </c>
      <c r="BA22" s="211">
        <v>-99</v>
      </c>
      <c r="BB22" s="211">
        <v>-99</v>
      </c>
      <c r="BC22" s="211">
        <v>-99</v>
      </c>
      <c r="BD22" s="211">
        <v>-99</v>
      </c>
      <c r="BE22" s="211">
        <v>-99</v>
      </c>
      <c r="BG22" s="211">
        <v>-99</v>
      </c>
      <c r="BH22" s="211">
        <v>-99</v>
      </c>
      <c r="BI22" s="211">
        <v>-99</v>
      </c>
      <c r="BJ22" s="211">
        <v>-99</v>
      </c>
      <c r="BK22" s="211">
        <v>-99</v>
      </c>
      <c r="BL22" s="211">
        <v>-99</v>
      </c>
      <c r="BM22" s="211">
        <v>-99</v>
      </c>
      <c r="BN22" s="211">
        <v>-99</v>
      </c>
      <c r="BO22" s="211">
        <v>-99</v>
      </c>
      <c r="BP22" s="211">
        <v>-99</v>
      </c>
      <c r="BQ22" s="171">
        <f t="shared" si="5"/>
        <v>9.7799999999999998E-2</v>
      </c>
      <c r="BR22" s="171">
        <f t="shared" si="6"/>
        <v>0.1125</v>
      </c>
      <c r="BS22" s="211">
        <v>-99</v>
      </c>
      <c r="BT22" s="211">
        <v>-99</v>
      </c>
      <c r="BU22" s="211">
        <v>-99</v>
      </c>
    </row>
    <row r="23" spans="1:73" x14ac:dyDescent="0.3">
      <c r="A23" s="209">
        <v>31959</v>
      </c>
      <c r="B23" s="187">
        <v>198707</v>
      </c>
      <c r="C23" s="176">
        <v>10.23</v>
      </c>
      <c r="D23" s="176">
        <v>11.25</v>
      </c>
      <c r="F23" s="177">
        <v>68.900000000000006</v>
      </c>
      <c r="G23" s="210">
        <v>3.2193158953722323E-2</v>
      </c>
      <c r="J23" s="210"/>
      <c r="AA23" s="211">
        <v>-99</v>
      </c>
      <c r="AB23" s="211">
        <v>-99</v>
      </c>
      <c r="AC23" s="211">
        <v>-99</v>
      </c>
      <c r="AD23" s="211">
        <v>-99</v>
      </c>
      <c r="AF23" s="211">
        <v>-99</v>
      </c>
      <c r="AG23" s="211">
        <v>-99</v>
      </c>
      <c r="AI23" s="211">
        <v>-99</v>
      </c>
      <c r="AJ23" s="211">
        <v>-99</v>
      </c>
      <c r="AK23" s="211">
        <v>-99</v>
      </c>
      <c r="AM23" s="27" t="s">
        <v>135</v>
      </c>
      <c r="AN23" s="7" t="b">
        <f t="shared" si="3"/>
        <v>0</v>
      </c>
      <c r="AP23" s="211">
        <v>-99</v>
      </c>
      <c r="AQ23" s="211">
        <v>-99</v>
      </c>
      <c r="AS23" s="211">
        <v>-99</v>
      </c>
      <c r="AT23" s="211">
        <v>-99</v>
      </c>
      <c r="AU23" s="211">
        <v>-99</v>
      </c>
      <c r="AV23" s="211">
        <v>-99</v>
      </c>
      <c r="AW23" s="211">
        <v>-99</v>
      </c>
      <c r="AX23" s="211">
        <v>-99</v>
      </c>
      <c r="AZ23" s="211">
        <v>-99</v>
      </c>
      <c r="BA23" s="211">
        <v>-99</v>
      </c>
      <c r="BB23" s="211">
        <v>-99</v>
      </c>
      <c r="BC23" s="211">
        <v>-99</v>
      </c>
      <c r="BD23" s="211">
        <v>-99</v>
      </c>
      <c r="BE23" s="211">
        <v>-99</v>
      </c>
      <c r="BG23" s="211">
        <v>-99</v>
      </c>
      <c r="BH23" s="211">
        <v>-99</v>
      </c>
      <c r="BI23" s="211">
        <v>-99</v>
      </c>
      <c r="BJ23" s="211">
        <v>-99</v>
      </c>
      <c r="BK23" s="211">
        <v>-99</v>
      </c>
      <c r="BL23" s="211">
        <v>-99</v>
      </c>
      <c r="BM23" s="211">
        <v>-99</v>
      </c>
      <c r="BN23" s="211">
        <v>-99</v>
      </c>
      <c r="BO23" s="211">
        <v>-99</v>
      </c>
      <c r="BP23" s="211">
        <v>-99</v>
      </c>
      <c r="BQ23" s="171">
        <f t="shared" si="5"/>
        <v>0.1023</v>
      </c>
      <c r="BR23" s="171">
        <f t="shared" si="6"/>
        <v>0.1125</v>
      </c>
      <c r="BS23" s="211">
        <v>-99</v>
      </c>
      <c r="BT23" s="211">
        <v>-99</v>
      </c>
      <c r="BU23" s="211">
        <v>-99</v>
      </c>
    </row>
    <row r="24" spans="1:73" x14ac:dyDescent="0.3">
      <c r="A24" s="209">
        <v>31990</v>
      </c>
      <c r="B24" s="187">
        <v>198708</v>
      </c>
      <c r="C24" s="176">
        <v>10.44</v>
      </c>
      <c r="D24" s="176">
        <v>11.5</v>
      </c>
      <c r="F24" s="177">
        <v>69</v>
      </c>
      <c r="G24" s="210">
        <v>3.4136546184738936E-2</v>
      </c>
      <c r="J24" s="210"/>
      <c r="AA24" s="211">
        <v>-99</v>
      </c>
      <c r="AB24" s="211">
        <v>-99</v>
      </c>
      <c r="AC24" s="211">
        <v>-99</v>
      </c>
      <c r="AD24" s="211">
        <v>-99</v>
      </c>
      <c r="AF24" s="211">
        <v>-99</v>
      </c>
      <c r="AG24" s="211">
        <v>-99</v>
      </c>
      <c r="AI24" s="211">
        <v>-99</v>
      </c>
      <c r="AJ24" s="211">
        <v>-99</v>
      </c>
      <c r="AK24" s="211">
        <v>-99</v>
      </c>
      <c r="AM24" s="27" t="s">
        <v>135</v>
      </c>
      <c r="AN24" s="7" t="b">
        <f t="shared" si="3"/>
        <v>0</v>
      </c>
      <c r="AP24" s="211">
        <v>-99</v>
      </c>
      <c r="AQ24" s="211">
        <v>-99</v>
      </c>
      <c r="AS24" s="211">
        <v>-99</v>
      </c>
      <c r="AT24" s="211">
        <v>-99</v>
      </c>
      <c r="AU24" s="211">
        <v>-99</v>
      </c>
      <c r="AV24" s="211">
        <v>-99</v>
      </c>
      <c r="AW24" s="211">
        <v>-99</v>
      </c>
      <c r="AX24" s="211">
        <v>-99</v>
      </c>
      <c r="AZ24" s="211">
        <v>-99</v>
      </c>
      <c r="BA24" s="211">
        <v>-99</v>
      </c>
      <c r="BB24" s="211">
        <v>-99</v>
      </c>
      <c r="BC24" s="211">
        <v>-99</v>
      </c>
      <c r="BD24" s="211">
        <v>-99</v>
      </c>
      <c r="BE24" s="211">
        <v>-99</v>
      </c>
      <c r="BG24" s="211">
        <v>-99</v>
      </c>
      <c r="BH24" s="211">
        <v>-99</v>
      </c>
      <c r="BI24" s="211">
        <v>-99</v>
      </c>
      <c r="BJ24" s="211">
        <v>-99</v>
      </c>
      <c r="BK24" s="211">
        <v>-99</v>
      </c>
      <c r="BL24" s="211">
        <v>-99</v>
      </c>
      <c r="BM24" s="211">
        <v>-99</v>
      </c>
      <c r="BN24" s="211">
        <v>-99</v>
      </c>
      <c r="BO24" s="211">
        <v>-99</v>
      </c>
      <c r="BP24" s="211">
        <v>-99</v>
      </c>
      <c r="BQ24" s="171">
        <f t="shared" si="5"/>
        <v>0.10439999999999999</v>
      </c>
      <c r="BR24" s="171">
        <f t="shared" si="6"/>
        <v>0.115</v>
      </c>
      <c r="BS24" s="211">
        <v>-99</v>
      </c>
      <c r="BT24" s="211">
        <v>-99</v>
      </c>
      <c r="BU24" s="211">
        <v>-99</v>
      </c>
    </row>
    <row r="25" spans="1:73" x14ac:dyDescent="0.3">
      <c r="A25" s="209">
        <v>32021</v>
      </c>
      <c r="B25" s="187">
        <v>198709</v>
      </c>
      <c r="C25" s="176">
        <v>11.14</v>
      </c>
      <c r="D25" s="176">
        <v>12</v>
      </c>
      <c r="F25" s="177">
        <v>69</v>
      </c>
      <c r="G25" s="210">
        <v>3.5070140280561102E-2</v>
      </c>
      <c r="J25" s="210"/>
      <c r="AA25" s="211">
        <v>-99</v>
      </c>
      <c r="AB25" s="211">
        <v>-99</v>
      </c>
      <c r="AC25" s="211">
        <v>-99</v>
      </c>
      <c r="AD25" s="211">
        <v>-99</v>
      </c>
      <c r="AF25" s="211">
        <v>-99</v>
      </c>
      <c r="AG25" s="211">
        <v>-99</v>
      </c>
      <c r="AI25" s="211">
        <v>-99</v>
      </c>
      <c r="AJ25" s="211">
        <v>-99</v>
      </c>
      <c r="AK25" s="211">
        <v>-99</v>
      </c>
      <c r="AM25" s="27" t="s">
        <v>135</v>
      </c>
      <c r="AN25" s="7" t="b">
        <f t="shared" si="3"/>
        <v>0</v>
      </c>
      <c r="AP25" s="211">
        <v>-99</v>
      </c>
      <c r="AQ25" s="211">
        <v>-99</v>
      </c>
      <c r="AS25" s="211">
        <v>-99</v>
      </c>
      <c r="AT25" s="211">
        <v>-99</v>
      </c>
      <c r="AU25" s="211">
        <v>-99</v>
      </c>
      <c r="AV25" s="211">
        <v>-99</v>
      </c>
      <c r="AW25" s="211">
        <v>-99</v>
      </c>
      <c r="AX25" s="211">
        <v>-99</v>
      </c>
      <c r="AZ25" s="211">
        <v>-99</v>
      </c>
      <c r="BA25" s="211">
        <v>-99</v>
      </c>
      <c r="BB25" s="211">
        <v>-99</v>
      </c>
      <c r="BC25" s="211">
        <v>-99</v>
      </c>
      <c r="BD25" s="211">
        <v>-99</v>
      </c>
      <c r="BE25" s="211">
        <v>-99</v>
      </c>
      <c r="BG25" s="211">
        <v>-99</v>
      </c>
      <c r="BH25" s="211">
        <v>-99</v>
      </c>
      <c r="BI25" s="211">
        <v>-99</v>
      </c>
      <c r="BJ25" s="211">
        <v>-99</v>
      </c>
      <c r="BK25" s="211">
        <v>-99</v>
      </c>
      <c r="BL25" s="211">
        <v>-99</v>
      </c>
      <c r="BM25" s="211">
        <v>-99</v>
      </c>
      <c r="BN25" s="211">
        <v>-99</v>
      </c>
      <c r="BO25" s="211">
        <v>-99</v>
      </c>
      <c r="BP25" s="211">
        <v>-99</v>
      </c>
      <c r="BQ25" s="171">
        <f t="shared" si="5"/>
        <v>0.1114</v>
      </c>
      <c r="BR25" s="171">
        <f t="shared" si="6"/>
        <v>0.12</v>
      </c>
      <c r="BS25" s="211">
        <v>-99</v>
      </c>
      <c r="BT25" s="211">
        <v>-99</v>
      </c>
      <c r="BU25" s="211">
        <v>-99</v>
      </c>
    </row>
    <row r="26" spans="1:73" x14ac:dyDescent="0.3">
      <c r="A26" s="209">
        <v>32051</v>
      </c>
      <c r="B26" s="187">
        <v>198710</v>
      </c>
      <c r="C26" s="176">
        <v>10.210000000000001</v>
      </c>
      <c r="D26" s="176">
        <v>11.5</v>
      </c>
      <c r="F26" s="177">
        <v>69.2</v>
      </c>
      <c r="G26" s="210">
        <v>3.8038038038038069E-2</v>
      </c>
      <c r="J26" s="210"/>
      <c r="AA26" s="211">
        <v>-99</v>
      </c>
      <c r="AB26" s="211">
        <v>-99</v>
      </c>
      <c r="AC26" s="211">
        <v>-99</v>
      </c>
      <c r="AD26" s="211">
        <v>-99</v>
      </c>
      <c r="AF26" s="211">
        <v>-99</v>
      </c>
      <c r="AG26" s="211">
        <v>-99</v>
      </c>
      <c r="AI26" s="211">
        <v>-99</v>
      </c>
      <c r="AJ26" s="211">
        <v>-99</v>
      </c>
      <c r="AK26" s="211">
        <v>-99</v>
      </c>
      <c r="AM26" s="27" t="s">
        <v>135</v>
      </c>
      <c r="AN26" s="7" t="b">
        <f t="shared" si="3"/>
        <v>0</v>
      </c>
      <c r="AP26" s="211">
        <v>-99</v>
      </c>
      <c r="AQ26" s="211">
        <v>-99</v>
      </c>
      <c r="AS26" s="211">
        <v>-99</v>
      </c>
      <c r="AT26" s="211">
        <v>-99</v>
      </c>
      <c r="AU26" s="211">
        <v>-99</v>
      </c>
      <c r="AV26" s="211">
        <v>-99</v>
      </c>
      <c r="AW26" s="211">
        <v>-99</v>
      </c>
      <c r="AX26" s="211">
        <v>-99</v>
      </c>
      <c r="AZ26" s="211">
        <v>-99</v>
      </c>
      <c r="BA26" s="211">
        <v>-99</v>
      </c>
      <c r="BB26" s="211">
        <v>-99</v>
      </c>
      <c r="BC26" s="211">
        <v>-99</v>
      </c>
      <c r="BD26" s="211">
        <v>-99</v>
      </c>
      <c r="BE26" s="211">
        <v>-99</v>
      </c>
      <c r="BG26" s="211">
        <v>-99</v>
      </c>
      <c r="BH26" s="211">
        <v>-99</v>
      </c>
      <c r="BI26" s="211">
        <v>-99</v>
      </c>
      <c r="BJ26" s="211">
        <v>-99</v>
      </c>
      <c r="BK26" s="211">
        <v>-99</v>
      </c>
      <c r="BL26" s="211">
        <v>-99</v>
      </c>
      <c r="BM26" s="211">
        <v>-99</v>
      </c>
      <c r="BN26" s="211">
        <v>-99</v>
      </c>
      <c r="BO26" s="211">
        <v>-99</v>
      </c>
      <c r="BP26" s="211">
        <v>-99</v>
      </c>
      <c r="BQ26" s="171">
        <f t="shared" si="5"/>
        <v>0.10210000000000001</v>
      </c>
      <c r="BR26" s="171">
        <f t="shared" si="6"/>
        <v>0.115</v>
      </c>
      <c r="BS26" s="211">
        <v>-99</v>
      </c>
      <c r="BT26" s="211">
        <v>-99</v>
      </c>
      <c r="BU26" s="211">
        <v>-99</v>
      </c>
    </row>
    <row r="27" spans="1:73" x14ac:dyDescent="0.3">
      <c r="A27" s="209">
        <v>32082</v>
      </c>
      <c r="B27" s="187">
        <v>198711</v>
      </c>
      <c r="C27" s="176">
        <v>10.5</v>
      </c>
      <c r="D27" s="176">
        <v>11.5</v>
      </c>
      <c r="F27" s="177">
        <v>69.5</v>
      </c>
      <c r="G27" s="210">
        <v>3.9960039960039939E-2</v>
      </c>
      <c r="J27" s="210"/>
      <c r="AA27" s="211">
        <v>-99</v>
      </c>
      <c r="AB27" s="211">
        <v>-99</v>
      </c>
      <c r="AC27" s="211">
        <v>-99</v>
      </c>
      <c r="AD27" s="211">
        <v>-99</v>
      </c>
      <c r="AF27" s="211">
        <v>-99</v>
      </c>
      <c r="AG27" s="211">
        <v>-99</v>
      </c>
      <c r="AI27" s="211">
        <v>-99</v>
      </c>
      <c r="AJ27" s="211">
        <v>-99</v>
      </c>
      <c r="AK27" s="211">
        <v>-99</v>
      </c>
      <c r="AM27" s="27" t="s">
        <v>135</v>
      </c>
      <c r="AN27" s="7" t="b">
        <f t="shared" si="3"/>
        <v>0</v>
      </c>
      <c r="AP27" s="211">
        <v>-99</v>
      </c>
      <c r="AQ27" s="211">
        <v>-99</v>
      </c>
      <c r="AS27" s="211">
        <v>-99</v>
      </c>
      <c r="AT27" s="211">
        <v>-99</v>
      </c>
      <c r="AU27" s="211">
        <v>-99</v>
      </c>
      <c r="AV27" s="211">
        <v>-99</v>
      </c>
      <c r="AW27" s="211">
        <v>-99</v>
      </c>
      <c r="AX27" s="211">
        <v>-99</v>
      </c>
      <c r="AZ27" s="211">
        <v>-99</v>
      </c>
      <c r="BA27" s="211">
        <v>-99</v>
      </c>
      <c r="BB27" s="211">
        <v>-99</v>
      </c>
      <c r="BC27" s="211">
        <v>-99</v>
      </c>
      <c r="BD27" s="211">
        <v>-99</v>
      </c>
      <c r="BE27" s="211">
        <v>-99</v>
      </c>
      <c r="BG27" s="211">
        <v>-99</v>
      </c>
      <c r="BH27" s="211">
        <v>-99</v>
      </c>
      <c r="BI27" s="211">
        <v>-99</v>
      </c>
      <c r="BJ27" s="211">
        <v>-99</v>
      </c>
      <c r="BK27" s="211">
        <v>-99</v>
      </c>
      <c r="BL27" s="211">
        <v>-99</v>
      </c>
      <c r="BM27" s="211">
        <v>-99</v>
      </c>
      <c r="BN27" s="211">
        <v>-99</v>
      </c>
      <c r="BO27" s="211">
        <v>-99</v>
      </c>
      <c r="BP27" s="211">
        <v>-99</v>
      </c>
      <c r="BQ27" s="171">
        <f t="shared" si="5"/>
        <v>0.105</v>
      </c>
      <c r="BR27" s="171">
        <f t="shared" si="6"/>
        <v>0.115</v>
      </c>
      <c r="BS27" s="211">
        <v>-99</v>
      </c>
      <c r="BT27" s="211">
        <v>-99</v>
      </c>
      <c r="BU27" s="211">
        <v>-99</v>
      </c>
    </row>
    <row r="28" spans="1:73" x14ac:dyDescent="0.3">
      <c r="A28" s="212">
        <v>32112</v>
      </c>
      <c r="B28" s="187">
        <v>198712</v>
      </c>
      <c r="C28" s="213">
        <v>10.34</v>
      </c>
      <c r="D28" s="213">
        <v>11.75</v>
      </c>
      <c r="E28" s="213"/>
      <c r="F28" s="177">
        <v>69.599999999999994</v>
      </c>
      <c r="G28" s="214">
        <v>4.0877367896311245E-2</v>
      </c>
      <c r="H28" s="215"/>
      <c r="I28" s="215"/>
      <c r="J28" s="214"/>
      <c r="K28" s="216"/>
      <c r="L28" s="216"/>
      <c r="M28" s="216"/>
      <c r="N28" s="216"/>
      <c r="O28" s="216"/>
      <c r="P28" s="217"/>
      <c r="Q28" s="36"/>
      <c r="R28" s="36"/>
      <c r="S28" s="36"/>
      <c r="T28" s="36"/>
      <c r="AA28" s="211">
        <v>-99</v>
      </c>
      <c r="AB28" s="211">
        <v>-99</v>
      </c>
      <c r="AC28" s="211">
        <v>-99</v>
      </c>
      <c r="AD28" s="211">
        <v>-99</v>
      </c>
      <c r="AF28" s="211">
        <v>-99</v>
      </c>
      <c r="AG28" s="211">
        <v>-99</v>
      </c>
      <c r="AI28" s="211">
        <v>-99</v>
      </c>
      <c r="AJ28" s="211">
        <v>-99</v>
      </c>
      <c r="AK28" s="211">
        <v>-99</v>
      </c>
      <c r="AM28" s="27" t="s">
        <v>135</v>
      </c>
      <c r="AN28" s="7" t="b">
        <f t="shared" si="3"/>
        <v>0</v>
      </c>
      <c r="AP28" s="211">
        <v>-99</v>
      </c>
      <c r="AQ28" s="211">
        <v>-99</v>
      </c>
      <c r="AS28" s="211">
        <v>-99</v>
      </c>
      <c r="AT28" s="211">
        <v>-99</v>
      </c>
      <c r="AU28" s="211">
        <v>-99</v>
      </c>
      <c r="AV28" s="211">
        <v>-99</v>
      </c>
      <c r="AW28" s="211">
        <v>-99</v>
      </c>
      <c r="AX28" s="211">
        <v>-99</v>
      </c>
      <c r="AZ28" s="211">
        <v>-99</v>
      </c>
      <c r="BA28" s="211">
        <v>-99</v>
      </c>
      <c r="BB28" s="211">
        <v>-99</v>
      </c>
      <c r="BC28" s="211">
        <v>-99</v>
      </c>
      <c r="BD28" s="211">
        <v>-99</v>
      </c>
      <c r="BE28" s="211">
        <v>-99</v>
      </c>
      <c r="BG28" s="211">
        <v>-99</v>
      </c>
      <c r="BH28" s="211">
        <v>-99</v>
      </c>
      <c r="BI28" s="211">
        <v>-99</v>
      </c>
      <c r="BJ28" s="211">
        <v>-99</v>
      </c>
      <c r="BK28" s="211">
        <v>-99</v>
      </c>
      <c r="BL28" s="211">
        <v>-99</v>
      </c>
      <c r="BM28" s="211">
        <v>-99</v>
      </c>
      <c r="BN28" s="211">
        <v>-99</v>
      </c>
      <c r="BO28" s="211">
        <v>-99</v>
      </c>
      <c r="BP28" s="211">
        <v>-99</v>
      </c>
      <c r="BQ28" s="171">
        <f t="shared" si="5"/>
        <v>0.10339999999999999</v>
      </c>
      <c r="BR28" s="171">
        <f t="shared" si="6"/>
        <v>0.11749999999999999</v>
      </c>
      <c r="BS28" s="211">
        <v>-99</v>
      </c>
      <c r="BT28" s="211">
        <v>-99</v>
      </c>
      <c r="BU28" s="211">
        <v>-99</v>
      </c>
    </row>
    <row r="29" spans="1:73" x14ac:dyDescent="0.3">
      <c r="A29" s="209">
        <v>32143</v>
      </c>
      <c r="B29" s="187">
        <v>198801</v>
      </c>
      <c r="C29" s="176">
        <v>9.74</v>
      </c>
      <c r="D29" s="176">
        <v>11.75</v>
      </c>
      <c r="F29" s="177">
        <v>69.7</v>
      </c>
      <c r="G29" s="210">
        <v>4.3824701195219085E-2</v>
      </c>
      <c r="J29" s="210"/>
      <c r="K29" s="182">
        <v>0.105</v>
      </c>
      <c r="L29" s="182">
        <v>7.4999999999999997E-2</v>
      </c>
      <c r="N29" s="182">
        <v>0.1125</v>
      </c>
      <c r="O29" s="182">
        <v>2.5000000000000001E-3</v>
      </c>
      <c r="Q29" s="182"/>
      <c r="R29" s="182"/>
      <c r="S29" s="182"/>
      <c r="T29" s="182"/>
      <c r="U29" s="182"/>
      <c r="V29" s="194"/>
      <c r="W29" s="194"/>
      <c r="X29" s="194"/>
      <c r="Y29" s="194"/>
      <c r="Z29" s="194"/>
      <c r="AA29" s="211">
        <v>-99</v>
      </c>
      <c r="AB29" s="211">
        <v>-99</v>
      </c>
      <c r="AC29" s="211">
        <v>-99</v>
      </c>
      <c r="AD29" s="211">
        <v>-99</v>
      </c>
      <c r="AE29" s="195"/>
      <c r="AF29" s="211">
        <v>-99</v>
      </c>
      <c r="AG29" s="211">
        <v>-99</v>
      </c>
      <c r="AI29" s="211">
        <v>-99</v>
      </c>
      <c r="AJ29" s="211">
        <v>-99</v>
      </c>
      <c r="AK29" s="211">
        <v>-99</v>
      </c>
      <c r="AM29" s="27" t="s">
        <v>135</v>
      </c>
      <c r="AN29" s="7" t="b">
        <f t="shared" si="3"/>
        <v>0</v>
      </c>
      <c r="AP29" s="211">
        <v>-99</v>
      </c>
      <c r="AQ29" s="211">
        <v>-99</v>
      </c>
      <c r="AS29" s="211">
        <v>-99</v>
      </c>
      <c r="AT29" s="211">
        <v>-99</v>
      </c>
      <c r="AU29" s="211">
        <v>-99</v>
      </c>
      <c r="AV29" s="211">
        <v>-99</v>
      </c>
      <c r="AW29" s="211">
        <v>-99</v>
      </c>
      <c r="AX29" s="211">
        <v>-99</v>
      </c>
      <c r="AZ29" s="211">
        <v>-99</v>
      </c>
      <c r="BA29" s="211">
        <v>-99</v>
      </c>
      <c r="BB29" s="211">
        <v>-99</v>
      </c>
      <c r="BC29" s="211">
        <v>-99</v>
      </c>
      <c r="BD29" s="211">
        <v>-99</v>
      </c>
      <c r="BE29" s="211">
        <v>-99</v>
      </c>
      <c r="BG29" s="211">
        <v>-99</v>
      </c>
      <c r="BH29" s="211">
        <v>-99</v>
      </c>
      <c r="BI29" s="211">
        <v>-99</v>
      </c>
      <c r="BJ29" s="211">
        <v>-99</v>
      </c>
      <c r="BK29" s="211">
        <v>-99</v>
      </c>
      <c r="BL29" s="211">
        <v>-99</v>
      </c>
      <c r="BM29" s="211">
        <v>-99</v>
      </c>
      <c r="BN29" s="211">
        <v>-99</v>
      </c>
      <c r="BO29" s="211">
        <v>-99</v>
      </c>
      <c r="BP29" s="211">
        <v>-99</v>
      </c>
      <c r="BQ29" s="171">
        <f t="shared" si="5"/>
        <v>9.74E-2</v>
      </c>
      <c r="BR29" s="171">
        <f t="shared" si="6"/>
        <v>0.11749999999999999</v>
      </c>
      <c r="BS29" s="211">
        <v>-99</v>
      </c>
      <c r="BT29" s="211">
        <v>-99</v>
      </c>
      <c r="BU29" s="211">
        <v>-99</v>
      </c>
    </row>
    <row r="30" spans="1:73" x14ac:dyDescent="0.3">
      <c r="A30" s="209">
        <v>32174</v>
      </c>
      <c r="B30" s="187">
        <v>198802</v>
      </c>
      <c r="C30" s="176">
        <v>9.61</v>
      </c>
      <c r="D30" s="176">
        <v>11.5</v>
      </c>
      <c r="F30" s="177">
        <v>70</v>
      </c>
      <c r="G30" s="210">
        <v>4.2658730158730229E-2</v>
      </c>
      <c r="J30" s="210"/>
      <c r="K30" s="182">
        <v>0.105</v>
      </c>
      <c r="L30" s="182">
        <v>7.4999999999999997E-2</v>
      </c>
      <c r="N30" s="182">
        <v>0.1125</v>
      </c>
      <c r="O30" s="182">
        <v>2.5000000000000001E-3</v>
      </c>
      <c r="Q30" s="182"/>
      <c r="R30" s="182"/>
      <c r="S30" s="182"/>
      <c r="T30" s="182"/>
      <c r="U30" s="182"/>
      <c r="V30" s="194"/>
      <c r="W30" s="194"/>
      <c r="X30" s="194"/>
      <c r="Y30" s="194"/>
      <c r="Z30" s="194"/>
      <c r="AA30" s="211">
        <v>-99</v>
      </c>
      <c r="AB30" s="211">
        <v>-99</v>
      </c>
      <c r="AC30" s="211">
        <v>-99</v>
      </c>
      <c r="AD30" s="211">
        <v>-99</v>
      </c>
      <c r="AE30" s="195"/>
      <c r="AF30" s="211">
        <v>-99</v>
      </c>
      <c r="AG30" s="211">
        <v>-99</v>
      </c>
      <c r="AI30" s="211">
        <v>-99</v>
      </c>
      <c r="AJ30" s="211">
        <v>-99</v>
      </c>
      <c r="AK30" s="211">
        <v>-99</v>
      </c>
      <c r="AM30" s="27" t="s">
        <v>135</v>
      </c>
      <c r="AN30" s="7" t="b">
        <f t="shared" si="3"/>
        <v>0</v>
      </c>
      <c r="AP30" s="211">
        <v>-99</v>
      </c>
      <c r="AQ30" s="211">
        <v>-99</v>
      </c>
      <c r="AS30" s="211">
        <v>-99</v>
      </c>
      <c r="AT30" s="211">
        <v>-99</v>
      </c>
      <c r="AU30" s="211">
        <v>-99</v>
      </c>
      <c r="AV30" s="211">
        <v>-99</v>
      </c>
      <c r="AW30" s="211">
        <v>-99</v>
      </c>
      <c r="AX30" s="211">
        <v>-99</v>
      </c>
      <c r="AZ30" s="211">
        <v>-99</v>
      </c>
      <c r="BA30" s="211">
        <v>-99</v>
      </c>
      <c r="BB30" s="211">
        <v>-99</v>
      </c>
      <c r="BC30" s="211">
        <v>-99</v>
      </c>
      <c r="BD30" s="211">
        <v>-99</v>
      </c>
      <c r="BE30" s="211">
        <v>-99</v>
      </c>
      <c r="BG30" s="211">
        <v>-99</v>
      </c>
      <c r="BH30" s="211">
        <v>-99</v>
      </c>
      <c r="BI30" s="211">
        <v>-99</v>
      </c>
      <c r="BJ30" s="211">
        <v>-99</v>
      </c>
      <c r="BK30" s="211">
        <v>-99</v>
      </c>
      <c r="BL30" s="211">
        <v>-99</v>
      </c>
      <c r="BM30" s="211">
        <v>-99</v>
      </c>
      <c r="BN30" s="211">
        <v>-99</v>
      </c>
      <c r="BO30" s="211">
        <v>-99</v>
      </c>
      <c r="BP30" s="211">
        <v>-99</v>
      </c>
      <c r="BQ30" s="171">
        <f t="shared" si="5"/>
        <v>9.6099999999999991E-2</v>
      </c>
      <c r="BR30" s="171">
        <f t="shared" si="6"/>
        <v>0.115</v>
      </c>
      <c r="BS30" s="211">
        <v>-99</v>
      </c>
      <c r="BT30" s="211">
        <v>-99</v>
      </c>
      <c r="BU30" s="211">
        <v>-99</v>
      </c>
    </row>
    <row r="31" spans="1:73" x14ac:dyDescent="0.3">
      <c r="A31" s="209">
        <v>32203</v>
      </c>
      <c r="B31" s="187">
        <v>198803</v>
      </c>
      <c r="C31" s="176">
        <v>10.130000000000001</v>
      </c>
      <c r="D31" s="176">
        <v>11</v>
      </c>
      <c r="F31" s="177">
        <v>70.400000000000006</v>
      </c>
      <c r="G31" s="210">
        <v>4.3521266073194953E-2</v>
      </c>
      <c r="J31" s="210"/>
      <c r="K31" s="182">
        <v>0.1</v>
      </c>
      <c r="L31" s="182">
        <v>7.0000000000000007E-2</v>
      </c>
      <c r="N31" s="182">
        <v>0.105</v>
      </c>
      <c r="O31" s="182">
        <v>2.5000000000000001E-3</v>
      </c>
      <c r="Q31" s="182"/>
      <c r="R31" s="182"/>
      <c r="S31" s="182"/>
      <c r="T31" s="182"/>
      <c r="U31" s="182"/>
      <c r="V31" s="194"/>
      <c r="W31" s="194"/>
      <c r="X31" s="194"/>
      <c r="Y31" s="194"/>
      <c r="Z31" s="194"/>
      <c r="AA31" s="211">
        <v>-99</v>
      </c>
      <c r="AB31" s="211">
        <v>-99</v>
      </c>
      <c r="AC31" s="211">
        <v>-99</v>
      </c>
      <c r="AD31" s="211">
        <v>-99</v>
      </c>
      <c r="AE31" s="195"/>
      <c r="AF31" s="211">
        <v>-99</v>
      </c>
      <c r="AG31" s="211">
        <v>-99</v>
      </c>
      <c r="AI31" s="211">
        <v>-99</v>
      </c>
      <c r="AJ31" s="211">
        <v>-99</v>
      </c>
      <c r="AK31" s="211">
        <v>-99</v>
      </c>
      <c r="AM31" s="27" t="s">
        <v>135</v>
      </c>
      <c r="AN31" s="7" t="b">
        <f t="shared" si="3"/>
        <v>0</v>
      </c>
      <c r="AP31" s="211">
        <v>-99</v>
      </c>
      <c r="AQ31" s="211">
        <v>-99</v>
      </c>
      <c r="AS31" s="211">
        <v>-99</v>
      </c>
      <c r="AT31" s="211">
        <v>-99</v>
      </c>
      <c r="AU31" s="211">
        <v>-99</v>
      </c>
      <c r="AV31" s="211">
        <v>-99</v>
      </c>
      <c r="AW31" s="211">
        <v>-99</v>
      </c>
      <c r="AX31" s="211">
        <v>-99</v>
      </c>
      <c r="AZ31" s="211">
        <v>-99</v>
      </c>
      <c r="BA31" s="211">
        <v>-99</v>
      </c>
      <c r="BB31" s="211">
        <v>-99</v>
      </c>
      <c r="BC31" s="211">
        <v>-99</v>
      </c>
      <c r="BD31" s="211">
        <v>-99</v>
      </c>
      <c r="BE31" s="211">
        <v>-99</v>
      </c>
      <c r="BG31" s="211">
        <v>-99</v>
      </c>
      <c r="BH31" s="211">
        <v>-99</v>
      </c>
      <c r="BI31" s="211">
        <v>-99</v>
      </c>
      <c r="BJ31" s="211">
        <v>-99</v>
      </c>
      <c r="BK31" s="211">
        <v>-99</v>
      </c>
      <c r="BL31" s="211">
        <v>-99</v>
      </c>
      <c r="BM31" s="211">
        <v>-99</v>
      </c>
      <c r="BN31" s="211">
        <v>-99</v>
      </c>
      <c r="BO31" s="211">
        <v>-99</v>
      </c>
      <c r="BP31" s="211">
        <v>-99</v>
      </c>
      <c r="BQ31" s="171">
        <f t="shared" si="5"/>
        <v>0.1013</v>
      </c>
      <c r="BR31" s="171">
        <f t="shared" si="6"/>
        <v>0.11</v>
      </c>
      <c r="BS31" s="211">
        <v>-99</v>
      </c>
      <c r="BT31" s="211">
        <v>-99</v>
      </c>
      <c r="BU31" s="211">
        <v>-99</v>
      </c>
    </row>
    <row r="32" spans="1:73" x14ac:dyDescent="0.3">
      <c r="A32" s="209">
        <v>32234</v>
      </c>
      <c r="B32" s="187">
        <v>198804</v>
      </c>
      <c r="C32" s="176">
        <v>10.36</v>
      </c>
      <c r="D32" s="176">
        <v>11.25</v>
      </c>
      <c r="F32" s="177">
        <v>70.599999999999994</v>
      </c>
      <c r="G32" s="210">
        <v>4.236453201970436E-2</v>
      </c>
      <c r="J32" s="210"/>
      <c r="K32" s="182">
        <v>0.1</v>
      </c>
      <c r="L32" s="182">
        <v>7.0000000000000007E-2</v>
      </c>
      <c r="N32" s="182">
        <v>0.10249999999999999</v>
      </c>
      <c r="O32" s="182">
        <v>2.5000000000000001E-3</v>
      </c>
      <c r="Q32" s="182"/>
      <c r="R32" s="182"/>
      <c r="S32" s="182"/>
      <c r="T32" s="182"/>
      <c r="U32" s="182"/>
      <c r="V32" s="194"/>
      <c r="W32" s="194"/>
      <c r="X32" s="194"/>
      <c r="Y32" s="194"/>
      <c r="Z32" s="194"/>
      <c r="AA32" s="211">
        <v>-99</v>
      </c>
      <c r="AB32" s="211">
        <v>-99</v>
      </c>
      <c r="AC32" s="211">
        <v>-99</v>
      </c>
      <c r="AD32" s="211">
        <v>-99</v>
      </c>
      <c r="AE32" s="195"/>
      <c r="AF32" s="211">
        <v>-99</v>
      </c>
      <c r="AG32" s="211">
        <v>-99</v>
      </c>
      <c r="AI32" s="211">
        <v>-99</v>
      </c>
      <c r="AJ32" s="211">
        <v>-99</v>
      </c>
      <c r="AK32" s="211">
        <v>-99</v>
      </c>
      <c r="AM32" s="27" t="s">
        <v>135</v>
      </c>
      <c r="AN32" s="7" t="b">
        <f t="shared" si="3"/>
        <v>0</v>
      </c>
      <c r="AP32" s="211">
        <v>-99</v>
      </c>
      <c r="AQ32" s="211">
        <v>-99</v>
      </c>
      <c r="AS32" s="211">
        <v>-99</v>
      </c>
      <c r="AT32" s="211">
        <v>-99</v>
      </c>
      <c r="AU32" s="211">
        <v>-99</v>
      </c>
      <c r="AV32" s="211">
        <v>-99</v>
      </c>
      <c r="AW32" s="211">
        <v>-99</v>
      </c>
      <c r="AX32" s="211">
        <v>-99</v>
      </c>
      <c r="AZ32" s="211">
        <v>-99</v>
      </c>
      <c r="BA32" s="211">
        <v>-99</v>
      </c>
      <c r="BB32" s="211">
        <v>-99</v>
      </c>
      <c r="BC32" s="211">
        <v>-99</v>
      </c>
      <c r="BD32" s="211">
        <v>-99</v>
      </c>
      <c r="BE32" s="211">
        <v>-99</v>
      </c>
      <c r="BG32" s="211">
        <v>-99</v>
      </c>
      <c r="BH32" s="211">
        <v>-99</v>
      </c>
      <c r="BI32" s="211">
        <v>-99</v>
      </c>
      <c r="BJ32" s="211">
        <v>-99</v>
      </c>
      <c r="BK32" s="211">
        <v>-99</v>
      </c>
      <c r="BL32" s="211">
        <v>-99</v>
      </c>
      <c r="BM32" s="211">
        <v>-99</v>
      </c>
      <c r="BN32" s="211">
        <v>-99</v>
      </c>
      <c r="BO32" s="211">
        <v>-99</v>
      </c>
      <c r="BP32" s="211">
        <v>-99</v>
      </c>
      <c r="BQ32" s="171">
        <f t="shared" si="5"/>
        <v>0.1036</v>
      </c>
      <c r="BR32" s="171">
        <f t="shared" si="6"/>
        <v>0.1125</v>
      </c>
      <c r="BS32" s="211">
        <v>-99</v>
      </c>
      <c r="BT32" s="211">
        <v>-99</v>
      </c>
      <c r="BU32" s="211">
        <v>-99</v>
      </c>
    </row>
    <row r="33" spans="1:73" x14ac:dyDescent="0.3">
      <c r="A33" s="209">
        <v>32264</v>
      </c>
      <c r="B33" s="187">
        <v>198805</v>
      </c>
      <c r="C33" s="176">
        <v>10.38</v>
      </c>
      <c r="D33" s="176">
        <v>11.25</v>
      </c>
      <c r="F33" s="177">
        <v>71</v>
      </c>
      <c r="G33" s="210">
        <v>4.219823356231589E-2</v>
      </c>
      <c r="J33" s="210"/>
      <c r="K33" s="182">
        <v>0.105</v>
      </c>
      <c r="L33" s="182">
        <v>6.5000000000000002E-2</v>
      </c>
      <c r="N33" s="182">
        <v>0.11</v>
      </c>
      <c r="O33" s="182">
        <v>2.5000000000000001E-3</v>
      </c>
      <c r="Q33" s="182"/>
      <c r="R33" s="182"/>
      <c r="S33" s="182"/>
      <c r="T33" s="182"/>
      <c r="U33" s="182"/>
      <c r="V33" s="194"/>
      <c r="W33" s="194"/>
      <c r="X33" s="194"/>
      <c r="Y33" s="194"/>
      <c r="Z33" s="194"/>
      <c r="AA33" s="211">
        <v>-99</v>
      </c>
      <c r="AB33" s="211">
        <v>-99</v>
      </c>
      <c r="AC33" s="211">
        <v>-99</v>
      </c>
      <c r="AD33" s="211">
        <v>-99</v>
      </c>
      <c r="AE33" s="195"/>
      <c r="AF33" s="211">
        <v>-99</v>
      </c>
      <c r="AG33" s="211">
        <v>-99</v>
      </c>
      <c r="AI33" s="211">
        <v>-99</v>
      </c>
      <c r="AJ33" s="211">
        <v>-99</v>
      </c>
      <c r="AK33" s="211">
        <v>-99</v>
      </c>
      <c r="AM33" s="27" t="s">
        <v>135</v>
      </c>
      <c r="AN33" s="7" t="b">
        <f t="shared" si="3"/>
        <v>0</v>
      </c>
      <c r="AP33" s="211">
        <v>-99</v>
      </c>
      <c r="AQ33" s="211">
        <v>-99</v>
      </c>
      <c r="AS33" s="211">
        <v>-99</v>
      </c>
      <c r="AT33" s="211">
        <v>-99</v>
      </c>
      <c r="AU33" s="211">
        <v>-99</v>
      </c>
      <c r="AV33" s="211">
        <v>-99</v>
      </c>
      <c r="AW33" s="211">
        <v>-99</v>
      </c>
      <c r="AX33" s="211">
        <v>-99</v>
      </c>
      <c r="AZ33" s="211">
        <v>-99</v>
      </c>
      <c r="BA33" s="211">
        <v>-99</v>
      </c>
      <c r="BB33" s="211">
        <v>-99</v>
      </c>
      <c r="BC33" s="211">
        <v>-99</v>
      </c>
      <c r="BD33" s="211">
        <v>-99</v>
      </c>
      <c r="BE33" s="211">
        <v>-99</v>
      </c>
      <c r="BG33" s="211">
        <v>-99</v>
      </c>
      <c r="BH33" s="211">
        <v>-99</v>
      </c>
      <c r="BI33" s="211">
        <v>-99</v>
      </c>
      <c r="BJ33" s="211">
        <v>-99</v>
      </c>
      <c r="BK33" s="211">
        <v>-99</v>
      </c>
      <c r="BL33" s="211">
        <v>-99</v>
      </c>
      <c r="BM33" s="211">
        <v>-99</v>
      </c>
      <c r="BN33" s="211">
        <v>-99</v>
      </c>
      <c r="BO33" s="211">
        <v>-99</v>
      </c>
      <c r="BP33" s="211">
        <v>-99</v>
      </c>
      <c r="BQ33" s="171">
        <f t="shared" si="5"/>
        <v>0.1038</v>
      </c>
      <c r="BR33" s="171">
        <f t="shared" si="6"/>
        <v>0.1125</v>
      </c>
      <c r="BS33" s="211">
        <v>-99</v>
      </c>
      <c r="BT33" s="211">
        <v>-99</v>
      </c>
      <c r="BU33" s="211">
        <v>-99</v>
      </c>
    </row>
    <row r="34" spans="1:73" x14ac:dyDescent="0.3">
      <c r="A34" s="209">
        <v>32295</v>
      </c>
      <c r="B34" s="187">
        <v>198806</v>
      </c>
      <c r="C34" s="176">
        <v>10.130000000000001</v>
      </c>
      <c r="D34" s="176">
        <v>11.25</v>
      </c>
      <c r="F34" s="177">
        <v>71.2</v>
      </c>
      <c r="G34" s="210">
        <v>4.1055718475073277E-2</v>
      </c>
      <c r="J34" s="210"/>
      <c r="K34" s="182">
        <v>0.105</v>
      </c>
      <c r="L34" s="182">
        <v>7.0000000000000007E-2</v>
      </c>
      <c r="N34" s="182">
        <v>0.1125</v>
      </c>
      <c r="O34" s="182">
        <v>2.5000000000000001E-3</v>
      </c>
      <c r="Q34" s="182"/>
      <c r="R34" s="182"/>
      <c r="S34" s="182"/>
      <c r="T34" s="182"/>
      <c r="U34" s="182"/>
      <c r="V34" s="194"/>
      <c r="W34" s="194"/>
      <c r="X34" s="194"/>
      <c r="Y34" s="194"/>
      <c r="Z34" s="194"/>
      <c r="AA34" s="211">
        <v>-99</v>
      </c>
      <c r="AB34" s="211">
        <v>-99</v>
      </c>
      <c r="AC34" s="211">
        <v>-99</v>
      </c>
      <c r="AD34" s="211">
        <v>-99</v>
      </c>
      <c r="AE34" s="195"/>
      <c r="AF34" s="211">
        <v>-99</v>
      </c>
      <c r="AG34" s="211">
        <v>-99</v>
      </c>
      <c r="AI34" s="211">
        <v>-99</v>
      </c>
      <c r="AJ34" s="211">
        <v>-99</v>
      </c>
      <c r="AK34" s="211">
        <v>-99</v>
      </c>
      <c r="AM34" s="27" t="s">
        <v>135</v>
      </c>
      <c r="AN34" s="7" t="b">
        <f t="shared" si="3"/>
        <v>0</v>
      </c>
      <c r="AP34" s="211">
        <v>-99</v>
      </c>
      <c r="AQ34" s="211">
        <v>-99</v>
      </c>
      <c r="AS34" s="211">
        <v>-99</v>
      </c>
      <c r="AT34" s="211">
        <v>-99</v>
      </c>
      <c r="AU34" s="211">
        <v>-99</v>
      </c>
      <c r="AV34" s="211">
        <v>-99</v>
      </c>
      <c r="AW34" s="211">
        <v>-99</v>
      </c>
      <c r="AX34" s="211">
        <v>-99</v>
      </c>
      <c r="AZ34" s="211">
        <v>-99</v>
      </c>
      <c r="BA34" s="211">
        <v>-99</v>
      </c>
      <c r="BB34" s="211">
        <v>-99</v>
      </c>
      <c r="BC34" s="211">
        <v>-99</v>
      </c>
      <c r="BD34" s="211">
        <v>-99</v>
      </c>
      <c r="BE34" s="211">
        <v>-99</v>
      </c>
      <c r="BG34" s="211">
        <v>-99</v>
      </c>
      <c r="BH34" s="211">
        <v>-99</v>
      </c>
      <c r="BI34" s="211">
        <v>-99</v>
      </c>
      <c r="BJ34" s="211">
        <v>-99</v>
      </c>
      <c r="BK34" s="211">
        <v>-99</v>
      </c>
      <c r="BL34" s="211">
        <v>-99</v>
      </c>
      <c r="BM34" s="211">
        <v>-99</v>
      </c>
      <c r="BN34" s="211">
        <v>-99</v>
      </c>
      <c r="BO34" s="211">
        <v>-99</v>
      </c>
      <c r="BP34" s="211">
        <v>-99</v>
      </c>
      <c r="BQ34" s="171">
        <f t="shared" si="5"/>
        <v>0.1013</v>
      </c>
      <c r="BR34" s="171">
        <f t="shared" si="6"/>
        <v>0.1125</v>
      </c>
      <c r="BS34" s="211">
        <v>-99</v>
      </c>
      <c r="BT34" s="211">
        <v>-99</v>
      </c>
      <c r="BU34" s="211">
        <v>-99</v>
      </c>
    </row>
    <row r="35" spans="1:73" x14ac:dyDescent="0.3">
      <c r="A35" s="209">
        <v>32325</v>
      </c>
      <c r="B35" s="187">
        <v>198807</v>
      </c>
      <c r="C35" s="176">
        <v>10.42</v>
      </c>
      <c r="D35" s="176">
        <v>11.75</v>
      </c>
      <c r="F35" s="177">
        <v>71.599999999999994</v>
      </c>
      <c r="G35" s="210">
        <v>4.0935672514619936E-2</v>
      </c>
      <c r="J35" s="210"/>
      <c r="K35" s="182">
        <v>0.105</v>
      </c>
      <c r="L35" s="182">
        <v>7.0000000000000007E-2</v>
      </c>
      <c r="N35" s="182">
        <v>0.1125</v>
      </c>
      <c r="O35" s="182">
        <v>2.5000000000000001E-3</v>
      </c>
      <c r="Q35" s="182"/>
      <c r="R35" s="182"/>
      <c r="S35" s="182"/>
      <c r="T35" s="182"/>
      <c r="U35" s="182"/>
      <c r="V35" s="194"/>
      <c r="W35" s="194"/>
      <c r="X35" s="194"/>
      <c r="Y35" s="194"/>
      <c r="Z35" s="194"/>
      <c r="AA35" s="211">
        <v>-99</v>
      </c>
      <c r="AB35" s="211">
        <v>-99</v>
      </c>
      <c r="AC35" s="211">
        <v>-99</v>
      </c>
      <c r="AD35" s="211">
        <v>-99</v>
      </c>
      <c r="AE35" s="195"/>
      <c r="AF35" s="211">
        <v>-99</v>
      </c>
      <c r="AG35" s="211">
        <v>-99</v>
      </c>
      <c r="AI35" s="211">
        <v>-99</v>
      </c>
      <c r="AJ35" s="211">
        <v>-99</v>
      </c>
      <c r="AK35" s="211">
        <v>-99</v>
      </c>
      <c r="AM35" s="27" t="s">
        <v>135</v>
      </c>
      <c r="AN35" s="7" t="b">
        <f t="shared" si="3"/>
        <v>0</v>
      </c>
      <c r="AP35" s="211">
        <v>-99</v>
      </c>
      <c r="AQ35" s="211">
        <v>-99</v>
      </c>
      <c r="AS35" s="211">
        <v>-99</v>
      </c>
      <c r="AT35" s="211">
        <v>-99</v>
      </c>
      <c r="AU35" s="211">
        <v>-99</v>
      </c>
      <c r="AV35" s="211">
        <v>-99</v>
      </c>
      <c r="AW35" s="211">
        <v>-99</v>
      </c>
      <c r="AX35" s="211">
        <v>-99</v>
      </c>
      <c r="AZ35" s="211">
        <v>-99</v>
      </c>
      <c r="BA35" s="211">
        <v>-99</v>
      </c>
      <c r="BB35" s="211">
        <v>-99</v>
      </c>
      <c r="BC35" s="211">
        <v>-99</v>
      </c>
      <c r="BD35" s="211">
        <v>-99</v>
      </c>
      <c r="BE35" s="211">
        <v>-99</v>
      </c>
      <c r="BG35" s="211">
        <v>-99</v>
      </c>
      <c r="BH35" s="211">
        <v>-99</v>
      </c>
      <c r="BI35" s="211">
        <v>-99</v>
      </c>
      <c r="BJ35" s="211">
        <v>-99</v>
      </c>
      <c r="BK35" s="211">
        <v>-99</v>
      </c>
      <c r="BL35" s="211">
        <v>-99</v>
      </c>
      <c r="BM35" s="211">
        <v>-99</v>
      </c>
      <c r="BN35" s="211">
        <v>-99</v>
      </c>
      <c r="BO35" s="211">
        <v>-99</v>
      </c>
      <c r="BP35" s="211">
        <v>-99</v>
      </c>
      <c r="BQ35" s="171">
        <f t="shared" si="5"/>
        <v>0.1042</v>
      </c>
      <c r="BR35" s="171">
        <f t="shared" si="6"/>
        <v>0.11749999999999999</v>
      </c>
      <c r="BS35" s="211">
        <v>-99</v>
      </c>
      <c r="BT35" s="211">
        <v>-99</v>
      </c>
      <c r="BU35" s="211">
        <v>-99</v>
      </c>
    </row>
    <row r="36" spans="1:73" x14ac:dyDescent="0.3">
      <c r="A36" s="209">
        <v>32356</v>
      </c>
      <c r="B36" s="187">
        <v>198808</v>
      </c>
      <c r="C36" s="176">
        <v>10.65</v>
      </c>
      <c r="D36" s="176">
        <v>12.25</v>
      </c>
      <c r="F36" s="177">
        <v>71.7</v>
      </c>
      <c r="G36" s="210">
        <v>4.0776699029126284E-2</v>
      </c>
      <c r="J36" s="210"/>
      <c r="K36" s="182">
        <v>0.105</v>
      </c>
      <c r="L36" s="182">
        <v>7.0000000000000007E-2</v>
      </c>
      <c r="N36" s="182">
        <v>0.11</v>
      </c>
      <c r="O36" s="182">
        <v>2.5000000000000001E-3</v>
      </c>
      <c r="Q36" s="182"/>
      <c r="R36" s="182"/>
      <c r="S36" s="182"/>
      <c r="T36" s="182"/>
      <c r="U36" s="182"/>
      <c r="V36" s="194"/>
      <c r="W36" s="194"/>
      <c r="X36" s="194"/>
      <c r="Y36" s="194"/>
      <c r="Z36" s="194"/>
      <c r="AA36" s="211">
        <v>-99</v>
      </c>
      <c r="AB36" s="211">
        <v>-99</v>
      </c>
      <c r="AC36" s="211">
        <v>-99</v>
      </c>
      <c r="AD36" s="211">
        <v>-99</v>
      </c>
      <c r="AE36" s="195"/>
      <c r="AF36" s="211">
        <v>-99</v>
      </c>
      <c r="AG36" s="211">
        <v>-99</v>
      </c>
      <c r="AI36" s="211">
        <v>-99</v>
      </c>
      <c r="AJ36" s="211">
        <v>-99</v>
      </c>
      <c r="AK36" s="211">
        <v>-99</v>
      </c>
      <c r="AM36" s="27" t="s">
        <v>135</v>
      </c>
      <c r="AN36" s="7" t="b">
        <f t="shared" si="3"/>
        <v>0</v>
      </c>
      <c r="AP36" s="211">
        <v>-99</v>
      </c>
      <c r="AQ36" s="211">
        <v>-99</v>
      </c>
      <c r="AS36" s="211">
        <v>-99</v>
      </c>
      <c r="AT36" s="211">
        <v>-99</v>
      </c>
      <c r="AU36" s="211">
        <v>-99</v>
      </c>
      <c r="AV36" s="211">
        <v>-99</v>
      </c>
      <c r="AW36" s="211">
        <v>-99</v>
      </c>
      <c r="AX36" s="211">
        <v>-99</v>
      </c>
      <c r="AZ36" s="211">
        <v>-99</v>
      </c>
      <c r="BA36" s="211">
        <v>-99</v>
      </c>
      <c r="BB36" s="211">
        <v>-99</v>
      </c>
      <c r="BC36" s="211">
        <v>-99</v>
      </c>
      <c r="BD36" s="211">
        <v>-99</v>
      </c>
      <c r="BE36" s="211">
        <v>-99</v>
      </c>
      <c r="BG36" s="211">
        <v>-99</v>
      </c>
      <c r="BH36" s="211">
        <v>-99</v>
      </c>
      <c r="BI36" s="211">
        <v>-99</v>
      </c>
      <c r="BJ36" s="211">
        <v>-99</v>
      </c>
      <c r="BK36" s="211">
        <v>-99</v>
      </c>
      <c r="BL36" s="211">
        <v>-99</v>
      </c>
      <c r="BM36" s="211">
        <v>-99</v>
      </c>
      <c r="BN36" s="211">
        <v>-99</v>
      </c>
      <c r="BO36" s="211">
        <v>-99</v>
      </c>
      <c r="BP36" s="211">
        <v>-99</v>
      </c>
      <c r="BQ36" s="171">
        <f t="shared" si="5"/>
        <v>0.1065</v>
      </c>
      <c r="BR36" s="171">
        <f t="shared" si="6"/>
        <v>0.1225</v>
      </c>
      <c r="BS36" s="211">
        <v>-99</v>
      </c>
      <c r="BT36" s="211">
        <v>-99</v>
      </c>
      <c r="BU36" s="211">
        <v>-99</v>
      </c>
    </row>
    <row r="37" spans="1:73" x14ac:dyDescent="0.3">
      <c r="A37" s="209">
        <v>32387</v>
      </c>
      <c r="B37" s="187">
        <v>198809</v>
      </c>
      <c r="C37" s="176">
        <v>10.46</v>
      </c>
      <c r="D37" s="176">
        <v>11.75</v>
      </c>
      <c r="F37" s="177">
        <v>71.8</v>
      </c>
      <c r="G37" s="210">
        <v>4.0658276863504428E-2</v>
      </c>
      <c r="J37" s="210"/>
      <c r="K37" s="182">
        <v>0.105</v>
      </c>
      <c r="L37" s="182">
        <v>7.4999999999999997E-2</v>
      </c>
      <c r="N37" s="182">
        <v>0.1125</v>
      </c>
      <c r="O37" s="182">
        <v>2.5000000000000001E-3</v>
      </c>
      <c r="Q37" s="182"/>
      <c r="R37" s="182"/>
      <c r="S37" s="182"/>
      <c r="T37" s="182"/>
      <c r="U37" s="182"/>
      <c r="V37" s="194"/>
      <c r="W37" s="194"/>
      <c r="X37" s="194"/>
      <c r="Y37" s="194"/>
      <c r="Z37" s="194"/>
      <c r="AA37" s="211">
        <v>-99</v>
      </c>
      <c r="AB37" s="211">
        <v>-99</v>
      </c>
      <c r="AC37" s="211">
        <v>-99</v>
      </c>
      <c r="AD37" s="211">
        <v>-99</v>
      </c>
      <c r="AE37" s="195"/>
      <c r="AF37" s="211">
        <v>-99</v>
      </c>
      <c r="AG37" s="211">
        <v>-99</v>
      </c>
      <c r="AI37" s="211">
        <v>-99</v>
      </c>
      <c r="AJ37" s="211">
        <v>-99</v>
      </c>
      <c r="AK37" s="211">
        <v>-99</v>
      </c>
      <c r="AM37" s="27" t="s">
        <v>135</v>
      </c>
      <c r="AN37" s="7" t="b">
        <f t="shared" si="3"/>
        <v>0</v>
      </c>
      <c r="AP37" s="211">
        <v>-99</v>
      </c>
      <c r="AQ37" s="211">
        <v>-99</v>
      </c>
      <c r="AS37" s="211">
        <v>-99</v>
      </c>
      <c r="AT37" s="211">
        <v>-99</v>
      </c>
      <c r="AU37" s="211">
        <v>-99</v>
      </c>
      <c r="AV37" s="211">
        <v>-99</v>
      </c>
      <c r="AW37" s="211">
        <v>-99</v>
      </c>
      <c r="AX37" s="211">
        <v>-99</v>
      </c>
      <c r="AZ37" s="211">
        <v>-99</v>
      </c>
      <c r="BA37" s="211">
        <v>-99</v>
      </c>
      <c r="BB37" s="211">
        <v>-99</v>
      </c>
      <c r="BC37" s="211">
        <v>-99</v>
      </c>
      <c r="BD37" s="211">
        <v>-99</v>
      </c>
      <c r="BE37" s="211">
        <v>-99</v>
      </c>
      <c r="BG37" s="211">
        <v>-99</v>
      </c>
      <c r="BH37" s="211">
        <v>-99</v>
      </c>
      <c r="BI37" s="211">
        <v>-99</v>
      </c>
      <c r="BJ37" s="211">
        <v>-99</v>
      </c>
      <c r="BK37" s="211">
        <v>-99</v>
      </c>
      <c r="BL37" s="211">
        <v>-99</v>
      </c>
      <c r="BM37" s="211">
        <v>-99</v>
      </c>
      <c r="BN37" s="211">
        <v>-99</v>
      </c>
      <c r="BO37" s="211">
        <v>-99</v>
      </c>
      <c r="BP37" s="211">
        <v>-99</v>
      </c>
      <c r="BQ37" s="171">
        <f t="shared" si="5"/>
        <v>0.10460000000000001</v>
      </c>
      <c r="BR37" s="171">
        <f t="shared" si="6"/>
        <v>0.11749999999999999</v>
      </c>
      <c r="BS37" s="211">
        <v>-99</v>
      </c>
      <c r="BT37" s="211">
        <v>-99</v>
      </c>
      <c r="BU37" s="211">
        <v>-99</v>
      </c>
    </row>
    <row r="38" spans="1:73" x14ac:dyDescent="0.3">
      <c r="A38" s="209">
        <v>32417</v>
      </c>
      <c r="B38" s="187">
        <v>198810</v>
      </c>
      <c r="C38" s="176">
        <v>10.130000000000001</v>
      </c>
      <c r="D38" s="176">
        <v>11.75</v>
      </c>
      <c r="F38" s="177">
        <v>72.2</v>
      </c>
      <c r="G38" s="210">
        <v>4.0501446480231573E-2</v>
      </c>
      <c r="J38" s="210"/>
      <c r="K38" s="182">
        <v>0.11</v>
      </c>
      <c r="L38" s="182">
        <v>0.08</v>
      </c>
      <c r="N38" s="182">
        <v>0.115</v>
      </c>
      <c r="O38" s="182">
        <v>2.5000000000000001E-3</v>
      </c>
      <c r="Q38" s="182"/>
      <c r="R38" s="182"/>
      <c r="S38" s="182"/>
      <c r="T38" s="182"/>
      <c r="U38" s="182"/>
      <c r="V38" s="194"/>
      <c r="W38" s="194"/>
      <c r="X38" s="194"/>
      <c r="Y38" s="194"/>
      <c r="Z38" s="194"/>
      <c r="AA38" s="211">
        <v>-99</v>
      </c>
      <c r="AB38" s="211">
        <v>-99</v>
      </c>
      <c r="AC38" s="211">
        <v>-99</v>
      </c>
      <c r="AD38" s="211">
        <v>-99</v>
      </c>
      <c r="AE38" s="195"/>
      <c r="AF38" s="211">
        <v>-99</v>
      </c>
      <c r="AG38" s="211">
        <v>-99</v>
      </c>
      <c r="AI38" s="211">
        <v>-99</v>
      </c>
      <c r="AJ38" s="211">
        <v>-99</v>
      </c>
      <c r="AK38" s="211">
        <v>-99</v>
      </c>
      <c r="AM38" s="27" t="s">
        <v>135</v>
      </c>
      <c r="AN38" s="7" t="b">
        <f t="shared" si="3"/>
        <v>0</v>
      </c>
      <c r="AP38" s="211">
        <v>-99</v>
      </c>
      <c r="AQ38" s="211">
        <v>-99</v>
      </c>
      <c r="AS38" s="211">
        <v>-99</v>
      </c>
      <c r="AT38" s="211">
        <v>-99</v>
      </c>
      <c r="AU38" s="211">
        <v>-99</v>
      </c>
      <c r="AV38" s="211">
        <v>-99</v>
      </c>
      <c r="AW38" s="211">
        <v>-99</v>
      </c>
      <c r="AX38" s="211">
        <v>-99</v>
      </c>
      <c r="AZ38" s="211">
        <v>-99</v>
      </c>
      <c r="BA38" s="211">
        <v>-99</v>
      </c>
      <c r="BB38" s="211">
        <v>-99</v>
      </c>
      <c r="BC38" s="211">
        <v>-99</v>
      </c>
      <c r="BD38" s="211">
        <v>-99</v>
      </c>
      <c r="BE38" s="211">
        <v>-99</v>
      </c>
      <c r="BG38" s="211">
        <v>-99</v>
      </c>
      <c r="BH38" s="211">
        <v>-99</v>
      </c>
      <c r="BI38" s="211">
        <v>-99</v>
      </c>
      <c r="BJ38" s="211">
        <v>-99</v>
      </c>
      <c r="BK38" s="211">
        <v>-99</v>
      </c>
      <c r="BL38" s="211">
        <v>-99</v>
      </c>
      <c r="BM38" s="211">
        <v>-99</v>
      </c>
      <c r="BN38" s="211">
        <v>-99</v>
      </c>
      <c r="BO38" s="211">
        <v>-99</v>
      </c>
      <c r="BP38" s="211">
        <v>-99</v>
      </c>
      <c r="BQ38" s="171">
        <f t="shared" si="5"/>
        <v>0.1013</v>
      </c>
      <c r="BR38" s="171">
        <f t="shared" si="6"/>
        <v>0.11749999999999999</v>
      </c>
      <c r="BS38" s="211">
        <v>-99</v>
      </c>
      <c r="BT38" s="211">
        <v>-99</v>
      </c>
      <c r="BU38" s="211">
        <v>-99</v>
      </c>
    </row>
    <row r="39" spans="1:73" x14ac:dyDescent="0.3">
      <c r="A39" s="209">
        <v>32448</v>
      </c>
      <c r="B39" s="187">
        <v>198811</v>
      </c>
      <c r="C39" s="176">
        <v>10.32</v>
      </c>
      <c r="D39" s="176">
        <v>12</v>
      </c>
      <c r="F39" s="177">
        <v>72.3</v>
      </c>
      <c r="G39" s="210">
        <v>4.0345821325648457E-2</v>
      </c>
      <c r="J39" s="210"/>
      <c r="K39" s="182">
        <v>0.105</v>
      </c>
      <c r="L39" s="182">
        <v>7.4999999999999997E-2</v>
      </c>
      <c r="N39" s="182">
        <v>0.1125</v>
      </c>
      <c r="O39" s="182">
        <v>2.5000000000000001E-3</v>
      </c>
      <c r="Q39" s="182"/>
      <c r="R39" s="182"/>
      <c r="S39" s="182"/>
      <c r="T39" s="182"/>
      <c r="U39" s="182"/>
      <c r="V39" s="194"/>
      <c r="W39" s="194"/>
      <c r="X39" s="194"/>
      <c r="Y39" s="194"/>
      <c r="Z39" s="194"/>
      <c r="AA39" s="211">
        <v>-99</v>
      </c>
      <c r="AB39" s="211">
        <v>-99</v>
      </c>
      <c r="AC39" s="211">
        <v>-99</v>
      </c>
      <c r="AD39" s="211">
        <v>-99</v>
      </c>
      <c r="AE39" s="195"/>
      <c r="AF39" s="211">
        <v>-99</v>
      </c>
      <c r="AG39" s="211">
        <v>-99</v>
      </c>
      <c r="AI39" s="211">
        <v>-99</v>
      </c>
      <c r="AJ39" s="211">
        <v>-99</v>
      </c>
      <c r="AK39" s="211">
        <v>-99</v>
      </c>
      <c r="AM39" s="27" t="s">
        <v>135</v>
      </c>
      <c r="AN39" s="7" t="b">
        <f t="shared" si="3"/>
        <v>0</v>
      </c>
      <c r="AP39" s="211">
        <v>-99</v>
      </c>
      <c r="AQ39" s="211">
        <v>-99</v>
      </c>
      <c r="AS39" s="211">
        <v>-99</v>
      </c>
      <c r="AT39" s="211">
        <v>-99</v>
      </c>
      <c r="AU39" s="211">
        <v>-99</v>
      </c>
      <c r="AV39" s="211">
        <v>-99</v>
      </c>
      <c r="AW39" s="211">
        <v>-99</v>
      </c>
      <c r="AX39" s="211">
        <v>-99</v>
      </c>
      <c r="AZ39" s="211">
        <v>-99</v>
      </c>
      <c r="BA39" s="211">
        <v>-99</v>
      </c>
      <c r="BB39" s="211">
        <v>-99</v>
      </c>
      <c r="BC39" s="211">
        <v>-99</v>
      </c>
      <c r="BD39" s="211">
        <v>-99</v>
      </c>
      <c r="BE39" s="211">
        <v>-99</v>
      </c>
      <c r="BG39" s="211">
        <v>-99</v>
      </c>
      <c r="BH39" s="211">
        <v>-99</v>
      </c>
      <c r="BI39" s="211">
        <v>-99</v>
      </c>
      <c r="BJ39" s="211">
        <v>-99</v>
      </c>
      <c r="BK39" s="211">
        <v>-99</v>
      </c>
      <c r="BL39" s="211">
        <v>-99</v>
      </c>
      <c r="BM39" s="211">
        <v>-99</v>
      </c>
      <c r="BN39" s="211">
        <v>-99</v>
      </c>
      <c r="BO39" s="211">
        <v>-99</v>
      </c>
      <c r="BP39" s="211">
        <v>-99</v>
      </c>
      <c r="BQ39" s="171">
        <f t="shared" si="5"/>
        <v>0.1032</v>
      </c>
      <c r="BR39" s="171">
        <f t="shared" si="6"/>
        <v>0.12</v>
      </c>
      <c r="BS39" s="211">
        <v>-99</v>
      </c>
      <c r="BT39" s="211">
        <v>-99</v>
      </c>
      <c r="BU39" s="211">
        <v>-99</v>
      </c>
    </row>
    <row r="40" spans="1:73" x14ac:dyDescent="0.3">
      <c r="A40" s="212">
        <v>32478</v>
      </c>
      <c r="B40" s="187">
        <v>198812</v>
      </c>
      <c r="C40" s="213">
        <v>10.36</v>
      </c>
      <c r="D40" s="213">
        <v>12.25</v>
      </c>
      <c r="E40" s="213"/>
      <c r="F40" s="177">
        <v>72.3</v>
      </c>
      <c r="G40" s="214">
        <v>4.022988505747116E-2</v>
      </c>
      <c r="H40" s="215"/>
      <c r="I40" s="215"/>
      <c r="J40" s="214"/>
      <c r="K40" s="216">
        <v>0.105</v>
      </c>
      <c r="L40" s="216">
        <v>7.4999999999999997E-2</v>
      </c>
      <c r="M40" s="216"/>
      <c r="N40" s="216">
        <v>0.11</v>
      </c>
      <c r="O40" s="216">
        <v>2.5000000000000001E-3</v>
      </c>
      <c r="P40" s="217"/>
      <c r="Q40" s="182"/>
      <c r="R40" s="182"/>
      <c r="S40" s="182"/>
      <c r="T40" s="182"/>
      <c r="U40" s="182"/>
      <c r="V40" s="194"/>
      <c r="W40" s="194"/>
      <c r="X40" s="194"/>
      <c r="Y40" s="194"/>
      <c r="Z40" s="194"/>
      <c r="AA40" s="211">
        <v>-99</v>
      </c>
      <c r="AB40" s="211">
        <v>-99</v>
      </c>
      <c r="AC40" s="211">
        <v>-99</v>
      </c>
      <c r="AD40" s="211">
        <v>-99</v>
      </c>
      <c r="AE40" s="195"/>
      <c r="AF40" s="211">
        <v>-99</v>
      </c>
      <c r="AG40" s="211">
        <v>-99</v>
      </c>
      <c r="AI40" s="211">
        <v>-99</v>
      </c>
      <c r="AJ40" s="211">
        <v>-99</v>
      </c>
      <c r="AK40" s="211">
        <v>-99</v>
      </c>
      <c r="AM40" s="27" t="s">
        <v>135</v>
      </c>
      <c r="AN40" s="7" t="b">
        <f t="shared" si="3"/>
        <v>0</v>
      </c>
      <c r="AP40" s="211">
        <v>-99</v>
      </c>
      <c r="AQ40" s="211">
        <v>-99</v>
      </c>
      <c r="AS40" s="211">
        <v>-99</v>
      </c>
      <c r="AT40" s="211">
        <v>-99</v>
      </c>
      <c r="AU40" s="211">
        <v>-99</v>
      </c>
      <c r="AV40" s="211">
        <v>-99</v>
      </c>
      <c r="AW40" s="211">
        <v>-99</v>
      </c>
      <c r="AX40" s="211">
        <v>-99</v>
      </c>
      <c r="AZ40" s="211">
        <v>-99</v>
      </c>
      <c r="BA40" s="211">
        <v>-99</v>
      </c>
      <c r="BB40" s="211">
        <v>-99</v>
      </c>
      <c r="BC40" s="211">
        <v>-99</v>
      </c>
      <c r="BD40" s="211">
        <v>-99</v>
      </c>
      <c r="BE40" s="211">
        <v>-99</v>
      </c>
      <c r="BG40" s="211">
        <v>-99</v>
      </c>
      <c r="BH40" s="211">
        <v>-99</v>
      </c>
      <c r="BI40" s="211">
        <v>-99</v>
      </c>
      <c r="BJ40" s="211">
        <v>-99</v>
      </c>
      <c r="BK40" s="211">
        <v>-99</v>
      </c>
      <c r="BL40" s="211">
        <v>-99</v>
      </c>
      <c r="BM40" s="211">
        <v>-99</v>
      </c>
      <c r="BN40" s="211">
        <v>-99</v>
      </c>
      <c r="BO40" s="211">
        <v>-99</v>
      </c>
      <c r="BP40" s="211">
        <v>-99</v>
      </c>
      <c r="BQ40" s="171">
        <f t="shared" si="5"/>
        <v>0.1036</v>
      </c>
      <c r="BR40" s="171">
        <f t="shared" si="6"/>
        <v>0.1225</v>
      </c>
      <c r="BS40" s="211">
        <v>-99</v>
      </c>
      <c r="BT40" s="211">
        <v>-99</v>
      </c>
      <c r="BU40" s="211">
        <v>-99</v>
      </c>
    </row>
    <row r="41" spans="1:73" x14ac:dyDescent="0.3">
      <c r="A41" s="209">
        <v>32509</v>
      </c>
      <c r="B41" s="187">
        <v>198901</v>
      </c>
      <c r="C41" s="176">
        <v>10.18</v>
      </c>
      <c r="D41" s="176">
        <v>12.25</v>
      </c>
      <c r="F41" s="177">
        <v>72.7</v>
      </c>
      <c r="G41" s="210">
        <v>4.0076335877862634E-2</v>
      </c>
      <c r="J41" s="210"/>
      <c r="K41" s="182">
        <v>0.105</v>
      </c>
      <c r="L41" s="182">
        <v>7.4999999999999997E-2</v>
      </c>
      <c r="N41" s="182">
        <v>0.11</v>
      </c>
      <c r="O41" s="182">
        <v>2.5000000000000001E-3</v>
      </c>
      <c r="Q41" s="182"/>
      <c r="R41" s="182"/>
      <c r="S41" s="182"/>
      <c r="T41" s="182"/>
      <c r="U41" s="182"/>
      <c r="V41" s="194"/>
      <c r="W41" s="194"/>
      <c r="X41" s="194"/>
      <c r="Y41" s="194"/>
      <c r="Z41" s="194"/>
      <c r="AA41" s="211">
        <v>-99</v>
      </c>
      <c r="AB41" s="211">
        <v>-99</v>
      </c>
      <c r="AC41" s="211">
        <v>-99</v>
      </c>
      <c r="AD41" s="211">
        <v>-99</v>
      </c>
      <c r="AE41" s="195"/>
      <c r="AF41" s="211">
        <v>-99</v>
      </c>
      <c r="AG41" s="211">
        <v>-99</v>
      </c>
      <c r="AI41" s="211">
        <v>-99</v>
      </c>
      <c r="AJ41" s="211">
        <v>-99</v>
      </c>
      <c r="AK41" s="211">
        <v>-99</v>
      </c>
      <c r="AM41" s="27" t="s">
        <v>135</v>
      </c>
      <c r="AN41" s="7" t="b">
        <f t="shared" si="3"/>
        <v>0</v>
      </c>
      <c r="AP41" s="211">
        <v>-99</v>
      </c>
      <c r="AQ41" s="211">
        <v>-99</v>
      </c>
      <c r="AS41" s="211">
        <v>-99</v>
      </c>
      <c r="AT41" s="211">
        <v>-99</v>
      </c>
      <c r="AU41" s="211">
        <v>-99</v>
      </c>
      <c r="AV41" s="211">
        <v>-99</v>
      </c>
      <c r="AW41" s="211">
        <v>-99</v>
      </c>
      <c r="AX41" s="211">
        <v>-99</v>
      </c>
      <c r="AZ41" s="211">
        <v>-99</v>
      </c>
      <c r="BA41" s="211">
        <v>-99</v>
      </c>
      <c r="BB41" s="211">
        <v>-99</v>
      </c>
      <c r="BC41" s="211">
        <v>-99</v>
      </c>
      <c r="BD41" s="211">
        <v>-99</v>
      </c>
      <c r="BE41" s="211">
        <v>-99</v>
      </c>
      <c r="BG41" s="211">
        <v>-99</v>
      </c>
      <c r="BH41" s="211">
        <v>-99</v>
      </c>
      <c r="BI41" s="211">
        <v>-99</v>
      </c>
      <c r="BJ41" s="211">
        <v>-99</v>
      </c>
      <c r="BK41" s="211">
        <v>-99</v>
      </c>
      <c r="BL41" s="211">
        <v>-99</v>
      </c>
      <c r="BM41" s="211">
        <v>-99</v>
      </c>
      <c r="BN41" s="211">
        <v>-99</v>
      </c>
      <c r="BO41" s="211">
        <v>-99</v>
      </c>
      <c r="BP41" s="211">
        <v>-99</v>
      </c>
      <c r="BQ41" s="171">
        <f t="shared" si="5"/>
        <v>0.1018</v>
      </c>
      <c r="BR41" s="171">
        <f t="shared" si="6"/>
        <v>0.1225</v>
      </c>
      <c r="BS41" s="211">
        <v>-99</v>
      </c>
      <c r="BT41" s="211">
        <v>-99</v>
      </c>
      <c r="BU41" s="211">
        <v>-99</v>
      </c>
    </row>
    <row r="42" spans="1:73" x14ac:dyDescent="0.3">
      <c r="A42" s="209">
        <v>32540</v>
      </c>
      <c r="B42" s="187">
        <v>198902</v>
      </c>
      <c r="C42" s="176">
        <v>10.55</v>
      </c>
      <c r="D42" s="176">
        <v>12.25</v>
      </c>
      <c r="F42" s="177">
        <v>73.2</v>
      </c>
      <c r="G42" s="210">
        <v>4.0913415794481489E-2</v>
      </c>
      <c r="J42" s="210"/>
      <c r="K42" s="182">
        <v>0.105</v>
      </c>
      <c r="L42" s="182">
        <v>0.08</v>
      </c>
      <c r="N42" s="182">
        <v>0.1125</v>
      </c>
      <c r="O42" s="182">
        <v>2.5000000000000001E-3</v>
      </c>
      <c r="Q42" s="182"/>
      <c r="R42" s="182"/>
      <c r="S42" s="182"/>
      <c r="T42" s="182"/>
      <c r="U42" s="182"/>
      <c r="V42" s="194"/>
      <c r="W42" s="194"/>
      <c r="X42" s="194"/>
      <c r="Y42" s="194"/>
      <c r="Z42" s="194"/>
      <c r="AA42" s="211">
        <v>-99</v>
      </c>
      <c r="AB42" s="211">
        <v>-99</v>
      </c>
      <c r="AC42" s="211">
        <v>-99</v>
      </c>
      <c r="AD42" s="211">
        <v>-99</v>
      </c>
      <c r="AE42" s="195"/>
      <c r="AF42" s="211">
        <v>-99</v>
      </c>
      <c r="AG42" s="211">
        <v>-99</v>
      </c>
      <c r="AI42" s="211">
        <v>-99</v>
      </c>
      <c r="AJ42" s="211">
        <v>-99</v>
      </c>
      <c r="AK42" s="211">
        <v>-99</v>
      </c>
      <c r="AM42" s="27" t="s">
        <v>135</v>
      </c>
      <c r="AN42" s="7" t="b">
        <f t="shared" si="3"/>
        <v>0</v>
      </c>
      <c r="AP42" s="211">
        <v>-99</v>
      </c>
      <c r="AQ42" s="211">
        <v>-99</v>
      </c>
      <c r="AS42" s="211">
        <v>-99</v>
      </c>
      <c r="AT42" s="211">
        <v>-99</v>
      </c>
      <c r="AU42" s="211">
        <v>-99</v>
      </c>
      <c r="AV42" s="211">
        <v>-99</v>
      </c>
      <c r="AW42" s="211">
        <v>-99</v>
      </c>
      <c r="AX42" s="211">
        <v>-99</v>
      </c>
      <c r="AZ42" s="211">
        <v>-99</v>
      </c>
      <c r="BA42" s="211">
        <v>-99</v>
      </c>
      <c r="BB42" s="211">
        <v>-99</v>
      </c>
      <c r="BC42" s="211">
        <v>-99</v>
      </c>
      <c r="BD42" s="211">
        <v>-99</v>
      </c>
      <c r="BE42" s="211">
        <v>-99</v>
      </c>
      <c r="BG42" s="211">
        <v>-99</v>
      </c>
      <c r="BH42" s="211">
        <v>-99</v>
      </c>
      <c r="BI42" s="211">
        <v>-99</v>
      </c>
      <c r="BJ42" s="211">
        <v>-99</v>
      </c>
      <c r="BK42" s="211">
        <v>-99</v>
      </c>
      <c r="BL42" s="211">
        <v>-99</v>
      </c>
      <c r="BM42" s="211">
        <v>-99</v>
      </c>
      <c r="BN42" s="211">
        <v>-99</v>
      </c>
      <c r="BO42" s="211">
        <v>-99</v>
      </c>
      <c r="BP42" s="211">
        <v>-99</v>
      </c>
      <c r="BQ42" s="171">
        <f t="shared" si="5"/>
        <v>0.10550000000000001</v>
      </c>
      <c r="BR42" s="171">
        <f t="shared" si="6"/>
        <v>0.1225</v>
      </c>
      <c r="BS42" s="211">
        <v>-99</v>
      </c>
      <c r="BT42" s="211">
        <v>-99</v>
      </c>
      <c r="BU42" s="211">
        <v>-99</v>
      </c>
    </row>
    <row r="43" spans="1:73" x14ac:dyDescent="0.3">
      <c r="A43" s="209">
        <v>32568</v>
      </c>
      <c r="B43" s="187">
        <v>198903</v>
      </c>
      <c r="C43" s="176">
        <v>10.49</v>
      </c>
      <c r="D43" s="176">
        <v>12.75</v>
      </c>
      <c r="F43" s="177">
        <v>73.599999999999994</v>
      </c>
      <c r="G43" s="210">
        <v>4.0758293838862425E-2</v>
      </c>
      <c r="J43" s="210"/>
      <c r="K43" s="182">
        <v>0.105</v>
      </c>
      <c r="L43" s="182">
        <v>0.08</v>
      </c>
      <c r="N43" s="182">
        <v>0.11</v>
      </c>
      <c r="O43" s="182">
        <v>2.5000000000000001E-3</v>
      </c>
      <c r="Q43" s="182"/>
      <c r="R43" s="182"/>
      <c r="S43" s="182"/>
      <c r="T43" s="182"/>
      <c r="U43" s="182"/>
      <c r="V43" s="194"/>
      <c r="W43" s="194"/>
      <c r="X43" s="194"/>
      <c r="Y43" s="194"/>
      <c r="Z43" s="194"/>
      <c r="AA43" s="211">
        <v>-99</v>
      </c>
      <c r="AB43" s="211">
        <v>-99</v>
      </c>
      <c r="AC43" s="211">
        <v>-99</v>
      </c>
      <c r="AD43" s="211">
        <v>-99</v>
      </c>
      <c r="AE43" s="195"/>
      <c r="AF43" s="211">
        <v>-99</v>
      </c>
      <c r="AG43" s="211">
        <v>-99</v>
      </c>
      <c r="AI43" s="211">
        <v>-99</v>
      </c>
      <c r="AJ43" s="211">
        <v>-99</v>
      </c>
      <c r="AK43" s="211">
        <v>-99</v>
      </c>
      <c r="AM43" s="27" t="s">
        <v>135</v>
      </c>
      <c r="AN43" s="7" t="b">
        <f t="shared" si="3"/>
        <v>0</v>
      </c>
      <c r="AP43" s="211">
        <v>-99</v>
      </c>
      <c r="AQ43" s="211">
        <v>-99</v>
      </c>
      <c r="AS43" s="211">
        <v>-99</v>
      </c>
      <c r="AT43" s="211">
        <v>-99</v>
      </c>
      <c r="AU43" s="211">
        <v>-99</v>
      </c>
      <c r="AV43" s="211">
        <v>-99</v>
      </c>
      <c r="AW43" s="211">
        <v>-99</v>
      </c>
      <c r="AX43" s="211">
        <v>-99</v>
      </c>
      <c r="AZ43" s="211">
        <v>-99</v>
      </c>
      <c r="BA43" s="211">
        <v>-99</v>
      </c>
      <c r="BB43" s="211">
        <v>-99</v>
      </c>
      <c r="BC43" s="211">
        <v>-99</v>
      </c>
      <c r="BD43" s="211">
        <v>-99</v>
      </c>
      <c r="BE43" s="211">
        <v>-99</v>
      </c>
      <c r="BG43" s="211">
        <v>-99</v>
      </c>
      <c r="BH43" s="211">
        <v>-99</v>
      </c>
      <c r="BI43" s="211">
        <v>-99</v>
      </c>
      <c r="BJ43" s="211">
        <v>-99</v>
      </c>
      <c r="BK43" s="211">
        <v>-99</v>
      </c>
      <c r="BL43" s="211">
        <v>-99</v>
      </c>
      <c r="BM43" s="211">
        <v>-99</v>
      </c>
      <c r="BN43" s="211">
        <v>-99</v>
      </c>
      <c r="BO43" s="211">
        <v>-99</v>
      </c>
      <c r="BP43" s="211">
        <v>-99</v>
      </c>
      <c r="BQ43" s="171">
        <f t="shared" si="5"/>
        <v>0.10490000000000001</v>
      </c>
      <c r="BR43" s="171">
        <f t="shared" si="6"/>
        <v>0.1275</v>
      </c>
      <c r="BS43" s="211">
        <v>-99</v>
      </c>
      <c r="BT43" s="211">
        <v>-99</v>
      </c>
      <c r="BU43" s="211">
        <v>-99</v>
      </c>
    </row>
    <row r="44" spans="1:73" x14ac:dyDescent="0.3">
      <c r="A44" s="209">
        <v>32599</v>
      </c>
      <c r="B44" s="187">
        <v>198904</v>
      </c>
      <c r="C44" s="176">
        <v>10.19</v>
      </c>
      <c r="D44" s="176">
        <v>12.75</v>
      </c>
      <c r="F44" s="177">
        <v>73.8</v>
      </c>
      <c r="G44" s="210">
        <v>4.1587901701323204E-2</v>
      </c>
      <c r="J44" s="210"/>
      <c r="K44" s="182">
        <v>0.11</v>
      </c>
      <c r="L44" s="182">
        <v>0.08</v>
      </c>
      <c r="N44" s="182">
        <v>0.1125</v>
      </c>
      <c r="O44" s="182">
        <v>2.5000000000000001E-3</v>
      </c>
      <c r="Q44" s="182"/>
      <c r="R44" s="182"/>
      <c r="S44" s="182"/>
      <c r="T44" s="182"/>
      <c r="U44" s="182"/>
      <c r="V44" s="194"/>
      <c r="W44" s="194"/>
      <c r="X44" s="194"/>
      <c r="Y44" s="194"/>
      <c r="Z44" s="194"/>
      <c r="AA44" s="211">
        <v>-99</v>
      </c>
      <c r="AB44" s="211">
        <v>-99</v>
      </c>
      <c r="AC44" s="211">
        <v>-99</v>
      </c>
      <c r="AD44" s="211">
        <v>-99</v>
      </c>
      <c r="AE44" s="195"/>
      <c r="AF44" s="211">
        <v>-99</v>
      </c>
      <c r="AG44" s="211">
        <v>-99</v>
      </c>
      <c r="AI44" s="211">
        <v>-99</v>
      </c>
      <c r="AJ44" s="211">
        <v>-99</v>
      </c>
      <c r="AK44" s="211">
        <v>-99</v>
      </c>
      <c r="AM44" s="27" t="s">
        <v>135</v>
      </c>
      <c r="AN44" s="7" t="b">
        <f t="shared" si="3"/>
        <v>0</v>
      </c>
      <c r="AP44" s="211">
        <v>-99</v>
      </c>
      <c r="AQ44" s="211">
        <v>-99</v>
      </c>
      <c r="AS44" s="211">
        <v>-99</v>
      </c>
      <c r="AT44" s="211">
        <v>-99</v>
      </c>
      <c r="AU44" s="211">
        <v>-99</v>
      </c>
      <c r="AV44" s="211">
        <v>-99</v>
      </c>
      <c r="AW44" s="211">
        <v>-99</v>
      </c>
      <c r="AX44" s="211">
        <v>-99</v>
      </c>
      <c r="AZ44" s="211">
        <v>-99</v>
      </c>
      <c r="BA44" s="211">
        <v>-99</v>
      </c>
      <c r="BB44" s="211">
        <v>-99</v>
      </c>
      <c r="BC44" s="211">
        <v>-99</v>
      </c>
      <c r="BD44" s="211">
        <v>-99</v>
      </c>
      <c r="BE44" s="211">
        <v>-99</v>
      </c>
      <c r="BG44" s="211">
        <v>-99</v>
      </c>
      <c r="BH44" s="211">
        <v>-99</v>
      </c>
      <c r="BI44" s="211">
        <v>-99</v>
      </c>
      <c r="BJ44" s="211">
        <v>-99</v>
      </c>
      <c r="BK44" s="211">
        <v>-99</v>
      </c>
      <c r="BL44" s="211">
        <v>-99</v>
      </c>
      <c r="BM44" s="211">
        <v>-99</v>
      </c>
      <c r="BN44" s="211">
        <v>-99</v>
      </c>
      <c r="BO44" s="211">
        <v>-99</v>
      </c>
      <c r="BP44" s="211">
        <v>-99</v>
      </c>
      <c r="BQ44" s="171">
        <f t="shared" si="5"/>
        <v>0.10189999999999999</v>
      </c>
      <c r="BR44" s="171">
        <f t="shared" si="6"/>
        <v>0.1275</v>
      </c>
      <c r="BS44" s="211">
        <v>-99</v>
      </c>
      <c r="BT44" s="211">
        <v>-99</v>
      </c>
      <c r="BU44" s="211">
        <v>-99</v>
      </c>
    </row>
    <row r="45" spans="1:73" x14ac:dyDescent="0.3">
      <c r="A45" s="209">
        <v>32629</v>
      </c>
      <c r="B45" s="187">
        <v>198905</v>
      </c>
      <c r="C45" s="176">
        <v>9.85</v>
      </c>
      <c r="D45" s="176">
        <v>12</v>
      </c>
      <c r="F45" s="177">
        <v>74.599999999999994</v>
      </c>
      <c r="G45" s="210">
        <v>4.2372881355932313E-2</v>
      </c>
      <c r="J45" s="210"/>
      <c r="K45" s="182">
        <v>0.105</v>
      </c>
      <c r="L45" s="182">
        <v>8.5000000000000006E-2</v>
      </c>
      <c r="N45" s="182">
        <v>0.1125</v>
      </c>
      <c r="O45" s="182">
        <v>2.5000000000000001E-3</v>
      </c>
      <c r="Q45" s="182"/>
      <c r="R45" s="182"/>
      <c r="S45" s="182"/>
      <c r="T45" s="182"/>
      <c r="U45" s="182"/>
      <c r="V45" s="194"/>
      <c r="W45" s="194"/>
      <c r="X45" s="194"/>
      <c r="Y45" s="194"/>
      <c r="Z45" s="194"/>
      <c r="AA45" s="211">
        <v>-99</v>
      </c>
      <c r="AB45" s="211">
        <v>-99</v>
      </c>
      <c r="AC45" s="211">
        <v>-99</v>
      </c>
      <c r="AD45" s="211">
        <v>-99</v>
      </c>
      <c r="AE45" s="195"/>
      <c r="AF45" s="211">
        <v>-99</v>
      </c>
      <c r="AG45" s="211">
        <v>-99</v>
      </c>
      <c r="AI45" s="211">
        <v>-99</v>
      </c>
      <c r="AJ45" s="211">
        <v>-99</v>
      </c>
      <c r="AK45" s="211">
        <v>-99</v>
      </c>
      <c r="AM45" s="27" t="s">
        <v>135</v>
      </c>
      <c r="AN45" s="7" t="b">
        <f t="shared" si="3"/>
        <v>0</v>
      </c>
      <c r="AP45" s="211">
        <v>-99</v>
      </c>
      <c r="AQ45" s="211">
        <v>-99</v>
      </c>
      <c r="AS45" s="211">
        <v>-99</v>
      </c>
      <c r="AT45" s="211">
        <v>-99</v>
      </c>
      <c r="AU45" s="211">
        <v>-99</v>
      </c>
      <c r="AV45" s="211">
        <v>-99</v>
      </c>
      <c r="AW45" s="211">
        <v>-99</v>
      </c>
      <c r="AX45" s="211">
        <v>-99</v>
      </c>
      <c r="AZ45" s="211">
        <v>-99</v>
      </c>
      <c r="BA45" s="211">
        <v>-99</v>
      </c>
      <c r="BB45" s="211">
        <v>-99</v>
      </c>
      <c r="BC45" s="211">
        <v>-99</v>
      </c>
      <c r="BD45" s="211">
        <v>-99</v>
      </c>
      <c r="BE45" s="211">
        <v>-99</v>
      </c>
      <c r="BG45" s="211">
        <v>-99</v>
      </c>
      <c r="BH45" s="211">
        <v>-99</v>
      </c>
      <c r="BI45" s="211">
        <v>-99</v>
      </c>
      <c r="BJ45" s="211">
        <v>-99</v>
      </c>
      <c r="BK45" s="211">
        <v>-99</v>
      </c>
      <c r="BL45" s="211">
        <v>-99</v>
      </c>
      <c r="BM45" s="211">
        <v>-99</v>
      </c>
      <c r="BN45" s="211">
        <v>-99</v>
      </c>
      <c r="BO45" s="211">
        <v>-99</v>
      </c>
      <c r="BP45" s="211">
        <v>-99</v>
      </c>
      <c r="BQ45" s="171">
        <f t="shared" si="5"/>
        <v>9.849999999999999E-2</v>
      </c>
      <c r="BR45" s="171">
        <f t="shared" si="6"/>
        <v>0.12</v>
      </c>
      <c r="BS45" s="211">
        <v>-99</v>
      </c>
      <c r="BT45" s="211">
        <v>-99</v>
      </c>
      <c r="BU45" s="211">
        <v>-99</v>
      </c>
    </row>
    <row r="46" spans="1:73" x14ac:dyDescent="0.3">
      <c r="A46" s="209">
        <v>32660</v>
      </c>
      <c r="B46" s="187">
        <v>198906</v>
      </c>
      <c r="C46" s="176">
        <v>9.6</v>
      </c>
      <c r="D46" s="176">
        <v>12</v>
      </c>
      <c r="F46" s="177">
        <v>74.900000000000006</v>
      </c>
      <c r="G46" s="210">
        <v>4.4131455399061048E-2</v>
      </c>
      <c r="J46" s="210"/>
      <c r="K46" s="182">
        <v>0.105</v>
      </c>
      <c r="L46" s="182">
        <v>8.5000000000000006E-2</v>
      </c>
      <c r="N46" s="182">
        <v>0.11</v>
      </c>
      <c r="O46" s="182">
        <v>2.5000000000000001E-3</v>
      </c>
      <c r="Q46" s="182"/>
      <c r="R46" s="182"/>
      <c r="S46" s="182"/>
      <c r="T46" s="182"/>
      <c r="U46" s="182"/>
      <c r="V46" s="194"/>
      <c r="W46" s="194"/>
      <c r="X46" s="194"/>
      <c r="Y46" s="194"/>
      <c r="Z46" s="194"/>
      <c r="AA46" s="211">
        <v>-99</v>
      </c>
      <c r="AB46" s="211">
        <v>-99</v>
      </c>
      <c r="AC46" s="211">
        <v>-99</v>
      </c>
      <c r="AD46" s="211">
        <v>-99</v>
      </c>
      <c r="AE46" s="195"/>
      <c r="AF46" s="211">
        <v>-99</v>
      </c>
      <c r="AG46" s="211">
        <v>-99</v>
      </c>
      <c r="AI46" s="211">
        <v>-99</v>
      </c>
      <c r="AJ46" s="211">
        <v>-99</v>
      </c>
      <c r="AK46" s="211">
        <v>-99</v>
      </c>
      <c r="AM46" s="27" t="s">
        <v>135</v>
      </c>
      <c r="AN46" s="7" t="b">
        <f t="shared" si="3"/>
        <v>0</v>
      </c>
      <c r="AP46" s="211">
        <v>-99</v>
      </c>
      <c r="AQ46" s="211">
        <v>-99</v>
      </c>
      <c r="AS46" s="211">
        <v>-99</v>
      </c>
      <c r="AT46" s="211">
        <v>-99</v>
      </c>
      <c r="AU46" s="211">
        <v>-99</v>
      </c>
      <c r="AV46" s="211">
        <v>-99</v>
      </c>
      <c r="AW46" s="211">
        <v>-99</v>
      </c>
      <c r="AX46" s="211">
        <v>-99</v>
      </c>
      <c r="AZ46" s="211">
        <v>-99</v>
      </c>
      <c r="BA46" s="211">
        <v>-99</v>
      </c>
      <c r="BB46" s="211">
        <v>-99</v>
      </c>
      <c r="BC46" s="211">
        <v>-99</v>
      </c>
      <c r="BD46" s="211">
        <v>-99</v>
      </c>
      <c r="BE46" s="211">
        <v>-99</v>
      </c>
      <c r="BG46" s="211">
        <v>-99</v>
      </c>
      <c r="BH46" s="211">
        <v>-99</v>
      </c>
      <c r="BI46" s="211">
        <v>-99</v>
      </c>
      <c r="BJ46" s="211">
        <v>-99</v>
      </c>
      <c r="BK46" s="211">
        <v>-99</v>
      </c>
      <c r="BL46" s="211">
        <v>-99</v>
      </c>
      <c r="BM46" s="211">
        <v>-99</v>
      </c>
      <c r="BN46" s="211">
        <v>-99</v>
      </c>
      <c r="BO46" s="211">
        <v>-99</v>
      </c>
      <c r="BP46" s="211">
        <v>-99</v>
      </c>
      <c r="BQ46" s="171">
        <f t="shared" si="5"/>
        <v>9.6000000000000002E-2</v>
      </c>
      <c r="BR46" s="171">
        <f t="shared" si="6"/>
        <v>0.12</v>
      </c>
      <c r="BS46" s="211">
        <v>-99</v>
      </c>
      <c r="BT46" s="211">
        <v>-99</v>
      </c>
      <c r="BU46" s="211">
        <v>-99</v>
      </c>
    </row>
    <row r="47" spans="1:73" x14ac:dyDescent="0.3">
      <c r="A47" s="209">
        <v>32690</v>
      </c>
      <c r="B47" s="187">
        <v>198907</v>
      </c>
      <c r="C47" s="176">
        <v>9.6199999999999992</v>
      </c>
      <c r="D47" s="176">
        <v>11.75</v>
      </c>
      <c r="F47" s="177">
        <v>75.400000000000006</v>
      </c>
      <c r="G47" s="210">
        <v>4.4943820224718989E-2</v>
      </c>
      <c r="J47" s="210"/>
      <c r="K47" s="182">
        <v>0.1</v>
      </c>
      <c r="L47" s="182">
        <v>7.4999999999999997E-2</v>
      </c>
      <c r="N47" s="182">
        <v>0.105</v>
      </c>
      <c r="O47" s="182">
        <v>2.5000000000000001E-3</v>
      </c>
      <c r="Q47" s="182"/>
      <c r="R47" s="182"/>
      <c r="S47" s="182"/>
      <c r="T47" s="182"/>
      <c r="U47" s="182"/>
      <c r="V47" s="194"/>
      <c r="W47" s="194"/>
      <c r="X47" s="194"/>
      <c r="Y47" s="194"/>
      <c r="Z47" s="194"/>
      <c r="AA47" s="211">
        <v>-99</v>
      </c>
      <c r="AB47" s="211">
        <v>-99</v>
      </c>
      <c r="AC47" s="211">
        <v>-99</v>
      </c>
      <c r="AD47" s="211">
        <v>-99</v>
      </c>
      <c r="AE47" s="195"/>
      <c r="AF47" s="211">
        <v>-99</v>
      </c>
      <c r="AG47" s="211">
        <v>-99</v>
      </c>
      <c r="AI47" s="211">
        <v>-99</v>
      </c>
      <c r="AJ47" s="211">
        <v>-99</v>
      </c>
      <c r="AK47" s="211">
        <v>-99</v>
      </c>
      <c r="AM47" s="27" t="s">
        <v>135</v>
      </c>
      <c r="AN47" s="7" t="b">
        <f t="shared" si="3"/>
        <v>0</v>
      </c>
      <c r="AP47" s="211">
        <v>-99</v>
      </c>
      <c r="AQ47" s="211">
        <v>-99</v>
      </c>
      <c r="AS47" s="211">
        <v>-99</v>
      </c>
      <c r="AT47" s="211">
        <v>-99</v>
      </c>
      <c r="AU47" s="211">
        <v>-99</v>
      </c>
      <c r="AV47" s="211">
        <v>-99</v>
      </c>
      <c r="AW47" s="211">
        <v>-99</v>
      </c>
      <c r="AX47" s="211">
        <v>-99</v>
      </c>
      <c r="AZ47" s="211">
        <v>-99</v>
      </c>
      <c r="BA47" s="211">
        <v>-99</v>
      </c>
      <c r="BB47" s="211">
        <v>-99</v>
      </c>
      <c r="BC47" s="211">
        <v>-99</v>
      </c>
      <c r="BD47" s="211">
        <v>-99</v>
      </c>
      <c r="BE47" s="211">
        <v>-99</v>
      </c>
      <c r="BG47" s="211">
        <v>-99</v>
      </c>
      <c r="BH47" s="211">
        <v>-99</v>
      </c>
      <c r="BI47" s="211">
        <v>-99</v>
      </c>
      <c r="BJ47" s="211">
        <v>-99</v>
      </c>
      <c r="BK47" s="211">
        <v>-99</v>
      </c>
      <c r="BL47" s="211">
        <v>-99</v>
      </c>
      <c r="BM47" s="211">
        <v>-99</v>
      </c>
      <c r="BN47" s="211">
        <v>-99</v>
      </c>
      <c r="BO47" s="211">
        <v>-99</v>
      </c>
      <c r="BP47" s="211">
        <v>-99</v>
      </c>
      <c r="BQ47" s="171">
        <f t="shared" si="5"/>
        <v>9.6199999999999994E-2</v>
      </c>
      <c r="BR47" s="171">
        <f t="shared" si="6"/>
        <v>0.11749999999999999</v>
      </c>
      <c r="BS47" s="211">
        <v>-99</v>
      </c>
      <c r="BT47" s="211">
        <v>-99</v>
      </c>
      <c r="BU47" s="211">
        <v>-99</v>
      </c>
    </row>
    <row r="48" spans="1:73" x14ac:dyDescent="0.3">
      <c r="A48" s="209">
        <v>32721</v>
      </c>
      <c r="B48" s="187">
        <v>198908</v>
      </c>
      <c r="C48" s="176">
        <v>9.6199999999999992</v>
      </c>
      <c r="D48" s="176">
        <v>11.75</v>
      </c>
      <c r="F48" s="177">
        <v>75.5</v>
      </c>
      <c r="G48" s="210">
        <v>4.5708955223880521E-2</v>
      </c>
      <c r="J48" s="210"/>
      <c r="K48" s="182">
        <v>0.1</v>
      </c>
      <c r="L48" s="182">
        <v>7.4999999999999997E-2</v>
      </c>
      <c r="N48" s="182">
        <v>0.10249999999999999</v>
      </c>
      <c r="O48" s="182">
        <v>2.5000000000000001E-3</v>
      </c>
      <c r="Q48" s="182"/>
      <c r="R48" s="182"/>
      <c r="S48" s="182"/>
      <c r="T48" s="182"/>
      <c r="U48" s="182"/>
      <c r="V48" s="194"/>
      <c r="W48" s="194"/>
      <c r="X48" s="194"/>
      <c r="Y48" s="194"/>
      <c r="Z48" s="194"/>
      <c r="AA48" s="211">
        <v>-99</v>
      </c>
      <c r="AB48" s="211">
        <v>-99</v>
      </c>
      <c r="AC48" s="211">
        <v>-99</v>
      </c>
      <c r="AD48" s="211">
        <v>-99</v>
      </c>
      <c r="AE48" s="195"/>
      <c r="AF48" s="211">
        <v>-99</v>
      </c>
      <c r="AG48" s="211">
        <v>-99</v>
      </c>
      <c r="AI48" s="211">
        <v>-99</v>
      </c>
      <c r="AJ48" s="211">
        <v>-99</v>
      </c>
      <c r="AK48" s="211">
        <v>-99</v>
      </c>
      <c r="AM48" s="27" t="s">
        <v>135</v>
      </c>
      <c r="AN48" s="7" t="b">
        <f t="shared" si="3"/>
        <v>0</v>
      </c>
      <c r="AP48" s="211">
        <v>-99</v>
      </c>
      <c r="AQ48" s="211">
        <v>-99</v>
      </c>
      <c r="AS48" s="211">
        <v>-99</v>
      </c>
      <c r="AT48" s="211">
        <v>-99</v>
      </c>
      <c r="AU48" s="211">
        <v>-99</v>
      </c>
      <c r="AV48" s="211">
        <v>-99</v>
      </c>
      <c r="AW48" s="211">
        <v>-99</v>
      </c>
      <c r="AX48" s="211">
        <v>-99</v>
      </c>
      <c r="AZ48" s="211">
        <v>-99</v>
      </c>
      <c r="BA48" s="211">
        <v>-99</v>
      </c>
      <c r="BB48" s="211">
        <v>-99</v>
      </c>
      <c r="BC48" s="211">
        <v>-99</v>
      </c>
      <c r="BD48" s="211">
        <v>-99</v>
      </c>
      <c r="BE48" s="211">
        <v>-99</v>
      </c>
      <c r="BG48" s="211">
        <v>-99</v>
      </c>
      <c r="BH48" s="211">
        <v>-99</v>
      </c>
      <c r="BI48" s="211">
        <v>-99</v>
      </c>
      <c r="BJ48" s="211">
        <v>-99</v>
      </c>
      <c r="BK48" s="211">
        <v>-99</v>
      </c>
      <c r="BL48" s="211">
        <v>-99</v>
      </c>
      <c r="BM48" s="211">
        <v>-99</v>
      </c>
      <c r="BN48" s="211">
        <v>-99</v>
      </c>
      <c r="BO48" s="211">
        <v>-99</v>
      </c>
      <c r="BP48" s="211">
        <v>-99</v>
      </c>
      <c r="BQ48" s="171">
        <f t="shared" si="5"/>
        <v>9.6199999999999994E-2</v>
      </c>
      <c r="BR48" s="171">
        <f t="shared" si="6"/>
        <v>0.11749999999999999</v>
      </c>
      <c r="BS48" s="211">
        <v>-99</v>
      </c>
      <c r="BT48" s="211">
        <v>-99</v>
      </c>
      <c r="BU48" s="211">
        <v>-99</v>
      </c>
    </row>
    <row r="49" spans="1:73" x14ac:dyDescent="0.3">
      <c r="A49" s="209">
        <v>32752</v>
      </c>
      <c r="B49" s="187">
        <v>198909</v>
      </c>
      <c r="C49" s="176">
        <v>9.91</v>
      </c>
      <c r="D49" s="176">
        <v>11.75</v>
      </c>
      <c r="F49" s="177">
        <v>75.599999999999994</v>
      </c>
      <c r="G49" s="210">
        <v>4.7441860465116337E-2</v>
      </c>
      <c r="J49" s="210"/>
      <c r="K49" s="182">
        <v>0.1</v>
      </c>
      <c r="L49" s="182">
        <v>7.0000000000000007E-2</v>
      </c>
      <c r="N49" s="182">
        <v>0.105</v>
      </c>
      <c r="O49" s="182">
        <v>2.5000000000000001E-3</v>
      </c>
      <c r="Q49" s="182"/>
      <c r="R49" s="182"/>
      <c r="S49" s="182"/>
      <c r="T49" s="182"/>
      <c r="U49" s="182"/>
      <c r="V49" s="194"/>
      <c r="W49" s="194"/>
      <c r="X49" s="194"/>
      <c r="Y49" s="194"/>
      <c r="Z49" s="194"/>
      <c r="AA49" s="211">
        <v>-99</v>
      </c>
      <c r="AB49" s="211">
        <v>-99</v>
      </c>
      <c r="AC49" s="211">
        <v>-99</v>
      </c>
      <c r="AD49" s="211">
        <v>-99</v>
      </c>
      <c r="AE49" s="195"/>
      <c r="AF49" s="211">
        <v>-99</v>
      </c>
      <c r="AG49" s="211">
        <v>-99</v>
      </c>
      <c r="AI49" s="211">
        <v>-99</v>
      </c>
      <c r="AJ49" s="211">
        <v>-99</v>
      </c>
      <c r="AK49" s="211">
        <v>-99</v>
      </c>
      <c r="AM49" s="27" t="s">
        <v>135</v>
      </c>
      <c r="AN49" s="7" t="b">
        <f t="shared" si="3"/>
        <v>0</v>
      </c>
      <c r="AP49" s="211">
        <v>-99</v>
      </c>
      <c r="AQ49" s="211">
        <v>-99</v>
      </c>
      <c r="AS49" s="211">
        <v>-99</v>
      </c>
      <c r="AT49" s="211">
        <v>-99</v>
      </c>
      <c r="AU49" s="211">
        <v>-99</v>
      </c>
      <c r="AV49" s="211">
        <v>-99</v>
      </c>
      <c r="AW49" s="211">
        <v>-99</v>
      </c>
      <c r="AX49" s="211">
        <v>-99</v>
      </c>
      <c r="AZ49" s="211">
        <v>-99</v>
      </c>
      <c r="BA49" s="211">
        <v>-99</v>
      </c>
      <c r="BB49" s="211">
        <v>-99</v>
      </c>
      <c r="BC49" s="211">
        <v>-99</v>
      </c>
      <c r="BD49" s="211">
        <v>-99</v>
      </c>
      <c r="BE49" s="211">
        <v>-99</v>
      </c>
      <c r="BG49" s="211">
        <v>-99</v>
      </c>
      <c r="BH49" s="211">
        <v>-99</v>
      </c>
      <c r="BI49" s="211">
        <v>-99</v>
      </c>
      <c r="BJ49" s="211">
        <v>-99</v>
      </c>
      <c r="BK49" s="211">
        <v>-99</v>
      </c>
      <c r="BL49" s="211">
        <v>-99</v>
      </c>
      <c r="BM49" s="211">
        <v>-99</v>
      </c>
      <c r="BN49" s="211">
        <v>-99</v>
      </c>
      <c r="BO49" s="211">
        <v>-99</v>
      </c>
      <c r="BP49" s="211">
        <v>-99</v>
      </c>
      <c r="BQ49" s="171">
        <f t="shared" si="5"/>
        <v>9.9100000000000008E-2</v>
      </c>
      <c r="BR49" s="171">
        <f t="shared" si="6"/>
        <v>0.11749999999999999</v>
      </c>
      <c r="BS49" s="211">
        <v>-99</v>
      </c>
      <c r="BT49" s="211">
        <v>-99</v>
      </c>
      <c r="BU49" s="211">
        <v>-99</v>
      </c>
    </row>
    <row r="50" spans="1:73" x14ac:dyDescent="0.3">
      <c r="A50" s="209">
        <v>32782</v>
      </c>
      <c r="B50" s="187">
        <v>198910</v>
      </c>
      <c r="C50" s="176">
        <v>9.5399999999999991</v>
      </c>
      <c r="D50" s="176">
        <v>11.75</v>
      </c>
      <c r="F50" s="177">
        <v>75.900000000000006</v>
      </c>
      <c r="G50" s="210">
        <v>4.8192771084337283E-2</v>
      </c>
      <c r="J50" s="210"/>
      <c r="K50" s="182">
        <v>0.1</v>
      </c>
      <c r="L50" s="182">
        <v>7.0000000000000007E-2</v>
      </c>
      <c r="N50" s="182">
        <v>0.105</v>
      </c>
      <c r="O50" s="182">
        <v>2.5000000000000001E-3</v>
      </c>
      <c r="Q50" s="182"/>
      <c r="R50" s="182"/>
      <c r="S50" s="182"/>
      <c r="T50" s="182"/>
      <c r="U50" s="182"/>
      <c r="V50" s="194"/>
      <c r="W50" s="194"/>
      <c r="X50" s="194"/>
      <c r="Y50" s="194"/>
      <c r="Z50" s="194"/>
      <c r="AA50" s="211">
        <v>-99</v>
      </c>
      <c r="AB50" s="211">
        <v>-99</v>
      </c>
      <c r="AC50" s="211">
        <v>-99</v>
      </c>
      <c r="AD50" s="211">
        <v>-99</v>
      </c>
      <c r="AE50" s="195"/>
      <c r="AF50" s="211">
        <v>-99</v>
      </c>
      <c r="AG50" s="211">
        <v>-99</v>
      </c>
      <c r="AI50" s="211">
        <v>-99</v>
      </c>
      <c r="AJ50" s="211">
        <v>-99</v>
      </c>
      <c r="AK50" s="211">
        <v>-99</v>
      </c>
      <c r="AM50" s="27" t="s">
        <v>135</v>
      </c>
      <c r="AN50" s="7" t="b">
        <f t="shared" si="3"/>
        <v>0</v>
      </c>
      <c r="AP50" s="211">
        <v>-99</v>
      </c>
      <c r="AQ50" s="211">
        <v>-99</v>
      </c>
      <c r="AS50" s="211">
        <v>-99</v>
      </c>
      <c r="AT50" s="211">
        <v>-99</v>
      </c>
      <c r="AU50" s="211">
        <v>-99</v>
      </c>
      <c r="AV50" s="211">
        <v>-99</v>
      </c>
      <c r="AW50" s="211">
        <v>-99</v>
      </c>
      <c r="AX50" s="211">
        <v>-99</v>
      </c>
      <c r="AZ50" s="211">
        <v>-99</v>
      </c>
      <c r="BA50" s="211">
        <v>-99</v>
      </c>
      <c r="BB50" s="211">
        <v>-99</v>
      </c>
      <c r="BC50" s="211">
        <v>-99</v>
      </c>
      <c r="BD50" s="211">
        <v>-99</v>
      </c>
      <c r="BE50" s="211">
        <v>-99</v>
      </c>
      <c r="BG50" s="211">
        <v>-99</v>
      </c>
      <c r="BH50" s="211">
        <v>-99</v>
      </c>
      <c r="BI50" s="211">
        <v>-99</v>
      </c>
      <c r="BJ50" s="211">
        <v>-99</v>
      </c>
      <c r="BK50" s="211">
        <v>-99</v>
      </c>
      <c r="BL50" s="211">
        <v>-99</v>
      </c>
      <c r="BM50" s="211">
        <v>-99</v>
      </c>
      <c r="BN50" s="211">
        <v>-99</v>
      </c>
      <c r="BO50" s="211">
        <v>-99</v>
      </c>
      <c r="BP50" s="211">
        <v>-99</v>
      </c>
      <c r="BQ50" s="171">
        <f t="shared" si="5"/>
        <v>9.5399999999999985E-2</v>
      </c>
      <c r="BR50" s="171">
        <f t="shared" si="6"/>
        <v>0.11749999999999999</v>
      </c>
      <c r="BS50" s="211">
        <v>-99</v>
      </c>
      <c r="BT50" s="211">
        <v>-99</v>
      </c>
      <c r="BU50" s="211">
        <v>-99</v>
      </c>
    </row>
    <row r="51" spans="1:73" x14ac:dyDescent="0.3">
      <c r="A51" s="209">
        <v>32813</v>
      </c>
      <c r="B51" s="187">
        <v>198911</v>
      </c>
      <c r="C51" s="176">
        <v>9.8000000000000007</v>
      </c>
      <c r="D51" s="176">
        <v>11.75</v>
      </c>
      <c r="F51" s="177">
        <v>76.099999999999994</v>
      </c>
      <c r="G51" s="210">
        <v>4.8938134810710965E-2</v>
      </c>
      <c r="J51" s="210"/>
      <c r="K51" s="182">
        <v>0.1</v>
      </c>
      <c r="L51" s="182">
        <v>7.0000000000000007E-2</v>
      </c>
      <c r="N51" s="182">
        <v>0.1075</v>
      </c>
      <c r="O51" s="182">
        <v>2.5000000000000001E-3</v>
      </c>
      <c r="Q51" s="182"/>
      <c r="R51" s="182"/>
      <c r="S51" s="182"/>
      <c r="T51" s="182"/>
      <c r="U51" s="182"/>
      <c r="V51" s="194"/>
      <c r="W51" s="194"/>
      <c r="X51" s="194"/>
      <c r="Y51" s="194"/>
      <c r="Z51" s="194"/>
      <c r="AA51" s="211">
        <v>-99</v>
      </c>
      <c r="AB51" s="211">
        <v>-99</v>
      </c>
      <c r="AC51" s="211">
        <v>-99</v>
      </c>
      <c r="AD51" s="211">
        <v>-99</v>
      </c>
      <c r="AE51" s="195"/>
      <c r="AF51" s="211">
        <v>-99</v>
      </c>
      <c r="AG51" s="211">
        <v>-99</v>
      </c>
      <c r="AI51" s="211">
        <v>-99</v>
      </c>
      <c r="AJ51" s="211">
        <v>-99</v>
      </c>
      <c r="AK51" s="211">
        <v>-99</v>
      </c>
      <c r="AM51" s="27" t="s">
        <v>135</v>
      </c>
      <c r="AN51" s="7" t="b">
        <f t="shared" si="3"/>
        <v>0</v>
      </c>
      <c r="AP51" s="211">
        <v>-99</v>
      </c>
      <c r="AQ51" s="211">
        <v>-99</v>
      </c>
      <c r="AS51" s="211">
        <v>-99</v>
      </c>
      <c r="AT51" s="211">
        <v>-99</v>
      </c>
      <c r="AU51" s="211">
        <v>-99</v>
      </c>
      <c r="AV51" s="211">
        <v>-99</v>
      </c>
      <c r="AW51" s="211">
        <v>-99</v>
      </c>
      <c r="AX51" s="211">
        <v>-99</v>
      </c>
      <c r="AZ51" s="211">
        <v>-99</v>
      </c>
      <c r="BA51" s="211">
        <v>-99</v>
      </c>
      <c r="BB51" s="211">
        <v>-99</v>
      </c>
      <c r="BC51" s="211">
        <v>-99</v>
      </c>
      <c r="BD51" s="211">
        <v>-99</v>
      </c>
      <c r="BE51" s="211">
        <v>-99</v>
      </c>
      <c r="BG51" s="211">
        <v>-99</v>
      </c>
      <c r="BH51" s="211">
        <v>-99</v>
      </c>
      <c r="BI51" s="211">
        <v>-99</v>
      </c>
      <c r="BJ51" s="211">
        <v>-99</v>
      </c>
      <c r="BK51" s="211">
        <v>-99</v>
      </c>
      <c r="BL51" s="211">
        <v>-99</v>
      </c>
      <c r="BM51" s="211">
        <v>-99</v>
      </c>
      <c r="BN51" s="211">
        <v>-99</v>
      </c>
      <c r="BO51" s="211">
        <v>-99</v>
      </c>
      <c r="BP51" s="211">
        <v>-99</v>
      </c>
      <c r="BQ51" s="171">
        <f t="shared" si="5"/>
        <v>9.8000000000000004E-2</v>
      </c>
      <c r="BR51" s="171">
        <f t="shared" si="6"/>
        <v>0.11749999999999999</v>
      </c>
      <c r="BS51" s="211">
        <v>-99</v>
      </c>
      <c r="BT51" s="211">
        <v>-99</v>
      </c>
      <c r="BU51" s="211">
        <v>-99</v>
      </c>
    </row>
    <row r="52" spans="1:73" x14ac:dyDescent="0.3">
      <c r="A52" s="212">
        <v>32843</v>
      </c>
      <c r="B52" s="187">
        <v>198912</v>
      </c>
      <c r="C52" s="213">
        <v>9.69</v>
      </c>
      <c r="D52" s="213">
        <v>12</v>
      </c>
      <c r="E52" s="213"/>
      <c r="F52" s="177">
        <v>76.099999999999994</v>
      </c>
      <c r="G52" s="214">
        <v>4.9723756906077332E-2</v>
      </c>
      <c r="H52" s="215"/>
      <c r="I52" s="215"/>
      <c r="J52" s="214"/>
      <c r="K52" s="216">
        <v>0.1</v>
      </c>
      <c r="L52" s="216">
        <v>6.5000000000000002E-2</v>
      </c>
      <c r="M52" s="216"/>
      <c r="N52" s="216">
        <v>0.10249999999999999</v>
      </c>
      <c r="O52" s="216">
        <v>2.5000000000000001E-3</v>
      </c>
      <c r="P52" s="217"/>
      <c r="Q52" s="182"/>
      <c r="R52" s="182"/>
      <c r="S52" s="182"/>
      <c r="T52" s="182"/>
      <c r="U52" s="182"/>
      <c r="V52" s="194"/>
      <c r="W52" s="194"/>
      <c r="X52" s="194"/>
      <c r="Y52" s="194"/>
      <c r="Z52" s="194"/>
      <c r="AA52" s="211">
        <v>-99</v>
      </c>
      <c r="AB52" s="211">
        <v>-99</v>
      </c>
      <c r="AC52" s="211">
        <v>-99</v>
      </c>
      <c r="AD52" s="211">
        <v>-99</v>
      </c>
      <c r="AE52" s="195"/>
      <c r="AF52" s="211">
        <v>-99</v>
      </c>
      <c r="AG52" s="211">
        <v>-99</v>
      </c>
      <c r="AI52" s="211">
        <v>-99</v>
      </c>
      <c r="AJ52" s="211">
        <v>-99</v>
      </c>
      <c r="AK52" s="211">
        <v>-99</v>
      </c>
      <c r="AM52" s="27" t="s">
        <v>135</v>
      </c>
      <c r="AN52" s="7" t="b">
        <f t="shared" si="3"/>
        <v>0</v>
      </c>
      <c r="AP52" s="211">
        <v>-99</v>
      </c>
      <c r="AQ52" s="211">
        <v>-99</v>
      </c>
      <c r="AS52" s="211">
        <v>-99</v>
      </c>
      <c r="AT52" s="211">
        <v>-99</v>
      </c>
      <c r="AU52" s="211">
        <v>-99</v>
      </c>
      <c r="AV52" s="211">
        <v>-99</v>
      </c>
      <c r="AW52" s="211">
        <v>-99</v>
      </c>
      <c r="AX52" s="211">
        <v>-99</v>
      </c>
      <c r="AZ52" s="211">
        <v>-99</v>
      </c>
      <c r="BA52" s="211">
        <v>-99</v>
      </c>
      <c r="BB52" s="211">
        <v>-99</v>
      </c>
      <c r="BC52" s="211">
        <v>-99</v>
      </c>
      <c r="BD52" s="211">
        <v>-99</v>
      </c>
      <c r="BE52" s="211">
        <v>-99</v>
      </c>
      <c r="BG52" s="211">
        <v>-99</v>
      </c>
      <c r="BH52" s="211">
        <v>-99</v>
      </c>
      <c r="BI52" s="211">
        <v>-99</v>
      </c>
      <c r="BJ52" s="211">
        <v>-99</v>
      </c>
      <c r="BK52" s="211">
        <v>-99</v>
      </c>
      <c r="BL52" s="211">
        <v>-99</v>
      </c>
      <c r="BM52" s="211">
        <v>-99</v>
      </c>
      <c r="BN52" s="211">
        <v>-99</v>
      </c>
      <c r="BO52" s="211">
        <v>-99</v>
      </c>
      <c r="BP52" s="211">
        <v>-99</v>
      </c>
      <c r="BQ52" s="171">
        <f t="shared" si="5"/>
        <v>9.69E-2</v>
      </c>
      <c r="BR52" s="171">
        <f t="shared" si="6"/>
        <v>0.12</v>
      </c>
      <c r="BS52" s="211">
        <v>-99</v>
      </c>
      <c r="BT52" s="211">
        <v>-99</v>
      </c>
      <c r="BU52" s="211">
        <v>-99</v>
      </c>
    </row>
    <row r="53" spans="1:73" x14ac:dyDescent="0.3">
      <c r="A53" s="209">
        <v>32874</v>
      </c>
      <c r="B53" s="187">
        <v>199001</v>
      </c>
      <c r="C53" s="176">
        <v>10.039999999999999</v>
      </c>
      <c r="D53" s="176">
        <v>12</v>
      </c>
      <c r="F53" s="177">
        <v>76.7</v>
      </c>
      <c r="G53" s="210">
        <v>5.0458715596330306E-2</v>
      </c>
      <c r="J53" s="210"/>
      <c r="K53" s="182">
        <v>0.1</v>
      </c>
      <c r="L53" s="182">
        <v>6.5000000000000002E-2</v>
      </c>
      <c r="N53" s="182">
        <v>0.105</v>
      </c>
      <c r="O53" s="182">
        <v>2.5000000000000001E-3</v>
      </c>
      <c r="Q53" s="182"/>
      <c r="R53" s="182"/>
      <c r="S53" s="182"/>
      <c r="T53" s="182"/>
      <c r="U53" s="182"/>
      <c r="V53" s="194"/>
      <c r="W53" s="194"/>
      <c r="X53" s="194"/>
      <c r="Y53" s="194"/>
      <c r="Z53" s="194"/>
      <c r="AA53" s="211">
        <v>-99</v>
      </c>
      <c r="AB53" s="211">
        <v>-99</v>
      </c>
      <c r="AC53" s="211">
        <v>-99</v>
      </c>
      <c r="AD53" s="211">
        <v>-99</v>
      </c>
      <c r="AE53" s="195"/>
      <c r="AF53" s="211">
        <v>-99</v>
      </c>
      <c r="AG53" s="211">
        <v>-99</v>
      </c>
      <c r="AI53" s="211">
        <v>-99</v>
      </c>
      <c r="AJ53" s="211">
        <v>-99</v>
      </c>
      <c r="AK53" s="211">
        <v>-99</v>
      </c>
      <c r="AM53" s="27" t="s">
        <v>135</v>
      </c>
      <c r="AN53" s="7" t="b">
        <f t="shared" si="3"/>
        <v>0</v>
      </c>
      <c r="AP53" s="211">
        <v>-99</v>
      </c>
      <c r="AQ53" s="211">
        <v>-99</v>
      </c>
      <c r="AS53" s="211">
        <v>-99</v>
      </c>
      <c r="AT53" s="211">
        <v>-99</v>
      </c>
      <c r="AU53" s="211">
        <v>-99</v>
      </c>
      <c r="AV53" s="211">
        <v>-99</v>
      </c>
      <c r="AW53" s="211">
        <v>-99</v>
      </c>
      <c r="AX53" s="211">
        <v>-99</v>
      </c>
      <c r="AZ53" s="211">
        <v>-99</v>
      </c>
      <c r="BA53" s="211">
        <v>-99</v>
      </c>
      <c r="BB53" s="211">
        <v>-99</v>
      </c>
      <c r="BC53" s="211">
        <v>-99</v>
      </c>
      <c r="BD53" s="211">
        <v>-99</v>
      </c>
      <c r="BE53" s="211">
        <v>-99</v>
      </c>
      <c r="BG53" s="211">
        <v>-99</v>
      </c>
      <c r="BH53" s="211">
        <v>-99</v>
      </c>
      <c r="BI53" s="211">
        <v>-99</v>
      </c>
      <c r="BJ53" s="211">
        <v>-99</v>
      </c>
      <c r="BK53" s="211">
        <v>-99</v>
      </c>
      <c r="BL53" s="211">
        <v>-99</v>
      </c>
      <c r="BM53" s="211">
        <v>-99</v>
      </c>
      <c r="BN53" s="211">
        <v>-99</v>
      </c>
      <c r="BO53" s="211">
        <v>-99</v>
      </c>
      <c r="BP53" s="211">
        <v>-99</v>
      </c>
      <c r="BQ53" s="171">
        <f t="shared" si="5"/>
        <v>0.10039999999999999</v>
      </c>
      <c r="BR53" s="171">
        <f t="shared" si="6"/>
        <v>0.12</v>
      </c>
      <c r="BS53" s="211">
        <v>-99</v>
      </c>
      <c r="BT53" s="211">
        <v>-99</v>
      </c>
      <c r="BU53" s="211">
        <v>-99</v>
      </c>
    </row>
    <row r="54" spans="1:73" x14ac:dyDescent="0.3">
      <c r="A54" s="209">
        <v>32905</v>
      </c>
      <c r="B54" s="187">
        <v>199002</v>
      </c>
      <c r="C54" s="176">
        <v>10.64</v>
      </c>
      <c r="D54" s="176">
        <v>12.75</v>
      </c>
      <c r="F54" s="177">
        <v>77.2</v>
      </c>
      <c r="G54" s="210">
        <v>5.2102376599634237E-2</v>
      </c>
      <c r="J54" s="210"/>
      <c r="K54" s="182">
        <v>0.1</v>
      </c>
      <c r="L54" s="182">
        <v>7.0000000000000007E-2</v>
      </c>
      <c r="N54" s="182">
        <v>0.105</v>
      </c>
      <c r="O54" s="182">
        <v>2.5000000000000001E-3</v>
      </c>
      <c r="Q54" s="182"/>
      <c r="R54" s="182"/>
      <c r="S54" s="182"/>
      <c r="T54" s="182"/>
      <c r="U54" s="182"/>
      <c r="V54" s="194"/>
      <c r="W54" s="194"/>
      <c r="X54" s="194"/>
      <c r="Y54" s="194"/>
      <c r="Z54" s="194"/>
      <c r="AA54" s="211">
        <v>-99</v>
      </c>
      <c r="AB54" s="211">
        <v>-99</v>
      </c>
      <c r="AC54" s="211">
        <v>-99</v>
      </c>
      <c r="AD54" s="211">
        <v>-99</v>
      </c>
      <c r="AE54" s="195"/>
      <c r="AF54" s="211">
        <v>-99</v>
      </c>
      <c r="AG54" s="211">
        <v>-99</v>
      </c>
      <c r="AI54" s="211">
        <v>-99</v>
      </c>
      <c r="AJ54" s="211">
        <v>-99</v>
      </c>
      <c r="AK54" s="211">
        <v>-99</v>
      </c>
      <c r="AM54" s="27" t="s">
        <v>135</v>
      </c>
      <c r="AN54" s="7" t="b">
        <f t="shared" si="3"/>
        <v>0</v>
      </c>
      <c r="AP54" s="211">
        <v>-99</v>
      </c>
      <c r="AQ54" s="211">
        <v>-99</v>
      </c>
      <c r="AS54" s="211">
        <v>-99</v>
      </c>
      <c r="AT54" s="211">
        <v>-99</v>
      </c>
      <c r="AU54" s="211">
        <v>-99</v>
      </c>
      <c r="AV54" s="211">
        <v>-99</v>
      </c>
      <c r="AW54" s="211">
        <v>-99</v>
      </c>
      <c r="AX54" s="211">
        <v>-99</v>
      </c>
      <c r="AZ54" s="211">
        <v>-99</v>
      </c>
      <c r="BA54" s="211">
        <v>-99</v>
      </c>
      <c r="BB54" s="211">
        <v>-99</v>
      </c>
      <c r="BC54" s="211">
        <v>-99</v>
      </c>
      <c r="BD54" s="211">
        <v>-99</v>
      </c>
      <c r="BE54" s="211">
        <v>-99</v>
      </c>
      <c r="BG54" s="211">
        <v>-99</v>
      </c>
      <c r="BH54" s="211">
        <v>-99</v>
      </c>
      <c r="BI54" s="211">
        <v>-99</v>
      </c>
      <c r="BJ54" s="211">
        <v>-99</v>
      </c>
      <c r="BK54" s="211">
        <v>-99</v>
      </c>
      <c r="BL54" s="211">
        <v>-99</v>
      </c>
      <c r="BM54" s="211">
        <v>-99</v>
      </c>
      <c r="BN54" s="211">
        <v>-99</v>
      </c>
      <c r="BO54" s="211">
        <v>-99</v>
      </c>
      <c r="BP54" s="211">
        <v>-99</v>
      </c>
      <c r="BQ54" s="171">
        <f t="shared" si="5"/>
        <v>0.10640000000000001</v>
      </c>
      <c r="BR54" s="171">
        <f t="shared" si="6"/>
        <v>0.1275</v>
      </c>
      <c r="BS54" s="211">
        <v>-99</v>
      </c>
      <c r="BT54" s="211">
        <v>-99</v>
      </c>
      <c r="BU54" s="211">
        <v>-99</v>
      </c>
    </row>
    <row r="55" spans="1:73" x14ac:dyDescent="0.3">
      <c r="A55" s="209">
        <v>32933</v>
      </c>
      <c r="B55" s="187">
        <v>199003</v>
      </c>
      <c r="C55" s="176">
        <v>10.91</v>
      </c>
      <c r="D55" s="176">
        <v>13.25</v>
      </c>
      <c r="F55" s="177">
        <v>77.5</v>
      </c>
      <c r="G55" s="210">
        <v>5.1912568306010876E-2</v>
      </c>
      <c r="J55" s="210"/>
      <c r="K55" s="182">
        <v>0.105</v>
      </c>
      <c r="L55" s="182">
        <v>6.5000000000000002E-2</v>
      </c>
      <c r="N55" s="182">
        <v>0.1075</v>
      </c>
      <c r="O55" s="182">
        <v>2.5000000000000001E-3</v>
      </c>
      <c r="Q55" s="182"/>
      <c r="R55" s="182"/>
      <c r="S55" s="182"/>
      <c r="T55" s="182"/>
      <c r="U55" s="182"/>
      <c r="V55" s="194"/>
      <c r="W55" s="194"/>
      <c r="X55" s="194"/>
      <c r="Y55" s="194"/>
      <c r="Z55" s="194"/>
      <c r="AA55" s="211">
        <v>-99</v>
      </c>
      <c r="AB55" s="211">
        <v>-99</v>
      </c>
      <c r="AC55" s="211">
        <v>-99</v>
      </c>
      <c r="AD55" s="211">
        <v>-99</v>
      </c>
      <c r="AE55" s="195"/>
      <c r="AF55" s="211">
        <v>-99</v>
      </c>
      <c r="AG55" s="211">
        <v>-99</v>
      </c>
      <c r="AI55" s="211">
        <v>-99</v>
      </c>
      <c r="AJ55" s="211">
        <v>-99</v>
      </c>
      <c r="AK55" s="211">
        <v>-99</v>
      </c>
      <c r="AM55" s="27" t="s">
        <v>135</v>
      </c>
      <c r="AN55" s="7" t="b">
        <f t="shared" si="3"/>
        <v>0</v>
      </c>
      <c r="AP55" s="211">
        <v>-99</v>
      </c>
      <c r="AQ55" s="211">
        <v>-99</v>
      </c>
      <c r="AS55" s="211">
        <v>-99</v>
      </c>
      <c r="AT55" s="211">
        <v>-99</v>
      </c>
      <c r="AU55" s="211">
        <v>-99</v>
      </c>
      <c r="AV55" s="211">
        <v>-99</v>
      </c>
      <c r="AW55" s="211">
        <v>-99</v>
      </c>
      <c r="AX55" s="211">
        <v>-99</v>
      </c>
      <c r="AZ55" s="211">
        <v>-99</v>
      </c>
      <c r="BA55" s="211">
        <v>-99</v>
      </c>
      <c r="BB55" s="211">
        <v>-99</v>
      </c>
      <c r="BC55" s="211">
        <v>-99</v>
      </c>
      <c r="BD55" s="211">
        <v>-99</v>
      </c>
      <c r="BE55" s="211">
        <v>-99</v>
      </c>
      <c r="BG55" s="211">
        <v>-99</v>
      </c>
      <c r="BH55" s="211">
        <v>-99</v>
      </c>
      <c r="BI55" s="211">
        <v>-99</v>
      </c>
      <c r="BJ55" s="211">
        <v>-99</v>
      </c>
      <c r="BK55" s="211">
        <v>-99</v>
      </c>
      <c r="BL55" s="211">
        <v>-99</v>
      </c>
      <c r="BM55" s="211">
        <v>-99</v>
      </c>
      <c r="BN55" s="211">
        <v>-99</v>
      </c>
      <c r="BO55" s="211">
        <v>-99</v>
      </c>
      <c r="BP55" s="211">
        <v>-99</v>
      </c>
      <c r="BQ55" s="171">
        <f t="shared" si="5"/>
        <v>0.1091</v>
      </c>
      <c r="BR55" s="171">
        <f t="shared" si="6"/>
        <v>0.13250000000000001</v>
      </c>
      <c r="BS55" s="211">
        <v>-99</v>
      </c>
      <c r="BT55" s="211">
        <v>-99</v>
      </c>
      <c r="BU55" s="211">
        <v>-99</v>
      </c>
    </row>
    <row r="56" spans="1:73" x14ac:dyDescent="0.3">
      <c r="A56" s="209">
        <v>32964</v>
      </c>
      <c r="B56" s="187">
        <v>199004</v>
      </c>
      <c r="C56" s="176">
        <v>11.54</v>
      </c>
      <c r="D56" s="176">
        <v>14.25</v>
      </c>
      <c r="F56" s="177">
        <v>77.5</v>
      </c>
      <c r="G56" s="210">
        <v>5.2631578947368363E-2</v>
      </c>
      <c r="J56" s="210"/>
      <c r="K56" s="182">
        <v>0.11</v>
      </c>
      <c r="L56" s="182">
        <v>7.4999999999999997E-2</v>
      </c>
      <c r="N56" s="182">
        <v>0.115</v>
      </c>
      <c r="O56" s="182">
        <v>2.5000000000000001E-3</v>
      </c>
      <c r="Q56" s="182"/>
      <c r="R56" s="182"/>
      <c r="S56" s="182"/>
      <c r="T56" s="182"/>
      <c r="U56" s="182"/>
      <c r="V56" s="194"/>
      <c r="W56" s="194"/>
      <c r="X56" s="194"/>
      <c r="Y56" s="194"/>
      <c r="Z56" s="194"/>
      <c r="AA56" s="211">
        <v>-99</v>
      </c>
      <c r="AB56" s="211">
        <v>-99</v>
      </c>
      <c r="AC56" s="211">
        <v>-99</v>
      </c>
      <c r="AD56" s="211">
        <v>-99</v>
      </c>
      <c r="AE56" s="195"/>
      <c r="AF56" s="211">
        <v>-99</v>
      </c>
      <c r="AG56" s="211">
        <v>-99</v>
      </c>
      <c r="AI56" s="211">
        <v>-99</v>
      </c>
      <c r="AJ56" s="211">
        <v>-99</v>
      </c>
      <c r="AK56" s="211">
        <v>-99</v>
      </c>
      <c r="AM56" s="27" t="s">
        <v>135</v>
      </c>
      <c r="AN56" s="7" t="b">
        <f t="shared" si="3"/>
        <v>0</v>
      </c>
      <c r="AP56" s="211">
        <v>-99</v>
      </c>
      <c r="AQ56" s="211">
        <v>-99</v>
      </c>
      <c r="AS56" s="211">
        <v>-99</v>
      </c>
      <c r="AT56" s="211">
        <v>-99</v>
      </c>
      <c r="AU56" s="211">
        <v>-99</v>
      </c>
      <c r="AV56" s="211">
        <v>-99</v>
      </c>
      <c r="AW56" s="211">
        <v>-99</v>
      </c>
      <c r="AX56" s="211">
        <v>-99</v>
      </c>
      <c r="AZ56" s="211">
        <v>-99</v>
      </c>
      <c r="BA56" s="211">
        <v>-99</v>
      </c>
      <c r="BB56" s="211">
        <v>-99</v>
      </c>
      <c r="BC56" s="211">
        <v>-99</v>
      </c>
      <c r="BD56" s="211">
        <v>-99</v>
      </c>
      <c r="BE56" s="211">
        <v>-99</v>
      </c>
      <c r="BG56" s="211">
        <v>-99</v>
      </c>
      <c r="BH56" s="211">
        <v>-99</v>
      </c>
      <c r="BI56" s="211">
        <v>-99</v>
      </c>
      <c r="BJ56" s="211">
        <v>-99</v>
      </c>
      <c r="BK56" s="211">
        <v>-99</v>
      </c>
      <c r="BL56" s="211">
        <v>-99</v>
      </c>
      <c r="BM56" s="211">
        <v>-99</v>
      </c>
      <c r="BN56" s="211">
        <v>-99</v>
      </c>
      <c r="BO56" s="211">
        <v>-99</v>
      </c>
      <c r="BP56" s="211">
        <v>-99</v>
      </c>
      <c r="BQ56" s="171">
        <f t="shared" si="5"/>
        <v>0.11539999999999999</v>
      </c>
      <c r="BR56" s="171">
        <f t="shared" si="6"/>
        <v>0.14249999999999999</v>
      </c>
      <c r="BS56" s="211">
        <v>-99</v>
      </c>
      <c r="BT56" s="211">
        <v>-99</v>
      </c>
      <c r="BU56" s="211">
        <v>-99</v>
      </c>
    </row>
    <row r="57" spans="1:73" x14ac:dyDescent="0.3">
      <c r="A57" s="209">
        <v>32994</v>
      </c>
      <c r="B57" s="187">
        <v>199005</v>
      </c>
      <c r="C57" s="176">
        <v>10.86</v>
      </c>
      <c r="D57" s="176">
        <v>14.25</v>
      </c>
      <c r="F57" s="177">
        <v>77.900000000000006</v>
      </c>
      <c r="G57" s="210">
        <v>5.1490514905148999E-2</v>
      </c>
      <c r="J57" s="210"/>
      <c r="K57" s="182">
        <v>0.11</v>
      </c>
      <c r="L57" s="182">
        <v>0.08</v>
      </c>
      <c r="N57" s="182">
        <v>0.11749999999999999</v>
      </c>
      <c r="O57" s="182">
        <v>2.5000000000000001E-3</v>
      </c>
      <c r="Q57" s="182"/>
      <c r="R57" s="182"/>
      <c r="S57" s="182"/>
      <c r="T57" s="182"/>
      <c r="U57" s="182"/>
      <c r="V57" s="194"/>
      <c r="W57" s="194"/>
      <c r="X57" s="194"/>
      <c r="Y57" s="194"/>
      <c r="Z57" s="194"/>
      <c r="AA57" s="211">
        <v>-99</v>
      </c>
      <c r="AB57" s="211">
        <v>-99</v>
      </c>
      <c r="AC57" s="211">
        <v>-99</v>
      </c>
      <c r="AD57" s="211">
        <v>-99</v>
      </c>
      <c r="AE57" s="195"/>
      <c r="AF57" s="211">
        <v>-99</v>
      </c>
      <c r="AG57" s="211">
        <v>-99</v>
      </c>
      <c r="AI57" s="211">
        <v>-99</v>
      </c>
      <c r="AJ57" s="211">
        <v>-99</v>
      </c>
      <c r="AK57" s="211">
        <v>-99</v>
      </c>
      <c r="AM57" s="27" t="s">
        <v>135</v>
      </c>
      <c r="AN57" s="7" t="b">
        <f t="shared" si="3"/>
        <v>0</v>
      </c>
      <c r="AP57" s="211">
        <v>-99</v>
      </c>
      <c r="AQ57" s="211">
        <v>-99</v>
      </c>
      <c r="AS57" s="211">
        <v>-99</v>
      </c>
      <c r="AT57" s="211">
        <v>-99</v>
      </c>
      <c r="AU57" s="211">
        <v>-99</v>
      </c>
      <c r="AV57" s="211">
        <v>-99</v>
      </c>
      <c r="AW57" s="211">
        <v>-99</v>
      </c>
      <c r="AX57" s="211">
        <v>-99</v>
      </c>
      <c r="AZ57" s="211">
        <v>-99</v>
      </c>
      <c r="BA57" s="211">
        <v>-99</v>
      </c>
      <c r="BB57" s="211">
        <v>-99</v>
      </c>
      <c r="BC57" s="211">
        <v>-99</v>
      </c>
      <c r="BD57" s="211">
        <v>-99</v>
      </c>
      <c r="BE57" s="211">
        <v>-99</v>
      </c>
      <c r="BG57" s="211">
        <v>-99</v>
      </c>
      <c r="BH57" s="211">
        <v>-99</v>
      </c>
      <c r="BI57" s="211">
        <v>-99</v>
      </c>
      <c r="BJ57" s="211">
        <v>-99</v>
      </c>
      <c r="BK57" s="211">
        <v>-99</v>
      </c>
      <c r="BL57" s="211">
        <v>-99</v>
      </c>
      <c r="BM57" s="211">
        <v>-99</v>
      </c>
      <c r="BN57" s="211">
        <v>-99</v>
      </c>
      <c r="BO57" s="211">
        <v>-99</v>
      </c>
      <c r="BP57" s="211">
        <v>-99</v>
      </c>
      <c r="BQ57" s="171">
        <f t="shared" si="5"/>
        <v>0.10859999999999999</v>
      </c>
      <c r="BR57" s="171">
        <f t="shared" si="6"/>
        <v>0.14249999999999999</v>
      </c>
      <c r="BS57" s="211">
        <v>-99</v>
      </c>
      <c r="BT57" s="211">
        <v>-99</v>
      </c>
      <c r="BU57" s="211">
        <v>-99</v>
      </c>
    </row>
    <row r="58" spans="1:73" x14ac:dyDescent="0.3">
      <c r="A58" s="209">
        <v>33025</v>
      </c>
      <c r="B58" s="187">
        <v>199006</v>
      </c>
      <c r="C58" s="176">
        <v>10.72</v>
      </c>
      <c r="D58" s="176">
        <v>14.25</v>
      </c>
      <c r="F58" s="177">
        <v>78.2</v>
      </c>
      <c r="G58" s="210">
        <v>5.0359712230215736E-2</v>
      </c>
      <c r="J58" s="210"/>
      <c r="K58" s="182">
        <v>0.12</v>
      </c>
      <c r="L58" s="182">
        <v>8.5000000000000006E-2</v>
      </c>
      <c r="N58" s="182">
        <v>0.125</v>
      </c>
      <c r="O58" s="182">
        <v>2.5000000000000001E-3</v>
      </c>
      <c r="Q58" s="182"/>
      <c r="R58" s="182"/>
      <c r="S58" s="182"/>
      <c r="T58" s="182"/>
      <c r="U58" s="182"/>
      <c r="V58" s="194"/>
      <c r="W58" s="194"/>
      <c r="X58" s="194"/>
      <c r="Y58" s="194"/>
      <c r="Z58" s="194"/>
      <c r="AA58" s="211">
        <v>-99</v>
      </c>
      <c r="AB58" s="211">
        <v>-99</v>
      </c>
      <c r="AC58" s="211">
        <v>-99</v>
      </c>
      <c r="AD58" s="211">
        <v>-99</v>
      </c>
      <c r="AE58" s="195"/>
      <c r="AF58" s="211">
        <v>-99</v>
      </c>
      <c r="AG58" s="211">
        <v>-99</v>
      </c>
      <c r="AI58" s="211">
        <v>-99</v>
      </c>
      <c r="AJ58" s="211">
        <v>-99</v>
      </c>
      <c r="AK58" s="211">
        <v>-99</v>
      </c>
      <c r="AM58" s="27" t="s">
        <v>135</v>
      </c>
      <c r="AN58" s="7" t="b">
        <f t="shared" si="3"/>
        <v>0</v>
      </c>
      <c r="AP58" s="211">
        <v>-99</v>
      </c>
      <c r="AQ58" s="211">
        <v>-99</v>
      </c>
      <c r="AS58" s="211">
        <v>-99</v>
      </c>
      <c r="AT58" s="211">
        <v>-99</v>
      </c>
      <c r="AU58" s="211">
        <v>-99</v>
      </c>
      <c r="AV58" s="211">
        <v>-99</v>
      </c>
      <c r="AW58" s="211">
        <v>-99</v>
      </c>
      <c r="AX58" s="211">
        <v>-99</v>
      </c>
      <c r="AZ58" s="211">
        <v>-99</v>
      </c>
      <c r="BA58" s="211">
        <v>-99</v>
      </c>
      <c r="BB58" s="211">
        <v>-99</v>
      </c>
      <c r="BC58" s="211">
        <v>-99</v>
      </c>
      <c r="BD58" s="211">
        <v>-99</v>
      </c>
      <c r="BE58" s="211">
        <v>-99</v>
      </c>
      <c r="BG58" s="211">
        <v>-99</v>
      </c>
      <c r="BH58" s="211">
        <v>-99</v>
      </c>
      <c r="BI58" s="211">
        <v>-99</v>
      </c>
      <c r="BJ58" s="211">
        <v>-99</v>
      </c>
      <c r="BK58" s="211">
        <v>-99</v>
      </c>
      <c r="BL58" s="211">
        <v>-99</v>
      </c>
      <c r="BM58" s="211">
        <v>-99</v>
      </c>
      <c r="BN58" s="211">
        <v>-99</v>
      </c>
      <c r="BO58" s="211">
        <v>-99</v>
      </c>
      <c r="BP58" s="211">
        <v>-99</v>
      </c>
      <c r="BQ58" s="171">
        <f t="shared" si="5"/>
        <v>0.1072</v>
      </c>
      <c r="BR58" s="171">
        <f t="shared" si="6"/>
        <v>0.14249999999999999</v>
      </c>
      <c r="BS58" s="211">
        <v>-99</v>
      </c>
      <c r="BT58" s="211">
        <v>-99</v>
      </c>
      <c r="BU58" s="211">
        <v>-99</v>
      </c>
    </row>
    <row r="59" spans="1:73" x14ac:dyDescent="0.3">
      <c r="A59" s="209">
        <v>33055</v>
      </c>
      <c r="B59" s="187">
        <v>199007</v>
      </c>
      <c r="C59" s="176">
        <v>10.78</v>
      </c>
      <c r="D59" s="176">
        <v>14.25</v>
      </c>
      <c r="F59" s="177">
        <v>78.5</v>
      </c>
      <c r="G59" s="210">
        <v>5.017921146953408E-2</v>
      </c>
      <c r="J59" s="210"/>
      <c r="K59" s="182">
        <v>0.11</v>
      </c>
      <c r="L59" s="182">
        <v>0.09</v>
      </c>
      <c r="N59" s="182">
        <v>0.11749999999999999</v>
      </c>
      <c r="O59" s="182">
        <v>2.5000000000000001E-3</v>
      </c>
      <c r="Q59" s="182"/>
      <c r="R59" s="182"/>
      <c r="S59" s="182"/>
      <c r="T59" s="182"/>
      <c r="U59" s="182"/>
      <c r="V59" s="194"/>
      <c r="W59" s="194"/>
      <c r="X59" s="194"/>
      <c r="Y59" s="194"/>
      <c r="Z59" s="194"/>
      <c r="AA59" s="211">
        <v>-99</v>
      </c>
      <c r="AB59" s="211">
        <v>-99</v>
      </c>
      <c r="AC59" s="211">
        <v>-99</v>
      </c>
      <c r="AD59" s="211">
        <v>-99</v>
      </c>
      <c r="AE59" s="195"/>
      <c r="AF59" s="211">
        <v>-99</v>
      </c>
      <c r="AG59" s="211">
        <v>-99</v>
      </c>
      <c r="AI59" s="211">
        <v>-99</v>
      </c>
      <c r="AJ59" s="211">
        <v>-99</v>
      </c>
      <c r="AK59" s="211">
        <v>-99</v>
      </c>
      <c r="AM59" s="27" t="s">
        <v>135</v>
      </c>
      <c r="AN59" s="7" t="b">
        <f t="shared" si="3"/>
        <v>0</v>
      </c>
      <c r="AP59" s="211">
        <v>-99</v>
      </c>
      <c r="AQ59" s="211">
        <v>-99</v>
      </c>
      <c r="AS59" s="211">
        <v>-99</v>
      </c>
      <c r="AT59" s="211">
        <v>-99</v>
      </c>
      <c r="AU59" s="211">
        <v>-99</v>
      </c>
      <c r="AV59" s="211">
        <v>-99</v>
      </c>
      <c r="AW59" s="211">
        <v>-99</v>
      </c>
      <c r="AX59" s="211">
        <v>-99</v>
      </c>
      <c r="AZ59" s="211">
        <v>-99</v>
      </c>
      <c r="BA59" s="211">
        <v>-99</v>
      </c>
      <c r="BB59" s="211">
        <v>-99</v>
      </c>
      <c r="BC59" s="211">
        <v>-99</v>
      </c>
      <c r="BD59" s="211">
        <v>-99</v>
      </c>
      <c r="BE59" s="211">
        <v>-99</v>
      </c>
      <c r="BG59" s="211">
        <v>-99</v>
      </c>
      <c r="BH59" s="211">
        <v>-99</v>
      </c>
      <c r="BI59" s="211">
        <v>-99</v>
      </c>
      <c r="BJ59" s="211">
        <v>-99</v>
      </c>
      <c r="BK59" s="211">
        <v>-99</v>
      </c>
      <c r="BL59" s="211">
        <v>-99</v>
      </c>
      <c r="BM59" s="211">
        <v>-99</v>
      </c>
      <c r="BN59" s="211">
        <v>-99</v>
      </c>
      <c r="BO59" s="211">
        <v>-99</v>
      </c>
      <c r="BP59" s="211">
        <v>-99</v>
      </c>
      <c r="BQ59" s="171">
        <f t="shared" si="5"/>
        <v>0.10779999999999999</v>
      </c>
      <c r="BR59" s="171">
        <f t="shared" si="6"/>
        <v>0.14249999999999999</v>
      </c>
      <c r="BS59" s="211">
        <v>-99</v>
      </c>
      <c r="BT59" s="211">
        <v>-99</v>
      </c>
      <c r="BU59" s="211">
        <v>-99</v>
      </c>
    </row>
    <row r="60" spans="1:73" x14ac:dyDescent="0.3">
      <c r="A60" s="209">
        <v>33086</v>
      </c>
      <c r="B60" s="187">
        <v>199008</v>
      </c>
      <c r="C60" s="176">
        <v>10.83</v>
      </c>
      <c r="D60" s="176">
        <v>13.5</v>
      </c>
      <c r="F60" s="177">
        <v>78.599999999999994</v>
      </c>
      <c r="G60" s="210">
        <v>4.9063336306868877E-2</v>
      </c>
      <c r="J60" s="210"/>
      <c r="K60" s="182">
        <v>0.11</v>
      </c>
      <c r="L60" s="182">
        <v>0.09</v>
      </c>
      <c r="N60" s="182">
        <v>0.115</v>
      </c>
      <c r="O60" s="182">
        <v>2.5000000000000001E-3</v>
      </c>
      <c r="Q60" s="182"/>
      <c r="R60" s="182"/>
      <c r="S60" s="182"/>
      <c r="T60" s="182"/>
      <c r="U60" s="182"/>
      <c r="V60" s="194"/>
      <c r="W60" s="194"/>
      <c r="X60" s="194"/>
      <c r="Y60" s="194"/>
      <c r="Z60" s="194"/>
      <c r="AA60" s="211">
        <v>-99</v>
      </c>
      <c r="AB60" s="211">
        <v>-99</v>
      </c>
      <c r="AC60" s="211">
        <v>-99</v>
      </c>
      <c r="AD60" s="211">
        <v>-99</v>
      </c>
      <c r="AE60" s="195"/>
      <c r="AF60" s="211">
        <v>-99</v>
      </c>
      <c r="AG60" s="211">
        <v>-99</v>
      </c>
      <c r="AI60" s="211">
        <v>-99</v>
      </c>
      <c r="AJ60" s="211">
        <v>-99</v>
      </c>
      <c r="AK60" s="211">
        <v>-99</v>
      </c>
      <c r="AM60" s="27" t="s">
        <v>135</v>
      </c>
      <c r="AN60" s="7" t="b">
        <f t="shared" si="3"/>
        <v>0</v>
      </c>
      <c r="AP60" s="211">
        <v>-99</v>
      </c>
      <c r="AQ60" s="211">
        <v>-99</v>
      </c>
      <c r="AS60" s="211">
        <v>-99</v>
      </c>
      <c r="AT60" s="211">
        <v>-99</v>
      </c>
      <c r="AU60" s="211">
        <v>-99</v>
      </c>
      <c r="AV60" s="211">
        <v>-99</v>
      </c>
      <c r="AW60" s="211">
        <v>-99</v>
      </c>
      <c r="AX60" s="211">
        <v>-99</v>
      </c>
      <c r="AZ60" s="211">
        <v>-99</v>
      </c>
      <c r="BA60" s="211">
        <v>-99</v>
      </c>
      <c r="BB60" s="211">
        <v>-99</v>
      </c>
      <c r="BC60" s="211">
        <v>-99</v>
      </c>
      <c r="BD60" s="211">
        <v>-99</v>
      </c>
      <c r="BE60" s="211">
        <v>-99</v>
      </c>
      <c r="BG60" s="211">
        <v>-99</v>
      </c>
      <c r="BH60" s="211">
        <v>-99</v>
      </c>
      <c r="BI60" s="211">
        <v>-99</v>
      </c>
      <c r="BJ60" s="211">
        <v>-99</v>
      </c>
      <c r="BK60" s="211">
        <v>-99</v>
      </c>
      <c r="BL60" s="211">
        <v>-99</v>
      </c>
      <c r="BM60" s="211">
        <v>-99</v>
      </c>
      <c r="BN60" s="211">
        <v>-99</v>
      </c>
      <c r="BO60" s="211">
        <v>-99</v>
      </c>
      <c r="BP60" s="211">
        <v>-99</v>
      </c>
      <c r="BQ60" s="171">
        <f t="shared" si="5"/>
        <v>0.10830000000000001</v>
      </c>
      <c r="BR60" s="171">
        <f t="shared" si="6"/>
        <v>0.13500000000000001</v>
      </c>
      <c r="BS60" s="211">
        <v>-99</v>
      </c>
      <c r="BT60" s="211">
        <v>-99</v>
      </c>
      <c r="BU60" s="211">
        <v>-99</v>
      </c>
    </row>
    <row r="61" spans="1:73" x14ac:dyDescent="0.3">
      <c r="A61" s="209">
        <v>33117</v>
      </c>
      <c r="B61" s="187">
        <v>199009</v>
      </c>
      <c r="C61" s="176">
        <v>11.54</v>
      </c>
      <c r="D61" s="176">
        <v>13.25</v>
      </c>
      <c r="F61" s="177">
        <v>78.8</v>
      </c>
      <c r="G61" s="210">
        <v>4.7957371225577416E-2</v>
      </c>
      <c r="J61" s="210"/>
      <c r="K61" s="182">
        <v>0.11</v>
      </c>
      <c r="L61" s="182">
        <v>0.09</v>
      </c>
      <c r="N61" s="182">
        <v>0.115</v>
      </c>
      <c r="O61" s="182">
        <v>2.5000000000000001E-3</v>
      </c>
      <c r="Q61" s="182"/>
      <c r="R61" s="182"/>
      <c r="S61" s="182"/>
      <c r="T61" s="182"/>
      <c r="U61" s="182"/>
      <c r="V61" s="194"/>
      <c r="W61" s="194"/>
      <c r="X61" s="194"/>
      <c r="Y61" s="194"/>
      <c r="Z61" s="194"/>
      <c r="AA61" s="211">
        <v>-99</v>
      </c>
      <c r="AB61" s="211">
        <v>-99</v>
      </c>
      <c r="AC61" s="211">
        <v>-99</v>
      </c>
      <c r="AD61" s="211">
        <v>-99</v>
      </c>
      <c r="AE61" s="195"/>
      <c r="AF61" s="211">
        <v>-99</v>
      </c>
      <c r="AG61" s="211">
        <v>-99</v>
      </c>
      <c r="AI61" s="211">
        <v>-99</v>
      </c>
      <c r="AJ61" s="211">
        <v>-99</v>
      </c>
      <c r="AK61" s="211">
        <v>-99</v>
      </c>
      <c r="AM61" s="27" t="s">
        <v>135</v>
      </c>
      <c r="AN61" s="7" t="b">
        <f t="shared" si="3"/>
        <v>0</v>
      </c>
      <c r="AP61" s="211">
        <v>-99</v>
      </c>
      <c r="AQ61" s="211">
        <v>-99</v>
      </c>
      <c r="AS61" s="211">
        <v>-99</v>
      </c>
      <c r="AT61" s="211">
        <v>-99</v>
      </c>
      <c r="AU61" s="211">
        <v>-99</v>
      </c>
      <c r="AV61" s="211">
        <v>-99</v>
      </c>
      <c r="AW61" s="211">
        <v>-99</v>
      </c>
      <c r="AX61" s="211">
        <v>-99</v>
      </c>
      <c r="AZ61" s="211">
        <v>-99</v>
      </c>
      <c r="BA61" s="211">
        <v>-99</v>
      </c>
      <c r="BB61" s="211">
        <v>-99</v>
      </c>
      <c r="BC61" s="211">
        <v>-99</v>
      </c>
      <c r="BD61" s="211">
        <v>-99</v>
      </c>
      <c r="BE61" s="211">
        <v>-99</v>
      </c>
      <c r="BG61" s="211">
        <v>-99</v>
      </c>
      <c r="BH61" s="211">
        <v>-99</v>
      </c>
      <c r="BI61" s="211">
        <v>-99</v>
      </c>
      <c r="BJ61" s="211">
        <v>-99</v>
      </c>
      <c r="BK61" s="211">
        <v>-99</v>
      </c>
      <c r="BL61" s="211">
        <v>-99</v>
      </c>
      <c r="BM61" s="211">
        <v>-99</v>
      </c>
      <c r="BN61" s="211">
        <v>-99</v>
      </c>
      <c r="BO61" s="211">
        <v>-99</v>
      </c>
      <c r="BP61" s="211">
        <v>-99</v>
      </c>
      <c r="BQ61" s="171">
        <f t="shared" si="5"/>
        <v>0.11539999999999999</v>
      </c>
      <c r="BR61" s="171">
        <f t="shared" si="6"/>
        <v>0.13250000000000001</v>
      </c>
      <c r="BS61" s="211">
        <v>-99</v>
      </c>
      <c r="BT61" s="211">
        <v>-99</v>
      </c>
      <c r="BU61" s="211">
        <v>-99</v>
      </c>
    </row>
    <row r="62" spans="1:73" x14ac:dyDescent="0.3">
      <c r="A62" s="209">
        <v>33147</v>
      </c>
      <c r="B62" s="187">
        <v>199010</v>
      </c>
      <c r="C62" s="176">
        <v>11.15</v>
      </c>
      <c r="D62" s="176">
        <v>13.25</v>
      </c>
      <c r="F62" s="177">
        <v>79.5</v>
      </c>
      <c r="G62" s="210">
        <v>4.7745358090185652E-2</v>
      </c>
      <c r="J62" s="210"/>
      <c r="K62" s="182">
        <v>0.11</v>
      </c>
      <c r="L62" s="182">
        <v>8.5000000000000006E-2</v>
      </c>
      <c r="N62" s="182">
        <v>0.11749999999999999</v>
      </c>
      <c r="O62" s="182">
        <v>2.5000000000000001E-3</v>
      </c>
      <c r="Q62" s="182"/>
      <c r="R62" s="182"/>
      <c r="S62" s="182"/>
      <c r="T62" s="182"/>
      <c r="U62" s="182"/>
      <c r="V62" s="194"/>
      <c r="W62" s="194"/>
      <c r="X62" s="194"/>
      <c r="Y62" s="194"/>
      <c r="Z62" s="194"/>
      <c r="AA62" s="211">
        <v>-99</v>
      </c>
      <c r="AB62" s="211">
        <v>-99</v>
      </c>
      <c r="AC62" s="211">
        <v>-99</v>
      </c>
      <c r="AD62" s="211">
        <v>-99</v>
      </c>
      <c r="AE62" s="195"/>
      <c r="AF62" s="211">
        <v>-99</v>
      </c>
      <c r="AG62" s="211">
        <v>-99</v>
      </c>
      <c r="AI62" s="211">
        <v>-99</v>
      </c>
      <c r="AJ62" s="211">
        <v>-99</v>
      </c>
      <c r="AK62" s="211">
        <v>-99</v>
      </c>
      <c r="AM62" s="27" t="s">
        <v>135</v>
      </c>
      <c r="AN62" s="7" t="b">
        <f t="shared" si="3"/>
        <v>0</v>
      </c>
      <c r="AP62" s="211">
        <v>-99</v>
      </c>
      <c r="AQ62" s="211">
        <v>-99</v>
      </c>
      <c r="AS62" s="211">
        <v>-99</v>
      </c>
      <c r="AT62" s="211">
        <v>-99</v>
      </c>
      <c r="AU62" s="211">
        <v>-99</v>
      </c>
      <c r="AV62" s="211">
        <v>-99</v>
      </c>
      <c r="AW62" s="211">
        <v>-99</v>
      </c>
      <c r="AX62" s="211">
        <v>-99</v>
      </c>
      <c r="AZ62" s="211">
        <v>-99</v>
      </c>
      <c r="BA62" s="211">
        <v>-99</v>
      </c>
      <c r="BB62" s="211">
        <v>-99</v>
      </c>
      <c r="BC62" s="211">
        <v>-99</v>
      </c>
      <c r="BD62" s="211">
        <v>-99</v>
      </c>
      <c r="BE62" s="211">
        <v>-99</v>
      </c>
      <c r="BG62" s="211">
        <v>-99</v>
      </c>
      <c r="BH62" s="211">
        <v>-99</v>
      </c>
      <c r="BI62" s="211">
        <v>-99</v>
      </c>
      <c r="BJ62" s="211">
        <v>-99</v>
      </c>
      <c r="BK62" s="211">
        <v>-99</v>
      </c>
      <c r="BL62" s="211">
        <v>-99</v>
      </c>
      <c r="BM62" s="211">
        <v>-99</v>
      </c>
      <c r="BN62" s="211">
        <v>-99</v>
      </c>
      <c r="BO62" s="211">
        <v>-99</v>
      </c>
      <c r="BP62" s="211">
        <v>-99</v>
      </c>
      <c r="BQ62" s="171">
        <f t="shared" si="5"/>
        <v>0.1115</v>
      </c>
      <c r="BR62" s="171">
        <f t="shared" si="6"/>
        <v>0.13250000000000001</v>
      </c>
      <c r="BS62" s="211">
        <v>-99</v>
      </c>
      <c r="BT62" s="211">
        <v>-99</v>
      </c>
      <c r="BU62" s="211">
        <v>-99</v>
      </c>
    </row>
    <row r="63" spans="1:73" x14ac:dyDescent="0.3">
      <c r="A63" s="209">
        <v>33178</v>
      </c>
      <c r="B63" s="187">
        <v>199011</v>
      </c>
      <c r="C63" s="176">
        <v>10.7</v>
      </c>
      <c r="D63" s="176">
        <v>12.75</v>
      </c>
      <c r="F63" s="177">
        <v>80</v>
      </c>
      <c r="G63" s="210">
        <v>4.7535211267605737E-2</v>
      </c>
      <c r="H63" s="179">
        <v>10.52</v>
      </c>
      <c r="I63" s="179">
        <v>10.64</v>
      </c>
      <c r="J63" s="210"/>
      <c r="K63" s="182">
        <v>0.12</v>
      </c>
      <c r="L63" s="182">
        <v>0.08</v>
      </c>
      <c r="N63" s="182">
        <v>0.125</v>
      </c>
      <c r="O63" s="182">
        <v>2.5000000000000001E-3</v>
      </c>
      <c r="Q63" s="182"/>
      <c r="R63" s="182"/>
      <c r="S63" s="182"/>
      <c r="T63" s="182"/>
      <c r="U63" s="182"/>
      <c r="V63" s="194"/>
      <c r="W63" s="194"/>
      <c r="X63" s="194"/>
      <c r="Y63" s="194"/>
      <c r="Z63" s="194"/>
      <c r="AA63" s="211">
        <v>-99</v>
      </c>
      <c r="AB63" s="211">
        <v>-99</v>
      </c>
      <c r="AC63" s="211">
        <v>-99</v>
      </c>
      <c r="AD63" s="211">
        <v>-99</v>
      </c>
      <c r="AE63" s="195"/>
      <c r="AF63" s="211">
        <v>-99</v>
      </c>
      <c r="AG63" s="211">
        <v>-99</v>
      </c>
      <c r="AI63" s="182">
        <v>0.10796676000000005</v>
      </c>
      <c r="AJ63" s="182">
        <v>0.10923023999999981</v>
      </c>
      <c r="AK63" s="211">
        <v>-99</v>
      </c>
      <c r="AM63" s="27" t="s">
        <v>135</v>
      </c>
      <c r="AN63" s="7" t="b">
        <f t="shared" si="3"/>
        <v>0</v>
      </c>
      <c r="AP63" s="211">
        <v>-99</v>
      </c>
      <c r="AQ63" s="211">
        <v>-99</v>
      </c>
      <c r="AS63" s="211">
        <v>-99</v>
      </c>
      <c r="AT63" s="211">
        <v>-99</v>
      </c>
      <c r="AU63" s="211">
        <v>-99</v>
      </c>
      <c r="AV63" s="211">
        <v>-99</v>
      </c>
      <c r="AW63" s="211">
        <v>-99</v>
      </c>
      <c r="AX63" s="211">
        <v>-99</v>
      </c>
      <c r="AZ63" s="211">
        <v>-99</v>
      </c>
      <c r="BA63" s="211">
        <v>-99</v>
      </c>
      <c r="BB63" s="211">
        <v>-99</v>
      </c>
      <c r="BC63" s="211">
        <v>-99</v>
      </c>
      <c r="BD63" s="211">
        <v>-99</v>
      </c>
      <c r="BE63" s="211">
        <v>-99</v>
      </c>
      <c r="BG63" s="211">
        <v>-99</v>
      </c>
      <c r="BH63" s="211">
        <v>-99</v>
      </c>
      <c r="BI63" s="211">
        <v>-99</v>
      </c>
      <c r="BJ63" s="211">
        <v>-99</v>
      </c>
      <c r="BK63" s="211">
        <v>-99</v>
      </c>
      <c r="BL63" s="211">
        <v>-99</v>
      </c>
      <c r="BM63" s="211">
        <v>-99</v>
      </c>
      <c r="BN63" s="191">
        <f t="shared" ref="BN63:BN70" si="7">AI63</f>
        <v>0.10796676000000005</v>
      </c>
      <c r="BO63" s="191">
        <f t="shared" ref="BO63:BO70" si="8">AJ63</f>
        <v>0.10923023999999981</v>
      </c>
      <c r="BP63" s="211">
        <v>-99</v>
      </c>
      <c r="BQ63" s="171">
        <f t="shared" si="5"/>
        <v>0.107</v>
      </c>
      <c r="BR63" s="171">
        <f t="shared" si="6"/>
        <v>0.1275</v>
      </c>
      <c r="BS63" s="171">
        <f t="shared" ref="BS63:BT70" si="9">H63/100</f>
        <v>0.1052</v>
      </c>
      <c r="BT63" s="171">
        <f t="shared" si="9"/>
        <v>0.10640000000000001</v>
      </c>
      <c r="BU63" s="211">
        <v>-99</v>
      </c>
    </row>
    <row r="64" spans="1:73" x14ac:dyDescent="0.3">
      <c r="A64" s="212">
        <v>33208</v>
      </c>
      <c r="B64" s="187">
        <v>199012</v>
      </c>
      <c r="C64" s="213">
        <v>10.51</v>
      </c>
      <c r="D64" s="213">
        <v>12.5</v>
      </c>
      <c r="E64" s="213"/>
      <c r="F64" s="177">
        <v>79.900000000000006</v>
      </c>
      <c r="G64" s="214">
        <v>4.8245614035087758E-2</v>
      </c>
      <c r="H64" s="215">
        <v>10.38</v>
      </c>
      <c r="I64" s="215">
        <v>10.41</v>
      </c>
      <c r="J64" s="214"/>
      <c r="K64" s="216">
        <v>0.115</v>
      </c>
      <c r="L64" s="216">
        <v>0.08</v>
      </c>
      <c r="M64" s="216"/>
      <c r="N64" s="216">
        <v>0.12</v>
      </c>
      <c r="O64" s="216">
        <v>2.5000000000000001E-3</v>
      </c>
      <c r="P64" s="217"/>
      <c r="Q64" s="182"/>
      <c r="R64" s="182"/>
      <c r="S64" s="182"/>
      <c r="T64" s="182"/>
      <c r="U64" s="182"/>
      <c r="V64" s="194"/>
      <c r="W64" s="194"/>
      <c r="X64" s="194"/>
      <c r="Y64" s="194"/>
      <c r="Z64" s="194"/>
      <c r="AA64" s="211">
        <v>-99</v>
      </c>
      <c r="AB64" s="211">
        <v>-99</v>
      </c>
      <c r="AC64" s="211">
        <v>-99</v>
      </c>
      <c r="AD64" s="211">
        <v>-99</v>
      </c>
      <c r="AE64" s="195"/>
      <c r="AF64" s="211">
        <v>-99</v>
      </c>
      <c r="AG64" s="211">
        <v>-99</v>
      </c>
      <c r="AI64" s="182">
        <v>0.10649361000000002</v>
      </c>
      <c r="AJ64" s="182">
        <v>0.10680920249999981</v>
      </c>
      <c r="AK64" s="211">
        <v>-99</v>
      </c>
      <c r="AM64" s="27" t="s">
        <v>135</v>
      </c>
      <c r="AN64" s="7" t="b">
        <f t="shared" si="3"/>
        <v>0</v>
      </c>
      <c r="AP64" s="211">
        <v>-99</v>
      </c>
      <c r="AQ64" s="211">
        <v>-99</v>
      </c>
      <c r="AS64" s="211">
        <v>-99</v>
      </c>
      <c r="AT64" s="211">
        <v>-99</v>
      </c>
      <c r="AU64" s="211">
        <v>-99</v>
      </c>
      <c r="AV64" s="211">
        <v>-99</v>
      </c>
      <c r="AW64" s="211">
        <v>-99</v>
      </c>
      <c r="AX64" s="211">
        <v>-99</v>
      </c>
      <c r="AZ64" s="211">
        <v>-99</v>
      </c>
      <c r="BA64" s="211">
        <v>-99</v>
      </c>
      <c r="BB64" s="211">
        <v>-99</v>
      </c>
      <c r="BC64" s="211">
        <v>-99</v>
      </c>
      <c r="BD64" s="211">
        <v>-99</v>
      </c>
      <c r="BE64" s="211">
        <v>-99</v>
      </c>
      <c r="BG64" s="211">
        <v>-99</v>
      </c>
      <c r="BH64" s="211">
        <v>-99</v>
      </c>
      <c r="BI64" s="211">
        <v>-99</v>
      </c>
      <c r="BJ64" s="211">
        <v>-99</v>
      </c>
      <c r="BK64" s="211">
        <v>-99</v>
      </c>
      <c r="BL64" s="211">
        <v>-99</v>
      </c>
      <c r="BM64" s="211">
        <v>-99</v>
      </c>
      <c r="BN64" s="191">
        <f t="shared" si="7"/>
        <v>0.10649361000000002</v>
      </c>
      <c r="BO64" s="191">
        <f t="shared" si="8"/>
        <v>0.10680920249999981</v>
      </c>
      <c r="BP64" s="211">
        <v>-99</v>
      </c>
      <c r="BQ64" s="171">
        <f t="shared" si="5"/>
        <v>0.1051</v>
      </c>
      <c r="BR64" s="171">
        <f t="shared" si="6"/>
        <v>0.125</v>
      </c>
      <c r="BS64" s="171">
        <f t="shared" si="9"/>
        <v>0.1038</v>
      </c>
      <c r="BT64" s="171">
        <f t="shared" si="9"/>
        <v>0.1041</v>
      </c>
      <c r="BU64" s="211">
        <v>-99</v>
      </c>
    </row>
    <row r="65" spans="1:73" x14ac:dyDescent="0.3">
      <c r="A65" s="209">
        <v>33239</v>
      </c>
      <c r="B65" s="187">
        <v>199101</v>
      </c>
      <c r="C65" s="176">
        <v>10.220000000000001</v>
      </c>
      <c r="D65" s="176">
        <v>12</v>
      </c>
      <c r="F65" s="177">
        <v>82</v>
      </c>
      <c r="G65" s="210">
        <v>4.8908296943231289E-2</v>
      </c>
      <c r="H65" s="179">
        <v>10</v>
      </c>
      <c r="I65" s="179">
        <v>10.15</v>
      </c>
      <c r="J65" s="210"/>
      <c r="K65" s="182">
        <v>0.11</v>
      </c>
      <c r="L65" s="182">
        <v>7.4999999999999997E-2</v>
      </c>
      <c r="N65" s="182">
        <v>0.115</v>
      </c>
      <c r="O65" s="182">
        <v>2.5000000000000001E-3</v>
      </c>
      <c r="Q65" s="182">
        <v>0.1125</v>
      </c>
      <c r="R65" s="182">
        <v>0.115</v>
      </c>
      <c r="S65" s="182">
        <v>5.0000000000000001E-3</v>
      </c>
      <c r="T65" s="182">
        <v>5.0000000000000001E-3</v>
      </c>
      <c r="U65" s="182"/>
      <c r="V65" s="194">
        <v>0.11700000000000001</v>
      </c>
      <c r="W65" s="194">
        <v>0.11900000000000001</v>
      </c>
      <c r="X65" s="194"/>
      <c r="Y65" s="194"/>
      <c r="Z65" s="194"/>
      <c r="AA65" s="195">
        <v>0.11696676000000006</v>
      </c>
      <c r="AB65" s="195">
        <v>0.1188619799999997</v>
      </c>
      <c r="AC65" s="211">
        <v>-99</v>
      </c>
      <c r="AD65" s="211">
        <v>-99</v>
      </c>
      <c r="AE65" s="195"/>
      <c r="AF65" s="211">
        <v>-99</v>
      </c>
      <c r="AG65" s="211">
        <v>-99</v>
      </c>
      <c r="AI65" s="182">
        <v>0.10249999999999999</v>
      </c>
      <c r="AJ65" s="182">
        <v>0.10407556250000005</v>
      </c>
      <c r="AK65" s="211">
        <v>-99</v>
      </c>
      <c r="AM65" s="27" t="s">
        <v>135</v>
      </c>
      <c r="AN65" s="7" t="b">
        <f t="shared" si="3"/>
        <v>0</v>
      </c>
      <c r="AP65" s="211">
        <v>-99</v>
      </c>
      <c r="AQ65" s="211">
        <v>-99</v>
      </c>
      <c r="AS65" s="211">
        <v>-99</v>
      </c>
      <c r="AT65" s="211">
        <v>-99</v>
      </c>
      <c r="AU65" s="211">
        <v>-99</v>
      </c>
      <c r="AV65" s="211">
        <v>-99</v>
      </c>
      <c r="AW65" s="211">
        <v>-99</v>
      </c>
      <c r="AX65" s="211">
        <v>-99</v>
      </c>
      <c r="AZ65" s="211">
        <v>-99</v>
      </c>
      <c r="BA65" s="211">
        <v>-99</v>
      </c>
      <c r="BB65" s="211">
        <v>-99</v>
      </c>
      <c r="BC65" s="211">
        <v>-99</v>
      </c>
      <c r="BD65" s="211">
        <v>-99</v>
      </c>
      <c r="BE65" s="211">
        <v>-99</v>
      </c>
      <c r="BG65" s="211">
        <v>-99</v>
      </c>
      <c r="BH65" s="211">
        <v>-99</v>
      </c>
      <c r="BI65" s="211">
        <v>-99</v>
      </c>
      <c r="BJ65" s="211">
        <v>-99</v>
      </c>
      <c r="BK65" s="211">
        <v>-99</v>
      </c>
      <c r="BL65" s="211">
        <v>-99</v>
      </c>
      <c r="BM65" s="211">
        <v>-99</v>
      </c>
      <c r="BN65" s="191">
        <f t="shared" si="7"/>
        <v>0.10249999999999999</v>
      </c>
      <c r="BO65" s="191">
        <f t="shared" si="8"/>
        <v>0.10407556250000005</v>
      </c>
      <c r="BP65" s="211">
        <v>-99</v>
      </c>
      <c r="BQ65" s="171">
        <f t="shared" si="5"/>
        <v>0.10220000000000001</v>
      </c>
      <c r="BR65" s="171">
        <f t="shared" si="6"/>
        <v>0.12</v>
      </c>
      <c r="BS65" s="171">
        <f t="shared" si="9"/>
        <v>0.1</v>
      </c>
      <c r="BT65" s="171">
        <f t="shared" si="9"/>
        <v>0.10150000000000001</v>
      </c>
      <c r="BU65" s="211">
        <v>-99</v>
      </c>
    </row>
    <row r="66" spans="1:73" x14ac:dyDescent="0.3">
      <c r="A66" s="209">
        <v>33270</v>
      </c>
      <c r="B66" s="187">
        <v>199102</v>
      </c>
      <c r="C66" s="176">
        <v>9.89</v>
      </c>
      <c r="D66" s="176">
        <v>11.5</v>
      </c>
      <c r="F66" s="177">
        <v>82</v>
      </c>
      <c r="G66" s="210">
        <v>4.8653344917463093E-2</v>
      </c>
      <c r="H66" s="179">
        <v>9.5</v>
      </c>
      <c r="I66" s="179">
        <v>9.86</v>
      </c>
      <c r="J66" s="210"/>
      <c r="K66" s="182">
        <v>0.11</v>
      </c>
      <c r="L66" s="182">
        <v>7.4999999999999997E-2</v>
      </c>
      <c r="N66" s="182">
        <v>0.1125</v>
      </c>
      <c r="O66" s="182">
        <v>2.5000000000000001E-3</v>
      </c>
      <c r="Q66" s="182">
        <v>0.1125</v>
      </c>
      <c r="R66" s="182">
        <v>0.1125</v>
      </c>
      <c r="S66" s="182">
        <v>5.0000000000000001E-3</v>
      </c>
      <c r="T66" s="182">
        <v>5.0000000000000001E-3</v>
      </c>
      <c r="U66" s="182"/>
      <c r="V66" s="194">
        <v>0.115</v>
      </c>
      <c r="W66" s="194">
        <v>0.11600000000000001</v>
      </c>
      <c r="X66" s="194"/>
      <c r="Y66" s="194"/>
      <c r="Z66" s="194"/>
      <c r="AA66" s="195">
        <v>0.11549361000000002</v>
      </c>
      <c r="AB66" s="195">
        <v>0.11596699874999972</v>
      </c>
      <c r="AC66" s="211">
        <v>-99</v>
      </c>
      <c r="AD66" s="211">
        <v>-99</v>
      </c>
      <c r="AE66" s="195"/>
      <c r="AF66" s="211">
        <v>-99</v>
      </c>
      <c r="AG66" s="211">
        <v>-99</v>
      </c>
      <c r="AI66" s="182">
        <v>9.7256250000000266E-2</v>
      </c>
      <c r="AJ66" s="182">
        <v>0.10103048999999986</v>
      </c>
      <c r="AK66" s="211">
        <v>-99</v>
      </c>
      <c r="AM66" s="27" t="s">
        <v>135</v>
      </c>
      <c r="AN66" s="7" t="b">
        <f t="shared" si="3"/>
        <v>0</v>
      </c>
      <c r="AP66" s="211">
        <v>-99</v>
      </c>
      <c r="AQ66" s="211">
        <v>-99</v>
      </c>
      <c r="AS66" s="211">
        <v>-99</v>
      </c>
      <c r="AT66" s="211">
        <v>-99</v>
      </c>
      <c r="AU66" s="211">
        <v>-99</v>
      </c>
      <c r="AV66" s="211">
        <v>-99</v>
      </c>
      <c r="AW66" s="211">
        <v>-99</v>
      </c>
      <c r="AX66" s="211">
        <v>-99</v>
      </c>
      <c r="AZ66" s="211">
        <v>-99</v>
      </c>
      <c r="BA66" s="211">
        <v>-99</v>
      </c>
      <c r="BB66" s="211">
        <v>-99</v>
      </c>
      <c r="BC66" s="211">
        <v>-99</v>
      </c>
      <c r="BD66" s="211">
        <v>-99</v>
      </c>
      <c r="BE66" s="211">
        <v>-99</v>
      </c>
      <c r="BG66" s="211">
        <v>-99</v>
      </c>
      <c r="BH66" s="211">
        <v>-99</v>
      </c>
      <c r="BI66" s="211">
        <v>-99</v>
      </c>
      <c r="BJ66" s="211">
        <v>-99</v>
      </c>
      <c r="BK66" s="211">
        <v>-99</v>
      </c>
      <c r="BL66" s="211">
        <v>-99</v>
      </c>
      <c r="BM66" s="211">
        <v>-99</v>
      </c>
      <c r="BN66" s="191">
        <f t="shared" si="7"/>
        <v>9.7256250000000266E-2</v>
      </c>
      <c r="BO66" s="191">
        <f t="shared" si="8"/>
        <v>0.10103048999999986</v>
      </c>
      <c r="BP66" s="211">
        <v>-99</v>
      </c>
      <c r="BQ66" s="171">
        <f t="shared" si="5"/>
        <v>9.8900000000000002E-2</v>
      </c>
      <c r="BR66" s="171">
        <f t="shared" si="6"/>
        <v>0.115</v>
      </c>
      <c r="BS66" s="171">
        <f t="shared" si="9"/>
        <v>9.5000000000000001E-2</v>
      </c>
      <c r="BT66" s="171">
        <f t="shared" si="9"/>
        <v>9.8599999999999993E-2</v>
      </c>
      <c r="BU66" s="211">
        <v>-99</v>
      </c>
    </row>
    <row r="67" spans="1:73" x14ac:dyDescent="0.3">
      <c r="A67" s="209">
        <v>33298</v>
      </c>
      <c r="B67" s="187">
        <v>199103</v>
      </c>
      <c r="C67" s="176">
        <v>9.8800000000000008</v>
      </c>
      <c r="D67" s="176">
        <v>11.5</v>
      </c>
      <c r="F67" s="177">
        <v>82.3</v>
      </c>
      <c r="G67" s="210">
        <v>5.1082251082251062E-2</v>
      </c>
      <c r="H67" s="179">
        <v>9.5299999999999994</v>
      </c>
      <c r="I67" s="179">
        <v>9.81</v>
      </c>
      <c r="J67" s="210"/>
      <c r="K67" s="182">
        <v>0.105</v>
      </c>
      <c r="L67" s="182">
        <v>7.0000000000000007E-2</v>
      </c>
      <c r="N67" s="182">
        <v>0.11</v>
      </c>
      <c r="O67" s="182">
        <v>2.5000000000000001E-3</v>
      </c>
      <c r="Q67" s="182">
        <v>0.1075</v>
      </c>
      <c r="R67" s="182">
        <v>0.11</v>
      </c>
      <c r="S67" s="182">
        <v>5.0000000000000001E-3</v>
      </c>
      <c r="T67" s="182">
        <v>5.0000000000000001E-3</v>
      </c>
      <c r="U67" s="182"/>
      <c r="V67" s="194">
        <v>0.112</v>
      </c>
      <c r="W67" s="194">
        <v>0.114</v>
      </c>
      <c r="X67" s="194"/>
      <c r="Y67" s="194"/>
      <c r="Z67" s="194"/>
      <c r="AA67" s="195">
        <v>0.11149999999999999</v>
      </c>
      <c r="AB67" s="195">
        <v>0.1138633437500001</v>
      </c>
      <c r="AC67" s="211">
        <v>-99</v>
      </c>
      <c r="AD67" s="211">
        <v>-99</v>
      </c>
      <c r="AE67" s="195"/>
      <c r="AF67" s="211">
        <v>-99</v>
      </c>
      <c r="AG67" s="211">
        <v>-99</v>
      </c>
      <c r="AI67" s="182">
        <v>9.7570522499999868E-2</v>
      </c>
      <c r="AJ67" s="182">
        <v>0.10050590250000013</v>
      </c>
      <c r="AK67" s="211">
        <v>-99</v>
      </c>
      <c r="AM67" s="27" t="s">
        <v>135</v>
      </c>
      <c r="AN67" s="7" t="b">
        <f t="shared" si="3"/>
        <v>0</v>
      </c>
      <c r="AP67" s="211">
        <v>-99</v>
      </c>
      <c r="AQ67" s="211">
        <v>-99</v>
      </c>
      <c r="AS67" s="211">
        <v>-99</v>
      </c>
      <c r="AT67" s="211">
        <v>-99</v>
      </c>
      <c r="AU67" s="211">
        <v>-99</v>
      </c>
      <c r="AV67" s="211">
        <v>-99</v>
      </c>
      <c r="AW67" s="211">
        <v>-99</v>
      </c>
      <c r="AX67" s="211">
        <v>-99</v>
      </c>
      <c r="AZ67" s="211">
        <v>-99</v>
      </c>
      <c r="BA67" s="211">
        <v>-99</v>
      </c>
      <c r="BB67" s="211">
        <v>-99</v>
      </c>
      <c r="BC67" s="211">
        <v>-99</v>
      </c>
      <c r="BD67" s="211">
        <v>-99</v>
      </c>
      <c r="BE67" s="211">
        <v>-99</v>
      </c>
      <c r="BG67" s="211">
        <v>-99</v>
      </c>
      <c r="BH67" s="211">
        <v>-99</v>
      </c>
      <c r="BI67" s="211">
        <v>-99</v>
      </c>
      <c r="BJ67" s="211">
        <v>-99</v>
      </c>
      <c r="BK67" s="211">
        <v>-99</v>
      </c>
      <c r="BL67" s="211">
        <v>-99</v>
      </c>
      <c r="BM67" s="211">
        <v>-99</v>
      </c>
      <c r="BN67" s="191">
        <f t="shared" si="7"/>
        <v>9.7570522499999868E-2</v>
      </c>
      <c r="BO67" s="191">
        <f t="shared" si="8"/>
        <v>0.10050590250000013</v>
      </c>
      <c r="BP67" s="211">
        <v>-99</v>
      </c>
      <c r="BQ67" s="171">
        <f t="shared" si="5"/>
        <v>9.8800000000000013E-2</v>
      </c>
      <c r="BR67" s="171">
        <f t="shared" si="6"/>
        <v>0.115</v>
      </c>
      <c r="BS67" s="171">
        <f t="shared" si="9"/>
        <v>9.5299999999999996E-2</v>
      </c>
      <c r="BT67" s="171">
        <f t="shared" si="9"/>
        <v>9.8100000000000007E-2</v>
      </c>
      <c r="BU67" s="211">
        <v>-99</v>
      </c>
    </row>
    <row r="68" spans="1:73" x14ac:dyDescent="0.3">
      <c r="A68" s="209">
        <v>33329</v>
      </c>
      <c r="B68" s="187">
        <v>199104</v>
      </c>
      <c r="C68" s="176">
        <v>9.91</v>
      </c>
      <c r="D68" s="176">
        <v>11.25</v>
      </c>
      <c r="F68" s="177">
        <v>82.3</v>
      </c>
      <c r="G68" s="210">
        <v>5.1724137931034475E-2</v>
      </c>
      <c r="H68" s="179">
        <v>9.5399999999999991</v>
      </c>
      <c r="I68" s="179">
        <v>9.8800000000000008</v>
      </c>
      <c r="J68" s="210"/>
      <c r="K68" s="182">
        <v>0.1</v>
      </c>
      <c r="L68" s="182">
        <v>6.5000000000000002E-2</v>
      </c>
      <c r="N68" s="182">
        <v>0.1075</v>
      </c>
      <c r="O68" s="182">
        <v>2.5000000000000001E-3</v>
      </c>
      <c r="Q68" s="182">
        <v>0.10249999999999999</v>
      </c>
      <c r="R68" s="182">
        <v>0.1075</v>
      </c>
      <c r="S68" s="182">
        <v>5.0000000000000001E-3</v>
      </c>
      <c r="T68" s="182">
        <v>5.0000000000000001E-3</v>
      </c>
      <c r="U68" s="182"/>
      <c r="V68" s="194">
        <v>0.106</v>
      </c>
      <c r="W68" s="194">
        <v>0.112</v>
      </c>
      <c r="X68" s="194"/>
      <c r="Y68" s="194"/>
      <c r="Z68" s="194"/>
      <c r="AA68" s="195">
        <v>0.10625625000000027</v>
      </c>
      <c r="AB68" s="195">
        <v>0.11191760999999967</v>
      </c>
      <c r="AC68" s="211">
        <v>-99</v>
      </c>
      <c r="AD68" s="211">
        <v>-99</v>
      </c>
      <c r="AE68" s="195"/>
      <c r="AF68" s="211">
        <v>-99</v>
      </c>
      <c r="AG68" s="211">
        <v>-99</v>
      </c>
      <c r="AI68" s="182">
        <v>9.7675290000000192E-2</v>
      </c>
      <c r="AJ68" s="182">
        <v>0.10124036000000025</v>
      </c>
      <c r="AK68" s="211">
        <v>-99</v>
      </c>
      <c r="AM68" s="27" t="s">
        <v>135</v>
      </c>
      <c r="AN68" s="7" t="b">
        <f t="shared" si="3"/>
        <v>0</v>
      </c>
      <c r="AP68" s="211">
        <v>-99</v>
      </c>
      <c r="AQ68" s="211">
        <v>-99</v>
      </c>
      <c r="AS68" s="211">
        <v>-99</v>
      </c>
      <c r="AT68" s="211">
        <v>-99</v>
      </c>
      <c r="AU68" s="211">
        <v>-99</v>
      </c>
      <c r="AV68" s="211">
        <v>-99</v>
      </c>
      <c r="AW68" s="211">
        <v>-99</v>
      </c>
      <c r="AX68" s="211">
        <v>-99</v>
      </c>
      <c r="AZ68" s="211">
        <v>-99</v>
      </c>
      <c r="BA68" s="211">
        <v>-99</v>
      </c>
      <c r="BB68" s="211">
        <v>-99</v>
      </c>
      <c r="BC68" s="211">
        <v>-99</v>
      </c>
      <c r="BD68" s="211">
        <v>-99</v>
      </c>
      <c r="BE68" s="211">
        <v>-99</v>
      </c>
      <c r="BG68" s="211">
        <v>-99</v>
      </c>
      <c r="BH68" s="211">
        <v>-99</v>
      </c>
      <c r="BI68" s="211">
        <v>-99</v>
      </c>
      <c r="BJ68" s="211">
        <v>-99</v>
      </c>
      <c r="BK68" s="211">
        <v>-99</v>
      </c>
      <c r="BL68" s="211">
        <v>-99</v>
      </c>
      <c r="BM68" s="211">
        <v>-99</v>
      </c>
      <c r="BN68" s="191">
        <f t="shared" si="7"/>
        <v>9.7675290000000192E-2</v>
      </c>
      <c r="BO68" s="191">
        <f t="shared" si="8"/>
        <v>0.10124036000000025</v>
      </c>
      <c r="BP68" s="211">
        <v>-99</v>
      </c>
      <c r="BQ68" s="171">
        <f t="shared" si="5"/>
        <v>9.9100000000000008E-2</v>
      </c>
      <c r="BR68" s="171">
        <f t="shared" si="6"/>
        <v>0.1125</v>
      </c>
      <c r="BS68" s="171">
        <f t="shared" si="9"/>
        <v>9.5399999999999985E-2</v>
      </c>
      <c r="BT68" s="171">
        <f t="shared" si="9"/>
        <v>9.8800000000000013E-2</v>
      </c>
      <c r="BU68" s="211">
        <v>-99</v>
      </c>
    </row>
    <row r="69" spans="1:73" x14ac:dyDescent="0.3">
      <c r="A69" s="209">
        <v>33359</v>
      </c>
      <c r="B69" s="187">
        <v>199105</v>
      </c>
      <c r="C69" s="176">
        <v>9.91</v>
      </c>
      <c r="D69" s="176">
        <v>11.25</v>
      </c>
      <c r="F69" s="177">
        <v>82.7</v>
      </c>
      <c r="G69" s="210">
        <v>5.3264604810996374E-2</v>
      </c>
      <c r="H69" s="179">
        <v>9.5</v>
      </c>
      <c r="I69" s="179">
        <v>9.83</v>
      </c>
      <c r="J69" s="210"/>
      <c r="K69" s="182">
        <v>0.1</v>
      </c>
      <c r="L69" s="182">
        <v>0.06</v>
      </c>
      <c r="N69" s="182">
        <v>0.1075</v>
      </c>
      <c r="O69" s="182">
        <v>2.5000000000000001E-3</v>
      </c>
      <c r="Q69" s="182">
        <v>0.10249999999999999</v>
      </c>
      <c r="R69" s="182">
        <v>0.1075</v>
      </c>
      <c r="S69" s="182">
        <v>5.0000000000000001E-3</v>
      </c>
      <c r="T69" s="182">
        <v>5.0000000000000001E-3</v>
      </c>
      <c r="U69" s="182"/>
      <c r="V69" s="194">
        <v>0.107</v>
      </c>
      <c r="W69" s="194">
        <v>0.111</v>
      </c>
      <c r="X69" s="194"/>
      <c r="Y69" s="194"/>
      <c r="Z69" s="194"/>
      <c r="AA69" s="195">
        <v>0.10657052249999988</v>
      </c>
      <c r="AB69" s="195">
        <v>0.11097359250000027</v>
      </c>
      <c r="AC69" s="211">
        <v>-99</v>
      </c>
      <c r="AD69" s="211">
        <v>-99</v>
      </c>
      <c r="AE69" s="195"/>
      <c r="AF69" s="211">
        <v>-99</v>
      </c>
      <c r="AG69" s="211">
        <v>-99</v>
      </c>
      <c r="AI69" s="182">
        <v>9.7256250000000266E-2</v>
      </c>
      <c r="AJ69" s="182">
        <v>0.10071572250000016</v>
      </c>
      <c r="AK69" s="211">
        <v>-99</v>
      </c>
      <c r="AM69" s="27" t="s">
        <v>135</v>
      </c>
      <c r="AN69" s="7" t="b">
        <f t="shared" si="3"/>
        <v>0</v>
      </c>
      <c r="AP69" s="211">
        <v>-99</v>
      </c>
      <c r="AQ69" s="211">
        <v>-99</v>
      </c>
      <c r="AS69" s="211">
        <v>-99</v>
      </c>
      <c r="AT69" s="211">
        <v>-99</v>
      </c>
      <c r="AU69" s="211">
        <v>-99</v>
      </c>
      <c r="AV69" s="211">
        <v>-99</v>
      </c>
      <c r="AW69" s="211">
        <v>-99</v>
      </c>
      <c r="AX69" s="211">
        <v>-99</v>
      </c>
      <c r="AZ69" s="211">
        <v>-99</v>
      </c>
      <c r="BA69" s="211">
        <v>-99</v>
      </c>
      <c r="BB69" s="211">
        <v>-99</v>
      </c>
      <c r="BC69" s="211">
        <v>-99</v>
      </c>
      <c r="BD69" s="211">
        <v>-99</v>
      </c>
      <c r="BE69" s="211">
        <v>-99</v>
      </c>
      <c r="BG69" s="211">
        <v>-99</v>
      </c>
      <c r="BH69" s="211">
        <v>-99</v>
      </c>
      <c r="BI69" s="211">
        <v>-99</v>
      </c>
      <c r="BJ69" s="211">
        <v>-99</v>
      </c>
      <c r="BK69" s="211">
        <v>-99</v>
      </c>
      <c r="BL69" s="211">
        <v>-99</v>
      </c>
      <c r="BM69" s="211">
        <v>-99</v>
      </c>
      <c r="BN69" s="191">
        <f t="shared" si="7"/>
        <v>9.7256250000000266E-2</v>
      </c>
      <c r="BO69" s="191">
        <f t="shared" si="8"/>
        <v>0.10071572250000016</v>
      </c>
      <c r="BP69" s="211">
        <v>-99</v>
      </c>
      <c r="BQ69" s="171">
        <f t="shared" si="5"/>
        <v>9.9100000000000008E-2</v>
      </c>
      <c r="BR69" s="171">
        <f t="shared" si="6"/>
        <v>0.1125</v>
      </c>
      <c r="BS69" s="171">
        <f t="shared" si="9"/>
        <v>9.5000000000000001E-2</v>
      </c>
      <c r="BT69" s="171">
        <f t="shared" si="9"/>
        <v>9.8299999999999998E-2</v>
      </c>
      <c r="BU69" s="211">
        <v>-99</v>
      </c>
    </row>
    <row r="70" spans="1:73" x14ac:dyDescent="0.3">
      <c r="A70" s="209">
        <v>33390</v>
      </c>
      <c r="B70" s="187">
        <v>199106</v>
      </c>
      <c r="C70" s="176">
        <v>10.36</v>
      </c>
      <c r="D70" s="176">
        <v>11.25</v>
      </c>
      <c r="F70" s="177">
        <v>83.1</v>
      </c>
      <c r="G70" s="210">
        <v>5.4794520547945202E-2</v>
      </c>
      <c r="H70" s="179">
        <v>9.9700000000000006</v>
      </c>
      <c r="I70" s="179">
        <v>10.24</v>
      </c>
      <c r="J70" s="210"/>
      <c r="K70" s="182">
        <v>0.1</v>
      </c>
      <c r="L70" s="182">
        <v>0.06</v>
      </c>
      <c r="N70" s="182">
        <v>0.1075</v>
      </c>
      <c r="O70" s="182">
        <v>2.5000000000000001E-3</v>
      </c>
      <c r="Q70" s="182">
        <v>0.10249999999999999</v>
      </c>
      <c r="R70" s="182">
        <v>0.1075</v>
      </c>
      <c r="S70" s="182">
        <v>5.0000000000000001E-3</v>
      </c>
      <c r="T70" s="182">
        <v>5.0000000000000001E-3</v>
      </c>
      <c r="U70" s="182"/>
      <c r="V70" s="194">
        <v>0.107</v>
      </c>
      <c r="W70" s="194">
        <v>0.112</v>
      </c>
      <c r="X70" s="194"/>
      <c r="Y70" s="194"/>
      <c r="Z70" s="194"/>
      <c r="AA70" s="195">
        <v>0.1066752900000002</v>
      </c>
      <c r="AB70" s="195">
        <v>0.11202289500000029</v>
      </c>
      <c r="AC70" s="211">
        <v>-99</v>
      </c>
      <c r="AD70" s="211">
        <v>-99</v>
      </c>
      <c r="AE70" s="195"/>
      <c r="AF70" s="211">
        <v>-99</v>
      </c>
      <c r="AG70" s="211">
        <v>-99</v>
      </c>
      <c r="AI70" s="182">
        <v>0.10218502249999983</v>
      </c>
      <c r="AJ70" s="182">
        <v>0.1050214399999998</v>
      </c>
      <c r="AK70" s="211">
        <v>-99</v>
      </c>
      <c r="AM70" s="27" t="s">
        <v>135</v>
      </c>
      <c r="AN70" s="7" t="b">
        <f t="shared" ref="AN70:AN133" si="10">1=2</f>
        <v>0</v>
      </c>
      <c r="AP70" s="211">
        <v>-99</v>
      </c>
      <c r="AQ70" s="211">
        <v>-99</v>
      </c>
      <c r="AS70" s="211">
        <v>-99</v>
      </c>
      <c r="AT70" s="211">
        <v>-99</v>
      </c>
      <c r="AU70" s="211">
        <v>-99</v>
      </c>
      <c r="AV70" s="211">
        <v>-99</v>
      </c>
      <c r="AW70" s="211">
        <v>-99</v>
      </c>
      <c r="AX70" s="211">
        <v>-99</v>
      </c>
      <c r="AZ70" s="211">
        <v>-99</v>
      </c>
      <c r="BA70" s="211">
        <v>-99</v>
      </c>
      <c r="BB70" s="211">
        <v>-99</v>
      </c>
      <c r="BC70" s="211">
        <v>-99</v>
      </c>
      <c r="BD70" s="211">
        <v>-99</v>
      </c>
      <c r="BE70" s="211">
        <v>-99</v>
      </c>
      <c r="BG70" s="211">
        <v>-99</v>
      </c>
      <c r="BH70" s="211">
        <v>-99</v>
      </c>
      <c r="BI70" s="211">
        <v>-99</v>
      </c>
      <c r="BJ70" s="211">
        <v>-99</v>
      </c>
      <c r="BK70" s="211">
        <v>-99</v>
      </c>
      <c r="BL70" s="211">
        <v>-99</v>
      </c>
      <c r="BM70" s="211">
        <v>-99</v>
      </c>
      <c r="BN70" s="191">
        <f t="shared" si="7"/>
        <v>0.10218502249999983</v>
      </c>
      <c r="BO70" s="191">
        <f t="shared" si="8"/>
        <v>0.1050214399999998</v>
      </c>
      <c r="BP70" s="211">
        <v>-99</v>
      </c>
      <c r="BQ70" s="171">
        <f t="shared" si="5"/>
        <v>0.1036</v>
      </c>
      <c r="BR70" s="171">
        <f t="shared" si="6"/>
        <v>0.1125</v>
      </c>
      <c r="BS70" s="171">
        <f t="shared" si="9"/>
        <v>9.9700000000000011E-2</v>
      </c>
      <c r="BT70" s="171">
        <f t="shared" si="9"/>
        <v>0.1024</v>
      </c>
      <c r="BU70" s="211">
        <v>-99</v>
      </c>
    </row>
    <row r="71" spans="1:73" x14ac:dyDescent="0.3">
      <c r="A71" s="209">
        <v>33420</v>
      </c>
      <c r="B71" s="187">
        <v>199107</v>
      </c>
      <c r="C71" s="176">
        <v>10.17</v>
      </c>
      <c r="D71" s="176">
        <v>11.5</v>
      </c>
      <c r="F71" s="177">
        <v>83.2</v>
      </c>
      <c r="G71" s="210">
        <v>5.6313993174061494E-2</v>
      </c>
      <c r="H71" s="179">
        <v>9.81</v>
      </c>
      <c r="I71" s="179">
        <v>10.06</v>
      </c>
      <c r="J71" s="210"/>
      <c r="K71" s="182">
        <v>0.1</v>
      </c>
      <c r="L71" s="182">
        <v>5.5E-2</v>
      </c>
      <c r="N71" s="182">
        <v>0.1075</v>
      </c>
      <c r="O71" s="182">
        <v>2.5000000000000001E-3</v>
      </c>
      <c r="Q71" s="182">
        <v>0.10249999999999999</v>
      </c>
      <c r="R71" s="182">
        <v>0.1075</v>
      </c>
      <c r="S71" s="182">
        <v>5.0000000000000001E-3</v>
      </c>
      <c r="T71" s="182">
        <v>5.0000000000000001E-3</v>
      </c>
      <c r="U71" s="182"/>
      <c r="V71" s="194">
        <v>0.106</v>
      </c>
      <c r="W71" s="194">
        <v>0.111</v>
      </c>
      <c r="X71" s="194"/>
      <c r="Y71" s="194"/>
      <c r="Z71" s="194"/>
      <c r="AA71" s="195">
        <v>0.10625625000000027</v>
      </c>
      <c r="AB71" s="195">
        <v>0.11144545875000011</v>
      </c>
      <c r="AC71" s="211">
        <v>-99</v>
      </c>
      <c r="AD71" s="211">
        <v>-99</v>
      </c>
      <c r="AE71" s="195"/>
      <c r="AF71" s="211">
        <v>-99</v>
      </c>
      <c r="AG71" s="211">
        <v>-99</v>
      </c>
      <c r="AI71" s="182">
        <v>0.10050590250000013</v>
      </c>
      <c r="AJ71" s="182">
        <v>0.10313009000000006</v>
      </c>
      <c r="AK71" s="211">
        <v>-99</v>
      </c>
      <c r="AM71" s="27" t="s">
        <v>135</v>
      </c>
      <c r="AN71" s="7" t="b">
        <f t="shared" si="10"/>
        <v>0</v>
      </c>
      <c r="AP71" s="211">
        <v>-99</v>
      </c>
      <c r="AQ71" s="211">
        <v>-99</v>
      </c>
      <c r="AS71" s="211">
        <v>-99</v>
      </c>
      <c r="AT71" s="211">
        <v>-99</v>
      </c>
      <c r="AU71" s="211">
        <v>-99</v>
      </c>
      <c r="AV71" s="211">
        <v>-99</v>
      </c>
      <c r="AW71" s="211">
        <v>-99</v>
      </c>
      <c r="AX71" s="211">
        <v>-99</v>
      </c>
      <c r="AZ71" s="211">
        <v>-99</v>
      </c>
      <c r="BA71" s="211">
        <v>-99</v>
      </c>
      <c r="BB71" s="211">
        <v>-99</v>
      </c>
      <c r="BC71" s="211">
        <v>-99</v>
      </c>
      <c r="BD71" s="211">
        <v>-99</v>
      </c>
      <c r="BE71" s="211">
        <v>-99</v>
      </c>
      <c r="BG71" s="211">
        <v>-99</v>
      </c>
      <c r="BH71" s="211">
        <v>-99</v>
      </c>
      <c r="BI71" s="211">
        <v>-99</v>
      </c>
      <c r="BJ71" s="211">
        <v>-99</v>
      </c>
      <c r="BK71" s="211">
        <v>-99</v>
      </c>
      <c r="BL71" s="211">
        <v>-99</v>
      </c>
      <c r="BM71" s="211">
        <v>-99</v>
      </c>
      <c r="BN71" s="191">
        <f t="shared" ref="BN71:BN134" si="11">AI71</f>
        <v>0.10050590250000013</v>
      </c>
      <c r="BO71" s="191">
        <f t="shared" ref="BO71:BO134" si="12">AJ71</f>
        <v>0.10313009000000006</v>
      </c>
      <c r="BP71" s="211">
        <v>-99</v>
      </c>
      <c r="BQ71" s="171">
        <f t="shared" ref="BQ71:BQ134" si="13">C71/100</f>
        <v>0.1017</v>
      </c>
      <c r="BR71" s="171">
        <f t="shared" ref="BR71:BR134" si="14">D71/100</f>
        <v>0.115</v>
      </c>
      <c r="BS71" s="171">
        <f t="shared" ref="BS71:BS134" si="15">H71/100</f>
        <v>9.8100000000000007E-2</v>
      </c>
      <c r="BT71" s="171">
        <f t="shared" ref="BT71:BT134" si="16">I71/100</f>
        <v>0.10060000000000001</v>
      </c>
      <c r="BU71" s="211">
        <v>-99</v>
      </c>
    </row>
    <row r="72" spans="1:73" x14ac:dyDescent="0.3">
      <c r="A72" s="209">
        <v>33451</v>
      </c>
      <c r="B72" s="187">
        <v>199108</v>
      </c>
      <c r="C72" s="176">
        <v>9.9700000000000006</v>
      </c>
      <c r="D72" s="176">
        <v>11.5</v>
      </c>
      <c r="F72" s="177">
        <v>83.3</v>
      </c>
      <c r="G72" s="210">
        <v>5.7823129251700855E-2</v>
      </c>
      <c r="H72" s="179">
        <v>9.57</v>
      </c>
      <c r="I72" s="179">
        <v>9.8800000000000008</v>
      </c>
      <c r="J72" s="210"/>
      <c r="K72" s="182">
        <v>0.105</v>
      </c>
      <c r="L72" s="182">
        <v>5.5E-2</v>
      </c>
      <c r="N72" s="182">
        <v>0.1125</v>
      </c>
      <c r="O72" s="182">
        <v>2.5000000000000001E-3</v>
      </c>
      <c r="Q72" s="182">
        <v>0.1075</v>
      </c>
      <c r="R72" s="182">
        <v>0.1125</v>
      </c>
      <c r="S72" s="182">
        <v>5.0000000000000001E-3</v>
      </c>
      <c r="T72" s="182">
        <v>5.0000000000000001E-3</v>
      </c>
      <c r="U72" s="182"/>
      <c r="V72" s="194">
        <v>0.111</v>
      </c>
      <c r="W72" s="194">
        <v>0.115</v>
      </c>
      <c r="X72" s="194"/>
      <c r="Y72" s="194"/>
      <c r="Z72" s="194"/>
      <c r="AA72" s="195">
        <v>0.11118502249999984</v>
      </c>
      <c r="AB72" s="195">
        <v>0.11543964874999979</v>
      </c>
      <c r="AC72" s="211">
        <v>-99</v>
      </c>
      <c r="AD72" s="211">
        <v>-99</v>
      </c>
      <c r="AE72" s="195"/>
      <c r="AF72" s="211">
        <v>-99</v>
      </c>
      <c r="AG72" s="211">
        <v>-99</v>
      </c>
      <c r="AI72" s="182">
        <v>9.7989622499999873E-2</v>
      </c>
      <c r="AJ72" s="182">
        <v>0.10124036000000025</v>
      </c>
      <c r="AK72" s="211">
        <v>-99</v>
      </c>
      <c r="AM72" s="27" t="s">
        <v>135</v>
      </c>
      <c r="AN72" s="7" t="b">
        <f t="shared" si="10"/>
        <v>0</v>
      </c>
      <c r="AP72" s="211">
        <v>-99</v>
      </c>
      <c r="AQ72" s="211">
        <v>-99</v>
      </c>
      <c r="AS72" s="211">
        <v>-99</v>
      </c>
      <c r="AT72" s="211">
        <v>-99</v>
      </c>
      <c r="AU72" s="211">
        <v>-99</v>
      </c>
      <c r="AV72" s="211">
        <v>-99</v>
      </c>
      <c r="AW72" s="211">
        <v>-99</v>
      </c>
      <c r="AX72" s="211">
        <v>-99</v>
      </c>
      <c r="AZ72" s="211">
        <v>-99</v>
      </c>
      <c r="BA72" s="211">
        <v>-99</v>
      </c>
      <c r="BB72" s="211">
        <v>-99</v>
      </c>
      <c r="BC72" s="211">
        <v>-99</v>
      </c>
      <c r="BD72" s="211">
        <v>-99</v>
      </c>
      <c r="BE72" s="211">
        <v>-99</v>
      </c>
      <c r="BG72" s="211">
        <v>-99</v>
      </c>
      <c r="BH72" s="211">
        <v>-99</v>
      </c>
      <c r="BI72" s="211">
        <v>-99</v>
      </c>
      <c r="BJ72" s="211">
        <v>-99</v>
      </c>
      <c r="BK72" s="211">
        <v>-99</v>
      </c>
      <c r="BL72" s="211">
        <v>-99</v>
      </c>
      <c r="BM72" s="211">
        <v>-99</v>
      </c>
      <c r="BN72" s="191">
        <f t="shared" si="11"/>
        <v>9.7989622499999873E-2</v>
      </c>
      <c r="BO72" s="191">
        <f t="shared" si="12"/>
        <v>0.10124036000000025</v>
      </c>
      <c r="BP72" s="211">
        <v>-99</v>
      </c>
      <c r="BQ72" s="171">
        <f t="shared" si="13"/>
        <v>9.9700000000000011E-2</v>
      </c>
      <c r="BR72" s="171">
        <f t="shared" si="14"/>
        <v>0.115</v>
      </c>
      <c r="BS72" s="171">
        <f t="shared" si="15"/>
        <v>9.5700000000000007E-2</v>
      </c>
      <c r="BT72" s="171">
        <f t="shared" si="16"/>
        <v>9.8800000000000013E-2</v>
      </c>
      <c r="BU72" s="211">
        <v>-99</v>
      </c>
    </row>
    <row r="73" spans="1:73" x14ac:dyDescent="0.3">
      <c r="A73" s="209">
        <v>33482</v>
      </c>
      <c r="B73" s="187">
        <v>199109</v>
      </c>
      <c r="C73" s="176">
        <v>9.59</v>
      </c>
      <c r="D73" s="176">
        <v>11.25</v>
      </c>
      <c r="F73" s="177">
        <v>83.1</v>
      </c>
      <c r="G73" s="210">
        <v>5.8474576271186463E-2</v>
      </c>
      <c r="H73" s="179">
        <v>9.1199999999999992</v>
      </c>
      <c r="I73" s="179">
        <v>9.5500000000000007</v>
      </c>
      <c r="J73" s="210"/>
      <c r="K73" s="182">
        <v>0.105</v>
      </c>
      <c r="L73" s="182">
        <v>5.5E-2</v>
      </c>
      <c r="N73" s="182">
        <v>0.11</v>
      </c>
      <c r="O73" s="182">
        <v>2.5000000000000001E-3</v>
      </c>
      <c r="Q73" s="182">
        <v>0.105</v>
      </c>
      <c r="R73" s="182">
        <v>0.11</v>
      </c>
      <c r="S73" s="182">
        <v>5.0000000000000001E-3</v>
      </c>
      <c r="T73" s="182">
        <v>5.0000000000000001E-3</v>
      </c>
      <c r="U73" s="182"/>
      <c r="V73" s="194">
        <v>0.11</v>
      </c>
      <c r="W73" s="194">
        <v>0.113</v>
      </c>
      <c r="X73" s="194"/>
      <c r="Y73" s="194"/>
      <c r="Z73" s="194"/>
      <c r="AA73" s="195">
        <v>0.10950590250000014</v>
      </c>
      <c r="AB73" s="195">
        <v>0.11344218375000004</v>
      </c>
      <c r="AC73" s="211">
        <v>-99</v>
      </c>
      <c r="AD73" s="211">
        <v>-99</v>
      </c>
      <c r="AE73" s="195"/>
      <c r="AF73" s="211">
        <v>-99</v>
      </c>
      <c r="AG73" s="211">
        <v>-99</v>
      </c>
      <c r="AI73" s="182">
        <v>9.3279360000000144E-2</v>
      </c>
      <c r="AJ73" s="182">
        <v>9.778006249999982E-2</v>
      </c>
      <c r="AK73" s="211">
        <v>-99</v>
      </c>
      <c r="AM73" s="27" t="s">
        <v>135</v>
      </c>
      <c r="AN73" s="7" t="b">
        <f t="shared" si="10"/>
        <v>0</v>
      </c>
      <c r="AP73" s="211">
        <v>-99</v>
      </c>
      <c r="AQ73" s="211">
        <v>-99</v>
      </c>
      <c r="AS73" s="211">
        <v>-99</v>
      </c>
      <c r="AT73" s="211">
        <v>-99</v>
      </c>
      <c r="AU73" s="211">
        <v>-99</v>
      </c>
      <c r="AV73" s="211">
        <v>-99</v>
      </c>
      <c r="AW73" s="211">
        <v>-99</v>
      </c>
      <c r="AX73" s="211">
        <v>-99</v>
      </c>
      <c r="AZ73" s="211">
        <v>-99</v>
      </c>
      <c r="BA73" s="211">
        <v>-99</v>
      </c>
      <c r="BB73" s="211">
        <v>-99</v>
      </c>
      <c r="BC73" s="211">
        <v>-99</v>
      </c>
      <c r="BD73" s="211">
        <v>-99</v>
      </c>
      <c r="BE73" s="211">
        <v>-99</v>
      </c>
      <c r="BG73" s="211">
        <v>-99</v>
      </c>
      <c r="BH73" s="211">
        <v>-99</v>
      </c>
      <c r="BI73" s="211">
        <v>-99</v>
      </c>
      <c r="BJ73" s="211">
        <v>-99</v>
      </c>
      <c r="BK73" s="211">
        <v>-99</v>
      </c>
      <c r="BL73" s="211">
        <v>-99</v>
      </c>
      <c r="BM73" s="211">
        <v>-99</v>
      </c>
      <c r="BN73" s="191">
        <f t="shared" si="11"/>
        <v>9.3279360000000144E-2</v>
      </c>
      <c r="BO73" s="191">
        <f t="shared" si="12"/>
        <v>9.778006249999982E-2</v>
      </c>
      <c r="BP73" s="211">
        <v>-99</v>
      </c>
      <c r="BQ73" s="171">
        <f t="shared" si="13"/>
        <v>9.5899999999999999E-2</v>
      </c>
      <c r="BR73" s="171">
        <f t="shared" si="14"/>
        <v>0.1125</v>
      </c>
      <c r="BS73" s="171">
        <f t="shared" si="15"/>
        <v>9.1199999999999989E-2</v>
      </c>
      <c r="BT73" s="171">
        <f t="shared" si="16"/>
        <v>9.5500000000000002E-2</v>
      </c>
      <c r="BU73" s="211">
        <v>-99</v>
      </c>
    </row>
    <row r="74" spans="1:73" x14ac:dyDescent="0.3">
      <c r="A74" s="209">
        <v>33512</v>
      </c>
      <c r="B74" s="187">
        <v>199110</v>
      </c>
      <c r="C74" s="176">
        <v>9.1199999999999992</v>
      </c>
      <c r="D74" s="176">
        <v>10.75</v>
      </c>
      <c r="F74" s="177">
        <v>83</v>
      </c>
      <c r="G74" s="210">
        <v>5.8227848101265911E-2</v>
      </c>
      <c r="H74" s="179">
        <v>8.4700000000000006</v>
      </c>
      <c r="I74" s="179">
        <v>9.16</v>
      </c>
      <c r="J74" s="210"/>
      <c r="K74" s="182">
        <v>0.1</v>
      </c>
      <c r="L74" s="182">
        <v>5.5E-2</v>
      </c>
      <c r="N74" s="182">
        <v>0.1075</v>
      </c>
      <c r="O74" s="182">
        <v>2.5000000000000001E-3</v>
      </c>
      <c r="Q74" s="182">
        <v>0.10249999999999999</v>
      </c>
      <c r="R74" s="182">
        <v>0.1075</v>
      </c>
      <c r="S74" s="182">
        <v>5.0000000000000001E-3</v>
      </c>
      <c r="T74" s="182">
        <v>5.0000000000000001E-3</v>
      </c>
      <c r="U74" s="182"/>
      <c r="V74" s="194">
        <v>0.107</v>
      </c>
      <c r="W74" s="194">
        <v>0.112</v>
      </c>
      <c r="X74" s="194"/>
      <c r="Y74" s="194"/>
      <c r="Z74" s="194"/>
      <c r="AA74" s="195">
        <v>0.10698962249999988</v>
      </c>
      <c r="AB74" s="195">
        <v>0.11186572875000045</v>
      </c>
      <c r="AC74" s="211">
        <v>-99</v>
      </c>
      <c r="AD74" s="211">
        <v>-99</v>
      </c>
      <c r="AE74" s="195"/>
      <c r="AF74" s="211">
        <v>-99</v>
      </c>
      <c r="AG74" s="211">
        <v>-99</v>
      </c>
      <c r="AI74" s="182">
        <v>8.6493522500000308E-2</v>
      </c>
      <c r="AJ74" s="182">
        <v>9.3697640000000026E-2</v>
      </c>
      <c r="AK74" s="211">
        <v>-99</v>
      </c>
      <c r="AM74" s="27" t="s">
        <v>135</v>
      </c>
      <c r="AN74" s="7" t="b">
        <f t="shared" si="10"/>
        <v>0</v>
      </c>
      <c r="AP74" s="211">
        <v>-99</v>
      </c>
      <c r="AQ74" s="211">
        <v>-99</v>
      </c>
      <c r="AS74" s="211">
        <v>-99</v>
      </c>
      <c r="AT74" s="211">
        <v>-99</v>
      </c>
      <c r="AU74" s="211">
        <v>-99</v>
      </c>
      <c r="AV74" s="211">
        <v>-99</v>
      </c>
      <c r="AW74" s="211">
        <v>-99</v>
      </c>
      <c r="AX74" s="211">
        <v>-99</v>
      </c>
      <c r="AZ74" s="211">
        <v>-99</v>
      </c>
      <c r="BA74" s="211">
        <v>-99</v>
      </c>
      <c r="BB74" s="211">
        <v>-99</v>
      </c>
      <c r="BC74" s="211">
        <v>-99</v>
      </c>
      <c r="BD74" s="211">
        <v>-99</v>
      </c>
      <c r="BE74" s="211">
        <v>-99</v>
      </c>
      <c r="BG74" s="211">
        <v>-99</v>
      </c>
      <c r="BH74" s="211">
        <v>-99</v>
      </c>
      <c r="BI74" s="211">
        <v>-99</v>
      </c>
      <c r="BJ74" s="211">
        <v>-99</v>
      </c>
      <c r="BK74" s="211">
        <v>-99</v>
      </c>
      <c r="BL74" s="211">
        <v>-99</v>
      </c>
      <c r="BM74" s="211">
        <v>-99</v>
      </c>
      <c r="BN74" s="191">
        <f t="shared" si="11"/>
        <v>8.6493522500000308E-2</v>
      </c>
      <c r="BO74" s="191">
        <f t="shared" si="12"/>
        <v>9.3697640000000026E-2</v>
      </c>
      <c r="BP74" s="211">
        <v>-99</v>
      </c>
      <c r="BQ74" s="171">
        <f t="shared" si="13"/>
        <v>9.1199999999999989E-2</v>
      </c>
      <c r="BR74" s="171">
        <f t="shared" si="14"/>
        <v>0.1075</v>
      </c>
      <c r="BS74" s="171">
        <f t="shared" si="15"/>
        <v>8.4700000000000011E-2</v>
      </c>
      <c r="BT74" s="171">
        <f t="shared" si="16"/>
        <v>9.1600000000000001E-2</v>
      </c>
      <c r="BU74" s="211">
        <v>-99</v>
      </c>
    </row>
    <row r="75" spans="1:73" x14ac:dyDescent="0.3">
      <c r="A75" s="209">
        <v>33543</v>
      </c>
      <c r="B75" s="187">
        <v>199111</v>
      </c>
      <c r="C75" s="176">
        <v>9.18</v>
      </c>
      <c r="D75" s="176">
        <v>9.9</v>
      </c>
      <c r="E75" s="176">
        <v>4.3600000000000003</v>
      </c>
      <c r="F75" s="177">
        <v>83.3</v>
      </c>
      <c r="G75" s="210">
        <v>5.7142857142857162E-2</v>
      </c>
      <c r="H75" s="179">
        <v>8.48</v>
      </c>
      <c r="I75" s="179">
        <v>9.16</v>
      </c>
      <c r="J75" s="210"/>
      <c r="K75" s="182">
        <v>0.1</v>
      </c>
      <c r="L75" s="182">
        <v>0.05</v>
      </c>
      <c r="N75" s="182">
        <v>0.10249999999999999</v>
      </c>
      <c r="O75" s="182">
        <v>2.5000000000000001E-3</v>
      </c>
      <c r="Q75" s="182">
        <v>9.7500000000000003E-2</v>
      </c>
      <c r="R75" s="182">
        <v>0.105</v>
      </c>
      <c r="S75" s="182">
        <v>5.0000000000000001E-3</v>
      </c>
      <c r="T75" s="182">
        <v>5.0000000000000001E-3</v>
      </c>
      <c r="U75" s="182"/>
      <c r="V75" s="194">
        <v>0.10200000000000001</v>
      </c>
      <c r="W75" s="194">
        <v>0.109</v>
      </c>
      <c r="X75" s="194"/>
      <c r="Y75" s="194"/>
      <c r="Z75" s="194"/>
      <c r="AA75" s="195">
        <v>0.10227936000000015</v>
      </c>
      <c r="AB75" s="195">
        <v>0.10903041374999967</v>
      </c>
      <c r="AC75" s="211">
        <v>-99</v>
      </c>
      <c r="AD75" s="211">
        <v>-99</v>
      </c>
      <c r="AE75" s="195"/>
      <c r="AF75" s="211">
        <v>-99</v>
      </c>
      <c r="AG75" s="211">
        <v>-99</v>
      </c>
      <c r="AI75" s="182">
        <v>8.6597760000000079E-2</v>
      </c>
      <c r="AJ75" s="182">
        <v>9.3697640000000026E-2</v>
      </c>
      <c r="AK75" s="182">
        <v>4.4075240000000182E-2</v>
      </c>
      <c r="AM75" s="27" t="s">
        <v>135</v>
      </c>
      <c r="AN75" s="7" t="b">
        <f t="shared" si="10"/>
        <v>0</v>
      </c>
      <c r="AP75" s="211">
        <v>-99</v>
      </c>
      <c r="AQ75" s="211">
        <v>-99</v>
      </c>
      <c r="AS75" s="211">
        <v>-99</v>
      </c>
      <c r="AT75" s="211">
        <v>-99</v>
      </c>
      <c r="AU75" s="211">
        <v>-99</v>
      </c>
      <c r="AV75" s="211">
        <v>-99</v>
      </c>
      <c r="AW75" s="211">
        <v>-99</v>
      </c>
      <c r="AX75" s="211">
        <v>-99</v>
      </c>
      <c r="AZ75" s="211">
        <v>-99</v>
      </c>
      <c r="BA75" s="211">
        <v>-99</v>
      </c>
      <c r="BB75" s="211">
        <v>-99</v>
      </c>
      <c r="BC75" s="211">
        <v>-99</v>
      </c>
      <c r="BD75" s="211">
        <v>-99</v>
      </c>
      <c r="BE75" s="211">
        <v>-99</v>
      </c>
      <c r="BG75" s="211">
        <v>-99</v>
      </c>
      <c r="BH75" s="211">
        <v>-99</v>
      </c>
      <c r="BI75" s="211">
        <v>-99</v>
      </c>
      <c r="BJ75" s="211">
        <v>-99</v>
      </c>
      <c r="BK75" s="211">
        <v>-99</v>
      </c>
      <c r="BL75" s="211">
        <v>-99</v>
      </c>
      <c r="BM75" s="211">
        <v>-99</v>
      </c>
      <c r="BN75" s="191">
        <f t="shared" si="11"/>
        <v>8.6597760000000079E-2</v>
      </c>
      <c r="BO75" s="191">
        <f t="shared" si="12"/>
        <v>9.3697640000000026E-2</v>
      </c>
      <c r="BP75" s="191">
        <f t="shared" ref="BP75:BP134" si="17">AK75</f>
        <v>4.4075240000000182E-2</v>
      </c>
      <c r="BQ75" s="171">
        <f t="shared" si="13"/>
        <v>9.1799999999999993E-2</v>
      </c>
      <c r="BR75" s="171">
        <f t="shared" si="14"/>
        <v>9.9000000000000005E-2</v>
      </c>
      <c r="BS75" s="171">
        <f t="shared" si="15"/>
        <v>8.48E-2</v>
      </c>
      <c r="BT75" s="171">
        <f t="shared" si="16"/>
        <v>9.1600000000000001E-2</v>
      </c>
      <c r="BU75" s="171">
        <f t="shared" ref="BU75:BU138" si="18">E75/100</f>
        <v>4.36E-2</v>
      </c>
    </row>
    <row r="76" spans="1:73" x14ac:dyDescent="0.3">
      <c r="A76" s="212">
        <v>33573</v>
      </c>
      <c r="B76" s="218">
        <v>199112</v>
      </c>
      <c r="C76" s="213">
        <v>8.9700000000000006</v>
      </c>
      <c r="D76" s="213">
        <v>9.9</v>
      </c>
      <c r="E76" s="213">
        <v>4.45</v>
      </c>
      <c r="F76" s="177">
        <v>82.9</v>
      </c>
      <c r="G76" s="214">
        <v>5.6066945606694674E-2</v>
      </c>
      <c r="H76" s="215">
        <v>8.18</v>
      </c>
      <c r="I76" s="215">
        <v>9</v>
      </c>
      <c r="J76" s="214"/>
      <c r="K76" s="216">
        <v>9.5000000000000001E-2</v>
      </c>
      <c r="L76" s="216">
        <v>4.4999999999999998E-2</v>
      </c>
      <c r="M76" s="216"/>
      <c r="N76" s="216">
        <v>9.7500000000000003E-2</v>
      </c>
      <c r="O76" s="216">
        <v>2.5000000000000001E-3</v>
      </c>
      <c r="P76" s="217"/>
      <c r="Q76" s="182">
        <v>9.2499999999999999E-2</v>
      </c>
      <c r="R76" s="182">
        <v>0.10249999999999999</v>
      </c>
      <c r="S76" s="182">
        <v>5.0000000000000001E-3</v>
      </c>
      <c r="T76" s="182">
        <v>5.0000000000000001E-3</v>
      </c>
      <c r="U76" s="182"/>
      <c r="V76" s="194">
        <v>9.5000000000000001E-2</v>
      </c>
      <c r="W76" s="194">
        <v>0.106</v>
      </c>
      <c r="X76" s="194"/>
      <c r="Y76" s="194"/>
      <c r="Z76" s="194"/>
      <c r="AA76" s="195">
        <v>9.5493522500000316E-2</v>
      </c>
      <c r="AB76" s="195">
        <v>0.10629969874999989</v>
      </c>
      <c r="AC76" s="211">
        <v>-99</v>
      </c>
      <c r="AD76" s="211">
        <v>-99</v>
      </c>
      <c r="AE76" s="195"/>
      <c r="AF76" s="211">
        <v>-99</v>
      </c>
      <c r="AG76" s="211">
        <v>-99</v>
      </c>
      <c r="AI76" s="182">
        <v>8.3472809999999953E-2</v>
      </c>
      <c r="AJ76" s="182">
        <v>9.2024999999999801E-2</v>
      </c>
      <c r="AK76" s="182">
        <v>4.4995062500000182E-2</v>
      </c>
      <c r="AM76" s="27" t="s">
        <v>135</v>
      </c>
      <c r="AN76" s="7" t="b">
        <f t="shared" si="10"/>
        <v>0</v>
      </c>
      <c r="AP76" s="211">
        <v>-99</v>
      </c>
      <c r="AQ76" s="211">
        <v>-99</v>
      </c>
      <c r="AS76" s="211">
        <v>-99</v>
      </c>
      <c r="AT76" s="211">
        <v>-99</v>
      </c>
      <c r="AU76" s="211">
        <v>-99</v>
      </c>
      <c r="AV76" s="211">
        <v>-99</v>
      </c>
      <c r="AW76" s="211">
        <v>-99</v>
      </c>
      <c r="AX76" s="211">
        <v>-99</v>
      </c>
      <c r="AZ76" s="211">
        <v>-99</v>
      </c>
      <c r="BA76" s="211">
        <v>-99</v>
      </c>
      <c r="BB76" s="211">
        <v>-99</v>
      </c>
      <c r="BC76" s="211">
        <v>-99</v>
      </c>
      <c r="BD76" s="211">
        <v>-99</v>
      </c>
      <c r="BE76" s="211">
        <v>-99</v>
      </c>
      <c r="BG76" s="211">
        <v>-99</v>
      </c>
      <c r="BH76" s="211">
        <v>-99</v>
      </c>
      <c r="BI76" s="211">
        <v>-99</v>
      </c>
      <c r="BJ76" s="211">
        <v>-99</v>
      </c>
      <c r="BK76" s="211">
        <v>-99</v>
      </c>
      <c r="BL76" s="211">
        <v>-99</v>
      </c>
      <c r="BM76" s="211">
        <v>-99</v>
      </c>
      <c r="BN76" s="191">
        <f t="shared" si="11"/>
        <v>8.3472809999999953E-2</v>
      </c>
      <c r="BO76" s="191">
        <f t="shared" si="12"/>
        <v>9.2024999999999801E-2</v>
      </c>
      <c r="BP76" s="191">
        <f t="shared" si="17"/>
        <v>4.4995062500000182E-2</v>
      </c>
      <c r="BQ76" s="171">
        <f t="shared" si="13"/>
        <v>8.9700000000000002E-2</v>
      </c>
      <c r="BR76" s="171">
        <f t="shared" si="14"/>
        <v>9.9000000000000005E-2</v>
      </c>
      <c r="BS76" s="171">
        <f t="shared" si="15"/>
        <v>8.1799999999999998E-2</v>
      </c>
      <c r="BT76" s="171">
        <f t="shared" si="16"/>
        <v>0.09</v>
      </c>
      <c r="BU76" s="171">
        <f t="shared" si="18"/>
        <v>4.4500000000000005E-2</v>
      </c>
    </row>
    <row r="77" spans="1:73" x14ac:dyDescent="0.3">
      <c r="A77" s="209">
        <v>33604</v>
      </c>
      <c r="B77" s="187">
        <v>199201</v>
      </c>
      <c r="C77" s="176">
        <v>8.92</v>
      </c>
      <c r="D77" s="176">
        <v>9.75</v>
      </c>
      <c r="E77" s="176">
        <v>4.53</v>
      </c>
      <c r="F77" s="177">
        <v>83.3</v>
      </c>
      <c r="G77" s="210">
        <v>5.1623646960865965E-2</v>
      </c>
      <c r="H77" s="179">
        <v>8.2100000000000009</v>
      </c>
      <c r="I77" s="179">
        <v>8.92</v>
      </c>
      <c r="J77" s="210"/>
      <c r="K77" s="182">
        <v>9.5000000000000001E-2</v>
      </c>
      <c r="L77" s="182">
        <v>0.04</v>
      </c>
      <c r="N77" s="182">
        <v>0.1</v>
      </c>
      <c r="O77" s="182">
        <v>4.7500000000000001E-2</v>
      </c>
      <c r="Q77" s="182">
        <v>9.2499999999999999E-2</v>
      </c>
      <c r="R77" s="182">
        <v>0.10249999999999999</v>
      </c>
      <c r="S77" s="182">
        <v>4.4999999999999998E-2</v>
      </c>
      <c r="T77" s="182">
        <v>0.05</v>
      </c>
      <c r="U77" s="182"/>
      <c r="V77" s="194">
        <v>9.6000000000000002E-2</v>
      </c>
      <c r="W77" s="194">
        <v>0.106</v>
      </c>
      <c r="X77" s="194">
        <v>0.05</v>
      </c>
      <c r="Y77" s="194">
        <v>5.5E-2</v>
      </c>
      <c r="Z77" s="194"/>
      <c r="AA77" s="195">
        <v>9.5597760000000087E-2</v>
      </c>
      <c r="AB77" s="195">
        <v>0.10624758000000001</v>
      </c>
      <c r="AC77" s="195">
        <v>4.9735466287757303E-2</v>
      </c>
      <c r="AD77" s="195">
        <v>5.474512685612163E-2</v>
      </c>
      <c r="AE77" s="195"/>
      <c r="AF77" s="195">
        <v>0.02</v>
      </c>
      <c r="AG77" s="195">
        <v>0.02</v>
      </c>
      <c r="AH77" s="7">
        <v>8.378510250000005</v>
      </c>
      <c r="AI77" s="182">
        <v>8.3785102500000042E-2</v>
      </c>
      <c r="AJ77" s="182">
        <v>9.118915999999988E-2</v>
      </c>
      <c r="AK77" s="182">
        <v>4.5813022500000189E-2</v>
      </c>
      <c r="AM77" s="27" t="s">
        <v>135</v>
      </c>
      <c r="AN77" s="7" t="b">
        <f t="shared" si="10"/>
        <v>0</v>
      </c>
      <c r="AP77" s="211">
        <v>-99</v>
      </c>
      <c r="AQ77" s="211">
        <v>-99</v>
      </c>
      <c r="AS77" s="211">
        <v>-99</v>
      </c>
      <c r="AT77" s="211">
        <v>-99</v>
      </c>
      <c r="AU77" s="211">
        <v>-99</v>
      </c>
      <c r="AV77" s="211">
        <v>-99</v>
      </c>
      <c r="AW77" s="211">
        <v>-99</v>
      </c>
      <c r="AX77" s="211">
        <v>-99</v>
      </c>
      <c r="AZ77" s="211">
        <v>-99</v>
      </c>
      <c r="BA77" s="211">
        <v>-99</v>
      </c>
      <c r="BB77" s="211">
        <v>-99</v>
      </c>
      <c r="BC77" s="211">
        <v>-99</v>
      </c>
      <c r="BD77" s="211">
        <v>-99</v>
      </c>
      <c r="BE77" s="211">
        <v>-99</v>
      </c>
      <c r="BG77" s="211">
        <v>-99</v>
      </c>
      <c r="BH77" s="211">
        <v>-99</v>
      </c>
      <c r="BI77" s="211">
        <v>-99</v>
      </c>
      <c r="BJ77" s="211">
        <v>-99</v>
      </c>
      <c r="BK77" s="211">
        <v>-99</v>
      </c>
      <c r="BL77" s="211">
        <v>-99</v>
      </c>
      <c r="BM77" s="211">
        <v>-99</v>
      </c>
      <c r="BN77" s="191">
        <f t="shared" si="11"/>
        <v>8.3785102500000042E-2</v>
      </c>
      <c r="BO77" s="191">
        <f t="shared" si="12"/>
        <v>9.118915999999988E-2</v>
      </c>
      <c r="BP77" s="191">
        <f t="shared" si="17"/>
        <v>4.5813022500000189E-2</v>
      </c>
      <c r="BQ77" s="171">
        <f t="shared" si="13"/>
        <v>8.9200000000000002E-2</v>
      </c>
      <c r="BR77" s="171">
        <f t="shared" si="14"/>
        <v>9.7500000000000003E-2</v>
      </c>
      <c r="BS77" s="171">
        <f t="shared" si="15"/>
        <v>8.2100000000000006E-2</v>
      </c>
      <c r="BT77" s="171">
        <f t="shared" si="16"/>
        <v>8.9200000000000002E-2</v>
      </c>
      <c r="BU77" s="171">
        <f t="shared" si="18"/>
        <v>4.53E-2</v>
      </c>
    </row>
    <row r="78" spans="1:73" x14ac:dyDescent="0.3">
      <c r="A78" s="209">
        <v>33635</v>
      </c>
      <c r="B78" s="187">
        <v>199202</v>
      </c>
      <c r="C78" s="176">
        <v>8.9700000000000006</v>
      </c>
      <c r="D78" s="176">
        <v>9.75</v>
      </c>
      <c r="E78" s="176">
        <v>4.4800000000000004</v>
      </c>
      <c r="F78" s="177">
        <v>83.3</v>
      </c>
      <c r="G78" s="210">
        <v>4.8053024026512015E-2</v>
      </c>
      <c r="H78" s="179">
        <v>8.2899999999999991</v>
      </c>
      <c r="I78" s="179">
        <v>8.94</v>
      </c>
      <c r="J78" s="210"/>
      <c r="K78" s="182">
        <v>0.09</v>
      </c>
      <c r="L78" s="182">
        <v>0.04</v>
      </c>
      <c r="N78" s="182">
        <v>9.7500000000000003E-2</v>
      </c>
      <c r="O78" s="182">
        <v>4.7500000000000001E-2</v>
      </c>
      <c r="Q78" s="182">
        <v>8.7499999999999994E-2</v>
      </c>
      <c r="R78" s="182">
        <v>0.10249999999999999</v>
      </c>
      <c r="S78" s="182">
        <v>4.4999999999999998E-2</v>
      </c>
      <c r="T78" s="182">
        <v>5.2499999999999998E-2</v>
      </c>
      <c r="U78" s="182"/>
      <c r="V78" s="194">
        <v>9.1999999999999998E-2</v>
      </c>
      <c r="W78" s="194">
        <v>0.105</v>
      </c>
      <c r="X78" s="194">
        <v>0.05</v>
      </c>
      <c r="Y78" s="194">
        <v>5.6000000000000001E-2</v>
      </c>
      <c r="Z78" s="194"/>
      <c r="AA78" s="195">
        <v>9.2472809999999961E-2</v>
      </c>
      <c r="AB78" s="195">
        <v>0.10530109499999973</v>
      </c>
      <c r="AC78" s="195">
        <v>4.9813521358333564E-2</v>
      </c>
      <c r="AD78" s="195">
        <v>5.6085833070833493E-2</v>
      </c>
      <c r="AE78" s="195"/>
      <c r="AF78" s="195">
        <v>0.02</v>
      </c>
      <c r="AG78" s="195">
        <v>0.02</v>
      </c>
      <c r="AI78" s="182">
        <v>8.4618102499999903E-2</v>
      </c>
      <c r="AJ78" s="182">
        <v>9.1398089999999987E-2</v>
      </c>
      <c r="AK78" s="182">
        <v>4.5301759999999858E-2</v>
      </c>
      <c r="AM78" s="27" t="s">
        <v>135</v>
      </c>
      <c r="AN78" s="7" t="b">
        <f t="shared" si="10"/>
        <v>0</v>
      </c>
      <c r="AP78" s="211">
        <v>-99</v>
      </c>
      <c r="AQ78" s="211">
        <v>-99</v>
      </c>
      <c r="AS78" s="211">
        <v>-99</v>
      </c>
      <c r="AT78" s="211">
        <v>-99</v>
      </c>
      <c r="AU78" s="211">
        <v>-99</v>
      </c>
      <c r="AV78" s="211">
        <v>-99</v>
      </c>
      <c r="AW78" s="211">
        <v>-99</v>
      </c>
      <c r="AX78" s="211">
        <v>-99</v>
      </c>
      <c r="AZ78" s="211">
        <v>-99</v>
      </c>
      <c r="BA78" s="211">
        <v>-99</v>
      </c>
      <c r="BB78" s="211">
        <v>-99</v>
      </c>
      <c r="BC78" s="211">
        <v>-99</v>
      </c>
      <c r="BD78" s="211">
        <v>-99</v>
      </c>
      <c r="BE78" s="211">
        <v>-99</v>
      </c>
      <c r="BG78" s="211">
        <v>-99</v>
      </c>
      <c r="BH78" s="211">
        <v>-99</v>
      </c>
      <c r="BI78" s="211">
        <v>-99</v>
      </c>
      <c r="BJ78" s="211">
        <v>-99</v>
      </c>
      <c r="BK78" s="211">
        <v>-99</v>
      </c>
      <c r="BL78" s="211">
        <v>-99</v>
      </c>
      <c r="BM78" s="211">
        <v>-99</v>
      </c>
      <c r="BN78" s="191">
        <f t="shared" si="11"/>
        <v>8.4618102499999903E-2</v>
      </c>
      <c r="BO78" s="191">
        <f t="shared" si="12"/>
        <v>9.1398089999999987E-2</v>
      </c>
      <c r="BP78" s="191">
        <f t="shared" si="17"/>
        <v>4.5301759999999858E-2</v>
      </c>
      <c r="BQ78" s="171">
        <f t="shared" si="13"/>
        <v>8.9700000000000002E-2</v>
      </c>
      <c r="BR78" s="171">
        <f t="shared" si="14"/>
        <v>9.7500000000000003E-2</v>
      </c>
      <c r="BS78" s="171">
        <f t="shared" si="15"/>
        <v>8.2899999999999988E-2</v>
      </c>
      <c r="BT78" s="171">
        <f t="shared" si="16"/>
        <v>8.9399999999999993E-2</v>
      </c>
      <c r="BU78" s="171">
        <f t="shared" si="18"/>
        <v>4.4800000000000006E-2</v>
      </c>
    </row>
    <row r="79" spans="1:73" x14ac:dyDescent="0.3">
      <c r="A79" s="209">
        <v>33664</v>
      </c>
      <c r="B79" s="187">
        <v>199203</v>
      </c>
      <c r="C79" s="176">
        <v>9.2799999999999994</v>
      </c>
      <c r="D79" s="176">
        <v>10.5</v>
      </c>
      <c r="E79" s="176">
        <v>4.59</v>
      </c>
      <c r="F79" s="177">
        <v>83.6</v>
      </c>
      <c r="G79" s="210">
        <v>4.3657331136738087E-2</v>
      </c>
      <c r="H79" s="179">
        <v>8.7799999999999994</v>
      </c>
      <c r="I79" s="179">
        <v>9.16</v>
      </c>
      <c r="J79" s="210"/>
      <c r="K79" s="182">
        <v>0.09</v>
      </c>
      <c r="L79" s="182">
        <v>4.4999999999999998E-2</v>
      </c>
      <c r="N79" s="182">
        <v>9.7500000000000003E-2</v>
      </c>
      <c r="O79" s="182">
        <v>4.7500000000000001E-2</v>
      </c>
      <c r="Q79" s="182">
        <v>0.09</v>
      </c>
      <c r="R79" s="182">
        <v>0.1</v>
      </c>
      <c r="S79" s="182">
        <v>4.7500000000000001E-2</v>
      </c>
      <c r="T79" s="182">
        <v>5.2499999999999998E-2</v>
      </c>
      <c r="U79" s="182"/>
      <c r="V79" s="194">
        <v>9.2999999999999999E-2</v>
      </c>
      <c r="W79" s="194">
        <v>0.10400000000000001</v>
      </c>
      <c r="X79" s="194">
        <v>5.1000000000000004E-2</v>
      </c>
      <c r="Y79" s="194">
        <v>5.7000000000000002E-2</v>
      </c>
      <c r="Z79" s="194"/>
      <c r="AA79" s="195">
        <v>9.278510250000005E-2</v>
      </c>
      <c r="AB79" s="195">
        <v>0.10389118874999981</v>
      </c>
      <c r="AC79" s="195">
        <v>5.1093257422234493E-2</v>
      </c>
      <c r="AD79" s="195">
        <v>5.6672905038883038E-2</v>
      </c>
      <c r="AE79" s="195"/>
      <c r="AF79" s="195">
        <v>1.9832609896106357E-2</v>
      </c>
      <c r="AG79" s="195">
        <v>0.02</v>
      </c>
      <c r="AI79" s="182">
        <v>8.9727210000000168E-2</v>
      </c>
      <c r="AJ79" s="182">
        <v>9.3697640000000026E-2</v>
      </c>
      <c r="AK79" s="182">
        <v>4.6426702500000028E-2</v>
      </c>
      <c r="AM79" s="27" t="s">
        <v>135</v>
      </c>
      <c r="AN79" s="7" t="b">
        <f t="shared" si="10"/>
        <v>0</v>
      </c>
      <c r="AP79" s="211">
        <v>-99</v>
      </c>
      <c r="AQ79" s="211">
        <v>-99</v>
      </c>
      <c r="AS79" s="211">
        <v>-99</v>
      </c>
      <c r="AT79" s="211">
        <v>-99</v>
      </c>
      <c r="AU79" s="211">
        <v>-99</v>
      </c>
      <c r="AV79" s="211">
        <v>-99</v>
      </c>
      <c r="AW79" s="211">
        <v>-99</v>
      </c>
      <c r="AX79" s="211">
        <v>-99</v>
      </c>
      <c r="AZ79" s="211">
        <v>-99</v>
      </c>
      <c r="BA79" s="211">
        <v>-99</v>
      </c>
      <c r="BB79" s="211">
        <v>-99</v>
      </c>
      <c r="BC79" s="211">
        <v>-99</v>
      </c>
      <c r="BD79" s="211">
        <v>-99</v>
      </c>
      <c r="BE79" s="211">
        <v>-99</v>
      </c>
      <c r="BG79" s="211">
        <v>-99</v>
      </c>
      <c r="BH79" s="211">
        <v>-99</v>
      </c>
      <c r="BI79" s="211">
        <v>-99</v>
      </c>
      <c r="BJ79" s="211">
        <v>-99</v>
      </c>
      <c r="BK79" s="211">
        <v>-99</v>
      </c>
      <c r="BL79" s="211">
        <v>-99</v>
      </c>
      <c r="BM79" s="211">
        <v>-99</v>
      </c>
      <c r="BN79" s="191">
        <f t="shared" si="11"/>
        <v>8.9727210000000168E-2</v>
      </c>
      <c r="BO79" s="191">
        <f t="shared" si="12"/>
        <v>9.3697640000000026E-2</v>
      </c>
      <c r="BP79" s="191">
        <f t="shared" si="17"/>
        <v>4.6426702500000028E-2</v>
      </c>
      <c r="BQ79" s="171">
        <f t="shared" si="13"/>
        <v>9.2799999999999994E-2</v>
      </c>
      <c r="BR79" s="171">
        <f t="shared" si="14"/>
        <v>0.105</v>
      </c>
      <c r="BS79" s="171">
        <f t="shared" si="15"/>
        <v>8.7799999999999989E-2</v>
      </c>
      <c r="BT79" s="171">
        <f t="shared" si="16"/>
        <v>9.1600000000000001E-2</v>
      </c>
      <c r="BU79" s="171">
        <f t="shared" si="18"/>
        <v>4.5899999999999996E-2</v>
      </c>
    </row>
    <row r="80" spans="1:73" x14ac:dyDescent="0.3">
      <c r="A80" s="209">
        <v>33695</v>
      </c>
      <c r="B80" s="187">
        <v>199204</v>
      </c>
      <c r="C80" s="176">
        <v>9.51</v>
      </c>
      <c r="D80" s="176">
        <v>10.25</v>
      </c>
      <c r="E80" s="176">
        <v>4.67</v>
      </c>
      <c r="F80" s="177">
        <v>83.7</v>
      </c>
      <c r="G80" s="210">
        <v>4.0163934426229453E-2</v>
      </c>
      <c r="H80" s="179">
        <v>8.77</v>
      </c>
      <c r="I80" s="179">
        <v>9.4</v>
      </c>
      <c r="J80" s="210"/>
      <c r="K80" s="182">
        <v>0.09</v>
      </c>
      <c r="L80" s="182">
        <v>4.4999999999999998E-2</v>
      </c>
      <c r="N80" s="182">
        <v>9.7500000000000003E-2</v>
      </c>
      <c r="O80" s="182">
        <v>4.7500000000000001E-2</v>
      </c>
      <c r="Q80" s="182">
        <v>0.09</v>
      </c>
      <c r="R80" s="182">
        <v>0.1</v>
      </c>
      <c r="S80" s="182">
        <v>4.7500000000000001E-2</v>
      </c>
      <c r="T80" s="182">
        <v>5.2499999999999998E-2</v>
      </c>
      <c r="U80" s="182"/>
      <c r="V80" s="194">
        <v>9.4E-2</v>
      </c>
      <c r="W80" s="194">
        <v>0.10400000000000001</v>
      </c>
      <c r="X80" s="194">
        <v>5.1000000000000004E-2</v>
      </c>
      <c r="Y80" s="194">
        <v>5.6000000000000001E-2</v>
      </c>
      <c r="Z80" s="194"/>
      <c r="AA80" s="195">
        <v>9.3618102499999911E-2</v>
      </c>
      <c r="AB80" s="195">
        <v>0.10378808375000004</v>
      </c>
      <c r="AC80" s="195">
        <v>5.0941237186798806E-2</v>
      </c>
      <c r="AD80" s="195">
        <v>5.5982021406600385E-2</v>
      </c>
      <c r="AE80" s="195"/>
      <c r="AF80" s="195">
        <v>0.02</v>
      </c>
      <c r="AG80" s="195">
        <v>0.02</v>
      </c>
      <c r="AI80" s="182">
        <v>8.9622822499999977E-2</v>
      </c>
      <c r="AJ80" s="182">
        <v>9.6208999999999767E-2</v>
      </c>
      <c r="AK80" s="182">
        <v>4.7245222499999961E-2</v>
      </c>
      <c r="AM80" s="27" t="s">
        <v>135</v>
      </c>
      <c r="AN80" s="7" t="b">
        <f t="shared" si="10"/>
        <v>0</v>
      </c>
      <c r="AP80" s="211">
        <v>-99</v>
      </c>
      <c r="AQ80" s="211">
        <v>-99</v>
      </c>
      <c r="AS80" s="211">
        <v>-99</v>
      </c>
      <c r="AT80" s="211">
        <v>-99</v>
      </c>
      <c r="AU80" s="211">
        <v>-99</v>
      </c>
      <c r="AV80" s="211">
        <v>-99</v>
      </c>
      <c r="AW80" s="211">
        <v>-99</v>
      </c>
      <c r="AX80" s="211">
        <v>-99</v>
      </c>
      <c r="AZ80" s="211">
        <v>-99</v>
      </c>
      <c r="BA80" s="211">
        <v>-99</v>
      </c>
      <c r="BB80" s="211">
        <v>-99</v>
      </c>
      <c r="BC80" s="211">
        <v>-99</v>
      </c>
      <c r="BD80" s="211">
        <v>-99</v>
      </c>
      <c r="BE80" s="211">
        <v>-99</v>
      </c>
      <c r="BG80" s="211">
        <v>-99</v>
      </c>
      <c r="BH80" s="211">
        <v>-99</v>
      </c>
      <c r="BI80" s="211">
        <v>-99</v>
      </c>
      <c r="BJ80" s="211">
        <v>-99</v>
      </c>
      <c r="BK80" s="211">
        <v>-99</v>
      </c>
      <c r="BL80" s="211">
        <v>-99</v>
      </c>
      <c r="BM80" s="211">
        <v>-99</v>
      </c>
      <c r="BN80" s="191">
        <f t="shared" si="11"/>
        <v>8.9622822499999977E-2</v>
      </c>
      <c r="BO80" s="191">
        <f t="shared" si="12"/>
        <v>9.6208999999999767E-2</v>
      </c>
      <c r="BP80" s="191">
        <f t="shared" si="17"/>
        <v>4.7245222499999961E-2</v>
      </c>
      <c r="BQ80" s="171">
        <f t="shared" si="13"/>
        <v>9.5100000000000004E-2</v>
      </c>
      <c r="BR80" s="171">
        <f t="shared" si="14"/>
        <v>0.10249999999999999</v>
      </c>
      <c r="BS80" s="171">
        <f t="shared" si="15"/>
        <v>8.77E-2</v>
      </c>
      <c r="BT80" s="171">
        <f t="shared" si="16"/>
        <v>9.4E-2</v>
      </c>
      <c r="BU80" s="171">
        <f t="shared" si="18"/>
        <v>4.6699999999999998E-2</v>
      </c>
    </row>
    <row r="81" spans="1:73" x14ac:dyDescent="0.3">
      <c r="A81" s="209">
        <v>33725</v>
      </c>
      <c r="B81" s="187">
        <v>199205</v>
      </c>
      <c r="C81" s="176">
        <v>9.17</v>
      </c>
      <c r="D81" s="176">
        <v>9.9</v>
      </c>
      <c r="E81" s="176">
        <v>4.67</v>
      </c>
      <c r="F81" s="177">
        <v>83.8</v>
      </c>
      <c r="G81" s="210">
        <v>3.588907014681908E-2</v>
      </c>
      <c r="H81" s="179">
        <v>8.33</v>
      </c>
      <c r="I81" s="179">
        <v>9.07</v>
      </c>
      <c r="J81" s="210"/>
      <c r="K81" s="182">
        <v>9.5000000000000001E-2</v>
      </c>
      <c r="L81" s="182">
        <v>0.06</v>
      </c>
      <c r="N81" s="182">
        <v>0.1</v>
      </c>
      <c r="O81" s="182">
        <v>0.05</v>
      </c>
      <c r="Q81" s="182">
        <v>9.5000000000000001E-2</v>
      </c>
      <c r="R81" s="182">
        <v>0.1</v>
      </c>
      <c r="S81" s="182">
        <v>0.05</v>
      </c>
      <c r="T81" s="182">
        <v>5.2499999999999998E-2</v>
      </c>
      <c r="U81" s="182"/>
      <c r="V81" s="194">
        <v>9.9000000000000005E-2</v>
      </c>
      <c r="W81" s="194">
        <v>0.105</v>
      </c>
      <c r="X81" s="194">
        <v>5.2999999999999999E-2</v>
      </c>
      <c r="Y81" s="194">
        <v>5.6000000000000001E-2</v>
      </c>
      <c r="Z81" s="194"/>
      <c r="AA81" s="195">
        <v>9.8727210000000176E-2</v>
      </c>
      <c r="AB81" s="195">
        <v>0.10468285499999996</v>
      </c>
      <c r="AC81" s="195">
        <v>5.3459374695296859E-2</v>
      </c>
      <c r="AD81" s="195">
        <v>5.6410366402351614E-2</v>
      </c>
      <c r="AE81" s="195"/>
      <c r="AF81" s="195">
        <v>0.02</v>
      </c>
      <c r="AG81" s="195">
        <v>0.02</v>
      </c>
      <c r="AI81" s="182">
        <v>8.5034722499999882E-2</v>
      </c>
      <c r="AJ81" s="182">
        <v>9.2756622500000052E-2</v>
      </c>
      <c r="AK81" s="182">
        <v>4.7245222499999961E-2</v>
      </c>
      <c r="AM81" s="27" t="s">
        <v>135</v>
      </c>
      <c r="AN81" s="7" t="b">
        <f t="shared" si="10"/>
        <v>0</v>
      </c>
      <c r="AP81" s="211">
        <v>-99</v>
      </c>
      <c r="AQ81" s="211">
        <v>-99</v>
      </c>
      <c r="AS81" s="211">
        <v>-99</v>
      </c>
      <c r="AT81" s="211">
        <v>-99</v>
      </c>
      <c r="AU81" s="211">
        <v>-99</v>
      </c>
      <c r="AV81" s="211">
        <v>-99</v>
      </c>
      <c r="AW81" s="211">
        <v>-99</v>
      </c>
      <c r="AX81" s="211">
        <v>-99</v>
      </c>
      <c r="AZ81" s="211">
        <v>-99</v>
      </c>
      <c r="BA81" s="211">
        <v>-99</v>
      </c>
      <c r="BB81" s="211">
        <v>-99</v>
      </c>
      <c r="BC81" s="211">
        <v>-99</v>
      </c>
      <c r="BD81" s="211">
        <v>-99</v>
      </c>
      <c r="BE81" s="211">
        <v>-99</v>
      </c>
      <c r="BG81" s="211">
        <v>-99</v>
      </c>
      <c r="BH81" s="211">
        <v>-99</v>
      </c>
      <c r="BI81" s="211">
        <v>-99</v>
      </c>
      <c r="BJ81" s="211">
        <v>-99</v>
      </c>
      <c r="BK81" s="211">
        <v>-99</v>
      </c>
      <c r="BL81" s="211">
        <v>-99</v>
      </c>
      <c r="BM81" s="211">
        <v>-99</v>
      </c>
      <c r="BN81" s="191">
        <f t="shared" si="11"/>
        <v>8.5034722499999882E-2</v>
      </c>
      <c r="BO81" s="191">
        <f t="shared" si="12"/>
        <v>9.2756622500000052E-2</v>
      </c>
      <c r="BP81" s="191">
        <f t="shared" si="17"/>
        <v>4.7245222499999961E-2</v>
      </c>
      <c r="BQ81" s="171">
        <f t="shared" si="13"/>
        <v>9.1700000000000004E-2</v>
      </c>
      <c r="BR81" s="171">
        <f t="shared" si="14"/>
        <v>9.9000000000000005E-2</v>
      </c>
      <c r="BS81" s="171">
        <f t="shared" si="15"/>
        <v>8.3299999999999999E-2</v>
      </c>
      <c r="BT81" s="171">
        <f t="shared" si="16"/>
        <v>9.0700000000000003E-2</v>
      </c>
      <c r="BU81" s="171">
        <f t="shared" si="18"/>
        <v>4.6699999999999998E-2</v>
      </c>
    </row>
    <row r="82" spans="1:73" x14ac:dyDescent="0.3">
      <c r="A82" s="209">
        <v>33756</v>
      </c>
      <c r="B82" s="187">
        <v>199206</v>
      </c>
      <c r="C82" s="176">
        <v>8.8699999999999992</v>
      </c>
      <c r="D82" s="176">
        <v>9.6300000000000008</v>
      </c>
      <c r="E82" s="176">
        <v>4.71</v>
      </c>
      <c r="F82" s="177">
        <v>84</v>
      </c>
      <c r="G82" s="210">
        <v>3.1655844155844104E-2</v>
      </c>
      <c r="H82" s="179">
        <v>7.82</v>
      </c>
      <c r="I82" s="179">
        <v>8.83</v>
      </c>
      <c r="J82" s="210"/>
      <c r="K82" s="182">
        <v>0.1</v>
      </c>
      <c r="L82" s="182">
        <v>0.06</v>
      </c>
      <c r="N82" s="182">
        <v>0.10249999999999999</v>
      </c>
      <c r="O82" s="182">
        <v>0.05</v>
      </c>
      <c r="Q82" s="182">
        <v>9.5000000000000001E-2</v>
      </c>
      <c r="R82" s="182">
        <v>0.105</v>
      </c>
      <c r="S82" s="182">
        <v>0.05</v>
      </c>
      <c r="T82" s="182">
        <v>5.5E-2</v>
      </c>
      <c r="U82" s="182"/>
      <c r="V82" s="194">
        <v>9.9000000000000005E-2</v>
      </c>
      <c r="W82" s="194">
        <v>0.109</v>
      </c>
      <c r="X82" s="194">
        <v>5.2999999999999999E-2</v>
      </c>
      <c r="Y82" s="194">
        <v>5.8000000000000003E-2</v>
      </c>
      <c r="Z82" s="194"/>
      <c r="AA82" s="195">
        <v>9.8622822499999985E-2</v>
      </c>
      <c r="AB82" s="195">
        <v>0.10850208874999967</v>
      </c>
      <c r="AC82" s="195">
        <v>5.3010957291838731E-2</v>
      </c>
      <c r="AD82" s="195">
        <v>5.7862355104080575E-2</v>
      </c>
      <c r="AE82" s="195"/>
      <c r="AF82" s="195">
        <v>0.02</v>
      </c>
      <c r="AG82" s="195">
        <v>0.02</v>
      </c>
      <c r="AI82" s="182">
        <v>7.9728809999999761E-2</v>
      </c>
      <c r="AJ82" s="182">
        <v>9.0249222499999782E-2</v>
      </c>
      <c r="AK82" s="182">
        <v>4.7654602499999976E-2</v>
      </c>
      <c r="AM82" s="27" t="s">
        <v>135</v>
      </c>
      <c r="AN82" s="7" t="b">
        <f t="shared" si="10"/>
        <v>0</v>
      </c>
      <c r="AP82" s="211">
        <v>-99</v>
      </c>
      <c r="AQ82" s="211">
        <v>-99</v>
      </c>
      <c r="AS82" s="211">
        <v>-99</v>
      </c>
      <c r="AT82" s="211">
        <v>-99</v>
      </c>
      <c r="AU82" s="211">
        <v>-99</v>
      </c>
      <c r="AV82" s="211">
        <v>-99</v>
      </c>
      <c r="AW82" s="211">
        <v>-99</v>
      </c>
      <c r="AX82" s="211">
        <v>-99</v>
      </c>
      <c r="AZ82" s="211">
        <v>-99</v>
      </c>
      <c r="BA82" s="211">
        <v>-99</v>
      </c>
      <c r="BB82" s="211">
        <v>-99</v>
      </c>
      <c r="BC82" s="211">
        <v>-99</v>
      </c>
      <c r="BD82" s="211">
        <v>-99</v>
      </c>
      <c r="BE82" s="211">
        <v>-99</v>
      </c>
      <c r="BG82" s="211">
        <v>-99</v>
      </c>
      <c r="BH82" s="211">
        <v>-99</v>
      </c>
      <c r="BI82" s="211">
        <v>-99</v>
      </c>
      <c r="BJ82" s="211">
        <v>-99</v>
      </c>
      <c r="BK82" s="211">
        <v>-99</v>
      </c>
      <c r="BL82" s="211">
        <v>-99</v>
      </c>
      <c r="BM82" s="211">
        <v>-99</v>
      </c>
      <c r="BN82" s="191">
        <f t="shared" si="11"/>
        <v>7.9728809999999761E-2</v>
      </c>
      <c r="BO82" s="191">
        <f t="shared" si="12"/>
        <v>9.0249222499999782E-2</v>
      </c>
      <c r="BP82" s="191">
        <f t="shared" si="17"/>
        <v>4.7654602499999976E-2</v>
      </c>
      <c r="BQ82" s="171">
        <f t="shared" si="13"/>
        <v>8.8699999999999987E-2</v>
      </c>
      <c r="BR82" s="171">
        <f t="shared" si="14"/>
        <v>9.6300000000000011E-2</v>
      </c>
      <c r="BS82" s="171">
        <f t="shared" si="15"/>
        <v>7.8200000000000006E-2</v>
      </c>
      <c r="BT82" s="171">
        <f t="shared" si="16"/>
        <v>8.8300000000000003E-2</v>
      </c>
      <c r="BU82" s="171">
        <f t="shared" si="18"/>
        <v>4.7100000000000003E-2</v>
      </c>
    </row>
    <row r="83" spans="1:73" x14ac:dyDescent="0.3">
      <c r="A83" s="209">
        <v>33786</v>
      </c>
      <c r="B83" s="187">
        <v>199207</v>
      </c>
      <c r="C83" s="176">
        <v>8.2100000000000009</v>
      </c>
      <c r="D83" s="176">
        <v>8.8800000000000008</v>
      </c>
      <c r="E83" s="176">
        <v>4.67</v>
      </c>
      <c r="F83" s="177">
        <v>84.2</v>
      </c>
      <c r="G83" s="210">
        <v>2.8271405492730217E-2</v>
      </c>
      <c r="H83" s="179">
        <v>6.95</v>
      </c>
      <c r="I83" s="179">
        <v>8.34</v>
      </c>
      <c r="J83" s="210"/>
      <c r="K83" s="182">
        <v>9.5000000000000001E-2</v>
      </c>
      <c r="L83" s="182">
        <v>0.06</v>
      </c>
      <c r="N83" s="182">
        <v>0.1</v>
      </c>
      <c r="O83" s="182">
        <v>0.05</v>
      </c>
      <c r="Q83" s="182">
        <v>0.09</v>
      </c>
      <c r="R83" s="182">
        <v>0.10249999999999999</v>
      </c>
      <c r="S83" s="182">
        <v>4.7500000000000001E-2</v>
      </c>
      <c r="T83" s="182">
        <v>5.5E-2</v>
      </c>
      <c r="U83" s="182"/>
      <c r="V83" s="194">
        <v>9.4E-2</v>
      </c>
      <c r="W83" s="194">
        <v>0.106</v>
      </c>
      <c r="X83" s="194">
        <v>5.2000000000000005E-2</v>
      </c>
      <c r="Y83" s="194">
        <v>5.8000000000000003E-2</v>
      </c>
      <c r="Z83" s="194"/>
      <c r="AA83" s="195">
        <v>9.403472249999989E-2</v>
      </c>
      <c r="AB83" s="195">
        <v>0.10561757250000015</v>
      </c>
      <c r="AC83" s="195">
        <v>5.2312102968585829E-2</v>
      </c>
      <c r="AD83" s="195">
        <v>5.8211782265707029E-2</v>
      </c>
      <c r="AE83" s="195"/>
      <c r="AF83" s="195">
        <v>1.9824260983844155E-2</v>
      </c>
      <c r="AG83" s="195">
        <v>0.02</v>
      </c>
      <c r="AI83" s="182">
        <v>7.0707562500000209E-2</v>
      </c>
      <c r="AJ83" s="182">
        <v>8.5138890000000078E-2</v>
      </c>
      <c r="AK83" s="182">
        <v>4.7245222499999961E-2</v>
      </c>
      <c r="AM83" s="27" t="s">
        <v>135</v>
      </c>
      <c r="AN83" s="7" t="b">
        <f t="shared" si="10"/>
        <v>0</v>
      </c>
      <c r="AP83" s="211">
        <v>-99</v>
      </c>
      <c r="AQ83" s="211">
        <v>-99</v>
      </c>
      <c r="AS83" s="211">
        <v>-99</v>
      </c>
      <c r="AT83" s="211">
        <v>-99</v>
      </c>
      <c r="AU83" s="211">
        <v>-99</v>
      </c>
      <c r="AV83" s="211">
        <v>-99</v>
      </c>
      <c r="AW83" s="211">
        <v>-99</v>
      </c>
      <c r="AX83" s="211">
        <v>-99</v>
      </c>
      <c r="AZ83" s="211">
        <v>-99</v>
      </c>
      <c r="BA83" s="211">
        <v>-99</v>
      </c>
      <c r="BB83" s="211">
        <v>-99</v>
      </c>
      <c r="BC83" s="211">
        <v>-99</v>
      </c>
      <c r="BD83" s="211">
        <v>-99</v>
      </c>
      <c r="BE83" s="211">
        <v>-99</v>
      </c>
      <c r="BG83" s="211">
        <v>-99</v>
      </c>
      <c r="BH83" s="211">
        <v>-99</v>
      </c>
      <c r="BI83" s="211">
        <v>-99</v>
      </c>
      <c r="BJ83" s="211">
        <v>-99</v>
      </c>
      <c r="BK83" s="211">
        <v>-99</v>
      </c>
      <c r="BL83" s="211">
        <v>-99</v>
      </c>
      <c r="BM83" s="211">
        <v>-99</v>
      </c>
      <c r="BN83" s="191">
        <f t="shared" si="11"/>
        <v>7.0707562500000209E-2</v>
      </c>
      <c r="BO83" s="191">
        <f t="shared" si="12"/>
        <v>8.5138890000000078E-2</v>
      </c>
      <c r="BP83" s="191">
        <f t="shared" si="17"/>
        <v>4.7245222499999961E-2</v>
      </c>
      <c r="BQ83" s="171">
        <f t="shared" si="13"/>
        <v>8.2100000000000006E-2</v>
      </c>
      <c r="BR83" s="171">
        <f t="shared" si="14"/>
        <v>8.8800000000000004E-2</v>
      </c>
      <c r="BS83" s="171">
        <f t="shared" si="15"/>
        <v>6.9500000000000006E-2</v>
      </c>
      <c r="BT83" s="171">
        <f t="shared" si="16"/>
        <v>8.3400000000000002E-2</v>
      </c>
      <c r="BU83" s="171">
        <f t="shared" si="18"/>
        <v>4.6699999999999998E-2</v>
      </c>
    </row>
    <row r="84" spans="1:73" x14ac:dyDescent="0.3">
      <c r="A84" s="209">
        <v>33817</v>
      </c>
      <c r="B84" s="187">
        <v>199208</v>
      </c>
      <c r="C84" s="176">
        <v>8.19</v>
      </c>
      <c r="D84" s="176">
        <v>8.75</v>
      </c>
      <c r="E84" s="176">
        <v>4.67</v>
      </c>
      <c r="F84" s="177">
        <v>84.2</v>
      </c>
      <c r="G84" s="210">
        <v>2.4115755627009738E-2</v>
      </c>
      <c r="H84" s="179">
        <v>6.96</v>
      </c>
      <c r="I84" s="179">
        <v>8.1199999999999992</v>
      </c>
      <c r="J84" s="210"/>
      <c r="K84" s="182">
        <v>0.09</v>
      </c>
      <c r="L84" s="182">
        <v>0.06</v>
      </c>
      <c r="N84" s="182">
        <v>9.5000000000000001E-2</v>
      </c>
      <c r="O84" s="182">
        <v>0.05</v>
      </c>
      <c r="Q84" s="182">
        <v>8.5000000000000006E-2</v>
      </c>
      <c r="R84" s="182">
        <v>0.1</v>
      </c>
      <c r="S84" s="182">
        <v>4.7500000000000001E-2</v>
      </c>
      <c r="T84" s="182">
        <v>5.5E-2</v>
      </c>
      <c r="U84" s="182"/>
      <c r="V84" s="194">
        <v>8.8999999999999996E-2</v>
      </c>
      <c r="W84" s="194">
        <v>0.105</v>
      </c>
      <c r="X84" s="194">
        <v>5.1000000000000004E-2</v>
      </c>
      <c r="Y84" s="194">
        <v>5.9000000000000004E-2</v>
      </c>
      <c r="Z84" s="194"/>
      <c r="AA84" s="195">
        <v>8.8728809999999769E-2</v>
      </c>
      <c r="AB84" s="195">
        <v>0.1045094287499998</v>
      </c>
      <c r="AC84" s="195">
        <v>5.1099473470234281E-2</v>
      </c>
      <c r="AD84" s="195">
        <v>5.9432167014882825E-2</v>
      </c>
      <c r="AE84" s="195"/>
      <c r="AF84" s="195">
        <v>1.7899988288230695E-2</v>
      </c>
      <c r="AG84" s="195">
        <v>0.02</v>
      </c>
      <c r="AI84" s="182">
        <v>7.0811039999999936E-2</v>
      </c>
      <c r="AJ84" s="182">
        <v>8.2848359999999843E-2</v>
      </c>
      <c r="AK84" s="182">
        <v>4.7245222499999961E-2</v>
      </c>
      <c r="AM84" s="27" t="s">
        <v>135</v>
      </c>
      <c r="AN84" s="7" t="b">
        <f t="shared" si="10"/>
        <v>0</v>
      </c>
      <c r="AP84" s="211">
        <v>-99</v>
      </c>
      <c r="AQ84" s="211">
        <v>-99</v>
      </c>
      <c r="AS84" s="211">
        <v>-99</v>
      </c>
      <c r="AT84" s="211">
        <v>-99</v>
      </c>
      <c r="AU84" s="211">
        <v>-99</v>
      </c>
      <c r="AV84" s="211">
        <v>-99</v>
      </c>
      <c r="AW84" s="211">
        <v>-99</v>
      </c>
      <c r="AX84" s="211">
        <v>-99</v>
      </c>
      <c r="AZ84" s="211">
        <v>-99</v>
      </c>
      <c r="BA84" s="211">
        <v>-99</v>
      </c>
      <c r="BB84" s="211">
        <v>-99</v>
      </c>
      <c r="BC84" s="211">
        <v>-99</v>
      </c>
      <c r="BD84" s="211">
        <v>-99</v>
      </c>
      <c r="BE84" s="211">
        <v>-99</v>
      </c>
      <c r="BG84" s="211">
        <v>-99</v>
      </c>
      <c r="BH84" s="211">
        <v>-99</v>
      </c>
      <c r="BI84" s="211">
        <v>-99</v>
      </c>
      <c r="BJ84" s="211">
        <v>-99</v>
      </c>
      <c r="BK84" s="211">
        <v>-99</v>
      </c>
      <c r="BL84" s="211">
        <v>-99</v>
      </c>
      <c r="BM84" s="211">
        <v>-99</v>
      </c>
      <c r="BN84" s="191">
        <f t="shared" si="11"/>
        <v>7.0811039999999936E-2</v>
      </c>
      <c r="BO84" s="191">
        <f t="shared" si="12"/>
        <v>8.2848359999999843E-2</v>
      </c>
      <c r="BP84" s="191">
        <f t="shared" si="17"/>
        <v>4.7245222499999961E-2</v>
      </c>
      <c r="BQ84" s="171">
        <f t="shared" si="13"/>
        <v>8.1900000000000001E-2</v>
      </c>
      <c r="BR84" s="171">
        <f t="shared" si="14"/>
        <v>8.7499999999999994E-2</v>
      </c>
      <c r="BS84" s="171">
        <f t="shared" si="15"/>
        <v>6.9599999999999995E-2</v>
      </c>
      <c r="BT84" s="171">
        <f t="shared" si="16"/>
        <v>8.1199999999999994E-2</v>
      </c>
      <c r="BU84" s="171">
        <f t="shared" si="18"/>
        <v>4.6699999999999998E-2</v>
      </c>
    </row>
    <row r="85" spans="1:73" x14ac:dyDescent="0.3">
      <c r="A85" s="209">
        <v>33848</v>
      </c>
      <c r="B85" s="187">
        <v>199209</v>
      </c>
      <c r="C85" s="176">
        <v>8.5299999999999994</v>
      </c>
      <c r="D85" s="176">
        <v>8.5</v>
      </c>
      <c r="E85" s="176">
        <v>4.6100000000000003</v>
      </c>
      <c r="F85" s="177">
        <v>84.2</v>
      </c>
      <c r="G85" s="210">
        <v>2.0816653322658141E-2</v>
      </c>
      <c r="H85" s="179">
        <v>7.86</v>
      </c>
      <c r="I85" s="179">
        <v>8.33</v>
      </c>
      <c r="J85" s="210"/>
      <c r="K85" s="182">
        <v>8.5000000000000006E-2</v>
      </c>
      <c r="L85" s="182">
        <v>0.06</v>
      </c>
      <c r="N85" s="182">
        <v>0.09</v>
      </c>
      <c r="O85" s="182">
        <v>0.05</v>
      </c>
      <c r="Q85" s="182">
        <v>7.4999999999999997E-2</v>
      </c>
      <c r="R85" s="182">
        <v>9.7500000000000003E-2</v>
      </c>
      <c r="S85" s="182">
        <v>4.4999999999999998E-2</v>
      </c>
      <c r="T85" s="182">
        <v>5.5E-2</v>
      </c>
      <c r="U85" s="182"/>
      <c r="V85" s="194">
        <v>0.08</v>
      </c>
      <c r="W85" s="194">
        <v>0.10100000000000001</v>
      </c>
      <c r="X85" s="194">
        <v>4.8000000000000001E-2</v>
      </c>
      <c r="Y85" s="194">
        <v>0.06</v>
      </c>
      <c r="Z85" s="194"/>
      <c r="AA85" s="195">
        <v>7.9707562500000217E-2</v>
      </c>
      <c r="AB85" s="195">
        <v>0.10135455375000002</v>
      </c>
      <c r="AC85" s="195">
        <v>4.8236998776295538E-2</v>
      </c>
      <c r="AD85" s="195">
        <v>6.0249334361852175E-2</v>
      </c>
      <c r="AE85" s="195"/>
      <c r="AF85" s="195">
        <v>1.5011187241264712E-2</v>
      </c>
      <c r="AG85" s="195">
        <v>1.938469473922777E-2</v>
      </c>
      <c r="AI85" s="182">
        <v>8.014448999999968E-2</v>
      </c>
      <c r="AJ85" s="182">
        <v>8.5034722499999882E-2</v>
      </c>
      <c r="AK85" s="182">
        <v>4.6631302500000027E-2</v>
      </c>
      <c r="AM85" s="27" t="s">
        <v>135</v>
      </c>
      <c r="AN85" s="7" t="b">
        <f t="shared" si="10"/>
        <v>0</v>
      </c>
      <c r="AP85" s="211">
        <v>-99</v>
      </c>
      <c r="AQ85" s="211">
        <v>-99</v>
      </c>
      <c r="AS85" s="211">
        <v>-99</v>
      </c>
      <c r="AT85" s="211">
        <v>-99</v>
      </c>
      <c r="AU85" s="211">
        <v>-99</v>
      </c>
      <c r="AV85" s="211">
        <v>-99</v>
      </c>
      <c r="AW85" s="211">
        <v>-99</v>
      </c>
      <c r="AX85" s="211">
        <v>-99</v>
      </c>
      <c r="AZ85" s="211">
        <v>-99</v>
      </c>
      <c r="BA85" s="211">
        <v>-99</v>
      </c>
      <c r="BB85" s="211">
        <v>-99</v>
      </c>
      <c r="BC85" s="211">
        <v>-99</v>
      </c>
      <c r="BD85" s="211">
        <v>-99</v>
      </c>
      <c r="BE85" s="211">
        <v>-99</v>
      </c>
      <c r="BG85" s="211">
        <v>-99</v>
      </c>
      <c r="BH85" s="211">
        <v>-99</v>
      </c>
      <c r="BI85" s="211">
        <v>-99</v>
      </c>
      <c r="BJ85" s="211">
        <v>-99</v>
      </c>
      <c r="BK85" s="211">
        <v>-99</v>
      </c>
      <c r="BL85" s="211">
        <v>-99</v>
      </c>
      <c r="BM85" s="211">
        <v>-99</v>
      </c>
      <c r="BN85" s="191">
        <f t="shared" si="11"/>
        <v>8.014448999999968E-2</v>
      </c>
      <c r="BO85" s="191">
        <f t="shared" si="12"/>
        <v>8.5034722499999882E-2</v>
      </c>
      <c r="BP85" s="191">
        <f t="shared" si="17"/>
        <v>4.6631302500000027E-2</v>
      </c>
      <c r="BQ85" s="171">
        <f t="shared" si="13"/>
        <v>8.5299999999999987E-2</v>
      </c>
      <c r="BR85" s="171">
        <f t="shared" si="14"/>
        <v>8.5000000000000006E-2</v>
      </c>
      <c r="BS85" s="171">
        <f t="shared" si="15"/>
        <v>7.8600000000000003E-2</v>
      </c>
      <c r="BT85" s="171">
        <f t="shared" si="16"/>
        <v>8.3299999999999999E-2</v>
      </c>
      <c r="BU85" s="171">
        <f t="shared" si="18"/>
        <v>4.6100000000000002E-2</v>
      </c>
    </row>
    <row r="86" spans="1:73" x14ac:dyDescent="0.3">
      <c r="A86" s="209">
        <v>33878</v>
      </c>
      <c r="B86" s="187">
        <v>199210</v>
      </c>
      <c r="C86" s="176">
        <v>8.33</v>
      </c>
      <c r="D86" s="176">
        <v>9.25</v>
      </c>
      <c r="E86" s="176">
        <v>4.5999999999999996</v>
      </c>
      <c r="F86" s="177">
        <v>84.3</v>
      </c>
      <c r="G86" s="210">
        <v>1.8341307814992103E-2</v>
      </c>
      <c r="H86" s="179">
        <v>7.37</v>
      </c>
      <c r="I86" s="179">
        <v>8.2100000000000009</v>
      </c>
      <c r="J86" s="210"/>
      <c r="K86" s="182">
        <v>8.5000000000000006E-2</v>
      </c>
      <c r="L86" s="182">
        <v>0.06</v>
      </c>
      <c r="N86" s="182">
        <v>0.09</v>
      </c>
      <c r="O86" s="182">
        <v>0.05</v>
      </c>
      <c r="Q86" s="182">
        <v>7.4999999999999997E-2</v>
      </c>
      <c r="R86" s="182">
        <v>9.5000000000000001E-2</v>
      </c>
      <c r="S86" s="182">
        <v>4.4999999999999998E-2</v>
      </c>
      <c r="T86" s="182">
        <v>5.5E-2</v>
      </c>
      <c r="U86" s="182"/>
      <c r="V86" s="194">
        <v>0.08</v>
      </c>
      <c r="W86" s="194">
        <v>9.8000000000000004E-2</v>
      </c>
      <c r="X86" s="194">
        <v>4.9000000000000002E-2</v>
      </c>
      <c r="Y86" s="194">
        <v>0.06</v>
      </c>
      <c r="Z86" s="194"/>
      <c r="AA86" s="195">
        <v>7.9811039999999944E-2</v>
      </c>
      <c r="AB86" s="195">
        <v>9.7867019999999805E-2</v>
      </c>
      <c r="AC86" s="195">
        <v>4.9380803437224355E-2</v>
      </c>
      <c r="AD86" s="195">
        <v>5.9677432031387763E-2</v>
      </c>
      <c r="AE86" s="195"/>
      <c r="AF86" s="195">
        <v>1.4499139141435635E-2</v>
      </c>
      <c r="AG86" s="195">
        <v>1.8019440074043658E-2</v>
      </c>
      <c r="AI86" s="182">
        <v>7.5057922500000096E-2</v>
      </c>
      <c r="AJ86" s="182">
        <v>8.3785102500000042E-2</v>
      </c>
      <c r="AK86" s="182">
        <v>4.6528999999999821E-2</v>
      </c>
      <c r="AM86" s="27" t="s">
        <v>135</v>
      </c>
      <c r="AN86" s="7" t="b">
        <f t="shared" si="10"/>
        <v>0</v>
      </c>
      <c r="AP86" s="211">
        <v>-99</v>
      </c>
      <c r="AQ86" s="211">
        <v>-99</v>
      </c>
      <c r="AS86" s="211">
        <v>-99</v>
      </c>
      <c r="AT86" s="211">
        <v>-99</v>
      </c>
      <c r="AU86" s="211">
        <v>-99</v>
      </c>
      <c r="AV86" s="211">
        <v>-99</v>
      </c>
      <c r="AW86" s="211">
        <v>-99</v>
      </c>
      <c r="AX86" s="211">
        <v>-99</v>
      </c>
      <c r="AZ86" s="211">
        <v>-99</v>
      </c>
      <c r="BA86" s="211">
        <v>-99</v>
      </c>
      <c r="BB86" s="211">
        <v>-99</v>
      </c>
      <c r="BC86" s="211">
        <v>-99</v>
      </c>
      <c r="BD86" s="211">
        <v>-99</v>
      </c>
      <c r="BE86" s="211">
        <v>-99</v>
      </c>
      <c r="BG86" s="211">
        <v>-99</v>
      </c>
      <c r="BH86" s="211">
        <v>-99</v>
      </c>
      <c r="BI86" s="211">
        <v>-99</v>
      </c>
      <c r="BJ86" s="211">
        <v>-99</v>
      </c>
      <c r="BK86" s="211">
        <v>-99</v>
      </c>
      <c r="BL86" s="211">
        <v>-99</v>
      </c>
      <c r="BM86" s="211">
        <v>-99</v>
      </c>
      <c r="BN86" s="191">
        <f t="shared" si="11"/>
        <v>7.5057922500000096E-2</v>
      </c>
      <c r="BO86" s="191">
        <f t="shared" si="12"/>
        <v>8.3785102500000042E-2</v>
      </c>
      <c r="BP86" s="191">
        <f t="shared" si="17"/>
        <v>4.6528999999999821E-2</v>
      </c>
      <c r="BQ86" s="171">
        <f t="shared" si="13"/>
        <v>8.3299999999999999E-2</v>
      </c>
      <c r="BR86" s="171">
        <f t="shared" si="14"/>
        <v>9.2499999999999999E-2</v>
      </c>
      <c r="BS86" s="171">
        <f t="shared" si="15"/>
        <v>7.3700000000000002E-2</v>
      </c>
      <c r="BT86" s="171">
        <f t="shared" si="16"/>
        <v>8.2100000000000006E-2</v>
      </c>
      <c r="BU86" s="171">
        <f t="shared" si="18"/>
        <v>4.5999999999999999E-2</v>
      </c>
    </row>
    <row r="87" spans="1:73" x14ac:dyDescent="0.3">
      <c r="A87" s="209">
        <v>33909</v>
      </c>
      <c r="B87" s="187">
        <v>199211</v>
      </c>
      <c r="C87" s="176">
        <v>8.66</v>
      </c>
      <c r="D87" s="176">
        <v>9.5</v>
      </c>
      <c r="E87" s="176">
        <v>4.62</v>
      </c>
      <c r="F87" s="177">
        <v>84.7</v>
      </c>
      <c r="G87" s="210">
        <v>1.6693163751987372E-2</v>
      </c>
      <c r="H87" s="179">
        <v>7.92</v>
      </c>
      <c r="I87" s="179">
        <v>8.5</v>
      </c>
      <c r="J87" s="210"/>
      <c r="K87" s="182">
        <v>0.09</v>
      </c>
      <c r="L87" s="182">
        <v>0.06</v>
      </c>
      <c r="N87" s="182">
        <v>9.2499999999999999E-2</v>
      </c>
      <c r="O87" s="182">
        <v>0.05</v>
      </c>
      <c r="Q87" s="182">
        <v>8.5000000000000006E-2</v>
      </c>
      <c r="R87" s="182">
        <v>9.2499999999999999E-2</v>
      </c>
      <c r="S87" s="182">
        <v>0.05</v>
      </c>
      <c r="T87" s="182">
        <v>5.2499999999999998E-2</v>
      </c>
      <c r="U87" s="182"/>
      <c r="V87" s="194">
        <v>8.8999999999999996E-2</v>
      </c>
      <c r="W87" s="194">
        <v>9.6000000000000002E-2</v>
      </c>
      <c r="X87" s="194">
        <v>5.2999999999999999E-2</v>
      </c>
      <c r="Y87" s="194">
        <v>5.7000000000000002E-2</v>
      </c>
      <c r="Z87" s="194"/>
      <c r="AA87" s="195">
        <v>8.9144489999999688E-2</v>
      </c>
      <c r="AB87" s="195">
        <v>9.6479838749999991E-2</v>
      </c>
      <c r="AC87" s="195">
        <v>5.2949599022895824E-2</v>
      </c>
      <c r="AD87" s="195">
        <v>5.6972154238552127E-2</v>
      </c>
      <c r="AE87" s="195"/>
      <c r="AF87" s="195">
        <v>1.7187380578658096E-2</v>
      </c>
      <c r="AG87" s="195">
        <v>1.8689084832092639E-2</v>
      </c>
      <c r="AI87" s="182">
        <v>8.0768160000000089E-2</v>
      </c>
      <c r="AJ87" s="182">
        <v>8.6806249999999974E-2</v>
      </c>
      <c r="AK87" s="182">
        <v>4.6733609999999759E-2</v>
      </c>
      <c r="AM87" s="27" t="s">
        <v>135</v>
      </c>
      <c r="AN87" s="7" t="b">
        <f t="shared" si="10"/>
        <v>0</v>
      </c>
      <c r="AP87" s="211">
        <v>-99</v>
      </c>
      <c r="AQ87" s="211">
        <v>-99</v>
      </c>
      <c r="AS87" s="211">
        <v>-99</v>
      </c>
      <c r="AT87" s="211">
        <v>-99</v>
      </c>
      <c r="AU87" s="211">
        <v>-99</v>
      </c>
      <c r="AV87" s="211">
        <v>-99</v>
      </c>
      <c r="AW87" s="211">
        <v>-99</v>
      </c>
      <c r="AX87" s="211">
        <v>-99</v>
      </c>
      <c r="AZ87" s="211">
        <v>-99</v>
      </c>
      <c r="BA87" s="211">
        <v>-99</v>
      </c>
      <c r="BB87" s="211">
        <v>-99</v>
      </c>
      <c r="BC87" s="211">
        <v>-99</v>
      </c>
      <c r="BD87" s="211">
        <v>-99</v>
      </c>
      <c r="BE87" s="211">
        <v>-99</v>
      </c>
      <c r="BG87" s="211">
        <v>-99</v>
      </c>
      <c r="BH87" s="211">
        <v>-99</v>
      </c>
      <c r="BI87" s="211">
        <v>-99</v>
      </c>
      <c r="BJ87" s="211">
        <v>-99</v>
      </c>
      <c r="BK87" s="211">
        <v>-99</v>
      </c>
      <c r="BL87" s="211">
        <v>-99</v>
      </c>
      <c r="BM87" s="211">
        <v>-99</v>
      </c>
      <c r="BN87" s="191">
        <f t="shared" si="11"/>
        <v>8.0768160000000089E-2</v>
      </c>
      <c r="BO87" s="191">
        <f t="shared" si="12"/>
        <v>8.6806249999999974E-2</v>
      </c>
      <c r="BP87" s="191">
        <f t="shared" si="17"/>
        <v>4.6733609999999759E-2</v>
      </c>
      <c r="BQ87" s="171">
        <f t="shared" si="13"/>
        <v>8.6599999999999996E-2</v>
      </c>
      <c r="BR87" s="171">
        <f t="shared" si="14"/>
        <v>9.5000000000000001E-2</v>
      </c>
      <c r="BS87" s="171">
        <f t="shared" si="15"/>
        <v>7.9199999999999993E-2</v>
      </c>
      <c r="BT87" s="171">
        <f t="shared" si="16"/>
        <v>8.5000000000000006E-2</v>
      </c>
      <c r="BU87" s="171">
        <f t="shared" si="18"/>
        <v>4.6199999999999998E-2</v>
      </c>
    </row>
    <row r="88" spans="1:73" x14ac:dyDescent="0.3">
      <c r="A88" s="212">
        <v>33939</v>
      </c>
      <c r="B88" s="187">
        <v>199212</v>
      </c>
      <c r="C88" s="213">
        <v>8.5399999999999991</v>
      </c>
      <c r="D88" s="213">
        <v>9.5</v>
      </c>
      <c r="E88" s="213">
        <v>4.62</v>
      </c>
      <c r="F88" s="177">
        <v>84.7</v>
      </c>
      <c r="G88" s="214">
        <v>1.5055467511885912E-2</v>
      </c>
      <c r="H88" s="215">
        <v>7.84</v>
      </c>
      <c r="I88" s="215">
        <v>8.36</v>
      </c>
      <c r="J88" s="214"/>
      <c r="K88" s="216">
        <v>8.5000000000000006E-2</v>
      </c>
      <c r="L88" s="216">
        <v>7.0000000000000007E-2</v>
      </c>
      <c r="M88" s="216"/>
      <c r="N88" s="216">
        <v>0.09</v>
      </c>
      <c r="O88" s="216">
        <v>0.05</v>
      </c>
      <c r="P88" s="217"/>
      <c r="Q88" s="182">
        <v>0.08</v>
      </c>
      <c r="R88" s="182">
        <v>9.2499999999999999E-2</v>
      </c>
      <c r="S88" s="182">
        <v>4.7500000000000001E-2</v>
      </c>
      <c r="T88" s="182">
        <v>5.5E-2</v>
      </c>
      <c r="U88" s="182"/>
      <c r="V88" s="194">
        <v>8.4000000000000005E-2</v>
      </c>
      <c r="W88" s="194">
        <v>9.7000000000000003E-2</v>
      </c>
      <c r="X88" s="194">
        <v>5.1000000000000004E-2</v>
      </c>
      <c r="Y88" s="194">
        <v>5.8000000000000003E-2</v>
      </c>
      <c r="Z88" s="194"/>
      <c r="AA88" s="195">
        <v>8.4057922500000104E-2</v>
      </c>
      <c r="AB88" s="195">
        <v>9.7148692500000022E-2</v>
      </c>
      <c r="AC88" s="195">
        <v>5.0682470651658977E-2</v>
      </c>
      <c r="AD88" s="195">
        <v>5.7952264674170244E-2</v>
      </c>
      <c r="AE88" s="195"/>
      <c r="AF88" s="195">
        <v>1.5882748965841631E-2</v>
      </c>
      <c r="AG88" s="195">
        <v>1.8524667480106838E-2</v>
      </c>
      <c r="AI88" s="182">
        <v>7.9936639999999892E-2</v>
      </c>
      <c r="AJ88" s="182">
        <v>8.5347240000000157E-2</v>
      </c>
      <c r="AK88" s="182">
        <v>4.6733609999999759E-2</v>
      </c>
      <c r="AM88" s="27" t="s">
        <v>135</v>
      </c>
      <c r="AN88" s="7" t="b">
        <f t="shared" si="10"/>
        <v>0</v>
      </c>
      <c r="AP88" s="211">
        <v>-99</v>
      </c>
      <c r="AQ88" s="211">
        <v>-99</v>
      </c>
      <c r="AS88" s="211">
        <v>-99</v>
      </c>
      <c r="AT88" s="211">
        <v>-99</v>
      </c>
      <c r="AU88" s="211">
        <v>-99</v>
      </c>
      <c r="AV88" s="211">
        <v>-99</v>
      </c>
      <c r="AW88" s="211">
        <v>-99</v>
      </c>
      <c r="AX88" s="211">
        <v>-99</v>
      </c>
      <c r="AZ88" s="211">
        <v>-99</v>
      </c>
      <c r="BA88" s="211">
        <v>-99</v>
      </c>
      <c r="BB88" s="211">
        <v>-99</v>
      </c>
      <c r="BC88" s="211">
        <v>-99</v>
      </c>
      <c r="BD88" s="211">
        <v>-99</v>
      </c>
      <c r="BE88" s="211">
        <v>-99</v>
      </c>
      <c r="BG88" s="211">
        <v>-99</v>
      </c>
      <c r="BH88" s="211">
        <v>-99</v>
      </c>
      <c r="BI88" s="211">
        <v>-99</v>
      </c>
      <c r="BJ88" s="211">
        <v>-99</v>
      </c>
      <c r="BK88" s="211">
        <v>-99</v>
      </c>
      <c r="BL88" s="211">
        <v>-99</v>
      </c>
      <c r="BM88" s="211">
        <v>-99</v>
      </c>
      <c r="BN88" s="191">
        <f t="shared" si="11"/>
        <v>7.9936639999999892E-2</v>
      </c>
      <c r="BO88" s="191">
        <f t="shared" si="12"/>
        <v>8.5347240000000157E-2</v>
      </c>
      <c r="BP88" s="191">
        <f t="shared" si="17"/>
        <v>4.6733609999999759E-2</v>
      </c>
      <c r="BQ88" s="171">
        <f t="shared" si="13"/>
        <v>8.539999999999999E-2</v>
      </c>
      <c r="BR88" s="171">
        <f t="shared" si="14"/>
        <v>9.5000000000000001E-2</v>
      </c>
      <c r="BS88" s="171">
        <f t="shared" si="15"/>
        <v>7.8399999999999997E-2</v>
      </c>
      <c r="BT88" s="171">
        <f t="shared" si="16"/>
        <v>8.3599999999999994E-2</v>
      </c>
      <c r="BU88" s="171">
        <f t="shared" si="18"/>
        <v>4.6199999999999998E-2</v>
      </c>
    </row>
    <row r="89" spans="1:73" x14ac:dyDescent="0.3">
      <c r="A89" s="209">
        <v>33970</v>
      </c>
      <c r="B89" s="187">
        <v>199301</v>
      </c>
      <c r="C89" s="176">
        <v>8.67</v>
      </c>
      <c r="D89" s="176">
        <v>9.5</v>
      </c>
      <c r="E89" s="176">
        <v>4.5999999999999996</v>
      </c>
      <c r="F89" s="177">
        <v>85</v>
      </c>
      <c r="G89" s="210">
        <v>1.5835312747426888E-2</v>
      </c>
      <c r="H89" s="179">
        <v>7.9</v>
      </c>
      <c r="I89" s="179">
        <v>8.51</v>
      </c>
      <c r="J89" s="210"/>
      <c r="K89" s="182">
        <v>0.09</v>
      </c>
      <c r="L89" s="182">
        <v>7.4999999999999997E-2</v>
      </c>
      <c r="N89" s="182">
        <v>9.2499999999999999E-2</v>
      </c>
      <c r="O89" s="182">
        <v>0.05</v>
      </c>
      <c r="Q89" s="182">
        <v>8.5000000000000006E-2</v>
      </c>
      <c r="R89" s="182">
        <v>9.5000000000000001E-2</v>
      </c>
      <c r="S89" s="182">
        <v>4.7500000000000001E-2</v>
      </c>
      <c r="T89" s="182">
        <v>5.2499999999999998E-2</v>
      </c>
      <c r="U89" s="182"/>
      <c r="V89" s="194">
        <v>0.09</v>
      </c>
      <c r="W89" s="194">
        <v>9.9000000000000005E-2</v>
      </c>
      <c r="X89" s="194">
        <v>5.2000000000000005E-2</v>
      </c>
      <c r="Y89" s="194">
        <v>5.7000000000000002E-2</v>
      </c>
      <c r="Z89" s="194"/>
      <c r="AA89" s="195">
        <v>8.9768160000000097E-2</v>
      </c>
      <c r="AB89" s="195">
        <v>9.8825294999999924E-2</v>
      </c>
      <c r="AC89" s="195">
        <v>5.2482902323940803E-2</v>
      </c>
      <c r="AD89" s="195">
        <v>5.7358963838029235E-2</v>
      </c>
      <c r="AE89" s="195"/>
      <c r="AF89" s="195">
        <v>1.771299922959868E-2</v>
      </c>
      <c r="AG89" s="195">
        <v>1.9608445466549607E-2</v>
      </c>
      <c r="AI89" s="182">
        <v>8.0560250000000222E-2</v>
      </c>
      <c r="AJ89" s="182">
        <v>8.6910502500000097E-2</v>
      </c>
      <c r="AK89" s="182">
        <v>4.6528999999999821E-2</v>
      </c>
      <c r="AM89" s="27" t="s">
        <v>135</v>
      </c>
      <c r="AN89" s="7" t="b">
        <f t="shared" si="10"/>
        <v>0</v>
      </c>
      <c r="AP89" s="211">
        <v>-99</v>
      </c>
      <c r="AQ89" s="211">
        <v>-99</v>
      </c>
      <c r="AS89" s="211">
        <v>-99</v>
      </c>
      <c r="AT89" s="211">
        <v>-99</v>
      </c>
      <c r="AU89" s="211">
        <v>-99</v>
      </c>
      <c r="AV89" s="211">
        <v>-99</v>
      </c>
      <c r="AW89" s="211">
        <v>-99</v>
      </c>
      <c r="AX89" s="211">
        <v>-99</v>
      </c>
      <c r="AZ89" s="211">
        <v>-99</v>
      </c>
      <c r="BA89" s="211">
        <v>-99</v>
      </c>
      <c r="BB89" s="211">
        <v>-99</v>
      </c>
      <c r="BC89" s="211">
        <v>-99</v>
      </c>
      <c r="BD89" s="211">
        <v>-99</v>
      </c>
      <c r="BE89" s="211">
        <v>-99</v>
      </c>
      <c r="BG89" s="211">
        <v>-99</v>
      </c>
      <c r="BH89" s="211">
        <v>-99</v>
      </c>
      <c r="BI89" s="211">
        <v>-99</v>
      </c>
      <c r="BJ89" s="211">
        <v>-99</v>
      </c>
      <c r="BK89" s="211">
        <v>-99</v>
      </c>
      <c r="BL89" s="211">
        <v>-99</v>
      </c>
      <c r="BM89" s="211">
        <v>-99</v>
      </c>
      <c r="BN89" s="191">
        <f t="shared" si="11"/>
        <v>8.0560250000000222E-2</v>
      </c>
      <c r="BO89" s="191">
        <f t="shared" si="12"/>
        <v>8.6910502500000097E-2</v>
      </c>
      <c r="BP89" s="191">
        <f t="shared" si="17"/>
        <v>4.6528999999999821E-2</v>
      </c>
      <c r="BQ89" s="171">
        <f t="shared" si="13"/>
        <v>8.6699999999999999E-2</v>
      </c>
      <c r="BR89" s="171">
        <f t="shared" si="14"/>
        <v>9.5000000000000001E-2</v>
      </c>
      <c r="BS89" s="171">
        <f t="shared" si="15"/>
        <v>7.9000000000000001E-2</v>
      </c>
      <c r="BT89" s="171">
        <f t="shared" si="16"/>
        <v>8.5099999999999995E-2</v>
      </c>
      <c r="BU89" s="171">
        <f t="shared" si="18"/>
        <v>4.5999999999999999E-2</v>
      </c>
    </row>
    <row r="90" spans="1:73" x14ac:dyDescent="0.3">
      <c r="A90" s="209">
        <v>34001</v>
      </c>
      <c r="B90" s="187">
        <v>199302</v>
      </c>
      <c r="C90" s="176">
        <v>8.19</v>
      </c>
      <c r="D90" s="176">
        <v>9.5</v>
      </c>
      <c r="E90" s="176">
        <v>4.57</v>
      </c>
      <c r="F90" s="177">
        <v>85.3</v>
      </c>
      <c r="G90" s="210">
        <v>1.5810276679841806E-2</v>
      </c>
      <c r="H90" s="179">
        <v>7.35</v>
      </c>
      <c r="I90" s="179">
        <v>8.1300000000000008</v>
      </c>
      <c r="J90" s="210"/>
      <c r="K90" s="182">
        <v>0.09</v>
      </c>
      <c r="L90" s="182">
        <v>7.4999999999999997E-2</v>
      </c>
      <c r="N90" s="182">
        <v>9.2499999999999999E-2</v>
      </c>
      <c r="O90" s="182">
        <v>0.05</v>
      </c>
      <c r="Q90" s="182">
        <v>8.5000000000000006E-2</v>
      </c>
      <c r="R90" s="182">
        <v>9.2499999999999999E-2</v>
      </c>
      <c r="S90" s="182">
        <v>0.05</v>
      </c>
      <c r="T90" s="182">
        <v>5.2499999999999998E-2</v>
      </c>
      <c r="U90" s="182"/>
      <c r="V90" s="194">
        <v>8.8999999999999996E-2</v>
      </c>
      <c r="W90" s="194">
        <v>9.7000000000000003E-2</v>
      </c>
      <c r="X90" s="194">
        <v>5.2999999999999999E-2</v>
      </c>
      <c r="Y90" s="194">
        <v>5.7000000000000002E-2</v>
      </c>
      <c r="Z90" s="194"/>
      <c r="AA90" s="195">
        <v>8.89366399999999E-2</v>
      </c>
      <c r="AB90" s="195">
        <v>9.7052540000000298E-2</v>
      </c>
      <c r="AC90" s="195">
        <v>5.2770926376416727E-2</v>
      </c>
      <c r="AD90" s="195">
        <v>5.721495181179128E-2</v>
      </c>
      <c r="AE90" s="195"/>
      <c r="AF90" s="195">
        <v>1.7176440153065298E-2</v>
      </c>
      <c r="AG90" s="195">
        <v>1.8840817621779693E-2</v>
      </c>
      <c r="AI90" s="182">
        <v>7.4850562500000217E-2</v>
      </c>
      <c r="AJ90" s="182">
        <v>8.2952422500000234E-2</v>
      </c>
      <c r="AK90" s="182">
        <v>4.6222122500000129E-2</v>
      </c>
      <c r="AM90" s="27" t="s">
        <v>135</v>
      </c>
      <c r="AN90" s="7" t="b">
        <f t="shared" si="10"/>
        <v>0</v>
      </c>
      <c r="AP90" s="211">
        <v>-99</v>
      </c>
      <c r="AQ90" s="211">
        <v>-99</v>
      </c>
      <c r="AS90" s="211">
        <v>-99</v>
      </c>
      <c r="AT90" s="211">
        <v>-99</v>
      </c>
      <c r="AU90" s="211">
        <v>-99</v>
      </c>
      <c r="AV90" s="211">
        <v>-99</v>
      </c>
      <c r="AW90" s="211">
        <v>-99</v>
      </c>
      <c r="AX90" s="211">
        <v>-99</v>
      </c>
      <c r="AZ90" s="211">
        <v>-99</v>
      </c>
      <c r="BA90" s="211">
        <v>-99</v>
      </c>
      <c r="BB90" s="211">
        <v>-99</v>
      </c>
      <c r="BC90" s="211">
        <v>-99</v>
      </c>
      <c r="BD90" s="211">
        <v>-99</v>
      </c>
      <c r="BE90" s="211">
        <v>-99</v>
      </c>
      <c r="BG90" s="211">
        <v>-99</v>
      </c>
      <c r="BH90" s="211">
        <v>-99</v>
      </c>
      <c r="BI90" s="211">
        <v>-99</v>
      </c>
      <c r="BJ90" s="211">
        <v>-99</v>
      </c>
      <c r="BK90" s="211">
        <v>-99</v>
      </c>
      <c r="BL90" s="211">
        <v>-99</v>
      </c>
      <c r="BM90" s="211">
        <v>-99</v>
      </c>
      <c r="BN90" s="191">
        <f t="shared" si="11"/>
        <v>7.4850562500000217E-2</v>
      </c>
      <c r="BO90" s="191">
        <f t="shared" si="12"/>
        <v>8.2952422500000234E-2</v>
      </c>
      <c r="BP90" s="191">
        <f t="shared" si="17"/>
        <v>4.6222122500000129E-2</v>
      </c>
      <c r="BQ90" s="171">
        <f t="shared" si="13"/>
        <v>8.1900000000000001E-2</v>
      </c>
      <c r="BR90" s="171">
        <f t="shared" si="14"/>
        <v>9.5000000000000001E-2</v>
      </c>
      <c r="BS90" s="171">
        <f t="shared" si="15"/>
        <v>7.3499999999999996E-2</v>
      </c>
      <c r="BT90" s="171">
        <f t="shared" si="16"/>
        <v>8.1300000000000011E-2</v>
      </c>
      <c r="BU90" s="171">
        <f t="shared" si="18"/>
        <v>4.5700000000000005E-2</v>
      </c>
    </row>
    <row r="91" spans="1:73" x14ac:dyDescent="0.3">
      <c r="A91" s="209">
        <v>34029</v>
      </c>
      <c r="B91" s="187">
        <v>199303</v>
      </c>
      <c r="C91" s="176">
        <v>8.27</v>
      </c>
      <c r="D91" s="176">
        <v>8.9499999999999993</v>
      </c>
      <c r="E91" s="176">
        <v>4.53</v>
      </c>
      <c r="F91" s="177">
        <v>85.2</v>
      </c>
      <c r="G91" s="210">
        <v>1.5785319652722896E-2</v>
      </c>
      <c r="H91" s="179">
        <v>7.39</v>
      </c>
      <c r="I91" s="179">
        <v>8.18</v>
      </c>
      <c r="J91" s="210"/>
      <c r="K91" s="182">
        <v>0.09</v>
      </c>
      <c r="L91" s="182">
        <v>7.4999999999999997E-2</v>
      </c>
      <c r="N91" s="182">
        <v>9.5000000000000001E-2</v>
      </c>
      <c r="O91" s="182">
        <v>0.05</v>
      </c>
      <c r="Q91" s="182">
        <v>8.5000000000000006E-2</v>
      </c>
      <c r="R91" s="182">
        <v>9.5000000000000001E-2</v>
      </c>
      <c r="S91" s="182">
        <v>4.7500000000000001E-2</v>
      </c>
      <c r="T91" s="182">
        <v>5.2499999999999998E-2</v>
      </c>
      <c r="U91" s="182"/>
      <c r="V91" s="194">
        <v>0.09</v>
      </c>
      <c r="W91" s="194">
        <v>9.9000000000000005E-2</v>
      </c>
      <c r="X91" s="194">
        <v>5.2000000000000005E-2</v>
      </c>
      <c r="Y91" s="194">
        <v>5.7000000000000002E-2</v>
      </c>
      <c r="Z91" s="194"/>
      <c r="AA91" s="195">
        <v>8.956025000000023E-2</v>
      </c>
      <c r="AB91" s="195">
        <v>9.9085628750000043E-2</v>
      </c>
      <c r="AC91" s="195">
        <v>5.2129285465240427E-2</v>
      </c>
      <c r="AD91" s="195">
        <v>5.7228857267379522E-2</v>
      </c>
      <c r="AE91" s="195"/>
      <c r="AF91" s="195">
        <v>1.778819630432027E-2</v>
      </c>
      <c r="AG91" s="195">
        <v>1.979551125326251E-2</v>
      </c>
      <c r="AI91" s="182">
        <v>7.5265302500000075E-2</v>
      </c>
      <c r="AJ91" s="182">
        <v>8.3472809999999953E-2</v>
      </c>
      <c r="AK91" s="182">
        <v>4.5813022500000189E-2</v>
      </c>
      <c r="AM91" s="27" t="s">
        <v>135</v>
      </c>
      <c r="AN91" s="7" t="b">
        <f t="shared" si="10"/>
        <v>0</v>
      </c>
      <c r="AP91" s="211">
        <v>-99</v>
      </c>
      <c r="AQ91" s="211">
        <v>-99</v>
      </c>
      <c r="AS91" s="211">
        <v>-99</v>
      </c>
      <c r="AT91" s="211">
        <v>-99</v>
      </c>
      <c r="AU91" s="211">
        <v>-99</v>
      </c>
      <c r="AV91" s="211">
        <v>-99</v>
      </c>
      <c r="AW91" s="211">
        <v>-99</v>
      </c>
      <c r="AX91" s="211">
        <v>-99</v>
      </c>
      <c r="AZ91" s="211">
        <v>-99</v>
      </c>
      <c r="BA91" s="211">
        <v>-99</v>
      </c>
      <c r="BB91" s="211">
        <v>-99</v>
      </c>
      <c r="BC91" s="211">
        <v>-99</v>
      </c>
      <c r="BD91" s="211">
        <v>-99</v>
      </c>
      <c r="BE91" s="211">
        <v>-99</v>
      </c>
      <c r="BG91" s="211">
        <v>-99</v>
      </c>
      <c r="BH91" s="211">
        <v>-99</v>
      </c>
      <c r="BI91" s="211">
        <v>-99</v>
      </c>
      <c r="BJ91" s="211">
        <v>-99</v>
      </c>
      <c r="BK91" s="211">
        <v>-99</v>
      </c>
      <c r="BL91" s="211">
        <v>-99</v>
      </c>
      <c r="BM91" s="211">
        <v>-99</v>
      </c>
      <c r="BN91" s="191">
        <f t="shared" si="11"/>
        <v>7.5265302500000075E-2</v>
      </c>
      <c r="BO91" s="191">
        <f t="shared" si="12"/>
        <v>8.3472809999999953E-2</v>
      </c>
      <c r="BP91" s="191">
        <f t="shared" si="17"/>
        <v>4.5813022500000189E-2</v>
      </c>
      <c r="BQ91" s="171">
        <f t="shared" si="13"/>
        <v>8.2699999999999996E-2</v>
      </c>
      <c r="BR91" s="171">
        <f t="shared" si="14"/>
        <v>8.9499999999999996E-2</v>
      </c>
      <c r="BS91" s="171">
        <f t="shared" si="15"/>
        <v>7.3899999999999993E-2</v>
      </c>
      <c r="BT91" s="171">
        <f t="shared" si="16"/>
        <v>8.1799999999999998E-2</v>
      </c>
      <c r="BU91" s="171">
        <f t="shared" si="18"/>
        <v>4.53E-2</v>
      </c>
    </row>
    <row r="92" spans="1:73" x14ac:dyDescent="0.3">
      <c r="A92" s="209">
        <v>34060</v>
      </c>
      <c r="B92" s="187">
        <v>199304</v>
      </c>
      <c r="C92" s="176">
        <v>8.27</v>
      </c>
      <c r="D92" s="176">
        <v>8.9499999999999993</v>
      </c>
      <c r="E92" s="176">
        <v>4.4400000000000004</v>
      </c>
      <c r="F92" s="177">
        <v>85.2</v>
      </c>
      <c r="G92" s="210">
        <v>1.5760441292356209E-2</v>
      </c>
      <c r="H92" s="179">
        <v>7.41</v>
      </c>
      <c r="I92" s="179">
        <v>8.15</v>
      </c>
      <c r="J92" s="210"/>
      <c r="K92" s="182">
        <v>8.5000000000000006E-2</v>
      </c>
      <c r="L92" s="182">
        <v>7.4999999999999997E-2</v>
      </c>
      <c r="N92" s="182">
        <v>0.09</v>
      </c>
      <c r="O92" s="182">
        <v>0.05</v>
      </c>
      <c r="Q92" s="182">
        <v>0.08</v>
      </c>
      <c r="R92" s="182">
        <v>9.2499999999999999E-2</v>
      </c>
      <c r="S92" s="182">
        <v>4.7500000000000001E-2</v>
      </c>
      <c r="T92" s="182">
        <v>5.2499999999999998E-2</v>
      </c>
      <c r="U92" s="182"/>
      <c r="V92" s="194">
        <v>8.4000000000000005E-2</v>
      </c>
      <c r="W92" s="194">
        <v>9.6000000000000002E-2</v>
      </c>
      <c r="X92" s="194">
        <v>5.1000000000000004E-2</v>
      </c>
      <c r="Y92" s="194">
        <v>5.7000000000000002E-2</v>
      </c>
      <c r="Z92" s="194"/>
      <c r="AA92" s="195">
        <v>8.3850562500000225E-2</v>
      </c>
      <c r="AB92" s="195">
        <v>9.600335250000025E-2</v>
      </c>
      <c r="AC92" s="195">
        <v>5.0707665247135082E-2</v>
      </c>
      <c r="AD92" s="195">
        <v>5.7479351126432654E-2</v>
      </c>
      <c r="AE92" s="195"/>
      <c r="AF92" s="195">
        <v>1.5771702419754341E-2</v>
      </c>
      <c r="AG92" s="195">
        <v>1.8215013528411594E-2</v>
      </c>
      <c r="AI92" s="182">
        <v>7.5472702500000155E-2</v>
      </c>
      <c r="AJ92" s="182">
        <v>8.3160562500000035E-2</v>
      </c>
      <c r="AK92" s="182">
        <v>4.4892839999999934E-2</v>
      </c>
      <c r="AM92" s="27" t="s">
        <v>135</v>
      </c>
      <c r="AN92" s="7" t="b">
        <f t="shared" si="10"/>
        <v>0</v>
      </c>
      <c r="AP92" s="211">
        <v>-99</v>
      </c>
      <c r="AQ92" s="211">
        <v>-99</v>
      </c>
      <c r="AS92" s="211">
        <v>-99</v>
      </c>
      <c r="AT92" s="211">
        <v>-99</v>
      </c>
      <c r="AU92" s="211">
        <v>-99</v>
      </c>
      <c r="AV92" s="211">
        <v>-99</v>
      </c>
      <c r="AW92" s="211">
        <v>-99</v>
      </c>
      <c r="AX92" s="211">
        <v>-99</v>
      </c>
      <c r="AZ92" s="211">
        <v>-99</v>
      </c>
      <c r="BA92" s="211">
        <v>-99</v>
      </c>
      <c r="BB92" s="211">
        <v>-99</v>
      </c>
      <c r="BC92" s="211">
        <v>-99</v>
      </c>
      <c r="BD92" s="211">
        <v>-99</v>
      </c>
      <c r="BE92" s="211">
        <v>-99</v>
      </c>
      <c r="BG92" s="211">
        <v>-99</v>
      </c>
      <c r="BH92" s="211">
        <v>-99</v>
      </c>
      <c r="BI92" s="211">
        <v>-99</v>
      </c>
      <c r="BJ92" s="211">
        <v>-99</v>
      </c>
      <c r="BK92" s="211">
        <v>-99</v>
      </c>
      <c r="BL92" s="211">
        <v>-99</v>
      </c>
      <c r="BM92" s="211">
        <v>-99</v>
      </c>
      <c r="BN92" s="191">
        <f t="shared" si="11"/>
        <v>7.5472702500000155E-2</v>
      </c>
      <c r="BO92" s="191">
        <f t="shared" si="12"/>
        <v>8.3160562500000035E-2</v>
      </c>
      <c r="BP92" s="191">
        <f t="shared" si="17"/>
        <v>4.4892839999999934E-2</v>
      </c>
      <c r="BQ92" s="171">
        <f t="shared" si="13"/>
        <v>8.2699999999999996E-2</v>
      </c>
      <c r="BR92" s="171">
        <f t="shared" si="14"/>
        <v>8.9499999999999996E-2</v>
      </c>
      <c r="BS92" s="171">
        <f t="shared" si="15"/>
        <v>7.4099999999999999E-2</v>
      </c>
      <c r="BT92" s="171">
        <f t="shared" si="16"/>
        <v>8.1500000000000003E-2</v>
      </c>
      <c r="BU92" s="171">
        <f t="shared" si="18"/>
        <v>4.4400000000000002E-2</v>
      </c>
    </row>
    <row r="93" spans="1:73" x14ac:dyDescent="0.3">
      <c r="A93" s="209">
        <v>34090</v>
      </c>
      <c r="B93" s="187">
        <v>199305</v>
      </c>
      <c r="C93" s="176">
        <v>8.1199999999999992</v>
      </c>
      <c r="D93" s="176">
        <v>8.9499999999999993</v>
      </c>
      <c r="E93" s="176">
        <v>4.3899999999999997</v>
      </c>
      <c r="F93" s="177">
        <v>85.4</v>
      </c>
      <c r="G93" s="210">
        <v>1.6535433070866024E-2</v>
      </c>
      <c r="H93" s="179">
        <v>7.53</v>
      </c>
      <c r="I93" s="179">
        <v>8.17</v>
      </c>
      <c r="J93" s="210"/>
      <c r="K93" s="182">
        <v>8.5000000000000006E-2</v>
      </c>
      <c r="L93" s="182">
        <v>7.0000000000000007E-2</v>
      </c>
      <c r="N93" s="182">
        <v>0.09</v>
      </c>
      <c r="O93" s="182">
        <v>4.7500000000000001E-2</v>
      </c>
      <c r="Q93" s="182">
        <v>0.08</v>
      </c>
      <c r="R93" s="182">
        <v>9.2499999999999999E-2</v>
      </c>
      <c r="S93" s="182">
        <v>4.7500000000000001E-2</v>
      </c>
      <c r="T93" s="182">
        <v>5.2499999999999998E-2</v>
      </c>
      <c r="U93" s="182"/>
      <c r="V93" s="194">
        <v>8.4000000000000005E-2</v>
      </c>
      <c r="W93" s="194">
        <v>9.7000000000000003E-2</v>
      </c>
      <c r="X93" s="194">
        <v>0.05</v>
      </c>
      <c r="Y93" s="194">
        <v>5.7000000000000002E-2</v>
      </c>
      <c r="Z93" s="194"/>
      <c r="AA93" s="195">
        <v>8.4265302500000083E-2</v>
      </c>
      <c r="AB93" s="195">
        <v>9.65765637499999E-2</v>
      </c>
      <c r="AC93" s="195">
        <v>5.0308433211986345E-2</v>
      </c>
      <c r="AD93" s="195">
        <v>5.7065317144007109E-2</v>
      </c>
      <c r="AE93" s="195"/>
      <c r="AF93" s="195">
        <v>1.6165189297856486E-2</v>
      </c>
      <c r="AG93" s="195">
        <v>1.8689122594971019E-2</v>
      </c>
      <c r="AI93" s="182">
        <v>7.6717522499999857E-2</v>
      </c>
      <c r="AJ93" s="182">
        <v>8.3368722500000159E-2</v>
      </c>
      <c r="AK93" s="182">
        <v>4.438180249999979E-2</v>
      </c>
      <c r="AM93" s="27" t="s">
        <v>135</v>
      </c>
      <c r="AN93" s="7" t="b">
        <f t="shared" si="10"/>
        <v>0</v>
      </c>
      <c r="AP93" s="211">
        <v>-99</v>
      </c>
      <c r="AQ93" s="211">
        <v>-99</v>
      </c>
      <c r="AS93" s="211">
        <v>-99</v>
      </c>
      <c r="AT93" s="211">
        <v>-99</v>
      </c>
      <c r="AU93" s="211">
        <v>-99</v>
      </c>
      <c r="AV93" s="211">
        <v>-99</v>
      </c>
      <c r="AW93" s="211">
        <v>-99</v>
      </c>
      <c r="AX93" s="211">
        <v>-99</v>
      </c>
      <c r="AZ93" s="211">
        <v>-99</v>
      </c>
      <c r="BA93" s="211">
        <v>-99</v>
      </c>
      <c r="BB93" s="211">
        <v>-99</v>
      </c>
      <c r="BC93" s="211">
        <v>-99</v>
      </c>
      <c r="BD93" s="211">
        <v>-99</v>
      </c>
      <c r="BE93" s="211">
        <v>-99</v>
      </c>
      <c r="BG93" s="211">
        <v>-99</v>
      </c>
      <c r="BH93" s="211">
        <v>-99</v>
      </c>
      <c r="BI93" s="211">
        <v>-99</v>
      </c>
      <c r="BJ93" s="211">
        <v>-99</v>
      </c>
      <c r="BK93" s="211">
        <v>-99</v>
      </c>
      <c r="BL93" s="211">
        <v>-99</v>
      </c>
      <c r="BM93" s="211">
        <v>-99</v>
      </c>
      <c r="BN93" s="191">
        <f t="shared" si="11"/>
        <v>7.6717522499999857E-2</v>
      </c>
      <c r="BO93" s="191">
        <f t="shared" si="12"/>
        <v>8.3368722500000159E-2</v>
      </c>
      <c r="BP93" s="191">
        <f t="shared" si="17"/>
        <v>4.438180249999979E-2</v>
      </c>
      <c r="BQ93" s="171">
        <f t="shared" si="13"/>
        <v>8.1199999999999994E-2</v>
      </c>
      <c r="BR93" s="171">
        <f t="shared" si="14"/>
        <v>8.9499999999999996E-2</v>
      </c>
      <c r="BS93" s="171">
        <f t="shared" si="15"/>
        <v>7.5300000000000006E-2</v>
      </c>
      <c r="BT93" s="171">
        <f t="shared" si="16"/>
        <v>8.1699999999999995E-2</v>
      </c>
      <c r="BU93" s="171">
        <f t="shared" si="18"/>
        <v>4.3899999999999995E-2</v>
      </c>
    </row>
    <row r="94" spans="1:73" x14ac:dyDescent="0.3">
      <c r="A94" s="209">
        <v>34121</v>
      </c>
      <c r="B94" s="187">
        <v>199306</v>
      </c>
      <c r="C94" s="176">
        <v>7.96</v>
      </c>
      <c r="D94" s="176">
        <v>8.9499999999999993</v>
      </c>
      <c r="E94" s="176">
        <v>4.33</v>
      </c>
      <c r="F94" s="177">
        <v>85.4</v>
      </c>
      <c r="G94" s="210">
        <v>1.7309205350118262E-2</v>
      </c>
      <c r="H94" s="179">
        <v>7.26</v>
      </c>
      <c r="I94" s="179">
        <v>8.01</v>
      </c>
      <c r="J94" s="210"/>
      <c r="K94" s="182">
        <v>8.5000000000000006E-2</v>
      </c>
      <c r="L94" s="182">
        <v>7.0000000000000007E-2</v>
      </c>
      <c r="N94" s="182">
        <v>0.09</v>
      </c>
      <c r="O94" s="182">
        <v>4.7500000000000001E-2</v>
      </c>
      <c r="Q94" s="182">
        <v>0.08</v>
      </c>
      <c r="R94" s="182">
        <v>9.2499999999999999E-2</v>
      </c>
      <c r="S94" s="182">
        <v>4.4999999999999998E-2</v>
      </c>
      <c r="T94" s="182">
        <v>5.2499999999999998E-2</v>
      </c>
      <c r="U94" s="182"/>
      <c r="V94" s="194">
        <v>8.4000000000000005E-2</v>
      </c>
      <c r="W94" s="194">
        <v>9.6000000000000002E-2</v>
      </c>
      <c r="X94" s="194">
        <v>0.05</v>
      </c>
      <c r="Y94" s="194">
        <v>5.6000000000000001E-2</v>
      </c>
      <c r="Z94" s="194"/>
      <c r="AA94" s="195">
        <v>8.4472702500000163E-2</v>
      </c>
      <c r="AB94" s="195">
        <v>9.6004492499999983E-2</v>
      </c>
      <c r="AC94" s="195">
        <v>4.9742677248005636E-2</v>
      </c>
      <c r="AD94" s="195">
        <v>5.5967921375997084E-2</v>
      </c>
      <c r="AE94" s="195"/>
      <c r="AF94" s="195">
        <v>1.6542161238524922E-2</v>
      </c>
      <c r="AG94" s="195">
        <v>1.8957285687160152E-2</v>
      </c>
      <c r="AI94" s="182">
        <v>7.3917690000000036E-2</v>
      </c>
      <c r="AJ94" s="182">
        <v>8.1704002499999762E-2</v>
      </c>
      <c r="AK94" s="182">
        <v>4.3768722499999857E-2</v>
      </c>
      <c r="AM94" s="27" t="s">
        <v>135</v>
      </c>
      <c r="AN94" s="7" t="b">
        <f t="shared" si="10"/>
        <v>0</v>
      </c>
      <c r="AP94" s="211">
        <v>-99</v>
      </c>
      <c r="AQ94" s="211">
        <v>-99</v>
      </c>
      <c r="AS94" s="211">
        <v>-99</v>
      </c>
      <c r="AT94" s="211">
        <v>-99</v>
      </c>
      <c r="AU94" s="211">
        <v>-99</v>
      </c>
      <c r="AV94" s="211">
        <v>-99</v>
      </c>
      <c r="AW94" s="211">
        <v>-99</v>
      </c>
      <c r="AX94" s="211">
        <v>-99</v>
      </c>
      <c r="AZ94" s="211">
        <v>-99</v>
      </c>
      <c r="BA94" s="211">
        <v>-99</v>
      </c>
      <c r="BB94" s="211">
        <v>-99</v>
      </c>
      <c r="BC94" s="211">
        <v>-99</v>
      </c>
      <c r="BD94" s="211">
        <v>-99</v>
      </c>
      <c r="BE94" s="211">
        <v>-99</v>
      </c>
      <c r="BG94" s="211">
        <v>-99</v>
      </c>
      <c r="BH94" s="211">
        <v>-99</v>
      </c>
      <c r="BI94" s="211">
        <v>-99</v>
      </c>
      <c r="BJ94" s="211">
        <v>-99</v>
      </c>
      <c r="BK94" s="211">
        <v>-99</v>
      </c>
      <c r="BL94" s="211">
        <v>-99</v>
      </c>
      <c r="BM94" s="211">
        <v>-99</v>
      </c>
      <c r="BN94" s="191">
        <f t="shared" si="11"/>
        <v>7.3917690000000036E-2</v>
      </c>
      <c r="BO94" s="191">
        <f t="shared" si="12"/>
        <v>8.1704002499999762E-2</v>
      </c>
      <c r="BP94" s="191">
        <f t="shared" si="17"/>
        <v>4.3768722499999857E-2</v>
      </c>
      <c r="BQ94" s="171">
        <f t="shared" si="13"/>
        <v>7.9600000000000004E-2</v>
      </c>
      <c r="BR94" s="171">
        <f t="shared" si="14"/>
        <v>8.9499999999999996E-2</v>
      </c>
      <c r="BS94" s="171">
        <f t="shared" si="15"/>
        <v>7.2599999999999998E-2</v>
      </c>
      <c r="BT94" s="171">
        <f t="shared" si="16"/>
        <v>8.0100000000000005E-2</v>
      </c>
      <c r="BU94" s="171">
        <f t="shared" si="18"/>
        <v>4.3299999999999998E-2</v>
      </c>
    </row>
    <row r="95" spans="1:73" x14ac:dyDescent="0.3">
      <c r="A95" s="209">
        <v>34151</v>
      </c>
      <c r="B95" s="187">
        <v>199307</v>
      </c>
      <c r="C95" s="176">
        <v>7.79</v>
      </c>
      <c r="D95" s="176">
        <v>8.75</v>
      </c>
      <c r="E95" s="176">
        <v>4.3099999999999996</v>
      </c>
      <c r="F95" s="177">
        <v>85.6</v>
      </c>
      <c r="G95" s="210">
        <v>1.7282010997643482E-2</v>
      </c>
      <c r="H95" s="179">
        <v>7</v>
      </c>
      <c r="I95" s="179">
        <v>7.85</v>
      </c>
      <c r="J95" s="210"/>
      <c r="K95" s="182">
        <v>8.5000000000000006E-2</v>
      </c>
      <c r="L95" s="182">
        <v>7.0000000000000007E-2</v>
      </c>
      <c r="N95" s="182">
        <v>8.7499999999999994E-2</v>
      </c>
      <c r="O95" s="182">
        <v>4.7500000000000001E-2</v>
      </c>
      <c r="Q95" s="182">
        <v>8.2500000000000004E-2</v>
      </c>
      <c r="R95" s="182">
        <v>9.2499999999999999E-2</v>
      </c>
      <c r="S95" s="182">
        <v>4.4999999999999998E-2</v>
      </c>
      <c r="T95" s="182">
        <v>0.05</v>
      </c>
      <c r="U95" s="182"/>
      <c r="V95" s="194">
        <v>8.6000000000000007E-2</v>
      </c>
      <c r="W95" s="194">
        <v>9.6000000000000002E-2</v>
      </c>
      <c r="X95" s="194">
        <v>0.05</v>
      </c>
      <c r="Y95" s="194">
        <v>5.5E-2</v>
      </c>
      <c r="Z95" s="194"/>
      <c r="AA95" s="195">
        <v>8.5717522499999865E-2</v>
      </c>
      <c r="AB95" s="195">
        <v>9.5694322500000317E-2</v>
      </c>
      <c r="AC95" s="195">
        <v>4.9840999235466005E-2</v>
      </c>
      <c r="AD95" s="195">
        <v>5.5152204132266687E-2</v>
      </c>
      <c r="AE95" s="195"/>
      <c r="AF95" s="195">
        <v>1.7086646116250215E-2</v>
      </c>
      <c r="AG95" s="195">
        <v>1.9211502477538112E-2</v>
      </c>
      <c r="AI95" s="182">
        <v>7.1224999999999872E-2</v>
      </c>
      <c r="AJ95" s="182">
        <v>8.0040562500000023E-2</v>
      </c>
      <c r="AK95" s="182">
        <v>4.3564402499999932E-2</v>
      </c>
      <c r="AM95" s="27" t="s">
        <v>135</v>
      </c>
      <c r="AN95" s="7" t="b">
        <f t="shared" si="10"/>
        <v>0</v>
      </c>
      <c r="AP95" s="211">
        <v>-99</v>
      </c>
      <c r="AQ95" s="211">
        <v>-99</v>
      </c>
      <c r="AS95" s="211">
        <v>-99</v>
      </c>
      <c r="AT95" s="211">
        <v>-99</v>
      </c>
      <c r="AU95" s="211">
        <v>-99</v>
      </c>
      <c r="AV95" s="211">
        <v>-99</v>
      </c>
      <c r="AW95" s="211">
        <v>-99</v>
      </c>
      <c r="AX95" s="211">
        <v>-99</v>
      </c>
      <c r="AZ95" s="211">
        <v>-99</v>
      </c>
      <c r="BA95" s="211">
        <v>-99</v>
      </c>
      <c r="BB95" s="211">
        <v>-99</v>
      </c>
      <c r="BC95" s="211">
        <v>-99</v>
      </c>
      <c r="BD95" s="211">
        <v>-99</v>
      </c>
      <c r="BE95" s="211">
        <v>-99</v>
      </c>
      <c r="BG95" s="211">
        <v>-99</v>
      </c>
      <c r="BH95" s="211">
        <v>-99</v>
      </c>
      <c r="BI95" s="211">
        <v>-99</v>
      </c>
      <c r="BJ95" s="211">
        <v>-99</v>
      </c>
      <c r="BK95" s="211">
        <v>-99</v>
      </c>
      <c r="BL95" s="211">
        <v>-99</v>
      </c>
      <c r="BM95" s="211">
        <v>-99</v>
      </c>
      <c r="BN95" s="191">
        <f t="shared" si="11"/>
        <v>7.1224999999999872E-2</v>
      </c>
      <c r="BO95" s="191">
        <f t="shared" si="12"/>
        <v>8.0040562500000023E-2</v>
      </c>
      <c r="BP95" s="191">
        <f t="shared" si="17"/>
        <v>4.3564402499999932E-2</v>
      </c>
      <c r="BQ95" s="171">
        <f t="shared" si="13"/>
        <v>7.7899999999999997E-2</v>
      </c>
      <c r="BR95" s="171">
        <f t="shared" si="14"/>
        <v>8.7499999999999994E-2</v>
      </c>
      <c r="BS95" s="171">
        <f t="shared" si="15"/>
        <v>7.0000000000000007E-2</v>
      </c>
      <c r="BT95" s="171">
        <f t="shared" si="16"/>
        <v>7.85E-2</v>
      </c>
      <c r="BU95" s="171">
        <f t="shared" si="18"/>
        <v>4.3099999999999999E-2</v>
      </c>
    </row>
    <row r="96" spans="1:73" x14ac:dyDescent="0.3">
      <c r="A96" s="209">
        <v>34182</v>
      </c>
      <c r="B96" s="187">
        <v>199308</v>
      </c>
      <c r="C96" s="176">
        <v>7.4</v>
      </c>
      <c r="D96" s="176">
        <v>8.75</v>
      </c>
      <c r="E96" s="176">
        <v>4.24</v>
      </c>
      <c r="F96" s="177">
        <v>85.7</v>
      </c>
      <c r="G96" s="210">
        <v>1.805337519623218E-2</v>
      </c>
      <c r="H96" s="179">
        <v>6.68</v>
      </c>
      <c r="I96" s="179">
        <v>7.47</v>
      </c>
      <c r="J96" s="210"/>
      <c r="K96" s="182">
        <v>0.08</v>
      </c>
      <c r="L96" s="182">
        <v>7.0000000000000007E-2</v>
      </c>
      <c r="N96" s="182">
        <v>8.7499999999999994E-2</v>
      </c>
      <c r="O96" s="182">
        <v>4.7500000000000001E-2</v>
      </c>
      <c r="Q96" s="182">
        <v>0.08</v>
      </c>
      <c r="R96" s="182">
        <v>0.09</v>
      </c>
      <c r="S96" s="182">
        <v>4.4999999999999998E-2</v>
      </c>
      <c r="T96" s="182">
        <v>0.05</v>
      </c>
      <c r="U96" s="182"/>
      <c r="V96" s="194">
        <v>8.3000000000000004E-2</v>
      </c>
      <c r="W96" s="194">
        <v>9.5000000000000001E-2</v>
      </c>
      <c r="X96" s="194">
        <v>4.9000000000000002E-2</v>
      </c>
      <c r="Y96" s="194">
        <v>5.5E-2</v>
      </c>
      <c r="Z96" s="194"/>
      <c r="AA96" s="195">
        <v>8.2917690000000044E-2</v>
      </c>
      <c r="AB96" s="195">
        <v>9.4597158749999632E-2</v>
      </c>
      <c r="AC96" s="195">
        <v>4.8597605532862673E-2</v>
      </c>
      <c r="AD96" s="195">
        <v>5.4854280983568447E-2</v>
      </c>
      <c r="AE96" s="195"/>
      <c r="AF96" s="195">
        <v>1.6364754356699485E-2</v>
      </c>
      <c r="AG96" s="195">
        <v>1.8838089053103246E-2</v>
      </c>
      <c r="AI96" s="182">
        <v>6.7915560000000097E-2</v>
      </c>
      <c r="AJ96" s="182">
        <v>7.6095022499999887E-2</v>
      </c>
      <c r="AK96" s="182">
        <v>4.2849440000000127E-2</v>
      </c>
      <c r="AM96" s="27" t="s">
        <v>135</v>
      </c>
      <c r="AN96" s="7" t="b">
        <f t="shared" si="10"/>
        <v>0</v>
      </c>
      <c r="AP96" s="211">
        <v>-99</v>
      </c>
      <c r="AQ96" s="211">
        <v>-99</v>
      </c>
      <c r="AS96" s="211">
        <v>-99</v>
      </c>
      <c r="AT96" s="211">
        <v>-99</v>
      </c>
      <c r="AU96" s="211">
        <v>-99</v>
      </c>
      <c r="AV96" s="211">
        <v>-99</v>
      </c>
      <c r="AW96" s="211">
        <v>-99</v>
      </c>
      <c r="AX96" s="211">
        <v>-99</v>
      </c>
      <c r="AZ96" s="211">
        <v>-99</v>
      </c>
      <c r="BA96" s="211">
        <v>-99</v>
      </c>
      <c r="BB96" s="211">
        <v>-99</v>
      </c>
      <c r="BC96" s="211">
        <v>-99</v>
      </c>
      <c r="BD96" s="211">
        <v>-99</v>
      </c>
      <c r="BE96" s="211">
        <v>-99</v>
      </c>
      <c r="BG96" s="211">
        <v>-99</v>
      </c>
      <c r="BH96" s="211">
        <v>-99</v>
      </c>
      <c r="BI96" s="211">
        <v>-99</v>
      </c>
      <c r="BJ96" s="211">
        <v>-99</v>
      </c>
      <c r="BK96" s="211">
        <v>-99</v>
      </c>
      <c r="BL96" s="211">
        <v>-99</v>
      </c>
      <c r="BM96" s="211">
        <v>-99</v>
      </c>
      <c r="BN96" s="191">
        <f t="shared" si="11"/>
        <v>6.7915560000000097E-2</v>
      </c>
      <c r="BO96" s="191">
        <f t="shared" si="12"/>
        <v>7.6095022499999887E-2</v>
      </c>
      <c r="BP96" s="191">
        <f t="shared" si="17"/>
        <v>4.2849440000000127E-2</v>
      </c>
      <c r="BQ96" s="171">
        <f t="shared" si="13"/>
        <v>7.400000000000001E-2</v>
      </c>
      <c r="BR96" s="171">
        <f t="shared" si="14"/>
        <v>8.7499999999999994E-2</v>
      </c>
      <c r="BS96" s="171">
        <f t="shared" si="15"/>
        <v>6.6799999999999998E-2</v>
      </c>
      <c r="BT96" s="171">
        <f t="shared" si="16"/>
        <v>7.4700000000000003E-2</v>
      </c>
      <c r="BU96" s="171">
        <f t="shared" si="18"/>
        <v>4.24E-2</v>
      </c>
    </row>
    <row r="97" spans="1:73" x14ac:dyDescent="0.3">
      <c r="A97" s="209">
        <v>34213</v>
      </c>
      <c r="B97" s="187">
        <v>199309</v>
      </c>
      <c r="C97" s="176">
        <v>7.55</v>
      </c>
      <c r="D97" s="176">
        <v>8.75</v>
      </c>
      <c r="E97" s="176">
        <v>4.07</v>
      </c>
      <c r="F97" s="177">
        <v>85.7</v>
      </c>
      <c r="G97" s="210">
        <v>1.8823529411764683E-2</v>
      </c>
      <c r="H97" s="179">
        <v>6.86</v>
      </c>
      <c r="I97" s="179">
        <v>7.57</v>
      </c>
      <c r="J97" s="210"/>
      <c r="K97" s="182">
        <v>0.08</v>
      </c>
      <c r="L97" s="182">
        <v>7.0000000000000007E-2</v>
      </c>
      <c r="N97" s="182">
        <v>8.5000000000000006E-2</v>
      </c>
      <c r="O97" s="182">
        <v>4.4999999999999998E-2</v>
      </c>
      <c r="Q97" s="182">
        <v>7.4999999999999997E-2</v>
      </c>
      <c r="R97" s="182">
        <v>0.09</v>
      </c>
      <c r="S97" s="182">
        <v>4.4999999999999998E-2</v>
      </c>
      <c r="T97" s="182">
        <v>0.05</v>
      </c>
      <c r="U97" s="182"/>
      <c r="V97" s="194">
        <v>0.08</v>
      </c>
      <c r="W97" s="194">
        <v>9.2999999999999999E-2</v>
      </c>
      <c r="X97" s="194">
        <v>4.8000000000000001E-2</v>
      </c>
      <c r="Y97" s="194">
        <v>5.5E-2</v>
      </c>
      <c r="Z97" s="194"/>
      <c r="AA97" s="195">
        <v>8.022499999999988E-2</v>
      </c>
      <c r="AB97" s="195">
        <v>9.3448343750000107E-2</v>
      </c>
      <c r="AC97" s="195">
        <v>4.7766276387206659E-2</v>
      </c>
      <c r="AD97" s="195">
        <v>5.4963465556396571E-2</v>
      </c>
      <c r="AE97" s="195"/>
      <c r="AF97" s="195">
        <v>1.5489486703424871E-2</v>
      </c>
      <c r="AG97" s="195">
        <v>1.8239910409269977E-2</v>
      </c>
      <c r="AI97" s="182">
        <v>6.9776489999999969E-2</v>
      </c>
      <c r="AJ97" s="182">
        <v>7.713262249999997E-2</v>
      </c>
      <c r="AK97" s="182">
        <v>4.1114122500000239E-2</v>
      </c>
      <c r="AM97" s="27" t="s">
        <v>135</v>
      </c>
      <c r="AN97" s="7" t="b">
        <f t="shared" si="10"/>
        <v>0</v>
      </c>
      <c r="AP97" s="211">
        <v>-99</v>
      </c>
      <c r="AQ97" s="211">
        <v>-99</v>
      </c>
      <c r="AS97" s="211">
        <v>-99</v>
      </c>
      <c r="AT97" s="211">
        <v>-99</v>
      </c>
      <c r="AU97" s="211">
        <v>-99</v>
      </c>
      <c r="AV97" s="211">
        <v>-99</v>
      </c>
      <c r="AW97" s="211">
        <v>-99</v>
      </c>
      <c r="AX97" s="211">
        <v>-99</v>
      </c>
      <c r="AZ97" s="211">
        <v>-99</v>
      </c>
      <c r="BA97" s="211">
        <v>-99</v>
      </c>
      <c r="BB97" s="211">
        <v>-99</v>
      </c>
      <c r="BC97" s="211">
        <v>-99</v>
      </c>
      <c r="BD97" s="211">
        <v>-99</v>
      </c>
      <c r="BE97" s="211">
        <v>-99</v>
      </c>
      <c r="BG97" s="211">
        <v>-99</v>
      </c>
      <c r="BH97" s="211">
        <v>-99</v>
      </c>
      <c r="BI97" s="211">
        <v>-99</v>
      </c>
      <c r="BJ97" s="211">
        <v>-99</v>
      </c>
      <c r="BK97" s="211">
        <v>-99</v>
      </c>
      <c r="BL97" s="211">
        <v>-99</v>
      </c>
      <c r="BM97" s="211">
        <v>-99</v>
      </c>
      <c r="BN97" s="191">
        <f t="shared" si="11"/>
        <v>6.9776489999999969E-2</v>
      </c>
      <c r="BO97" s="191">
        <f t="shared" si="12"/>
        <v>7.713262249999997E-2</v>
      </c>
      <c r="BP97" s="191">
        <f t="shared" si="17"/>
        <v>4.1114122500000239E-2</v>
      </c>
      <c r="BQ97" s="171">
        <f t="shared" si="13"/>
        <v>7.5499999999999998E-2</v>
      </c>
      <c r="BR97" s="171">
        <f t="shared" si="14"/>
        <v>8.7499999999999994E-2</v>
      </c>
      <c r="BS97" s="171">
        <f t="shared" si="15"/>
        <v>6.8600000000000008E-2</v>
      </c>
      <c r="BT97" s="171">
        <f t="shared" si="16"/>
        <v>7.5700000000000003E-2</v>
      </c>
      <c r="BU97" s="171">
        <f t="shared" si="18"/>
        <v>4.07E-2</v>
      </c>
    </row>
    <row r="98" spans="1:73" x14ac:dyDescent="0.3">
      <c r="A98" s="209">
        <v>34243</v>
      </c>
      <c r="B98" s="187">
        <v>199310</v>
      </c>
      <c r="C98" s="176">
        <v>7.35</v>
      </c>
      <c r="D98" s="176">
        <v>8.75</v>
      </c>
      <c r="E98" s="176">
        <v>4.09</v>
      </c>
      <c r="F98" s="177">
        <v>85.9</v>
      </c>
      <c r="G98" s="210">
        <v>1.8794048551292075E-2</v>
      </c>
      <c r="H98" s="179">
        <v>6.48</v>
      </c>
      <c r="I98" s="179">
        <v>7.41</v>
      </c>
      <c r="J98" s="210"/>
      <c r="K98" s="182">
        <v>7.4999999999999997E-2</v>
      </c>
      <c r="L98" s="182">
        <v>6.5000000000000002E-2</v>
      </c>
      <c r="N98" s="182">
        <v>0.08</v>
      </c>
      <c r="O98" s="182">
        <v>4.4999999999999998E-2</v>
      </c>
      <c r="Q98" s="182">
        <v>7.2499999999999995E-2</v>
      </c>
      <c r="R98" s="182">
        <v>8.5000000000000006E-2</v>
      </c>
      <c r="S98" s="182">
        <v>4.2500000000000003E-2</v>
      </c>
      <c r="T98" s="182">
        <v>0.05</v>
      </c>
      <c r="U98" s="182"/>
      <c r="V98" s="194">
        <v>7.6999999999999999E-2</v>
      </c>
      <c r="W98" s="194">
        <v>8.8999999999999996E-2</v>
      </c>
      <c r="X98" s="194">
        <v>4.7E-2</v>
      </c>
      <c r="Y98" s="194">
        <v>5.3999999999999999E-2</v>
      </c>
      <c r="Z98" s="194"/>
      <c r="AA98" s="195">
        <v>7.6915560000000105E-2</v>
      </c>
      <c r="AB98" s="195">
        <v>8.918475374999979E-2</v>
      </c>
      <c r="AC98" s="195">
        <v>4.7243548890289339E-2</v>
      </c>
      <c r="AD98" s="195">
        <v>5.4152385554855527E-2</v>
      </c>
      <c r="AE98" s="195"/>
      <c r="AF98" s="195">
        <v>1.4166719451818466E-2</v>
      </c>
      <c r="AG98" s="195">
        <v>1.6616368124379277E-2</v>
      </c>
      <c r="AI98" s="182">
        <v>6.5849759999999868E-2</v>
      </c>
      <c r="AJ98" s="182">
        <v>7.5472702500000155E-2</v>
      </c>
      <c r="AK98" s="182">
        <v>4.1318202500000067E-2</v>
      </c>
      <c r="AM98" s="27" t="s">
        <v>135</v>
      </c>
      <c r="AN98" s="7" t="b">
        <f t="shared" si="10"/>
        <v>0</v>
      </c>
      <c r="AP98" s="211">
        <v>-99</v>
      </c>
      <c r="AQ98" s="211">
        <v>-99</v>
      </c>
      <c r="AS98" s="211">
        <v>-99</v>
      </c>
      <c r="AT98" s="211">
        <v>-99</v>
      </c>
      <c r="AU98" s="211">
        <v>-99</v>
      </c>
      <c r="AV98" s="211">
        <v>-99</v>
      </c>
      <c r="AW98" s="211">
        <v>-99</v>
      </c>
      <c r="AX98" s="211">
        <v>-99</v>
      </c>
      <c r="AZ98" s="211">
        <v>-99</v>
      </c>
      <c r="BA98" s="211">
        <v>-99</v>
      </c>
      <c r="BB98" s="211">
        <v>-99</v>
      </c>
      <c r="BC98" s="211">
        <v>-99</v>
      </c>
      <c r="BD98" s="211">
        <v>-99</v>
      </c>
      <c r="BE98" s="211">
        <v>-99</v>
      </c>
      <c r="BG98" s="211">
        <v>-99</v>
      </c>
      <c r="BH98" s="211">
        <v>-99</v>
      </c>
      <c r="BI98" s="211">
        <v>-99</v>
      </c>
      <c r="BJ98" s="211">
        <v>-99</v>
      </c>
      <c r="BK98" s="211">
        <v>-99</v>
      </c>
      <c r="BL98" s="211">
        <v>-99</v>
      </c>
      <c r="BM98" s="211">
        <v>-99</v>
      </c>
      <c r="BN98" s="191">
        <f t="shared" si="11"/>
        <v>6.5849759999999868E-2</v>
      </c>
      <c r="BO98" s="191">
        <f t="shared" si="12"/>
        <v>7.5472702500000155E-2</v>
      </c>
      <c r="BP98" s="191">
        <f t="shared" si="17"/>
        <v>4.1318202500000067E-2</v>
      </c>
      <c r="BQ98" s="171">
        <f t="shared" si="13"/>
        <v>7.3499999999999996E-2</v>
      </c>
      <c r="BR98" s="171">
        <f t="shared" si="14"/>
        <v>8.7499999999999994E-2</v>
      </c>
      <c r="BS98" s="171">
        <f t="shared" si="15"/>
        <v>6.480000000000001E-2</v>
      </c>
      <c r="BT98" s="171">
        <f t="shared" si="16"/>
        <v>7.4099999999999999E-2</v>
      </c>
      <c r="BU98" s="171">
        <f t="shared" si="18"/>
        <v>4.0899999999999999E-2</v>
      </c>
    </row>
    <row r="99" spans="1:73" x14ac:dyDescent="0.3">
      <c r="A99" s="209">
        <v>34274</v>
      </c>
      <c r="B99" s="187">
        <v>199311</v>
      </c>
      <c r="C99" s="176">
        <v>7.45</v>
      </c>
      <c r="D99" s="176">
        <v>7.75</v>
      </c>
      <c r="E99" s="176">
        <v>3.96</v>
      </c>
      <c r="F99" s="177">
        <v>86.3</v>
      </c>
      <c r="G99" s="210">
        <v>1.8764659890539548E-2</v>
      </c>
      <c r="H99" s="179">
        <v>6.8</v>
      </c>
      <c r="I99" s="179">
        <v>7.56</v>
      </c>
      <c r="J99" s="210"/>
      <c r="K99" s="182">
        <v>0.08</v>
      </c>
      <c r="L99" s="182">
        <v>6.5000000000000002E-2</v>
      </c>
      <c r="N99" s="182">
        <v>8.2500000000000004E-2</v>
      </c>
      <c r="O99" s="182">
        <v>4.2500000000000003E-2</v>
      </c>
      <c r="Q99" s="182">
        <v>7.4999999999999997E-2</v>
      </c>
      <c r="R99" s="182">
        <v>8.5000000000000006E-2</v>
      </c>
      <c r="S99" s="182">
        <v>4.2500000000000003E-2</v>
      </c>
      <c r="T99" s="182">
        <v>4.7500000000000001E-2</v>
      </c>
      <c r="U99" s="182"/>
      <c r="V99" s="194">
        <v>7.9000000000000001E-2</v>
      </c>
      <c r="W99" s="194">
        <v>0.09</v>
      </c>
      <c r="X99" s="194">
        <v>4.5999999999999999E-2</v>
      </c>
      <c r="Y99" s="194">
        <v>5.2000000000000005E-2</v>
      </c>
      <c r="Z99" s="194"/>
      <c r="AA99" s="195">
        <v>7.8776489999999977E-2</v>
      </c>
      <c r="AB99" s="195">
        <v>8.9810688749999978E-2</v>
      </c>
      <c r="AC99" s="195">
        <v>4.6193071679626108E-2</v>
      </c>
      <c r="AD99" s="195">
        <v>5.2074647910187309E-2</v>
      </c>
      <c r="AE99" s="195"/>
      <c r="AF99" s="195">
        <v>1.5572373399521E-2</v>
      </c>
      <c r="AG99" s="195">
        <v>1.7934108057242271E-2</v>
      </c>
      <c r="AI99" s="182">
        <v>6.9155999999999995E-2</v>
      </c>
      <c r="AJ99" s="182">
        <v>7.7028840000000098E-2</v>
      </c>
      <c r="AK99" s="182">
        <v>3.9992040000000006E-2</v>
      </c>
      <c r="AM99" s="27" t="s">
        <v>135</v>
      </c>
      <c r="AN99" s="7" t="b">
        <f t="shared" si="10"/>
        <v>0</v>
      </c>
      <c r="AP99" s="211">
        <v>-99</v>
      </c>
      <c r="AQ99" s="211">
        <v>-99</v>
      </c>
      <c r="AS99" s="211">
        <v>-99</v>
      </c>
      <c r="AT99" s="211">
        <v>-99</v>
      </c>
      <c r="AU99" s="211">
        <v>-99</v>
      </c>
      <c r="AV99" s="211">
        <v>-99</v>
      </c>
      <c r="AW99" s="211">
        <v>-99</v>
      </c>
      <c r="AX99" s="211">
        <v>-99</v>
      </c>
      <c r="AZ99" s="211">
        <v>-99</v>
      </c>
      <c r="BA99" s="211">
        <v>-99</v>
      </c>
      <c r="BB99" s="211">
        <v>-99</v>
      </c>
      <c r="BC99" s="211">
        <v>-99</v>
      </c>
      <c r="BD99" s="211">
        <v>-99</v>
      </c>
      <c r="BE99" s="211">
        <v>-99</v>
      </c>
      <c r="BG99" s="211">
        <v>-99</v>
      </c>
      <c r="BH99" s="211">
        <v>-99</v>
      </c>
      <c r="BI99" s="211">
        <v>-99</v>
      </c>
      <c r="BJ99" s="211">
        <v>-99</v>
      </c>
      <c r="BK99" s="211">
        <v>-99</v>
      </c>
      <c r="BL99" s="211">
        <v>-99</v>
      </c>
      <c r="BM99" s="211">
        <v>-99</v>
      </c>
      <c r="BN99" s="191">
        <f t="shared" si="11"/>
        <v>6.9155999999999995E-2</v>
      </c>
      <c r="BO99" s="191">
        <f t="shared" si="12"/>
        <v>7.7028840000000098E-2</v>
      </c>
      <c r="BP99" s="191">
        <f t="shared" si="17"/>
        <v>3.9992040000000006E-2</v>
      </c>
      <c r="BQ99" s="171">
        <f t="shared" si="13"/>
        <v>7.4499999999999997E-2</v>
      </c>
      <c r="BR99" s="171">
        <f t="shared" si="14"/>
        <v>7.7499999999999999E-2</v>
      </c>
      <c r="BS99" s="171">
        <f t="shared" si="15"/>
        <v>6.8000000000000005E-2</v>
      </c>
      <c r="BT99" s="171">
        <f t="shared" si="16"/>
        <v>7.5600000000000001E-2</v>
      </c>
      <c r="BU99" s="171">
        <f t="shared" si="18"/>
        <v>3.9599999999999996E-2</v>
      </c>
    </row>
    <row r="100" spans="1:73" x14ac:dyDescent="0.3">
      <c r="A100" s="212">
        <v>34304</v>
      </c>
      <c r="B100" s="187">
        <v>199312</v>
      </c>
      <c r="C100" s="213">
        <v>7.12</v>
      </c>
      <c r="D100" s="213">
        <v>7.75</v>
      </c>
      <c r="E100" s="213">
        <v>3.78</v>
      </c>
      <c r="F100" s="177">
        <v>86.1</v>
      </c>
      <c r="G100" s="214">
        <v>1.795472287275568E-2</v>
      </c>
      <c r="H100" s="215">
        <v>6.34</v>
      </c>
      <c r="I100" s="215">
        <v>7.28</v>
      </c>
      <c r="J100" s="214"/>
      <c r="K100" s="216">
        <v>7.4999999999999997E-2</v>
      </c>
      <c r="L100" s="216">
        <v>6.5000000000000002E-2</v>
      </c>
      <c r="M100" s="216"/>
      <c r="N100" s="216">
        <v>0.08</v>
      </c>
      <c r="O100" s="216">
        <v>4.4999999999999998E-2</v>
      </c>
      <c r="P100" s="217"/>
      <c r="Q100" s="182">
        <v>7.0000000000000007E-2</v>
      </c>
      <c r="R100" s="182">
        <v>8.5000000000000006E-2</v>
      </c>
      <c r="S100" s="182">
        <v>0.04</v>
      </c>
      <c r="T100" s="182">
        <v>0.05</v>
      </c>
      <c r="U100" s="182"/>
      <c r="V100" s="194">
        <v>7.4999999999999997E-2</v>
      </c>
      <c r="W100" s="194">
        <v>8.8999999999999996E-2</v>
      </c>
      <c r="X100" s="194">
        <v>4.4999999999999998E-2</v>
      </c>
      <c r="Y100" s="194">
        <v>5.2999999999999999E-2</v>
      </c>
      <c r="Z100" s="194"/>
      <c r="AA100" s="195">
        <v>7.4849759999999876E-2</v>
      </c>
      <c r="AB100" s="195">
        <v>8.9284173750000306E-2</v>
      </c>
      <c r="AC100" s="195">
        <v>4.5050037008498446E-2</v>
      </c>
      <c r="AD100" s="195">
        <v>5.295228524575088E-2</v>
      </c>
      <c r="AE100" s="195"/>
      <c r="AF100" s="195">
        <v>1.4257557981053326E-2</v>
      </c>
      <c r="AG100" s="195">
        <v>1.7252390736665624E-2</v>
      </c>
      <c r="AI100" s="182">
        <v>6.4404890000000048E-2</v>
      </c>
      <c r="AJ100" s="182">
        <v>7.4124960000000018E-2</v>
      </c>
      <c r="AK100" s="182">
        <v>3.815720999999983E-2</v>
      </c>
      <c r="AM100" s="27" t="s">
        <v>135</v>
      </c>
      <c r="AN100" s="7" t="b">
        <f t="shared" si="10"/>
        <v>0</v>
      </c>
      <c r="AP100" s="211">
        <v>-99</v>
      </c>
      <c r="AQ100" s="211">
        <v>-99</v>
      </c>
      <c r="AS100" s="211">
        <v>-99</v>
      </c>
      <c r="AT100" s="211">
        <v>-99</v>
      </c>
      <c r="AU100" s="211">
        <v>-99</v>
      </c>
      <c r="AV100" s="211">
        <v>-99</v>
      </c>
      <c r="AW100" s="211">
        <v>-99</v>
      </c>
      <c r="AX100" s="211">
        <v>-99</v>
      </c>
      <c r="AZ100" s="211">
        <v>-99</v>
      </c>
      <c r="BA100" s="211">
        <v>-99</v>
      </c>
      <c r="BB100" s="211">
        <v>-99</v>
      </c>
      <c r="BC100" s="211">
        <v>-99</v>
      </c>
      <c r="BD100" s="211">
        <v>-99</v>
      </c>
      <c r="BE100" s="211">
        <v>-99</v>
      </c>
      <c r="BG100" s="211">
        <v>-99</v>
      </c>
      <c r="BH100" s="211">
        <v>-99</v>
      </c>
      <c r="BI100" s="211">
        <v>-99</v>
      </c>
      <c r="BJ100" s="211">
        <v>-99</v>
      </c>
      <c r="BK100" s="211">
        <v>-99</v>
      </c>
      <c r="BL100" s="211">
        <v>-99</v>
      </c>
      <c r="BM100" s="211">
        <v>-99</v>
      </c>
      <c r="BN100" s="191">
        <f t="shared" si="11"/>
        <v>6.4404890000000048E-2</v>
      </c>
      <c r="BO100" s="191">
        <f t="shared" si="12"/>
        <v>7.4124960000000018E-2</v>
      </c>
      <c r="BP100" s="191">
        <f t="shared" si="17"/>
        <v>3.815720999999983E-2</v>
      </c>
      <c r="BQ100" s="171">
        <f t="shared" si="13"/>
        <v>7.1199999999999999E-2</v>
      </c>
      <c r="BR100" s="171">
        <f t="shared" si="14"/>
        <v>7.7499999999999999E-2</v>
      </c>
      <c r="BS100" s="171">
        <f t="shared" si="15"/>
        <v>6.3399999999999998E-2</v>
      </c>
      <c r="BT100" s="171">
        <f t="shared" si="16"/>
        <v>7.2800000000000004E-2</v>
      </c>
      <c r="BU100" s="171">
        <f t="shared" si="18"/>
        <v>3.78E-2</v>
      </c>
    </row>
    <row r="101" spans="1:73" x14ac:dyDescent="0.3">
      <c r="A101" s="209">
        <v>34335</v>
      </c>
      <c r="B101" s="187">
        <v>199401</v>
      </c>
      <c r="C101" s="176">
        <v>6.86</v>
      </c>
      <c r="D101" s="219">
        <v>7.25</v>
      </c>
      <c r="E101" s="176">
        <v>3.52</v>
      </c>
      <c r="F101" s="177">
        <v>86.1</v>
      </c>
      <c r="G101" s="210">
        <v>1.7926734216679563E-2</v>
      </c>
      <c r="H101" s="179">
        <v>6.04</v>
      </c>
      <c r="I101" s="179">
        <v>7.16</v>
      </c>
      <c r="J101" s="176"/>
      <c r="K101" s="182">
        <v>7.4999999999999997E-2</v>
      </c>
      <c r="L101" s="182">
        <v>5.5E-2</v>
      </c>
      <c r="N101" s="182">
        <v>0.08</v>
      </c>
      <c r="O101" s="182">
        <v>4.2500000000000003E-2</v>
      </c>
      <c r="Q101" s="182">
        <v>7.4999999999999997E-2</v>
      </c>
      <c r="R101" s="182">
        <v>8.5000000000000006E-2</v>
      </c>
      <c r="S101" s="182">
        <v>0.04</v>
      </c>
      <c r="T101" s="182">
        <v>4.7500000000000001E-2</v>
      </c>
      <c r="U101" s="182"/>
      <c r="V101" s="194">
        <v>7.8E-2</v>
      </c>
      <c r="W101" s="194">
        <v>0.09</v>
      </c>
      <c r="X101" s="194">
        <v>4.4999999999999998E-2</v>
      </c>
      <c r="Y101" s="194">
        <v>5.1000000000000004E-2</v>
      </c>
      <c r="Z101" s="194"/>
      <c r="AA101" s="195">
        <v>7.8156000000000003E-2</v>
      </c>
      <c r="AB101" s="195">
        <v>8.9965260000000158E-2</v>
      </c>
      <c r="AC101" s="195">
        <v>4.4904597787529928E-2</v>
      </c>
      <c r="AD101" s="195">
        <v>5.1035761106235047E-2</v>
      </c>
      <c r="AE101" s="195"/>
      <c r="AF101" s="195">
        <v>1.591121442229082E-2</v>
      </c>
      <c r="AG101" s="195">
        <v>1.8519588169288781E-2</v>
      </c>
      <c r="AI101" s="182">
        <v>6.1312040000000012E-2</v>
      </c>
      <c r="AJ101" s="182">
        <v>7.2881640000000081E-2</v>
      </c>
      <c r="AK101" s="182">
        <v>3.5509760000000057E-2</v>
      </c>
      <c r="AM101" s="27" t="s">
        <v>135</v>
      </c>
      <c r="AN101" s="7" t="b">
        <f t="shared" si="10"/>
        <v>0</v>
      </c>
      <c r="AP101" s="211">
        <v>-99</v>
      </c>
      <c r="AQ101" s="211">
        <v>-99</v>
      </c>
      <c r="AS101" s="211">
        <v>-99</v>
      </c>
      <c r="AT101" s="211">
        <v>-99</v>
      </c>
      <c r="AU101" s="211">
        <v>-99</v>
      </c>
      <c r="AV101" s="211">
        <v>-99</v>
      </c>
      <c r="AW101" s="211">
        <v>-99</v>
      </c>
      <c r="AX101" s="211">
        <v>-99</v>
      </c>
      <c r="AZ101" s="211">
        <v>-99</v>
      </c>
      <c r="BA101" s="211">
        <v>-99</v>
      </c>
      <c r="BB101" s="211">
        <v>-99</v>
      </c>
      <c r="BC101" s="211">
        <v>-99</v>
      </c>
      <c r="BD101" s="211">
        <v>-99</v>
      </c>
      <c r="BE101" s="211">
        <v>-99</v>
      </c>
      <c r="BG101" s="211">
        <v>-99</v>
      </c>
      <c r="BH101" s="211">
        <v>-99</v>
      </c>
      <c r="BI101" s="211">
        <v>-99</v>
      </c>
      <c r="BJ101" s="211">
        <v>-99</v>
      </c>
      <c r="BK101" s="211">
        <v>-99</v>
      </c>
      <c r="BL101" s="211">
        <v>-99</v>
      </c>
      <c r="BM101" s="211">
        <v>-99</v>
      </c>
      <c r="BN101" s="191">
        <f t="shared" si="11"/>
        <v>6.1312040000000012E-2</v>
      </c>
      <c r="BO101" s="191">
        <f t="shared" si="12"/>
        <v>7.2881640000000081E-2</v>
      </c>
      <c r="BP101" s="191">
        <f t="shared" si="17"/>
        <v>3.5509760000000057E-2</v>
      </c>
      <c r="BQ101" s="171">
        <f t="shared" si="13"/>
        <v>6.8600000000000008E-2</v>
      </c>
      <c r="BR101" s="171">
        <f t="shared" si="14"/>
        <v>7.2499999999999995E-2</v>
      </c>
      <c r="BS101" s="171">
        <f t="shared" si="15"/>
        <v>6.0400000000000002E-2</v>
      </c>
      <c r="BT101" s="171">
        <f t="shared" si="16"/>
        <v>7.1599999999999997E-2</v>
      </c>
      <c r="BU101" s="171">
        <f t="shared" si="18"/>
        <v>3.5200000000000002E-2</v>
      </c>
    </row>
    <row r="102" spans="1:73" x14ac:dyDescent="0.3">
      <c r="A102" s="209">
        <v>34366</v>
      </c>
      <c r="B102" s="187">
        <v>199402</v>
      </c>
      <c r="C102" s="176">
        <v>7.33</v>
      </c>
      <c r="D102" s="219">
        <v>7.25</v>
      </c>
      <c r="E102" s="176">
        <v>3.79</v>
      </c>
      <c r="F102" s="177">
        <v>85.4</v>
      </c>
      <c r="G102" s="210">
        <v>1.634241245136181E-2</v>
      </c>
      <c r="H102" s="179">
        <v>6.72</v>
      </c>
      <c r="I102" s="179">
        <v>7.53</v>
      </c>
      <c r="J102" s="176"/>
      <c r="K102" s="182">
        <v>7.4999999999999997E-2</v>
      </c>
      <c r="L102" s="182">
        <v>5.5E-2</v>
      </c>
      <c r="N102" s="182">
        <v>7.7499999999999999E-2</v>
      </c>
      <c r="O102" s="182">
        <v>0.04</v>
      </c>
      <c r="Q102" s="182">
        <v>7.0000000000000007E-2</v>
      </c>
      <c r="R102" s="182">
        <v>8.5000000000000006E-2</v>
      </c>
      <c r="S102" s="182">
        <v>3.7499999999999999E-2</v>
      </c>
      <c r="T102" s="182">
        <v>4.4999999999999998E-2</v>
      </c>
      <c r="U102" s="182"/>
      <c r="V102" s="194">
        <v>7.2999999999999995E-2</v>
      </c>
      <c r="W102" s="194">
        <v>8.7999999999999995E-2</v>
      </c>
      <c r="X102" s="194">
        <v>4.2000000000000003E-2</v>
      </c>
      <c r="Y102" s="194">
        <v>0.05</v>
      </c>
      <c r="Z102" s="194"/>
      <c r="AA102" s="195">
        <v>7.3404890000000056E-2</v>
      </c>
      <c r="AB102" s="195">
        <v>8.798499500000001E-2</v>
      </c>
      <c r="AC102" s="195">
        <v>4.2153622109973352E-2</v>
      </c>
      <c r="AD102" s="195">
        <v>4.9659003945013068E-2</v>
      </c>
      <c r="AE102" s="195"/>
      <c r="AF102" s="195">
        <v>1.4993599420954018E-2</v>
      </c>
      <c r="AG102" s="195">
        <v>1.8256400845866771E-2</v>
      </c>
      <c r="AI102" s="182">
        <v>6.8328960000000105E-2</v>
      </c>
      <c r="AJ102" s="182">
        <v>7.6717522499999857E-2</v>
      </c>
      <c r="AK102" s="182">
        <v>3.8259102500000086E-2</v>
      </c>
      <c r="AM102" s="27" t="s">
        <v>135</v>
      </c>
      <c r="AN102" s="7" t="b">
        <f t="shared" si="10"/>
        <v>0</v>
      </c>
      <c r="AP102" s="211">
        <v>-99</v>
      </c>
      <c r="AQ102" s="211">
        <v>-99</v>
      </c>
      <c r="AS102" s="211">
        <v>-99</v>
      </c>
      <c r="AT102" s="211">
        <v>-99</v>
      </c>
      <c r="AU102" s="211">
        <v>-99</v>
      </c>
      <c r="AV102" s="211">
        <v>-99</v>
      </c>
      <c r="AW102" s="211">
        <v>-99</v>
      </c>
      <c r="AX102" s="211">
        <v>-99</v>
      </c>
      <c r="AZ102" s="211">
        <v>-99</v>
      </c>
      <c r="BA102" s="211">
        <v>-99</v>
      </c>
      <c r="BB102" s="211">
        <v>-99</v>
      </c>
      <c r="BC102" s="211">
        <v>-99</v>
      </c>
      <c r="BD102" s="211">
        <v>-99</v>
      </c>
      <c r="BE102" s="211">
        <v>-99</v>
      </c>
      <c r="BG102" s="211">
        <v>-99</v>
      </c>
      <c r="BH102" s="211">
        <v>-99</v>
      </c>
      <c r="BI102" s="211">
        <v>-99</v>
      </c>
      <c r="BJ102" s="211">
        <v>-99</v>
      </c>
      <c r="BK102" s="211">
        <v>-99</v>
      </c>
      <c r="BL102" s="211">
        <v>-99</v>
      </c>
      <c r="BM102" s="211">
        <v>-99</v>
      </c>
      <c r="BN102" s="191">
        <f t="shared" si="11"/>
        <v>6.8328960000000105E-2</v>
      </c>
      <c r="BO102" s="191">
        <f t="shared" si="12"/>
        <v>7.6717522499999857E-2</v>
      </c>
      <c r="BP102" s="191">
        <f t="shared" si="17"/>
        <v>3.8259102500000086E-2</v>
      </c>
      <c r="BQ102" s="171">
        <f t="shared" si="13"/>
        <v>7.3300000000000004E-2</v>
      </c>
      <c r="BR102" s="171">
        <f t="shared" si="14"/>
        <v>7.2499999999999995E-2</v>
      </c>
      <c r="BS102" s="171">
        <f t="shared" si="15"/>
        <v>6.7199999999999996E-2</v>
      </c>
      <c r="BT102" s="171">
        <f t="shared" si="16"/>
        <v>7.5300000000000006E-2</v>
      </c>
      <c r="BU102" s="171">
        <f t="shared" si="18"/>
        <v>3.7900000000000003E-2</v>
      </c>
    </row>
    <row r="103" spans="1:73" x14ac:dyDescent="0.3">
      <c r="A103" s="209">
        <v>34394</v>
      </c>
      <c r="B103" s="187">
        <v>199403</v>
      </c>
      <c r="C103" s="176">
        <v>8.25</v>
      </c>
      <c r="D103" s="176">
        <v>8.9499999999999993</v>
      </c>
      <c r="E103" s="176">
        <v>4.0999999999999996</v>
      </c>
      <c r="F103" s="177">
        <v>85.4</v>
      </c>
      <c r="G103" s="210">
        <v>1.4763014763014892E-2</v>
      </c>
      <c r="H103" s="179">
        <v>7.8</v>
      </c>
      <c r="I103" s="179">
        <v>8.33</v>
      </c>
      <c r="J103" s="176"/>
      <c r="K103" s="182">
        <v>7.0000000000000007E-2</v>
      </c>
      <c r="L103" s="182">
        <v>0.05</v>
      </c>
      <c r="N103" s="182">
        <v>7.4999999999999997E-2</v>
      </c>
      <c r="O103" s="182">
        <v>3.7499999999999999E-2</v>
      </c>
      <c r="Q103" s="182">
        <v>6.7500000000000004E-2</v>
      </c>
      <c r="R103" s="182">
        <v>8.2500000000000004E-2</v>
      </c>
      <c r="S103" s="182">
        <v>3.5000000000000003E-2</v>
      </c>
      <c r="T103" s="182">
        <v>4.2500000000000003E-2</v>
      </c>
      <c r="U103" s="182"/>
      <c r="V103" s="194">
        <v>7.0000000000000007E-2</v>
      </c>
      <c r="W103" s="194">
        <v>8.7999999999999995E-2</v>
      </c>
      <c r="X103" s="194">
        <v>3.9E-2</v>
      </c>
      <c r="Y103" s="194">
        <v>4.7E-2</v>
      </c>
      <c r="Z103" s="194"/>
      <c r="AA103" s="195">
        <v>7.031204000000002E-2</v>
      </c>
      <c r="AB103" s="195">
        <v>8.7666440000000123E-2</v>
      </c>
      <c r="AC103" s="195">
        <v>3.8872761171543369E-2</v>
      </c>
      <c r="AD103" s="195">
        <v>4.7328259414228406E-2</v>
      </c>
      <c r="AE103" s="195"/>
      <c r="AF103" s="195">
        <v>1.5131438614774395E-2</v>
      </c>
      <c r="AG103" s="195">
        <v>1.9257658820517665E-2</v>
      </c>
      <c r="AI103" s="182">
        <v>7.9520999999999731E-2</v>
      </c>
      <c r="AJ103" s="182">
        <v>8.5034722499999882E-2</v>
      </c>
      <c r="AK103" s="182">
        <v>4.1420249999999825E-2</v>
      </c>
      <c r="AM103" s="27" t="s">
        <v>135</v>
      </c>
      <c r="AN103" s="7" t="b">
        <f t="shared" si="10"/>
        <v>0</v>
      </c>
      <c r="AP103" s="211">
        <v>-99</v>
      </c>
      <c r="AQ103" s="211">
        <v>-99</v>
      </c>
      <c r="AS103" s="211">
        <v>-99</v>
      </c>
      <c r="AT103" s="211">
        <v>-99</v>
      </c>
      <c r="AU103" s="211">
        <v>-99</v>
      </c>
      <c r="AV103" s="211">
        <v>-99</v>
      </c>
      <c r="AW103" s="211">
        <v>-99</v>
      </c>
      <c r="AX103" s="211">
        <v>-99</v>
      </c>
      <c r="AZ103" s="211">
        <v>-99</v>
      </c>
      <c r="BA103" s="211">
        <v>-99</v>
      </c>
      <c r="BB103" s="211">
        <v>-99</v>
      </c>
      <c r="BC103" s="211">
        <v>-99</v>
      </c>
      <c r="BD103" s="211">
        <v>-99</v>
      </c>
      <c r="BE103" s="211">
        <v>-99</v>
      </c>
      <c r="BG103" s="211">
        <v>-99</v>
      </c>
      <c r="BH103" s="211">
        <v>-99</v>
      </c>
      <c r="BI103" s="211">
        <v>-99</v>
      </c>
      <c r="BJ103" s="211">
        <v>-99</v>
      </c>
      <c r="BK103" s="211">
        <v>-99</v>
      </c>
      <c r="BL103" s="211">
        <v>-99</v>
      </c>
      <c r="BM103" s="211">
        <v>-99</v>
      </c>
      <c r="BN103" s="191">
        <f t="shared" si="11"/>
        <v>7.9520999999999731E-2</v>
      </c>
      <c r="BO103" s="191">
        <f t="shared" si="12"/>
        <v>8.5034722499999882E-2</v>
      </c>
      <c r="BP103" s="191">
        <f t="shared" si="17"/>
        <v>4.1420249999999825E-2</v>
      </c>
      <c r="BQ103" s="171">
        <f t="shared" si="13"/>
        <v>8.2500000000000004E-2</v>
      </c>
      <c r="BR103" s="171">
        <f t="shared" si="14"/>
        <v>8.9499999999999996E-2</v>
      </c>
      <c r="BS103" s="171">
        <f t="shared" si="15"/>
        <v>7.8E-2</v>
      </c>
      <c r="BT103" s="171">
        <f t="shared" si="16"/>
        <v>8.3299999999999999E-2</v>
      </c>
      <c r="BU103" s="171">
        <f t="shared" si="18"/>
        <v>4.0999999999999995E-2</v>
      </c>
    </row>
    <row r="104" spans="1:73" x14ac:dyDescent="0.3">
      <c r="A104" s="209">
        <v>34425</v>
      </c>
      <c r="B104" s="187">
        <v>199404</v>
      </c>
      <c r="C104" s="176">
        <v>8.18</v>
      </c>
      <c r="D104" s="176">
        <v>9.5</v>
      </c>
      <c r="E104" s="176">
        <v>4.16</v>
      </c>
      <c r="F104" s="177">
        <v>85.4</v>
      </c>
      <c r="G104" s="210">
        <v>1.318851823118683E-2</v>
      </c>
      <c r="H104" s="179">
        <v>7.81</v>
      </c>
      <c r="I104" s="179">
        <v>8.2200000000000006</v>
      </c>
      <c r="J104" s="176"/>
      <c r="K104" s="182">
        <v>7.4999999999999997E-2</v>
      </c>
      <c r="L104" s="182">
        <v>5.5E-2</v>
      </c>
      <c r="N104" s="182">
        <v>0.08</v>
      </c>
      <c r="O104" s="182">
        <v>0.04</v>
      </c>
      <c r="Q104" s="182">
        <v>7.2499999999999995E-2</v>
      </c>
      <c r="R104" s="182">
        <v>8.5000000000000006E-2</v>
      </c>
      <c r="S104" s="182">
        <v>0.04</v>
      </c>
      <c r="T104" s="182">
        <v>4.4999999999999998E-2</v>
      </c>
      <c r="U104" s="182"/>
      <c r="V104" s="194">
        <v>7.6999999999999999E-2</v>
      </c>
      <c r="W104" s="194">
        <v>0.09</v>
      </c>
      <c r="X104" s="194">
        <v>4.3000000000000003E-2</v>
      </c>
      <c r="Y104" s="194">
        <v>4.9000000000000002E-2</v>
      </c>
      <c r="Z104" s="194"/>
      <c r="AA104" s="195">
        <v>7.7328960000000113E-2</v>
      </c>
      <c r="AB104" s="195">
        <v>8.9911803749999741E-2</v>
      </c>
      <c r="AC104" s="195">
        <v>4.3075718286632821E-2</v>
      </c>
      <c r="AD104" s="195">
        <v>4.9350794606683721E-2</v>
      </c>
      <c r="AE104" s="195"/>
      <c r="AF104" s="195">
        <v>1.641934574492443E-2</v>
      </c>
      <c r="AG104" s="195">
        <v>1.9326715790270566E-2</v>
      </c>
      <c r="AI104" s="182">
        <v>7.9624902499999983E-2</v>
      </c>
      <c r="AJ104" s="182">
        <v>8.3889209999999714E-2</v>
      </c>
      <c r="AK104" s="182">
        <v>4.2032639999999954E-2</v>
      </c>
      <c r="AM104" s="27" t="s">
        <v>135</v>
      </c>
      <c r="AN104" s="7" t="b">
        <f t="shared" si="10"/>
        <v>0</v>
      </c>
      <c r="AP104" s="211">
        <v>-99</v>
      </c>
      <c r="AQ104" s="211">
        <v>-99</v>
      </c>
      <c r="AS104" s="211">
        <v>-99</v>
      </c>
      <c r="AT104" s="211">
        <v>-99</v>
      </c>
      <c r="AU104" s="211">
        <v>-99</v>
      </c>
      <c r="AV104" s="211">
        <v>-99</v>
      </c>
      <c r="AW104" s="211">
        <v>-99</v>
      </c>
      <c r="AX104" s="211">
        <v>-99</v>
      </c>
      <c r="AZ104" s="211">
        <v>-99</v>
      </c>
      <c r="BA104" s="211">
        <v>-99</v>
      </c>
      <c r="BB104" s="211">
        <v>-99</v>
      </c>
      <c r="BC104" s="211">
        <v>-99</v>
      </c>
      <c r="BD104" s="211">
        <v>-99</v>
      </c>
      <c r="BE104" s="211">
        <v>-99</v>
      </c>
      <c r="BG104" s="211">
        <v>-99</v>
      </c>
      <c r="BH104" s="211">
        <v>-99</v>
      </c>
      <c r="BI104" s="211">
        <v>-99</v>
      </c>
      <c r="BJ104" s="211">
        <v>-99</v>
      </c>
      <c r="BK104" s="211">
        <v>-99</v>
      </c>
      <c r="BL104" s="211">
        <v>-99</v>
      </c>
      <c r="BM104" s="211">
        <v>-99</v>
      </c>
      <c r="BN104" s="191">
        <f t="shared" si="11"/>
        <v>7.9624902499999983E-2</v>
      </c>
      <c r="BO104" s="191">
        <f t="shared" si="12"/>
        <v>8.3889209999999714E-2</v>
      </c>
      <c r="BP104" s="191">
        <f t="shared" si="17"/>
        <v>4.2032639999999954E-2</v>
      </c>
      <c r="BQ104" s="171">
        <f t="shared" si="13"/>
        <v>8.1799999999999998E-2</v>
      </c>
      <c r="BR104" s="171">
        <f t="shared" si="14"/>
        <v>9.5000000000000001E-2</v>
      </c>
      <c r="BS104" s="171">
        <f t="shared" si="15"/>
        <v>7.8100000000000003E-2</v>
      </c>
      <c r="BT104" s="171">
        <f t="shared" si="16"/>
        <v>8.2200000000000009E-2</v>
      </c>
      <c r="BU104" s="171">
        <f t="shared" si="18"/>
        <v>4.1599999999999998E-2</v>
      </c>
    </row>
    <row r="105" spans="1:73" x14ac:dyDescent="0.3">
      <c r="A105" s="209">
        <v>34455</v>
      </c>
      <c r="B105" s="187">
        <v>199405</v>
      </c>
      <c r="C105" s="176">
        <v>8.5500000000000007</v>
      </c>
      <c r="D105" s="176">
        <v>9.5</v>
      </c>
      <c r="E105" s="176">
        <v>4.29</v>
      </c>
      <c r="F105" s="177">
        <v>85.2</v>
      </c>
      <c r="G105" s="210">
        <v>1.161890007745936E-2</v>
      </c>
      <c r="H105" s="179">
        <v>8.26</v>
      </c>
      <c r="I105" s="179">
        <v>8.58</v>
      </c>
      <c r="J105" s="176"/>
      <c r="K105" s="182">
        <v>8.5000000000000006E-2</v>
      </c>
      <c r="L105" s="182">
        <v>7.0000000000000007E-2</v>
      </c>
      <c r="N105" s="182">
        <v>0.09</v>
      </c>
      <c r="O105" s="182">
        <v>4.4999999999999998E-2</v>
      </c>
      <c r="Q105" s="182">
        <v>8.5000000000000006E-2</v>
      </c>
      <c r="R105" s="182">
        <v>9.2499999999999999E-2</v>
      </c>
      <c r="S105" s="182">
        <v>4.2500000000000003E-2</v>
      </c>
      <c r="T105" s="182">
        <v>4.7500000000000001E-2</v>
      </c>
      <c r="U105" s="182"/>
      <c r="V105" s="194">
        <v>8.8999999999999996E-2</v>
      </c>
      <c r="W105" s="194">
        <v>9.7000000000000003E-2</v>
      </c>
      <c r="X105" s="194">
        <v>4.8000000000000001E-2</v>
      </c>
      <c r="Y105" s="194">
        <v>5.2000000000000005E-2</v>
      </c>
      <c r="Z105" s="194"/>
      <c r="AA105" s="195">
        <v>8.8520999999999739E-2</v>
      </c>
      <c r="AB105" s="195">
        <v>9.6791583749999965E-2</v>
      </c>
      <c r="AC105" s="195">
        <v>4.7734526360687306E-2</v>
      </c>
      <c r="AD105" s="195">
        <v>5.1763111819656087E-2</v>
      </c>
      <c r="AE105" s="195"/>
      <c r="AF105" s="195">
        <v>1.9464125984749447E-2</v>
      </c>
      <c r="AG105" s="195">
        <v>0.02</v>
      </c>
      <c r="AI105" s="182">
        <v>8.4305689999999878E-2</v>
      </c>
      <c r="AJ105" s="182">
        <v>8.7640409999999891E-2</v>
      </c>
      <c r="AK105" s="182">
        <v>4.3360102499999886E-2</v>
      </c>
      <c r="AM105" s="27" t="s">
        <v>135</v>
      </c>
      <c r="AN105" s="7" t="b">
        <f t="shared" si="10"/>
        <v>0</v>
      </c>
      <c r="AP105" s="211">
        <v>-99</v>
      </c>
      <c r="AQ105" s="211">
        <v>-99</v>
      </c>
      <c r="AS105" s="211">
        <v>-99</v>
      </c>
      <c r="AT105" s="211">
        <v>-99</v>
      </c>
      <c r="AU105" s="211">
        <v>-99</v>
      </c>
      <c r="AV105" s="211">
        <v>-99</v>
      </c>
      <c r="AW105" s="211">
        <v>-99</v>
      </c>
      <c r="AX105" s="211">
        <v>-99</v>
      </c>
      <c r="AZ105" s="211">
        <v>-99</v>
      </c>
      <c r="BA105" s="211">
        <v>-99</v>
      </c>
      <c r="BB105" s="211">
        <v>-99</v>
      </c>
      <c r="BC105" s="211">
        <v>-99</v>
      </c>
      <c r="BD105" s="211">
        <v>-99</v>
      </c>
      <c r="BE105" s="211">
        <v>-99</v>
      </c>
      <c r="BG105" s="211">
        <v>-99</v>
      </c>
      <c r="BH105" s="211">
        <v>-99</v>
      </c>
      <c r="BI105" s="211">
        <v>-99</v>
      </c>
      <c r="BJ105" s="211">
        <v>-99</v>
      </c>
      <c r="BK105" s="211">
        <v>-99</v>
      </c>
      <c r="BL105" s="211">
        <v>-99</v>
      </c>
      <c r="BM105" s="211">
        <v>-99</v>
      </c>
      <c r="BN105" s="191">
        <f t="shared" si="11"/>
        <v>8.4305689999999878E-2</v>
      </c>
      <c r="BO105" s="191">
        <f t="shared" si="12"/>
        <v>8.7640409999999891E-2</v>
      </c>
      <c r="BP105" s="191">
        <f t="shared" si="17"/>
        <v>4.3360102499999886E-2</v>
      </c>
      <c r="BQ105" s="171">
        <f t="shared" si="13"/>
        <v>8.5500000000000007E-2</v>
      </c>
      <c r="BR105" s="171">
        <f t="shared" si="14"/>
        <v>9.5000000000000001E-2</v>
      </c>
      <c r="BS105" s="171">
        <f t="shared" si="15"/>
        <v>8.2599999999999993E-2</v>
      </c>
      <c r="BT105" s="171">
        <f t="shared" si="16"/>
        <v>8.5800000000000001E-2</v>
      </c>
      <c r="BU105" s="171">
        <f t="shared" si="18"/>
        <v>4.2900000000000001E-2</v>
      </c>
    </row>
    <row r="106" spans="1:73" x14ac:dyDescent="0.3">
      <c r="A106" s="209">
        <v>34486</v>
      </c>
      <c r="B106" s="187">
        <v>199406</v>
      </c>
      <c r="C106" s="176">
        <v>9.2899999999999991</v>
      </c>
      <c r="D106" s="176">
        <v>10.75</v>
      </c>
      <c r="E106" s="176">
        <v>4.7</v>
      </c>
      <c r="F106" s="177">
        <v>85.4</v>
      </c>
      <c r="G106" s="210">
        <v>1.0054137664346374E-2</v>
      </c>
      <c r="H106" s="179">
        <v>9.0399999999999991</v>
      </c>
      <c r="I106" s="179">
        <v>9.27</v>
      </c>
      <c r="J106" s="176"/>
      <c r="K106" s="182">
        <v>8.5000000000000006E-2</v>
      </c>
      <c r="L106" s="182">
        <v>0.08</v>
      </c>
      <c r="N106" s="182">
        <v>8.7499999999999994E-2</v>
      </c>
      <c r="O106" s="182">
        <v>4.4999999999999998E-2</v>
      </c>
      <c r="Q106" s="182">
        <v>8.5000000000000006E-2</v>
      </c>
      <c r="R106" s="182">
        <v>0.09</v>
      </c>
      <c r="S106" s="182">
        <v>4.4999999999999998E-2</v>
      </c>
      <c r="T106" s="182">
        <v>4.7500000000000001E-2</v>
      </c>
      <c r="U106" s="182"/>
      <c r="V106" s="194">
        <v>8.8999999999999996E-2</v>
      </c>
      <c r="W106" s="194">
        <v>9.5000000000000001E-2</v>
      </c>
      <c r="X106" s="194">
        <v>4.9000000000000002E-2</v>
      </c>
      <c r="Y106" s="194">
        <v>5.2000000000000005E-2</v>
      </c>
      <c r="Z106" s="194"/>
      <c r="AA106" s="195">
        <v>8.8624902499999991E-2</v>
      </c>
      <c r="AB106" s="195">
        <v>9.5021363749999588E-2</v>
      </c>
      <c r="AC106" s="195">
        <v>4.8896011201173636E-2</v>
      </c>
      <c r="AD106" s="195">
        <v>5.2100954399413112E-2</v>
      </c>
      <c r="AE106" s="195"/>
      <c r="AF106" s="195">
        <v>1.8938431872445372E-2</v>
      </c>
      <c r="AG106" s="195">
        <v>0.02</v>
      </c>
      <c r="AI106" s="182">
        <v>9.244303999999981E-2</v>
      </c>
      <c r="AJ106" s="182">
        <v>9.484832249999986E-2</v>
      </c>
      <c r="AK106" s="182">
        <v>4.7552250000000074E-2</v>
      </c>
      <c r="AM106" s="27" t="s">
        <v>135</v>
      </c>
      <c r="AN106" s="7" t="b">
        <f t="shared" si="10"/>
        <v>0</v>
      </c>
      <c r="AP106" s="211">
        <v>-99</v>
      </c>
      <c r="AQ106" s="211">
        <v>-99</v>
      </c>
      <c r="AS106" s="211">
        <v>-99</v>
      </c>
      <c r="AT106" s="211">
        <v>-99</v>
      </c>
      <c r="AU106" s="211">
        <v>-99</v>
      </c>
      <c r="AV106" s="211">
        <v>-99</v>
      </c>
      <c r="AW106" s="211">
        <v>-99</v>
      </c>
      <c r="AX106" s="211">
        <v>-99</v>
      </c>
      <c r="AZ106" s="211">
        <v>-99</v>
      </c>
      <c r="BA106" s="211">
        <v>-99</v>
      </c>
      <c r="BB106" s="211">
        <v>-99</v>
      </c>
      <c r="BC106" s="211">
        <v>-99</v>
      </c>
      <c r="BD106" s="211">
        <v>-99</v>
      </c>
      <c r="BE106" s="211">
        <v>-99</v>
      </c>
      <c r="BG106" s="211">
        <v>-99</v>
      </c>
      <c r="BH106" s="211">
        <v>-99</v>
      </c>
      <c r="BI106" s="211">
        <v>-99</v>
      </c>
      <c r="BJ106" s="211">
        <v>-99</v>
      </c>
      <c r="BK106" s="211">
        <v>-99</v>
      </c>
      <c r="BL106" s="211">
        <v>-99</v>
      </c>
      <c r="BM106" s="211">
        <v>-99</v>
      </c>
      <c r="BN106" s="191">
        <f t="shared" si="11"/>
        <v>9.244303999999981E-2</v>
      </c>
      <c r="BO106" s="191">
        <f t="shared" si="12"/>
        <v>9.484832249999986E-2</v>
      </c>
      <c r="BP106" s="191">
        <f t="shared" si="17"/>
        <v>4.7552250000000074E-2</v>
      </c>
      <c r="BQ106" s="171">
        <f t="shared" si="13"/>
        <v>9.2899999999999996E-2</v>
      </c>
      <c r="BR106" s="171">
        <f t="shared" si="14"/>
        <v>0.1075</v>
      </c>
      <c r="BS106" s="171">
        <f t="shared" si="15"/>
        <v>9.0399999999999994E-2</v>
      </c>
      <c r="BT106" s="171">
        <f t="shared" si="16"/>
        <v>9.2699999999999991E-2</v>
      </c>
      <c r="BU106" s="171">
        <f t="shared" si="18"/>
        <v>4.7E-2</v>
      </c>
    </row>
    <row r="107" spans="1:73" x14ac:dyDescent="0.3">
      <c r="A107" s="209">
        <v>34516</v>
      </c>
      <c r="B107" s="187">
        <v>199407</v>
      </c>
      <c r="C107" s="176">
        <v>9.5</v>
      </c>
      <c r="D107" s="176">
        <v>10.75</v>
      </c>
      <c r="E107" s="176">
        <v>4.7</v>
      </c>
      <c r="F107" s="177">
        <v>85.7</v>
      </c>
      <c r="G107" s="210">
        <v>8.494208494208344E-3</v>
      </c>
      <c r="H107" s="179">
        <v>9.23</v>
      </c>
      <c r="I107" s="179">
        <v>9.4600000000000009</v>
      </c>
      <c r="J107" s="176"/>
      <c r="K107" s="182">
        <v>0.09</v>
      </c>
      <c r="L107" s="182">
        <v>0.08</v>
      </c>
      <c r="N107" s="182">
        <v>9.2499999999999999E-2</v>
      </c>
      <c r="O107" s="182">
        <v>4.4999999999999998E-2</v>
      </c>
      <c r="Q107" s="182">
        <v>0.09</v>
      </c>
      <c r="R107" s="182">
        <v>9.5000000000000001E-2</v>
      </c>
      <c r="S107" s="182">
        <v>4.7500000000000001E-2</v>
      </c>
      <c r="T107" s="182">
        <v>0.05</v>
      </c>
      <c r="U107" s="182"/>
      <c r="V107" s="194">
        <v>9.2999999999999999E-2</v>
      </c>
      <c r="W107" s="194">
        <v>9.8000000000000004E-2</v>
      </c>
      <c r="X107" s="194">
        <v>5.1000000000000004E-2</v>
      </c>
      <c r="Y107" s="194">
        <v>5.2999999999999999E-2</v>
      </c>
      <c r="Z107" s="194"/>
      <c r="AA107" s="195">
        <v>9.3305689999999886E-2</v>
      </c>
      <c r="AB107" s="195">
        <v>9.8307769999999906E-2</v>
      </c>
      <c r="AC107" s="195">
        <v>5.0710249412721994E-2</v>
      </c>
      <c r="AD107" s="195">
        <v>5.318502904363883E-2</v>
      </c>
      <c r="AE107" s="195"/>
      <c r="AF107" s="195">
        <v>0.02</v>
      </c>
      <c r="AG107" s="195">
        <v>0.02</v>
      </c>
      <c r="AI107" s="182">
        <v>9.442982249999976E-2</v>
      </c>
      <c r="AJ107" s="182">
        <v>9.6837289999999854E-2</v>
      </c>
      <c r="AK107" s="182">
        <v>4.7552250000000074E-2</v>
      </c>
      <c r="AM107" s="27" t="s">
        <v>135</v>
      </c>
      <c r="AN107" s="7" t="b">
        <f t="shared" si="10"/>
        <v>0</v>
      </c>
      <c r="AP107" s="211">
        <v>-99</v>
      </c>
      <c r="AQ107" s="211">
        <v>-99</v>
      </c>
      <c r="AS107" s="211">
        <v>-99</v>
      </c>
      <c r="AT107" s="211">
        <v>-99</v>
      </c>
      <c r="AU107" s="211">
        <v>-99</v>
      </c>
      <c r="AV107" s="211">
        <v>-99</v>
      </c>
      <c r="AW107" s="211">
        <v>-99</v>
      </c>
      <c r="AX107" s="211">
        <v>-99</v>
      </c>
      <c r="AZ107" s="211">
        <v>-99</v>
      </c>
      <c r="BA107" s="211">
        <v>-99</v>
      </c>
      <c r="BB107" s="211">
        <v>-99</v>
      </c>
      <c r="BC107" s="211">
        <v>-99</v>
      </c>
      <c r="BD107" s="211">
        <v>-99</v>
      </c>
      <c r="BE107" s="211">
        <v>-99</v>
      </c>
      <c r="BG107" s="211">
        <v>-99</v>
      </c>
      <c r="BH107" s="211">
        <v>-99</v>
      </c>
      <c r="BI107" s="211">
        <v>-99</v>
      </c>
      <c r="BJ107" s="211">
        <v>-99</v>
      </c>
      <c r="BK107" s="211">
        <v>-99</v>
      </c>
      <c r="BL107" s="211">
        <v>-99</v>
      </c>
      <c r="BM107" s="211">
        <v>-99</v>
      </c>
      <c r="BN107" s="191">
        <f t="shared" si="11"/>
        <v>9.442982249999976E-2</v>
      </c>
      <c r="BO107" s="191">
        <f t="shared" si="12"/>
        <v>9.6837289999999854E-2</v>
      </c>
      <c r="BP107" s="191">
        <f t="shared" si="17"/>
        <v>4.7552250000000074E-2</v>
      </c>
      <c r="BQ107" s="171">
        <f t="shared" si="13"/>
        <v>9.5000000000000001E-2</v>
      </c>
      <c r="BR107" s="171">
        <f t="shared" si="14"/>
        <v>0.1075</v>
      </c>
      <c r="BS107" s="171">
        <f t="shared" si="15"/>
        <v>9.2300000000000007E-2</v>
      </c>
      <c r="BT107" s="171">
        <f t="shared" si="16"/>
        <v>9.4600000000000004E-2</v>
      </c>
      <c r="BU107" s="171">
        <f t="shared" si="18"/>
        <v>4.7E-2</v>
      </c>
    </row>
    <row r="108" spans="1:73" x14ac:dyDescent="0.3">
      <c r="A108" s="209">
        <v>34547</v>
      </c>
      <c r="B108" s="187">
        <v>199408</v>
      </c>
      <c r="C108" s="176">
        <v>8.89</v>
      </c>
      <c r="D108" s="176">
        <v>10.25</v>
      </c>
      <c r="E108" s="176">
        <v>4.6900000000000004</v>
      </c>
      <c r="F108" s="177">
        <v>85.8</v>
      </c>
      <c r="G108" s="210">
        <v>7.7101002313029188E-3</v>
      </c>
      <c r="H108" s="179">
        <v>8.52</v>
      </c>
      <c r="I108" s="179">
        <v>8.8699999999999992</v>
      </c>
      <c r="J108" s="176"/>
      <c r="K108" s="182">
        <v>9.5000000000000001E-2</v>
      </c>
      <c r="L108" s="182">
        <v>9.5000000000000001E-2</v>
      </c>
      <c r="N108" s="182">
        <v>0.1</v>
      </c>
      <c r="O108" s="182">
        <v>0.05</v>
      </c>
      <c r="Q108" s="182">
        <v>9.7500000000000003E-2</v>
      </c>
      <c r="R108" s="182">
        <v>0.1</v>
      </c>
      <c r="S108" s="182">
        <v>5.2499999999999998E-2</v>
      </c>
      <c r="T108" s="182">
        <v>5.2499999999999998E-2</v>
      </c>
      <c r="U108" s="182"/>
      <c r="V108" s="194">
        <v>0.10100000000000001</v>
      </c>
      <c r="W108" s="194">
        <v>0.105</v>
      </c>
      <c r="X108" s="194">
        <v>5.5E-2</v>
      </c>
      <c r="Y108" s="194">
        <v>5.7000000000000002E-2</v>
      </c>
      <c r="Z108" s="194"/>
      <c r="AA108" s="195">
        <v>0.10144303999999982</v>
      </c>
      <c r="AB108" s="195">
        <v>0.10505096374999989</v>
      </c>
      <c r="AC108" s="195">
        <v>5.5346360515126709E-2</v>
      </c>
      <c r="AD108" s="195">
        <v>5.7155194742436757E-2</v>
      </c>
      <c r="AE108" s="195"/>
      <c r="AF108" s="195">
        <v>0.02</v>
      </c>
      <c r="AG108" s="195">
        <v>0.02</v>
      </c>
      <c r="AI108" s="182">
        <v>8.7014759999999969E-2</v>
      </c>
      <c r="AJ108" s="182">
        <v>9.0666922499999858E-2</v>
      </c>
      <c r="AK108" s="182">
        <v>4.7449902499999919E-2</v>
      </c>
      <c r="AM108" s="27" t="s">
        <v>135</v>
      </c>
      <c r="AN108" s="7" t="b">
        <f t="shared" si="10"/>
        <v>0</v>
      </c>
      <c r="AP108" s="211">
        <v>-99</v>
      </c>
      <c r="AQ108" s="211">
        <v>-99</v>
      </c>
      <c r="AS108" s="211">
        <v>-99</v>
      </c>
      <c r="AT108" s="211">
        <v>-99</v>
      </c>
      <c r="AU108" s="211">
        <v>-99</v>
      </c>
      <c r="AV108" s="211">
        <v>-99</v>
      </c>
      <c r="AW108" s="211">
        <v>-99</v>
      </c>
      <c r="AX108" s="211">
        <v>-99</v>
      </c>
      <c r="AZ108" s="211">
        <v>-99</v>
      </c>
      <c r="BA108" s="211">
        <v>-99</v>
      </c>
      <c r="BB108" s="211">
        <v>-99</v>
      </c>
      <c r="BC108" s="211">
        <v>-99</v>
      </c>
      <c r="BD108" s="211">
        <v>-99</v>
      </c>
      <c r="BE108" s="211">
        <v>-99</v>
      </c>
      <c r="BG108" s="211">
        <v>-99</v>
      </c>
      <c r="BH108" s="211">
        <v>-99</v>
      </c>
      <c r="BI108" s="211">
        <v>-99</v>
      </c>
      <c r="BJ108" s="211">
        <v>-99</v>
      </c>
      <c r="BK108" s="211">
        <v>-99</v>
      </c>
      <c r="BL108" s="211">
        <v>-99</v>
      </c>
      <c r="BM108" s="211">
        <v>-99</v>
      </c>
      <c r="BN108" s="191">
        <f t="shared" si="11"/>
        <v>8.7014759999999969E-2</v>
      </c>
      <c r="BO108" s="191">
        <f t="shared" si="12"/>
        <v>9.0666922499999858E-2</v>
      </c>
      <c r="BP108" s="191">
        <f t="shared" si="17"/>
        <v>4.7449902499999919E-2</v>
      </c>
      <c r="BQ108" s="171">
        <f t="shared" si="13"/>
        <v>8.8900000000000007E-2</v>
      </c>
      <c r="BR108" s="171">
        <f t="shared" si="14"/>
        <v>0.10249999999999999</v>
      </c>
      <c r="BS108" s="171">
        <f t="shared" si="15"/>
        <v>8.5199999999999998E-2</v>
      </c>
      <c r="BT108" s="171">
        <f t="shared" si="16"/>
        <v>8.8699999999999987E-2</v>
      </c>
      <c r="BU108" s="171">
        <f t="shared" si="18"/>
        <v>4.6900000000000004E-2</v>
      </c>
    </row>
    <row r="109" spans="1:73" x14ac:dyDescent="0.3">
      <c r="A109" s="209">
        <v>34578</v>
      </c>
      <c r="B109" s="187">
        <v>199409</v>
      </c>
      <c r="C109" s="176">
        <v>9.0399999999999991</v>
      </c>
      <c r="D109" s="176">
        <v>9.9</v>
      </c>
      <c r="E109" s="176">
        <v>4.63</v>
      </c>
      <c r="F109" s="177">
        <v>85.9</v>
      </c>
      <c r="G109" s="210">
        <v>6.1585835257889077E-3</v>
      </c>
      <c r="H109" s="179">
        <v>8.68</v>
      </c>
      <c r="I109" s="179">
        <v>9.07</v>
      </c>
      <c r="J109" s="176"/>
      <c r="K109" s="182">
        <v>9.5000000000000001E-2</v>
      </c>
      <c r="L109" s="182">
        <v>9.5000000000000001E-2</v>
      </c>
      <c r="N109" s="182">
        <v>0.10249999999999999</v>
      </c>
      <c r="O109" s="182">
        <v>0.05</v>
      </c>
      <c r="Q109" s="182">
        <v>0.1</v>
      </c>
      <c r="R109" s="182">
        <v>0.10249999999999999</v>
      </c>
      <c r="S109" s="182">
        <v>5.2499999999999998E-2</v>
      </c>
      <c r="T109" s="182">
        <v>5.2499999999999998E-2</v>
      </c>
      <c r="U109" s="182"/>
      <c r="V109" s="194">
        <v>0.10300000000000001</v>
      </c>
      <c r="W109" s="194">
        <v>0.107</v>
      </c>
      <c r="X109" s="194">
        <v>5.5E-2</v>
      </c>
      <c r="Y109" s="194">
        <v>5.7000000000000002E-2</v>
      </c>
      <c r="Z109" s="194"/>
      <c r="AA109" s="195">
        <v>0.10342982249999977</v>
      </c>
      <c r="AB109" s="195">
        <v>0.10704102374999991</v>
      </c>
      <c r="AC109" s="195">
        <v>5.5370055657026622E-2</v>
      </c>
      <c r="AD109" s="195">
        <v>5.7143347171486801E-2</v>
      </c>
      <c r="AE109" s="195"/>
      <c r="AF109" s="195">
        <v>0.02</v>
      </c>
      <c r="AG109" s="195">
        <v>0.02</v>
      </c>
      <c r="AI109" s="182">
        <v>8.8683560000000217E-2</v>
      </c>
      <c r="AJ109" s="182">
        <v>9.2756622500000052E-2</v>
      </c>
      <c r="AK109" s="182">
        <v>4.6835922499999905E-2</v>
      </c>
      <c r="AM109" s="27" t="s">
        <v>135</v>
      </c>
      <c r="AN109" s="7" t="b">
        <f t="shared" si="10"/>
        <v>0</v>
      </c>
      <c r="AP109" s="211">
        <v>-99</v>
      </c>
      <c r="AQ109" s="211">
        <v>-99</v>
      </c>
      <c r="AS109" s="211">
        <v>-99</v>
      </c>
      <c r="AT109" s="211">
        <v>-99</v>
      </c>
      <c r="AU109" s="211">
        <v>-99</v>
      </c>
      <c r="AV109" s="211">
        <v>-99</v>
      </c>
      <c r="AW109" s="211">
        <v>-99</v>
      </c>
      <c r="AX109" s="211">
        <v>-99</v>
      </c>
      <c r="AZ109" s="211">
        <v>-99</v>
      </c>
      <c r="BA109" s="211">
        <v>-99</v>
      </c>
      <c r="BB109" s="211">
        <v>-99</v>
      </c>
      <c r="BC109" s="211">
        <v>-99</v>
      </c>
      <c r="BD109" s="211">
        <v>-99</v>
      </c>
      <c r="BE109" s="211">
        <v>-99</v>
      </c>
      <c r="BG109" s="211">
        <v>-99</v>
      </c>
      <c r="BH109" s="211">
        <v>-99</v>
      </c>
      <c r="BI109" s="211">
        <v>-99</v>
      </c>
      <c r="BJ109" s="211">
        <v>-99</v>
      </c>
      <c r="BK109" s="211">
        <v>-99</v>
      </c>
      <c r="BL109" s="211">
        <v>-99</v>
      </c>
      <c r="BM109" s="211">
        <v>-99</v>
      </c>
      <c r="BN109" s="191">
        <f t="shared" si="11"/>
        <v>8.8683560000000217E-2</v>
      </c>
      <c r="BO109" s="191">
        <f t="shared" si="12"/>
        <v>9.2756622500000052E-2</v>
      </c>
      <c r="BP109" s="191">
        <f t="shared" si="17"/>
        <v>4.6835922499999905E-2</v>
      </c>
      <c r="BQ109" s="171">
        <f t="shared" si="13"/>
        <v>9.0399999999999994E-2</v>
      </c>
      <c r="BR109" s="171">
        <f t="shared" si="14"/>
        <v>9.9000000000000005E-2</v>
      </c>
      <c r="BS109" s="171">
        <f t="shared" si="15"/>
        <v>8.6800000000000002E-2</v>
      </c>
      <c r="BT109" s="171">
        <f t="shared" si="16"/>
        <v>9.0700000000000003E-2</v>
      </c>
      <c r="BU109" s="171">
        <f t="shared" si="18"/>
        <v>4.6300000000000001E-2</v>
      </c>
    </row>
    <row r="110" spans="1:73" x14ac:dyDescent="0.3">
      <c r="A110" s="209">
        <v>34608</v>
      </c>
      <c r="B110" s="187">
        <v>199410</v>
      </c>
      <c r="C110" s="176">
        <v>9.2899999999999991</v>
      </c>
      <c r="D110" s="176">
        <v>9.9</v>
      </c>
      <c r="E110" s="176">
        <v>4.67</v>
      </c>
      <c r="F110" s="177">
        <v>85.7</v>
      </c>
      <c r="G110" s="210">
        <v>4.6118370484242721E-3</v>
      </c>
      <c r="H110" s="179">
        <v>8.8800000000000008</v>
      </c>
      <c r="I110" s="179">
        <v>9.36</v>
      </c>
      <c r="J110" s="176"/>
      <c r="K110" s="182">
        <v>0.09</v>
      </c>
      <c r="L110" s="182">
        <v>0.09</v>
      </c>
      <c r="N110" s="182">
        <v>9.5000000000000001E-2</v>
      </c>
      <c r="O110" s="182">
        <v>0.05</v>
      </c>
      <c r="Q110" s="182">
        <v>9.2499999999999999E-2</v>
      </c>
      <c r="R110" s="182">
        <v>9.7500000000000003E-2</v>
      </c>
      <c r="S110" s="182">
        <v>0.05</v>
      </c>
      <c r="T110" s="182">
        <v>5.2499999999999998E-2</v>
      </c>
      <c r="U110" s="182"/>
      <c r="V110" s="194">
        <v>9.6000000000000002E-2</v>
      </c>
      <c r="W110" s="194">
        <v>0.10100000000000001</v>
      </c>
      <c r="X110" s="194">
        <v>5.5E-2</v>
      </c>
      <c r="Y110" s="194">
        <v>5.7000000000000002E-2</v>
      </c>
      <c r="Z110" s="194"/>
      <c r="AA110" s="195">
        <v>9.6014759999999977E-2</v>
      </c>
      <c r="AB110" s="195">
        <v>0.10149300374999981</v>
      </c>
      <c r="AC110" s="195">
        <v>5.4538568688717738E-2</v>
      </c>
      <c r="AD110" s="195">
        <v>5.740556940564101E-2</v>
      </c>
      <c r="AE110" s="195"/>
      <c r="AF110" s="195">
        <v>1.9665563945592157E-2</v>
      </c>
      <c r="AG110" s="195">
        <v>0.02</v>
      </c>
      <c r="AI110" s="182">
        <v>9.0771359999999968E-2</v>
      </c>
      <c r="AJ110" s="182">
        <v>9.5790239999999915E-2</v>
      </c>
      <c r="AK110" s="182">
        <v>4.7245222499999961E-2</v>
      </c>
      <c r="AM110" s="27" t="s">
        <v>135</v>
      </c>
      <c r="AN110" s="7" t="b">
        <f t="shared" si="10"/>
        <v>0</v>
      </c>
      <c r="AP110" s="211">
        <v>-99</v>
      </c>
      <c r="AQ110" s="211">
        <v>-99</v>
      </c>
      <c r="AS110" s="211">
        <v>-99</v>
      </c>
      <c r="AT110" s="211">
        <v>-99</v>
      </c>
      <c r="AU110" s="211">
        <v>-99</v>
      </c>
      <c r="AV110" s="211">
        <v>-99</v>
      </c>
      <c r="AW110" s="211">
        <v>-99</v>
      </c>
      <c r="AX110" s="211">
        <v>-99</v>
      </c>
      <c r="AZ110" s="211">
        <v>-99</v>
      </c>
      <c r="BA110" s="211">
        <v>-99</v>
      </c>
      <c r="BB110" s="211">
        <v>-99</v>
      </c>
      <c r="BC110" s="211">
        <v>-99</v>
      </c>
      <c r="BD110" s="211">
        <v>-99</v>
      </c>
      <c r="BE110" s="211">
        <v>-99</v>
      </c>
      <c r="BG110" s="211">
        <v>-99</v>
      </c>
      <c r="BH110" s="211">
        <v>-99</v>
      </c>
      <c r="BI110" s="211">
        <v>-99</v>
      </c>
      <c r="BJ110" s="211">
        <v>-99</v>
      </c>
      <c r="BK110" s="211">
        <v>-99</v>
      </c>
      <c r="BL110" s="211">
        <v>-99</v>
      </c>
      <c r="BM110" s="211">
        <v>-99</v>
      </c>
      <c r="BN110" s="191">
        <f t="shared" si="11"/>
        <v>9.0771359999999968E-2</v>
      </c>
      <c r="BO110" s="191">
        <f t="shared" si="12"/>
        <v>9.5790239999999915E-2</v>
      </c>
      <c r="BP110" s="191">
        <f t="shared" si="17"/>
        <v>4.7245222499999961E-2</v>
      </c>
      <c r="BQ110" s="171">
        <f t="shared" si="13"/>
        <v>9.2899999999999996E-2</v>
      </c>
      <c r="BR110" s="171">
        <f t="shared" si="14"/>
        <v>9.9000000000000005E-2</v>
      </c>
      <c r="BS110" s="171">
        <f t="shared" si="15"/>
        <v>8.8800000000000004E-2</v>
      </c>
      <c r="BT110" s="171">
        <f t="shared" si="16"/>
        <v>9.3599999999999989E-2</v>
      </c>
      <c r="BU110" s="171">
        <f t="shared" si="18"/>
        <v>4.6699999999999998E-2</v>
      </c>
    </row>
    <row r="111" spans="1:73" x14ac:dyDescent="0.3">
      <c r="A111" s="209">
        <v>34639</v>
      </c>
      <c r="B111" s="187">
        <v>199411</v>
      </c>
      <c r="C111" s="176">
        <v>9.24</v>
      </c>
      <c r="D111" s="176">
        <v>9.9</v>
      </c>
      <c r="E111" s="176">
        <v>4.8</v>
      </c>
      <c r="F111" s="177">
        <v>86.2</v>
      </c>
      <c r="G111" s="210">
        <v>3.0698388334611248E-3</v>
      </c>
      <c r="H111" s="179">
        <v>8.9700000000000006</v>
      </c>
      <c r="I111" s="179">
        <v>9.26</v>
      </c>
      <c r="J111" s="176"/>
      <c r="K111" s="182">
        <v>9.5000000000000001E-2</v>
      </c>
      <c r="L111" s="182">
        <v>0.09</v>
      </c>
      <c r="N111" s="182">
        <v>9.7500000000000003E-2</v>
      </c>
      <c r="O111" s="182">
        <v>0.05</v>
      </c>
      <c r="Q111" s="182">
        <v>9.2499999999999999E-2</v>
      </c>
      <c r="R111" s="182">
        <v>0.1</v>
      </c>
      <c r="S111" s="182">
        <v>0.05</v>
      </c>
      <c r="T111" s="182">
        <v>5.2499999999999998E-2</v>
      </c>
      <c r="U111" s="182"/>
      <c r="V111" s="194">
        <v>9.8000000000000004E-2</v>
      </c>
      <c r="W111" s="194">
        <v>0.10400000000000001</v>
      </c>
      <c r="X111" s="194">
        <v>5.3999999999999999E-2</v>
      </c>
      <c r="Y111" s="194">
        <v>5.7000000000000002E-2</v>
      </c>
      <c r="Z111" s="194"/>
      <c r="AA111" s="195">
        <v>9.7683560000000225E-2</v>
      </c>
      <c r="AB111" s="195">
        <v>0.10379315374999998</v>
      </c>
      <c r="AC111" s="195">
        <v>5.3779296951914128E-2</v>
      </c>
      <c r="AD111" s="195">
        <v>5.6864235274042794E-2</v>
      </c>
      <c r="AE111" s="195"/>
      <c r="AF111" s="195">
        <v>0.02</v>
      </c>
      <c r="AG111" s="195">
        <v>0.02</v>
      </c>
      <c r="AI111" s="182">
        <v>9.1711522500000031E-2</v>
      </c>
      <c r="AJ111" s="182">
        <v>9.4743690000000047E-2</v>
      </c>
      <c r="AK111" s="182">
        <v>4.8575999999999953E-2</v>
      </c>
      <c r="AM111" s="27" t="s">
        <v>135</v>
      </c>
      <c r="AN111" s="7" t="b">
        <f t="shared" si="10"/>
        <v>0</v>
      </c>
      <c r="AP111" s="211">
        <v>-99</v>
      </c>
      <c r="AQ111" s="211">
        <v>-99</v>
      </c>
      <c r="AS111" s="211">
        <v>-99</v>
      </c>
      <c r="AT111" s="211">
        <v>-99</v>
      </c>
      <c r="AU111" s="211">
        <v>-99</v>
      </c>
      <c r="AV111" s="211">
        <v>-99</v>
      </c>
      <c r="AW111" s="211">
        <v>-99</v>
      </c>
      <c r="AX111" s="211">
        <v>-99</v>
      </c>
      <c r="AZ111" s="211">
        <v>-99</v>
      </c>
      <c r="BA111" s="211">
        <v>-99</v>
      </c>
      <c r="BB111" s="211">
        <v>-99</v>
      </c>
      <c r="BC111" s="211">
        <v>-99</v>
      </c>
      <c r="BD111" s="211">
        <v>-99</v>
      </c>
      <c r="BE111" s="211">
        <v>-99</v>
      </c>
      <c r="BG111" s="211">
        <v>-99</v>
      </c>
      <c r="BH111" s="211">
        <v>-99</v>
      </c>
      <c r="BI111" s="211">
        <v>-99</v>
      </c>
      <c r="BJ111" s="211">
        <v>-99</v>
      </c>
      <c r="BK111" s="211">
        <v>-99</v>
      </c>
      <c r="BL111" s="211">
        <v>-99</v>
      </c>
      <c r="BM111" s="211">
        <v>-99</v>
      </c>
      <c r="BN111" s="191">
        <f t="shared" si="11"/>
        <v>9.1711522500000031E-2</v>
      </c>
      <c r="BO111" s="191">
        <f t="shared" si="12"/>
        <v>9.4743690000000047E-2</v>
      </c>
      <c r="BP111" s="191">
        <f t="shared" si="17"/>
        <v>4.8575999999999953E-2</v>
      </c>
      <c r="BQ111" s="171">
        <f t="shared" si="13"/>
        <v>9.2399999999999996E-2</v>
      </c>
      <c r="BR111" s="171">
        <f t="shared" si="14"/>
        <v>9.9000000000000005E-2</v>
      </c>
      <c r="BS111" s="171">
        <f t="shared" si="15"/>
        <v>8.9700000000000002E-2</v>
      </c>
      <c r="BT111" s="171">
        <f t="shared" si="16"/>
        <v>9.2600000000000002E-2</v>
      </c>
      <c r="BU111" s="171">
        <f t="shared" si="18"/>
        <v>4.8000000000000001E-2</v>
      </c>
    </row>
    <row r="112" spans="1:73" x14ac:dyDescent="0.3">
      <c r="A112" s="212">
        <v>34669</v>
      </c>
      <c r="B112" s="187">
        <v>199412</v>
      </c>
      <c r="C112" s="213">
        <v>9.16</v>
      </c>
      <c r="D112" s="213">
        <v>10.5</v>
      </c>
      <c r="E112" s="213">
        <v>4.92</v>
      </c>
      <c r="F112" s="177">
        <v>86.3</v>
      </c>
      <c r="G112" s="214">
        <v>2.3006134969323355E-3</v>
      </c>
      <c r="H112" s="215">
        <v>9.08</v>
      </c>
      <c r="I112" s="215">
        <v>9.1300000000000008</v>
      </c>
      <c r="J112" s="213"/>
      <c r="K112" s="182">
        <v>9.5000000000000001E-2</v>
      </c>
      <c r="L112" s="216">
        <v>0.09</v>
      </c>
      <c r="M112" s="216"/>
      <c r="N112" s="216">
        <v>0.1</v>
      </c>
      <c r="O112" s="216">
        <v>0.05</v>
      </c>
      <c r="P112" s="217"/>
      <c r="Q112" s="182">
        <v>9.5000000000000001E-2</v>
      </c>
      <c r="R112" s="182">
        <v>0.10249999999999999</v>
      </c>
      <c r="S112" s="182">
        <v>0.05</v>
      </c>
      <c r="T112" s="182">
        <v>5.2499999999999998E-2</v>
      </c>
      <c r="U112" s="182"/>
      <c r="V112" s="194">
        <v>0.1</v>
      </c>
      <c r="W112" s="194">
        <v>0.107</v>
      </c>
      <c r="X112" s="194">
        <v>5.3999999999999999E-2</v>
      </c>
      <c r="Y112" s="194">
        <v>5.7000000000000002E-2</v>
      </c>
      <c r="Z112" s="194"/>
      <c r="AA112" s="195">
        <v>9.9771359999999976E-2</v>
      </c>
      <c r="AB112" s="195">
        <v>0.1072996799999999</v>
      </c>
      <c r="AC112" s="195">
        <v>5.376983354282857E-2</v>
      </c>
      <c r="AD112" s="195">
        <v>5.7482916978585659E-2</v>
      </c>
      <c r="AE112" s="195"/>
      <c r="AF112" s="195">
        <v>0.02</v>
      </c>
      <c r="AG112" s="195">
        <v>0.02</v>
      </c>
      <c r="AI112" s="182">
        <v>9.286116000000022E-2</v>
      </c>
      <c r="AJ112" s="182">
        <v>9.3383922499999938E-2</v>
      </c>
      <c r="AK112" s="182">
        <v>4.9805160000000015E-2</v>
      </c>
      <c r="AM112" s="27" t="s">
        <v>135</v>
      </c>
      <c r="AN112" s="7" t="b">
        <f t="shared" si="10"/>
        <v>0</v>
      </c>
      <c r="AP112" s="211">
        <v>-99</v>
      </c>
      <c r="AQ112" s="211">
        <v>-99</v>
      </c>
      <c r="AS112" s="211">
        <v>-99</v>
      </c>
      <c r="AT112" s="211">
        <v>-99</v>
      </c>
      <c r="AU112" s="211">
        <v>-99</v>
      </c>
      <c r="AV112" s="211">
        <v>-99</v>
      </c>
      <c r="AW112" s="211">
        <v>-99</v>
      </c>
      <c r="AX112" s="211">
        <v>-99</v>
      </c>
      <c r="AZ112" s="211">
        <v>-99</v>
      </c>
      <c r="BA112" s="211">
        <v>-99</v>
      </c>
      <c r="BB112" s="211">
        <v>-99</v>
      </c>
      <c r="BC112" s="211">
        <v>-99</v>
      </c>
      <c r="BD112" s="211">
        <v>-99</v>
      </c>
      <c r="BE112" s="211">
        <v>-99</v>
      </c>
      <c r="BG112" s="211">
        <v>-99</v>
      </c>
      <c r="BH112" s="211">
        <v>-99</v>
      </c>
      <c r="BI112" s="211">
        <v>-99</v>
      </c>
      <c r="BJ112" s="211">
        <v>-99</v>
      </c>
      <c r="BK112" s="211">
        <v>-99</v>
      </c>
      <c r="BL112" s="211">
        <v>-99</v>
      </c>
      <c r="BM112" s="211">
        <v>-99</v>
      </c>
      <c r="BN112" s="191">
        <f t="shared" si="11"/>
        <v>9.286116000000022E-2</v>
      </c>
      <c r="BO112" s="191">
        <f t="shared" si="12"/>
        <v>9.3383922499999938E-2</v>
      </c>
      <c r="BP112" s="191">
        <f t="shared" si="17"/>
        <v>4.9805160000000015E-2</v>
      </c>
      <c r="BQ112" s="171">
        <f t="shared" si="13"/>
        <v>9.1600000000000001E-2</v>
      </c>
      <c r="BR112" s="171">
        <f t="shared" si="14"/>
        <v>0.105</v>
      </c>
      <c r="BS112" s="171">
        <f t="shared" si="15"/>
        <v>9.0800000000000006E-2</v>
      </c>
      <c r="BT112" s="171">
        <f t="shared" si="16"/>
        <v>9.1300000000000006E-2</v>
      </c>
      <c r="BU112" s="171">
        <f t="shared" si="18"/>
        <v>4.9200000000000001E-2</v>
      </c>
    </row>
    <row r="113" spans="1:73" x14ac:dyDescent="0.3">
      <c r="A113" s="209">
        <v>34700</v>
      </c>
      <c r="B113" s="187">
        <v>199501</v>
      </c>
      <c r="C113" s="176">
        <v>9.41</v>
      </c>
      <c r="D113" s="176">
        <v>10.75</v>
      </c>
      <c r="E113" s="176">
        <v>5.03</v>
      </c>
      <c r="F113" s="177">
        <v>86.6</v>
      </c>
      <c r="G113" s="210">
        <v>7.6569678407345521E-4</v>
      </c>
      <c r="H113" s="179">
        <v>9.3000000000000007</v>
      </c>
      <c r="I113" s="179">
        <v>9.4</v>
      </c>
      <c r="J113" s="176"/>
      <c r="K113" s="182">
        <v>9.5000000000000001E-2</v>
      </c>
      <c r="L113" s="182">
        <v>9.5000000000000001E-2</v>
      </c>
      <c r="N113" s="182">
        <v>0.1</v>
      </c>
      <c r="O113" s="182">
        <v>0.05</v>
      </c>
      <c r="Q113" s="182">
        <v>9.7500000000000003E-2</v>
      </c>
      <c r="R113" s="182">
        <v>0.10249999999999999</v>
      </c>
      <c r="S113" s="182">
        <v>5.2499999999999998E-2</v>
      </c>
      <c r="T113" s="182">
        <v>5.5E-2</v>
      </c>
      <c r="U113" s="182"/>
      <c r="V113" s="194">
        <v>0.10100000000000001</v>
      </c>
      <c r="W113" s="194">
        <v>0.105</v>
      </c>
      <c r="X113" s="194">
        <v>5.6000000000000001E-2</v>
      </c>
      <c r="Y113" s="194">
        <v>5.8000000000000003E-2</v>
      </c>
      <c r="Z113" s="194"/>
      <c r="AA113" s="195">
        <v>0.10071152250000004</v>
      </c>
      <c r="AB113" s="195">
        <v>0.10525977375000006</v>
      </c>
      <c r="AC113" s="195">
        <v>5.6021378594817185E-2</v>
      </c>
      <c r="AD113" s="195">
        <v>5.8353310702591338E-2</v>
      </c>
      <c r="AE113" s="195"/>
      <c r="AF113" s="195">
        <v>0.02</v>
      </c>
      <c r="AG113" s="195">
        <v>0.02</v>
      </c>
      <c r="AI113" s="182">
        <v>9.5162250000000004E-2</v>
      </c>
      <c r="AJ113" s="182">
        <v>9.6208999999999767E-2</v>
      </c>
      <c r="AK113" s="182">
        <v>5.093252249999991E-2</v>
      </c>
      <c r="AM113" s="27" t="s">
        <v>135</v>
      </c>
      <c r="AN113" s="7" t="b">
        <f t="shared" si="10"/>
        <v>0</v>
      </c>
      <c r="AP113" s="211">
        <v>-99</v>
      </c>
      <c r="AQ113" s="211">
        <v>-99</v>
      </c>
      <c r="AS113" s="211">
        <v>-99</v>
      </c>
      <c r="AT113" s="211">
        <v>-99</v>
      </c>
      <c r="AU113" s="211">
        <v>-99</v>
      </c>
      <c r="AV113" s="211">
        <v>-99</v>
      </c>
      <c r="AW113" s="211">
        <v>-99</v>
      </c>
      <c r="AX113" s="211">
        <v>-99</v>
      </c>
      <c r="AZ113" s="211">
        <v>-99</v>
      </c>
      <c r="BA113" s="211">
        <v>-99</v>
      </c>
      <c r="BB113" s="211">
        <v>-99</v>
      </c>
      <c r="BC113" s="211">
        <v>-99</v>
      </c>
      <c r="BD113" s="211">
        <v>-99</v>
      </c>
      <c r="BE113" s="211">
        <v>-99</v>
      </c>
      <c r="BG113" s="211">
        <v>-99</v>
      </c>
      <c r="BH113" s="211">
        <v>-99</v>
      </c>
      <c r="BI113" s="211">
        <v>-99</v>
      </c>
      <c r="BJ113" s="211">
        <v>-99</v>
      </c>
      <c r="BK113" s="211">
        <v>-99</v>
      </c>
      <c r="BL113" s="211">
        <v>-99</v>
      </c>
      <c r="BM113" s="211">
        <v>-99</v>
      </c>
      <c r="BN113" s="191">
        <f t="shared" si="11"/>
        <v>9.5162250000000004E-2</v>
      </c>
      <c r="BO113" s="191">
        <f t="shared" si="12"/>
        <v>9.6208999999999767E-2</v>
      </c>
      <c r="BP113" s="191">
        <f t="shared" si="17"/>
        <v>5.093252249999991E-2</v>
      </c>
      <c r="BQ113" s="171">
        <f t="shared" si="13"/>
        <v>9.4100000000000003E-2</v>
      </c>
      <c r="BR113" s="171">
        <f t="shared" si="14"/>
        <v>0.1075</v>
      </c>
      <c r="BS113" s="171">
        <f t="shared" si="15"/>
        <v>9.3000000000000013E-2</v>
      </c>
      <c r="BT113" s="171">
        <f t="shared" si="16"/>
        <v>9.4E-2</v>
      </c>
      <c r="BU113" s="171">
        <f t="shared" si="18"/>
        <v>5.0300000000000004E-2</v>
      </c>
    </row>
    <row r="114" spans="1:73" x14ac:dyDescent="0.3">
      <c r="A114" s="209">
        <v>34731</v>
      </c>
      <c r="B114" s="187">
        <v>199502</v>
      </c>
      <c r="C114" s="176">
        <v>8.86</v>
      </c>
      <c r="D114" s="176">
        <v>10.38</v>
      </c>
      <c r="E114" s="176">
        <v>4.79</v>
      </c>
      <c r="F114" s="177">
        <v>87</v>
      </c>
      <c r="G114" s="210">
        <v>2.2970903522205877E-3</v>
      </c>
      <c r="H114" s="179">
        <v>8.65</v>
      </c>
      <c r="I114" s="179">
        <v>8.8699999999999992</v>
      </c>
      <c r="J114" s="176"/>
      <c r="K114" s="182">
        <v>9.5000000000000001E-2</v>
      </c>
      <c r="L114" s="182">
        <v>0.1</v>
      </c>
      <c r="N114" s="182">
        <v>0.1</v>
      </c>
      <c r="O114" s="182">
        <v>5.2499999999999998E-2</v>
      </c>
      <c r="Q114" s="182">
        <v>9.7500000000000003E-2</v>
      </c>
      <c r="R114" s="182">
        <v>9.7500000000000003E-2</v>
      </c>
      <c r="S114" s="182">
        <v>5.5E-2</v>
      </c>
      <c r="T114" s="182">
        <v>5.5E-2</v>
      </c>
      <c r="U114" s="182"/>
      <c r="V114" s="194">
        <v>0.10200000000000001</v>
      </c>
      <c r="W114" s="194">
        <v>0.10300000000000001</v>
      </c>
      <c r="X114" s="194">
        <v>5.9000000000000004E-2</v>
      </c>
      <c r="Y114" s="194">
        <v>5.9000000000000004E-2</v>
      </c>
      <c r="Z114" s="194"/>
      <c r="AA114" s="195">
        <v>0.10186116000000023</v>
      </c>
      <c r="AB114" s="195">
        <v>0.10264530374999981</v>
      </c>
      <c r="AC114" s="195">
        <v>5.85263510866725E-2</v>
      </c>
      <c r="AD114" s="195">
        <v>5.8944564456663774E-2</v>
      </c>
      <c r="AE114" s="195"/>
      <c r="AF114" s="195">
        <v>0.02</v>
      </c>
      <c r="AG114" s="195">
        <v>0.02</v>
      </c>
      <c r="AI114" s="182">
        <v>8.8370562499999972E-2</v>
      </c>
      <c r="AJ114" s="182">
        <v>9.0666922499999858E-2</v>
      </c>
      <c r="AK114" s="182">
        <v>4.8473602499999879E-2</v>
      </c>
      <c r="AM114" s="27" t="s">
        <v>135</v>
      </c>
      <c r="AN114" s="7" t="b">
        <f t="shared" si="10"/>
        <v>0</v>
      </c>
      <c r="AP114" s="211">
        <v>-99</v>
      </c>
      <c r="AQ114" s="211">
        <v>-99</v>
      </c>
      <c r="AS114" s="211">
        <v>-99</v>
      </c>
      <c r="AT114" s="211">
        <v>-99</v>
      </c>
      <c r="AU114" s="211">
        <v>-99</v>
      </c>
      <c r="AV114" s="211">
        <v>-99</v>
      </c>
      <c r="AW114" s="211">
        <v>-99</v>
      </c>
      <c r="AX114" s="211">
        <v>-99</v>
      </c>
      <c r="AZ114" s="211">
        <v>-99</v>
      </c>
      <c r="BA114" s="211">
        <v>-99</v>
      </c>
      <c r="BB114" s="211">
        <v>-99</v>
      </c>
      <c r="BC114" s="211">
        <v>-99</v>
      </c>
      <c r="BD114" s="211">
        <v>-99</v>
      </c>
      <c r="BE114" s="211">
        <v>-99</v>
      </c>
      <c r="BG114" s="211">
        <v>-99</v>
      </c>
      <c r="BH114" s="211">
        <v>-99</v>
      </c>
      <c r="BI114" s="211">
        <v>-99</v>
      </c>
      <c r="BJ114" s="211">
        <v>-99</v>
      </c>
      <c r="BK114" s="211">
        <v>-99</v>
      </c>
      <c r="BL114" s="211">
        <v>-99</v>
      </c>
      <c r="BM114" s="211">
        <v>-99</v>
      </c>
      <c r="BN114" s="191">
        <f t="shared" si="11"/>
        <v>8.8370562499999972E-2</v>
      </c>
      <c r="BO114" s="191">
        <f t="shared" si="12"/>
        <v>9.0666922499999858E-2</v>
      </c>
      <c r="BP114" s="191">
        <f t="shared" si="17"/>
        <v>4.8473602499999879E-2</v>
      </c>
      <c r="BQ114" s="171">
        <f t="shared" si="13"/>
        <v>8.8599999999999998E-2</v>
      </c>
      <c r="BR114" s="171">
        <f t="shared" si="14"/>
        <v>0.1038</v>
      </c>
      <c r="BS114" s="171">
        <f t="shared" si="15"/>
        <v>8.6500000000000007E-2</v>
      </c>
      <c r="BT114" s="171">
        <f t="shared" si="16"/>
        <v>8.8699999999999987E-2</v>
      </c>
      <c r="BU114" s="171">
        <f t="shared" si="18"/>
        <v>4.7899999999999998E-2</v>
      </c>
    </row>
    <row r="115" spans="1:73" x14ac:dyDescent="0.3">
      <c r="A115" s="209">
        <v>34759</v>
      </c>
      <c r="B115" s="187">
        <v>199503</v>
      </c>
      <c r="C115" s="176">
        <v>8.6999999999999993</v>
      </c>
      <c r="D115" s="176">
        <v>9.8800000000000008</v>
      </c>
      <c r="E115" s="176">
        <v>4.7699999999999996</v>
      </c>
      <c r="F115" s="177">
        <v>87.2</v>
      </c>
      <c r="G115" s="210">
        <v>4.5941807044409533E-3</v>
      </c>
      <c r="H115" s="179">
        <v>8.44</v>
      </c>
      <c r="I115" s="179">
        <v>8.76</v>
      </c>
      <c r="J115" s="176"/>
      <c r="K115" s="182">
        <v>9.5000000000000001E-2</v>
      </c>
      <c r="L115" s="182">
        <v>0.105</v>
      </c>
      <c r="N115" s="182">
        <v>0.10249999999999999</v>
      </c>
      <c r="O115" s="182">
        <v>5.2499999999999998E-2</v>
      </c>
      <c r="Q115" s="182">
        <v>0.1</v>
      </c>
      <c r="R115" s="182">
        <v>0.10249999999999999</v>
      </c>
      <c r="S115" s="182">
        <v>5.5E-2</v>
      </c>
      <c r="T115" s="182">
        <v>5.5E-2</v>
      </c>
      <c r="U115" s="182"/>
      <c r="V115" s="194">
        <v>0.10400000000000001</v>
      </c>
      <c r="W115" s="194">
        <v>0.106</v>
      </c>
      <c r="X115" s="194">
        <v>5.9000000000000004E-2</v>
      </c>
      <c r="Y115" s="194">
        <v>0.06</v>
      </c>
      <c r="Z115" s="194"/>
      <c r="AA115" s="195">
        <v>0.10416225000000001</v>
      </c>
      <c r="AB115" s="195">
        <v>0.10573237499999966</v>
      </c>
      <c r="AC115" s="195">
        <v>5.9378378730426763E-2</v>
      </c>
      <c r="AD115" s="195">
        <v>6.0209594384786486E-2</v>
      </c>
      <c r="AE115" s="195"/>
      <c r="AF115" s="195">
        <v>0.02</v>
      </c>
      <c r="AG115" s="195">
        <v>0.02</v>
      </c>
      <c r="AI115" s="182">
        <v>8.6180839999999925E-2</v>
      </c>
      <c r="AJ115" s="182">
        <v>8.9518440000000199E-2</v>
      </c>
      <c r="AK115" s="182">
        <v>4.8268822499999864E-2</v>
      </c>
      <c r="AM115" s="27" t="s">
        <v>135</v>
      </c>
      <c r="AN115" s="7" t="b">
        <f t="shared" si="10"/>
        <v>0</v>
      </c>
      <c r="AP115" s="211">
        <v>-99</v>
      </c>
      <c r="AQ115" s="211">
        <v>-99</v>
      </c>
      <c r="AS115" s="211">
        <v>-99</v>
      </c>
      <c r="AT115" s="211">
        <v>-99</v>
      </c>
      <c r="AU115" s="211">
        <v>-99</v>
      </c>
      <c r="AV115" s="211">
        <v>-99</v>
      </c>
      <c r="AW115" s="211">
        <v>-99</v>
      </c>
      <c r="AX115" s="211">
        <v>-99</v>
      </c>
      <c r="AZ115" s="211">
        <v>-99</v>
      </c>
      <c r="BA115" s="211">
        <v>-99</v>
      </c>
      <c r="BB115" s="211">
        <v>-99</v>
      </c>
      <c r="BC115" s="211">
        <v>-99</v>
      </c>
      <c r="BD115" s="211">
        <v>-99</v>
      </c>
      <c r="BE115" s="211">
        <v>-99</v>
      </c>
      <c r="BG115" s="211">
        <v>-99</v>
      </c>
      <c r="BH115" s="211">
        <v>-99</v>
      </c>
      <c r="BI115" s="211">
        <v>-99</v>
      </c>
      <c r="BJ115" s="211">
        <v>-99</v>
      </c>
      <c r="BK115" s="211">
        <v>-99</v>
      </c>
      <c r="BL115" s="211">
        <v>-99</v>
      </c>
      <c r="BM115" s="211">
        <v>-99</v>
      </c>
      <c r="BN115" s="191">
        <f t="shared" si="11"/>
        <v>8.6180839999999925E-2</v>
      </c>
      <c r="BO115" s="191">
        <f t="shared" si="12"/>
        <v>8.9518440000000199E-2</v>
      </c>
      <c r="BP115" s="191">
        <f t="shared" si="17"/>
        <v>4.8268822499999864E-2</v>
      </c>
      <c r="BQ115" s="171">
        <f t="shared" si="13"/>
        <v>8.6999999999999994E-2</v>
      </c>
      <c r="BR115" s="171">
        <f t="shared" si="14"/>
        <v>9.8800000000000013E-2</v>
      </c>
      <c r="BS115" s="171">
        <f t="shared" si="15"/>
        <v>8.4399999999999989E-2</v>
      </c>
      <c r="BT115" s="171">
        <f t="shared" si="16"/>
        <v>8.7599999999999997E-2</v>
      </c>
      <c r="BU115" s="171">
        <f t="shared" si="18"/>
        <v>4.7699999999999992E-2</v>
      </c>
    </row>
    <row r="116" spans="1:73" x14ac:dyDescent="0.3">
      <c r="A116" s="209">
        <v>34790</v>
      </c>
      <c r="B116" s="187">
        <v>199504</v>
      </c>
      <c r="C116" s="176">
        <v>8.44</v>
      </c>
      <c r="D116" s="176">
        <v>9.3800000000000008</v>
      </c>
      <c r="E116" s="176">
        <v>4.59</v>
      </c>
      <c r="F116" s="177">
        <v>87.5</v>
      </c>
      <c r="G116" s="210">
        <v>6.8912710566615409E-3</v>
      </c>
      <c r="H116" s="179">
        <v>8.14</v>
      </c>
      <c r="I116" s="179">
        <v>8.52</v>
      </c>
      <c r="J116" s="176"/>
      <c r="K116" s="182">
        <v>0.09</v>
      </c>
      <c r="L116" s="182">
        <v>0.1</v>
      </c>
      <c r="N116" s="182">
        <v>9.5000000000000001E-2</v>
      </c>
      <c r="O116" s="182">
        <v>0.05</v>
      </c>
      <c r="Q116" s="182">
        <v>9.2499999999999999E-2</v>
      </c>
      <c r="R116" s="182">
        <v>9.7500000000000003E-2</v>
      </c>
      <c r="S116" s="182">
        <v>5.2499999999999998E-2</v>
      </c>
      <c r="T116" s="182">
        <v>5.5E-2</v>
      </c>
      <c r="U116" s="182"/>
      <c r="V116" s="194">
        <v>9.7000000000000003E-2</v>
      </c>
      <c r="W116" s="194">
        <v>0.10100000000000001</v>
      </c>
      <c r="X116" s="194">
        <v>5.6000000000000001E-2</v>
      </c>
      <c r="Y116" s="194">
        <v>5.8000000000000003E-2</v>
      </c>
      <c r="Z116" s="194"/>
      <c r="AA116" s="195">
        <v>9.737056249999998E-2</v>
      </c>
      <c r="AB116" s="195">
        <v>0.10081510249999981</v>
      </c>
      <c r="AC116" s="195">
        <v>5.6245890796904473E-2</v>
      </c>
      <c r="AD116" s="195">
        <v>5.8087458351547584E-2</v>
      </c>
      <c r="AE116" s="195"/>
      <c r="AF116" s="195">
        <v>1.9467375949774435E-2</v>
      </c>
      <c r="AG116" s="195">
        <v>0.02</v>
      </c>
      <c r="AI116" s="182">
        <v>8.3056489999999927E-2</v>
      </c>
      <c r="AJ116" s="182">
        <v>8.7014759999999969E-2</v>
      </c>
      <c r="AK116" s="182">
        <v>4.6426702500000028E-2</v>
      </c>
      <c r="AM116" s="27" t="s">
        <v>135</v>
      </c>
      <c r="AN116" s="7" t="b">
        <f t="shared" si="10"/>
        <v>0</v>
      </c>
      <c r="AP116" s="211">
        <v>-99</v>
      </c>
      <c r="AQ116" s="211">
        <v>-99</v>
      </c>
      <c r="AS116" s="211">
        <v>-99</v>
      </c>
      <c r="AT116" s="211">
        <v>-99</v>
      </c>
      <c r="AU116" s="211">
        <v>-99</v>
      </c>
      <c r="AV116" s="211">
        <v>-99</v>
      </c>
      <c r="AW116" s="211">
        <v>-99</v>
      </c>
      <c r="AX116" s="211">
        <v>-99</v>
      </c>
      <c r="AZ116" s="211">
        <v>-99</v>
      </c>
      <c r="BA116" s="211">
        <v>-99</v>
      </c>
      <c r="BB116" s="211">
        <v>-99</v>
      </c>
      <c r="BC116" s="211">
        <v>-99</v>
      </c>
      <c r="BD116" s="211">
        <v>-99</v>
      </c>
      <c r="BE116" s="211">
        <v>-99</v>
      </c>
      <c r="BG116" s="211">
        <v>-99</v>
      </c>
      <c r="BH116" s="211">
        <v>-99</v>
      </c>
      <c r="BI116" s="211">
        <v>-99</v>
      </c>
      <c r="BJ116" s="211">
        <v>-99</v>
      </c>
      <c r="BK116" s="211">
        <v>-99</v>
      </c>
      <c r="BL116" s="211">
        <v>-99</v>
      </c>
      <c r="BM116" s="211">
        <v>-99</v>
      </c>
      <c r="BN116" s="191">
        <f t="shared" si="11"/>
        <v>8.3056489999999927E-2</v>
      </c>
      <c r="BO116" s="191">
        <f t="shared" si="12"/>
        <v>8.7014759999999969E-2</v>
      </c>
      <c r="BP116" s="191">
        <f t="shared" si="17"/>
        <v>4.6426702500000028E-2</v>
      </c>
      <c r="BQ116" s="171">
        <f t="shared" si="13"/>
        <v>8.4399999999999989E-2</v>
      </c>
      <c r="BR116" s="171">
        <f t="shared" si="14"/>
        <v>9.3800000000000008E-2</v>
      </c>
      <c r="BS116" s="171">
        <f t="shared" si="15"/>
        <v>8.14E-2</v>
      </c>
      <c r="BT116" s="171">
        <f t="shared" si="16"/>
        <v>8.5199999999999998E-2</v>
      </c>
      <c r="BU116" s="171">
        <f t="shared" si="18"/>
        <v>4.5899999999999996E-2</v>
      </c>
    </row>
    <row r="117" spans="1:73" x14ac:dyDescent="0.3">
      <c r="A117" s="209">
        <v>34820</v>
      </c>
      <c r="B117" s="187">
        <v>199505</v>
      </c>
      <c r="C117" s="176">
        <v>8.11</v>
      </c>
      <c r="D117" s="176">
        <v>8.8800000000000008</v>
      </c>
      <c r="E117" s="176">
        <v>4.43</v>
      </c>
      <c r="F117" s="177">
        <v>87.7</v>
      </c>
      <c r="G117" s="210">
        <v>9.1883614088821286E-3</v>
      </c>
      <c r="H117" s="179">
        <v>7.67</v>
      </c>
      <c r="I117" s="179">
        <v>8.26</v>
      </c>
      <c r="J117" s="176"/>
      <c r="K117" s="182">
        <v>0.09</v>
      </c>
      <c r="L117" s="182">
        <v>0.09</v>
      </c>
      <c r="N117" s="182">
        <v>9.5000000000000001E-2</v>
      </c>
      <c r="O117" s="182">
        <v>0.05</v>
      </c>
      <c r="Q117" s="182">
        <v>0.09</v>
      </c>
      <c r="R117" s="182">
        <v>9.5000000000000001E-2</v>
      </c>
      <c r="S117" s="182">
        <v>5.2499999999999998E-2</v>
      </c>
      <c r="T117" s="182">
        <v>5.5E-2</v>
      </c>
      <c r="U117" s="182"/>
      <c r="V117" s="194">
        <v>9.5000000000000001E-2</v>
      </c>
      <c r="W117" s="194">
        <v>0.1</v>
      </c>
      <c r="X117" s="194">
        <v>5.5E-2</v>
      </c>
      <c r="Y117" s="194">
        <v>5.8000000000000003E-2</v>
      </c>
      <c r="Z117" s="194"/>
      <c r="AA117" s="195">
        <v>9.5180839999999933E-2</v>
      </c>
      <c r="AB117" s="195">
        <v>0.10018724000000034</v>
      </c>
      <c r="AC117" s="195">
        <v>5.5469170696684118E-2</v>
      </c>
      <c r="AD117" s="195">
        <v>5.8168648401657738E-2</v>
      </c>
      <c r="AE117" s="195"/>
      <c r="AF117" s="195">
        <v>1.8812330291515411E-2</v>
      </c>
      <c r="AG117" s="195">
        <v>1.9854392615870298E-2</v>
      </c>
      <c r="AI117" s="182">
        <v>7.8170722500000123E-2</v>
      </c>
      <c r="AJ117" s="182">
        <v>8.4305689999999878E-2</v>
      </c>
      <c r="AK117" s="182">
        <v>4.4790622499999877E-2</v>
      </c>
      <c r="AM117" s="27" t="s">
        <v>135</v>
      </c>
      <c r="AN117" s="7" t="b">
        <f t="shared" si="10"/>
        <v>0</v>
      </c>
      <c r="AP117" s="211">
        <v>-99</v>
      </c>
      <c r="AQ117" s="211">
        <v>-99</v>
      </c>
      <c r="AS117" s="211">
        <v>-99</v>
      </c>
      <c r="AT117" s="211">
        <v>-99</v>
      </c>
      <c r="AU117" s="211">
        <v>-99</v>
      </c>
      <c r="AV117" s="211">
        <v>-99</v>
      </c>
      <c r="AW117" s="211">
        <v>-99</v>
      </c>
      <c r="AX117" s="211">
        <v>-99</v>
      </c>
      <c r="AZ117" s="211">
        <v>-99</v>
      </c>
      <c r="BA117" s="211">
        <v>-99</v>
      </c>
      <c r="BB117" s="211">
        <v>-99</v>
      </c>
      <c r="BC117" s="211">
        <v>-99</v>
      </c>
      <c r="BD117" s="211">
        <v>-99</v>
      </c>
      <c r="BE117" s="211">
        <v>-99</v>
      </c>
      <c r="BG117" s="211">
        <v>-99</v>
      </c>
      <c r="BH117" s="211">
        <v>-99</v>
      </c>
      <c r="BI117" s="211">
        <v>-99</v>
      </c>
      <c r="BJ117" s="211">
        <v>-99</v>
      </c>
      <c r="BK117" s="211">
        <v>-99</v>
      </c>
      <c r="BL117" s="211">
        <v>-99</v>
      </c>
      <c r="BM117" s="211">
        <v>-99</v>
      </c>
      <c r="BN117" s="191">
        <f t="shared" si="11"/>
        <v>7.8170722500000123E-2</v>
      </c>
      <c r="BO117" s="191">
        <f t="shared" si="12"/>
        <v>8.4305689999999878E-2</v>
      </c>
      <c r="BP117" s="191">
        <f t="shared" si="17"/>
        <v>4.4790622499999877E-2</v>
      </c>
      <c r="BQ117" s="171">
        <f t="shared" si="13"/>
        <v>8.1099999999999992E-2</v>
      </c>
      <c r="BR117" s="171">
        <f t="shared" si="14"/>
        <v>8.8800000000000004E-2</v>
      </c>
      <c r="BS117" s="171">
        <f t="shared" si="15"/>
        <v>7.6700000000000004E-2</v>
      </c>
      <c r="BT117" s="171">
        <f t="shared" si="16"/>
        <v>8.2599999999999993E-2</v>
      </c>
      <c r="BU117" s="171">
        <f t="shared" si="18"/>
        <v>4.4299999999999999E-2</v>
      </c>
    </row>
    <row r="118" spans="1:73" x14ac:dyDescent="0.3">
      <c r="A118" s="209">
        <v>34851</v>
      </c>
      <c r="B118" s="187">
        <v>199506</v>
      </c>
      <c r="C118" s="176">
        <v>8.02</v>
      </c>
      <c r="D118" s="176">
        <v>8.6300000000000008</v>
      </c>
      <c r="E118" s="176">
        <v>4.42</v>
      </c>
      <c r="F118" s="177">
        <v>87.7</v>
      </c>
      <c r="G118" s="210">
        <v>1.1485451761102494E-2</v>
      </c>
      <c r="H118" s="179">
        <v>7.56</v>
      </c>
      <c r="I118" s="179">
        <v>8.19</v>
      </c>
      <c r="J118" s="176"/>
      <c r="K118" s="182">
        <v>8.5000000000000006E-2</v>
      </c>
      <c r="L118" s="182">
        <v>8.5000000000000006E-2</v>
      </c>
      <c r="N118" s="182">
        <v>9.2499999999999999E-2</v>
      </c>
      <c r="O118" s="182">
        <v>0.05</v>
      </c>
      <c r="Q118" s="182">
        <v>8.7499999999999994E-2</v>
      </c>
      <c r="R118" s="182">
        <v>9.5000000000000001E-2</v>
      </c>
      <c r="S118" s="182">
        <v>0.05</v>
      </c>
      <c r="T118" s="182">
        <v>5.2499999999999998E-2</v>
      </c>
      <c r="U118" s="182"/>
      <c r="V118" s="194">
        <v>9.1999999999999998E-2</v>
      </c>
      <c r="W118" s="194">
        <v>9.8000000000000004E-2</v>
      </c>
      <c r="X118" s="194">
        <v>5.2999999999999999E-2</v>
      </c>
      <c r="Y118" s="194">
        <v>5.6000000000000001E-2</v>
      </c>
      <c r="Z118" s="194"/>
      <c r="AA118" s="195">
        <v>9.2056489999999935E-2</v>
      </c>
      <c r="AB118" s="195">
        <v>9.7993894999999998E-2</v>
      </c>
      <c r="AC118" s="195">
        <v>5.3314768574023827E-2</v>
      </c>
      <c r="AD118" s="195">
        <v>5.6482669462988126E-2</v>
      </c>
      <c r="AE118" s="195"/>
      <c r="AF118" s="195">
        <v>1.8390381765189145E-2</v>
      </c>
      <c r="AG118" s="195">
        <v>1.9645956690473754E-2</v>
      </c>
      <c r="AI118" s="182">
        <v>7.7028840000000098E-2</v>
      </c>
      <c r="AJ118" s="182">
        <v>8.3576902500000161E-2</v>
      </c>
      <c r="AK118" s="182">
        <v>4.4688410000000012E-2</v>
      </c>
      <c r="AM118" s="27" t="s">
        <v>135</v>
      </c>
      <c r="AN118" s="7" t="b">
        <f t="shared" si="10"/>
        <v>0</v>
      </c>
      <c r="AP118" s="211">
        <v>-99</v>
      </c>
      <c r="AQ118" s="211">
        <v>-99</v>
      </c>
      <c r="AS118" s="211">
        <v>-99</v>
      </c>
      <c r="AT118" s="211">
        <v>-99</v>
      </c>
      <c r="AU118" s="211">
        <v>-99</v>
      </c>
      <c r="AV118" s="211">
        <v>-99</v>
      </c>
      <c r="AW118" s="211">
        <v>-99</v>
      </c>
      <c r="AX118" s="211">
        <v>-99</v>
      </c>
      <c r="AZ118" s="211">
        <v>-99</v>
      </c>
      <c r="BA118" s="211">
        <v>-99</v>
      </c>
      <c r="BB118" s="211">
        <v>-99</v>
      </c>
      <c r="BC118" s="211">
        <v>-99</v>
      </c>
      <c r="BD118" s="211">
        <v>-99</v>
      </c>
      <c r="BE118" s="211">
        <v>-99</v>
      </c>
      <c r="BG118" s="211">
        <v>-99</v>
      </c>
      <c r="BH118" s="211">
        <v>-99</v>
      </c>
      <c r="BI118" s="211">
        <v>-99</v>
      </c>
      <c r="BJ118" s="211">
        <v>-99</v>
      </c>
      <c r="BK118" s="211">
        <v>-99</v>
      </c>
      <c r="BL118" s="211">
        <v>-99</v>
      </c>
      <c r="BM118" s="211">
        <v>-99</v>
      </c>
      <c r="BN118" s="191">
        <f t="shared" si="11"/>
        <v>7.7028840000000098E-2</v>
      </c>
      <c r="BO118" s="191">
        <f t="shared" si="12"/>
        <v>8.3576902500000161E-2</v>
      </c>
      <c r="BP118" s="191">
        <f t="shared" si="17"/>
        <v>4.4688410000000012E-2</v>
      </c>
      <c r="BQ118" s="171">
        <f t="shared" si="13"/>
        <v>8.0199999999999994E-2</v>
      </c>
      <c r="BR118" s="171">
        <f t="shared" si="14"/>
        <v>8.6300000000000002E-2</v>
      </c>
      <c r="BS118" s="171">
        <f t="shared" si="15"/>
        <v>7.5600000000000001E-2</v>
      </c>
      <c r="BT118" s="171">
        <f t="shared" si="16"/>
        <v>8.1900000000000001E-2</v>
      </c>
      <c r="BU118" s="171">
        <f t="shared" si="18"/>
        <v>4.4199999999999996E-2</v>
      </c>
    </row>
    <row r="119" spans="1:73" x14ac:dyDescent="0.3">
      <c r="A119" s="209">
        <v>34881</v>
      </c>
      <c r="B119" s="187">
        <v>199507</v>
      </c>
      <c r="C119" s="176">
        <v>8.5</v>
      </c>
      <c r="D119" s="176">
        <v>8.5</v>
      </c>
      <c r="E119" s="176">
        <v>4.8600000000000003</v>
      </c>
      <c r="F119" s="177">
        <v>87.9</v>
      </c>
      <c r="G119" s="210">
        <v>1.3016845329249849E-2</v>
      </c>
      <c r="H119" s="179">
        <v>8.0399999999999991</v>
      </c>
      <c r="I119" s="179">
        <v>8.66</v>
      </c>
      <c r="J119" s="176"/>
      <c r="K119" s="182">
        <v>8.5000000000000006E-2</v>
      </c>
      <c r="L119" s="182">
        <v>7.4999999999999997E-2</v>
      </c>
      <c r="N119" s="182">
        <v>8.7499999999999994E-2</v>
      </c>
      <c r="O119" s="182">
        <v>4.7500000000000001E-2</v>
      </c>
      <c r="Q119" s="182">
        <v>8.2500000000000004E-2</v>
      </c>
      <c r="R119" s="182">
        <v>9.2499999999999999E-2</v>
      </c>
      <c r="S119" s="182">
        <v>4.7500000000000001E-2</v>
      </c>
      <c r="T119" s="182">
        <v>5.2499999999999998E-2</v>
      </c>
      <c r="U119" s="182"/>
      <c r="V119" s="194">
        <v>8.7000000000000008E-2</v>
      </c>
      <c r="W119" s="194">
        <v>9.6000000000000002E-2</v>
      </c>
      <c r="X119" s="194">
        <v>5.1000000000000004E-2</v>
      </c>
      <c r="Y119" s="194">
        <v>5.5E-2</v>
      </c>
      <c r="Z119" s="194"/>
      <c r="AA119" s="195">
        <v>8.7170722500000131E-2</v>
      </c>
      <c r="AB119" s="195">
        <v>9.6373173749999763E-2</v>
      </c>
      <c r="AC119" s="195">
        <v>5.0531186353492359E-2</v>
      </c>
      <c r="AD119" s="195">
        <v>5.5420340573253637E-2</v>
      </c>
      <c r="AE119" s="195"/>
      <c r="AF119" s="195">
        <v>1.7438576132940753E-2</v>
      </c>
      <c r="AG119" s="195">
        <v>1.9401195714355168E-2</v>
      </c>
      <c r="AI119" s="182">
        <v>8.2016040000000068E-2</v>
      </c>
      <c r="AJ119" s="182">
        <v>8.8474889999999862E-2</v>
      </c>
      <c r="AK119" s="182">
        <v>4.9190489999999976E-2</v>
      </c>
      <c r="AM119" s="27" t="s">
        <v>135</v>
      </c>
      <c r="AN119" s="7" t="b">
        <f t="shared" si="10"/>
        <v>0</v>
      </c>
      <c r="AP119" s="211">
        <v>-99</v>
      </c>
      <c r="AQ119" s="211">
        <v>-99</v>
      </c>
      <c r="AS119" s="211">
        <v>-99</v>
      </c>
      <c r="AT119" s="211">
        <v>-99</v>
      </c>
      <c r="AU119" s="211">
        <v>-99</v>
      </c>
      <c r="AV119" s="211">
        <v>-99</v>
      </c>
      <c r="AW119" s="211">
        <v>-99</v>
      </c>
      <c r="AX119" s="211">
        <v>-99</v>
      </c>
      <c r="AZ119" s="211">
        <v>-99</v>
      </c>
      <c r="BA119" s="211">
        <v>-99</v>
      </c>
      <c r="BB119" s="211">
        <v>-99</v>
      </c>
      <c r="BC119" s="211">
        <v>-99</v>
      </c>
      <c r="BD119" s="211">
        <v>-99</v>
      </c>
      <c r="BE119" s="211">
        <v>-99</v>
      </c>
      <c r="BG119" s="211">
        <v>-99</v>
      </c>
      <c r="BH119" s="211">
        <v>-99</v>
      </c>
      <c r="BI119" s="211">
        <v>-99</v>
      </c>
      <c r="BJ119" s="211">
        <v>-99</v>
      </c>
      <c r="BK119" s="211">
        <v>-99</v>
      </c>
      <c r="BL119" s="211">
        <v>-99</v>
      </c>
      <c r="BM119" s="211">
        <v>-99</v>
      </c>
      <c r="BN119" s="191">
        <f t="shared" si="11"/>
        <v>8.2016040000000068E-2</v>
      </c>
      <c r="BO119" s="191">
        <f t="shared" si="12"/>
        <v>8.8474889999999862E-2</v>
      </c>
      <c r="BP119" s="191">
        <f t="shared" si="17"/>
        <v>4.9190489999999976E-2</v>
      </c>
      <c r="BQ119" s="171">
        <f t="shared" si="13"/>
        <v>8.5000000000000006E-2</v>
      </c>
      <c r="BR119" s="171">
        <f t="shared" si="14"/>
        <v>8.5000000000000006E-2</v>
      </c>
      <c r="BS119" s="171">
        <f t="shared" si="15"/>
        <v>8.0399999999999985E-2</v>
      </c>
      <c r="BT119" s="171">
        <f t="shared" si="16"/>
        <v>8.6599999999999996E-2</v>
      </c>
      <c r="BU119" s="171">
        <f t="shared" si="18"/>
        <v>4.8600000000000004E-2</v>
      </c>
    </row>
    <row r="120" spans="1:73" x14ac:dyDescent="0.3">
      <c r="A120" s="209">
        <v>34912</v>
      </c>
      <c r="B120" s="187">
        <v>199508</v>
      </c>
      <c r="C120" s="176">
        <v>8.24</v>
      </c>
      <c r="D120" s="176">
        <v>8.9499999999999993</v>
      </c>
      <c r="E120" s="176">
        <v>4.68</v>
      </c>
      <c r="F120" s="177">
        <v>87.7</v>
      </c>
      <c r="G120" s="210">
        <v>1.4537107880642663E-2</v>
      </c>
      <c r="H120" s="179">
        <v>7.78</v>
      </c>
      <c r="I120" s="179">
        <v>8.41</v>
      </c>
      <c r="J120" s="176"/>
      <c r="K120" s="182">
        <v>8.5000000000000006E-2</v>
      </c>
      <c r="L120" s="182">
        <v>7.0000000000000007E-2</v>
      </c>
      <c r="N120" s="182">
        <v>8.7499999999999994E-2</v>
      </c>
      <c r="O120" s="182">
        <v>4.7500000000000001E-2</v>
      </c>
      <c r="Q120" s="182">
        <v>8.2500000000000004E-2</v>
      </c>
      <c r="R120" s="182">
        <v>9.2499999999999999E-2</v>
      </c>
      <c r="S120" s="182">
        <v>4.4999999999999998E-2</v>
      </c>
      <c r="T120" s="182">
        <v>5.2499999999999998E-2</v>
      </c>
      <c r="U120" s="182"/>
      <c r="V120" s="194">
        <v>8.6000000000000007E-2</v>
      </c>
      <c r="W120" s="194">
        <v>9.6000000000000002E-2</v>
      </c>
      <c r="X120" s="194">
        <v>0.05</v>
      </c>
      <c r="Y120" s="194">
        <v>5.5E-2</v>
      </c>
      <c r="Z120" s="194"/>
      <c r="AA120" s="195">
        <v>8.6028840000000106E-2</v>
      </c>
      <c r="AB120" s="195">
        <v>9.58509337500002E-2</v>
      </c>
      <c r="AC120" s="195">
        <v>5.0187173498615824E-2</v>
      </c>
      <c r="AD120" s="195">
        <v>5.5439028250692107E-2</v>
      </c>
      <c r="AE120" s="195"/>
      <c r="AF120" s="195">
        <v>1.7064418327439879E-2</v>
      </c>
      <c r="AG120" s="195">
        <v>1.9144595006254317E-2</v>
      </c>
      <c r="AI120" s="182">
        <v>7.9313209999999801E-2</v>
      </c>
      <c r="AJ120" s="182">
        <v>8.5868202499999935E-2</v>
      </c>
      <c r="AK120" s="182">
        <v>4.7347560000000177E-2</v>
      </c>
      <c r="AM120" s="27" t="s">
        <v>135</v>
      </c>
      <c r="AN120" s="7" t="b">
        <f t="shared" si="10"/>
        <v>0</v>
      </c>
      <c r="AP120" s="211">
        <v>-99</v>
      </c>
      <c r="AQ120" s="211">
        <v>-99</v>
      </c>
      <c r="AS120" s="211">
        <v>-99</v>
      </c>
      <c r="AT120" s="211">
        <v>-99</v>
      </c>
      <c r="AU120" s="211">
        <v>-99</v>
      </c>
      <c r="AV120" s="211">
        <v>-99</v>
      </c>
      <c r="AW120" s="211">
        <v>-99</v>
      </c>
      <c r="AX120" s="211">
        <v>-99</v>
      </c>
      <c r="AZ120" s="211">
        <v>-99</v>
      </c>
      <c r="BA120" s="211">
        <v>-99</v>
      </c>
      <c r="BB120" s="211">
        <v>-99</v>
      </c>
      <c r="BC120" s="211">
        <v>-99</v>
      </c>
      <c r="BD120" s="211">
        <v>-99</v>
      </c>
      <c r="BE120" s="211">
        <v>-99</v>
      </c>
      <c r="BG120" s="211">
        <v>-99</v>
      </c>
      <c r="BH120" s="211">
        <v>-99</v>
      </c>
      <c r="BI120" s="211">
        <v>-99</v>
      </c>
      <c r="BJ120" s="211">
        <v>-99</v>
      </c>
      <c r="BK120" s="211">
        <v>-99</v>
      </c>
      <c r="BL120" s="211">
        <v>-99</v>
      </c>
      <c r="BM120" s="211">
        <v>-99</v>
      </c>
      <c r="BN120" s="191">
        <f t="shared" si="11"/>
        <v>7.9313209999999801E-2</v>
      </c>
      <c r="BO120" s="191">
        <f t="shared" si="12"/>
        <v>8.5868202499999935E-2</v>
      </c>
      <c r="BP120" s="191">
        <f t="shared" si="17"/>
        <v>4.7347560000000177E-2</v>
      </c>
      <c r="BQ120" s="171">
        <f t="shared" si="13"/>
        <v>8.2400000000000001E-2</v>
      </c>
      <c r="BR120" s="171">
        <f t="shared" si="14"/>
        <v>8.9499999999999996E-2</v>
      </c>
      <c r="BS120" s="171">
        <f t="shared" si="15"/>
        <v>7.7800000000000008E-2</v>
      </c>
      <c r="BT120" s="171">
        <f t="shared" si="16"/>
        <v>8.4100000000000008E-2</v>
      </c>
      <c r="BU120" s="171">
        <f t="shared" si="18"/>
        <v>4.6799999999999994E-2</v>
      </c>
    </row>
    <row r="121" spans="1:73" x14ac:dyDescent="0.3">
      <c r="A121" s="209">
        <v>34943</v>
      </c>
      <c r="B121" s="187">
        <v>199509</v>
      </c>
      <c r="C121" s="176">
        <v>8.11</v>
      </c>
      <c r="D121" s="176">
        <v>8.9499999999999993</v>
      </c>
      <c r="E121" s="176">
        <v>4.7300000000000004</v>
      </c>
      <c r="F121" s="177">
        <v>87.8</v>
      </c>
      <c r="G121" s="210">
        <v>1.6067329762815774E-2</v>
      </c>
      <c r="H121" s="179">
        <v>7.68</v>
      </c>
      <c r="I121" s="179">
        <v>8.27</v>
      </c>
      <c r="J121" s="176"/>
      <c r="K121" s="182">
        <v>8.5000000000000006E-2</v>
      </c>
      <c r="L121" s="182">
        <v>7.0000000000000007E-2</v>
      </c>
      <c r="N121" s="182">
        <v>9.2499999999999999E-2</v>
      </c>
      <c r="O121" s="182">
        <v>5.2499999999999998E-2</v>
      </c>
      <c r="Q121" s="182">
        <v>8.7499999999999994E-2</v>
      </c>
      <c r="R121" s="182">
        <v>9.7500000000000003E-2</v>
      </c>
      <c r="S121" s="182">
        <v>0.05</v>
      </c>
      <c r="T121" s="182">
        <v>5.5E-2</v>
      </c>
      <c r="U121" s="182"/>
      <c r="V121" s="194">
        <v>9.0999999999999998E-2</v>
      </c>
      <c r="W121" s="194">
        <v>0.10100000000000001</v>
      </c>
      <c r="X121" s="194">
        <v>5.5E-2</v>
      </c>
      <c r="Y121" s="194">
        <v>0.06</v>
      </c>
      <c r="Z121" s="194"/>
      <c r="AA121" s="195">
        <v>9.1016040000000076E-2</v>
      </c>
      <c r="AB121" s="195">
        <v>0.10070431499999977</v>
      </c>
      <c r="AC121" s="195">
        <v>5.4599482468524203E-2</v>
      </c>
      <c r="AD121" s="195">
        <v>5.9985993765737863E-2</v>
      </c>
      <c r="AE121" s="195"/>
      <c r="AF121" s="195">
        <v>1.7265586669090061E-2</v>
      </c>
      <c r="AG121" s="195">
        <v>1.9207009089622362E-2</v>
      </c>
      <c r="AI121" s="182">
        <v>7.8274559999999882E-2</v>
      </c>
      <c r="AJ121" s="182">
        <v>8.4409822500000065E-2</v>
      </c>
      <c r="AK121" s="182">
        <v>4.7859322499999912E-2</v>
      </c>
      <c r="AM121" s="27" t="s">
        <v>135</v>
      </c>
      <c r="AN121" s="7" t="b">
        <f t="shared" si="10"/>
        <v>0</v>
      </c>
      <c r="AP121" s="211">
        <v>-99</v>
      </c>
      <c r="AQ121" s="211">
        <v>-99</v>
      </c>
      <c r="AS121" s="211">
        <v>-99</v>
      </c>
      <c r="AT121" s="211">
        <v>-99</v>
      </c>
      <c r="AU121" s="211">
        <v>-99</v>
      </c>
      <c r="AV121" s="211">
        <v>-99</v>
      </c>
      <c r="AW121" s="211">
        <v>-99</v>
      </c>
      <c r="AX121" s="211">
        <v>-99</v>
      </c>
      <c r="AZ121" s="211">
        <v>-99</v>
      </c>
      <c r="BA121" s="211">
        <v>-99</v>
      </c>
      <c r="BB121" s="211">
        <v>-99</v>
      </c>
      <c r="BC121" s="211">
        <v>-99</v>
      </c>
      <c r="BD121" s="211">
        <v>-99</v>
      </c>
      <c r="BE121" s="211">
        <v>-99</v>
      </c>
      <c r="BG121" s="211">
        <v>-99</v>
      </c>
      <c r="BH121" s="211">
        <v>-99</v>
      </c>
      <c r="BI121" s="211">
        <v>-99</v>
      </c>
      <c r="BJ121" s="211">
        <v>-99</v>
      </c>
      <c r="BK121" s="211">
        <v>-99</v>
      </c>
      <c r="BL121" s="211">
        <v>-99</v>
      </c>
      <c r="BM121" s="211">
        <v>-99</v>
      </c>
      <c r="BN121" s="191">
        <f t="shared" si="11"/>
        <v>7.8274559999999882E-2</v>
      </c>
      <c r="BO121" s="191">
        <f t="shared" si="12"/>
        <v>8.4409822500000065E-2</v>
      </c>
      <c r="BP121" s="191">
        <f t="shared" si="17"/>
        <v>4.7859322499999912E-2</v>
      </c>
      <c r="BQ121" s="171">
        <f t="shared" si="13"/>
        <v>8.1099999999999992E-2</v>
      </c>
      <c r="BR121" s="171">
        <f t="shared" si="14"/>
        <v>8.9499999999999996E-2</v>
      </c>
      <c r="BS121" s="171">
        <f t="shared" si="15"/>
        <v>7.6799999999999993E-2</v>
      </c>
      <c r="BT121" s="171">
        <f t="shared" si="16"/>
        <v>8.2699999999999996E-2</v>
      </c>
      <c r="BU121" s="171">
        <f t="shared" si="18"/>
        <v>4.7300000000000002E-2</v>
      </c>
    </row>
    <row r="122" spans="1:73" x14ac:dyDescent="0.3">
      <c r="A122" s="209">
        <v>34973</v>
      </c>
      <c r="B122" s="187">
        <v>199510</v>
      </c>
      <c r="C122" s="176">
        <v>8.11</v>
      </c>
      <c r="D122" s="176">
        <v>8.6999999999999993</v>
      </c>
      <c r="E122" s="176">
        <v>4.92</v>
      </c>
      <c r="F122" s="177">
        <v>87.7</v>
      </c>
      <c r="G122" s="210">
        <v>1.8362662586075107E-2</v>
      </c>
      <c r="H122" s="179">
        <v>7.68</v>
      </c>
      <c r="I122" s="179">
        <v>8.2799999999999994</v>
      </c>
      <c r="J122" s="176"/>
      <c r="K122" s="182">
        <v>8.5000000000000006E-2</v>
      </c>
      <c r="L122" s="182">
        <v>7.0000000000000007E-2</v>
      </c>
      <c r="N122" s="182">
        <v>0.09</v>
      </c>
      <c r="O122" s="182">
        <v>0.05</v>
      </c>
      <c r="Q122" s="182">
        <v>8.5000000000000006E-2</v>
      </c>
      <c r="R122" s="182">
        <v>9.5000000000000001E-2</v>
      </c>
      <c r="S122" s="182">
        <v>4.7500000000000001E-2</v>
      </c>
      <c r="T122" s="182">
        <v>5.5E-2</v>
      </c>
      <c r="U122" s="182"/>
      <c r="V122" s="194">
        <v>8.7999999999999995E-2</v>
      </c>
      <c r="W122" s="194">
        <v>9.8000000000000004E-2</v>
      </c>
      <c r="X122" s="194">
        <v>5.2999999999999999E-2</v>
      </c>
      <c r="Y122" s="194">
        <v>5.8000000000000003E-2</v>
      </c>
      <c r="Z122" s="194"/>
      <c r="AA122" s="195">
        <v>8.8313209999999809E-2</v>
      </c>
      <c r="AB122" s="195">
        <v>9.814569875000001E-2</v>
      </c>
      <c r="AC122" s="195">
        <v>5.2733149873116392E-2</v>
      </c>
      <c r="AD122" s="195">
        <v>5.8154765063442075E-2</v>
      </c>
      <c r="AE122" s="195"/>
      <c r="AF122" s="195">
        <v>1.6898897945396563E-2</v>
      </c>
      <c r="AG122" s="195">
        <v>1.8896542834242358E-2</v>
      </c>
      <c r="AI122" s="182">
        <v>7.8274559999999882E-2</v>
      </c>
      <c r="AJ122" s="182">
        <v>8.4513960000000221E-2</v>
      </c>
      <c r="AK122" s="182">
        <v>4.9805160000000015E-2</v>
      </c>
      <c r="AM122" s="27" t="s">
        <v>135</v>
      </c>
      <c r="AN122" s="7" t="b">
        <f t="shared" si="10"/>
        <v>0</v>
      </c>
      <c r="AP122" s="211">
        <v>-99</v>
      </c>
      <c r="AQ122" s="211">
        <v>-99</v>
      </c>
      <c r="AS122" s="211">
        <v>-99</v>
      </c>
      <c r="AT122" s="211">
        <v>-99</v>
      </c>
      <c r="AU122" s="211">
        <v>-99</v>
      </c>
      <c r="AV122" s="211">
        <v>-99</v>
      </c>
      <c r="AW122" s="211">
        <v>-99</v>
      </c>
      <c r="AX122" s="211">
        <v>-99</v>
      </c>
      <c r="AZ122" s="211">
        <v>-99</v>
      </c>
      <c r="BA122" s="211">
        <v>-99</v>
      </c>
      <c r="BB122" s="211">
        <v>-99</v>
      </c>
      <c r="BC122" s="211">
        <v>-99</v>
      </c>
      <c r="BD122" s="211">
        <v>-99</v>
      </c>
      <c r="BE122" s="211">
        <v>-99</v>
      </c>
      <c r="BG122" s="211">
        <v>-99</v>
      </c>
      <c r="BH122" s="211">
        <v>-99</v>
      </c>
      <c r="BI122" s="211">
        <v>-99</v>
      </c>
      <c r="BJ122" s="211">
        <v>-99</v>
      </c>
      <c r="BK122" s="211">
        <v>-99</v>
      </c>
      <c r="BL122" s="211">
        <v>-99</v>
      </c>
      <c r="BM122" s="211">
        <v>-99</v>
      </c>
      <c r="BN122" s="191">
        <f t="shared" si="11"/>
        <v>7.8274559999999882E-2</v>
      </c>
      <c r="BO122" s="191">
        <f t="shared" si="12"/>
        <v>8.4513960000000221E-2</v>
      </c>
      <c r="BP122" s="191">
        <f t="shared" si="17"/>
        <v>4.9805160000000015E-2</v>
      </c>
      <c r="BQ122" s="171">
        <f t="shared" si="13"/>
        <v>8.1099999999999992E-2</v>
      </c>
      <c r="BR122" s="171">
        <f t="shared" si="14"/>
        <v>8.6999999999999994E-2</v>
      </c>
      <c r="BS122" s="171">
        <f t="shared" si="15"/>
        <v>7.6799999999999993E-2</v>
      </c>
      <c r="BT122" s="171">
        <f t="shared" si="16"/>
        <v>8.2799999999999999E-2</v>
      </c>
      <c r="BU122" s="171">
        <f t="shared" si="18"/>
        <v>4.9200000000000001E-2</v>
      </c>
    </row>
    <row r="123" spans="1:73" x14ac:dyDescent="0.3">
      <c r="A123" s="209">
        <v>35004</v>
      </c>
      <c r="B123" s="187">
        <v>199511</v>
      </c>
      <c r="C123" s="176">
        <v>7.44</v>
      </c>
      <c r="D123" s="176">
        <v>8.4499999999999993</v>
      </c>
      <c r="E123" s="176">
        <v>4.4800000000000004</v>
      </c>
      <c r="F123" s="177">
        <v>88</v>
      </c>
      <c r="G123" s="210">
        <v>1.9892884468247995E-2</v>
      </c>
      <c r="H123" s="179">
        <v>6.93</v>
      </c>
      <c r="I123" s="179">
        <v>7.63</v>
      </c>
      <c r="J123" s="176"/>
      <c r="K123" s="182">
        <v>8.5000000000000006E-2</v>
      </c>
      <c r="L123" s="182">
        <v>7.0000000000000007E-2</v>
      </c>
      <c r="N123" s="182">
        <v>8.7499999999999994E-2</v>
      </c>
      <c r="O123" s="182">
        <v>0.05</v>
      </c>
      <c r="Q123" s="182">
        <v>8.2500000000000004E-2</v>
      </c>
      <c r="R123" s="182">
        <v>9.2499999999999999E-2</v>
      </c>
      <c r="S123" s="182">
        <v>0.05</v>
      </c>
      <c r="T123" s="182">
        <v>5.5E-2</v>
      </c>
      <c r="U123" s="182"/>
      <c r="V123" s="194">
        <v>8.7000000000000008E-2</v>
      </c>
      <c r="W123" s="194">
        <v>9.6000000000000002E-2</v>
      </c>
      <c r="X123" s="194">
        <v>5.2999999999999999E-2</v>
      </c>
      <c r="Y123" s="194">
        <v>5.9000000000000004E-2</v>
      </c>
      <c r="Z123" s="194"/>
      <c r="AA123" s="195">
        <v>8.727455999999989E-2</v>
      </c>
      <c r="AB123" s="195">
        <v>9.6477453750000164E-2</v>
      </c>
      <c r="AC123" s="195">
        <v>5.3380704752525508E-2</v>
      </c>
      <c r="AD123" s="195">
        <v>5.8598631373737116E-2</v>
      </c>
      <c r="AE123" s="195"/>
      <c r="AF123" s="195">
        <v>1.6088131809589901E-2</v>
      </c>
      <c r="AG123" s="195">
        <v>1.7891021796952344E-2</v>
      </c>
      <c r="AI123" s="182">
        <v>7.0500622500000221E-2</v>
      </c>
      <c r="AJ123" s="182">
        <v>7.7755422499999893E-2</v>
      </c>
      <c r="AK123" s="182">
        <v>4.5301759999999858E-2</v>
      </c>
      <c r="AM123" s="27" t="s">
        <v>135</v>
      </c>
      <c r="AN123" s="7" t="b">
        <f t="shared" si="10"/>
        <v>0</v>
      </c>
      <c r="AP123" s="211">
        <v>-99</v>
      </c>
      <c r="AQ123" s="211">
        <v>-99</v>
      </c>
      <c r="AS123" s="211">
        <v>-99</v>
      </c>
      <c r="AT123" s="211">
        <v>-99</v>
      </c>
      <c r="AU123" s="211">
        <v>-99</v>
      </c>
      <c r="AV123" s="211">
        <v>-99</v>
      </c>
      <c r="AW123" s="211">
        <v>-99</v>
      </c>
      <c r="AX123" s="211">
        <v>-99</v>
      </c>
      <c r="AZ123" s="211">
        <v>-99</v>
      </c>
      <c r="BA123" s="211">
        <v>-99</v>
      </c>
      <c r="BB123" s="211">
        <v>-99</v>
      </c>
      <c r="BC123" s="211">
        <v>-99</v>
      </c>
      <c r="BD123" s="211">
        <v>-99</v>
      </c>
      <c r="BE123" s="211">
        <v>-99</v>
      </c>
      <c r="BG123" s="211">
        <v>-99</v>
      </c>
      <c r="BH123" s="211">
        <v>-99</v>
      </c>
      <c r="BI123" s="211">
        <v>-99</v>
      </c>
      <c r="BJ123" s="211">
        <v>-99</v>
      </c>
      <c r="BK123" s="211">
        <v>-99</v>
      </c>
      <c r="BL123" s="211">
        <v>-99</v>
      </c>
      <c r="BM123" s="211">
        <v>-99</v>
      </c>
      <c r="BN123" s="191">
        <f t="shared" si="11"/>
        <v>7.0500622500000221E-2</v>
      </c>
      <c r="BO123" s="191">
        <f t="shared" si="12"/>
        <v>7.7755422499999893E-2</v>
      </c>
      <c r="BP123" s="191">
        <f t="shared" si="17"/>
        <v>4.5301759999999858E-2</v>
      </c>
      <c r="BQ123" s="171">
        <f t="shared" si="13"/>
        <v>7.4400000000000008E-2</v>
      </c>
      <c r="BR123" s="171">
        <f t="shared" si="14"/>
        <v>8.4499999999999992E-2</v>
      </c>
      <c r="BS123" s="171">
        <f t="shared" si="15"/>
        <v>6.93E-2</v>
      </c>
      <c r="BT123" s="171">
        <f t="shared" si="16"/>
        <v>7.6299999999999993E-2</v>
      </c>
      <c r="BU123" s="171">
        <f t="shared" si="18"/>
        <v>4.4800000000000006E-2</v>
      </c>
    </row>
    <row r="124" spans="1:73" x14ac:dyDescent="0.3">
      <c r="A124" s="212">
        <v>35034</v>
      </c>
      <c r="B124" s="187">
        <v>199512</v>
      </c>
      <c r="C124" s="213">
        <v>7.43</v>
      </c>
      <c r="D124" s="213">
        <v>8.4499999999999993</v>
      </c>
      <c r="E124" s="213">
        <v>4.42</v>
      </c>
      <c r="F124" s="177">
        <v>87.8</v>
      </c>
      <c r="G124" s="214">
        <v>2.1423106350420884E-2</v>
      </c>
      <c r="H124" s="215">
        <v>6.99</v>
      </c>
      <c r="I124" s="215">
        <v>7.63</v>
      </c>
      <c r="J124" s="213"/>
      <c r="K124" s="216">
        <v>8.5000000000000006E-2</v>
      </c>
      <c r="L124" s="216">
        <v>6.5000000000000002E-2</v>
      </c>
      <c r="M124" s="216"/>
      <c r="N124" s="216">
        <v>8.7499999999999994E-2</v>
      </c>
      <c r="O124" s="216">
        <v>5.2499999999999998E-2</v>
      </c>
      <c r="P124" s="217"/>
      <c r="Q124" s="182">
        <v>8.2500000000000004E-2</v>
      </c>
      <c r="R124" s="182">
        <v>9.2499999999999999E-2</v>
      </c>
      <c r="S124" s="182">
        <v>0.05</v>
      </c>
      <c r="T124" s="182">
        <v>5.7500000000000002E-2</v>
      </c>
      <c r="U124" s="182"/>
      <c r="V124" s="194">
        <v>8.7000000000000008E-2</v>
      </c>
      <c r="W124" s="194">
        <v>9.7000000000000003E-2</v>
      </c>
      <c r="X124" s="194">
        <v>5.5E-2</v>
      </c>
      <c r="Y124" s="194">
        <v>6.0999999999999999E-2</v>
      </c>
      <c r="Z124" s="194"/>
      <c r="AA124" s="195">
        <v>8.727455999999989E-2</v>
      </c>
      <c r="AB124" s="195">
        <v>9.6633660000000399E-2</v>
      </c>
      <c r="AC124" s="195">
        <v>5.5128201598050611E-2</v>
      </c>
      <c r="AD124" s="195">
        <v>6.0643639200974715E-2</v>
      </c>
      <c r="AE124" s="195"/>
      <c r="AF124" s="195">
        <v>1.5233389816167398E-2</v>
      </c>
      <c r="AG124" s="195">
        <v>1.6966122960082153E-2</v>
      </c>
      <c r="AI124" s="182">
        <v>7.1121502500000044E-2</v>
      </c>
      <c r="AJ124" s="182">
        <v>7.7755422499999893E-2</v>
      </c>
      <c r="AK124" s="182">
        <v>4.4688410000000012E-2</v>
      </c>
      <c r="AM124" s="27" t="s">
        <v>135</v>
      </c>
      <c r="AN124" s="7" t="b">
        <f t="shared" si="10"/>
        <v>0</v>
      </c>
      <c r="AP124" s="211">
        <v>-99</v>
      </c>
      <c r="AQ124" s="211">
        <v>-99</v>
      </c>
      <c r="AS124" s="211">
        <v>-99</v>
      </c>
      <c r="AT124" s="211">
        <v>-99</v>
      </c>
      <c r="AU124" s="211">
        <v>-99</v>
      </c>
      <c r="AV124" s="211">
        <v>-99</v>
      </c>
      <c r="AW124" s="211">
        <v>-99</v>
      </c>
      <c r="AX124" s="211">
        <v>-99</v>
      </c>
      <c r="AZ124" s="211">
        <v>-99</v>
      </c>
      <c r="BA124" s="211">
        <v>-99</v>
      </c>
      <c r="BB124" s="211">
        <v>-99</v>
      </c>
      <c r="BC124" s="211">
        <v>-99</v>
      </c>
      <c r="BD124" s="211">
        <v>-99</v>
      </c>
      <c r="BE124" s="211">
        <v>-99</v>
      </c>
      <c r="BG124" s="211">
        <v>-99</v>
      </c>
      <c r="BH124" s="211">
        <v>-99</v>
      </c>
      <c r="BI124" s="211">
        <v>-99</v>
      </c>
      <c r="BJ124" s="211">
        <v>-99</v>
      </c>
      <c r="BK124" s="211">
        <v>-99</v>
      </c>
      <c r="BL124" s="211">
        <v>-99</v>
      </c>
      <c r="BM124" s="211">
        <v>-99</v>
      </c>
      <c r="BN124" s="191">
        <f t="shared" si="11"/>
        <v>7.1121502500000044E-2</v>
      </c>
      <c r="BO124" s="191">
        <f t="shared" si="12"/>
        <v>7.7755422499999893E-2</v>
      </c>
      <c r="BP124" s="191">
        <f t="shared" si="17"/>
        <v>4.4688410000000012E-2</v>
      </c>
      <c r="BQ124" s="171">
        <f t="shared" si="13"/>
        <v>7.4299999999999991E-2</v>
      </c>
      <c r="BR124" s="171">
        <f t="shared" si="14"/>
        <v>8.4499999999999992E-2</v>
      </c>
      <c r="BS124" s="171">
        <f t="shared" si="15"/>
        <v>6.9900000000000004E-2</v>
      </c>
      <c r="BT124" s="171">
        <f t="shared" si="16"/>
        <v>7.6299999999999993E-2</v>
      </c>
      <c r="BU124" s="171">
        <f t="shared" si="18"/>
        <v>4.4199999999999996E-2</v>
      </c>
    </row>
    <row r="125" spans="1:73" x14ac:dyDescent="0.3">
      <c r="A125" s="209">
        <v>35065</v>
      </c>
      <c r="B125" s="187">
        <v>199601</v>
      </c>
      <c r="C125" s="176">
        <v>7.35</v>
      </c>
      <c r="D125" s="176">
        <v>7.8</v>
      </c>
      <c r="E125" s="176">
        <v>4.57</v>
      </c>
      <c r="F125" s="177">
        <v>88</v>
      </c>
      <c r="G125" s="210">
        <v>2.2953328232593773E-2</v>
      </c>
      <c r="H125" s="179">
        <v>6.77</v>
      </c>
      <c r="I125" s="179">
        <v>7.64</v>
      </c>
      <c r="J125" s="176"/>
      <c r="K125" s="182">
        <v>7.4999999999999997E-2</v>
      </c>
      <c r="L125" s="182">
        <v>0.06</v>
      </c>
      <c r="N125" s="182">
        <v>0.08</v>
      </c>
      <c r="O125" s="182">
        <v>4.7500000000000001E-2</v>
      </c>
      <c r="Q125" s="182">
        <v>7.4999999999999997E-2</v>
      </c>
      <c r="R125" s="182">
        <v>8.7499999999999994E-2</v>
      </c>
      <c r="S125" s="182">
        <v>4.4999999999999998E-2</v>
      </c>
      <c r="T125" s="182">
        <v>5.2499999999999998E-2</v>
      </c>
      <c r="U125" s="182"/>
      <c r="V125" s="194">
        <v>0.08</v>
      </c>
      <c r="W125" s="194">
        <v>0.09</v>
      </c>
      <c r="X125" s="194">
        <v>0.05</v>
      </c>
      <c r="Y125" s="194">
        <v>5.6000000000000001E-2</v>
      </c>
      <c r="Z125" s="194"/>
      <c r="AA125" s="195">
        <v>7.9500622500000229E-2</v>
      </c>
      <c r="AB125" s="195">
        <v>9.0382822499999738E-2</v>
      </c>
      <c r="AC125" s="195">
        <v>5.0074978151467248E-2</v>
      </c>
      <c r="AD125" s="195">
        <v>5.6415150924266168E-2</v>
      </c>
      <c r="AE125" s="195"/>
      <c r="AF125" s="195">
        <v>1.4011211085294795E-2</v>
      </c>
      <c r="AG125" s="195">
        <v>1.6076857448520609E-2</v>
      </c>
      <c r="AI125" s="182">
        <v>6.8845822499999931E-2</v>
      </c>
      <c r="AJ125" s="182">
        <v>7.7859239999999996E-2</v>
      </c>
      <c r="AK125" s="182">
        <v>4.6222122500000129E-2</v>
      </c>
      <c r="AM125" s="27" t="s">
        <v>135</v>
      </c>
      <c r="AN125" s="7" t="b">
        <f t="shared" si="10"/>
        <v>0</v>
      </c>
      <c r="AP125" s="211">
        <v>-99</v>
      </c>
      <c r="AQ125" s="211">
        <v>-99</v>
      </c>
      <c r="AS125" s="211">
        <v>-99</v>
      </c>
      <c r="AT125" s="211">
        <v>-99</v>
      </c>
      <c r="AU125" s="211">
        <v>-99</v>
      </c>
      <c r="AV125" s="211">
        <v>-99</v>
      </c>
      <c r="AW125" s="211">
        <v>-99</v>
      </c>
      <c r="AX125" s="211">
        <v>-99</v>
      </c>
      <c r="AZ125" s="211">
        <v>-99</v>
      </c>
      <c r="BA125" s="211">
        <v>-99</v>
      </c>
      <c r="BB125" s="211">
        <v>-99</v>
      </c>
      <c r="BC125" s="211">
        <v>-99</v>
      </c>
      <c r="BD125" s="211">
        <v>-99</v>
      </c>
      <c r="BE125" s="211">
        <v>-99</v>
      </c>
      <c r="BG125" s="211">
        <v>-99</v>
      </c>
      <c r="BH125" s="211">
        <v>-99</v>
      </c>
      <c r="BI125" s="211">
        <v>-99</v>
      </c>
      <c r="BJ125" s="211">
        <v>-99</v>
      </c>
      <c r="BK125" s="211">
        <v>-99</v>
      </c>
      <c r="BL125" s="211">
        <v>-99</v>
      </c>
      <c r="BM125" s="211">
        <v>-99</v>
      </c>
      <c r="BN125" s="191">
        <f t="shared" si="11"/>
        <v>6.8845822499999931E-2</v>
      </c>
      <c r="BO125" s="191">
        <f t="shared" si="12"/>
        <v>7.7859239999999996E-2</v>
      </c>
      <c r="BP125" s="191">
        <f t="shared" si="17"/>
        <v>4.6222122500000129E-2</v>
      </c>
      <c r="BQ125" s="171">
        <f t="shared" si="13"/>
        <v>7.3499999999999996E-2</v>
      </c>
      <c r="BR125" s="171">
        <f t="shared" si="14"/>
        <v>7.8E-2</v>
      </c>
      <c r="BS125" s="171">
        <f t="shared" si="15"/>
        <v>6.7699999999999996E-2</v>
      </c>
      <c r="BT125" s="171">
        <f t="shared" si="16"/>
        <v>7.6399999999999996E-2</v>
      </c>
      <c r="BU125" s="171">
        <f t="shared" si="18"/>
        <v>4.5700000000000005E-2</v>
      </c>
    </row>
    <row r="126" spans="1:73" x14ac:dyDescent="0.3">
      <c r="A126" s="209">
        <v>35096</v>
      </c>
      <c r="B126" s="187">
        <v>199602</v>
      </c>
      <c r="C126" s="176">
        <v>7.84</v>
      </c>
      <c r="D126" s="176">
        <v>7.8</v>
      </c>
      <c r="E126" s="176">
        <v>4.88</v>
      </c>
      <c r="F126" s="177">
        <v>88.1</v>
      </c>
      <c r="G126" s="210">
        <v>2.2154316271963292E-2</v>
      </c>
      <c r="H126" s="179">
        <v>7.3</v>
      </c>
      <c r="I126" s="179">
        <v>8.08</v>
      </c>
      <c r="J126" s="176"/>
      <c r="K126" s="182">
        <v>7.4999999999999997E-2</v>
      </c>
      <c r="L126" s="182">
        <v>0.06</v>
      </c>
      <c r="N126" s="182">
        <v>0.08</v>
      </c>
      <c r="O126" s="182">
        <v>4.7500000000000001E-2</v>
      </c>
      <c r="Q126" s="182">
        <v>7.4999999999999997E-2</v>
      </c>
      <c r="R126" s="182">
        <v>8.5000000000000006E-2</v>
      </c>
      <c r="S126" s="182">
        <v>4.4999999999999998E-2</v>
      </c>
      <c r="T126" s="182">
        <v>5.2499999999999998E-2</v>
      </c>
      <c r="U126" s="182"/>
      <c r="V126" s="194">
        <v>0.08</v>
      </c>
      <c r="W126" s="194">
        <v>0.09</v>
      </c>
      <c r="X126" s="194">
        <v>0.05</v>
      </c>
      <c r="Y126" s="194">
        <v>5.6000000000000001E-2</v>
      </c>
      <c r="Z126" s="194"/>
      <c r="AA126" s="195">
        <v>8.0121502500000052E-2</v>
      </c>
      <c r="AB126" s="195">
        <v>9.0072382499999826E-2</v>
      </c>
      <c r="AC126" s="195">
        <v>4.9875694084692709E-2</v>
      </c>
      <c r="AD126" s="195">
        <v>5.5594767957653661E-2</v>
      </c>
      <c r="AE126" s="195"/>
      <c r="AF126" s="195">
        <v>1.4404471208220637E-2</v>
      </c>
      <c r="AG126" s="195">
        <v>1.6330894955576936E-2</v>
      </c>
      <c r="AI126" s="182">
        <v>7.4332249999999878E-2</v>
      </c>
      <c r="AJ126" s="182">
        <v>8.2432159999999977E-2</v>
      </c>
      <c r="AK126" s="182">
        <v>4.9395359999999888E-2</v>
      </c>
      <c r="AM126" s="27" t="s">
        <v>135</v>
      </c>
      <c r="AN126" s="7" t="b">
        <f t="shared" si="10"/>
        <v>0</v>
      </c>
      <c r="AP126" s="211">
        <v>-99</v>
      </c>
      <c r="AQ126" s="211">
        <v>-99</v>
      </c>
      <c r="AS126" s="211">
        <v>-99</v>
      </c>
      <c r="AT126" s="211">
        <v>-99</v>
      </c>
      <c r="AU126" s="211">
        <v>-99</v>
      </c>
      <c r="AV126" s="211">
        <v>-99</v>
      </c>
      <c r="AW126" s="211">
        <v>-99</v>
      </c>
      <c r="AX126" s="211">
        <v>-99</v>
      </c>
      <c r="AZ126" s="211">
        <v>-99</v>
      </c>
      <c r="BA126" s="211">
        <v>-99</v>
      </c>
      <c r="BB126" s="211">
        <v>-99</v>
      </c>
      <c r="BC126" s="211">
        <v>-99</v>
      </c>
      <c r="BD126" s="211">
        <v>-99</v>
      </c>
      <c r="BE126" s="211">
        <v>-99</v>
      </c>
      <c r="BG126" s="211">
        <v>-99</v>
      </c>
      <c r="BH126" s="211">
        <v>-99</v>
      </c>
      <c r="BI126" s="211">
        <v>-99</v>
      </c>
      <c r="BJ126" s="211">
        <v>-99</v>
      </c>
      <c r="BK126" s="211">
        <v>-99</v>
      </c>
      <c r="BL126" s="211">
        <v>-99</v>
      </c>
      <c r="BM126" s="211">
        <v>-99</v>
      </c>
      <c r="BN126" s="191">
        <f t="shared" si="11"/>
        <v>7.4332249999999878E-2</v>
      </c>
      <c r="BO126" s="191">
        <f t="shared" si="12"/>
        <v>8.2432159999999977E-2</v>
      </c>
      <c r="BP126" s="191">
        <f t="shared" si="17"/>
        <v>4.9395359999999888E-2</v>
      </c>
      <c r="BQ126" s="171">
        <f t="shared" si="13"/>
        <v>7.8399999999999997E-2</v>
      </c>
      <c r="BR126" s="171">
        <f t="shared" si="14"/>
        <v>7.8E-2</v>
      </c>
      <c r="BS126" s="171">
        <f t="shared" si="15"/>
        <v>7.2999999999999995E-2</v>
      </c>
      <c r="BT126" s="171">
        <f t="shared" si="16"/>
        <v>8.0799999999999997E-2</v>
      </c>
      <c r="BU126" s="171">
        <f t="shared" si="18"/>
        <v>4.8799999999999996E-2</v>
      </c>
    </row>
    <row r="127" spans="1:73" x14ac:dyDescent="0.3">
      <c r="A127" s="209">
        <v>35125</v>
      </c>
      <c r="B127" s="187">
        <v>199603</v>
      </c>
      <c r="C127" s="176">
        <v>7.94</v>
      </c>
      <c r="D127" s="176">
        <v>8.5</v>
      </c>
      <c r="E127" s="176">
        <v>4.9000000000000004</v>
      </c>
      <c r="F127" s="177">
        <v>88.5</v>
      </c>
      <c r="G127" s="210">
        <v>2.1341463414634276E-2</v>
      </c>
      <c r="H127" s="179">
        <v>7.41</v>
      </c>
      <c r="I127" s="179">
        <v>8.14</v>
      </c>
      <c r="J127" s="176"/>
      <c r="K127" s="182">
        <v>7.4999999999999997E-2</v>
      </c>
      <c r="L127" s="182">
        <v>5.5E-2</v>
      </c>
      <c r="N127" s="182">
        <v>0.08</v>
      </c>
      <c r="O127" s="182">
        <v>0.05</v>
      </c>
      <c r="Q127" s="182">
        <v>7.4999999999999997E-2</v>
      </c>
      <c r="R127" s="182">
        <v>8.7499999999999994E-2</v>
      </c>
      <c r="S127" s="182">
        <v>4.4999999999999998E-2</v>
      </c>
      <c r="T127" s="182">
        <v>5.5E-2</v>
      </c>
      <c r="U127" s="182"/>
      <c r="V127" s="194">
        <v>7.8E-2</v>
      </c>
      <c r="W127" s="194">
        <v>9.0999999999999998E-2</v>
      </c>
      <c r="X127" s="194">
        <v>0.05</v>
      </c>
      <c r="Y127" s="194">
        <v>5.8000000000000003E-2</v>
      </c>
      <c r="Z127" s="194"/>
      <c r="AA127" s="195">
        <v>7.7845822499999939E-2</v>
      </c>
      <c r="AB127" s="195">
        <v>9.1365948750000037E-2</v>
      </c>
      <c r="AC127" s="195">
        <v>4.9871193209800942E-2</v>
      </c>
      <c r="AD127" s="195">
        <v>5.7897587145099724E-2</v>
      </c>
      <c r="AE127" s="195"/>
      <c r="AF127" s="195">
        <v>1.3322886403174583E-2</v>
      </c>
      <c r="AG127" s="195">
        <v>1.5818337243409308E-2</v>
      </c>
      <c r="AI127" s="182">
        <v>7.5472702500000155E-2</v>
      </c>
      <c r="AJ127" s="182">
        <v>8.3056489999999927E-2</v>
      </c>
      <c r="AK127" s="182">
        <v>4.9600249999999901E-2</v>
      </c>
      <c r="AM127" s="27" t="s">
        <v>135</v>
      </c>
      <c r="AN127" s="7" t="b">
        <f t="shared" si="10"/>
        <v>0</v>
      </c>
      <c r="AP127" s="211">
        <v>-99</v>
      </c>
      <c r="AQ127" s="211">
        <v>-99</v>
      </c>
      <c r="AS127" s="211">
        <v>-99</v>
      </c>
      <c r="AT127" s="211">
        <v>-99</v>
      </c>
      <c r="AU127" s="211">
        <v>-99</v>
      </c>
      <c r="AV127" s="211">
        <v>-99</v>
      </c>
      <c r="AW127" s="211">
        <v>-99</v>
      </c>
      <c r="AX127" s="211">
        <v>-99</v>
      </c>
      <c r="AZ127" s="211">
        <v>-99</v>
      </c>
      <c r="BA127" s="211">
        <v>-99</v>
      </c>
      <c r="BB127" s="211">
        <v>-99</v>
      </c>
      <c r="BC127" s="211">
        <v>-99</v>
      </c>
      <c r="BD127" s="211">
        <v>-99</v>
      </c>
      <c r="BE127" s="211">
        <v>-99</v>
      </c>
      <c r="BG127" s="211">
        <v>-99</v>
      </c>
      <c r="BH127" s="211">
        <v>-99</v>
      </c>
      <c r="BI127" s="211">
        <v>-99</v>
      </c>
      <c r="BJ127" s="211">
        <v>-99</v>
      </c>
      <c r="BK127" s="211">
        <v>-99</v>
      </c>
      <c r="BL127" s="211">
        <v>-99</v>
      </c>
      <c r="BM127" s="211">
        <v>-99</v>
      </c>
      <c r="BN127" s="191">
        <f t="shared" si="11"/>
        <v>7.5472702500000155E-2</v>
      </c>
      <c r="BO127" s="191">
        <f t="shared" si="12"/>
        <v>8.3056489999999927E-2</v>
      </c>
      <c r="BP127" s="191">
        <f t="shared" si="17"/>
        <v>4.9600249999999901E-2</v>
      </c>
      <c r="BQ127" s="171">
        <f t="shared" si="13"/>
        <v>7.9399999999999998E-2</v>
      </c>
      <c r="BR127" s="171">
        <f t="shared" si="14"/>
        <v>8.5000000000000006E-2</v>
      </c>
      <c r="BS127" s="171">
        <f t="shared" si="15"/>
        <v>7.4099999999999999E-2</v>
      </c>
      <c r="BT127" s="171">
        <f t="shared" si="16"/>
        <v>8.14E-2</v>
      </c>
      <c r="BU127" s="171">
        <f t="shared" si="18"/>
        <v>4.9000000000000002E-2</v>
      </c>
    </row>
    <row r="128" spans="1:73" x14ac:dyDescent="0.3">
      <c r="A128" s="209">
        <v>35156</v>
      </c>
      <c r="B128" s="187">
        <v>199604</v>
      </c>
      <c r="C128" s="176">
        <v>8.07</v>
      </c>
      <c r="D128" s="176">
        <v>8.5</v>
      </c>
      <c r="E128" s="176">
        <v>4.99</v>
      </c>
      <c r="F128" s="177">
        <v>88.7</v>
      </c>
      <c r="G128" s="210">
        <v>1.9771863117870714E-2</v>
      </c>
      <c r="H128" s="179">
        <v>7.51</v>
      </c>
      <c r="I128" s="179">
        <v>8.26</v>
      </c>
      <c r="J128" s="176"/>
      <c r="K128" s="182">
        <v>0.08</v>
      </c>
      <c r="L128" s="182">
        <v>5.5E-2</v>
      </c>
      <c r="N128" s="182">
        <v>8.5000000000000006E-2</v>
      </c>
      <c r="O128" s="182">
        <v>5.2499999999999998E-2</v>
      </c>
      <c r="Q128" s="182">
        <v>0.08</v>
      </c>
      <c r="R128" s="182">
        <v>9.2499999999999999E-2</v>
      </c>
      <c r="S128" s="182">
        <v>0.05</v>
      </c>
      <c r="T128" s="182">
        <v>5.7500000000000002E-2</v>
      </c>
      <c r="U128" s="182"/>
      <c r="V128" s="194">
        <v>8.3000000000000004E-2</v>
      </c>
      <c r="W128" s="194">
        <v>9.5000000000000001E-2</v>
      </c>
      <c r="X128" s="194">
        <v>5.3999999999999999E-2</v>
      </c>
      <c r="Y128" s="194">
        <v>6.0999999999999999E-2</v>
      </c>
      <c r="Z128" s="194"/>
      <c r="AA128" s="195">
        <v>8.3332249999999886E-2</v>
      </c>
      <c r="AB128" s="195">
        <v>9.5482115000000034E-2</v>
      </c>
      <c r="AC128" s="195">
        <v>5.3541696449055647E-2</v>
      </c>
      <c r="AD128" s="195">
        <v>6.0822191775472011E-2</v>
      </c>
      <c r="AE128" s="195"/>
      <c r="AF128" s="195">
        <v>1.413828880781498E-2</v>
      </c>
      <c r="AG128" s="195">
        <v>1.6336349057007649E-2</v>
      </c>
      <c r="AI128" s="182">
        <v>7.6510002499999841E-2</v>
      </c>
      <c r="AJ128" s="182">
        <v>8.4305689999999878E-2</v>
      </c>
      <c r="AK128" s="182">
        <v>5.0522502500000011E-2</v>
      </c>
      <c r="AM128" s="27" t="s">
        <v>135</v>
      </c>
      <c r="AN128" s="7" t="b">
        <f t="shared" si="10"/>
        <v>0</v>
      </c>
      <c r="AP128" s="211">
        <v>-99</v>
      </c>
      <c r="AQ128" s="211">
        <v>-99</v>
      </c>
      <c r="AS128" s="211">
        <v>-99</v>
      </c>
      <c r="AT128" s="211">
        <v>-99</v>
      </c>
      <c r="AU128" s="211">
        <v>-99</v>
      </c>
      <c r="AV128" s="211">
        <v>-99</v>
      </c>
      <c r="AW128" s="211">
        <v>-99</v>
      </c>
      <c r="AX128" s="211">
        <v>-99</v>
      </c>
      <c r="AZ128" s="211">
        <v>-99</v>
      </c>
      <c r="BA128" s="211">
        <v>-99</v>
      </c>
      <c r="BB128" s="211">
        <v>-99</v>
      </c>
      <c r="BC128" s="211">
        <v>-99</v>
      </c>
      <c r="BD128" s="211">
        <v>-99</v>
      </c>
      <c r="BE128" s="211">
        <v>-99</v>
      </c>
      <c r="BG128" s="211">
        <v>-99</v>
      </c>
      <c r="BH128" s="211">
        <v>-99</v>
      </c>
      <c r="BI128" s="211">
        <v>-99</v>
      </c>
      <c r="BJ128" s="211">
        <v>-99</v>
      </c>
      <c r="BK128" s="211">
        <v>-99</v>
      </c>
      <c r="BL128" s="211">
        <v>-99</v>
      </c>
      <c r="BM128" s="211">
        <v>-99</v>
      </c>
      <c r="BN128" s="191">
        <f t="shared" si="11"/>
        <v>7.6510002499999841E-2</v>
      </c>
      <c r="BO128" s="191">
        <f t="shared" si="12"/>
        <v>8.4305689999999878E-2</v>
      </c>
      <c r="BP128" s="191">
        <f t="shared" si="17"/>
        <v>5.0522502500000011E-2</v>
      </c>
      <c r="BQ128" s="171">
        <f t="shared" si="13"/>
        <v>8.0700000000000008E-2</v>
      </c>
      <c r="BR128" s="171">
        <f t="shared" si="14"/>
        <v>8.5000000000000006E-2</v>
      </c>
      <c r="BS128" s="171">
        <f t="shared" si="15"/>
        <v>7.51E-2</v>
      </c>
      <c r="BT128" s="171">
        <f t="shared" si="16"/>
        <v>8.2599999999999993E-2</v>
      </c>
      <c r="BU128" s="171">
        <f t="shared" si="18"/>
        <v>4.99E-2</v>
      </c>
    </row>
    <row r="129" spans="1:73" x14ac:dyDescent="0.3">
      <c r="A129" s="209">
        <v>35186</v>
      </c>
      <c r="B129" s="187">
        <v>199605</v>
      </c>
      <c r="C129" s="176">
        <v>7.92</v>
      </c>
      <c r="D129" s="176">
        <v>8.5</v>
      </c>
      <c r="E129" s="176">
        <v>4.8</v>
      </c>
      <c r="F129" s="177">
        <v>89</v>
      </c>
      <c r="G129" s="210">
        <v>1.8968133535660181E-2</v>
      </c>
      <c r="H129" s="179">
        <v>7.4</v>
      </c>
      <c r="I129" s="179">
        <v>8.09</v>
      </c>
      <c r="J129" s="176"/>
      <c r="K129" s="182">
        <v>0.08</v>
      </c>
      <c r="L129" s="182">
        <v>0.06</v>
      </c>
      <c r="N129" s="182">
        <v>8.5000000000000006E-2</v>
      </c>
      <c r="O129" s="182">
        <v>5.2499999999999998E-2</v>
      </c>
      <c r="Q129" s="182">
        <v>0.08</v>
      </c>
      <c r="R129" s="182">
        <v>9.2499999999999999E-2</v>
      </c>
      <c r="S129" s="182">
        <v>0.05</v>
      </c>
      <c r="T129" s="182">
        <v>5.7500000000000002E-2</v>
      </c>
      <c r="U129" s="182"/>
      <c r="V129" s="194">
        <v>8.4000000000000005E-2</v>
      </c>
      <c r="W129" s="194">
        <v>9.6000000000000002E-2</v>
      </c>
      <c r="X129" s="194">
        <v>5.3999999999999999E-2</v>
      </c>
      <c r="Y129" s="194">
        <v>6.0999999999999999E-2</v>
      </c>
      <c r="Z129" s="194"/>
      <c r="AA129" s="195">
        <v>8.4472702500000163E-2</v>
      </c>
      <c r="AB129" s="195">
        <v>9.5848383749999821E-2</v>
      </c>
      <c r="AC129" s="195">
        <v>5.407131125063952E-2</v>
      </c>
      <c r="AD129" s="195">
        <v>6.0864719374680097E-2</v>
      </c>
      <c r="AE129" s="195"/>
      <c r="AF129" s="195">
        <v>1.4420936669498174E-2</v>
      </c>
      <c r="AG129" s="195">
        <v>1.648827778717199E-2</v>
      </c>
      <c r="AI129" s="182">
        <v>7.5368999999999797E-2</v>
      </c>
      <c r="AJ129" s="182">
        <v>8.2536202500000266E-2</v>
      </c>
      <c r="AK129" s="182">
        <v>4.8575999999999953E-2</v>
      </c>
      <c r="AM129" s="27" t="s">
        <v>135</v>
      </c>
      <c r="AN129" s="7" t="b">
        <f t="shared" si="10"/>
        <v>0</v>
      </c>
      <c r="AP129" s="211">
        <v>-99</v>
      </c>
      <c r="AQ129" s="211">
        <v>-99</v>
      </c>
      <c r="AS129" s="211">
        <v>-99</v>
      </c>
      <c r="AT129" s="211">
        <v>-99</v>
      </c>
      <c r="AU129" s="211">
        <v>-99</v>
      </c>
      <c r="AV129" s="211">
        <v>-99</v>
      </c>
      <c r="AW129" s="211">
        <v>-99</v>
      </c>
      <c r="AX129" s="211">
        <v>-99</v>
      </c>
      <c r="AZ129" s="211">
        <v>-99</v>
      </c>
      <c r="BA129" s="211">
        <v>-99</v>
      </c>
      <c r="BB129" s="211">
        <v>-99</v>
      </c>
      <c r="BC129" s="211">
        <v>-99</v>
      </c>
      <c r="BD129" s="211">
        <v>-99</v>
      </c>
      <c r="BE129" s="211">
        <v>-99</v>
      </c>
      <c r="BG129" s="211">
        <v>-99</v>
      </c>
      <c r="BH129" s="211">
        <v>-99</v>
      </c>
      <c r="BI129" s="211">
        <v>-99</v>
      </c>
      <c r="BJ129" s="211">
        <v>-99</v>
      </c>
      <c r="BK129" s="211">
        <v>-99</v>
      </c>
      <c r="BL129" s="211">
        <v>-99</v>
      </c>
      <c r="BM129" s="211">
        <v>-99</v>
      </c>
      <c r="BN129" s="191">
        <f t="shared" si="11"/>
        <v>7.5368999999999797E-2</v>
      </c>
      <c r="BO129" s="191">
        <f t="shared" si="12"/>
        <v>8.2536202500000266E-2</v>
      </c>
      <c r="BP129" s="191">
        <f t="shared" si="17"/>
        <v>4.8575999999999953E-2</v>
      </c>
      <c r="BQ129" s="171">
        <f t="shared" si="13"/>
        <v>7.9199999999999993E-2</v>
      </c>
      <c r="BR129" s="171">
        <f t="shared" si="14"/>
        <v>8.5000000000000006E-2</v>
      </c>
      <c r="BS129" s="171">
        <f t="shared" si="15"/>
        <v>7.400000000000001E-2</v>
      </c>
      <c r="BT129" s="171">
        <f t="shared" si="16"/>
        <v>8.09E-2</v>
      </c>
      <c r="BU129" s="171">
        <f t="shared" si="18"/>
        <v>4.8000000000000001E-2</v>
      </c>
    </row>
    <row r="130" spans="1:73" x14ac:dyDescent="0.3">
      <c r="A130" s="209">
        <v>35217</v>
      </c>
      <c r="B130" s="187">
        <v>199606</v>
      </c>
      <c r="C130" s="176">
        <v>7.98</v>
      </c>
      <c r="D130" s="176">
        <v>8.5</v>
      </c>
      <c r="E130" s="176">
        <v>4.8099999999999996</v>
      </c>
      <c r="F130" s="177">
        <v>89</v>
      </c>
      <c r="G130" s="210">
        <v>1.8168054504163589E-2</v>
      </c>
      <c r="H130" s="179">
        <v>7.44</v>
      </c>
      <c r="I130" s="179">
        <v>8.17</v>
      </c>
      <c r="J130" s="176"/>
      <c r="K130" s="182">
        <v>8.5000000000000006E-2</v>
      </c>
      <c r="L130" s="182">
        <v>6.5000000000000002E-2</v>
      </c>
      <c r="N130" s="182">
        <v>8.7499999999999994E-2</v>
      </c>
      <c r="O130" s="182">
        <v>5.2499999999999998E-2</v>
      </c>
      <c r="Q130" s="182">
        <v>8.2500000000000004E-2</v>
      </c>
      <c r="R130" s="182">
        <v>9.2499999999999999E-2</v>
      </c>
      <c r="S130" s="182">
        <v>0.05</v>
      </c>
      <c r="T130" s="182">
        <v>5.7500000000000002E-2</v>
      </c>
      <c r="U130" s="182"/>
      <c r="V130" s="194">
        <v>8.6000000000000007E-2</v>
      </c>
      <c r="W130" s="194">
        <v>9.7000000000000003E-2</v>
      </c>
      <c r="X130" s="194">
        <v>5.5E-2</v>
      </c>
      <c r="Y130" s="194">
        <v>6.2E-2</v>
      </c>
      <c r="Z130" s="194"/>
      <c r="AA130" s="195">
        <v>8.5510002499999849E-2</v>
      </c>
      <c r="AB130" s="195">
        <v>9.7203533749999904E-2</v>
      </c>
      <c r="AC130" s="195">
        <v>5.4850722443304301E-2</v>
      </c>
      <c r="AD130" s="195">
        <v>6.1858392528347871E-2</v>
      </c>
      <c r="AE130" s="195"/>
      <c r="AF130" s="195">
        <v>1.4532520765441093E-2</v>
      </c>
      <c r="AG130" s="195">
        <v>1.6643057808062967E-2</v>
      </c>
      <c r="AI130" s="182">
        <v>7.5783839999999714E-2</v>
      </c>
      <c r="AJ130" s="182">
        <v>8.3368722500000159E-2</v>
      </c>
      <c r="AK130" s="182">
        <v>4.8678402499999773E-2</v>
      </c>
      <c r="AM130" s="27" t="s">
        <v>135</v>
      </c>
      <c r="AN130" s="7" t="b">
        <f t="shared" si="10"/>
        <v>0</v>
      </c>
      <c r="AP130" s="211">
        <v>-99</v>
      </c>
      <c r="AQ130" s="211">
        <v>-99</v>
      </c>
      <c r="AS130" s="211">
        <v>-99</v>
      </c>
      <c r="AT130" s="211">
        <v>-99</v>
      </c>
      <c r="AU130" s="211">
        <v>-99</v>
      </c>
      <c r="AV130" s="211">
        <v>-99</v>
      </c>
      <c r="AW130" s="211">
        <v>-99</v>
      </c>
      <c r="AX130" s="211">
        <v>-99</v>
      </c>
      <c r="AZ130" s="211">
        <v>-99</v>
      </c>
      <c r="BA130" s="211">
        <v>-99</v>
      </c>
      <c r="BB130" s="211">
        <v>-99</v>
      </c>
      <c r="BC130" s="211">
        <v>-99</v>
      </c>
      <c r="BD130" s="211">
        <v>-99</v>
      </c>
      <c r="BE130" s="211">
        <v>-99</v>
      </c>
      <c r="BG130" s="211">
        <v>-99</v>
      </c>
      <c r="BH130" s="211">
        <v>-99</v>
      </c>
      <c r="BI130" s="211">
        <v>-99</v>
      </c>
      <c r="BJ130" s="211">
        <v>-99</v>
      </c>
      <c r="BK130" s="211">
        <v>-99</v>
      </c>
      <c r="BL130" s="211">
        <v>-99</v>
      </c>
      <c r="BM130" s="211">
        <v>-99</v>
      </c>
      <c r="BN130" s="191">
        <f t="shared" si="11"/>
        <v>7.5783839999999714E-2</v>
      </c>
      <c r="BO130" s="191">
        <f t="shared" si="12"/>
        <v>8.3368722500000159E-2</v>
      </c>
      <c r="BP130" s="191">
        <f t="shared" si="17"/>
        <v>4.8678402499999773E-2</v>
      </c>
      <c r="BQ130" s="171">
        <f t="shared" si="13"/>
        <v>7.980000000000001E-2</v>
      </c>
      <c r="BR130" s="171">
        <f t="shared" si="14"/>
        <v>8.5000000000000006E-2</v>
      </c>
      <c r="BS130" s="171">
        <f t="shared" si="15"/>
        <v>7.4400000000000008E-2</v>
      </c>
      <c r="BT130" s="171">
        <f t="shared" si="16"/>
        <v>8.1699999999999995E-2</v>
      </c>
      <c r="BU130" s="171">
        <f t="shared" si="18"/>
        <v>4.8099999999999997E-2</v>
      </c>
    </row>
    <row r="131" spans="1:73" x14ac:dyDescent="0.3">
      <c r="A131" s="209">
        <v>35247</v>
      </c>
      <c r="B131" s="187">
        <v>199607</v>
      </c>
      <c r="C131" s="176">
        <v>7.86</v>
      </c>
      <c r="D131" s="176">
        <v>8.5</v>
      </c>
      <c r="E131" s="176">
        <v>4.82</v>
      </c>
      <c r="F131" s="177">
        <v>89</v>
      </c>
      <c r="G131" s="210">
        <v>1.7384731670445852E-2</v>
      </c>
      <c r="H131" s="179">
        <v>7.28</v>
      </c>
      <c r="I131" s="179">
        <v>8.06</v>
      </c>
      <c r="J131" s="176"/>
      <c r="K131" s="182">
        <v>0.08</v>
      </c>
      <c r="L131" s="182">
        <v>6.5000000000000002E-2</v>
      </c>
      <c r="N131" s="182">
        <v>8.5000000000000006E-2</v>
      </c>
      <c r="O131" s="182">
        <v>0.05</v>
      </c>
      <c r="Q131" s="182">
        <v>0.08</v>
      </c>
      <c r="R131" s="182">
        <v>0.09</v>
      </c>
      <c r="S131" s="182">
        <v>0.05</v>
      </c>
      <c r="T131" s="182">
        <v>5.5E-2</v>
      </c>
      <c r="U131" s="182"/>
      <c r="V131" s="194">
        <v>8.4000000000000005E-2</v>
      </c>
      <c r="W131" s="194">
        <v>9.5000000000000001E-2</v>
      </c>
      <c r="X131" s="194">
        <v>5.2999999999999999E-2</v>
      </c>
      <c r="Y131" s="194">
        <v>0.06</v>
      </c>
      <c r="Z131" s="194"/>
      <c r="AA131" s="195">
        <v>8.4368999999999805E-2</v>
      </c>
      <c r="AB131" s="195">
        <v>9.5119803750000509E-2</v>
      </c>
      <c r="AC131" s="195">
        <v>5.3357802189893278E-2</v>
      </c>
      <c r="AD131" s="195">
        <v>5.9685098905053295E-2</v>
      </c>
      <c r="AE131" s="195"/>
      <c r="AF131" s="195">
        <v>1.4720163341286008E-2</v>
      </c>
      <c r="AG131" s="195">
        <v>1.6719450373304801E-2</v>
      </c>
      <c r="AI131" s="182">
        <v>7.4124960000000018E-2</v>
      </c>
      <c r="AJ131" s="182">
        <v>8.2224089999999972E-2</v>
      </c>
      <c r="AK131" s="182">
        <v>4.8780810000000008E-2</v>
      </c>
      <c r="AM131" s="27" t="s">
        <v>135</v>
      </c>
      <c r="AN131" s="7" t="b">
        <f t="shared" si="10"/>
        <v>0</v>
      </c>
      <c r="AP131" s="211">
        <v>-99</v>
      </c>
      <c r="AQ131" s="211">
        <v>-99</v>
      </c>
      <c r="AS131" s="211">
        <v>-99</v>
      </c>
      <c r="AT131" s="211">
        <v>-99</v>
      </c>
      <c r="AU131" s="211">
        <v>-99</v>
      </c>
      <c r="AV131" s="211">
        <v>-99</v>
      </c>
      <c r="AW131" s="211">
        <v>-99</v>
      </c>
      <c r="AX131" s="211">
        <v>-99</v>
      </c>
      <c r="AZ131" s="211">
        <v>-99</v>
      </c>
      <c r="BA131" s="211">
        <v>-99</v>
      </c>
      <c r="BB131" s="211">
        <v>-99</v>
      </c>
      <c r="BC131" s="211">
        <v>-99</v>
      </c>
      <c r="BD131" s="211">
        <v>-99</v>
      </c>
      <c r="BE131" s="211">
        <v>-99</v>
      </c>
      <c r="BG131" s="211">
        <v>-99</v>
      </c>
      <c r="BH131" s="211">
        <v>-99</v>
      </c>
      <c r="BI131" s="211">
        <v>-99</v>
      </c>
      <c r="BJ131" s="211">
        <v>-99</v>
      </c>
      <c r="BK131" s="211">
        <v>-99</v>
      </c>
      <c r="BL131" s="211">
        <v>-99</v>
      </c>
      <c r="BM131" s="211">
        <v>-99</v>
      </c>
      <c r="BN131" s="191">
        <f t="shared" si="11"/>
        <v>7.4124960000000018E-2</v>
      </c>
      <c r="BO131" s="191">
        <f t="shared" si="12"/>
        <v>8.2224089999999972E-2</v>
      </c>
      <c r="BP131" s="191">
        <f t="shared" si="17"/>
        <v>4.8780810000000008E-2</v>
      </c>
      <c r="BQ131" s="171">
        <f t="shared" si="13"/>
        <v>7.8600000000000003E-2</v>
      </c>
      <c r="BR131" s="171">
        <f t="shared" si="14"/>
        <v>8.5000000000000006E-2</v>
      </c>
      <c r="BS131" s="171">
        <f t="shared" si="15"/>
        <v>7.2800000000000004E-2</v>
      </c>
      <c r="BT131" s="171">
        <f t="shared" si="16"/>
        <v>8.0600000000000005E-2</v>
      </c>
      <c r="BU131" s="171">
        <f t="shared" si="18"/>
        <v>4.82E-2</v>
      </c>
    </row>
    <row r="132" spans="1:73" x14ac:dyDescent="0.3">
      <c r="A132" s="209">
        <v>35278</v>
      </c>
      <c r="B132" s="187">
        <v>199608</v>
      </c>
      <c r="C132" s="176">
        <v>7.6</v>
      </c>
      <c r="D132" s="176">
        <v>7.95</v>
      </c>
      <c r="E132" s="176">
        <v>4.74</v>
      </c>
      <c r="F132" s="177">
        <v>89</v>
      </c>
      <c r="G132" s="210">
        <v>1.6591251885369696E-2</v>
      </c>
      <c r="H132" s="179">
        <v>6.96</v>
      </c>
      <c r="I132" s="179">
        <v>7.83</v>
      </c>
      <c r="J132" s="176"/>
      <c r="K132" s="182">
        <v>0.08</v>
      </c>
      <c r="L132" s="182">
        <v>6.5000000000000002E-2</v>
      </c>
      <c r="N132" s="182">
        <v>8.7499999999999994E-2</v>
      </c>
      <c r="O132" s="182">
        <v>0.05</v>
      </c>
      <c r="Q132" s="182">
        <v>0.08</v>
      </c>
      <c r="R132" s="182">
        <v>9.2499999999999999E-2</v>
      </c>
      <c r="S132" s="182">
        <v>0.05</v>
      </c>
      <c r="T132" s="182">
        <v>5.5E-2</v>
      </c>
      <c r="U132" s="182"/>
      <c r="V132" s="194">
        <v>8.5000000000000006E-2</v>
      </c>
      <c r="W132" s="194">
        <v>9.6000000000000002E-2</v>
      </c>
      <c r="X132" s="194">
        <v>5.2999999999999999E-2</v>
      </c>
      <c r="Y132" s="194">
        <v>0.06</v>
      </c>
      <c r="Z132" s="194"/>
      <c r="AA132" s="195">
        <v>8.4783839999999722E-2</v>
      </c>
      <c r="AB132" s="195">
        <v>9.6161163750000389E-2</v>
      </c>
      <c r="AC132" s="195">
        <v>5.3249643701995815E-2</v>
      </c>
      <c r="AD132" s="195">
        <v>5.9892781899001754E-2</v>
      </c>
      <c r="AE132" s="195"/>
      <c r="AF132" s="195">
        <v>1.4969953460969854E-2</v>
      </c>
      <c r="AG132" s="195">
        <v>1.7109457895362223E-2</v>
      </c>
      <c r="AI132" s="182">
        <v>7.0811039999999936E-2</v>
      </c>
      <c r="AJ132" s="182">
        <v>7.9832722499999953E-2</v>
      </c>
      <c r="AK132" s="182">
        <v>4.7961690000000168E-2</v>
      </c>
      <c r="AM132" s="27" t="s">
        <v>135</v>
      </c>
      <c r="AN132" s="7" t="b">
        <f t="shared" si="10"/>
        <v>0</v>
      </c>
      <c r="AP132" s="211">
        <v>-99</v>
      </c>
      <c r="AQ132" s="211">
        <v>-99</v>
      </c>
      <c r="AS132" s="211">
        <v>-99</v>
      </c>
      <c r="AT132" s="211">
        <v>-99</v>
      </c>
      <c r="AU132" s="211">
        <v>-99</v>
      </c>
      <c r="AV132" s="211">
        <v>-99</v>
      </c>
      <c r="AW132" s="211">
        <v>-99</v>
      </c>
      <c r="AX132" s="211">
        <v>-99</v>
      </c>
      <c r="AZ132" s="211">
        <v>-99</v>
      </c>
      <c r="BA132" s="211">
        <v>-99</v>
      </c>
      <c r="BB132" s="211">
        <v>-99</v>
      </c>
      <c r="BC132" s="211">
        <v>-99</v>
      </c>
      <c r="BD132" s="211">
        <v>-99</v>
      </c>
      <c r="BE132" s="211">
        <v>-99</v>
      </c>
      <c r="BG132" s="211">
        <v>-99</v>
      </c>
      <c r="BH132" s="211">
        <v>-99</v>
      </c>
      <c r="BI132" s="211">
        <v>-99</v>
      </c>
      <c r="BJ132" s="211">
        <v>-99</v>
      </c>
      <c r="BK132" s="211">
        <v>-99</v>
      </c>
      <c r="BL132" s="211">
        <v>-99</v>
      </c>
      <c r="BM132" s="211">
        <v>-99</v>
      </c>
      <c r="BN132" s="191">
        <f t="shared" si="11"/>
        <v>7.0811039999999936E-2</v>
      </c>
      <c r="BO132" s="191">
        <f t="shared" si="12"/>
        <v>7.9832722499999953E-2</v>
      </c>
      <c r="BP132" s="191">
        <f t="shared" si="17"/>
        <v>4.7961690000000168E-2</v>
      </c>
      <c r="BQ132" s="171">
        <f t="shared" si="13"/>
        <v>7.5999999999999998E-2</v>
      </c>
      <c r="BR132" s="171">
        <f t="shared" si="14"/>
        <v>7.9500000000000001E-2</v>
      </c>
      <c r="BS132" s="171">
        <f t="shared" si="15"/>
        <v>6.9599999999999995E-2</v>
      </c>
      <c r="BT132" s="171">
        <f t="shared" si="16"/>
        <v>7.8299999999999995E-2</v>
      </c>
      <c r="BU132" s="171">
        <f t="shared" si="18"/>
        <v>4.7400000000000005E-2</v>
      </c>
    </row>
    <row r="133" spans="1:73" x14ac:dyDescent="0.3">
      <c r="A133" s="209">
        <v>35309</v>
      </c>
      <c r="B133" s="187">
        <v>199609</v>
      </c>
      <c r="C133" s="176">
        <v>7.48</v>
      </c>
      <c r="D133" s="176">
        <v>7.95</v>
      </c>
      <c r="E133" s="176">
        <v>4.58</v>
      </c>
      <c r="F133" s="177">
        <v>89.1</v>
      </c>
      <c r="G133" s="210">
        <v>1.5813253012048056E-2</v>
      </c>
      <c r="H133" s="179">
        <v>6.73</v>
      </c>
      <c r="I133" s="179">
        <v>7.75</v>
      </c>
      <c r="J133" s="176"/>
      <c r="K133" s="182">
        <v>0.08</v>
      </c>
      <c r="L133" s="182">
        <v>6.5000000000000002E-2</v>
      </c>
      <c r="N133" s="182">
        <v>8.5000000000000006E-2</v>
      </c>
      <c r="O133" s="182">
        <v>5.2499999999999998E-2</v>
      </c>
      <c r="Q133" s="182">
        <v>0.08</v>
      </c>
      <c r="R133" s="182">
        <v>9.2499999999999999E-2</v>
      </c>
      <c r="S133" s="182">
        <v>0.05</v>
      </c>
      <c r="T133" s="182">
        <v>5.5E-2</v>
      </c>
      <c r="U133" s="182"/>
      <c r="V133" s="194">
        <v>8.3000000000000004E-2</v>
      </c>
      <c r="W133" s="194">
        <v>9.5000000000000001E-2</v>
      </c>
      <c r="X133" s="194">
        <v>5.2999999999999999E-2</v>
      </c>
      <c r="Y133" s="194">
        <v>0.06</v>
      </c>
      <c r="Z133" s="194"/>
      <c r="AA133" s="195">
        <v>8.3124960000000025E-2</v>
      </c>
      <c r="AB133" s="195">
        <v>9.5273654999999957E-2</v>
      </c>
      <c r="AC133" s="195">
        <v>5.2975866318710284E-2</v>
      </c>
      <c r="AD133" s="195">
        <v>6.0183281840644871E-2</v>
      </c>
      <c r="AE133" s="195"/>
      <c r="AF133" s="195">
        <v>1.4316137076670898E-2</v>
      </c>
      <c r="AG133" s="195">
        <v>1.6549201331694574E-2</v>
      </c>
      <c r="AI133" s="182">
        <v>6.8432322499999865E-2</v>
      </c>
      <c r="AJ133" s="182">
        <v>7.9001562500000233E-2</v>
      </c>
      <c r="AK133" s="182">
        <v>4.6324409999999761E-2</v>
      </c>
      <c r="AM133" s="27" t="s">
        <v>135</v>
      </c>
      <c r="AN133" s="7" t="b">
        <f t="shared" si="10"/>
        <v>0</v>
      </c>
      <c r="AP133" s="211">
        <v>-99</v>
      </c>
      <c r="AQ133" s="211">
        <v>-99</v>
      </c>
      <c r="AS133" s="211">
        <v>-99</v>
      </c>
      <c r="AT133" s="211">
        <v>-99</v>
      </c>
      <c r="AU133" s="211">
        <v>-99</v>
      </c>
      <c r="AV133" s="211">
        <v>-99</v>
      </c>
      <c r="AW133" s="211">
        <v>-99</v>
      </c>
      <c r="AX133" s="211">
        <v>-99</v>
      </c>
      <c r="AZ133" s="211">
        <v>-99</v>
      </c>
      <c r="BA133" s="211">
        <v>-99</v>
      </c>
      <c r="BB133" s="211">
        <v>-99</v>
      </c>
      <c r="BC133" s="211">
        <v>-99</v>
      </c>
      <c r="BD133" s="211">
        <v>-99</v>
      </c>
      <c r="BE133" s="211">
        <v>-99</v>
      </c>
      <c r="BG133" s="211">
        <v>-99</v>
      </c>
      <c r="BH133" s="211">
        <v>-99</v>
      </c>
      <c r="BI133" s="211">
        <v>-99</v>
      </c>
      <c r="BJ133" s="211">
        <v>-99</v>
      </c>
      <c r="BK133" s="211">
        <v>-99</v>
      </c>
      <c r="BL133" s="211">
        <v>-99</v>
      </c>
      <c r="BM133" s="211">
        <v>-99</v>
      </c>
      <c r="BN133" s="191">
        <f t="shared" si="11"/>
        <v>6.8432322499999865E-2</v>
      </c>
      <c r="BO133" s="191">
        <f t="shared" si="12"/>
        <v>7.9001562500000233E-2</v>
      </c>
      <c r="BP133" s="191">
        <f t="shared" si="17"/>
        <v>4.6324409999999761E-2</v>
      </c>
      <c r="BQ133" s="171">
        <f t="shared" si="13"/>
        <v>7.4800000000000005E-2</v>
      </c>
      <c r="BR133" s="171">
        <f t="shared" si="14"/>
        <v>7.9500000000000001E-2</v>
      </c>
      <c r="BS133" s="171">
        <f t="shared" si="15"/>
        <v>6.7299999999999999E-2</v>
      </c>
      <c r="BT133" s="171">
        <f t="shared" si="16"/>
        <v>7.7499999999999999E-2</v>
      </c>
      <c r="BU133" s="171">
        <f t="shared" si="18"/>
        <v>4.58E-2</v>
      </c>
    </row>
    <row r="134" spans="1:73" x14ac:dyDescent="0.3">
      <c r="A134" s="209">
        <v>35339</v>
      </c>
      <c r="B134" s="187">
        <v>199610</v>
      </c>
      <c r="C134" s="176">
        <v>6.81</v>
      </c>
      <c r="D134" s="176">
        <v>7.2</v>
      </c>
      <c r="E134" s="176">
        <v>4.1399999999999997</v>
      </c>
      <c r="F134" s="177">
        <v>89.3</v>
      </c>
      <c r="G134" s="210">
        <v>1.5026296018031626E-2</v>
      </c>
      <c r="H134" s="179">
        <v>6.02</v>
      </c>
      <c r="I134" s="179">
        <v>7.12</v>
      </c>
      <c r="J134" s="176"/>
      <c r="K134" s="182">
        <v>0.08</v>
      </c>
      <c r="L134" s="182">
        <v>0.06</v>
      </c>
      <c r="N134" s="182">
        <v>8.2500000000000004E-2</v>
      </c>
      <c r="O134" s="182">
        <v>0.05</v>
      </c>
      <c r="Q134" s="182">
        <v>7.4999999999999997E-2</v>
      </c>
      <c r="R134" s="182">
        <v>0.09</v>
      </c>
      <c r="S134" s="182">
        <v>4.7500000000000001E-2</v>
      </c>
      <c r="T134" s="182">
        <v>5.5E-2</v>
      </c>
      <c r="U134" s="182"/>
      <c r="V134" s="194">
        <v>0.08</v>
      </c>
      <c r="W134" s="194">
        <v>9.2999999999999999E-2</v>
      </c>
      <c r="X134" s="194">
        <v>5.2000000000000005E-2</v>
      </c>
      <c r="Y134" s="194">
        <v>0.06</v>
      </c>
      <c r="Z134" s="194"/>
      <c r="AA134" s="195">
        <v>7.9811039999999944E-2</v>
      </c>
      <c r="AB134" s="195">
        <v>9.3343563749999969E-2</v>
      </c>
      <c r="AC134" s="195">
        <v>5.1541667660871905E-2</v>
      </c>
      <c r="AD134" s="195">
        <v>5.9671701169564301E-2</v>
      </c>
      <c r="AE134" s="195"/>
      <c r="AF134" s="195">
        <v>1.3441869784395988E-2</v>
      </c>
      <c r="AG134" s="195">
        <v>1.5887874774456967E-2</v>
      </c>
      <c r="AI134" s="182">
        <v>6.1106010000000044E-2</v>
      </c>
      <c r="AJ134" s="182">
        <v>7.2467360000000092E-2</v>
      </c>
      <c r="AK134" s="182">
        <v>4.1828489999999885E-2</v>
      </c>
      <c r="AM134" s="27" t="s">
        <v>135</v>
      </c>
      <c r="AN134" s="7" t="b">
        <f t="shared" ref="AN134:AN197" si="19">1=2</f>
        <v>0</v>
      </c>
      <c r="AP134" s="211">
        <v>-99</v>
      </c>
      <c r="AQ134" s="211">
        <v>-99</v>
      </c>
      <c r="AS134" s="211">
        <v>-99</v>
      </c>
      <c r="AT134" s="211">
        <v>-99</v>
      </c>
      <c r="AU134" s="211">
        <v>-99</v>
      </c>
      <c r="AV134" s="211">
        <v>-99</v>
      </c>
      <c r="AW134" s="211">
        <v>-99</v>
      </c>
      <c r="AX134" s="211">
        <v>-99</v>
      </c>
      <c r="AZ134" s="211">
        <v>-99</v>
      </c>
      <c r="BA134" s="211">
        <v>-99</v>
      </c>
      <c r="BB134" s="211">
        <v>-99</v>
      </c>
      <c r="BC134" s="211">
        <v>-99</v>
      </c>
      <c r="BD134" s="211">
        <v>-99</v>
      </c>
      <c r="BE134" s="211">
        <v>-99</v>
      </c>
      <c r="BG134" s="211">
        <v>-99</v>
      </c>
      <c r="BH134" s="211">
        <v>-99</v>
      </c>
      <c r="BI134" s="211">
        <v>-99</v>
      </c>
      <c r="BJ134" s="211">
        <v>-99</v>
      </c>
      <c r="BK134" s="211">
        <v>-99</v>
      </c>
      <c r="BL134" s="211">
        <v>-99</v>
      </c>
      <c r="BM134" s="211">
        <v>-99</v>
      </c>
      <c r="BN134" s="191">
        <f t="shared" si="11"/>
        <v>6.1106010000000044E-2</v>
      </c>
      <c r="BO134" s="191">
        <f t="shared" si="12"/>
        <v>7.2467360000000092E-2</v>
      </c>
      <c r="BP134" s="191">
        <f t="shared" si="17"/>
        <v>4.1828489999999885E-2</v>
      </c>
      <c r="BQ134" s="171">
        <f t="shared" si="13"/>
        <v>6.8099999999999994E-2</v>
      </c>
      <c r="BR134" s="171">
        <f t="shared" si="14"/>
        <v>7.2000000000000008E-2</v>
      </c>
      <c r="BS134" s="171">
        <f t="shared" si="15"/>
        <v>6.0199999999999997E-2</v>
      </c>
      <c r="BT134" s="171">
        <f t="shared" si="16"/>
        <v>7.1199999999999999E-2</v>
      </c>
      <c r="BU134" s="171">
        <f t="shared" si="18"/>
        <v>4.1399999999999999E-2</v>
      </c>
    </row>
    <row r="135" spans="1:73" x14ac:dyDescent="0.3">
      <c r="A135" s="209">
        <v>35370</v>
      </c>
      <c r="B135" s="187">
        <v>199611</v>
      </c>
      <c r="C135" s="176">
        <v>6.42</v>
      </c>
      <c r="D135" s="176">
        <v>6.95</v>
      </c>
      <c r="E135" s="176">
        <v>3.97</v>
      </c>
      <c r="F135" s="177">
        <v>89.7</v>
      </c>
      <c r="G135" s="210">
        <v>1.5753938484621033E-2</v>
      </c>
      <c r="H135" s="179">
        <v>5.68</v>
      </c>
      <c r="I135" s="179">
        <v>6.75</v>
      </c>
      <c r="J135" s="176"/>
      <c r="K135" s="182">
        <v>7.4999999999999997E-2</v>
      </c>
      <c r="L135" s="182">
        <v>0.06</v>
      </c>
      <c r="N135" s="182">
        <v>8.2500000000000004E-2</v>
      </c>
      <c r="O135" s="182">
        <v>0.05</v>
      </c>
      <c r="Q135" s="182">
        <v>7.2499999999999995E-2</v>
      </c>
      <c r="R135" s="182">
        <v>0.09</v>
      </c>
      <c r="S135" s="182">
        <v>4.4999999999999998E-2</v>
      </c>
      <c r="T135" s="182">
        <v>5.5E-2</v>
      </c>
      <c r="U135" s="182"/>
      <c r="V135" s="194">
        <v>7.6999999999999999E-2</v>
      </c>
      <c r="W135" s="194">
        <v>9.2999999999999999E-2</v>
      </c>
      <c r="X135" s="194">
        <v>4.9000000000000002E-2</v>
      </c>
      <c r="Y135" s="194">
        <v>5.8000000000000003E-2</v>
      </c>
      <c r="Z135" s="194"/>
      <c r="AA135" s="195">
        <v>7.7432322499999873E-2</v>
      </c>
      <c r="AB135" s="195">
        <v>9.3286182500000425E-2</v>
      </c>
      <c r="AC135" s="195">
        <v>4.9126889449081376E-2</v>
      </c>
      <c r="AD135" s="195">
        <v>5.8423170275458951E-2</v>
      </c>
      <c r="AE135" s="195"/>
      <c r="AF135" s="195">
        <v>1.3489995030907309E-2</v>
      </c>
      <c r="AG135" s="195">
        <v>1.6469316433930792E-2</v>
      </c>
      <c r="AI135" s="182">
        <v>5.7606559999999973E-2</v>
      </c>
      <c r="AJ135" s="182">
        <v>6.8639062499999959E-2</v>
      </c>
      <c r="AK135" s="182">
        <v>4.0094022499999937E-2</v>
      </c>
      <c r="AM135" s="27" t="s">
        <v>135</v>
      </c>
      <c r="AN135" s="7" t="b">
        <f t="shared" si="19"/>
        <v>0</v>
      </c>
      <c r="AP135" s="211">
        <v>-99</v>
      </c>
      <c r="AQ135" s="211">
        <v>-99</v>
      </c>
      <c r="AS135" s="211">
        <v>-99</v>
      </c>
      <c r="AT135" s="211">
        <v>-99</v>
      </c>
      <c r="AU135" s="211">
        <v>-99</v>
      </c>
      <c r="AV135" s="211">
        <v>-99</v>
      </c>
      <c r="AW135" s="211">
        <v>-99</v>
      </c>
      <c r="AX135" s="211">
        <v>-99</v>
      </c>
      <c r="AZ135" s="211">
        <v>-99</v>
      </c>
      <c r="BA135" s="211">
        <v>-99</v>
      </c>
      <c r="BB135" s="211">
        <v>-99</v>
      </c>
      <c r="BC135" s="211">
        <v>-99</v>
      </c>
      <c r="BD135" s="211">
        <v>-99</v>
      </c>
      <c r="BE135" s="211">
        <v>-99</v>
      </c>
      <c r="BG135" s="211">
        <v>-99</v>
      </c>
      <c r="BH135" s="211">
        <v>-99</v>
      </c>
      <c r="BI135" s="211">
        <v>-99</v>
      </c>
      <c r="BJ135" s="211">
        <v>-99</v>
      </c>
      <c r="BK135" s="211">
        <v>-99</v>
      </c>
      <c r="BL135" s="211">
        <v>-99</v>
      </c>
      <c r="BM135" s="211">
        <v>-99</v>
      </c>
      <c r="BN135" s="191">
        <f t="shared" ref="BN135:BN198" si="20">AI135</f>
        <v>5.7606559999999973E-2</v>
      </c>
      <c r="BO135" s="191">
        <f t="shared" ref="BO135:BO198" si="21">AJ135</f>
        <v>6.8639062499999959E-2</v>
      </c>
      <c r="BP135" s="191">
        <f t="shared" ref="BP135:BP198" si="22">AK135</f>
        <v>4.0094022499999937E-2</v>
      </c>
      <c r="BQ135" s="171">
        <f t="shared" ref="BQ135:BQ198" si="23">C135/100</f>
        <v>6.4199999999999993E-2</v>
      </c>
      <c r="BR135" s="171">
        <f t="shared" ref="BR135:BR198" si="24">D135/100</f>
        <v>6.9500000000000006E-2</v>
      </c>
      <c r="BS135" s="171">
        <f t="shared" ref="BS135:BS198" si="25">H135/100</f>
        <v>5.6799999999999996E-2</v>
      </c>
      <c r="BT135" s="171">
        <f t="shared" ref="BT135:BT198" si="26">I135/100</f>
        <v>6.7500000000000004E-2</v>
      </c>
      <c r="BU135" s="171">
        <f t="shared" si="18"/>
        <v>3.9699999999999999E-2</v>
      </c>
    </row>
    <row r="136" spans="1:73" x14ac:dyDescent="0.3">
      <c r="A136" s="212">
        <v>35400</v>
      </c>
      <c r="B136" s="187">
        <v>199612</v>
      </c>
      <c r="C136" s="213">
        <v>6.77</v>
      </c>
      <c r="D136" s="213">
        <v>6.95</v>
      </c>
      <c r="E136" s="213">
        <v>4.09</v>
      </c>
      <c r="F136" s="177">
        <v>89.7</v>
      </c>
      <c r="G136" s="214">
        <v>1.5730337078651679E-2</v>
      </c>
      <c r="H136" s="215">
        <v>6.02</v>
      </c>
      <c r="I136" s="215">
        <v>7.09</v>
      </c>
      <c r="J136" s="213"/>
      <c r="K136" s="216">
        <v>7.0000000000000007E-2</v>
      </c>
      <c r="L136" s="216">
        <v>5.5E-2</v>
      </c>
      <c r="M136" s="216"/>
      <c r="N136" s="216">
        <v>7.4999999999999997E-2</v>
      </c>
      <c r="O136" s="216">
        <v>4.4999999999999998E-2</v>
      </c>
      <c r="P136" s="217"/>
      <c r="Q136" s="182">
        <v>6.5000000000000002E-2</v>
      </c>
      <c r="R136" s="182">
        <v>8.2500000000000004E-2</v>
      </c>
      <c r="S136" s="182">
        <v>0.04</v>
      </c>
      <c r="T136" s="182">
        <v>0.05</v>
      </c>
      <c r="U136" s="182"/>
      <c r="V136" s="194">
        <v>7.0000000000000007E-2</v>
      </c>
      <c r="W136" s="194">
        <v>8.7000000000000008E-2</v>
      </c>
      <c r="X136" s="194">
        <v>4.3999999999999997E-2</v>
      </c>
      <c r="Y136" s="194">
        <v>5.3999999999999999E-2</v>
      </c>
      <c r="Z136" s="194"/>
      <c r="AA136" s="195">
        <v>7.0106010000000052E-2</v>
      </c>
      <c r="AB136" s="195">
        <v>8.7148035000000124E-2</v>
      </c>
      <c r="AC136" s="195">
        <v>4.4270667073078022E-2</v>
      </c>
      <c r="AD136" s="195">
        <v>5.4107401463460818E-2</v>
      </c>
      <c r="AE136" s="195"/>
      <c r="AF136" s="195">
        <v>1.2370041475613935E-2</v>
      </c>
      <c r="AG136" s="195">
        <v>1.5672327834273636E-2</v>
      </c>
      <c r="AI136" s="182">
        <v>6.1106010000000044E-2</v>
      </c>
      <c r="AJ136" s="182">
        <v>7.2156702500000058E-2</v>
      </c>
      <c r="AK136" s="182">
        <v>4.1318202500000067E-2</v>
      </c>
      <c r="AM136" s="27" t="s">
        <v>135</v>
      </c>
      <c r="AN136" s="7" t="b">
        <f t="shared" si="19"/>
        <v>0</v>
      </c>
      <c r="AP136" s="211">
        <v>-99</v>
      </c>
      <c r="AQ136" s="211">
        <v>-99</v>
      </c>
      <c r="AS136" s="211">
        <v>-99</v>
      </c>
      <c r="AT136" s="211">
        <v>-99</v>
      </c>
      <c r="AU136" s="211">
        <v>-99</v>
      </c>
      <c r="AV136" s="211">
        <v>-99</v>
      </c>
      <c r="AW136" s="211">
        <v>-99</v>
      </c>
      <c r="AX136" s="211">
        <v>-99</v>
      </c>
      <c r="AZ136" s="211">
        <v>-99</v>
      </c>
      <c r="BA136" s="211">
        <v>-99</v>
      </c>
      <c r="BB136" s="211">
        <v>-99</v>
      </c>
      <c r="BC136" s="211">
        <v>-99</v>
      </c>
      <c r="BD136" s="211">
        <v>-99</v>
      </c>
      <c r="BE136" s="211">
        <v>-99</v>
      </c>
      <c r="BG136" s="211">
        <v>-99</v>
      </c>
      <c r="BH136" s="211">
        <v>-99</v>
      </c>
      <c r="BI136" s="211">
        <v>-99</v>
      </c>
      <c r="BJ136" s="211">
        <v>-99</v>
      </c>
      <c r="BK136" s="211">
        <v>-99</v>
      </c>
      <c r="BL136" s="211">
        <v>-99</v>
      </c>
      <c r="BM136" s="211">
        <v>-99</v>
      </c>
      <c r="BN136" s="191">
        <f t="shared" si="20"/>
        <v>6.1106010000000044E-2</v>
      </c>
      <c r="BO136" s="191">
        <f t="shared" si="21"/>
        <v>7.2156702500000058E-2</v>
      </c>
      <c r="BP136" s="191">
        <f t="shared" si="22"/>
        <v>4.1318202500000067E-2</v>
      </c>
      <c r="BQ136" s="171">
        <f t="shared" si="23"/>
        <v>6.7699999999999996E-2</v>
      </c>
      <c r="BR136" s="171">
        <f t="shared" si="24"/>
        <v>6.9500000000000006E-2</v>
      </c>
      <c r="BS136" s="171">
        <f t="shared" si="25"/>
        <v>6.0199999999999997E-2</v>
      </c>
      <c r="BT136" s="171">
        <f t="shared" si="26"/>
        <v>7.0900000000000005E-2</v>
      </c>
      <c r="BU136" s="171">
        <f t="shared" si="18"/>
        <v>4.0899999999999999E-2</v>
      </c>
    </row>
    <row r="137" spans="1:73" x14ac:dyDescent="0.3">
      <c r="A137" s="209">
        <v>35431</v>
      </c>
      <c r="B137" s="187">
        <v>199701</v>
      </c>
      <c r="C137" s="176">
        <v>7.07</v>
      </c>
      <c r="D137" s="176">
        <v>7.25</v>
      </c>
      <c r="E137" s="176">
        <v>4.1900000000000004</v>
      </c>
      <c r="F137" s="177">
        <v>89.9</v>
      </c>
      <c r="G137" s="210">
        <v>1.5706806282722585E-2</v>
      </c>
      <c r="H137" s="179">
        <v>6.27</v>
      </c>
      <c r="I137" s="179">
        <v>7.38</v>
      </c>
      <c r="J137" s="176"/>
      <c r="K137" s="182">
        <v>6.5000000000000002E-2</v>
      </c>
      <c r="L137" s="182">
        <v>0.05</v>
      </c>
      <c r="N137" s="182">
        <v>7.0000000000000007E-2</v>
      </c>
      <c r="O137" s="182">
        <v>4.2500000000000003E-2</v>
      </c>
      <c r="Q137" s="182">
        <v>6.25E-2</v>
      </c>
      <c r="R137" s="182">
        <v>0.08</v>
      </c>
      <c r="S137" s="182">
        <v>3.7499999999999999E-2</v>
      </c>
      <c r="T137" s="182">
        <v>4.7500000000000001E-2</v>
      </c>
      <c r="U137" s="182"/>
      <c r="V137" s="194">
        <v>6.7000000000000004E-2</v>
      </c>
      <c r="W137" s="194">
        <v>8.3000000000000004E-2</v>
      </c>
      <c r="X137" s="194">
        <v>4.3000000000000003E-2</v>
      </c>
      <c r="Y137" s="194">
        <v>5.2000000000000005E-2</v>
      </c>
      <c r="Z137" s="194"/>
      <c r="AA137" s="195">
        <v>6.6606559999999981E-2</v>
      </c>
      <c r="AB137" s="195">
        <v>8.315531374999996E-2</v>
      </c>
      <c r="AC137" s="195">
        <v>4.2649624989962484E-2</v>
      </c>
      <c r="AD137" s="195">
        <v>5.2316221255018662E-2</v>
      </c>
      <c r="AE137" s="195"/>
      <c r="AF137" s="195">
        <v>1.1488487808293257E-2</v>
      </c>
      <c r="AG137" s="195">
        <v>1.4652958812229389E-2</v>
      </c>
      <c r="AI137" s="182">
        <v>6.3682822499999903E-2</v>
      </c>
      <c r="AJ137" s="182">
        <v>7.5161609999999879E-2</v>
      </c>
      <c r="AK137" s="182">
        <v>4.2338902500000053E-2</v>
      </c>
      <c r="AM137" s="27" t="s">
        <v>135</v>
      </c>
      <c r="AN137" s="7" t="b">
        <f t="shared" si="19"/>
        <v>0</v>
      </c>
      <c r="AP137" s="211">
        <v>-99</v>
      </c>
      <c r="AQ137" s="211">
        <v>-99</v>
      </c>
      <c r="AS137" s="211">
        <v>-99</v>
      </c>
      <c r="AT137" s="211">
        <v>-99</v>
      </c>
      <c r="AU137" s="211">
        <v>-99</v>
      </c>
      <c r="AV137" s="211">
        <v>-99</v>
      </c>
      <c r="AW137" s="211">
        <v>-99</v>
      </c>
      <c r="AX137" s="211">
        <v>-99</v>
      </c>
      <c r="AZ137" s="211">
        <v>-99</v>
      </c>
      <c r="BA137" s="211">
        <v>-99</v>
      </c>
      <c r="BB137" s="211">
        <v>-99</v>
      </c>
      <c r="BC137" s="211">
        <v>-99</v>
      </c>
      <c r="BD137" s="211">
        <v>-99</v>
      </c>
      <c r="BE137" s="211">
        <v>-99</v>
      </c>
      <c r="BG137" s="211">
        <v>-99</v>
      </c>
      <c r="BH137" s="211">
        <v>-99</v>
      </c>
      <c r="BI137" s="211">
        <v>-99</v>
      </c>
      <c r="BJ137" s="211">
        <v>-99</v>
      </c>
      <c r="BK137" s="211">
        <v>-99</v>
      </c>
      <c r="BL137" s="211">
        <v>-99</v>
      </c>
      <c r="BM137" s="211">
        <v>-99</v>
      </c>
      <c r="BN137" s="191">
        <f t="shared" si="20"/>
        <v>6.3682822499999903E-2</v>
      </c>
      <c r="BO137" s="191">
        <f t="shared" si="21"/>
        <v>7.5161609999999879E-2</v>
      </c>
      <c r="BP137" s="191">
        <f t="shared" si="22"/>
        <v>4.2338902500000053E-2</v>
      </c>
      <c r="BQ137" s="171">
        <f t="shared" si="23"/>
        <v>7.0699999999999999E-2</v>
      </c>
      <c r="BR137" s="171">
        <f t="shared" si="24"/>
        <v>7.2499999999999995E-2</v>
      </c>
      <c r="BS137" s="171">
        <f t="shared" si="25"/>
        <v>6.2699999999999992E-2</v>
      </c>
      <c r="BT137" s="171">
        <f t="shared" si="26"/>
        <v>7.3800000000000004E-2</v>
      </c>
      <c r="BU137" s="171">
        <f t="shared" si="18"/>
        <v>4.1900000000000007E-2</v>
      </c>
    </row>
    <row r="138" spans="1:73" x14ac:dyDescent="0.3">
      <c r="A138" s="209">
        <v>35462</v>
      </c>
      <c r="B138" s="187">
        <v>199702</v>
      </c>
      <c r="C138" s="176">
        <v>6.78</v>
      </c>
      <c r="D138" s="176">
        <v>7</v>
      </c>
      <c r="E138" s="176">
        <v>4.13</v>
      </c>
      <c r="F138" s="177">
        <v>90.1</v>
      </c>
      <c r="G138" s="210">
        <v>1.718983557548559E-2</v>
      </c>
      <c r="H138" s="179">
        <v>5.99</v>
      </c>
      <c r="I138" s="179">
        <v>7.08</v>
      </c>
      <c r="J138" s="176"/>
      <c r="K138" s="182">
        <v>7.0000000000000007E-2</v>
      </c>
      <c r="L138" s="182">
        <v>0.05</v>
      </c>
      <c r="N138" s="182">
        <v>7.4999999999999997E-2</v>
      </c>
      <c r="O138" s="182">
        <v>4.4999999999999998E-2</v>
      </c>
      <c r="Q138" s="182">
        <v>6.5000000000000002E-2</v>
      </c>
      <c r="R138" s="182">
        <v>8.2500000000000004E-2</v>
      </c>
      <c r="S138" s="182">
        <v>0.04</v>
      </c>
      <c r="T138" s="182">
        <v>0.05</v>
      </c>
      <c r="U138" s="182"/>
      <c r="V138" s="194">
        <v>7.0000000000000007E-2</v>
      </c>
      <c r="W138" s="194">
        <v>8.7000000000000008E-2</v>
      </c>
      <c r="X138" s="194">
        <v>4.3999999999999997E-2</v>
      </c>
      <c r="Y138" s="194">
        <v>5.2999999999999999E-2</v>
      </c>
      <c r="Z138" s="194"/>
      <c r="AA138" s="195">
        <v>7.0106010000000052E-2</v>
      </c>
      <c r="AB138" s="195">
        <v>8.6682048750000074E-2</v>
      </c>
      <c r="AC138" s="195">
        <v>4.3990380763963388E-2</v>
      </c>
      <c r="AD138" s="195">
        <v>5.3482113368018412E-2</v>
      </c>
      <c r="AE138" s="195"/>
      <c r="AF138" s="195">
        <v>1.2507600509176098E-2</v>
      </c>
      <c r="AG138" s="195">
        <v>1.5757237337348129E-2</v>
      </c>
      <c r="AI138" s="182">
        <v>6.0797002499999753E-2</v>
      </c>
      <c r="AJ138" s="182">
        <v>7.2053160000000283E-2</v>
      </c>
      <c r="AK138" s="182">
        <v>4.1726422500000027E-2</v>
      </c>
      <c r="AM138" s="27" t="s">
        <v>135</v>
      </c>
      <c r="AN138" s="7" t="b">
        <f t="shared" si="19"/>
        <v>0</v>
      </c>
      <c r="AP138" s="211">
        <v>-99</v>
      </c>
      <c r="AQ138" s="211">
        <v>-99</v>
      </c>
      <c r="AS138" s="211">
        <v>-99</v>
      </c>
      <c r="AT138" s="211">
        <v>-99</v>
      </c>
      <c r="AU138" s="211">
        <v>-99</v>
      </c>
      <c r="AV138" s="211">
        <v>-99</v>
      </c>
      <c r="AW138" s="211">
        <v>-99</v>
      </c>
      <c r="AX138" s="211">
        <v>-99</v>
      </c>
      <c r="AZ138" s="211">
        <v>-99</v>
      </c>
      <c r="BA138" s="211">
        <v>-99</v>
      </c>
      <c r="BB138" s="211">
        <v>-99</v>
      </c>
      <c r="BC138" s="211">
        <v>-99</v>
      </c>
      <c r="BD138" s="211">
        <v>-99</v>
      </c>
      <c r="BE138" s="211">
        <v>-99</v>
      </c>
      <c r="BG138" s="211">
        <v>-99</v>
      </c>
      <c r="BH138" s="211">
        <v>-99</v>
      </c>
      <c r="BI138" s="211">
        <v>-99</v>
      </c>
      <c r="BJ138" s="211">
        <v>-99</v>
      </c>
      <c r="BK138" s="211">
        <v>-99</v>
      </c>
      <c r="BL138" s="211">
        <v>-99</v>
      </c>
      <c r="BM138" s="211">
        <v>-99</v>
      </c>
      <c r="BN138" s="191">
        <f t="shared" si="20"/>
        <v>6.0797002499999753E-2</v>
      </c>
      <c r="BO138" s="191">
        <f t="shared" si="21"/>
        <v>7.2053160000000283E-2</v>
      </c>
      <c r="BP138" s="191">
        <f t="shared" si="22"/>
        <v>4.1726422500000027E-2</v>
      </c>
      <c r="BQ138" s="171">
        <f t="shared" si="23"/>
        <v>6.7799999999999999E-2</v>
      </c>
      <c r="BR138" s="171">
        <f t="shared" si="24"/>
        <v>7.0000000000000007E-2</v>
      </c>
      <c r="BS138" s="171">
        <f t="shared" si="25"/>
        <v>5.9900000000000002E-2</v>
      </c>
      <c r="BT138" s="171">
        <f t="shared" si="26"/>
        <v>7.0800000000000002E-2</v>
      </c>
      <c r="BU138" s="171">
        <f t="shared" si="18"/>
        <v>4.1299999999999996E-2</v>
      </c>
    </row>
    <row r="139" spans="1:73" x14ac:dyDescent="0.3">
      <c r="A139" s="209">
        <v>35490</v>
      </c>
      <c r="B139" s="187">
        <v>199703</v>
      </c>
      <c r="C139" s="176">
        <v>6.97</v>
      </c>
      <c r="D139" s="176">
        <v>7.3</v>
      </c>
      <c r="E139" s="176">
        <v>4.25</v>
      </c>
      <c r="F139" s="177">
        <v>90.2</v>
      </c>
      <c r="G139" s="210">
        <v>1.716417910447765E-2</v>
      </c>
      <c r="H139" s="179">
        <v>6.27</v>
      </c>
      <c r="I139" s="179">
        <v>7.24</v>
      </c>
      <c r="J139" s="176"/>
      <c r="K139" s="182">
        <v>7.4999999999999997E-2</v>
      </c>
      <c r="L139" s="182">
        <v>5.5E-2</v>
      </c>
      <c r="N139" s="182">
        <v>7.7499999999999999E-2</v>
      </c>
      <c r="O139" s="182">
        <v>4.4999999999999998E-2</v>
      </c>
      <c r="Q139" s="182">
        <v>6.7500000000000004E-2</v>
      </c>
      <c r="R139" s="182">
        <v>8.5000000000000006E-2</v>
      </c>
      <c r="S139" s="182">
        <v>0.04</v>
      </c>
      <c r="T139" s="182">
        <v>0.05</v>
      </c>
      <c r="U139" s="182"/>
      <c r="V139" s="194">
        <v>7.2999999999999995E-2</v>
      </c>
      <c r="W139" s="194">
        <v>0.09</v>
      </c>
      <c r="X139" s="194">
        <v>4.4999999999999998E-2</v>
      </c>
      <c r="Y139" s="194">
        <v>5.5E-2</v>
      </c>
      <c r="Z139" s="194"/>
      <c r="AA139" s="195">
        <v>7.2682822499999911E-2</v>
      </c>
      <c r="AB139" s="195">
        <v>8.9901003749999875E-2</v>
      </c>
      <c r="AC139" s="195">
        <v>4.4872845362842945E-2</v>
      </c>
      <c r="AD139" s="195">
        <v>5.4571931068578612E-2</v>
      </c>
      <c r="AE139" s="195"/>
      <c r="AF139" s="195">
        <v>1.3307828440837666E-2</v>
      </c>
      <c r="AG139" s="195">
        <v>1.6750432872617349E-2</v>
      </c>
      <c r="AI139" s="182">
        <v>6.3682822499999903E-2</v>
      </c>
      <c r="AJ139" s="182">
        <v>7.3710439999999933E-2</v>
      </c>
      <c r="AK139" s="182">
        <v>4.2951562499999874E-2</v>
      </c>
      <c r="AM139" s="27" t="s">
        <v>135</v>
      </c>
      <c r="AN139" s="7" t="b">
        <f t="shared" si="19"/>
        <v>0</v>
      </c>
      <c r="AP139" s="211">
        <v>-99</v>
      </c>
      <c r="AQ139" s="211">
        <v>-99</v>
      </c>
      <c r="AS139" s="211">
        <v>-99</v>
      </c>
      <c r="AT139" s="211">
        <v>-99</v>
      </c>
      <c r="AU139" s="211">
        <v>-99</v>
      </c>
      <c r="AV139" s="211">
        <v>-99</v>
      </c>
      <c r="AW139" s="211">
        <v>-99</v>
      </c>
      <c r="AX139" s="211">
        <v>-99</v>
      </c>
      <c r="AZ139" s="211">
        <v>-99</v>
      </c>
      <c r="BA139" s="211">
        <v>-99</v>
      </c>
      <c r="BB139" s="211">
        <v>-99</v>
      </c>
      <c r="BC139" s="211">
        <v>-99</v>
      </c>
      <c r="BD139" s="211">
        <v>-99</v>
      </c>
      <c r="BE139" s="211">
        <v>-99</v>
      </c>
      <c r="BG139" s="211">
        <v>-99</v>
      </c>
      <c r="BH139" s="211">
        <v>-99</v>
      </c>
      <c r="BI139" s="211">
        <v>-99</v>
      </c>
      <c r="BJ139" s="211">
        <v>-99</v>
      </c>
      <c r="BK139" s="211">
        <v>-99</v>
      </c>
      <c r="BL139" s="211">
        <v>-99</v>
      </c>
      <c r="BM139" s="211">
        <v>-99</v>
      </c>
      <c r="BN139" s="191">
        <f t="shared" si="20"/>
        <v>6.3682822499999903E-2</v>
      </c>
      <c r="BO139" s="191">
        <f t="shared" si="21"/>
        <v>7.3710439999999933E-2</v>
      </c>
      <c r="BP139" s="191">
        <f t="shared" si="22"/>
        <v>4.2951562499999874E-2</v>
      </c>
      <c r="BQ139" s="171">
        <f t="shared" si="23"/>
        <v>6.9699999999999998E-2</v>
      </c>
      <c r="BR139" s="171">
        <f t="shared" si="24"/>
        <v>7.2999999999999995E-2</v>
      </c>
      <c r="BS139" s="171">
        <f t="shared" si="25"/>
        <v>6.2699999999999992E-2</v>
      </c>
      <c r="BT139" s="171">
        <f t="shared" si="26"/>
        <v>7.2400000000000006E-2</v>
      </c>
      <c r="BU139" s="171">
        <f t="shared" ref="BU139:BU202" si="27">E139/100</f>
        <v>4.2500000000000003E-2</v>
      </c>
    </row>
    <row r="140" spans="1:73" x14ac:dyDescent="0.3">
      <c r="A140" s="209">
        <v>35521</v>
      </c>
      <c r="B140" s="187">
        <v>199704</v>
      </c>
      <c r="C140" s="176">
        <v>6.97</v>
      </c>
      <c r="D140" s="176">
        <v>7.65</v>
      </c>
      <c r="E140" s="176">
        <v>4.24</v>
      </c>
      <c r="F140" s="177">
        <v>90.2</v>
      </c>
      <c r="G140" s="210">
        <v>1.7897091722595126E-2</v>
      </c>
      <c r="H140" s="179">
        <v>6.37</v>
      </c>
      <c r="I140" s="179">
        <v>7.18</v>
      </c>
      <c r="J140" s="176"/>
      <c r="K140" s="182">
        <v>7.0000000000000007E-2</v>
      </c>
      <c r="L140" s="182">
        <v>0.05</v>
      </c>
      <c r="N140" s="182">
        <v>7.4999999999999997E-2</v>
      </c>
      <c r="O140" s="182">
        <v>4.4999999999999998E-2</v>
      </c>
      <c r="Q140" s="182">
        <v>6.5000000000000002E-2</v>
      </c>
      <c r="R140" s="182">
        <v>8.2500000000000004E-2</v>
      </c>
      <c r="S140" s="182">
        <v>0.04</v>
      </c>
      <c r="T140" s="182">
        <v>0.05</v>
      </c>
      <c r="U140" s="182"/>
      <c r="V140" s="194">
        <v>7.0000000000000007E-2</v>
      </c>
      <c r="W140" s="194">
        <v>8.7000000000000008E-2</v>
      </c>
      <c r="X140" s="194">
        <v>4.3999999999999997E-2</v>
      </c>
      <c r="Y140" s="194">
        <v>5.3999999999999999E-2</v>
      </c>
      <c r="Z140" s="194"/>
      <c r="AA140" s="195">
        <v>6.9797002499999761E-2</v>
      </c>
      <c r="AB140" s="195">
        <v>8.6681238750000555E-2</v>
      </c>
      <c r="AC140" s="195">
        <v>4.4207913338548059E-2</v>
      </c>
      <c r="AD140" s="195">
        <v>5.3985677080726012E-2</v>
      </c>
      <c r="AE140" s="195"/>
      <c r="AF140" s="195">
        <v>1.2252870733203913E-2</v>
      </c>
      <c r="AG140" s="195">
        <v>1.5510439268886955E-2</v>
      </c>
      <c r="AI140" s="182">
        <v>6.4714422499999813E-2</v>
      </c>
      <c r="AJ140" s="182">
        <v>7.3088810000000004E-2</v>
      </c>
      <c r="AK140" s="182">
        <v>4.2849440000000127E-2</v>
      </c>
      <c r="AM140" s="27" t="s">
        <v>135</v>
      </c>
      <c r="AN140" s="7" t="b">
        <f t="shared" si="19"/>
        <v>0</v>
      </c>
      <c r="AP140" s="211">
        <v>-99</v>
      </c>
      <c r="AQ140" s="211">
        <v>-99</v>
      </c>
      <c r="AS140" s="211">
        <v>-99</v>
      </c>
      <c r="AT140" s="211">
        <v>-99</v>
      </c>
      <c r="AU140" s="211">
        <v>-99</v>
      </c>
      <c r="AV140" s="211">
        <v>-99</v>
      </c>
      <c r="AW140" s="211">
        <v>-99</v>
      </c>
      <c r="AX140" s="211">
        <v>-99</v>
      </c>
      <c r="AZ140" s="211">
        <v>-99</v>
      </c>
      <c r="BA140" s="211">
        <v>-99</v>
      </c>
      <c r="BB140" s="211">
        <v>-99</v>
      </c>
      <c r="BC140" s="211">
        <v>-99</v>
      </c>
      <c r="BD140" s="211">
        <v>-99</v>
      </c>
      <c r="BE140" s="211">
        <v>-99</v>
      </c>
      <c r="BG140" s="211">
        <v>-99</v>
      </c>
      <c r="BH140" s="211">
        <v>-99</v>
      </c>
      <c r="BI140" s="211">
        <v>-99</v>
      </c>
      <c r="BJ140" s="211">
        <v>-99</v>
      </c>
      <c r="BK140" s="211">
        <v>-99</v>
      </c>
      <c r="BL140" s="211">
        <v>-99</v>
      </c>
      <c r="BM140" s="211">
        <v>-99</v>
      </c>
      <c r="BN140" s="191">
        <f t="shared" si="20"/>
        <v>6.4714422499999813E-2</v>
      </c>
      <c r="BO140" s="191">
        <f t="shared" si="21"/>
        <v>7.3088810000000004E-2</v>
      </c>
      <c r="BP140" s="191">
        <f t="shared" si="22"/>
        <v>4.2849440000000127E-2</v>
      </c>
      <c r="BQ140" s="171">
        <f t="shared" si="23"/>
        <v>6.9699999999999998E-2</v>
      </c>
      <c r="BR140" s="171">
        <f t="shared" si="24"/>
        <v>7.6499999999999999E-2</v>
      </c>
      <c r="BS140" s="171">
        <f t="shared" si="25"/>
        <v>6.3700000000000007E-2</v>
      </c>
      <c r="BT140" s="171">
        <f t="shared" si="26"/>
        <v>7.1800000000000003E-2</v>
      </c>
      <c r="BU140" s="171">
        <f t="shared" si="27"/>
        <v>4.24E-2</v>
      </c>
    </row>
    <row r="141" spans="1:73" x14ac:dyDescent="0.3">
      <c r="A141" s="209">
        <v>35551</v>
      </c>
      <c r="B141" s="187">
        <v>199705</v>
      </c>
      <c r="C141" s="176">
        <v>6.95</v>
      </c>
      <c r="D141" s="176">
        <v>7.35</v>
      </c>
      <c r="E141" s="176">
        <v>4.34</v>
      </c>
      <c r="F141" s="177">
        <v>90.3</v>
      </c>
      <c r="G141" s="210">
        <v>1.7870439314966236E-2</v>
      </c>
      <c r="H141" s="179">
        <v>6.3</v>
      </c>
      <c r="I141" s="179">
        <v>7.15</v>
      </c>
      <c r="J141" s="176"/>
      <c r="K141" s="182">
        <v>7.0000000000000007E-2</v>
      </c>
      <c r="L141" s="182">
        <v>5.5E-2</v>
      </c>
      <c r="N141" s="182">
        <v>7.4999999999999997E-2</v>
      </c>
      <c r="O141" s="182">
        <v>4.4999999999999998E-2</v>
      </c>
      <c r="Q141" s="182">
        <v>6.7500000000000004E-2</v>
      </c>
      <c r="R141" s="182">
        <v>8.2500000000000004E-2</v>
      </c>
      <c r="S141" s="182">
        <v>4.2500000000000003E-2</v>
      </c>
      <c r="T141" s="182">
        <v>0.05</v>
      </c>
      <c r="U141" s="182"/>
      <c r="V141" s="194">
        <v>7.2999999999999995E-2</v>
      </c>
      <c r="W141" s="194">
        <v>8.7999999999999995E-2</v>
      </c>
      <c r="X141" s="194">
        <v>4.5999999999999999E-2</v>
      </c>
      <c r="Y141" s="194">
        <v>5.5E-2</v>
      </c>
      <c r="Z141" s="194"/>
      <c r="AA141" s="195">
        <v>7.2682822499999911E-2</v>
      </c>
      <c r="AB141" s="195">
        <v>8.7724248749999956E-2</v>
      </c>
      <c r="AC141" s="195">
        <v>4.6108403243626639E-2</v>
      </c>
      <c r="AD141" s="195">
        <v>5.4873142128186496E-2</v>
      </c>
      <c r="AE141" s="195"/>
      <c r="AF141" s="195">
        <v>1.2701560934782252E-2</v>
      </c>
      <c r="AG141" s="195">
        <v>1.5571117184544514E-2</v>
      </c>
      <c r="AI141" s="182">
        <v>6.3992250000000084E-2</v>
      </c>
      <c r="AJ141" s="182">
        <v>7.2778062499999852E-2</v>
      </c>
      <c r="AK141" s="182">
        <v>4.3870890000000218E-2</v>
      </c>
      <c r="AM141" s="27" t="s">
        <v>135</v>
      </c>
      <c r="AN141" s="7" t="b">
        <f t="shared" si="19"/>
        <v>0</v>
      </c>
      <c r="AP141" s="211">
        <v>-99</v>
      </c>
      <c r="AQ141" s="211">
        <v>-99</v>
      </c>
      <c r="AS141" s="211">
        <v>-99</v>
      </c>
      <c r="AT141" s="211">
        <v>-99</v>
      </c>
      <c r="AU141" s="211">
        <v>-99</v>
      </c>
      <c r="AV141" s="211">
        <v>-99</v>
      </c>
      <c r="AW141" s="211">
        <v>-99</v>
      </c>
      <c r="AX141" s="211">
        <v>-99</v>
      </c>
      <c r="AZ141" s="211">
        <v>-99</v>
      </c>
      <c r="BA141" s="211">
        <v>-99</v>
      </c>
      <c r="BB141" s="211">
        <v>-99</v>
      </c>
      <c r="BC141" s="211">
        <v>-99</v>
      </c>
      <c r="BD141" s="211">
        <v>-99</v>
      </c>
      <c r="BE141" s="211">
        <v>-99</v>
      </c>
      <c r="BG141" s="211">
        <v>-99</v>
      </c>
      <c r="BH141" s="211">
        <v>-99</v>
      </c>
      <c r="BI141" s="211">
        <v>-99</v>
      </c>
      <c r="BJ141" s="211">
        <v>-99</v>
      </c>
      <c r="BK141" s="211">
        <v>-99</v>
      </c>
      <c r="BL141" s="211">
        <v>-99</v>
      </c>
      <c r="BM141" s="211">
        <v>-99</v>
      </c>
      <c r="BN141" s="191">
        <f t="shared" si="20"/>
        <v>6.3992250000000084E-2</v>
      </c>
      <c r="BO141" s="191">
        <f t="shared" si="21"/>
        <v>7.2778062499999852E-2</v>
      </c>
      <c r="BP141" s="191">
        <f t="shared" si="22"/>
        <v>4.3870890000000218E-2</v>
      </c>
      <c r="BQ141" s="171">
        <f t="shared" si="23"/>
        <v>6.9500000000000006E-2</v>
      </c>
      <c r="BR141" s="171">
        <f t="shared" si="24"/>
        <v>7.3499999999999996E-2</v>
      </c>
      <c r="BS141" s="171">
        <f t="shared" si="25"/>
        <v>6.3E-2</v>
      </c>
      <c r="BT141" s="171">
        <f t="shared" si="26"/>
        <v>7.1500000000000008E-2</v>
      </c>
      <c r="BU141" s="171">
        <f t="shared" si="27"/>
        <v>4.3400000000000001E-2</v>
      </c>
    </row>
    <row r="142" spans="1:73" x14ac:dyDescent="0.3">
      <c r="A142" s="209">
        <v>35582</v>
      </c>
      <c r="B142" s="187">
        <v>199706</v>
      </c>
      <c r="C142" s="176">
        <v>6.49</v>
      </c>
      <c r="D142" s="176">
        <v>7</v>
      </c>
      <c r="E142" s="176">
        <v>4.1900000000000004</v>
      </c>
      <c r="F142" s="177">
        <v>90.5</v>
      </c>
      <c r="G142" s="210">
        <v>1.7843866171003864E-2</v>
      </c>
      <c r="H142" s="179">
        <v>5.76</v>
      </c>
      <c r="I142" s="179">
        <v>6.73</v>
      </c>
      <c r="J142" s="176"/>
      <c r="K142" s="182">
        <v>7.0000000000000007E-2</v>
      </c>
      <c r="L142" s="182">
        <v>5.5E-2</v>
      </c>
      <c r="N142" s="182">
        <v>7.4999999999999997E-2</v>
      </c>
      <c r="O142" s="182">
        <v>4.4999999999999998E-2</v>
      </c>
      <c r="Q142" s="182">
        <v>7.0000000000000007E-2</v>
      </c>
      <c r="R142" s="182">
        <v>8.2500000000000004E-2</v>
      </c>
      <c r="S142" s="182">
        <v>4.2500000000000003E-2</v>
      </c>
      <c r="T142" s="182">
        <v>0.05</v>
      </c>
      <c r="U142" s="182"/>
      <c r="V142" s="194">
        <v>7.3999999999999996E-2</v>
      </c>
      <c r="W142" s="194">
        <v>8.6000000000000007E-2</v>
      </c>
      <c r="X142" s="194">
        <v>4.7E-2</v>
      </c>
      <c r="Y142" s="194">
        <v>5.3999999999999999E-2</v>
      </c>
      <c r="Z142" s="194"/>
      <c r="AA142" s="195">
        <v>7.3714422499999821E-2</v>
      </c>
      <c r="AB142" s="195">
        <v>8.6276003750000108E-2</v>
      </c>
      <c r="AC142" s="195">
        <v>4.6939826411846082E-2</v>
      </c>
      <c r="AD142" s="195">
        <v>5.4304246794077152E-2</v>
      </c>
      <c r="AE142" s="195"/>
      <c r="AF142" s="195">
        <v>1.2787074964908718E-2</v>
      </c>
      <c r="AG142" s="195">
        <v>1.516249083371457E-2</v>
      </c>
      <c r="AI142" s="182">
        <v>5.8429439999999833E-2</v>
      </c>
      <c r="AJ142" s="182">
        <v>6.8432322499999865E-2</v>
      </c>
      <c r="AK142" s="182">
        <v>4.2338902500000053E-2</v>
      </c>
      <c r="AM142" s="27" t="s">
        <v>135</v>
      </c>
      <c r="AN142" s="7" t="b">
        <f t="shared" si="19"/>
        <v>0</v>
      </c>
      <c r="AP142" s="211">
        <v>-99</v>
      </c>
      <c r="AQ142" s="211">
        <v>-99</v>
      </c>
      <c r="AS142" s="211">
        <v>-99</v>
      </c>
      <c r="AT142" s="211">
        <v>-99</v>
      </c>
      <c r="AU142" s="211">
        <v>-99</v>
      </c>
      <c r="AV142" s="211">
        <v>-99</v>
      </c>
      <c r="AW142" s="211">
        <v>-99</v>
      </c>
      <c r="AX142" s="211">
        <v>-99</v>
      </c>
      <c r="AZ142" s="211">
        <v>-99</v>
      </c>
      <c r="BA142" s="211">
        <v>-99</v>
      </c>
      <c r="BB142" s="211">
        <v>-99</v>
      </c>
      <c r="BC142" s="211">
        <v>-99</v>
      </c>
      <c r="BD142" s="211">
        <v>-99</v>
      </c>
      <c r="BE142" s="211">
        <v>-99</v>
      </c>
      <c r="BG142" s="211">
        <v>-99</v>
      </c>
      <c r="BH142" s="211">
        <v>-99</v>
      </c>
      <c r="BI142" s="211">
        <v>-99</v>
      </c>
      <c r="BJ142" s="211">
        <v>-99</v>
      </c>
      <c r="BK142" s="211">
        <v>-99</v>
      </c>
      <c r="BL142" s="211">
        <v>-99</v>
      </c>
      <c r="BM142" s="211">
        <v>-99</v>
      </c>
      <c r="BN142" s="191">
        <f t="shared" si="20"/>
        <v>5.8429439999999833E-2</v>
      </c>
      <c r="BO142" s="191">
        <f t="shared" si="21"/>
        <v>6.8432322499999865E-2</v>
      </c>
      <c r="BP142" s="191">
        <f t="shared" si="22"/>
        <v>4.2338902500000053E-2</v>
      </c>
      <c r="BQ142" s="171">
        <f t="shared" si="23"/>
        <v>6.4899999999999999E-2</v>
      </c>
      <c r="BR142" s="171">
        <f t="shared" si="24"/>
        <v>7.0000000000000007E-2</v>
      </c>
      <c r="BS142" s="171">
        <f t="shared" si="25"/>
        <v>5.7599999999999998E-2</v>
      </c>
      <c r="BT142" s="171">
        <f t="shared" si="26"/>
        <v>6.7299999999999999E-2</v>
      </c>
      <c r="BU142" s="171">
        <f t="shared" si="27"/>
        <v>4.1900000000000007E-2</v>
      </c>
    </row>
    <row r="143" spans="1:73" x14ac:dyDescent="0.3">
      <c r="A143" s="209">
        <v>35612</v>
      </c>
      <c r="B143" s="187">
        <v>199707</v>
      </c>
      <c r="C143" s="176">
        <v>6.11</v>
      </c>
      <c r="D143" s="176">
        <v>7</v>
      </c>
      <c r="E143" s="176">
        <v>3.95</v>
      </c>
      <c r="F143" s="177">
        <v>90.5</v>
      </c>
      <c r="G143" s="210">
        <v>1.857355126300142E-2</v>
      </c>
      <c r="H143" s="179">
        <v>5.51</v>
      </c>
      <c r="I143" s="179">
        <v>6.32</v>
      </c>
      <c r="J143" s="176"/>
      <c r="K143" s="182">
        <v>7.0000000000000007E-2</v>
      </c>
      <c r="L143" s="182">
        <v>5.5E-2</v>
      </c>
      <c r="N143" s="182">
        <v>7.4999999999999997E-2</v>
      </c>
      <c r="O143" s="182">
        <v>4.7500000000000001E-2</v>
      </c>
      <c r="Q143" s="182">
        <v>7.0000000000000007E-2</v>
      </c>
      <c r="R143" s="182">
        <v>8.2500000000000004E-2</v>
      </c>
      <c r="S143" s="182">
        <v>4.2500000000000003E-2</v>
      </c>
      <c r="T143" s="182">
        <v>5.2499999999999998E-2</v>
      </c>
      <c r="U143" s="182"/>
      <c r="V143" s="194">
        <v>7.2999999999999995E-2</v>
      </c>
      <c r="W143" s="194">
        <v>8.6000000000000007E-2</v>
      </c>
      <c r="X143" s="194">
        <v>4.8000000000000001E-2</v>
      </c>
      <c r="Y143" s="194">
        <v>5.6000000000000001E-2</v>
      </c>
      <c r="Z143" s="194"/>
      <c r="AA143" s="195">
        <v>7.2992250000000092E-2</v>
      </c>
      <c r="AB143" s="195">
        <v>8.6170968749999743E-2</v>
      </c>
      <c r="AC143" s="195">
        <v>4.7574769156605717E-2</v>
      </c>
      <c r="AD143" s="195">
        <v>5.5518950421697473E-2</v>
      </c>
      <c r="AE143" s="195"/>
      <c r="AF143" s="195">
        <v>1.2131583153657699E-2</v>
      </c>
      <c r="AG143" s="195">
        <v>1.4519880631255533E-2</v>
      </c>
      <c r="AI143" s="182">
        <v>5.5859002499999866E-2</v>
      </c>
      <c r="AJ143" s="182">
        <v>6.4198560000000127E-2</v>
      </c>
      <c r="AK143" s="182">
        <v>3.9890062499999823E-2</v>
      </c>
      <c r="AM143" s="27" t="s">
        <v>135</v>
      </c>
      <c r="AN143" s="7" t="b">
        <f t="shared" si="19"/>
        <v>0</v>
      </c>
      <c r="AP143" s="211">
        <v>-99</v>
      </c>
      <c r="AQ143" s="211">
        <v>-99</v>
      </c>
      <c r="AS143" s="211">
        <v>-99</v>
      </c>
      <c r="AT143" s="211">
        <v>-99</v>
      </c>
      <c r="AU143" s="211">
        <v>-99</v>
      </c>
      <c r="AV143" s="211">
        <v>-99</v>
      </c>
      <c r="AW143" s="211">
        <v>-99</v>
      </c>
      <c r="AX143" s="211">
        <v>-99</v>
      </c>
      <c r="AZ143" s="211">
        <v>-99</v>
      </c>
      <c r="BA143" s="211">
        <v>-99</v>
      </c>
      <c r="BB143" s="211">
        <v>-99</v>
      </c>
      <c r="BC143" s="211">
        <v>-99</v>
      </c>
      <c r="BD143" s="211">
        <v>-99</v>
      </c>
      <c r="BE143" s="211">
        <v>-99</v>
      </c>
      <c r="BG143" s="211">
        <v>-99</v>
      </c>
      <c r="BH143" s="211">
        <v>-99</v>
      </c>
      <c r="BI143" s="211">
        <v>-99</v>
      </c>
      <c r="BJ143" s="211">
        <v>-99</v>
      </c>
      <c r="BK143" s="211">
        <v>-99</v>
      </c>
      <c r="BL143" s="211">
        <v>-99</v>
      </c>
      <c r="BM143" s="211">
        <v>-99</v>
      </c>
      <c r="BN143" s="191">
        <f t="shared" si="20"/>
        <v>5.5859002499999866E-2</v>
      </c>
      <c r="BO143" s="191">
        <f t="shared" si="21"/>
        <v>6.4198560000000127E-2</v>
      </c>
      <c r="BP143" s="191">
        <f t="shared" si="22"/>
        <v>3.9890062499999823E-2</v>
      </c>
      <c r="BQ143" s="171">
        <f t="shared" si="23"/>
        <v>6.1100000000000002E-2</v>
      </c>
      <c r="BR143" s="171">
        <f t="shared" si="24"/>
        <v>7.0000000000000007E-2</v>
      </c>
      <c r="BS143" s="171">
        <f t="shared" si="25"/>
        <v>5.5099999999999996E-2</v>
      </c>
      <c r="BT143" s="171">
        <f t="shared" si="26"/>
        <v>6.3200000000000006E-2</v>
      </c>
      <c r="BU143" s="171">
        <f t="shared" si="27"/>
        <v>3.95E-2</v>
      </c>
    </row>
    <row r="144" spans="1:73" x14ac:dyDescent="0.3">
      <c r="A144" s="209">
        <v>35643</v>
      </c>
      <c r="B144" s="187">
        <v>199708</v>
      </c>
      <c r="C144" s="176">
        <v>6.38</v>
      </c>
      <c r="D144" s="176">
        <v>7</v>
      </c>
      <c r="E144" s="176">
        <v>4.21</v>
      </c>
      <c r="F144" s="177">
        <v>90.6</v>
      </c>
      <c r="G144" s="210">
        <v>1.8545994065281901E-2</v>
      </c>
      <c r="H144" s="179">
        <v>5.73</v>
      </c>
      <c r="I144" s="179">
        <v>6.63</v>
      </c>
      <c r="J144" s="176"/>
      <c r="K144" s="182">
        <v>6.5000000000000002E-2</v>
      </c>
      <c r="L144" s="182">
        <v>0.05</v>
      </c>
      <c r="N144" s="182">
        <v>7.0000000000000007E-2</v>
      </c>
      <c r="O144" s="182">
        <v>4.4999999999999998E-2</v>
      </c>
      <c r="Q144" s="182">
        <v>6.25E-2</v>
      </c>
      <c r="R144" s="182">
        <v>7.7499999999999999E-2</v>
      </c>
      <c r="S144" s="182">
        <v>0.04</v>
      </c>
      <c r="T144" s="182">
        <v>0.05</v>
      </c>
      <c r="U144" s="182"/>
      <c r="V144" s="194">
        <v>6.7000000000000004E-2</v>
      </c>
      <c r="W144" s="194">
        <v>8.2000000000000003E-2</v>
      </c>
      <c r="X144" s="194">
        <v>4.4999999999999998E-2</v>
      </c>
      <c r="Y144" s="194">
        <v>5.3999999999999999E-2</v>
      </c>
      <c r="Z144" s="194"/>
      <c r="AA144" s="195">
        <v>6.7429439999999841E-2</v>
      </c>
      <c r="AB144" s="195">
        <v>8.2433763749999889E-2</v>
      </c>
      <c r="AC144" s="195">
        <v>4.51501447402958E-2</v>
      </c>
      <c r="AD144" s="195">
        <v>5.4433281379852184E-2</v>
      </c>
      <c r="AE144" s="195"/>
      <c r="AF144" s="195">
        <v>1.0658418492225374E-2</v>
      </c>
      <c r="AG144" s="195">
        <v>1.3277503121632117E-2</v>
      </c>
      <c r="AI144" s="182">
        <v>5.8120822500000058E-2</v>
      </c>
      <c r="AJ144" s="182">
        <v>6.7398922500000014E-2</v>
      </c>
      <c r="AK144" s="182">
        <v>4.2543102500000041E-2</v>
      </c>
      <c r="AM144" s="27" t="s">
        <v>135</v>
      </c>
      <c r="AN144" s="7" t="b">
        <f t="shared" si="19"/>
        <v>0</v>
      </c>
      <c r="AP144" s="211">
        <v>-99</v>
      </c>
      <c r="AQ144" s="211">
        <v>-99</v>
      </c>
      <c r="AS144" s="211">
        <v>-99</v>
      </c>
      <c r="AT144" s="211">
        <v>-99</v>
      </c>
      <c r="AU144" s="211">
        <v>-99</v>
      </c>
      <c r="AV144" s="211">
        <v>-99</v>
      </c>
      <c r="AW144" s="211">
        <v>-99</v>
      </c>
      <c r="AX144" s="211">
        <v>-99</v>
      </c>
      <c r="AZ144" s="211">
        <v>-99</v>
      </c>
      <c r="BA144" s="211">
        <v>-99</v>
      </c>
      <c r="BB144" s="211">
        <v>-99</v>
      </c>
      <c r="BC144" s="211">
        <v>-99</v>
      </c>
      <c r="BD144" s="211">
        <v>-99</v>
      </c>
      <c r="BE144" s="211">
        <v>-99</v>
      </c>
      <c r="BG144" s="211">
        <v>-99</v>
      </c>
      <c r="BH144" s="211">
        <v>-99</v>
      </c>
      <c r="BI144" s="211">
        <v>-99</v>
      </c>
      <c r="BJ144" s="211">
        <v>-99</v>
      </c>
      <c r="BK144" s="211">
        <v>-99</v>
      </c>
      <c r="BL144" s="211">
        <v>-99</v>
      </c>
      <c r="BM144" s="211">
        <v>-99</v>
      </c>
      <c r="BN144" s="191">
        <f t="shared" si="20"/>
        <v>5.8120822500000058E-2</v>
      </c>
      <c r="BO144" s="191">
        <f t="shared" si="21"/>
        <v>6.7398922500000014E-2</v>
      </c>
      <c r="BP144" s="191">
        <f t="shared" si="22"/>
        <v>4.2543102500000041E-2</v>
      </c>
      <c r="BQ144" s="171">
        <f t="shared" si="23"/>
        <v>6.3799999999999996E-2</v>
      </c>
      <c r="BR144" s="171">
        <f t="shared" si="24"/>
        <v>7.0000000000000007E-2</v>
      </c>
      <c r="BS144" s="171">
        <f t="shared" si="25"/>
        <v>5.7300000000000004E-2</v>
      </c>
      <c r="BT144" s="171">
        <f t="shared" si="26"/>
        <v>6.6299999999999998E-2</v>
      </c>
      <c r="BU144" s="171">
        <f t="shared" si="27"/>
        <v>4.2099999999999999E-2</v>
      </c>
    </row>
    <row r="145" spans="1:73" x14ac:dyDescent="0.3">
      <c r="A145" s="209">
        <v>35674</v>
      </c>
      <c r="B145" s="187">
        <v>199709</v>
      </c>
      <c r="C145" s="176">
        <v>5.99</v>
      </c>
      <c r="D145" s="176">
        <v>6.85</v>
      </c>
      <c r="E145" s="176">
        <v>4.01</v>
      </c>
      <c r="F145" s="177">
        <v>90.6</v>
      </c>
      <c r="G145" s="210">
        <v>1.9273535952557319E-2</v>
      </c>
      <c r="H145" s="179">
        <v>5.38</v>
      </c>
      <c r="I145" s="179">
        <v>6.26</v>
      </c>
      <c r="J145" s="176"/>
      <c r="K145" s="182">
        <v>6.5000000000000002E-2</v>
      </c>
      <c r="L145" s="182">
        <v>0.05</v>
      </c>
      <c r="N145" s="182">
        <v>6.7500000000000004E-2</v>
      </c>
      <c r="O145" s="182">
        <v>4.2500000000000003E-2</v>
      </c>
      <c r="Q145" s="182">
        <v>0.06</v>
      </c>
      <c r="R145" s="182">
        <v>7.2499999999999995E-2</v>
      </c>
      <c r="S145" s="182">
        <v>0.04</v>
      </c>
      <c r="T145" s="182">
        <v>4.7500000000000001E-2</v>
      </c>
      <c r="U145" s="182"/>
      <c r="V145" s="194">
        <v>6.5000000000000002E-2</v>
      </c>
      <c r="W145" s="194">
        <v>7.6999999999999999E-2</v>
      </c>
      <c r="X145" s="194">
        <v>4.3999999999999997E-2</v>
      </c>
      <c r="Y145" s="194">
        <v>5.1000000000000004E-2</v>
      </c>
      <c r="Z145" s="194"/>
      <c r="AA145" s="195">
        <v>6.4859002499999874E-2</v>
      </c>
      <c r="AB145" s="195">
        <v>7.7368338750000265E-2</v>
      </c>
      <c r="AC145" s="195">
        <v>4.3708241133642821E-2</v>
      </c>
      <c r="AD145" s="195">
        <v>5.1480973183178326E-2</v>
      </c>
      <c r="AE145" s="195"/>
      <c r="AF145" s="195">
        <v>1.0132506639683014E-2</v>
      </c>
      <c r="AG145" s="195">
        <v>1.2309954353454722E-2</v>
      </c>
      <c r="AI145" s="182">
        <v>5.4523609999999945E-2</v>
      </c>
      <c r="AJ145" s="182">
        <v>6.35796900000003E-2</v>
      </c>
      <c r="AK145" s="182">
        <v>4.0502002499999801E-2</v>
      </c>
      <c r="AM145" s="27" t="s">
        <v>135</v>
      </c>
      <c r="AN145" s="7" t="b">
        <f t="shared" si="19"/>
        <v>0</v>
      </c>
      <c r="AP145" s="211">
        <v>-99</v>
      </c>
      <c r="AQ145" s="211">
        <v>-99</v>
      </c>
      <c r="AS145" s="211">
        <v>-99</v>
      </c>
      <c r="AT145" s="211">
        <v>-99</v>
      </c>
      <c r="AU145" s="211">
        <v>-99</v>
      </c>
      <c r="AV145" s="211">
        <v>-99</v>
      </c>
      <c r="AW145" s="211">
        <v>-99</v>
      </c>
      <c r="AX145" s="211">
        <v>-99</v>
      </c>
      <c r="AZ145" s="211">
        <v>-99</v>
      </c>
      <c r="BA145" s="211">
        <v>-99</v>
      </c>
      <c r="BB145" s="211">
        <v>-99</v>
      </c>
      <c r="BC145" s="211">
        <v>-99</v>
      </c>
      <c r="BD145" s="211">
        <v>-99</v>
      </c>
      <c r="BE145" s="211">
        <v>-99</v>
      </c>
      <c r="BG145" s="211">
        <v>-99</v>
      </c>
      <c r="BH145" s="211">
        <v>-99</v>
      </c>
      <c r="BI145" s="211">
        <v>-99</v>
      </c>
      <c r="BJ145" s="211">
        <v>-99</v>
      </c>
      <c r="BK145" s="211">
        <v>-99</v>
      </c>
      <c r="BL145" s="211">
        <v>-99</v>
      </c>
      <c r="BM145" s="211">
        <v>-99</v>
      </c>
      <c r="BN145" s="191">
        <f t="shared" si="20"/>
        <v>5.4523609999999945E-2</v>
      </c>
      <c r="BO145" s="191">
        <f t="shared" si="21"/>
        <v>6.35796900000003E-2</v>
      </c>
      <c r="BP145" s="191">
        <f t="shared" si="22"/>
        <v>4.0502002499999801E-2</v>
      </c>
      <c r="BQ145" s="171">
        <f t="shared" si="23"/>
        <v>5.9900000000000002E-2</v>
      </c>
      <c r="BR145" s="171">
        <f t="shared" si="24"/>
        <v>6.8499999999999991E-2</v>
      </c>
      <c r="BS145" s="171">
        <f t="shared" si="25"/>
        <v>5.3800000000000001E-2</v>
      </c>
      <c r="BT145" s="171">
        <f t="shared" si="26"/>
        <v>6.2600000000000003E-2</v>
      </c>
      <c r="BU145" s="171">
        <f t="shared" si="27"/>
        <v>4.0099999999999997E-2</v>
      </c>
    </row>
    <row r="146" spans="1:73" x14ac:dyDescent="0.3">
      <c r="A146" s="209">
        <v>35704</v>
      </c>
      <c r="B146" s="187">
        <v>199710</v>
      </c>
      <c r="C146" s="176">
        <v>5.8</v>
      </c>
      <c r="D146" s="176">
        <v>6.7</v>
      </c>
      <c r="E146" s="176">
        <v>4.0199999999999996</v>
      </c>
      <c r="F146" s="177">
        <v>90.6</v>
      </c>
      <c r="G146" s="210">
        <v>1.8504811250925179E-2</v>
      </c>
      <c r="H146" s="179">
        <v>5.2</v>
      </c>
      <c r="I146" s="179">
        <v>6.05</v>
      </c>
      <c r="J146" s="176"/>
      <c r="K146" s="182">
        <v>6.5000000000000002E-2</v>
      </c>
      <c r="L146" s="182">
        <v>0.05</v>
      </c>
      <c r="N146" s="182">
        <v>7.0000000000000007E-2</v>
      </c>
      <c r="O146" s="182">
        <v>4.4999999999999998E-2</v>
      </c>
      <c r="Q146" s="182">
        <v>6.25E-2</v>
      </c>
      <c r="R146" s="182">
        <v>7.7499999999999999E-2</v>
      </c>
      <c r="S146" s="182">
        <v>4.2500000000000003E-2</v>
      </c>
      <c r="T146" s="182">
        <v>0.05</v>
      </c>
      <c r="U146" s="182"/>
      <c r="V146" s="194">
        <v>6.7000000000000004E-2</v>
      </c>
      <c r="W146" s="194">
        <v>8.1000000000000003E-2</v>
      </c>
      <c r="X146" s="194">
        <v>4.5999999999999999E-2</v>
      </c>
      <c r="Y146" s="194">
        <v>5.3999999999999999E-2</v>
      </c>
      <c r="Z146" s="194"/>
      <c r="AA146" s="195">
        <v>6.7120822500000066E-2</v>
      </c>
      <c r="AB146" s="195">
        <v>8.10379725E-2</v>
      </c>
      <c r="AC146" s="195">
        <v>4.5686641526083899E-2</v>
      </c>
      <c r="AD146" s="195">
        <v>5.4471332986958117E-2</v>
      </c>
      <c r="AE146" s="195"/>
      <c r="AF146" s="195">
        <v>1.0248854734643542E-2</v>
      </c>
      <c r="AG146" s="195">
        <v>1.2597136916841278E-2</v>
      </c>
      <c r="AI146" s="182">
        <v>5.2675999999999945E-2</v>
      </c>
      <c r="AJ146" s="182">
        <v>6.1415062500000284E-2</v>
      </c>
      <c r="AK146" s="182">
        <v>4.0604010000000024E-2</v>
      </c>
      <c r="AM146" s="27" t="s">
        <v>135</v>
      </c>
      <c r="AN146" s="7" t="b">
        <f t="shared" si="19"/>
        <v>0</v>
      </c>
      <c r="AP146" s="211">
        <v>-99</v>
      </c>
      <c r="AQ146" s="211">
        <v>-99</v>
      </c>
      <c r="AS146" s="211">
        <v>-99</v>
      </c>
      <c r="AT146" s="211">
        <v>-99</v>
      </c>
      <c r="AU146" s="211">
        <v>-99</v>
      </c>
      <c r="AV146" s="211">
        <v>-99</v>
      </c>
      <c r="AW146" s="211">
        <v>-99</v>
      </c>
      <c r="AX146" s="211">
        <v>-99</v>
      </c>
      <c r="AZ146" s="211">
        <v>-99</v>
      </c>
      <c r="BA146" s="211">
        <v>-99</v>
      </c>
      <c r="BB146" s="211">
        <v>-99</v>
      </c>
      <c r="BC146" s="211">
        <v>-99</v>
      </c>
      <c r="BD146" s="211">
        <v>-99</v>
      </c>
      <c r="BE146" s="211">
        <v>-99</v>
      </c>
      <c r="BG146" s="211">
        <v>-99</v>
      </c>
      <c r="BH146" s="211">
        <v>-99</v>
      </c>
      <c r="BI146" s="211">
        <v>-99</v>
      </c>
      <c r="BJ146" s="211">
        <v>-99</v>
      </c>
      <c r="BK146" s="211">
        <v>-99</v>
      </c>
      <c r="BL146" s="211">
        <v>-99</v>
      </c>
      <c r="BM146" s="211">
        <v>-99</v>
      </c>
      <c r="BN146" s="191">
        <f t="shared" si="20"/>
        <v>5.2675999999999945E-2</v>
      </c>
      <c r="BO146" s="191">
        <f t="shared" si="21"/>
        <v>6.1415062500000284E-2</v>
      </c>
      <c r="BP146" s="191">
        <f t="shared" si="22"/>
        <v>4.0604010000000024E-2</v>
      </c>
      <c r="BQ146" s="171">
        <f t="shared" si="23"/>
        <v>5.7999999999999996E-2</v>
      </c>
      <c r="BR146" s="171">
        <f t="shared" si="24"/>
        <v>6.7000000000000004E-2</v>
      </c>
      <c r="BS146" s="171">
        <f t="shared" si="25"/>
        <v>5.2000000000000005E-2</v>
      </c>
      <c r="BT146" s="171">
        <f t="shared" si="26"/>
        <v>6.0499999999999998E-2</v>
      </c>
      <c r="BU146" s="171">
        <f t="shared" si="27"/>
        <v>4.0199999999999993E-2</v>
      </c>
    </row>
    <row r="147" spans="1:73" x14ac:dyDescent="0.3">
      <c r="A147" s="209">
        <v>35735</v>
      </c>
      <c r="B147" s="187">
        <v>199711</v>
      </c>
      <c r="C147" s="176">
        <v>5.78</v>
      </c>
      <c r="D147" s="176">
        <v>6.7</v>
      </c>
      <c r="E147" s="176">
        <v>4.05</v>
      </c>
      <c r="F147" s="177">
        <v>90.5</v>
      </c>
      <c r="G147" s="210">
        <v>1.6986706056129952E-2</v>
      </c>
      <c r="H147" s="179">
        <v>5.34</v>
      </c>
      <c r="I147" s="179">
        <v>5.96</v>
      </c>
      <c r="J147" s="176"/>
      <c r="K147" s="182">
        <v>0.06</v>
      </c>
      <c r="L147" s="182">
        <v>4.4999999999999998E-2</v>
      </c>
      <c r="N147" s="182">
        <v>6.5000000000000002E-2</v>
      </c>
      <c r="O147" s="182">
        <v>4.2500000000000003E-2</v>
      </c>
      <c r="Q147" s="182">
        <v>0.06</v>
      </c>
      <c r="R147" s="182">
        <v>7.2499999999999995E-2</v>
      </c>
      <c r="S147" s="182">
        <v>0.04</v>
      </c>
      <c r="T147" s="182">
        <v>4.7500000000000001E-2</v>
      </c>
      <c r="U147" s="182"/>
      <c r="V147" s="194">
        <v>6.4000000000000001E-2</v>
      </c>
      <c r="W147" s="194">
        <v>7.6999999999999999E-2</v>
      </c>
      <c r="X147" s="194">
        <v>4.3999999999999997E-2</v>
      </c>
      <c r="Y147" s="194">
        <v>5.2000000000000005E-2</v>
      </c>
      <c r="Z147" s="194"/>
      <c r="AA147" s="195">
        <v>6.3523609999999953E-2</v>
      </c>
      <c r="AB147" s="195">
        <v>7.7107730000000485E-2</v>
      </c>
      <c r="AC147" s="195">
        <v>4.3733031704448415E-2</v>
      </c>
      <c r="AD147" s="195">
        <v>5.2386487897775495E-2</v>
      </c>
      <c r="AE147" s="195"/>
      <c r="AF147" s="195">
        <v>9.4806706765008242E-3</v>
      </c>
      <c r="AG147" s="195">
        <v>1.1745324738826501E-2</v>
      </c>
      <c r="AI147" s="182">
        <v>5.4112889999999858E-2</v>
      </c>
      <c r="AJ147" s="182">
        <v>6.0488040000000076E-2</v>
      </c>
      <c r="AK147" s="182">
        <v>4.0910062500000288E-2</v>
      </c>
      <c r="AM147" s="27" t="s">
        <v>135</v>
      </c>
      <c r="AN147" s="7" t="b">
        <f t="shared" si="19"/>
        <v>0</v>
      </c>
      <c r="AP147" s="211">
        <v>-99</v>
      </c>
      <c r="AQ147" s="211">
        <v>-99</v>
      </c>
      <c r="AS147" s="211">
        <v>-99</v>
      </c>
      <c r="AT147" s="211">
        <v>-99</v>
      </c>
      <c r="AU147" s="211">
        <v>-99</v>
      </c>
      <c r="AV147" s="211">
        <v>-99</v>
      </c>
      <c r="AW147" s="211">
        <v>-99</v>
      </c>
      <c r="AX147" s="211">
        <v>-99</v>
      </c>
      <c r="AZ147" s="211">
        <v>-99</v>
      </c>
      <c r="BA147" s="211">
        <v>-99</v>
      </c>
      <c r="BB147" s="211">
        <v>-99</v>
      </c>
      <c r="BC147" s="211">
        <v>-99</v>
      </c>
      <c r="BD147" s="211">
        <v>-99</v>
      </c>
      <c r="BE147" s="211">
        <v>-99</v>
      </c>
      <c r="BG147" s="211">
        <v>-99</v>
      </c>
      <c r="BH147" s="211">
        <v>-99</v>
      </c>
      <c r="BI147" s="211">
        <v>-99</v>
      </c>
      <c r="BJ147" s="211">
        <v>-99</v>
      </c>
      <c r="BK147" s="211">
        <v>-99</v>
      </c>
      <c r="BL147" s="211">
        <v>-99</v>
      </c>
      <c r="BM147" s="211">
        <v>-99</v>
      </c>
      <c r="BN147" s="191">
        <f t="shared" si="20"/>
        <v>5.4112889999999858E-2</v>
      </c>
      <c r="BO147" s="191">
        <f t="shared" si="21"/>
        <v>6.0488040000000076E-2</v>
      </c>
      <c r="BP147" s="191">
        <f t="shared" si="22"/>
        <v>4.0910062500000288E-2</v>
      </c>
      <c r="BQ147" s="171">
        <f t="shared" si="23"/>
        <v>5.7800000000000004E-2</v>
      </c>
      <c r="BR147" s="171">
        <f t="shared" si="24"/>
        <v>6.7000000000000004E-2</v>
      </c>
      <c r="BS147" s="171">
        <f t="shared" si="25"/>
        <v>5.3399999999999996E-2</v>
      </c>
      <c r="BT147" s="171">
        <f t="shared" si="26"/>
        <v>5.96E-2</v>
      </c>
      <c r="BU147" s="171">
        <f t="shared" si="27"/>
        <v>4.0500000000000001E-2</v>
      </c>
    </row>
    <row r="148" spans="1:73" x14ac:dyDescent="0.3">
      <c r="A148" s="212">
        <v>35765</v>
      </c>
      <c r="B148" s="187">
        <v>199712</v>
      </c>
      <c r="C148" s="213">
        <v>5.8</v>
      </c>
      <c r="D148" s="213">
        <v>7.05</v>
      </c>
      <c r="E148" s="213">
        <v>4.1399999999999997</v>
      </c>
      <c r="F148" s="177">
        <v>90.4</v>
      </c>
      <c r="G148" s="214">
        <v>1.6224188790560534E-2</v>
      </c>
      <c r="H148" s="215">
        <v>5.48</v>
      </c>
      <c r="I148" s="215">
        <v>5.95</v>
      </c>
      <c r="J148" s="213"/>
      <c r="K148" s="216">
        <v>0.06</v>
      </c>
      <c r="L148" s="216">
        <v>4.4999999999999998E-2</v>
      </c>
      <c r="M148" s="216"/>
      <c r="N148" s="216">
        <v>6.5000000000000002E-2</v>
      </c>
      <c r="O148" s="216">
        <v>4.2500000000000003E-2</v>
      </c>
      <c r="P148" s="217"/>
      <c r="Q148" s="182">
        <v>5.7500000000000002E-2</v>
      </c>
      <c r="R148" s="182">
        <v>7.0000000000000007E-2</v>
      </c>
      <c r="S148" s="182">
        <v>0.04</v>
      </c>
      <c r="T148" s="182">
        <v>4.7500000000000001E-2</v>
      </c>
      <c r="U148" s="182"/>
      <c r="V148" s="194">
        <v>6.2E-2</v>
      </c>
      <c r="W148" s="194">
        <v>7.4999999999999997E-2</v>
      </c>
      <c r="X148" s="194">
        <v>4.3999999999999997E-2</v>
      </c>
      <c r="Y148" s="194">
        <v>5.2000000000000005E-2</v>
      </c>
      <c r="Z148" s="194"/>
      <c r="AA148" s="195">
        <v>6.1675999999999946E-2</v>
      </c>
      <c r="AB148" s="195">
        <v>7.4784593750000461E-2</v>
      </c>
      <c r="AC148" s="195">
        <v>4.3826258310166004E-2</v>
      </c>
      <c r="AD148" s="195">
        <v>5.2492885844917035E-2</v>
      </c>
      <c r="AE148" s="195"/>
      <c r="AF148" s="195">
        <v>8.5501497724009834E-3</v>
      </c>
      <c r="AG148" s="195">
        <v>1.0589956571149806E-2</v>
      </c>
      <c r="AI148" s="182">
        <v>5.5550760000000254E-2</v>
      </c>
      <c r="AJ148" s="182">
        <v>6.0385062499999975E-2</v>
      </c>
      <c r="AK148" s="182">
        <v>4.1828489999999885E-2</v>
      </c>
      <c r="AM148" s="27" t="s">
        <v>135</v>
      </c>
      <c r="AN148" s="7" t="b">
        <f t="shared" si="19"/>
        <v>0</v>
      </c>
      <c r="AP148" s="211">
        <v>-99</v>
      </c>
      <c r="AQ148" s="211">
        <v>-99</v>
      </c>
      <c r="AS148" s="211">
        <v>-99</v>
      </c>
      <c r="AT148" s="211">
        <v>-99</v>
      </c>
      <c r="AU148" s="211">
        <v>-99</v>
      </c>
      <c r="AV148" s="211">
        <v>-99</v>
      </c>
      <c r="AW148" s="211">
        <v>-99</v>
      </c>
      <c r="AX148" s="211">
        <v>-99</v>
      </c>
      <c r="AZ148" s="211">
        <v>-99</v>
      </c>
      <c r="BA148" s="211">
        <v>-99</v>
      </c>
      <c r="BB148" s="211">
        <v>-99</v>
      </c>
      <c r="BC148" s="211">
        <v>-99</v>
      </c>
      <c r="BD148" s="211">
        <v>-99</v>
      </c>
      <c r="BE148" s="211">
        <v>-99</v>
      </c>
      <c r="BG148" s="211">
        <v>-99</v>
      </c>
      <c r="BH148" s="211">
        <v>-99</v>
      </c>
      <c r="BI148" s="211">
        <v>-99</v>
      </c>
      <c r="BJ148" s="211">
        <v>-99</v>
      </c>
      <c r="BK148" s="211">
        <v>-99</v>
      </c>
      <c r="BL148" s="211">
        <v>-99</v>
      </c>
      <c r="BM148" s="211">
        <v>-99</v>
      </c>
      <c r="BN148" s="191">
        <f t="shared" si="20"/>
        <v>5.5550760000000254E-2</v>
      </c>
      <c r="BO148" s="191">
        <f t="shared" si="21"/>
        <v>6.0385062499999975E-2</v>
      </c>
      <c r="BP148" s="191">
        <f t="shared" si="22"/>
        <v>4.1828489999999885E-2</v>
      </c>
      <c r="BQ148" s="171">
        <f t="shared" si="23"/>
        <v>5.7999999999999996E-2</v>
      </c>
      <c r="BR148" s="171">
        <f t="shared" si="24"/>
        <v>7.0499999999999993E-2</v>
      </c>
      <c r="BS148" s="171">
        <f t="shared" si="25"/>
        <v>5.4800000000000001E-2</v>
      </c>
      <c r="BT148" s="171">
        <f t="shared" si="26"/>
        <v>5.9500000000000004E-2</v>
      </c>
      <c r="BU148" s="171">
        <f t="shared" si="27"/>
        <v>4.1399999999999999E-2</v>
      </c>
    </row>
    <row r="149" spans="1:73" x14ac:dyDescent="0.3">
      <c r="A149" s="209">
        <v>35796</v>
      </c>
      <c r="B149" s="187">
        <v>199801</v>
      </c>
      <c r="C149" s="176">
        <v>5.63</v>
      </c>
      <c r="D149" s="176">
        <v>6.85</v>
      </c>
      <c r="E149" s="176">
        <v>4.1100000000000003</v>
      </c>
      <c r="F149" s="177">
        <v>90.9</v>
      </c>
      <c r="G149" s="210">
        <v>1.5463917525773141E-2</v>
      </c>
      <c r="H149" s="179">
        <v>5.23</v>
      </c>
      <c r="I149" s="179">
        <v>5.81</v>
      </c>
      <c r="J149" s="176"/>
      <c r="K149" s="182">
        <v>0.06</v>
      </c>
      <c r="L149" s="182">
        <v>0.05</v>
      </c>
      <c r="N149" s="182">
        <v>6.5000000000000002E-2</v>
      </c>
      <c r="O149" s="182">
        <v>4.2500000000000003E-2</v>
      </c>
      <c r="Q149" s="182">
        <v>0.06</v>
      </c>
      <c r="R149" s="182">
        <v>6.7500000000000004E-2</v>
      </c>
      <c r="S149" s="182">
        <v>4.2500000000000003E-2</v>
      </c>
      <c r="T149" s="182">
        <v>4.7500000000000001E-2</v>
      </c>
      <c r="U149" s="182"/>
      <c r="V149" s="194">
        <v>6.3E-2</v>
      </c>
      <c r="W149" s="194">
        <v>7.2999999999999995E-2</v>
      </c>
      <c r="X149" s="194">
        <v>4.5999999999999999E-2</v>
      </c>
      <c r="Y149" s="194">
        <v>5.2000000000000005E-2</v>
      </c>
      <c r="Z149" s="194"/>
      <c r="AA149" s="195">
        <v>6.3112889999999866E-2</v>
      </c>
      <c r="AB149" s="195">
        <v>7.2675615000000193E-2</v>
      </c>
      <c r="AC149" s="195">
        <v>4.5598337654115292E-2</v>
      </c>
      <c r="AD149" s="195">
        <v>5.2065924922942784E-2</v>
      </c>
      <c r="AE149" s="195"/>
      <c r="AF149" s="195">
        <v>8.3753730831189754E-3</v>
      </c>
      <c r="AG149" s="195">
        <v>9.7948662668486675E-3</v>
      </c>
      <c r="AI149" s="182">
        <v>5.2983822499999889E-2</v>
      </c>
      <c r="AJ149" s="182">
        <v>5.8943902500000034E-2</v>
      </c>
      <c r="AK149" s="182">
        <v>4.1522302500000219E-2</v>
      </c>
      <c r="AM149" s="27" t="s">
        <v>135</v>
      </c>
      <c r="AN149" s="7" t="b">
        <f t="shared" si="19"/>
        <v>0</v>
      </c>
      <c r="AP149" s="211">
        <v>-99</v>
      </c>
      <c r="AQ149" s="211">
        <v>-99</v>
      </c>
      <c r="AS149" s="211">
        <v>-99</v>
      </c>
      <c r="AT149" s="211">
        <v>-99</v>
      </c>
      <c r="AU149" s="211">
        <v>-99</v>
      </c>
      <c r="AV149" s="211">
        <v>-99</v>
      </c>
      <c r="AW149" s="211">
        <v>-99</v>
      </c>
      <c r="AX149" s="211">
        <v>-99</v>
      </c>
      <c r="AZ149" s="211">
        <v>-99</v>
      </c>
      <c r="BA149" s="211">
        <v>-99</v>
      </c>
      <c r="BB149" s="211">
        <v>-99</v>
      </c>
      <c r="BC149" s="211">
        <v>-99</v>
      </c>
      <c r="BD149" s="211">
        <v>-99</v>
      </c>
      <c r="BE149" s="211">
        <v>-99</v>
      </c>
      <c r="BG149" s="211">
        <v>-99</v>
      </c>
      <c r="BH149" s="211">
        <v>-99</v>
      </c>
      <c r="BI149" s="211">
        <v>-99</v>
      </c>
      <c r="BJ149" s="211">
        <v>-99</v>
      </c>
      <c r="BK149" s="211">
        <v>-99</v>
      </c>
      <c r="BL149" s="211">
        <v>-99</v>
      </c>
      <c r="BM149" s="211">
        <v>-99</v>
      </c>
      <c r="BN149" s="191">
        <f t="shared" si="20"/>
        <v>5.2983822499999889E-2</v>
      </c>
      <c r="BO149" s="191">
        <f t="shared" si="21"/>
        <v>5.8943902500000034E-2</v>
      </c>
      <c r="BP149" s="191">
        <f t="shared" si="22"/>
        <v>4.1522302500000219E-2</v>
      </c>
      <c r="BQ149" s="171">
        <f t="shared" si="23"/>
        <v>5.6299999999999996E-2</v>
      </c>
      <c r="BR149" s="171">
        <f t="shared" si="24"/>
        <v>6.8499999999999991E-2</v>
      </c>
      <c r="BS149" s="171">
        <f t="shared" si="25"/>
        <v>5.2300000000000006E-2</v>
      </c>
      <c r="BT149" s="171">
        <f t="shared" si="26"/>
        <v>5.8099999999999999E-2</v>
      </c>
      <c r="BU149" s="171">
        <f t="shared" si="27"/>
        <v>4.1100000000000005E-2</v>
      </c>
    </row>
    <row r="150" spans="1:73" x14ac:dyDescent="0.3">
      <c r="A150" s="209">
        <v>35827</v>
      </c>
      <c r="B150" s="187">
        <v>199802</v>
      </c>
      <c r="C150" s="176">
        <v>5.64</v>
      </c>
      <c r="D150" s="176">
        <v>6.85</v>
      </c>
      <c r="E150" s="176">
        <v>4.0599999999999996</v>
      </c>
      <c r="F150" s="177">
        <v>91</v>
      </c>
      <c r="G150" s="210">
        <v>1.3960323291697385E-2</v>
      </c>
      <c r="H150" s="179">
        <v>5.35</v>
      </c>
      <c r="I150" s="179">
        <v>5.78</v>
      </c>
      <c r="J150" s="176"/>
      <c r="K150" s="182">
        <v>0.06</v>
      </c>
      <c r="L150" s="182">
        <v>0.05</v>
      </c>
      <c r="N150" s="182">
        <v>6.5000000000000002E-2</v>
      </c>
      <c r="O150" s="182">
        <v>4.4999999999999998E-2</v>
      </c>
      <c r="Q150" s="182">
        <v>0.06</v>
      </c>
      <c r="R150" s="182">
        <v>6.7500000000000004E-2</v>
      </c>
      <c r="S150" s="182">
        <v>4.2500000000000003E-2</v>
      </c>
      <c r="T150" s="182">
        <v>4.7500000000000001E-2</v>
      </c>
      <c r="U150" s="182"/>
      <c r="V150" s="194">
        <v>6.5000000000000002E-2</v>
      </c>
      <c r="W150" s="194">
        <v>7.2000000000000008E-2</v>
      </c>
      <c r="X150" s="194">
        <v>4.7E-2</v>
      </c>
      <c r="Y150" s="194">
        <v>5.2999999999999999E-2</v>
      </c>
      <c r="Z150" s="194"/>
      <c r="AA150" s="195">
        <v>6.4550760000000262E-2</v>
      </c>
      <c r="AB150" s="195">
        <v>7.1802213749999844E-2</v>
      </c>
      <c r="AC150" s="195">
        <v>4.7479788095812686E-2</v>
      </c>
      <c r="AD150" s="195">
        <v>5.2502840952093489E-2</v>
      </c>
      <c r="AE150" s="195"/>
      <c r="AF150" s="195">
        <v>8.148592506601271E-3</v>
      </c>
      <c r="AG150" s="195">
        <v>9.1683233749982884E-3</v>
      </c>
      <c r="AI150" s="182">
        <v>5.4215562500000036E-2</v>
      </c>
      <c r="AJ150" s="182">
        <v>5.8635209999999827E-2</v>
      </c>
      <c r="AK150" s="182">
        <v>4.1012089999999946E-2</v>
      </c>
      <c r="AM150" s="27" t="s">
        <v>135</v>
      </c>
      <c r="AN150" s="7" t="b">
        <f t="shared" si="19"/>
        <v>0</v>
      </c>
      <c r="AP150" s="211">
        <v>-99</v>
      </c>
      <c r="AQ150" s="211">
        <v>-99</v>
      </c>
      <c r="AS150" s="211">
        <v>-99</v>
      </c>
      <c r="AT150" s="211">
        <v>-99</v>
      </c>
      <c r="AU150" s="211">
        <v>-99</v>
      </c>
      <c r="AV150" s="211">
        <v>-99</v>
      </c>
      <c r="AW150" s="211">
        <v>-99</v>
      </c>
      <c r="AX150" s="211">
        <v>-99</v>
      </c>
      <c r="AZ150" s="211">
        <v>-99</v>
      </c>
      <c r="BA150" s="211">
        <v>-99</v>
      </c>
      <c r="BB150" s="211">
        <v>-99</v>
      </c>
      <c r="BC150" s="211">
        <v>-99</v>
      </c>
      <c r="BD150" s="211">
        <v>-99</v>
      </c>
      <c r="BE150" s="211">
        <v>-99</v>
      </c>
      <c r="BG150" s="211">
        <v>-99</v>
      </c>
      <c r="BH150" s="211">
        <v>-99</v>
      </c>
      <c r="BI150" s="211">
        <v>-99</v>
      </c>
      <c r="BJ150" s="211">
        <v>-99</v>
      </c>
      <c r="BK150" s="211">
        <v>-99</v>
      </c>
      <c r="BL150" s="211">
        <v>-99</v>
      </c>
      <c r="BM150" s="211">
        <v>-99</v>
      </c>
      <c r="BN150" s="191">
        <f t="shared" si="20"/>
        <v>5.4215562500000036E-2</v>
      </c>
      <c r="BO150" s="191">
        <f t="shared" si="21"/>
        <v>5.8635209999999827E-2</v>
      </c>
      <c r="BP150" s="191">
        <f t="shared" si="22"/>
        <v>4.1012089999999946E-2</v>
      </c>
      <c r="BQ150" s="171">
        <f t="shared" si="23"/>
        <v>5.6399999999999999E-2</v>
      </c>
      <c r="BR150" s="171">
        <f t="shared" si="24"/>
        <v>6.8499999999999991E-2</v>
      </c>
      <c r="BS150" s="171">
        <f t="shared" si="25"/>
        <v>5.3499999999999999E-2</v>
      </c>
      <c r="BT150" s="171">
        <f t="shared" si="26"/>
        <v>5.7800000000000004E-2</v>
      </c>
      <c r="BU150" s="171">
        <f t="shared" si="27"/>
        <v>4.0599999999999997E-2</v>
      </c>
    </row>
    <row r="151" spans="1:73" x14ac:dyDescent="0.3">
      <c r="A151" s="209">
        <v>35855</v>
      </c>
      <c r="B151" s="187">
        <v>199803</v>
      </c>
      <c r="C151" s="176">
        <v>5.54</v>
      </c>
      <c r="D151" s="176">
        <v>6.85</v>
      </c>
      <c r="E151" s="176">
        <v>4.03</v>
      </c>
      <c r="F151" s="177">
        <v>91.1</v>
      </c>
      <c r="G151" s="210">
        <v>1.3206162876008731E-2</v>
      </c>
      <c r="H151" s="179">
        <v>5.2</v>
      </c>
      <c r="I151" s="179">
        <v>5.7</v>
      </c>
      <c r="J151" s="176"/>
      <c r="K151" s="182">
        <v>0.06</v>
      </c>
      <c r="L151" s="182">
        <v>0.05</v>
      </c>
      <c r="N151" s="182">
        <v>6.25E-2</v>
      </c>
      <c r="O151" s="182">
        <v>4.4999999999999998E-2</v>
      </c>
      <c r="Q151" s="182">
        <v>5.7500000000000002E-2</v>
      </c>
      <c r="R151" s="182">
        <v>6.7500000000000004E-2</v>
      </c>
      <c r="S151" s="182">
        <v>4.2500000000000003E-2</v>
      </c>
      <c r="T151" s="182">
        <v>4.7500000000000001E-2</v>
      </c>
      <c r="U151" s="182"/>
      <c r="V151" s="194">
        <v>6.2E-2</v>
      </c>
      <c r="W151" s="194">
        <v>7.1000000000000008E-2</v>
      </c>
      <c r="X151" s="194">
        <v>4.5999999999999999E-2</v>
      </c>
      <c r="Y151" s="194">
        <v>5.2999999999999999E-2</v>
      </c>
      <c r="Z151" s="194"/>
      <c r="AA151" s="195">
        <v>6.198382249999989E-2</v>
      </c>
      <c r="AB151" s="195">
        <v>7.0923942500000114E-2</v>
      </c>
      <c r="AC151" s="195">
        <v>4.6323797918729794E-2</v>
      </c>
      <c r="AD151" s="195">
        <v>5.2621554790635433E-2</v>
      </c>
      <c r="AE151" s="195"/>
      <c r="AF151" s="195">
        <v>7.4833548717995191E-3</v>
      </c>
      <c r="AG151" s="195">
        <v>8.6937169517704582E-3</v>
      </c>
      <c r="AI151" s="182">
        <v>5.2675999999999945E-2</v>
      </c>
      <c r="AJ151" s="182">
        <v>5.7812250000000009E-2</v>
      </c>
      <c r="AK151" s="182">
        <v>4.0706022500000216E-2</v>
      </c>
      <c r="AM151" s="27" t="s">
        <v>135</v>
      </c>
      <c r="AN151" s="7" t="b">
        <f t="shared" si="19"/>
        <v>0</v>
      </c>
      <c r="AP151" s="211">
        <v>-99</v>
      </c>
      <c r="AQ151" s="211">
        <v>-99</v>
      </c>
      <c r="AS151" s="211">
        <v>-99</v>
      </c>
      <c r="AT151" s="211">
        <v>-99</v>
      </c>
      <c r="AU151" s="211">
        <v>-99</v>
      </c>
      <c r="AV151" s="211">
        <v>-99</v>
      </c>
      <c r="AW151" s="211">
        <v>-99</v>
      </c>
      <c r="AX151" s="211">
        <v>-99</v>
      </c>
      <c r="AZ151" s="211">
        <v>-99</v>
      </c>
      <c r="BA151" s="211">
        <v>-99</v>
      </c>
      <c r="BB151" s="211">
        <v>-99</v>
      </c>
      <c r="BC151" s="211">
        <v>-99</v>
      </c>
      <c r="BD151" s="211">
        <v>-99</v>
      </c>
      <c r="BE151" s="211">
        <v>-99</v>
      </c>
      <c r="BG151" s="211">
        <v>-99</v>
      </c>
      <c r="BH151" s="211">
        <v>-99</v>
      </c>
      <c r="BI151" s="211">
        <v>-99</v>
      </c>
      <c r="BJ151" s="211">
        <v>-99</v>
      </c>
      <c r="BK151" s="211">
        <v>-99</v>
      </c>
      <c r="BL151" s="211">
        <v>-99</v>
      </c>
      <c r="BM151" s="211">
        <v>-99</v>
      </c>
      <c r="BN151" s="191">
        <f t="shared" si="20"/>
        <v>5.2675999999999945E-2</v>
      </c>
      <c r="BO151" s="191">
        <f t="shared" si="21"/>
        <v>5.7812250000000009E-2</v>
      </c>
      <c r="BP151" s="191">
        <f t="shared" si="22"/>
        <v>4.0706022500000216E-2</v>
      </c>
      <c r="BQ151" s="171">
        <f t="shared" si="23"/>
        <v>5.5399999999999998E-2</v>
      </c>
      <c r="BR151" s="171">
        <f t="shared" si="24"/>
        <v>6.8499999999999991E-2</v>
      </c>
      <c r="BS151" s="171">
        <f t="shared" si="25"/>
        <v>5.2000000000000005E-2</v>
      </c>
      <c r="BT151" s="171">
        <f t="shared" si="26"/>
        <v>5.7000000000000002E-2</v>
      </c>
      <c r="BU151" s="171">
        <f t="shared" si="27"/>
        <v>4.0300000000000002E-2</v>
      </c>
    </row>
    <row r="152" spans="1:73" x14ac:dyDescent="0.3">
      <c r="A152" s="209">
        <v>35886</v>
      </c>
      <c r="B152" s="187">
        <v>199804</v>
      </c>
      <c r="C152" s="176">
        <v>5.64</v>
      </c>
      <c r="D152" s="176">
        <v>6.95</v>
      </c>
      <c r="E152" s="176">
        <v>3.95</v>
      </c>
      <c r="F152" s="177">
        <v>91</v>
      </c>
      <c r="G152" s="210">
        <v>1.245421245421241E-2</v>
      </c>
      <c r="H152" s="179">
        <v>5.39</v>
      </c>
      <c r="I152" s="179">
        <v>5.76</v>
      </c>
      <c r="J152" s="176"/>
      <c r="K152" s="182">
        <v>0.06</v>
      </c>
      <c r="L152" s="182">
        <v>0.05</v>
      </c>
      <c r="N152" s="182">
        <v>6.25E-2</v>
      </c>
      <c r="O152" s="182">
        <v>4.2500000000000003E-2</v>
      </c>
      <c r="Q152" s="182">
        <v>0.06</v>
      </c>
      <c r="R152" s="182">
        <v>6.5000000000000002E-2</v>
      </c>
      <c r="S152" s="182">
        <v>4.2500000000000003E-2</v>
      </c>
      <c r="T152" s="182">
        <v>4.7500000000000001E-2</v>
      </c>
      <c r="U152" s="182"/>
      <c r="V152" s="194">
        <v>6.3E-2</v>
      </c>
      <c r="W152" s="194">
        <v>7.0000000000000007E-2</v>
      </c>
      <c r="X152" s="194">
        <v>4.7E-2</v>
      </c>
      <c r="Y152" s="194">
        <v>5.2000000000000005E-2</v>
      </c>
      <c r="Z152" s="194"/>
      <c r="AA152" s="195">
        <v>6.3215562500000044E-2</v>
      </c>
      <c r="AB152" s="195">
        <v>6.984503374999973E-2</v>
      </c>
      <c r="AC152" s="195">
        <v>4.6920790744172831E-2</v>
      </c>
      <c r="AD152" s="195">
        <v>5.1557739627913504E-2</v>
      </c>
      <c r="AE152" s="195"/>
      <c r="AF152" s="195">
        <v>7.7822371567596305E-3</v>
      </c>
      <c r="AG152" s="195">
        <v>8.6953352312146848E-3</v>
      </c>
      <c r="AI152" s="182">
        <v>5.4626302500000001E-2</v>
      </c>
      <c r="AJ152" s="182">
        <v>5.8429439999999833E-2</v>
      </c>
      <c r="AK152" s="182">
        <v>3.9890062499999823E-2</v>
      </c>
      <c r="AM152" s="27" t="s">
        <v>135</v>
      </c>
      <c r="AN152" s="7" t="b">
        <f t="shared" si="19"/>
        <v>0</v>
      </c>
      <c r="AP152" s="211">
        <v>-99</v>
      </c>
      <c r="AQ152" s="211">
        <v>-99</v>
      </c>
      <c r="AS152" s="211">
        <v>-99</v>
      </c>
      <c r="AT152" s="211">
        <v>-99</v>
      </c>
      <c r="AU152" s="211">
        <v>-99</v>
      </c>
      <c r="AV152" s="211">
        <v>-99</v>
      </c>
      <c r="AW152" s="211">
        <v>-99</v>
      </c>
      <c r="AX152" s="211">
        <v>-99</v>
      </c>
      <c r="AZ152" s="211">
        <v>-99</v>
      </c>
      <c r="BA152" s="211">
        <v>-99</v>
      </c>
      <c r="BB152" s="211">
        <v>-99</v>
      </c>
      <c r="BC152" s="211">
        <v>-99</v>
      </c>
      <c r="BD152" s="211">
        <v>-99</v>
      </c>
      <c r="BE152" s="211">
        <v>-99</v>
      </c>
      <c r="BG152" s="211">
        <v>-99</v>
      </c>
      <c r="BH152" s="211">
        <v>-99</v>
      </c>
      <c r="BI152" s="211">
        <v>-99</v>
      </c>
      <c r="BJ152" s="211">
        <v>-99</v>
      </c>
      <c r="BK152" s="211">
        <v>-99</v>
      </c>
      <c r="BL152" s="211">
        <v>-99</v>
      </c>
      <c r="BM152" s="211">
        <v>-99</v>
      </c>
      <c r="BN152" s="191">
        <f t="shared" si="20"/>
        <v>5.4626302500000001E-2</v>
      </c>
      <c r="BO152" s="191">
        <f t="shared" si="21"/>
        <v>5.8429439999999833E-2</v>
      </c>
      <c r="BP152" s="191">
        <f t="shared" si="22"/>
        <v>3.9890062499999823E-2</v>
      </c>
      <c r="BQ152" s="171">
        <f t="shared" si="23"/>
        <v>5.6399999999999999E-2</v>
      </c>
      <c r="BR152" s="171">
        <f t="shared" si="24"/>
        <v>6.9500000000000006E-2</v>
      </c>
      <c r="BS152" s="171">
        <f t="shared" si="25"/>
        <v>5.3899999999999997E-2</v>
      </c>
      <c r="BT152" s="171">
        <f t="shared" si="26"/>
        <v>5.7599999999999998E-2</v>
      </c>
      <c r="BU152" s="171">
        <f t="shared" si="27"/>
        <v>3.95E-2</v>
      </c>
    </row>
    <row r="153" spans="1:73" x14ac:dyDescent="0.3">
      <c r="A153" s="209">
        <v>35916</v>
      </c>
      <c r="B153" s="187">
        <v>199805</v>
      </c>
      <c r="C153" s="176">
        <v>5.49</v>
      </c>
      <c r="D153" s="176">
        <v>6.95</v>
      </c>
      <c r="E153" s="176">
        <v>3.9</v>
      </c>
      <c r="F153" s="177">
        <v>91.3</v>
      </c>
      <c r="G153" s="210">
        <v>1.2435991221653397E-2</v>
      </c>
      <c r="H153" s="179">
        <v>5.27</v>
      </c>
      <c r="I153" s="179">
        <v>5.61</v>
      </c>
      <c r="J153" s="176"/>
      <c r="K153" s="182">
        <v>0.06</v>
      </c>
      <c r="L153" s="182">
        <v>5.5E-2</v>
      </c>
      <c r="N153" s="182">
        <v>6.25E-2</v>
      </c>
      <c r="O153" s="182">
        <v>4.2500000000000003E-2</v>
      </c>
      <c r="Q153" s="182">
        <v>5.7500000000000002E-2</v>
      </c>
      <c r="R153" s="182">
        <v>6.5000000000000002E-2</v>
      </c>
      <c r="S153" s="182">
        <v>4.2500000000000003E-2</v>
      </c>
      <c r="T153" s="182">
        <v>4.7500000000000001E-2</v>
      </c>
      <c r="U153" s="182"/>
      <c r="V153" s="194">
        <v>6.2E-2</v>
      </c>
      <c r="W153" s="194">
        <v>6.9000000000000006E-2</v>
      </c>
      <c r="X153" s="194">
        <v>4.5999999999999999E-2</v>
      </c>
      <c r="Y153" s="194">
        <v>5.2000000000000005E-2</v>
      </c>
      <c r="Z153" s="194"/>
      <c r="AA153" s="195">
        <v>6.1675999999999946E-2</v>
      </c>
      <c r="AB153" s="195">
        <v>6.938037500000005E-2</v>
      </c>
      <c r="AC153" s="195">
        <v>4.6089551802775512E-2</v>
      </c>
      <c r="AD153" s="195">
        <v>5.151425784861257E-2</v>
      </c>
      <c r="AE153" s="195"/>
      <c r="AF153" s="195">
        <v>7.449863240849397E-3</v>
      </c>
      <c r="AG153" s="195">
        <v>8.4954231566681804E-3</v>
      </c>
      <c r="AI153" s="182">
        <v>5.3394322500000202E-2</v>
      </c>
      <c r="AJ153" s="182">
        <v>5.6886802499999778E-2</v>
      </c>
      <c r="AK153" s="182">
        <v>3.9380250000000228E-2</v>
      </c>
      <c r="AM153" s="27" t="s">
        <v>135</v>
      </c>
      <c r="AN153" s="7" t="b">
        <f t="shared" si="19"/>
        <v>0</v>
      </c>
      <c r="AP153" s="211">
        <v>-99</v>
      </c>
      <c r="AQ153" s="211">
        <v>-99</v>
      </c>
      <c r="AS153" s="211">
        <v>-99</v>
      </c>
      <c r="AT153" s="211">
        <v>-99</v>
      </c>
      <c r="AU153" s="211">
        <v>-99</v>
      </c>
      <c r="AV153" s="211">
        <v>-99</v>
      </c>
      <c r="AW153" s="211">
        <v>-99</v>
      </c>
      <c r="AX153" s="211">
        <v>-99</v>
      </c>
      <c r="AZ153" s="211">
        <v>-99</v>
      </c>
      <c r="BA153" s="211">
        <v>-99</v>
      </c>
      <c r="BB153" s="211">
        <v>-99</v>
      </c>
      <c r="BC153" s="211">
        <v>-99</v>
      </c>
      <c r="BD153" s="211">
        <v>-99</v>
      </c>
      <c r="BE153" s="211">
        <v>-99</v>
      </c>
      <c r="BG153" s="211">
        <v>-99</v>
      </c>
      <c r="BH153" s="211">
        <v>-99</v>
      </c>
      <c r="BI153" s="211">
        <v>-99</v>
      </c>
      <c r="BJ153" s="211">
        <v>-99</v>
      </c>
      <c r="BK153" s="211">
        <v>-99</v>
      </c>
      <c r="BL153" s="211">
        <v>-99</v>
      </c>
      <c r="BM153" s="211">
        <v>-99</v>
      </c>
      <c r="BN153" s="191">
        <f t="shared" si="20"/>
        <v>5.3394322500000202E-2</v>
      </c>
      <c r="BO153" s="191">
        <f t="shared" si="21"/>
        <v>5.6886802499999778E-2</v>
      </c>
      <c r="BP153" s="191">
        <f t="shared" si="22"/>
        <v>3.9380250000000228E-2</v>
      </c>
      <c r="BQ153" s="171">
        <f t="shared" si="23"/>
        <v>5.4900000000000004E-2</v>
      </c>
      <c r="BR153" s="171">
        <f t="shared" si="24"/>
        <v>6.9500000000000006E-2</v>
      </c>
      <c r="BS153" s="171">
        <f t="shared" si="25"/>
        <v>5.2699999999999997E-2</v>
      </c>
      <c r="BT153" s="171">
        <f t="shared" si="26"/>
        <v>5.6100000000000004E-2</v>
      </c>
      <c r="BU153" s="171">
        <f t="shared" si="27"/>
        <v>3.9E-2</v>
      </c>
    </row>
    <row r="154" spans="1:73" x14ac:dyDescent="0.3">
      <c r="A154" s="209">
        <v>35947</v>
      </c>
      <c r="B154" s="187">
        <v>199806</v>
      </c>
      <c r="C154" s="176">
        <v>5.45</v>
      </c>
      <c r="D154" s="176">
        <v>6.95</v>
      </c>
      <c r="E154" s="176">
        <v>3.85</v>
      </c>
      <c r="F154" s="177">
        <v>91.4</v>
      </c>
      <c r="G154" s="210">
        <v>1.1687363038714427E-2</v>
      </c>
      <c r="H154" s="179">
        <v>5.33</v>
      </c>
      <c r="I154" s="179">
        <v>5.52</v>
      </c>
      <c r="J154" s="176"/>
      <c r="K154" s="182">
        <v>0.06</v>
      </c>
      <c r="L154" s="182">
        <v>5.5E-2</v>
      </c>
      <c r="N154" s="182">
        <v>6.25E-2</v>
      </c>
      <c r="O154" s="182">
        <v>4.2500000000000003E-2</v>
      </c>
      <c r="Q154" s="182">
        <v>0.06</v>
      </c>
      <c r="R154" s="182">
        <v>6.5000000000000002E-2</v>
      </c>
      <c r="S154" s="182">
        <v>4.2500000000000003E-2</v>
      </c>
      <c r="T154" s="182">
        <v>4.4999999999999998E-2</v>
      </c>
      <c r="U154" s="182"/>
      <c r="V154" s="194">
        <v>6.4000000000000001E-2</v>
      </c>
      <c r="W154" s="194">
        <v>6.9000000000000006E-2</v>
      </c>
      <c r="X154" s="194">
        <v>4.5999999999999999E-2</v>
      </c>
      <c r="Y154" s="194">
        <v>0.05</v>
      </c>
      <c r="Z154" s="194"/>
      <c r="AA154" s="195">
        <v>6.3626302500000009E-2</v>
      </c>
      <c r="AB154" s="195">
        <v>6.9331008749999756E-2</v>
      </c>
      <c r="AC154" s="195">
        <v>4.6293642055595656E-2</v>
      </c>
      <c r="AD154" s="195">
        <v>5.0188272722201908E-2</v>
      </c>
      <c r="AE154" s="195"/>
      <c r="AF154" s="195">
        <v>8.2828852951604137E-3</v>
      </c>
      <c r="AG154" s="195">
        <v>9.1139543856160188E-3</v>
      </c>
      <c r="AI154" s="182">
        <v>5.4010222500000094E-2</v>
      </c>
      <c r="AJ154" s="182">
        <v>5.5961760000000194E-2</v>
      </c>
      <c r="AK154" s="182">
        <v>3.8870562499999872E-2</v>
      </c>
      <c r="AM154" s="27" t="s">
        <v>135</v>
      </c>
      <c r="AN154" s="7" t="b">
        <f t="shared" si="19"/>
        <v>0</v>
      </c>
      <c r="AP154" s="211">
        <v>-99</v>
      </c>
      <c r="AQ154" s="211">
        <v>-99</v>
      </c>
      <c r="AS154" s="211">
        <v>-99</v>
      </c>
      <c r="AT154" s="211">
        <v>-99</v>
      </c>
      <c r="AU154" s="211">
        <v>-99</v>
      </c>
      <c r="AV154" s="211">
        <v>-99</v>
      </c>
      <c r="AW154" s="211">
        <v>-99</v>
      </c>
      <c r="AX154" s="211">
        <v>-99</v>
      </c>
      <c r="AZ154" s="211">
        <v>-99</v>
      </c>
      <c r="BA154" s="211">
        <v>-99</v>
      </c>
      <c r="BB154" s="211">
        <v>-99</v>
      </c>
      <c r="BC154" s="211">
        <v>-99</v>
      </c>
      <c r="BD154" s="211">
        <v>-99</v>
      </c>
      <c r="BE154" s="211">
        <v>-99</v>
      </c>
      <c r="BG154" s="211">
        <v>-99</v>
      </c>
      <c r="BH154" s="211">
        <v>-99</v>
      </c>
      <c r="BI154" s="211">
        <v>-99</v>
      </c>
      <c r="BJ154" s="211">
        <v>-99</v>
      </c>
      <c r="BK154" s="211">
        <v>-99</v>
      </c>
      <c r="BL154" s="211">
        <v>-99</v>
      </c>
      <c r="BM154" s="211">
        <v>-99</v>
      </c>
      <c r="BN154" s="191">
        <f t="shared" si="20"/>
        <v>5.4010222500000094E-2</v>
      </c>
      <c r="BO154" s="191">
        <f t="shared" si="21"/>
        <v>5.5961760000000194E-2</v>
      </c>
      <c r="BP154" s="191">
        <f t="shared" si="22"/>
        <v>3.8870562499999872E-2</v>
      </c>
      <c r="BQ154" s="171">
        <f t="shared" si="23"/>
        <v>5.45E-2</v>
      </c>
      <c r="BR154" s="171">
        <f t="shared" si="24"/>
        <v>6.9500000000000006E-2</v>
      </c>
      <c r="BS154" s="171">
        <f t="shared" si="25"/>
        <v>5.33E-2</v>
      </c>
      <c r="BT154" s="171">
        <f t="shared" si="26"/>
        <v>5.5199999999999999E-2</v>
      </c>
      <c r="BU154" s="171">
        <f t="shared" si="27"/>
        <v>3.85E-2</v>
      </c>
    </row>
    <row r="155" spans="1:73" x14ac:dyDescent="0.3">
      <c r="A155" s="209">
        <v>35977</v>
      </c>
      <c r="B155" s="187">
        <v>199807</v>
      </c>
      <c r="C155" s="176">
        <v>5.56</v>
      </c>
      <c r="D155" s="176">
        <v>6.95</v>
      </c>
      <c r="E155" s="176">
        <v>3.87</v>
      </c>
      <c r="F155" s="177">
        <v>91.4</v>
      </c>
      <c r="G155" s="210">
        <v>1.0940919037199182E-2</v>
      </c>
      <c r="H155" s="179">
        <v>5.46</v>
      </c>
      <c r="I155" s="179">
        <v>5.61</v>
      </c>
      <c r="J155" s="176"/>
      <c r="K155" s="182">
        <v>5.5E-2</v>
      </c>
      <c r="L155" s="182">
        <v>5.5E-2</v>
      </c>
      <c r="N155" s="182">
        <v>0.06</v>
      </c>
      <c r="O155" s="182">
        <v>4.2500000000000003E-2</v>
      </c>
      <c r="Q155" s="182">
        <v>5.7500000000000002E-2</v>
      </c>
      <c r="R155" s="182">
        <v>6.25E-2</v>
      </c>
      <c r="S155" s="182">
        <v>4.2500000000000003E-2</v>
      </c>
      <c r="T155" s="182">
        <v>4.4999999999999998E-2</v>
      </c>
      <c r="U155" s="182"/>
      <c r="V155" s="194">
        <v>6.2E-2</v>
      </c>
      <c r="W155" s="194">
        <v>6.8000000000000005E-2</v>
      </c>
      <c r="X155" s="194">
        <v>4.5999999999999999E-2</v>
      </c>
      <c r="Y155" s="194">
        <v>0.05</v>
      </c>
      <c r="Z155" s="194"/>
      <c r="AA155" s="195">
        <v>6.2394322500000203E-2</v>
      </c>
      <c r="AB155" s="195">
        <v>6.7633042499999574E-2</v>
      </c>
      <c r="AC155" s="195">
        <v>4.5962558558826597E-2</v>
      </c>
      <c r="AD155" s="195">
        <v>4.9589095720587041E-2</v>
      </c>
      <c r="AE155" s="195"/>
      <c r="AF155" s="195">
        <v>7.8548528370909754E-3</v>
      </c>
      <c r="AG155" s="195">
        <v>8.5957194358162736E-3</v>
      </c>
      <c r="AI155" s="182">
        <v>5.5345290000000213E-2</v>
      </c>
      <c r="AJ155" s="182">
        <v>5.6886802499999778E-2</v>
      </c>
      <c r="AK155" s="182">
        <v>3.9074422499999928E-2</v>
      </c>
      <c r="AM155" s="27" t="s">
        <v>135</v>
      </c>
      <c r="AN155" s="7" t="b">
        <f t="shared" si="19"/>
        <v>0</v>
      </c>
      <c r="AP155" s="211">
        <v>-99</v>
      </c>
      <c r="AQ155" s="211">
        <v>-99</v>
      </c>
      <c r="AS155" s="211">
        <v>-99</v>
      </c>
      <c r="AT155" s="211">
        <v>-99</v>
      </c>
      <c r="AU155" s="211">
        <v>-99</v>
      </c>
      <c r="AV155" s="211">
        <v>-99</v>
      </c>
      <c r="AW155" s="211">
        <v>-99</v>
      </c>
      <c r="AX155" s="211">
        <v>-99</v>
      </c>
      <c r="AZ155" s="211">
        <v>-99</v>
      </c>
      <c r="BA155" s="211">
        <v>-99</v>
      </c>
      <c r="BB155" s="211">
        <v>-99</v>
      </c>
      <c r="BC155" s="211">
        <v>-99</v>
      </c>
      <c r="BD155" s="211">
        <v>-99</v>
      </c>
      <c r="BE155" s="211">
        <v>-99</v>
      </c>
      <c r="BG155" s="211">
        <v>-99</v>
      </c>
      <c r="BH155" s="211">
        <v>-99</v>
      </c>
      <c r="BI155" s="211">
        <v>-99</v>
      </c>
      <c r="BJ155" s="211">
        <v>-99</v>
      </c>
      <c r="BK155" s="211">
        <v>-99</v>
      </c>
      <c r="BL155" s="211">
        <v>-99</v>
      </c>
      <c r="BM155" s="211">
        <v>-99</v>
      </c>
      <c r="BN155" s="191">
        <f t="shared" si="20"/>
        <v>5.5345290000000213E-2</v>
      </c>
      <c r="BO155" s="191">
        <f t="shared" si="21"/>
        <v>5.6886802499999778E-2</v>
      </c>
      <c r="BP155" s="191">
        <f t="shared" si="22"/>
        <v>3.9074422499999928E-2</v>
      </c>
      <c r="BQ155" s="171">
        <f t="shared" si="23"/>
        <v>5.5599999999999997E-2</v>
      </c>
      <c r="BR155" s="171">
        <f t="shared" si="24"/>
        <v>6.9500000000000006E-2</v>
      </c>
      <c r="BS155" s="171">
        <f t="shared" si="25"/>
        <v>5.4600000000000003E-2</v>
      </c>
      <c r="BT155" s="171">
        <f t="shared" si="26"/>
        <v>5.6100000000000004E-2</v>
      </c>
      <c r="BU155" s="171">
        <f t="shared" si="27"/>
        <v>3.8699999999999998E-2</v>
      </c>
    </row>
    <row r="156" spans="1:73" x14ac:dyDescent="0.3">
      <c r="A156" s="209">
        <v>36008</v>
      </c>
      <c r="B156" s="187">
        <v>199808</v>
      </c>
      <c r="C156" s="176">
        <v>5.78</v>
      </c>
      <c r="D156" s="176">
        <v>7.15</v>
      </c>
      <c r="E156" s="176">
        <v>4.0999999999999996</v>
      </c>
      <c r="F156" s="177">
        <v>91.4</v>
      </c>
      <c r="G156" s="210">
        <v>1.0196649672250313E-2</v>
      </c>
      <c r="H156" s="179">
        <v>5.69</v>
      </c>
      <c r="I156" s="179">
        <v>5.83</v>
      </c>
      <c r="J156" s="176"/>
      <c r="K156" s="182">
        <v>5.5E-2</v>
      </c>
      <c r="L156" s="182">
        <v>5.5E-2</v>
      </c>
      <c r="N156" s="182">
        <v>0.06</v>
      </c>
      <c r="O156" s="182">
        <v>4.2500000000000003E-2</v>
      </c>
      <c r="Q156" s="182">
        <v>0.06</v>
      </c>
      <c r="R156" s="182">
        <v>6.25E-2</v>
      </c>
      <c r="S156" s="182">
        <v>4.2500000000000003E-2</v>
      </c>
      <c r="T156" s="182">
        <v>4.4999999999999998E-2</v>
      </c>
      <c r="U156" s="182"/>
      <c r="V156" s="194">
        <v>6.3E-2</v>
      </c>
      <c r="W156" s="194">
        <v>6.6000000000000003E-2</v>
      </c>
      <c r="X156" s="194">
        <v>4.7E-2</v>
      </c>
      <c r="Y156" s="194">
        <v>4.9000000000000002E-2</v>
      </c>
      <c r="Z156" s="194"/>
      <c r="AA156" s="195">
        <v>6.3010222500000101E-2</v>
      </c>
      <c r="AB156" s="195">
        <v>6.5937528750000252E-2</v>
      </c>
      <c r="AC156" s="195">
        <v>4.6515041151764094E-2</v>
      </c>
      <c r="AD156" s="195">
        <v>4.8548323174117759E-2</v>
      </c>
      <c r="AE156" s="195"/>
      <c r="AF156" s="195">
        <v>7.8810053843477723E-3</v>
      </c>
      <c r="AG156" s="195">
        <v>8.2920382358929734E-3</v>
      </c>
      <c r="AI156" s="182">
        <v>5.7709402500000229E-2</v>
      </c>
      <c r="AJ156" s="182">
        <v>5.9149722499999946E-2</v>
      </c>
      <c r="AK156" s="182">
        <v>4.1420249999999825E-2</v>
      </c>
      <c r="AM156" s="27" t="s">
        <v>135</v>
      </c>
      <c r="AN156" s="7" t="b">
        <f t="shared" si="19"/>
        <v>0</v>
      </c>
      <c r="AP156" s="211">
        <v>-99</v>
      </c>
      <c r="AQ156" s="211">
        <v>-99</v>
      </c>
      <c r="AS156" s="211">
        <v>-99</v>
      </c>
      <c r="AT156" s="211">
        <v>-99</v>
      </c>
      <c r="AU156" s="211">
        <v>-99</v>
      </c>
      <c r="AV156" s="211">
        <v>-99</v>
      </c>
      <c r="AW156" s="211">
        <v>-99</v>
      </c>
      <c r="AX156" s="211">
        <v>-99</v>
      </c>
      <c r="AZ156" s="211">
        <v>-99</v>
      </c>
      <c r="BA156" s="211">
        <v>-99</v>
      </c>
      <c r="BB156" s="211">
        <v>-99</v>
      </c>
      <c r="BC156" s="211">
        <v>-99</v>
      </c>
      <c r="BD156" s="211">
        <v>-99</v>
      </c>
      <c r="BE156" s="211">
        <v>-99</v>
      </c>
      <c r="BG156" s="211">
        <v>-99</v>
      </c>
      <c r="BH156" s="211">
        <v>-99</v>
      </c>
      <c r="BI156" s="211">
        <v>-99</v>
      </c>
      <c r="BJ156" s="211">
        <v>-99</v>
      </c>
      <c r="BK156" s="211">
        <v>-99</v>
      </c>
      <c r="BL156" s="211">
        <v>-99</v>
      </c>
      <c r="BM156" s="211">
        <v>-99</v>
      </c>
      <c r="BN156" s="191">
        <f t="shared" si="20"/>
        <v>5.7709402500000229E-2</v>
      </c>
      <c r="BO156" s="191">
        <f t="shared" si="21"/>
        <v>5.9149722499999946E-2</v>
      </c>
      <c r="BP156" s="191">
        <f t="shared" si="22"/>
        <v>4.1420249999999825E-2</v>
      </c>
      <c r="BQ156" s="171">
        <f t="shared" si="23"/>
        <v>5.7800000000000004E-2</v>
      </c>
      <c r="BR156" s="171">
        <f t="shared" si="24"/>
        <v>7.1500000000000008E-2</v>
      </c>
      <c r="BS156" s="171">
        <f t="shared" si="25"/>
        <v>5.6900000000000006E-2</v>
      </c>
      <c r="BT156" s="171">
        <f t="shared" si="26"/>
        <v>5.8299999999999998E-2</v>
      </c>
      <c r="BU156" s="171">
        <f t="shared" si="27"/>
        <v>4.0999999999999995E-2</v>
      </c>
    </row>
    <row r="157" spans="1:73" x14ac:dyDescent="0.3">
      <c r="A157" s="209">
        <v>36039</v>
      </c>
      <c r="B157" s="187">
        <v>199809</v>
      </c>
      <c r="C157" s="176">
        <v>5.15</v>
      </c>
      <c r="D157" s="176">
        <v>7.15</v>
      </c>
      <c r="E157" s="176">
        <v>4.0199999999999996</v>
      </c>
      <c r="F157" s="177">
        <v>91.2</v>
      </c>
      <c r="G157" s="210">
        <v>9.4545454545456042E-3</v>
      </c>
      <c r="H157" s="179">
        <v>4.84</v>
      </c>
      <c r="I157" s="179">
        <v>5.32</v>
      </c>
      <c r="J157" s="176"/>
      <c r="K157" s="182">
        <v>0.06</v>
      </c>
      <c r="L157" s="182">
        <v>5.5E-2</v>
      </c>
      <c r="N157" s="182">
        <v>6.25E-2</v>
      </c>
      <c r="O157" s="182">
        <v>4.2500000000000003E-2</v>
      </c>
      <c r="Q157" s="182">
        <v>0.06</v>
      </c>
      <c r="R157" s="182">
        <v>6.25E-2</v>
      </c>
      <c r="S157" s="182">
        <v>4.2500000000000003E-2</v>
      </c>
      <c r="T157" s="182">
        <v>4.4999999999999998E-2</v>
      </c>
      <c r="U157" s="182"/>
      <c r="V157" s="194">
        <v>6.4000000000000001E-2</v>
      </c>
      <c r="W157" s="194">
        <v>6.7000000000000004E-2</v>
      </c>
      <c r="X157" s="194">
        <v>4.7E-2</v>
      </c>
      <c r="Y157" s="194">
        <v>4.9000000000000002E-2</v>
      </c>
      <c r="Z157" s="194"/>
      <c r="AA157" s="195">
        <v>6.4345290000000221E-2</v>
      </c>
      <c r="AB157" s="195">
        <v>6.6657558749999568E-2</v>
      </c>
      <c r="AC157" s="195">
        <v>4.701558797130561E-2</v>
      </c>
      <c r="AD157" s="195">
        <v>4.8603839764347088E-2</v>
      </c>
      <c r="AE157" s="195"/>
      <c r="AF157" s="195">
        <v>8.2757612340197406E-3</v>
      </c>
      <c r="AG157" s="195">
        <v>8.6084555010353947E-3</v>
      </c>
      <c r="AI157" s="182">
        <v>4.8985639999999941E-2</v>
      </c>
      <c r="AJ157" s="182">
        <v>5.3907559999999854E-2</v>
      </c>
      <c r="AK157" s="182">
        <v>4.0604010000000024E-2</v>
      </c>
      <c r="AM157" s="27" t="s">
        <v>135</v>
      </c>
      <c r="AN157" s="7" t="b">
        <f t="shared" si="19"/>
        <v>0</v>
      </c>
      <c r="AP157" s="211">
        <v>-99</v>
      </c>
      <c r="AQ157" s="211">
        <v>-99</v>
      </c>
      <c r="AS157" s="211">
        <v>-99</v>
      </c>
      <c r="AT157" s="211">
        <v>-99</v>
      </c>
      <c r="AU157" s="211">
        <v>-99</v>
      </c>
      <c r="AV157" s="211">
        <v>-99</v>
      </c>
      <c r="AW157" s="211">
        <v>-99</v>
      </c>
      <c r="AX157" s="211">
        <v>-99</v>
      </c>
      <c r="AZ157" s="211">
        <v>-99</v>
      </c>
      <c r="BA157" s="211">
        <v>-99</v>
      </c>
      <c r="BB157" s="211">
        <v>-99</v>
      </c>
      <c r="BC157" s="211">
        <v>-99</v>
      </c>
      <c r="BD157" s="211">
        <v>-99</v>
      </c>
      <c r="BE157" s="211">
        <v>-99</v>
      </c>
      <c r="BG157" s="211">
        <v>-99</v>
      </c>
      <c r="BH157" s="211">
        <v>-99</v>
      </c>
      <c r="BI157" s="211">
        <v>-99</v>
      </c>
      <c r="BJ157" s="211">
        <v>-99</v>
      </c>
      <c r="BK157" s="211">
        <v>-99</v>
      </c>
      <c r="BL157" s="211">
        <v>-99</v>
      </c>
      <c r="BM157" s="211">
        <v>-99</v>
      </c>
      <c r="BN157" s="191">
        <f t="shared" si="20"/>
        <v>4.8985639999999941E-2</v>
      </c>
      <c r="BO157" s="191">
        <f t="shared" si="21"/>
        <v>5.3907559999999854E-2</v>
      </c>
      <c r="BP157" s="191">
        <f t="shared" si="22"/>
        <v>4.0604010000000024E-2</v>
      </c>
      <c r="BQ157" s="171">
        <f t="shared" si="23"/>
        <v>5.1500000000000004E-2</v>
      </c>
      <c r="BR157" s="171">
        <f t="shared" si="24"/>
        <v>7.1500000000000008E-2</v>
      </c>
      <c r="BS157" s="171">
        <f t="shared" si="25"/>
        <v>4.8399999999999999E-2</v>
      </c>
      <c r="BT157" s="171">
        <f t="shared" si="26"/>
        <v>5.3200000000000004E-2</v>
      </c>
      <c r="BU157" s="171">
        <f t="shared" si="27"/>
        <v>4.0199999999999993E-2</v>
      </c>
    </row>
    <row r="158" spans="1:73" x14ac:dyDescent="0.3">
      <c r="A158" s="209">
        <v>36069</v>
      </c>
      <c r="B158" s="187">
        <v>199810</v>
      </c>
      <c r="C158" s="176">
        <v>5.27</v>
      </c>
      <c r="D158" s="176">
        <v>6.75</v>
      </c>
      <c r="E158" s="176">
        <v>4.07</v>
      </c>
      <c r="F158" s="177">
        <v>91.6</v>
      </c>
      <c r="G158" s="210">
        <v>9.4476744186047235E-3</v>
      </c>
      <c r="H158" s="179">
        <v>4.79</v>
      </c>
      <c r="I158" s="179">
        <v>5.45</v>
      </c>
      <c r="J158" s="176"/>
      <c r="K158" s="182">
        <v>0.06</v>
      </c>
      <c r="L158" s="182">
        <v>0.06</v>
      </c>
      <c r="N158" s="182">
        <v>6.5000000000000002E-2</v>
      </c>
      <c r="O158" s="182">
        <v>4.4999999999999998E-2</v>
      </c>
      <c r="Q158" s="182">
        <v>6.25E-2</v>
      </c>
      <c r="R158" s="182">
        <v>6.5000000000000002E-2</v>
      </c>
      <c r="S158" s="182">
        <v>4.4999999999999998E-2</v>
      </c>
      <c r="T158" s="182">
        <v>4.7500000000000001E-2</v>
      </c>
      <c r="U158" s="182"/>
      <c r="V158" s="194">
        <v>6.7000000000000004E-2</v>
      </c>
      <c r="W158" s="194">
        <v>6.9000000000000006E-2</v>
      </c>
      <c r="X158" s="194">
        <v>4.9000000000000002E-2</v>
      </c>
      <c r="Y158" s="194">
        <v>5.1000000000000004E-2</v>
      </c>
      <c r="Z158" s="194"/>
      <c r="AA158" s="195">
        <v>6.6709402500000237E-2</v>
      </c>
      <c r="AB158" s="195">
        <v>6.8869882499999813E-2</v>
      </c>
      <c r="AC158" s="195">
        <v>4.9411649926178886E-2</v>
      </c>
      <c r="AD158" s="195">
        <v>5.09245500369103E-2</v>
      </c>
      <c r="AE158" s="195"/>
      <c r="AF158" s="195">
        <v>8.2416431030846171E-3</v>
      </c>
      <c r="AG158" s="195">
        <v>8.5378786053000866E-3</v>
      </c>
      <c r="AI158" s="182">
        <v>4.8473602499999879E-2</v>
      </c>
      <c r="AJ158" s="182">
        <v>5.5242562499999925E-2</v>
      </c>
      <c r="AK158" s="182">
        <v>4.1114122500000239E-2</v>
      </c>
      <c r="AM158" s="27" t="s">
        <v>135</v>
      </c>
      <c r="AN158" s="7" t="b">
        <f t="shared" si="19"/>
        <v>0</v>
      </c>
      <c r="AP158" s="211">
        <v>-99</v>
      </c>
      <c r="AQ158" s="211">
        <v>-99</v>
      </c>
      <c r="AS158" s="211">
        <v>-99</v>
      </c>
      <c r="AT158" s="211">
        <v>-99</v>
      </c>
      <c r="AU158" s="211">
        <v>-99</v>
      </c>
      <c r="AV158" s="211">
        <v>-99</v>
      </c>
      <c r="AW158" s="211">
        <v>-99</v>
      </c>
      <c r="AX158" s="211">
        <v>-99</v>
      </c>
      <c r="AZ158" s="211">
        <v>-99</v>
      </c>
      <c r="BA158" s="211">
        <v>-99</v>
      </c>
      <c r="BB158" s="211">
        <v>-99</v>
      </c>
      <c r="BC158" s="211">
        <v>-99</v>
      </c>
      <c r="BD158" s="211">
        <v>-99</v>
      </c>
      <c r="BE158" s="211">
        <v>-99</v>
      </c>
      <c r="BG158" s="211">
        <v>-99</v>
      </c>
      <c r="BH158" s="211">
        <v>-99</v>
      </c>
      <c r="BI158" s="211">
        <v>-99</v>
      </c>
      <c r="BJ158" s="211">
        <v>-99</v>
      </c>
      <c r="BK158" s="211">
        <v>-99</v>
      </c>
      <c r="BL158" s="211">
        <v>-99</v>
      </c>
      <c r="BM158" s="211">
        <v>-99</v>
      </c>
      <c r="BN158" s="191">
        <f t="shared" si="20"/>
        <v>4.8473602499999879E-2</v>
      </c>
      <c r="BO158" s="191">
        <f t="shared" si="21"/>
        <v>5.5242562499999925E-2</v>
      </c>
      <c r="BP158" s="191">
        <f t="shared" si="22"/>
        <v>4.1114122500000239E-2</v>
      </c>
      <c r="BQ158" s="171">
        <f t="shared" si="23"/>
        <v>5.2699999999999997E-2</v>
      </c>
      <c r="BR158" s="171">
        <f t="shared" si="24"/>
        <v>6.7500000000000004E-2</v>
      </c>
      <c r="BS158" s="171">
        <f t="shared" si="25"/>
        <v>4.7899999999999998E-2</v>
      </c>
      <c r="BT158" s="171">
        <f t="shared" si="26"/>
        <v>5.45E-2</v>
      </c>
      <c r="BU158" s="171">
        <f t="shared" si="27"/>
        <v>4.07E-2</v>
      </c>
    </row>
    <row r="159" spans="1:73" x14ac:dyDescent="0.3">
      <c r="A159" s="209">
        <v>36100</v>
      </c>
      <c r="B159" s="187">
        <v>199811</v>
      </c>
      <c r="C159" s="176">
        <v>5.35</v>
      </c>
      <c r="D159" s="176">
        <v>7.15</v>
      </c>
      <c r="E159" s="176">
        <v>4.17</v>
      </c>
      <c r="F159" s="177">
        <v>91.6</v>
      </c>
      <c r="G159" s="210">
        <v>9.4408133623820056E-3</v>
      </c>
      <c r="H159" s="179">
        <v>5.1100000000000003</v>
      </c>
      <c r="I159" s="179">
        <v>5.47</v>
      </c>
      <c r="J159" s="176"/>
      <c r="K159" s="182">
        <v>5.5E-2</v>
      </c>
      <c r="L159" s="182">
        <v>0.06</v>
      </c>
      <c r="N159" s="182">
        <v>5.7500000000000002E-2</v>
      </c>
      <c r="O159" s="182">
        <v>4.2500000000000003E-2</v>
      </c>
      <c r="Q159" s="182">
        <v>5.5E-2</v>
      </c>
      <c r="R159" s="182">
        <v>6.25E-2</v>
      </c>
      <c r="S159" s="182">
        <v>4.2500000000000003E-2</v>
      </c>
      <c r="T159" s="182">
        <v>4.7500000000000001E-2</v>
      </c>
      <c r="U159" s="182"/>
      <c r="V159" s="194">
        <v>5.8000000000000003E-2</v>
      </c>
      <c r="W159" s="194">
        <v>6.5000000000000002E-2</v>
      </c>
      <c r="X159" s="194">
        <v>4.5999999999999999E-2</v>
      </c>
      <c r="Y159" s="194">
        <v>5.1000000000000004E-2</v>
      </c>
      <c r="Z159" s="194"/>
      <c r="AA159" s="195">
        <v>5.7985639999999943E-2</v>
      </c>
      <c r="AB159" s="195">
        <v>6.5368519999999819E-2</v>
      </c>
      <c r="AC159" s="195">
        <v>4.5896743544252501E-2</v>
      </c>
      <c r="AD159" s="195">
        <v>5.1457643227873787E-2</v>
      </c>
      <c r="AE159" s="195"/>
      <c r="AF159" s="195">
        <v>5.7792016900164445E-3</v>
      </c>
      <c r="AG159" s="195">
        <v>6.6150438211761697E-3</v>
      </c>
      <c r="AI159" s="182">
        <v>5.1752802500000028E-2</v>
      </c>
      <c r="AJ159" s="182">
        <v>5.5448022500000027E-2</v>
      </c>
      <c r="AK159" s="182">
        <v>4.2134722500000166E-2</v>
      </c>
      <c r="AM159" s="27" t="s">
        <v>135</v>
      </c>
      <c r="AN159" s="7" t="b">
        <f t="shared" si="19"/>
        <v>0</v>
      </c>
      <c r="AP159" s="211">
        <v>-99</v>
      </c>
      <c r="AQ159" s="211">
        <v>-99</v>
      </c>
      <c r="AS159" s="211">
        <v>-99</v>
      </c>
      <c r="AT159" s="211">
        <v>-99</v>
      </c>
      <c r="AU159" s="211">
        <v>-99</v>
      </c>
      <c r="AV159" s="211">
        <v>-99</v>
      </c>
      <c r="AW159" s="211">
        <v>-99</v>
      </c>
      <c r="AX159" s="211">
        <v>-99</v>
      </c>
      <c r="AZ159" s="211">
        <v>-99</v>
      </c>
      <c r="BA159" s="211">
        <v>-99</v>
      </c>
      <c r="BB159" s="211">
        <v>-99</v>
      </c>
      <c r="BC159" s="211">
        <v>-99</v>
      </c>
      <c r="BD159" s="211">
        <v>-99</v>
      </c>
      <c r="BE159" s="211">
        <v>-99</v>
      </c>
      <c r="BG159" s="211">
        <v>-99</v>
      </c>
      <c r="BH159" s="211">
        <v>-99</v>
      </c>
      <c r="BI159" s="211">
        <v>-99</v>
      </c>
      <c r="BJ159" s="211">
        <v>-99</v>
      </c>
      <c r="BK159" s="211">
        <v>-99</v>
      </c>
      <c r="BL159" s="211">
        <v>-99</v>
      </c>
      <c r="BM159" s="211">
        <v>-99</v>
      </c>
      <c r="BN159" s="191">
        <f t="shared" si="20"/>
        <v>5.1752802500000028E-2</v>
      </c>
      <c r="BO159" s="191">
        <f t="shared" si="21"/>
        <v>5.5448022500000027E-2</v>
      </c>
      <c r="BP159" s="191">
        <f t="shared" si="22"/>
        <v>4.2134722500000166E-2</v>
      </c>
      <c r="BQ159" s="171">
        <f t="shared" si="23"/>
        <v>5.3499999999999999E-2</v>
      </c>
      <c r="BR159" s="171">
        <f t="shared" si="24"/>
        <v>7.1500000000000008E-2</v>
      </c>
      <c r="BS159" s="171">
        <f t="shared" si="25"/>
        <v>5.1100000000000007E-2</v>
      </c>
      <c r="BT159" s="171">
        <f t="shared" si="26"/>
        <v>5.4699999999999999E-2</v>
      </c>
      <c r="BU159" s="171">
        <f t="shared" si="27"/>
        <v>4.1700000000000001E-2</v>
      </c>
    </row>
    <row r="160" spans="1:73" x14ac:dyDescent="0.3">
      <c r="A160" s="212">
        <v>36130</v>
      </c>
      <c r="B160" s="187">
        <v>199812</v>
      </c>
      <c r="C160" s="213">
        <v>5.08</v>
      </c>
      <c r="D160" s="213">
        <v>6.6</v>
      </c>
      <c r="E160" s="213">
        <v>4.1100000000000003</v>
      </c>
      <c r="F160" s="177">
        <v>91.3</v>
      </c>
      <c r="G160" s="214">
        <v>9.4339622641508303E-3</v>
      </c>
      <c r="H160" s="215">
        <v>4.82</v>
      </c>
      <c r="I160" s="215">
        <v>5.23</v>
      </c>
      <c r="J160" s="213"/>
      <c r="K160" s="216">
        <v>5.5E-2</v>
      </c>
      <c r="L160" s="216">
        <v>5.5E-2</v>
      </c>
      <c r="M160" s="216"/>
      <c r="N160" s="216">
        <v>5.7500000000000002E-2</v>
      </c>
      <c r="O160" s="216">
        <v>4.2500000000000003E-2</v>
      </c>
      <c r="P160" s="217"/>
      <c r="Q160" s="182">
        <v>5.2499999999999998E-2</v>
      </c>
      <c r="R160" s="182">
        <v>6.25E-2</v>
      </c>
      <c r="S160" s="182">
        <v>0.04</v>
      </c>
      <c r="T160" s="182">
        <v>4.7500000000000001E-2</v>
      </c>
      <c r="U160" s="182"/>
      <c r="V160" s="194">
        <v>5.7000000000000002E-2</v>
      </c>
      <c r="W160" s="194">
        <v>6.8000000000000005E-2</v>
      </c>
      <c r="X160" s="194">
        <v>4.4999999999999998E-2</v>
      </c>
      <c r="Y160" s="194">
        <v>5.2999999999999999E-2</v>
      </c>
      <c r="Z160" s="194"/>
      <c r="AA160" s="195">
        <v>5.747360249999988E-2</v>
      </c>
      <c r="AB160" s="195">
        <v>6.7627042499999956E-2</v>
      </c>
      <c r="AC160" s="195">
        <v>4.5076342968364574E-2</v>
      </c>
      <c r="AD160" s="195">
        <v>5.2633012265818076E-2</v>
      </c>
      <c r="AE160" s="195"/>
      <c r="AF160" s="195">
        <v>5.9312698134678099E-3</v>
      </c>
      <c r="AG160" s="195">
        <v>7.122154663336433E-3</v>
      </c>
      <c r="AI160" s="182">
        <v>4.8780810000000008E-2</v>
      </c>
      <c r="AJ160" s="182">
        <v>5.2983822499999889E-2</v>
      </c>
      <c r="AK160" s="182">
        <v>4.1522302500000219E-2</v>
      </c>
      <c r="AM160" s="27" t="s">
        <v>135</v>
      </c>
      <c r="AN160" s="7" t="b">
        <f t="shared" si="19"/>
        <v>0</v>
      </c>
      <c r="AP160" s="211">
        <v>-99</v>
      </c>
      <c r="AQ160" s="211">
        <v>-99</v>
      </c>
      <c r="AS160" s="211">
        <v>-99</v>
      </c>
      <c r="AT160" s="211">
        <v>-99</v>
      </c>
      <c r="AU160" s="211">
        <v>-99</v>
      </c>
      <c r="AV160" s="211">
        <v>-99</v>
      </c>
      <c r="AW160" s="211">
        <v>-99</v>
      </c>
      <c r="AX160" s="211">
        <v>-99</v>
      </c>
      <c r="AZ160" s="211">
        <v>-99</v>
      </c>
      <c r="BA160" s="211">
        <v>-99</v>
      </c>
      <c r="BB160" s="211">
        <v>-99</v>
      </c>
      <c r="BC160" s="211">
        <v>-99</v>
      </c>
      <c r="BD160" s="211">
        <v>-99</v>
      </c>
      <c r="BE160" s="211">
        <v>-99</v>
      </c>
      <c r="BG160" s="211">
        <v>-99</v>
      </c>
      <c r="BH160" s="211">
        <v>-99</v>
      </c>
      <c r="BI160" s="211">
        <v>-99</v>
      </c>
      <c r="BJ160" s="211">
        <v>-99</v>
      </c>
      <c r="BK160" s="211">
        <v>-99</v>
      </c>
      <c r="BL160" s="211">
        <v>-99</v>
      </c>
      <c r="BM160" s="211">
        <v>-99</v>
      </c>
      <c r="BN160" s="191">
        <f t="shared" si="20"/>
        <v>4.8780810000000008E-2</v>
      </c>
      <c r="BO160" s="191">
        <f t="shared" si="21"/>
        <v>5.2983822499999889E-2</v>
      </c>
      <c r="BP160" s="191">
        <f t="shared" si="22"/>
        <v>4.1522302500000219E-2</v>
      </c>
      <c r="BQ160" s="171">
        <f t="shared" si="23"/>
        <v>5.0799999999999998E-2</v>
      </c>
      <c r="BR160" s="171">
        <f t="shared" si="24"/>
        <v>6.6000000000000003E-2</v>
      </c>
      <c r="BS160" s="171">
        <f t="shared" si="25"/>
        <v>4.82E-2</v>
      </c>
      <c r="BT160" s="171">
        <f t="shared" si="26"/>
        <v>5.2300000000000006E-2</v>
      </c>
      <c r="BU160" s="171">
        <f t="shared" si="27"/>
        <v>4.1100000000000005E-2</v>
      </c>
    </row>
    <row r="161" spans="1:73" x14ac:dyDescent="0.3">
      <c r="A161" s="209">
        <v>36161</v>
      </c>
      <c r="B161" s="187">
        <v>199901</v>
      </c>
      <c r="C161" s="176">
        <v>5.08</v>
      </c>
      <c r="D161" s="176">
        <v>6.9</v>
      </c>
      <c r="E161" s="176">
        <v>4.0999999999999996</v>
      </c>
      <c r="F161" s="177">
        <v>91.5</v>
      </c>
      <c r="G161" s="210">
        <v>9.4271211022478596E-3</v>
      </c>
      <c r="H161" s="179">
        <v>4.87</v>
      </c>
      <c r="I161" s="179">
        <v>5.23</v>
      </c>
      <c r="J161" s="176"/>
      <c r="K161" s="182">
        <v>5.5E-2</v>
      </c>
      <c r="L161" s="182">
        <v>0.06</v>
      </c>
      <c r="N161" s="182">
        <v>0.06</v>
      </c>
      <c r="O161" s="182">
        <v>4.4999999999999998E-2</v>
      </c>
      <c r="Q161" s="182">
        <v>5.7500000000000002E-2</v>
      </c>
      <c r="R161" s="182">
        <v>6.25E-2</v>
      </c>
      <c r="S161" s="182">
        <v>4.4999999999999998E-2</v>
      </c>
      <c r="T161" s="182">
        <v>4.7500000000000001E-2</v>
      </c>
      <c r="U161" s="182"/>
      <c r="V161" s="194">
        <v>6.0999999999999999E-2</v>
      </c>
      <c r="W161" s="194">
        <v>6.6000000000000003E-2</v>
      </c>
      <c r="X161" s="194">
        <v>4.8000000000000001E-2</v>
      </c>
      <c r="Y161" s="194">
        <v>5.2999999999999999E-2</v>
      </c>
      <c r="Z161" s="194"/>
      <c r="AA161" s="195">
        <v>6.0752802500000029E-2</v>
      </c>
      <c r="AB161" s="195">
        <v>6.6295632500000035E-2</v>
      </c>
      <c r="AC161" s="195">
        <v>4.8326740136400988E-2</v>
      </c>
      <c r="AD161" s="195">
        <v>5.2538713681799756E-2</v>
      </c>
      <c r="AE161" s="195"/>
      <c r="AF161" s="195">
        <v>5.9266170974433541E-3</v>
      </c>
      <c r="AG161" s="195">
        <v>6.5351129793973506E-3</v>
      </c>
      <c r="AI161" s="182">
        <v>4.929292250000028E-2</v>
      </c>
      <c r="AJ161" s="182">
        <v>5.2983822499999889E-2</v>
      </c>
      <c r="AK161" s="182">
        <v>4.1420249999999825E-2</v>
      </c>
      <c r="AM161" s="27" t="s">
        <v>135</v>
      </c>
      <c r="AN161" s="7" t="b">
        <f t="shared" si="19"/>
        <v>0</v>
      </c>
      <c r="AP161" s="211">
        <v>-99</v>
      </c>
      <c r="AQ161" s="211">
        <v>-99</v>
      </c>
      <c r="AS161" s="211">
        <v>-99</v>
      </c>
      <c r="AT161" s="211">
        <v>-99</v>
      </c>
      <c r="AU161" s="211">
        <v>-99</v>
      </c>
      <c r="AV161" s="211">
        <v>-99</v>
      </c>
      <c r="AW161" s="211">
        <v>-99</v>
      </c>
      <c r="AX161" s="211">
        <v>-99</v>
      </c>
      <c r="AZ161" s="211">
        <v>-99</v>
      </c>
      <c r="BA161" s="211">
        <v>-99</v>
      </c>
      <c r="BB161" s="211">
        <v>-99</v>
      </c>
      <c r="BC161" s="211">
        <v>-99</v>
      </c>
      <c r="BD161" s="211">
        <v>-99</v>
      </c>
      <c r="BE161" s="211">
        <v>-99</v>
      </c>
      <c r="BG161" s="211">
        <v>-99</v>
      </c>
      <c r="BH161" s="211">
        <v>-99</v>
      </c>
      <c r="BI161" s="211">
        <v>-99</v>
      </c>
      <c r="BJ161" s="211">
        <v>-99</v>
      </c>
      <c r="BK161" s="211">
        <v>-99</v>
      </c>
      <c r="BL161" s="211">
        <v>-99</v>
      </c>
      <c r="BM161" s="211">
        <v>-99</v>
      </c>
      <c r="BN161" s="191">
        <f t="shared" si="20"/>
        <v>4.929292250000028E-2</v>
      </c>
      <c r="BO161" s="191">
        <f t="shared" si="21"/>
        <v>5.2983822499999889E-2</v>
      </c>
      <c r="BP161" s="191">
        <f t="shared" si="22"/>
        <v>4.1420249999999825E-2</v>
      </c>
      <c r="BQ161" s="171">
        <f t="shared" si="23"/>
        <v>5.0799999999999998E-2</v>
      </c>
      <c r="BR161" s="171">
        <f t="shared" si="24"/>
        <v>6.9000000000000006E-2</v>
      </c>
      <c r="BS161" s="171">
        <f t="shared" si="25"/>
        <v>4.87E-2</v>
      </c>
      <c r="BT161" s="171">
        <f t="shared" si="26"/>
        <v>5.2300000000000006E-2</v>
      </c>
      <c r="BU161" s="171">
        <f t="shared" si="27"/>
        <v>4.0999999999999995E-2</v>
      </c>
    </row>
    <row r="162" spans="1:73" x14ac:dyDescent="0.3">
      <c r="A162" s="209">
        <v>36192</v>
      </c>
      <c r="B162" s="187">
        <v>199902</v>
      </c>
      <c r="C162" s="176">
        <v>5.37</v>
      </c>
      <c r="D162" s="176">
        <v>6.9</v>
      </c>
      <c r="E162" s="176">
        <v>4.13</v>
      </c>
      <c r="F162" s="177">
        <v>91.6</v>
      </c>
      <c r="G162" s="210">
        <v>9.4202898550725944E-3</v>
      </c>
      <c r="H162" s="179">
        <v>5.28</v>
      </c>
      <c r="I162" s="179">
        <v>5.43</v>
      </c>
      <c r="J162" s="176"/>
      <c r="K162" s="182">
        <v>5.5E-2</v>
      </c>
      <c r="L162" s="182">
        <v>5.5E-2</v>
      </c>
      <c r="N162" s="182">
        <v>5.7500000000000002E-2</v>
      </c>
      <c r="O162" s="182">
        <v>4.4999999999999998E-2</v>
      </c>
      <c r="Q162" s="182">
        <v>5.5E-2</v>
      </c>
      <c r="R162" s="182">
        <v>0.06</v>
      </c>
      <c r="S162" s="182">
        <v>4.2500000000000003E-2</v>
      </c>
      <c r="T162" s="182">
        <v>4.7500000000000001E-2</v>
      </c>
      <c r="U162" s="182"/>
      <c r="V162" s="194">
        <v>5.8000000000000003E-2</v>
      </c>
      <c r="W162" s="194">
        <v>6.4000000000000001E-2</v>
      </c>
      <c r="X162" s="194">
        <v>4.7E-2</v>
      </c>
      <c r="Y162" s="194">
        <v>5.2000000000000005E-2</v>
      </c>
      <c r="Z162" s="194"/>
      <c r="AA162" s="195">
        <v>5.7780810000000009E-2</v>
      </c>
      <c r="AB162" s="195">
        <v>6.4085328749999837E-2</v>
      </c>
      <c r="AC162" s="195">
        <v>4.7228490385249962E-2</v>
      </c>
      <c r="AD162" s="195">
        <v>5.2169208557375349E-2</v>
      </c>
      <c r="AE162" s="195"/>
      <c r="AF162" s="195">
        <v>5.0382126305922315E-3</v>
      </c>
      <c r="AG162" s="195">
        <v>5.6626444186494984E-3</v>
      </c>
      <c r="AI162" s="182">
        <v>5.3496959999999927E-2</v>
      </c>
      <c r="AJ162" s="182">
        <v>5.5037122499999924E-2</v>
      </c>
      <c r="AK162" s="182">
        <v>4.1726422500000027E-2</v>
      </c>
      <c r="AM162" s="27" t="s">
        <v>135</v>
      </c>
      <c r="AN162" s="7" t="b">
        <f t="shared" si="19"/>
        <v>0</v>
      </c>
      <c r="AP162" s="211">
        <v>-99</v>
      </c>
      <c r="AQ162" s="211">
        <v>-99</v>
      </c>
      <c r="AS162" s="211">
        <v>-99</v>
      </c>
      <c r="AT162" s="211">
        <v>-99</v>
      </c>
      <c r="AU162" s="211">
        <v>-99</v>
      </c>
      <c r="AV162" s="211">
        <v>-99</v>
      </c>
      <c r="AW162" s="211">
        <v>-99</v>
      </c>
      <c r="AX162" s="211">
        <v>-99</v>
      </c>
      <c r="AZ162" s="211">
        <v>-99</v>
      </c>
      <c r="BA162" s="211">
        <v>-99</v>
      </c>
      <c r="BB162" s="211">
        <v>-99</v>
      </c>
      <c r="BC162" s="211">
        <v>-99</v>
      </c>
      <c r="BD162" s="211">
        <v>-99</v>
      </c>
      <c r="BE162" s="211">
        <v>-99</v>
      </c>
      <c r="BG162" s="211">
        <v>-99</v>
      </c>
      <c r="BH162" s="211">
        <v>-99</v>
      </c>
      <c r="BI162" s="211">
        <v>-99</v>
      </c>
      <c r="BJ162" s="211">
        <v>-99</v>
      </c>
      <c r="BK162" s="211">
        <v>-99</v>
      </c>
      <c r="BL162" s="211">
        <v>-99</v>
      </c>
      <c r="BM162" s="211">
        <v>-99</v>
      </c>
      <c r="BN162" s="191">
        <f t="shared" si="20"/>
        <v>5.3496959999999927E-2</v>
      </c>
      <c r="BO162" s="191">
        <f t="shared" si="21"/>
        <v>5.5037122499999924E-2</v>
      </c>
      <c r="BP162" s="191">
        <f t="shared" si="22"/>
        <v>4.1726422500000027E-2</v>
      </c>
      <c r="BQ162" s="171">
        <f t="shared" si="23"/>
        <v>5.3699999999999998E-2</v>
      </c>
      <c r="BR162" s="171">
        <f t="shared" si="24"/>
        <v>6.9000000000000006E-2</v>
      </c>
      <c r="BS162" s="171">
        <f t="shared" si="25"/>
        <v>5.28E-2</v>
      </c>
      <c r="BT162" s="171">
        <f t="shared" si="26"/>
        <v>5.4299999999999994E-2</v>
      </c>
      <c r="BU162" s="171">
        <f t="shared" si="27"/>
        <v>4.1299999999999996E-2</v>
      </c>
    </row>
    <row r="163" spans="1:73" x14ac:dyDescent="0.3">
      <c r="A163" s="209">
        <v>36220</v>
      </c>
      <c r="B163" s="187">
        <v>199903</v>
      </c>
      <c r="C163" s="176">
        <v>5.23</v>
      </c>
      <c r="D163" s="176">
        <v>6.95</v>
      </c>
      <c r="E163" s="176">
        <v>4.16</v>
      </c>
      <c r="F163" s="177">
        <v>92</v>
      </c>
      <c r="G163" s="210">
        <v>9.413468501086264E-3</v>
      </c>
      <c r="H163" s="179">
        <v>5.05</v>
      </c>
      <c r="I163" s="179">
        <v>5.36</v>
      </c>
      <c r="J163" s="176"/>
      <c r="K163" s="182">
        <v>5.5E-2</v>
      </c>
      <c r="L163" s="182">
        <v>5.5E-2</v>
      </c>
      <c r="N163" s="182">
        <v>5.7500000000000002E-2</v>
      </c>
      <c r="O163" s="182">
        <v>4.4999999999999998E-2</v>
      </c>
      <c r="Q163" s="182">
        <v>5.5E-2</v>
      </c>
      <c r="R163" s="182">
        <v>0.06</v>
      </c>
      <c r="S163" s="182">
        <v>4.2500000000000003E-2</v>
      </c>
      <c r="T163" s="182">
        <v>4.7500000000000001E-2</v>
      </c>
      <c r="U163" s="182"/>
      <c r="V163" s="194">
        <v>5.8000000000000003E-2</v>
      </c>
      <c r="W163" s="194">
        <v>6.4000000000000001E-2</v>
      </c>
      <c r="X163" s="194">
        <v>4.8000000000000001E-2</v>
      </c>
      <c r="Y163" s="194">
        <v>5.2000000000000005E-2</v>
      </c>
      <c r="Z163" s="194"/>
      <c r="AA163" s="195">
        <v>5.8292922500000281E-2</v>
      </c>
      <c r="AB163" s="195">
        <v>6.3829272499999701E-2</v>
      </c>
      <c r="AC163" s="195">
        <v>4.7534878701525021E-2</v>
      </c>
      <c r="AD163" s="195">
        <v>5.1862935649237225E-2</v>
      </c>
      <c r="AE163" s="195"/>
      <c r="AF163" s="195">
        <v>5.1349334600726548E-3</v>
      </c>
      <c r="AG163" s="195">
        <v>5.6881635644744355E-3</v>
      </c>
      <c r="AI163" s="182">
        <v>5.11375624999999E-2</v>
      </c>
      <c r="AJ163" s="182">
        <v>5.4318239999999962E-2</v>
      </c>
      <c r="AK163" s="182">
        <v>4.2032639999999954E-2</v>
      </c>
      <c r="AM163" s="27" t="s">
        <v>135</v>
      </c>
      <c r="AN163" s="7" t="b">
        <f t="shared" si="19"/>
        <v>0</v>
      </c>
      <c r="AP163" s="211">
        <v>-99</v>
      </c>
      <c r="AQ163" s="211">
        <v>-99</v>
      </c>
      <c r="AS163" s="211">
        <v>-99</v>
      </c>
      <c r="AT163" s="211">
        <v>-99</v>
      </c>
      <c r="AU163" s="211">
        <v>-99</v>
      </c>
      <c r="AV163" s="211">
        <v>-99</v>
      </c>
      <c r="AW163" s="211">
        <v>-99</v>
      </c>
      <c r="AX163" s="211">
        <v>-99</v>
      </c>
      <c r="AZ163" s="211">
        <v>-99</v>
      </c>
      <c r="BA163" s="211">
        <v>-99</v>
      </c>
      <c r="BB163" s="211">
        <v>-99</v>
      </c>
      <c r="BC163" s="211">
        <v>-99</v>
      </c>
      <c r="BD163" s="211">
        <v>-99</v>
      </c>
      <c r="BE163" s="211">
        <v>-99</v>
      </c>
      <c r="BG163" s="211">
        <v>-99</v>
      </c>
      <c r="BH163" s="211">
        <v>-99</v>
      </c>
      <c r="BI163" s="211">
        <v>-99</v>
      </c>
      <c r="BJ163" s="211">
        <v>-99</v>
      </c>
      <c r="BK163" s="211">
        <v>-99</v>
      </c>
      <c r="BL163" s="211">
        <v>-99</v>
      </c>
      <c r="BM163" s="211">
        <v>-99</v>
      </c>
      <c r="BN163" s="191">
        <f t="shared" si="20"/>
        <v>5.11375624999999E-2</v>
      </c>
      <c r="BO163" s="191">
        <f t="shared" si="21"/>
        <v>5.4318239999999962E-2</v>
      </c>
      <c r="BP163" s="191">
        <f t="shared" si="22"/>
        <v>4.2032639999999954E-2</v>
      </c>
      <c r="BQ163" s="171">
        <f t="shared" si="23"/>
        <v>5.2300000000000006E-2</v>
      </c>
      <c r="BR163" s="171">
        <f t="shared" si="24"/>
        <v>6.9500000000000006E-2</v>
      </c>
      <c r="BS163" s="171">
        <f t="shared" si="25"/>
        <v>5.0499999999999996E-2</v>
      </c>
      <c r="BT163" s="171">
        <f t="shared" si="26"/>
        <v>5.3600000000000002E-2</v>
      </c>
      <c r="BU163" s="171">
        <f t="shared" si="27"/>
        <v>4.1599999999999998E-2</v>
      </c>
    </row>
    <row r="164" spans="1:73" x14ac:dyDescent="0.3">
      <c r="A164" s="209">
        <v>36251</v>
      </c>
      <c r="B164" s="187">
        <v>199904</v>
      </c>
      <c r="C164" s="176">
        <v>5.34</v>
      </c>
      <c r="D164" s="176">
        <v>6.95</v>
      </c>
      <c r="E164" s="176">
        <v>4.09</v>
      </c>
      <c r="F164" s="177">
        <v>92.5</v>
      </c>
      <c r="G164" s="210">
        <v>1.013024602026058E-2</v>
      </c>
      <c r="H164" s="179">
        <v>5.12</v>
      </c>
      <c r="I164" s="179">
        <v>5.41</v>
      </c>
      <c r="J164" s="176"/>
      <c r="K164" s="182">
        <v>5.5E-2</v>
      </c>
      <c r="L164" s="182">
        <v>5.5E-2</v>
      </c>
      <c r="N164" s="182">
        <v>0.06</v>
      </c>
      <c r="O164" s="182">
        <v>4.4999999999999998E-2</v>
      </c>
      <c r="Q164" s="182">
        <v>5.7500000000000002E-2</v>
      </c>
      <c r="R164" s="182">
        <v>0.06</v>
      </c>
      <c r="S164" s="182">
        <v>4.4999999999999998E-2</v>
      </c>
      <c r="T164" s="182">
        <v>4.7500000000000001E-2</v>
      </c>
      <c r="U164" s="182"/>
      <c r="V164" s="194">
        <v>6.2E-2</v>
      </c>
      <c r="W164" s="194">
        <v>6.5000000000000002E-2</v>
      </c>
      <c r="X164" s="194">
        <v>0.05</v>
      </c>
      <c r="Y164" s="194">
        <v>5.1000000000000004E-2</v>
      </c>
      <c r="Z164" s="194"/>
      <c r="AA164" s="195">
        <v>6.2496959999999928E-2</v>
      </c>
      <c r="AB164" s="195">
        <v>6.4807203749999931E-2</v>
      </c>
      <c r="AC164" s="195">
        <v>4.9558747514926886E-2</v>
      </c>
      <c r="AD164" s="195">
        <v>5.1310259992536598E-2</v>
      </c>
      <c r="AE164" s="195"/>
      <c r="AF164" s="195">
        <v>6.1636437768286534E-3</v>
      </c>
      <c r="AG164" s="195">
        <v>6.4191058867623108E-3</v>
      </c>
      <c r="AI164" s="182">
        <v>5.1855360000000239E-2</v>
      </c>
      <c r="AJ164" s="182">
        <v>5.4831702500000024E-2</v>
      </c>
      <c r="AK164" s="182">
        <v>4.1318202500000067E-2</v>
      </c>
      <c r="AM164" s="27" t="s">
        <v>135</v>
      </c>
      <c r="AN164" s="7" t="b">
        <f t="shared" si="19"/>
        <v>0</v>
      </c>
      <c r="AP164" s="211">
        <v>-99</v>
      </c>
      <c r="AQ164" s="211">
        <v>-99</v>
      </c>
      <c r="AS164" s="211">
        <v>-99</v>
      </c>
      <c r="AT164" s="211">
        <v>-99</v>
      </c>
      <c r="AU164" s="211">
        <v>-99</v>
      </c>
      <c r="AV164" s="211">
        <v>-99</v>
      </c>
      <c r="AW164" s="211">
        <v>-99</v>
      </c>
      <c r="AX164" s="211">
        <v>-99</v>
      </c>
      <c r="AZ164" s="211">
        <v>-99</v>
      </c>
      <c r="BA164" s="211">
        <v>-99</v>
      </c>
      <c r="BB164" s="211">
        <v>-99</v>
      </c>
      <c r="BC164" s="211">
        <v>-99</v>
      </c>
      <c r="BD164" s="211">
        <v>-99</v>
      </c>
      <c r="BE164" s="211">
        <v>-99</v>
      </c>
      <c r="BG164" s="211">
        <v>-99</v>
      </c>
      <c r="BH164" s="211">
        <v>-99</v>
      </c>
      <c r="BI164" s="211">
        <v>-99</v>
      </c>
      <c r="BJ164" s="211">
        <v>-99</v>
      </c>
      <c r="BK164" s="211">
        <v>-99</v>
      </c>
      <c r="BL164" s="211">
        <v>-99</v>
      </c>
      <c r="BM164" s="211">
        <v>-99</v>
      </c>
      <c r="BN164" s="191">
        <f t="shared" si="20"/>
        <v>5.1855360000000239E-2</v>
      </c>
      <c r="BO164" s="191">
        <f t="shared" si="21"/>
        <v>5.4831702500000024E-2</v>
      </c>
      <c r="BP164" s="191">
        <f t="shared" si="22"/>
        <v>4.1318202500000067E-2</v>
      </c>
      <c r="BQ164" s="171">
        <f t="shared" si="23"/>
        <v>5.3399999999999996E-2</v>
      </c>
      <c r="BR164" s="171">
        <f t="shared" si="24"/>
        <v>6.9500000000000006E-2</v>
      </c>
      <c r="BS164" s="171">
        <f t="shared" si="25"/>
        <v>5.1200000000000002E-2</v>
      </c>
      <c r="BT164" s="171">
        <f t="shared" si="26"/>
        <v>5.4100000000000002E-2</v>
      </c>
      <c r="BU164" s="171">
        <f t="shared" si="27"/>
        <v>4.0899999999999999E-2</v>
      </c>
    </row>
    <row r="165" spans="1:73" x14ac:dyDescent="0.3">
      <c r="A165" s="209">
        <v>36281</v>
      </c>
      <c r="B165" s="187">
        <v>199905</v>
      </c>
      <c r="C165" s="176">
        <v>5.54</v>
      </c>
      <c r="D165" s="176">
        <v>7.3</v>
      </c>
      <c r="E165" s="176">
        <v>4.08</v>
      </c>
      <c r="F165" s="177">
        <v>92.7</v>
      </c>
      <c r="G165" s="210">
        <v>1.0115606936416333E-2</v>
      </c>
      <c r="H165" s="179">
        <v>5.44</v>
      </c>
      <c r="I165" s="179">
        <v>5.58</v>
      </c>
      <c r="J165" s="176"/>
      <c r="K165" s="182">
        <v>5.5E-2</v>
      </c>
      <c r="L165" s="182">
        <v>0.06</v>
      </c>
      <c r="N165" s="182">
        <v>5.7500000000000002E-2</v>
      </c>
      <c r="O165" s="182">
        <v>4.4999999999999998E-2</v>
      </c>
      <c r="Q165" s="182">
        <v>5.5E-2</v>
      </c>
      <c r="R165" s="182">
        <v>0.06</v>
      </c>
      <c r="S165" s="182">
        <v>4.4999999999999998E-2</v>
      </c>
      <c r="T165" s="182">
        <v>4.7500000000000001E-2</v>
      </c>
      <c r="U165" s="182"/>
      <c r="V165" s="194">
        <v>0.06</v>
      </c>
      <c r="W165" s="194">
        <v>6.5000000000000002E-2</v>
      </c>
      <c r="X165" s="194">
        <v>4.9000000000000002E-2</v>
      </c>
      <c r="Y165" s="194">
        <v>5.2000000000000005E-2</v>
      </c>
      <c r="Z165" s="194"/>
      <c r="AA165" s="195">
        <v>6.0137562499999901E-2</v>
      </c>
      <c r="AB165" s="195">
        <v>6.4908578750000001E-2</v>
      </c>
      <c r="AC165" s="195">
        <v>4.8571362309235262E-2</v>
      </c>
      <c r="AD165" s="195">
        <v>5.2263278845382302E-2</v>
      </c>
      <c r="AE165" s="195"/>
      <c r="AF165" s="195">
        <v>5.5152184231375134E-3</v>
      </c>
      <c r="AG165" s="195">
        <v>6.0086197812077025E-3</v>
      </c>
      <c r="AI165" s="182">
        <v>5.5139840000000273E-2</v>
      </c>
      <c r="AJ165" s="182">
        <v>5.6578409999999968E-2</v>
      </c>
      <c r="AK165" s="182">
        <v>4.1216160000000057E-2</v>
      </c>
      <c r="AM165" s="27" t="s">
        <v>135</v>
      </c>
      <c r="AN165" s="7" t="b">
        <f t="shared" si="19"/>
        <v>0</v>
      </c>
      <c r="AP165" s="211">
        <v>-99</v>
      </c>
      <c r="AQ165" s="211">
        <v>-99</v>
      </c>
      <c r="AS165" s="211">
        <v>-99</v>
      </c>
      <c r="AT165" s="211">
        <v>-99</v>
      </c>
      <c r="AU165" s="211">
        <v>-99</v>
      </c>
      <c r="AV165" s="211">
        <v>-99</v>
      </c>
      <c r="AW165" s="211">
        <v>-99</v>
      </c>
      <c r="AX165" s="211">
        <v>-99</v>
      </c>
      <c r="AZ165" s="211">
        <v>-99</v>
      </c>
      <c r="BA165" s="211">
        <v>-99</v>
      </c>
      <c r="BB165" s="211">
        <v>-99</v>
      </c>
      <c r="BC165" s="211">
        <v>-99</v>
      </c>
      <c r="BD165" s="211">
        <v>-99</v>
      </c>
      <c r="BE165" s="211">
        <v>-99</v>
      </c>
      <c r="BG165" s="211">
        <v>-99</v>
      </c>
      <c r="BH165" s="211">
        <v>-99</v>
      </c>
      <c r="BI165" s="211">
        <v>-99</v>
      </c>
      <c r="BJ165" s="211">
        <v>-99</v>
      </c>
      <c r="BK165" s="211">
        <v>-99</v>
      </c>
      <c r="BL165" s="211">
        <v>-99</v>
      </c>
      <c r="BM165" s="211">
        <v>-99</v>
      </c>
      <c r="BN165" s="191">
        <f t="shared" si="20"/>
        <v>5.5139840000000273E-2</v>
      </c>
      <c r="BO165" s="191">
        <f t="shared" si="21"/>
        <v>5.6578409999999968E-2</v>
      </c>
      <c r="BP165" s="191">
        <f t="shared" si="22"/>
        <v>4.1216160000000057E-2</v>
      </c>
      <c r="BQ165" s="171">
        <f t="shared" si="23"/>
        <v>5.5399999999999998E-2</v>
      </c>
      <c r="BR165" s="171">
        <f t="shared" si="24"/>
        <v>7.2999999999999995E-2</v>
      </c>
      <c r="BS165" s="171">
        <f t="shared" si="25"/>
        <v>5.4400000000000004E-2</v>
      </c>
      <c r="BT165" s="171">
        <f t="shared" si="26"/>
        <v>5.5800000000000002E-2</v>
      </c>
      <c r="BU165" s="171">
        <f t="shared" si="27"/>
        <v>4.0800000000000003E-2</v>
      </c>
    </row>
    <row r="166" spans="1:73" x14ac:dyDescent="0.3">
      <c r="A166" s="209">
        <v>36312</v>
      </c>
      <c r="B166" s="187">
        <v>199906</v>
      </c>
      <c r="C166" s="176">
        <v>5.63</v>
      </c>
      <c r="D166" s="176">
        <v>7.7</v>
      </c>
      <c r="E166" s="176">
        <v>4.03</v>
      </c>
      <c r="F166" s="177">
        <v>92.9</v>
      </c>
      <c r="G166" s="210">
        <v>1.0830324909747224E-2</v>
      </c>
      <c r="H166" s="179">
        <v>5.48</v>
      </c>
      <c r="I166" s="179">
        <v>5.63</v>
      </c>
      <c r="J166" s="176"/>
      <c r="K166" s="182">
        <v>5.5E-2</v>
      </c>
      <c r="L166" s="182">
        <v>5.5E-2</v>
      </c>
      <c r="N166" s="182">
        <v>0.06</v>
      </c>
      <c r="O166" s="182">
        <v>4.4999999999999998E-2</v>
      </c>
      <c r="Q166" s="182">
        <v>5.7500000000000002E-2</v>
      </c>
      <c r="R166" s="182">
        <v>6.25E-2</v>
      </c>
      <c r="S166" s="182">
        <v>4.4999999999999998E-2</v>
      </c>
      <c r="T166" s="182">
        <v>4.7500000000000001E-2</v>
      </c>
      <c r="U166" s="182"/>
      <c r="V166" s="194">
        <v>6.0999999999999999E-2</v>
      </c>
      <c r="W166" s="194">
        <v>6.5000000000000002E-2</v>
      </c>
      <c r="X166" s="194">
        <v>4.8000000000000001E-2</v>
      </c>
      <c r="Y166" s="194">
        <v>5.1000000000000004E-2</v>
      </c>
      <c r="Z166" s="194"/>
      <c r="AA166" s="195">
        <v>6.085536000000024E-2</v>
      </c>
      <c r="AB166" s="195">
        <v>6.5319873749999924E-2</v>
      </c>
      <c r="AC166" s="195">
        <v>4.8075391926603275E-2</v>
      </c>
      <c r="AD166" s="195">
        <v>5.1439607786698462E-2</v>
      </c>
      <c r="AE166" s="195"/>
      <c r="AF166" s="195">
        <v>6.0968744099144656E-3</v>
      </c>
      <c r="AG166" s="195">
        <v>6.6006006719300236E-3</v>
      </c>
      <c r="AI166" s="182">
        <v>5.5550760000000254E-2</v>
      </c>
      <c r="AJ166" s="182">
        <v>5.7092422499999795E-2</v>
      </c>
      <c r="AK166" s="182">
        <v>4.0706022500000216E-2</v>
      </c>
      <c r="AM166" s="27" t="s">
        <v>135</v>
      </c>
      <c r="AN166" s="7" t="b">
        <f t="shared" si="19"/>
        <v>0</v>
      </c>
      <c r="AP166" s="211">
        <v>-99</v>
      </c>
      <c r="AQ166" s="211">
        <v>-99</v>
      </c>
      <c r="AS166" s="211">
        <v>-99</v>
      </c>
      <c r="AT166" s="211">
        <v>-99</v>
      </c>
      <c r="AU166" s="211">
        <v>-99</v>
      </c>
      <c r="AV166" s="211">
        <v>-99</v>
      </c>
      <c r="AW166" s="211">
        <v>-99</v>
      </c>
      <c r="AX166" s="211">
        <v>-99</v>
      </c>
      <c r="AZ166" s="211">
        <v>-99</v>
      </c>
      <c r="BA166" s="211">
        <v>-99</v>
      </c>
      <c r="BB166" s="211">
        <v>-99</v>
      </c>
      <c r="BC166" s="211">
        <v>-99</v>
      </c>
      <c r="BD166" s="211">
        <v>-99</v>
      </c>
      <c r="BE166" s="211">
        <v>-99</v>
      </c>
      <c r="BG166" s="211">
        <v>-99</v>
      </c>
      <c r="BH166" s="211">
        <v>-99</v>
      </c>
      <c r="BI166" s="211">
        <v>-99</v>
      </c>
      <c r="BJ166" s="211">
        <v>-99</v>
      </c>
      <c r="BK166" s="211">
        <v>-99</v>
      </c>
      <c r="BL166" s="211">
        <v>-99</v>
      </c>
      <c r="BM166" s="211">
        <v>-99</v>
      </c>
      <c r="BN166" s="191">
        <f t="shared" si="20"/>
        <v>5.5550760000000254E-2</v>
      </c>
      <c r="BO166" s="191">
        <f t="shared" si="21"/>
        <v>5.7092422499999795E-2</v>
      </c>
      <c r="BP166" s="191">
        <f t="shared" si="22"/>
        <v>4.0706022500000216E-2</v>
      </c>
      <c r="BQ166" s="171">
        <f t="shared" si="23"/>
        <v>5.6299999999999996E-2</v>
      </c>
      <c r="BR166" s="171">
        <f t="shared" si="24"/>
        <v>7.6999999999999999E-2</v>
      </c>
      <c r="BS166" s="171">
        <f t="shared" si="25"/>
        <v>5.4800000000000001E-2</v>
      </c>
      <c r="BT166" s="171">
        <f t="shared" si="26"/>
        <v>5.6299999999999996E-2</v>
      </c>
      <c r="BU166" s="171">
        <f t="shared" si="27"/>
        <v>4.0300000000000002E-2</v>
      </c>
    </row>
    <row r="167" spans="1:73" x14ac:dyDescent="0.3">
      <c r="A167" s="209">
        <v>36342</v>
      </c>
      <c r="B167" s="187">
        <v>199907</v>
      </c>
      <c r="C167" s="176">
        <v>5.74</v>
      </c>
      <c r="D167" s="176">
        <v>7.75</v>
      </c>
      <c r="E167" s="176">
        <v>4.0199999999999996</v>
      </c>
      <c r="F167" s="177">
        <v>93.1</v>
      </c>
      <c r="G167" s="210">
        <v>1.1544011544011523E-2</v>
      </c>
      <c r="H167" s="179">
        <v>5.63</v>
      </c>
      <c r="I167" s="179">
        <v>5.74</v>
      </c>
      <c r="J167" s="176"/>
      <c r="K167" s="182">
        <v>0.06</v>
      </c>
      <c r="L167" s="182">
        <v>0.06</v>
      </c>
      <c r="N167" s="182">
        <v>6.25E-2</v>
      </c>
      <c r="O167" s="182">
        <v>4.4999999999999998E-2</v>
      </c>
      <c r="Q167" s="182">
        <v>0.06</v>
      </c>
      <c r="R167" s="182">
        <v>6.25E-2</v>
      </c>
      <c r="S167" s="182">
        <v>4.4999999999999998E-2</v>
      </c>
      <c r="T167" s="182">
        <v>4.7500000000000001E-2</v>
      </c>
      <c r="U167" s="182"/>
      <c r="V167" s="194">
        <v>6.4000000000000001E-2</v>
      </c>
      <c r="W167" s="194">
        <v>6.6000000000000003E-2</v>
      </c>
      <c r="X167" s="194">
        <v>4.9000000000000002E-2</v>
      </c>
      <c r="Y167" s="194">
        <v>5.1000000000000004E-2</v>
      </c>
      <c r="Z167" s="194"/>
      <c r="AA167" s="195">
        <v>6.4139840000000281E-2</v>
      </c>
      <c r="AB167" s="195">
        <v>6.6297694999999823E-2</v>
      </c>
      <c r="AC167" s="195">
        <v>4.9168192563460444E-2</v>
      </c>
      <c r="AD167" s="195">
        <v>5.0740143718269869E-2</v>
      </c>
      <c r="AE167" s="195"/>
      <c r="AF167" s="195">
        <v>7.1350082582847252E-3</v>
      </c>
      <c r="AG167" s="195">
        <v>7.4031392893566528E-3</v>
      </c>
      <c r="AI167" s="182">
        <v>5.7092422499999795E-2</v>
      </c>
      <c r="AJ167" s="182">
        <v>5.8223689999999939E-2</v>
      </c>
      <c r="AK167" s="182">
        <v>4.0604010000000024E-2</v>
      </c>
      <c r="AM167" s="27" t="s">
        <v>135</v>
      </c>
      <c r="AN167" s="7" t="b">
        <f t="shared" si="19"/>
        <v>0</v>
      </c>
      <c r="AP167" s="211">
        <v>-99</v>
      </c>
      <c r="AQ167" s="211">
        <v>-99</v>
      </c>
      <c r="AS167" s="211">
        <v>-99</v>
      </c>
      <c r="AT167" s="211">
        <v>-99</v>
      </c>
      <c r="AU167" s="211">
        <v>-99</v>
      </c>
      <c r="AV167" s="211">
        <v>-99</v>
      </c>
      <c r="AW167" s="211">
        <v>-99</v>
      </c>
      <c r="AX167" s="211">
        <v>-99</v>
      </c>
      <c r="AZ167" s="211">
        <v>-99</v>
      </c>
      <c r="BA167" s="211">
        <v>-99</v>
      </c>
      <c r="BB167" s="211">
        <v>-99</v>
      </c>
      <c r="BC167" s="211">
        <v>-99</v>
      </c>
      <c r="BD167" s="211">
        <v>-99</v>
      </c>
      <c r="BE167" s="211">
        <v>-99</v>
      </c>
      <c r="BG167" s="211">
        <v>-99</v>
      </c>
      <c r="BH167" s="211">
        <v>-99</v>
      </c>
      <c r="BI167" s="211">
        <v>-99</v>
      </c>
      <c r="BJ167" s="211">
        <v>-99</v>
      </c>
      <c r="BK167" s="211">
        <v>-99</v>
      </c>
      <c r="BL167" s="211">
        <v>-99</v>
      </c>
      <c r="BM167" s="211">
        <v>-99</v>
      </c>
      <c r="BN167" s="191">
        <f t="shared" si="20"/>
        <v>5.7092422499999795E-2</v>
      </c>
      <c r="BO167" s="191">
        <f t="shared" si="21"/>
        <v>5.8223689999999939E-2</v>
      </c>
      <c r="BP167" s="191">
        <f t="shared" si="22"/>
        <v>4.0604010000000024E-2</v>
      </c>
      <c r="BQ167" s="171">
        <f t="shared" si="23"/>
        <v>5.74E-2</v>
      </c>
      <c r="BR167" s="171">
        <f t="shared" si="24"/>
        <v>7.7499999999999999E-2</v>
      </c>
      <c r="BS167" s="171">
        <f t="shared" si="25"/>
        <v>5.6299999999999996E-2</v>
      </c>
      <c r="BT167" s="171">
        <f t="shared" si="26"/>
        <v>5.74E-2</v>
      </c>
      <c r="BU167" s="171">
        <f t="shared" si="27"/>
        <v>4.0199999999999993E-2</v>
      </c>
    </row>
    <row r="168" spans="1:73" x14ac:dyDescent="0.3">
      <c r="A168" s="209">
        <v>36373</v>
      </c>
      <c r="B168" s="187">
        <v>199908</v>
      </c>
      <c r="C168" s="176">
        <v>5.69</v>
      </c>
      <c r="D168" s="176">
        <v>7.8</v>
      </c>
      <c r="E168" s="176">
        <v>4.03</v>
      </c>
      <c r="F168" s="177">
        <v>93.3</v>
      </c>
      <c r="G168" s="210">
        <v>1.2256669069935278E-2</v>
      </c>
      <c r="H168" s="179">
        <v>5.57</v>
      </c>
      <c r="I168" s="179">
        <v>5.68</v>
      </c>
      <c r="J168" s="176"/>
      <c r="K168" s="182">
        <v>0.06</v>
      </c>
      <c r="L168" s="182">
        <v>6.5000000000000002E-2</v>
      </c>
      <c r="N168" s="182">
        <v>6.25E-2</v>
      </c>
      <c r="O168" s="182">
        <v>4.2500000000000003E-2</v>
      </c>
      <c r="Q168" s="182">
        <v>0.06</v>
      </c>
      <c r="R168" s="182">
        <v>6.25E-2</v>
      </c>
      <c r="S168" s="182">
        <v>4.4999999999999998E-2</v>
      </c>
      <c r="T168" s="182">
        <v>4.7500000000000001E-2</v>
      </c>
      <c r="U168" s="182"/>
      <c r="V168" s="194">
        <v>6.5000000000000002E-2</v>
      </c>
      <c r="W168" s="194">
        <v>6.7000000000000004E-2</v>
      </c>
      <c r="X168" s="194">
        <v>4.9000000000000002E-2</v>
      </c>
      <c r="Y168" s="194">
        <v>0.05</v>
      </c>
      <c r="Z168" s="194"/>
      <c r="AA168" s="195">
        <v>6.4550760000000262E-2</v>
      </c>
      <c r="AB168" s="195">
        <v>6.6863253749999574E-2</v>
      </c>
      <c r="AC168" s="195">
        <v>4.8606840758108144E-2</v>
      </c>
      <c r="AD168" s="195">
        <v>5.0255613370946257E-2</v>
      </c>
      <c r="AE168" s="195"/>
      <c r="AF168" s="195">
        <v>7.602429538970612E-3</v>
      </c>
      <c r="AG168" s="195">
        <v>7.9064754178027608E-3</v>
      </c>
      <c r="AI168" s="182">
        <v>5.6475622499999822E-2</v>
      </c>
      <c r="AJ168" s="182">
        <v>5.7606559999999973E-2</v>
      </c>
      <c r="AK168" s="182">
        <v>4.0706022500000216E-2</v>
      </c>
      <c r="AM168" s="27" t="s">
        <v>135</v>
      </c>
      <c r="AN168" s="7" t="b">
        <f t="shared" si="19"/>
        <v>0</v>
      </c>
      <c r="AP168" s="211">
        <v>-99</v>
      </c>
      <c r="AQ168" s="211">
        <v>-99</v>
      </c>
      <c r="AS168" s="211">
        <v>-99</v>
      </c>
      <c r="AT168" s="211">
        <v>-99</v>
      </c>
      <c r="AU168" s="211">
        <v>-99</v>
      </c>
      <c r="AV168" s="211">
        <v>-99</v>
      </c>
      <c r="AW168" s="211">
        <v>-99</v>
      </c>
      <c r="AX168" s="211">
        <v>-99</v>
      </c>
      <c r="AZ168" s="211">
        <v>-99</v>
      </c>
      <c r="BA168" s="211">
        <v>-99</v>
      </c>
      <c r="BB168" s="211">
        <v>-99</v>
      </c>
      <c r="BC168" s="211">
        <v>-99</v>
      </c>
      <c r="BD168" s="211">
        <v>-99</v>
      </c>
      <c r="BE168" s="211">
        <v>-99</v>
      </c>
      <c r="BG168" s="211">
        <v>-99</v>
      </c>
      <c r="BH168" s="211">
        <v>-99</v>
      </c>
      <c r="BI168" s="211">
        <v>-99</v>
      </c>
      <c r="BJ168" s="211">
        <v>-99</v>
      </c>
      <c r="BK168" s="211">
        <v>-99</v>
      </c>
      <c r="BL168" s="211">
        <v>-99</v>
      </c>
      <c r="BM168" s="211">
        <v>-99</v>
      </c>
      <c r="BN168" s="191">
        <f t="shared" si="20"/>
        <v>5.6475622499999822E-2</v>
      </c>
      <c r="BO168" s="191">
        <f t="shared" si="21"/>
        <v>5.7606559999999973E-2</v>
      </c>
      <c r="BP168" s="191">
        <f t="shared" si="22"/>
        <v>4.0706022500000216E-2</v>
      </c>
      <c r="BQ168" s="171">
        <f t="shared" si="23"/>
        <v>5.6900000000000006E-2</v>
      </c>
      <c r="BR168" s="171">
        <f t="shared" si="24"/>
        <v>7.8E-2</v>
      </c>
      <c r="BS168" s="171">
        <f t="shared" si="25"/>
        <v>5.57E-2</v>
      </c>
      <c r="BT168" s="171">
        <f t="shared" si="26"/>
        <v>5.6799999999999996E-2</v>
      </c>
      <c r="BU168" s="171">
        <f t="shared" si="27"/>
        <v>4.0300000000000002E-2</v>
      </c>
    </row>
    <row r="169" spans="1:73" x14ac:dyDescent="0.3">
      <c r="A169" s="209">
        <v>36404</v>
      </c>
      <c r="B169" s="187">
        <v>199909</v>
      </c>
      <c r="C169" s="176">
        <v>5.92</v>
      </c>
      <c r="D169" s="176">
        <v>7.7</v>
      </c>
      <c r="E169" s="176">
        <v>4.05</v>
      </c>
      <c r="F169" s="177">
        <v>93.6</v>
      </c>
      <c r="G169" s="210">
        <v>1.3688760806916278E-2</v>
      </c>
      <c r="H169" s="179">
        <v>5.75</v>
      </c>
      <c r="I169" s="179">
        <v>5.91</v>
      </c>
      <c r="J169" s="176"/>
      <c r="K169" s="182">
        <v>0.06</v>
      </c>
      <c r="L169" s="182">
        <v>6.5000000000000002E-2</v>
      </c>
      <c r="N169" s="182">
        <v>6.25E-2</v>
      </c>
      <c r="O169" s="182">
        <v>4.2500000000000003E-2</v>
      </c>
      <c r="Q169" s="182">
        <v>6.25E-2</v>
      </c>
      <c r="R169" s="182">
        <v>6.5000000000000002E-2</v>
      </c>
      <c r="S169" s="182">
        <v>4.4999999999999998E-2</v>
      </c>
      <c r="T169" s="182">
        <v>4.4999999999999998E-2</v>
      </c>
      <c r="U169" s="182"/>
      <c r="V169" s="194">
        <v>6.6000000000000003E-2</v>
      </c>
      <c r="W169" s="194">
        <v>6.8000000000000005E-2</v>
      </c>
      <c r="X169" s="194">
        <v>4.9000000000000002E-2</v>
      </c>
      <c r="Y169" s="194">
        <v>0.05</v>
      </c>
      <c r="Z169" s="194"/>
      <c r="AA169" s="195">
        <v>6.6092422499999803E-2</v>
      </c>
      <c r="AB169" s="195">
        <v>6.7789323750000019E-2</v>
      </c>
      <c r="AC169" s="195">
        <v>4.8815087194133876E-2</v>
      </c>
      <c r="AD169" s="195">
        <v>4.9998471402933099E-2</v>
      </c>
      <c r="AE169" s="195"/>
      <c r="AF169" s="195">
        <v>8.2365974311483514E-3</v>
      </c>
      <c r="AG169" s="195">
        <v>8.4718467843557521E-3</v>
      </c>
      <c r="AI169" s="182">
        <v>5.8326562500000012E-2</v>
      </c>
      <c r="AJ169" s="182">
        <v>5.9973202499999934E-2</v>
      </c>
      <c r="AK169" s="182">
        <v>4.0910062500000288E-2</v>
      </c>
      <c r="AM169" s="27" t="s">
        <v>135</v>
      </c>
      <c r="AN169" s="7" t="b">
        <f t="shared" si="19"/>
        <v>0</v>
      </c>
      <c r="AP169" s="211">
        <v>-99</v>
      </c>
      <c r="AQ169" s="211">
        <v>-99</v>
      </c>
      <c r="AS169" s="211">
        <v>-99</v>
      </c>
      <c r="AT169" s="211">
        <v>-99</v>
      </c>
      <c r="AU169" s="211">
        <v>-99</v>
      </c>
      <c r="AV169" s="211">
        <v>-99</v>
      </c>
      <c r="AW169" s="211">
        <v>-99</v>
      </c>
      <c r="AX169" s="211">
        <v>-99</v>
      </c>
      <c r="AZ169" s="211">
        <v>-99</v>
      </c>
      <c r="BA169" s="211">
        <v>-99</v>
      </c>
      <c r="BB169" s="211">
        <v>-99</v>
      </c>
      <c r="BC169" s="211">
        <v>-99</v>
      </c>
      <c r="BD169" s="211">
        <v>-99</v>
      </c>
      <c r="BE169" s="211">
        <v>-99</v>
      </c>
      <c r="BG169" s="211">
        <v>-99</v>
      </c>
      <c r="BH169" s="211">
        <v>-99</v>
      </c>
      <c r="BI169" s="211">
        <v>-99</v>
      </c>
      <c r="BJ169" s="211">
        <v>-99</v>
      </c>
      <c r="BK169" s="211">
        <v>-99</v>
      </c>
      <c r="BL169" s="211">
        <v>-99</v>
      </c>
      <c r="BM169" s="211">
        <v>-99</v>
      </c>
      <c r="BN169" s="191">
        <f t="shared" si="20"/>
        <v>5.8326562500000012E-2</v>
      </c>
      <c r="BO169" s="191">
        <f t="shared" si="21"/>
        <v>5.9973202499999934E-2</v>
      </c>
      <c r="BP169" s="191">
        <f t="shared" si="22"/>
        <v>4.0910062500000288E-2</v>
      </c>
      <c r="BQ169" s="171">
        <f t="shared" si="23"/>
        <v>5.9200000000000003E-2</v>
      </c>
      <c r="BR169" s="171">
        <f t="shared" si="24"/>
        <v>7.6999999999999999E-2</v>
      </c>
      <c r="BS169" s="171">
        <f t="shared" si="25"/>
        <v>5.7500000000000002E-2</v>
      </c>
      <c r="BT169" s="171">
        <f t="shared" si="26"/>
        <v>5.91E-2</v>
      </c>
      <c r="BU169" s="171">
        <f t="shared" si="27"/>
        <v>4.0500000000000001E-2</v>
      </c>
    </row>
    <row r="170" spans="1:73" x14ac:dyDescent="0.3">
      <c r="A170" s="209">
        <v>36434</v>
      </c>
      <c r="B170" s="187">
        <v>199910</v>
      </c>
      <c r="C170" s="176">
        <v>6.38</v>
      </c>
      <c r="D170" s="176">
        <v>8.25</v>
      </c>
      <c r="E170" s="176">
        <v>4.05</v>
      </c>
      <c r="F170" s="177">
        <v>93.7</v>
      </c>
      <c r="G170" s="210">
        <v>1.5118790496760237E-2</v>
      </c>
      <c r="H170" s="179">
        <v>6.28</v>
      </c>
      <c r="I170" s="179">
        <v>6.36</v>
      </c>
      <c r="J170" s="176"/>
      <c r="K170" s="182">
        <v>0.06</v>
      </c>
      <c r="L170" s="182">
        <v>6.5000000000000002E-2</v>
      </c>
      <c r="N170" s="182">
        <v>6.25E-2</v>
      </c>
      <c r="O170" s="182">
        <v>4.2500000000000003E-2</v>
      </c>
      <c r="Q170" s="182">
        <v>6.25E-2</v>
      </c>
      <c r="R170" s="182">
        <v>6.25E-2</v>
      </c>
      <c r="S170" s="182">
        <v>4.4999999999999998E-2</v>
      </c>
      <c r="T170" s="182">
        <v>4.4999999999999998E-2</v>
      </c>
      <c r="U170" s="182"/>
      <c r="V170" s="194">
        <v>6.5000000000000002E-2</v>
      </c>
      <c r="W170" s="194">
        <v>6.7000000000000004E-2</v>
      </c>
      <c r="X170" s="194">
        <v>4.9000000000000002E-2</v>
      </c>
      <c r="Y170" s="194">
        <v>0.05</v>
      </c>
      <c r="Z170" s="194"/>
      <c r="AA170" s="195">
        <v>6.547562249999983E-2</v>
      </c>
      <c r="AB170" s="195">
        <v>6.7172028750000057E-2</v>
      </c>
      <c r="AC170" s="195">
        <v>4.8906877969913713E-2</v>
      </c>
      <c r="AD170" s="195">
        <v>5.0105594765043469E-2</v>
      </c>
      <c r="AE170" s="195"/>
      <c r="AF170" s="195">
        <v>7.8981008124160423E-3</v>
      </c>
      <c r="AG170" s="195">
        <v>8.1260561176111912E-3</v>
      </c>
      <c r="AI170" s="182">
        <v>6.3785960000000141E-2</v>
      </c>
      <c r="AJ170" s="182">
        <v>6.461124000000007E-2</v>
      </c>
      <c r="AK170" s="182">
        <v>4.0910062500000288E-2</v>
      </c>
      <c r="AM170" s="27" t="s">
        <v>135</v>
      </c>
      <c r="AN170" s="7" t="b">
        <f t="shared" si="19"/>
        <v>0</v>
      </c>
      <c r="AP170" s="211">
        <v>-99</v>
      </c>
      <c r="AQ170" s="211">
        <v>-99</v>
      </c>
      <c r="AS170" s="211">
        <v>-99</v>
      </c>
      <c r="AT170" s="211">
        <v>-99</v>
      </c>
      <c r="AU170" s="211">
        <v>-99</v>
      </c>
      <c r="AV170" s="211">
        <v>-99</v>
      </c>
      <c r="AW170" s="211">
        <v>-99</v>
      </c>
      <c r="AX170" s="211">
        <v>-99</v>
      </c>
      <c r="AZ170" s="211">
        <v>-99</v>
      </c>
      <c r="BA170" s="211">
        <v>-99</v>
      </c>
      <c r="BB170" s="211">
        <v>-99</v>
      </c>
      <c r="BC170" s="211">
        <v>-99</v>
      </c>
      <c r="BD170" s="211">
        <v>-99</v>
      </c>
      <c r="BE170" s="211">
        <v>-99</v>
      </c>
      <c r="BG170" s="211">
        <v>-99</v>
      </c>
      <c r="BH170" s="211">
        <v>-99</v>
      </c>
      <c r="BI170" s="211">
        <v>-99</v>
      </c>
      <c r="BJ170" s="211">
        <v>-99</v>
      </c>
      <c r="BK170" s="211">
        <v>-99</v>
      </c>
      <c r="BL170" s="211">
        <v>-99</v>
      </c>
      <c r="BM170" s="211">
        <v>-99</v>
      </c>
      <c r="BN170" s="191">
        <f t="shared" si="20"/>
        <v>6.3785960000000141E-2</v>
      </c>
      <c r="BO170" s="191">
        <f t="shared" si="21"/>
        <v>6.461124000000007E-2</v>
      </c>
      <c r="BP170" s="191">
        <f t="shared" si="22"/>
        <v>4.0910062500000288E-2</v>
      </c>
      <c r="BQ170" s="171">
        <f t="shared" si="23"/>
        <v>6.3799999999999996E-2</v>
      </c>
      <c r="BR170" s="171">
        <f t="shared" si="24"/>
        <v>8.2500000000000004E-2</v>
      </c>
      <c r="BS170" s="171">
        <f t="shared" si="25"/>
        <v>6.2800000000000009E-2</v>
      </c>
      <c r="BT170" s="171">
        <f t="shared" si="26"/>
        <v>6.3600000000000004E-2</v>
      </c>
      <c r="BU170" s="171">
        <f t="shared" si="27"/>
        <v>4.0500000000000001E-2</v>
      </c>
    </row>
    <row r="171" spans="1:73" x14ac:dyDescent="0.3">
      <c r="A171" s="209">
        <v>36465</v>
      </c>
      <c r="B171" s="187">
        <v>199911</v>
      </c>
      <c r="C171" s="176">
        <v>6.12</v>
      </c>
      <c r="D171" s="176">
        <v>8.25</v>
      </c>
      <c r="E171" s="176">
        <v>4.04</v>
      </c>
      <c r="F171" s="177">
        <v>93.6</v>
      </c>
      <c r="G171" s="210">
        <v>1.5827338129496216E-2</v>
      </c>
      <c r="H171" s="179">
        <v>6.04</v>
      </c>
      <c r="I171" s="179">
        <v>6.1</v>
      </c>
      <c r="J171" s="176"/>
      <c r="K171" s="182">
        <v>0.06</v>
      </c>
      <c r="L171" s="182">
        <v>0.06</v>
      </c>
      <c r="N171" s="182">
        <v>6.5000000000000002E-2</v>
      </c>
      <c r="O171" s="182">
        <v>4.2500000000000003E-2</v>
      </c>
      <c r="Q171" s="182">
        <v>6.25E-2</v>
      </c>
      <c r="R171" s="182">
        <v>6.5000000000000002E-2</v>
      </c>
      <c r="S171" s="182">
        <v>4.4999999999999998E-2</v>
      </c>
      <c r="T171" s="182">
        <v>4.7500000000000001E-2</v>
      </c>
      <c r="U171" s="182"/>
      <c r="V171" s="194">
        <v>6.7000000000000004E-2</v>
      </c>
      <c r="W171" s="194">
        <v>7.0000000000000007E-2</v>
      </c>
      <c r="X171" s="194">
        <v>4.9000000000000002E-2</v>
      </c>
      <c r="Y171" s="194">
        <v>0.05</v>
      </c>
      <c r="Z171" s="194"/>
      <c r="AA171" s="195">
        <v>6.732656250000002E-2</v>
      </c>
      <c r="AB171" s="195">
        <v>6.9796522499999902E-2</v>
      </c>
      <c r="AC171" s="195">
        <v>4.8786825078837109E-2</v>
      </c>
      <c r="AD171" s="195">
        <v>5.0471681210581883E-2</v>
      </c>
      <c r="AE171" s="195"/>
      <c r="AF171" s="195">
        <v>8.8386586186230964E-3</v>
      </c>
      <c r="AG171" s="195">
        <v>9.1981733706271163E-3</v>
      </c>
      <c r="AI171" s="182">
        <v>6.1312040000000012E-2</v>
      </c>
      <c r="AJ171" s="182">
        <v>6.1930249999999853E-2</v>
      </c>
      <c r="AK171" s="182">
        <v>4.0808039999999934E-2</v>
      </c>
      <c r="AM171" s="27" t="s">
        <v>135</v>
      </c>
      <c r="AN171" s="7" t="b">
        <f t="shared" si="19"/>
        <v>0</v>
      </c>
      <c r="AP171" s="211">
        <v>-99</v>
      </c>
      <c r="AQ171" s="211">
        <v>-99</v>
      </c>
      <c r="AS171" s="211">
        <v>-99</v>
      </c>
      <c r="AT171" s="211">
        <v>-99</v>
      </c>
      <c r="AU171" s="211">
        <v>-99</v>
      </c>
      <c r="AV171" s="211">
        <v>-99</v>
      </c>
      <c r="AW171" s="211">
        <v>-99</v>
      </c>
      <c r="AX171" s="211">
        <v>-99</v>
      </c>
      <c r="AZ171" s="211">
        <v>-99</v>
      </c>
      <c r="BA171" s="211">
        <v>-99</v>
      </c>
      <c r="BB171" s="211">
        <v>-99</v>
      </c>
      <c r="BC171" s="211">
        <v>-99</v>
      </c>
      <c r="BD171" s="211">
        <v>-99</v>
      </c>
      <c r="BE171" s="211">
        <v>-99</v>
      </c>
      <c r="BG171" s="211">
        <v>-99</v>
      </c>
      <c r="BH171" s="211">
        <v>-99</v>
      </c>
      <c r="BI171" s="211">
        <v>-99</v>
      </c>
      <c r="BJ171" s="211">
        <v>-99</v>
      </c>
      <c r="BK171" s="211">
        <v>-99</v>
      </c>
      <c r="BL171" s="211">
        <v>-99</v>
      </c>
      <c r="BM171" s="211">
        <v>-99</v>
      </c>
      <c r="BN171" s="191">
        <f t="shared" si="20"/>
        <v>6.1312040000000012E-2</v>
      </c>
      <c r="BO171" s="191">
        <f t="shared" si="21"/>
        <v>6.1930249999999853E-2</v>
      </c>
      <c r="BP171" s="191">
        <f t="shared" si="22"/>
        <v>4.0808039999999934E-2</v>
      </c>
      <c r="BQ171" s="171">
        <f t="shared" si="23"/>
        <v>6.1200000000000004E-2</v>
      </c>
      <c r="BR171" s="171">
        <f t="shared" si="24"/>
        <v>8.2500000000000004E-2</v>
      </c>
      <c r="BS171" s="171">
        <f t="shared" si="25"/>
        <v>6.0400000000000002E-2</v>
      </c>
      <c r="BT171" s="171">
        <f t="shared" si="26"/>
        <v>6.0999999999999999E-2</v>
      </c>
      <c r="BU171" s="171">
        <f t="shared" si="27"/>
        <v>4.0399999999999998E-2</v>
      </c>
    </row>
    <row r="172" spans="1:73" x14ac:dyDescent="0.3">
      <c r="A172" s="212">
        <v>36495</v>
      </c>
      <c r="B172" s="187">
        <v>199912</v>
      </c>
      <c r="C172" s="213">
        <v>6.25</v>
      </c>
      <c r="D172" s="213">
        <v>8.25</v>
      </c>
      <c r="E172" s="213">
        <v>4.01</v>
      </c>
      <c r="F172" s="177">
        <v>93.7</v>
      </c>
      <c r="G172" s="214">
        <v>1.7253774263120025E-2</v>
      </c>
      <c r="H172" s="215">
        <v>6.18</v>
      </c>
      <c r="I172" s="215">
        <v>6.23</v>
      </c>
      <c r="J172" s="213"/>
      <c r="K172" s="216">
        <v>6.5000000000000002E-2</v>
      </c>
      <c r="L172" s="216">
        <v>6.5000000000000002E-2</v>
      </c>
      <c r="M172" s="216"/>
      <c r="N172" s="216">
        <v>7.0000000000000007E-2</v>
      </c>
      <c r="O172" s="216">
        <v>4.2500000000000003E-2</v>
      </c>
      <c r="P172" s="217"/>
      <c r="Q172" s="182">
        <v>7.0000000000000007E-2</v>
      </c>
      <c r="R172" s="182">
        <v>7.0000000000000007E-2</v>
      </c>
      <c r="S172" s="182">
        <v>4.4999999999999998E-2</v>
      </c>
      <c r="T172" s="182">
        <v>4.4999999999999998E-2</v>
      </c>
      <c r="U172" s="182"/>
      <c r="V172" s="194">
        <v>7.2999999999999995E-2</v>
      </c>
      <c r="W172" s="194">
        <v>7.3999999999999996E-2</v>
      </c>
      <c r="X172" s="194">
        <v>4.9000000000000002E-2</v>
      </c>
      <c r="Y172" s="194">
        <v>0.05</v>
      </c>
      <c r="Z172" s="194"/>
      <c r="AA172" s="195">
        <v>7.2785960000000149E-2</v>
      </c>
      <c r="AB172" s="195">
        <v>7.4023880000000042E-2</v>
      </c>
      <c r="AC172" s="195">
        <v>4.9387517871852041E-2</v>
      </c>
      <c r="AD172" s="195">
        <v>5.017133481407441E-2</v>
      </c>
      <c r="AE172" s="195"/>
      <c r="AF172" s="195">
        <v>1.1148618470133709E-2</v>
      </c>
      <c r="AG172" s="195">
        <v>1.1356501741760283E-2</v>
      </c>
      <c r="AI172" s="182">
        <v>6.2754809999999939E-2</v>
      </c>
      <c r="AJ172" s="182">
        <v>6.3270322499999976E-2</v>
      </c>
      <c r="AK172" s="182">
        <v>4.0502002499999801E-2</v>
      </c>
      <c r="AM172" s="27" t="s">
        <v>135</v>
      </c>
      <c r="AN172" s="7" t="b">
        <f t="shared" si="19"/>
        <v>0</v>
      </c>
      <c r="AP172" s="211">
        <v>-99</v>
      </c>
      <c r="AQ172" s="211">
        <v>-99</v>
      </c>
      <c r="AS172" s="211">
        <v>-99</v>
      </c>
      <c r="AT172" s="211">
        <v>-99</v>
      </c>
      <c r="AU172" s="211">
        <v>-99</v>
      </c>
      <c r="AV172" s="211">
        <v>-99</v>
      </c>
      <c r="AW172" s="211">
        <v>-99</v>
      </c>
      <c r="AX172" s="211">
        <v>-99</v>
      </c>
      <c r="AZ172" s="211">
        <v>-99</v>
      </c>
      <c r="BA172" s="211">
        <v>-99</v>
      </c>
      <c r="BB172" s="211">
        <v>-99</v>
      </c>
      <c r="BC172" s="211">
        <v>-99</v>
      </c>
      <c r="BD172" s="211">
        <v>-99</v>
      </c>
      <c r="BE172" s="211">
        <v>-99</v>
      </c>
      <c r="BG172" s="211">
        <v>-99</v>
      </c>
      <c r="BH172" s="211">
        <v>-99</v>
      </c>
      <c r="BI172" s="211">
        <v>-99</v>
      </c>
      <c r="BJ172" s="211">
        <v>-99</v>
      </c>
      <c r="BK172" s="211">
        <v>-99</v>
      </c>
      <c r="BL172" s="211">
        <v>-99</v>
      </c>
      <c r="BM172" s="211">
        <v>-99</v>
      </c>
      <c r="BN172" s="191">
        <f t="shared" si="20"/>
        <v>6.2754809999999939E-2</v>
      </c>
      <c r="BO172" s="191">
        <f t="shared" si="21"/>
        <v>6.3270322499999976E-2</v>
      </c>
      <c r="BP172" s="191">
        <f t="shared" si="22"/>
        <v>4.0502002499999801E-2</v>
      </c>
      <c r="BQ172" s="171">
        <f t="shared" si="23"/>
        <v>6.25E-2</v>
      </c>
      <c r="BR172" s="171">
        <f t="shared" si="24"/>
        <v>8.2500000000000004E-2</v>
      </c>
      <c r="BS172" s="171">
        <f t="shared" si="25"/>
        <v>6.1799999999999994E-2</v>
      </c>
      <c r="BT172" s="171">
        <f t="shared" si="26"/>
        <v>6.2300000000000001E-2</v>
      </c>
      <c r="BU172" s="171">
        <f t="shared" si="27"/>
        <v>4.0099999999999997E-2</v>
      </c>
    </row>
    <row r="173" spans="1:73" x14ac:dyDescent="0.3">
      <c r="A173" s="209">
        <v>36526</v>
      </c>
      <c r="B173" s="187">
        <v>200001</v>
      </c>
      <c r="C173" s="176">
        <v>6.36</v>
      </c>
      <c r="D173" s="176">
        <v>8.5500000000000007</v>
      </c>
      <c r="E173" s="176">
        <v>4.0199999999999996</v>
      </c>
      <c r="F173" s="177">
        <v>93.5</v>
      </c>
      <c r="G173" s="210">
        <v>1.8678160919540332E-2</v>
      </c>
      <c r="H173" s="179">
        <v>6.45</v>
      </c>
      <c r="I173" s="179">
        <v>6.27</v>
      </c>
      <c r="J173" s="176"/>
      <c r="K173" s="182">
        <v>6.5000000000000002E-2</v>
      </c>
      <c r="L173" s="182">
        <v>6.5000000000000002E-2</v>
      </c>
      <c r="N173" s="182">
        <v>6.7500000000000004E-2</v>
      </c>
      <c r="O173" s="182">
        <v>4.2500000000000003E-2</v>
      </c>
      <c r="Q173" s="182">
        <v>6.7500000000000004E-2</v>
      </c>
      <c r="R173" s="182">
        <v>6.7500000000000004E-2</v>
      </c>
      <c r="S173" s="182">
        <v>4.4999999999999998E-2</v>
      </c>
      <c r="T173" s="182">
        <v>4.4999999999999998E-2</v>
      </c>
      <c r="U173" s="182"/>
      <c r="V173" s="194">
        <v>7.0000000000000007E-2</v>
      </c>
      <c r="W173" s="194">
        <v>7.1000000000000008E-2</v>
      </c>
      <c r="X173" s="194">
        <v>4.9000000000000002E-2</v>
      </c>
      <c r="Y173" s="194">
        <v>0.05</v>
      </c>
      <c r="Z173" s="194"/>
      <c r="AA173" s="195">
        <v>7.031204000000002E-2</v>
      </c>
      <c r="AB173" s="195">
        <v>7.1239354999999782E-2</v>
      </c>
      <c r="AC173" s="195">
        <v>4.9400679487029399E-2</v>
      </c>
      <c r="AD173" s="195">
        <v>5.0011720256485204E-2</v>
      </c>
      <c r="AE173" s="195"/>
      <c r="AF173" s="195">
        <v>9.963477688613942E-3</v>
      </c>
      <c r="AG173" s="195">
        <v>1.0108284666731859E-2</v>
      </c>
      <c r="AI173" s="182">
        <v>6.5540062499999774E-2</v>
      </c>
      <c r="AJ173" s="182">
        <v>6.3682822499999903E-2</v>
      </c>
      <c r="AK173" s="182">
        <v>4.0604010000000024E-2</v>
      </c>
      <c r="AM173" s="27" t="s">
        <v>135</v>
      </c>
      <c r="AN173" s="7" t="b">
        <f t="shared" si="19"/>
        <v>0</v>
      </c>
      <c r="AP173" s="211">
        <v>-99</v>
      </c>
      <c r="AQ173" s="211">
        <v>-99</v>
      </c>
      <c r="AS173" s="211">
        <v>-99</v>
      </c>
      <c r="AT173" s="211">
        <v>-99</v>
      </c>
      <c r="AU173" s="211">
        <v>-99</v>
      </c>
      <c r="AV173" s="211">
        <v>-99</v>
      </c>
      <c r="AW173" s="211">
        <v>-99</v>
      </c>
      <c r="AX173" s="211">
        <v>-99</v>
      </c>
      <c r="AZ173" s="211">
        <v>-99</v>
      </c>
      <c r="BA173" s="211">
        <v>-99</v>
      </c>
      <c r="BB173" s="211">
        <v>-99</v>
      </c>
      <c r="BC173" s="211">
        <v>-99</v>
      </c>
      <c r="BD173" s="211">
        <v>-99</v>
      </c>
      <c r="BE173" s="211">
        <v>-99</v>
      </c>
      <c r="BG173" s="211">
        <v>-99</v>
      </c>
      <c r="BH173" s="211">
        <v>-99</v>
      </c>
      <c r="BI173" s="211">
        <v>-99</v>
      </c>
      <c r="BJ173" s="211">
        <v>-99</v>
      </c>
      <c r="BK173" s="211">
        <v>-99</v>
      </c>
      <c r="BL173" s="211">
        <v>-99</v>
      </c>
      <c r="BM173" s="211">
        <v>-99</v>
      </c>
      <c r="BN173" s="191">
        <f t="shared" si="20"/>
        <v>6.5540062499999774E-2</v>
      </c>
      <c r="BO173" s="191">
        <f t="shared" si="21"/>
        <v>6.3682822499999903E-2</v>
      </c>
      <c r="BP173" s="191">
        <f t="shared" si="22"/>
        <v>4.0604010000000024E-2</v>
      </c>
      <c r="BQ173" s="171">
        <f t="shared" si="23"/>
        <v>6.3600000000000004E-2</v>
      </c>
      <c r="BR173" s="171">
        <f t="shared" si="24"/>
        <v>8.5500000000000007E-2</v>
      </c>
      <c r="BS173" s="171">
        <f t="shared" si="25"/>
        <v>6.4500000000000002E-2</v>
      </c>
      <c r="BT173" s="171">
        <f t="shared" si="26"/>
        <v>6.2699999999999992E-2</v>
      </c>
      <c r="BU173" s="171">
        <f t="shared" si="27"/>
        <v>4.0199999999999993E-2</v>
      </c>
    </row>
    <row r="174" spans="1:73" x14ac:dyDescent="0.3">
      <c r="A174" s="209">
        <v>36557</v>
      </c>
      <c r="B174" s="187">
        <v>200002</v>
      </c>
      <c r="C174" s="176">
        <v>5.98</v>
      </c>
      <c r="D174" s="176">
        <v>8.5500000000000007</v>
      </c>
      <c r="E174" s="176">
        <v>3.92</v>
      </c>
      <c r="F174" s="177">
        <v>94.1</v>
      </c>
      <c r="G174" s="210">
        <v>2.0100502512562679E-2</v>
      </c>
      <c r="H174" s="179">
        <v>6.32</v>
      </c>
      <c r="I174" s="179">
        <v>5.83</v>
      </c>
      <c r="J174" s="176"/>
      <c r="K174" s="182">
        <v>6.5000000000000002E-2</v>
      </c>
      <c r="L174" s="182">
        <v>6.5000000000000002E-2</v>
      </c>
      <c r="N174" s="182">
        <v>6.7500000000000004E-2</v>
      </c>
      <c r="O174" s="182">
        <v>4.2500000000000003E-2</v>
      </c>
      <c r="Q174" s="182">
        <v>6.7500000000000004E-2</v>
      </c>
      <c r="R174" s="182">
        <v>6.7500000000000004E-2</v>
      </c>
      <c r="S174" s="182">
        <v>4.4999999999999998E-2</v>
      </c>
      <c r="T174" s="182">
        <v>4.4999999999999998E-2</v>
      </c>
      <c r="U174" s="182"/>
      <c r="V174" s="194">
        <v>7.2000000000000008E-2</v>
      </c>
      <c r="W174" s="194">
        <v>7.2999999999999995E-2</v>
      </c>
      <c r="X174" s="194">
        <v>4.9000000000000002E-2</v>
      </c>
      <c r="Y174" s="194">
        <v>0.05</v>
      </c>
      <c r="Z174" s="194"/>
      <c r="AA174" s="195">
        <v>7.1754809999999947E-2</v>
      </c>
      <c r="AB174" s="195">
        <v>7.2528078750000002E-2</v>
      </c>
      <c r="AC174" s="195">
        <v>4.9172001201780044E-2</v>
      </c>
      <c r="AD174" s="195">
        <v>4.9667003149109677E-2</v>
      </c>
      <c r="AE174" s="195"/>
      <c r="AF174" s="195">
        <v>1.0762205230578137E-2</v>
      </c>
      <c r="AG174" s="195">
        <v>1.0889680028192128E-2</v>
      </c>
      <c r="AI174" s="182">
        <v>6.4198560000000127E-2</v>
      </c>
      <c r="AJ174" s="182">
        <v>5.9149722499999946E-2</v>
      </c>
      <c r="AK174" s="182">
        <v>3.9584160000000201E-2</v>
      </c>
      <c r="AM174" s="27" t="s">
        <v>135</v>
      </c>
      <c r="AN174" s="7" t="b">
        <f t="shared" si="19"/>
        <v>0</v>
      </c>
      <c r="AP174" s="211">
        <v>-99</v>
      </c>
      <c r="AQ174" s="211">
        <v>-99</v>
      </c>
      <c r="AS174" s="211">
        <v>-99</v>
      </c>
      <c r="AT174" s="211">
        <v>-99</v>
      </c>
      <c r="AU174" s="211">
        <v>-99</v>
      </c>
      <c r="AV174" s="211">
        <v>-99</v>
      </c>
      <c r="AW174" s="211">
        <v>-99</v>
      </c>
      <c r="AX174" s="211">
        <v>-99</v>
      </c>
      <c r="AZ174" s="211">
        <v>-99</v>
      </c>
      <c r="BA174" s="211">
        <v>-99</v>
      </c>
      <c r="BB174" s="211">
        <v>-99</v>
      </c>
      <c r="BC174" s="211">
        <v>-99</v>
      </c>
      <c r="BD174" s="211">
        <v>-99</v>
      </c>
      <c r="BE174" s="211">
        <v>-99</v>
      </c>
      <c r="BG174" s="211">
        <v>-99</v>
      </c>
      <c r="BH174" s="211">
        <v>-99</v>
      </c>
      <c r="BI174" s="211">
        <v>-99</v>
      </c>
      <c r="BJ174" s="211">
        <v>-99</v>
      </c>
      <c r="BK174" s="211">
        <v>-99</v>
      </c>
      <c r="BL174" s="211">
        <v>-99</v>
      </c>
      <c r="BM174" s="211">
        <v>-99</v>
      </c>
      <c r="BN174" s="191">
        <f t="shared" si="20"/>
        <v>6.4198560000000127E-2</v>
      </c>
      <c r="BO174" s="191">
        <f t="shared" si="21"/>
        <v>5.9149722499999946E-2</v>
      </c>
      <c r="BP174" s="191">
        <f t="shared" si="22"/>
        <v>3.9584160000000201E-2</v>
      </c>
      <c r="BQ174" s="171">
        <f t="shared" si="23"/>
        <v>5.9800000000000006E-2</v>
      </c>
      <c r="BR174" s="171">
        <f t="shared" si="24"/>
        <v>8.5500000000000007E-2</v>
      </c>
      <c r="BS174" s="171">
        <f t="shared" si="25"/>
        <v>6.3200000000000006E-2</v>
      </c>
      <c r="BT174" s="171">
        <f t="shared" si="26"/>
        <v>5.8299999999999998E-2</v>
      </c>
      <c r="BU174" s="171">
        <f t="shared" si="27"/>
        <v>3.9199999999999999E-2</v>
      </c>
    </row>
    <row r="175" spans="1:73" x14ac:dyDescent="0.3">
      <c r="A175" s="209">
        <v>36586</v>
      </c>
      <c r="B175" s="187">
        <v>200003</v>
      </c>
      <c r="C175" s="176">
        <v>5.96</v>
      </c>
      <c r="D175" s="176">
        <v>8.35</v>
      </c>
      <c r="E175" s="176">
        <v>3.8</v>
      </c>
      <c r="F175" s="177">
        <v>94.8</v>
      </c>
      <c r="G175" s="210">
        <v>2.223816355810615E-2</v>
      </c>
      <c r="H175" s="179">
        <v>6.16</v>
      </c>
      <c r="I175" s="179">
        <v>5.84</v>
      </c>
      <c r="J175" s="176"/>
      <c r="K175" s="182">
        <v>6.5000000000000002E-2</v>
      </c>
      <c r="L175" s="182">
        <v>6.5000000000000002E-2</v>
      </c>
      <c r="N175" s="182">
        <v>7.0000000000000007E-2</v>
      </c>
      <c r="O175" s="182">
        <v>4.2500000000000003E-2</v>
      </c>
      <c r="Q175" s="182">
        <v>7.0000000000000007E-2</v>
      </c>
      <c r="R175" s="182">
        <v>6.7500000000000004E-2</v>
      </c>
      <c r="S175" s="182">
        <v>4.7500000000000001E-2</v>
      </c>
      <c r="T175" s="182">
        <v>4.4999999999999998E-2</v>
      </c>
      <c r="U175" s="182"/>
      <c r="V175" s="194">
        <v>7.4999999999999997E-2</v>
      </c>
      <c r="W175" s="194">
        <v>7.2000000000000008E-2</v>
      </c>
      <c r="X175" s="194">
        <v>5.1000000000000004E-2</v>
      </c>
      <c r="Y175" s="194">
        <v>4.9000000000000002E-2</v>
      </c>
      <c r="Z175" s="194"/>
      <c r="AA175" s="195">
        <v>7.4540062499999782E-2</v>
      </c>
      <c r="AB175" s="195">
        <v>7.1754202499999975E-2</v>
      </c>
      <c r="AC175" s="195">
        <v>5.0788181627009731E-2</v>
      </c>
      <c r="AD175" s="195">
        <v>4.9011924186495172E-2</v>
      </c>
      <c r="AE175" s="195"/>
      <c r="AF175" s="195">
        <v>1.1301935674710939E-2</v>
      </c>
      <c r="AG175" s="195">
        <v>1.0839856911608159E-2</v>
      </c>
      <c r="AI175" s="182">
        <v>6.2548639999999933E-2</v>
      </c>
      <c r="AJ175" s="182">
        <v>5.9252639999999746E-2</v>
      </c>
      <c r="AK175" s="182">
        <v>3.8360999999999867E-2</v>
      </c>
      <c r="AM175" s="27" t="s">
        <v>135</v>
      </c>
      <c r="AN175" s="7" t="b">
        <f t="shared" si="19"/>
        <v>0</v>
      </c>
      <c r="AP175" s="211">
        <v>-99</v>
      </c>
      <c r="AQ175" s="211">
        <v>-99</v>
      </c>
      <c r="AS175" s="211">
        <v>-99</v>
      </c>
      <c r="AT175" s="211">
        <v>-99</v>
      </c>
      <c r="AU175" s="211">
        <v>-99</v>
      </c>
      <c r="AV175" s="211">
        <v>-99</v>
      </c>
      <c r="AW175" s="211">
        <v>-99</v>
      </c>
      <c r="AX175" s="211">
        <v>-99</v>
      </c>
      <c r="AZ175" s="211">
        <v>-99</v>
      </c>
      <c r="BA175" s="211">
        <v>-99</v>
      </c>
      <c r="BB175" s="211">
        <v>-99</v>
      </c>
      <c r="BC175" s="211">
        <v>-99</v>
      </c>
      <c r="BD175" s="211">
        <v>-99</v>
      </c>
      <c r="BE175" s="211">
        <v>-99</v>
      </c>
      <c r="BG175" s="211">
        <v>-99</v>
      </c>
      <c r="BH175" s="211">
        <v>-99</v>
      </c>
      <c r="BI175" s="211">
        <v>-99</v>
      </c>
      <c r="BJ175" s="211">
        <v>-99</v>
      </c>
      <c r="BK175" s="211">
        <v>-99</v>
      </c>
      <c r="BL175" s="211">
        <v>-99</v>
      </c>
      <c r="BM175" s="211">
        <v>-99</v>
      </c>
      <c r="BN175" s="191">
        <f t="shared" si="20"/>
        <v>6.2548639999999933E-2</v>
      </c>
      <c r="BO175" s="191">
        <f t="shared" si="21"/>
        <v>5.9252639999999746E-2</v>
      </c>
      <c r="BP175" s="191">
        <f t="shared" si="22"/>
        <v>3.8360999999999867E-2</v>
      </c>
      <c r="BQ175" s="171">
        <f t="shared" si="23"/>
        <v>5.96E-2</v>
      </c>
      <c r="BR175" s="171">
        <f t="shared" si="24"/>
        <v>8.3499999999999991E-2</v>
      </c>
      <c r="BS175" s="171">
        <f t="shared" si="25"/>
        <v>6.1600000000000002E-2</v>
      </c>
      <c r="BT175" s="171">
        <f t="shared" si="26"/>
        <v>5.8400000000000001E-2</v>
      </c>
      <c r="BU175" s="171">
        <f t="shared" si="27"/>
        <v>3.7999999999999999E-2</v>
      </c>
    </row>
    <row r="176" spans="1:73" x14ac:dyDescent="0.3">
      <c r="A176" s="209">
        <v>36617</v>
      </c>
      <c r="B176" s="187">
        <v>200004</v>
      </c>
      <c r="C176" s="176">
        <v>6.03</v>
      </c>
      <c r="D176" s="176">
        <v>8.35</v>
      </c>
      <c r="E176" s="176">
        <v>3.64</v>
      </c>
      <c r="F176" s="177">
        <v>94.5</v>
      </c>
      <c r="G176" s="210">
        <v>2.2206303724928267E-2</v>
      </c>
      <c r="H176" s="179">
        <v>6.2</v>
      </c>
      <c r="I176" s="179">
        <v>5.92</v>
      </c>
      <c r="J176" s="176"/>
      <c r="K176" s="182">
        <v>0.06</v>
      </c>
      <c r="L176" s="182">
        <v>6.5000000000000002E-2</v>
      </c>
      <c r="N176" s="182">
        <v>6.5000000000000002E-2</v>
      </c>
      <c r="O176" s="182">
        <v>4.2500000000000003E-2</v>
      </c>
      <c r="Q176" s="182">
        <v>7.0000000000000007E-2</v>
      </c>
      <c r="R176" s="182">
        <v>6.25E-2</v>
      </c>
      <c r="S176" s="182">
        <v>4.7500000000000001E-2</v>
      </c>
      <c r="T176" s="182">
        <v>4.2500000000000003E-2</v>
      </c>
      <c r="U176" s="182"/>
      <c r="V176" s="194">
        <v>7.2999999999999995E-2</v>
      </c>
      <c r="W176" s="194">
        <v>6.6000000000000003E-2</v>
      </c>
      <c r="X176" s="194">
        <v>5.2000000000000005E-2</v>
      </c>
      <c r="Y176" s="194">
        <v>4.7E-2</v>
      </c>
      <c r="Z176" s="194"/>
      <c r="AA176" s="195">
        <v>7.3198560000000135E-2</v>
      </c>
      <c r="AB176" s="195">
        <v>6.5625303749999864E-2</v>
      </c>
      <c r="AC176" s="195">
        <v>5.1962941555805615E-2</v>
      </c>
      <c r="AD176" s="195">
        <v>4.6894769222097496E-2</v>
      </c>
      <c r="AE176" s="195"/>
      <c r="AF176" s="195">
        <v>1.0093330100007236E-2</v>
      </c>
      <c r="AG176" s="195">
        <v>8.9457580067097142E-3</v>
      </c>
      <c r="AI176" s="182">
        <v>6.2960999999999823E-2</v>
      </c>
      <c r="AJ176" s="182">
        <v>6.0076160000000156E-2</v>
      </c>
      <c r="AK176" s="182">
        <v>3.6731239999999943E-2</v>
      </c>
      <c r="AM176" s="27" t="s">
        <v>135</v>
      </c>
      <c r="AN176" s="7" t="b">
        <f t="shared" si="19"/>
        <v>0</v>
      </c>
      <c r="AP176" s="211">
        <v>-99</v>
      </c>
      <c r="AQ176" s="211">
        <v>-99</v>
      </c>
      <c r="AS176" s="211">
        <v>-99</v>
      </c>
      <c r="AT176" s="211">
        <v>-99</v>
      </c>
      <c r="AU176" s="211">
        <v>-99</v>
      </c>
      <c r="AV176" s="211">
        <v>-99</v>
      </c>
      <c r="AW176" s="211">
        <v>-99</v>
      </c>
      <c r="AX176" s="211">
        <v>-99</v>
      </c>
      <c r="AZ176" s="211">
        <v>-99</v>
      </c>
      <c r="BA176" s="211">
        <v>-99</v>
      </c>
      <c r="BB176" s="211">
        <v>-99</v>
      </c>
      <c r="BC176" s="211">
        <v>-99</v>
      </c>
      <c r="BD176" s="211">
        <v>-99</v>
      </c>
      <c r="BE176" s="211">
        <v>-99</v>
      </c>
      <c r="BG176" s="211">
        <v>-99</v>
      </c>
      <c r="BH176" s="211">
        <v>-99</v>
      </c>
      <c r="BI176" s="211">
        <v>-99</v>
      </c>
      <c r="BJ176" s="211">
        <v>-99</v>
      </c>
      <c r="BK176" s="211">
        <v>-99</v>
      </c>
      <c r="BL176" s="211">
        <v>-99</v>
      </c>
      <c r="BM176" s="211">
        <v>-99</v>
      </c>
      <c r="BN176" s="191">
        <f t="shared" si="20"/>
        <v>6.2960999999999823E-2</v>
      </c>
      <c r="BO176" s="191">
        <f t="shared" si="21"/>
        <v>6.0076160000000156E-2</v>
      </c>
      <c r="BP176" s="191">
        <f t="shared" si="22"/>
        <v>3.6731239999999943E-2</v>
      </c>
      <c r="BQ176" s="171">
        <f t="shared" si="23"/>
        <v>6.0299999999999999E-2</v>
      </c>
      <c r="BR176" s="171">
        <f t="shared" si="24"/>
        <v>8.3499999999999991E-2</v>
      </c>
      <c r="BS176" s="171">
        <f t="shared" si="25"/>
        <v>6.2E-2</v>
      </c>
      <c r="BT176" s="171">
        <f t="shared" si="26"/>
        <v>5.9200000000000003E-2</v>
      </c>
      <c r="BU176" s="171">
        <f t="shared" si="27"/>
        <v>3.6400000000000002E-2</v>
      </c>
    </row>
    <row r="177" spans="1:73" x14ac:dyDescent="0.3">
      <c r="A177" s="209">
        <v>36647</v>
      </c>
      <c r="B177" s="187">
        <v>200005</v>
      </c>
      <c r="C177" s="176">
        <v>5.94</v>
      </c>
      <c r="D177" s="176">
        <v>8.75</v>
      </c>
      <c r="E177" s="176">
        <v>3.81</v>
      </c>
      <c r="F177" s="177">
        <v>94.9</v>
      </c>
      <c r="G177" s="210">
        <v>2.2889842632331847E-2</v>
      </c>
      <c r="H177" s="179">
        <v>6.19</v>
      </c>
      <c r="I177" s="179">
        <v>5.63</v>
      </c>
      <c r="J177" s="176"/>
      <c r="K177" s="182">
        <v>0.06</v>
      </c>
      <c r="L177" s="182">
        <v>0.06</v>
      </c>
      <c r="N177" s="182">
        <v>6.5000000000000002E-2</v>
      </c>
      <c r="O177" s="182">
        <v>0.04</v>
      </c>
      <c r="Q177" s="182">
        <v>6.7500000000000004E-2</v>
      </c>
      <c r="R177" s="182">
        <v>6.25E-2</v>
      </c>
      <c r="S177" s="182">
        <v>4.4999999999999998E-2</v>
      </c>
      <c r="T177" s="182">
        <v>4.2500000000000003E-2</v>
      </c>
      <c r="U177" s="182"/>
      <c r="V177" s="194">
        <v>7.2000000000000008E-2</v>
      </c>
      <c r="W177" s="194">
        <v>6.7000000000000004E-2</v>
      </c>
      <c r="X177" s="194">
        <v>4.9000000000000002E-2</v>
      </c>
      <c r="Y177" s="194">
        <v>4.5999999999999999E-2</v>
      </c>
      <c r="Z177" s="194"/>
      <c r="AA177" s="195">
        <v>7.1548639999999941E-2</v>
      </c>
      <c r="AB177" s="195">
        <v>6.660463999999966E-2</v>
      </c>
      <c r="AC177" s="195">
        <v>4.949487717408034E-2</v>
      </c>
      <c r="AD177" s="195">
        <v>4.6294061412959629E-2</v>
      </c>
      <c r="AE177" s="195"/>
      <c r="AF177" s="195">
        <v>1.0506846343691811E-2</v>
      </c>
      <c r="AG177" s="195">
        <v>9.705960941616909E-3</v>
      </c>
      <c r="AI177" s="182">
        <v>6.2857902500000007E-2</v>
      </c>
      <c r="AJ177" s="182">
        <v>5.7092422499999795E-2</v>
      </c>
      <c r="AK177" s="182">
        <v>3.8462902500000062E-2</v>
      </c>
      <c r="AM177" s="27" t="s">
        <v>135</v>
      </c>
      <c r="AN177" s="7" t="b">
        <f t="shared" si="19"/>
        <v>0</v>
      </c>
      <c r="AP177" s="211">
        <v>-99</v>
      </c>
      <c r="AQ177" s="211">
        <v>-99</v>
      </c>
      <c r="AS177" s="211">
        <v>-99</v>
      </c>
      <c r="AT177" s="211">
        <v>-99</v>
      </c>
      <c r="AU177" s="211">
        <v>-99</v>
      </c>
      <c r="AV177" s="211">
        <v>-99</v>
      </c>
      <c r="AW177" s="211">
        <v>-99</v>
      </c>
      <c r="AX177" s="211">
        <v>-99</v>
      </c>
      <c r="AZ177" s="211">
        <v>-99</v>
      </c>
      <c r="BA177" s="211">
        <v>-99</v>
      </c>
      <c r="BB177" s="211">
        <v>-99</v>
      </c>
      <c r="BC177" s="211">
        <v>-99</v>
      </c>
      <c r="BD177" s="211">
        <v>-99</v>
      </c>
      <c r="BE177" s="211">
        <v>-99</v>
      </c>
      <c r="BG177" s="211">
        <v>-99</v>
      </c>
      <c r="BH177" s="211">
        <v>-99</v>
      </c>
      <c r="BI177" s="211">
        <v>-99</v>
      </c>
      <c r="BJ177" s="211">
        <v>-99</v>
      </c>
      <c r="BK177" s="211">
        <v>-99</v>
      </c>
      <c r="BL177" s="211">
        <v>-99</v>
      </c>
      <c r="BM177" s="211">
        <v>-99</v>
      </c>
      <c r="BN177" s="191">
        <f t="shared" si="20"/>
        <v>6.2857902500000007E-2</v>
      </c>
      <c r="BO177" s="191">
        <f t="shared" si="21"/>
        <v>5.7092422499999795E-2</v>
      </c>
      <c r="BP177" s="191">
        <f t="shared" si="22"/>
        <v>3.8462902500000062E-2</v>
      </c>
      <c r="BQ177" s="171">
        <f t="shared" si="23"/>
        <v>5.9400000000000001E-2</v>
      </c>
      <c r="BR177" s="171">
        <f t="shared" si="24"/>
        <v>8.7499999999999994E-2</v>
      </c>
      <c r="BS177" s="171">
        <f t="shared" si="25"/>
        <v>6.1900000000000004E-2</v>
      </c>
      <c r="BT177" s="171">
        <f t="shared" si="26"/>
        <v>5.6299999999999996E-2</v>
      </c>
      <c r="BU177" s="171">
        <f t="shared" si="27"/>
        <v>3.8100000000000002E-2</v>
      </c>
    </row>
    <row r="178" spans="1:73" x14ac:dyDescent="0.3">
      <c r="A178" s="209">
        <v>36678</v>
      </c>
      <c r="B178" s="187">
        <v>200006</v>
      </c>
      <c r="C178" s="176">
        <v>5.9</v>
      </c>
      <c r="D178" s="176">
        <v>8.4499999999999993</v>
      </c>
      <c r="E178" s="176">
        <v>3.77</v>
      </c>
      <c r="F178" s="177">
        <v>95.5</v>
      </c>
      <c r="G178" s="210">
        <v>2.3571428571428577E-2</v>
      </c>
      <c r="H178" s="179">
        <v>6.06</v>
      </c>
      <c r="I178" s="179">
        <v>5.61</v>
      </c>
      <c r="J178" s="176"/>
      <c r="K178" s="182">
        <v>6.5000000000000002E-2</v>
      </c>
      <c r="L178" s="182">
        <v>0.06</v>
      </c>
      <c r="N178" s="182">
        <v>6.7500000000000004E-2</v>
      </c>
      <c r="O178" s="182">
        <v>0.04</v>
      </c>
      <c r="Q178" s="182">
        <v>6.7500000000000004E-2</v>
      </c>
      <c r="R178" s="182">
        <v>6.25E-2</v>
      </c>
      <c r="S178" s="182">
        <v>4.2500000000000003E-2</v>
      </c>
      <c r="T178" s="182">
        <v>0.04</v>
      </c>
      <c r="U178" s="182"/>
      <c r="V178" s="194">
        <v>7.2000000000000008E-2</v>
      </c>
      <c r="W178" s="194">
        <v>6.8000000000000005E-2</v>
      </c>
      <c r="X178" s="194">
        <v>4.7E-2</v>
      </c>
      <c r="Y178" s="194">
        <v>4.4999999999999998E-2</v>
      </c>
      <c r="Z178" s="194"/>
      <c r="AA178" s="195">
        <v>7.1960999999999831E-2</v>
      </c>
      <c r="AB178" s="195">
        <v>6.7633740000000331E-2</v>
      </c>
      <c r="AC178" s="195">
        <v>4.7495063626569738E-2</v>
      </c>
      <c r="AD178" s="195">
        <v>4.4849328186715047E-2</v>
      </c>
      <c r="AE178" s="195"/>
      <c r="AF178" s="195">
        <v>1.1678306286583284E-2</v>
      </c>
      <c r="AG178" s="195">
        <v>1.0903204509317366E-2</v>
      </c>
      <c r="AI178" s="182">
        <v>6.1518090000000081E-2</v>
      </c>
      <c r="AJ178" s="182">
        <v>5.6886802499999778E-2</v>
      </c>
      <c r="AK178" s="182">
        <v>3.8055322499999988E-2</v>
      </c>
      <c r="AM178" s="27" t="s">
        <v>135</v>
      </c>
      <c r="AN178" s="7" t="b">
        <f t="shared" si="19"/>
        <v>0</v>
      </c>
      <c r="AP178" s="211">
        <v>-99</v>
      </c>
      <c r="AQ178" s="211">
        <v>-99</v>
      </c>
      <c r="AS178" s="211">
        <v>-99</v>
      </c>
      <c r="AT178" s="211">
        <v>-99</v>
      </c>
      <c r="AU178" s="211">
        <v>-99</v>
      </c>
      <c r="AV178" s="211">
        <v>-99</v>
      </c>
      <c r="AW178" s="211">
        <v>-99</v>
      </c>
      <c r="AX178" s="211">
        <v>-99</v>
      </c>
      <c r="AZ178" s="211">
        <v>-99</v>
      </c>
      <c r="BA178" s="211">
        <v>-99</v>
      </c>
      <c r="BB178" s="211">
        <v>-99</v>
      </c>
      <c r="BC178" s="211">
        <v>-99</v>
      </c>
      <c r="BD178" s="211">
        <v>-99</v>
      </c>
      <c r="BE178" s="211">
        <v>-99</v>
      </c>
      <c r="BG178" s="211">
        <v>-99</v>
      </c>
      <c r="BH178" s="211">
        <v>-99</v>
      </c>
      <c r="BI178" s="211">
        <v>-99</v>
      </c>
      <c r="BJ178" s="211">
        <v>-99</v>
      </c>
      <c r="BK178" s="211">
        <v>-99</v>
      </c>
      <c r="BL178" s="211">
        <v>-99</v>
      </c>
      <c r="BM178" s="211">
        <v>-99</v>
      </c>
      <c r="BN178" s="191">
        <f t="shared" si="20"/>
        <v>6.1518090000000081E-2</v>
      </c>
      <c r="BO178" s="191">
        <f t="shared" si="21"/>
        <v>5.6886802499999778E-2</v>
      </c>
      <c r="BP178" s="191">
        <f t="shared" si="22"/>
        <v>3.8055322499999988E-2</v>
      </c>
      <c r="BQ178" s="171">
        <f t="shared" si="23"/>
        <v>5.9000000000000004E-2</v>
      </c>
      <c r="BR178" s="171">
        <f t="shared" si="24"/>
        <v>8.4499999999999992E-2</v>
      </c>
      <c r="BS178" s="171">
        <f t="shared" si="25"/>
        <v>6.0599999999999994E-2</v>
      </c>
      <c r="BT178" s="171">
        <f t="shared" si="26"/>
        <v>5.6100000000000004E-2</v>
      </c>
      <c r="BU178" s="171">
        <f t="shared" si="27"/>
        <v>3.7699999999999997E-2</v>
      </c>
    </row>
    <row r="179" spans="1:73" x14ac:dyDescent="0.3">
      <c r="A179" s="209">
        <v>36708</v>
      </c>
      <c r="B179" s="187">
        <v>200007</v>
      </c>
      <c r="C179" s="176">
        <v>5.83</v>
      </c>
      <c r="D179" s="176">
        <v>8.25</v>
      </c>
      <c r="E179" s="176">
        <v>3.65</v>
      </c>
      <c r="F179" s="177">
        <v>95.8</v>
      </c>
      <c r="G179" s="210">
        <v>2.4964336661911446E-2</v>
      </c>
      <c r="H179" s="179">
        <v>6.01</v>
      </c>
      <c r="I179" s="179">
        <v>5.55</v>
      </c>
      <c r="J179" s="176"/>
      <c r="K179" s="182">
        <v>0.06</v>
      </c>
      <c r="L179" s="182">
        <v>0.06</v>
      </c>
      <c r="N179" s="182">
        <v>6.5000000000000002E-2</v>
      </c>
      <c r="O179" s="182">
        <v>0.04</v>
      </c>
      <c r="Q179" s="182">
        <v>6.7500000000000004E-2</v>
      </c>
      <c r="R179" s="182">
        <v>0.06</v>
      </c>
      <c r="S179" s="182">
        <v>4.7500000000000001E-2</v>
      </c>
      <c r="T179" s="182">
        <v>4.2500000000000003E-2</v>
      </c>
      <c r="U179" s="182"/>
      <c r="V179" s="194">
        <v>7.2000000000000008E-2</v>
      </c>
      <c r="W179" s="194">
        <v>6.3E-2</v>
      </c>
      <c r="X179" s="194">
        <v>5.1000000000000004E-2</v>
      </c>
      <c r="Y179" s="194">
        <v>4.5999999999999999E-2</v>
      </c>
      <c r="Z179" s="194"/>
      <c r="AA179" s="195">
        <v>7.1857902500000015E-2</v>
      </c>
      <c r="AB179" s="195">
        <v>6.3209682499999698E-2</v>
      </c>
      <c r="AC179" s="195">
        <v>5.1347079863567173E-2</v>
      </c>
      <c r="AD179" s="195">
        <v>4.5520813818216509E-2</v>
      </c>
      <c r="AE179" s="195"/>
      <c r="AF179" s="195">
        <v>9.7545439699583403E-3</v>
      </c>
      <c r="AG179" s="195">
        <v>8.459357502976772E-3</v>
      </c>
      <c r="AI179" s="182">
        <v>6.1003002499999903E-2</v>
      </c>
      <c r="AJ179" s="182">
        <v>5.6270062499999884E-2</v>
      </c>
      <c r="AK179" s="182">
        <v>3.683306250000018E-2</v>
      </c>
      <c r="AM179" s="27" t="s">
        <v>135</v>
      </c>
      <c r="AN179" s="7" t="b">
        <f t="shared" si="19"/>
        <v>0</v>
      </c>
      <c r="AP179" s="211">
        <v>-99</v>
      </c>
      <c r="AQ179" s="211">
        <v>-99</v>
      </c>
      <c r="AS179" s="211">
        <v>-99</v>
      </c>
      <c r="AT179" s="211">
        <v>-99</v>
      </c>
      <c r="AU179" s="211">
        <v>-99</v>
      </c>
      <c r="AV179" s="211">
        <v>-99</v>
      </c>
      <c r="AW179" s="211">
        <v>-99</v>
      </c>
      <c r="AX179" s="211">
        <v>-99</v>
      </c>
      <c r="AZ179" s="211">
        <v>-99</v>
      </c>
      <c r="BA179" s="211">
        <v>-99</v>
      </c>
      <c r="BB179" s="211">
        <v>-99</v>
      </c>
      <c r="BC179" s="211">
        <v>-99</v>
      </c>
      <c r="BD179" s="211">
        <v>-99</v>
      </c>
      <c r="BE179" s="211">
        <v>-99</v>
      </c>
      <c r="BG179" s="211">
        <v>-99</v>
      </c>
      <c r="BH179" s="211">
        <v>-99</v>
      </c>
      <c r="BI179" s="211">
        <v>-99</v>
      </c>
      <c r="BJ179" s="211">
        <v>-99</v>
      </c>
      <c r="BK179" s="211">
        <v>-99</v>
      </c>
      <c r="BL179" s="211">
        <v>-99</v>
      </c>
      <c r="BM179" s="211">
        <v>-99</v>
      </c>
      <c r="BN179" s="191">
        <f t="shared" si="20"/>
        <v>6.1003002499999903E-2</v>
      </c>
      <c r="BO179" s="191">
        <f t="shared" si="21"/>
        <v>5.6270062499999884E-2</v>
      </c>
      <c r="BP179" s="191">
        <f t="shared" si="22"/>
        <v>3.683306250000018E-2</v>
      </c>
      <c r="BQ179" s="171">
        <f t="shared" si="23"/>
        <v>5.8299999999999998E-2</v>
      </c>
      <c r="BR179" s="171">
        <f t="shared" si="24"/>
        <v>8.2500000000000004E-2</v>
      </c>
      <c r="BS179" s="171">
        <f t="shared" si="25"/>
        <v>6.0100000000000001E-2</v>
      </c>
      <c r="BT179" s="171">
        <f t="shared" si="26"/>
        <v>5.5500000000000001E-2</v>
      </c>
      <c r="BU179" s="171">
        <f t="shared" si="27"/>
        <v>3.6499999999999998E-2</v>
      </c>
    </row>
    <row r="180" spans="1:73" x14ac:dyDescent="0.3">
      <c r="A180" s="209">
        <v>36739</v>
      </c>
      <c r="B180" s="187">
        <v>200008</v>
      </c>
      <c r="C180" s="176">
        <v>5.79</v>
      </c>
      <c r="D180" s="176">
        <v>8.25</v>
      </c>
      <c r="E180" s="176">
        <v>3.67</v>
      </c>
      <c r="F180" s="177">
        <v>95.7</v>
      </c>
      <c r="G180" s="210">
        <v>2.564102564102555E-2</v>
      </c>
      <c r="H180" s="179">
        <v>5.92</v>
      </c>
      <c r="I180" s="179">
        <v>5.51</v>
      </c>
      <c r="J180" s="176"/>
      <c r="K180" s="182">
        <v>0.06</v>
      </c>
      <c r="L180" s="182">
        <v>0.06</v>
      </c>
      <c r="N180" s="182">
        <v>6.5000000000000002E-2</v>
      </c>
      <c r="O180" s="182">
        <v>0.04</v>
      </c>
      <c r="Q180" s="182">
        <v>6.7500000000000004E-2</v>
      </c>
      <c r="R180" s="182">
        <v>0.06</v>
      </c>
      <c r="S180" s="182">
        <v>4.4999999999999998E-2</v>
      </c>
      <c r="T180" s="182">
        <v>4.2500000000000003E-2</v>
      </c>
      <c r="U180" s="182"/>
      <c r="V180" s="194">
        <v>7.1000000000000008E-2</v>
      </c>
      <c r="W180" s="194">
        <v>6.4000000000000001E-2</v>
      </c>
      <c r="X180" s="194">
        <v>0.05</v>
      </c>
      <c r="Y180" s="194">
        <v>4.5999999999999999E-2</v>
      </c>
      <c r="Z180" s="194"/>
      <c r="AA180" s="195">
        <v>7.0518090000000089E-2</v>
      </c>
      <c r="AB180" s="195">
        <v>6.3571158749999634E-2</v>
      </c>
      <c r="AC180" s="195">
        <v>5.0153495215942867E-2</v>
      </c>
      <c r="AD180" s="195">
        <v>4.5506236142028554E-2</v>
      </c>
      <c r="AE180" s="195"/>
      <c r="AF180" s="195">
        <v>9.696008667699485E-3</v>
      </c>
      <c r="AG180" s="195">
        <v>8.6393184389944588E-3</v>
      </c>
      <c r="AI180" s="182">
        <v>6.0076160000000156E-2</v>
      </c>
      <c r="AJ180" s="182">
        <v>5.5859002499999866E-2</v>
      </c>
      <c r="AK180" s="182">
        <v>3.7036722500000119E-2</v>
      </c>
      <c r="AM180" s="27" t="s">
        <v>135</v>
      </c>
      <c r="AN180" s="7" t="b">
        <f t="shared" si="19"/>
        <v>0</v>
      </c>
      <c r="AP180" s="211">
        <v>-99</v>
      </c>
      <c r="AQ180" s="211">
        <v>-99</v>
      </c>
      <c r="AS180" s="211">
        <v>-99</v>
      </c>
      <c r="AT180" s="211">
        <v>-99</v>
      </c>
      <c r="AU180" s="211">
        <v>-99</v>
      </c>
      <c r="AV180" s="211">
        <v>-99</v>
      </c>
      <c r="AW180" s="211">
        <v>-99</v>
      </c>
      <c r="AX180" s="211">
        <v>-99</v>
      </c>
      <c r="AZ180" s="211">
        <v>-99</v>
      </c>
      <c r="BA180" s="211">
        <v>-99</v>
      </c>
      <c r="BB180" s="211">
        <v>-99</v>
      </c>
      <c r="BC180" s="211">
        <v>-99</v>
      </c>
      <c r="BD180" s="211">
        <v>-99</v>
      </c>
      <c r="BE180" s="211">
        <v>-99</v>
      </c>
      <c r="BG180" s="211">
        <v>-99</v>
      </c>
      <c r="BH180" s="211">
        <v>-99</v>
      </c>
      <c r="BI180" s="211">
        <v>-99</v>
      </c>
      <c r="BJ180" s="211">
        <v>-99</v>
      </c>
      <c r="BK180" s="211">
        <v>-99</v>
      </c>
      <c r="BL180" s="211">
        <v>-99</v>
      </c>
      <c r="BM180" s="211">
        <v>-99</v>
      </c>
      <c r="BN180" s="191">
        <f t="shared" si="20"/>
        <v>6.0076160000000156E-2</v>
      </c>
      <c r="BO180" s="191">
        <f t="shared" si="21"/>
        <v>5.5859002499999866E-2</v>
      </c>
      <c r="BP180" s="191">
        <f t="shared" si="22"/>
        <v>3.7036722500000119E-2</v>
      </c>
      <c r="BQ180" s="171">
        <f t="shared" si="23"/>
        <v>5.79E-2</v>
      </c>
      <c r="BR180" s="171">
        <f t="shared" si="24"/>
        <v>8.2500000000000004E-2</v>
      </c>
      <c r="BS180" s="171">
        <f t="shared" si="25"/>
        <v>5.9200000000000003E-2</v>
      </c>
      <c r="BT180" s="171">
        <f t="shared" si="26"/>
        <v>5.5099999999999996E-2</v>
      </c>
      <c r="BU180" s="171">
        <f t="shared" si="27"/>
        <v>3.6699999999999997E-2</v>
      </c>
    </row>
    <row r="181" spans="1:73" x14ac:dyDescent="0.3">
      <c r="A181" s="209">
        <v>36770</v>
      </c>
      <c r="B181" s="187">
        <v>200009</v>
      </c>
      <c r="C181" s="176">
        <v>5.83</v>
      </c>
      <c r="D181" s="176">
        <v>8.25</v>
      </c>
      <c r="E181" s="176">
        <v>3.6</v>
      </c>
      <c r="F181" s="177">
        <v>96.1</v>
      </c>
      <c r="G181" s="210">
        <v>2.5586353944563101E-2</v>
      </c>
      <c r="H181" s="179">
        <v>5.82</v>
      </c>
      <c r="I181" s="179">
        <v>5.67</v>
      </c>
      <c r="J181" s="176"/>
      <c r="K181" s="182">
        <v>0.06</v>
      </c>
      <c r="L181" s="182">
        <v>5.5E-2</v>
      </c>
      <c r="N181" s="182">
        <v>6.5000000000000002E-2</v>
      </c>
      <c r="O181" s="182">
        <v>0.04</v>
      </c>
      <c r="Q181" s="182">
        <v>6.5000000000000002E-2</v>
      </c>
      <c r="R181" s="182">
        <v>0.06</v>
      </c>
      <c r="S181" s="182">
        <v>4.4999999999999998E-2</v>
      </c>
      <c r="T181" s="182">
        <v>0.04</v>
      </c>
      <c r="U181" s="182"/>
      <c r="V181" s="194">
        <v>7.0000000000000007E-2</v>
      </c>
      <c r="W181" s="194">
        <v>6.3E-2</v>
      </c>
      <c r="X181" s="194">
        <v>4.9000000000000002E-2</v>
      </c>
      <c r="Y181" s="194">
        <v>4.3999999999999997E-2</v>
      </c>
      <c r="Z181" s="194"/>
      <c r="AA181" s="195">
        <v>7.0003002499999911E-2</v>
      </c>
      <c r="AB181" s="195">
        <v>6.2903592499999883E-2</v>
      </c>
      <c r="AC181" s="195">
        <v>4.893113396257856E-2</v>
      </c>
      <c r="AD181" s="195">
        <v>4.4284026768710995E-2</v>
      </c>
      <c r="AE181" s="195"/>
      <c r="AF181" s="195">
        <v>1.0044448036267917E-2</v>
      </c>
      <c r="AG181" s="195">
        <v>8.9149911585370001E-3</v>
      </c>
      <c r="AI181" s="182">
        <v>5.9046809999999894E-2</v>
      </c>
      <c r="AJ181" s="182">
        <v>5.7503722500000132E-2</v>
      </c>
      <c r="AK181" s="182">
        <v>3.6324000000000023E-2</v>
      </c>
      <c r="AM181" s="27" t="s">
        <v>135</v>
      </c>
      <c r="AN181" s="7" t="b">
        <f t="shared" si="19"/>
        <v>0</v>
      </c>
      <c r="AP181" s="211">
        <v>-99</v>
      </c>
      <c r="AQ181" s="211">
        <v>-99</v>
      </c>
      <c r="AS181" s="211">
        <v>-99</v>
      </c>
      <c r="AT181" s="211">
        <v>-99</v>
      </c>
      <c r="AU181" s="211">
        <v>-99</v>
      </c>
      <c r="AV181" s="211">
        <v>-99</v>
      </c>
      <c r="AW181" s="211">
        <v>-99</v>
      </c>
      <c r="AX181" s="211">
        <v>-99</v>
      </c>
      <c r="AZ181" s="211">
        <v>-99</v>
      </c>
      <c r="BA181" s="211">
        <v>-99</v>
      </c>
      <c r="BB181" s="211">
        <v>-99</v>
      </c>
      <c r="BC181" s="211">
        <v>-99</v>
      </c>
      <c r="BD181" s="211">
        <v>-99</v>
      </c>
      <c r="BE181" s="211">
        <v>-99</v>
      </c>
      <c r="BG181" s="211">
        <v>-99</v>
      </c>
      <c r="BH181" s="211">
        <v>-99</v>
      </c>
      <c r="BI181" s="211">
        <v>-99</v>
      </c>
      <c r="BJ181" s="211">
        <v>-99</v>
      </c>
      <c r="BK181" s="211">
        <v>-99</v>
      </c>
      <c r="BL181" s="211">
        <v>-99</v>
      </c>
      <c r="BM181" s="211">
        <v>-99</v>
      </c>
      <c r="BN181" s="191">
        <f t="shared" si="20"/>
        <v>5.9046809999999894E-2</v>
      </c>
      <c r="BO181" s="191">
        <f t="shared" si="21"/>
        <v>5.7503722500000132E-2</v>
      </c>
      <c r="BP181" s="191">
        <f t="shared" si="22"/>
        <v>3.6324000000000023E-2</v>
      </c>
      <c r="BQ181" s="171">
        <f t="shared" si="23"/>
        <v>5.8299999999999998E-2</v>
      </c>
      <c r="BR181" s="171">
        <f t="shared" si="24"/>
        <v>8.2500000000000004E-2</v>
      </c>
      <c r="BS181" s="171">
        <f t="shared" si="25"/>
        <v>5.8200000000000002E-2</v>
      </c>
      <c r="BT181" s="171">
        <f t="shared" si="26"/>
        <v>5.67E-2</v>
      </c>
      <c r="BU181" s="171">
        <f t="shared" si="27"/>
        <v>3.6000000000000004E-2</v>
      </c>
    </row>
    <row r="182" spans="1:73" x14ac:dyDescent="0.3">
      <c r="A182" s="209">
        <v>36800</v>
      </c>
      <c r="B182" s="187">
        <v>200010</v>
      </c>
      <c r="C182" s="176">
        <v>5.79</v>
      </c>
      <c r="D182" s="176">
        <v>8.25</v>
      </c>
      <c r="E182" s="176">
        <v>3.52</v>
      </c>
      <c r="F182" s="177">
        <v>96.3</v>
      </c>
      <c r="G182" s="210">
        <v>2.5531914893617058E-2</v>
      </c>
      <c r="H182" s="179">
        <v>5.8</v>
      </c>
      <c r="I182" s="179">
        <v>5.61</v>
      </c>
      <c r="J182" s="176"/>
      <c r="K182" s="182">
        <v>0.06</v>
      </c>
      <c r="L182" s="182">
        <v>5.5E-2</v>
      </c>
      <c r="N182" s="182">
        <v>6.5000000000000002E-2</v>
      </c>
      <c r="O182" s="182">
        <v>0.04</v>
      </c>
      <c r="Q182" s="182">
        <v>6.5000000000000002E-2</v>
      </c>
      <c r="R182" s="182">
        <v>0.06</v>
      </c>
      <c r="S182" s="182">
        <v>4.4999999999999998E-2</v>
      </c>
      <c r="T182" s="182">
        <v>0.04</v>
      </c>
      <c r="U182" s="182"/>
      <c r="V182" s="194">
        <v>6.9000000000000006E-2</v>
      </c>
      <c r="W182" s="194">
        <v>6.3E-2</v>
      </c>
      <c r="X182" s="194">
        <v>4.9000000000000002E-2</v>
      </c>
      <c r="Y182" s="194">
        <v>4.4999999999999998E-2</v>
      </c>
      <c r="Z182" s="194"/>
      <c r="AA182" s="195">
        <v>6.9076160000000164E-2</v>
      </c>
      <c r="AB182" s="195">
        <v>6.2750423749999729E-2</v>
      </c>
      <c r="AC182" s="195">
        <v>4.8832864304829256E-2</v>
      </c>
      <c r="AD182" s="195">
        <v>4.4638651597585552E-2</v>
      </c>
      <c r="AE182" s="195"/>
      <c r="AF182" s="195">
        <v>9.6503915848348276E-3</v>
      </c>
      <c r="AG182" s="195">
        <v>8.6689172972470585E-3</v>
      </c>
      <c r="AI182" s="182">
        <v>5.8840999999999921E-2</v>
      </c>
      <c r="AJ182" s="182">
        <v>5.6886802499999778E-2</v>
      </c>
      <c r="AK182" s="182">
        <v>3.5509760000000057E-2</v>
      </c>
      <c r="AM182" s="27" t="s">
        <v>135</v>
      </c>
      <c r="AN182" s="7" t="b">
        <f t="shared" si="19"/>
        <v>0</v>
      </c>
      <c r="AP182" s="211">
        <v>-99</v>
      </c>
      <c r="AQ182" s="211">
        <v>-99</v>
      </c>
      <c r="AS182" s="211">
        <v>-99</v>
      </c>
      <c r="AT182" s="211">
        <v>-99</v>
      </c>
      <c r="AU182" s="211">
        <v>-99</v>
      </c>
      <c r="AV182" s="211">
        <v>-99</v>
      </c>
      <c r="AW182" s="211">
        <v>-99</v>
      </c>
      <c r="AX182" s="211">
        <v>-99</v>
      </c>
      <c r="AZ182" s="211">
        <v>-99</v>
      </c>
      <c r="BA182" s="211">
        <v>-99</v>
      </c>
      <c r="BB182" s="211">
        <v>-99</v>
      </c>
      <c r="BC182" s="211">
        <v>-99</v>
      </c>
      <c r="BD182" s="211">
        <v>-99</v>
      </c>
      <c r="BE182" s="211">
        <v>-99</v>
      </c>
      <c r="BG182" s="211">
        <v>-99</v>
      </c>
      <c r="BH182" s="211">
        <v>-99</v>
      </c>
      <c r="BI182" s="211">
        <v>-99</v>
      </c>
      <c r="BJ182" s="211">
        <v>-99</v>
      </c>
      <c r="BK182" s="211">
        <v>-99</v>
      </c>
      <c r="BL182" s="211">
        <v>-99</v>
      </c>
      <c r="BM182" s="211">
        <v>-99</v>
      </c>
      <c r="BN182" s="191">
        <f t="shared" si="20"/>
        <v>5.8840999999999921E-2</v>
      </c>
      <c r="BO182" s="191">
        <f t="shared" si="21"/>
        <v>5.6886802499999778E-2</v>
      </c>
      <c r="BP182" s="191">
        <f t="shared" si="22"/>
        <v>3.5509760000000057E-2</v>
      </c>
      <c r="BQ182" s="171">
        <f t="shared" si="23"/>
        <v>5.79E-2</v>
      </c>
      <c r="BR182" s="171">
        <f t="shared" si="24"/>
        <v>8.2500000000000004E-2</v>
      </c>
      <c r="BS182" s="171">
        <f t="shared" si="25"/>
        <v>5.7999999999999996E-2</v>
      </c>
      <c r="BT182" s="171">
        <f t="shared" si="26"/>
        <v>5.6100000000000004E-2</v>
      </c>
      <c r="BU182" s="171">
        <f t="shared" si="27"/>
        <v>3.5200000000000002E-2</v>
      </c>
    </row>
    <row r="183" spans="1:73" x14ac:dyDescent="0.3">
      <c r="A183" s="209">
        <v>36831</v>
      </c>
      <c r="B183" s="187">
        <v>200011</v>
      </c>
      <c r="C183" s="176">
        <v>5.63</v>
      </c>
      <c r="D183" s="176">
        <v>8.25</v>
      </c>
      <c r="E183" s="176">
        <v>3.51</v>
      </c>
      <c r="F183" s="177">
        <v>96.6</v>
      </c>
      <c r="G183" s="210">
        <v>2.6912181303116123E-2</v>
      </c>
      <c r="H183" s="179">
        <v>5.62</v>
      </c>
      <c r="I183" s="179">
        <v>5.51</v>
      </c>
      <c r="J183" s="176"/>
      <c r="K183" s="182">
        <v>0.06</v>
      </c>
      <c r="L183" s="182">
        <v>5.5E-2</v>
      </c>
      <c r="N183" s="182">
        <v>6.5000000000000002E-2</v>
      </c>
      <c r="O183" s="182">
        <v>0.04</v>
      </c>
      <c r="Q183" s="182">
        <v>6.5000000000000002E-2</v>
      </c>
      <c r="R183" s="182">
        <v>6.25E-2</v>
      </c>
      <c r="S183" s="182">
        <v>4.2500000000000003E-2</v>
      </c>
      <c r="T183" s="182">
        <v>0.04</v>
      </c>
      <c r="U183" s="182"/>
      <c r="V183" s="194">
        <v>6.8000000000000005E-2</v>
      </c>
      <c r="W183" s="194">
        <v>6.6000000000000003E-2</v>
      </c>
      <c r="X183" s="194">
        <v>4.5999999999999999E-2</v>
      </c>
      <c r="Y183" s="194">
        <v>4.4999999999999998E-2</v>
      </c>
      <c r="Z183" s="194"/>
      <c r="AA183" s="195">
        <v>6.8046809999999902E-2</v>
      </c>
      <c r="AB183" s="195">
        <v>6.5732178750000259E-2</v>
      </c>
      <c r="AC183" s="195">
        <v>4.6298738815387E-2</v>
      </c>
      <c r="AD183" s="195">
        <v>4.4836630592306533E-2</v>
      </c>
      <c r="AE183" s="195"/>
      <c r="AF183" s="195">
        <v>1.0392859313409719E-2</v>
      </c>
      <c r="AG183" s="195">
        <v>9.9994331869128761E-3</v>
      </c>
      <c r="AI183" s="182">
        <v>5.6989610000000024E-2</v>
      </c>
      <c r="AJ183" s="182">
        <v>5.5859002499999866E-2</v>
      </c>
      <c r="AK183" s="182">
        <v>3.5408002499999869E-2</v>
      </c>
      <c r="AM183" s="27" t="s">
        <v>135</v>
      </c>
      <c r="AN183" s="7" t="b">
        <f t="shared" si="19"/>
        <v>0</v>
      </c>
      <c r="AP183" s="211">
        <v>-99</v>
      </c>
      <c r="AQ183" s="211">
        <v>-99</v>
      </c>
      <c r="AS183" s="211">
        <v>-99</v>
      </c>
      <c r="AT183" s="211">
        <v>-99</v>
      </c>
      <c r="AU183" s="211">
        <v>-99</v>
      </c>
      <c r="AV183" s="211">
        <v>-99</v>
      </c>
      <c r="AW183" s="211">
        <v>-99</v>
      </c>
      <c r="AX183" s="211">
        <v>-99</v>
      </c>
      <c r="AZ183" s="211">
        <v>-99</v>
      </c>
      <c r="BA183" s="211">
        <v>-99</v>
      </c>
      <c r="BB183" s="211">
        <v>-99</v>
      </c>
      <c r="BC183" s="211">
        <v>-99</v>
      </c>
      <c r="BD183" s="211">
        <v>-99</v>
      </c>
      <c r="BE183" s="211">
        <v>-99</v>
      </c>
      <c r="BG183" s="211">
        <v>-99</v>
      </c>
      <c r="BH183" s="211">
        <v>-99</v>
      </c>
      <c r="BI183" s="211">
        <v>-99</v>
      </c>
      <c r="BJ183" s="211">
        <v>-99</v>
      </c>
      <c r="BK183" s="211">
        <v>-99</v>
      </c>
      <c r="BL183" s="211">
        <v>-99</v>
      </c>
      <c r="BM183" s="211">
        <v>-99</v>
      </c>
      <c r="BN183" s="191">
        <f t="shared" si="20"/>
        <v>5.6989610000000024E-2</v>
      </c>
      <c r="BO183" s="191">
        <f t="shared" si="21"/>
        <v>5.5859002499999866E-2</v>
      </c>
      <c r="BP183" s="191">
        <f t="shared" si="22"/>
        <v>3.5408002499999869E-2</v>
      </c>
      <c r="BQ183" s="171">
        <f t="shared" si="23"/>
        <v>5.6299999999999996E-2</v>
      </c>
      <c r="BR183" s="171">
        <f t="shared" si="24"/>
        <v>8.2500000000000004E-2</v>
      </c>
      <c r="BS183" s="171">
        <f t="shared" si="25"/>
        <v>5.62E-2</v>
      </c>
      <c r="BT183" s="171">
        <f t="shared" si="26"/>
        <v>5.5099999999999996E-2</v>
      </c>
      <c r="BU183" s="171">
        <f t="shared" si="27"/>
        <v>3.5099999999999999E-2</v>
      </c>
    </row>
    <row r="184" spans="1:73" x14ac:dyDescent="0.3">
      <c r="A184" s="212">
        <v>36861</v>
      </c>
      <c r="B184" s="187">
        <v>200012</v>
      </c>
      <c r="C184" s="213">
        <v>5.59</v>
      </c>
      <c r="D184" s="213">
        <v>7.95</v>
      </c>
      <c r="E184" s="213">
        <v>3.42</v>
      </c>
      <c r="F184" s="177">
        <v>96.7</v>
      </c>
      <c r="G184" s="214">
        <v>2.7561837455830407E-2</v>
      </c>
      <c r="H184" s="215">
        <v>5.34</v>
      </c>
      <c r="I184" s="215">
        <v>5.56</v>
      </c>
      <c r="J184" s="213"/>
      <c r="K184" s="216">
        <v>0.06</v>
      </c>
      <c r="L184" s="216">
        <v>5.5E-2</v>
      </c>
      <c r="M184" s="216"/>
      <c r="N184" s="216">
        <v>6.5000000000000002E-2</v>
      </c>
      <c r="O184" s="216">
        <v>3.7499999999999999E-2</v>
      </c>
      <c r="P184" s="217"/>
      <c r="Q184" s="182">
        <v>6.5000000000000002E-2</v>
      </c>
      <c r="R184" s="182">
        <v>0.06</v>
      </c>
      <c r="S184" s="182">
        <v>4.2500000000000003E-2</v>
      </c>
      <c r="T184" s="182">
        <v>0.04</v>
      </c>
      <c r="U184" s="182"/>
      <c r="V184" s="194">
        <v>6.8000000000000005E-2</v>
      </c>
      <c r="W184" s="194">
        <v>6.5000000000000002E-2</v>
      </c>
      <c r="X184" s="194">
        <v>4.5999999999999999E-2</v>
      </c>
      <c r="Y184" s="194">
        <v>4.3999999999999997E-2</v>
      </c>
      <c r="Z184" s="194"/>
      <c r="AA184" s="195">
        <v>6.7840999999999929E-2</v>
      </c>
      <c r="AB184" s="195">
        <v>6.4909703749999714E-2</v>
      </c>
      <c r="AC184" s="195">
        <v>4.5729605046091464E-2</v>
      </c>
      <c r="AD184" s="195">
        <v>4.3899837476954355E-2</v>
      </c>
      <c r="AE184" s="195"/>
      <c r="AF184" s="195">
        <v>1.0572233418281285E-2</v>
      </c>
      <c r="AG184" s="195">
        <v>1.0063161961891387E-2</v>
      </c>
      <c r="AI184" s="182">
        <v>5.4112889999999858E-2</v>
      </c>
      <c r="AJ184" s="182">
        <v>5.6372840000000091E-2</v>
      </c>
      <c r="AK184" s="182">
        <v>3.4492409999999696E-2</v>
      </c>
      <c r="AM184" s="27" t="s">
        <v>135</v>
      </c>
      <c r="AN184" s="7" t="b">
        <f t="shared" si="19"/>
        <v>0</v>
      </c>
      <c r="AP184" s="211">
        <v>-99</v>
      </c>
      <c r="AQ184" s="211">
        <v>-99</v>
      </c>
      <c r="AS184" s="211">
        <v>-99</v>
      </c>
      <c r="AT184" s="211">
        <v>-99</v>
      </c>
      <c r="AU184" s="211">
        <v>-99</v>
      </c>
      <c r="AV184" s="211">
        <v>-99</v>
      </c>
      <c r="AW184" s="211">
        <v>-99</v>
      </c>
      <c r="AX184" s="211">
        <v>-99</v>
      </c>
      <c r="AZ184" s="211">
        <v>-99</v>
      </c>
      <c r="BA184" s="211">
        <v>-99</v>
      </c>
      <c r="BB184" s="211">
        <v>-99</v>
      </c>
      <c r="BC184" s="211">
        <v>-99</v>
      </c>
      <c r="BD184" s="211">
        <v>-99</v>
      </c>
      <c r="BE184" s="211">
        <v>-99</v>
      </c>
      <c r="BG184" s="211">
        <v>-99</v>
      </c>
      <c r="BH184" s="211">
        <v>-99</v>
      </c>
      <c r="BI184" s="211">
        <v>-99</v>
      </c>
      <c r="BJ184" s="211">
        <v>-99</v>
      </c>
      <c r="BK184" s="211">
        <v>-99</v>
      </c>
      <c r="BL184" s="211">
        <v>-99</v>
      </c>
      <c r="BM184" s="211">
        <v>-99</v>
      </c>
      <c r="BN184" s="191">
        <f t="shared" si="20"/>
        <v>5.4112889999999858E-2</v>
      </c>
      <c r="BO184" s="191">
        <f t="shared" si="21"/>
        <v>5.6372840000000091E-2</v>
      </c>
      <c r="BP184" s="191">
        <f t="shared" si="22"/>
        <v>3.4492409999999696E-2</v>
      </c>
      <c r="BQ184" s="171">
        <f t="shared" si="23"/>
        <v>5.5899999999999998E-2</v>
      </c>
      <c r="BR184" s="171">
        <f t="shared" si="24"/>
        <v>7.9500000000000001E-2</v>
      </c>
      <c r="BS184" s="171">
        <f t="shared" si="25"/>
        <v>5.3399999999999996E-2</v>
      </c>
      <c r="BT184" s="171">
        <f t="shared" si="26"/>
        <v>5.5599999999999997E-2</v>
      </c>
      <c r="BU184" s="171">
        <f t="shared" si="27"/>
        <v>3.4200000000000001E-2</v>
      </c>
    </row>
    <row r="185" spans="1:73" x14ac:dyDescent="0.3">
      <c r="A185" s="209">
        <v>36892</v>
      </c>
      <c r="B185" s="187">
        <v>200101</v>
      </c>
      <c r="C185" s="176">
        <v>5.71</v>
      </c>
      <c r="D185" s="176">
        <v>7.75</v>
      </c>
      <c r="E185" s="176">
        <v>3.36</v>
      </c>
      <c r="F185" s="177">
        <v>96.3</v>
      </c>
      <c r="G185" s="210">
        <v>2.8208744710860323E-2</v>
      </c>
      <c r="H185" s="179">
        <v>5.2</v>
      </c>
      <c r="I185" s="179">
        <v>5.72</v>
      </c>
      <c r="J185" s="176"/>
      <c r="K185" s="182">
        <v>0.06</v>
      </c>
      <c r="L185" s="182">
        <v>5.5E-2</v>
      </c>
      <c r="N185" s="182">
        <v>6.25E-2</v>
      </c>
      <c r="O185" s="182">
        <v>3.7499999999999999E-2</v>
      </c>
      <c r="Q185" s="182">
        <v>6.25E-2</v>
      </c>
      <c r="R185" s="182">
        <v>0.06</v>
      </c>
      <c r="S185" s="182">
        <v>0.04</v>
      </c>
      <c r="T185" s="182">
        <v>0.04</v>
      </c>
      <c r="U185" s="182"/>
      <c r="V185" s="194">
        <v>6.6000000000000003E-2</v>
      </c>
      <c r="W185" s="194">
        <v>6.4000000000000001E-2</v>
      </c>
      <c r="X185" s="194">
        <v>4.4999999999999998E-2</v>
      </c>
      <c r="Y185" s="194">
        <v>4.3999999999999997E-2</v>
      </c>
      <c r="Z185" s="194"/>
      <c r="AA185" s="195">
        <v>6.5989610000000032E-2</v>
      </c>
      <c r="AB185" s="195">
        <v>6.4293698749999795E-2</v>
      </c>
      <c r="AC185" s="195">
        <v>4.5124673965562197E-2</v>
      </c>
      <c r="AD185" s="195">
        <v>4.4049666767218706E-2</v>
      </c>
      <c r="AE185" s="195"/>
      <c r="AF185" s="195">
        <v>9.9820320743500002E-3</v>
      </c>
      <c r="AG185" s="195">
        <v>9.6949563929580318E-3</v>
      </c>
      <c r="AI185" s="182">
        <v>5.2675999999999945E-2</v>
      </c>
      <c r="AJ185" s="182">
        <v>5.8017959999999924E-2</v>
      </c>
      <c r="AK185" s="182">
        <v>3.3882239999999841E-2</v>
      </c>
      <c r="AM185" s="27" t="s">
        <v>135</v>
      </c>
      <c r="AN185" s="7" t="b">
        <f t="shared" si="19"/>
        <v>0</v>
      </c>
      <c r="AP185" s="211">
        <v>-99</v>
      </c>
      <c r="AQ185" s="211">
        <v>-99</v>
      </c>
      <c r="AS185" s="211">
        <v>-99</v>
      </c>
      <c r="AT185" s="211">
        <v>-99</v>
      </c>
      <c r="AU185" s="211">
        <v>-99</v>
      </c>
      <c r="AV185" s="211">
        <v>-99</v>
      </c>
      <c r="AW185" s="211">
        <v>-99</v>
      </c>
      <c r="AX185" s="211">
        <v>-99</v>
      </c>
      <c r="AZ185" s="211">
        <v>-99</v>
      </c>
      <c r="BA185" s="211">
        <v>-99</v>
      </c>
      <c r="BB185" s="211">
        <v>-99</v>
      </c>
      <c r="BC185" s="211">
        <v>-99</v>
      </c>
      <c r="BD185" s="211">
        <v>-99</v>
      </c>
      <c r="BE185" s="211">
        <v>-99</v>
      </c>
      <c r="BG185" s="211">
        <v>-99</v>
      </c>
      <c r="BH185" s="211">
        <v>-99</v>
      </c>
      <c r="BI185" s="211">
        <v>-99</v>
      </c>
      <c r="BJ185" s="211">
        <v>-99</v>
      </c>
      <c r="BK185" s="211">
        <v>-99</v>
      </c>
      <c r="BL185" s="211">
        <v>-99</v>
      </c>
      <c r="BM185" s="211">
        <v>-99</v>
      </c>
      <c r="BN185" s="191">
        <f t="shared" si="20"/>
        <v>5.2675999999999945E-2</v>
      </c>
      <c r="BO185" s="191">
        <f t="shared" si="21"/>
        <v>5.8017959999999924E-2</v>
      </c>
      <c r="BP185" s="191">
        <f t="shared" si="22"/>
        <v>3.3882239999999841E-2</v>
      </c>
      <c r="BQ185" s="171">
        <f t="shared" si="23"/>
        <v>5.7099999999999998E-2</v>
      </c>
      <c r="BR185" s="171">
        <f t="shared" si="24"/>
        <v>7.7499999999999999E-2</v>
      </c>
      <c r="BS185" s="171">
        <f t="shared" si="25"/>
        <v>5.2000000000000005E-2</v>
      </c>
      <c r="BT185" s="171">
        <f t="shared" si="26"/>
        <v>5.7200000000000001E-2</v>
      </c>
      <c r="BU185" s="171">
        <f t="shared" si="27"/>
        <v>3.3599999999999998E-2</v>
      </c>
    </row>
    <row r="186" spans="1:73" x14ac:dyDescent="0.3">
      <c r="A186" s="209">
        <v>36923</v>
      </c>
      <c r="B186" s="187">
        <v>200102</v>
      </c>
      <c r="C186" s="176">
        <v>5.63</v>
      </c>
      <c r="D186" s="176">
        <v>7.75</v>
      </c>
      <c r="E186" s="176">
        <v>3.39</v>
      </c>
      <c r="F186" s="177">
        <v>96.8</v>
      </c>
      <c r="G186" s="210">
        <v>2.8149190710767158E-2</v>
      </c>
      <c r="H186" s="179">
        <v>5.14</v>
      </c>
      <c r="I186" s="179">
        <v>5.66</v>
      </c>
      <c r="J186" s="176"/>
      <c r="K186" s="182">
        <v>0.06</v>
      </c>
      <c r="L186" s="182">
        <v>0.05</v>
      </c>
      <c r="N186" s="182">
        <v>6.25E-2</v>
      </c>
      <c r="O186" s="182">
        <v>3.7499999999999999E-2</v>
      </c>
      <c r="Q186" s="182">
        <v>0.06</v>
      </c>
      <c r="R186" s="182">
        <v>6.25E-2</v>
      </c>
      <c r="S186" s="182">
        <v>3.7499999999999999E-2</v>
      </c>
      <c r="T186" s="182">
        <v>0.04</v>
      </c>
      <c r="U186" s="182"/>
      <c r="V186" s="194">
        <v>6.3E-2</v>
      </c>
      <c r="W186" s="194">
        <v>6.7000000000000004E-2</v>
      </c>
      <c r="X186" s="194">
        <v>4.2000000000000003E-2</v>
      </c>
      <c r="Y186" s="194">
        <v>4.3999999999999997E-2</v>
      </c>
      <c r="Z186" s="194"/>
      <c r="AA186" s="195">
        <v>6.3112889999999866E-2</v>
      </c>
      <c r="AB186" s="195">
        <v>6.6502815000000215E-2</v>
      </c>
      <c r="AC186" s="195">
        <v>4.2109632017206793E-2</v>
      </c>
      <c r="AD186" s="195">
        <v>4.4183798991396149E-2</v>
      </c>
      <c r="AE186" s="195"/>
      <c r="AF186" s="195">
        <v>1.0077278501944731E-2</v>
      </c>
      <c r="AG186" s="195">
        <v>1.0687302384006725E-2</v>
      </c>
      <c r="AI186" s="182">
        <v>5.2060490000000126E-2</v>
      </c>
      <c r="AJ186" s="182">
        <v>5.7400890000000038E-2</v>
      </c>
      <c r="AK186" s="182">
        <v>3.4187302500000127E-2</v>
      </c>
      <c r="AM186" s="27" t="s">
        <v>135</v>
      </c>
      <c r="AN186" s="7" t="b">
        <f t="shared" si="19"/>
        <v>0</v>
      </c>
      <c r="AP186" s="211">
        <v>-99</v>
      </c>
      <c r="AQ186" s="211">
        <v>-99</v>
      </c>
      <c r="AS186" s="211">
        <v>-99</v>
      </c>
      <c r="AT186" s="211">
        <v>-99</v>
      </c>
      <c r="AU186" s="211">
        <v>-99</v>
      </c>
      <c r="AV186" s="211">
        <v>-99</v>
      </c>
      <c r="AW186" s="211">
        <v>-99</v>
      </c>
      <c r="AX186" s="211">
        <v>-99</v>
      </c>
      <c r="AZ186" s="211">
        <v>-99</v>
      </c>
      <c r="BA186" s="211">
        <v>-99</v>
      </c>
      <c r="BB186" s="211">
        <v>-99</v>
      </c>
      <c r="BC186" s="211">
        <v>-99</v>
      </c>
      <c r="BD186" s="211">
        <v>-99</v>
      </c>
      <c r="BE186" s="211">
        <v>-99</v>
      </c>
      <c r="BG186" s="211">
        <v>-99</v>
      </c>
      <c r="BH186" s="211">
        <v>-99</v>
      </c>
      <c r="BI186" s="211">
        <v>-99</v>
      </c>
      <c r="BJ186" s="211">
        <v>-99</v>
      </c>
      <c r="BK186" s="211">
        <v>-99</v>
      </c>
      <c r="BL186" s="211">
        <v>-99</v>
      </c>
      <c r="BM186" s="211">
        <v>-99</v>
      </c>
      <c r="BN186" s="191">
        <f t="shared" si="20"/>
        <v>5.2060490000000126E-2</v>
      </c>
      <c r="BO186" s="191">
        <f t="shared" si="21"/>
        <v>5.7400890000000038E-2</v>
      </c>
      <c r="BP186" s="191">
        <f t="shared" si="22"/>
        <v>3.4187302500000127E-2</v>
      </c>
      <c r="BQ186" s="171">
        <f t="shared" si="23"/>
        <v>5.6299999999999996E-2</v>
      </c>
      <c r="BR186" s="171">
        <f t="shared" si="24"/>
        <v>7.7499999999999999E-2</v>
      </c>
      <c r="BS186" s="171">
        <f t="shared" si="25"/>
        <v>5.1399999999999994E-2</v>
      </c>
      <c r="BT186" s="171">
        <f t="shared" si="26"/>
        <v>5.6600000000000004E-2</v>
      </c>
      <c r="BU186" s="171">
        <f t="shared" si="27"/>
        <v>3.39E-2</v>
      </c>
    </row>
    <row r="187" spans="1:73" x14ac:dyDescent="0.3">
      <c r="A187" s="209">
        <v>36951</v>
      </c>
      <c r="B187" s="187">
        <v>200103</v>
      </c>
      <c r="C187" s="176">
        <v>5.74</v>
      </c>
      <c r="D187" s="176">
        <v>7.25</v>
      </c>
      <c r="E187" s="176">
        <v>3.45</v>
      </c>
      <c r="F187" s="177">
        <v>97.1</v>
      </c>
      <c r="G187" s="210">
        <v>2.7368421052631708E-2</v>
      </c>
      <c r="H187" s="179">
        <v>5.3</v>
      </c>
      <c r="I187" s="179">
        <v>5.79</v>
      </c>
      <c r="J187" s="176"/>
      <c r="K187" s="182">
        <v>0.06</v>
      </c>
      <c r="L187" s="182">
        <v>4.4999999999999998E-2</v>
      </c>
      <c r="N187" s="182">
        <v>6.25E-2</v>
      </c>
      <c r="O187" s="182">
        <v>3.7499999999999999E-2</v>
      </c>
      <c r="Q187" s="182">
        <v>5.7500000000000002E-2</v>
      </c>
      <c r="R187" s="182">
        <v>6.5000000000000002E-2</v>
      </c>
      <c r="S187" s="182">
        <v>3.5000000000000003E-2</v>
      </c>
      <c r="T187" s="182">
        <v>0.04</v>
      </c>
      <c r="U187" s="182"/>
      <c r="V187" s="194">
        <v>6.2E-2</v>
      </c>
      <c r="W187" s="194">
        <v>7.0000000000000007E-2</v>
      </c>
      <c r="X187" s="194">
        <v>0.04</v>
      </c>
      <c r="Y187" s="194">
        <v>4.3999999999999997E-2</v>
      </c>
      <c r="Z187" s="194"/>
      <c r="AA187" s="195">
        <v>6.1675999999999946E-2</v>
      </c>
      <c r="AB187" s="195">
        <v>6.9688939999999922E-2</v>
      </c>
      <c r="AC187" s="195">
        <v>3.9762558253340727E-2</v>
      </c>
      <c r="AD187" s="195">
        <v>4.4442080873329397E-2</v>
      </c>
      <c r="AE187" s="195"/>
      <c r="AF187" s="195">
        <v>1.0537714391000375E-2</v>
      </c>
      <c r="AG187" s="195">
        <v>1.2086289699070552E-2</v>
      </c>
      <c r="AI187" s="182">
        <v>5.3702249999999951E-2</v>
      </c>
      <c r="AJ187" s="182">
        <v>5.87381025E-2</v>
      </c>
      <c r="AK187" s="182">
        <v>3.4797562499999879E-2</v>
      </c>
      <c r="AM187" s="27" t="s">
        <v>135</v>
      </c>
      <c r="AN187" s="7" t="b">
        <f t="shared" si="19"/>
        <v>0</v>
      </c>
      <c r="AP187" s="211">
        <v>-99</v>
      </c>
      <c r="AQ187" s="211">
        <v>-99</v>
      </c>
      <c r="AS187" s="211">
        <v>-99</v>
      </c>
      <c r="AT187" s="211">
        <v>-99</v>
      </c>
      <c r="AU187" s="211">
        <v>-99</v>
      </c>
      <c r="AV187" s="211">
        <v>-99</v>
      </c>
      <c r="AW187" s="211">
        <v>-99</v>
      </c>
      <c r="AX187" s="211">
        <v>-99</v>
      </c>
      <c r="AZ187" s="211">
        <v>-99</v>
      </c>
      <c r="BA187" s="211">
        <v>-99</v>
      </c>
      <c r="BB187" s="211">
        <v>-99</v>
      </c>
      <c r="BC187" s="211">
        <v>-99</v>
      </c>
      <c r="BD187" s="211">
        <v>-99</v>
      </c>
      <c r="BE187" s="211">
        <v>-99</v>
      </c>
      <c r="BG187" s="211">
        <v>-99</v>
      </c>
      <c r="BH187" s="211">
        <v>-99</v>
      </c>
      <c r="BI187" s="211">
        <v>-99</v>
      </c>
      <c r="BJ187" s="211">
        <v>-99</v>
      </c>
      <c r="BK187" s="211">
        <v>-99</v>
      </c>
      <c r="BL187" s="211">
        <v>-99</v>
      </c>
      <c r="BM187" s="211">
        <v>-99</v>
      </c>
      <c r="BN187" s="191">
        <f t="shared" si="20"/>
        <v>5.3702249999999951E-2</v>
      </c>
      <c r="BO187" s="191">
        <f t="shared" si="21"/>
        <v>5.87381025E-2</v>
      </c>
      <c r="BP187" s="191">
        <f t="shared" si="22"/>
        <v>3.4797562499999879E-2</v>
      </c>
      <c r="BQ187" s="171">
        <f t="shared" si="23"/>
        <v>5.74E-2</v>
      </c>
      <c r="BR187" s="171">
        <f t="shared" si="24"/>
        <v>7.2499999999999995E-2</v>
      </c>
      <c r="BS187" s="171">
        <f t="shared" si="25"/>
        <v>5.2999999999999999E-2</v>
      </c>
      <c r="BT187" s="171">
        <f t="shared" si="26"/>
        <v>5.79E-2</v>
      </c>
      <c r="BU187" s="171">
        <f t="shared" si="27"/>
        <v>3.4500000000000003E-2</v>
      </c>
    </row>
    <row r="188" spans="1:73" x14ac:dyDescent="0.3">
      <c r="A188" s="209">
        <v>36982</v>
      </c>
      <c r="B188" s="187">
        <v>200104</v>
      </c>
      <c r="C188" s="176">
        <v>5.94</v>
      </c>
      <c r="D188" s="176">
        <v>7.5</v>
      </c>
      <c r="E188" s="176">
        <v>3.61</v>
      </c>
      <c r="F188" s="177">
        <v>97.8</v>
      </c>
      <c r="G188" s="210">
        <v>2.8731604765241947E-2</v>
      </c>
      <c r="H188" s="179">
        <v>5.52</v>
      </c>
      <c r="I188" s="179">
        <v>5.97</v>
      </c>
      <c r="J188" s="176"/>
      <c r="K188" s="182">
        <v>0.06</v>
      </c>
      <c r="L188" s="182">
        <v>4.4999999999999998E-2</v>
      </c>
      <c r="N188" s="182">
        <v>6.25E-2</v>
      </c>
      <c r="O188" s="182">
        <v>3.7499999999999999E-2</v>
      </c>
      <c r="Q188" s="182">
        <v>5.7500000000000002E-2</v>
      </c>
      <c r="R188" s="182">
        <v>6.5000000000000002E-2</v>
      </c>
      <c r="S188" s="182">
        <v>3.5000000000000003E-2</v>
      </c>
      <c r="T188" s="182">
        <v>0.04</v>
      </c>
      <c r="U188" s="182"/>
      <c r="V188" s="194">
        <v>6.0999999999999999E-2</v>
      </c>
      <c r="W188" s="194">
        <v>6.9000000000000006E-2</v>
      </c>
      <c r="X188" s="194">
        <v>0.04</v>
      </c>
      <c r="Y188" s="194">
        <v>4.4999999999999998E-2</v>
      </c>
      <c r="Z188" s="194"/>
      <c r="AA188" s="195">
        <v>6.1060490000000127E-2</v>
      </c>
      <c r="AB188" s="195">
        <v>6.9071090000000002E-2</v>
      </c>
      <c r="AC188" s="195">
        <v>4.000662236993599E-2</v>
      </c>
      <c r="AD188" s="195">
        <v>4.4777642565032201E-2</v>
      </c>
      <c r="AE188" s="195"/>
      <c r="AF188" s="195">
        <v>1.0121987291815016E-2</v>
      </c>
      <c r="AG188" s="195">
        <v>1.1626132894328123E-2</v>
      </c>
      <c r="AI188" s="182">
        <v>5.5961760000000194E-2</v>
      </c>
      <c r="AJ188" s="182">
        <v>6.0591022499999925E-2</v>
      </c>
      <c r="AK188" s="182">
        <v>3.6425802499999715E-2</v>
      </c>
      <c r="AM188" s="27" t="s">
        <v>135</v>
      </c>
      <c r="AN188" s="7" t="b">
        <f t="shared" si="19"/>
        <v>0</v>
      </c>
      <c r="AP188" s="211">
        <v>-99</v>
      </c>
      <c r="AQ188" s="211">
        <v>-99</v>
      </c>
      <c r="AS188" s="211">
        <v>-99</v>
      </c>
      <c r="AT188" s="211">
        <v>-99</v>
      </c>
      <c r="AU188" s="211">
        <v>-99</v>
      </c>
      <c r="AV188" s="211">
        <v>-99</v>
      </c>
      <c r="AW188" s="211">
        <v>-99</v>
      </c>
      <c r="AX188" s="211">
        <v>-99</v>
      </c>
      <c r="AZ188" s="211">
        <v>-99</v>
      </c>
      <c r="BA188" s="211">
        <v>-99</v>
      </c>
      <c r="BB188" s="211">
        <v>-99</v>
      </c>
      <c r="BC188" s="211">
        <v>-99</v>
      </c>
      <c r="BD188" s="211">
        <v>-99</v>
      </c>
      <c r="BE188" s="211">
        <v>-99</v>
      </c>
      <c r="BG188" s="211">
        <v>-99</v>
      </c>
      <c r="BH188" s="211">
        <v>-99</v>
      </c>
      <c r="BI188" s="211">
        <v>-99</v>
      </c>
      <c r="BJ188" s="211">
        <v>-99</v>
      </c>
      <c r="BK188" s="211">
        <v>-99</v>
      </c>
      <c r="BL188" s="211">
        <v>-99</v>
      </c>
      <c r="BM188" s="211">
        <v>-99</v>
      </c>
      <c r="BN188" s="191">
        <f t="shared" si="20"/>
        <v>5.5961760000000194E-2</v>
      </c>
      <c r="BO188" s="191">
        <f t="shared" si="21"/>
        <v>6.0591022499999925E-2</v>
      </c>
      <c r="BP188" s="191">
        <f t="shared" si="22"/>
        <v>3.6425802499999715E-2</v>
      </c>
      <c r="BQ188" s="171">
        <f t="shared" si="23"/>
        <v>5.9400000000000001E-2</v>
      </c>
      <c r="BR188" s="171">
        <f t="shared" si="24"/>
        <v>7.4999999999999997E-2</v>
      </c>
      <c r="BS188" s="171">
        <f t="shared" si="25"/>
        <v>5.5199999999999999E-2</v>
      </c>
      <c r="BT188" s="171">
        <f t="shared" si="26"/>
        <v>5.9699999999999996E-2</v>
      </c>
      <c r="BU188" s="171">
        <f t="shared" si="27"/>
        <v>3.61E-2</v>
      </c>
    </row>
    <row r="189" spans="1:73" x14ac:dyDescent="0.3">
      <c r="A189" s="209">
        <v>37012</v>
      </c>
      <c r="B189" s="187">
        <v>200105</v>
      </c>
      <c r="C189" s="176">
        <v>6.08</v>
      </c>
      <c r="D189" s="176">
        <v>7.75</v>
      </c>
      <c r="E189" s="176">
        <v>3.58</v>
      </c>
      <c r="F189" s="177">
        <v>98.6</v>
      </c>
      <c r="G189" s="210">
        <v>3.0069930069930084E-2</v>
      </c>
      <c r="H189" s="179">
        <v>5.86</v>
      </c>
      <c r="I189" s="179">
        <v>6.03</v>
      </c>
      <c r="J189" s="176"/>
      <c r="K189" s="182">
        <v>0.06</v>
      </c>
      <c r="L189" s="182">
        <v>4.4999999999999998E-2</v>
      </c>
      <c r="N189" s="182">
        <v>6.25E-2</v>
      </c>
      <c r="O189" s="182">
        <v>3.7499999999999999E-2</v>
      </c>
      <c r="Q189" s="182">
        <v>5.7500000000000002E-2</v>
      </c>
      <c r="R189" s="182">
        <v>6.7500000000000004E-2</v>
      </c>
      <c r="S189" s="182">
        <v>3.7499999999999999E-2</v>
      </c>
      <c r="T189" s="182">
        <v>4.2500000000000003E-2</v>
      </c>
      <c r="U189" s="182"/>
      <c r="V189" s="194">
        <v>6.3E-2</v>
      </c>
      <c r="W189" s="194">
        <v>7.0000000000000007E-2</v>
      </c>
      <c r="X189" s="194">
        <v>4.1000000000000002E-2</v>
      </c>
      <c r="Y189" s="194">
        <v>4.4999999999999998E-2</v>
      </c>
      <c r="Z189" s="194"/>
      <c r="AA189" s="195">
        <v>6.2702249999999959E-2</v>
      </c>
      <c r="AB189" s="195">
        <v>7.0256028750000032E-2</v>
      </c>
      <c r="AC189" s="195">
        <v>4.0814228264619494E-2</v>
      </c>
      <c r="AD189" s="195">
        <v>4.5289229617690073E-2</v>
      </c>
      <c r="AE189" s="195"/>
      <c r="AF189" s="195">
        <v>1.0514855168666903E-2</v>
      </c>
      <c r="AG189" s="195">
        <v>1.1942531514192223E-2</v>
      </c>
      <c r="AI189" s="182">
        <v>5.9458490000000142E-2</v>
      </c>
      <c r="AJ189" s="182">
        <v>6.120902249999971E-2</v>
      </c>
      <c r="AK189" s="182">
        <v>3.6120410000000103E-2</v>
      </c>
      <c r="AM189" s="27" t="s">
        <v>135</v>
      </c>
      <c r="AN189" s="7" t="b">
        <f t="shared" si="19"/>
        <v>0</v>
      </c>
      <c r="AP189" s="211">
        <v>-99</v>
      </c>
      <c r="AQ189" s="211">
        <v>-99</v>
      </c>
      <c r="AS189" s="211">
        <v>-99</v>
      </c>
      <c r="AT189" s="211">
        <v>-99</v>
      </c>
      <c r="AU189" s="211">
        <v>-99</v>
      </c>
      <c r="AV189" s="211">
        <v>-99</v>
      </c>
      <c r="AW189" s="211">
        <v>-99</v>
      </c>
      <c r="AX189" s="211">
        <v>-99</v>
      </c>
      <c r="AZ189" s="211">
        <v>-99</v>
      </c>
      <c r="BA189" s="211">
        <v>-99</v>
      </c>
      <c r="BB189" s="211">
        <v>-99</v>
      </c>
      <c r="BC189" s="211">
        <v>-99</v>
      </c>
      <c r="BD189" s="211">
        <v>-99</v>
      </c>
      <c r="BE189" s="211">
        <v>-99</v>
      </c>
      <c r="BG189" s="211">
        <v>-99</v>
      </c>
      <c r="BH189" s="211">
        <v>-99</v>
      </c>
      <c r="BI189" s="211">
        <v>-99</v>
      </c>
      <c r="BJ189" s="211">
        <v>-99</v>
      </c>
      <c r="BK189" s="211">
        <v>-99</v>
      </c>
      <c r="BL189" s="211">
        <v>-99</v>
      </c>
      <c r="BM189" s="211">
        <v>-99</v>
      </c>
      <c r="BN189" s="191">
        <f t="shared" si="20"/>
        <v>5.9458490000000142E-2</v>
      </c>
      <c r="BO189" s="191">
        <f t="shared" si="21"/>
        <v>6.120902249999971E-2</v>
      </c>
      <c r="BP189" s="191">
        <f t="shared" si="22"/>
        <v>3.6120410000000103E-2</v>
      </c>
      <c r="BQ189" s="171">
        <f t="shared" si="23"/>
        <v>6.08E-2</v>
      </c>
      <c r="BR189" s="171">
        <f t="shared" si="24"/>
        <v>7.7499999999999999E-2</v>
      </c>
      <c r="BS189" s="171">
        <f t="shared" si="25"/>
        <v>5.8600000000000006E-2</v>
      </c>
      <c r="BT189" s="171">
        <f t="shared" si="26"/>
        <v>6.0299999999999999E-2</v>
      </c>
      <c r="BU189" s="171">
        <f t="shared" si="27"/>
        <v>3.5799999999999998E-2</v>
      </c>
    </row>
    <row r="190" spans="1:73" x14ac:dyDescent="0.3">
      <c r="A190" s="209">
        <v>37043</v>
      </c>
      <c r="B190" s="187">
        <v>200106</v>
      </c>
      <c r="C190" s="176">
        <v>5.97</v>
      </c>
      <c r="D190" s="176">
        <v>7.75</v>
      </c>
      <c r="E190" s="176">
        <v>3.53</v>
      </c>
      <c r="F190" s="177">
        <v>98.7</v>
      </c>
      <c r="G190" s="210">
        <v>3.0704815073272718E-2</v>
      </c>
      <c r="H190" s="179">
        <v>5.63</v>
      </c>
      <c r="I190" s="179">
        <v>5.89</v>
      </c>
      <c r="J190" s="176"/>
      <c r="K190" s="182">
        <v>0.06</v>
      </c>
      <c r="L190" s="182">
        <v>4.4999999999999998E-2</v>
      </c>
      <c r="N190" s="182">
        <v>6.5000000000000002E-2</v>
      </c>
      <c r="O190" s="182">
        <v>0.04</v>
      </c>
      <c r="Q190" s="182">
        <v>0.06</v>
      </c>
      <c r="R190" s="182">
        <v>6.7500000000000004E-2</v>
      </c>
      <c r="S190" s="182">
        <v>3.7499999999999999E-2</v>
      </c>
      <c r="T190" s="182">
        <v>4.2500000000000003E-2</v>
      </c>
      <c r="U190" s="182"/>
      <c r="V190" s="194">
        <v>6.5000000000000002E-2</v>
      </c>
      <c r="W190" s="194">
        <v>7.2000000000000008E-2</v>
      </c>
      <c r="X190" s="194">
        <v>4.3000000000000003E-2</v>
      </c>
      <c r="Y190" s="194">
        <v>4.7E-2</v>
      </c>
      <c r="Z190" s="194"/>
      <c r="AA190" s="195">
        <v>6.4961760000000202E-2</v>
      </c>
      <c r="AB190" s="195">
        <v>7.1905653749999798E-2</v>
      </c>
      <c r="AC190" s="195">
        <v>4.2642806033061975E-2</v>
      </c>
      <c r="AD190" s="195">
        <v>4.6817300733468591E-2</v>
      </c>
      <c r="AE190" s="195"/>
      <c r="AF190" s="195">
        <v>1.070306812543742E-2</v>
      </c>
      <c r="AG190" s="195">
        <v>1.1983157423436031E-2</v>
      </c>
      <c r="AI190" s="182">
        <v>5.7092422499999795E-2</v>
      </c>
      <c r="AJ190" s="182">
        <v>5.9767302499999841E-2</v>
      </c>
      <c r="AK190" s="182">
        <v>3.5611522499999992E-2</v>
      </c>
      <c r="AM190" s="27" t="s">
        <v>135</v>
      </c>
      <c r="AN190" s="7" t="b">
        <f t="shared" si="19"/>
        <v>0</v>
      </c>
      <c r="AP190" s="211">
        <v>-99</v>
      </c>
      <c r="AQ190" s="211">
        <v>-99</v>
      </c>
      <c r="AS190" s="211">
        <v>-99</v>
      </c>
      <c r="AT190" s="211">
        <v>-99</v>
      </c>
      <c r="AU190" s="211">
        <v>-99</v>
      </c>
      <c r="AV190" s="211">
        <v>-99</v>
      </c>
      <c r="AW190" s="211">
        <v>-99</v>
      </c>
      <c r="AX190" s="211">
        <v>-99</v>
      </c>
      <c r="AZ190" s="211">
        <v>-99</v>
      </c>
      <c r="BA190" s="211">
        <v>-99</v>
      </c>
      <c r="BB190" s="211">
        <v>-99</v>
      </c>
      <c r="BC190" s="211">
        <v>-99</v>
      </c>
      <c r="BD190" s="211">
        <v>-99</v>
      </c>
      <c r="BE190" s="211">
        <v>-99</v>
      </c>
      <c r="BG190" s="211">
        <v>-99</v>
      </c>
      <c r="BH190" s="211">
        <v>-99</v>
      </c>
      <c r="BI190" s="211">
        <v>-99</v>
      </c>
      <c r="BJ190" s="211">
        <v>-99</v>
      </c>
      <c r="BK190" s="211">
        <v>-99</v>
      </c>
      <c r="BL190" s="211">
        <v>-99</v>
      </c>
      <c r="BM190" s="211">
        <v>-99</v>
      </c>
      <c r="BN190" s="191">
        <f t="shared" si="20"/>
        <v>5.7092422499999795E-2</v>
      </c>
      <c r="BO190" s="191">
        <f t="shared" si="21"/>
        <v>5.9767302499999841E-2</v>
      </c>
      <c r="BP190" s="191">
        <f t="shared" si="22"/>
        <v>3.5611522499999992E-2</v>
      </c>
      <c r="BQ190" s="171">
        <f t="shared" si="23"/>
        <v>5.9699999999999996E-2</v>
      </c>
      <c r="BR190" s="171">
        <f t="shared" si="24"/>
        <v>7.7499999999999999E-2</v>
      </c>
      <c r="BS190" s="171">
        <f t="shared" si="25"/>
        <v>5.6299999999999996E-2</v>
      </c>
      <c r="BT190" s="171">
        <f t="shared" si="26"/>
        <v>5.8899999999999994E-2</v>
      </c>
      <c r="BU190" s="171">
        <f t="shared" si="27"/>
        <v>3.5299999999999998E-2</v>
      </c>
    </row>
    <row r="191" spans="1:73" x14ac:dyDescent="0.3">
      <c r="A191" s="209">
        <v>37073</v>
      </c>
      <c r="B191" s="187">
        <v>200107</v>
      </c>
      <c r="C191" s="176">
        <v>6.01</v>
      </c>
      <c r="D191" s="176">
        <v>7.75</v>
      </c>
      <c r="E191" s="176">
        <v>3.66</v>
      </c>
      <c r="F191" s="177">
        <v>98.4</v>
      </c>
      <c r="G191" s="210">
        <v>2.9923451635351483E-2</v>
      </c>
      <c r="H191" s="179">
        <v>5.64</v>
      </c>
      <c r="I191" s="179">
        <v>5.94</v>
      </c>
      <c r="J191" s="176"/>
      <c r="K191" s="182">
        <v>6.5000000000000002E-2</v>
      </c>
      <c r="L191" s="182">
        <v>4.4999999999999998E-2</v>
      </c>
      <c r="N191" s="182">
        <v>6.7500000000000004E-2</v>
      </c>
      <c r="O191" s="182">
        <v>3.7499999999999999E-2</v>
      </c>
      <c r="Q191" s="182">
        <v>6.5000000000000002E-2</v>
      </c>
      <c r="R191" s="182">
        <v>6.7500000000000004E-2</v>
      </c>
      <c r="S191" s="182">
        <v>0.04</v>
      </c>
      <c r="T191" s="182">
        <v>4.2500000000000003E-2</v>
      </c>
      <c r="U191" s="182"/>
      <c r="V191" s="194">
        <v>6.8000000000000005E-2</v>
      </c>
      <c r="W191" s="194">
        <v>7.1000000000000008E-2</v>
      </c>
      <c r="X191" s="194">
        <v>4.3999999999999997E-2</v>
      </c>
      <c r="Y191" s="194">
        <v>4.5999999999999999E-2</v>
      </c>
      <c r="Z191" s="194"/>
      <c r="AA191" s="195">
        <v>6.845849000000015E-2</v>
      </c>
      <c r="AB191" s="195">
        <v>7.1084288749999502E-2</v>
      </c>
      <c r="AC191" s="195">
        <v>4.4087393149938335E-2</v>
      </c>
      <c r="AD191" s="195">
        <v>4.5636918425030988E-2</v>
      </c>
      <c r="AE191" s="195"/>
      <c r="AF191" s="195">
        <v>1.1671004271268881E-2</v>
      </c>
      <c r="AG191" s="195">
        <v>1.2168358766108778E-2</v>
      </c>
      <c r="AI191" s="182">
        <v>5.7195239999999981E-2</v>
      </c>
      <c r="AJ191" s="182">
        <v>6.0282090000000066E-2</v>
      </c>
      <c r="AK191" s="182">
        <v>3.6934889999999942E-2</v>
      </c>
      <c r="AM191" s="27" t="s">
        <v>135</v>
      </c>
      <c r="AN191" s="7" t="b">
        <f t="shared" si="19"/>
        <v>0</v>
      </c>
      <c r="AP191" s="211">
        <v>-99</v>
      </c>
      <c r="AQ191" s="211">
        <v>-99</v>
      </c>
      <c r="AS191" s="211">
        <v>-99</v>
      </c>
      <c r="AT191" s="211">
        <v>-99</v>
      </c>
      <c r="AU191" s="211">
        <v>-99</v>
      </c>
      <c r="AV191" s="211">
        <v>-99</v>
      </c>
      <c r="AW191" s="211">
        <v>-99</v>
      </c>
      <c r="AX191" s="211">
        <v>-99</v>
      </c>
      <c r="AZ191" s="211">
        <v>-99</v>
      </c>
      <c r="BA191" s="211">
        <v>-99</v>
      </c>
      <c r="BB191" s="211">
        <v>-99</v>
      </c>
      <c r="BC191" s="211">
        <v>-99</v>
      </c>
      <c r="BD191" s="211">
        <v>-99</v>
      </c>
      <c r="BE191" s="211">
        <v>-99</v>
      </c>
      <c r="BG191" s="211">
        <v>-99</v>
      </c>
      <c r="BH191" s="211">
        <v>-99</v>
      </c>
      <c r="BI191" s="211">
        <v>-99</v>
      </c>
      <c r="BJ191" s="211">
        <v>-99</v>
      </c>
      <c r="BK191" s="211">
        <v>-99</v>
      </c>
      <c r="BL191" s="211">
        <v>-99</v>
      </c>
      <c r="BM191" s="211">
        <v>-99</v>
      </c>
      <c r="BN191" s="191">
        <f t="shared" si="20"/>
        <v>5.7195239999999981E-2</v>
      </c>
      <c r="BO191" s="191">
        <f t="shared" si="21"/>
        <v>6.0282090000000066E-2</v>
      </c>
      <c r="BP191" s="191">
        <f t="shared" si="22"/>
        <v>3.6934889999999942E-2</v>
      </c>
      <c r="BQ191" s="171">
        <f t="shared" si="23"/>
        <v>6.0100000000000001E-2</v>
      </c>
      <c r="BR191" s="171">
        <f t="shared" si="24"/>
        <v>7.7499999999999999E-2</v>
      </c>
      <c r="BS191" s="171">
        <f t="shared" si="25"/>
        <v>5.6399999999999999E-2</v>
      </c>
      <c r="BT191" s="171">
        <f t="shared" si="26"/>
        <v>5.9400000000000001E-2</v>
      </c>
      <c r="BU191" s="171">
        <f t="shared" si="27"/>
        <v>3.6600000000000001E-2</v>
      </c>
    </row>
    <row r="192" spans="1:73" x14ac:dyDescent="0.3">
      <c r="A192" s="209">
        <v>37104</v>
      </c>
      <c r="B192" s="187">
        <v>200108</v>
      </c>
      <c r="C192" s="176">
        <v>5.72</v>
      </c>
      <c r="D192" s="176">
        <v>7.6</v>
      </c>
      <c r="E192" s="176">
        <v>3.68</v>
      </c>
      <c r="F192" s="177">
        <v>98.4</v>
      </c>
      <c r="G192" s="210">
        <v>3.0555555555555669E-2</v>
      </c>
      <c r="H192" s="179">
        <v>5.23</v>
      </c>
      <c r="I192" s="179">
        <v>5.67</v>
      </c>
      <c r="J192" s="176"/>
      <c r="K192" s="182">
        <v>0.06</v>
      </c>
      <c r="L192" s="182">
        <v>4.4999999999999998E-2</v>
      </c>
      <c r="N192" s="182">
        <v>6.5000000000000002E-2</v>
      </c>
      <c r="O192" s="182">
        <v>3.7499999999999999E-2</v>
      </c>
      <c r="Q192" s="182">
        <v>6.25E-2</v>
      </c>
      <c r="R192" s="182">
        <v>6.5000000000000002E-2</v>
      </c>
      <c r="S192" s="182">
        <v>0.04</v>
      </c>
      <c r="T192" s="182">
        <v>4.2500000000000003E-2</v>
      </c>
      <c r="U192" s="182"/>
      <c r="V192" s="194">
        <v>6.6000000000000003E-2</v>
      </c>
      <c r="W192" s="194">
        <v>7.0000000000000007E-2</v>
      </c>
      <c r="X192" s="194">
        <v>4.3000000000000003E-2</v>
      </c>
      <c r="Y192" s="194">
        <v>4.4999999999999998E-2</v>
      </c>
      <c r="Z192" s="194"/>
      <c r="AA192" s="195">
        <v>6.6092422499999803E-2</v>
      </c>
      <c r="AB192" s="195">
        <v>7.0104742499999873E-2</v>
      </c>
      <c r="AC192" s="195">
        <v>4.3017732161130313E-2</v>
      </c>
      <c r="AD192" s="195">
        <v>4.5408417669434833E-2</v>
      </c>
      <c r="AE192" s="195"/>
      <c r="AF192" s="195">
        <v>1.1061504338501837E-2</v>
      </c>
      <c r="AG192" s="195">
        <v>1.1811806951785075E-2</v>
      </c>
      <c r="AI192" s="182">
        <v>5.2983822499999889E-2</v>
      </c>
      <c r="AJ192" s="182">
        <v>5.7503722500000132E-2</v>
      </c>
      <c r="AK192" s="182">
        <v>3.7138560000000043E-2</v>
      </c>
      <c r="AM192" s="27" t="s">
        <v>135</v>
      </c>
      <c r="AN192" s="7" t="b">
        <f t="shared" si="19"/>
        <v>0</v>
      </c>
      <c r="AP192" s="211">
        <v>-99</v>
      </c>
      <c r="AQ192" s="211">
        <v>-99</v>
      </c>
      <c r="AS192" s="211">
        <v>-99</v>
      </c>
      <c r="AT192" s="211">
        <v>-99</v>
      </c>
      <c r="AU192" s="211">
        <v>-99</v>
      </c>
      <c r="AV192" s="211">
        <v>-99</v>
      </c>
      <c r="AW192" s="211">
        <v>-99</v>
      </c>
      <c r="AX192" s="211">
        <v>-99</v>
      </c>
      <c r="AZ192" s="211">
        <v>-99</v>
      </c>
      <c r="BA192" s="211">
        <v>-99</v>
      </c>
      <c r="BB192" s="211">
        <v>-99</v>
      </c>
      <c r="BC192" s="211">
        <v>-99</v>
      </c>
      <c r="BD192" s="211">
        <v>-99</v>
      </c>
      <c r="BE192" s="211">
        <v>-99</v>
      </c>
      <c r="BG192" s="211">
        <v>-99</v>
      </c>
      <c r="BH192" s="211">
        <v>-99</v>
      </c>
      <c r="BI192" s="211">
        <v>-99</v>
      </c>
      <c r="BJ192" s="211">
        <v>-99</v>
      </c>
      <c r="BK192" s="211">
        <v>-99</v>
      </c>
      <c r="BL192" s="211">
        <v>-99</v>
      </c>
      <c r="BM192" s="211">
        <v>-99</v>
      </c>
      <c r="BN192" s="191">
        <f t="shared" si="20"/>
        <v>5.2983822499999889E-2</v>
      </c>
      <c r="BO192" s="191">
        <f t="shared" si="21"/>
        <v>5.7503722500000132E-2</v>
      </c>
      <c r="BP192" s="191">
        <f t="shared" si="22"/>
        <v>3.7138560000000043E-2</v>
      </c>
      <c r="BQ192" s="171">
        <f t="shared" si="23"/>
        <v>5.7200000000000001E-2</v>
      </c>
      <c r="BR192" s="171">
        <f t="shared" si="24"/>
        <v>7.5999999999999998E-2</v>
      </c>
      <c r="BS192" s="171">
        <f t="shared" si="25"/>
        <v>5.2300000000000006E-2</v>
      </c>
      <c r="BT192" s="171">
        <f t="shared" si="26"/>
        <v>5.67E-2</v>
      </c>
      <c r="BU192" s="171">
        <f t="shared" si="27"/>
        <v>3.6799999999999999E-2</v>
      </c>
    </row>
    <row r="193" spans="1:73" x14ac:dyDescent="0.3">
      <c r="A193" s="209">
        <v>37135</v>
      </c>
      <c r="B193" s="187">
        <v>200109</v>
      </c>
      <c r="C193" s="176">
        <v>5.86</v>
      </c>
      <c r="D193" s="176">
        <v>7.15</v>
      </c>
      <c r="E193" s="176">
        <v>3.68</v>
      </c>
      <c r="F193" s="177">
        <v>98.6</v>
      </c>
      <c r="G193" s="210">
        <v>3.049203049203042E-2</v>
      </c>
      <c r="H193" s="179">
        <v>5</v>
      </c>
      <c r="I193" s="179">
        <v>5.86</v>
      </c>
      <c r="J193" s="176"/>
      <c r="K193" s="182">
        <v>6.5000000000000002E-2</v>
      </c>
      <c r="L193" s="182">
        <v>4.4999999999999998E-2</v>
      </c>
      <c r="N193" s="182">
        <v>6.5000000000000002E-2</v>
      </c>
      <c r="O193" s="182">
        <v>0.04</v>
      </c>
      <c r="Q193" s="182">
        <v>6.25E-2</v>
      </c>
      <c r="R193" s="182">
        <v>6.7500000000000004E-2</v>
      </c>
      <c r="S193" s="182">
        <v>0.04</v>
      </c>
      <c r="T193" s="182">
        <v>4.2500000000000003E-2</v>
      </c>
      <c r="U193" s="182"/>
      <c r="V193" s="194">
        <v>6.6000000000000003E-2</v>
      </c>
      <c r="W193" s="194">
        <v>7.1000000000000008E-2</v>
      </c>
      <c r="X193" s="194">
        <v>4.3999999999999997E-2</v>
      </c>
      <c r="Y193" s="194">
        <v>4.7E-2</v>
      </c>
      <c r="Z193" s="194"/>
      <c r="AA193" s="195">
        <v>6.6195239999999989E-2</v>
      </c>
      <c r="AB193" s="195">
        <v>7.0825515000000117E-2</v>
      </c>
      <c r="AC193" s="195">
        <v>4.4043574267640585E-2</v>
      </c>
      <c r="AD193" s="195">
        <v>4.6880547866179623E-2</v>
      </c>
      <c r="AE193" s="195"/>
      <c r="AF193" s="195">
        <v>1.0608592533074002E-2</v>
      </c>
      <c r="AG193" s="195">
        <v>1.1436341606798739E-2</v>
      </c>
      <c r="AI193" s="182">
        <v>5.062499999999992E-2</v>
      </c>
      <c r="AJ193" s="182">
        <v>5.9458490000000142E-2</v>
      </c>
      <c r="AK193" s="182">
        <v>3.7138560000000043E-2</v>
      </c>
      <c r="AM193" s="27" t="s">
        <v>135</v>
      </c>
      <c r="AN193" s="7" t="b">
        <f t="shared" si="19"/>
        <v>0</v>
      </c>
      <c r="AP193" s="211">
        <v>-99</v>
      </c>
      <c r="AQ193" s="211">
        <v>-99</v>
      </c>
      <c r="AS193" s="211">
        <v>-99</v>
      </c>
      <c r="AT193" s="211">
        <v>-99</v>
      </c>
      <c r="AU193" s="211">
        <v>-99</v>
      </c>
      <c r="AV193" s="211">
        <v>-99</v>
      </c>
      <c r="AW193" s="211">
        <v>-99</v>
      </c>
      <c r="AX193" s="211">
        <v>-99</v>
      </c>
      <c r="AZ193" s="211">
        <v>-99</v>
      </c>
      <c r="BA193" s="211">
        <v>-99</v>
      </c>
      <c r="BB193" s="211">
        <v>-99</v>
      </c>
      <c r="BC193" s="211">
        <v>-99</v>
      </c>
      <c r="BD193" s="211">
        <v>-99</v>
      </c>
      <c r="BE193" s="211">
        <v>-99</v>
      </c>
      <c r="BG193" s="211">
        <v>-99</v>
      </c>
      <c r="BH193" s="211">
        <v>-99</v>
      </c>
      <c r="BI193" s="211">
        <v>-99</v>
      </c>
      <c r="BJ193" s="211">
        <v>-99</v>
      </c>
      <c r="BK193" s="211">
        <v>-99</v>
      </c>
      <c r="BL193" s="211">
        <v>-99</v>
      </c>
      <c r="BM193" s="211">
        <v>-99</v>
      </c>
      <c r="BN193" s="191">
        <f t="shared" si="20"/>
        <v>5.062499999999992E-2</v>
      </c>
      <c r="BO193" s="191">
        <f t="shared" si="21"/>
        <v>5.9458490000000142E-2</v>
      </c>
      <c r="BP193" s="191">
        <f t="shared" si="22"/>
        <v>3.7138560000000043E-2</v>
      </c>
      <c r="BQ193" s="171">
        <f t="shared" si="23"/>
        <v>5.8600000000000006E-2</v>
      </c>
      <c r="BR193" s="171">
        <f t="shared" si="24"/>
        <v>7.1500000000000008E-2</v>
      </c>
      <c r="BS193" s="171">
        <f t="shared" si="25"/>
        <v>0.05</v>
      </c>
      <c r="BT193" s="171">
        <f t="shared" si="26"/>
        <v>5.8600000000000006E-2</v>
      </c>
      <c r="BU193" s="171">
        <f t="shared" si="27"/>
        <v>3.6799999999999999E-2</v>
      </c>
    </row>
    <row r="194" spans="1:73" x14ac:dyDescent="0.3">
      <c r="A194" s="209">
        <v>37165</v>
      </c>
      <c r="B194" s="187">
        <v>200110</v>
      </c>
      <c r="C194" s="176">
        <v>5.32</v>
      </c>
      <c r="D194" s="176">
        <v>6.9</v>
      </c>
      <c r="E194" s="176">
        <v>3.6</v>
      </c>
      <c r="F194" s="177">
        <v>98.1</v>
      </c>
      <c r="G194" s="210">
        <v>2.973720608575392E-2</v>
      </c>
      <c r="H194" s="179">
        <v>4.54</v>
      </c>
      <c r="I194" s="179">
        <v>5.31</v>
      </c>
      <c r="J194" s="176"/>
      <c r="K194" s="182">
        <v>0.06</v>
      </c>
      <c r="L194" s="182">
        <v>4.4999999999999998E-2</v>
      </c>
      <c r="N194" s="182">
        <v>6.25E-2</v>
      </c>
      <c r="O194" s="182">
        <v>0.04</v>
      </c>
      <c r="Q194" s="182">
        <v>5.7500000000000002E-2</v>
      </c>
      <c r="R194" s="182">
        <v>6.5000000000000002E-2</v>
      </c>
      <c r="S194" s="182">
        <v>0.04</v>
      </c>
      <c r="T194" s="182">
        <v>4.2500000000000003E-2</v>
      </c>
      <c r="U194" s="182"/>
      <c r="V194" s="194">
        <v>6.2E-2</v>
      </c>
      <c r="W194" s="194">
        <v>6.9000000000000006E-2</v>
      </c>
      <c r="X194" s="194">
        <v>4.3000000000000003E-2</v>
      </c>
      <c r="Y194" s="194">
        <v>4.8000000000000001E-2</v>
      </c>
      <c r="Z194" s="194"/>
      <c r="AA194" s="195">
        <v>6.198382249999989E-2</v>
      </c>
      <c r="AB194" s="195">
        <v>6.8763672500000261E-2</v>
      </c>
      <c r="AC194" s="195">
        <v>4.3219399812692016E-2</v>
      </c>
      <c r="AD194" s="195">
        <v>4.7598140093654061E-2</v>
      </c>
      <c r="AE194" s="195"/>
      <c r="AF194" s="195">
        <v>8.9935169393307035E-3</v>
      </c>
      <c r="AG194" s="195">
        <v>1.0101932981884665E-2</v>
      </c>
      <c r="AI194" s="182">
        <v>4.5915289999999942E-2</v>
      </c>
      <c r="AJ194" s="182">
        <v>5.3804902500000251E-2</v>
      </c>
      <c r="AK194" s="182">
        <v>3.6324000000000023E-2</v>
      </c>
      <c r="AM194" s="27" t="s">
        <v>135</v>
      </c>
      <c r="AN194" s="7" t="b">
        <f t="shared" si="19"/>
        <v>0</v>
      </c>
      <c r="AP194" s="211">
        <v>-99</v>
      </c>
      <c r="AQ194" s="211">
        <v>-99</v>
      </c>
      <c r="AS194" s="211">
        <v>-99</v>
      </c>
      <c r="AT194" s="211">
        <v>-99</v>
      </c>
      <c r="AU194" s="211">
        <v>-99</v>
      </c>
      <c r="AV194" s="211">
        <v>-99</v>
      </c>
      <c r="AW194" s="211">
        <v>-99</v>
      </c>
      <c r="AX194" s="211">
        <v>-99</v>
      </c>
      <c r="AZ194" s="211">
        <v>-99</v>
      </c>
      <c r="BA194" s="211">
        <v>-99</v>
      </c>
      <c r="BB194" s="211">
        <v>-99</v>
      </c>
      <c r="BC194" s="211">
        <v>-99</v>
      </c>
      <c r="BD194" s="211">
        <v>-99</v>
      </c>
      <c r="BE194" s="211">
        <v>-99</v>
      </c>
      <c r="BG194" s="211">
        <v>-99</v>
      </c>
      <c r="BH194" s="211">
        <v>-99</v>
      </c>
      <c r="BI194" s="211">
        <v>-99</v>
      </c>
      <c r="BJ194" s="211">
        <v>-99</v>
      </c>
      <c r="BK194" s="211">
        <v>-99</v>
      </c>
      <c r="BL194" s="211">
        <v>-99</v>
      </c>
      <c r="BM194" s="211">
        <v>-99</v>
      </c>
      <c r="BN194" s="191">
        <f t="shared" si="20"/>
        <v>4.5915289999999942E-2</v>
      </c>
      <c r="BO194" s="191">
        <f t="shared" si="21"/>
        <v>5.3804902500000251E-2</v>
      </c>
      <c r="BP194" s="191">
        <f t="shared" si="22"/>
        <v>3.6324000000000023E-2</v>
      </c>
      <c r="BQ194" s="171">
        <f t="shared" si="23"/>
        <v>5.3200000000000004E-2</v>
      </c>
      <c r="BR194" s="171">
        <f t="shared" si="24"/>
        <v>6.9000000000000006E-2</v>
      </c>
      <c r="BS194" s="171">
        <f t="shared" si="25"/>
        <v>4.5400000000000003E-2</v>
      </c>
      <c r="BT194" s="171">
        <f t="shared" si="26"/>
        <v>5.3099999999999994E-2</v>
      </c>
      <c r="BU194" s="171">
        <f t="shared" si="27"/>
        <v>3.6000000000000004E-2</v>
      </c>
    </row>
    <row r="195" spans="1:73" x14ac:dyDescent="0.3">
      <c r="A195" s="209">
        <v>37196</v>
      </c>
      <c r="B195" s="187">
        <v>200111</v>
      </c>
      <c r="C195" s="176">
        <v>5.66</v>
      </c>
      <c r="D195" s="176">
        <v>6.85</v>
      </c>
      <c r="E195" s="176">
        <v>3.68</v>
      </c>
      <c r="F195" s="177">
        <v>97.2</v>
      </c>
      <c r="G195" s="210">
        <v>2.7586206896551779E-2</v>
      </c>
      <c r="H195" s="179">
        <v>5.0999999999999996</v>
      </c>
      <c r="I195" s="179">
        <v>5.59</v>
      </c>
      <c r="J195" s="176"/>
      <c r="K195" s="182">
        <v>0.06</v>
      </c>
      <c r="L195" s="182">
        <v>0.04</v>
      </c>
      <c r="N195" s="182">
        <v>6.5000000000000002E-2</v>
      </c>
      <c r="O195" s="182">
        <v>0.04</v>
      </c>
      <c r="Q195" s="182">
        <v>5.5E-2</v>
      </c>
      <c r="R195" s="182">
        <v>7.0000000000000007E-2</v>
      </c>
      <c r="S195" s="182">
        <v>3.7499999999999999E-2</v>
      </c>
      <c r="T195" s="182">
        <v>4.4999999999999998E-2</v>
      </c>
      <c r="U195" s="182"/>
      <c r="V195" s="194">
        <v>0.06</v>
      </c>
      <c r="W195" s="194">
        <v>7.2999999999999995E-2</v>
      </c>
      <c r="X195" s="194">
        <v>4.1000000000000002E-2</v>
      </c>
      <c r="Y195" s="194">
        <v>4.9000000000000002E-2</v>
      </c>
      <c r="Z195" s="194"/>
      <c r="AA195" s="195">
        <v>5.9624999999999921E-2</v>
      </c>
      <c r="AB195" s="195">
        <v>7.287523500000026E-2</v>
      </c>
      <c r="AC195" s="195">
        <v>4.062104520313238E-2</v>
      </c>
      <c r="AD195" s="195">
        <v>4.8897317398433872E-2</v>
      </c>
      <c r="AE195" s="195"/>
      <c r="AF195" s="195">
        <v>9.1310640335732218E-3</v>
      </c>
      <c r="AG195" s="195">
        <v>1.1430059551033267E-2</v>
      </c>
      <c r="AI195" s="182">
        <v>5.1650250000000231E-2</v>
      </c>
      <c r="AJ195" s="182">
        <v>5.6681202499999861E-2</v>
      </c>
      <c r="AK195" s="182">
        <v>3.7138560000000043E-2</v>
      </c>
      <c r="AM195" s="27" t="s">
        <v>135</v>
      </c>
      <c r="AN195" s="7" t="b">
        <f t="shared" si="19"/>
        <v>0</v>
      </c>
      <c r="AP195" s="211">
        <v>-99</v>
      </c>
      <c r="AQ195" s="211">
        <v>-99</v>
      </c>
      <c r="AS195" s="211">
        <v>-99</v>
      </c>
      <c r="AT195" s="211">
        <v>-99</v>
      </c>
      <c r="AU195" s="211">
        <v>-99</v>
      </c>
      <c r="AV195" s="211">
        <v>-99</v>
      </c>
      <c r="AW195" s="211">
        <v>-99</v>
      </c>
      <c r="AX195" s="211">
        <v>-99</v>
      </c>
      <c r="AZ195" s="211">
        <v>-99</v>
      </c>
      <c r="BA195" s="211">
        <v>-99</v>
      </c>
      <c r="BB195" s="211">
        <v>-99</v>
      </c>
      <c r="BC195" s="211">
        <v>-99</v>
      </c>
      <c r="BD195" s="211">
        <v>-99</v>
      </c>
      <c r="BE195" s="211">
        <v>-99</v>
      </c>
      <c r="BG195" s="211">
        <v>-99</v>
      </c>
      <c r="BH195" s="211">
        <v>-99</v>
      </c>
      <c r="BI195" s="211">
        <v>-99</v>
      </c>
      <c r="BJ195" s="211">
        <v>-99</v>
      </c>
      <c r="BK195" s="211">
        <v>-99</v>
      </c>
      <c r="BL195" s="211">
        <v>-99</v>
      </c>
      <c r="BM195" s="211">
        <v>-99</v>
      </c>
      <c r="BN195" s="191">
        <f t="shared" si="20"/>
        <v>5.1650250000000231E-2</v>
      </c>
      <c r="BO195" s="191">
        <f t="shared" si="21"/>
        <v>5.6681202499999861E-2</v>
      </c>
      <c r="BP195" s="191">
        <f t="shared" si="22"/>
        <v>3.7138560000000043E-2</v>
      </c>
      <c r="BQ195" s="171">
        <f t="shared" si="23"/>
        <v>5.6600000000000004E-2</v>
      </c>
      <c r="BR195" s="171">
        <f t="shared" si="24"/>
        <v>6.8499999999999991E-2</v>
      </c>
      <c r="BS195" s="171">
        <f t="shared" si="25"/>
        <v>5.0999999999999997E-2</v>
      </c>
      <c r="BT195" s="171">
        <f t="shared" si="26"/>
        <v>5.5899999999999998E-2</v>
      </c>
      <c r="BU195" s="171">
        <f t="shared" si="27"/>
        <v>3.6799999999999999E-2</v>
      </c>
    </row>
    <row r="196" spans="1:73" x14ac:dyDescent="0.3">
      <c r="A196" s="209">
        <v>37226</v>
      </c>
      <c r="B196" s="187">
        <v>200112</v>
      </c>
      <c r="C196" s="176">
        <v>5.75</v>
      </c>
      <c r="D196" s="176">
        <v>6.85</v>
      </c>
      <c r="E196" s="176">
        <v>3.76</v>
      </c>
      <c r="F196" s="177">
        <v>97.4</v>
      </c>
      <c r="G196" s="214">
        <v>2.5447042640990292E-2</v>
      </c>
      <c r="H196" s="215">
        <v>5.13</v>
      </c>
      <c r="I196" s="215">
        <v>5.69</v>
      </c>
      <c r="J196" s="213"/>
      <c r="K196" s="216">
        <v>5.5E-2</v>
      </c>
      <c r="L196" s="216">
        <v>3.5000000000000003E-2</v>
      </c>
      <c r="M196" s="216"/>
      <c r="N196" s="216">
        <v>0.06</v>
      </c>
      <c r="O196" s="216">
        <v>0.04</v>
      </c>
      <c r="P196" s="217"/>
      <c r="Q196" s="182">
        <v>0.05</v>
      </c>
      <c r="R196" s="182">
        <v>6.25E-2</v>
      </c>
      <c r="S196" s="182">
        <v>3.5000000000000003E-2</v>
      </c>
      <c r="T196" s="182">
        <v>4.4999999999999998E-2</v>
      </c>
      <c r="U196" s="182"/>
      <c r="V196" s="194">
        <v>5.5E-2</v>
      </c>
      <c r="W196" s="194">
        <v>6.7000000000000004E-2</v>
      </c>
      <c r="X196" s="194">
        <v>0.04</v>
      </c>
      <c r="Y196" s="194">
        <v>4.8000000000000001E-2</v>
      </c>
      <c r="Z196" s="194"/>
      <c r="AA196" s="195">
        <v>5.4915289999999943E-2</v>
      </c>
      <c r="AB196" s="195">
        <v>6.6749708750000414E-2</v>
      </c>
      <c r="AC196" s="195">
        <v>3.9997677097546855E-2</v>
      </c>
      <c r="AD196" s="195">
        <v>4.7987161451226612E-2</v>
      </c>
      <c r="AE196" s="195"/>
      <c r="AF196" s="195">
        <v>7.1719452989960075E-3</v>
      </c>
      <c r="AG196" s="195">
        <v>8.9517066567837977E-3</v>
      </c>
      <c r="AI196" s="182">
        <v>5.1957922499999976E-2</v>
      </c>
      <c r="AJ196" s="182">
        <v>5.7709402500000229E-2</v>
      </c>
      <c r="AK196" s="182">
        <v>3.7953439999999894E-2</v>
      </c>
      <c r="AM196" s="27" t="s">
        <v>135</v>
      </c>
      <c r="AN196" s="7" t="b">
        <f t="shared" si="19"/>
        <v>0</v>
      </c>
      <c r="AP196" s="211">
        <v>-99</v>
      </c>
      <c r="AQ196" s="211">
        <v>-99</v>
      </c>
      <c r="AS196" s="211">
        <v>-99</v>
      </c>
      <c r="AT196" s="211">
        <v>-99</v>
      </c>
      <c r="AU196" s="211">
        <v>-99</v>
      </c>
      <c r="AV196" s="211">
        <v>-99</v>
      </c>
      <c r="AW196" s="211">
        <v>-99</v>
      </c>
      <c r="AX196" s="211">
        <v>-99</v>
      </c>
      <c r="AZ196" s="211">
        <v>-99</v>
      </c>
      <c r="BA196" s="211">
        <v>-99</v>
      </c>
      <c r="BB196" s="211">
        <v>-99</v>
      </c>
      <c r="BC196" s="211">
        <v>-99</v>
      </c>
      <c r="BD196" s="211">
        <v>-99</v>
      </c>
      <c r="BE196" s="211">
        <v>-99</v>
      </c>
      <c r="BG196" s="211">
        <v>-99</v>
      </c>
      <c r="BH196" s="211">
        <v>-99</v>
      </c>
      <c r="BI196" s="211">
        <v>-99</v>
      </c>
      <c r="BJ196" s="211">
        <v>-99</v>
      </c>
      <c r="BK196" s="211">
        <v>-99</v>
      </c>
      <c r="BL196" s="211">
        <v>-99</v>
      </c>
      <c r="BM196" s="211">
        <v>-99</v>
      </c>
      <c r="BN196" s="191">
        <f t="shared" si="20"/>
        <v>5.1957922499999976E-2</v>
      </c>
      <c r="BO196" s="191">
        <f t="shared" si="21"/>
        <v>5.7709402500000229E-2</v>
      </c>
      <c r="BP196" s="191">
        <f t="shared" si="22"/>
        <v>3.7953439999999894E-2</v>
      </c>
      <c r="BQ196" s="171">
        <f t="shared" si="23"/>
        <v>5.7500000000000002E-2</v>
      </c>
      <c r="BR196" s="171">
        <f t="shared" si="24"/>
        <v>6.8499999999999991E-2</v>
      </c>
      <c r="BS196" s="171">
        <f t="shared" si="25"/>
        <v>5.1299999999999998E-2</v>
      </c>
      <c r="BT196" s="171">
        <f t="shared" si="26"/>
        <v>5.6900000000000006E-2</v>
      </c>
      <c r="BU196" s="171">
        <f t="shared" si="27"/>
        <v>3.7599999999999995E-2</v>
      </c>
    </row>
    <row r="197" spans="1:73" x14ac:dyDescent="0.3">
      <c r="A197" s="220">
        <v>37257</v>
      </c>
      <c r="B197" s="187">
        <v>200201</v>
      </c>
      <c r="C197" s="221">
        <v>5.72</v>
      </c>
      <c r="D197" s="221">
        <v>7</v>
      </c>
      <c r="E197" s="221">
        <v>3.73</v>
      </c>
      <c r="F197" s="177">
        <v>97.6</v>
      </c>
      <c r="G197" s="210">
        <v>2.4005486968449841E-2</v>
      </c>
      <c r="H197" s="179">
        <v>5.1100000000000003</v>
      </c>
      <c r="I197" s="179">
        <v>5.68</v>
      </c>
      <c r="J197" s="176"/>
      <c r="K197" s="182">
        <v>0.06</v>
      </c>
      <c r="L197" s="182">
        <v>0.04</v>
      </c>
      <c r="N197" s="182">
        <v>6.25E-2</v>
      </c>
      <c r="O197" s="182">
        <v>0.04</v>
      </c>
      <c r="Q197" s="182">
        <v>5.7500000000000002E-2</v>
      </c>
      <c r="R197" s="182">
        <v>6.5000000000000002E-2</v>
      </c>
      <c r="S197" s="182">
        <v>0.04</v>
      </c>
      <c r="T197" s="182">
        <v>4.4999999999999998E-2</v>
      </c>
      <c r="U197" s="182"/>
      <c r="V197" s="194">
        <v>6.0999999999999999E-2</v>
      </c>
      <c r="W197" s="194">
        <v>6.8000000000000005E-2</v>
      </c>
      <c r="X197" s="194">
        <v>4.3000000000000003E-2</v>
      </c>
      <c r="Y197" s="194">
        <v>4.8000000000000001E-2</v>
      </c>
      <c r="Z197" s="194"/>
      <c r="AA197" s="195">
        <v>6.0650250000000232E-2</v>
      </c>
      <c r="AB197" s="195">
        <v>6.8196678749999684E-2</v>
      </c>
      <c r="AC197" s="195">
        <v>4.2842187957110041E-2</v>
      </c>
      <c r="AD197" s="195">
        <v>4.7786746021445045E-2</v>
      </c>
      <c r="AE197" s="195"/>
      <c r="AF197" s="195">
        <v>8.5382343793433124E-3</v>
      </c>
      <c r="AG197" s="195">
        <v>9.7395451918309561E-3</v>
      </c>
      <c r="AI197" s="182">
        <v>5.1752802500000028E-2</v>
      </c>
      <c r="AJ197" s="182">
        <v>5.7606559999999973E-2</v>
      </c>
      <c r="AK197" s="182">
        <v>3.7647822500000094E-2</v>
      </c>
      <c r="AM197" s="27" t="s">
        <v>135</v>
      </c>
      <c r="AN197" s="7" t="b">
        <f t="shared" si="19"/>
        <v>0</v>
      </c>
      <c r="AP197" s="211">
        <v>-99</v>
      </c>
      <c r="AQ197" s="211">
        <v>-99</v>
      </c>
      <c r="AS197" s="211">
        <v>-99</v>
      </c>
      <c r="AT197" s="211">
        <v>-99</v>
      </c>
      <c r="AU197" s="211">
        <v>-99</v>
      </c>
      <c r="AV197" s="211">
        <v>-99</v>
      </c>
      <c r="AW197" s="211">
        <v>-99</v>
      </c>
      <c r="AX197" s="211">
        <v>-99</v>
      </c>
      <c r="AZ197" s="211">
        <v>-99</v>
      </c>
      <c r="BA197" s="211">
        <v>-99</v>
      </c>
      <c r="BB197" s="211">
        <v>-99</v>
      </c>
      <c r="BC197" s="211">
        <v>-99</v>
      </c>
      <c r="BD197" s="211">
        <v>-99</v>
      </c>
      <c r="BE197" s="211">
        <v>-99</v>
      </c>
      <c r="BG197" s="211">
        <v>-99</v>
      </c>
      <c r="BH197" s="211">
        <v>-99</v>
      </c>
      <c r="BI197" s="211">
        <v>-99</v>
      </c>
      <c r="BJ197" s="211">
        <v>-99</v>
      </c>
      <c r="BK197" s="211">
        <v>-99</v>
      </c>
      <c r="BL197" s="211">
        <v>-99</v>
      </c>
      <c r="BM197" s="211">
        <v>-99</v>
      </c>
      <c r="BN197" s="191">
        <f t="shared" si="20"/>
        <v>5.1752802500000028E-2</v>
      </c>
      <c r="BO197" s="191">
        <f t="shared" si="21"/>
        <v>5.7606559999999973E-2</v>
      </c>
      <c r="BP197" s="191">
        <f t="shared" si="22"/>
        <v>3.7647822500000094E-2</v>
      </c>
      <c r="BQ197" s="171">
        <f t="shared" si="23"/>
        <v>5.7200000000000001E-2</v>
      </c>
      <c r="BR197" s="171">
        <f t="shared" si="24"/>
        <v>7.0000000000000007E-2</v>
      </c>
      <c r="BS197" s="171">
        <f t="shared" si="25"/>
        <v>5.1100000000000007E-2</v>
      </c>
      <c r="BT197" s="171">
        <f t="shared" si="26"/>
        <v>5.6799999999999996E-2</v>
      </c>
      <c r="BU197" s="171">
        <f t="shared" si="27"/>
        <v>3.73E-2</v>
      </c>
    </row>
    <row r="198" spans="1:73" x14ac:dyDescent="0.3">
      <c r="A198" s="209">
        <v>37288</v>
      </c>
      <c r="B198" s="187">
        <v>200202</v>
      </c>
      <c r="C198" s="176">
        <v>5.68</v>
      </c>
      <c r="D198" s="176">
        <v>6.85</v>
      </c>
      <c r="E198" s="176">
        <v>3.73</v>
      </c>
      <c r="F198" s="177">
        <v>98.2</v>
      </c>
      <c r="G198" s="210">
        <v>2.2587268993840004E-2</v>
      </c>
      <c r="H198" s="179">
        <v>5</v>
      </c>
      <c r="I198" s="179">
        <v>5.69</v>
      </c>
      <c r="J198" s="176"/>
      <c r="K198" s="182">
        <v>0.06</v>
      </c>
      <c r="L198" s="182">
        <v>0.04</v>
      </c>
      <c r="N198" s="182">
        <v>6.25E-2</v>
      </c>
      <c r="O198" s="182">
        <v>0.04</v>
      </c>
      <c r="Q198" s="182">
        <v>5.7500000000000002E-2</v>
      </c>
      <c r="R198" s="182">
        <v>6.5000000000000002E-2</v>
      </c>
      <c r="S198" s="182">
        <v>0.04</v>
      </c>
      <c r="T198" s="182">
        <v>4.4999999999999998E-2</v>
      </c>
      <c r="U198" s="182"/>
      <c r="V198" s="194">
        <v>6.0999999999999999E-2</v>
      </c>
      <c r="W198" s="194">
        <v>7.0000000000000007E-2</v>
      </c>
      <c r="X198" s="194">
        <v>4.3000000000000003E-2</v>
      </c>
      <c r="Y198" s="194">
        <v>4.9000000000000002E-2</v>
      </c>
      <c r="Z198" s="194"/>
      <c r="AA198" s="195">
        <v>6.0957922499999977E-2</v>
      </c>
      <c r="AB198" s="195">
        <v>6.9585142500000363E-2</v>
      </c>
      <c r="AC198" s="195">
        <v>4.3170894320529236E-2</v>
      </c>
      <c r="AD198" s="195">
        <v>4.8844712839735224E-2</v>
      </c>
      <c r="AE198" s="195"/>
      <c r="AF198" s="195">
        <v>8.5254622594969076E-3</v>
      </c>
      <c r="AG198" s="195">
        <v>9.887273781507E-3</v>
      </c>
      <c r="AI198" s="182">
        <v>5.062499999999992E-2</v>
      </c>
      <c r="AJ198" s="182">
        <v>5.7709402500000229E-2</v>
      </c>
      <c r="AK198" s="182">
        <v>3.7647822500000094E-2</v>
      </c>
      <c r="AM198" s="27" t="s">
        <v>135</v>
      </c>
      <c r="AN198" s="7" t="b">
        <f t="shared" ref="AN198:AN261" si="28">1=2</f>
        <v>0</v>
      </c>
      <c r="AP198" s="211">
        <v>-99</v>
      </c>
      <c r="AQ198" s="211">
        <v>-99</v>
      </c>
      <c r="AS198" s="211">
        <v>-99</v>
      </c>
      <c r="AT198" s="211">
        <v>-99</v>
      </c>
      <c r="AU198" s="211">
        <v>-99</v>
      </c>
      <c r="AV198" s="211">
        <v>-99</v>
      </c>
      <c r="AW198" s="211">
        <v>-99</v>
      </c>
      <c r="AX198" s="211">
        <v>-99</v>
      </c>
      <c r="AZ198" s="211">
        <v>-99</v>
      </c>
      <c r="BA198" s="211">
        <v>-99</v>
      </c>
      <c r="BB198" s="211">
        <v>-99</v>
      </c>
      <c r="BC198" s="211">
        <v>-99</v>
      </c>
      <c r="BD198" s="211">
        <v>-99</v>
      </c>
      <c r="BE198" s="211">
        <v>-99</v>
      </c>
      <c r="BG198" s="211">
        <v>-99</v>
      </c>
      <c r="BH198" s="211">
        <v>-99</v>
      </c>
      <c r="BI198" s="211">
        <v>-99</v>
      </c>
      <c r="BJ198" s="211">
        <v>-99</v>
      </c>
      <c r="BK198" s="211">
        <v>-99</v>
      </c>
      <c r="BL198" s="211">
        <v>-99</v>
      </c>
      <c r="BM198" s="211">
        <v>-99</v>
      </c>
      <c r="BN198" s="191">
        <f t="shared" si="20"/>
        <v>5.062499999999992E-2</v>
      </c>
      <c r="BO198" s="191">
        <f t="shared" si="21"/>
        <v>5.7709402500000229E-2</v>
      </c>
      <c r="BP198" s="191">
        <f t="shared" si="22"/>
        <v>3.7647822500000094E-2</v>
      </c>
      <c r="BQ198" s="171">
        <f t="shared" si="23"/>
        <v>5.6799999999999996E-2</v>
      </c>
      <c r="BR198" s="171">
        <f t="shared" si="24"/>
        <v>6.8499999999999991E-2</v>
      </c>
      <c r="BS198" s="171">
        <f t="shared" si="25"/>
        <v>0.05</v>
      </c>
      <c r="BT198" s="171">
        <f t="shared" si="26"/>
        <v>5.6900000000000006E-2</v>
      </c>
      <c r="BU198" s="171">
        <f t="shared" si="27"/>
        <v>3.73E-2</v>
      </c>
    </row>
    <row r="199" spans="1:73" x14ac:dyDescent="0.3">
      <c r="A199" s="209">
        <v>37316</v>
      </c>
      <c r="B199" s="187">
        <v>200203</v>
      </c>
      <c r="C199" s="176">
        <v>6</v>
      </c>
      <c r="D199" s="176">
        <v>7.3</v>
      </c>
      <c r="E199" s="176">
        <v>3.68</v>
      </c>
      <c r="F199" s="177">
        <v>98.9</v>
      </c>
      <c r="G199" s="210">
        <v>2.2540983606557319E-2</v>
      </c>
      <c r="H199" s="179">
        <v>5.58</v>
      </c>
      <c r="I199" s="179">
        <v>5.98</v>
      </c>
      <c r="J199" s="176"/>
      <c r="K199" s="182">
        <v>0.06</v>
      </c>
      <c r="L199" s="182">
        <v>4.4999999999999998E-2</v>
      </c>
      <c r="N199" s="182">
        <v>6.25E-2</v>
      </c>
      <c r="O199" s="182">
        <v>0.04</v>
      </c>
      <c r="Q199" s="182">
        <v>5.7500000000000002E-2</v>
      </c>
      <c r="R199" s="182">
        <v>6.5000000000000002E-2</v>
      </c>
      <c r="S199" s="182">
        <v>0.04</v>
      </c>
      <c r="T199" s="182">
        <v>4.4999999999999998E-2</v>
      </c>
      <c r="U199" s="182"/>
      <c r="V199" s="194">
        <v>6.0999999999999999E-2</v>
      </c>
      <c r="W199" s="194">
        <v>7.0000000000000007E-2</v>
      </c>
      <c r="X199" s="194">
        <v>4.3000000000000003E-2</v>
      </c>
      <c r="Y199" s="194">
        <v>4.9000000000000002E-2</v>
      </c>
      <c r="Z199" s="194"/>
      <c r="AA199" s="195">
        <v>6.0752802500000029E-2</v>
      </c>
      <c r="AB199" s="195">
        <v>6.9533438749999954E-2</v>
      </c>
      <c r="AC199" s="195">
        <v>4.2822195291605039E-2</v>
      </c>
      <c r="AD199" s="195">
        <v>4.856063610419762E-2</v>
      </c>
      <c r="AE199" s="195"/>
      <c r="AF199" s="195">
        <v>8.5971545721564846E-3</v>
      </c>
      <c r="AG199" s="195">
        <v>1.0000758145816024E-2</v>
      </c>
      <c r="AI199" s="182">
        <v>5.6578409999999968E-2</v>
      </c>
      <c r="AJ199" s="182">
        <v>6.0694010000000187E-2</v>
      </c>
      <c r="AK199" s="182">
        <v>3.7138560000000043E-2</v>
      </c>
      <c r="AM199" s="27" t="s">
        <v>135</v>
      </c>
      <c r="AN199" s="7" t="b">
        <f t="shared" si="28"/>
        <v>0</v>
      </c>
      <c r="AP199" s="211">
        <v>-99</v>
      </c>
      <c r="AQ199" s="211">
        <v>-99</v>
      </c>
      <c r="AS199" s="211">
        <v>-99</v>
      </c>
      <c r="AT199" s="211">
        <v>-99</v>
      </c>
      <c r="AU199" s="211">
        <v>-99</v>
      </c>
      <c r="AV199" s="211">
        <v>-99</v>
      </c>
      <c r="AW199" s="211">
        <v>-99</v>
      </c>
      <c r="AX199" s="211">
        <v>-99</v>
      </c>
      <c r="AZ199" s="211">
        <v>-99</v>
      </c>
      <c r="BA199" s="211">
        <v>-99</v>
      </c>
      <c r="BB199" s="211">
        <v>-99</v>
      </c>
      <c r="BC199" s="211">
        <v>-99</v>
      </c>
      <c r="BD199" s="211">
        <v>-99</v>
      </c>
      <c r="BE199" s="211">
        <v>-99</v>
      </c>
      <c r="BG199" s="211">
        <v>-99</v>
      </c>
      <c r="BH199" s="211">
        <v>-99</v>
      </c>
      <c r="BI199" s="211">
        <v>-99</v>
      </c>
      <c r="BJ199" s="211">
        <v>-99</v>
      </c>
      <c r="BK199" s="211">
        <v>-99</v>
      </c>
      <c r="BL199" s="211">
        <v>-99</v>
      </c>
      <c r="BM199" s="211">
        <v>-99</v>
      </c>
      <c r="BN199" s="191">
        <f t="shared" ref="BN199:BN262" si="29">AI199</f>
        <v>5.6578409999999968E-2</v>
      </c>
      <c r="BO199" s="191">
        <f t="shared" ref="BO199:BO262" si="30">AJ199</f>
        <v>6.0694010000000187E-2</v>
      </c>
      <c r="BP199" s="191">
        <f t="shared" ref="BP199:BP262" si="31">AK199</f>
        <v>3.7138560000000043E-2</v>
      </c>
      <c r="BQ199" s="171">
        <f t="shared" ref="BQ199:BQ262" si="32">C199/100</f>
        <v>0.06</v>
      </c>
      <c r="BR199" s="171">
        <f t="shared" ref="BR199:BR262" si="33">D199/100</f>
        <v>7.2999999999999995E-2</v>
      </c>
      <c r="BS199" s="171">
        <f t="shared" ref="BS199:BS262" si="34">H199/100</f>
        <v>5.5800000000000002E-2</v>
      </c>
      <c r="BT199" s="171">
        <f t="shared" ref="BT199:BT262" si="35">I199/100</f>
        <v>5.9800000000000006E-2</v>
      </c>
      <c r="BU199" s="171">
        <f t="shared" si="27"/>
        <v>3.6799999999999999E-2</v>
      </c>
    </row>
    <row r="200" spans="1:73" x14ac:dyDescent="0.3">
      <c r="A200" s="209">
        <v>37347</v>
      </c>
      <c r="B200" s="187">
        <v>200204</v>
      </c>
      <c r="C200" s="176">
        <v>5.89</v>
      </c>
      <c r="D200" s="176">
        <v>7.45</v>
      </c>
      <c r="E200" s="176">
        <v>3.63</v>
      </c>
      <c r="F200" s="177">
        <v>99.5</v>
      </c>
      <c r="G200" s="210">
        <v>2.1117166212534011E-2</v>
      </c>
      <c r="H200" s="179">
        <v>5.35</v>
      </c>
      <c r="I200" s="179">
        <v>5.92</v>
      </c>
      <c r="J200" s="176"/>
      <c r="K200" s="182">
        <v>0.06</v>
      </c>
      <c r="L200" s="182">
        <v>4.4999999999999998E-2</v>
      </c>
      <c r="N200" s="182">
        <v>6.25E-2</v>
      </c>
      <c r="O200" s="182">
        <v>0.04</v>
      </c>
      <c r="Q200" s="182">
        <v>5.5E-2</v>
      </c>
      <c r="R200" s="182">
        <v>6.7500000000000004E-2</v>
      </c>
      <c r="S200" s="182">
        <v>3.7499999999999999E-2</v>
      </c>
      <c r="T200" s="182">
        <v>4.4999999999999998E-2</v>
      </c>
      <c r="U200" s="182"/>
      <c r="V200" s="194">
        <v>0.06</v>
      </c>
      <c r="W200" s="194">
        <v>7.0000000000000007E-2</v>
      </c>
      <c r="X200" s="194">
        <v>4.2000000000000003E-2</v>
      </c>
      <c r="Y200" s="194">
        <v>4.9000000000000002E-2</v>
      </c>
      <c r="Z200" s="194"/>
      <c r="AA200" s="195">
        <v>5.9624999999999921E-2</v>
      </c>
      <c r="AB200" s="195">
        <v>7.0251603750000391E-2</v>
      </c>
      <c r="AC200" s="195">
        <v>4.2026178256870605E-2</v>
      </c>
      <c r="AD200" s="195">
        <v>4.8958644621564844E-2</v>
      </c>
      <c r="AE200" s="195"/>
      <c r="AF200" s="195">
        <v>8.4445199700112772E-3</v>
      </c>
      <c r="AG200" s="195">
        <v>1.0149570356092319E-2</v>
      </c>
      <c r="AI200" s="182">
        <v>5.4215562500000036E-2</v>
      </c>
      <c r="AJ200" s="182">
        <v>6.0076160000000156E-2</v>
      </c>
      <c r="AK200" s="182">
        <v>3.6629422499999675E-2</v>
      </c>
      <c r="AM200" s="27" t="s">
        <v>135</v>
      </c>
      <c r="AN200" s="7" t="b">
        <f t="shared" si="28"/>
        <v>0</v>
      </c>
      <c r="AP200" s="211">
        <v>-99</v>
      </c>
      <c r="AQ200" s="211">
        <v>-99</v>
      </c>
      <c r="AS200" s="211">
        <v>-99</v>
      </c>
      <c r="AT200" s="211">
        <v>-99</v>
      </c>
      <c r="AU200" s="211">
        <v>-99</v>
      </c>
      <c r="AV200" s="211">
        <v>-99</v>
      </c>
      <c r="AW200" s="211">
        <v>-99</v>
      </c>
      <c r="AX200" s="211">
        <v>-99</v>
      </c>
      <c r="AZ200" s="211">
        <v>-99</v>
      </c>
      <c r="BA200" s="211">
        <v>-99</v>
      </c>
      <c r="BB200" s="211">
        <v>-99</v>
      </c>
      <c r="BC200" s="211">
        <v>-99</v>
      </c>
      <c r="BD200" s="211">
        <v>-99</v>
      </c>
      <c r="BE200" s="211">
        <v>-99</v>
      </c>
      <c r="BG200" s="211">
        <v>-99</v>
      </c>
      <c r="BH200" s="211">
        <v>-99</v>
      </c>
      <c r="BI200" s="211">
        <v>-99</v>
      </c>
      <c r="BJ200" s="211">
        <v>-99</v>
      </c>
      <c r="BK200" s="211">
        <v>-99</v>
      </c>
      <c r="BL200" s="211">
        <v>-99</v>
      </c>
      <c r="BM200" s="211">
        <v>-99</v>
      </c>
      <c r="BN200" s="191">
        <f t="shared" si="29"/>
        <v>5.4215562500000036E-2</v>
      </c>
      <c r="BO200" s="191">
        <f t="shared" si="30"/>
        <v>6.0076160000000156E-2</v>
      </c>
      <c r="BP200" s="191">
        <f t="shared" si="31"/>
        <v>3.6629422499999675E-2</v>
      </c>
      <c r="BQ200" s="171">
        <f t="shared" si="32"/>
        <v>5.8899999999999994E-2</v>
      </c>
      <c r="BR200" s="171">
        <f t="shared" si="33"/>
        <v>7.4499999999999997E-2</v>
      </c>
      <c r="BS200" s="171">
        <f t="shared" si="34"/>
        <v>5.3499999999999999E-2</v>
      </c>
      <c r="BT200" s="171">
        <f t="shared" si="35"/>
        <v>5.9200000000000003E-2</v>
      </c>
      <c r="BU200" s="171">
        <f t="shared" si="27"/>
        <v>3.6299999999999999E-2</v>
      </c>
    </row>
    <row r="201" spans="1:73" x14ac:dyDescent="0.3">
      <c r="A201" s="209">
        <v>37377</v>
      </c>
      <c r="B201" s="187">
        <v>200205</v>
      </c>
      <c r="C201" s="176">
        <v>5.76</v>
      </c>
      <c r="D201" s="176">
        <v>7.4</v>
      </c>
      <c r="E201" s="176">
        <v>3.54</v>
      </c>
      <c r="F201" s="177">
        <v>99.7</v>
      </c>
      <c r="G201" s="210">
        <v>1.8329938900203624E-2</v>
      </c>
      <c r="H201" s="179">
        <v>5.21</v>
      </c>
      <c r="I201" s="179">
        <v>5.78</v>
      </c>
      <c r="J201" s="176"/>
      <c r="K201" s="182">
        <v>0.06</v>
      </c>
      <c r="L201" s="182">
        <v>0.05</v>
      </c>
      <c r="N201" s="182">
        <v>6.5000000000000002E-2</v>
      </c>
      <c r="O201" s="182">
        <v>0.04</v>
      </c>
      <c r="Q201" s="182">
        <v>6.25E-2</v>
      </c>
      <c r="R201" s="182">
        <v>6.7500000000000004E-2</v>
      </c>
      <c r="S201" s="182">
        <v>0.04</v>
      </c>
      <c r="T201" s="182">
        <v>4.2500000000000003E-2</v>
      </c>
      <c r="U201" s="182"/>
      <c r="V201" s="194">
        <v>6.6000000000000003E-2</v>
      </c>
      <c r="W201" s="194">
        <v>7.2000000000000008E-2</v>
      </c>
      <c r="X201" s="194">
        <v>4.3999999999999997E-2</v>
      </c>
      <c r="Y201" s="194">
        <v>4.7E-2</v>
      </c>
      <c r="Z201" s="194"/>
      <c r="AA201" s="195">
        <v>6.5578409999999976E-2</v>
      </c>
      <c r="AB201" s="195">
        <v>7.1751810000000305E-2</v>
      </c>
      <c r="AC201" s="195">
        <v>4.362023146089037E-2</v>
      </c>
      <c r="AD201" s="195">
        <v>4.7397724269554881E-2</v>
      </c>
      <c r="AE201" s="195"/>
      <c r="AF201" s="195">
        <v>1.0520195889826667E-2</v>
      </c>
      <c r="AG201" s="195">
        <v>1.162599706211398E-2</v>
      </c>
      <c r="AI201" s="182">
        <v>5.2778602499999883E-2</v>
      </c>
      <c r="AJ201" s="182">
        <v>5.8635209999999827E-2</v>
      </c>
      <c r="AK201" s="182">
        <v>3.571329000000012E-2</v>
      </c>
      <c r="AM201" s="27" t="s">
        <v>135</v>
      </c>
      <c r="AN201" s="7" t="b">
        <f t="shared" si="28"/>
        <v>0</v>
      </c>
      <c r="AP201" s="211">
        <v>-99</v>
      </c>
      <c r="AQ201" s="211">
        <v>-99</v>
      </c>
      <c r="AS201" s="211">
        <v>-99</v>
      </c>
      <c r="AT201" s="211">
        <v>-99</v>
      </c>
      <c r="AU201" s="211">
        <v>-99</v>
      </c>
      <c r="AV201" s="211">
        <v>-99</v>
      </c>
      <c r="AW201" s="211">
        <v>-99</v>
      </c>
      <c r="AX201" s="211">
        <v>-99</v>
      </c>
      <c r="AZ201" s="211">
        <v>-99</v>
      </c>
      <c r="BA201" s="211">
        <v>-99</v>
      </c>
      <c r="BB201" s="211">
        <v>-99</v>
      </c>
      <c r="BC201" s="211">
        <v>-99</v>
      </c>
      <c r="BD201" s="211">
        <v>-99</v>
      </c>
      <c r="BE201" s="211">
        <v>-99</v>
      </c>
      <c r="BG201" s="211">
        <v>-99</v>
      </c>
      <c r="BH201" s="211">
        <v>-99</v>
      </c>
      <c r="BI201" s="211">
        <v>-99</v>
      </c>
      <c r="BJ201" s="211">
        <v>-99</v>
      </c>
      <c r="BK201" s="211">
        <v>-99</v>
      </c>
      <c r="BL201" s="211">
        <v>-99</v>
      </c>
      <c r="BM201" s="211">
        <v>-99</v>
      </c>
      <c r="BN201" s="191">
        <f t="shared" si="29"/>
        <v>5.2778602499999883E-2</v>
      </c>
      <c r="BO201" s="191">
        <f t="shared" si="30"/>
        <v>5.8635209999999827E-2</v>
      </c>
      <c r="BP201" s="191">
        <f t="shared" si="31"/>
        <v>3.571329000000012E-2</v>
      </c>
      <c r="BQ201" s="171">
        <f t="shared" si="32"/>
        <v>5.7599999999999998E-2</v>
      </c>
      <c r="BR201" s="171">
        <f t="shared" si="33"/>
        <v>7.400000000000001E-2</v>
      </c>
      <c r="BS201" s="171">
        <f t="shared" si="34"/>
        <v>5.21E-2</v>
      </c>
      <c r="BT201" s="171">
        <f t="shared" si="35"/>
        <v>5.7800000000000004E-2</v>
      </c>
      <c r="BU201" s="171">
        <f t="shared" si="27"/>
        <v>3.5400000000000001E-2</v>
      </c>
    </row>
    <row r="202" spans="1:73" x14ac:dyDescent="0.3">
      <c r="A202" s="209">
        <v>37408</v>
      </c>
      <c r="B202" s="187">
        <v>200206</v>
      </c>
      <c r="C202" s="176">
        <v>5.73</v>
      </c>
      <c r="D202" s="176">
        <v>7.25</v>
      </c>
      <c r="E202" s="176">
        <v>3.42</v>
      </c>
      <c r="F202" s="177">
        <v>99.9</v>
      </c>
      <c r="G202" s="210">
        <v>1.6926201760324888E-2</v>
      </c>
      <c r="H202" s="179">
        <v>5</v>
      </c>
      <c r="I202" s="179">
        <v>5.74</v>
      </c>
      <c r="J202" s="176"/>
      <c r="K202" s="182">
        <v>0.06</v>
      </c>
      <c r="L202" s="182">
        <v>0.05</v>
      </c>
      <c r="N202" s="182">
        <v>6.5000000000000002E-2</v>
      </c>
      <c r="O202" s="182">
        <v>0.04</v>
      </c>
      <c r="Q202" s="182">
        <v>0.06</v>
      </c>
      <c r="R202" s="182">
        <v>6.7500000000000004E-2</v>
      </c>
      <c r="S202" s="182">
        <v>3.7499999999999999E-2</v>
      </c>
      <c r="T202" s="182">
        <v>4.2500000000000003E-2</v>
      </c>
      <c r="U202" s="182"/>
      <c r="V202" s="194">
        <v>6.3E-2</v>
      </c>
      <c r="W202" s="194">
        <v>7.2000000000000008E-2</v>
      </c>
      <c r="X202" s="194">
        <v>4.2000000000000003E-2</v>
      </c>
      <c r="Y202" s="194">
        <v>4.7E-2</v>
      </c>
      <c r="Z202" s="194"/>
      <c r="AA202" s="195">
        <v>6.3215562500000044E-2</v>
      </c>
      <c r="AB202" s="195">
        <v>7.2006458750000224E-2</v>
      </c>
      <c r="AC202" s="195">
        <v>4.2056119846668544E-2</v>
      </c>
      <c r="AD202" s="195">
        <v>4.7416073826665246E-2</v>
      </c>
      <c r="AE202" s="195"/>
      <c r="AF202" s="195">
        <v>1.0152736618659675E-2</v>
      </c>
      <c r="AG202" s="195">
        <v>1.1738594402841085E-2</v>
      </c>
      <c r="AI202" s="182">
        <v>5.062499999999992E-2</v>
      </c>
      <c r="AJ202" s="182">
        <v>5.8223689999999939E-2</v>
      </c>
      <c r="AK202" s="182">
        <v>3.4492409999999696E-2</v>
      </c>
      <c r="AM202" s="27" t="s">
        <v>135</v>
      </c>
      <c r="AN202" s="7" t="b">
        <f t="shared" si="28"/>
        <v>0</v>
      </c>
      <c r="AP202" s="211">
        <v>-99</v>
      </c>
      <c r="AQ202" s="211">
        <v>-99</v>
      </c>
      <c r="AS202" s="211">
        <v>-99</v>
      </c>
      <c r="AT202" s="211">
        <v>-99</v>
      </c>
      <c r="AU202" s="211">
        <v>-99</v>
      </c>
      <c r="AV202" s="211">
        <v>-99</v>
      </c>
      <c r="AW202" s="211">
        <v>-99</v>
      </c>
      <c r="AX202" s="211">
        <v>-99</v>
      </c>
      <c r="AZ202" s="211">
        <v>-99</v>
      </c>
      <c r="BA202" s="211">
        <v>-99</v>
      </c>
      <c r="BB202" s="211">
        <v>-99</v>
      </c>
      <c r="BC202" s="211">
        <v>-99</v>
      </c>
      <c r="BD202" s="211">
        <v>-99</v>
      </c>
      <c r="BE202" s="211">
        <v>-99</v>
      </c>
      <c r="BG202" s="211">
        <v>-99</v>
      </c>
      <c r="BH202" s="211">
        <v>-99</v>
      </c>
      <c r="BI202" s="211">
        <v>-99</v>
      </c>
      <c r="BJ202" s="211">
        <v>-99</v>
      </c>
      <c r="BK202" s="211">
        <v>-99</v>
      </c>
      <c r="BL202" s="211">
        <v>-99</v>
      </c>
      <c r="BM202" s="211">
        <v>-99</v>
      </c>
      <c r="BN202" s="191">
        <f t="shared" si="29"/>
        <v>5.062499999999992E-2</v>
      </c>
      <c r="BO202" s="191">
        <f t="shared" si="30"/>
        <v>5.8223689999999939E-2</v>
      </c>
      <c r="BP202" s="191">
        <f t="shared" si="31"/>
        <v>3.4492409999999696E-2</v>
      </c>
      <c r="BQ202" s="171">
        <f t="shared" si="32"/>
        <v>5.7300000000000004E-2</v>
      </c>
      <c r="BR202" s="171">
        <f t="shared" si="33"/>
        <v>7.2499999999999995E-2</v>
      </c>
      <c r="BS202" s="171">
        <f t="shared" si="34"/>
        <v>0.05</v>
      </c>
      <c r="BT202" s="171">
        <f t="shared" si="35"/>
        <v>5.74E-2</v>
      </c>
      <c r="BU202" s="171">
        <f t="shared" si="27"/>
        <v>3.4200000000000001E-2</v>
      </c>
    </row>
    <row r="203" spans="1:73" x14ac:dyDescent="0.3">
      <c r="A203" s="209">
        <v>37438</v>
      </c>
      <c r="B203" s="187">
        <v>200207</v>
      </c>
      <c r="C203" s="176">
        <v>5.7</v>
      </c>
      <c r="D203" s="176">
        <v>7.05</v>
      </c>
      <c r="E203" s="176">
        <v>3.45</v>
      </c>
      <c r="F203" s="177">
        <v>100.5</v>
      </c>
      <c r="G203" s="210">
        <v>1.6216216216216273E-2</v>
      </c>
      <c r="H203" s="179">
        <v>4.75</v>
      </c>
      <c r="I203" s="179">
        <v>5.73</v>
      </c>
      <c r="J203" s="176"/>
      <c r="K203" s="182">
        <v>0.06</v>
      </c>
      <c r="L203" s="182">
        <v>5.5E-2</v>
      </c>
      <c r="N203" s="182">
        <v>6.25E-2</v>
      </c>
      <c r="O203" s="182">
        <v>3.7499999999999999E-2</v>
      </c>
      <c r="Q203" s="182">
        <v>5.7500000000000002E-2</v>
      </c>
      <c r="R203" s="182">
        <v>6.7500000000000004E-2</v>
      </c>
      <c r="S203" s="182">
        <v>3.7499999999999999E-2</v>
      </c>
      <c r="T203" s="182">
        <v>4.2500000000000003E-2</v>
      </c>
      <c r="U203" s="182"/>
      <c r="V203" s="194">
        <v>6.2E-2</v>
      </c>
      <c r="W203" s="194">
        <v>7.1000000000000008E-2</v>
      </c>
      <c r="X203" s="194">
        <v>4.1000000000000002E-2</v>
      </c>
      <c r="Y203" s="194">
        <v>4.5999999999999999E-2</v>
      </c>
      <c r="Z203" s="194"/>
      <c r="AA203" s="195">
        <v>6.1778602499999884E-2</v>
      </c>
      <c r="AB203" s="195">
        <v>7.0563513749999807E-2</v>
      </c>
      <c r="AC203" s="195">
        <v>4.1146171845845403E-2</v>
      </c>
      <c r="AD203" s="195">
        <v>4.6496849077077483E-2</v>
      </c>
      <c r="AE203" s="195"/>
      <c r="AF203" s="195">
        <v>9.9085177528795976E-3</v>
      </c>
      <c r="AG203" s="195">
        <v>1.1498679950229795E-2</v>
      </c>
      <c r="AI203" s="182">
        <v>4.8064062499999949E-2</v>
      </c>
      <c r="AJ203" s="182">
        <v>5.8120822500000058E-2</v>
      </c>
      <c r="AK203" s="182">
        <v>3.4797562499999879E-2</v>
      </c>
      <c r="AM203" s="27" t="s">
        <v>135</v>
      </c>
      <c r="AN203" s="7" t="b">
        <f t="shared" si="28"/>
        <v>0</v>
      </c>
      <c r="AP203" s="211">
        <v>-99</v>
      </c>
      <c r="AQ203" s="211">
        <v>-99</v>
      </c>
      <c r="AS203" s="211">
        <v>-99</v>
      </c>
      <c r="AT203" s="211">
        <v>-99</v>
      </c>
      <c r="AU203" s="211">
        <v>-99</v>
      </c>
      <c r="AV203" s="211">
        <v>-99</v>
      </c>
      <c r="AW203" s="211">
        <v>-99</v>
      </c>
      <c r="AX203" s="211">
        <v>-99</v>
      </c>
      <c r="AZ203" s="211">
        <v>-99</v>
      </c>
      <c r="BA203" s="211">
        <v>-99</v>
      </c>
      <c r="BB203" s="211">
        <v>-99</v>
      </c>
      <c r="BC203" s="211">
        <v>-99</v>
      </c>
      <c r="BD203" s="211">
        <v>-99</v>
      </c>
      <c r="BE203" s="211">
        <v>-99</v>
      </c>
      <c r="BG203" s="211">
        <v>-99</v>
      </c>
      <c r="BH203" s="211">
        <v>-99</v>
      </c>
      <c r="BI203" s="211">
        <v>-99</v>
      </c>
      <c r="BJ203" s="211">
        <v>-99</v>
      </c>
      <c r="BK203" s="211">
        <v>-99</v>
      </c>
      <c r="BL203" s="211">
        <v>-99</v>
      </c>
      <c r="BM203" s="211">
        <v>-99</v>
      </c>
      <c r="BN203" s="191">
        <f t="shared" si="29"/>
        <v>4.8064062499999949E-2</v>
      </c>
      <c r="BO203" s="191">
        <f t="shared" si="30"/>
        <v>5.8120822500000058E-2</v>
      </c>
      <c r="BP203" s="191">
        <f t="shared" si="31"/>
        <v>3.4797562499999879E-2</v>
      </c>
      <c r="BQ203" s="171">
        <f t="shared" si="32"/>
        <v>5.7000000000000002E-2</v>
      </c>
      <c r="BR203" s="171">
        <f t="shared" si="33"/>
        <v>7.0499999999999993E-2</v>
      </c>
      <c r="BS203" s="171">
        <f t="shared" si="34"/>
        <v>4.7500000000000001E-2</v>
      </c>
      <c r="BT203" s="171">
        <f t="shared" si="35"/>
        <v>5.7300000000000004E-2</v>
      </c>
      <c r="BU203" s="171">
        <f t="shared" ref="BU203:BU266" si="36">E203/100</f>
        <v>3.4500000000000003E-2</v>
      </c>
    </row>
    <row r="204" spans="1:73" x14ac:dyDescent="0.3">
      <c r="A204" s="209">
        <v>37469</v>
      </c>
      <c r="B204" s="187">
        <v>200208</v>
      </c>
      <c r="C204" s="176">
        <v>5.55</v>
      </c>
      <c r="D204" s="176">
        <v>6.8</v>
      </c>
      <c r="E204" s="176">
        <v>3.4</v>
      </c>
      <c r="F204" s="177">
        <v>100.9</v>
      </c>
      <c r="G204" s="210">
        <v>1.549865229110492E-2</v>
      </c>
      <c r="H204" s="179">
        <v>4.84</v>
      </c>
      <c r="I204" s="179">
        <v>5.58</v>
      </c>
      <c r="J204" s="176"/>
      <c r="K204" s="182">
        <v>0.06</v>
      </c>
      <c r="L204" s="182">
        <v>5.5E-2</v>
      </c>
      <c r="N204" s="182">
        <v>6.25E-2</v>
      </c>
      <c r="O204" s="182">
        <v>3.7499999999999999E-2</v>
      </c>
      <c r="Q204" s="182">
        <v>5.5E-2</v>
      </c>
      <c r="R204" s="182">
        <v>6.7500000000000004E-2</v>
      </c>
      <c r="S204" s="182">
        <v>3.5000000000000003E-2</v>
      </c>
      <c r="T204" s="182">
        <v>4.2500000000000003E-2</v>
      </c>
      <c r="U204" s="182"/>
      <c r="V204" s="194">
        <v>0.06</v>
      </c>
      <c r="W204" s="194">
        <v>7.1000000000000008E-2</v>
      </c>
      <c r="X204" s="194">
        <v>3.9E-2</v>
      </c>
      <c r="Y204" s="194">
        <v>4.5999999999999999E-2</v>
      </c>
      <c r="Z204" s="194"/>
      <c r="AA204" s="195">
        <v>5.9624999999999921E-2</v>
      </c>
      <c r="AB204" s="195">
        <v>7.1023034999999957E-2</v>
      </c>
      <c r="AC204" s="195">
        <v>3.899085520429886E-2</v>
      </c>
      <c r="AD204" s="195">
        <v>4.5743187397850112E-2</v>
      </c>
      <c r="AE204" s="195"/>
      <c r="AF204" s="195">
        <v>9.929897213408867E-3</v>
      </c>
      <c r="AG204" s="195">
        <v>1.2087024762290954E-2</v>
      </c>
      <c r="AI204" s="182">
        <v>4.8985639999999941E-2</v>
      </c>
      <c r="AJ204" s="182">
        <v>5.6578409999999968E-2</v>
      </c>
      <c r="AK204" s="182">
        <v>3.4288999999999792E-2</v>
      </c>
      <c r="AM204" s="27" t="s">
        <v>135</v>
      </c>
      <c r="AN204" s="7" t="b">
        <f t="shared" si="28"/>
        <v>0</v>
      </c>
      <c r="AP204" s="211">
        <v>-99</v>
      </c>
      <c r="AQ204" s="211">
        <v>-99</v>
      </c>
      <c r="AS204" s="211">
        <v>-99</v>
      </c>
      <c r="AT204" s="211">
        <v>-99</v>
      </c>
      <c r="AU204" s="211">
        <v>-99</v>
      </c>
      <c r="AV204" s="211">
        <v>-99</v>
      </c>
      <c r="AW204" s="211">
        <v>-99</v>
      </c>
      <c r="AX204" s="211">
        <v>-99</v>
      </c>
      <c r="AZ204" s="211">
        <v>-99</v>
      </c>
      <c r="BA204" s="211">
        <v>-99</v>
      </c>
      <c r="BB204" s="211">
        <v>-99</v>
      </c>
      <c r="BC204" s="211">
        <v>-99</v>
      </c>
      <c r="BD204" s="211">
        <v>-99</v>
      </c>
      <c r="BE204" s="211">
        <v>-99</v>
      </c>
      <c r="BG204" s="211">
        <v>-99</v>
      </c>
      <c r="BH204" s="211">
        <v>-99</v>
      </c>
      <c r="BI204" s="211">
        <v>-99</v>
      </c>
      <c r="BJ204" s="211">
        <v>-99</v>
      </c>
      <c r="BK204" s="211">
        <v>-99</v>
      </c>
      <c r="BL204" s="211">
        <v>-99</v>
      </c>
      <c r="BM204" s="211">
        <v>-99</v>
      </c>
      <c r="BN204" s="191">
        <f t="shared" si="29"/>
        <v>4.8985639999999941E-2</v>
      </c>
      <c r="BO204" s="191">
        <f t="shared" si="30"/>
        <v>5.6578409999999968E-2</v>
      </c>
      <c r="BP204" s="191">
        <f t="shared" si="31"/>
        <v>3.4288999999999792E-2</v>
      </c>
      <c r="BQ204" s="171">
        <f t="shared" si="32"/>
        <v>5.5500000000000001E-2</v>
      </c>
      <c r="BR204" s="171">
        <f t="shared" si="33"/>
        <v>6.8000000000000005E-2</v>
      </c>
      <c r="BS204" s="171">
        <f t="shared" si="34"/>
        <v>4.8399999999999999E-2</v>
      </c>
      <c r="BT204" s="171">
        <f t="shared" si="35"/>
        <v>5.5800000000000002E-2</v>
      </c>
      <c r="BU204" s="171">
        <f t="shared" si="36"/>
        <v>3.4000000000000002E-2</v>
      </c>
    </row>
    <row r="205" spans="1:73" x14ac:dyDescent="0.3">
      <c r="A205" s="209">
        <v>37500</v>
      </c>
      <c r="B205" s="187">
        <v>200209</v>
      </c>
      <c r="C205" s="176">
        <v>5.38</v>
      </c>
      <c r="D205" s="176">
        <v>6.7</v>
      </c>
      <c r="E205" s="176">
        <v>3.25</v>
      </c>
      <c r="F205" s="177">
        <v>100.9</v>
      </c>
      <c r="G205" s="210">
        <v>1.5467383994620221E-2</v>
      </c>
      <c r="H205" s="179">
        <v>4.59</v>
      </c>
      <c r="I205" s="179">
        <v>5.43</v>
      </c>
      <c r="J205" s="176"/>
      <c r="K205" s="182">
        <v>0.06</v>
      </c>
      <c r="L205" s="182">
        <v>0.05</v>
      </c>
      <c r="N205" s="182">
        <v>6.25E-2</v>
      </c>
      <c r="O205" s="182">
        <v>3.7499999999999999E-2</v>
      </c>
      <c r="Q205" s="182">
        <v>5.2499999999999998E-2</v>
      </c>
      <c r="R205" s="182">
        <v>6.7500000000000004E-2</v>
      </c>
      <c r="S205" s="182">
        <v>3.5000000000000003E-2</v>
      </c>
      <c r="T205" s="182">
        <v>4.2500000000000003E-2</v>
      </c>
      <c r="U205" s="182"/>
      <c r="V205" s="194">
        <v>5.7000000000000002E-2</v>
      </c>
      <c r="W205" s="194">
        <v>7.2000000000000008E-2</v>
      </c>
      <c r="X205" s="194">
        <v>3.7999999999999999E-2</v>
      </c>
      <c r="Y205" s="194">
        <v>4.7E-2</v>
      </c>
      <c r="Z205" s="194"/>
      <c r="AA205" s="195">
        <v>5.706406249999995E-2</v>
      </c>
      <c r="AB205" s="195">
        <v>7.214920250000012E-2</v>
      </c>
      <c r="AC205" s="195">
        <v>3.777647195800863E-2</v>
      </c>
      <c r="AD205" s="195">
        <v>4.6808107770995505E-2</v>
      </c>
      <c r="AE205" s="195"/>
      <c r="AF205" s="195">
        <v>9.2927480354225711E-3</v>
      </c>
      <c r="AG205" s="195">
        <v>1.2103982831659699E-2</v>
      </c>
      <c r="AI205" s="182">
        <v>4.6426702500000028E-2</v>
      </c>
      <c r="AJ205" s="182">
        <v>5.5037122499999924E-2</v>
      </c>
      <c r="AK205" s="182">
        <v>3.2764062500000302E-2</v>
      </c>
      <c r="AM205" s="27" t="s">
        <v>135</v>
      </c>
      <c r="AN205" s="7" t="b">
        <f t="shared" si="28"/>
        <v>0</v>
      </c>
      <c r="AP205" s="211">
        <v>-99</v>
      </c>
      <c r="AQ205" s="211">
        <v>-99</v>
      </c>
      <c r="AS205" s="211">
        <v>-99</v>
      </c>
      <c r="AT205" s="211">
        <v>-99</v>
      </c>
      <c r="AU205" s="211">
        <v>-99</v>
      </c>
      <c r="AV205" s="211">
        <v>-99</v>
      </c>
      <c r="AW205" s="211">
        <v>-99</v>
      </c>
      <c r="AX205" s="211">
        <v>-99</v>
      </c>
      <c r="AZ205" s="211">
        <v>-99</v>
      </c>
      <c r="BA205" s="211">
        <v>-99</v>
      </c>
      <c r="BB205" s="211">
        <v>-99</v>
      </c>
      <c r="BC205" s="211">
        <v>-99</v>
      </c>
      <c r="BD205" s="211">
        <v>-99</v>
      </c>
      <c r="BE205" s="211">
        <v>-99</v>
      </c>
      <c r="BG205" s="211">
        <v>-99</v>
      </c>
      <c r="BH205" s="211">
        <v>-99</v>
      </c>
      <c r="BI205" s="211">
        <v>-99</v>
      </c>
      <c r="BJ205" s="211">
        <v>-99</v>
      </c>
      <c r="BK205" s="211">
        <v>-99</v>
      </c>
      <c r="BL205" s="211">
        <v>-99</v>
      </c>
      <c r="BM205" s="211">
        <v>-99</v>
      </c>
      <c r="BN205" s="191">
        <f t="shared" si="29"/>
        <v>4.6426702500000028E-2</v>
      </c>
      <c r="BO205" s="191">
        <f t="shared" si="30"/>
        <v>5.5037122499999924E-2</v>
      </c>
      <c r="BP205" s="191">
        <f t="shared" si="31"/>
        <v>3.2764062500000302E-2</v>
      </c>
      <c r="BQ205" s="171">
        <f t="shared" si="32"/>
        <v>5.3800000000000001E-2</v>
      </c>
      <c r="BR205" s="171">
        <f t="shared" si="33"/>
        <v>6.7000000000000004E-2</v>
      </c>
      <c r="BS205" s="171">
        <f t="shared" si="34"/>
        <v>4.5899999999999996E-2</v>
      </c>
      <c r="BT205" s="171">
        <f t="shared" si="35"/>
        <v>5.4299999999999994E-2</v>
      </c>
      <c r="BU205" s="171">
        <f t="shared" si="36"/>
        <v>3.2500000000000001E-2</v>
      </c>
    </row>
    <row r="206" spans="1:73" x14ac:dyDescent="0.3">
      <c r="A206" s="209">
        <v>37530</v>
      </c>
      <c r="B206" s="187">
        <v>200210</v>
      </c>
      <c r="C206" s="176">
        <v>5.61</v>
      </c>
      <c r="D206" s="176">
        <v>7</v>
      </c>
      <c r="E206" s="176">
        <v>3.45</v>
      </c>
      <c r="F206" s="177">
        <v>101.2</v>
      </c>
      <c r="G206" s="210">
        <v>1.6789791806581578E-2</v>
      </c>
      <c r="H206" s="179">
        <v>4.76</v>
      </c>
      <c r="I206" s="179">
        <v>5.63</v>
      </c>
      <c r="J206" s="176"/>
      <c r="K206" s="182">
        <v>0.06</v>
      </c>
      <c r="L206" s="182">
        <v>0.05</v>
      </c>
      <c r="N206" s="182">
        <v>6.25E-2</v>
      </c>
      <c r="O206" s="182">
        <v>3.7499999999999999E-2</v>
      </c>
      <c r="Q206" s="182">
        <v>5.5E-2</v>
      </c>
      <c r="R206" s="182">
        <v>6.5000000000000002E-2</v>
      </c>
      <c r="S206" s="182">
        <v>3.5000000000000003E-2</v>
      </c>
      <c r="T206" s="182">
        <v>4.2500000000000003E-2</v>
      </c>
      <c r="U206" s="182"/>
      <c r="V206" s="194">
        <v>5.8000000000000003E-2</v>
      </c>
      <c r="W206" s="194">
        <v>6.9000000000000006E-2</v>
      </c>
      <c r="X206" s="194">
        <v>3.9E-2</v>
      </c>
      <c r="Y206" s="194">
        <v>4.5999999999999999E-2</v>
      </c>
      <c r="Z206" s="194"/>
      <c r="AA206" s="195">
        <v>5.7985639999999943E-2</v>
      </c>
      <c r="AB206" s="195">
        <v>6.9374794999999989E-2</v>
      </c>
      <c r="AC206" s="195">
        <v>3.8687448091241673E-2</v>
      </c>
      <c r="AD206" s="195">
        <v>4.5589775954378853E-2</v>
      </c>
      <c r="AE206" s="195"/>
      <c r="AF206" s="195">
        <v>9.2897011243477934E-3</v>
      </c>
      <c r="AG206" s="195">
        <v>1.1373972657637621E-2</v>
      </c>
      <c r="AI206" s="182">
        <v>4.8166440000000144E-2</v>
      </c>
      <c r="AJ206" s="182">
        <v>5.7092422499999795E-2</v>
      </c>
      <c r="AK206" s="182">
        <v>3.4797562499999879E-2</v>
      </c>
      <c r="AM206" s="27" t="s">
        <v>135</v>
      </c>
      <c r="AN206" s="7" t="b">
        <f t="shared" si="28"/>
        <v>0</v>
      </c>
      <c r="AP206" s="211">
        <v>-99</v>
      </c>
      <c r="AQ206" s="211">
        <v>-99</v>
      </c>
      <c r="AS206" s="211">
        <v>-99</v>
      </c>
      <c r="AT206" s="211">
        <v>-99</v>
      </c>
      <c r="AU206" s="211">
        <v>-99</v>
      </c>
      <c r="AV206" s="211">
        <v>-99</v>
      </c>
      <c r="AW206" s="211">
        <v>-99</v>
      </c>
      <c r="AX206" s="211">
        <v>-99</v>
      </c>
      <c r="AZ206" s="211">
        <v>-99</v>
      </c>
      <c r="BA206" s="211">
        <v>-99</v>
      </c>
      <c r="BB206" s="211">
        <v>-99</v>
      </c>
      <c r="BC206" s="211">
        <v>-99</v>
      </c>
      <c r="BD206" s="211">
        <v>-99</v>
      </c>
      <c r="BE206" s="211">
        <v>-99</v>
      </c>
      <c r="BG206" s="211">
        <v>-99</v>
      </c>
      <c r="BH206" s="211">
        <v>-99</v>
      </c>
      <c r="BI206" s="211">
        <v>-99</v>
      </c>
      <c r="BJ206" s="211">
        <v>-99</v>
      </c>
      <c r="BK206" s="211">
        <v>-99</v>
      </c>
      <c r="BL206" s="211">
        <v>-99</v>
      </c>
      <c r="BM206" s="211">
        <v>-99</v>
      </c>
      <c r="BN206" s="191">
        <f t="shared" si="29"/>
        <v>4.8166440000000144E-2</v>
      </c>
      <c r="BO206" s="191">
        <f t="shared" si="30"/>
        <v>5.7092422499999795E-2</v>
      </c>
      <c r="BP206" s="191">
        <f t="shared" si="31"/>
        <v>3.4797562499999879E-2</v>
      </c>
      <c r="BQ206" s="171">
        <f t="shared" si="32"/>
        <v>5.6100000000000004E-2</v>
      </c>
      <c r="BR206" s="171">
        <f t="shared" si="33"/>
        <v>7.0000000000000007E-2</v>
      </c>
      <c r="BS206" s="171">
        <f t="shared" si="34"/>
        <v>4.7599999999999996E-2</v>
      </c>
      <c r="BT206" s="171">
        <f t="shared" si="35"/>
        <v>5.6299999999999996E-2</v>
      </c>
      <c r="BU206" s="171">
        <f t="shared" si="36"/>
        <v>3.4500000000000003E-2</v>
      </c>
    </row>
    <row r="207" spans="1:73" x14ac:dyDescent="0.3">
      <c r="A207" s="209">
        <v>37561</v>
      </c>
      <c r="B207" s="187">
        <v>200211</v>
      </c>
      <c r="C207" s="176">
        <v>5.55</v>
      </c>
      <c r="D207" s="176">
        <v>6.7</v>
      </c>
      <c r="E207" s="176">
        <v>3.43</v>
      </c>
      <c r="F207" s="177">
        <v>101.5</v>
      </c>
      <c r="G207" s="210">
        <v>1.9463087248322131E-2</v>
      </c>
      <c r="H207" s="179">
        <v>4.79</v>
      </c>
      <c r="I207" s="179">
        <v>5.58</v>
      </c>
      <c r="J207" s="176"/>
      <c r="K207" s="182">
        <v>5.5E-2</v>
      </c>
      <c r="L207" s="182">
        <v>0.05</v>
      </c>
      <c r="N207" s="182">
        <v>0.06</v>
      </c>
      <c r="O207" s="182">
        <v>3.5000000000000003E-2</v>
      </c>
      <c r="Q207" s="182">
        <v>5.2499999999999998E-2</v>
      </c>
      <c r="R207" s="182">
        <v>6.5000000000000002E-2</v>
      </c>
      <c r="S207" s="182">
        <v>3.2500000000000001E-2</v>
      </c>
      <c r="T207" s="182">
        <v>0.04</v>
      </c>
      <c r="U207" s="182"/>
      <c r="V207" s="194">
        <v>5.5E-2</v>
      </c>
      <c r="W207" s="194">
        <v>6.8000000000000005E-2</v>
      </c>
      <c r="X207" s="194">
        <v>3.6999999999999998E-2</v>
      </c>
      <c r="Y207" s="194">
        <v>4.3999999999999997E-2</v>
      </c>
      <c r="Z207" s="194"/>
      <c r="AA207" s="195">
        <v>5.5426702500000029E-2</v>
      </c>
      <c r="AB207" s="195">
        <v>6.834233249999988E-2</v>
      </c>
      <c r="AC207" s="195">
        <v>3.6638206964379784E-2</v>
      </c>
      <c r="AD207" s="195">
        <v>4.4326990267810562E-2</v>
      </c>
      <c r="AE207" s="195"/>
      <c r="AF207" s="195">
        <v>9.0622241247692026E-3</v>
      </c>
      <c r="AG207" s="195">
        <v>1.1497999408226933E-2</v>
      </c>
      <c r="AI207" s="182">
        <v>4.8473602499999879E-2</v>
      </c>
      <c r="AJ207" s="182">
        <v>5.6578409999999968E-2</v>
      </c>
      <c r="AK207" s="182">
        <v>3.4594122499999935E-2</v>
      </c>
      <c r="AM207" s="27" t="s">
        <v>135</v>
      </c>
      <c r="AN207" s="7" t="b">
        <f t="shared" si="28"/>
        <v>0</v>
      </c>
      <c r="AP207" s="211">
        <v>-99</v>
      </c>
      <c r="AQ207" s="211">
        <v>-99</v>
      </c>
      <c r="AS207" s="211">
        <v>-99</v>
      </c>
      <c r="AT207" s="211">
        <v>-99</v>
      </c>
      <c r="AU207" s="211">
        <v>-99</v>
      </c>
      <c r="AV207" s="211">
        <v>-99</v>
      </c>
      <c r="AW207" s="211">
        <v>-99</v>
      </c>
      <c r="AX207" s="211">
        <v>-99</v>
      </c>
      <c r="AZ207" s="211">
        <v>-99</v>
      </c>
      <c r="BA207" s="211">
        <v>-99</v>
      </c>
      <c r="BB207" s="211">
        <v>-99</v>
      </c>
      <c r="BC207" s="211">
        <v>-99</v>
      </c>
      <c r="BD207" s="211">
        <v>-99</v>
      </c>
      <c r="BE207" s="211">
        <v>-99</v>
      </c>
      <c r="BG207" s="211">
        <v>-99</v>
      </c>
      <c r="BH207" s="211">
        <v>-99</v>
      </c>
      <c r="BI207" s="211">
        <v>-99</v>
      </c>
      <c r="BJ207" s="211">
        <v>-99</v>
      </c>
      <c r="BK207" s="211">
        <v>-99</v>
      </c>
      <c r="BL207" s="211">
        <v>-99</v>
      </c>
      <c r="BM207" s="211">
        <v>-99</v>
      </c>
      <c r="BN207" s="191">
        <f t="shared" si="29"/>
        <v>4.8473602499999879E-2</v>
      </c>
      <c r="BO207" s="191">
        <f t="shared" si="30"/>
        <v>5.6578409999999968E-2</v>
      </c>
      <c r="BP207" s="191">
        <f t="shared" si="31"/>
        <v>3.4594122499999935E-2</v>
      </c>
      <c r="BQ207" s="171">
        <f t="shared" si="32"/>
        <v>5.5500000000000001E-2</v>
      </c>
      <c r="BR207" s="171">
        <f t="shared" si="33"/>
        <v>6.7000000000000004E-2</v>
      </c>
      <c r="BS207" s="171">
        <f t="shared" si="34"/>
        <v>4.7899999999999998E-2</v>
      </c>
      <c r="BT207" s="171">
        <f t="shared" si="35"/>
        <v>5.5800000000000002E-2</v>
      </c>
      <c r="BU207" s="171">
        <f t="shared" si="36"/>
        <v>3.4300000000000004E-2</v>
      </c>
    </row>
    <row r="208" spans="1:73" x14ac:dyDescent="0.3">
      <c r="A208" s="212">
        <v>37591</v>
      </c>
      <c r="B208" s="218">
        <v>200212</v>
      </c>
      <c r="C208" s="213">
        <v>5.37</v>
      </c>
      <c r="D208" s="213">
        <v>6.7</v>
      </c>
      <c r="E208" s="213">
        <v>3.33</v>
      </c>
      <c r="F208" s="177">
        <v>101.1</v>
      </c>
      <c r="G208" s="214">
        <v>2.2132796780684139E-2</v>
      </c>
      <c r="H208" s="215">
        <v>4.47</v>
      </c>
      <c r="I208" s="215">
        <v>5.42</v>
      </c>
      <c r="J208" s="213"/>
      <c r="K208" s="216">
        <v>0.06</v>
      </c>
      <c r="L208" s="216">
        <v>0.05</v>
      </c>
      <c r="M208" s="216"/>
      <c r="N208" s="216">
        <v>6.25E-2</v>
      </c>
      <c r="O208" s="216">
        <v>3.7499999999999999E-2</v>
      </c>
      <c r="P208" s="217"/>
      <c r="Q208" s="182">
        <v>5.2499999999999998E-2</v>
      </c>
      <c r="R208" s="182">
        <v>6.7500000000000004E-2</v>
      </c>
      <c r="S208" s="182">
        <v>3.5000000000000003E-2</v>
      </c>
      <c r="T208" s="182">
        <v>4.2500000000000003E-2</v>
      </c>
      <c r="U208" s="182"/>
      <c r="V208" s="194">
        <v>5.7000000000000002E-2</v>
      </c>
      <c r="W208" s="194">
        <v>7.1000000000000008E-2</v>
      </c>
      <c r="X208" s="194">
        <v>3.7999999999999999E-2</v>
      </c>
      <c r="Y208" s="194">
        <v>4.7E-2</v>
      </c>
      <c r="Z208" s="194"/>
      <c r="AA208" s="195">
        <v>5.7166440000000145E-2</v>
      </c>
      <c r="AB208" s="195">
        <v>7.0555413749999629E-2</v>
      </c>
      <c r="AC208" s="195">
        <v>3.8357218224581477E-2</v>
      </c>
      <c r="AD208" s="195">
        <v>4.6517734637709085E-2</v>
      </c>
      <c r="AE208" s="195"/>
      <c r="AF208" s="195">
        <v>9.0572018209587046E-3</v>
      </c>
      <c r="AG208" s="195">
        <v>1.1484601892872925E-2</v>
      </c>
      <c r="AI208" s="182">
        <v>4.5199522500000144E-2</v>
      </c>
      <c r="AJ208" s="182">
        <v>5.4934409999999767E-2</v>
      </c>
      <c r="AK208" s="182">
        <v>3.357722250000017E-2</v>
      </c>
      <c r="AM208" s="27" t="s">
        <v>135</v>
      </c>
      <c r="AN208" s="7" t="b">
        <f t="shared" si="28"/>
        <v>0</v>
      </c>
      <c r="AP208" s="211">
        <v>-99</v>
      </c>
      <c r="AQ208" s="211">
        <v>-99</v>
      </c>
      <c r="AS208" s="211">
        <v>-99</v>
      </c>
      <c r="AT208" s="211">
        <v>-99</v>
      </c>
      <c r="AU208" s="211">
        <v>-99</v>
      </c>
      <c r="AV208" s="211">
        <v>-99</v>
      </c>
      <c r="AW208" s="211">
        <v>-99</v>
      </c>
      <c r="AX208" s="211">
        <v>-99</v>
      </c>
      <c r="AZ208" s="211">
        <v>-99</v>
      </c>
      <c r="BA208" s="211">
        <v>-99</v>
      </c>
      <c r="BB208" s="211">
        <v>-99</v>
      </c>
      <c r="BC208" s="211">
        <v>-99</v>
      </c>
      <c r="BD208" s="211">
        <v>-99</v>
      </c>
      <c r="BE208" s="211">
        <v>-99</v>
      </c>
      <c r="BG208" s="211">
        <v>-99</v>
      </c>
      <c r="BH208" s="211">
        <v>-99</v>
      </c>
      <c r="BI208" s="211">
        <v>-99</v>
      </c>
      <c r="BJ208" s="211">
        <v>-99</v>
      </c>
      <c r="BK208" s="211">
        <v>-99</v>
      </c>
      <c r="BL208" s="211">
        <v>-99</v>
      </c>
      <c r="BM208" s="211">
        <v>-99</v>
      </c>
      <c r="BN208" s="191">
        <f t="shared" si="29"/>
        <v>4.5199522500000144E-2</v>
      </c>
      <c r="BO208" s="191">
        <f t="shared" si="30"/>
        <v>5.4934409999999767E-2</v>
      </c>
      <c r="BP208" s="191">
        <f t="shared" si="31"/>
        <v>3.357722250000017E-2</v>
      </c>
      <c r="BQ208" s="171">
        <f t="shared" si="32"/>
        <v>5.3699999999999998E-2</v>
      </c>
      <c r="BR208" s="171">
        <f t="shared" si="33"/>
        <v>6.7000000000000004E-2</v>
      </c>
      <c r="BS208" s="171">
        <f t="shared" si="34"/>
        <v>4.4699999999999997E-2</v>
      </c>
      <c r="BT208" s="171">
        <f t="shared" si="35"/>
        <v>5.4199999999999998E-2</v>
      </c>
      <c r="BU208" s="171">
        <f t="shared" si="36"/>
        <v>3.3300000000000003E-2</v>
      </c>
    </row>
    <row r="209" spans="1:73" x14ac:dyDescent="0.3">
      <c r="A209" s="209">
        <v>37622</v>
      </c>
      <c r="B209" s="187">
        <v>200301</v>
      </c>
      <c r="C209" s="176">
        <v>5.45</v>
      </c>
      <c r="D209" s="176">
        <v>6.45</v>
      </c>
      <c r="E209" s="176">
        <v>3.22</v>
      </c>
      <c r="F209" s="177">
        <v>102</v>
      </c>
      <c r="G209" s="210">
        <v>2.4782317481580662E-2</v>
      </c>
      <c r="H209" s="179">
        <v>4.62</v>
      </c>
      <c r="I209" s="179">
        <v>5.49</v>
      </c>
      <c r="J209" s="176"/>
      <c r="K209" s="182">
        <v>0.06</v>
      </c>
      <c r="L209" s="182">
        <v>4.4999999999999998E-2</v>
      </c>
      <c r="N209" s="182">
        <v>6.25E-2</v>
      </c>
      <c r="O209" s="182">
        <v>3.7499999999999999E-2</v>
      </c>
      <c r="Q209" s="182">
        <v>5.2499999999999998E-2</v>
      </c>
      <c r="R209" s="182">
        <v>6.5000000000000002E-2</v>
      </c>
      <c r="S209" s="182">
        <v>3.5000000000000003E-2</v>
      </c>
      <c r="T209" s="182">
        <v>4.2500000000000003E-2</v>
      </c>
      <c r="U209" s="182"/>
      <c r="V209" s="194">
        <v>5.7000000000000002E-2</v>
      </c>
      <c r="W209" s="194">
        <v>7.0000000000000007E-2</v>
      </c>
      <c r="X209" s="194">
        <v>3.9E-2</v>
      </c>
      <c r="Y209" s="194">
        <v>4.5999999999999999E-2</v>
      </c>
      <c r="Z209" s="194"/>
      <c r="AA209" s="195">
        <v>5.747360249999988E-2</v>
      </c>
      <c r="AB209" s="195">
        <v>6.963081375000002E-2</v>
      </c>
      <c r="AC209" s="195">
        <v>3.863854486015602E-2</v>
      </c>
      <c r="AD209" s="195">
        <v>4.6071911319921895E-2</v>
      </c>
      <c r="AE209" s="195"/>
      <c r="AF209" s="195">
        <v>9.0671859488806739E-3</v>
      </c>
      <c r="AG209" s="195">
        <v>1.1260651478707473E-2</v>
      </c>
      <c r="AI209" s="182">
        <v>4.6733609999999759E-2</v>
      </c>
      <c r="AJ209" s="182">
        <v>5.5653502500000007E-2</v>
      </c>
      <c r="AK209" s="182">
        <v>3.2459210000000072E-2</v>
      </c>
      <c r="AM209" s="27" t="s">
        <v>135</v>
      </c>
      <c r="AN209" s="7" t="b">
        <f t="shared" si="28"/>
        <v>0</v>
      </c>
      <c r="AP209" s="211">
        <v>-99</v>
      </c>
      <c r="AQ209" s="211">
        <v>-99</v>
      </c>
      <c r="AS209" s="211">
        <v>-99</v>
      </c>
      <c r="AT209" s="211">
        <v>-99</v>
      </c>
      <c r="AU209" s="211">
        <v>-99</v>
      </c>
      <c r="AV209" s="211">
        <v>-99</v>
      </c>
      <c r="AW209" s="211">
        <v>-99</v>
      </c>
      <c r="AX209" s="211">
        <v>-99</v>
      </c>
      <c r="AZ209" s="211">
        <v>-99</v>
      </c>
      <c r="BA209" s="211">
        <v>-99</v>
      </c>
      <c r="BB209" s="211">
        <v>-99</v>
      </c>
      <c r="BC209" s="211">
        <v>-99</v>
      </c>
      <c r="BD209" s="211">
        <v>-99</v>
      </c>
      <c r="BE209" s="211">
        <v>-99</v>
      </c>
      <c r="BG209" s="211">
        <v>-99</v>
      </c>
      <c r="BH209" s="211">
        <v>-99</v>
      </c>
      <c r="BI209" s="211">
        <v>-99</v>
      </c>
      <c r="BJ209" s="211">
        <v>-99</v>
      </c>
      <c r="BK209" s="211">
        <v>-99</v>
      </c>
      <c r="BL209" s="211">
        <v>-99</v>
      </c>
      <c r="BM209" s="211">
        <v>-99</v>
      </c>
      <c r="BN209" s="191">
        <f t="shared" si="29"/>
        <v>4.6733609999999759E-2</v>
      </c>
      <c r="BO209" s="191">
        <f t="shared" si="30"/>
        <v>5.5653502500000007E-2</v>
      </c>
      <c r="BP209" s="191">
        <f t="shared" si="31"/>
        <v>3.2459210000000072E-2</v>
      </c>
      <c r="BQ209" s="171">
        <f t="shared" si="32"/>
        <v>5.45E-2</v>
      </c>
      <c r="BR209" s="171">
        <f t="shared" si="33"/>
        <v>6.4500000000000002E-2</v>
      </c>
      <c r="BS209" s="171">
        <f t="shared" si="34"/>
        <v>4.6199999999999998E-2</v>
      </c>
      <c r="BT209" s="171">
        <f t="shared" si="35"/>
        <v>5.4900000000000004E-2</v>
      </c>
      <c r="BU209" s="171">
        <f t="shared" si="36"/>
        <v>3.2199999999999999E-2</v>
      </c>
    </row>
    <row r="210" spans="1:73" x14ac:dyDescent="0.3">
      <c r="A210" s="209">
        <v>37653</v>
      </c>
      <c r="B210" s="187">
        <v>200302</v>
      </c>
      <c r="C210" s="176">
        <v>5.39</v>
      </c>
      <c r="D210" s="176">
        <v>6.6</v>
      </c>
      <c r="E210" s="176">
        <v>3.06</v>
      </c>
      <c r="F210" s="177">
        <v>102.8</v>
      </c>
      <c r="G210" s="210">
        <v>2.8112449799196693E-2</v>
      </c>
      <c r="H210" s="179">
        <v>4.54</v>
      </c>
      <c r="I210" s="179">
        <v>5.46</v>
      </c>
      <c r="J210" s="176"/>
      <c r="K210" s="182">
        <v>5.5E-2</v>
      </c>
      <c r="L210" s="182">
        <v>0.04</v>
      </c>
      <c r="N210" s="182">
        <v>0.06</v>
      </c>
      <c r="O210" s="182">
        <v>3.5000000000000003E-2</v>
      </c>
      <c r="Q210" s="182">
        <v>0.05</v>
      </c>
      <c r="R210" s="182">
        <v>6.5000000000000002E-2</v>
      </c>
      <c r="S210" s="182">
        <v>3.2500000000000001E-2</v>
      </c>
      <c r="T210" s="182">
        <v>4.2500000000000003E-2</v>
      </c>
      <c r="U210" s="182"/>
      <c r="V210" s="194">
        <v>5.3999999999999999E-2</v>
      </c>
      <c r="W210" s="194">
        <v>6.9000000000000006E-2</v>
      </c>
      <c r="X210" s="194">
        <v>3.6999999999999998E-2</v>
      </c>
      <c r="Y210" s="194">
        <v>4.5999999999999999E-2</v>
      </c>
      <c r="Z210" s="194"/>
      <c r="AA210" s="195">
        <v>5.4199522500000145E-2</v>
      </c>
      <c r="AB210" s="195">
        <v>6.8801853749999586E-2</v>
      </c>
      <c r="AC210" s="195">
        <v>3.662702691948954E-2</v>
      </c>
      <c r="AD210" s="195">
        <v>4.5552320290255487E-2</v>
      </c>
      <c r="AE210" s="195"/>
      <c r="AF210" s="195">
        <v>8.4758042787723697E-3</v>
      </c>
      <c r="AG210" s="195">
        <v>1.1118302264055968E-2</v>
      </c>
      <c r="AI210" s="182">
        <v>4.5915289999999942E-2</v>
      </c>
      <c r="AJ210" s="182">
        <v>5.5345290000000213E-2</v>
      </c>
      <c r="AK210" s="182">
        <v>3.0834090000000147E-2</v>
      </c>
      <c r="AM210" s="27" t="s">
        <v>135</v>
      </c>
      <c r="AN210" s="7" t="b">
        <f t="shared" si="28"/>
        <v>0</v>
      </c>
      <c r="AP210" s="211">
        <v>-99</v>
      </c>
      <c r="AQ210" s="211">
        <v>-99</v>
      </c>
      <c r="AS210" s="211">
        <v>-99</v>
      </c>
      <c r="AT210" s="211">
        <v>-99</v>
      </c>
      <c r="AU210" s="211">
        <v>-99</v>
      </c>
      <c r="AV210" s="211">
        <v>-99</v>
      </c>
      <c r="AW210" s="211">
        <v>-99</v>
      </c>
      <c r="AX210" s="211">
        <v>-99</v>
      </c>
      <c r="AZ210" s="211">
        <v>-99</v>
      </c>
      <c r="BA210" s="211">
        <v>-99</v>
      </c>
      <c r="BB210" s="211">
        <v>-99</v>
      </c>
      <c r="BC210" s="211">
        <v>-99</v>
      </c>
      <c r="BD210" s="211">
        <v>-99</v>
      </c>
      <c r="BE210" s="211">
        <v>-99</v>
      </c>
      <c r="BG210" s="211">
        <v>-99</v>
      </c>
      <c r="BH210" s="211">
        <v>-99</v>
      </c>
      <c r="BI210" s="211">
        <v>-99</v>
      </c>
      <c r="BJ210" s="211">
        <v>-99</v>
      </c>
      <c r="BK210" s="211">
        <v>-99</v>
      </c>
      <c r="BL210" s="211">
        <v>-99</v>
      </c>
      <c r="BM210" s="211">
        <v>-99</v>
      </c>
      <c r="BN210" s="191">
        <f t="shared" si="29"/>
        <v>4.5915289999999942E-2</v>
      </c>
      <c r="BO210" s="191">
        <f t="shared" si="30"/>
        <v>5.5345290000000213E-2</v>
      </c>
      <c r="BP210" s="191">
        <f t="shared" si="31"/>
        <v>3.0834090000000147E-2</v>
      </c>
      <c r="BQ210" s="171">
        <f t="shared" si="32"/>
        <v>5.3899999999999997E-2</v>
      </c>
      <c r="BR210" s="171">
        <f t="shared" si="33"/>
        <v>6.6000000000000003E-2</v>
      </c>
      <c r="BS210" s="171">
        <f t="shared" si="34"/>
        <v>4.5400000000000003E-2</v>
      </c>
      <c r="BT210" s="171">
        <f t="shared" si="35"/>
        <v>5.4600000000000003E-2</v>
      </c>
      <c r="BU210" s="171">
        <f t="shared" si="36"/>
        <v>3.0600000000000002E-2</v>
      </c>
    </row>
    <row r="211" spans="1:73" x14ac:dyDescent="0.3">
      <c r="A211" s="209">
        <v>37681</v>
      </c>
      <c r="B211" s="187">
        <v>200303</v>
      </c>
      <c r="C211" s="176">
        <v>5.52</v>
      </c>
      <c r="D211" s="176">
        <v>6.85</v>
      </c>
      <c r="E211" s="176">
        <v>3.08</v>
      </c>
      <c r="F211" s="177">
        <v>103.1</v>
      </c>
      <c r="G211" s="210">
        <v>2.9392117568470377E-2</v>
      </c>
      <c r="H211" s="179">
        <v>4.79</v>
      </c>
      <c r="I211" s="179">
        <v>5.58</v>
      </c>
      <c r="J211" s="176"/>
      <c r="K211" s="182">
        <v>5.5E-2</v>
      </c>
      <c r="L211" s="182">
        <v>3.5000000000000003E-2</v>
      </c>
      <c r="N211" s="182">
        <v>0.06</v>
      </c>
      <c r="O211" s="182">
        <v>3.5000000000000003E-2</v>
      </c>
      <c r="Q211" s="182">
        <v>5.2499999999999998E-2</v>
      </c>
      <c r="R211" s="182">
        <v>6.5000000000000002E-2</v>
      </c>
      <c r="S211" s="182">
        <v>3.2500000000000001E-2</v>
      </c>
      <c r="T211" s="182">
        <v>0.04</v>
      </c>
      <c r="U211" s="182"/>
      <c r="V211" s="194">
        <v>5.6000000000000001E-2</v>
      </c>
      <c r="W211" s="194">
        <v>6.9000000000000006E-2</v>
      </c>
      <c r="X211" s="194">
        <v>3.6000000000000004E-2</v>
      </c>
      <c r="Y211" s="194">
        <v>4.3999999999999997E-2</v>
      </c>
      <c r="Z211" s="194"/>
      <c r="AA211" s="195">
        <v>5.573360999999976E-2</v>
      </c>
      <c r="AB211" s="195">
        <v>6.9113448750000139E-2</v>
      </c>
      <c r="AC211" s="195">
        <v>3.6256794144233696E-2</v>
      </c>
      <c r="AD211" s="195">
        <v>4.4060417927883261E-2</v>
      </c>
      <c r="AE211" s="195"/>
      <c r="AF211" s="195">
        <v>9.3976782424139982E-3</v>
      </c>
      <c r="AG211" s="195">
        <v>1.1997883643476759E-2</v>
      </c>
      <c r="AI211" s="182">
        <v>4.8473602499999879E-2</v>
      </c>
      <c r="AJ211" s="182">
        <v>5.6578409999999968E-2</v>
      </c>
      <c r="AK211" s="182">
        <v>3.1037160000000119E-2</v>
      </c>
      <c r="AM211" s="27" t="s">
        <v>135</v>
      </c>
      <c r="AN211" s="7" t="b">
        <f t="shared" si="28"/>
        <v>0</v>
      </c>
      <c r="AP211" s="211">
        <v>-99</v>
      </c>
      <c r="AQ211" s="211">
        <v>-99</v>
      </c>
      <c r="AS211" s="211">
        <v>-99</v>
      </c>
      <c r="AT211" s="211">
        <v>-99</v>
      </c>
      <c r="AU211" s="211">
        <v>-99</v>
      </c>
      <c r="AV211" s="211">
        <v>-99</v>
      </c>
      <c r="AW211" s="211">
        <v>-99</v>
      </c>
      <c r="AX211" s="211">
        <v>-99</v>
      </c>
      <c r="AZ211" s="211">
        <v>-99</v>
      </c>
      <c r="BA211" s="211">
        <v>-99</v>
      </c>
      <c r="BB211" s="211">
        <v>-99</v>
      </c>
      <c r="BC211" s="211">
        <v>-99</v>
      </c>
      <c r="BD211" s="211">
        <v>-99</v>
      </c>
      <c r="BE211" s="211">
        <v>-99</v>
      </c>
      <c r="BG211" s="211">
        <v>-99</v>
      </c>
      <c r="BH211" s="211">
        <v>-99</v>
      </c>
      <c r="BI211" s="211">
        <v>-99</v>
      </c>
      <c r="BJ211" s="211">
        <v>-99</v>
      </c>
      <c r="BK211" s="211">
        <v>-99</v>
      </c>
      <c r="BL211" s="211">
        <v>-99</v>
      </c>
      <c r="BM211" s="211">
        <v>-99</v>
      </c>
      <c r="BN211" s="191">
        <f t="shared" si="29"/>
        <v>4.8473602499999879E-2</v>
      </c>
      <c r="BO211" s="191">
        <f t="shared" si="30"/>
        <v>5.6578409999999968E-2</v>
      </c>
      <c r="BP211" s="191">
        <f t="shared" si="31"/>
        <v>3.1037160000000119E-2</v>
      </c>
      <c r="BQ211" s="171">
        <f t="shared" si="32"/>
        <v>5.5199999999999999E-2</v>
      </c>
      <c r="BR211" s="171">
        <f t="shared" si="33"/>
        <v>6.8499999999999991E-2</v>
      </c>
      <c r="BS211" s="171">
        <f t="shared" si="34"/>
        <v>4.7899999999999998E-2</v>
      </c>
      <c r="BT211" s="171">
        <f t="shared" si="35"/>
        <v>5.5800000000000002E-2</v>
      </c>
      <c r="BU211" s="171">
        <f t="shared" si="36"/>
        <v>3.0800000000000001E-2</v>
      </c>
    </row>
    <row r="212" spans="1:73" x14ac:dyDescent="0.3">
      <c r="A212" s="209">
        <v>37712</v>
      </c>
      <c r="B212" s="187">
        <v>200304</v>
      </c>
      <c r="C212" s="176">
        <v>5.34</v>
      </c>
      <c r="D212" s="176">
        <v>6.65</v>
      </c>
      <c r="E212" s="176">
        <v>3.13</v>
      </c>
      <c r="F212" s="177">
        <v>102.4</v>
      </c>
      <c r="G212" s="210">
        <v>3.0687124749833261E-2</v>
      </c>
      <c r="H212" s="179">
        <v>4.53</v>
      </c>
      <c r="I212" s="179">
        <v>5.41</v>
      </c>
      <c r="J212" s="176"/>
      <c r="K212" s="182">
        <v>5.5E-2</v>
      </c>
      <c r="L212" s="182">
        <v>3.5000000000000003E-2</v>
      </c>
      <c r="N212" s="182">
        <v>0.06</v>
      </c>
      <c r="O212" s="182">
        <v>3.2500000000000001E-2</v>
      </c>
      <c r="Q212" s="182">
        <v>0.05</v>
      </c>
      <c r="R212" s="182">
        <v>6.5000000000000002E-2</v>
      </c>
      <c r="S212" s="182">
        <v>0.03</v>
      </c>
      <c r="T212" s="182">
        <v>3.7499999999999999E-2</v>
      </c>
      <c r="U212" s="182"/>
      <c r="V212" s="194">
        <v>5.5E-2</v>
      </c>
      <c r="W212" s="194">
        <v>6.9000000000000006E-2</v>
      </c>
      <c r="X212" s="194">
        <v>3.5000000000000003E-2</v>
      </c>
      <c r="Y212" s="194">
        <v>4.2000000000000003E-2</v>
      </c>
      <c r="Z212" s="194"/>
      <c r="AA212" s="195">
        <v>5.4915289999999943E-2</v>
      </c>
      <c r="AB212" s="195">
        <v>6.9060290000000357E-2</v>
      </c>
      <c r="AC212" s="195">
        <v>3.4580427607048395E-2</v>
      </c>
      <c r="AD212" s="195">
        <v>4.2460921196476022E-2</v>
      </c>
      <c r="AE212" s="195"/>
      <c r="AF212" s="195">
        <v>9.8275889676288086E-3</v>
      </c>
      <c r="AG212" s="195">
        <v>1.2757969273800351E-2</v>
      </c>
      <c r="AI212" s="182">
        <v>4.5813022500000189E-2</v>
      </c>
      <c r="AJ212" s="182">
        <v>5.4831702500000024E-2</v>
      </c>
      <c r="AK212" s="182">
        <v>3.1544922499999961E-2</v>
      </c>
      <c r="AM212" s="27" t="s">
        <v>135</v>
      </c>
      <c r="AN212" s="7" t="b">
        <f t="shared" si="28"/>
        <v>0</v>
      </c>
      <c r="AP212" s="211">
        <v>-99</v>
      </c>
      <c r="AQ212" s="211">
        <v>-99</v>
      </c>
      <c r="AS212" s="211">
        <v>-99</v>
      </c>
      <c r="AT212" s="211">
        <v>-99</v>
      </c>
      <c r="AU212" s="211">
        <v>-99</v>
      </c>
      <c r="AV212" s="211">
        <v>-99</v>
      </c>
      <c r="AW212" s="211">
        <v>-99</v>
      </c>
      <c r="AX212" s="211">
        <v>-99</v>
      </c>
      <c r="AZ212" s="211">
        <v>-99</v>
      </c>
      <c r="BA212" s="211">
        <v>-99</v>
      </c>
      <c r="BB212" s="211">
        <v>-99</v>
      </c>
      <c r="BC212" s="211">
        <v>-99</v>
      </c>
      <c r="BD212" s="211">
        <v>-99</v>
      </c>
      <c r="BE212" s="211">
        <v>-99</v>
      </c>
      <c r="BG212" s="211">
        <v>-99</v>
      </c>
      <c r="BH212" s="211">
        <v>-99</v>
      </c>
      <c r="BI212" s="211">
        <v>-99</v>
      </c>
      <c r="BJ212" s="211">
        <v>-99</v>
      </c>
      <c r="BK212" s="211">
        <v>-99</v>
      </c>
      <c r="BL212" s="211">
        <v>-99</v>
      </c>
      <c r="BM212" s="211">
        <v>-99</v>
      </c>
      <c r="BN212" s="191">
        <f t="shared" si="29"/>
        <v>4.5813022500000189E-2</v>
      </c>
      <c r="BO212" s="191">
        <f t="shared" si="30"/>
        <v>5.4831702500000024E-2</v>
      </c>
      <c r="BP212" s="191">
        <f t="shared" si="31"/>
        <v>3.1544922499999961E-2</v>
      </c>
      <c r="BQ212" s="171">
        <f t="shared" si="32"/>
        <v>5.3399999999999996E-2</v>
      </c>
      <c r="BR212" s="171">
        <f t="shared" si="33"/>
        <v>6.6500000000000004E-2</v>
      </c>
      <c r="BS212" s="171">
        <f t="shared" si="34"/>
        <v>4.53E-2</v>
      </c>
      <c r="BT212" s="171">
        <f t="shared" si="35"/>
        <v>5.4100000000000002E-2</v>
      </c>
      <c r="BU212" s="171">
        <f t="shared" si="36"/>
        <v>3.1300000000000001E-2</v>
      </c>
    </row>
    <row r="213" spans="1:73" x14ac:dyDescent="0.3">
      <c r="A213" s="209">
        <v>37742</v>
      </c>
      <c r="B213" s="187">
        <v>200305</v>
      </c>
      <c r="C213" s="176">
        <v>5.01</v>
      </c>
      <c r="D213" s="176">
        <v>6.15</v>
      </c>
      <c r="E213" s="176">
        <v>3</v>
      </c>
      <c r="F213" s="177">
        <v>102.5</v>
      </c>
      <c r="G213" s="210">
        <v>3.2666666666666622E-2</v>
      </c>
      <c r="H213" s="179">
        <v>4.09</v>
      </c>
      <c r="I213" s="179">
        <v>5.12</v>
      </c>
      <c r="J213" s="176"/>
      <c r="K213" s="182">
        <v>0.06</v>
      </c>
      <c r="L213" s="182">
        <v>3.5000000000000003E-2</v>
      </c>
      <c r="N213" s="182">
        <v>0.06</v>
      </c>
      <c r="O213" s="182">
        <v>3.2500000000000001E-2</v>
      </c>
      <c r="Q213" s="182">
        <v>5.2499999999999998E-2</v>
      </c>
      <c r="R213" s="182">
        <v>6.5000000000000002E-2</v>
      </c>
      <c r="S213" s="182">
        <v>3.2500000000000001E-2</v>
      </c>
      <c r="T213" s="182">
        <v>3.7499999999999999E-2</v>
      </c>
      <c r="U213" s="182"/>
      <c r="V213" s="194">
        <v>5.7000000000000002E-2</v>
      </c>
      <c r="W213" s="194">
        <v>7.0000000000000007E-2</v>
      </c>
      <c r="X213" s="194">
        <v>3.6000000000000004E-2</v>
      </c>
      <c r="Y213" s="194">
        <v>4.2000000000000003E-2</v>
      </c>
      <c r="Z213" s="194"/>
      <c r="AA213" s="195">
        <v>5.747360249999988E-2</v>
      </c>
      <c r="AB213" s="195">
        <v>6.963081375000002E-2</v>
      </c>
      <c r="AC213" s="195">
        <v>3.5591114111706262E-2</v>
      </c>
      <c r="AD213" s="195">
        <v>4.2260182944147046E-2</v>
      </c>
      <c r="AE213" s="195"/>
      <c r="AF213" s="195">
        <v>1.0565216372614206E-2</v>
      </c>
      <c r="AG213" s="195">
        <v>1.3130421392735681E-2</v>
      </c>
      <c r="AI213" s="182">
        <v>4.1318202500000067E-2</v>
      </c>
      <c r="AJ213" s="182">
        <v>5.1855360000000239E-2</v>
      </c>
      <c r="AK213" s="182">
        <v>3.0224999999999724E-2</v>
      </c>
      <c r="AM213" s="27" t="s">
        <v>135</v>
      </c>
      <c r="AN213" s="7" t="b">
        <f t="shared" si="28"/>
        <v>0</v>
      </c>
      <c r="AP213" s="211">
        <v>-99</v>
      </c>
      <c r="AQ213" s="211">
        <v>-99</v>
      </c>
      <c r="AS213" s="211">
        <v>-99</v>
      </c>
      <c r="AT213" s="211">
        <v>-99</v>
      </c>
      <c r="AU213" s="211">
        <v>-99</v>
      </c>
      <c r="AV213" s="211">
        <v>-99</v>
      </c>
      <c r="AW213" s="211">
        <v>-99</v>
      </c>
      <c r="AX213" s="211">
        <v>-99</v>
      </c>
      <c r="AZ213" s="211">
        <v>-99</v>
      </c>
      <c r="BA213" s="211">
        <v>-99</v>
      </c>
      <c r="BB213" s="211">
        <v>-99</v>
      </c>
      <c r="BC213" s="211">
        <v>-99</v>
      </c>
      <c r="BD213" s="211">
        <v>-99</v>
      </c>
      <c r="BE213" s="211">
        <v>-99</v>
      </c>
      <c r="BG213" s="211">
        <v>-99</v>
      </c>
      <c r="BH213" s="211">
        <v>-99</v>
      </c>
      <c r="BI213" s="211">
        <v>-99</v>
      </c>
      <c r="BJ213" s="211">
        <v>-99</v>
      </c>
      <c r="BK213" s="211">
        <v>-99</v>
      </c>
      <c r="BL213" s="211">
        <v>-99</v>
      </c>
      <c r="BM213" s="211">
        <v>-99</v>
      </c>
      <c r="BN213" s="191">
        <f t="shared" si="29"/>
        <v>4.1318202500000067E-2</v>
      </c>
      <c r="BO213" s="191">
        <f t="shared" si="30"/>
        <v>5.1855360000000239E-2</v>
      </c>
      <c r="BP213" s="191">
        <f t="shared" si="31"/>
        <v>3.0224999999999724E-2</v>
      </c>
      <c r="BQ213" s="171">
        <f t="shared" si="32"/>
        <v>5.0099999999999999E-2</v>
      </c>
      <c r="BR213" s="171">
        <f t="shared" si="33"/>
        <v>6.1500000000000006E-2</v>
      </c>
      <c r="BS213" s="171">
        <f t="shared" si="34"/>
        <v>4.0899999999999999E-2</v>
      </c>
      <c r="BT213" s="171">
        <f t="shared" si="35"/>
        <v>5.1200000000000002E-2</v>
      </c>
      <c r="BU213" s="171">
        <f t="shared" si="36"/>
        <v>0.03</v>
      </c>
    </row>
    <row r="214" spans="1:73" x14ac:dyDescent="0.3">
      <c r="A214" s="209">
        <v>37773</v>
      </c>
      <c r="B214" s="187">
        <v>200306</v>
      </c>
      <c r="C214" s="176">
        <v>4.9800000000000004</v>
      </c>
      <c r="D214" s="176">
        <v>5.8</v>
      </c>
      <c r="E214" s="176">
        <v>2.99</v>
      </c>
      <c r="F214" s="177">
        <v>102.5</v>
      </c>
      <c r="G214" s="210">
        <v>3.3288948069241098E-2</v>
      </c>
      <c r="H214" s="179">
        <v>3.92</v>
      </c>
      <c r="I214" s="179">
        <v>5.03</v>
      </c>
      <c r="J214" s="176"/>
      <c r="K214" s="182">
        <v>5.5E-2</v>
      </c>
      <c r="L214" s="182">
        <v>3.5000000000000003E-2</v>
      </c>
      <c r="N214" s="182">
        <v>0.06</v>
      </c>
      <c r="O214" s="182">
        <v>3.5000000000000003E-2</v>
      </c>
      <c r="Q214" s="182">
        <v>0.05</v>
      </c>
      <c r="R214" s="182">
        <v>6.5000000000000002E-2</v>
      </c>
      <c r="S214" s="182">
        <v>3.2500000000000001E-2</v>
      </c>
      <c r="T214" s="182">
        <v>0.04</v>
      </c>
      <c r="U214" s="182"/>
      <c r="V214" s="194">
        <v>5.5E-2</v>
      </c>
      <c r="W214" s="194">
        <v>6.8000000000000005E-2</v>
      </c>
      <c r="X214" s="194">
        <v>3.5000000000000003E-2</v>
      </c>
      <c r="Y214" s="194">
        <v>4.3000000000000003E-2</v>
      </c>
      <c r="Z214" s="194"/>
      <c r="AA214" s="195">
        <v>5.481302250000019E-2</v>
      </c>
      <c r="AB214" s="195">
        <v>6.8341042499999949E-2</v>
      </c>
      <c r="AC214" s="195">
        <v>3.5356435754539263E-2</v>
      </c>
      <c r="AD214" s="195">
        <v>4.3139165872730312E-2</v>
      </c>
      <c r="AE214" s="195"/>
      <c r="AF214" s="195">
        <v>9.3960814235347634E-3</v>
      </c>
      <c r="AG214" s="195">
        <v>1.2079824750029777E-2</v>
      </c>
      <c r="AI214" s="182">
        <v>3.9584160000000201E-2</v>
      </c>
      <c r="AJ214" s="182">
        <v>5.093252249999991E-2</v>
      </c>
      <c r="AK214" s="182">
        <v>3.0123502499999955E-2</v>
      </c>
      <c r="AM214" s="27" t="s">
        <v>135</v>
      </c>
      <c r="AN214" s="7" t="b">
        <f t="shared" si="28"/>
        <v>0</v>
      </c>
      <c r="AP214" s="211">
        <v>-99</v>
      </c>
      <c r="AQ214" s="211">
        <v>-99</v>
      </c>
      <c r="AS214" s="211">
        <v>-99</v>
      </c>
      <c r="AT214" s="211">
        <v>-99</v>
      </c>
      <c r="AU214" s="211">
        <v>-99</v>
      </c>
      <c r="AV214" s="211">
        <v>-99</v>
      </c>
      <c r="AW214" s="211">
        <v>-99</v>
      </c>
      <c r="AX214" s="211">
        <v>-99</v>
      </c>
      <c r="AZ214" s="211">
        <v>-99</v>
      </c>
      <c r="BA214" s="211">
        <v>-99</v>
      </c>
      <c r="BB214" s="211">
        <v>-99</v>
      </c>
      <c r="BC214" s="211">
        <v>-99</v>
      </c>
      <c r="BD214" s="211">
        <v>-99</v>
      </c>
      <c r="BE214" s="211">
        <v>-99</v>
      </c>
      <c r="BG214" s="211">
        <v>-99</v>
      </c>
      <c r="BH214" s="211">
        <v>-99</v>
      </c>
      <c r="BI214" s="211">
        <v>-99</v>
      </c>
      <c r="BJ214" s="211">
        <v>-99</v>
      </c>
      <c r="BK214" s="211">
        <v>-99</v>
      </c>
      <c r="BL214" s="211">
        <v>-99</v>
      </c>
      <c r="BM214" s="211">
        <v>-99</v>
      </c>
      <c r="BN214" s="191">
        <f t="shared" si="29"/>
        <v>3.9584160000000201E-2</v>
      </c>
      <c r="BO214" s="191">
        <f t="shared" si="30"/>
        <v>5.093252249999991E-2</v>
      </c>
      <c r="BP214" s="191">
        <f t="shared" si="31"/>
        <v>3.0123502499999955E-2</v>
      </c>
      <c r="BQ214" s="171">
        <f t="shared" si="32"/>
        <v>4.9800000000000004E-2</v>
      </c>
      <c r="BR214" s="171">
        <f t="shared" si="33"/>
        <v>5.7999999999999996E-2</v>
      </c>
      <c r="BS214" s="171">
        <f t="shared" si="34"/>
        <v>3.9199999999999999E-2</v>
      </c>
      <c r="BT214" s="171">
        <f t="shared" si="35"/>
        <v>5.0300000000000004E-2</v>
      </c>
      <c r="BU214" s="171">
        <f t="shared" si="36"/>
        <v>2.9900000000000003E-2</v>
      </c>
    </row>
    <row r="215" spans="1:73" x14ac:dyDescent="0.3">
      <c r="A215" s="209">
        <v>37803</v>
      </c>
      <c r="B215" s="187">
        <v>200307</v>
      </c>
      <c r="C215" s="176">
        <v>5.35</v>
      </c>
      <c r="D215" s="176">
        <v>6.2</v>
      </c>
      <c r="E215" s="176">
        <v>3.15</v>
      </c>
      <c r="F215" s="177">
        <v>102.6</v>
      </c>
      <c r="G215" s="210">
        <v>3.3909574468085069E-2</v>
      </c>
      <c r="H215" s="179">
        <v>4.2300000000000004</v>
      </c>
      <c r="I215" s="179">
        <v>5.4</v>
      </c>
      <c r="J215" s="176"/>
      <c r="K215" s="182">
        <v>5.5E-2</v>
      </c>
      <c r="L215" s="182">
        <v>2.5000000000000001E-2</v>
      </c>
      <c r="N215" s="182">
        <v>5.5E-2</v>
      </c>
      <c r="O215" s="182">
        <v>3.2500000000000001E-2</v>
      </c>
      <c r="Q215" s="182">
        <v>4.7500000000000001E-2</v>
      </c>
      <c r="R215" s="182">
        <v>6.25E-2</v>
      </c>
      <c r="S215" s="182">
        <v>0.03</v>
      </c>
      <c r="T215" s="182">
        <v>3.7499999999999999E-2</v>
      </c>
      <c r="U215" s="182"/>
      <c r="V215" s="194">
        <v>0.05</v>
      </c>
      <c r="W215" s="194">
        <v>6.6000000000000003E-2</v>
      </c>
      <c r="X215" s="194">
        <v>3.3000000000000002E-2</v>
      </c>
      <c r="Y215" s="194">
        <v>4.2000000000000003E-2</v>
      </c>
      <c r="Z215" s="194"/>
      <c r="AA215" s="195">
        <v>5.0318202500000068E-2</v>
      </c>
      <c r="AB215" s="195">
        <v>6.6123938750000333E-2</v>
      </c>
      <c r="AC215" s="195">
        <v>3.308319353221123E-2</v>
      </c>
      <c r="AD215" s="195">
        <v>4.2295903233893976E-2</v>
      </c>
      <c r="AE215" s="195"/>
      <c r="AF215" s="195">
        <v>8.3415397112698297E-3</v>
      </c>
      <c r="AG215" s="195">
        <v>1.1430552227143953E-2</v>
      </c>
      <c r="AI215" s="182">
        <v>4.2747322499999907E-2</v>
      </c>
      <c r="AJ215" s="182">
        <v>5.4728999999999806E-2</v>
      </c>
      <c r="AK215" s="182">
        <v>3.1748062499999952E-2</v>
      </c>
      <c r="AM215" s="27" t="s">
        <v>135</v>
      </c>
      <c r="AN215" s="7" t="b">
        <f t="shared" si="28"/>
        <v>0</v>
      </c>
      <c r="AP215" s="211">
        <v>-99</v>
      </c>
      <c r="AQ215" s="211">
        <v>-99</v>
      </c>
      <c r="AS215" s="211">
        <v>-99</v>
      </c>
      <c r="AT215" s="211">
        <v>-99</v>
      </c>
      <c r="AU215" s="211">
        <v>-99</v>
      </c>
      <c r="AV215" s="211">
        <v>-99</v>
      </c>
      <c r="AW215" s="211">
        <v>-99</v>
      </c>
      <c r="AX215" s="211">
        <v>-99</v>
      </c>
      <c r="AZ215" s="211">
        <v>-99</v>
      </c>
      <c r="BA215" s="211">
        <v>-99</v>
      </c>
      <c r="BB215" s="211">
        <v>-99</v>
      </c>
      <c r="BC215" s="211">
        <v>-99</v>
      </c>
      <c r="BD215" s="211">
        <v>-99</v>
      </c>
      <c r="BE215" s="211">
        <v>-99</v>
      </c>
      <c r="BG215" s="211">
        <v>-99</v>
      </c>
      <c r="BH215" s="211">
        <v>-99</v>
      </c>
      <c r="BI215" s="211">
        <v>-99</v>
      </c>
      <c r="BJ215" s="211">
        <v>-99</v>
      </c>
      <c r="BK215" s="211">
        <v>-99</v>
      </c>
      <c r="BL215" s="211">
        <v>-99</v>
      </c>
      <c r="BM215" s="211">
        <v>-99</v>
      </c>
      <c r="BN215" s="191">
        <f t="shared" si="29"/>
        <v>4.2747322499999907E-2</v>
      </c>
      <c r="BO215" s="191">
        <f t="shared" si="30"/>
        <v>5.4728999999999806E-2</v>
      </c>
      <c r="BP215" s="191">
        <f t="shared" si="31"/>
        <v>3.1748062499999952E-2</v>
      </c>
      <c r="BQ215" s="171">
        <f t="shared" si="32"/>
        <v>5.3499999999999999E-2</v>
      </c>
      <c r="BR215" s="171">
        <f t="shared" si="33"/>
        <v>6.2E-2</v>
      </c>
      <c r="BS215" s="171">
        <f t="shared" si="34"/>
        <v>4.2300000000000004E-2</v>
      </c>
      <c r="BT215" s="171">
        <f t="shared" si="35"/>
        <v>5.4000000000000006E-2</v>
      </c>
      <c r="BU215" s="171">
        <f t="shared" si="36"/>
        <v>3.15E-2</v>
      </c>
    </row>
    <row r="216" spans="1:73" x14ac:dyDescent="0.3">
      <c r="A216" s="209">
        <v>37834</v>
      </c>
      <c r="B216" s="187">
        <v>200308</v>
      </c>
      <c r="C216" s="176">
        <v>5.4</v>
      </c>
      <c r="D216" s="176">
        <v>6.35</v>
      </c>
      <c r="E216" s="176">
        <v>3.15</v>
      </c>
      <c r="F216" s="177">
        <v>102.9</v>
      </c>
      <c r="G216" s="210">
        <v>3.3178500331785044E-2</v>
      </c>
      <c r="H216" s="179">
        <v>4.41</v>
      </c>
      <c r="I216" s="179">
        <v>5.44</v>
      </c>
      <c r="J216" s="176"/>
      <c r="K216" s="182">
        <v>0.05</v>
      </c>
      <c r="L216" s="182">
        <v>0.02</v>
      </c>
      <c r="N216" s="182">
        <v>5.5E-2</v>
      </c>
      <c r="O216" s="182">
        <v>3.2500000000000001E-2</v>
      </c>
      <c r="Q216" s="182">
        <v>4.4999999999999998E-2</v>
      </c>
      <c r="R216" s="182">
        <v>6.25E-2</v>
      </c>
      <c r="S216" s="182">
        <v>2.75E-2</v>
      </c>
      <c r="T216" s="182">
        <v>3.7499999999999999E-2</v>
      </c>
      <c r="U216" s="182"/>
      <c r="V216" s="194">
        <v>4.9000000000000002E-2</v>
      </c>
      <c r="W216" s="194">
        <v>6.6000000000000003E-2</v>
      </c>
      <c r="X216" s="194">
        <v>3.2000000000000001E-2</v>
      </c>
      <c r="Y216" s="194">
        <v>4.2000000000000003E-2</v>
      </c>
      <c r="Z216" s="194"/>
      <c r="AA216" s="195">
        <v>4.8584160000000202E-2</v>
      </c>
      <c r="AB216" s="195">
        <v>6.5606703749999773E-2</v>
      </c>
      <c r="AC216" s="195">
        <v>3.2411633357063874E-2</v>
      </c>
      <c r="AD216" s="195">
        <v>4.2479437071467993E-2</v>
      </c>
      <c r="AE216" s="195"/>
      <c r="AF216" s="195">
        <v>7.8324023676237253E-3</v>
      </c>
      <c r="AG216" s="195">
        <v>1.1092433028463855E-2</v>
      </c>
      <c r="AI216" s="182">
        <v>4.4586202499999894E-2</v>
      </c>
      <c r="AJ216" s="182">
        <v>5.5139840000000273E-2</v>
      </c>
      <c r="AK216" s="182">
        <v>3.1748062499999952E-2</v>
      </c>
      <c r="AM216" s="27" t="s">
        <v>135</v>
      </c>
      <c r="AN216" s="7" t="b">
        <f t="shared" si="28"/>
        <v>0</v>
      </c>
      <c r="AP216" s="211">
        <v>-99</v>
      </c>
      <c r="AQ216" s="211">
        <v>-99</v>
      </c>
      <c r="AS216" s="211">
        <v>-99</v>
      </c>
      <c r="AT216" s="211">
        <v>-99</v>
      </c>
      <c r="AU216" s="211">
        <v>-99</v>
      </c>
      <c r="AV216" s="211">
        <v>-99</v>
      </c>
      <c r="AW216" s="211">
        <v>-99</v>
      </c>
      <c r="AX216" s="211">
        <v>-99</v>
      </c>
      <c r="AZ216" s="211">
        <v>-99</v>
      </c>
      <c r="BA216" s="211">
        <v>-99</v>
      </c>
      <c r="BB216" s="211">
        <v>-99</v>
      </c>
      <c r="BC216" s="211">
        <v>-99</v>
      </c>
      <c r="BD216" s="211">
        <v>-99</v>
      </c>
      <c r="BE216" s="211">
        <v>-99</v>
      </c>
      <c r="BG216" s="211">
        <v>-99</v>
      </c>
      <c r="BH216" s="211">
        <v>-99</v>
      </c>
      <c r="BI216" s="211">
        <v>-99</v>
      </c>
      <c r="BJ216" s="211">
        <v>-99</v>
      </c>
      <c r="BK216" s="211">
        <v>-99</v>
      </c>
      <c r="BL216" s="211">
        <v>-99</v>
      </c>
      <c r="BM216" s="211">
        <v>-99</v>
      </c>
      <c r="BN216" s="191">
        <f t="shared" si="29"/>
        <v>4.4586202499999894E-2</v>
      </c>
      <c r="BO216" s="191">
        <f t="shared" si="30"/>
        <v>5.5139840000000273E-2</v>
      </c>
      <c r="BP216" s="191">
        <f t="shared" si="31"/>
        <v>3.1748062499999952E-2</v>
      </c>
      <c r="BQ216" s="171">
        <f t="shared" si="32"/>
        <v>5.4000000000000006E-2</v>
      </c>
      <c r="BR216" s="171">
        <f t="shared" si="33"/>
        <v>6.3500000000000001E-2</v>
      </c>
      <c r="BS216" s="171">
        <f t="shared" si="34"/>
        <v>4.41E-2</v>
      </c>
      <c r="BT216" s="171">
        <f t="shared" si="35"/>
        <v>5.4400000000000004E-2</v>
      </c>
      <c r="BU216" s="171">
        <f t="shared" si="36"/>
        <v>3.15E-2</v>
      </c>
    </row>
    <row r="217" spans="1:73" x14ac:dyDescent="0.3">
      <c r="A217" s="209">
        <v>37865</v>
      </c>
      <c r="B217" s="187">
        <v>200309</v>
      </c>
      <c r="C217" s="176">
        <v>5.19</v>
      </c>
      <c r="D217" s="176">
        <v>6.3</v>
      </c>
      <c r="E217" s="176">
        <v>3.08</v>
      </c>
      <c r="F217" s="177">
        <v>103.1</v>
      </c>
      <c r="G217" s="210">
        <v>3.3112582781456901E-2</v>
      </c>
      <c r="H217" s="179">
        <v>4.2699999999999996</v>
      </c>
      <c r="I217" s="179">
        <v>5.23</v>
      </c>
      <c r="J217" s="176"/>
      <c r="K217" s="182">
        <v>5.5E-2</v>
      </c>
      <c r="L217" s="182">
        <v>2.5000000000000001E-2</v>
      </c>
      <c r="N217" s="182">
        <v>0.06</v>
      </c>
      <c r="O217" s="182">
        <v>3.5000000000000003E-2</v>
      </c>
      <c r="Q217" s="182">
        <v>4.7500000000000001E-2</v>
      </c>
      <c r="R217" s="182">
        <v>6.5000000000000002E-2</v>
      </c>
      <c r="S217" s="182">
        <v>0.03</v>
      </c>
      <c r="T217" s="182">
        <v>0.04</v>
      </c>
      <c r="U217" s="182"/>
      <c r="V217" s="194">
        <v>5.2000000000000005E-2</v>
      </c>
      <c r="W217" s="194">
        <v>7.0000000000000007E-2</v>
      </c>
      <c r="X217" s="194">
        <v>3.4000000000000002E-2</v>
      </c>
      <c r="Y217" s="194">
        <v>4.3999999999999997E-2</v>
      </c>
      <c r="Z217" s="194"/>
      <c r="AA217" s="195">
        <v>5.1747322499999908E-2</v>
      </c>
      <c r="AB217" s="195">
        <v>6.9719838749999763E-2</v>
      </c>
      <c r="AC217" s="195">
        <v>3.3797541823122224E-2</v>
      </c>
      <c r="AD217" s="195">
        <v>4.4223322838438821E-2</v>
      </c>
      <c r="AE217" s="195"/>
      <c r="AF217" s="195">
        <v>8.6814777317146818E-3</v>
      </c>
      <c r="AG217" s="195">
        <v>1.220836355304511E-2</v>
      </c>
      <c r="AI217" s="182">
        <v>4.3155822499999941E-2</v>
      </c>
      <c r="AJ217" s="182">
        <v>5.2983822499999889E-2</v>
      </c>
      <c r="AK217" s="182">
        <v>3.1037160000000119E-2</v>
      </c>
      <c r="AM217" s="27" t="s">
        <v>135</v>
      </c>
      <c r="AN217" s="7" t="b">
        <f t="shared" si="28"/>
        <v>0</v>
      </c>
      <c r="AP217" s="211">
        <v>-99</v>
      </c>
      <c r="AQ217" s="211">
        <v>-99</v>
      </c>
      <c r="AS217" s="211">
        <v>-99</v>
      </c>
      <c r="AT217" s="211">
        <v>-99</v>
      </c>
      <c r="AU217" s="211">
        <v>-99</v>
      </c>
      <c r="AV217" s="211">
        <v>-99</v>
      </c>
      <c r="AW217" s="211">
        <v>-99</v>
      </c>
      <c r="AX217" s="211">
        <v>-99</v>
      </c>
      <c r="AZ217" s="211">
        <v>-99</v>
      </c>
      <c r="BA217" s="211">
        <v>-99</v>
      </c>
      <c r="BB217" s="211">
        <v>-99</v>
      </c>
      <c r="BC217" s="211">
        <v>-99</v>
      </c>
      <c r="BD217" s="211">
        <v>-99</v>
      </c>
      <c r="BE217" s="211">
        <v>-99</v>
      </c>
      <c r="BG217" s="211">
        <v>-99</v>
      </c>
      <c r="BH217" s="211">
        <v>-99</v>
      </c>
      <c r="BI217" s="211">
        <v>-99</v>
      </c>
      <c r="BJ217" s="211">
        <v>-99</v>
      </c>
      <c r="BK217" s="211">
        <v>-99</v>
      </c>
      <c r="BL217" s="211">
        <v>-99</v>
      </c>
      <c r="BM217" s="211">
        <v>-99</v>
      </c>
      <c r="BN217" s="191">
        <f t="shared" si="29"/>
        <v>4.3155822499999941E-2</v>
      </c>
      <c r="BO217" s="191">
        <f t="shared" si="30"/>
        <v>5.2983822499999889E-2</v>
      </c>
      <c r="BP217" s="191">
        <f t="shared" si="31"/>
        <v>3.1037160000000119E-2</v>
      </c>
      <c r="BQ217" s="171">
        <f t="shared" si="32"/>
        <v>5.1900000000000002E-2</v>
      </c>
      <c r="BR217" s="171">
        <f t="shared" si="33"/>
        <v>6.3E-2</v>
      </c>
      <c r="BS217" s="171">
        <f t="shared" si="34"/>
        <v>4.2699999999999995E-2</v>
      </c>
      <c r="BT217" s="171">
        <f t="shared" si="35"/>
        <v>5.2300000000000006E-2</v>
      </c>
      <c r="BU217" s="171">
        <f t="shared" si="36"/>
        <v>3.0800000000000001E-2</v>
      </c>
    </row>
    <row r="218" spans="1:73" x14ac:dyDescent="0.3">
      <c r="A218" s="209">
        <v>37895</v>
      </c>
      <c r="B218" s="187">
        <v>200310</v>
      </c>
      <c r="C218" s="176">
        <v>5.33</v>
      </c>
      <c r="D218" s="176">
        <v>6.4</v>
      </c>
      <c r="E218" s="176">
        <v>3</v>
      </c>
      <c r="F218" s="177">
        <v>102.8</v>
      </c>
      <c r="G218" s="210">
        <v>3.1704095112285113E-2</v>
      </c>
      <c r="H218" s="179">
        <v>4.4800000000000004</v>
      </c>
      <c r="I218" s="179">
        <v>5.38</v>
      </c>
      <c r="J218" s="176"/>
      <c r="K218" s="182">
        <v>5.5E-2</v>
      </c>
      <c r="L218" s="182">
        <v>0.03</v>
      </c>
      <c r="N218" s="182">
        <v>0.06</v>
      </c>
      <c r="O218" s="182">
        <v>3.5000000000000003E-2</v>
      </c>
      <c r="Q218" s="182">
        <v>0.05</v>
      </c>
      <c r="R218" s="182">
        <v>6.5000000000000002E-2</v>
      </c>
      <c r="S218" s="182">
        <v>0.03</v>
      </c>
      <c r="T218" s="182">
        <v>0.04</v>
      </c>
      <c r="U218" s="182"/>
      <c r="V218" s="194">
        <v>5.3999999999999999E-2</v>
      </c>
      <c r="W218" s="194">
        <v>6.9000000000000006E-2</v>
      </c>
      <c r="X218" s="194">
        <v>3.5000000000000003E-2</v>
      </c>
      <c r="Y218" s="194">
        <v>4.3999999999999997E-2</v>
      </c>
      <c r="Z218" s="194"/>
      <c r="AA218" s="195">
        <v>5.3586202499999895E-2</v>
      </c>
      <c r="AB218" s="195">
        <v>6.9416658750000471E-2</v>
      </c>
      <c r="AC218" s="195">
        <v>3.4671556965120753E-2</v>
      </c>
      <c r="AD218" s="195">
        <v>4.3786315267439556E-2</v>
      </c>
      <c r="AE218" s="195"/>
      <c r="AF218" s="195">
        <v>9.1404105039666339E-3</v>
      </c>
      <c r="AG218" s="195">
        <v>1.2277581679155158E-2</v>
      </c>
      <c r="AI218" s="182">
        <v>4.5301759999999858E-2</v>
      </c>
      <c r="AJ218" s="182">
        <v>5.4523609999999945E-2</v>
      </c>
      <c r="AK218" s="182">
        <v>3.0224999999999724E-2</v>
      </c>
      <c r="AM218" s="27" t="s">
        <v>135</v>
      </c>
      <c r="AN218" s="7" t="b">
        <f t="shared" si="28"/>
        <v>0</v>
      </c>
      <c r="AP218" s="211">
        <v>-99</v>
      </c>
      <c r="AQ218" s="211">
        <v>-99</v>
      </c>
      <c r="AS218" s="211">
        <v>-99</v>
      </c>
      <c r="AT218" s="211">
        <v>-99</v>
      </c>
      <c r="AU218" s="211">
        <v>-99</v>
      </c>
      <c r="AV218" s="211">
        <v>-99</v>
      </c>
      <c r="AW218" s="211">
        <v>-99</v>
      </c>
      <c r="AX218" s="211">
        <v>-99</v>
      </c>
      <c r="AZ218" s="211">
        <v>-99</v>
      </c>
      <c r="BA218" s="211">
        <v>-99</v>
      </c>
      <c r="BB218" s="211">
        <v>-99</v>
      </c>
      <c r="BC218" s="211">
        <v>-99</v>
      </c>
      <c r="BD218" s="211">
        <v>-99</v>
      </c>
      <c r="BE218" s="211">
        <v>-99</v>
      </c>
      <c r="BG218" s="211">
        <v>-99</v>
      </c>
      <c r="BH218" s="211">
        <v>-99</v>
      </c>
      <c r="BI218" s="211">
        <v>-99</v>
      </c>
      <c r="BJ218" s="211">
        <v>-99</v>
      </c>
      <c r="BK218" s="211">
        <v>-99</v>
      </c>
      <c r="BL218" s="211">
        <v>-99</v>
      </c>
      <c r="BM218" s="211">
        <v>-99</v>
      </c>
      <c r="BN218" s="191">
        <f t="shared" si="29"/>
        <v>4.5301759999999858E-2</v>
      </c>
      <c r="BO218" s="191">
        <f t="shared" si="30"/>
        <v>5.4523609999999945E-2</v>
      </c>
      <c r="BP218" s="191">
        <f t="shared" si="31"/>
        <v>3.0224999999999724E-2</v>
      </c>
      <c r="BQ218" s="171">
        <f t="shared" si="32"/>
        <v>5.33E-2</v>
      </c>
      <c r="BR218" s="171">
        <f t="shared" si="33"/>
        <v>6.4000000000000001E-2</v>
      </c>
      <c r="BS218" s="171">
        <f t="shared" si="34"/>
        <v>4.4800000000000006E-2</v>
      </c>
      <c r="BT218" s="171">
        <f t="shared" si="35"/>
        <v>5.3800000000000001E-2</v>
      </c>
      <c r="BU218" s="171">
        <f t="shared" si="36"/>
        <v>0.03</v>
      </c>
    </row>
    <row r="219" spans="1:73" x14ac:dyDescent="0.3">
      <c r="A219" s="209">
        <v>37926</v>
      </c>
      <c r="B219" s="187">
        <v>200311</v>
      </c>
      <c r="C219" s="176">
        <v>5.24</v>
      </c>
      <c r="D219" s="176">
        <v>6.5</v>
      </c>
      <c r="E219" s="176">
        <v>2.91</v>
      </c>
      <c r="F219" s="177">
        <v>103.1</v>
      </c>
      <c r="G219" s="210">
        <v>2.9624753127057257E-2</v>
      </c>
      <c r="H219" s="179">
        <v>4.45</v>
      </c>
      <c r="I219" s="179">
        <v>5.29</v>
      </c>
      <c r="J219" s="176"/>
      <c r="K219" s="182">
        <v>5.5E-2</v>
      </c>
      <c r="L219" s="182">
        <v>2.5000000000000001E-2</v>
      </c>
      <c r="N219" s="182">
        <v>5.7500000000000002E-2</v>
      </c>
      <c r="O219" s="182">
        <v>3.2500000000000001E-2</v>
      </c>
      <c r="Q219" s="182">
        <v>4.7500000000000001E-2</v>
      </c>
      <c r="R219" s="182">
        <v>6.25E-2</v>
      </c>
      <c r="S219" s="182">
        <v>0.03</v>
      </c>
      <c r="T219" s="182">
        <v>0.04</v>
      </c>
      <c r="U219" s="182"/>
      <c r="V219" s="194">
        <v>5.2000000000000005E-2</v>
      </c>
      <c r="W219" s="194">
        <v>6.7000000000000004E-2</v>
      </c>
      <c r="X219" s="194">
        <v>3.4000000000000002E-2</v>
      </c>
      <c r="Y219" s="194">
        <v>4.3000000000000003E-2</v>
      </c>
      <c r="Z219" s="194"/>
      <c r="AA219" s="195">
        <v>5.2155822499999942E-2</v>
      </c>
      <c r="AB219" s="195">
        <v>6.6897822499999871E-2</v>
      </c>
      <c r="AC219" s="195">
        <v>3.4280059170213817E-2</v>
      </c>
      <c r="AD219" s="195">
        <v>4.2915710414893275E-2</v>
      </c>
      <c r="AE219" s="195"/>
      <c r="AF219" s="195">
        <v>8.6416455443061313E-3</v>
      </c>
      <c r="AG219" s="195">
        <v>1.1497627203048921E-2</v>
      </c>
      <c r="AI219" s="182">
        <v>4.4995062500000182E-2</v>
      </c>
      <c r="AJ219" s="182">
        <v>5.3599602500000065E-2</v>
      </c>
      <c r="AK219" s="182">
        <v>2.9311702500000036E-2</v>
      </c>
      <c r="AM219" s="27" t="s">
        <v>135</v>
      </c>
      <c r="AN219" s="7" t="b">
        <f t="shared" si="28"/>
        <v>0</v>
      </c>
      <c r="AP219" s="211">
        <v>-99</v>
      </c>
      <c r="AQ219" s="211">
        <v>-99</v>
      </c>
      <c r="AS219" s="211">
        <v>-99</v>
      </c>
      <c r="AT219" s="211">
        <v>-99</v>
      </c>
      <c r="AU219" s="211">
        <v>-99</v>
      </c>
      <c r="AV219" s="211">
        <v>-99</v>
      </c>
      <c r="AW219" s="211">
        <v>-99</v>
      </c>
      <c r="AX219" s="211">
        <v>-99</v>
      </c>
      <c r="AZ219" s="211">
        <v>-99</v>
      </c>
      <c r="BA219" s="211">
        <v>-99</v>
      </c>
      <c r="BB219" s="211">
        <v>-99</v>
      </c>
      <c r="BC219" s="211">
        <v>-99</v>
      </c>
      <c r="BD219" s="211">
        <v>-99</v>
      </c>
      <c r="BE219" s="211">
        <v>-99</v>
      </c>
      <c r="BG219" s="211">
        <v>-99</v>
      </c>
      <c r="BH219" s="211">
        <v>-99</v>
      </c>
      <c r="BI219" s="211">
        <v>-99</v>
      </c>
      <c r="BJ219" s="211">
        <v>-99</v>
      </c>
      <c r="BK219" s="211">
        <v>-99</v>
      </c>
      <c r="BL219" s="211">
        <v>-99</v>
      </c>
      <c r="BM219" s="211">
        <v>-99</v>
      </c>
      <c r="BN219" s="191">
        <f t="shared" si="29"/>
        <v>4.4995062500000182E-2</v>
      </c>
      <c r="BO219" s="191">
        <f t="shared" si="30"/>
        <v>5.3599602500000065E-2</v>
      </c>
      <c r="BP219" s="191">
        <f t="shared" si="31"/>
        <v>2.9311702500000036E-2</v>
      </c>
      <c r="BQ219" s="171">
        <f t="shared" si="32"/>
        <v>5.2400000000000002E-2</v>
      </c>
      <c r="BR219" s="171">
        <f t="shared" si="33"/>
        <v>6.5000000000000002E-2</v>
      </c>
      <c r="BS219" s="171">
        <f t="shared" si="34"/>
        <v>4.4500000000000005E-2</v>
      </c>
      <c r="BT219" s="171">
        <f t="shared" si="35"/>
        <v>5.2900000000000003E-2</v>
      </c>
      <c r="BU219" s="171">
        <f t="shared" si="36"/>
        <v>2.9100000000000001E-2</v>
      </c>
    </row>
    <row r="220" spans="1:73" x14ac:dyDescent="0.3">
      <c r="A220" s="212">
        <v>37956</v>
      </c>
      <c r="B220" s="218">
        <v>200312</v>
      </c>
      <c r="C220" s="213">
        <v>5.14</v>
      </c>
      <c r="D220" s="213">
        <v>6.45</v>
      </c>
      <c r="E220" s="213">
        <v>2.79</v>
      </c>
      <c r="F220" s="177">
        <v>103.2</v>
      </c>
      <c r="G220" s="214">
        <v>2.8215223097112663E-2</v>
      </c>
      <c r="H220" s="215">
        <v>4.3</v>
      </c>
      <c r="I220" s="215">
        <v>5.2</v>
      </c>
      <c r="J220" s="213"/>
      <c r="K220" s="216">
        <v>5.5E-2</v>
      </c>
      <c r="L220" s="216">
        <v>0.03</v>
      </c>
      <c r="M220" s="216"/>
      <c r="N220" s="216">
        <v>0.06</v>
      </c>
      <c r="O220" s="216">
        <v>3.2500000000000001E-2</v>
      </c>
      <c r="P220" s="217"/>
      <c r="Q220" s="182">
        <v>0.05</v>
      </c>
      <c r="R220" s="182">
        <v>6.5000000000000002E-2</v>
      </c>
      <c r="S220" s="182">
        <v>0.03</v>
      </c>
      <c r="T220" s="182">
        <v>3.7499999999999999E-2</v>
      </c>
      <c r="U220" s="182"/>
      <c r="V220" s="194">
        <v>5.3999999999999999E-2</v>
      </c>
      <c r="W220" s="194">
        <v>6.8000000000000005E-2</v>
      </c>
      <c r="X220" s="194">
        <v>3.4000000000000002E-2</v>
      </c>
      <c r="Y220" s="194">
        <v>4.2000000000000003E-2</v>
      </c>
      <c r="Z220" s="194"/>
      <c r="AA220" s="195">
        <v>5.4301759999999859E-2</v>
      </c>
      <c r="AB220" s="195">
        <v>6.8134534999999996E-2</v>
      </c>
      <c r="AC220" s="195">
        <v>3.4112895055921369E-2</v>
      </c>
      <c r="AD220" s="195">
        <v>4.1781052472038907E-2</v>
      </c>
      <c r="AE220" s="195"/>
      <c r="AF220" s="195">
        <v>9.7614414444501252E-3</v>
      </c>
      <c r="AG220" s="195">
        <v>1.2648282700778113E-2</v>
      </c>
      <c r="AI220" s="182">
        <v>4.3462250000000147E-2</v>
      </c>
      <c r="AJ220" s="182">
        <v>5.2675999999999945E-2</v>
      </c>
      <c r="AK220" s="182">
        <v>2.8094602499999732E-2</v>
      </c>
      <c r="AM220" s="27" t="s">
        <v>135</v>
      </c>
      <c r="AN220" s="7" t="b">
        <f t="shared" si="28"/>
        <v>0</v>
      </c>
      <c r="AP220" s="211">
        <v>-99</v>
      </c>
      <c r="AQ220" s="211">
        <v>-99</v>
      </c>
      <c r="AS220" s="211">
        <v>-99</v>
      </c>
      <c r="AT220" s="211">
        <v>-99</v>
      </c>
      <c r="AU220" s="211">
        <v>-99</v>
      </c>
      <c r="AV220" s="211">
        <v>-99</v>
      </c>
      <c r="AW220" s="211">
        <v>-99</v>
      </c>
      <c r="AX220" s="211">
        <v>-99</v>
      </c>
      <c r="AZ220" s="211">
        <v>-99</v>
      </c>
      <c r="BA220" s="211">
        <v>-99</v>
      </c>
      <c r="BB220" s="211">
        <v>-99</v>
      </c>
      <c r="BC220" s="211">
        <v>-99</v>
      </c>
      <c r="BD220" s="211">
        <v>-99</v>
      </c>
      <c r="BE220" s="211">
        <v>-99</v>
      </c>
      <c r="BG220" s="211">
        <v>-99</v>
      </c>
      <c r="BH220" s="211">
        <v>-99</v>
      </c>
      <c r="BI220" s="211">
        <v>-99</v>
      </c>
      <c r="BJ220" s="211">
        <v>-99</v>
      </c>
      <c r="BK220" s="211">
        <v>-99</v>
      </c>
      <c r="BL220" s="211">
        <v>-99</v>
      </c>
      <c r="BM220" s="211">
        <v>-99</v>
      </c>
      <c r="BN220" s="191">
        <f t="shared" si="29"/>
        <v>4.3462250000000147E-2</v>
      </c>
      <c r="BO220" s="191">
        <f t="shared" si="30"/>
        <v>5.2675999999999945E-2</v>
      </c>
      <c r="BP220" s="191">
        <f t="shared" si="31"/>
        <v>2.8094602499999732E-2</v>
      </c>
      <c r="BQ220" s="171">
        <f t="shared" si="32"/>
        <v>5.1399999999999994E-2</v>
      </c>
      <c r="BR220" s="171">
        <f t="shared" si="33"/>
        <v>6.4500000000000002E-2</v>
      </c>
      <c r="BS220" s="171">
        <f t="shared" si="34"/>
        <v>4.2999999999999997E-2</v>
      </c>
      <c r="BT220" s="171">
        <f t="shared" si="35"/>
        <v>5.2000000000000005E-2</v>
      </c>
      <c r="BU220" s="171">
        <f t="shared" si="36"/>
        <v>2.7900000000000001E-2</v>
      </c>
    </row>
    <row r="221" spans="1:73" x14ac:dyDescent="0.3">
      <c r="A221" s="209">
        <v>37987</v>
      </c>
      <c r="B221" s="187">
        <v>200401</v>
      </c>
      <c r="C221" s="176">
        <v>5.15</v>
      </c>
      <c r="D221" s="176">
        <v>6.05</v>
      </c>
      <c r="E221" s="176">
        <v>2.57</v>
      </c>
      <c r="F221" s="177">
        <v>103.3</v>
      </c>
      <c r="G221" s="210">
        <v>2.4836601307189676E-2</v>
      </c>
      <c r="H221" s="179">
        <v>4.17</v>
      </c>
      <c r="I221" s="179">
        <v>5.23</v>
      </c>
      <c r="J221" s="176"/>
      <c r="K221" s="182">
        <v>5.5E-2</v>
      </c>
      <c r="L221" s="182">
        <v>3.5000000000000003E-2</v>
      </c>
      <c r="N221" s="182">
        <v>5.7500000000000002E-2</v>
      </c>
      <c r="O221" s="182">
        <v>3.2500000000000001E-2</v>
      </c>
      <c r="Q221" s="182">
        <v>0.05</v>
      </c>
      <c r="R221" s="182">
        <v>6.25E-2</v>
      </c>
      <c r="S221" s="182">
        <v>0.03</v>
      </c>
      <c r="T221" s="182">
        <v>3.7499999999999999E-2</v>
      </c>
      <c r="U221" s="182"/>
      <c r="V221" s="194">
        <v>5.3999999999999999E-2</v>
      </c>
      <c r="W221" s="194">
        <v>6.7000000000000004E-2</v>
      </c>
      <c r="X221" s="194">
        <v>3.4000000000000002E-2</v>
      </c>
      <c r="Y221" s="194">
        <v>4.1000000000000002E-2</v>
      </c>
      <c r="Z221" s="194"/>
      <c r="AA221" s="195">
        <v>5.3995062500000184E-2</v>
      </c>
      <c r="AB221" s="195">
        <v>6.6901872500000015E-2</v>
      </c>
      <c r="AC221" s="195">
        <v>3.3606187815831502E-2</v>
      </c>
      <c r="AD221" s="195">
        <v>4.0664459842084305E-2</v>
      </c>
      <c r="AE221" s="195"/>
      <c r="AF221" s="195">
        <v>9.8629801778050696E-3</v>
      </c>
      <c r="AG221" s="195">
        <v>1.260608662560514E-2</v>
      </c>
      <c r="AI221" s="182">
        <v>4.2134722500000166E-2</v>
      </c>
      <c r="AJ221" s="182">
        <v>5.2983822499999889E-2</v>
      </c>
      <c r="AK221" s="182">
        <v>2.5865122499999949E-2</v>
      </c>
      <c r="AM221" s="27" t="s">
        <v>135</v>
      </c>
      <c r="AN221" s="7" t="b">
        <f t="shared" si="28"/>
        <v>0</v>
      </c>
      <c r="AP221" s="211">
        <v>-99</v>
      </c>
      <c r="AQ221" s="211">
        <v>-99</v>
      </c>
      <c r="AS221" s="211">
        <v>-99</v>
      </c>
      <c r="AT221" s="211">
        <v>-99</v>
      </c>
      <c r="AU221" s="211">
        <v>-99</v>
      </c>
      <c r="AV221" s="211">
        <v>-99</v>
      </c>
      <c r="AW221" s="211">
        <v>-99</v>
      </c>
      <c r="AX221" s="211">
        <v>-99</v>
      </c>
      <c r="AZ221" s="211">
        <v>-99</v>
      </c>
      <c r="BA221" s="211">
        <v>-99</v>
      </c>
      <c r="BB221" s="211">
        <v>-99</v>
      </c>
      <c r="BC221" s="211">
        <v>-99</v>
      </c>
      <c r="BD221" s="211">
        <v>-99</v>
      </c>
      <c r="BE221" s="211">
        <v>-99</v>
      </c>
      <c r="BG221" s="211">
        <v>-99</v>
      </c>
      <c r="BH221" s="211">
        <v>-99</v>
      </c>
      <c r="BI221" s="211">
        <v>-99</v>
      </c>
      <c r="BJ221" s="211">
        <v>-99</v>
      </c>
      <c r="BK221" s="211">
        <v>-99</v>
      </c>
      <c r="BL221" s="211">
        <v>-99</v>
      </c>
      <c r="BM221" s="211">
        <v>-99</v>
      </c>
      <c r="BN221" s="191">
        <f t="shared" si="29"/>
        <v>4.2134722500000166E-2</v>
      </c>
      <c r="BO221" s="191">
        <f t="shared" si="30"/>
        <v>5.2983822499999889E-2</v>
      </c>
      <c r="BP221" s="191">
        <f t="shared" si="31"/>
        <v>2.5865122499999949E-2</v>
      </c>
      <c r="BQ221" s="171">
        <f t="shared" si="32"/>
        <v>5.1500000000000004E-2</v>
      </c>
      <c r="BR221" s="171">
        <f t="shared" si="33"/>
        <v>6.0499999999999998E-2</v>
      </c>
      <c r="BS221" s="171">
        <f t="shared" si="34"/>
        <v>4.1700000000000001E-2</v>
      </c>
      <c r="BT221" s="171">
        <f t="shared" si="35"/>
        <v>5.2300000000000006E-2</v>
      </c>
      <c r="BU221" s="171">
        <f t="shared" si="36"/>
        <v>2.5699999999999997E-2</v>
      </c>
    </row>
    <row r="222" spans="1:73" x14ac:dyDescent="0.3">
      <c r="A222" s="209">
        <v>38018</v>
      </c>
      <c r="B222" s="187">
        <v>200402</v>
      </c>
      <c r="C222" s="176">
        <v>4.9800000000000004</v>
      </c>
      <c r="D222" s="176">
        <v>5.8</v>
      </c>
      <c r="E222" s="176">
        <v>2.56</v>
      </c>
      <c r="F222" s="177">
        <v>103.5</v>
      </c>
      <c r="G222" s="210">
        <v>2.1484375E-2</v>
      </c>
      <c r="H222" s="179">
        <v>3.94</v>
      </c>
      <c r="I222" s="179">
        <v>5.09</v>
      </c>
      <c r="J222" s="176"/>
      <c r="K222" s="182">
        <v>5.5E-2</v>
      </c>
      <c r="L222" s="182">
        <v>3.5000000000000003E-2</v>
      </c>
      <c r="N222" s="182">
        <v>5.7500000000000002E-2</v>
      </c>
      <c r="O222" s="182">
        <v>0.03</v>
      </c>
      <c r="Q222" s="182">
        <v>4.7500000000000001E-2</v>
      </c>
      <c r="R222" s="182">
        <v>6.25E-2</v>
      </c>
      <c r="S222" s="182">
        <v>2.75E-2</v>
      </c>
      <c r="T222" s="182">
        <v>3.5000000000000003E-2</v>
      </c>
      <c r="U222" s="182"/>
      <c r="V222" s="194">
        <v>5.2000000000000005E-2</v>
      </c>
      <c r="W222" s="194">
        <v>6.6000000000000003E-2</v>
      </c>
      <c r="X222" s="194">
        <v>3.2000000000000001E-2</v>
      </c>
      <c r="Y222" s="194">
        <v>0.04</v>
      </c>
      <c r="Z222" s="194"/>
      <c r="AA222" s="195">
        <v>5.2462250000000148E-2</v>
      </c>
      <c r="AB222" s="195">
        <v>6.6282874999999852E-2</v>
      </c>
      <c r="AC222" s="195">
        <v>3.2180473792725692E-2</v>
      </c>
      <c r="AD222" s="195">
        <v>3.9551666853636751E-2</v>
      </c>
      <c r="AE222" s="195"/>
      <c r="AF222" s="195">
        <v>9.8247238357210831E-3</v>
      </c>
      <c r="AG222" s="195">
        <v>1.2857084933194929E-2</v>
      </c>
      <c r="AI222" s="182">
        <v>3.9788090000000054E-2</v>
      </c>
      <c r="AJ222" s="182">
        <v>5.1547702499999959E-2</v>
      </c>
      <c r="AK222" s="182">
        <v>2.576383999999976E-2</v>
      </c>
      <c r="AM222" s="27" t="s">
        <v>135</v>
      </c>
      <c r="AN222" s="7" t="b">
        <f t="shared" si="28"/>
        <v>0</v>
      </c>
      <c r="AP222" s="211">
        <v>-99</v>
      </c>
      <c r="AQ222" s="211">
        <v>-99</v>
      </c>
      <c r="AS222" s="211">
        <v>-99</v>
      </c>
      <c r="AT222" s="211">
        <v>-99</v>
      </c>
      <c r="AU222" s="211">
        <v>-99</v>
      </c>
      <c r="AV222" s="211">
        <v>-99</v>
      </c>
      <c r="AW222" s="211">
        <v>-99</v>
      </c>
      <c r="AX222" s="211">
        <v>-99</v>
      </c>
      <c r="AZ222" s="211">
        <v>-99</v>
      </c>
      <c r="BA222" s="211">
        <v>-99</v>
      </c>
      <c r="BB222" s="211">
        <v>-99</v>
      </c>
      <c r="BC222" s="211">
        <v>-99</v>
      </c>
      <c r="BD222" s="211">
        <v>-99</v>
      </c>
      <c r="BE222" s="211">
        <v>-99</v>
      </c>
      <c r="BG222" s="211">
        <v>-99</v>
      </c>
      <c r="BH222" s="211">
        <v>-99</v>
      </c>
      <c r="BI222" s="211">
        <v>-99</v>
      </c>
      <c r="BJ222" s="211">
        <v>-99</v>
      </c>
      <c r="BK222" s="211">
        <v>-99</v>
      </c>
      <c r="BL222" s="211">
        <v>-99</v>
      </c>
      <c r="BM222" s="211">
        <v>-99</v>
      </c>
      <c r="BN222" s="191">
        <f t="shared" si="29"/>
        <v>3.9788090000000054E-2</v>
      </c>
      <c r="BO222" s="191">
        <f t="shared" si="30"/>
        <v>5.1547702499999959E-2</v>
      </c>
      <c r="BP222" s="191">
        <f t="shared" si="31"/>
        <v>2.576383999999976E-2</v>
      </c>
      <c r="BQ222" s="171">
        <f t="shared" si="32"/>
        <v>4.9800000000000004E-2</v>
      </c>
      <c r="BR222" s="171">
        <f t="shared" si="33"/>
        <v>5.7999999999999996E-2</v>
      </c>
      <c r="BS222" s="171">
        <f t="shared" si="34"/>
        <v>3.9399999999999998E-2</v>
      </c>
      <c r="BT222" s="171">
        <f t="shared" si="35"/>
        <v>5.0900000000000001E-2</v>
      </c>
      <c r="BU222" s="171">
        <f t="shared" si="36"/>
        <v>2.5600000000000001E-2</v>
      </c>
    </row>
    <row r="223" spans="1:73" x14ac:dyDescent="0.3">
      <c r="A223" s="209">
        <v>38047</v>
      </c>
      <c r="B223" s="187">
        <v>200403</v>
      </c>
      <c r="C223" s="176">
        <v>4.9400000000000004</v>
      </c>
      <c r="D223" s="176">
        <v>5.7</v>
      </c>
      <c r="E223" s="176">
        <v>2.39</v>
      </c>
      <c r="F223" s="177">
        <v>103.9</v>
      </c>
      <c r="G223" s="210">
        <v>1.8818948734588004E-2</v>
      </c>
      <c r="H223" s="179">
        <v>3.83</v>
      </c>
      <c r="I223" s="179">
        <v>5.04</v>
      </c>
      <c r="J223" s="176"/>
      <c r="K223" s="182">
        <v>5.5E-2</v>
      </c>
      <c r="L223" s="182">
        <v>3.5000000000000003E-2</v>
      </c>
      <c r="N223" s="182">
        <v>5.7500000000000002E-2</v>
      </c>
      <c r="O223" s="182">
        <v>2.75E-2</v>
      </c>
      <c r="Q223" s="182">
        <v>4.7500000000000001E-2</v>
      </c>
      <c r="R223" s="182">
        <v>6.25E-2</v>
      </c>
      <c r="S223" s="182">
        <v>2.5000000000000001E-2</v>
      </c>
      <c r="T223" s="182">
        <v>3.2500000000000001E-2</v>
      </c>
      <c r="U223" s="182"/>
      <c r="V223" s="194">
        <v>5.1000000000000004E-2</v>
      </c>
      <c r="W223" s="194">
        <v>6.7000000000000004E-2</v>
      </c>
      <c r="X223" s="194">
        <v>0.03</v>
      </c>
      <c r="Y223" s="194">
        <v>3.7999999999999999E-2</v>
      </c>
      <c r="Z223" s="194"/>
      <c r="AA223" s="195">
        <v>5.1134722500000167E-2</v>
      </c>
      <c r="AB223" s="195">
        <v>6.7408372499999758E-2</v>
      </c>
      <c r="AC223" s="195">
        <v>2.9568915331958368E-2</v>
      </c>
      <c r="AD223" s="195">
        <v>3.7513226084020738E-2</v>
      </c>
      <c r="AE223" s="195"/>
      <c r="AF223" s="195">
        <v>1.0473221776071462E-2</v>
      </c>
      <c r="AG223" s="195">
        <v>1.4407115815195382E-2</v>
      </c>
      <c r="AI223" s="182">
        <v>3.8666722499999917E-2</v>
      </c>
      <c r="AJ223" s="182">
        <v>5.1035039999999698E-2</v>
      </c>
      <c r="AK223" s="182">
        <v>2.4042802499999905E-2</v>
      </c>
      <c r="AM223" s="27" t="s">
        <v>135</v>
      </c>
      <c r="AN223" s="7" t="b">
        <f t="shared" si="28"/>
        <v>0</v>
      </c>
      <c r="AP223" s="211">
        <v>-99</v>
      </c>
      <c r="AQ223" s="211">
        <v>-99</v>
      </c>
      <c r="AS223" s="211">
        <v>-99</v>
      </c>
      <c r="AT223" s="211">
        <v>-99</v>
      </c>
      <c r="AU223" s="211">
        <v>-99</v>
      </c>
      <c r="AV223" s="211">
        <v>-99</v>
      </c>
      <c r="AW223" s="211">
        <v>-99</v>
      </c>
      <c r="AX223" s="211">
        <v>-99</v>
      </c>
      <c r="AZ223" s="211">
        <v>-99</v>
      </c>
      <c r="BA223" s="211">
        <v>-99</v>
      </c>
      <c r="BB223" s="211">
        <v>-99</v>
      </c>
      <c r="BC223" s="211">
        <v>-99</v>
      </c>
      <c r="BD223" s="211">
        <v>-99</v>
      </c>
      <c r="BE223" s="211">
        <v>-99</v>
      </c>
      <c r="BG223" s="211">
        <v>-99</v>
      </c>
      <c r="BH223" s="211">
        <v>-99</v>
      </c>
      <c r="BI223" s="211">
        <v>-99</v>
      </c>
      <c r="BJ223" s="211">
        <v>-99</v>
      </c>
      <c r="BK223" s="211">
        <v>-99</v>
      </c>
      <c r="BL223" s="211">
        <v>-99</v>
      </c>
      <c r="BM223" s="211">
        <v>-99</v>
      </c>
      <c r="BN223" s="191">
        <f t="shared" si="29"/>
        <v>3.8666722499999917E-2</v>
      </c>
      <c r="BO223" s="191">
        <f t="shared" si="30"/>
        <v>5.1035039999999698E-2</v>
      </c>
      <c r="BP223" s="191">
        <f t="shared" si="31"/>
        <v>2.4042802499999905E-2</v>
      </c>
      <c r="BQ223" s="171">
        <f t="shared" si="32"/>
        <v>4.9400000000000006E-2</v>
      </c>
      <c r="BR223" s="171">
        <f t="shared" si="33"/>
        <v>5.7000000000000002E-2</v>
      </c>
      <c r="BS223" s="171">
        <f t="shared" si="34"/>
        <v>3.8300000000000001E-2</v>
      </c>
      <c r="BT223" s="171">
        <f t="shared" si="35"/>
        <v>5.04E-2</v>
      </c>
      <c r="BU223" s="171">
        <f t="shared" si="36"/>
        <v>2.3900000000000001E-2</v>
      </c>
    </row>
    <row r="224" spans="1:73" x14ac:dyDescent="0.3">
      <c r="A224" s="209">
        <v>38078</v>
      </c>
      <c r="B224" s="187">
        <v>200404</v>
      </c>
      <c r="C224" s="176">
        <v>5.23</v>
      </c>
      <c r="D224" s="176">
        <v>6.15</v>
      </c>
      <c r="E224" s="176">
        <v>2.46</v>
      </c>
      <c r="F224" s="177">
        <v>104.1</v>
      </c>
      <c r="G224" s="210">
        <v>1.7475728155339709E-2</v>
      </c>
      <c r="H224" s="179">
        <v>4.26</v>
      </c>
      <c r="I224" s="179">
        <v>5.31</v>
      </c>
      <c r="J224" s="176"/>
      <c r="K224" s="182">
        <v>0.05</v>
      </c>
      <c r="L224" s="182">
        <v>3.5000000000000003E-2</v>
      </c>
      <c r="N224" s="182">
        <v>5.5E-2</v>
      </c>
      <c r="O224" s="182">
        <v>2.75E-2</v>
      </c>
      <c r="Q224" s="182">
        <v>4.4999999999999998E-2</v>
      </c>
      <c r="R224" s="182">
        <v>6.25E-2</v>
      </c>
      <c r="S224" s="182">
        <v>2.5000000000000001E-2</v>
      </c>
      <c r="T224" s="182">
        <v>3.2500000000000001E-2</v>
      </c>
      <c r="U224" s="182"/>
      <c r="V224" s="194">
        <v>4.9000000000000002E-2</v>
      </c>
      <c r="W224" s="194">
        <v>6.6000000000000003E-2</v>
      </c>
      <c r="X224" s="194">
        <v>2.9000000000000001E-2</v>
      </c>
      <c r="Y224" s="194">
        <v>3.7999999999999999E-2</v>
      </c>
      <c r="Z224" s="194"/>
      <c r="AA224" s="195">
        <v>4.8788090000000055E-2</v>
      </c>
      <c r="AB224" s="195">
        <v>6.642750874999992E-2</v>
      </c>
      <c r="AC224" s="195">
        <v>2.8886317623284818E-2</v>
      </c>
      <c r="AD224" s="195">
        <v>3.7702601188357235E-2</v>
      </c>
      <c r="AE224" s="195"/>
      <c r="AF224" s="195">
        <v>9.6715118258584587E-3</v>
      </c>
      <c r="AG224" s="195">
        <v>1.3840626172059056E-2</v>
      </c>
      <c r="AI224" s="182">
        <v>4.3053690000000255E-2</v>
      </c>
      <c r="AJ224" s="182">
        <v>5.3804902500000251E-2</v>
      </c>
      <c r="AK224" s="182">
        <v>2.4751289999999981E-2</v>
      </c>
      <c r="AM224" s="27" t="s">
        <v>135</v>
      </c>
      <c r="AN224" s="7" t="b">
        <f t="shared" si="28"/>
        <v>0</v>
      </c>
      <c r="AP224" s="211">
        <v>-99</v>
      </c>
      <c r="AQ224" s="211">
        <v>-99</v>
      </c>
      <c r="AS224" s="211">
        <v>-99</v>
      </c>
      <c r="AT224" s="211">
        <v>-99</v>
      </c>
      <c r="AU224" s="211">
        <v>-99</v>
      </c>
      <c r="AV224" s="211">
        <v>-99</v>
      </c>
      <c r="AW224" s="211">
        <v>-99</v>
      </c>
      <c r="AX224" s="211">
        <v>-99</v>
      </c>
      <c r="AZ224" s="211">
        <v>-99</v>
      </c>
      <c r="BA224" s="211">
        <v>-99</v>
      </c>
      <c r="BB224" s="211">
        <v>-99</v>
      </c>
      <c r="BC224" s="211">
        <v>-99</v>
      </c>
      <c r="BD224" s="211">
        <v>-99</v>
      </c>
      <c r="BE224" s="211">
        <v>-99</v>
      </c>
      <c r="BG224" s="211">
        <v>-99</v>
      </c>
      <c r="BH224" s="211">
        <v>-99</v>
      </c>
      <c r="BI224" s="211">
        <v>-99</v>
      </c>
      <c r="BJ224" s="211">
        <v>-99</v>
      </c>
      <c r="BK224" s="211">
        <v>-99</v>
      </c>
      <c r="BL224" s="211">
        <v>-99</v>
      </c>
      <c r="BM224" s="211">
        <v>-99</v>
      </c>
      <c r="BN224" s="191">
        <f t="shared" si="29"/>
        <v>4.3053690000000255E-2</v>
      </c>
      <c r="BO224" s="191">
        <f t="shared" si="30"/>
        <v>5.3804902500000251E-2</v>
      </c>
      <c r="BP224" s="191">
        <f t="shared" si="31"/>
        <v>2.4751289999999981E-2</v>
      </c>
      <c r="BQ224" s="171">
        <f t="shared" si="32"/>
        <v>5.2300000000000006E-2</v>
      </c>
      <c r="BR224" s="171">
        <f t="shared" si="33"/>
        <v>6.1500000000000006E-2</v>
      </c>
      <c r="BS224" s="171">
        <f t="shared" si="34"/>
        <v>4.2599999999999999E-2</v>
      </c>
      <c r="BT224" s="171">
        <f t="shared" si="35"/>
        <v>5.3099999999999994E-2</v>
      </c>
      <c r="BU224" s="171">
        <f t="shared" si="36"/>
        <v>2.46E-2</v>
      </c>
    </row>
    <row r="225" spans="1:73" x14ac:dyDescent="0.3">
      <c r="A225" s="209">
        <v>38108</v>
      </c>
      <c r="B225" s="187">
        <v>200405</v>
      </c>
      <c r="C225" s="176">
        <v>5.23</v>
      </c>
      <c r="D225" s="176">
        <v>6.5</v>
      </c>
      <c r="E225" s="176">
        <v>2.3199999999999998</v>
      </c>
      <c r="F225" s="177">
        <v>105</v>
      </c>
      <c r="G225" s="210">
        <v>1.6785022595222632E-2</v>
      </c>
      <c r="H225" s="179">
        <v>4.38</v>
      </c>
      <c r="I225" s="179">
        <v>5.32</v>
      </c>
      <c r="J225" s="176"/>
      <c r="K225" s="182">
        <v>0.05</v>
      </c>
      <c r="L225" s="182">
        <v>3.5000000000000003E-2</v>
      </c>
      <c r="N225" s="182">
        <v>5.5E-2</v>
      </c>
      <c r="O225" s="182">
        <v>2.75E-2</v>
      </c>
      <c r="Q225" s="182">
        <v>4.2500000000000003E-2</v>
      </c>
      <c r="R225" s="182">
        <v>6.25E-2</v>
      </c>
      <c r="S225" s="182">
        <v>2.2499999999999999E-2</v>
      </c>
      <c r="T225" s="182">
        <v>3.2500000000000001E-2</v>
      </c>
      <c r="U225" s="182"/>
      <c r="V225" s="194">
        <v>4.8000000000000001E-2</v>
      </c>
      <c r="W225" s="194">
        <v>6.6000000000000003E-2</v>
      </c>
      <c r="X225" s="194">
        <v>2.7E-2</v>
      </c>
      <c r="Y225" s="194">
        <v>3.6000000000000004E-2</v>
      </c>
      <c r="Z225" s="194"/>
      <c r="AA225" s="195">
        <v>4.7666722499999918E-2</v>
      </c>
      <c r="AB225" s="195">
        <v>6.6219198749999597E-2</v>
      </c>
      <c r="AC225" s="195">
        <v>2.7216040829786872E-2</v>
      </c>
      <c r="AD225" s="195">
        <v>3.5956183335106424E-2</v>
      </c>
      <c r="AE225" s="195"/>
      <c r="AF225" s="195">
        <v>9.9544209092047309E-3</v>
      </c>
      <c r="AG225" s="195">
        <v>1.4606320181161481E-2</v>
      </c>
      <c r="AI225" s="182">
        <v>4.4279610000000025E-2</v>
      </c>
      <c r="AJ225" s="182">
        <v>5.3907559999999854E-2</v>
      </c>
      <c r="AK225" s="182">
        <v>2.3334560000000115E-2</v>
      </c>
      <c r="AM225" s="27" t="s">
        <v>135</v>
      </c>
      <c r="AN225" s="7" t="b">
        <f t="shared" si="28"/>
        <v>0</v>
      </c>
      <c r="AP225" s="211">
        <v>-99</v>
      </c>
      <c r="AQ225" s="211">
        <v>-99</v>
      </c>
      <c r="AS225" s="211">
        <v>-99</v>
      </c>
      <c r="AT225" s="211">
        <v>-99</v>
      </c>
      <c r="AU225" s="211">
        <v>-99</v>
      </c>
      <c r="AV225" s="211">
        <v>-99</v>
      </c>
      <c r="AW225" s="211">
        <v>-99</v>
      </c>
      <c r="AX225" s="211">
        <v>-99</v>
      </c>
      <c r="AZ225" s="211">
        <v>-99</v>
      </c>
      <c r="BA225" s="211">
        <v>-99</v>
      </c>
      <c r="BB225" s="211">
        <v>-99</v>
      </c>
      <c r="BC225" s="211">
        <v>-99</v>
      </c>
      <c r="BD225" s="211">
        <v>-99</v>
      </c>
      <c r="BE225" s="211">
        <v>-99</v>
      </c>
      <c r="BG225" s="211">
        <v>-99</v>
      </c>
      <c r="BH225" s="211">
        <v>-99</v>
      </c>
      <c r="BI225" s="211">
        <v>-99</v>
      </c>
      <c r="BJ225" s="211">
        <v>-99</v>
      </c>
      <c r="BK225" s="211">
        <v>-99</v>
      </c>
      <c r="BL225" s="211">
        <v>-99</v>
      </c>
      <c r="BM225" s="211">
        <v>-99</v>
      </c>
      <c r="BN225" s="191">
        <f t="shared" si="29"/>
        <v>4.4279610000000025E-2</v>
      </c>
      <c r="BO225" s="191">
        <f t="shared" si="30"/>
        <v>5.3907559999999854E-2</v>
      </c>
      <c r="BP225" s="191">
        <f t="shared" si="31"/>
        <v>2.3334560000000115E-2</v>
      </c>
      <c r="BQ225" s="171">
        <f t="shared" si="32"/>
        <v>5.2300000000000006E-2</v>
      </c>
      <c r="BR225" s="171">
        <f t="shared" si="33"/>
        <v>6.5000000000000002E-2</v>
      </c>
      <c r="BS225" s="171">
        <f t="shared" si="34"/>
        <v>4.3799999999999999E-2</v>
      </c>
      <c r="BT225" s="171">
        <f t="shared" si="35"/>
        <v>5.3200000000000004E-2</v>
      </c>
      <c r="BU225" s="171">
        <f t="shared" si="36"/>
        <v>2.3199999999999998E-2</v>
      </c>
    </row>
    <row r="226" spans="1:73" x14ac:dyDescent="0.3">
      <c r="A226" s="209">
        <v>38139</v>
      </c>
      <c r="B226" s="187">
        <v>200406</v>
      </c>
      <c r="C226" s="176">
        <v>5.3</v>
      </c>
      <c r="D226" s="176">
        <v>6.7</v>
      </c>
      <c r="E226" s="176">
        <v>2.37</v>
      </c>
      <c r="F226" s="177">
        <v>105.1</v>
      </c>
      <c r="G226" s="210">
        <v>1.7396907216495006E-2</v>
      </c>
      <c r="H226" s="179">
        <v>4.46</v>
      </c>
      <c r="I226" s="179">
        <v>5.33</v>
      </c>
      <c r="J226" s="176"/>
      <c r="K226" s="182">
        <v>5.5E-2</v>
      </c>
      <c r="L226" s="182">
        <v>0.04</v>
      </c>
      <c r="N226" s="182">
        <v>5.7500000000000002E-2</v>
      </c>
      <c r="O226" s="182">
        <v>2.75E-2</v>
      </c>
      <c r="Q226" s="182">
        <v>4.7500000000000001E-2</v>
      </c>
      <c r="R226" s="182">
        <v>6.5000000000000002E-2</v>
      </c>
      <c r="S226" s="182">
        <v>2.5000000000000001E-2</v>
      </c>
      <c r="T226" s="182">
        <v>3.2500000000000001E-2</v>
      </c>
      <c r="U226" s="182"/>
      <c r="V226" s="194">
        <v>5.2000000000000005E-2</v>
      </c>
      <c r="W226" s="194">
        <v>6.8000000000000005E-2</v>
      </c>
      <c r="X226" s="194">
        <v>2.9000000000000001E-2</v>
      </c>
      <c r="Y226" s="194">
        <v>3.6000000000000004E-2</v>
      </c>
      <c r="Z226" s="194"/>
      <c r="AA226" s="195">
        <v>5.2053690000000256E-2</v>
      </c>
      <c r="AB226" s="195">
        <v>6.8180508750000257E-2</v>
      </c>
      <c r="AC226" s="195">
        <v>2.8805525467871643E-2</v>
      </c>
      <c r="AD226" s="195">
        <v>3.6224172266064156E-2</v>
      </c>
      <c r="AE226" s="195"/>
      <c r="AF226" s="195">
        <v>1.1298619591664782E-2</v>
      </c>
      <c r="AG226" s="195">
        <v>1.5419605785711665E-2</v>
      </c>
      <c r="AI226" s="182">
        <v>4.5097289999999957E-2</v>
      </c>
      <c r="AJ226" s="182">
        <v>5.4010222500000094E-2</v>
      </c>
      <c r="AK226" s="182">
        <v>2.3840422499999736E-2</v>
      </c>
      <c r="AM226" s="27" t="s">
        <v>135</v>
      </c>
      <c r="AN226" s="7" t="b">
        <f t="shared" si="28"/>
        <v>0</v>
      </c>
      <c r="AP226" s="211">
        <v>-99</v>
      </c>
      <c r="AQ226" s="211">
        <v>-99</v>
      </c>
      <c r="AS226" s="211">
        <v>-99</v>
      </c>
      <c r="AT226" s="211">
        <v>-99</v>
      </c>
      <c r="AU226" s="211">
        <v>-99</v>
      </c>
      <c r="AV226" s="211">
        <v>-99</v>
      </c>
      <c r="AW226" s="211">
        <v>-99</v>
      </c>
      <c r="AX226" s="211">
        <v>-99</v>
      </c>
      <c r="AZ226" s="211">
        <v>-99</v>
      </c>
      <c r="BA226" s="211">
        <v>-99</v>
      </c>
      <c r="BB226" s="211">
        <v>-99</v>
      </c>
      <c r="BC226" s="211">
        <v>-99</v>
      </c>
      <c r="BD226" s="211">
        <v>-99</v>
      </c>
      <c r="BE226" s="211">
        <v>-99</v>
      </c>
      <c r="BG226" s="211">
        <v>-99</v>
      </c>
      <c r="BH226" s="211">
        <v>-99</v>
      </c>
      <c r="BI226" s="211">
        <v>-99</v>
      </c>
      <c r="BJ226" s="211">
        <v>-99</v>
      </c>
      <c r="BK226" s="211">
        <v>-99</v>
      </c>
      <c r="BL226" s="211">
        <v>-99</v>
      </c>
      <c r="BM226" s="211">
        <v>-99</v>
      </c>
      <c r="BN226" s="191">
        <f t="shared" si="29"/>
        <v>4.5097289999999957E-2</v>
      </c>
      <c r="BO226" s="191">
        <f t="shared" si="30"/>
        <v>5.4010222500000094E-2</v>
      </c>
      <c r="BP226" s="191">
        <f t="shared" si="31"/>
        <v>2.3840422499999736E-2</v>
      </c>
      <c r="BQ226" s="171">
        <f t="shared" si="32"/>
        <v>5.2999999999999999E-2</v>
      </c>
      <c r="BR226" s="171">
        <f t="shared" si="33"/>
        <v>6.7000000000000004E-2</v>
      </c>
      <c r="BS226" s="171">
        <f t="shared" si="34"/>
        <v>4.4600000000000001E-2</v>
      </c>
      <c r="BT226" s="171">
        <f t="shared" si="35"/>
        <v>5.33E-2</v>
      </c>
      <c r="BU226" s="171">
        <f t="shared" si="36"/>
        <v>2.3700000000000002E-2</v>
      </c>
    </row>
    <row r="227" spans="1:73" x14ac:dyDescent="0.3">
      <c r="A227" s="209">
        <v>38169</v>
      </c>
      <c r="B227" s="187">
        <v>200407</v>
      </c>
      <c r="C227" s="176">
        <v>5.29</v>
      </c>
      <c r="D227" s="176">
        <v>6.55</v>
      </c>
      <c r="E227" s="176">
        <v>2.31</v>
      </c>
      <c r="F227" s="177">
        <v>105</v>
      </c>
      <c r="G227" s="210">
        <v>1.7363344051446905E-2</v>
      </c>
      <c r="H227" s="179">
        <v>4.45</v>
      </c>
      <c r="I227" s="179">
        <v>5.29</v>
      </c>
      <c r="J227" s="176"/>
      <c r="K227" s="182">
        <v>5.5E-2</v>
      </c>
      <c r="L227" s="182">
        <v>4.4999999999999998E-2</v>
      </c>
      <c r="N227" s="182">
        <v>5.7500000000000002E-2</v>
      </c>
      <c r="O227" s="182">
        <v>2.5000000000000001E-2</v>
      </c>
      <c r="Q227" s="182">
        <v>0.05</v>
      </c>
      <c r="R227" s="182">
        <v>6.25E-2</v>
      </c>
      <c r="S227" s="182">
        <v>2.5000000000000001E-2</v>
      </c>
      <c r="T227" s="182">
        <v>0.03</v>
      </c>
      <c r="U227" s="182"/>
      <c r="V227" s="194">
        <v>5.2999999999999999E-2</v>
      </c>
      <c r="W227" s="194">
        <v>6.8000000000000005E-2</v>
      </c>
      <c r="X227" s="194">
        <v>2.8000000000000001E-2</v>
      </c>
      <c r="Y227" s="194">
        <v>3.4000000000000002E-2</v>
      </c>
      <c r="Z227" s="194"/>
      <c r="AA227" s="195">
        <v>5.3279610000000026E-2</v>
      </c>
      <c r="AB227" s="195">
        <v>6.7721534999999777E-2</v>
      </c>
      <c r="AC227" s="195">
        <v>2.8166981705749779E-2</v>
      </c>
      <c r="AD227" s="195">
        <v>3.4418349147125285E-2</v>
      </c>
      <c r="AE227" s="195"/>
      <c r="AF227" s="195">
        <v>1.2212329680431844E-2</v>
      </c>
      <c r="AG227" s="195">
        <v>1.6097542101961348E-2</v>
      </c>
      <c r="AI227" s="182">
        <v>4.4995062500000182E-2</v>
      </c>
      <c r="AJ227" s="182">
        <v>5.3599602500000065E-2</v>
      </c>
      <c r="AK227" s="182">
        <v>2.3233402499999833E-2</v>
      </c>
      <c r="AM227" s="27" t="s">
        <v>135</v>
      </c>
      <c r="AN227" s="7" t="b">
        <f t="shared" si="28"/>
        <v>0</v>
      </c>
      <c r="AP227" s="211">
        <v>-99</v>
      </c>
      <c r="AQ227" s="211">
        <v>-99</v>
      </c>
      <c r="AS227" s="211">
        <v>-99</v>
      </c>
      <c r="AT227" s="211">
        <v>-99</v>
      </c>
      <c r="AU227" s="211">
        <v>-99</v>
      </c>
      <c r="AV227" s="211">
        <v>-99</v>
      </c>
      <c r="AW227" s="211">
        <v>-99</v>
      </c>
      <c r="AX227" s="211">
        <v>-99</v>
      </c>
      <c r="AZ227" s="211">
        <v>-99</v>
      </c>
      <c r="BA227" s="211">
        <v>-99</v>
      </c>
      <c r="BB227" s="211">
        <v>-99</v>
      </c>
      <c r="BC227" s="211">
        <v>-99</v>
      </c>
      <c r="BD227" s="211">
        <v>-99</v>
      </c>
      <c r="BE227" s="211">
        <v>-99</v>
      </c>
      <c r="BG227" s="211">
        <v>-99</v>
      </c>
      <c r="BH227" s="211">
        <v>-99</v>
      </c>
      <c r="BI227" s="211">
        <v>-99</v>
      </c>
      <c r="BJ227" s="211">
        <v>-99</v>
      </c>
      <c r="BK227" s="211">
        <v>-99</v>
      </c>
      <c r="BL227" s="211">
        <v>-99</v>
      </c>
      <c r="BM227" s="211">
        <v>-99</v>
      </c>
      <c r="BN227" s="191">
        <f t="shared" si="29"/>
        <v>4.4995062500000182E-2</v>
      </c>
      <c r="BO227" s="191">
        <f t="shared" si="30"/>
        <v>5.3599602500000065E-2</v>
      </c>
      <c r="BP227" s="191">
        <f t="shared" si="31"/>
        <v>2.3233402499999833E-2</v>
      </c>
      <c r="BQ227" s="171">
        <f t="shared" si="32"/>
        <v>5.2900000000000003E-2</v>
      </c>
      <c r="BR227" s="171">
        <f t="shared" si="33"/>
        <v>6.5500000000000003E-2</v>
      </c>
      <c r="BS227" s="171">
        <f t="shared" si="34"/>
        <v>4.4500000000000005E-2</v>
      </c>
      <c r="BT227" s="171">
        <f t="shared" si="35"/>
        <v>5.2900000000000003E-2</v>
      </c>
      <c r="BU227" s="171">
        <f t="shared" si="36"/>
        <v>2.3099999999999999E-2</v>
      </c>
    </row>
    <row r="228" spans="1:73" x14ac:dyDescent="0.3">
      <c r="A228" s="209">
        <v>38200</v>
      </c>
      <c r="B228" s="187">
        <v>200408</v>
      </c>
      <c r="C228" s="176">
        <v>5.14</v>
      </c>
      <c r="D228" s="176">
        <v>6.3</v>
      </c>
      <c r="E228" s="176">
        <v>2.2200000000000002</v>
      </c>
      <c r="F228" s="177">
        <v>104.8</v>
      </c>
      <c r="G228" s="210">
        <v>1.7341040462427904E-2</v>
      </c>
      <c r="H228" s="179">
        <v>4.4000000000000004</v>
      </c>
      <c r="I228" s="179">
        <v>5.15</v>
      </c>
      <c r="J228" s="210"/>
      <c r="K228" s="182">
        <v>5.5E-2</v>
      </c>
      <c r="L228" s="182">
        <v>4.4999999999999998E-2</v>
      </c>
      <c r="N228" s="182">
        <v>0.06</v>
      </c>
      <c r="O228" s="182">
        <v>2.75E-2</v>
      </c>
      <c r="Q228" s="182">
        <v>0.05</v>
      </c>
      <c r="R228" s="182">
        <v>6.25E-2</v>
      </c>
      <c r="S228" s="182">
        <v>2.5000000000000001E-2</v>
      </c>
      <c r="T228" s="182">
        <v>0.03</v>
      </c>
      <c r="U228" s="182"/>
      <c r="V228" s="194">
        <v>5.3999999999999999E-2</v>
      </c>
      <c r="W228" s="194">
        <v>6.7000000000000004E-2</v>
      </c>
      <c r="X228" s="194">
        <v>2.9000000000000001E-2</v>
      </c>
      <c r="Y228" s="194">
        <v>3.5000000000000003E-2</v>
      </c>
      <c r="Z228" s="194"/>
      <c r="AA228" s="195">
        <v>5.4097289999999958E-2</v>
      </c>
      <c r="AB228" s="195">
        <v>6.746668875000017E-2</v>
      </c>
      <c r="AC228" s="195">
        <v>2.8906202889740183E-2</v>
      </c>
      <c r="AD228" s="195">
        <v>3.4807532305129514E-2</v>
      </c>
      <c r="AE228" s="195"/>
      <c r="AF228" s="195">
        <v>1.2241682983108237E-2</v>
      </c>
      <c r="AG228" s="195">
        <v>1.5780304754894559E-2</v>
      </c>
      <c r="AI228" s="182">
        <v>4.4483999999999968E-2</v>
      </c>
      <c r="AJ228" s="182">
        <v>5.2163062499999802E-2</v>
      </c>
      <c r="AK228" s="182">
        <v>2.2323210000000149E-2</v>
      </c>
      <c r="AM228" s="27" t="s">
        <v>135</v>
      </c>
      <c r="AN228" s="7" t="b">
        <f t="shared" si="28"/>
        <v>0</v>
      </c>
      <c r="AP228" s="211">
        <v>-99</v>
      </c>
      <c r="AQ228" s="211">
        <v>-99</v>
      </c>
      <c r="AS228" s="211">
        <v>-99</v>
      </c>
      <c r="AT228" s="211">
        <v>-99</v>
      </c>
      <c r="AU228" s="211">
        <v>-99</v>
      </c>
      <c r="AV228" s="211">
        <v>-99</v>
      </c>
      <c r="AW228" s="211">
        <v>-99</v>
      </c>
      <c r="AX228" s="211">
        <v>-99</v>
      </c>
      <c r="AZ228" s="211">
        <v>-99</v>
      </c>
      <c r="BA228" s="211">
        <v>-99</v>
      </c>
      <c r="BB228" s="211">
        <v>-99</v>
      </c>
      <c r="BC228" s="211">
        <v>-99</v>
      </c>
      <c r="BD228" s="211">
        <v>-99</v>
      </c>
      <c r="BE228" s="211">
        <v>-99</v>
      </c>
      <c r="BG228" s="211">
        <v>-99</v>
      </c>
      <c r="BH228" s="211">
        <v>-99</v>
      </c>
      <c r="BI228" s="211">
        <v>-99</v>
      </c>
      <c r="BJ228" s="211">
        <v>-99</v>
      </c>
      <c r="BK228" s="211">
        <v>-99</v>
      </c>
      <c r="BL228" s="211">
        <v>-99</v>
      </c>
      <c r="BM228" s="211">
        <v>-99</v>
      </c>
      <c r="BN228" s="191">
        <f t="shared" si="29"/>
        <v>4.4483999999999968E-2</v>
      </c>
      <c r="BO228" s="191">
        <f t="shared" si="30"/>
        <v>5.2163062499999802E-2</v>
      </c>
      <c r="BP228" s="191">
        <f t="shared" si="31"/>
        <v>2.2323210000000149E-2</v>
      </c>
      <c r="BQ228" s="171">
        <f t="shared" si="32"/>
        <v>5.1399999999999994E-2</v>
      </c>
      <c r="BR228" s="171">
        <f t="shared" si="33"/>
        <v>6.3E-2</v>
      </c>
      <c r="BS228" s="171">
        <f t="shared" si="34"/>
        <v>4.4000000000000004E-2</v>
      </c>
      <c r="BT228" s="171">
        <f t="shared" si="35"/>
        <v>5.1500000000000004E-2</v>
      </c>
      <c r="BU228" s="171">
        <f t="shared" si="36"/>
        <v>2.2200000000000001E-2</v>
      </c>
    </row>
    <row r="229" spans="1:73" x14ac:dyDescent="0.3">
      <c r="A229" s="209">
        <v>38231</v>
      </c>
      <c r="B229" s="187">
        <v>200409</v>
      </c>
      <c r="C229" s="176">
        <v>5.0199999999999996</v>
      </c>
      <c r="D229" s="176">
        <v>6.3</v>
      </c>
      <c r="E229" s="176">
        <v>2.3199999999999998</v>
      </c>
      <c r="F229" s="177">
        <v>105</v>
      </c>
      <c r="G229" s="210">
        <v>1.6666666666666607E-2</v>
      </c>
      <c r="H229" s="179">
        <v>4.3</v>
      </c>
      <c r="I229" s="179">
        <v>5.04</v>
      </c>
      <c r="J229" s="210"/>
      <c r="K229" s="182">
        <v>5.5E-2</v>
      </c>
      <c r="L229" s="182">
        <v>4.4999999999999998E-2</v>
      </c>
      <c r="N229" s="182">
        <v>5.7500000000000002E-2</v>
      </c>
      <c r="O229" s="182">
        <v>2.5000000000000001E-2</v>
      </c>
      <c r="Q229" s="182">
        <v>0.05</v>
      </c>
      <c r="R229" s="182">
        <v>6.25E-2</v>
      </c>
      <c r="S229" s="182">
        <v>2.5000000000000001E-2</v>
      </c>
      <c r="T229" s="182">
        <v>0.03</v>
      </c>
      <c r="U229" s="182"/>
      <c r="V229" s="194">
        <v>5.3999999999999999E-2</v>
      </c>
      <c r="W229" s="194">
        <v>6.7000000000000004E-2</v>
      </c>
      <c r="X229" s="194">
        <v>2.9000000000000001E-2</v>
      </c>
      <c r="Y229" s="194">
        <v>3.4000000000000002E-2</v>
      </c>
      <c r="Z229" s="194"/>
      <c r="AA229" s="195">
        <v>5.3995062500000184E-2</v>
      </c>
      <c r="AB229" s="195">
        <v>6.6901872500000015E-2</v>
      </c>
      <c r="AC229" s="195">
        <v>2.8503659520145729E-2</v>
      </c>
      <c r="AD229" s="195">
        <v>3.4098273989926889E-2</v>
      </c>
      <c r="AE229" s="195"/>
      <c r="AF229" s="195">
        <v>1.2392470723802562E-2</v>
      </c>
      <c r="AG229" s="195">
        <v>1.5860967634877099E-2</v>
      </c>
      <c r="AI229" s="182">
        <v>4.3462250000000147E-2</v>
      </c>
      <c r="AJ229" s="182">
        <v>5.1035039999999698E-2</v>
      </c>
      <c r="AK229" s="182">
        <v>2.3334560000000115E-2</v>
      </c>
      <c r="AM229" s="27" t="s">
        <v>135</v>
      </c>
      <c r="AN229" s="7" t="b">
        <f t="shared" si="28"/>
        <v>0</v>
      </c>
      <c r="AP229" s="211">
        <v>-99</v>
      </c>
      <c r="AQ229" s="211">
        <v>-99</v>
      </c>
      <c r="AS229" s="211">
        <v>-99</v>
      </c>
      <c r="AT229" s="211">
        <v>-99</v>
      </c>
      <c r="AU229" s="211">
        <v>-99</v>
      </c>
      <c r="AV229" s="211">
        <v>-99</v>
      </c>
      <c r="AW229" s="211">
        <v>-99</v>
      </c>
      <c r="AX229" s="211">
        <v>-99</v>
      </c>
      <c r="AZ229" s="211">
        <v>-99</v>
      </c>
      <c r="BA229" s="211">
        <v>-99</v>
      </c>
      <c r="BB229" s="211">
        <v>-99</v>
      </c>
      <c r="BC229" s="211">
        <v>-99</v>
      </c>
      <c r="BD229" s="211">
        <v>-99</v>
      </c>
      <c r="BE229" s="211">
        <v>-99</v>
      </c>
      <c r="BG229" s="211">
        <v>-99</v>
      </c>
      <c r="BH229" s="211">
        <v>-99</v>
      </c>
      <c r="BI229" s="211">
        <v>-99</v>
      </c>
      <c r="BJ229" s="211">
        <v>-99</v>
      </c>
      <c r="BK229" s="211">
        <v>-99</v>
      </c>
      <c r="BL229" s="211">
        <v>-99</v>
      </c>
      <c r="BM229" s="211">
        <v>-99</v>
      </c>
      <c r="BN229" s="191">
        <f t="shared" si="29"/>
        <v>4.3462250000000147E-2</v>
      </c>
      <c r="BO229" s="191">
        <f t="shared" si="30"/>
        <v>5.1035039999999698E-2</v>
      </c>
      <c r="BP229" s="191">
        <f t="shared" si="31"/>
        <v>2.3334560000000115E-2</v>
      </c>
      <c r="BQ229" s="171">
        <f t="shared" si="32"/>
        <v>5.0199999999999995E-2</v>
      </c>
      <c r="BR229" s="171">
        <f t="shared" si="33"/>
        <v>6.3E-2</v>
      </c>
      <c r="BS229" s="171">
        <f t="shared" si="34"/>
        <v>4.2999999999999997E-2</v>
      </c>
      <c r="BT229" s="171">
        <f t="shared" si="35"/>
        <v>5.04E-2</v>
      </c>
      <c r="BU229" s="171">
        <f t="shared" si="36"/>
        <v>2.3199999999999998E-2</v>
      </c>
    </row>
    <row r="230" spans="1:73" x14ac:dyDescent="0.3">
      <c r="A230" s="209">
        <v>38261</v>
      </c>
      <c r="B230" s="187">
        <v>200410</v>
      </c>
      <c r="C230" s="176">
        <v>4.96</v>
      </c>
      <c r="D230" s="176">
        <v>6.4</v>
      </c>
      <c r="E230" s="176">
        <v>2.2799999999999998</v>
      </c>
      <c r="F230" s="177">
        <v>105.2</v>
      </c>
      <c r="G230" s="210">
        <v>1.7285531370038631E-2</v>
      </c>
      <c r="H230" s="179">
        <v>4.2300000000000004</v>
      </c>
      <c r="I230" s="179">
        <v>5</v>
      </c>
      <c r="J230" s="210"/>
      <c r="K230" s="182">
        <v>5.5E-2</v>
      </c>
      <c r="L230" s="182">
        <v>4.4999999999999998E-2</v>
      </c>
      <c r="N230" s="182">
        <v>5.7500000000000002E-2</v>
      </c>
      <c r="O230" s="182">
        <v>2.5000000000000001E-2</v>
      </c>
      <c r="Q230" s="182">
        <v>0.05</v>
      </c>
      <c r="R230" s="182">
        <v>0.06</v>
      </c>
      <c r="S230" s="182">
        <v>2.5000000000000001E-2</v>
      </c>
      <c r="T230" s="182">
        <v>0.03</v>
      </c>
      <c r="U230" s="182"/>
      <c r="V230" s="194">
        <v>5.2999999999999999E-2</v>
      </c>
      <c r="W230" s="194">
        <v>6.5000000000000002E-2</v>
      </c>
      <c r="X230" s="194">
        <v>2.8000000000000001E-2</v>
      </c>
      <c r="Y230" s="194">
        <v>3.3000000000000002E-2</v>
      </c>
      <c r="Z230" s="194"/>
      <c r="AA230" s="195">
        <v>5.3483999999999969E-2</v>
      </c>
      <c r="AB230" s="195">
        <v>6.5002593749999726E-2</v>
      </c>
      <c r="AC230" s="195">
        <v>2.8036951169038621E-2</v>
      </c>
      <c r="AD230" s="195">
        <v>3.2966339415480911E-2</v>
      </c>
      <c r="AE230" s="195"/>
      <c r="AF230" s="195">
        <v>1.2376524405092626E-2</v>
      </c>
      <c r="AG230" s="195">
        <v>1.5506920754381426E-2</v>
      </c>
      <c r="AI230" s="182">
        <v>4.2747322499999907E-2</v>
      </c>
      <c r="AJ230" s="182">
        <v>5.062499999999992E-2</v>
      </c>
      <c r="AK230" s="182">
        <v>2.2929960000000138E-2</v>
      </c>
      <c r="AM230" s="27" t="s">
        <v>135</v>
      </c>
      <c r="AN230" s="7" t="b">
        <f t="shared" si="28"/>
        <v>0</v>
      </c>
      <c r="AP230" s="211">
        <v>-99</v>
      </c>
      <c r="AQ230" s="211">
        <v>-99</v>
      </c>
      <c r="AS230" s="211">
        <v>-99</v>
      </c>
      <c r="AT230" s="211">
        <v>-99</v>
      </c>
      <c r="AU230" s="211">
        <v>-99</v>
      </c>
      <c r="AV230" s="211">
        <v>-99</v>
      </c>
      <c r="AW230" s="211">
        <v>-99</v>
      </c>
      <c r="AX230" s="211">
        <v>-99</v>
      </c>
      <c r="AZ230" s="211">
        <v>-99</v>
      </c>
      <c r="BA230" s="211">
        <v>-99</v>
      </c>
      <c r="BB230" s="211">
        <v>-99</v>
      </c>
      <c r="BC230" s="211">
        <v>-99</v>
      </c>
      <c r="BD230" s="211">
        <v>-99</v>
      </c>
      <c r="BE230" s="211">
        <v>-99</v>
      </c>
      <c r="BG230" s="211">
        <v>-99</v>
      </c>
      <c r="BH230" s="211">
        <v>-99</v>
      </c>
      <c r="BI230" s="211">
        <v>-99</v>
      </c>
      <c r="BJ230" s="211">
        <v>-99</v>
      </c>
      <c r="BK230" s="211">
        <v>-99</v>
      </c>
      <c r="BL230" s="211">
        <v>-99</v>
      </c>
      <c r="BM230" s="211">
        <v>-99</v>
      </c>
      <c r="BN230" s="191">
        <f t="shared" si="29"/>
        <v>4.2747322499999907E-2</v>
      </c>
      <c r="BO230" s="191">
        <f t="shared" si="30"/>
        <v>5.062499999999992E-2</v>
      </c>
      <c r="BP230" s="191">
        <f t="shared" si="31"/>
        <v>2.2929960000000138E-2</v>
      </c>
      <c r="BQ230" s="171">
        <f t="shared" si="32"/>
        <v>4.9599999999999998E-2</v>
      </c>
      <c r="BR230" s="171">
        <f t="shared" si="33"/>
        <v>6.4000000000000001E-2</v>
      </c>
      <c r="BS230" s="171">
        <f t="shared" si="34"/>
        <v>4.2300000000000004E-2</v>
      </c>
      <c r="BT230" s="171">
        <f t="shared" si="35"/>
        <v>0.05</v>
      </c>
      <c r="BU230" s="171">
        <f t="shared" si="36"/>
        <v>2.2799999999999997E-2</v>
      </c>
    </row>
    <row r="231" spans="1:73" x14ac:dyDescent="0.3">
      <c r="A231" s="209">
        <v>38292</v>
      </c>
      <c r="B231" s="187">
        <v>200411</v>
      </c>
      <c r="C231" s="176">
        <v>4.87</v>
      </c>
      <c r="D231" s="176">
        <v>6.3</v>
      </c>
      <c r="E231" s="176">
        <v>2.17</v>
      </c>
      <c r="F231" s="177">
        <v>105.6</v>
      </c>
      <c r="G231" s="210">
        <v>1.8542199488491118E-2</v>
      </c>
      <c r="H231" s="179">
        <v>4.1399999999999997</v>
      </c>
      <c r="I231" s="179">
        <v>4.9000000000000004</v>
      </c>
      <c r="J231" s="210"/>
      <c r="K231" s="182">
        <v>5.5E-2</v>
      </c>
      <c r="L231" s="182">
        <v>4.4999999999999998E-2</v>
      </c>
      <c r="N231" s="182">
        <v>5.5E-2</v>
      </c>
      <c r="O231" s="182">
        <v>2.5000000000000001E-2</v>
      </c>
      <c r="Q231" s="182">
        <v>4.7500000000000001E-2</v>
      </c>
      <c r="R231" s="182">
        <v>0.06</v>
      </c>
      <c r="S231" s="182">
        <v>2.5000000000000001E-2</v>
      </c>
      <c r="T231" s="182">
        <v>0.03</v>
      </c>
      <c r="U231" s="182"/>
      <c r="V231" s="194">
        <v>5.2000000000000005E-2</v>
      </c>
      <c r="W231" s="194">
        <v>6.4000000000000001E-2</v>
      </c>
      <c r="X231" s="194">
        <v>2.9000000000000001E-2</v>
      </c>
      <c r="Y231" s="194">
        <v>3.4000000000000002E-2</v>
      </c>
      <c r="Z231" s="194"/>
      <c r="AA231" s="195">
        <v>5.2462250000000148E-2</v>
      </c>
      <c r="AB231" s="195">
        <v>6.3821434999999482E-2</v>
      </c>
      <c r="AC231" s="195">
        <v>2.8872081620000972E-2</v>
      </c>
      <c r="AD231" s="195">
        <v>3.406579918999969E-2</v>
      </c>
      <c r="AE231" s="195"/>
      <c r="AF231" s="195">
        <v>1.1464091990354808E-2</v>
      </c>
      <c r="AG231" s="195">
        <v>1.4387689754998045E-2</v>
      </c>
      <c r="AI231" s="182">
        <v>4.1828489999999885E-2</v>
      </c>
      <c r="AJ231" s="182">
        <v>4.9600249999999901E-2</v>
      </c>
      <c r="AK231" s="182">
        <v>2.1817722500000025E-2</v>
      </c>
      <c r="AM231" s="27" t="s">
        <v>135</v>
      </c>
      <c r="AN231" s="7" t="b">
        <f t="shared" si="28"/>
        <v>0</v>
      </c>
      <c r="AP231" s="211">
        <v>-99</v>
      </c>
      <c r="AQ231" s="211">
        <v>-99</v>
      </c>
      <c r="AS231" s="211">
        <v>-99</v>
      </c>
      <c r="AT231" s="211">
        <v>-99</v>
      </c>
      <c r="AU231" s="211">
        <v>-99</v>
      </c>
      <c r="AV231" s="211">
        <v>-99</v>
      </c>
      <c r="AW231" s="211">
        <v>-99</v>
      </c>
      <c r="AX231" s="211">
        <v>-99</v>
      </c>
      <c r="AZ231" s="211">
        <v>-99</v>
      </c>
      <c r="BA231" s="211">
        <v>-99</v>
      </c>
      <c r="BB231" s="211">
        <v>-99</v>
      </c>
      <c r="BC231" s="211">
        <v>-99</v>
      </c>
      <c r="BD231" s="211">
        <v>-99</v>
      </c>
      <c r="BE231" s="211">
        <v>-99</v>
      </c>
      <c r="BG231" s="211">
        <v>-99</v>
      </c>
      <c r="BH231" s="211">
        <v>-99</v>
      </c>
      <c r="BI231" s="211">
        <v>-99</v>
      </c>
      <c r="BJ231" s="211">
        <v>-99</v>
      </c>
      <c r="BK231" s="211">
        <v>-99</v>
      </c>
      <c r="BL231" s="211">
        <v>-99</v>
      </c>
      <c r="BM231" s="211">
        <v>-99</v>
      </c>
      <c r="BN231" s="191">
        <f t="shared" si="29"/>
        <v>4.1828489999999885E-2</v>
      </c>
      <c r="BO231" s="191">
        <f t="shared" si="30"/>
        <v>4.9600249999999901E-2</v>
      </c>
      <c r="BP231" s="191">
        <f t="shared" si="31"/>
        <v>2.1817722500000025E-2</v>
      </c>
      <c r="BQ231" s="171">
        <f t="shared" si="32"/>
        <v>4.87E-2</v>
      </c>
      <c r="BR231" s="171">
        <f t="shared" si="33"/>
        <v>6.3E-2</v>
      </c>
      <c r="BS231" s="171">
        <f t="shared" si="34"/>
        <v>4.1399999999999999E-2</v>
      </c>
      <c r="BT231" s="171">
        <f t="shared" si="35"/>
        <v>4.9000000000000002E-2</v>
      </c>
      <c r="BU231" s="171">
        <f t="shared" si="36"/>
        <v>2.1700000000000001E-2</v>
      </c>
    </row>
    <row r="232" spans="1:73" x14ac:dyDescent="0.3">
      <c r="A232" s="209">
        <v>38322</v>
      </c>
      <c r="B232" s="187">
        <v>200412</v>
      </c>
      <c r="C232" s="176">
        <v>4.8600000000000003</v>
      </c>
      <c r="D232" s="176">
        <v>6.05</v>
      </c>
      <c r="E232" s="176">
        <v>2.11</v>
      </c>
      <c r="F232" s="177">
        <v>105.4</v>
      </c>
      <c r="G232" s="210">
        <v>1.7868538608806661E-2</v>
      </c>
      <c r="H232" s="179">
        <v>4.08</v>
      </c>
      <c r="I232" s="179">
        <v>4.92</v>
      </c>
      <c r="J232" s="210"/>
      <c r="K232" s="182">
        <v>0.05</v>
      </c>
      <c r="L232" s="182">
        <v>4.4999999999999998E-2</v>
      </c>
      <c r="N232" s="182">
        <v>5.5E-2</v>
      </c>
      <c r="O232" s="182">
        <v>2.5000000000000001E-2</v>
      </c>
      <c r="Q232" s="182">
        <v>4.7500000000000001E-2</v>
      </c>
      <c r="R232" s="182">
        <v>0.06</v>
      </c>
      <c r="S232" s="182">
        <v>2.5000000000000001E-2</v>
      </c>
      <c r="T232" s="182">
        <v>0.03</v>
      </c>
      <c r="U232" s="182"/>
      <c r="V232" s="194">
        <v>5.2000000000000005E-2</v>
      </c>
      <c r="W232" s="194">
        <v>6.4000000000000001E-2</v>
      </c>
      <c r="X232" s="194">
        <v>2.8000000000000001E-2</v>
      </c>
      <c r="Y232" s="194">
        <v>3.4000000000000002E-2</v>
      </c>
      <c r="Z232" s="194"/>
      <c r="AA232" s="195">
        <v>5.1747322499999908E-2</v>
      </c>
      <c r="AB232" s="195">
        <v>6.3563838749999935E-2</v>
      </c>
      <c r="AC232" s="195">
        <v>2.836186459322677E-2</v>
      </c>
      <c r="AD232" s="195">
        <v>3.3714007703386825E-2</v>
      </c>
      <c r="AE232" s="195"/>
      <c r="AF232" s="195">
        <v>1.1370247532478839E-2</v>
      </c>
      <c r="AG232" s="195">
        <v>1.4438147700508996E-2</v>
      </c>
      <c r="AI232" s="182">
        <v>4.1216160000000057E-2</v>
      </c>
      <c r="AJ232" s="182">
        <v>4.9805160000000015E-2</v>
      </c>
      <c r="AK232" s="182">
        <v>2.1211302500000029E-2</v>
      </c>
      <c r="AM232" s="27" t="s">
        <v>135</v>
      </c>
      <c r="AN232" s="7" t="b">
        <f t="shared" si="28"/>
        <v>0</v>
      </c>
      <c r="AP232" s="211">
        <v>-99</v>
      </c>
      <c r="AQ232" s="211">
        <v>-99</v>
      </c>
      <c r="AS232" s="211">
        <v>-99</v>
      </c>
      <c r="AT232" s="211">
        <v>-99</v>
      </c>
      <c r="AU232" s="211">
        <v>-99</v>
      </c>
      <c r="AV232" s="211">
        <v>-99</v>
      </c>
      <c r="AW232" s="211">
        <v>-99</v>
      </c>
      <c r="AX232" s="211">
        <v>-99</v>
      </c>
      <c r="AZ232" s="211">
        <v>-99</v>
      </c>
      <c r="BA232" s="211">
        <v>-99</v>
      </c>
      <c r="BB232" s="211">
        <v>-99</v>
      </c>
      <c r="BC232" s="211">
        <v>-99</v>
      </c>
      <c r="BD232" s="211">
        <v>-99</v>
      </c>
      <c r="BE232" s="211">
        <v>-99</v>
      </c>
      <c r="BG232" s="211">
        <v>-99</v>
      </c>
      <c r="BH232" s="211">
        <v>-99</v>
      </c>
      <c r="BI232" s="211">
        <v>-99</v>
      </c>
      <c r="BJ232" s="211">
        <v>-99</v>
      </c>
      <c r="BK232" s="211">
        <v>-99</v>
      </c>
      <c r="BL232" s="211">
        <v>-99</v>
      </c>
      <c r="BM232" s="211">
        <v>-99</v>
      </c>
      <c r="BN232" s="191">
        <f t="shared" si="29"/>
        <v>4.1216160000000057E-2</v>
      </c>
      <c r="BO232" s="191">
        <f t="shared" si="30"/>
        <v>4.9805160000000015E-2</v>
      </c>
      <c r="BP232" s="191">
        <f t="shared" si="31"/>
        <v>2.1211302500000029E-2</v>
      </c>
      <c r="BQ232" s="171">
        <f t="shared" si="32"/>
        <v>4.8600000000000004E-2</v>
      </c>
      <c r="BR232" s="171">
        <f t="shared" si="33"/>
        <v>6.0499999999999998E-2</v>
      </c>
      <c r="BS232" s="171">
        <f t="shared" si="34"/>
        <v>4.0800000000000003E-2</v>
      </c>
      <c r="BT232" s="171">
        <f t="shared" si="35"/>
        <v>4.9200000000000001E-2</v>
      </c>
      <c r="BU232" s="171">
        <f t="shared" si="36"/>
        <v>2.1099999999999997E-2</v>
      </c>
    </row>
    <row r="233" spans="1:73" x14ac:dyDescent="0.3">
      <c r="A233" s="209">
        <v>38353</v>
      </c>
      <c r="B233" s="187">
        <v>200501</v>
      </c>
      <c r="C233" s="176">
        <v>4.6900000000000004</v>
      </c>
      <c r="D233" s="176">
        <v>6.05</v>
      </c>
      <c r="E233" s="176">
        <v>2.0299999999999998</v>
      </c>
      <c r="F233" s="177">
        <v>105.3</v>
      </c>
      <c r="G233" s="210">
        <v>1.913265306122458E-2</v>
      </c>
      <c r="H233" s="179">
        <v>3.87</v>
      </c>
      <c r="I233" s="179">
        <v>4.74</v>
      </c>
      <c r="J233" s="210"/>
      <c r="K233" s="182">
        <v>0.05</v>
      </c>
      <c r="L233" s="182">
        <v>0.04</v>
      </c>
      <c r="N233" s="182">
        <v>5.5E-2</v>
      </c>
      <c r="O233" s="182">
        <v>2.5000000000000001E-2</v>
      </c>
      <c r="Q233" s="182">
        <v>4.7500000000000001E-2</v>
      </c>
      <c r="R233" s="182">
        <v>5.7500000000000002E-2</v>
      </c>
      <c r="S233" s="182">
        <v>2.2499999999999999E-2</v>
      </c>
      <c r="T233" s="182">
        <v>2.75E-2</v>
      </c>
      <c r="U233" s="182"/>
      <c r="V233" s="194">
        <v>5.1000000000000004E-2</v>
      </c>
      <c r="W233" s="194">
        <v>6.2E-2</v>
      </c>
      <c r="X233" s="194">
        <v>2.7E-2</v>
      </c>
      <c r="Y233" s="194">
        <v>3.3000000000000002E-2</v>
      </c>
      <c r="Z233" s="194"/>
      <c r="AA233" s="195">
        <v>5.0828489999999886E-2</v>
      </c>
      <c r="AB233" s="195">
        <v>6.2486129999999911E-2</v>
      </c>
      <c r="AC233" s="195">
        <v>2.7399148944088493E-2</v>
      </c>
      <c r="AD233" s="195">
        <v>3.2527009277955793E-2</v>
      </c>
      <c r="AE233" s="195"/>
      <c r="AF233" s="195">
        <v>1.140225835304165E-2</v>
      </c>
      <c r="AG233" s="195">
        <v>1.4507669268135959E-2</v>
      </c>
      <c r="AI233" s="182">
        <v>3.9074422499999928E-2</v>
      </c>
      <c r="AJ233" s="182">
        <v>4.7961690000000168E-2</v>
      </c>
      <c r="AK233" s="182">
        <v>2.0403022500000256E-2</v>
      </c>
      <c r="AM233" s="27" t="s">
        <v>135</v>
      </c>
      <c r="AN233" s="7" t="b">
        <f t="shared" si="28"/>
        <v>0</v>
      </c>
      <c r="AP233" s="211">
        <v>-99</v>
      </c>
      <c r="AQ233" s="211">
        <v>-99</v>
      </c>
      <c r="AS233" s="211">
        <v>-99</v>
      </c>
      <c r="AT233" s="211">
        <v>-99</v>
      </c>
      <c r="AU233" s="211">
        <v>-99</v>
      </c>
      <c r="AV233" s="211">
        <v>-99</v>
      </c>
      <c r="AW233" s="211">
        <v>-99</v>
      </c>
      <c r="AX233" s="211">
        <v>-99</v>
      </c>
      <c r="AZ233" s="211">
        <v>-99</v>
      </c>
      <c r="BA233" s="211">
        <v>-99</v>
      </c>
      <c r="BB233" s="211">
        <v>-99</v>
      </c>
      <c r="BC233" s="211">
        <v>-99</v>
      </c>
      <c r="BD233" s="211">
        <v>-99</v>
      </c>
      <c r="BE233" s="211">
        <v>-99</v>
      </c>
      <c r="BG233" s="211">
        <v>-99</v>
      </c>
      <c r="BH233" s="211">
        <v>-99</v>
      </c>
      <c r="BI233" s="211">
        <v>-99</v>
      </c>
      <c r="BJ233" s="211">
        <v>-99</v>
      </c>
      <c r="BK233" s="211">
        <v>-99</v>
      </c>
      <c r="BL233" s="211">
        <v>-99</v>
      </c>
      <c r="BM233" s="211">
        <v>-99</v>
      </c>
      <c r="BN233" s="191">
        <f t="shared" si="29"/>
        <v>3.9074422499999928E-2</v>
      </c>
      <c r="BO233" s="191">
        <f t="shared" si="30"/>
        <v>4.7961690000000168E-2</v>
      </c>
      <c r="BP233" s="191">
        <f t="shared" si="31"/>
        <v>2.0403022500000256E-2</v>
      </c>
      <c r="BQ233" s="171">
        <f t="shared" si="32"/>
        <v>4.6900000000000004E-2</v>
      </c>
      <c r="BR233" s="171">
        <f t="shared" si="33"/>
        <v>6.0499999999999998E-2</v>
      </c>
      <c r="BS233" s="171">
        <f t="shared" si="34"/>
        <v>3.8699999999999998E-2</v>
      </c>
      <c r="BT233" s="171">
        <f t="shared" si="35"/>
        <v>4.7400000000000005E-2</v>
      </c>
      <c r="BU233" s="171">
        <f t="shared" si="36"/>
        <v>2.0299999999999999E-2</v>
      </c>
    </row>
    <row r="234" spans="1:73" x14ac:dyDescent="0.3">
      <c r="A234" s="209">
        <v>38384</v>
      </c>
      <c r="B234" s="187">
        <v>200502</v>
      </c>
      <c r="C234" s="176">
        <v>4.71</v>
      </c>
      <c r="D234" s="176">
        <v>6.05</v>
      </c>
      <c r="E234" s="176">
        <v>2.0699999999999998</v>
      </c>
      <c r="F234" s="177">
        <v>105.7</v>
      </c>
      <c r="G234" s="210">
        <v>2.0395156150414095E-2</v>
      </c>
      <c r="H234" s="179">
        <v>3.96</v>
      </c>
      <c r="I234" s="179">
        <v>4.76</v>
      </c>
      <c r="J234" s="210"/>
      <c r="K234" s="182">
        <v>0.05</v>
      </c>
      <c r="L234" s="182">
        <v>0.04</v>
      </c>
      <c r="N234" s="182">
        <v>5.5E-2</v>
      </c>
      <c r="O234" s="182">
        <v>2.2499999999999999E-2</v>
      </c>
      <c r="Q234" s="182">
        <v>4.4999999999999998E-2</v>
      </c>
      <c r="R234" s="182">
        <v>0.06</v>
      </c>
      <c r="S234" s="182">
        <v>2.2499999999999999E-2</v>
      </c>
      <c r="T234" s="182">
        <v>2.75E-2</v>
      </c>
      <c r="U234" s="182"/>
      <c r="V234" s="194">
        <v>0.05</v>
      </c>
      <c r="W234" s="194">
        <v>6.3E-2</v>
      </c>
      <c r="X234" s="194">
        <v>2.7E-2</v>
      </c>
      <c r="Y234" s="194">
        <v>3.2000000000000001E-2</v>
      </c>
      <c r="Z234" s="194"/>
      <c r="AA234" s="195">
        <v>5.0216160000000058E-2</v>
      </c>
      <c r="AB234" s="195">
        <v>6.3099660000000002E-2</v>
      </c>
      <c r="AC234" s="195">
        <v>2.6553370728020997E-2</v>
      </c>
      <c r="AD234" s="195">
        <v>3.2040268385989543E-2</v>
      </c>
      <c r="AE234" s="195"/>
      <c r="AF234" s="195">
        <v>1.1525357544341586E-2</v>
      </c>
      <c r="AG234" s="195">
        <v>1.5047567699361331E-2</v>
      </c>
      <c r="AI234" s="182">
        <v>3.9992040000000006E-2</v>
      </c>
      <c r="AJ234" s="182">
        <v>4.8166440000000144E-2</v>
      </c>
      <c r="AK234" s="182">
        <v>2.0807122500000164E-2</v>
      </c>
      <c r="AM234" s="7" t="s">
        <v>141</v>
      </c>
      <c r="AN234" s="7" t="b">
        <f t="shared" si="28"/>
        <v>0</v>
      </c>
      <c r="AP234" s="211">
        <v>-99</v>
      </c>
      <c r="AQ234" s="211">
        <v>-99</v>
      </c>
      <c r="AS234" s="211">
        <v>-99</v>
      </c>
      <c r="AT234" s="211">
        <v>-99</v>
      </c>
      <c r="AU234" s="211">
        <v>-99</v>
      </c>
      <c r="AV234" s="211">
        <v>-99</v>
      </c>
      <c r="AW234" s="211">
        <v>-99</v>
      </c>
      <c r="AX234" s="211">
        <v>-99</v>
      </c>
      <c r="AZ234" s="211">
        <v>-99</v>
      </c>
      <c r="BA234" s="211">
        <v>-99</v>
      </c>
      <c r="BB234" s="211">
        <v>-99</v>
      </c>
      <c r="BC234" s="211">
        <v>-99</v>
      </c>
      <c r="BD234" s="211">
        <v>-99</v>
      </c>
      <c r="BE234" s="211">
        <v>-99</v>
      </c>
      <c r="BG234" s="211">
        <v>-99</v>
      </c>
      <c r="BH234" s="211">
        <v>-99</v>
      </c>
      <c r="BI234" s="211">
        <v>-99</v>
      </c>
      <c r="BJ234" s="211">
        <v>-99</v>
      </c>
      <c r="BK234" s="211">
        <v>-99</v>
      </c>
      <c r="BL234" s="211">
        <v>-99</v>
      </c>
      <c r="BM234" s="211">
        <v>-99</v>
      </c>
      <c r="BN234" s="191">
        <f t="shared" si="29"/>
        <v>3.9992040000000006E-2</v>
      </c>
      <c r="BO234" s="191">
        <f t="shared" si="30"/>
        <v>4.8166440000000144E-2</v>
      </c>
      <c r="BP234" s="191">
        <f t="shared" si="31"/>
        <v>2.0807122500000164E-2</v>
      </c>
      <c r="BQ234" s="171">
        <f t="shared" si="32"/>
        <v>4.7100000000000003E-2</v>
      </c>
      <c r="BR234" s="171">
        <f t="shared" si="33"/>
        <v>6.0499999999999998E-2</v>
      </c>
      <c r="BS234" s="171">
        <f t="shared" si="34"/>
        <v>3.9599999999999996E-2</v>
      </c>
      <c r="BT234" s="171">
        <f t="shared" si="35"/>
        <v>4.7599999999999996E-2</v>
      </c>
      <c r="BU234" s="171">
        <f t="shared" si="36"/>
        <v>2.07E-2</v>
      </c>
    </row>
    <row r="235" spans="1:73" x14ac:dyDescent="0.3">
      <c r="A235" s="209">
        <v>38412</v>
      </c>
      <c r="B235" s="187">
        <v>200503</v>
      </c>
      <c r="C235" s="176">
        <v>4.75</v>
      </c>
      <c r="D235" s="176">
        <v>6.25</v>
      </c>
      <c r="E235" s="176">
        <v>2.08</v>
      </c>
      <c r="F235" s="177">
        <v>106.3</v>
      </c>
      <c r="G235" s="210">
        <v>2.1656050955414008E-2</v>
      </c>
      <c r="H235" s="179">
        <v>4.12</v>
      </c>
      <c r="I235" s="179">
        <v>4.7699999999999996</v>
      </c>
      <c r="J235" s="210"/>
      <c r="K235" s="182">
        <v>0.05</v>
      </c>
      <c r="L235" s="182">
        <v>0.04</v>
      </c>
      <c r="N235" s="182">
        <v>5.2499999999999998E-2</v>
      </c>
      <c r="O235" s="182">
        <v>2.2499999999999999E-2</v>
      </c>
      <c r="Q235" s="182">
        <v>4.4999999999999998E-2</v>
      </c>
      <c r="R235" s="182">
        <v>5.7500000000000002E-2</v>
      </c>
      <c r="S235" s="182">
        <v>2.2499999999999999E-2</v>
      </c>
      <c r="T235" s="182">
        <v>2.75E-2</v>
      </c>
      <c r="U235" s="182"/>
      <c r="V235" s="194">
        <v>4.8000000000000001E-2</v>
      </c>
      <c r="W235" s="194">
        <v>6.0999999999999999E-2</v>
      </c>
      <c r="X235" s="194">
        <v>2.6000000000000002E-2</v>
      </c>
      <c r="Y235" s="194">
        <v>3.1E-2</v>
      </c>
      <c r="Z235" s="194"/>
      <c r="AA235" s="195">
        <v>4.8074422499999929E-2</v>
      </c>
      <c r="AB235" s="195">
        <v>6.1405323750000289E-2</v>
      </c>
      <c r="AC235" s="195">
        <v>2.562235674852183E-2</v>
      </c>
      <c r="AD235" s="195">
        <v>3.1293355375739469E-2</v>
      </c>
      <c r="AE235" s="195"/>
      <c r="AF235" s="195">
        <v>1.0945581287178929E-2</v>
      </c>
      <c r="AG235" s="195">
        <v>1.459912847168976E-2</v>
      </c>
      <c r="AI235" s="182">
        <v>4.1624359999999916E-2</v>
      </c>
      <c r="AJ235" s="182">
        <v>4.8268822499999864E-2</v>
      </c>
      <c r="AK235" s="182">
        <v>2.0908159999999842E-2</v>
      </c>
      <c r="AM235" s="7" t="s">
        <v>141</v>
      </c>
      <c r="AN235" s="7" t="b">
        <f t="shared" si="28"/>
        <v>0</v>
      </c>
      <c r="AP235" s="211">
        <v>-99</v>
      </c>
      <c r="AQ235" s="211">
        <v>-99</v>
      </c>
      <c r="AS235" s="211">
        <v>-99</v>
      </c>
      <c r="AT235" s="211">
        <v>-99</v>
      </c>
      <c r="AU235" s="211">
        <v>-99</v>
      </c>
      <c r="AV235" s="211">
        <v>-99</v>
      </c>
      <c r="AW235" s="211">
        <v>-99</v>
      </c>
      <c r="AX235" s="211">
        <v>-99</v>
      </c>
      <c r="AZ235" s="211">
        <v>-99</v>
      </c>
      <c r="BA235" s="211">
        <v>-99</v>
      </c>
      <c r="BB235" s="211">
        <v>-99</v>
      </c>
      <c r="BC235" s="211">
        <v>-99</v>
      </c>
      <c r="BD235" s="211">
        <v>-99</v>
      </c>
      <c r="BE235" s="211">
        <v>-99</v>
      </c>
      <c r="BG235" s="211">
        <v>-99</v>
      </c>
      <c r="BH235" s="211">
        <v>-99</v>
      </c>
      <c r="BI235" s="211">
        <v>-99</v>
      </c>
      <c r="BJ235" s="211">
        <v>-99</v>
      </c>
      <c r="BK235" s="211">
        <v>-99</v>
      </c>
      <c r="BL235" s="211">
        <v>-99</v>
      </c>
      <c r="BM235" s="211">
        <v>-99</v>
      </c>
      <c r="BN235" s="191">
        <f t="shared" si="29"/>
        <v>4.1624359999999916E-2</v>
      </c>
      <c r="BO235" s="191">
        <f t="shared" si="30"/>
        <v>4.8268822499999864E-2</v>
      </c>
      <c r="BP235" s="191">
        <f t="shared" si="31"/>
        <v>2.0908159999999842E-2</v>
      </c>
      <c r="BQ235" s="171">
        <f t="shared" si="32"/>
        <v>4.7500000000000001E-2</v>
      </c>
      <c r="BR235" s="171">
        <f t="shared" si="33"/>
        <v>6.25E-2</v>
      </c>
      <c r="BS235" s="171">
        <f t="shared" si="34"/>
        <v>4.1200000000000001E-2</v>
      </c>
      <c r="BT235" s="171">
        <f t="shared" si="35"/>
        <v>4.7699999999999992E-2</v>
      </c>
      <c r="BU235" s="171">
        <f t="shared" si="36"/>
        <v>2.0799999999999999E-2</v>
      </c>
    </row>
    <row r="236" spans="1:73" x14ac:dyDescent="0.3">
      <c r="A236" s="209">
        <v>38443</v>
      </c>
      <c r="B236" s="187">
        <v>200504</v>
      </c>
      <c r="C236" s="176">
        <v>4.55</v>
      </c>
      <c r="D236" s="176">
        <v>6.05</v>
      </c>
      <c r="E236" s="176">
        <v>1.92</v>
      </c>
      <c r="F236" s="177">
        <v>106.6</v>
      </c>
      <c r="G236" s="210">
        <v>2.2264631043257044E-2</v>
      </c>
      <c r="H236" s="179">
        <v>3.84</v>
      </c>
      <c r="I236" s="179">
        <v>4.59</v>
      </c>
      <c r="J236" s="210"/>
      <c r="K236" s="182">
        <v>0.05</v>
      </c>
      <c r="L236" s="182">
        <v>0.04</v>
      </c>
      <c r="N236" s="182">
        <v>5.2499999999999998E-2</v>
      </c>
      <c r="O236" s="182">
        <v>2.2499999999999999E-2</v>
      </c>
      <c r="Q236" s="182">
        <v>4.4999999999999998E-2</v>
      </c>
      <c r="R236" s="182">
        <v>5.7500000000000002E-2</v>
      </c>
      <c r="S236" s="182">
        <v>2.2499999999999999E-2</v>
      </c>
      <c r="T236" s="182">
        <v>2.75E-2</v>
      </c>
      <c r="U236" s="182"/>
      <c r="V236" s="194">
        <v>4.9000000000000002E-2</v>
      </c>
      <c r="W236" s="194">
        <v>6.0999999999999999E-2</v>
      </c>
      <c r="X236" s="194">
        <v>2.6000000000000002E-2</v>
      </c>
      <c r="Y236" s="194">
        <v>3.2000000000000001E-2</v>
      </c>
      <c r="Z236" s="194"/>
      <c r="AA236" s="195">
        <v>4.8992040000000008E-2</v>
      </c>
      <c r="AB236" s="195">
        <v>6.1253640000000213E-2</v>
      </c>
      <c r="AC236" s="195">
        <v>2.627591400371097E-2</v>
      </c>
      <c r="AD236" s="195">
        <v>3.1572726748144764E-2</v>
      </c>
      <c r="AE236" s="195"/>
      <c r="AF236" s="195">
        <v>1.1067260610096885E-2</v>
      </c>
      <c r="AG236" s="195">
        <v>1.4386243685124978E-2</v>
      </c>
      <c r="AI236" s="182">
        <v>3.8768640000000243E-2</v>
      </c>
      <c r="AJ236" s="182">
        <v>4.6426702500000028E-2</v>
      </c>
      <c r="AK236" s="182">
        <v>1.9292160000000003E-2</v>
      </c>
      <c r="AM236" s="7" t="s">
        <v>141</v>
      </c>
      <c r="AN236" s="7" t="b">
        <f t="shared" si="28"/>
        <v>0</v>
      </c>
      <c r="AP236" s="211">
        <v>-99</v>
      </c>
      <c r="AQ236" s="211">
        <v>-99</v>
      </c>
      <c r="AS236" s="211">
        <v>-99</v>
      </c>
      <c r="AT236" s="211">
        <v>-99</v>
      </c>
      <c r="AU236" s="211">
        <v>-99</v>
      </c>
      <c r="AV236" s="211">
        <v>-99</v>
      </c>
      <c r="AW236" s="211">
        <v>-99</v>
      </c>
      <c r="AX236" s="211">
        <v>-99</v>
      </c>
      <c r="AZ236" s="211">
        <v>-99</v>
      </c>
      <c r="BA236" s="211">
        <v>-99</v>
      </c>
      <c r="BB236" s="211">
        <v>-99</v>
      </c>
      <c r="BC236" s="211">
        <v>-99</v>
      </c>
      <c r="BD236" s="211">
        <v>-99</v>
      </c>
      <c r="BE236" s="211">
        <v>-99</v>
      </c>
      <c r="BG236" s="211">
        <v>-99</v>
      </c>
      <c r="BH236" s="211">
        <v>-99</v>
      </c>
      <c r="BI236" s="211">
        <v>-99</v>
      </c>
      <c r="BJ236" s="211">
        <v>-99</v>
      </c>
      <c r="BK236" s="211">
        <v>-99</v>
      </c>
      <c r="BL236" s="211">
        <v>-99</v>
      </c>
      <c r="BM236" s="211">
        <v>-99</v>
      </c>
      <c r="BN236" s="191">
        <f t="shared" si="29"/>
        <v>3.8768640000000243E-2</v>
      </c>
      <c r="BO236" s="191">
        <f t="shared" si="30"/>
        <v>4.6426702500000028E-2</v>
      </c>
      <c r="BP236" s="191">
        <f t="shared" si="31"/>
        <v>1.9292160000000003E-2</v>
      </c>
      <c r="BQ236" s="171">
        <f t="shared" si="32"/>
        <v>4.5499999999999999E-2</v>
      </c>
      <c r="BR236" s="171">
        <f t="shared" si="33"/>
        <v>6.0499999999999998E-2</v>
      </c>
      <c r="BS236" s="171">
        <f t="shared" si="34"/>
        <v>3.8399999999999997E-2</v>
      </c>
      <c r="BT236" s="171">
        <f t="shared" si="35"/>
        <v>4.5899999999999996E-2</v>
      </c>
      <c r="BU236" s="171">
        <f t="shared" si="36"/>
        <v>1.9199999999999998E-2</v>
      </c>
    </row>
    <row r="237" spans="1:73" x14ac:dyDescent="0.3">
      <c r="A237" s="209">
        <v>38473</v>
      </c>
      <c r="B237" s="187">
        <v>200505</v>
      </c>
      <c r="C237" s="176">
        <v>4.41</v>
      </c>
      <c r="D237" s="176">
        <v>5.95</v>
      </c>
      <c r="E237" s="176">
        <v>1.86</v>
      </c>
      <c r="F237" s="177">
        <v>106.7</v>
      </c>
      <c r="G237" s="210">
        <v>2.1587301587301599E-2</v>
      </c>
      <c r="H237" s="179">
        <v>3.74</v>
      </c>
      <c r="I237" s="179">
        <v>4.46</v>
      </c>
      <c r="J237" s="210"/>
      <c r="K237" s="182">
        <v>0.05</v>
      </c>
      <c r="L237" s="182">
        <v>0.04</v>
      </c>
      <c r="N237" s="182">
        <v>5.2499999999999998E-2</v>
      </c>
      <c r="O237" s="182">
        <v>2.2499999999999999E-2</v>
      </c>
      <c r="Q237" s="182">
        <v>4.7500000000000001E-2</v>
      </c>
      <c r="R237" s="182">
        <v>5.7500000000000002E-2</v>
      </c>
      <c r="S237" s="182">
        <v>2.2499999999999999E-2</v>
      </c>
      <c r="T237" s="182">
        <v>2.75E-2</v>
      </c>
      <c r="U237" s="182"/>
      <c r="V237" s="194">
        <v>5.1000000000000004E-2</v>
      </c>
      <c r="W237" s="194">
        <v>6.0999999999999999E-2</v>
      </c>
      <c r="X237" s="194">
        <v>2.7E-2</v>
      </c>
      <c r="Y237" s="194">
        <v>3.1E-2</v>
      </c>
      <c r="Z237" s="194"/>
      <c r="AA237" s="195">
        <v>5.0624359999999917E-2</v>
      </c>
      <c r="AB237" s="195">
        <v>6.0591053749999839E-2</v>
      </c>
      <c r="AC237" s="195">
        <v>2.7030039551463974E-2</v>
      </c>
      <c r="AD237" s="195">
        <v>3.134722022426778E-2</v>
      </c>
      <c r="AE237" s="195"/>
      <c r="AF237" s="195">
        <v>1.1486674946158404E-2</v>
      </c>
      <c r="AG237" s="195">
        <v>1.4177491805026143E-2</v>
      </c>
      <c r="AI237" s="182">
        <v>3.7749689999999836E-2</v>
      </c>
      <c r="AJ237" s="182">
        <v>4.5097289999999957E-2</v>
      </c>
      <c r="AK237" s="182">
        <v>1.8686490000000111E-2</v>
      </c>
      <c r="AM237" s="7" t="s">
        <v>141</v>
      </c>
      <c r="AN237" s="7" t="b">
        <f t="shared" si="28"/>
        <v>0</v>
      </c>
      <c r="AP237" s="211">
        <v>-99</v>
      </c>
      <c r="AQ237" s="211">
        <v>-99</v>
      </c>
      <c r="AS237" s="211">
        <v>-99</v>
      </c>
      <c r="AT237" s="211">
        <v>-99</v>
      </c>
      <c r="AU237" s="211">
        <v>-99</v>
      </c>
      <c r="AV237" s="211">
        <v>-99</v>
      </c>
      <c r="AW237" s="211">
        <v>-99</v>
      </c>
      <c r="AX237" s="211">
        <v>-99</v>
      </c>
      <c r="AZ237" s="211">
        <v>-99</v>
      </c>
      <c r="BA237" s="211">
        <v>-99</v>
      </c>
      <c r="BB237" s="211">
        <v>-99</v>
      </c>
      <c r="BC237" s="211">
        <v>-99</v>
      </c>
      <c r="BD237" s="211">
        <v>-99</v>
      </c>
      <c r="BE237" s="211">
        <v>-99</v>
      </c>
      <c r="BG237" s="211">
        <v>-99</v>
      </c>
      <c r="BH237" s="211">
        <v>-99</v>
      </c>
      <c r="BI237" s="211">
        <v>-99</v>
      </c>
      <c r="BJ237" s="211">
        <v>-99</v>
      </c>
      <c r="BK237" s="211">
        <v>-99</v>
      </c>
      <c r="BL237" s="211">
        <v>-99</v>
      </c>
      <c r="BM237" s="211">
        <v>-99</v>
      </c>
      <c r="BN237" s="191">
        <f t="shared" si="29"/>
        <v>3.7749689999999836E-2</v>
      </c>
      <c r="BO237" s="191">
        <f t="shared" si="30"/>
        <v>4.5097289999999957E-2</v>
      </c>
      <c r="BP237" s="191">
        <f t="shared" si="31"/>
        <v>1.8686490000000111E-2</v>
      </c>
      <c r="BQ237" s="171">
        <f t="shared" si="32"/>
        <v>4.41E-2</v>
      </c>
      <c r="BR237" s="171">
        <f t="shared" si="33"/>
        <v>5.9500000000000004E-2</v>
      </c>
      <c r="BS237" s="171">
        <f t="shared" si="34"/>
        <v>3.7400000000000003E-2</v>
      </c>
      <c r="BT237" s="171">
        <f t="shared" si="35"/>
        <v>4.4600000000000001E-2</v>
      </c>
      <c r="BU237" s="171">
        <f t="shared" si="36"/>
        <v>1.8600000000000002E-2</v>
      </c>
    </row>
    <row r="238" spans="1:73" x14ac:dyDescent="0.3">
      <c r="A238" s="209">
        <v>38504</v>
      </c>
      <c r="B238" s="187">
        <v>200506</v>
      </c>
      <c r="C238" s="176">
        <v>4.2699999999999996</v>
      </c>
      <c r="D238" s="176">
        <v>5.7</v>
      </c>
      <c r="E238" s="176">
        <v>1.87</v>
      </c>
      <c r="F238" s="177">
        <v>106.9</v>
      </c>
      <c r="G238" s="210">
        <v>2.0265991133628702E-2</v>
      </c>
      <c r="H238" s="179">
        <v>3.49</v>
      </c>
      <c r="I238" s="179">
        <v>4.29</v>
      </c>
      <c r="J238" s="210"/>
      <c r="K238" s="182">
        <v>0.05</v>
      </c>
      <c r="L238" s="182">
        <v>3.5000000000000003E-2</v>
      </c>
      <c r="N238" s="182">
        <v>0.05</v>
      </c>
      <c r="O238" s="182">
        <v>2.2499999999999999E-2</v>
      </c>
      <c r="Q238" s="182">
        <v>4.4999999999999998E-2</v>
      </c>
      <c r="R238" s="182">
        <v>5.5E-2</v>
      </c>
      <c r="S238" s="182">
        <v>0.02</v>
      </c>
      <c r="T238" s="182">
        <v>2.5000000000000001E-2</v>
      </c>
      <c r="U238" s="182"/>
      <c r="V238" s="194">
        <v>4.8000000000000001E-2</v>
      </c>
      <c r="W238" s="194">
        <v>5.9000000000000004E-2</v>
      </c>
      <c r="X238" s="194">
        <v>2.5000000000000001E-2</v>
      </c>
      <c r="Y238" s="194">
        <v>0.03</v>
      </c>
      <c r="Z238" s="194"/>
      <c r="AA238" s="195">
        <v>4.7768640000000244E-2</v>
      </c>
      <c r="AB238" s="195">
        <v>5.9255733749999921E-2</v>
      </c>
      <c r="AC238" s="195">
        <v>2.5109927382036327E-2</v>
      </c>
      <c r="AD238" s="195">
        <v>2.988327630898184E-2</v>
      </c>
      <c r="AE238" s="195"/>
      <c r="AF238" s="195">
        <v>1.105184527664782E-2</v>
      </c>
      <c r="AG238" s="195">
        <v>1.4260090496025279E-2</v>
      </c>
      <c r="AI238" s="182">
        <v>3.5204502499999846E-2</v>
      </c>
      <c r="AJ238" s="182">
        <v>4.3360102499999886E-2</v>
      </c>
      <c r="AK238" s="182">
        <v>1.8787422499999984E-2</v>
      </c>
      <c r="AM238" s="7" t="s">
        <v>141</v>
      </c>
      <c r="AN238" s="7" t="b">
        <f t="shared" si="28"/>
        <v>0</v>
      </c>
      <c r="AP238" s="211">
        <v>-99</v>
      </c>
      <c r="AQ238" s="211">
        <v>-99</v>
      </c>
      <c r="AS238" s="211">
        <v>-99</v>
      </c>
      <c r="AT238" s="211">
        <v>-99</v>
      </c>
      <c r="AU238" s="211">
        <v>-99</v>
      </c>
      <c r="AV238" s="211">
        <v>-99</v>
      </c>
      <c r="AW238" s="211">
        <v>-99</v>
      </c>
      <c r="AX238" s="211">
        <v>-99</v>
      </c>
      <c r="AZ238" s="211">
        <v>-99</v>
      </c>
      <c r="BA238" s="211">
        <v>-99</v>
      </c>
      <c r="BB238" s="211">
        <v>-99</v>
      </c>
      <c r="BC238" s="211">
        <v>-99</v>
      </c>
      <c r="BD238" s="211">
        <v>-99</v>
      </c>
      <c r="BE238" s="211">
        <v>-99</v>
      </c>
      <c r="BG238" s="211">
        <v>-99</v>
      </c>
      <c r="BH238" s="211">
        <v>-99</v>
      </c>
      <c r="BI238" s="211">
        <v>-99</v>
      </c>
      <c r="BJ238" s="211">
        <v>-99</v>
      </c>
      <c r="BK238" s="211">
        <v>-99</v>
      </c>
      <c r="BL238" s="211">
        <v>-99</v>
      </c>
      <c r="BM238" s="211">
        <v>-99</v>
      </c>
      <c r="BN238" s="191">
        <f t="shared" si="29"/>
        <v>3.5204502499999846E-2</v>
      </c>
      <c r="BO238" s="191">
        <f t="shared" si="30"/>
        <v>4.3360102499999886E-2</v>
      </c>
      <c r="BP238" s="191">
        <f t="shared" si="31"/>
        <v>1.8787422499999984E-2</v>
      </c>
      <c r="BQ238" s="171">
        <f t="shared" si="32"/>
        <v>4.2699999999999995E-2</v>
      </c>
      <c r="BR238" s="171">
        <f t="shared" si="33"/>
        <v>5.7000000000000002E-2</v>
      </c>
      <c r="BS238" s="171">
        <f t="shared" si="34"/>
        <v>3.49E-2</v>
      </c>
      <c r="BT238" s="171">
        <f t="shared" si="35"/>
        <v>4.2900000000000001E-2</v>
      </c>
      <c r="BU238" s="171">
        <f t="shared" si="36"/>
        <v>1.8700000000000001E-2</v>
      </c>
    </row>
    <row r="239" spans="1:73" x14ac:dyDescent="0.3">
      <c r="A239" s="209">
        <v>38534</v>
      </c>
      <c r="B239" s="187">
        <v>200507</v>
      </c>
      <c r="C239" s="176">
        <v>4.3099999999999996</v>
      </c>
      <c r="D239" s="176">
        <v>5.8</v>
      </c>
      <c r="E239" s="176">
        <v>1.93</v>
      </c>
      <c r="F239" s="177">
        <v>107.1</v>
      </c>
      <c r="G239" s="210">
        <v>2.0227560050569027E-2</v>
      </c>
      <c r="H239" s="179">
        <v>3.63</v>
      </c>
      <c r="I239" s="179">
        <v>4.3099999999999996</v>
      </c>
      <c r="J239" s="210"/>
      <c r="K239" s="182">
        <v>4.4999999999999998E-2</v>
      </c>
      <c r="L239" s="182">
        <v>3.5000000000000003E-2</v>
      </c>
      <c r="N239" s="182">
        <v>0.05</v>
      </c>
      <c r="O239" s="182">
        <v>0.02</v>
      </c>
      <c r="Q239" s="182">
        <v>4.2500000000000003E-2</v>
      </c>
      <c r="R239" s="182">
        <v>5.5E-2</v>
      </c>
      <c r="S239" s="182">
        <v>0.02</v>
      </c>
      <c r="T239" s="182">
        <v>2.5000000000000001E-2</v>
      </c>
      <c r="U239" s="182"/>
      <c r="V239" s="194">
        <v>4.7E-2</v>
      </c>
      <c r="W239" s="194">
        <v>5.8000000000000003E-2</v>
      </c>
      <c r="X239" s="194">
        <v>2.5000000000000001E-2</v>
      </c>
      <c r="Y239" s="194">
        <v>2.9000000000000001E-2</v>
      </c>
      <c r="Z239" s="194"/>
      <c r="AA239" s="195">
        <v>4.6749689999999837E-2</v>
      </c>
      <c r="AB239" s="195">
        <v>5.7771090000000018E-2</v>
      </c>
      <c r="AC239" s="195">
        <v>2.4641942225089399E-2</v>
      </c>
      <c r="AD239" s="195">
        <v>2.9208763887455469E-2</v>
      </c>
      <c r="AE239" s="195"/>
      <c r="AF239" s="195">
        <v>1.078803573417153E-2</v>
      </c>
      <c r="AG239" s="195">
        <v>1.3875866157931349E-2</v>
      </c>
      <c r="AI239" s="182">
        <v>3.6629422499999675E-2</v>
      </c>
      <c r="AJ239" s="182">
        <v>4.3564402499999932E-2</v>
      </c>
      <c r="AK239" s="182">
        <v>1.9393122499999915E-2</v>
      </c>
      <c r="AM239" s="7" t="s">
        <v>141</v>
      </c>
      <c r="AN239" s="7" t="b">
        <f t="shared" si="28"/>
        <v>0</v>
      </c>
      <c r="AP239" s="211">
        <v>-99</v>
      </c>
      <c r="AQ239" s="211">
        <v>-99</v>
      </c>
      <c r="AS239" s="211">
        <v>-99</v>
      </c>
      <c r="AT239" s="211">
        <v>-99</v>
      </c>
      <c r="AU239" s="211">
        <v>-99</v>
      </c>
      <c r="AV239" s="211">
        <v>-99</v>
      </c>
      <c r="AW239" s="211">
        <v>-99</v>
      </c>
      <c r="AX239" s="211">
        <v>-99</v>
      </c>
      <c r="AZ239" s="211">
        <v>-99</v>
      </c>
      <c r="BA239" s="211">
        <v>-99</v>
      </c>
      <c r="BB239" s="211">
        <v>-99</v>
      </c>
      <c r="BC239" s="211">
        <v>-99</v>
      </c>
      <c r="BD239" s="211">
        <v>-99</v>
      </c>
      <c r="BE239" s="211">
        <v>-99</v>
      </c>
      <c r="BG239" s="211">
        <v>-99</v>
      </c>
      <c r="BH239" s="211">
        <v>-99</v>
      </c>
      <c r="BI239" s="211">
        <v>-99</v>
      </c>
      <c r="BJ239" s="211">
        <v>-99</v>
      </c>
      <c r="BK239" s="211">
        <v>-99</v>
      </c>
      <c r="BL239" s="211">
        <v>-99</v>
      </c>
      <c r="BM239" s="211">
        <v>-99</v>
      </c>
      <c r="BN239" s="191">
        <f t="shared" si="29"/>
        <v>3.6629422499999675E-2</v>
      </c>
      <c r="BO239" s="191">
        <f t="shared" si="30"/>
        <v>4.3564402499999932E-2</v>
      </c>
      <c r="BP239" s="191">
        <f t="shared" si="31"/>
        <v>1.9393122499999915E-2</v>
      </c>
      <c r="BQ239" s="171">
        <f t="shared" si="32"/>
        <v>4.3099999999999999E-2</v>
      </c>
      <c r="BR239" s="171">
        <f t="shared" si="33"/>
        <v>5.7999999999999996E-2</v>
      </c>
      <c r="BS239" s="171">
        <f t="shared" si="34"/>
        <v>3.6299999999999999E-2</v>
      </c>
      <c r="BT239" s="171">
        <f t="shared" si="35"/>
        <v>4.3099999999999999E-2</v>
      </c>
      <c r="BU239" s="171">
        <f t="shared" si="36"/>
        <v>1.9299999999999998E-2</v>
      </c>
    </row>
    <row r="240" spans="1:73" x14ac:dyDescent="0.3">
      <c r="A240" s="209">
        <v>38565</v>
      </c>
      <c r="B240" s="187">
        <v>200508</v>
      </c>
      <c r="C240" s="176">
        <v>4.1100000000000003</v>
      </c>
      <c r="D240" s="176">
        <v>5.8</v>
      </c>
      <c r="E240" s="176">
        <v>1.73</v>
      </c>
      <c r="F240" s="177">
        <v>107.5</v>
      </c>
      <c r="G240" s="210">
        <v>2.0833333333333259E-2</v>
      </c>
      <c r="H240" s="179">
        <v>3.57</v>
      </c>
      <c r="I240" s="179">
        <v>4.12</v>
      </c>
      <c r="J240" s="210"/>
      <c r="K240" s="182">
        <v>4.4999999999999998E-2</v>
      </c>
      <c r="L240" s="182">
        <v>3.5000000000000003E-2</v>
      </c>
      <c r="N240" s="182">
        <v>4.7500000000000001E-2</v>
      </c>
      <c r="O240" s="182">
        <v>2.2499999999999999E-2</v>
      </c>
      <c r="Q240" s="182">
        <v>0.04</v>
      </c>
      <c r="R240" s="182">
        <v>5.2499999999999998E-2</v>
      </c>
      <c r="S240" s="182">
        <v>0.02</v>
      </c>
      <c r="T240" s="182">
        <v>2.5000000000000001E-2</v>
      </c>
      <c r="U240" s="182"/>
      <c r="V240" s="194">
        <v>4.3999999999999997E-2</v>
      </c>
      <c r="W240" s="194">
        <v>5.6000000000000001E-2</v>
      </c>
      <c r="X240" s="194">
        <v>2.4E-2</v>
      </c>
      <c r="Y240" s="194">
        <v>0.03</v>
      </c>
      <c r="Z240" s="194"/>
      <c r="AA240" s="195">
        <v>4.4204502499999847E-2</v>
      </c>
      <c r="AB240" s="195">
        <v>5.6437902499999908E-2</v>
      </c>
      <c r="AC240" s="195">
        <v>2.4253696929563404E-2</v>
      </c>
      <c r="AD240" s="195">
        <v>2.9554285285218276E-2</v>
      </c>
      <c r="AE240" s="195"/>
      <c r="AF240" s="195">
        <v>9.7391913889319781E-3</v>
      </c>
      <c r="AG240" s="195">
        <v>1.3055949355469942E-2</v>
      </c>
      <c r="AI240" s="182">
        <v>3.6018622499999875E-2</v>
      </c>
      <c r="AJ240" s="182">
        <v>4.1624359999999916E-2</v>
      </c>
      <c r="AK240" s="182">
        <v>1.7374822500000109E-2</v>
      </c>
      <c r="AM240" s="7" t="s">
        <v>141</v>
      </c>
      <c r="AN240" s="7" t="b">
        <f t="shared" si="28"/>
        <v>0</v>
      </c>
      <c r="AP240" s="211">
        <v>-99</v>
      </c>
      <c r="AQ240" s="211">
        <v>-99</v>
      </c>
      <c r="AS240" s="211">
        <v>-99</v>
      </c>
      <c r="AT240" s="211">
        <v>-99</v>
      </c>
      <c r="AU240" s="211">
        <v>-99</v>
      </c>
      <c r="AV240" s="211">
        <v>-99</v>
      </c>
      <c r="AW240" s="211">
        <v>-99</v>
      </c>
      <c r="AX240" s="211">
        <v>-99</v>
      </c>
      <c r="AZ240" s="211">
        <v>-99</v>
      </c>
      <c r="BA240" s="211">
        <v>-99</v>
      </c>
      <c r="BB240" s="211">
        <v>-99</v>
      </c>
      <c r="BC240" s="211">
        <v>-99</v>
      </c>
      <c r="BD240" s="211">
        <v>-99</v>
      </c>
      <c r="BE240" s="211">
        <v>-99</v>
      </c>
      <c r="BG240" s="211">
        <v>-99</v>
      </c>
      <c r="BH240" s="211">
        <v>-99</v>
      </c>
      <c r="BI240" s="211">
        <v>-99</v>
      </c>
      <c r="BJ240" s="211">
        <v>-99</v>
      </c>
      <c r="BK240" s="211">
        <v>-99</v>
      </c>
      <c r="BL240" s="211">
        <v>-99</v>
      </c>
      <c r="BM240" s="211">
        <v>-99</v>
      </c>
      <c r="BN240" s="191">
        <f t="shared" si="29"/>
        <v>3.6018622499999875E-2</v>
      </c>
      <c r="BO240" s="191">
        <f t="shared" si="30"/>
        <v>4.1624359999999916E-2</v>
      </c>
      <c r="BP240" s="191">
        <f t="shared" si="31"/>
        <v>1.7374822500000109E-2</v>
      </c>
      <c r="BQ240" s="171">
        <f t="shared" si="32"/>
        <v>4.1100000000000005E-2</v>
      </c>
      <c r="BR240" s="171">
        <f t="shared" si="33"/>
        <v>5.7999999999999996E-2</v>
      </c>
      <c r="BS240" s="171">
        <f t="shared" si="34"/>
        <v>3.5699999999999996E-2</v>
      </c>
      <c r="BT240" s="171">
        <f t="shared" si="35"/>
        <v>4.1200000000000001E-2</v>
      </c>
      <c r="BU240" s="171">
        <f t="shared" si="36"/>
        <v>1.7299999999999999E-2</v>
      </c>
    </row>
    <row r="241" spans="1:73" x14ac:dyDescent="0.3">
      <c r="A241" s="209">
        <v>38596</v>
      </c>
      <c r="B241" s="187">
        <v>200509</v>
      </c>
      <c r="C241" s="176">
        <v>4.21</v>
      </c>
      <c r="D241" s="176">
        <v>5.8</v>
      </c>
      <c r="E241" s="176">
        <v>1.64</v>
      </c>
      <c r="F241" s="177">
        <v>108.4</v>
      </c>
      <c r="G241" s="210">
        <v>2.2698612862547263E-2</v>
      </c>
      <c r="H241" s="179">
        <v>3.74</v>
      </c>
      <c r="I241" s="179">
        <v>4.21</v>
      </c>
      <c r="J241" s="210"/>
      <c r="K241" s="182">
        <v>4.4999999999999998E-2</v>
      </c>
      <c r="L241" s="182">
        <v>3.5000000000000003E-2</v>
      </c>
      <c r="N241" s="182">
        <v>4.7500000000000001E-2</v>
      </c>
      <c r="O241" s="182">
        <v>2.2499999999999999E-2</v>
      </c>
      <c r="Q241" s="182">
        <v>4.2500000000000003E-2</v>
      </c>
      <c r="R241" s="182">
        <v>5.2499999999999998E-2</v>
      </c>
      <c r="S241" s="182">
        <v>2.2499999999999999E-2</v>
      </c>
      <c r="T241" s="182">
        <v>2.5000000000000001E-2</v>
      </c>
      <c r="U241" s="182"/>
      <c r="V241" s="194">
        <v>4.5999999999999999E-2</v>
      </c>
      <c r="W241" s="194">
        <v>5.6000000000000001E-2</v>
      </c>
      <c r="X241" s="194">
        <v>2.5000000000000001E-2</v>
      </c>
      <c r="Y241" s="194">
        <v>0.03</v>
      </c>
      <c r="Z241" s="194"/>
      <c r="AA241" s="195">
        <v>4.5629422499999676E-2</v>
      </c>
      <c r="AB241" s="195">
        <v>5.6031892500000062E-2</v>
      </c>
      <c r="AC241" s="195">
        <v>2.530594790429521E-2</v>
      </c>
      <c r="AD241" s="195">
        <v>2.9936709797852269E-2</v>
      </c>
      <c r="AE241" s="195"/>
      <c r="AF241" s="195">
        <v>9.9109317746791659E-3</v>
      </c>
      <c r="AG241" s="195">
        <v>1.2668342847624858E-2</v>
      </c>
      <c r="AI241" s="182">
        <v>3.7749689999999836E-2</v>
      </c>
      <c r="AJ241" s="182">
        <v>4.2543102500000041E-2</v>
      </c>
      <c r="AK241" s="182">
        <v>1.6467239999999883E-2</v>
      </c>
      <c r="AM241" s="7" t="s">
        <v>141</v>
      </c>
      <c r="AN241" s="7" t="b">
        <f t="shared" si="28"/>
        <v>0</v>
      </c>
      <c r="AP241" s="211">
        <v>-99</v>
      </c>
      <c r="AQ241" s="211">
        <v>-99</v>
      </c>
      <c r="AS241" s="211">
        <v>-99</v>
      </c>
      <c r="AT241" s="211">
        <v>-99</v>
      </c>
      <c r="AU241" s="211">
        <v>-99</v>
      </c>
      <c r="AV241" s="211">
        <v>-99</v>
      </c>
      <c r="AW241" s="211">
        <v>-99</v>
      </c>
      <c r="AX241" s="211">
        <v>-99</v>
      </c>
      <c r="AZ241" s="211">
        <v>-99</v>
      </c>
      <c r="BA241" s="211">
        <v>-99</v>
      </c>
      <c r="BB241" s="211">
        <v>-99</v>
      </c>
      <c r="BC241" s="211">
        <v>-99</v>
      </c>
      <c r="BD241" s="211">
        <v>-99</v>
      </c>
      <c r="BE241" s="211">
        <v>-99</v>
      </c>
      <c r="BG241" s="211">
        <v>-99</v>
      </c>
      <c r="BH241" s="211">
        <v>-99</v>
      </c>
      <c r="BI241" s="211">
        <v>-99</v>
      </c>
      <c r="BJ241" s="211">
        <v>-99</v>
      </c>
      <c r="BK241" s="211">
        <v>-99</v>
      </c>
      <c r="BL241" s="211">
        <v>-99</v>
      </c>
      <c r="BM241" s="211">
        <v>-99</v>
      </c>
      <c r="BN241" s="191">
        <f t="shared" si="29"/>
        <v>3.7749689999999836E-2</v>
      </c>
      <c r="BO241" s="191">
        <f t="shared" si="30"/>
        <v>4.2543102500000041E-2</v>
      </c>
      <c r="BP241" s="191">
        <f t="shared" si="31"/>
        <v>1.6467239999999883E-2</v>
      </c>
      <c r="BQ241" s="171">
        <f t="shared" si="32"/>
        <v>4.2099999999999999E-2</v>
      </c>
      <c r="BR241" s="171">
        <f t="shared" si="33"/>
        <v>5.7999999999999996E-2</v>
      </c>
      <c r="BS241" s="171">
        <f t="shared" si="34"/>
        <v>3.7400000000000003E-2</v>
      </c>
      <c r="BT241" s="171">
        <f t="shared" si="35"/>
        <v>4.2099999999999999E-2</v>
      </c>
      <c r="BU241" s="171">
        <f t="shared" si="36"/>
        <v>1.6399999999999998E-2</v>
      </c>
    </row>
    <row r="242" spans="1:73" x14ac:dyDescent="0.3">
      <c r="A242" s="209">
        <v>38626</v>
      </c>
      <c r="B242" s="187">
        <v>200510</v>
      </c>
      <c r="C242" s="176">
        <v>4.38</v>
      </c>
      <c r="D242" s="176">
        <v>6</v>
      </c>
      <c r="E242" s="176">
        <v>1.7</v>
      </c>
      <c r="F242" s="177">
        <v>107.9</v>
      </c>
      <c r="G242" s="210">
        <v>2.2655758338577581E-2</v>
      </c>
      <c r="H242" s="179">
        <v>3.99</v>
      </c>
      <c r="I242" s="179">
        <v>4.37</v>
      </c>
      <c r="J242" s="210"/>
      <c r="K242" s="182">
        <v>4.4999999999999998E-2</v>
      </c>
      <c r="L242" s="182">
        <v>3.5000000000000003E-2</v>
      </c>
      <c r="N242" s="182">
        <v>4.7500000000000001E-2</v>
      </c>
      <c r="O242" s="182">
        <v>0.02</v>
      </c>
      <c r="Q242" s="182">
        <v>0.04</v>
      </c>
      <c r="R242" s="182">
        <v>0.05</v>
      </c>
      <c r="S242" s="182">
        <v>0.02</v>
      </c>
      <c r="T242" s="182">
        <v>2.2499999999999999E-2</v>
      </c>
      <c r="U242" s="182"/>
      <c r="V242" s="194">
        <v>4.4999999999999998E-2</v>
      </c>
      <c r="W242" s="194">
        <v>5.2999999999999999E-2</v>
      </c>
      <c r="X242" s="194">
        <v>2.4E-2</v>
      </c>
      <c r="Y242" s="194">
        <v>2.8000000000000001E-2</v>
      </c>
      <c r="Z242" s="194"/>
      <c r="AA242" s="195">
        <v>4.5018622499999876E-2</v>
      </c>
      <c r="AB242" s="195">
        <v>5.3427228749999937E-2</v>
      </c>
      <c r="AC242" s="195">
        <v>2.4034877956850491E-2</v>
      </c>
      <c r="AD242" s="195">
        <v>2.7544794771574919E-2</v>
      </c>
      <c r="AE242" s="195"/>
      <c r="AF242" s="195">
        <v>1.0245620044219583E-2</v>
      </c>
      <c r="AG242" s="195">
        <v>1.2594309323604058E-2</v>
      </c>
      <c r="AI242" s="182">
        <v>4.029800249999993E-2</v>
      </c>
      <c r="AJ242" s="182">
        <v>4.4177422499999786E-2</v>
      </c>
      <c r="AK242" s="182">
        <v>1.7072250000000011E-2</v>
      </c>
      <c r="AM242" s="7" t="s">
        <v>141</v>
      </c>
      <c r="AN242" s="7" t="b">
        <f t="shared" si="28"/>
        <v>0</v>
      </c>
      <c r="AP242" s="211">
        <v>-99</v>
      </c>
      <c r="AQ242" s="211">
        <v>-99</v>
      </c>
      <c r="AS242" s="211">
        <v>-99</v>
      </c>
      <c r="AT242" s="211">
        <v>-99</v>
      </c>
      <c r="AU242" s="211">
        <v>-99</v>
      </c>
      <c r="AV242" s="211">
        <v>-99</v>
      </c>
      <c r="AW242" s="211">
        <v>-99</v>
      </c>
      <c r="AX242" s="211">
        <v>-99</v>
      </c>
      <c r="AZ242" s="211">
        <v>-99</v>
      </c>
      <c r="BA242" s="211">
        <v>-99</v>
      </c>
      <c r="BB242" s="211">
        <v>-99</v>
      </c>
      <c r="BC242" s="211">
        <v>-99</v>
      </c>
      <c r="BD242" s="211">
        <v>-99</v>
      </c>
      <c r="BE242" s="211">
        <v>-99</v>
      </c>
      <c r="BG242" s="211">
        <v>-99</v>
      </c>
      <c r="BH242" s="211">
        <v>-99</v>
      </c>
      <c r="BI242" s="211">
        <v>-99</v>
      </c>
      <c r="BJ242" s="211">
        <v>-99</v>
      </c>
      <c r="BK242" s="211">
        <v>-99</v>
      </c>
      <c r="BL242" s="211">
        <v>-99</v>
      </c>
      <c r="BM242" s="211">
        <v>-99</v>
      </c>
      <c r="BN242" s="191">
        <f t="shared" si="29"/>
        <v>4.029800249999993E-2</v>
      </c>
      <c r="BO242" s="191">
        <f t="shared" si="30"/>
        <v>4.4177422499999786E-2</v>
      </c>
      <c r="BP242" s="191">
        <f t="shared" si="31"/>
        <v>1.7072250000000011E-2</v>
      </c>
      <c r="BQ242" s="171">
        <f t="shared" si="32"/>
        <v>4.3799999999999999E-2</v>
      </c>
      <c r="BR242" s="171">
        <f t="shared" si="33"/>
        <v>0.06</v>
      </c>
      <c r="BS242" s="171">
        <f t="shared" si="34"/>
        <v>3.9900000000000005E-2</v>
      </c>
      <c r="BT242" s="171">
        <f t="shared" si="35"/>
        <v>4.3700000000000003E-2</v>
      </c>
      <c r="BU242" s="171">
        <f t="shared" si="36"/>
        <v>1.7000000000000001E-2</v>
      </c>
    </row>
    <row r="243" spans="1:73" x14ac:dyDescent="0.3">
      <c r="A243" s="209">
        <v>38657</v>
      </c>
      <c r="B243" s="187">
        <v>200511</v>
      </c>
      <c r="C243" s="176">
        <v>4.2</v>
      </c>
      <c r="D243" s="176">
        <v>6.15</v>
      </c>
      <c r="E243" s="176">
        <v>1.65</v>
      </c>
      <c r="F243" s="177">
        <v>107.7</v>
      </c>
      <c r="G243" s="210">
        <v>2.1971123666038928E-2</v>
      </c>
      <c r="H243" s="179">
        <v>3.94</v>
      </c>
      <c r="I243" s="179">
        <v>4.18</v>
      </c>
      <c r="J243" s="210"/>
      <c r="K243" s="182">
        <v>4.4999999999999998E-2</v>
      </c>
      <c r="L243" s="182">
        <v>3.5000000000000003E-2</v>
      </c>
      <c r="N243" s="182">
        <v>4.7500000000000001E-2</v>
      </c>
      <c r="O243" s="182">
        <v>0.02</v>
      </c>
      <c r="Q243" s="182">
        <v>4.2500000000000003E-2</v>
      </c>
      <c r="R243" s="182">
        <v>0.05</v>
      </c>
      <c r="S243" s="182">
        <v>0.02</v>
      </c>
      <c r="T243" s="182">
        <v>2.2499999999999999E-2</v>
      </c>
      <c r="U243" s="182"/>
      <c r="V243" s="194">
        <v>4.7E-2</v>
      </c>
      <c r="W243" s="194">
        <v>5.3999999999999999E-2</v>
      </c>
      <c r="X243" s="194">
        <v>2.4E-2</v>
      </c>
      <c r="Y243" s="194">
        <v>2.6000000000000002E-2</v>
      </c>
      <c r="Z243" s="194"/>
      <c r="AA243" s="195">
        <v>4.6749689999999837E-2</v>
      </c>
      <c r="AB243" s="195">
        <v>5.3939808750000144E-2</v>
      </c>
      <c r="AC243" s="195">
        <v>2.3611844661672064E-2</v>
      </c>
      <c r="AD243" s="195">
        <v>2.6394937669163794E-2</v>
      </c>
      <c r="AE243" s="195"/>
      <c r="AF243" s="195">
        <v>1.130206017984059E-2</v>
      </c>
      <c r="AG243" s="195">
        <v>1.3418261367981632E-2</v>
      </c>
      <c r="AI243" s="182">
        <v>3.9788090000000054E-2</v>
      </c>
      <c r="AJ243" s="182">
        <v>4.2236809999999902E-2</v>
      </c>
      <c r="AK243" s="182">
        <v>1.6568062500000202E-2</v>
      </c>
      <c r="AM243" s="7" t="s">
        <v>141</v>
      </c>
      <c r="AN243" s="7" t="b">
        <f t="shared" si="28"/>
        <v>0</v>
      </c>
      <c r="AP243" s="211">
        <v>-99</v>
      </c>
      <c r="AQ243" s="211">
        <v>-99</v>
      </c>
      <c r="AS243" s="211">
        <v>-99</v>
      </c>
      <c r="AT243" s="211">
        <v>-99</v>
      </c>
      <c r="AU243" s="211">
        <v>-99</v>
      </c>
      <c r="AV243" s="211">
        <v>-99</v>
      </c>
      <c r="AW243" s="211">
        <v>-99</v>
      </c>
      <c r="AX243" s="211">
        <v>-99</v>
      </c>
      <c r="AZ243" s="211">
        <v>-99</v>
      </c>
      <c r="BA243" s="211">
        <v>-99</v>
      </c>
      <c r="BB243" s="211">
        <v>-99</v>
      </c>
      <c r="BC243" s="211">
        <v>-99</v>
      </c>
      <c r="BD243" s="211">
        <v>-99</v>
      </c>
      <c r="BE243" s="211">
        <v>-99</v>
      </c>
      <c r="BG243" s="211">
        <v>-99</v>
      </c>
      <c r="BH243" s="211">
        <v>-99</v>
      </c>
      <c r="BI243" s="211">
        <v>-99</v>
      </c>
      <c r="BJ243" s="211">
        <v>-99</v>
      </c>
      <c r="BK243" s="211">
        <v>-99</v>
      </c>
      <c r="BL243" s="211">
        <v>-99</v>
      </c>
      <c r="BM243" s="211">
        <v>-99</v>
      </c>
      <c r="BN243" s="191">
        <f t="shared" si="29"/>
        <v>3.9788090000000054E-2</v>
      </c>
      <c r="BO243" s="191">
        <f t="shared" si="30"/>
        <v>4.2236809999999902E-2</v>
      </c>
      <c r="BP243" s="191">
        <f t="shared" si="31"/>
        <v>1.6568062500000202E-2</v>
      </c>
      <c r="BQ243" s="171">
        <f t="shared" si="32"/>
        <v>4.2000000000000003E-2</v>
      </c>
      <c r="BR243" s="171">
        <f t="shared" si="33"/>
        <v>6.1500000000000006E-2</v>
      </c>
      <c r="BS243" s="171">
        <f t="shared" si="34"/>
        <v>3.9399999999999998E-2</v>
      </c>
      <c r="BT243" s="171">
        <f t="shared" si="35"/>
        <v>4.1799999999999997E-2</v>
      </c>
      <c r="BU243" s="171">
        <f t="shared" si="36"/>
        <v>1.6500000000000001E-2</v>
      </c>
    </row>
    <row r="244" spans="1:73" x14ac:dyDescent="0.3">
      <c r="A244" s="209">
        <v>38687</v>
      </c>
      <c r="B244" s="187">
        <v>200512</v>
      </c>
      <c r="C244" s="176">
        <v>4.04</v>
      </c>
      <c r="D244" s="176">
        <v>6.3</v>
      </c>
      <c r="E244" s="176">
        <v>1.44</v>
      </c>
      <c r="F244" s="177">
        <v>107.6</v>
      </c>
      <c r="G244" s="210">
        <v>2.2570532915360486E-2</v>
      </c>
      <c r="H244" s="179">
        <v>3.87</v>
      </c>
      <c r="I244" s="179">
        <v>4.0199999999999996</v>
      </c>
      <c r="J244" s="210"/>
      <c r="K244" s="182">
        <v>4.4999999999999998E-2</v>
      </c>
      <c r="L244" s="182">
        <v>3.5000000000000003E-2</v>
      </c>
      <c r="N244" s="182">
        <v>0.05</v>
      </c>
      <c r="O244" s="182">
        <v>0.02</v>
      </c>
      <c r="Q244" s="182">
        <v>4.4999999999999998E-2</v>
      </c>
      <c r="R244" s="182">
        <v>0.05</v>
      </c>
      <c r="S244" s="182">
        <v>0.02</v>
      </c>
      <c r="T244" s="182">
        <v>2.2499999999999999E-2</v>
      </c>
      <c r="U244" s="182"/>
      <c r="V244" s="194">
        <v>4.9000000000000002E-2</v>
      </c>
      <c r="W244" s="194">
        <v>5.5E-2</v>
      </c>
      <c r="X244" s="194">
        <v>2.5000000000000001E-2</v>
      </c>
      <c r="Y244" s="194">
        <v>2.7E-2</v>
      </c>
      <c r="Z244" s="194"/>
      <c r="AA244" s="195">
        <v>4.9298002499999931E-2</v>
      </c>
      <c r="AB244" s="195">
        <v>5.5117132499999714E-2</v>
      </c>
      <c r="AC244" s="195">
        <v>2.4573058233096953E-2</v>
      </c>
      <c r="AD244" s="195">
        <v>2.6821845883451541E-2</v>
      </c>
      <c r="AE244" s="195"/>
      <c r="AF244" s="195">
        <v>1.2065974245673461E-2</v>
      </c>
      <c r="AG244" s="195">
        <v>1.3778089514741354E-2</v>
      </c>
      <c r="AI244" s="182">
        <v>3.9074422499999928E-2</v>
      </c>
      <c r="AJ244" s="182">
        <v>4.0604010000000024E-2</v>
      </c>
      <c r="AK244" s="182">
        <v>1.4451840000000216E-2</v>
      </c>
      <c r="AM244" s="7" t="s">
        <v>141</v>
      </c>
      <c r="AN244" s="7" t="b">
        <f t="shared" si="28"/>
        <v>0</v>
      </c>
      <c r="AP244" s="211">
        <v>-99</v>
      </c>
      <c r="AQ244" s="211">
        <v>-99</v>
      </c>
      <c r="AS244" s="211">
        <v>-99</v>
      </c>
      <c r="AT244" s="211">
        <v>-99</v>
      </c>
      <c r="AU244" s="211">
        <v>-99</v>
      </c>
      <c r="AV244" s="211">
        <v>-99</v>
      </c>
      <c r="AW244" s="211">
        <v>-99</v>
      </c>
      <c r="AX244" s="211">
        <v>-99</v>
      </c>
      <c r="AZ244" s="211">
        <v>-99</v>
      </c>
      <c r="BA244" s="211">
        <v>-99</v>
      </c>
      <c r="BB244" s="211">
        <v>-99</v>
      </c>
      <c r="BC244" s="211">
        <v>-99</v>
      </c>
      <c r="BD244" s="211">
        <v>-99</v>
      </c>
      <c r="BE244" s="211">
        <v>-99</v>
      </c>
      <c r="BG244" s="211">
        <v>-99</v>
      </c>
      <c r="BH244" s="211">
        <v>-99</v>
      </c>
      <c r="BI244" s="211">
        <v>-99</v>
      </c>
      <c r="BJ244" s="211">
        <v>-99</v>
      </c>
      <c r="BK244" s="211">
        <v>-99</v>
      </c>
      <c r="BL244" s="211">
        <v>-99</v>
      </c>
      <c r="BM244" s="211">
        <v>-99</v>
      </c>
      <c r="BN244" s="191">
        <f t="shared" si="29"/>
        <v>3.9074422499999928E-2</v>
      </c>
      <c r="BO244" s="191">
        <f t="shared" si="30"/>
        <v>4.0604010000000024E-2</v>
      </c>
      <c r="BP244" s="191">
        <f t="shared" si="31"/>
        <v>1.4451840000000216E-2</v>
      </c>
      <c r="BQ244" s="171">
        <f t="shared" si="32"/>
        <v>4.0399999999999998E-2</v>
      </c>
      <c r="BR244" s="171">
        <f t="shared" si="33"/>
        <v>6.3E-2</v>
      </c>
      <c r="BS244" s="171">
        <f t="shared" si="34"/>
        <v>3.8699999999999998E-2</v>
      </c>
      <c r="BT244" s="171">
        <f t="shared" si="35"/>
        <v>4.0199999999999993E-2</v>
      </c>
      <c r="BU244" s="171">
        <f t="shared" si="36"/>
        <v>1.44E-2</v>
      </c>
    </row>
    <row r="245" spans="1:73" x14ac:dyDescent="0.3">
      <c r="A245" s="209">
        <v>38718</v>
      </c>
      <c r="B245" s="187">
        <v>200601</v>
      </c>
      <c r="C245" s="176">
        <v>4.22</v>
      </c>
      <c r="D245" s="176">
        <v>6.3</v>
      </c>
      <c r="E245" s="176">
        <v>1.54</v>
      </c>
      <c r="F245" s="177">
        <v>108.2</v>
      </c>
      <c r="G245" s="210">
        <v>2.3153942428034924E-2</v>
      </c>
      <c r="H245" s="179">
        <v>4.03</v>
      </c>
      <c r="I245" s="179">
        <v>4.2</v>
      </c>
      <c r="J245" s="210"/>
      <c r="K245" s="182">
        <v>4.4999999999999998E-2</v>
      </c>
      <c r="L245" s="182">
        <v>3.5000000000000003E-2</v>
      </c>
      <c r="N245" s="182">
        <v>4.7500000000000001E-2</v>
      </c>
      <c r="O245" s="182">
        <v>0.02</v>
      </c>
      <c r="Q245" s="182">
        <v>4.4999999999999998E-2</v>
      </c>
      <c r="R245" s="182">
        <v>4.7500000000000001E-2</v>
      </c>
      <c r="S245" s="182">
        <v>0.02</v>
      </c>
      <c r="T245" s="182">
        <v>2.2499999999999999E-2</v>
      </c>
      <c r="U245" s="182"/>
      <c r="V245" s="194">
        <v>4.9000000000000002E-2</v>
      </c>
      <c r="W245" s="194">
        <v>5.2000000000000005E-2</v>
      </c>
      <c r="X245" s="194">
        <v>2.5000000000000001E-2</v>
      </c>
      <c r="Y245" s="194">
        <v>2.6000000000000002E-2</v>
      </c>
      <c r="Z245" s="194"/>
      <c r="AA245" s="195">
        <v>4.8788090000000055E-2</v>
      </c>
      <c r="AB245" s="195">
        <v>5.2461169999999828E-2</v>
      </c>
      <c r="AC245" s="195">
        <v>2.4607513017096593E-2</v>
      </c>
      <c r="AD245" s="195">
        <v>2.6048337241452009E-2</v>
      </c>
      <c r="AE245" s="195"/>
      <c r="AF245" s="195">
        <v>1.1799921763066323E-2</v>
      </c>
      <c r="AG245" s="195">
        <v>1.2871144467500928E-2</v>
      </c>
      <c r="AI245" s="182">
        <v>4.0706022500000216E-2</v>
      </c>
      <c r="AJ245" s="182">
        <v>4.2440999999999729E-2</v>
      </c>
      <c r="AK245" s="182">
        <v>1.5459290000000125E-2</v>
      </c>
      <c r="AM245" s="7" t="s">
        <v>141</v>
      </c>
      <c r="AN245" s="7" t="b">
        <f t="shared" si="28"/>
        <v>0</v>
      </c>
      <c r="AP245" s="211">
        <v>-99</v>
      </c>
      <c r="AQ245" s="211">
        <v>-99</v>
      </c>
      <c r="AS245" s="211">
        <v>-99</v>
      </c>
      <c r="AT245" s="211">
        <v>-99</v>
      </c>
      <c r="AU245" s="211">
        <v>-99</v>
      </c>
      <c r="AV245" s="211">
        <v>-99</v>
      </c>
      <c r="AW245" s="211">
        <v>-99</v>
      </c>
      <c r="AX245" s="211">
        <v>-99</v>
      </c>
      <c r="AZ245" s="211">
        <v>-99</v>
      </c>
      <c r="BA245" s="211">
        <v>-99</v>
      </c>
      <c r="BB245" s="211">
        <v>-99</v>
      </c>
      <c r="BC245" s="211">
        <v>-99</v>
      </c>
      <c r="BD245" s="211">
        <v>-99</v>
      </c>
      <c r="BE245" s="211">
        <v>-99</v>
      </c>
      <c r="BG245" s="211">
        <v>-99</v>
      </c>
      <c r="BH245" s="211">
        <v>-99</v>
      </c>
      <c r="BI245" s="211">
        <v>-99</v>
      </c>
      <c r="BJ245" s="211">
        <v>-99</v>
      </c>
      <c r="BK245" s="211">
        <v>-99</v>
      </c>
      <c r="BL245" s="211">
        <v>-99</v>
      </c>
      <c r="BM245" s="211">
        <v>-99</v>
      </c>
      <c r="BN245" s="191">
        <f t="shared" si="29"/>
        <v>4.0706022500000216E-2</v>
      </c>
      <c r="BO245" s="191">
        <f t="shared" si="30"/>
        <v>4.2440999999999729E-2</v>
      </c>
      <c r="BP245" s="191">
        <f t="shared" si="31"/>
        <v>1.5459290000000125E-2</v>
      </c>
      <c r="BQ245" s="171">
        <f t="shared" si="32"/>
        <v>4.2199999999999994E-2</v>
      </c>
      <c r="BR245" s="171">
        <f t="shared" si="33"/>
        <v>6.3E-2</v>
      </c>
      <c r="BS245" s="171">
        <f t="shared" si="34"/>
        <v>4.0300000000000002E-2</v>
      </c>
      <c r="BT245" s="171">
        <f t="shared" si="35"/>
        <v>4.2000000000000003E-2</v>
      </c>
      <c r="BU245" s="171">
        <f t="shared" si="36"/>
        <v>1.54E-2</v>
      </c>
    </row>
    <row r="246" spans="1:73" x14ac:dyDescent="0.3">
      <c r="A246" s="209">
        <v>38749</v>
      </c>
      <c r="B246" s="187">
        <v>200602</v>
      </c>
      <c r="C246" s="176">
        <v>4.17</v>
      </c>
      <c r="D246" s="176">
        <v>6.45</v>
      </c>
      <c r="E246" s="176">
        <v>1.44</v>
      </c>
      <c r="F246" s="177">
        <v>108</v>
      </c>
      <c r="G246" s="210">
        <v>2.3110555902561059E-2</v>
      </c>
      <c r="H246" s="179">
        <v>4.05</v>
      </c>
      <c r="I246" s="179">
        <v>4.1500000000000004</v>
      </c>
      <c r="K246" s="182">
        <v>4.4999999999999998E-2</v>
      </c>
      <c r="L246" s="182">
        <v>0.04</v>
      </c>
      <c r="N246" s="182">
        <v>4.4999999999999998E-2</v>
      </c>
      <c r="O246" s="182">
        <v>1.7500000000000002E-2</v>
      </c>
      <c r="Q246" s="182">
        <v>4.4999999999999998E-2</v>
      </c>
      <c r="R246" s="182">
        <v>4.7500000000000001E-2</v>
      </c>
      <c r="S246" s="182">
        <v>0.02</v>
      </c>
      <c r="T246" s="182">
        <v>0.02</v>
      </c>
      <c r="U246" s="182"/>
      <c r="V246" s="194">
        <v>4.8000000000000001E-2</v>
      </c>
      <c r="W246" s="194">
        <v>0.05</v>
      </c>
      <c r="X246" s="194">
        <v>2.3E-2</v>
      </c>
      <c r="Y246" s="194">
        <v>2.4E-2</v>
      </c>
      <c r="Z246" s="194"/>
      <c r="AA246" s="195">
        <v>4.8074422499999929E-2</v>
      </c>
      <c r="AB246" s="195">
        <v>5.0368803750000073E-2</v>
      </c>
      <c r="AC246" s="195">
        <v>2.2907426928089294E-2</v>
      </c>
      <c r="AD246" s="195">
        <v>2.3724046535955678E-2</v>
      </c>
      <c r="AE246" s="195"/>
      <c r="AF246" s="195">
        <v>1.2301697548276591E-2</v>
      </c>
      <c r="AG246" s="195">
        <v>1.3013642350301446E-2</v>
      </c>
      <c r="AI246" s="182">
        <v>4.0910062500000288E-2</v>
      </c>
      <c r="AJ246" s="182">
        <v>4.1930562500000157E-2</v>
      </c>
      <c r="AK246" s="182">
        <v>1.4451840000000216E-2</v>
      </c>
      <c r="AM246" s="7" t="s">
        <v>141</v>
      </c>
      <c r="AN246" s="7" t="b">
        <f t="shared" si="28"/>
        <v>0</v>
      </c>
      <c r="AP246" s="211">
        <v>-99</v>
      </c>
      <c r="AQ246" s="211">
        <v>-99</v>
      </c>
      <c r="AS246" s="211">
        <v>-99</v>
      </c>
      <c r="AT246" s="211">
        <v>-99</v>
      </c>
      <c r="AU246" s="211">
        <v>-99</v>
      </c>
      <c r="AV246" s="211">
        <v>-99</v>
      </c>
      <c r="AW246" s="211">
        <v>-99</v>
      </c>
      <c r="AX246" s="211">
        <v>-99</v>
      </c>
      <c r="AZ246" s="211">
        <v>-99</v>
      </c>
      <c r="BA246" s="211">
        <v>-99</v>
      </c>
      <c r="BB246" s="211">
        <v>-99</v>
      </c>
      <c r="BC246" s="211">
        <v>-99</v>
      </c>
      <c r="BD246" s="211">
        <v>-99</v>
      </c>
      <c r="BE246" s="211">
        <v>-99</v>
      </c>
      <c r="BG246" s="211">
        <v>-99</v>
      </c>
      <c r="BH246" s="211">
        <v>-99</v>
      </c>
      <c r="BI246" s="211">
        <v>-99</v>
      </c>
      <c r="BJ246" s="211">
        <v>-99</v>
      </c>
      <c r="BK246" s="211">
        <v>-99</v>
      </c>
      <c r="BL246" s="211">
        <v>-99</v>
      </c>
      <c r="BM246" s="211">
        <v>-99</v>
      </c>
      <c r="BN246" s="191">
        <f t="shared" si="29"/>
        <v>4.0910062500000288E-2</v>
      </c>
      <c r="BO246" s="191">
        <f t="shared" si="30"/>
        <v>4.1930562500000157E-2</v>
      </c>
      <c r="BP246" s="191">
        <f t="shared" si="31"/>
        <v>1.4451840000000216E-2</v>
      </c>
      <c r="BQ246" s="171">
        <f t="shared" si="32"/>
        <v>4.1700000000000001E-2</v>
      </c>
      <c r="BR246" s="171">
        <f t="shared" si="33"/>
        <v>6.4500000000000002E-2</v>
      </c>
      <c r="BS246" s="171">
        <f t="shared" si="34"/>
        <v>4.0500000000000001E-2</v>
      </c>
      <c r="BT246" s="171">
        <f t="shared" si="35"/>
        <v>4.1500000000000002E-2</v>
      </c>
      <c r="BU246" s="171">
        <f t="shared" si="36"/>
        <v>1.44E-2</v>
      </c>
    </row>
    <row r="247" spans="1:73" x14ac:dyDescent="0.3">
      <c r="A247" s="209">
        <v>38777</v>
      </c>
      <c r="B247" s="187">
        <v>200603</v>
      </c>
      <c r="C247" s="176">
        <v>4.26</v>
      </c>
      <c r="D247" s="176">
        <v>6.45</v>
      </c>
      <c r="E247" s="176">
        <v>1.59</v>
      </c>
      <c r="F247" s="177">
        <v>108.6</v>
      </c>
      <c r="G247" s="210">
        <v>2.3067331670822977E-2</v>
      </c>
      <c r="H247" s="179">
        <v>4.1900000000000004</v>
      </c>
      <c r="I247" s="179">
        <v>4.2300000000000004</v>
      </c>
      <c r="K247" s="182">
        <v>4.4999999999999998E-2</v>
      </c>
      <c r="L247" s="182">
        <v>3.5000000000000003E-2</v>
      </c>
      <c r="N247" s="182">
        <v>4.7500000000000001E-2</v>
      </c>
      <c r="O247" s="182">
        <v>1.7500000000000002E-2</v>
      </c>
      <c r="Q247" s="182">
        <v>4.4999999999999998E-2</v>
      </c>
      <c r="R247" s="182">
        <v>4.7500000000000001E-2</v>
      </c>
      <c r="S247" s="182">
        <v>0.02</v>
      </c>
      <c r="T247" s="182">
        <v>0.02</v>
      </c>
      <c r="U247" s="182"/>
      <c r="V247" s="194">
        <v>0.05</v>
      </c>
      <c r="W247" s="194">
        <v>5.2000000000000005E-2</v>
      </c>
      <c r="X247" s="194">
        <v>2.4E-2</v>
      </c>
      <c r="Y247" s="194">
        <v>2.5000000000000001E-2</v>
      </c>
      <c r="Z247" s="194"/>
      <c r="AA247" s="195">
        <v>4.9706022500000217E-2</v>
      </c>
      <c r="AB247" s="195">
        <v>5.2308488749999486E-2</v>
      </c>
      <c r="AC247" s="195">
        <v>2.3827318078604123E-2</v>
      </c>
      <c r="AD247" s="195">
        <v>2.4775275960698128E-2</v>
      </c>
      <c r="AE247" s="195"/>
      <c r="AF247" s="195">
        <v>1.2638217385116279E-2</v>
      </c>
      <c r="AG247" s="195">
        <v>1.3433780768905557E-2</v>
      </c>
      <c r="AI247" s="182">
        <v>4.2338902500000053E-2</v>
      </c>
      <c r="AJ247" s="182">
        <v>4.2747322499999907E-2</v>
      </c>
      <c r="AK247" s="182">
        <v>1.5963202499999829E-2</v>
      </c>
      <c r="AM247" s="7" t="s">
        <v>141</v>
      </c>
      <c r="AN247" s="7" t="b">
        <f t="shared" si="28"/>
        <v>0</v>
      </c>
      <c r="AP247" s="211">
        <v>-99</v>
      </c>
      <c r="AQ247" s="211">
        <v>-99</v>
      </c>
      <c r="AS247" s="211">
        <v>-99</v>
      </c>
      <c r="AT247" s="211">
        <v>-99</v>
      </c>
      <c r="AU247" s="211">
        <v>-99</v>
      </c>
      <c r="AV247" s="211">
        <v>-99</v>
      </c>
      <c r="AW247" s="211">
        <v>-99</v>
      </c>
      <c r="AX247" s="211">
        <v>-99</v>
      </c>
      <c r="AZ247" s="211">
        <v>-99</v>
      </c>
      <c r="BA247" s="211">
        <v>-99</v>
      </c>
      <c r="BB247" s="211">
        <v>-99</v>
      </c>
      <c r="BC247" s="211">
        <v>-99</v>
      </c>
      <c r="BD247" s="211">
        <v>-99</v>
      </c>
      <c r="BE247" s="211">
        <v>-99</v>
      </c>
      <c r="BG247" s="211">
        <v>-99</v>
      </c>
      <c r="BH247" s="211">
        <v>-99</v>
      </c>
      <c r="BI247" s="211">
        <v>-99</v>
      </c>
      <c r="BJ247" s="211">
        <v>-99</v>
      </c>
      <c r="BK247" s="211">
        <v>-99</v>
      </c>
      <c r="BL247" s="211">
        <v>-99</v>
      </c>
      <c r="BM247" s="211">
        <v>-99</v>
      </c>
      <c r="BN247" s="191">
        <f t="shared" si="29"/>
        <v>4.2338902500000053E-2</v>
      </c>
      <c r="BO247" s="191">
        <f t="shared" si="30"/>
        <v>4.2747322499999907E-2</v>
      </c>
      <c r="BP247" s="191">
        <f t="shared" si="31"/>
        <v>1.5963202499999829E-2</v>
      </c>
      <c r="BQ247" s="171">
        <f t="shared" si="32"/>
        <v>4.2599999999999999E-2</v>
      </c>
      <c r="BR247" s="171">
        <f t="shared" si="33"/>
        <v>6.4500000000000002E-2</v>
      </c>
      <c r="BS247" s="171">
        <f t="shared" si="34"/>
        <v>4.1900000000000007E-2</v>
      </c>
      <c r="BT247" s="171">
        <f t="shared" si="35"/>
        <v>4.2300000000000004E-2</v>
      </c>
      <c r="BU247" s="171">
        <f t="shared" si="36"/>
        <v>1.5900000000000001E-2</v>
      </c>
    </row>
    <row r="248" spans="1:73" x14ac:dyDescent="0.3">
      <c r="A248" s="209">
        <v>38808</v>
      </c>
      <c r="B248" s="187">
        <v>200604</v>
      </c>
      <c r="C248" s="176">
        <v>4.59</v>
      </c>
      <c r="D248" s="176">
        <v>6.75</v>
      </c>
      <c r="E248" s="176">
        <v>1.79</v>
      </c>
      <c r="F248" s="177">
        <v>109.2</v>
      </c>
      <c r="G248" s="210">
        <v>2.3024268823895522E-2</v>
      </c>
      <c r="H248" s="179">
        <v>4.45</v>
      </c>
      <c r="I248" s="179">
        <v>4.57</v>
      </c>
      <c r="K248" s="182">
        <v>4.4999999999999998E-2</v>
      </c>
      <c r="L248" s="182">
        <v>0.04</v>
      </c>
      <c r="N248" s="182">
        <v>4.7500000000000001E-2</v>
      </c>
      <c r="O248" s="182">
        <v>1.7500000000000002E-2</v>
      </c>
      <c r="Q248" s="182">
        <v>4.4999999999999998E-2</v>
      </c>
      <c r="R248" s="182">
        <v>4.7500000000000001E-2</v>
      </c>
      <c r="S248" s="182">
        <v>0.02</v>
      </c>
      <c r="T248" s="182">
        <v>0.02</v>
      </c>
      <c r="U248" s="182"/>
      <c r="V248" s="194">
        <v>0.05</v>
      </c>
      <c r="W248" s="194">
        <v>5.1000000000000004E-2</v>
      </c>
      <c r="X248" s="194">
        <v>2.3E-2</v>
      </c>
      <c r="Y248" s="194">
        <v>2.4E-2</v>
      </c>
      <c r="Z248" s="194"/>
      <c r="AA248" s="195">
        <v>4.9910062500000289E-2</v>
      </c>
      <c r="AB248" s="195">
        <v>5.1440812500000092E-2</v>
      </c>
      <c r="AC248" s="195">
        <v>2.3100113196430665E-2</v>
      </c>
      <c r="AD248" s="195">
        <v>2.3627703401784994E-2</v>
      </c>
      <c r="AE248" s="195"/>
      <c r="AF248" s="195">
        <v>1.3102309811993118E-2</v>
      </c>
      <c r="AG248" s="195">
        <v>1.3585558990727109E-2</v>
      </c>
      <c r="AI248" s="182">
        <v>4.4995062500000182E-2</v>
      </c>
      <c r="AJ248" s="182">
        <v>4.6222122500000129E-2</v>
      </c>
      <c r="AK248" s="182">
        <v>1.7980102499999928E-2</v>
      </c>
      <c r="AM248" s="7" t="s">
        <v>141</v>
      </c>
      <c r="AN248" s="7" t="b">
        <f t="shared" si="28"/>
        <v>0</v>
      </c>
      <c r="AP248" s="211">
        <v>-99</v>
      </c>
      <c r="AQ248" s="211">
        <v>-99</v>
      </c>
      <c r="AS248" s="211">
        <v>-99</v>
      </c>
      <c r="AT248" s="211">
        <v>-99</v>
      </c>
      <c r="AU248" s="211">
        <v>-99</v>
      </c>
      <c r="AV248" s="211">
        <v>-99</v>
      </c>
      <c r="AW248" s="211">
        <v>-99</v>
      </c>
      <c r="AX248" s="211">
        <v>-99</v>
      </c>
      <c r="AZ248" s="211">
        <v>-99</v>
      </c>
      <c r="BA248" s="211">
        <v>-99</v>
      </c>
      <c r="BB248" s="211">
        <v>-99</v>
      </c>
      <c r="BC248" s="211">
        <v>-99</v>
      </c>
      <c r="BD248" s="211">
        <v>-99</v>
      </c>
      <c r="BE248" s="211">
        <v>-99</v>
      </c>
      <c r="BG248" s="211">
        <v>-99</v>
      </c>
      <c r="BH248" s="211">
        <v>-99</v>
      </c>
      <c r="BI248" s="211">
        <v>-99</v>
      </c>
      <c r="BJ248" s="211">
        <v>-99</v>
      </c>
      <c r="BK248" s="211">
        <v>-99</v>
      </c>
      <c r="BL248" s="211">
        <v>-99</v>
      </c>
      <c r="BM248" s="211">
        <v>-99</v>
      </c>
      <c r="BN248" s="191">
        <f t="shared" si="29"/>
        <v>4.4995062500000182E-2</v>
      </c>
      <c r="BO248" s="191">
        <f t="shared" si="30"/>
        <v>4.6222122500000129E-2</v>
      </c>
      <c r="BP248" s="191">
        <f t="shared" si="31"/>
        <v>1.7980102499999928E-2</v>
      </c>
      <c r="BQ248" s="171">
        <f t="shared" si="32"/>
        <v>4.5899999999999996E-2</v>
      </c>
      <c r="BR248" s="171">
        <f t="shared" si="33"/>
        <v>6.7500000000000004E-2</v>
      </c>
      <c r="BS248" s="171">
        <f t="shared" si="34"/>
        <v>4.4500000000000005E-2</v>
      </c>
      <c r="BT248" s="171">
        <f t="shared" si="35"/>
        <v>4.5700000000000005E-2</v>
      </c>
      <c r="BU248" s="171">
        <f t="shared" si="36"/>
        <v>1.7899999999999999E-2</v>
      </c>
    </row>
    <row r="249" spans="1:73" x14ac:dyDescent="0.3">
      <c r="A249" s="209">
        <v>38838</v>
      </c>
      <c r="B249" s="187">
        <v>200605</v>
      </c>
      <c r="C249" s="176">
        <v>4.51</v>
      </c>
      <c r="D249" s="176">
        <v>6.75</v>
      </c>
      <c r="E249" s="176">
        <v>1.83</v>
      </c>
      <c r="F249" s="177">
        <v>109.7</v>
      </c>
      <c r="G249" s="210">
        <v>2.4238657551274079E-2</v>
      </c>
      <c r="H249" s="179">
        <v>4.3899999999999997</v>
      </c>
      <c r="I249" s="179">
        <v>4.5</v>
      </c>
      <c r="K249" s="182">
        <v>4.4999999999999998E-2</v>
      </c>
      <c r="L249" s="182">
        <v>0.04</v>
      </c>
      <c r="N249" s="182">
        <v>4.7500000000000001E-2</v>
      </c>
      <c r="O249" s="182">
        <v>1.7500000000000002E-2</v>
      </c>
      <c r="Q249" s="182">
        <v>4.7500000000000001E-2</v>
      </c>
      <c r="R249" s="182">
        <v>4.7500000000000001E-2</v>
      </c>
      <c r="S249" s="182">
        <v>0.02</v>
      </c>
      <c r="T249" s="182">
        <v>0.02</v>
      </c>
      <c r="U249" s="182"/>
      <c r="V249" s="194">
        <v>5.1000000000000004E-2</v>
      </c>
      <c r="W249" s="194">
        <v>5.2000000000000005E-2</v>
      </c>
      <c r="X249" s="194">
        <v>2.5000000000000001E-2</v>
      </c>
      <c r="Y249" s="194">
        <v>2.5000000000000001E-2</v>
      </c>
      <c r="Z249" s="194"/>
      <c r="AA249" s="195">
        <v>5.1338902500000054E-2</v>
      </c>
      <c r="AB249" s="195">
        <v>5.1951532499999835E-2</v>
      </c>
      <c r="AC249" s="195">
        <v>2.481068555194893E-2</v>
      </c>
      <c r="AD249" s="195">
        <v>2.503946097402528E-2</v>
      </c>
      <c r="AE249" s="195"/>
      <c r="AF249" s="195">
        <v>1.2942984163832771E-2</v>
      </c>
      <c r="AG249" s="195">
        <v>1.3127334385937606E-2</v>
      </c>
      <c r="AI249" s="182">
        <v>4.438180249999979E-2</v>
      </c>
      <c r="AJ249" s="182">
        <v>4.5506249999999859E-2</v>
      </c>
      <c r="AK249" s="182">
        <v>1.8383722500000088E-2</v>
      </c>
      <c r="AM249" s="7" t="s">
        <v>141</v>
      </c>
      <c r="AN249" s="7" t="b">
        <f t="shared" si="28"/>
        <v>0</v>
      </c>
      <c r="AP249" s="211">
        <v>-99</v>
      </c>
      <c r="AQ249" s="211">
        <v>-99</v>
      </c>
      <c r="AS249" s="211">
        <v>-99</v>
      </c>
      <c r="AT249" s="211">
        <v>-99</v>
      </c>
      <c r="AU249" s="211">
        <v>-99</v>
      </c>
      <c r="AV249" s="211">
        <v>-99</v>
      </c>
      <c r="AW249" s="211">
        <v>-99</v>
      </c>
      <c r="AX249" s="211">
        <v>-99</v>
      </c>
      <c r="AZ249" s="211">
        <v>-99</v>
      </c>
      <c r="BA249" s="211">
        <v>-99</v>
      </c>
      <c r="BB249" s="211">
        <v>-99</v>
      </c>
      <c r="BC249" s="211">
        <v>-99</v>
      </c>
      <c r="BD249" s="211">
        <v>-99</v>
      </c>
      <c r="BE249" s="211">
        <v>-99</v>
      </c>
      <c r="BG249" s="211">
        <v>-99</v>
      </c>
      <c r="BH249" s="211">
        <v>-99</v>
      </c>
      <c r="BI249" s="211">
        <v>-99</v>
      </c>
      <c r="BJ249" s="211">
        <v>-99</v>
      </c>
      <c r="BK249" s="211">
        <v>-99</v>
      </c>
      <c r="BL249" s="211">
        <v>-99</v>
      </c>
      <c r="BM249" s="211">
        <v>-99</v>
      </c>
      <c r="BN249" s="191">
        <f t="shared" si="29"/>
        <v>4.438180249999979E-2</v>
      </c>
      <c r="BO249" s="191">
        <f t="shared" si="30"/>
        <v>4.5506249999999859E-2</v>
      </c>
      <c r="BP249" s="191">
        <f t="shared" si="31"/>
        <v>1.8383722500000088E-2</v>
      </c>
      <c r="BQ249" s="171">
        <f t="shared" si="32"/>
        <v>4.5100000000000001E-2</v>
      </c>
      <c r="BR249" s="171">
        <f t="shared" si="33"/>
        <v>6.7500000000000004E-2</v>
      </c>
      <c r="BS249" s="171">
        <f t="shared" si="34"/>
        <v>4.3899999999999995E-2</v>
      </c>
      <c r="BT249" s="171">
        <f t="shared" si="35"/>
        <v>4.4999999999999998E-2</v>
      </c>
      <c r="BU249" s="171">
        <f t="shared" si="36"/>
        <v>1.83E-2</v>
      </c>
    </row>
    <row r="250" spans="1:73" x14ac:dyDescent="0.3">
      <c r="A250" s="209">
        <v>38869</v>
      </c>
      <c r="B250" s="187">
        <v>200606</v>
      </c>
      <c r="C250" s="176">
        <v>4.6900000000000004</v>
      </c>
      <c r="D250" s="176">
        <v>6.95</v>
      </c>
      <c r="E250" s="176">
        <v>1.9</v>
      </c>
      <c r="F250" s="177">
        <v>109.5</v>
      </c>
      <c r="G250" s="210">
        <v>2.4829298572315306E-2</v>
      </c>
      <c r="H250" s="179">
        <v>4.58</v>
      </c>
      <c r="I250" s="179">
        <v>4.67</v>
      </c>
      <c r="K250" s="182">
        <v>0.05</v>
      </c>
      <c r="L250" s="182">
        <v>0.04</v>
      </c>
      <c r="N250" s="182">
        <v>5.2499999999999998E-2</v>
      </c>
      <c r="O250" s="182">
        <v>0.02</v>
      </c>
      <c r="Q250" s="182">
        <v>0.05</v>
      </c>
      <c r="R250" s="182">
        <v>5.2499999999999998E-2</v>
      </c>
      <c r="S250" s="182">
        <v>2.2499999999999999E-2</v>
      </c>
      <c r="T250" s="182">
        <v>2.2499999999999999E-2</v>
      </c>
      <c r="U250" s="182"/>
      <c r="V250" s="194">
        <v>5.3999999999999999E-2</v>
      </c>
      <c r="W250" s="194">
        <v>5.6000000000000001E-2</v>
      </c>
      <c r="X250" s="194">
        <v>2.7E-2</v>
      </c>
      <c r="Y250" s="194">
        <v>2.7E-2</v>
      </c>
      <c r="Z250" s="194"/>
      <c r="AA250" s="195">
        <v>5.3995062500000184E-2</v>
      </c>
      <c r="AB250" s="195">
        <v>5.5835652500000103E-2</v>
      </c>
      <c r="AC250" s="195">
        <v>2.6502784207797989E-2</v>
      </c>
      <c r="AD250" s="195">
        <v>2.72187616461009E-2</v>
      </c>
      <c r="AE250" s="195"/>
      <c r="AF250" s="195">
        <v>1.3391234156962972E-2</v>
      </c>
      <c r="AG250" s="195">
        <v>1.392930694141592E-2</v>
      </c>
      <c r="AI250" s="182">
        <v>4.6324409999999761E-2</v>
      </c>
      <c r="AJ250" s="182">
        <v>4.7245222499999961E-2</v>
      </c>
      <c r="AK250" s="182">
        <v>1.9090250000000086E-2</v>
      </c>
      <c r="AM250" s="7" t="s">
        <v>141</v>
      </c>
      <c r="AN250" s="7" t="b">
        <f t="shared" si="28"/>
        <v>0</v>
      </c>
      <c r="AP250" s="211">
        <v>-99</v>
      </c>
      <c r="AQ250" s="211">
        <v>-99</v>
      </c>
      <c r="AS250" s="211">
        <v>-99</v>
      </c>
      <c r="AT250" s="211">
        <v>-99</v>
      </c>
      <c r="AU250" s="211">
        <v>-99</v>
      </c>
      <c r="AV250" s="211">
        <v>-99</v>
      </c>
      <c r="AW250" s="211">
        <v>-99</v>
      </c>
      <c r="AX250" s="211">
        <v>-99</v>
      </c>
      <c r="AZ250" s="211">
        <v>-99</v>
      </c>
      <c r="BA250" s="211">
        <v>-99</v>
      </c>
      <c r="BB250" s="211">
        <v>-99</v>
      </c>
      <c r="BC250" s="211">
        <v>-99</v>
      </c>
      <c r="BD250" s="211">
        <v>-99</v>
      </c>
      <c r="BE250" s="211">
        <v>-99</v>
      </c>
      <c r="BG250" s="211">
        <v>-99</v>
      </c>
      <c r="BH250" s="211">
        <v>-99</v>
      </c>
      <c r="BI250" s="211">
        <v>-99</v>
      </c>
      <c r="BJ250" s="211">
        <v>-99</v>
      </c>
      <c r="BK250" s="211">
        <v>-99</v>
      </c>
      <c r="BL250" s="211">
        <v>-99</v>
      </c>
      <c r="BM250" s="211">
        <v>-99</v>
      </c>
      <c r="BN250" s="191">
        <f t="shared" si="29"/>
        <v>4.6324409999999761E-2</v>
      </c>
      <c r="BO250" s="191">
        <f t="shared" si="30"/>
        <v>4.7245222499999961E-2</v>
      </c>
      <c r="BP250" s="191">
        <f t="shared" si="31"/>
        <v>1.9090250000000086E-2</v>
      </c>
      <c r="BQ250" s="171">
        <f t="shared" si="32"/>
        <v>4.6900000000000004E-2</v>
      </c>
      <c r="BR250" s="171">
        <f t="shared" si="33"/>
        <v>6.9500000000000006E-2</v>
      </c>
      <c r="BS250" s="171">
        <f t="shared" si="34"/>
        <v>4.58E-2</v>
      </c>
      <c r="BT250" s="171">
        <f t="shared" si="35"/>
        <v>4.6699999999999998E-2</v>
      </c>
      <c r="BU250" s="171">
        <f t="shared" si="36"/>
        <v>1.9E-2</v>
      </c>
    </row>
    <row r="251" spans="1:73" x14ac:dyDescent="0.3">
      <c r="A251" s="209">
        <v>38899</v>
      </c>
      <c r="B251" s="187">
        <v>200607</v>
      </c>
      <c r="C251" s="176">
        <v>4.46</v>
      </c>
      <c r="D251" s="176">
        <v>6.95</v>
      </c>
      <c r="E251" s="176">
        <v>1.8</v>
      </c>
      <c r="F251" s="177">
        <v>109.6</v>
      </c>
      <c r="G251" s="210">
        <v>2.4783147459727317E-2</v>
      </c>
      <c r="H251" s="179">
        <v>4.3099999999999996</v>
      </c>
      <c r="I251" s="179">
        <v>4.45</v>
      </c>
      <c r="K251" s="182">
        <v>0.05</v>
      </c>
      <c r="L251" s="182">
        <v>0.04</v>
      </c>
      <c r="N251" s="182">
        <v>0.05</v>
      </c>
      <c r="O251" s="182">
        <v>0.02</v>
      </c>
      <c r="Q251" s="182">
        <v>0.05</v>
      </c>
      <c r="R251" s="182">
        <v>0.05</v>
      </c>
      <c r="S251" s="182">
        <v>2.2499999999999999E-2</v>
      </c>
      <c r="T251" s="182">
        <v>2.2499999999999999E-2</v>
      </c>
      <c r="U251" s="182"/>
      <c r="V251" s="194">
        <v>5.2999999999999999E-2</v>
      </c>
      <c r="W251" s="194">
        <v>5.5E-2</v>
      </c>
      <c r="X251" s="194">
        <v>2.7E-2</v>
      </c>
      <c r="Y251" s="194">
        <v>2.8000000000000001E-2</v>
      </c>
      <c r="Z251" s="194"/>
      <c r="AA251" s="195">
        <v>5.3381802499999791E-2</v>
      </c>
      <c r="AB251" s="195">
        <v>5.5068473749999895E-2</v>
      </c>
      <c r="AC251" s="195">
        <v>2.6929465539564539E-2</v>
      </c>
      <c r="AD251" s="195">
        <v>2.7610850980217864E-2</v>
      </c>
      <c r="AE251" s="195"/>
      <c r="AF251" s="195">
        <v>1.2879334875514958E-2</v>
      </c>
      <c r="AG251" s="195">
        <v>1.3359932285451626E-2</v>
      </c>
      <c r="AI251" s="182">
        <v>4.3564402499999932E-2</v>
      </c>
      <c r="AJ251" s="182">
        <v>4.4995062500000182E-2</v>
      </c>
      <c r="AK251" s="182">
        <v>1.8080999999999792E-2</v>
      </c>
      <c r="AM251" s="7" t="s">
        <v>141</v>
      </c>
      <c r="AN251" s="7" t="b">
        <f t="shared" si="28"/>
        <v>0</v>
      </c>
      <c r="AP251" s="211">
        <v>-99</v>
      </c>
      <c r="AQ251" s="211">
        <v>-99</v>
      </c>
      <c r="AS251" s="211">
        <v>-99</v>
      </c>
      <c r="AT251" s="211">
        <v>-99</v>
      </c>
      <c r="AU251" s="211">
        <v>-99</v>
      </c>
      <c r="AV251" s="211">
        <v>-99</v>
      </c>
      <c r="AW251" s="211">
        <v>-99</v>
      </c>
      <c r="AX251" s="211">
        <v>-99</v>
      </c>
      <c r="AZ251" s="211">
        <v>-99</v>
      </c>
      <c r="BA251" s="211">
        <v>-99</v>
      </c>
      <c r="BB251" s="211">
        <v>-99</v>
      </c>
      <c r="BC251" s="211">
        <v>-99</v>
      </c>
      <c r="BD251" s="211">
        <v>-99</v>
      </c>
      <c r="BE251" s="211">
        <v>-99</v>
      </c>
      <c r="BG251" s="211">
        <v>-99</v>
      </c>
      <c r="BH251" s="211">
        <v>-99</v>
      </c>
      <c r="BI251" s="211">
        <v>-99</v>
      </c>
      <c r="BJ251" s="211">
        <v>-99</v>
      </c>
      <c r="BK251" s="211">
        <v>-99</v>
      </c>
      <c r="BL251" s="211">
        <v>-99</v>
      </c>
      <c r="BM251" s="211">
        <v>-99</v>
      </c>
      <c r="BN251" s="191">
        <f t="shared" si="29"/>
        <v>4.3564402499999932E-2</v>
      </c>
      <c r="BO251" s="191">
        <f t="shared" si="30"/>
        <v>4.4995062500000182E-2</v>
      </c>
      <c r="BP251" s="191">
        <f t="shared" si="31"/>
        <v>1.8080999999999792E-2</v>
      </c>
      <c r="BQ251" s="171">
        <f t="shared" si="32"/>
        <v>4.4600000000000001E-2</v>
      </c>
      <c r="BR251" s="171">
        <f t="shared" si="33"/>
        <v>6.9500000000000006E-2</v>
      </c>
      <c r="BS251" s="171">
        <f t="shared" si="34"/>
        <v>4.3099999999999999E-2</v>
      </c>
      <c r="BT251" s="171">
        <f t="shared" si="35"/>
        <v>4.4500000000000005E-2</v>
      </c>
      <c r="BU251" s="171">
        <f t="shared" si="36"/>
        <v>1.8000000000000002E-2</v>
      </c>
    </row>
    <row r="252" spans="1:73" x14ac:dyDescent="0.3">
      <c r="A252" s="209">
        <v>38930</v>
      </c>
      <c r="B252" s="187">
        <v>200608</v>
      </c>
      <c r="C252" s="176">
        <v>4.22</v>
      </c>
      <c r="D252" s="176">
        <v>6.85</v>
      </c>
      <c r="E252" s="176">
        <v>1.61</v>
      </c>
      <c r="F252" s="177">
        <v>109.8</v>
      </c>
      <c r="G252" s="210">
        <v>2.4737167594310439E-2</v>
      </c>
      <c r="H252" s="179">
        <v>4.0599999999999996</v>
      </c>
      <c r="I252" s="179">
        <v>4.2</v>
      </c>
      <c r="K252" s="182">
        <v>0.05</v>
      </c>
      <c r="L252" s="182">
        <v>0.04</v>
      </c>
      <c r="N252" s="182">
        <v>5.2499999999999998E-2</v>
      </c>
      <c r="O252" s="182">
        <v>2.2499999999999999E-2</v>
      </c>
      <c r="Q252" s="182">
        <v>5.2499999999999998E-2</v>
      </c>
      <c r="R252" s="182">
        <v>5.2499999999999998E-2</v>
      </c>
      <c r="S252" s="182">
        <v>2.2499999999999999E-2</v>
      </c>
      <c r="T252" s="182">
        <v>2.5000000000000001E-2</v>
      </c>
      <c r="U252" s="182"/>
      <c r="V252" s="194">
        <v>5.5E-2</v>
      </c>
      <c r="W252" s="194">
        <v>5.7000000000000002E-2</v>
      </c>
      <c r="X252" s="194">
        <v>2.8000000000000001E-2</v>
      </c>
      <c r="Y252" s="194">
        <v>2.8000000000000001E-2</v>
      </c>
      <c r="Z252" s="194"/>
      <c r="AA252" s="195">
        <v>5.5324409999999762E-2</v>
      </c>
      <c r="AB252" s="195">
        <v>5.6705628750000063E-2</v>
      </c>
      <c r="AC252" s="195">
        <v>2.7718179769446533E-2</v>
      </c>
      <c r="AD252" s="195">
        <v>2.8276285115276863E-2</v>
      </c>
      <c r="AE252" s="195"/>
      <c r="AF252" s="195">
        <v>1.3430836767306276E-2</v>
      </c>
      <c r="AG252" s="195">
        <v>1.3823786489219669E-2</v>
      </c>
      <c r="AI252" s="182">
        <v>4.1012089999999946E-2</v>
      </c>
      <c r="AJ252" s="182">
        <v>4.2440999999999729E-2</v>
      </c>
      <c r="AK252" s="182">
        <v>1.6164802499999853E-2</v>
      </c>
      <c r="AM252" s="7" t="s">
        <v>141</v>
      </c>
      <c r="AN252" s="7" t="b">
        <f t="shared" si="28"/>
        <v>0</v>
      </c>
      <c r="AP252" s="211">
        <v>-99</v>
      </c>
      <c r="AQ252" s="211">
        <v>-99</v>
      </c>
      <c r="AS252" s="211">
        <v>-99</v>
      </c>
      <c r="AT252" s="211">
        <v>-99</v>
      </c>
      <c r="AU252" s="211">
        <v>-99</v>
      </c>
      <c r="AV252" s="211">
        <v>-99</v>
      </c>
      <c r="AW252" s="211">
        <v>-99</v>
      </c>
      <c r="AX252" s="211">
        <v>-99</v>
      </c>
      <c r="AZ252" s="211">
        <v>-99</v>
      </c>
      <c r="BA252" s="211">
        <v>-99</v>
      </c>
      <c r="BB252" s="211">
        <v>-99</v>
      </c>
      <c r="BC252" s="211">
        <v>-99</v>
      </c>
      <c r="BD252" s="211">
        <v>-99</v>
      </c>
      <c r="BE252" s="211">
        <v>-99</v>
      </c>
      <c r="BG252" s="211">
        <v>-99</v>
      </c>
      <c r="BH252" s="211">
        <v>-99</v>
      </c>
      <c r="BI252" s="211">
        <v>-99</v>
      </c>
      <c r="BJ252" s="211">
        <v>-99</v>
      </c>
      <c r="BK252" s="211">
        <v>-99</v>
      </c>
      <c r="BL252" s="211">
        <v>-99</v>
      </c>
      <c r="BM252" s="211">
        <v>-99</v>
      </c>
      <c r="BN252" s="191">
        <f t="shared" si="29"/>
        <v>4.1012089999999946E-2</v>
      </c>
      <c r="BO252" s="191">
        <f t="shared" si="30"/>
        <v>4.2440999999999729E-2</v>
      </c>
      <c r="BP252" s="191">
        <f t="shared" si="31"/>
        <v>1.6164802499999853E-2</v>
      </c>
      <c r="BQ252" s="171">
        <f t="shared" si="32"/>
        <v>4.2199999999999994E-2</v>
      </c>
      <c r="BR252" s="171">
        <f t="shared" si="33"/>
        <v>6.8499999999999991E-2</v>
      </c>
      <c r="BS252" s="171">
        <f t="shared" si="34"/>
        <v>4.0599999999999997E-2</v>
      </c>
      <c r="BT252" s="171">
        <f t="shared" si="35"/>
        <v>4.2000000000000003E-2</v>
      </c>
      <c r="BU252" s="171">
        <f t="shared" si="36"/>
        <v>1.61E-2</v>
      </c>
    </row>
    <row r="253" spans="1:73" x14ac:dyDescent="0.3">
      <c r="A253" s="209">
        <v>38961</v>
      </c>
      <c r="B253" s="187">
        <v>200609</v>
      </c>
      <c r="C253" s="176">
        <v>4.08</v>
      </c>
      <c r="D253" s="176">
        <v>6.7</v>
      </c>
      <c r="E253" s="176">
        <v>1.66</v>
      </c>
      <c r="F253" s="177">
        <v>109.2</v>
      </c>
      <c r="G253" s="210">
        <v>2.2194821208384896E-2</v>
      </c>
      <c r="H253" s="179">
        <v>3.92</v>
      </c>
      <c r="I253" s="179">
        <v>4.07</v>
      </c>
      <c r="K253" s="182">
        <v>4.4999999999999998E-2</v>
      </c>
      <c r="L253" s="182">
        <v>0.04</v>
      </c>
      <c r="N253" s="182">
        <v>0.05</v>
      </c>
      <c r="O253" s="182">
        <v>0.02</v>
      </c>
      <c r="Q253" s="182">
        <v>4.7500000000000001E-2</v>
      </c>
      <c r="R253" s="182">
        <v>0.05</v>
      </c>
      <c r="S253" s="182">
        <v>2.2499999999999999E-2</v>
      </c>
      <c r="T253" s="182">
        <v>2.2499999999999999E-2</v>
      </c>
      <c r="U253" s="182"/>
      <c r="V253" s="194">
        <v>5.2999999999999999E-2</v>
      </c>
      <c r="W253" s="194">
        <v>5.5E-2</v>
      </c>
      <c r="X253" s="194">
        <v>2.7E-2</v>
      </c>
      <c r="Y253" s="194">
        <v>2.7E-2</v>
      </c>
      <c r="Z253" s="194"/>
      <c r="AA253" s="195">
        <v>5.2564402499999933E-2</v>
      </c>
      <c r="AB253" s="195">
        <v>5.4710392500000309E-2</v>
      </c>
      <c r="AC253" s="195">
        <v>2.6506097732445343E-2</v>
      </c>
      <c r="AD253" s="195">
        <v>2.7368451133777019E-2</v>
      </c>
      <c r="AE253" s="195"/>
      <c r="AF253" s="195">
        <v>1.2692717961012234E-2</v>
      </c>
      <c r="AG253" s="195">
        <v>1.3306784599064425E-2</v>
      </c>
      <c r="AI253" s="182">
        <v>3.9584160000000201E-2</v>
      </c>
      <c r="AJ253" s="182">
        <v>4.1114122500000239E-2</v>
      </c>
      <c r="AK253" s="182">
        <v>1.6668890000000047E-2</v>
      </c>
      <c r="AM253" s="7" t="s">
        <v>141</v>
      </c>
      <c r="AN253" s="7" t="b">
        <f t="shared" si="28"/>
        <v>0</v>
      </c>
      <c r="AP253" s="211">
        <v>-99</v>
      </c>
      <c r="AQ253" s="211">
        <v>-99</v>
      </c>
      <c r="AS253" s="211">
        <v>-99</v>
      </c>
      <c r="AT253" s="211">
        <v>-99</v>
      </c>
      <c r="AU253" s="211">
        <v>-99</v>
      </c>
      <c r="AV253" s="211">
        <v>-99</v>
      </c>
      <c r="AW253" s="211">
        <v>-99</v>
      </c>
      <c r="AX253" s="211">
        <v>-99</v>
      </c>
      <c r="AZ253" s="211">
        <v>-99</v>
      </c>
      <c r="BA253" s="211">
        <v>-99</v>
      </c>
      <c r="BB253" s="211">
        <v>-99</v>
      </c>
      <c r="BC253" s="211">
        <v>-99</v>
      </c>
      <c r="BD253" s="211">
        <v>-99</v>
      </c>
      <c r="BE253" s="211">
        <v>-99</v>
      </c>
      <c r="BG253" s="211">
        <v>-99</v>
      </c>
      <c r="BH253" s="211">
        <v>-99</v>
      </c>
      <c r="BI253" s="211">
        <v>-99</v>
      </c>
      <c r="BJ253" s="211">
        <v>-99</v>
      </c>
      <c r="BK253" s="211">
        <v>-99</v>
      </c>
      <c r="BL253" s="211">
        <v>-99</v>
      </c>
      <c r="BM253" s="211">
        <v>-99</v>
      </c>
      <c r="BN253" s="191">
        <f t="shared" si="29"/>
        <v>3.9584160000000201E-2</v>
      </c>
      <c r="BO253" s="191">
        <f t="shared" si="30"/>
        <v>4.1114122500000239E-2</v>
      </c>
      <c r="BP253" s="191">
        <f t="shared" si="31"/>
        <v>1.6668890000000047E-2</v>
      </c>
      <c r="BQ253" s="171">
        <f t="shared" si="32"/>
        <v>4.0800000000000003E-2</v>
      </c>
      <c r="BR253" s="171">
        <f t="shared" si="33"/>
        <v>6.7000000000000004E-2</v>
      </c>
      <c r="BS253" s="171">
        <f t="shared" si="34"/>
        <v>3.9199999999999999E-2</v>
      </c>
      <c r="BT253" s="171">
        <f t="shared" si="35"/>
        <v>4.07E-2</v>
      </c>
      <c r="BU253" s="171">
        <f t="shared" si="36"/>
        <v>1.66E-2</v>
      </c>
    </row>
    <row r="254" spans="1:73" x14ac:dyDescent="0.3">
      <c r="A254" s="209">
        <v>38991</v>
      </c>
      <c r="B254" s="187">
        <v>200610</v>
      </c>
      <c r="C254" s="176">
        <v>4.25</v>
      </c>
      <c r="D254" s="176">
        <v>6.8</v>
      </c>
      <c r="E254" s="176">
        <v>1.78</v>
      </c>
      <c r="F254" s="177">
        <v>109</v>
      </c>
      <c r="G254" s="210">
        <v>2.1538461538461506E-2</v>
      </c>
      <c r="H254" s="179">
        <v>4.1100000000000003</v>
      </c>
      <c r="I254" s="179">
        <v>4.24</v>
      </c>
      <c r="K254" s="182">
        <v>4.4999999999999998E-2</v>
      </c>
      <c r="L254" s="182">
        <v>0.04</v>
      </c>
      <c r="N254" s="182">
        <v>4.7500000000000001E-2</v>
      </c>
      <c r="O254" s="182">
        <v>1.7500000000000002E-2</v>
      </c>
      <c r="Q254" s="182">
        <v>4.4999999999999998E-2</v>
      </c>
      <c r="R254" s="182">
        <v>4.7500000000000001E-2</v>
      </c>
      <c r="S254" s="182">
        <v>0.02</v>
      </c>
      <c r="T254" s="182">
        <v>2.2499999999999999E-2</v>
      </c>
      <c r="U254" s="182"/>
      <c r="V254" s="194">
        <v>0.05</v>
      </c>
      <c r="W254" s="194">
        <v>5.2000000000000005E-2</v>
      </c>
      <c r="X254" s="194">
        <v>2.5000000000000001E-2</v>
      </c>
      <c r="Y254" s="194">
        <v>2.5000000000000001E-2</v>
      </c>
      <c r="Z254" s="194"/>
      <c r="AA254" s="195">
        <v>5.0012089999999947E-2</v>
      </c>
      <c r="AB254" s="195">
        <v>5.2155454999999622E-2</v>
      </c>
      <c r="AC254" s="195">
        <v>2.4620563487246352E-2</v>
      </c>
      <c r="AD254" s="195">
        <v>2.5436922006376605E-2</v>
      </c>
      <c r="AE254" s="195"/>
      <c r="AF254" s="195">
        <v>1.2390697306686294E-2</v>
      </c>
      <c r="AG254" s="195">
        <v>1.3027877395591192E-2</v>
      </c>
      <c r="AI254" s="182">
        <v>4.1522302500000219E-2</v>
      </c>
      <c r="AJ254" s="182">
        <v>4.2849440000000127E-2</v>
      </c>
      <c r="AK254" s="182">
        <v>1.7879209999999812E-2</v>
      </c>
      <c r="AM254" s="7" t="s">
        <v>141</v>
      </c>
      <c r="AN254" s="7" t="b">
        <f t="shared" si="28"/>
        <v>0</v>
      </c>
      <c r="AP254" s="211">
        <v>-99</v>
      </c>
      <c r="AQ254" s="211">
        <v>-99</v>
      </c>
      <c r="AS254" s="211">
        <v>-99</v>
      </c>
      <c r="AT254" s="211">
        <v>-99</v>
      </c>
      <c r="AU254" s="211">
        <v>-99</v>
      </c>
      <c r="AV254" s="211">
        <v>-99</v>
      </c>
      <c r="AW254" s="211">
        <v>-99</v>
      </c>
      <c r="AX254" s="211">
        <v>-99</v>
      </c>
      <c r="AZ254" s="211">
        <v>-99</v>
      </c>
      <c r="BA254" s="211">
        <v>-99</v>
      </c>
      <c r="BB254" s="211">
        <v>-99</v>
      </c>
      <c r="BC254" s="211">
        <v>-99</v>
      </c>
      <c r="BD254" s="211">
        <v>-99</v>
      </c>
      <c r="BE254" s="211">
        <v>-99</v>
      </c>
      <c r="BG254" s="211">
        <v>-99</v>
      </c>
      <c r="BH254" s="211">
        <v>-99</v>
      </c>
      <c r="BI254" s="211">
        <v>-99</v>
      </c>
      <c r="BJ254" s="211">
        <v>-99</v>
      </c>
      <c r="BK254" s="211">
        <v>-99</v>
      </c>
      <c r="BL254" s="211">
        <v>-99</v>
      </c>
      <c r="BM254" s="211">
        <v>-99</v>
      </c>
      <c r="BN254" s="191">
        <f t="shared" si="29"/>
        <v>4.1522302500000219E-2</v>
      </c>
      <c r="BO254" s="191">
        <f t="shared" si="30"/>
        <v>4.2849440000000127E-2</v>
      </c>
      <c r="BP254" s="191">
        <f t="shared" si="31"/>
        <v>1.7879209999999812E-2</v>
      </c>
      <c r="BQ254" s="171">
        <f t="shared" si="32"/>
        <v>4.2500000000000003E-2</v>
      </c>
      <c r="BR254" s="171">
        <f t="shared" si="33"/>
        <v>6.8000000000000005E-2</v>
      </c>
      <c r="BS254" s="171">
        <f t="shared" si="34"/>
        <v>4.1100000000000005E-2</v>
      </c>
      <c r="BT254" s="171">
        <f t="shared" si="35"/>
        <v>4.24E-2</v>
      </c>
      <c r="BU254" s="171">
        <f t="shared" si="36"/>
        <v>1.78E-2</v>
      </c>
    </row>
    <row r="255" spans="1:73" x14ac:dyDescent="0.3">
      <c r="A255" s="209">
        <v>39022</v>
      </c>
      <c r="B255" s="187">
        <v>200611</v>
      </c>
      <c r="C255" s="176">
        <v>4.03</v>
      </c>
      <c r="D255" s="176">
        <v>6.55</v>
      </c>
      <c r="E255" s="176">
        <v>1.63</v>
      </c>
      <c r="F255" s="177">
        <v>109.2</v>
      </c>
      <c r="G255" s="210">
        <v>2.0884520884520752E-2</v>
      </c>
      <c r="H255" s="179">
        <v>3.87</v>
      </c>
      <c r="I255" s="179">
        <v>4.0199999999999996</v>
      </c>
      <c r="K255" s="182">
        <v>4.4999999999999998E-2</v>
      </c>
      <c r="L255" s="182">
        <v>0.04</v>
      </c>
      <c r="N255" s="182">
        <v>4.7500000000000001E-2</v>
      </c>
      <c r="O255" s="182">
        <v>0.02</v>
      </c>
      <c r="Q255" s="182">
        <v>4.4999999999999998E-2</v>
      </c>
      <c r="R255" s="182">
        <v>4.7500000000000001E-2</v>
      </c>
      <c r="S255" s="182">
        <v>0.02</v>
      </c>
      <c r="T255" s="182">
        <v>2.2499999999999999E-2</v>
      </c>
      <c r="U255" s="182"/>
      <c r="V255" s="194">
        <v>4.9000000000000002E-2</v>
      </c>
      <c r="W255" s="194">
        <v>5.1000000000000004E-2</v>
      </c>
      <c r="X255" s="194">
        <v>2.5000000000000001E-2</v>
      </c>
      <c r="Y255" s="194">
        <v>2.6000000000000002E-2</v>
      </c>
      <c r="Z255" s="194"/>
      <c r="AA255" s="195">
        <v>4.8584160000000202E-2</v>
      </c>
      <c r="AB255" s="195">
        <v>5.0879103750000258E-2</v>
      </c>
      <c r="AC255" s="195">
        <v>2.504859762682279E-2</v>
      </c>
      <c r="AD255" s="195">
        <v>2.5979036186588679E-2</v>
      </c>
      <c r="AE255" s="195"/>
      <c r="AF255" s="195">
        <v>1.1480217829508921E-2</v>
      </c>
      <c r="AG255" s="195">
        <v>1.213478379439481E-2</v>
      </c>
      <c r="AI255" s="182">
        <v>3.9074422499999928E-2</v>
      </c>
      <c r="AJ255" s="182">
        <v>4.0604010000000024E-2</v>
      </c>
      <c r="AK255" s="182">
        <v>1.6366422500000199E-2</v>
      </c>
      <c r="AM255" s="7" t="s">
        <v>141</v>
      </c>
      <c r="AN255" s="7" t="b">
        <f t="shared" si="28"/>
        <v>0</v>
      </c>
      <c r="AP255" s="211">
        <v>-99</v>
      </c>
      <c r="AQ255" s="211">
        <v>-99</v>
      </c>
      <c r="AS255" s="211">
        <v>-99</v>
      </c>
      <c r="AT255" s="211">
        <v>-99</v>
      </c>
      <c r="AU255" s="211">
        <v>-99</v>
      </c>
      <c r="AV255" s="211">
        <v>-99</v>
      </c>
      <c r="AW255" s="211">
        <v>-99</v>
      </c>
      <c r="AX255" s="211">
        <v>-99</v>
      </c>
      <c r="AZ255" s="211">
        <v>-99</v>
      </c>
      <c r="BA255" s="211">
        <v>-99</v>
      </c>
      <c r="BB255" s="211">
        <v>-99</v>
      </c>
      <c r="BC255" s="211">
        <v>-99</v>
      </c>
      <c r="BD255" s="211">
        <v>-99</v>
      </c>
      <c r="BE255" s="211">
        <v>-99</v>
      </c>
      <c r="BG255" s="211">
        <v>-99</v>
      </c>
      <c r="BH255" s="211">
        <v>-99</v>
      </c>
      <c r="BI255" s="211">
        <v>-99</v>
      </c>
      <c r="BJ255" s="211">
        <v>-99</v>
      </c>
      <c r="BK255" s="211">
        <v>-99</v>
      </c>
      <c r="BL255" s="211">
        <v>-99</v>
      </c>
      <c r="BM255" s="211">
        <v>-99</v>
      </c>
      <c r="BN255" s="191">
        <f t="shared" si="29"/>
        <v>3.9074422499999928E-2</v>
      </c>
      <c r="BO255" s="191">
        <f t="shared" si="30"/>
        <v>4.0604010000000024E-2</v>
      </c>
      <c r="BP255" s="191">
        <f t="shared" si="31"/>
        <v>1.6366422500000199E-2</v>
      </c>
      <c r="BQ255" s="171">
        <f t="shared" si="32"/>
        <v>4.0300000000000002E-2</v>
      </c>
      <c r="BR255" s="171">
        <f t="shared" si="33"/>
        <v>6.5500000000000003E-2</v>
      </c>
      <c r="BS255" s="171">
        <f t="shared" si="34"/>
        <v>3.8699999999999998E-2</v>
      </c>
      <c r="BT255" s="171">
        <f t="shared" si="35"/>
        <v>4.0199999999999993E-2</v>
      </c>
      <c r="BU255" s="171">
        <f t="shared" si="36"/>
        <v>1.6299999999999999E-2</v>
      </c>
    </row>
    <row r="256" spans="1:73" x14ac:dyDescent="0.3">
      <c r="A256" s="209">
        <v>39052</v>
      </c>
      <c r="B256" s="187">
        <v>200612</v>
      </c>
      <c r="C256" s="176">
        <v>4.1100000000000003</v>
      </c>
      <c r="D256" s="176">
        <v>6.45</v>
      </c>
      <c r="E256" s="176">
        <v>1.73</v>
      </c>
      <c r="F256" s="177">
        <v>109.4</v>
      </c>
      <c r="G256" s="210">
        <v>2.0232985898221978E-2</v>
      </c>
      <c r="H256" s="179">
        <v>3.98</v>
      </c>
      <c r="I256" s="179">
        <v>4.0999999999999996</v>
      </c>
      <c r="K256" s="182">
        <v>4.4999999999999998E-2</v>
      </c>
      <c r="L256" s="182">
        <v>4.4999999999999998E-2</v>
      </c>
      <c r="N256" s="182">
        <v>4.7500000000000001E-2</v>
      </c>
      <c r="O256" s="182">
        <v>0.02</v>
      </c>
      <c r="Q256" s="182">
        <v>4.7500000000000001E-2</v>
      </c>
      <c r="R256" s="182">
        <v>4.7500000000000001E-2</v>
      </c>
      <c r="S256" s="182">
        <v>2.2499999999999999E-2</v>
      </c>
      <c r="T256" s="182">
        <v>2.2499999999999999E-2</v>
      </c>
      <c r="U256" s="182"/>
      <c r="V256" s="194">
        <v>5.1000000000000004E-2</v>
      </c>
      <c r="W256" s="194">
        <v>5.2999999999999999E-2</v>
      </c>
      <c r="X256" s="194">
        <v>2.6000000000000002E-2</v>
      </c>
      <c r="Y256" s="194">
        <v>2.7E-2</v>
      </c>
      <c r="Z256" s="194"/>
      <c r="AA256" s="195">
        <v>5.052230250000022E-2</v>
      </c>
      <c r="AB256" s="195">
        <v>5.2513008750000083E-2</v>
      </c>
      <c r="AC256" s="195">
        <v>2.6325453170006865E-2</v>
      </c>
      <c r="AD256" s="195">
        <v>2.7156088414996289E-2</v>
      </c>
      <c r="AE256" s="195"/>
      <c r="AF256" s="195">
        <v>1.1788097652287943E-2</v>
      </c>
      <c r="AG256" s="195">
        <v>1.2343265362001588E-2</v>
      </c>
      <c r="AI256" s="182">
        <v>4.019601000000006E-2</v>
      </c>
      <c r="AJ256" s="182">
        <v>4.1420249999999825E-2</v>
      </c>
      <c r="AK256" s="182">
        <v>1.7374822500000109E-2</v>
      </c>
      <c r="AM256" s="7" t="s">
        <v>141</v>
      </c>
      <c r="AN256" s="7" t="b">
        <f t="shared" si="28"/>
        <v>0</v>
      </c>
      <c r="AP256" s="211">
        <v>-99</v>
      </c>
      <c r="AQ256" s="211">
        <v>-99</v>
      </c>
      <c r="AS256" s="211">
        <v>-99</v>
      </c>
      <c r="AT256" s="211">
        <v>-99</v>
      </c>
      <c r="AU256" s="211">
        <v>-99</v>
      </c>
      <c r="AV256" s="211">
        <v>-99</v>
      </c>
      <c r="AW256" s="211">
        <v>-99</v>
      </c>
      <c r="AX256" s="211">
        <v>-99</v>
      </c>
      <c r="AZ256" s="211">
        <v>-99</v>
      </c>
      <c r="BA256" s="211">
        <v>-99</v>
      </c>
      <c r="BB256" s="211">
        <v>-99</v>
      </c>
      <c r="BC256" s="211">
        <v>-99</v>
      </c>
      <c r="BD256" s="211">
        <v>-99</v>
      </c>
      <c r="BE256" s="211">
        <v>-99</v>
      </c>
      <c r="BG256" s="211">
        <v>-99</v>
      </c>
      <c r="BH256" s="211">
        <v>-99</v>
      </c>
      <c r="BI256" s="211">
        <v>-99</v>
      </c>
      <c r="BJ256" s="211">
        <v>-99</v>
      </c>
      <c r="BK256" s="211">
        <v>-99</v>
      </c>
      <c r="BL256" s="211">
        <v>-99</v>
      </c>
      <c r="BM256" s="211">
        <v>-99</v>
      </c>
      <c r="BN256" s="191">
        <f t="shared" si="29"/>
        <v>4.019601000000006E-2</v>
      </c>
      <c r="BO256" s="191">
        <f t="shared" si="30"/>
        <v>4.1420249999999825E-2</v>
      </c>
      <c r="BP256" s="191">
        <f t="shared" si="31"/>
        <v>1.7374822500000109E-2</v>
      </c>
      <c r="BQ256" s="171">
        <f t="shared" si="32"/>
        <v>4.1100000000000005E-2</v>
      </c>
      <c r="BR256" s="171">
        <f t="shared" si="33"/>
        <v>6.4500000000000002E-2</v>
      </c>
      <c r="BS256" s="171">
        <f t="shared" si="34"/>
        <v>3.9800000000000002E-2</v>
      </c>
      <c r="BT256" s="171">
        <f t="shared" si="35"/>
        <v>4.0999999999999995E-2</v>
      </c>
      <c r="BU256" s="171">
        <f t="shared" si="36"/>
        <v>1.7299999999999999E-2</v>
      </c>
    </row>
    <row r="257" spans="1:73" x14ac:dyDescent="0.3">
      <c r="A257" s="209">
        <v>39083</v>
      </c>
      <c r="B257" s="187">
        <v>200701</v>
      </c>
      <c r="C257" s="176">
        <v>4.2300000000000004</v>
      </c>
      <c r="D257" s="176">
        <v>6.65</v>
      </c>
      <c r="E257" s="176">
        <v>1.79</v>
      </c>
      <c r="F257" s="177">
        <v>109.4</v>
      </c>
      <c r="G257" s="210">
        <v>1.8348623853210899E-2</v>
      </c>
      <c r="H257" s="179">
        <v>4.12</v>
      </c>
      <c r="I257" s="179">
        <v>4.22</v>
      </c>
      <c r="K257" s="182">
        <v>4.4999999999999998E-2</v>
      </c>
      <c r="L257" s="182">
        <v>0.04</v>
      </c>
      <c r="N257" s="182">
        <v>4.4999999999999998E-2</v>
      </c>
      <c r="O257" s="182">
        <v>0.02</v>
      </c>
      <c r="Q257" s="182">
        <v>4.4999999999999998E-2</v>
      </c>
      <c r="R257" s="182">
        <v>4.7500000000000001E-2</v>
      </c>
      <c r="S257" s="182">
        <v>0.02</v>
      </c>
      <c r="T257" s="182">
        <v>2.2499999999999999E-2</v>
      </c>
      <c r="U257" s="182"/>
      <c r="V257" s="194">
        <v>4.8000000000000001E-2</v>
      </c>
      <c r="W257" s="194">
        <v>0.05</v>
      </c>
      <c r="X257" s="194">
        <v>2.5000000000000001E-2</v>
      </c>
      <c r="Y257" s="194">
        <v>2.6000000000000002E-2</v>
      </c>
      <c r="Z257" s="194"/>
      <c r="AA257" s="195">
        <v>4.8074422499999929E-2</v>
      </c>
      <c r="AB257" s="195">
        <v>5.0368803750000073E-2</v>
      </c>
      <c r="AC257" s="195">
        <v>2.4749885481224948E-2</v>
      </c>
      <c r="AD257" s="195">
        <v>2.5674691009387827E-2</v>
      </c>
      <c r="AE257" s="195"/>
      <c r="AF257" s="195">
        <v>1.1380599963581206E-2</v>
      </c>
      <c r="AG257" s="195">
        <v>1.2037984829434634E-2</v>
      </c>
      <c r="AI257" s="182">
        <v>4.1624359999999916E-2</v>
      </c>
      <c r="AJ257" s="182">
        <v>4.2645209999999878E-2</v>
      </c>
      <c r="AK257" s="182">
        <v>1.7980102499999928E-2</v>
      </c>
      <c r="AM257" s="7" t="s">
        <v>141</v>
      </c>
      <c r="AN257" s="7" t="b">
        <f t="shared" si="28"/>
        <v>0</v>
      </c>
      <c r="AP257" s="211">
        <v>-99</v>
      </c>
      <c r="AQ257" s="211">
        <v>-99</v>
      </c>
      <c r="AS257" s="211">
        <v>-99</v>
      </c>
      <c r="AT257" s="211">
        <v>-99</v>
      </c>
      <c r="AU257" s="211">
        <v>-99</v>
      </c>
      <c r="AV257" s="211">
        <v>-99</v>
      </c>
      <c r="AW257" s="211">
        <v>-99</v>
      </c>
      <c r="AX257" s="211">
        <v>-99</v>
      </c>
      <c r="AZ257" s="211">
        <v>-99</v>
      </c>
      <c r="BA257" s="211">
        <v>-99</v>
      </c>
      <c r="BB257" s="211">
        <v>-99</v>
      </c>
      <c r="BC257" s="211">
        <v>-99</v>
      </c>
      <c r="BD257" s="211">
        <v>-99</v>
      </c>
      <c r="BE257" s="211">
        <v>-99</v>
      </c>
      <c r="BG257" s="211">
        <v>-99</v>
      </c>
      <c r="BH257" s="211">
        <v>-99</v>
      </c>
      <c r="BI257" s="211">
        <v>-99</v>
      </c>
      <c r="BJ257" s="211">
        <v>-99</v>
      </c>
      <c r="BK257" s="211">
        <v>-99</v>
      </c>
      <c r="BL257" s="211">
        <v>-99</v>
      </c>
      <c r="BM257" s="211">
        <v>-99</v>
      </c>
      <c r="BN257" s="191">
        <f t="shared" si="29"/>
        <v>4.1624359999999916E-2</v>
      </c>
      <c r="BO257" s="191">
        <f t="shared" si="30"/>
        <v>4.2645209999999878E-2</v>
      </c>
      <c r="BP257" s="191">
        <f t="shared" si="31"/>
        <v>1.7980102499999928E-2</v>
      </c>
      <c r="BQ257" s="171">
        <f t="shared" si="32"/>
        <v>4.2300000000000004E-2</v>
      </c>
      <c r="BR257" s="171">
        <f t="shared" si="33"/>
        <v>6.6500000000000004E-2</v>
      </c>
      <c r="BS257" s="171">
        <f t="shared" si="34"/>
        <v>4.1200000000000001E-2</v>
      </c>
      <c r="BT257" s="171">
        <f t="shared" si="35"/>
        <v>4.2199999999999994E-2</v>
      </c>
      <c r="BU257" s="171">
        <f t="shared" si="36"/>
        <v>1.7899999999999999E-2</v>
      </c>
    </row>
    <row r="258" spans="1:73" x14ac:dyDescent="0.3">
      <c r="A258" s="209">
        <v>39114</v>
      </c>
      <c r="B258" s="187">
        <v>200702</v>
      </c>
      <c r="C258" s="176">
        <v>4.0999999999999996</v>
      </c>
      <c r="D258" s="176">
        <v>6.65</v>
      </c>
      <c r="E258" s="176">
        <v>1.75</v>
      </c>
      <c r="F258" s="177">
        <v>110.2</v>
      </c>
      <c r="G258" s="210">
        <v>1.831501831501825E-2</v>
      </c>
      <c r="H258" s="179">
        <v>3.98</v>
      </c>
      <c r="I258" s="179">
        <v>4.09</v>
      </c>
      <c r="K258" s="182">
        <v>4.4999999999999998E-2</v>
      </c>
      <c r="L258" s="182">
        <v>0.04</v>
      </c>
      <c r="N258" s="182">
        <v>4.7500000000000001E-2</v>
      </c>
      <c r="O258" s="182">
        <v>0.02</v>
      </c>
      <c r="Q258" s="182">
        <v>4.4999999999999998E-2</v>
      </c>
      <c r="R258" s="182">
        <v>4.7500000000000001E-2</v>
      </c>
      <c r="S258" s="182">
        <v>2.2499999999999999E-2</v>
      </c>
      <c r="T258" s="182">
        <v>2.2499999999999999E-2</v>
      </c>
      <c r="U258" s="182"/>
      <c r="V258" s="194">
        <v>4.9000000000000002E-2</v>
      </c>
      <c r="W258" s="194">
        <v>5.1000000000000004E-2</v>
      </c>
      <c r="X258" s="194">
        <v>2.6000000000000002E-2</v>
      </c>
      <c r="Y258" s="194">
        <v>2.7E-2</v>
      </c>
      <c r="Z258" s="194"/>
      <c r="AA258" s="195">
        <v>4.9196010000000061E-2</v>
      </c>
      <c r="AB258" s="195">
        <v>5.1032369999999709E-2</v>
      </c>
      <c r="AC258" s="195">
        <v>2.5861282560057784E-2</v>
      </c>
      <c r="AD258" s="195">
        <v>2.6631592469971273E-2</v>
      </c>
      <c r="AE258" s="195"/>
      <c r="AF258" s="195">
        <v>1.1373237218637366E-2</v>
      </c>
      <c r="AG258" s="195">
        <v>1.1883901542189323E-2</v>
      </c>
      <c r="AI258" s="182">
        <v>4.019601000000006E-2</v>
      </c>
      <c r="AJ258" s="182">
        <v>4.1318202500000067E-2</v>
      </c>
      <c r="AK258" s="182">
        <v>1.757656250000017E-2</v>
      </c>
      <c r="AM258" s="7" t="s">
        <v>141</v>
      </c>
      <c r="AN258" s="7" t="b">
        <f t="shared" si="28"/>
        <v>0</v>
      </c>
      <c r="AP258" s="211">
        <v>-99</v>
      </c>
      <c r="AQ258" s="211">
        <v>-99</v>
      </c>
      <c r="AS258" s="211">
        <v>-99</v>
      </c>
      <c r="AT258" s="211">
        <v>-99</v>
      </c>
      <c r="AU258" s="211">
        <v>-99</v>
      </c>
      <c r="AV258" s="211">
        <v>-99</v>
      </c>
      <c r="AW258" s="211">
        <v>-99</v>
      </c>
      <c r="AX258" s="211">
        <v>-99</v>
      </c>
      <c r="AZ258" s="211">
        <v>-99</v>
      </c>
      <c r="BA258" s="211">
        <v>-99</v>
      </c>
      <c r="BB258" s="211">
        <v>-99</v>
      </c>
      <c r="BC258" s="211">
        <v>-99</v>
      </c>
      <c r="BD258" s="211">
        <v>-99</v>
      </c>
      <c r="BE258" s="211">
        <v>-99</v>
      </c>
      <c r="BG258" s="211">
        <v>-99</v>
      </c>
      <c r="BH258" s="211">
        <v>-99</v>
      </c>
      <c r="BI258" s="211">
        <v>-99</v>
      </c>
      <c r="BJ258" s="211">
        <v>-99</v>
      </c>
      <c r="BK258" s="211">
        <v>-99</v>
      </c>
      <c r="BL258" s="211">
        <v>-99</v>
      </c>
      <c r="BM258" s="211">
        <v>-99</v>
      </c>
      <c r="BN258" s="191">
        <f t="shared" si="29"/>
        <v>4.019601000000006E-2</v>
      </c>
      <c r="BO258" s="191">
        <f t="shared" si="30"/>
        <v>4.1318202500000067E-2</v>
      </c>
      <c r="BP258" s="191">
        <f t="shared" si="31"/>
        <v>1.757656250000017E-2</v>
      </c>
      <c r="BQ258" s="171">
        <f t="shared" si="32"/>
        <v>4.0999999999999995E-2</v>
      </c>
      <c r="BR258" s="171">
        <f t="shared" si="33"/>
        <v>6.6500000000000004E-2</v>
      </c>
      <c r="BS258" s="171">
        <f t="shared" si="34"/>
        <v>3.9800000000000002E-2</v>
      </c>
      <c r="BT258" s="171">
        <f t="shared" si="35"/>
        <v>4.0899999999999999E-2</v>
      </c>
      <c r="BU258" s="171">
        <f t="shared" si="36"/>
        <v>1.7500000000000002E-2</v>
      </c>
    </row>
    <row r="259" spans="1:73" x14ac:dyDescent="0.3">
      <c r="A259" s="209">
        <v>39142</v>
      </c>
      <c r="B259" s="187">
        <v>200703</v>
      </c>
      <c r="C259" s="176">
        <v>4.21</v>
      </c>
      <c r="D259" s="176">
        <v>6.49</v>
      </c>
      <c r="E259" s="176">
        <v>1.77</v>
      </c>
      <c r="F259" s="177">
        <v>111.1</v>
      </c>
      <c r="G259" s="210">
        <v>1.8281535648994485E-2</v>
      </c>
      <c r="H259" s="179">
        <v>4.03</v>
      </c>
      <c r="I259" s="179">
        <v>4.21</v>
      </c>
      <c r="K259" s="182">
        <v>4.4999999999999998E-2</v>
      </c>
      <c r="L259" s="182">
        <v>4.4999999999999998E-2</v>
      </c>
      <c r="N259" s="182">
        <v>4.7500000000000001E-2</v>
      </c>
      <c r="O259" s="182">
        <v>0.02</v>
      </c>
      <c r="Q259" s="182">
        <v>4.7500000000000001E-2</v>
      </c>
      <c r="R259" s="182">
        <v>4.7500000000000001E-2</v>
      </c>
      <c r="S259" s="182">
        <v>2.2499999999999999E-2</v>
      </c>
      <c r="T259" s="182">
        <v>2.2499999999999999E-2</v>
      </c>
      <c r="U259" s="182"/>
      <c r="V259" s="194">
        <v>5.1000000000000004E-2</v>
      </c>
      <c r="W259" s="194">
        <v>5.2000000000000005E-2</v>
      </c>
      <c r="X259" s="194">
        <v>2.7E-2</v>
      </c>
      <c r="Y259" s="194">
        <v>2.7E-2</v>
      </c>
      <c r="Z259" s="194"/>
      <c r="AA259" s="195">
        <v>5.0624359999999917E-2</v>
      </c>
      <c r="AB259" s="195">
        <v>5.215563499999986E-2</v>
      </c>
      <c r="AC259" s="195">
        <v>2.6549691027360343E-2</v>
      </c>
      <c r="AD259" s="195">
        <v>2.7195308236319722E-2</v>
      </c>
      <c r="AE259" s="195"/>
      <c r="AF259" s="195">
        <v>1.1726012478044612E-2</v>
      </c>
      <c r="AG259" s="195">
        <v>1.214974726010809E-2</v>
      </c>
      <c r="AI259" s="182">
        <v>4.0706022500000216E-2</v>
      </c>
      <c r="AJ259" s="182">
        <v>4.2543102500000041E-2</v>
      </c>
      <c r="AK259" s="182">
        <v>1.777832250000011E-2</v>
      </c>
      <c r="AM259" s="7" t="s">
        <v>141</v>
      </c>
      <c r="AN259" s="7" t="b">
        <f t="shared" si="28"/>
        <v>0</v>
      </c>
      <c r="AP259" s="211">
        <v>-99</v>
      </c>
      <c r="AQ259" s="211">
        <v>-99</v>
      </c>
      <c r="AS259" s="211">
        <v>-99</v>
      </c>
      <c r="AT259" s="211">
        <v>-99</v>
      </c>
      <c r="AU259" s="211">
        <v>-99</v>
      </c>
      <c r="AV259" s="211">
        <v>-99</v>
      </c>
      <c r="AW259" s="211">
        <v>-99</v>
      </c>
      <c r="AX259" s="211">
        <v>-99</v>
      </c>
      <c r="AZ259" s="211">
        <v>-99</v>
      </c>
      <c r="BA259" s="211">
        <v>-99</v>
      </c>
      <c r="BB259" s="211">
        <v>-99</v>
      </c>
      <c r="BC259" s="211">
        <v>-99</v>
      </c>
      <c r="BD259" s="211">
        <v>-99</v>
      </c>
      <c r="BE259" s="211">
        <v>-99</v>
      </c>
      <c r="BG259" s="211">
        <v>-99</v>
      </c>
      <c r="BH259" s="211">
        <v>-99</v>
      </c>
      <c r="BI259" s="211">
        <v>-99</v>
      </c>
      <c r="BJ259" s="211">
        <v>-99</v>
      </c>
      <c r="BK259" s="211">
        <v>-99</v>
      </c>
      <c r="BL259" s="211">
        <v>-99</v>
      </c>
      <c r="BM259" s="211">
        <v>-99</v>
      </c>
      <c r="BN259" s="191">
        <f t="shared" si="29"/>
        <v>4.0706022500000216E-2</v>
      </c>
      <c r="BO259" s="191">
        <f t="shared" si="30"/>
        <v>4.2543102500000041E-2</v>
      </c>
      <c r="BP259" s="191">
        <f t="shared" si="31"/>
        <v>1.777832250000011E-2</v>
      </c>
      <c r="BQ259" s="171">
        <f t="shared" si="32"/>
        <v>4.2099999999999999E-2</v>
      </c>
      <c r="BR259" s="171">
        <f t="shared" si="33"/>
        <v>6.4899999999999999E-2</v>
      </c>
      <c r="BS259" s="171">
        <f t="shared" si="34"/>
        <v>4.0300000000000002E-2</v>
      </c>
      <c r="BT259" s="171">
        <f t="shared" si="35"/>
        <v>4.2099999999999999E-2</v>
      </c>
      <c r="BU259" s="171">
        <f t="shared" si="36"/>
        <v>1.77E-2</v>
      </c>
    </row>
    <row r="260" spans="1:73" x14ac:dyDescent="0.3">
      <c r="A260" s="209">
        <v>39173</v>
      </c>
      <c r="B260" s="187">
        <v>200704</v>
      </c>
      <c r="C260" s="176">
        <v>4.21</v>
      </c>
      <c r="D260" s="176">
        <v>6.64</v>
      </c>
      <c r="E260" s="176">
        <v>1.76</v>
      </c>
      <c r="F260" s="177">
        <v>111.6</v>
      </c>
      <c r="G260" s="210">
        <v>1.855287569573294E-2</v>
      </c>
      <c r="H260" s="179">
        <v>4.12</v>
      </c>
      <c r="I260" s="179">
        <v>4.2</v>
      </c>
      <c r="K260" s="182">
        <v>4.4999999999999998E-2</v>
      </c>
      <c r="L260" s="182">
        <v>4.4999999999999998E-2</v>
      </c>
      <c r="N260" s="182">
        <v>4.7500000000000001E-2</v>
      </c>
      <c r="O260" s="182">
        <v>0.02</v>
      </c>
      <c r="Q260" s="182">
        <v>4.4999999999999998E-2</v>
      </c>
      <c r="R260" s="182">
        <v>4.7500000000000001E-2</v>
      </c>
      <c r="S260" s="182">
        <v>2.2499999999999999E-2</v>
      </c>
      <c r="T260" s="182">
        <v>2.2499999999999999E-2</v>
      </c>
      <c r="U260" s="182"/>
      <c r="V260" s="194">
        <v>4.9000000000000002E-2</v>
      </c>
      <c r="W260" s="194">
        <v>5.1000000000000004E-2</v>
      </c>
      <c r="X260" s="194">
        <v>2.6000000000000002E-2</v>
      </c>
      <c r="Y260" s="194">
        <v>2.7E-2</v>
      </c>
      <c r="Z260" s="194"/>
      <c r="AA260" s="195">
        <v>4.9196010000000061E-2</v>
      </c>
      <c r="AB260" s="195">
        <v>5.0879298750000072E-2</v>
      </c>
      <c r="AC260" s="195">
        <v>2.60991872653616E-2</v>
      </c>
      <c r="AD260" s="195">
        <v>2.6815250117319459E-2</v>
      </c>
      <c r="AE260" s="195"/>
      <c r="AF260" s="195">
        <v>1.1254673535115667E-2</v>
      </c>
      <c r="AG260" s="195">
        <v>1.1717808354487769E-2</v>
      </c>
      <c r="AI260" s="182">
        <v>4.1624359999999916E-2</v>
      </c>
      <c r="AJ260" s="182">
        <v>4.2440999999999729E-2</v>
      </c>
      <c r="AK260" s="182">
        <v>1.7677439999999933E-2</v>
      </c>
      <c r="AM260" s="7" t="s">
        <v>141</v>
      </c>
      <c r="AN260" s="7" t="b">
        <f t="shared" si="28"/>
        <v>0</v>
      </c>
      <c r="AP260" s="211">
        <v>-99</v>
      </c>
      <c r="AQ260" s="211">
        <v>-99</v>
      </c>
      <c r="AS260" s="211">
        <v>-99</v>
      </c>
      <c r="AT260" s="211">
        <v>-99</v>
      </c>
      <c r="AU260" s="211">
        <v>-99</v>
      </c>
      <c r="AV260" s="211">
        <v>-99</v>
      </c>
      <c r="AW260" s="211">
        <v>-99</v>
      </c>
      <c r="AX260" s="211">
        <v>-99</v>
      </c>
      <c r="AZ260" s="211">
        <v>-99</v>
      </c>
      <c r="BA260" s="211">
        <v>-99</v>
      </c>
      <c r="BB260" s="211">
        <v>-99</v>
      </c>
      <c r="BC260" s="211">
        <v>-99</v>
      </c>
      <c r="BD260" s="211">
        <v>-99</v>
      </c>
      <c r="BE260" s="211">
        <v>-99</v>
      </c>
      <c r="BG260" s="211">
        <v>-99</v>
      </c>
      <c r="BH260" s="211">
        <v>-99</v>
      </c>
      <c r="BI260" s="211">
        <v>-99</v>
      </c>
      <c r="BJ260" s="211">
        <v>-99</v>
      </c>
      <c r="BK260" s="211">
        <v>-99</v>
      </c>
      <c r="BL260" s="211">
        <v>-99</v>
      </c>
      <c r="BM260" s="211">
        <v>-99</v>
      </c>
      <c r="BN260" s="191">
        <f t="shared" si="29"/>
        <v>4.1624359999999916E-2</v>
      </c>
      <c r="BO260" s="191">
        <f t="shared" si="30"/>
        <v>4.2440999999999729E-2</v>
      </c>
      <c r="BP260" s="191">
        <f t="shared" si="31"/>
        <v>1.7677439999999933E-2</v>
      </c>
      <c r="BQ260" s="171">
        <f t="shared" si="32"/>
        <v>4.2099999999999999E-2</v>
      </c>
      <c r="BR260" s="171">
        <f t="shared" si="33"/>
        <v>6.6400000000000001E-2</v>
      </c>
      <c r="BS260" s="171">
        <f t="shared" si="34"/>
        <v>4.1200000000000001E-2</v>
      </c>
      <c r="BT260" s="171">
        <f t="shared" si="35"/>
        <v>4.2000000000000003E-2</v>
      </c>
      <c r="BU260" s="171">
        <f t="shared" si="36"/>
        <v>1.7600000000000001E-2</v>
      </c>
    </row>
    <row r="261" spans="1:73" x14ac:dyDescent="0.3">
      <c r="A261" s="209">
        <v>39203</v>
      </c>
      <c r="B261" s="187">
        <v>200705</v>
      </c>
      <c r="C261" s="176">
        <v>4.43</v>
      </c>
      <c r="D261" s="176">
        <v>7.14</v>
      </c>
      <c r="E261" s="176">
        <v>2.02</v>
      </c>
      <c r="F261" s="177">
        <v>112.1</v>
      </c>
      <c r="G261" s="210">
        <v>1.7576318223866849E-2</v>
      </c>
      <c r="H261" s="179">
        <v>4.5</v>
      </c>
      <c r="I261" s="179">
        <v>4.3899999999999997</v>
      </c>
      <c r="K261" s="182">
        <v>4.4999999999999998E-2</v>
      </c>
      <c r="L261" s="182">
        <v>4.4999999999999998E-2</v>
      </c>
      <c r="N261" s="182">
        <v>4.7500000000000001E-2</v>
      </c>
      <c r="O261" s="182">
        <v>0.02</v>
      </c>
      <c r="Q261" s="182">
        <v>4.4999999999999998E-2</v>
      </c>
      <c r="R261" s="182">
        <v>4.7500000000000001E-2</v>
      </c>
      <c r="S261" s="182">
        <v>2.2499999999999999E-2</v>
      </c>
      <c r="T261" s="182">
        <v>2.2499999999999999E-2</v>
      </c>
      <c r="U261" s="182"/>
      <c r="V261" s="194">
        <v>0.05</v>
      </c>
      <c r="W261" s="194">
        <v>5.2000000000000005E-2</v>
      </c>
      <c r="X261" s="194">
        <v>2.6000000000000002E-2</v>
      </c>
      <c r="Y261" s="194">
        <v>2.7E-2</v>
      </c>
      <c r="Z261" s="194"/>
      <c r="AA261" s="195">
        <v>4.9706022500000217E-2</v>
      </c>
      <c r="AB261" s="195">
        <v>5.2461642499999954E-2</v>
      </c>
      <c r="AC261" s="195">
        <v>2.6010625769412654E-2</v>
      </c>
      <c r="AD261" s="195">
        <v>2.7162170865293839E-2</v>
      </c>
      <c r="AE261" s="195"/>
      <c r="AF261" s="195">
        <v>1.1547344703578544E-2</v>
      </c>
      <c r="AG261" s="195">
        <v>1.2315227503653881E-2</v>
      </c>
      <c r="AI261" s="182">
        <v>4.5506249999999859E-2</v>
      </c>
      <c r="AJ261" s="182">
        <v>4.438180249999979E-2</v>
      </c>
      <c r="AK261" s="182">
        <v>2.0302009999999981E-2</v>
      </c>
      <c r="AM261" s="7" t="s">
        <v>141</v>
      </c>
      <c r="AN261" s="7" t="b">
        <f t="shared" si="28"/>
        <v>0</v>
      </c>
      <c r="AP261" s="211">
        <v>-99</v>
      </c>
      <c r="AQ261" s="211">
        <v>-99</v>
      </c>
      <c r="AS261" s="211">
        <v>-99</v>
      </c>
      <c r="AT261" s="211">
        <v>-99</v>
      </c>
      <c r="AU261" s="211">
        <v>-99</v>
      </c>
      <c r="AV261" s="211">
        <v>-99</v>
      </c>
      <c r="AW261" s="211">
        <v>-99</v>
      </c>
      <c r="AX261" s="211">
        <v>-99</v>
      </c>
      <c r="AZ261" s="211">
        <v>-99</v>
      </c>
      <c r="BA261" s="211">
        <v>-99</v>
      </c>
      <c r="BB261" s="211">
        <v>-99</v>
      </c>
      <c r="BC261" s="211">
        <v>-99</v>
      </c>
      <c r="BD261" s="211">
        <v>-99</v>
      </c>
      <c r="BE261" s="211">
        <v>-99</v>
      </c>
      <c r="BG261" s="211">
        <v>-99</v>
      </c>
      <c r="BH261" s="211">
        <v>-99</v>
      </c>
      <c r="BI261" s="211">
        <v>-99</v>
      </c>
      <c r="BJ261" s="211">
        <v>-99</v>
      </c>
      <c r="BK261" s="211">
        <v>-99</v>
      </c>
      <c r="BL261" s="211">
        <v>-99</v>
      </c>
      <c r="BM261" s="211">
        <v>-99</v>
      </c>
      <c r="BN261" s="191">
        <f t="shared" si="29"/>
        <v>4.5506249999999859E-2</v>
      </c>
      <c r="BO261" s="191">
        <f t="shared" si="30"/>
        <v>4.438180249999979E-2</v>
      </c>
      <c r="BP261" s="191">
        <f t="shared" si="31"/>
        <v>2.0302009999999981E-2</v>
      </c>
      <c r="BQ261" s="171">
        <f t="shared" si="32"/>
        <v>4.4299999999999999E-2</v>
      </c>
      <c r="BR261" s="171">
        <f t="shared" si="33"/>
        <v>7.1399999999999991E-2</v>
      </c>
      <c r="BS261" s="171">
        <f t="shared" si="34"/>
        <v>4.4999999999999998E-2</v>
      </c>
      <c r="BT261" s="171">
        <f t="shared" si="35"/>
        <v>4.3899999999999995E-2</v>
      </c>
      <c r="BU261" s="171">
        <f t="shared" si="36"/>
        <v>2.0199999999999999E-2</v>
      </c>
    </row>
    <row r="262" spans="1:73" x14ac:dyDescent="0.3">
      <c r="A262" s="209">
        <v>39234</v>
      </c>
      <c r="B262" s="187">
        <v>200706</v>
      </c>
      <c r="C262" s="176">
        <v>4.59</v>
      </c>
      <c r="D262" s="176">
        <v>7.24</v>
      </c>
      <c r="E262" s="176">
        <v>2.15</v>
      </c>
      <c r="F262" s="177">
        <v>111.9</v>
      </c>
      <c r="G262" s="210">
        <v>1.7543859649122862E-2</v>
      </c>
      <c r="H262" s="179">
        <v>4.63</v>
      </c>
      <c r="I262" s="179">
        <v>4.5599999999999996</v>
      </c>
      <c r="K262" s="182">
        <v>4.4999999999999998E-2</v>
      </c>
      <c r="L262" s="182">
        <v>4.4999999999999998E-2</v>
      </c>
      <c r="N262" s="182">
        <v>4.7500000000000001E-2</v>
      </c>
      <c r="O262" s="182">
        <v>0.02</v>
      </c>
      <c r="Q262" s="182">
        <v>4.7500000000000001E-2</v>
      </c>
      <c r="R262" s="182">
        <v>4.7500000000000001E-2</v>
      </c>
      <c r="S262" s="182">
        <v>2.2499999999999999E-2</v>
      </c>
      <c r="T262" s="182">
        <v>2.2499999999999999E-2</v>
      </c>
      <c r="U262" s="182"/>
      <c r="V262" s="194">
        <v>5.1000000000000004E-2</v>
      </c>
      <c r="W262" s="194">
        <v>5.2000000000000005E-2</v>
      </c>
      <c r="X262" s="194">
        <v>2.6000000000000002E-2</v>
      </c>
      <c r="Y262" s="194">
        <v>2.7E-2</v>
      </c>
      <c r="Z262" s="194"/>
      <c r="AA262" s="195">
        <v>5.0624359999999917E-2</v>
      </c>
      <c r="AB262" s="195">
        <v>5.1849319999999637E-2</v>
      </c>
      <c r="AC262" s="195">
        <v>2.6337294748907905E-2</v>
      </c>
      <c r="AD262" s="195">
        <v>2.6847512625545949E-2</v>
      </c>
      <c r="AE262" s="195"/>
      <c r="AF262" s="195">
        <v>1.1831912069917294E-2</v>
      </c>
      <c r="AG262" s="195">
        <v>1.217406044570668E-2</v>
      </c>
      <c r="AI262" s="182">
        <v>4.6835922499999905E-2</v>
      </c>
      <c r="AJ262" s="182">
        <v>4.6119839999999801E-2</v>
      </c>
      <c r="AK262" s="182">
        <v>2.1615562500000074E-2</v>
      </c>
      <c r="AM262" s="7" t="s">
        <v>141</v>
      </c>
      <c r="AN262" s="7" t="b">
        <f t="shared" ref="AN262:AN304" si="37">1=2</f>
        <v>0</v>
      </c>
      <c r="AP262" s="211">
        <v>-99</v>
      </c>
      <c r="AQ262" s="211">
        <v>-99</v>
      </c>
      <c r="AS262" s="211">
        <v>-99</v>
      </c>
      <c r="AT262" s="211">
        <v>-99</v>
      </c>
      <c r="AU262" s="211">
        <v>-99</v>
      </c>
      <c r="AV262" s="211">
        <v>-99</v>
      </c>
      <c r="AW262" s="211">
        <v>-99</v>
      </c>
      <c r="AX262" s="211">
        <v>-99</v>
      </c>
      <c r="AZ262" s="211">
        <v>-99</v>
      </c>
      <c r="BA262" s="211">
        <v>-99</v>
      </c>
      <c r="BB262" s="211">
        <v>-99</v>
      </c>
      <c r="BC262" s="211">
        <v>-99</v>
      </c>
      <c r="BD262" s="211">
        <v>-99</v>
      </c>
      <c r="BE262" s="211">
        <v>-99</v>
      </c>
      <c r="BG262" s="211">
        <v>-99</v>
      </c>
      <c r="BH262" s="211">
        <v>-99</v>
      </c>
      <c r="BI262" s="211">
        <v>-99</v>
      </c>
      <c r="BJ262" s="211">
        <v>-99</v>
      </c>
      <c r="BK262" s="211">
        <v>-99</v>
      </c>
      <c r="BL262" s="211">
        <v>-99</v>
      </c>
      <c r="BM262" s="211">
        <v>-99</v>
      </c>
      <c r="BN262" s="191">
        <f t="shared" si="29"/>
        <v>4.6835922499999905E-2</v>
      </c>
      <c r="BO262" s="191">
        <f t="shared" si="30"/>
        <v>4.6119839999999801E-2</v>
      </c>
      <c r="BP262" s="191">
        <f t="shared" si="31"/>
        <v>2.1615562500000074E-2</v>
      </c>
      <c r="BQ262" s="171">
        <f t="shared" si="32"/>
        <v>4.5899999999999996E-2</v>
      </c>
      <c r="BR262" s="171">
        <f t="shared" si="33"/>
        <v>7.2400000000000006E-2</v>
      </c>
      <c r="BS262" s="171">
        <f t="shared" si="34"/>
        <v>4.6300000000000001E-2</v>
      </c>
      <c r="BT262" s="171">
        <f t="shared" si="35"/>
        <v>4.5599999999999995E-2</v>
      </c>
      <c r="BU262" s="171">
        <f t="shared" si="36"/>
        <v>2.1499999999999998E-2</v>
      </c>
    </row>
    <row r="263" spans="1:73" x14ac:dyDescent="0.3">
      <c r="A263" s="209">
        <v>39264</v>
      </c>
      <c r="B263" s="187">
        <v>200707</v>
      </c>
      <c r="C263" s="176">
        <v>4.5199999999999996</v>
      </c>
      <c r="D263" s="176">
        <v>7.24</v>
      </c>
      <c r="E263" s="176">
        <v>2.09</v>
      </c>
      <c r="F263" s="177">
        <v>112</v>
      </c>
      <c r="G263" s="210">
        <v>1.7511520737327313E-2</v>
      </c>
      <c r="H263" s="179">
        <v>4.59</v>
      </c>
      <c r="I263" s="179">
        <v>4.49</v>
      </c>
      <c r="K263" s="182">
        <v>4.4999999999999998E-2</v>
      </c>
      <c r="L263" s="182">
        <v>0.05</v>
      </c>
      <c r="N263" s="182">
        <v>0.05</v>
      </c>
      <c r="O263" s="182">
        <v>2.2499999999999999E-2</v>
      </c>
      <c r="Q263" s="182">
        <v>0.05</v>
      </c>
      <c r="R263" s="182">
        <v>0.05</v>
      </c>
      <c r="S263" s="182">
        <v>2.5000000000000001E-2</v>
      </c>
      <c r="T263" s="182">
        <v>2.5000000000000001E-2</v>
      </c>
      <c r="U263" s="182"/>
      <c r="V263" s="194">
        <v>5.5E-2</v>
      </c>
      <c r="W263" s="194">
        <v>5.2999999999999999E-2</v>
      </c>
      <c r="X263" s="194">
        <v>0.03</v>
      </c>
      <c r="Y263" s="194">
        <v>2.9000000000000001E-2</v>
      </c>
      <c r="Z263" s="194"/>
      <c r="AA263" s="195">
        <v>5.450624999999986E-2</v>
      </c>
      <c r="AB263" s="195">
        <v>5.2819578749999756E-2</v>
      </c>
      <c r="AC263" s="195">
        <v>2.9816377220427241E-2</v>
      </c>
      <c r="AD263" s="195">
        <v>2.9044826389786352E-2</v>
      </c>
      <c r="AE263" s="195"/>
      <c r="AF263" s="195">
        <v>1.1987512203977979E-2</v>
      </c>
      <c r="AG263" s="195">
        <v>1.1551854569651021E-2</v>
      </c>
      <c r="AI263" s="182">
        <v>4.6426702500000028E-2</v>
      </c>
      <c r="AJ263" s="182">
        <v>4.5404002500000207E-2</v>
      </c>
      <c r="AK263" s="182">
        <v>2.1009202500000157E-2</v>
      </c>
      <c r="AM263" s="7" t="s">
        <v>141</v>
      </c>
      <c r="AN263" s="7" t="b">
        <f t="shared" si="37"/>
        <v>0</v>
      </c>
      <c r="AP263" s="211">
        <v>-99</v>
      </c>
      <c r="AQ263" s="211">
        <v>-99</v>
      </c>
      <c r="AS263" s="211">
        <v>-99</v>
      </c>
      <c r="AT263" s="211">
        <v>-99</v>
      </c>
      <c r="AU263" s="211">
        <v>-99</v>
      </c>
      <c r="AV263" s="211">
        <v>-99</v>
      </c>
      <c r="AW263" s="211">
        <v>-99</v>
      </c>
      <c r="AX263" s="211">
        <v>-99</v>
      </c>
      <c r="AZ263" s="211">
        <v>-99</v>
      </c>
      <c r="BA263" s="211">
        <v>-99</v>
      </c>
      <c r="BB263" s="211">
        <v>-99</v>
      </c>
      <c r="BC263" s="211">
        <v>-99</v>
      </c>
      <c r="BD263" s="211">
        <v>-99</v>
      </c>
      <c r="BE263" s="211">
        <v>-99</v>
      </c>
      <c r="BG263" s="211">
        <v>-99</v>
      </c>
      <c r="BH263" s="211">
        <v>-99</v>
      </c>
      <c r="BI263" s="211">
        <v>-99</v>
      </c>
      <c r="BJ263" s="211">
        <v>-99</v>
      </c>
      <c r="BK263" s="211">
        <v>-99</v>
      </c>
      <c r="BL263" s="211">
        <v>-99</v>
      </c>
      <c r="BM263" s="211">
        <v>-99</v>
      </c>
      <c r="BN263" s="191">
        <f t="shared" ref="BN263:BN326" si="38">AI263</f>
        <v>4.6426702500000028E-2</v>
      </c>
      <c r="BO263" s="191">
        <f t="shared" ref="BO263:BO326" si="39">AJ263</f>
        <v>4.5404002500000207E-2</v>
      </c>
      <c r="BP263" s="191">
        <f t="shared" ref="BP263:BP326" si="40">AK263</f>
        <v>2.1009202500000157E-2</v>
      </c>
      <c r="BQ263" s="171">
        <f t="shared" ref="BQ263:BQ326" si="41">C263/100</f>
        <v>4.5199999999999997E-2</v>
      </c>
      <c r="BR263" s="171">
        <f t="shared" ref="BR263:BR326" si="42">D263/100</f>
        <v>7.2400000000000006E-2</v>
      </c>
      <c r="BS263" s="171">
        <f t="shared" ref="BS263:BS326" si="43">H263/100</f>
        <v>4.5899999999999996E-2</v>
      </c>
      <c r="BT263" s="171">
        <f t="shared" ref="BT263:BT326" si="44">I263/100</f>
        <v>4.4900000000000002E-2</v>
      </c>
      <c r="BU263" s="171">
        <f t="shared" si="36"/>
        <v>2.0899999999999998E-2</v>
      </c>
    </row>
    <row r="264" spans="1:73" x14ac:dyDescent="0.3">
      <c r="A264" s="209">
        <v>39295</v>
      </c>
      <c r="B264" s="187">
        <v>200708</v>
      </c>
      <c r="C264" s="176">
        <v>4.4400000000000004</v>
      </c>
      <c r="D264" s="176">
        <v>7.24</v>
      </c>
      <c r="E264" s="176">
        <v>2.15</v>
      </c>
      <c r="F264" s="177">
        <v>111.7</v>
      </c>
      <c r="G264" s="210">
        <v>1.7479300827966782E-2</v>
      </c>
      <c r="H264" s="179">
        <v>4.33</v>
      </c>
      <c r="I264" s="179">
        <v>4.4400000000000004</v>
      </c>
      <c r="K264" s="182">
        <v>0.05</v>
      </c>
      <c r="L264" s="182">
        <v>0.05</v>
      </c>
      <c r="N264" s="182">
        <v>5.2499999999999998E-2</v>
      </c>
      <c r="O264" s="182">
        <v>2.5000000000000001E-2</v>
      </c>
      <c r="Q264" s="182">
        <v>5.2499999999999998E-2</v>
      </c>
      <c r="R264" s="182">
        <v>0.05</v>
      </c>
      <c r="S264" s="182">
        <v>2.75E-2</v>
      </c>
      <c r="T264" s="182">
        <v>2.75E-2</v>
      </c>
      <c r="U264" s="182"/>
      <c r="V264" s="194">
        <v>5.6000000000000001E-2</v>
      </c>
      <c r="W264" s="194">
        <v>5.5E-2</v>
      </c>
      <c r="X264" s="194">
        <v>3.1E-2</v>
      </c>
      <c r="Y264" s="194">
        <v>0.03</v>
      </c>
      <c r="Z264" s="194"/>
      <c r="AA264" s="195">
        <v>5.5835922499999906E-2</v>
      </c>
      <c r="AB264" s="195">
        <v>5.476179874999975E-2</v>
      </c>
      <c r="AC264" s="195">
        <v>3.0951177845454623E-2</v>
      </c>
      <c r="AD264" s="195">
        <v>3.0447754827272799E-2</v>
      </c>
      <c r="AE264" s="195"/>
      <c r="AF264" s="195">
        <v>1.2068827888897182E-2</v>
      </c>
      <c r="AG264" s="195">
        <v>1.1797805278736639E-2</v>
      </c>
      <c r="AI264" s="182">
        <v>4.3768722499999857E-2</v>
      </c>
      <c r="AJ264" s="182">
        <v>4.4892839999999934E-2</v>
      </c>
      <c r="AK264" s="182">
        <v>2.1615562500000074E-2</v>
      </c>
      <c r="AM264" s="7" t="s">
        <v>141</v>
      </c>
      <c r="AN264" s="7" t="b">
        <f t="shared" si="37"/>
        <v>0</v>
      </c>
      <c r="AP264" s="211">
        <v>-99</v>
      </c>
      <c r="AQ264" s="211">
        <v>-99</v>
      </c>
      <c r="AS264" s="211">
        <v>-99</v>
      </c>
      <c r="AT264" s="211">
        <v>-99</v>
      </c>
      <c r="AU264" s="211">
        <v>-99</v>
      </c>
      <c r="AV264" s="211">
        <v>-99</v>
      </c>
      <c r="AW264" s="211">
        <v>-99</v>
      </c>
      <c r="AX264" s="211">
        <v>-99</v>
      </c>
      <c r="AZ264" s="211">
        <v>-99</v>
      </c>
      <c r="BA264" s="211">
        <v>-99</v>
      </c>
      <c r="BB264" s="211">
        <v>-99</v>
      </c>
      <c r="BC264" s="211">
        <v>-99</v>
      </c>
      <c r="BD264" s="211">
        <v>-99</v>
      </c>
      <c r="BE264" s="211">
        <v>-99</v>
      </c>
      <c r="BG264" s="211">
        <v>-99</v>
      </c>
      <c r="BH264" s="211">
        <v>-99</v>
      </c>
      <c r="BI264" s="211">
        <v>-99</v>
      </c>
      <c r="BJ264" s="211">
        <v>-99</v>
      </c>
      <c r="BK264" s="211">
        <v>-99</v>
      </c>
      <c r="BL264" s="211">
        <v>-99</v>
      </c>
      <c r="BM264" s="211">
        <v>-99</v>
      </c>
      <c r="BN264" s="191">
        <f t="shared" si="38"/>
        <v>4.3768722499999857E-2</v>
      </c>
      <c r="BO264" s="191">
        <f t="shared" si="39"/>
        <v>4.4892839999999934E-2</v>
      </c>
      <c r="BP264" s="191">
        <f t="shared" si="40"/>
        <v>2.1615562500000074E-2</v>
      </c>
      <c r="BQ264" s="171">
        <f t="shared" si="41"/>
        <v>4.4400000000000002E-2</v>
      </c>
      <c r="BR264" s="171">
        <f t="shared" si="42"/>
        <v>7.2400000000000006E-2</v>
      </c>
      <c r="BS264" s="171">
        <f t="shared" si="43"/>
        <v>4.3299999999999998E-2</v>
      </c>
      <c r="BT264" s="171">
        <f t="shared" si="44"/>
        <v>4.4400000000000002E-2</v>
      </c>
      <c r="BU264" s="171">
        <f t="shared" si="36"/>
        <v>2.1499999999999998E-2</v>
      </c>
    </row>
    <row r="265" spans="1:73" x14ac:dyDescent="0.3">
      <c r="A265" s="209">
        <v>39326</v>
      </c>
      <c r="B265" s="187">
        <v>200709</v>
      </c>
      <c r="C265" s="176">
        <v>4.5</v>
      </c>
      <c r="D265" s="176">
        <v>7.19</v>
      </c>
      <c r="E265" s="176">
        <v>2.15</v>
      </c>
      <c r="F265" s="177">
        <v>111.9</v>
      </c>
      <c r="G265" s="210">
        <v>1.8382352941176405E-2</v>
      </c>
      <c r="H265" s="179">
        <v>4.34</v>
      </c>
      <c r="I265" s="179">
        <v>4.5</v>
      </c>
      <c r="K265" s="182">
        <v>0.05</v>
      </c>
      <c r="L265" s="182">
        <v>0.05</v>
      </c>
      <c r="N265" s="182">
        <v>0.05</v>
      </c>
      <c r="O265" s="182">
        <v>2.2499999999999999E-2</v>
      </c>
      <c r="Q265" s="182">
        <v>5.2499999999999998E-2</v>
      </c>
      <c r="R265" s="182">
        <v>0.05</v>
      </c>
      <c r="S265" s="182">
        <v>2.75E-2</v>
      </c>
      <c r="T265" s="182">
        <v>2.5000000000000001E-2</v>
      </c>
      <c r="U265" s="182"/>
      <c r="V265" s="194">
        <v>5.5E-2</v>
      </c>
      <c r="W265" s="194">
        <v>5.3999999999999999E-2</v>
      </c>
      <c r="X265" s="194">
        <v>0.03</v>
      </c>
      <c r="Y265" s="194">
        <v>0.03</v>
      </c>
      <c r="Z265" s="194"/>
      <c r="AA265" s="195">
        <v>5.5426702500000029E-2</v>
      </c>
      <c r="AB265" s="195">
        <v>5.3892652500000297E-2</v>
      </c>
      <c r="AC265" s="195">
        <v>3.0482423146059857E-2</v>
      </c>
      <c r="AD265" s="195">
        <v>2.9772592176970307E-2</v>
      </c>
      <c r="AE265" s="195"/>
      <c r="AF265" s="195">
        <v>1.2103204670772194E-2</v>
      </c>
      <c r="AG265" s="195">
        <v>1.171135282987068E-2</v>
      </c>
      <c r="AI265" s="182">
        <v>4.3870890000000218E-2</v>
      </c>
      <c r="AJ265" s="182">
        <v>4.5506249999999859E-2</v>
      </c>
      <c r="AK265" s="182">
        <v>2.1615562500000074E-2</v>
      </c>
      <c r="AM265" s="7" t="s">
        <v>141</v>
      </c>
      <c r="AN265" s="7" t="b">
        <f t="shared" si="37"/>
        <v>0</v>
      </c>
      <c r="AP265" s="211">
        <v>-99</v>
      </c>
      <c r="AQ265" s="211">
        <v>-99</v>
      </c>
      <c r="AS265" s="211">
        <v>-99</v>
      </c>
      <c r="AT265" s="211">
        <v>-99</v>
      </c>
      <c r="AU265" s="211">
        <v>-99</v>
      </c>
      <c r="AV265" s="211">
        <v>-99</v>
      </c>
      <c r="AW265" s="211">
        <v>-99</v>
      </c>
      <c r="AX265" s="211">
        <v>-99</v>
      </c>
      <c r="AZ265" s="211">
        <v>-99</v>
      </c>
      <c r="BA265" s="211">
        <v>-99</v>
      </c>
      <c r="BB265" s="211">
        <v>-99</v>
      </c>
      <c r="BC265" s="211">
        <v>-99</v>
      </c>
      <c r="BD265" s="211">
        <v>-99</v>
      </c>
      <c r="BE265" s="211">
        <v>-99</v>
      </c>
      <c r="BG265" s="211">
        <v>-99</v>
      </c>
      <c r="BH265" s="211">
        <v>-99</v>
      </c>
      <c r="BI265" s="211">
        <v>-99</v>
      </c>
      <c r="BJ265" s="211">
        <v>-99</v>
      </c>
      <c r="BK265" s="211">
        <v>-99</v>
      </c>
      <c r="BL265" s="211">
        <v>-99</v>
      </c>
      <c r="BM265" s="211">
        <v>-99</v>
      </c>
      <c r="BN265" s="191">
        <f t="shared" si="38"/>
        <v>4.3870890000000218E-2</v>
      </c>
      <c r="BO265" s="191">
        <f t="shared" si="39"/>
        <v>4.5506249999999859E-2</v>
      </c>
      <c r="BP265" s="191">
        <f t="shared" si="40"/>
        <v>2.1615562500000074E-2</v>
      </c>
      <c r="BQ265" s="171">
        <f t="shared" si="41"/>
        <v>4.4999999999999998E-2</v>
      </c>
      <c r="BR265" s="171">
        <f t="shared" si="42"/>
        <v>7.1900000000000006E-2</v>
      </c>
      <c r="BS265" s="171">
        <f t="shared" si="43"/>
        <v>4.3400000000000001E-2</v>
      </c>
      <c r="BT265" s="171">
        <f t="shared" si="44"/>
        <v>4.4999999999999998E-2</v>
      </c>
      <c r="BU265" s="171">
        <f t="shared" si="36"/>
        <v>2.1499999999999998E-2</v>
      </c>
    </row>
    <row r="266" spans="1:73" x14ac:dyDescent="0.3">
      <c r="A266" s="209">
        <v>39356</v>
      </c>
      <c r="B266" s="187">
        <v>200710</v>
      </c>
      <c r="C266" s="176">
        <v>4.3899999999999997</v>
      </c>
      <c r="D266" s="176">
        <v>7.44</v>
      </c>
      <c r="E266" s="176">
        <v>2.0499999999999998</v>
      </c>
      <c r="F266" s="177">
        <v>111.6</v>
      </c>
      <c r="G266" s="210">
        <v>2.0220588235294157E-2</v>
      </c>
      <c r="H266" s="179">
        <v>4.24</v>
      </c>
      <c r="I266" s="179">
        <v>4.38</v>
      </c>
      <c r="K266" s="182">
        <v>4.4999999999999998E-2</v>
      </c>
      <c r="L266" s="182">
        <v>0.05</v>
      </c>
      <c r="N266" s="182">
        <v>0.05</v>
      </c>
      <c r="O266" s="182">
        <v>2.5000000000000001E-2</v>
      </c>
      <c r="Q266" s="182">
        <v>0.05</v>
      </c>
      <c r="R266" s="182">
        <v>0.05</v>
      </c>
      <c r="S266" s="182">
        <v>2.5000000000000001E-2</v>
      </c>
      <c r="T266" s="182">
        <v>2.75E-2</v>
      </c>
      <c r="U266" s="182"/>
      <c r="V266" s="194">
        <v>5.2999999999999999E-2</v>
      </c>
      <c r="W266" s="194">
        <v>5.3999999999999999E-2</v>
      </c>
      <c r="X266" s="194">
        <v>0.03</v>
      </c>
      <c r="Y266" s="194">
        <v>3.1E-2</v>
      </c>
      <c r="Z266" s="194"/>
      <c r="AA266" s="195">
        <v>5.2768722499999858E-2</v>
      </c>
      <c r="AB266" s="195">
        <v>5.4454898749999973E-2</v>
      </c>
      <c r="AC266" s="195">
        <v>3.0074308436354391E-2</v>
      </c>
      <c r="AD266" s="195">
        <v>3.0886189531822917E-2</v>
      </c>
      <c r="AE266" s="195"/>
      <c r="AF266" s="195">
        <v>1.1015911123002042E-2</v>
      </c>
      <c r="AG266" s="195">
        <v>1.1431285750796993E-2</v>
      </c>
      <c r="AI266" s="182">
        <v>4.2849440000000127E-2</v>
      </c>
      <c r="AJ266" s="182">
        <v>4.4279610000000025E-2</v>
      </c>
      <c r="AK266" s="182">
        <v>2.0605062500000271E-2</v>
      </c>
      <c r="AM266" s="7" t="s">
        <v>141</v>
      </c>
      <c r="AN266" s="7" t="b">
        <f t="shared" si="37"/>
        <v>0</v>
      </c>
      <c r="AP266" s="211">
        <v>-99</v>
      </c>
      <c r="AQ266" s="211">
        <v>-99</v>
      </c>
      <c r="AS266" s="211">
        <v>-99</v>
      </c>
      <c r="AT266" s="211">
        <v>-99</v>
      </c>
      <c r="AU266" s="211">
        <v>-99</v>
      </c>
      <c r="AV266" s="211">
        <v>-99</v>
      </c>
      <c r="AW266" s="211">
        <v>-99</v>
      </c>
      <c r="AX266" s="211">
        <v>-99</v>
      </c>
      <c r="AZ266" s="211">
        <v>-99</v>
      </c>
      <c r="BA266" s="211">
        <v>-99</v>
      </c>
      <c r="BB266" s="211">
        <v>-99</v>
      </c>
      <c r="BC266" s="211">
        <v>-99</v>
      </c>
      <c r="BD266" s="211">
        <v>-99</v>
      </c>
      <c r="BE266" s="211">
        <v>-99</v>
      </c>
      <c r="BG266" s="211">
        <v>-99</v>
      </c>
      <c r="BH266" s="211">
        <v>-99</v>
      </c>
      <c r="BI266" s="211">
        <v>-99</v>
      </c>
      <c r="BJ266" s="211">
        <v>-99</v>
      </c>
      <c r="BK266" s="211">
        <v>-99</v>
      </c>
      <c r="BL266" s="211">
        <v>-99</v>
      </c>
      <c r="BM266" s="211">
        <v>-99</v>
      </c>
      <c r="BN266" s="191">
        <f t="shared" si="38"/>
        <v>4.2849440000000127E-2</v>
      </c>
      <c r="BO266" s="191">
        <f t="shared" si="39"/>
        <v>4.4279610000000025E-2</v>
      </c>
      <c r="BP266" s="191">
        <f t="shared" si="40"/>
        <v>2.0605062500000271E-2</v>
      </c>
      <c r="BQ266" s="171">
        <f t="shared" si="41"/>
        <v>4.3899999999999995E-2</v>
      </c>
      <c r="BR266" s="171">
        <f t="shared" si="42"/>
        <v>7.4400000000000008E-2</v>
      </c>
      <c r="BS266" s="171">
        <f t="shared" si="43"/>
        <v>4.24E-2</v>
      </c>
      <c r="BT266" s="171">
        <f t="shared" si="44"/>
        <v>4.3799999999999999E-2</v>
      </c>
      <c r="BU266" s="171">
        <f t="shared" si="36"/>
        <v>2.0499999999999997E-2</v>
      </c>
    </row>
    <row r="267" spans="1:73" x14ac:dyDescent="0.3">
      <c r="A267" s="209">
        <v>39387</v>
      </c>
      <c r="B267" s="187">
        <v>200711</v>
      </c>
      <c r="C267" s="176">
        <v>4.22</v>
      </c>
      <c r="D267" s="176">
        <v>7.39</v>
      </c>
      <c r="E267" s="176">
        <v>2.14</v>
      </c>
      <c r="F267" s="177">
        <v>111.9</v>
      </c>
      <c r="G267" s="210">
        <v>2.0183486238532167E-2</v>
      </c>
      <c r="H267" s="179">
        <v>3.97</v>
      </c>
      <c r="I267" s="179">
        <v>4.2300000000000004</v>
      </c>
      <c r="K267" s="182">
        <v>4.4999999999999998E-2</v>
      </c>
      <c r="L267" s="182">
        <v>0.05</v>
      </c>
      <c r="N267" s="182">
        <v>0.05</v>
      </c>
      <c r="O267" s="182">
        <v>2.5000000000000001E-2</v>
      </c>
      <c r="Q267" s="182">
        <v>0.05</v>
      </c>
      <c r="R267" s="182">
        <v>5.2499999999999998E-2</v>
      </c>
      <c r="S267" s="182">
        <v>2.5000000000000001E-2</v>
      </c>
      <c r="T267" s="182">
        <v>2.75E-2</v>
      </c>
      <c r="U267" s="182"/>
      <c r="V267" s="194">
        <v>5.2999999999999999E-2</v>
      </c>
      <c r="W267" s="194">
        <v>5.5E-2</v>
      </c>
      <c r="X267" s="194">
        <v>0.03</v>
      </c>
      <c r="Y267" s="194">
        <v>3.1E-2</v>
      </c>
      <c r="Z267" s="194"/>
      <c r="AA267" s="195">
        <v>5.2870890000000219E-2</v>
      </c>
      <c r="AB267" s="195">
        <v>5.5323929999999681E-2</v>
      </c>
      <c r="AC267" s="195">
        <v>2.9838763130902588E-2</v>
      </c>
      <c r="AD267" s="195">
        <v>3.1003962184548817E-2</v>
      </c>
      <c r="AE267" s="195"/>
      <c r="AF267" s="195">
        <v>1.1182394610528945E-2</v>
      </c>
      <c r="AG267" s="195">
        <v>1.1794313459242423E-2</v>
      </c>
      <c r="AI267" s="182">
        <v>4.0094022499999937E-2</v>
      </c>
      <c r="AJ267" s="182">
        <v>4.2747322499999907E-2</v>
      </c>
      <c r="AK267" s="182">
        <v>2.1514489999999942E-2</v>
      </c>
      <c r="AM267" s="7" t="s">
        <v>141</v>
      </c>
      <c r="AN267" s="7" t="b">
        <f t="shared" si="37"/>
        <v>0</v>
      </c>
      <c r="AP267" s="211">
        <v>-99</v>
      </c>
      <c r="AQ267" s="211">
        <v>-99</v>
      </c>
      <c r="AS267" s="211">
        <v>-99</v>
      </c>
      <c r="AT267" s="211">
        <v>-99</v>
      </c>
      <c r="AU267" s="211">
        <v>-99</v>
      </c>
      <c r="AV267" s="211">
        <v>-99</v>
      </c>
      <c r="AW267" s="211">
        <v>-99</v>
      </c>
      <c r="AX267" s="211">
        <v>-99</v>
      </c>
      <c r="AZ267" s="211">
        <v>-99</v>
      </c>
      <c r="BA267" s="211">
        <v>-99</v>
      </c>
      <c r="BB267" s="211">
        <v>-99</v>
      </c>
      <c r="BC267" s="211">
        <v>-99</v>
      </c>
      <c r="BD267" s="211">
        <v>-99</v>
      </c>
      <c r="BE267" s="211">
        <v>-99</v>
      </c>
      <c r="BG267" s="211">
        <v>-99</v>
      </c>
      <c r="BH267" s="211">
        <v>-99</v>
      </c>
      <c r="BI267" s="211">
        <v>-99</v>
      </c>
      <c r="BJ267" s="211">
        <v>-99</v>
      </c>
      <c r="BK267" s="211">
        <v>-99</v>
      </c>
      <c r="BL267" s="211">
        <v>-99</v>
      </c>
      <c r="BM267" s="211">
        <v>-99</v>
      </c>
      <c r="BN267" s="191">
        <f t="shared" si="38"/>
        <v>4.0094022499999937E-2</v>
      </c>
      <c r="BO267" s="191">
        <f t="shared" si="39"/>
        <v>4.2747322499999907E-2</v>
      </c>
      <c r="BP267" s="191">
        <f t="shared" si="40"/>
        <v>2.1514489999999942E-2</v>
      </c>
      <c r="BQ267" s="171">
        <f t="shared" si="41"/>
        <v>4.2199999999999994E-2</v>
      </c>
      <c r="BR267" s="171">
        <f t="shared" si="42"/>
        <v>7.3899999999999993E-2</v>
      </c>
      <c r="BS267" s="171">
        <f t="shared" si="43"/>
        <v>3.9699999999999999E-2</v>
      </c>
      <c r="BT267" s="171">
        <f t="shared" si="44"/>
        <v>4.2300000000000004E-2</v>
      </c>
      <c r="BU267" s="171">
        <f t="shared" ref="BU267:BU330" si="45">E267/100</f>
        <v>2.1400000000000002E-2</v>
      </c>
    </row>
    <row r="268" spans="1:73" x14ac:dyDescent="0.3">
      <c r="A268" s="209">
        <v>39417</v>
      </c>
      <c r="B268" s="187">
        <v>200712</v>
      </c>
      <c r="C268" s="176">
        <v>4.18</v>
      </c>
      <c r="D268" s="176">
        <v>7.54</v>
      </c>
      <c r="E268" s="176">
        <v>1.99</v>
      </c>
      <c r="F268" s="177">
        <v>112</v>
      </c>
      <c r="G268" s="210">
        <v>2.1998166819431786E-2</v>
      </c>
      <c r="H268" s="179">
        <v>4.0199999999999996</v>
      </c>
      <c r="I268" s="179">
        <v>4.18</v>
      </c>
      <c r="K268" s="182">
        <v>4.4999999999999998E-2</v>
      </c>
      <c r="L268" s="182">
        <v>0.05</v>
      </c>
      <c r="N268" s="182">
        <v>0.05</v>
      </c>
      <c r="O268" s="182">
        <v>2.2499999999999999E-2</v>
      </c>
      <c r="Q268" s="182">
        <v>4.7500000000000001E-2</v>
      </c>
      <c r="R268" s="182">
        <v>0.05</v>
      </c>
      <c r="S268" s="182">
        <v>2.5000000000000001E-2</v>
      </c>
      <c r="T268" s="182">
        <v>2.5000000000000001E-2</v>
      </c>
      <c r="U268" s="182"/>
      <c r="V268" s="194">
        <v>5.2000000000000005E-2</v>
      </c>
      <c r="W268" s="194">
        <v>5.3999999999999999E-2</v>
      </c>
      <c r="X268" s="194">
        <v>2.9000000000000001E-2</v>
      </c>
      <c r="Y268" s="194">
        <v>0.03</v>
      </c>
      <c r="Z268" s="194"/>
      <c r="AA268" s="195">
        <v>5.1849440000000128E-2</v>
      </c>
      <c r="AB268" s="195">
        <v>5.3994694999999975E-2</v>
      </c>
      <c r="AC268" s="195">
        <v>2.8939547554506777E-2</v>
      </c>
      <c r="AD268" s="195">
        <v>2.9937819972747019E-2</v>
      </c>
      <c r="AE268" s="195"/>
      <c r="AF268" s="195">
        <v>1.1132768926971237E-2</v>
      </c>
      <c r="AG268" s="195">
        <v>1.1678799710398757E-2</v>
      </c>
      <c r="AI268" s="182">
        <v>4.0604010000000024E-2</v>
      </c>
      <c r="AJ268" s="182">
        <v>4.2236809999999902E-2</v>
      </c>
      <c r="AK268" s="182">
        <v>1.9999002499999863E-2</v>
      </c>
      <c r="AM268" s="7" t="s">
        <v>141</v>
      </c>
      <c r="AN268" s="7" t="b">
        <f t="shared" si="37"/>
        <v>0</v>
      </c>
      <c r="AP268" s="211">
        <v>-99</v>
      </c>
      <c r="AQ268" s="211">
        <v>-99</v>
      </c>
      <c r="AS268" s="211">
        <v>-99</v>
      </c>
      <c r="AT268" s="211">
        <v>-99</v>
      </c>
      <c r="AU268" s="211">
        <v>-99</v>
      </c>
      <c r="AV268" s="211">
        <v>-99</v>
      </c>
      <c r="AW268" s="211">
        <v>-99</v>
      </c>
      <c r="AX268" s="211">
        <v>-99</v>
      </c>
      <c r="AZ268" s="211">
        <v>-99</v>
      </c>
      <c r="BA268" s="211">
        <v>-99</v>
      </c>
      <c r="BB268" s="211">
        <v>-99</v>
      </c>
      <c r="BC268" s="211">
        <v>-99</v>
      </c>
      <c r="BD268" s="211">
        <v>-99</v>
      </c>
      <c r="BE268" s="211">
        <v>-99</v>
      </c>
      <c r="BG268" s="211">
        <v>-99</v>
      </c>
      <c r="BH268" s="211">
        <v>-99</v>
      </c>
      <c r="BI268" s="211">
        <v>-99</v>
      </c>
      <c r="BJ268" s="211">
        <v>-99</v>
      </c>
      <c r="BK268" s="211">
        <v>-99</v>
      </c>
      <c r="BL268" s="211">
        <v>-99</v>
      </c>
      <c r="BM268" s="211">
        <v>-99</v>
      </c>
      <c r="BN268" s="191">
        <f t="shared" si="38"/>
        <v>4.0604010000000024E-2</v>
      </c>
      <c r="BO268" s="191">
        <f t="shared" si="39"/>
        <v>4.2236809999999902E-2</v>
      </c>
      <c r="BP268" s="191">
        <f t="shared" si="40"/>
        <v>1.9999002499999863E-2</v>
      </c>
      <c r="BQ268" s="171">
        <f t="shared" si="41"/>
        <v>4.1799999999999997E-2</v>
      </c>
      <c r="BR268" s="171">
        <f t="shared" si="42"/>
        <v>7.5399999999999995E-2</v>
      </c>
      <c r="BS268" s="171">
        <f t="shared" si="43"/>
        <v>4.0199999999999993E-2</v>
      </c>
      <c r="BT268" s="171">
        <f t="shared" si="44"/>
        <v>4.1799999999999997E-2</v>
      </c>
      <c r="BU268" s="171">
        <f t="shared" si="45"/>
        <v>1.9900000000000001E-2</v>
      </c>
    </row>
    <row r="269" spans="1:73" x14ac:dyDescent="0.3">
      <c r="A269" s="209">
        <v>39448</v>
      </c>
      <c r="B269" s="187">
        <v>200801</v>
      </c>
      <c r="C269" s="176">
        <v>4.17</v>
      </c>
      <c r="D269" s="176">
        <v>7.39</v>
      </c>
      <c r="E269" s="176">
        <v>1.98</v>
      </c>
      <c r="F269" s="177">
        <v>111.8</v>
      </c>
      <c r="G269" s="210">
        <v>2.2893772893772812E-2</v>
      </c>
      <c r="H269" s="179">
        <v>3.66</v>
      </c>
      <c r="I269" s="179">
        <v>4.1900000000000004</v>
      </c>
      <c r="K269" s="182">
        <v>4.4999999999999998E-2</v>
      </c>
      <c r="L269" s="182">
        <v>0.05</v>
      </c>
      <c r="N269" s="182">
        <v>4.7500000000000001E-2</v>
      </c>
      <c r="O269" s="182">
        <v>2.5000000000000001E-2</v>
      </c>
      <c r="Q269" s="182">
        <v>4.4999999999999998E-2</v>
      </c>
      <c r="R269" s="182">
        <v>0.05</v>
      </c>
      <c r="S269" s="182">
        <v>2.5000000000000001E-2</v>
      </c>
      <c r="T269" s="182">
        <v>2.75E-2</v>
      </c>
      <c r="U269" s="182"/>
      <c r="V269" s="194">
        <v>4.9000000000000002E-2</v>
      </c>
      <c r="W269" s="194">
        <v>5.2999999999999999E-2</v>
      </c>
      <c r="X269" s="194">
        <v>2.9000000000000001E-2</v>
      </c>
      <c r="Y269" s="194">
        <v>3.1E-2</v>
      </c>
      <c r="Z269" s="194"/>
      <c r="AA269" s="195">
        <v>4.9094022499999938E-2</v>
      </c>
      <c r="AB269" s="195">
        <v>5.3073972499999893E-2</v>
      </c>
      <c r="AC269" s="195">
        <v>2.9179098846156347E-2</v>
      </c>
      <c r="AD269" s="195">
        <v>3.1182185576921741E-2</v>
      </c>
      <c r="AE269" s="195"/>
      <c r="AF269" s="195">
        <v>9.6751496781126711E-3</v>
      </c>
      <c r="AG269" s="195">
        <v>1.0614897750018004E-2</v>
      </c>
      <c r="AI269" s="182">
        <v>3.6934889999999942E-2</v>
      </c>
      <c r="AJ269" s="182">
        <v>4.2338902500000053E-2</v>
      </c>
      <c r="AK269" s="182">
        <v>1.9898010000000133E-2</v>
      </c>
      <c r="AM269" s="7" t="s">
        <v>141</v>
      </c>
      <c r="AN269" s="7" t="b">
        <f t="shared" si="37"/>
        <v>0</v>
      </c>
      <c r="AP269" s="211">
        <v>-99</v>
      </c>
      <c r="AQ269" s="211">
        <v>-99</v>
      </c>
      <c r="AS269" s="211">
        <v>-99</v>
      </c>
      <c r="AT269" s="211">
        <v>-99</v>
      </c>
      <c r="AU269" s="211">
        <v>-99</v>
      </c>
      <c r="AV269" s="211">
        <v>-99</v>
      </c>
      <c r="AW269" s="211">
        <v>-99</v>
      </c>
      <c r="AX269" s="211">
        <v>-99</v>
      </c>
      <c r="AZ269" s="211">
        <v>-99</v>
      </c>
      <c r="BA269" s="211">
        <v>-99</v>
      </c>
      <c r="BB269" s="211">
        <v>-99</v>
      </c>
      <c r="BC269" s="211">
        <v>-99</v>
      </c>
      <c r="BD269" s="211">
        <v>-99</v>
      </c>
      <c r="BE269" s="211">
        <v>-99</v>
      </c>
      <c r="BG269" s="211">
        <v>-99</v>
      </c>
      <c r="BH269" s="211">
        <v>-99</v>
      </c>
      <c r="BI269" s="211">
        <v>-99</v>
      </c>
      <c r="BJ269" s="211">
        <v>-99</v>
      </c>
      <c r="BK269" s="211">
        <v>-99</v>
      </c>
      <c r="BL269" s="211">
        <v>-99</v>
      </c>
      <c r="BM269" s="211">
        <v>-99</v>
      </c>
      <c r="BN269" s="191">
        <f t="shared" si="38"/>
        <v>3.6934889999999942E-2</v>
      </c>
      <c r="BO269" s="191">
        <f t="shared" si="39"/>
        <v>4.2338902500000053E-2</v>
      </c>
      <c r="BP269" s="191">
        <f t="shared" si="40"/>
        <v>1.9898010000000133E-2</v>
      </c>
      <c r="BQ269" s="171">
        <f t="shared" si="41"/>
        <v>4.1700000000000001E-2</v>
      </c>
      <c r="BR269" s="171">
        <f t="shared" si="42"/>
        <v>7.3899999999999993E-2</v>
      </c>
      <c r="BS269" s="171">
        <f t="shared" si="43"/>
        <v>3.6600000000000001E-2</v>
      </c>
      <c r="BT269" s="171">
        <f t="shared" si="44"/>
        <v>4.1900000000000007E-2</v>
      </c>
      <c r="BU269" s="171">
        <f t="shared" si="45"/>
        <v>1.9799999999999998E-2</v>
      </c>
    </row>
    <row r="270" spans="1:73" x14ac:dyDescent="0.3">
      <c r="A270" s="209">
        <v>39479</v>
      </c>
      <c r="B270" s="187">
        <v>200802</v>
      </c>
      <c r="C270" s="176">
        <v>4.1399999999999997</v>
      </c>
      <c r="D270" s="176">
        <v>7.29</v>
      </c>
      <c r="E270" s="176">
        <v>1.94</v>
      </c>
      <c r="F270" s="177">
        <v>112.2</v>
      </c>
      <c r="G270" s="210">
        <v>2.1937842778793293E-2</v>
      </c>
      <c r="H270" s="179">
        <v>3.55</v>
      </c>
      <c r="I270" s="179">
        <v>4.18</v>
      </c>
      <c r="K270" s="182">
        <v>4.4999999999999998E-2</v>
      </c>
      <c r="L270" s="182">
        <v>0.05</v>
      </c>
      <c r="N270" s="182">
        <v>4.7500000000000001E-2</v>
      </c>
      <c r="O270" s="182">
        <v>2.2499999999999999E-2</v>
      </c>
      <c r="Q270" s="182">
        <v>4.4999999999999998E-2</v>
      </c>
      <c r="R270" s="182">
        <v>4.7500000000000001E-2</v>
      </c>
      <c r="S270" s="182">
        <v>2.5000000000000001E-2</v>
      </c>
      <c r="T270" s="182">
        <v>2.5000000000000001E-2</v>
      </c>
      <c r="U270" s="182"/>
      <c r="V270" s="194">
        <v>0.05</v>
      </c>
      <c r="W270" s="194">
        <v>5.2000000000000005E-2</v>
      </c>
      <c r="X270" s="194">
        <v>2.8000000000000001E-2</v>
      </c>
      <c r="Y270" s="194">
        <v>2.9000000000000001E-2</v>
      </c>
      <c r="Z270" s="194"/>
      <c r="AA270" s="195">
        <v>4.9604010000000025E-2</v>
      </c>
      <c r="AB270" s="195">
        <v>5.2053209999999843E-2</v>
      </c>
      <c r="AC270" s="195">
        <v>2.8225876610947224E-2</v>
      </c>
      <c r="AD270" s="195">
        <v>2.9385565444526182E-2</v>
      </c>
      <c r="AE270" s="195"/>
      <c r="AF270" s="195">
        <v>1.0395640624954572E-2</v>
      </c>
      <c r="AG270" s="195">
        <v>1.1010279003516477E-2</v>
      </c>
      <c r="AI270" s="182">
        <v>3.5815062499999772E-2</v>
      </c>
      <c r="AJ270" s="182">
        <v>4.2236809999999902E-2</v>
      </c>
      <c r="AK270" s="182">
        <v>1.9494090000000019E-2</v>
      </c>
      <c r="AM270" s="7" t="s">
        <v>141</v>
      </c>
      <c r="AN270" s="7" t="b">
        <f t="shared" si="37"/>
        <v>0</v>
      </c>
      <c r="AP270" s="211">
        <v>-99</v>
      </c>
      <c r="AQ270" s="211">
        <v>-99</v>
      </c>
      <c r="AS270" s="211">
        <v>-99</v>
      </c>
      <c r="AT270" s="211">
        <v>-99</v>
      </c>
      <c r="AU270" s="211">
        <v>-99</v>
      </c>
      <c r="AV270" s="211">
        <v>-99</v>
      </c>
      <c r="AW270" s="211">
        <v>-99</v>
      </c>
      <c r="AX270" s="211">
        <v>-99</v>
      </c>
      <c r="AZ270" s="211">
        <v>-99</v>
      </c>
      <c r="BA270" s="211">
        <v>-99</v>
      </c>
      <c r="BB270" s="211">
        <v>-99</v>
      </c>
      <c r="BC270" s="211">
        <v>-99</v>
      </c>
      <c r="BD270" s="211">
        <v>-99</v>
      </c>
      <c r="BE270" s="211">
        <v>-99</v>
      </c>
      <c r="BG270" s="211">
        <v>-99</v>
      </c>
      <c r="BH270" s="211">
        <v>-99</v>
      </c>
      <c r="BI270" s="211">
        <v>-99</v>
      </c>
      <c r="BJ270" s="211">
        <v>-99</v>
      </c>
      <c r="BK270" s="211">
        <v>-99</v>
      </c>
      <c r="BL270" s="211">
        <v>-99</v>
      </c>
      <c r="BM270" s="211">
        <v>-99</v>
      </c>
      <c r="BN270" s="191">
        <f t="shared" si="38"/>
        <v>3.5815062499999772E-2</v>
      </c>
      <c r="BO270" s="191">
        <f t="shared" si="39"/>
        <v>4.2236809999999902E-2</v>
      </c>
      <c r="BP270" s="191">
        <f t="shared" si="40"/>
        <v>1.9494090000000019E-2</v>
      </c>
      <c r="BQ270" s="171">
        <f t="shared" si="41"/>
        <v>4.1399999999999999E-2</v>
      </c>
      <c r="BR270" s="171">
        <f t="shared" si="42"/>
        <v>7.2900000000000006E-2</v>
      </c>
      <c r="BS270" s="171">
        <f t="shared" si="43"/>
        <v>3.5499999999999997E-2</v>
      </c>
      <c r="BT270" s="171">
        <f t="shared" si="44"/>
        <v>4.1799999999999997E-2</v>
      </c>
      <c r="BU270" s="171">
        <f t="shared" si="45"/>
        <v>1.9400000000000001E-2</v>
      </c>
    </row>
    <row r="271" spans="1:73" x14ac:dyDescent="0.3">
      <c r="A271" s="209">
        <v>39508</v>
      </c>
      <c r="B271" s="187">
        <v>200803</v>
      </c>
      <c r="C271" s="176">
        <v>3.91</v>
      </c>
      <c r="D271" s="176">
        <v>7.19</v>
      </c>
      <c r="E271" s="176">
        <v>1.67</v>
      </c>
      <c r="F271" s="177">
        <v>112.6</v>
      </c>
      <c r="G271" s="210">
        <v>2.0985401459854058E-2</v>
      </c>
      <c r="H271" s="179">
        <v>3.13</v>
      </c>
      <c r="I271" s="179">
        <v>3.96</v>
      </c>
      <c r="K271" s="182">
        <v>4.4999999999999998E-2</v>
      </c>
      <c r="L271" s="182">
        <v>0.05</v>
      </c>
      <c r="N271" s="182">
        <v>4.7500000000000001E-2</v>
      </c>
      <c r="O271" s="182">
        <v>2.2499999999999999E-2</v>
      </c>
      <c r="Q271" s="182">
        <v>4.2500000000000003E-2</v>
      </c>
      <c r="R271" s="182">
        <v>0.05</v>
      </c>
      <c r="S271" s="182">
        <v>2.2499999999999999E-2</v>
      </c>
      <c r="T271" s="182">
        <v>2.5000000000000001E-2</v>
      </c>
      <c r="U271" s="182"/>
      <c r="V271" s="194">
        <v>4.5999999999999999E-2</v>
      </c>
      <c r="W271" s="194">
        <v>5.3999999999999999E-2</v>
      </c>
      <c r="X271" s="194">
        <v>2.6000000000000002E-2</v>
      </c>
      <c r="Y271" s="194">
        <v>0.03</v>
      </c>
      <c r="Z271" s="194"/>
      <c r="AA271" s="195">
        <v>4.5934889999999944E-2</v>
      </c>
      <c r="AB271" s="195">
        <v>5.4040908750000109E-2</v>
      </c>
      <c r="AC271" s="195">
        <v>2.635828675693478E-2</v>
      </c>
      <c r="AD271" s="195">
        <v>3.016787162153281E-2</v>
      </c>
      <c r="AE271" s="195"/>
      <c r="AF271" s="195">
        <v>9.5369246274236152E-3</v>
      </c>
      <c r="AG271" s="195">
        <v>1.158696450651775E-2</v>
      </c>
      <c r="AI271" s="182">
        <v>3.1544922499999961E-2</v>
      </c>
      <c r="AJ271" s="182">
        <v>3.9992040000000006E-2</v>
      </c>
      <c r="AK271" s="182">
        <v>1.6769722500000084E-2</v>
      </c>
      <c r="AM271" s="7" t="s">
        <v>141</v>
      </c>
      <c r="AN271" s="7" t="b">
        <f t="shared" si="37"/>
        <v>0</v>
      </c>
      <c r="AP271" s="211">
        <v>-99</v>
      </c>
      <c r="AQ271" s="211">
        <v>-99</v>
      </c>
      <c r="AS271" s="211">
        <v>-99</v>
      </c>
      <c r="AT271" s="211">
        <v>-99</v>
      </c>
      <c r="AU271" s="211">
        <v>-99</v>
      </c>
      <c r="AV271" s="211">
        <v>-99</v>
      </c>
      <c r="AW271" s="211">
        <v>-99</v>
      </c>
      <c r="AX271" s="211">
        <v>-99</v>
      </c>
      <c r="AZ271" s="211">
        <v>-99</v>
      </c>
      <c r="BA271" s="211">
        <v>-99</v>
      </c>
      <c r="BB271" s="211">
        <v>-99</v>
      </c>
      <c r="BC271" s="211">
        <v>-99</v>
      </c>
      <c r="BD271" s="211">
        <v>-99</v>
      </c>
      <c r="BE271" s="211">
        <v>-99</v>
      </c>
      <c r="BG271" s="211">
        <v>-99</v>
      </c>
      <c r="BH271" s="211">
        <v>-99</v>
      </c>
      <c r="BI271" s="211">
        <v>-99</v>
      </c>
      <c r="BJ271" s="211">
        <v>-99</v>
      </c>
      <c r="BK271" s="211">
        <v>-99</v>
      </c>
      <c r="BL271" s="211">
        <v>-99</v>
      </c>
      <c r="BM271" s="211">
        <v>-99</v>
      </c>
      <c r="BN271" s="191">
        <f t="shared" si="38"/>
        <v>3.1544922499999961E-2</v>
      </c>
      <c r="BO271" s="191">
        <f t="shared" si="39"/>
        <v>3.9992040000000006E-2</v>
      </c>
      <c r="BP271" s="191">
        <f t="shared" si="40"/>
        <v>1.6769722500000084E-2</v>
      </c>
      <c r="BQ271" s="171">
        <f t="shared" si="41"/>
        <v>3.9100000000000003E-2</v>
      </c>
      <c r="BR271" s="171">
        <f t="shared" si="42"/>
        <v>7.1900000000000006E-2</v>
      </c>
      <c r="BS271" s="171">
        <f t="shared" si="43"/>
        <v>3.1300000000000001E-2</v>
      </c>
      <c r="BT271" s="171">
        <f t="shared" si="44"/>
        <v>3.9599999999999996E-2</v>
      </c>
      <c r="BU271" s="171">
        <f t="shared" si="45"/>
        <v>1.67E-2</v>
      </c>
    </row>
    <row r="272" spans="1:73" x14ac:dyDescent="0.3">
      <c r="A272" s="209">
        <v>39539</v>
      </c>
      <c r="B272" s="187">
        <v>200804</v>
      </c>
      <c r="C272" s="176">
        <v>4.0199999999999996</v>
      </c>
      <c r="D272" s="176">
        <v>6.99</v>
      </c>
      <c r="E272" s="176">
        <v>1.72</v>
      </c>
      <c r="F272" s="177">
        <v>113.5</v>
      </c>
      <c r="G272" s="210">
        <v>2.0947176684881663E-2</v>
      </c>
      <c r="H272" s="179">
        <v>3.22</v>
      </c>
      <c r="I272" s="179">
        <v>4.08</v>
      </c>
      <c r="K272" s="182">
        <v>4.4999999999999998E-2</v>
      </c>
      <c r="L272" s="182">
        <v>0.05</v>
      </c>
      <c r="N272" s="182">
        <v>4.7500000000000001E-2</v>
      </c>
      <c r="O272" s="182">
        <v>2.2499999999999999E-2</v>
      </c>
      <c r="Q272" s="182">
        <v>0.04</v>
      </c>
      <c r="R272" s="182">
        <v>0.05</v>
      </c>
      <c r="S272" s="182">
        <v>2.2499999999999999E-2</v>
      </c>
      <c r="T272" s="182">
        <v>2.5000000000000001E-2</v>
      </c>
      <c r="U272" s="182"/>
      <c r="V272" s="194">
        <v>4.4999999999999998E-2</v>
      </c>
      <c r="W272" s="194">
        <v>5.3999999999999999E-2</v>
      </c>
      <c r="X272" s="194">
        <v>2.6000000000000002E-2</v>
      </c>
      <c r="Y272" s="194">
        <v>0.03</v>
      </c>
      <c r="Z272" s="194"/>
      <c r="AA272" s="195">
        <v>4.4815062499999773E-2</v>
      </c>
      <c r="AB272" s="195">
        <v>5.4447683749999969E-2</v>
      </c>
      <c r="AC272" s="195">
        <v>2.5530179521858373E-2</v>
      </c>
      <c r="AD272" s="195">
        <v>2.9976045239070846E-2</v>
      </c>
      <c r="AE272" s="195"/>
      <c r="AF272" s="195">
        <v>9.4023966155402094E-3</v>
      </c>
      <c r="AG272" s="195">
        <v>1.1879712457413927E-2</v>
      </c>
      <c r="AI272" s="182">
        <v>3.2459210000000072E-2</v>
      </c>
      <c r="AJ272" s="182">
        <v>4.1216160000000057E-2</v>
      </c>
      <c r="AK272" s="182">
        <v>1.7273959999999811E-2</v>
      </c>
      <c r="AM272" s="7" t="s">
        <v>141</v>
      </c>
      <c r="AN272" s="7" t="b">
        <f t="shared" si="37"/>
        <v>0</v>
      </c>
      <c r="AP272" s="211">
        <v>-99</v>
      </c>
      <c r="AQ272" s="211">
        <v>-99</v>
      </c>
      <c r="AS272" s="211">
        <v>-99</v>
      </c>
      <c r="AT272" s="211">
        <v>-99</v>
      </c>
      <c r="AU272" s="211">
        <v>-99</v>
      </c>
      <c r="AV272" s="211">
        <v>-99</v>
      </c>
      <c r="AW272" s="211">
        <v>-99</v>
      </c>
      <c r="AX272" s="211">
        <v>-99</v>
      </c>
      <c r="AZ272" s="211">
        <v>-99</v>
      </c>
      <c r="BA272" s="211">
        <v>-99</v>
      </c>
      <c r="BB272" s="211">
        <v>-99</v>
      </c>
      <c r="BC272" s="211">
        <v>-99</v>
      </c>
      <c r="BD272" s="211">
        <v>-99</v>
      </c>
      <c r="BE272" s="211">
        <v>-99</v>
      </c>
      <c r="BG272" s="211">
        <v>-99</v>
      </c>
      <c r="BH272" s="211">
        <v>-99</v>
      </c>
      <c r="BI272" s="211">
        <v>-99</v>
      </c>
      <c r="BJ272" s="211">
        <v>-99</v>
      </c>
      <c r="BK272" s="211">
        <v>-99</v>
      </c>
      <c r="BL272" s="211">
        <v>-99</v>
      </c>
      <c r="BM272" s="211">
        <v>-99</v>
      </c>
      <c r="BN272" s="191">
        <f t="shared" si="38"/>
        <v>3.2459210000000072E-2</v>
      </c>
      <c r="BO272" s="191">
        <f t="shared" si="39"/>
        <v>4.1216160000000057E-2</v>
      </c>
      <c r="BP272" s="191">
        <f t="shared" si="40"/>
        <v>1.7273959999999811E-2</v>
      </c>
      <c r="BQ272" s="171">
        <f t="shared" si="41"/>
        <v>4.0199999999999993E-2</v>
      </c>
      <c r="BR272" s="171">
        <f t="shared" si="42"/>
        <v>6.9900000000000004E-2</v>
      </c>
      <c r="BS272" s="171">
        <f t="shared" si="43"/>
        <v>3.2199999999999999E-2</v>
      </c>
      <c r="BT272" s="171">
        <f t="shared" si="44"/>
        <v>4.0800000000000003E-2</v>
      </c>
      <c r="BU272" s="171">
        <f t="shared" si="45"/>
        <v>1.72E-2</v>
      </c>
    </row>
    <row r="273" spans="1:73" x14ac:dyDescent="0.3">
      <c r="A273" s="209">
        <v>39569</v>
      </c>
      <c r="B273" s="187">
        <v>200805</v>
      </c>
      <c r="C273" s="176">
        <v>4.07</v>
      </c>
      <c r="D273" s="176">
        <v>6.65</v>
      </c>
      <c r="E273" s="176">
        <v>1.57</v>
      </c>
      <c r="F273" s="177">
        <v>114.6</v>
      </c>
      <c r="G273" s="210">
        <v>2.0909090909090988E-2</v>
      </c>
      <c r="H273" s="179">
        <v>3.49</v>
      </c>
      <c r="I273" s="179">
        <v>4.12</v>
      </c>
      <c r="K273" s="182">
        <v>0.04</v>
      </c>
      <c r="L273" s="182">
        <v>0.05</v>
      </c>
      <c r="N273" s="182">
        <v>4.4999999999999998E-2</v>
      </c>
      <c r="O273" s="182">
        <v>0.02</v>
      </c>
      <c r="Q273" s="182">
        <v>3.7499999999999999E-2</v>
      </c>
      <c r="R273" s="182">
        <v>0.05</v>
      </c>
      <c r="S273" s="182">
        <v>1.7500000000000002E-2</v>
      </c>
      <c r="T273" s="182">
        <v>2.2499999999999999E-2</v>
      </c>
      <c r="U273" s="182"/>
      <c r="V273" s="194">
        <v>4.1000000000000002E-2</v>
      </c>
      <c r="W273" s="194">
        <v>5.2999999999999999E-2</v>
      </c>
      <c r="X273" s="194">
        <v>2.1999999999999999E-2</v>
      </c>
      <c r="Y273" s="194">
        <v>2.8000000000000001E-2</v>
      </c>
      <c r="Z273" s="194"/>
      <c r="AA273" s="195">
        <v>4.0544922499999962E-2</v>
      </c>
      <c r="AB273" s="195">
        <v>5.321559875000003E-2</v>
      </c>
      <c r="AC273" s="195">
        <v>2.2227622212045401E-2</v>
      </c>
      <c r="AD273" s="195">
        <v>2.7540772643977425E-2</v>
      </c>
      <c r="AE273" s="195"/>
      <c r="AF273" s="195">
        <v>8.959501724438268E-3</v>
      </c>
      <c r="AG273" s="195">
        <v>1.2493336901833296E-2</v>
      </c>
      <c r="AI273" s="182">
        <v>3.5204502499999846E-2</v>
      </c>
      <c r="AJ273" s="182">
        <v>4.1624359999999916E-2</v>
      </c>
      <c r="AK273" s="182">
        <v>1.5761622499999906E-2</v>
      </c>
      <c r="AM273" s="7" t="s">
        <v>141</v>
      </c>
      <c r="AN273" s="7" t="b">
        <f t="shared" si="37"/>
        <v>0</v>
      </c>
      <c r="AP273" s="211">
        <v>-99</v>
      </c>
      <c r="AQ273" s="211">
        <v>-99</v>
      </c>
      <c r="AS273" s="211">
        <v>-99</v>
      </c>
      <c r="AT273" s="211">
        <v>-99</v>
      </c>
      <c r="AU273" s="211">
        <v>-99</v>
      </c>
      <c r="AV273" s="211">
        <v>-99</v>
      </c>
      <c r="AW273" s="211">
        <v>-99</v>
      </c>
      <c r="AX273" s="211">
        <v>-99</v>
      </c>
      <c r="AZ273" s="211">
        <v>-99</v>
      </c>
      <c r="BA273" s="211">
        <v>-99</v>
      </c>
      <c r="BB273" s="211">
        <v>-99</v>
      </c>
      <c r="BC273" s="211">
        <v>-99</v>
      </c>
      <c r="BD273" s="211">
        <v>-99</v>
      </c>
      <c r="BE273" s="211">
        <v>-99</v>
      </c>
      <c r="BG273" s="211">
        <v>-99</v>
      </c>
      <c r="BH273" s="211">
        <v>-99</v>
      </c>
      <c r="BI273" s="211">
        <v>-99</v>
      </c>
      <c r="BJ273" s="211">
        <v>-99</v>
      </c>
      <c r="BK273" s="211">
        <v>-99</v>
      </c>
      <c r="BL273" s="211">
        <v>-99</v>
      </c>
      <c r="BM273" s="211">
        <v>-99</v>
      </c>
      <c r="BN273" s="191">
        <f t="shared" si="38"/>
        <v>3.5204502499999846E-2</v>
      </c>
      <c r="BO273" s="191">
        <f t="shared" si="39"/>
        <v>4.1624359999999916E-2</v>
      </c>
      <c r="BP273" s="191">
        <f t="shared" si="40"/>
        <v>1.5761622499999906E-2</v>
      </c>
      <c r="BQ273" s="171">
        <f t="shared" si="41"/>
        <v>4.07E-2</v>
      </c>
      <c r="BR273" s="171">
        <f t="shared" si="42"/>
        <v>6.6500000000000004E-2</v>
      </c>
      <c r="BS273" s="171">
        <f t="shared" si="43"/>
        <v>3.49E-2</v>
      </c>
      <c r="BT273" s="171">
        <f t="shared" si="44"/>
        <v>4.1200000000000001E-2</v>
      </c>
      <c r="BU273" s="171">
        <f t="shared" si="45"/>
        <v>1.5700000000000002E-2</v>
      </c>
    </row>
    <row r="274" spans="1:73" x14ac:dyDescent="0.3">
      <c r="A274" s="209">
        <v>39600</v>
      </c>
      <c r="B274" s="187">
        <v>200806</v>
      </c>
      <c r="C274" s="176">
        <v>4.07</v>
      </c>
      <c r="D274" s="176">
        <v>7.15</v>
      </c>
      <c r="E274" s="176">
        <v>1.45</v>
      </c>
      <c r="F274" s="177">
        <v>115.4</v>
      </c>
      <c r="G274" s="210">
        <v>2.1778584392014411E-2</v>
      </c>
      <c r="H274" s="179">
        <v>3.55</v>
      </c>
      <c r="I274" s="179">
        <v>4.05</v>
      </c>
      <c r="K274" s="182">
        <v>4.4999999999999998E-2</v>
      </c>
      <c r="L274" s="182">
        <v>4.4999999999999998E-2</v>
      </c>
      <c r="N274" s="182">
        <v>4.4999999999999998E-2</v>
      </c>
      <c r="O274" s="182">
        <v>0.02</v>
      </c>
      <c r="Q274" s="182">
        <v>3.7499999999999999E-2</v>
      </c>
      <c r="R274" s="182">
        <v>0.05</v>
      </c>
      <c r="S274" s="182">
        <v>1.7500000000000002E-2</v>
      </c>
      <c r="T274" s="182">
        <v>2.5000000000000001E-2</v>
      </c>
      <c r="U274" s="182"/>
      <c r="V274" s="194">
        <v>4.1000000000000002E-2</v>
      </c>
      <c r="W274" s="194">
        <v>5.5E-2</v>
      </c>
      <c r="X274" s="194">
        <v>2.3E-2</v>
      </c>
      <c r="Y274" s="194">
        <v>2.8000000000000001E-2</v>
      </c>
      <c r="Z274" s="194"/>
      <c r="AA274" s="195">
        <v>4.1459210000000073E-2</v>
      </c>
      <c r="AB274" s="195">
        <v>5.4594635000000051E-2</v>
      </c>
      <c r="AC274" s="195">
        <v>2.2603865454025662E-2</v>
      </c>
      <c r="AD274" s="195">
        <v>2.8109007272986888E-2</v>
      </c>
      <c r="AE274" s="195"/>
      <c r="AF274" s="195">
        <v>9.2192808882072264E-3</v>
      </c>
      <c r="AG274" s="195">
        <v>1.2880748801756492E-2</v>
      </c>
      <c r="AI274" s="182">
        <v>3.5815062499999772E-2</v>
      </c>
      <c r="AJ274" s="182">
        <v>4.0910062500000288E-2</v>
      </c>
      <c r="AK274" s="182">
        <v>1.4552562500000032E-2</v>
      </c>
      <c r="AM274" s="7" t="s">
        <v>141</v>
      </c>
      <c r="AN274" s="7" t="b">
        <f t="shared" si="37"/>
        <v>0</v>
      </c>
      <c r="AP274" s="211">
        <v>-99</v>
      </c>
      <c r="AQ274" s="211">
        <v>-99</v>
      </c>
      <c r="AS274" s="211">
        <v>-99</v>
      </c>
      <c r="AT274" s="211">
        <v>-99</v>
      </c>
      <c r="AU274" s="211">
        <v>-99</v>
      </c>
      <c r="AV274" s="211">
        <v>-99</v>
      </c>
      <c r="AW274" s="211">
        <v>-99</v>
      </c>
      <c r="AX274" s="211">
        <v>-99</v>
      </c>
      <c r="AZ274" s="211">
        <v>-99</v>
      </c>
      <c r="BA274" s="211">
        <v>-99</v>
      </c>
      <c r="BB274" s="211">
        <v>-99</v>
      </c>
      <c r="BC274" s="211">
        <v>-99</v>
      </c>
      <c r="BD274" s="211">
        <v>-99</v>
      </c>
      <c r="BE274" s="211">
        <v>-99</v>
      </c>
      <c r="BG274" s="211">
        <v>-99</v>
      </c>
      <c r="BH274" s="211">
        <v>-99</v>
      </c>
      <c r="BI274" s="211">
        <v>-99</v>
      </c>
      <c r="BJ274" s="211">
        <v>-99</v>
      </c>
      <c r="BK274" s="211">
        <v>-99</v>
      </c>
      <c r="BL274" s="211">
        <v>-99</v>
      </c>
      <c r="BM274" s="211">
        <v>-99</v>
      </c>
      <c r="BN274" s="191">
        <f t="shared" si="38"/>
        <v>3.5815062499999772E-2</v>
      </c>
      <c r="BO274" s="191">
        <f t="shared" si="39"/>
        <v>4.0910062500000288E-2</v>
      </c>
      <c r="BP274" s="191">
        <f t="shared" si="40"/>
        <v>1.4552562500000032E-2</v>
      </c>
      <c r="BQ274" s="171">
        <f t="shared" si="41"/>
        <v>4.07E-2</v>
      </c>
      <c r="BR274" s="171">
        <f t="shared" si="42"/>
        <v>7.1500000000000008E-2</v>
      </c>
      <c r="BS274" s="171">
        <f t="shared" si="43"/>
        <v>3.5499999999999997E-2</v>
      </c>
      <c r="BT274" s="171">
        <f t="shared" si="44"/>
        <v>4.0500000000000001E-2</v>
      </c>
      <c r="BU274" s="171">
        <f t="shared" si="45"/>
        <v>1.4499999999999999E-2</v>
      </c>
    </row>
    <row r="275" spans="1:73" x14ac:dyDescent="0.3">
      <c r="A275" s="209">
        <v>39630</v>
      </c>
      <c r="B275" s="187">
        <v>200807</v>
      </c>
      <c r="C275" s="176">
        <v>4.18</v>
      </c>
      <c r="D275" s="176">
        <v>7.15</v>
      </c>
      <c r="E275" s="176">
        <v>1.6</v>
      </c>
      <c r="F275" s="177">
        <v>115.8</v>
      </c>
      <c r="G275" s="210">
        <v>2.2644927536231929E-2</v>
      </c>
      <c r="H275" s="179">
        <v>3.57</v>
      </c>
      <c r="I275" s="179">
        <v>4.16</v>
      </c>
      <c r="K275" s="182">
        <v>4.4999999999999998E-2</v>
      </c>
      <c r="L275" s="182">
        <v>4.4999999999999998E-2</v>
      </c>
      <c r="N275" s="182">
        <v>4.4999999999999998E-2</v>
      </c>
      <c r="O275" s="182">
        <v>1.7500000000000002E-2</v>
      </c>
      <c r="Q275" s="182">
        <v>0.04</v>
      </c>
      <c r="R275" s="182">
        <v>0.05</v>
      </c>
      <c r="S275" s="182">
        <v>1.7500000000000002E-2</v>
      </c>
      <c r="T275" s="182">
        <v>2.2499999999999999E-2</v>
      </c>
      <c r="U275" s="182"/>
      <c r="V275" s="194">
        <v>4.3999999999999997E-2</v>
      </c>
      <c r="W275" s="194">
        <v>5.3999999999999999E-2</v>
      </c>
      <c r="X275" s="194">
        <v>2.1999999999999999E-2</v>
      </c>
      <c r="Y275" s="194">
        <v>2.6000000000000002E-2</v>
      </c>
      <c r="Z275" s="194"/>
      <c r="AA275" s="195">
        <v>4.4204502499999847E-2</v>
      </c>
      <c r="AB275" s="195">
        <v>5.3834288749999952E-2</v>
      </c>
      <c r="AC275" s="195">
        <v>2.2330657305128575E-2</v>
      </c>
      <c r="AD275" s="195">
        <v>2.5977105097435574E-2</v>
      </c>
      <c r="AE275" s="195"/>
      <c r="AF275" s="195">
        <v>1.0698028587214026E-2</v>
      </c>
      <c r="AG275" s="195">
        <v>1.3575928504719781E-2</v>
      </c>
      <c r="AI275" s="182">
        <v>3.6018622499999875E-2</v>
      </c>
      <c r="AJ275" s="182">
        <v>4.2032639999999954E-2</v>
      </c>
      <c r="AK275" s="182">
        <v>1.6064000000000078E-2</v>
      </c>
      <c r="AM275" s="7" t="s">
        <v>141</v>
      </c>
      <c r="AN275" s="7" t="b">
        <f t="shared" si="37"/>
        <v>0</v>
      </c>
      <c r="AP275" s="211">
        <v>-99</v>
      </c>
      <c r="AQ275" s="211">
        <v>-99</v>
      </c>
      <c r="AS275" s="211">
        <v>-99</v>
      </c>
      <c r="AT275" s="211">
        <v>-99</v>
      </c>
      <c r="AU275" s="211">
        <v>-99</v>
      </c>
      <c r="AV275" s="211">
        <v>-99</v>
      </c>
      <c r="AW275" s="211">
        <v>-99</v>
      </c>
      <c r="AX275" s="211">
        <v>-99</v>
      </c>
      <c r="AZ275" s="211">
        <v>-99</v>
      </c>
      <c r="BA275" s="211">
        <v>-99</v>
      </c>
      <c r="BB275" s="211">
        <v>-99</v>
      </c>
      <c r="BC275" s="211">
        <v>-99</v>
      </c>
      <c r="BD275" s="211">
        <v>-99</v>
      </c>
      <c r="BE275" s="211">
        <v>-99</v>
      </c>
      <c r="BG275" s="211">
        <v>-99</v>
      </c>
      <c r="BH275" s="211">
        <v>-99</v>
      </c>
      <c r="BI275" s="211">
        <v>-99</v>
      </c>
      <c r="BJ275" s="211">
        <v>-99</v>
      </c>
      <c r="BK275" s="211">
        <v>-99</v>
      </c>
      <c r="BL275" s="211">
        <v>-99</v>
      </c>
      <c r="BM275" s="211">
        <v>-99</v>
      </c>
      <c r="BN275" s="191">
        <f t="shared" si="38"/>
        <v>3.6018622499999875E-2</v>
      </c>
      <c r="BO275" s="191">
        <f t="shared" si="39"/>
        <v>4.2032639999999954E-2</v>
      </c>
      <c r="BP275" s="191">
        <f t="shared" si="40"/>
        <v>1.6064000000000078E-2</v>
      </c>
      <c r="BQ275" s="171">
        <f t="shared" si="41"/>
        <v>4.1799999999999997E-2</v>
      </c>
      <c r="BR275" s="171">
        <f t="shared" si="42"/>
        <v>7.1500000000000008E-2</v>
      </c>
      <c r="BS275" s="171">
        <f t="shared" si="43"/>
        <v>3.5699999999999996E-2</v>
      </c>
      <c r="BT275" s="171">
        <f t="shared" si="44"/>
        <v>4.1599999999999998E-2</v>
      </c>
      <c r="BU275" s="171">
        <f t="shared" si="45"/>
        <v>1.6E-2</v>
      </c>
    </row>
    <row r="276" spans="1:73" x14ac:dyDescent="0.3">
      <c r="A276" s="209">
        <v>39661</v>
      </c>
      <c r="B276" s="187">
        <v>200808</v>
      </c>
      <c r="C276" s="176">
        <v>4.0199999999999996</v>
      </c>
      <c r="D276" s="176">
        <v>6.85</v>
      </c>
      <c r="E276" s="176">
        <v>1.53</v>
      </c>
      <c r="F276" s="177">
        <v>115.8</v>
      </c>
      <c r="G276" s="210">
        <v>2.4412296564195302E-2</v>
      </c>
      <c r="H276" s="179">
        <v>3.25</v>
      </c>
      <c r="I276" s="179">
        <v>4.01</v>
      </c>
      <c r="K276" s="182">
        <v>4.4999999999999998E-2</v>
      </c>
      <c r="L276" s="182">
        <v>4.4999999999999998E-2</v>
      </c>
      <c r="N276" s="182">
        <v>4.4999999999999998E-2</v>
      </c>
      <c r="O276" s="182">
        <v>1.7500000000000002E-2</v>
      </c>
      <c r="Q276" s="182">
        <v>0.04</v>
      </c>
      <c r="R276" s="182">
        <v>4.7500000000000001E-2</v>
      </c>
      <c r="S276" s="182">
        <v>1.7500000000000002E-2</v>
      </c>
      <c r="T276" s="182">
        <v>0.02</v>
      </c>
      <c r="U276" s="182"/>
      <c r="V276" s="194">
        <v>4.4999999999999998E-2</v>
      </c>
      <c r="W276" s="194">
        <v>5.2000000000000005E-2</v>
      </c>
      <c r="X276" s="194">
        <v>2.1999999999999999E-2</v>
      </c>
      <c r="Y276" s="194">
        <v>2.4E-2</v>
      </c>
      <c r="Z276" s="194"/>
      <c r="AA276" s="195">
        <v>4.4815062499999773E-2</v>
      </c>
      <c r="AB276" s="195">
        <v>5.2457562500000547E-2</v>
      </c>
      <c r="AC276" s="195">
        <v>2.174016473264128E-2</v>
      </c>
      <c r="AD276" s="195">
        <v>2.445876138367941E-2</v>
      </c>
      <c r="AE276" s="195"/>
      <c r="AF276" s="195">
        <v>1.1291959817101072E-2</v>
      </c>
      <c r="AG276" s="195">
        <v>1.3665167487320273E-2</v>
      </c>
      <c r="AI276" s="182">
        <v>3.2764062500000302E-2</v>
      </c>
      <c r="AJ276" s="182">
        <v>4.0502002499999801E-2</v>
      </c>
      <c r="AK276" s="182">
        <v>1.5358522499999916E-2</v>
      </c>
      <c r="AM276" s="7" t="s">
        <v>141</v>
      </c>
      <c r="AN276" s="7" t="b">
        <f t="shared" si="37"/>
        <v>0</v>
      </c>
      <c r="AP276" s="211">
        <v>-99</v>
      </c>
      <c r="AQ276" s="211">
        <v>-99</v>
      </c>
      <c r="AS276" s="211">
        <v>-99</v>
      </c>
      <c r="AT276" s="211">
        <v>-99</v>
      </c>
      <c r="AU276" s="211">
        <v>-99</v>
      </c>
      <c r="AV276" s="211">
        <v>-99</v>
      </c>
      <c r="AW276" s="211">
        <v>-99</v>
      </c>
      <c r="AX276" s="211">
        <v>-99</v>
      </c>
      <c r="AZ276" s="211">
        <v>-99</v>
      </c>
      <c r="BA276" s="211">
        <v>-99</v>
      </c>
      <c r="BB276" s="211">
        <v>-99</v>
      </c>
      <c r="BC276" s="211">
        <v>-99</v>
      </c>
      <c r="BD276" s="211">
        <v>-99</v>
      </c>
      <c r="BE276" s="211">
        <v>-99</v>
      </c>
      <c r="BG276" s="211">
        <v>-99</v>
      </c>
      <c r="BH276" s="211">
        <v>-99</v>
      </c>
      <c r="BI276" s="211">
        <v>-99</v>
      </c>
      <c r="BJ276" s="211">
        <v>-99</v>
      </c>
      <c r="BK276" s="211">
        <v>-99</v>
      </c>
      <c r="BL276" s="211">
        <v>-99</v>
      </c>
      <c r="BM276" s="211">
        <v>-99</v>
      </c>
      <c r="BN276" s="191">
        <f t="shared" si="38"/>
        <v>3.2764062500000302E-2</v>
      </c>
      <c r="BO276" s="191">
        <f t="shared" si="39"/>
        <v>4.0502002499999801E-2</v>
      </c>
      <c r="BP276" s="191">
        <f t="shared" si="40"/>
        <v>1.5358522499999916E-2</v>
      </c>
      <c r="BQ276" s="171">
        <f t="shared" si="41"/>
        <v>4.0199999999999993E-2</v>
      </c>
      <c r="BR276" s="171">
        <f t="shared" si="42"/>
        <v>6.8499999999999991E-2</v>
      </c>
      <c r="BS276" s="171">
        <f t="shared" si="43"/>
        <v>3.2500000000000001E-2</v>
      </c>
      <c r="BT276" s="171">
        <f t="shared" si="44"/>
        <v>4.0099999999999997E-2</v>
      </c>
      <c r="BU276" s="171">
        <f t="shared" si="45"/>
        <v>1.5300000000000001E-2</v>
      </c>
    </row>
    <row r="277" spans="1:73" x14ac:dyDescent="0.3">
      <c r="A277" s="209">
        <v>39692</v>
      </c>
      <c r="B277" s="187">
        <v>200809</v>
      </c>
      <c r="C277" s="176">
        <v>4.1399999999999997</v>
      </c>
      <c r="D277" s="176">
        <v>6.85</v>
      </c>
      <c r="E277" s="176">
        <v>2.06</v>
      </c>
      <c r="F277" s="177">
        <v>115.7</v>
      </c>
      <c r="G277" s="210">
        <v>2.5270758122743597E-2</v>
      </c>
      <c r="H277" s="179">
        <v>3.41</v>
      </c>
      <c r="I277" s="179">
        <v>4.13</v>
      </c>
      <c r="K277" s="182">
        <v>4.4999999999999998E-2</v>
      </c>
      <c r="L277" s="182">
        <v>4.4999999999999998E-2</v>
      </c>
      <c r="N277" s="182">
        <v>4.7500000000000001E-2</v>
      </c>
      <c r="O277" s="182">
        <v>1.7500000000000002E-2</v>
      </c>
      <c r="Q277" s="182">
        <v>0.04</v>
      </c>
      <c r="R277" s="182">
        <v>0.05</v>
      </c>
      <c r="S277" s="182">
        <v>0.02</v>
      </c>
      <c r="T277" s="182">
        <v>2.2499999999999999E-2</v>
      </c>
      <c r="U277" s="182"/>
      <c r="V277" s="194">
        <v>4.4999999999999998E-2</v>
      </c>
      <c r="W277" s="194">
        <v>5.3999999999999999E-2</v>
      </c>
      <c r="X277" s="194">
        <v>2.3E-2</v>
      </c>
      <c r="Y277" s="194">
        <v>2.6000000000000002E-2</v>
      </c>
      <c r="Z277" s="194"/>
      <c r="AA277" s="195">
        <v>4.5018622499999876E-2</v>
      </c>
      <c r="AB277" s="195">
        <v>5.4039648749999995E-2</v>
      </c>
      <c r="AC277" s="195">
        <v>2.276556770738173E-2</v>
      </c>
      <c r="AD277" s="195">
        <v>2.6213216146309254E-2</v>
      </c>
      <c r="AE277" s="195"/>
      <c r="AF277" s="195">
        <v>1.0878863883978962E-2</v>
      </c>
      <c r="AG277" s="195">
        <v>1.3557822178604351E-2</v>
      </c>
      <c r="AI277" s="182">
        <v>3.4390702500000092E-2</v>
      </c>
      <c r="AJ277" s="182">
        <v>4.1726422500000027E-2</v>
      </c>
      <c r="AK277" s="182">
        <v>2.070609000000001E-2</v>
      </c>
      <c r="AM277" s="7" t="s">
        <v>141</v>
      </c>
      <c r="AN277" s="7" t="b">
        <f t="shared" si="37"/>
        <v>0</v>
      </c>
      <c r="AP277" s="211">
        <v>-99</v>
      </c>
      <c r="AQ277" s="211">
        <v>-99</v>
      </c>
      <c r="AS277" s="211">
        <v>-99</v>
      </c>
      <c r="AT277" s="211">
        <v>-99</v>
      </c>
      <c r="AU277" s="211">
        <v>-99</v>
      </c>
      <c r="AV277" s="211">
        <v>-99</v>
      </c>
      <c r="AW277" s="211">
        <v>-99</v>
      </c>
      <c r="AX277" s="211">
        <v>-99</v>
      </c>
      <c r="AZ277" s="211">
        <v>-99</v>
      </c>
      <c r="BA277" s="211">
        <v>-99</v>
      </c>
      <c r="BB277" s="211">
        <v>-99</v>
      </c>
      <c r="BC277" s="211">
        <v>-99</v>
      </c>
      <c r="BD277" s="211">
        <v>-99</v>
      </c>
      <c r="BE277" s="211">
        <v>-99</v>
      </c>
      <c r="BG277" s="211">
        <v>-99</v>
      </c>
      <c r="BH277" s="211">
        <v>-99</v>
      </c>
      <c r="BI277" s="211">
        <v>-99</v>
      </c>
      <c r="BJ277" s="211">
        <v>-99</v>
      </c>
      <c r="BK277" s="211">
        <v>-99</v>
      </c>
      <c r="BL277" s="211">
        <v>-99</v>
      </c>
      <c r="BM277" s="211">
        <v>-99</v>
      </c>
      <c r="BN277" s="191">
        <f t="shared" si="38"/>
        <v>3.4390702500000092E-2</v>
      </c>
      <c r="BO277" s="191">
        <f t="shared" si="39"/>
        <v>4.1726422500000027E-2</v>
      </c>
      <c r="BP277" s="191">
        <f t="shared" si="40"/>
        <v>2.070609000000001E-2</v>
      </c>
      <c r="BQ277" s="171">
        <f t="shared" si="41"/>
        <v>4.1399999999999999E-2</v>
      </c>
      <c r="BR277" s="171">
        <f t="shared" si="42"/>
        <v>6.8499999999999991E-2</v>
      </c>
      <c r="BS277" s="171">
        <f t="shared" si="43"/>
        <v>3.4099999999999998E-2</v>
      </c>
      <c r="BT277" s="171">
        <f t="shared" si="44"/>
        <v>4.1299999999999996E-2</v>
      </c>
      <c r="BU277" s="171">
        <f t="shared" si="45"/>
        <v>2.06E-2</v>
      </c>
    </row>
    <row r="278" spans="1:73" x14ac:dyDescent="0.3">
      <c r="A278" s="209">
        <v>39722</v>
      </c>
      <c r="B278" s="187">
        <v>200810</v>
      </c>
      <c r="C278" s="176">
        <v>4.3099999999999996</v>
      </c>
      <c r="D278" s="176">
        <v>7.2</v>
      </c>
      <c r="E278" s="176">
        <v>2.4900000000000002</v>
      </c>
      <c r="F278" s="177">
        <v>114.5</v>
      </c>
      <c r="G278" s="210">
        <v>2.522522522522519E-2</v>
      </c>
      <c r="H278" s="179">
        <v>3.27</v>
      </c>
      <c r="I278" s="179">
        <v>4.2699999999999996</v>
      </c>
      <c r="K278" s="182">
        <v>4.4999999999999998E-2</v>
      </c>
      <c r="L278" s="182">
        <v>0.04</v>
      </c>
      <c r="N278" s="182">
        <v>4.4999999999999998E-2</v>
      </c>
      <c r="O278" s="182">
        <v>1.7500000000000002E-2</v>
      </c>
      <c r="Q278" s="182">
        <v>3.7499999999999999E-2</v>
      </c>
      <c r="R278" s="182">
        <v>0.05</v>
      </c>
      <c r="S278" s="182">
        <v>1.7500000000000002E-2</v>
      </c>
      <c r="T278" s="182">
        <v>2.2499999999999999E-2</v>
      </c>
      <c r="U278" s="182"/>
      <c r="V278" s="194">
        <v>4.2000000000000003E-2</v>
      </c>
      <c r="W278" s="194">
        <v>5.2999999999999999E-2</v>
      </c>
      <c r="X278" s="194">
        <v>2.1000000000000001E-2</v>
      </c>
      <c r="Y278" s="194">
        <v>2.6000000000000002E-2</v>
      </c>
      <c r="Z278" s="194"/>
      <c r="AA278" s="195">
        <v>4.1764062500000303E-2</v>
      </c>
      <c r="AB278" s="195">
        <v>5.3370972499999551E-2</v>
      </c>
      <c r="AC278" s="195">
        <v>2.1424264481679903E-2</v>
      </c>
      <c r="AD278" s="195">
        <v>2.5825651509159924E-2</v>
      </c>
      <c r="AE278" s="195"/>
      <c r="AF278" s="195">
        <v>9.9565864673488713E-3</v>
      </c>
      <c r="AG278" s="195">
        <v>1.3425927178909891E-2</v>
      </c>
      <c r="AI278" s="182">
        <v>3.2967322500000229E-2</v>
      </c>
      <c r="AJ278" s="182">
        <v>4.3155822499999941E-2</v>
      </c>
      <c r="AK278" s="182">
        <v>2.5055002500000256E-2</v>
      </c>
      <c r="AM278" s="7" t="s">
        <v>141</v>
      </c>
      <c r="AN278" s="7" t="b">
        <f t="shared" si="37"/>
        <v>0</v>
      </c>
      <c r="AP278" s="211">
        <v>-99</v>
      </c>
      <c r="AQ278" s="211">
        <v>-99</v>
      </c>
      <c r="AS278" s="211">
        <v>-99</v>
      </c>
      <c r="AT278" s="211">
        <v>-99</v>
      </c>
      <c r="AU278" s="211">
        <v>-99</v>
      </c>
      <c r="AV278" s="211">
        <v>-99</v>
      </c>
      <c r="AW278" s="211">
        <v>-99</v>
      </c>
      <c r="AX278" s="211">
        <v>-99</v>
      </c>
      <c r="AZ278" s="211">
        <v>-99</v>
      </c>
      <c r="BA278" s="211">
        <v>-99</v>
      </c>
      <c r="BB278" s="211">
        <v>-99</v>
      </c>
      <c r="BC278" s="211">
        <v>-99</v>
      </c>
      <c r="BD278" s="211">
        <v>-99</v>
      </c>
      <c r="BE278" s="211">
        <v>-99</v>
      </c>
      <c r="BG278" s="211">
        <v>-99</v>
      </c>
      <c r="BH278" s="211">
        <v>-99</v>
      </c>
      <c r="BI278" s="211">
        <v>-99</v>
      </c>
      <c r="BJ278" s="211">
        <v>-99</v>
      </c>
      <c r="BK278" s="211">
        <v>-99</v>
      </c>
      <c r="BL278" s="211">
        <v>-99</v>
      </c>
      <c r="BM278" s="211">
        <v>-99</v>
      </c>
      <c r="BN278" s="191">
        <f t="shared" si="38"/>
        <v>3.2967322500000229E-2</v>
      </c>
      <c r="BO278" s="191">
        <f t="shared" si="39"/>
        <v>4.3155822499999941E-2</v>
      </c>
      <c r="BP278" s="191">
        <f t="shared" si="40"/>
        <v>2.5055002500000256E-2</v>
      </c>
      <c r="BQ278" s="171">
        <f t="shared" si="41"/>
        <v>4.3099999999999999E-2</v>
      </c>
      <c r="BR278" s="171">
        <f t="shared" si="42"/>
        <v>7.2000000000000008E-2</v>
      </c>
      <c r="BS278" s="171">
        <f t="shared" si="43"/>
        <v>3.27E-2</v>
      </c>
      <c r="BT278" s="171">
        <f t="shared" si="44"/>
        <v>4.2699999999999995E-2</v>
      </c>
      <c r="BU278" s="171">
        <f t="shared" si="45"/>
        <v>2.4900000000000002E-2</v>
      </c>
    </row>
    <row r="279" spans="1:73" x14ac:dyDescent="0.3">
      <c r="A279" s="209">
        <v>39753</v>
      </c>
      <c r="B279" s="187">
        <v>200811</v>
      </c>
      <c r="C279" s="176">
        <v>4</v>
      </c>
      <c r="D279" s="176">
        <v>7.2</v>
      </c>
      <c r="E279" s="176">
        <v>2.68</v>
      </c>
      <c r="F279" s="177">
        <v>114.1</v>
      </c>
      <c r="G279" s="210">
        <v>2.5179856115107979E-2</v>
      </c>
      <c r="H279" s="179">
        <v>2.87</v>
      </c>
      <c r="I279" s="179">
        <v>3.94</v>
      </c>
      <c r="K279" s="182">
        <v>4.4999999999999998E-2</v>
      </c>
      <c r="L279" s="182">
        <v>0.04</v>
      </c>
      <c r="N279" s="182">
        <v>4.7500000000000001E-2</v>
      </c>
      <c r="O279" s="182">
        <v>2.2499999999999999E-2</v>
      </c>
      <c r="Q279" s="182">
        <v>0.04</v>
      </c>
      <c r="R279" s="182">
        <v>0.05</v>
      </c>
      <c r="S279" s="182">
        <v>2.2499999999999999E-2</v>
      </c>
      <c r="T279" s="182">
        <v>2.75E-2</v>
      </c>
      <c r="U279" s="182"/>
      <c r="V279" s="194">
        <v>4.3000000000000003E-2</v>
      </c>
      <c r="W279" s="194">
        <v>5.3999999999999999E-2</v>
      </c>
      <c r="X279" s="194">
        <v>2.6000000000000002E-2</v>
      </c>
      <c r="Y279" s="194">
        <v>3.2000000000000001E-2</v>
      </c>
      <c r="Z279" s="194"/>
      <c r="AA279" s="195">
        <v>4.3390702500000093E-2</v>
      </c>
      <c r="AB279" s="195">
        <v>5.4394282499999995E-2</v>
      </c>
      <c r="AC279" s="195">
        <v>2.606585272505034E-2</v>
      </c>
      <c r="AD279" s="195">
        <v>3.1526208637474851E-2</v>
      </c>
      <c r="AE279" s="195"/>
      <c r="AF279" s="195">
        <v>8.4423673826284906E-3</v>
      </c>
      <c r="AG279" s="195">
        <v>1.1084582083828565E-2</v>
      </c>
      <c r="AI279" s="182">
        <v>2.8905922500000125E-2</v>
      </c>
      <c r="AJ279" s="182">
        <v>3.9788090000000054E-2</v>
      </c>
      <c r="AK279" s="182">
        <v>2.6979560000000236E-2</v>
      </c>
      <c r="AM279" s="7" t="s">
        <v>141</v>
      </c>
      <c r="AN279" s="7" t="b">
        <f t="shared" si="37"/>
        <v>0</v>
      </c>
      <c r="AP279" s="211">
        <v>-99</v>
      </c>
      <c r="AQ279" s="211">
        <v>-99</v>
      </c>
      <c r="AS279" s="211">
        <v>-99</v>
      </c>
      <c r="AT279" s="211">
        <v>-99</v>
      </c>
      <c r="AU279" s="211">
        <v>-99</v>
      </c>
      <c r="AV279" s="211">
        <v>-99</v>
      </c>
      <c r="AW279" s="211">
        <v>-99</v>
      </c>
      <c r="AX279" s="211">
        <v>-99</v>
      </c>
      <c r="AZ279" s="211">
        <v>-99</v>
      </c>
      <c r="BA279" s="211">
        <v>-99</v>
      </c>
      <c r="BB279" s="211">
        <v>-99</v>
      </c>
      <c r="BC279" s="211">
        <v>-99</v>
      </c>
      <c r="BD279" s="211">
        <v>-99</v>
      </c>
      <c r="BE279" s="211">
        <v>-99</v>
      </c>
      <c r="BG279" s="211">
        <v>-99</v>
      </c>
      <c r="BH279" s="211">
        <v>-99</v>
      </c>
      <c r="BI279" s="211">
        <v>-99</v>
      </c>
      <c r="BJ279" s="211">
        <v>-99</v>
      </c>
      <c r="BK279" s="211">
        <v>-99</v>
      </c>
      <c r="BL279" s="211">
        <v>-99</v>
      </c>
      <c r="BM279" s="211">
        <v>-99</v>
      </c>
      <c r="BN279" s="191">
        <f t="shared" si="38"/>
        <v>2.8905922500000125E-2</v>
      </c>
      <c r="BO279" s="191">
        <f t="shared" si="39"/>
        <v>3.9788090000000054E-2</v>
      </c>
      <c r="BP279" s="191">
        <f t="shared" si="40"/>
        <v>2.6979560000000236E-2</v>
      </c>
      <c r="BQ279" s="171">
        <f t="shared" si="41"/>
        <v>0.04</v>
      </c>
      <c r="BR279" s="171">
        <f t="shared" si="42"/>
        <v>7.2000000000000008E-2</v>
      </c>
      <c r="BS279" s="171">
        <f t="shared" si="43"/>
        <v>2.87E-2</v>
      </c>
      <c r="BT279" s="171">
        <f t="shared" si="44"/>
        <v>3.9399999999999998E-2</v>
      </c>
      <c r="BU279" s="171">
        <f t="shared" si="45"/>
        <v>2.6800000000000001E-2</v>
      </c>
    </row>
    <row r="280" spans="1:73" x14ac:dyDescent="0.3">
      <c r="A280" s="209">
        <v>39783</v>
      </c>
      <c r="B280" s="187">
        <v>200812</v>
      </c>
      <c r="C280" s="176">
        <v>3.45</v>
      </c>
      <c r="D280" s="176">
        <v>6.75</v>
      </c>
      <c r="E280" s="176">
        <v>2.1</v>
      </c>
      <c r="F280" s="177">
        <v>113.3</v>
      </c>
      <c r="G280" s="210">
        <v>2.3318385650224149E-2</v>
      </c>
      <c r="H280" s="179">
        <v>2.13</v>
      </c>
      <c r="I280" s="179">
        <v>3.45</v>
      </c>
      <c r="K280" s="182">
        <v>4.4999999999999998E-2</v>
      </c>
      <c r="L280" s="182">
        <v>4.4999999999999998E-2</v>
      </c>
      <c r="N280" s="182">
        <v>4.7500000000000001E-2</v>
      </c>
      <c r="O280" s="182">
        <v>2.75E-2</v>
      </c>
      <c r="Q280" s="182">
        <v>3.7499999999999999E-2</v>
      </c>
      <c r="R280" s="182">
        <v>5.2499999999999998E-2</v>
      </c>
      <c r="S280" s="182">
        <v>2.5000000000000001E-2</v>
      </c>
      <c r="T280" s="182">
        <v>3.2500000000000001E-2</v>
      </c>
      <c r="U280" s="182"/>
      <c r="V280" s="194">
        <v>4.2000000000000003E-2</v>
      </c>
      <c r="W280" s="194">
        <v>5.7000000000000002E-2</v>
      </c>
      <c r="X280" s="194">
        <v>2.8000000000000001E-2</v>
      </c>
      <c r="Y280" s="194">
        <v>3.6999999999999998E-2</v>
      </c>
      <c r="Z280" s="194"/>
      <c r="AA280" s="195">
        <v>4.196732250000023E-2</v>
      </c>
      <c r="AB280" s="195">
        <v>5.7250072499999798E-2</v>
      </c>
      <c r="AC280" s="195">
        <v>2.8139858767743834E-2</v>
      </c>
      <c r="AD280" s="195">
        <v>3.7012574366128467E-2</v>
      </c>
      <c r="AE280" s="195"/>
      <c r="AF280" s="195">
        <v>6.7245052384355963E-3</v>
      </c>
      <c r="AG280" s="195">
        <v>9.7575953436443985E-3</v>
      </c>
      <c r="AI280" s="182">
        <v>2.1413422500000001E-2</v>
      </c>
      <c r="AJ280" s="182">
        <v>3.4797562499999879E-2</v>
      </c>
      <c r="AK280" s="182">
        <v>2.1110249999999997E-2</v>
      </c>
      <c r="AM280" s="7" t="s">
        <v>141</v>
      </c>
      <c r="AN280" s="7" t="b">
        <f t="shared" si="37"/>
        <v>0</v>
      </c>
      <c r="AP280" s="211">
        <v>-99</v>
      </c>
      <c r="AQ280" s="211">
        <v>-99</v>
      </c>
      <c r="AS280" s="211">
        <v>-99</v>
      </c>
      <c r="AT280" s="211">
        <v>-99</v>
      </c>
      <c r="AU280" s="211">
        <v>-99</v>
      </c>
      <c r="AV280" s="211">
        <v>-99</v>
      </c>
      <c r="AW280" s="211">
        <v>-99</v>
      </c>
      <c r="AX280" s="211">
        <v>-99</v>
      </c>
      <c r="AZ280" s="211">
        <v>-99</v>
      </c>
      <c r="BA280" s="211">
        <v>-99</v>
      </c>
      <c r="BB280" s="211">
        <v>-99</v>
      </c>
      <c r="BC280" s="211">
        <v>-99</v>
      </c>
      <c r="BD280" s="211">
        <v>-99</v>
      </c>
      <c r="BE280" s="211">
        <v>-99</v>
      </c>
      <c r="BG280" s="211">
        <v>-99</v>
      </c>
      <c r="BH280" s="211">
        <v>-99</v>
      </c>
      <c r="BI280" s="211">
        <v>-99</v>
      </c>
      <c r="BJ280" s="211">
        <v>-99</v>
      </c>
      <c r="BK280" s="211">
        <v>-99</v>
      </c>
      <c r="BL280" s="211">
        <v>-99</v>
      </c>
      <c r="BM280" s="211">
        <v>-99</v>
      </c>
      <c r="BN280" s="191">
        <f t="shared" si="38"/>
        <v>2.1413422500000001E-2</v>
      </c>
      <c r="BO280" s="191">
        <f t="shared" si="39"/>
        <v>3.4797562499999879E-2</v>
      </c>
      <c r="BP280" s="191">
        <f t="shared" si="40"/>
        <v>2.1110249999999997E-2</v>
      </c>
      <c r="BQ280" s="171">
        <f t="shared" si="41"/>
        <v>3.4500000000000003E-2</v>
      </c>
      <c r="BR280" s="171">
        <f t="shared" si="42"/>
        <v>6.7500000000000004E-2</v>
      </c>
      <c r="BS280" s="171">
        <f t="shared" si="43"/>
        <v>2.1299999999999999E-2</v>
      </c>
      <c r="BT280" s="171">
        <f t="shared" si="44"/>
        <v>3.4500000000000003E-2</v>
      </c>
      <c r="BU280" s="171">
        <f t="shared" si="45"/>
        <v>2.1000000000000001E-2</v>
      </c>
    </row>
    <row r="281" spans="1:73" x14ac:dyDescent="0.3">
      <c r="A281" s="209">
        <v>39814</v>
      </c>
      <c r="B281" s="187">
        <v>200901</v>
      </c>
      <c r="C281" s="176">
        <v>3.74</v>
      </c>
      <c r="D281" s="176">
        <v>5.79</v>
      </c>
      <c r="E281" s="176">
        <v>2.2599999999999998</v>
      </c>
      <c r="F281" s="177">
        <v>113</v>
      </c>
      <c r="G281" s="210">
        <v>2.2381378692927445E-2</v>
      </c>
      <c r="H281" s="179">
        <v>2.42</v>
      </c>
      <c r="I281" s="179">
        <v>3.72</v>
      </c>
      <c r="K281" s="182">
        <v>0.04</v>
      </c>
      <c r="L281" s="182">
        <v>4.4999999999999998E-2</v>
      </c>
      <c r="N281" s="182">
        <v>4.4999999999999998E-2</v>
      </c>
      <c r="O281" s="182">
        <v>0.03</v>
      </c>
      <c r="Q281" s="182">
        <v>3.5000000000000003E-2</v>
      </c>
      <c r="R281" s="182">
        <v>0.05</v>
      </c>
      <c r="S281" s="182">
        <v>2.5000000000000001E-2</v>
      </c>
      <c r="T281" s="182">
        <v>3.5000000000000003E-2</v>
      </c>
      <c r="U281" s="182"/>
      <c r="V281" s="194">
        <v>3.7999999999999999E-2</v>
      </c>
      <c r="W281" s="194">
        <v>5.3999999999999999E-2</v>
      </c>
      <c r="X281" s="194">
        <v>2.9000000000000001E-2</v>
      </c>
      <c r="Y281" s="194">
        <v>0.04</v>
      </c>
      <c r="Z281" s="194"/>
      <c r="AA281" s="195">
        <v>3.7905922500000126E-2</v>
      </c>
      <c r="AB281" s="195">
        <v>5.4229173750000019E-2</v>
      </c>
      <c r="AC281" s="195">
        <v>2.8600565657816424E-2</v>
      </c>
      <c r="AD281" s="195">
        <v>3.9669057171092141E-2</v>
      </c>
      <c r="AE281" s="195"/>
      <c r="AF281" s="195">
        <v>4.5233092187892954E-3</v>
      </c>
      <c r="AG281" s="195">
        <v>7.0022842742505365E-3</v>
      </c>
      <c r="AI281" s="182">
        <v>2.4346409999999929E-2</v>
      </c>
      <c r="AJ281" s="182">
        <v>3.7545959999999878E-2</v>
      </c>
      <c r="AK281" s="182">
        <v>2.2727690000000189E-2</v>
      </c>
      <c r="AM281" s="7" t="s">
        <v>141</v>
      </c>
      <c r="AN281" s="7" t="b">
        <f t="shared" si="37"/>
        <v>0</v>
      </c>
      <c r="AP281" s="211">
        <v>-99</v>
      </c>
      <c r="AQ281" s="211">
        <v>-99</v>
      </c>
      <c r="AS281" s="211">
        <v>-99</v>
      </c>
      <c r="AT281" s="211">
        <v>-99</v>
      </c>
      <c r="AU281" s="211">
        <v>-99</v>
      </c>
      <c r="AV281" s="211">
        <v>-99</v>
      </c>
      <c r="AW281" s="211">
        <v>-99</v>
      </c>
      <c r="AX281" s="211">
        <v>-99</v>
      </c>
      <c r="AZ281" s="211">
        <v>-99</v>
      </c>
      <c r="BA281" s="211">
        <v>-99</v>
      </c>
      <c r="BB281" s="211">
        <v>-99</v>
      </c>
      <c r="BC281" s="211">
        <v>-99</v>
      </c>
      <c r="BD281" s="211">
        <v>-99</v>
      </c>
      <c r="BE281" s="211">
        <v>-99</v>
      </c>
      <c r="BG281" s="211">
        <v>-99</v>
      </c>
      <c r="BH281" s="211">
        <v>-99</v>
      </c>
      <c r="BI281" s="211">
        <v>-99</v>
      </c>
      <c r="BJ281" s="211">
        <v>-99</v>
      </c>
      <c r="BK281" s="211">
        <v>-99</v>
      </c>
      <c r="BL281" s="211">
        <v>-99</v>
      </c>
      <c r="BM281" s="211">
        <v>-99</v>
      </c>
      <c r="BN281" s="191">
        <f t="shared" si="38"/>
        <v>2.4346409999999929E-2</v>
      </c>
      <c r="BO281" s="191">
        <f t="shared" si="39"/>
        <v>3.7545959999999878E-2</v>
      </c>
      <c r="BP281" s="191">
        <f t="shared" si="40"/>
        <v>2.2727690000000189E-2</v>
      </c>
      <c r="BQ281" s="171">
        <f t="shared" si="41"/>
        <v>3.7400000000000003E-2</v>
      </c>
      <c r="BR281" s="171">
        <f t="shared" si="42"/>
        <v>5.79E-2</v>
      </c>
      <c r="BS281" s="171">
        <f t="shared" si="43"/>
        <v>2.4199999999999999E-2</v>
      </c>
      <c r="BT281" s="171">
        <f t="shared" si="44"/>
        <v>3.7200000000000004E-2</v>
      </c>
      <c r="BU281" s="171">
        <f t="shared" si="45"/>
        <v>2.2599999999999999E-2</v>
      </c>
    </row>
    <row r="282" spans="1:73" x14ac:dyDescent="0.3">
      <c r="A282" s="209">
        <v>39845</v>
      </c>
      <c r="B282" s="187">
        <v>200902</v>
      </c>
      <c r="C282" s="176">
        <v>3.7</v>
      </c>
      <c r="D282" s="176">
        <v>5.79</v>
      </c>
      <c r="E282" s="176">
        <v>2.19</v>
      </c>
      <c r="F282" s="177">
        <v>113.8</v>
      </c>
      <c r="G282" s="210">
        <v>2.2361359570661987E-2</v>
      </c>
      <c r="H282" s="179">
        <v>2.31</v>
      </c>
      <c r="I282" s="179">
        <v>3.69</v>
      </c>
      <c r="K282" s="182">
        <v>3.5000000000000003E-2</v>
      </c>
      <c r="L282" s="182">
        <v>0.04</v>
      </c>
      <c r="N282" s="182">
        <v>0.04</v>
      </c>
      <c r="O282" s="182">
        <v>2.2499999999999999E-2</v>
      </c>
      <c r="Q282" s="182">
        <v>2.75E-2</v>
      </c>
      <c r="R282" s="182">
        <v>4.7500000000000001E-2</v>
      </c>
      <c r="S282" s="182">
        <v>1.7500000000000002E-2</v>
      </c>
      <c r="T282" s="182">
        <v>0.03</v>
      </c>
      <c r="U282" s="182"/>
      <c r="V282" s="194">
        <v>0.03</v>
      </c>
      <c r="W282" s="194">
        <v>0.05</v>
      </c>
      <c r="X282" s="194">
        <v>2.1999999999999999E-2</v>
      </c>
      <c r="Y282" s="194">
        <v>3.4000000000000002E-2</v>
      </c>
      <c r="Z282" s="194"/>
      <c r="AA282" s="195">
        <v>3.0413422500000002E-2</v>
      </c>
      <c r="AB282" s="195">
        <v>5.0489632499999819E-2</v>
      </c>
      <c r="AC282" s="195">
        <v>2.1990642730525353E-2</v>
      </c>
      <c r="AD282" s="195">
        <v>3.4170053634737324E-2</v>
      </c>
      <c r="AE282" s="195"/>
      <c r="AF282" s="195">
        <v>4.1207714715326693E-3</v>
      </c>
      <c r="AG282" s="195">
        <v>7.890181507337668E-3</v>
      </c>
      <c r="AI282" s="182">
        <v>2.3233402499999833E-2</v>
      </c>
      <c r="AJ282" s="182">
        <v>3.7240402500000158E-2</v>
      </c>
      <c r="AK282" s="182">
        <v>2.2019902500000077E-2</v>
      </c>
      <c r="AM282" s="7" t="s">
        <v>141</v>
      </c>
      <c r="AN282" s="7" t="b">
        <f t="shared" si="37"/>
        <v>0</v>
      </c>
      <c r="AP282" s="211">
        <v>-99</v>
      </c>
      <c r="AQ282" s="211">
        <v>-99</v>
      </c>
      <c r="AS282" s="211">
        <v>-99</v>
      </c>
      <c r="AT282" s="211">
        <v>-99</v>
      </c>
      <c r="AU282" s="211">
        <v>-99</v>
      </c>
      <c r="AV282" s="211">
        <v>-99</v>
      </c>
      <c r="AW282" s="211">
        <v>-99</v>
      </c>
      <c r="AX282" s="211">
        <v>-99</v>
      </c>
      <c r="AZ282" s="211">
        <v>-99</v>
      </c>
      <c r="BA282" s="211">
        <v>-99</v>
      </c>
      <c r="BB282" s="211">
        <v>-99</v>
      </c>
      <c r="BC282" s="211">
        <v>-99</v>
      </c>
      <c r="BD282" s="211">
        <v>-99</v>
      </c>
      <c r="BE282" s="211">
        <v>-99</v>
      </c>
      <c r="BG282" s="211">
        <v>-99</v>
      </c>
      <c r="BH282" s="211">
        <v>-99</v>
      </c>
      <c r="BI282" s="211">
        <v>-99</v>
      </c>
      <c r="BJ282" s="211">
        <v>-99</v>
      </c>
      <c r="BK282" s="211">
        <v>-99</v>
      </c>
      <c r="BL282" s="211">
        <v>-99</v>
      </c>
      <c r="BM282" s="211">
        <v>-99</v>
      </c>
      <c r="BN282" s="191">
        <f t="shared" si="38"/>
        <v>2.3233402499999833E-2</v>
      </c>
      <c r="BO282" s="191">
        <f t="shared" si="39"/>
        <v>3.7240402500000158E-2</v>
      </c>
      <c r="BP282" s="191">
        <f t="shared" si="40"/>
        <v>2.2019902500000077E-2</v>
      </c>
      <c r="BQ282" s="171">
        <f t="shared" si="41"/>
        <v>3.7000000000000005E-2</v>
      </c>
      <c r="BR282" s="171">
        <f t="shared" si="42"/>
        <v>5.79E-2</v>
      </c>
      <c r="BS282" s="171">
        <f t="shared" si="43"/>
        <v>2.3099999999999999E-2</v>
      </c>
      <c r="BT282" s="171">
        <f t="shared" si="44"/>
        <v>3.6900000000000002E-2</v>
      </c>
      <c r="BU282" s="171">
        <f t="shared" si="45"/>
        <v>2.1899999999999999E-2</v>
      </c>
    </row>
    <row r="283" spans="1:73" x14ac:dyDescent="0.3">
      <c r="A283" s="209">
        <v>39873</v>
      </c>
      <c r="B283" s="187">
        <v>200903</v>
      </c>
      <c r="C283" s="176">
        <v>3.63</v>
      </c>
      <c r="D283" s="176">
        <v>5.55</v>
      </c>
      <c r="E283" s="176">
        <v>2</v>
      </c>
      <c r="F283" s="177">
        <v>114</v>
      </c>
      <c r="G283" s="210">
        <v>2.3235031277926588E-2</v>
      </c>
      <c r="H283" s="179">
        <v>2.16</v>
      </c>
      <c r="I283" s="179">
        <v>3.74</v>
      </c>
      <c r="K283" s="182">
        <v>0.04</v>
      </c>
      <c r="L283" s="182">
        <v>3.5000000000000003E-2</v>
      </c>
      <c r="N283" s="182">
        <v>4.2500000000000003E-2</v>
      </c>
      <c r="O283" s="182">
        <v>2.5000000000000001E-2</v>
      </c>
      <c r="Q283" s="182">
        <v>0.03</v>
      </c>
      <c r="R283" s="182">
        <v>0.05</v>
      </c>
      <c r="S283" s="182">
        <v>0.02</v>
      </c>
      <c r="T283" s="182">
        <v>3.2500000000000001E-2</v>
      </c>
      <c r="U283" s="182"/>
      <c r="V283" s="194">
        <v>3.3000000000000002E-2</v>
      </c>
      <c r="W283" s="194">
        <v>5.2999999999999999E-2</v>
      </c>
      <c r="X283" s="194">
        <v>2.4E-2</v>
      </c>
      <c r="Y283" s="194">
        <v>3.6000000000000004E-2</v>
      </c>
      <c r="Z283" s="194"/>
      <c r="AA283" s="195">
        <v>3.3346409999999931E-2</v>
      </c>
      <c r="AB283" s="195">
        <v>5.3145734999999854E-2</v>
      </c>
      <c r="AC283" s="195">
        <v>2.3737608496171222E-2</v>
      </c>
      <c r="AD283" s="195">
        <v>3.5722730751914678E-2</v>
      </c>
      <c r="AE283" s="195"/>
      <c r="AF283" s="195">
        <v>4.6930001516422015E-3</v>
      </c>
      <c r="AG283" s="195">
        <v>8.4110369169151378E-3</v>
      </c>
      <c r="AI283" s="182">
        <v>2.1716639999999732E-2</v>
      </c>
      <c r="AJ283" s="182">
        <v>3.7749689999999836E-2</v>
      </c>
      <c r="AK283" s="182">
        <v>2.0100000000000007E-2</v>
      </c>
      <c r="AM283" s="7" t="s">
        <v>141</v>
      </c>
      <c r="AN283" s="7" t="b">
        <f t="shared" si="37"/>
        <v>0</v>
      </c>
      <c r="AP283" s="211">
        <v>-99</v>
      </c>
      <c r="AQ283" s="211">
        <v>-99</v>
      </c>
      <c r="AS283" s="211">
        <v>-99</v>
      </c>
      <c r="AT283" s="211">
        <v>-99</v>
      </c>
      <c r="AU283" s="211">
        <v>-99</v>
      </c>
      <c r="AV283" s="211">
        <v>-99</v>
      </c>
      <c r="AW283" s="211">
        <v>-99</v>
      </c>
      <c r="AX283" s="211">
        <v>-99</v>
      </c>
      <c r="AZ283" s="211">
        <v>-99</v>
      </c>
      <c r="BA283" s="211">
        <v>-99</v>
      </c>
      <c r="BB283" s="211">
        <v>-99</v>
      </c>
      <c r="BC283" s="211">
        <v>-99</v>
      </c>
      <c r="BD283" s="211">
        <v>-99</v>
      </c>
      <c r="BE283" s="211">
        <v>-99</v>
      </c>
      <c r="BG283" s="211">
        <v>-99</v>
      </c>
      <c r="BH283" s="211">
        <v>-99</v>
      </c>
      <c r="BI283" s="211">
        <v>-99</v>
      </c>
      <c r="BJ283" s="211">
        <v>-99</v>
      </c>
      <c r="BK283" s="211">
        <v>-99</v>
      </c>
      <c r="BL283" s="211">
        <v>-99</v>
      </c>
      <c r="BM283" s="211">
        <v>-99</v>
      </c>
      <c r="BN283" s="191">
        <f t="shared" si="38"/>
        <v>2.1716639999999732E-2</v>
      </c>
      <c r="BO283" s="191">
        <f t="shared" si="39"/>
        <v>3.7749689999999836E-2</v>
      </c>
      <c r="BP283" s="191">
        <f t="shared" si="40"/>
        <v>2.0100000000000007E-2</v>
      </c>
      <c r="BQ283" s="171">
        <f t="shared" si="41"/>
        <v>3.6299999999999999E-2</v>
      </c>
      <c r="BR283" s="171">
        <f t="shared" si="42"/>
        <v>5.5500000000000001E-2</v>
      </c>
      <c r="BS283" s="171">
        <f t="shared" si="43"/>
        <v>2.1600000000000001E-2</v>
      </c>
      <c r="BT283" s="171">
        <f t="shared" si="44"/>
        <v>3.7400000000000003E-2</v>
      </c>
      <c r="BU283" s="171">
        <f t="shared" si="45"/>
        <v>0.02</v>
      </c>
    </row>
    <row r="284" spans="1:73" x14ac:dyDescent="0.3">
      <c r="A284" s="209">
        <v>39904</v>
      </c>
      <c r="B284" s="187">
        <v>200904</v>
      </c>
      <c r="C284" s="176">
        <v>3.72</v>
      </c>
      <c r="D284" s="176">
        <v>5.25</v>
      </c>
      <c r="E284" s="176">
        <v>2.0099999999999998</v>
      </c>
      <c r="F284" s="177">
        <v>113.9</v>
      </c>
      <c r="G284" s="210">
        <v>2.140945584299736E-2</v>
      </c>
      <c r="H284" s="179">
        <v>2.2599999999999998</v>
      </c>
      <c r="I284" s="179">
        <v>3.82</v>
      </c>
      <c r="K284" s="182">
        <v>0.04</v>
      </c>
      <c r="L284" s="182">
        <v>3.5000000000000003E-2</v>
      </c>
      <c r="N284" s="182">
        <v>4.2500000000000003E-2</v>
      </c>
      <c r="O284" s="182">
        <v>2.5000000000000001E-2</v>
      </c>
      <c r="Q284" s="182">
        <v>2.75E-2</v>
      </c>
      <c r="R284" s="182">
        <v>0.05</v>
      </c>
      <c r="S284" s="182">
        <v>1.7500000000000002E-2</v>
      </c>
      <c r="T284" s="182">
        <v>0.03</v>
      </c>
      <c r="U284" s="182"/>
      <c r="V284" s="194">
        <v>3.2000000000000001E-2</v>
      </c>
      <c r="W284" s="194">
        <v>5.2999999999999999E-2</v>
      </c>
      <c r="X284" s="194">
        <v>2.3E-2</v>
      </c>
      <c r="Y284" s="194">
        <v>3.5000000000000003E-2</v>
      </c>
      <c r="Z284" s="194"/>
      <c r="AA284" s="195">
        <v>3.2233402499999834E-2</v>
      </c>
      <c r="AB284" s="195">
        <v>5.3243902500000322E-2</v>
      </c>
      <c r="AC284" s="195">
        <v>2.2737694102346294E-2</v>
      </c>
      <c r="AD284" s="195">
        <v>3.516100669882697E-2</v>
      </c>
      <c r="AE284" s="195"/>
      <c r="AF284" s="195">
        <v>4.6422990236943962E-3</v>
      </c>
      <c r="AG284" s="195">
        <v>8.7343397230738029E-3</v>
      </c>
      <c r="AI284" s="182">
        <v>2.2727690000000189E-2</v>
      </c>
      <c r="AJ284" s="182">
        <v>3.8564809999999783E-2</v>
      </c>
      <c r="AK284" s="182">
        <v>2.0201002499999676E-2</v>
      </c>
      <c r="AM284" s="7" t="s">
        <v>142</v>
      </c>
      <c r="AN284" s="7" t="b">
        <f t="shared" si="37"/>
        <v>0</v>
      </c>
      <c r="AP284" s="211">
        <v>-99</v>
      </c>
      <c r="AQ284" s="211">
        <v>-99</v>
      </c>
      <c r="AS284" s="211">
        <v>-99</v>
      </c>
      <c r="AT284" s="211">
        <v>-99</v>
      </c>
      <c r="AU284" s="211">
        <v>-99</v>
      </c>
      <c r="AV284" s="211">
        <v>-99</v>
      </c>
      <c r="AW284" s="211">
        <v>-99</v>
      </c>
      <c r="AX284" s="211">
        <v>-99</v>
      </c>
      <c r="AZ284" s="211">
        <v>-99</v>
      </c>
      <c r="BA284" s="211">
        <v>-99</v>
      </c>
      <c r="BB284" s="211">
        <v>-99</v>
      </c>
      <c r="BC284" s="211">
        <v>-99</v>
      </c>
      <c r="BD284" s="211">
        <v>-99</v>
      </c>
      <c r="BE284" s="211">
        <v>-99</v>
      </c>
      <c r="BG284" s="211">
        <v>-99</v>
      </c>
      <c r="BH284" s="211">
        <v>-99</v>
      </c>
      <c r="BI284" s="211">
        <v>-99</v>
      </c>
      <c r="BJ284" s="211">
        <v>-99</v>
      </c>
      <c r="BK284" s="211">
        <v>-99</v>
      </c>
      <c r="BL284" s="211">
        <v>-99</v>
      </c>
      <c r="BM284" s="211">
        <v>-99</v>
      </c>
      <c r="BN284" s="191">
        <f t="shared" si="38"/>
        <v>2.2727690000000189E-2</v>
      </c>
      <c r="BO284" s="191">
        <f t="shared" si="39"/>
        <v>3.8564809999999783E-2</v>
      </c>
      <c r="BP284" s="191">
        <f t="shared" si="40"/>
        <v>2.0201002499999676E-2</v>
      </c>
      <c r="BQ284" s="171">
        <f t="shared" si="41"/>
        <v>3.7200000000000004E-2</v>
      </c>
      <c r="BR284" s="171">
        <f t="shared" si="42"/>
        <v>5.2499999999999998E-2</v>
      </c>
      <c r="BS284" s="171">
        <f t="shared" si="43"/>
        <v>2.2599999999999999E-2</v>
      </c>
      <c r="BT284" s="171">
        <f t="shared" si="44"/>
        <v>3.8199999999999998E-2</v>
      </c>
      <c r="BU284" s="171">
        <f t="shared" si="45"/>
        <v>2.0099999999999996E-2</v>
      </c>
    </row>
    <row r="285" spans="1:73" x14ac:dyDescent="0.3">
      <c r="A285" s="209">
        <v>39934</v>
      </c>
      <c r="B285" s="187">
        <v>200905</v>
      </c>
      <c r="C285" s="176">
        <v>4.1100000000000003</v>
      </c>
      <c r="D285" s="176">
        <v>5.25</v>
      </c>
      <c r="E285" s="176">
        <v>2.34</v>
      </c>
      <c r="F285" s="177">
        <v>114.7</v>
      </c>
      <c r="G285" s="210">
        <v>1.9590382902938686E-2</v>
      </c>
      <c r="H285" s="179">
        <v>2.84</v>
      </c>
      <c r="I285" s="179">
        <v>4.1900000000000004</v>
      </c>
      <c r="K285" s="182">
        <v>0.04</v>
      </c>
      <c r="L285" s="182">
        <v>0.03</v>
      </c>
      <c r="N285" s="182">
        <v>4.2500000000000003E-2</v>
      </c>
      <c r="O285" s="182">
        <v>2.2499999999999999E-2</v>
      </c>
      <c r="Q285" s="182">
        <v>2.75E-2</v>
      </c>
      <c r="R285" s="182">
        <v>0.05</v>
      </c>
      <c r="S285" s="182">
        <v>1.7500000000000002E-2</v>
      </c>
      <c r="T285" s="182">
        <v>0.03</v>
      </c>
      <c r="U285" s="182"/>
      <c r="V285" s="194">
        <v>3.1E-2</v>
      </c>
      <c r="W285" s="194">
        <v>5.5E-2</v>
      </c>
      <c r="X285" s="194">
        <v>2.1000000000000001E-2</v>
      </c>
      <c r="Y285" s="194">
        <v>3.3000000000000002E-2</v>
      </c>
      <c r="Z285" s="194"/>
      <c r="AA285" s="195">
        <v>3.0716639999999733E-2</v>
      </c>
      <c r="AB285" s="195">
        <v>5.4766214999999889E-2</v>
      </c>
      <c r="AC285" s="195">
        <v>2.0563127114421251E-2</v>
      </c>
      <c r="AD285" s="195">
        <v>3.336843644278939E-2</v>
      </c>
      <c r="AE285" s="195"/>
      <c r="AF285" s="195">
        <v>4.9744658688025689E-3</v>
      </c>
      <c r="AG285" s="195">
        <v>1.0353412104819659E-2</v>
      </c>
      <c r="AI285" s="182">
        <v>2.8601639999999984E-2</v>
      </c>
      <c r="AJ285" s="182">
        <v>4.2338902500000053E-2</v>
      </c>
      <c r="AK285" s="182">
        <v>2.3536890000000144E-2</v>
      </c>
      <c r="AM285" s="7" t="s">
        <v>142</v>
      </c>
      <c r="AN285" s="7" t="b">
        <f t="shared" si="37"/>
        <v>0</v>
      </c>
      <c r="AP285" s="211">
        <v>-99</v>
      </c>
      <c r="AQ285" s="211">
        <v>-99</v>
      </c>
      <c r="AS285" s="211">
        <v>-99</v>
      </c>
      <c r="AT285" s="211">
        <v>-99</v>
      </c>
      <c r="AU285" s="211">
        <v>-99</v>
      </c>
      <c r="AV285" s="211">
        <v>-99</v>
      </c>
      <c r="AW285" s="211">
        <v>-99</v>
      </c>
      <c r="AX285" s="211">
        <v>-99</v>
      </c>
      <c r="AZ285" s="211">
        <v>-99</v>
      </c>
      <c r="BA285" s="211">
        <v>-99</v>
      </c>
      <c r="BB285" s="211">
        <v>-99</v>
      </c>
      <c r="BC285" s="211">
        <v>-99</v>
      </c>
      <c r="BD285" s="211">
        <v>-99</v>
      </c>
      <c r="BE285" s="211">
        <v>-99</v>
      </c>
      <c r="BG285" s="211">
        <v>-99</v>
      </c>
      <c r="BH285" s="211">
        <v>-99</v>
      </c>
      <c r="BI285" s="211">
        <v>-99</v>
      </c>
      <c r="BJ285" s="211">
        <v>-99</v>
      </c>
      <c r="BK285" s="211">
        <v>-99</v>
      </c>
      <c r="BL285" s="211">
        <v>-99</v>
      </c>
      <c r="BM285" s="211">
        <v>-99</v>
      </c>
      <c r="BN285" s="191">
        <f t="shared" si="38"/>
        <v>2.8601639999999984E-2</v>
      </c>
      <c r="BO285" s="191">
        <f t="shared" si="39"/>
        <v>4.2338902500000053E-2</v>
      </c>
      <c r="BP285" s="191">
        <f t="shared" si="40"/>
        <v>2.3536890000000144E-2</v>
      </c>
      <c r="BQ285" s="171">
        <f t="shared" si="41"/>
        <v>4.1100000000000005E-2</v>
      </c>
      <c r="BR285" s="171">
        <f t="shared" si="42"/>
        <v>5.2499999999999998E-2</v>
      </c>
      <c r="BS285" s="171">
        <f t="shared" si="43"/>
        <v>2.8399999999999998E-2</v>
      </c>
      <c r="BT285" s="171">
        <f t="shared" si="44"/>
        <v>4.1900000000000007E-2</v>
      </c>
      <c r="BU285" s="171">
        <f t="shared" si="45"/>
        <v>2.3399999999999997E-2</v>
      </c>
    </row>
    <row r="286" spans="1:73" x14ac:dyDescent="0.3">
      <c r="A286" s="209">
        <v>39965</v>
      </c>
      <c r="B286" s="187">
        <v>200906</v>
      </c>
      <c r="C286" s="176">
        <v>3.96</v>
      </c>
      <c r="D286" s="176">
        <v>5.85</v>
      </c>
      <c r="E286" s="176">
        <v>1.91</v>
      </c>
      <c r="F286" s="177">
        <v>115.1</v>
      </c>
      <c r="G286" s="210">
        <v>1.6873889875666181E-2</v>
      </c>
      <c r="H286" s="179">
        <v>2.82</v>
      </c>
      <c r="I286" s="179">
        <v>3.91</v>
      </c>
      <c r="K286" s="182">
        <v>0.04</v>
      </c>
      <c r="L286" s="182">
        <v>0.03</v>
      </c>
      <c r="N286" s="182">
        <v>4.2500000000000003E-2</v>
      </c>
      <c r="O286" s="182">
        <v>2.2499999999999999E-2</v>
      </c>
      <c r="Q286" s="182">
        <v>2.75E-2</v>
      </c>
      <c r="R286" s="182">
        <v>5.2499999999999998E-2</v>
      </c>
      <c r="S286" s="182">
        <v>1.7500000000000002E-2</v>
      </c>
      <c r="T286" s="182">
        <v>0.03</v>
      </c>
      <c r="U286" s="182"/>
      <c r="V286" s="194">
        <v>3.2000000000000001E-2</v>
      </c>
      <c r="W286" s="194">
        <v>5.5E-2</v>
      </c>
      <c r="X286" s="194">
        <v>2.1000000000000001E-2</v>
      </c>
      <c r="Y286" s="194">
        <v>3.3000000000000002E-2</v>
      </c>
      <c r="Z286" s="194"/>
      <c r="AA286" s="195">
        <v>3.172769000000019E-2</v>
      </c>
      <c r="AB286" s="195">
        <v>5.5483369999999581E-2</v>
      </c>
      <c r="AC286" s="195">
        <v>2.0905208984803091E-2</v>
      </c>
      <c r="AD286" s="195">
        <v>3.3348899257597972E-2</v>
      </c>
      <c r="AE286" s="195"/>
      <c r="AF286" s="195">
        <v>5.3004338306583687E-3</v>
      </c>
      <c r="AG286" s="195">
        <v>1.0710066444307387E-2</v>
      </c>
      <c r="AI286" s="182">
        <v>2.8398810000000108E-2</v>
      </c>
      <c r="AJ286" s="182">
        <v>3.9482202499999897E-2</v>
      </c>
      <c r="AK286" s="182">
        <v>1.9191202499999838E-2</v>
      </c>
      <c r="AM286" s="7" t="s">
        <v>142</v>
      </c>
      <c r="AN286" s="7" t="b">
        <f t="shared" si="37"/>
        <v>0</v>
      </c>
      <c r="AP286" s="211">
        <v>-99</v>
      </c>
      <c r="AQ286" s="211">
        <v>-99</v>
      </c>
      <c r="AS286" s="211">
        <v>-99</v>
      </c>
      <c r="AT286" s="211">
        <v>-99</v>
      </c>
      <c r="AU286" s="211">
        <v>-99</v>
      </c>
      <c r="AV286" s="211">
        <v>-99</v>
      </c>
      <c r="AW286" s="211">
        <v>-99</v>
      </c>
      <c r="AX286" s="211">
        <v>-99</v>
      </c>
      <c r="AZ286" s="211">
        <v>-99</v>
      </c>
      <c r="BA286" s="211">
        <v>-99</v>
      </c>
      <c r="BB286" s="211">
        <v>-99</v>
      </c>
      <c r="BC286" s="211">
        <v>-99</v>
      </c>
      <c r="BD286" s="211">
        <v>-99</v>
      </c>
      <c r="BE286" s="211">
        <v>-99</v>
      </c>
      <c r="BG286" s="211">
        <v>-99</v>
      </c>
      <c r="BH286" s="211">
        <v>-99</v>
      </c>
      <c r="BI286" s="211">
        <v>-99</v>
      </c>
      <c r="BJ286" s="211">
        <v>-99</v>
      </c>
      <c r="BK286" s="211">
        <v>-99</v>
      </c>
      <c r="BL286" s="211">
        <v>-99</v>
      </c>
      <c r="BM286" s="211">
        <v>-99</v>
      </c>
      <c r="BN286" s="191">
        <f t="shared" si="38"/>
        <v>2.8398810000000108E-2</v>
      </c>
      <c r="BO286" s="191">
        <f t="shared" si="39"/>
        <v>3.9482202499999897E-2</v>
      </c>
      <c r="BP286" s="191">
        <f t="shared" si="40"/>
        <v>1.9191202499999838E-2</v>
      </c>
      <c r="BQ286" s="171">
        <f t="shared" si="41"/>
        <v>3.9599999999999996E-2</v>
      </c>
      <c r="BR286" s="171">
        <f t="shared" si="42"/>
        <v>5.8499999999999996E-2</v>
      </c>
      <c r="BS286" s="171">
        <f t="shared" si="43"/>
        <v>2.8199999999999999E-2</v>
      </c>
      <c r="BT286" s="171">
        <f t="shared" si="44"/>
        <v>3.9100000000000003E-2</v>
      </c>
      <c r="BU286" s="171">
        <f t="shared" si="45"/>
        <v>1.9099999999999999E-2</v>
      </c>
    </row>
    <row r="287" spans="1:73" x14ac:dyDescent="0.3">
      <c r="A287" s="209">
        <v>39995</v>
      </c>
      <c r="B287" s="187">
        <v>200907</v>
      </c>
      <c r="C287" s="176">
        <v>4.0999999999999996</v>
      </c>
      <c r="D287" s="176">
        <v>5.85</v>
      </c>
      <c r="E287" s="176">
        <v>1.89</v>
      </c>
      <c r="F287" s="177">
        <v>114.7</v>
      </c>
      <c r="G287" s="210">
        <v>1.3286093888396744E-2</v>
      </c>
      <c r="H287" s="179">
        <v>2.91</v>
      </c>
      <c r="I287" s="179">
        <v>4.05</v>
      </c>
      <c r="K287" s="182">
        <v>4.4999999999999998E-2</v>
      </c>
      <c r="L287" s="182">
        <v>0.03</v>
      </c>
      <c r="N287" s="182">
        <v>4.7500000000000001E-2</v>
      </c>
      <c r="O287" s="182">
        <v>2.5000000000000001E-2</v>
      </c>
      <c r="Q287" s="182">
        <v>3.2500000000000001E-2</v>
      </c>
      <c r="R287" s="182">
        <v>5.5E-2</v>
      </c>
      <c r="S287" s="182">
        <v>0.02</v>
      </c>
      <c r="T287" s="182">
        <v>3.2500000000000001E-2</v>
      </c>
      <c r="U287" s="182"/>
      <c r="V287" s="194">
        <v>3.7999999999999999E-2</v>
      </c>
      <c r="W287" s="194">
        <v>5.8000000000000003E-2</v>
      </c>
      <c r="X287" s="194">
        <v>2.5000000000000001E-2</v>
      </c>
      <c r="Y287" s="194">
        <v>3.6000000000000004E-2</v>
      </c>
      <c r="Z287" s="194"/>
      <c r="AA287" s="195">
        <v>3.7601639999999985E-2</v>
      </c>
      <c r="AB287" s="195">
        <v>5.8207533750000089E-2</v>
      </c>
      <c r="AC287" s="195">
        <v>2.4900120568774851E-2</v>
      </c>
      <c r="AD287" s="195">
        <v>3.6355274715612791E-2</v>
      </c>
      <c r="AE287" s="195"/>
      <c r="AF287" s="195">
        <v>6.1964669416646467E-3</v>
      </c>
      <c r="AG287" s="195">
        <v>1.0542841614032294E-2</v>
      </c>
      <c r="AI287" s="182">
        <v>2.9311702500000036E-2</v>
      </c>
      <c r="AJ287" s="182">
        <v>4.0910062500000288E-2</v>
      </c>
      <c r="AK287" s="182">
        <v>1.8989302499999861E-2</v>
      </c>
      <c r="AM287" s="7" t="s">
        <v>142</v>
      </c>
      <c r="AN287" s="7" t="b">
        <f t="shared" si="37"/>
        <v>0</v>
      </c>
      <c r="AP287" s="211">
        <v>-99</v>
      </c>
      <c r="AQ287" s="211">
        <v>-99</v>
      </c>
      <c r="AS287" s="211">
        <v>-99</v>
      </c>
      <c r="AT287" s="211">
        <v>-99</v>
      </c>
      <c r="AU287" s="211">
        <v>-99</v>
      </c>
      <c r="AV287" s="211">
        <v>-99</v>
      </c>
      <c r="AW287" s="211">
        <v>-99</v>
      </c>
      <c r="AX287" s="211">
        <v>-99</v>
      </c>
      <c r="AZ287" s="211">
        <v>-99</v>
      </c>
      <c r="BA287" s="211">
        <v>-99</v>
      </c>
      <c r="BB287" s="211">
        <v>-99</v>
      </c>
      <c r="BC287" s="211">
        <v>-99</v>
      </c>
      <c r="BD287" s="211">
        <v>-99</v>
      </c>
      <c r="BE287" s="211">
        <v>-99</v>
      </c>
      <c r="BG287" s="211">
        <v>-99</v>
      </c>
      <c r="BH287" s="211">
        <v>-99</v>
      </c>
      <c r="BI287" s="211">
        <v>-99</v>
      </c>
      <c r="BJ287" s="211">
        <v>-99</v>
      </c>
      <c r="BK287" s="211">
        <v>-99</v>
      </c>
      <c r="BL287" s="211">
        <v>-99</v>
      </c>
      <c r="BM287" s="211">
        <v>-99</v>
      </c>
      <c r="BN287" s="191">
        <f t="shared" si="38"/>
        <v>2.9311702500000036E-2</v>
      </c>
      <c r="BO287" s="191">
        <f t="shared" si="39"/>
        <v>4.0910062500000288E-2</v>
      </c>
      <c r="BP287" s="191">
        <f t="shared" si="40"/>
        <v>1.8989302499999861E-2</v>
      </c>
      <c r="BQ287" s="171">
        <f t="shared" si="41"/>
        <v>4.0999999999999995E-2</v>
      </c>
      <c r="BR287" s="171">
        <f t="shared" si="42"/>
        <v>5.8499999999999996E-2</v>
      </c>
      <c r="BS287" s="171">
        <f t="shared" si="43"/>
        <v>2.9100000000000001E-2</v>
      </c>
      <c r="BT287" s="171">
        <f t="shared" si="44"/>
        <v>4.0500000000000001E-2</v>
      </c>
      <c r="BU287" s="171">
        <f t="shared" si="45"/>
        <v>1.89E-2</v>
      </c>
    </row>
    <row r="288" spans="1:73" x14ac:dyDescent="0.3">
      <c r="A288" s="209">
        <v>40026</v>
      </c>
      <c r="B288" s="187">
        <v>200908</v>
      </c>
      <c r="C288" s="176">
        <v>3.96</v>
      </c>
      <c r="D288" s="176">
        <v>5.85</v>
      </c>
      <c r="E288" s="176">
        <v>1.82</v>
      </c>
      <c r="F288" s="177">
        <v>114.7</v>
      </c>
      <c r="G288" s="210">
        <v>8.8261253309795951E-3</v>
      </c>
      <c r="H288" s="179">
        <v>2.74</v>
      </c>
      <c r="I288" s="179">
        <v>3.9</v>
      </c>
      <c r="K288" s="182">
        <v>0.04</v>
      </c>
      <c r="L288" s="182">
        <v>0.04</v>
      </c>
      <c r="N288" s="182">
        <v>4.4999999999999998E-2</v>
      </c>
      <c r="O288" s="182">
        <v>2.2499999999999999E-2</v>
      </c>
      <c r="Q288" s="182">
        <v>3.2500000000000001E-2</v>
      </c>
      <c r="R288" s="182">
        <v>0.05</v>
      </c>
      <c r="S288" s="182">
        <v>0.02</v>
      </c>
      <c r="T288" s="182">
        <v>2.75E-2</v>
      </c>
      <c r="U288" s="182"/>
      <c r="V288" s="194">
        <v>3.6999999999999998E-2</v>
      </c>
      <c r="W288" s="194">
        <v>5.3999999999999999E-2</v>
      </c>
      <c r="X288" s="194">
        <v>2.3E-2</v>
      </c>
      <c r="Y288" s="194">
        <v>3.1E-2</v>
      </c>
      <c r="Z288" s="194"/>
      <c r="AA288" s="195">
        <v>3.7398810000000109E-2</v>
      </c>
      <c r="AB288" s="195">
        <v>5.4023898749999792E-2</v>
      </c>
      <c r="AC288" s="195">
        <v>2.2803873111410741E-2</v>
      </c>
      <c r="AD288" s="195">
        <v>3.0884867194294389E-2</v>
      </c>
      <c r="AE288" s="195"/>
      <c r="AF288" s="195">
        <v>7.1347680979105821E-3</v>
      </c>
      <c r="AG288" s="195">
        <v>1.1222898061682529E-2</v>
      </c>
      <c r="AI288" s="182">
        <v>2.7587690000000054E-2</v>
      </c>
      <c r="AJ288" s="182">
        <v>3.9380250000000228E-2</v>
      </c>
      <c r="AK288" s="182">
        <v>1.8282810000000316E-2</v>
      </c>
      <c r="AM288" s="7" t="s">
        <v>142</v>
      </c>
      <c r="AN288" s="7" t="b">
        <f t="shared" si="37"/>
        <v>0</v>
      </c>
      <c r="AP288" s="211">
        <v>-99</v>
      </c>
      <c r="AQ288" s="211">
        <v>-99</v>
      </c>
      <c r="AS288" s="211">
        <v>-99</v>
      </c>
      <c r="AT288" s="211">
        <v>-99</v>
      </c>
      <c r="AU288" s="211">
        <v>-99</v>
      </c>
      <c r="AV288" s="211">
        <v>-99</v>
      </c>
      <c r="AW288" s="211">
        <v>-99</v>
      </c>
      <c r="AX288" s="211">
        <v>-99</v>
      </c>
      <c r="AZ288" s="211">
        <v>-99</v>
      </c>
      <c r="BA288" s="211">
        <v>-99</v>
      </c>
      <c r="BB288" s="211">
        <v>-99</v>
      </c>
      <c r="BC288" s="211">
        <v>-99</v>
      </c>
      <c r="BD288" s="211">
        <v>-99</v>
      </c>
      <c r="BE288" s="211">
        <v>-99</v>
      </c>
      <c r="BG288" s="211">
        <v>-99</v>
      </c>
      <c r="BH288" s="211">
        <v>-99</v>
      </c>
      <c r="BI288" s="211">
        <v>-99</v>
      </c>
      <c r="BJ288" s="211">
        <v>-99</v>
      </c>
      <c r="BK288" s="211">
        <v>-99</v>
      </c>
      <c r="BL288" s="211">
        <v>-99</v>
      </c>
      <c r="BM288" s="211">
        <v>-99</v>
      </c>
      <c r="BN288" s="191">
        <f t="shared" si="38"/>
        <v>2.7587690000000054E-2</v>
      </c>
      <c r="BO288" s="191">
        <f t="shared" si="39"/>
        <v>3.9380250000000228E-2</v>
      </c>
      <c r="BP288" s="191">
        <f t="shared" si="40"/>
        <v>1.8282810000000316E-2</v>
      </c>
      <c r="BQ288" s="171">
        <f t="shared" si="41"/>
        <v>3.9599999999999996E-2</v>
      </c>
      <c r="BR288" s="171">
        <f t="shared" si="42"/>
        <v>5.8499999999999996E-2</v>
      </c>
      <c r="BS288" s="171">
        <f t="shared" si="43"/>
        <v>2.7400000000000001E-2</v>
      </c>
      <c r="BT288" s="171">
        <f t="shared" si="44"/>
        <v>3.9E-2</v>
      </c>
      <c r="BU288" s="171">
        <f t="shared" si="45"/>
        <v>1.8200000000000001E-2</v>
      </c>
    </row>
    <row r="289" spans="1:73" x14ac:dyDescent="0.3">
      <c r="A289" s="209">
        <v>40057</v>
      </c>
      <c r="B289" s="187">
        <v>200909</v>
      </c>
      <c r="C289" s="176">
        <v>3.87</v>
      </c>
      <c r="D289" s="176">
        <v>5.49</v>
      </c>
      <c r="E289" s="176">
        <v>1.74</v>
      </c>
      <c r="F289" s="177">
        <v>114.7</v>
      </c>
      <c r="G289" s="210">
        <v>5.2816901408452299E-3</v>
      </c>
      <c r="H289" s="179">
        <v>2.82</v>
      </c>
      <c r="I289" s="179">
        <v>3.84</v>
      </c>
      <c r="K289" s="182">
        <v>4.4999999999999998E-2</v>
      </c>
      <c r="L289" s="182">
        <v>4.4999999999999998E-2</v>
      </c>
      <c r="N289" s="182">
        <v>4.7500000000000001E-2</v>
      </c>
      <c r="O289" s="182">
        <v>2.2499999999999999E-2</v>
      </c>
      <c r="Q289" s="182">
        <v>3.5000000000000003E-2</v>
      </c>
      <c r="R289" s="182">
        <v>5.2499999999999998E-2</v>
      </c>
      <c r="S289" s="182">
        <v>1.7500000000000002E-2</v>
      </c>
      <c r="T289" s="182">
        <v>2.75E-2</v>
      </c>
      <c r="U289" s="182"/>
      <c r="V289" s="194">
        <v>3.7999999999999999E-2</v>
      </c>
      <c r="W289" s="194">
        <v>5.6000000000000001E-2</v>
      </c>
      <c r="X289" s="194">
        <v>2.3E-2</v>
      </c>
      <c r="Y289" s="194">
        <v>3.1E-2</v>
      </c>
      <c r="Z289" s="194"/>
      <c r="AA289" s="195">
        <v>3.8311702500000037E-2</v>
      </c>
      <c r="AB289" s="195">
        <v>5.5709242500000415E-2</v>
      </c>
      <c r="AC289" s="195">
        <v>2.2605669401323917E-2</v>
      </c>
      <c r="AD289" s="195">
        <v>3.0681119049337832E-2</v>
      </c>
      <c r="AE289" s="195"/>
      <c r="AF289" s="195">
        <v>7.6794181611915535E-3</v>
      </c>
      <c r="AG289" s="195">
        <v>1.2141545521735853E-2</v>
      </c>
      <c r="AI289" s="182">
        <v>2.8398810000000108E-2</v>
      </c>
      <c r="AJ289" s="182">
        <v>3.8768640000000243E-2</v>
      </c>
      <c r="AK289" s="182">
        <v>1.7475689999999933E-2</v>
      </c>
      <c r="AM289" s="7" t="s">
        <v>142</v>
      </c>
      <c r="AN289" s="7" t="b">
        <f t="shared" si="37"/>
        <v>0</v>
      </c>
      <c r="AP289" s="211">
        <v>-99</v>
      </c>
      <c r="AQ289" s="211">
        <v>-99</v>
      </c>
      <c r="AS289" s="211">
        <v>-99</v>
      </c>
      <c r="AT289" s="211">
        <v>-99</v>
      </c>
      <c r="AU289" s="211">
        <v>-99</v>
      </c>
      <c r="AV289" s="211">
        <v>-99</v>
      </c>
      <c r="AW289" s="211">
        <v>-99</v>
      </c>
      <c r="AX289" s="211">
        <v>-99</v>
      </c>
      <c r="AZ289" s="211">
        <v>-99</v>
      </c>
      <c r="BA289" s="211">
        <v>-99</v>
      </c>
      <c r="BB289" s="211">
        <v>-99</v>
      </c>
      <c r="BC289" s="211">
        <v>-99</v>
      </c>
      <c r="BD289" s="211">
        <v>-99</v>
      </c>
      <c r="BE289" s="211">
        <v>-99</v>
      </c>
      <c r="BG289" s="211">
        <v>-99</v>
      </c>
      <c r="BH289" s="211">
        <v>-99</v>
      </c>
      <c r="BI289" s="211">
        <v>-99</v>
      </c>
      <c r="BJ289" s="211">
        <v>-99</v>
      </c>
      <c r="BK289" s="211">
        <v>-99</v>
      </c>
      <c r="BL289" s="211">
        <v>-99</v>
      </c>
      <c r="BM289" s="211">
        <v>-99</v>
      </c>
      <c r="BN289" s="191">
        <f t="shared" si="38"/>
        <v>2.8398810000000108E-2</v>
      </c>
      <c r="BO289" s="191">
        <f t="shared" si="39"/>
        <v>3.8768640000000243E-2</v>
      </c>
      <c r="BP289" s="191">
        <f t="shared" si="40"/>
        <v>1.7475689999999933E-2</v>
      </c>
      <c r="BQ289" s="171">
        <f t="shared" si="41"/>
        <v>3.8699999999999998E-2</v>
      </c>
      <c r="BR289" s="171">
        <f t="shared" si="42"/>
        <v>5.4900000000000004E-2</v>
      </c>
      <c r="BS289" s="171">
        <f t="shared" si="43"/>
        <v>2.8199999999999999E-2</v>
      </c>
      <c r="BT289" s="171">
        <f t="shared" si="44"/>
        <v>3.8399999999999997E-2</v>
      </c>
      <c r="BU289" s="171">
        <f t="shared" si="45"/>
        <v>1.7399999999999999E-2</v>
      </c>
    </row>
    <row r="290" spans="1:73" x14ac:dyDescent="0.3">
      <c r="A290" s="209">
        <v>40087</v>
      </c>
      <c r="B290" s="187">
        <v>200910</v>
      </c>
      <c r="C290" s="176">
        <v>3.98</v>
      </c>
      <c r="D290" s="176">
        <v>5.84</v>
      </c>
      <c r="E290" s="176">
        <v>1.63</v>
      </c>
      <c r="F290" s="177">
        <v>114.6</v>
      </c>
      <c r="G290" s="210">
        <v>3.5149384885764245E-3</v>
      </c>
      <c r="H290" s="179">
        <v>2.97</v>
      </c>
      <c r="I290" s="179">
        <v>3.96</v>
      </c>
      <c r="K290" s="182">
        <v>0.04</v>
      </c>
      <c r="L290" s="182">
        <v>4.4999999999999998E-2</v>
      </c>
      <c r="N290" s="182">
        <v>4.4999999999999998E-2</v>
      </c>
      <c r="O290" s="182">
        <v>0.02</v>
      </c>
      <c r="Q290" s="182">
        <v>3.2500000000000001E-2</v>
      </c>
      <c r="R290" s="182">
        <v>0.05</v>
      </c>
      <c r="S290" s="182">
        <v>1.7500000000000002E-2</v>
      </c>
      <c r="T290" s="182">
        <v>2.5000000000000001E-2</v>
      </c>
      <c r="U290" s="182"/>
      <c r="V290" s="194">
        <v>3.6999999999999998E-2</v>
      </c>
      <c r="W290" s="194">
        <v>5.3999999999999999E-2</v>
      </c>
      <c r="X290" s="194">
        <v>2.1999999999999999E-2</v>
      </c>
      <c r="Y290" s="194">
        <v>0.03</v>
      </c>
      <c r="Z290" s="194"/>
      <c r="AA290" s="195">
        <v>3.6587690000000055E-2</v>
      </c>
      <c r="AB290" s="195">
        <v>5.4276530000000316E-2</v>
      </c>
      <c r="AC290" s="195">
        <v>2.180795562772981E-2</v>
      </c>
      <c r="AD290" s="195">
        <v>3.002023718613557E-2</v>
      </c>
      <c r="AE290" s="195"/>
      <c r="AF290" s="195">
        <v>7.2321488058832983E-3</v>
      </c>
      <c r="AG290" s="195">
        <v>1.1774668078429862E-2</v>
      </c>
      <c r="AI290" s="182">
        <v>2.9920522500000102E-2</v>
      </c>
      <c r="AJ290" s="182">
        <v>3.9992040000000006E-2</v>
      </c>
      <c r="AK290" s="182">
        <v>1.6366422500000199E-2</v>
      </c>
      <c r="AM290" s="7" t="s">
        <v>142</v>
      </c>
      <c r="AN290" s="7" t="b">
        <f t="shared" si="37"/>
        <v>0</v>
      </c>
      <c r="AP290" s="211">
        <v>-99</v>
      </c>
      <c r="AQ290" s="211">
        <v>-99</v>
      </c>
      <c r="AS290" s="211">
        <v>-99</v>
      </c>
      <c r="AT290" s="211">
        <v>-99</v>
      </c>
      <c r="AU290" s="211">
        <v>-99</v>
      </c>
      <c r="AV290" s="211">
        <v>-99</v>
      </c>
      <c r="AW290" s="211">
        <v>-99</v>
      </c>
      <c r="AX290" s="211">
        <v>-99</v>
      </c>
      <c r="AZ290" s="211">
        <v>-99</v>
      </c>
      <c r="BA290" s="211">
        <v>-99</v>
      </c>
      <c r="BB290" s="211">
        <v>-99</v>
      </c>
      <c r="BC290" s="211">
        <v>-99</v>
      </c>
      <c r="BD290" s="211">
        <v>-99</v>
      </c>
      <c r="BE290" s="211">
        <v>-99</v>
      </c>
      <c r="BG290" s="211">
        <v>-99</v>
      </c>
      <c r="BH290" s="211">
        <v>-99</v>
      </c>
      <c r="BI290" s="211">
        <v>-99</v>
      </c>
      <c r="BJ290" s="211">
        <v>-99</v>
      </c>
      <c r="BK290" s="211">
        <v>-99</v>
      </c>
      <c r="BL290" s="211">
        <v>-99</v>
      </c>
      <c r="BM290" s="211">
        <v>-99</v>
      </c>
      <c r="BN290" s="191">
        <f t="shared" si="38"/>
        <v>2.9920522500000102E-2</v>
      </c>
      <c r="BO290" s="191">
        <f t="shared" si="39"/>
        <v>3.9992040000000006E-2</v>
      </c>
      <c r="BP290" s="191">
        <f t="shared" si="40"/>
        <v>1.6366422500000199E-2</v>
      </c>
      <c r="BQ290" s="171">
        <f t="shared" si="41"/>
        <v>3.9800000000000002E-2</v>
      </c>
      <c r="BR290" s="171">
        <f t="shared" si="42"/>
        <v>5.8400000000000001E-2</v>
      </c>
      <c r="BS290" s="171">
        <f t="shared" si="43"/>
        <v>2.9700000000000001E-2</v>
      </c>
      <c r="BT290" s="171">
        <f t="shared" si="44"/>
        <v>3.9599999999999996E-2</v>
      </c>
      <c r="BU290" s="171">
        <f t="shared" si="45"/>
        <v>1.6299999999999999E-2</v>
      </c>
    </row>
    <row r="291" spans="1:73" x14ac:dyDescent="0.3">
      <c r="A291" s="209">
        <v>40118</v>
      </c>
      <c r="B291" s="187">
        <v>200911</v>
      </c>
      <c r="C291" s="176">
        <v>3.84</v>
      </c>
      <c r="D291" s="176">
        <v>5.59</v>
      </c>
      <c r="E291" s="176">
        <v>1.56</v>
      </c>
      <c r="F291" s="177">
        <v>115.2</v>
      </c>
      <c r="G291" s="210">
        <v>2.6315789473683182E-3</v>
      </c>
      <c r="H291" s="179">
        <v>2.74</v>
      </c>
      <c r="I291" s="179">
        <v>3.85</v>
      </c>
      <c r="K291" s="182">
        <v>0.04</v>
      </c>
      <c r="L291" s="182">
        <v>4.4999999999999998E-2</v>
      </c>
      <c r="N291" s="182">
        <v>4.4999999999999998E-2</v>
      </c>
      <c r="O291" s="182">
        <v>0.02</v>
      </c>
      <c r="Q291" s="182">
        <v>3.2500000000000001E-2</v>
      </c>
      <c r="R291" s="182">
        <v>0.05</v>
      </c>
      <c r="S291" s="182">
        <v>1.7500000000000002E-2</v>
      </c>
      <c r="T291" s="182">
        <v>2.5000000000000001E-2</v>
      </c>
      <c r="U291" s="182"/>
      <c r="V291" s="194">
        <v>3.6999999999999998E-2</v>
      </c>
      <c r="W291" s="194">
        <v>5.2999999999999999E-2</v>
      </c>
      <c r="X291" s="194">
        <v>2.1999999999999999E-2</v>
      </c>
      <c r="Y291" s="194">
        <v>2.9000000000000001E-2</v>
      </c>
      <c r="Z291" s="194"/>
      <c r="AA291" s="195">
        <v>3.7398810000000109E-2</v>
      </c>
      <c r="AB291" s="195">
        <v>5.2953555000000312E-2</v>
      </c>
      <c r="AC291" s="195">
        <v>2.1801295065519373E-2</v>
      </c>
      <c r="AD291" s="195">
        <v>2.8812887467240214E-2</v>
      </c>
      <c r="AE291" s="195"/>
      <c r="AF291" s="195">
        <v>7.632362089284972E-3</v>
      </c>
      <c r="AG291" s="195">
        <v>1.1732292541644873E-2</v>
      </c>
      <c r="AI291" s="182">
        <v>2.7587690000000054E-2</v>
      </c>
      <c r="AJ291" s="182">
        <v>3.8870562499999872E-2</v>
      </c>
      <c r="AK291" s="182">
        <v>1.5660840000000009E-2</v>
      </c>
      <c r="AM291" s="7" t="s">
        <v>142</v>
      </c>
      <c r="AN291" s="7" t="b">
        <f t="shared" si="37"/>
        <v>0</v>
      </c>
      <c r="AP291" s="211">
        <v>-99</v>
      </c>
      <c r="AQ291" s="211">
        <v>-99</v>
      </c>
      <c r="AS291" s="211">
        <v>-99</v>
      </c>
      <c r="AT291" s="211">
        <v>-99</v>
      </c>
      <c r="AU291" s="211">
        <v>-99</v>
      </c>
      <c r="AV291" s="211">
        <v>-99</v>
      </c>
      <c r="AW291" s="211">
        <v>-99</v>
      </c>
      <c r="AX291" s="211">
        <v>-99</v>
      </c>
      <c r="AZ291" s="211">
        <v>-99</v>
      </c>
      <c r="BA291" s="211">
        <v>-99</v>
      </c>
      <c r="BB291" s="211">
        <v>-99</v>
      </c>
      <c r="BC291" s="211">
        <v>-99</v>
      </c>
      <c r="BD291" s="211">
        <v>-99</v>
      </c>
      <c r="BE291" s="211">
        <v>-99</v>
      </c>
      <c r="BG291" s="211">
        <v>-99</v>
      </c>
      <c r="BH291" s="211">
        <v>-99</v>
      </c>
      <c r="BI291" s="211">
        <v>-99</v>
      </c>
      <c r="BJ291" s="211">
        <v>-99</v>
      </c>
      <c r="BK291" s="211">
        <v>-99</v>
      </c>
      <c r="BL291" s="211">
        <v>-99</v>
      </c>
      <c r="BM291" s="211">
        <v>-99</v>
      </c>
      <c r="BN291" s="191">
        <f t="shared" si="38"/>
        <v>2.7587690000000054E-2</v>
      </c>
      <c r="BO291" s="191">
        <f t="shared" si="39"/>
        <v>3.8870562499999872E-2</v>
      </c>
      <c r="BP291" s="191">
        <f t="shared" si="40"/>
        <v>1.5660840000000009E-2</v>
      </c>
      <c r="BQ291" s="171">
        <f t="shared" si="41"/>
        <v>3.8399999999999997E-2</v>
      </c>
      <c r="BR291" s="171">
        <f t="shared" si="42"/>
        <v>5.5899999999999998E-2</v>
      </c>
      <c r="BS291" s="171">
        <f t="shared" si="43"/>
        <v>2.7400000000000001E-2</v>
      </c>
      <c r="BT291" s="171">
        <f t="shared" si="44"/>
        <v>3.85E-2</v>
      </c>
      <c r="BU291" s="171">
        <f t="shared" si="45"/>
        <v>1.5600000000000001E-2</v>
      </c>
    </row>
    <row r="292" spans="1:73" x14ac:dyDescent="0.3">
      <c r="A292" s="209">
        <v>40148</v>
      </c>
      <c r="B292" s="187">
        <v>200912</v>
      </c>
      <c r="C292" s="176">
        <v>4.08</v>
      </c>
      <c r="D292" s="176">
        <v>5.49</v>
      </c>
      <c r="E292" s="176">
        <v>1.52</v>
      </c>
      <c r="F292" s="177">
        <v>114.8</v>
      </c>
      <c r="G292" s="210">
        <v>2.6292725679228912E-3</v>
      </c>
      <c r="H292" s="179">
        <v>3.08</v>
      </c>
      <c r="I292" s="179">
        <v>4.07</v>
      </c>
      <c r="K292" s="182">
        <v>0.04</v>
      </c>
      <c r="L292" s="182">
        <v>0.05</v>
      </c>
      <c r="N292" s="182">
        <v>4.4999999999999998E-2</v>
      </c>
      <c r="O292" s="182">
        <v>0.02</v>
      </c>
      <c r="Q292" s="182">
        <v>3.5000000000000003E-2</v>
      </c>
      <c r="R292" s="182">
        <v>0.05</v>
      </c>
      <c r="S292" s="182">
        <v>1.7500000000000002E-2</v>
      </c>
      <c r="T292" s="182">
        <v>2.2499999999999999E-2</v>
      </c>
      <c r="U292" s="182"/>
      <c r="V292" s="194">
        <v>3.9E-2</v>
      </c>
      <c r="W292" s="194">
        <v>5.3999999999999999E-2</v>
      </c>
      <c r="X292" s="194">
        <v>2.1000000000000001E-2</v>
      </c>
      <c r="Y292" s="194">
        <v>2.7E-2</v>
      </c>
      <c r="Z292" s="194"/>
      <c r="AA292" s="195">
        <v>3.8920522500000103E-2</v>
      </c>
      <c r="AB292" s="195">
        <v>5.402779874999996E-2</v>
      </c>
      <c r="AC292" s="195">
        <v>2.1244734518563291E-2</v>
      </c>
      <c r="AD292" s="195">
        <v>2.7427266490718655E-2</v>
      </c>
      <c r="AE292" s="195"/>
      <c r="AF292" s="195">
        <v>8.6540411832670694E-3</v>
      </c>
      <c r="AG292" s="195">
        <v>1.2945214287595319E-2</v>
      </c>
      <c r="AI292" s="182">
        <v>3.1037160000000119E-2</v>
      </c>
      <c r="AJ292" s="182">
        <v>4.1114122500000239E-2</v>
      </c>
      <c r="AK292" s="182">
        <v>1.525776000000012E-2</v>
      </c>
      <c r="AM292" s="7" t="s">
        <v>142</v>
      </c>
      <c r="AN292" s="7" t="b">
        <f t="shared" si="37"/>
        <v>0</v>
      </c>
      <c r="AP292" s="211">
        <v>-99</v>
      </c>
      <c r="AQ292" s="211">
        <v>-99</v>
      </c>
      <c r="AS292" s="211">
        <v>-99</v>
      </c>
      <c r="AT292" s="211">
        <v>-99</v>
      </c>
      <c r="AU292" s="211">
        <v>-99</v>
      </c>
      <c r="AV292" s="211">
        <v>-99</v>
      </c>
      <c r="AW292" s="211">
        <v>-99</v>
      </c>
      <c r="AX292" s="211">
        <v>-99</v>
      </c>
      <c r="AZ292" s="211">
        <v>-99</v>
      </c>
      <c r="BA292" s="211">
        <v>-99</v>
      </c>
      <c r="BB292" s="211">
        <v>-99</v>
      </c>
      <c r="BC292" s="211">
        <v>-99</v>
      </c>
      <c r="BD292" s="211">
        <v>-99</v>
      </c>
      <c r="BE292" s="211">
        <v>-99</v>
      </c>
      <c r="BG292" s="211">
        <v>-99</v>
      </c>
      <c r="BH292" s="211">
        <v>-99</v>
      </c>
      <c r="BI292" s="211">
        <v>-99</v>
      </c>
      <c r="BJ292" s="211">
        <v>-99</v>
      </c>
      <c r="BK292" s="211">
        <v>-99</v>
      </c>
      <c r="BL292" s="211">
        <v>-99</v>
      </c>
      <c r="BM292" s="211">
        <v>-99</v>
      </c>
      <c r="BN292" s="191">
        <f t="shared" si="38"/>
        <v>3.1037160000000119E-2</v>
      </c>
      <c r="BO292" s="191">
        <f t="shared" si="39"/>
        <v>4.1114122500000239E-2</v>
      </c>
      <c r="BP292" s="191">
        <f t="shared" si="40"/>
        <v>1.525776000000012E-2</v>
      </c>
      <c r="BQ292" s="171">
        <f t="shared" si="41"/>
        <v>4.0800000000000003E-2</v>
      </c>
      <c r="BR292" s="171">
        <f t="shared" si="42"/>
        <v>5.4900000000000004E-2</v>
      </c>
      <c r="BS292" s="171">
        <f t="shared" si="43"/>
        <v>3.0800000000000001E-2</v>
      </c>
      <c r="BT292" s="171">
        <f t="shared" si="44"/>
        <v>4.07E-2</v>
      </c>
      <c r="BU292" s="171">
        <f t="shared" si="45"/>
        <v>1.52E-2</v>
      </c>
    </row>
    <row r="293" spans="1:73" x14ac:dyDescent="0.3">
      <c r="A293" s="209">
        <v>40179</v>
      </c>
      <c r="B293" s="187">
        <v>201001</v>
      </c>
      <c r="C293" s="176">
        <v>3.92</v>
      </c>
      <c r="D293" s="176">
        <v>5.49</v>
      </c>
      <c r="E293" s="176">
        <v>1.55</v>
      </c>
      <c r="F293" s="177">
        <v>115.1</v>
      </c>
      <c r="G293" s="210">
        <v>3.5026269702276291E-3</v>
      </c>
      <c r="H293" s="179">
        <v>2.81</v>
      </c>
      <c r="I293" s="179">
        <v>3.96</v>
      </c>
      <c r="K293" s="182">
        <v>0.04</v>
      </c>
      <c r="L293" s="182">
        <v>0.05</v>
      </c>
      <c r="N293" s="182">
        <v>4.4999999999999998E-2</v>
      </c>
      <c r="O293" s="182">
        <v>1.7500000000000002E-2</v>
      </c>
      <c r="Q293" s="182">
        <v>3.2500000000000001E-2</v>
      </c>
      <c r="R293" s="182">
        <v>0.05</v>
      </c>
      <c r="S293" s="182">
        <v>1.4999999999999999E-2</v>
      </c>
      <c r="T293" s="182">
        <v>2.2499999999999999E-2</v>
      </c>
      <c r="U293" s="182"/>
      <c r="V293" s="194">
        <v>3.6999999999999998E-2</v>
      </c>
      <c r="W293" s="194">
        <v>5.3999999999999999E-2</v>
      </c>
      <c r="X293" s="194">
        <v>0.02</v>
      </c>
      <c r="Y293" s="194">
        <v>2.7E-2</v>
      </c>
      <c r="Z293" s="194"/>
      <c r="AA293" s="195">
        <v>3.6587690000000055E-2</v>
      </c>
      <c r="AB293" s="195">
        <v>5.3511998749999783E-2</v>
      </c>
      <c r="AC293" s="195">
        <v>2.0115002492171359E-2</v>
      </c>
      <c r="AD293" s="195">
        <v>2.6933758753914336E-2</v>
      </c>
      <c r="AE293" s="195"/>
      <c r="AF293" s="195">
        <v>8.0739365010734643E-3</v>
      </c>
      <c r="AG293" s="195">
        <v>1.2940581497844383E-2</v>
      </c>
      <c r="AI293" s="182">
        <v>2.8297402499999791E-2</v>
      </c>
      <c r="AJ293" s="182">
        <v>3.9992040000000006E-2</v>
      </c>
      <c r="AK293" s="182">
        <v>1.556006249999986E-2</v>
      </c>
      <c r="AM293" s="7" t="s">
        <v>142</v>
      </c>
      <c r="AN293" s="7" t="b">
        <f t="shared" si="37"/>
        <v>0</v>
      </c>
      <c r="AP293" s="211">
        <v>-99</v>
      </c>
      <c r="AQ293" s="211">
        <v>-99</v>
      </c>
      <c r="AS293" s="211">
        <v>-99</v>
      </c>
      <c r="AT293" s="211">
        <v>-99</v>
      </c>
      <c r="AU293" s="211">
        <v>-99</v>
      </c>
      <c r="AV293" s="211">
        <v>-99</v>
      </c>
      <c r="AW293" s="211">
        <v>-99</v>
      </c>
      <c r="AX293" s="211">
        <v>-99</v>
      </c>
      <c r="AZ293" s="211">
        <v>-99</v>
      </c>
      <c r="BA293" s="211">
        <v>-99</v>
      </c>
      <c r="BB293" s="211">
        <v>-99</v>
      </c>
      <c r="BC293" s="211">
        <v>-99</v>
      </c>
      <c r="BD293" s="211">
        <v>-99</v>
      </c>
      <c r="BE293" s="211">
        <v>-99</v>
      </c>
      <c r="BG293" s="211">
        <v>-99</v>
      </c>
      <c r="BH293" s="211">
        <v>-99</v>
      </c>
      <c r="BI293" s="211">
        <v>-99</v>
      </c>
      <c r="BJ293" s="211">
        <v>-99</v>
      </c>
      <c r="BK293" s="211">
        <v>-99</v>
      </c>
      <c r="BL293" s="211">
        <v>-99</v>
      </c>
      <c r="BM293" s="211">
        <v>-99</v>
      </c>
      <c r="BN293" s="191">
        <f t="shared" si="38"/>
        <v>2.8297402499999791E-2</v>
      </c>
      <c r="BO293" s="191">
        <f t="shared" si="39"/>
        <v>3.9992040000000006E-2</v>
      </c>
      <c r="BP293" s="191">
        <f t="shared" si="40"/>
        <v>1.556006249999986E-2</v>
      </c>
      <c r="BQ293" s="171">
        <f t="shared" si="41"/>
        <v>3.9199999999999999E-2</v>
      </c>
      <c r="BR293" s="171">
        <f t="shared" si="42"/>
        <v>5.4900000000000004E-2</v>
      </c>
      <c r="BS293" s="171">
        <f t="shared" si="43"/>
        <v>2.81E-2</v>
      </c>
      <c r="BT293" s="171">
        <f t="shared" si="44"/>
        <v>3.9599999999999996E-2</v>
      </c>
      <c r="BU293" s="171">
        <f t="shared" si="45"/>
        <v>1.55E-2</v>
      </c>
    </row>
    <row r="294" spans="1:73" x14ac:dyDescent="0.3">
      <c r="A294" s="209">
        <v>40210</v>
      </c>
      <c r="B294" s="25">
        <v>201002</v>
      </c>
      <c r="C294" s="176">
        <v>3.98</v>
      </c>
      <c r="D294" s="176">
        <v>5.39</v>
      </c>
      <c r="E294" s="176">
        <v>1.59</v>
      </c>
      <c r="F294" s="177">
        <v>115.6</v>
      </c>
      <c r="G294" s="210">
        <v>4.3744531933507247E-3</v>
      </c>
      <c r="H294" s="179">
        <v>2.91</v>
      </c>
      <c r="I294" s="179">
        <v>4.05</v>
      </c>
      <c r="K294" s="182">
        <v>4.4999999999999998E-2</v>
      </c>
      <c r="L294" s="182">
        <v>0.05</v>
      </c>
      <c r="N294" s="182">
        <v>4.7500000000000001E-2</v>
      </c>
      <c r="O294" s="182">
        <v>1.7500000000000002E-2</v>
      </c>
      <c r="Q294" s="182">
        <v>3.5000000000000003E-2</v>
      </c>
      <c r="R294" s="182">
        <v>0.05</v>
      </c>
      <c r="S294" s="182">
        <v>1.7500000000000002E-2</v>
      </c>
      <c r="T294" s="182">
        <v>2.2499999999999999E-2</v>
      </c>
      <c r="U294" s="182"/>
      <c r="V294" s="194">
        <v>0.04</v>
      </c>
      <c r="W294" s="194">
        <v>5.5E-2</v>
      </c>
      <c r="X294" s="194">
        <v>2.1000000000000001E-2</v>
      </c>
      <c r="Y294" s="194">
        <v>2.6000000000000002E-2</v>
      </c>
      <c r="Z294" s="194"/>
      <c r="AA294" s="195">
        <v>4.003716000000012E-2</v>
      </c>
      <c r="AB294" s="195">
        <v>5.5152603750000299E-2</v>
      </c>
      <c r="AC294" s="195">
        <v>2.051812344679381E-2</v>
      </c>
      <c r="AD294" s="195">
        <v>2.6127578276603277E-2</v>
      </c>
      <c r="AE294" s="195"/>
      <c r="AF294" s="195">
        <v>9.5632973607959748E-3</v>
      </c>
      <c r="AG294" s="195">
        <v>1.4142990641643705E-2</v>
      </c>
      <c r="AI294" s="182">
        <v>2.9311702500000036E-2</v>
      </c>
      <c r="AJ294" s="182">
        <v>4.0910062500000288E-2</v>
      </c>
      <c r="AK294" s="182">
        <v>1.5963202499999829E-2</v>
      </c>
      <c r="AM294" s="7" t="s">
        <v>142</v>
      </c>
      <c r="AN294" s="7" t="b">
        <f t="shared" si="37"/>
        <v>0</v>
      </c>
      <c r="AP294" s="211">
        <v>-99</v>
      </c>
      <c r="AQ294" s="211">
        <v>-99</v>
      </c>
      <c r="AS294" s="211">
        <v>-99</v>
      </c>
      <c r="AT294" s="211">
        <v>-99</v>
      </c>
      <c r="AU294" s="211">
        <v>-99</v>
      </c>
      <c r="AV294" s="211">
        <v>-99</v>
      </c>
      <c r="AW294" s="211">
        <v>-99</v>
      </c>
      <c r="AX294" s="211">
        <v>-99</v>
      </c>
      <c r="AZ294" s="211">
        <v>-99</v>
      </c>
      <c r="BA294" s="211">
        <v>-99</v>
      </c>
      <c r="BB294" s="211">
        <v>-99</v>
      </c>
      <c r="BC294" s="211">
        <v>-99</v>
      </c>
      <c r="BD294" s="211">
        <v>-99</v>
      </c>
      <c r="BE294" s="211">
        <v>-99</v>
      </c>
      <c r="BG294" s="211">
        <v>-99</v>
      </c>
      <c r="BH294" s="211">
        <v>-99</v>
      </c>
      <c r="BI294" s="211">
        <v>-99</v>
      </c>
      <c r="BJ294" s="211">
        <v>-99</v>
      </c>
      <c r="BK294" s="211">
        <v>-99</v>
      </c>
      <c r="BL294" s="211">
        <v>-99</v>
      </c>
      <c r="BM294" s="211">
        <v>-99</v>
      </c>
      <c r="BN294" s="191">
        <f t="shared" si="38"/>
        <v>2.9311702500000036E-2</v>
      </c>
      <c r="BO294" s="191">
        <f t="shared" si="39"/>
        <v>4.0910062500000288E-2</v>
      </c>
      <c r="BP294" s="191">
        <f t="shared" si="40"/>
        <v>1.5963202499999829E-2</v>
      </c>
      <c r="BQ294" s="171">
        <f t="shared" si="41"/>
        <v>3.9800000000000002E-2</v>
      </c>
      <c r="BR294" s="171">
        <f t="shared" si="42"/>
        <v>5.3899999999999997E-2</v>
      </c>
      <c r="BS294" s="171">
        <f t="shared" si="43"/>
        <v>2.9100000000000001E-2</v>
      </c>
      <c r="BT294" s="171">
        <f t="shared" si="44"/>
        <v>4.0500000000000001E-2</v>
      </c>
      <c r="BU294" s="171">
        <f t="shared" si="45"/>
        <v>1.5900000000000001E-2</v>
      </c>
    </row>
    <row r="295" spans="1:73" x14ac:dyDescent="0.3">
      <c r="A295" s="209">
        <v>40238</v>
      </c>
      <c r="B295" s="25">
        <v>201003</v>
      </c>
      <c r="C295" s="176">
        <v>3.99</v>
      </c>
      <c r="D295" s="176">
        <v>5.85</v>
      </c>
      <c r="E295" s="176">
        <v>1.56</v>
      </c>
      <c r="F295" s="177">
        <v>115.6</v>
      </c>
      <c r="G295" s="210">
        <v>3.4934497816594412E-3</v>
      </c>
      <c r="H295" s="179">
        <v>3.1</v>
      </c>
      <c r="I295" s="179">
        <v>4.07</v>
      </c>
      <c r="K295" s="182">
        <v>0.04</v>
      </c>
      <c r="L295" s="182">
        <v>0.05</v>
      </c>
      <c r="N295" s="182">
        <v>4.4999999999999998E-2</v>
      </c>
      <c r="O295" s="182">
        <v>1.7500000000000002E-2</v>
      </c>
      <c r="Q295" s="182">
        <v>3.2500000000000001E-2</v>
      </c>
      <c r="R295" s="182">
        <v>0.05</v>
      </c>
      <c r="S295" s="182">
        <v>1.4999999999999999E-2</v>
      </c>
      <c r="T295" s="182">
        <v>2.2499999999999999E-2</v>
      </c>
      <c r="U295" s="182"/>
      <c r="V295" s="194">
        <v>3.6999999999999998E-2</v>
      </c>
      <c r="W295" s="194">
        <v>5.5E-2</v>
      </c>
      <c r="X295" s="194">
        <v>0.02</v>
      </c>
      <c r="Y295" s="194">
        <v>2.7E-2</v>
      </c>
      <c r="Z295" s="194"/>
      <c r="AA295" s="195">
        <v>3.7297402499999792E-2</v>
      </c>
      <c r="AB295" s="195">
        <v>5.4839358750000115E-2</v>
      </c>
      <c r="AC295" s="195">
        <v>2.0009924762218904E-2</v>
      </c>
      <c r="AD295" s="195">
        <v>2.683513136889034E-2</v>
      </c>
      <c r="AE295" s="195"/>
      <c r="AF295" s="195">
        <v>8.4741713379948846E-3</v>
      </c>
      <c r="AG295" s="195">
        <v>1.3636184877983681E-2</v>
      </c>
      <c r="AI295" s="182">
        <v>3.1240250000000191E-2</v>
      </c>
      <c r="AJ295" s="182">
        <v>4.1114122500000239E-2</v>
      </c>
      <c r="AK295" s="182">
        <v>1.5660840000000009E-2</v>
      </c>
      <c r="AM295" s="7" t="s">
        <v>142</v>
      </c>
      <c r="AN295" s="7" t="b">
        <f t="shared" si="37"/>
        <v>0</v>
      </c>
      <c r="AP295" s="211">
        <v>-99</v>
      </c>
      <c r="AQ295" s="211">
        <v>-99</v>
      </c>
      <c r="AS295" s="211">
        <v>-99</v>
      </c>
      <c r="AT295" s="211">
        <v>-99</v>
      </c>
      <c r="AU295" s="211">
        <v>-99</v>
      </c>
      <c r="AV295" s="211">
        <v>-99</v>
      </c>
      <c r="AW295" s="211">
        <v>-99</v>
      </c>
      <c r="AX295" s="211">
        <v>-99</v>
      </c>
      <c r="AZ295" s="211">
        <v>-99</v>
      </c>
      <c r="BA295" s="211">
        <v>-99</v>
      </c>
      <c r="BB295" s="211">
        <v>-99</v>
      </c>
      <c r="BC295" s="211">
        <v>-99</v>
      </c>
      <c r="BD295" s="211">
        <v>-99</v>
      </c>
      <c r="BE295" s="211">
        <v>-99</v>
      </c>
      <c r="BG295" s="211">
        <v>-99</v>
      </c>
      <c r="BH295" s="211">
        <v>-99</v>
      </c>
      <c r="BI295" s="211">
        <v>-99</v>
      </c>
      <c r="BJ295" s="211">
        <v>-99</v>
      </c>
      <c r="BK295" s="211">
        <v>-99</v>
      </c>
      <c r="BL295" s="211">
        <v>-99</v>
      </c>
      <c r="BM295" s="211">
        <v>-99</v>
      </c>
      <c r="BN295" s="191">
        <f t="shared" si="38"/>
        <v>3.1240250000000191E-2</v>
      </c>
      <c r="BO295" s="191">
        <f t="shared" si="39"/>
        <v>4.1114122500000239E-2</v>
      </c>
      <c r="BP295" s="191">
        <f t="shared" si="40"/>
        <v>1.5660840000000009E-2</v>
      </c>
      <c r="BQ295" s="171">
        <f t="shared" si="41"/>
        <v>3.9900000000000005E-2</v>
      </c>
      <c r="BR295" s="171">
        <f t="shared" si="42"/>
        <v>5.8499999999999996E-2</v>
      </c>
      <c r="BS295" s="171">
        <f t="shared" si="43"/>
        <v>3.1E-2</v>
      </c>
      <c r="BT295" s="171">
        <f t="shared" si="44"/>
        <v>4.07E-2</v>
      </c>
      <c r="BU295" s="171">
        <f t="shared" si="45"/>
        <v>1.5600000000000001E-2</v>
      </c>
    </row>
    <row r="296" spans="1:73" x14ac:dyDescent="0.3">
      <c r="A296" s="209">
        <v>40269</v>
      </c>
      <c r="B296" s="25">
        <v>201004</v>
      </c>
      <c r="C296" s="176">
        <v>3.99</v>
      </c>
      <c r="D296" s="176">
        <v>6.25</v>
      </c>
      <c r="E296" s="176">
        <v>1.54</v>
      </c>
      <c r="F296" s="177">
        <v>116</v>
      </c>
      <c r="G296" s="210">
        <v>5.2401746724890508E-3</v>
      </c>
      <c r="H296" s="179">
        <v>3.28</v>
      </c>
      <c r="I296" s="179">
        <v>4.04</v>
      </c>
      <c r="K296" s="182">
        <v>0.04</v>
      </c>
      <c r="L296" s="182">
        <v>4.4999999999999998E-2</v>
      </c>
      <c r="N296" s="182">
        <v>4.4999999999999998E-2</v>
      </c>
      <c r="O296" s="182">
        <v>1.7500000000000002E-2</v>
      </c>
      <c r="Q296" s="182">
        <v>3.5000000000000003E-2</v>
      </c>
      <c r="R296" s="182">
        <v>5.2499999999999998E-2</v>
      </c>
      <c r="S296" s="182">
        <v>1.7500000000000002E-2</v>
      </c>
      <c r="T296" s="182">
        <v>2.2499999999999999E-2</v>
      </c>
      <c r="U296" s="182"/>
      <c r="V296" s="194">
        <v>3.7999999999999999E-2</v>
      </c>
      <c r="W296" s="194">
        <v>5.6000000000000001E-2</v>
      </c>
      <c r="X296" s="194">
        <v>0.02</v>
      </c>
      <c r="Y296" s="194">
        <v>2.7E-2</v>
      </c>
      <c r="Z296" s="194"/>
      <c r="AA296" s="195">
        <v>3.8311702500000037E-2</v>
      </c>
      <c r="AB296" s="195">
        <v>5.5709242500000415E-2</v>
      </c>
      <c r="AC296" s="195">
        <v>2.0437495179266678E-2</v>
      </c>
      <c r="AD296" s="195">
        <v>2.7226056160366406E-2</v>
      </c>
      <c r="AE296" s="195"/>
      <c r="AF296" s="195">
        <v>8.7581098328777252E-3</v>
      </c>
      <c r="AG296" s="195">
        <v>1.386412765175582E-2</v>
      </c>
      <c r="AI296" s="182">
        <v>3.3068960000000036E-2</v>
      </c>
      <c r="AJ296" s="182">
        <v>4.0808039999999934E-2</v>
      </c>
      <c r="AK296" s="182">
        <v>1.5459290000000125E-2</v>
      </c>
      <c r="AM296" s="7" t="s">
        <v>142</v>
      </c>
      <c r="AN296" s="7" t="b">
        <f t="shared" si="37"/>
        <v>0</v>
      </c>
      <c r="AP296" s="211">
        <v>-99</v>
      </c>
      <c r="AQ296" s="211">
        <v>-99</v>
      </c>
      <c r="AS296" s="211">
        <v>-99</v>
      </c>
      <c r="AT296" s="211">
        <v>-99</v>
      </c>
      <c r="AU296" s="211">
        <v>-99</v>
      </c>
      <c r="AV296" s="211">
        <v>-99</v>
      </c>
      <c r="AW296" s="211">
        <v>-99</v>
      </c>
      <c r="AX296" s="211">
        <v>-99</v>
      </c>
      <c r="AZ296" s="211">
        <v>-99</v>
      </c>
      <c r="BA296" s="211">
        <v>-99</v>
      </c>
      <c r="BB296" s="211">
        <v>-99</v>
      </c>
      <c r="BC296" s="211">
        <v>-99</v>
      </c>
      <c r="BD296" s="211">
        <v>-99</v>
      </c>
      <c r="BE296" s="211">
        <v>-99</v>
      </c>
      <c r="BG296" s="211">
        <v>-99</v>
      </c>
      <c r="BH296" s="211">
        <v>-99</v>
      </c>
      <c r="BI296" s="211">
        <v>-99</v>
      </c>
      <c r="BJ296" s="211">
        <v>-99</v>
      </c>
      <c r="BK296" s="211">
        <v>-99</v>
      </c>
      <c r="BL296" s="211">
        <v>-99</v>
      </c>
      <c r="BM296" s="211">
        <v>-99</v>
      </c>
      <c r="BN296" s="191">
        <f t="shared" si="38"/>
        <v>3.3068960000000036E-2</v>
      </c>
      <c r="BO296" s="191">
        <f t="shared" si="39"/>
        <v>4.0808039999999934E-2</v>
      </c>
      <c r="BP296" s="191">
        <f t="shared" si="40"/>
        <v>1.5459290000000125E-2</v>
      </c>
      <c r="BQ296" s="171">
        <f t="shared" si="41"/>
        <v>3.9900000000000005E-2</v>
      </c>
      <c r="BR296" s="171">
        <f t="shared" si="42"/>
        <v>6.25E-2</v>
      </c>
      <c r="BS296" s="171">
        <f t="shared" si="43"/>
        <v>3.2799999999999996E-2</v>
      </c>
      <c r="BT296" s="171">
        <f t="shared" si="44"/>
        <v>4.0399999999999998E-2</v>
      </c>
      <c r="BU296" s="171">
        <f t="shared" si="45"/>
        <v>1.54E-2</v>
      </c>
    </row>
    <row r="297" spans="1:73" x14ac:dyDescent="0.3">
      <c r="A297" s="209">
        <v>40299</v>
      </c>
      <c r="B297" s="25">
        <v>201005</v>
      </c>
      <c r="C297" s="176">
        <v>3.58</v>
      </c>
      <c r="D297" s="176">
        <v>5.99</v>
      </c>
      <c r="E297" s="176">
        <v>1.44</v>
      </c>
      <c r="F297" s="177">
        <v>116.3</v>
      </c>
      <c r="G297" s="210">
        <v>6.1135371179039666E-3</v>
      </c>
      <c r="H297" s="179">
        <v>2.75</v>
      </c>
      <c r="I297" s="179">
        <v>3.68</v>
      </c>
      <c r="K297" s="182">
        <v>0.04</v>
      </c>
      <c r="L297" s="182">
        <v>5.5E-2</v>
      </c>
      <c r="N297" s="182">
        <v>4.4999999999999998E-2</v>
      </c>
      <c r="O297" s="182">
        <v>1.7500000000000002E-2</v>
      </c>
      <c r="Q297" s="182">
        <v>3.5000000000000003E-2</v>
      </c>
      <c r="R297" s="182">
        <v>0.05</v>
      </c>
      <c r="S297" s="182">
        <v>1.7500000000000002E-2</v>
      </c>
      <c r="T297" s="182">
        <v>2.2499999999999999E-2</v>
      </c>
      <c r="U297" s="182"/>
      <c r="V297" s="194">
        <v>0.04</v>
      </c>
      <c r="W297" s="194">
        <v>5.5E-2</v>
      </c>
      <c r="X297" s="194">
        <v>2.1000000000000001E-2</v>
      </c>
      <c r="Y297" s="194">
        <v>2.7E-2</v>
      </c>
      <c r="Z297" s="194"/>
      <c r="AA297" s="195">
        <v>4.0240250000000193E-2</v>
      </c>
      <c r="AB297" s="195">
        <v>5.5051058750000263E-2</v>
      </c>
      <c r="AC297" s="195">
        <v>2.089976891298119E-2</v>
      </c>
      <c r="AD297" s="195">
        <v>2.654137554350942E-2</v>
      </c>
      <c r="AE297" s="195"/>
      <c r="AF297" s="195">
        <v>9.4722722425590877E-3</v>
      </c>
      <c r="AG297" s="195">
        <v>1.3886280614551993E-2</v>
      </c>
      <c r="AI297" s="182">
        <v>2.7689062499999917E-2</v>
      </c>
      <c r="AJ297" s="182">
        <v>3.7138560000000043E-2</v>
      </c>
      <c r="AK297" s="182">
        <v>1.4451840000000216E-2</v>
      </c>
      <c r="AM297" s="7" t="s">
        <v>142</v>
      </c>
      <c r="AN297" s="7" t="b">
        <f t="shared" si="37"/>
        <v>0</v>
      </c>
      <c r="AP297" s="211">
        <v>-99</v>
      </c>
      <c r="AQ297" s="211">
        <v>-99</v>
      </c>
      <c r="AS297" s="211">
        <v>-99</v>
      </c>
      <c r="AT297" s="211">
        <v>-99</v>
      </c>
      <c r="AU297" s="211">
        <v>-99</v>
      </c>
      <c r="AV297" s="211">
        <v>-99</v>
      </c>
      <c r="AW297" s="211">
        <v>-99</v>
      </c>
      <c r="AX297" s="211">
        <v>-99</v>
      </c>
      <c r="AZ297" s="211">
        <v>-99</v>
      </c>
      <c r="BA297" s="211">
        <v>-99</v>
      </c>
      <c r="BB297" s="211">
        <v>-99</v>
      </c>
      <c r="BC297" s="211">
        <v>-99</v>
      </c>
      <c r="BD297" s="211">
        <v>-99</v>
      </c>
      <c r="BE297" s="211">
        <v>-99</v>
      </c>
      <c r="BG297" s="211">
        <v>-99</v>
      </c>
      <c r="BH297" s="211">
        <v>-99</v>
      </c>
      <c r="BI297" s="211">
        <v>-99</v>
      </c>
      <c r="BJ297" s="211">
        <v>-99</v>
      </c>
      <c r="BK297" s="211">
        <v>-99</v>
      </c>
      <c r="BL297" s="211">
        <v>-99</v>
      </c>
      <c r="BM297" s="211">
        <v>-99</v>
      </c>
      <c r="BN297" s="191">
        <f t="shared" si="38"/>
        <v>2.7689062499999917E-2</v>
      </c>
      <c r="BO297" s="191">
        <f t="shared" si="39"/>
        <v>3.7138560000000043E-2</v>
      </c>
      <c r="BP297" s="191">
        <f t="shared" si="40"/>
        <v>1.4451840000000216E-2</v>
      </c>
      <c r="BQ297" s="171">
        <f t="shared" si="41"/>
        <v>3.5799999999999998E-2</v>
      </c>
      <c r="BR297" s="171">
        <f t="shared" si="42"/>
        <v>5.9900000000000002E-2</v>
      </c>
      <c r="BS297" s="171">
        <f t="shared" si="43"/>
        <v>2.75E-2</v>
      </c>
      <c r="BT297" s="171">
        <f t="shared" si="44"/>
        <v>3.6799999999999999E-2</v>
      </c>
      <c r="BU297" s="171">
        <f t="shared" si="45"/>
        <v>1.44E-2</v>
      </c>
    </row>
    <row r="298" spans="1:73" x14ac:dyDescent="0.3">
      <c r="A298" s="209">
        <v>40330</v>
      </c>
      <c r="B298" s="25">
        <v>201006</v>
      </c>
      <c r="C298" s="176">
        <v>3.59</v>
      </c>
      <c r="D298" s="176">
        <v>5.89</v>
      </c>
      <c r="E298" s="176">
        <v>1.42</v>
      </c>
      <c r="F298" s="177">
        <v>116.2</v>
      </c>
      <c r="G298" s="210">
        <v>6.9868995633186604E-3</v>
      </c>
      <c r="H298" s="179">
        <v>2.56</v>
      </c>
      <c r="I298" s="179">
        <v>3.65</v>
      </c>
      <c r="K298" s="182">
        <v>0.04</v>
      </c>
      <c r="L298" s="182">
        <v>5.5E-2</v>
      </c>
      <c r="N298" s="182">
        <v>4.4999999999999998E-2</v>
      </c>
      <c r="O298" s="182">
        <v>1.7500000000000002E-2</v>
      </c>
      <c r="Q298" s="182">
        <v>3.7499999999999999E-2</v>
      </c>
      <c r="R298" s="182">
        <v>0.05</v>
      </c>
      <c r="S298" s="182">
        <v>1.7500000000000002E-2</v>
      </c>
      <c r="T298" s="182">
        <v>2.2499999999999999E-2</v>
      </c>
      <c r="U298" s="182"/>
      <c r="V298" s="194">
        <v>4.2000000000000003E-2</v>
      </c>
      <c r="W298" s="194">
        <v>5.3999999999999999E-2</v>
      </c>
      <c r="X298" s="194">
        <v>2.1999999999999999E-2</v>
      </c>
      <c r="Y298" s="194">
        <v>2.6000000000000002E-2</v>
      </c>
      <c r="Z298" s="194"/>
      <c r="AA298" s="195">
        <v>4.2068960000000037E-2</v>
      </c>
      <c r="AB298" s="195">
        <v>5.3677579999999885E-2</v>
      </c>
      <c r="AC298" s="195">
        <v>2.1527498077300589E-2</v>
      </c>
      <c r="AD298" s="195">
        <v>2.5925185961349895E-2</v>
      </c>
      <c r="AE298" s="195"/>
      <c r="AF298" s="195">
        <v>1.0054287310602095E-2</v>
      </c>
      <c r="AG298" s="195">
        <v>1.3525544756289642E-2</v>
      </c>
      <c r="AI298" s="182">
        <v>2.576383999999976E-2</v>
      </c>
      <c r="AJ298" s="182">
        <v>3.683306250000018E-2</v>
      </c>
      <c r="AK298" s="182">
        <v>1.4250410000000269E-2</v>
      </c>
      <c r="AM298" s="7" t="s">
        <v>142</v>
      </c>
      <c r="AN298" s="7" t="b">
        <f t="shared" si="37"/>
        <v>0</v>
      </c>
      <c r="AP298" s="211">
        <v>-99</v>
      </c>
      <c r="AQ298" s="211">
        <v>-99</v>
      </c>
      <c r="AS298" s="211">
        <v>-99</v>
      </c>
      <c r="AT298" s="211">
        <v>-99</v>
      </c>
      <c r="AU298" s="211">
        <v>-99</v>
      </c>
      <c r="AV298" s="211">
        <v>-99</v>
      </c>
      <c r="AW298" s="211">
        <v>-99</v>
      </c>
      <c r="AX298" s="211">
        <v>-99</v>
      </c>
      <c r="AZ298" s="211">
        <v>-99</v>
      </c>
      <c r="BA298" s="211">
        <v>-99</v>
      </c>
      <c r="BB298" s="211">
        <v>-99</v>
      </c>
      <c r="BC298" s="211">
        <v>-99</v>
      </c>
      <c r="BD298" s="211">
        <v>-99</v>
      </c>
      <c r="BE298" s="211">
        <v>-99</v>
      </c>
      <c r="BG298" s="211">
        <v>-99</v>
      </c>
      <c r="BH298" s="211">
        <v>-99</v>
      </c>
      <c r="BI298" s="211">
        <v>-99</v>
      </c>
      <c r="BJ298" s="211">
        <v>-99</v>
      </c>
      <c r="BK298" s="211">
        <v>-99</v>
      </c>
      <c r="BL298" s="211">
        <v>-99</v>
      </c>
      <c r="BM298" s="211">
        <v>-99</v>
      </c>
      <c r="BN298" s="191">
        <f t="shared" si="38"/>
        <v>2.576383999999976E-2</v>
      </c>
      <c r="BO298" s="191">
        <f t="shared" si="39"/>
        <v>3.683306250000018E-2</v>
      </c>
      <c r="BP298" s="191">
        <f t="shared" si="40"/>
        <v>1.4250410000000269E-2</v>
      </c>
      <c r="BQ298" s="171">
        <f t="shared" si="41"/>
        <v>3.5900000000000001E-2</v>
      </c>
      <c r="BR298" s="171">
        <f t="shared" si="42"/>
        <v>5.8899999999999994E-2</v>
      </c>
      <c r="BS298" s="171">
        <f t="shared" si="43"/>
        <v>2.5600000000000001E-2</v>
      </c>
      <c r="BT298" s="171">
        <f t="shared" si="44"/>
        <v>3.6499999999999998E-2</v>
      </c>
      <c r="BU298" s="171">
        <f t="shared" si="45"/>
        <v>1.4199999999999999E-2</v>
      </c>
    </row>
    <row r="299" spans="1:73" x14ac:dyDescent="0.3">
      <c r="A299" s="209">
        <v>40360</v>
      </c>
      <c r="B299" s="25">
        <v>201007</v>
      </c>
      <c r="C299" s="176">
        <v>3.71</v>
      </c>
      <c r="D299" s="176">
        <v>5.79</v>
      </c>
      <c r="E299" s="176">
        <v>1.55</v>
      </c>
      <c r="F299" s="177">
        <v>116.8</v>
      </c>
      <c r="G299" s="210">
        <v>9.6153846153845812E-3</v>
      </c>
      <c r="H299" s="179">
        <v>2.66</v>
      </c>
      <c r="I299" s="179">
        <v>3.77</v>
      </c>
      <c r="K299" s="182">
        <v>0.04</v>
      </c>
      <c r="L299" s="182">
        <v>0.05</v>
      </c>
      <c r="N299" s="182">
        <v>0.04</v>
      </c>
      <c r="O299" s="182">
        <v>1.7500000000000002E-2</v>
      </c>
      <c r="Q299" s="182">
        <v>3.2500000000000001E-2</v>
      </c>
      <c r="R299" s="182">
        <v>4.7500000000000001E-2</v>
      </c>
      <c r="S299" s="182">
        <v>1.4999999999999999E-2</v>
      </c>
      <c r="T299" s="182">
        <v>2.2499999999999999E-2</v>
      </c>
      <c r="U299" s="182"/>
      <c r="V299" s="194">
        <v>3.6999999999999998E-2</v>
      </c>
      <c r="W299" s="194">
        <v>5.1000000000000004E-2</v>
      </c>
      <c r="X299" s="194">
        <v>0.02</v>
      </c>
      <c r="Y299" s="194">
        <v>2.5000000000000001E-2</v>
      </c>
      <c r="Z299" s="194"/>
      <c r="AA299" s="195">
        <v>3.6689062499999918E-2</v>
      </c>
      <c r="AB299" s="195">
        <v>5.0863308750000107E-2</v>
      </c>
      <c r="AC299" s="195">
        <v>1.9774728503205413E-2</v>
      </c>
      <c r="AD299" s="195">
        <v>2.5290395748397618E-2</v>
      </c>
      <c r="AE299" s="195"/>
      <c r="AF299" s="195">
        <v>8.2931717780556635E-3</v>
      </c>
      <c r="AG299" s="195">
        <v>1.2471058496035137E-2</v>
      </c>
      <c r="AI299" s="182">
        <v>2.6776890000000275E-2</v>
      </c>
      <c r="AJ299" s="182">
        <v>3.8055322499999988E-2</v>
      </c>
      <c r="AK299" s="182">
        <v>1.556006249999986E-2</v>
      </c>
      <c r="AM299" s="7" t="s">
        <v>142</v>
      </c>
      <c r="AN299" s="7" t="b">
        <f t="shared" si="37"/>
        <v>0</v>
      </c>
      <c r="AP299" s="211">
        <v>-99</v>
      </c>
      <c r="AQ299" s="211">
        <v>-99</v>
      </c>
      <c r="AS299" s="211">
        <v>-99</v>
      </c>
      <c r="AT299" s="211">
        <v>-99</v>
      </c>
      <c r="AU299" s="211">
        <v>-99</v>
      </c>
      <c r="AV299" s="211">
        <v>-99</v>
      </c>
      <c r="AW299" s="211">
        <v>-99</v>
      </c>
      <c r="AX299" s="211">
        <v>-99</v>
      </c>
      <c r="AZ299" s="211">
        <v>-99</v>
      </c>
      <c r="BA299" s="211">
        <v>-99</v>
      </c>
      <c r="BB299" s="211">
        <v>-99</v>
      </c>
      <c r="BC299" s="211">
        <v>-99</v>
      </c>
      <c r="BD299" s="211">
        <v>-99</v>
      </c>
      <c r="BE299" s="211">
        <v>-99</v>
      </c>
      <c r="BG299" s="211">
        <v>-99</v>
      </c>
      <c r="BH299" s="211">
        <v>-99</v>
      </c>
      <c r="BI299" s="211">
        <v>-99</v>
      </c>
      <c r="BJ299" s="211">
        <v>-99</v>
      </c>
      <c r="BK299" s="211">
        <v>-99</v>
      </c>
      <c r="BL299" s="211">
        <v>-99</v>
      </c>
      <c r="BM299" s="211">
        <v>-99</v>
      </c>
      <c r="BN299" s="191">
        <f t="shared" si="38"/>
        <v>2.6776890000000275E-2</v>
      </c>
      <c r="BO299" s="191">
        <f t="shared" si="39"/>
        <v>3.8055322499999988E-2</v>
      </c>
      <c r="BP299" s="191">
        <f t="shared" si="40"/>
        <v>1.556006249999986E-2</v>
      </c>
      <c r="BQ299" s="171">
        <f t="shared" si="41"/>
        <v>3.7100000000000001E-2</v>
      </c>
      <c r="BR299" s="171">
        <f t="shared" si="42"/>
        <v>5.79E-2</v>
      </c>
      <c r="BS299" s="171">
        <f t="shared" si="43"/>
        <v>2.6600000000000002E-2</v>
      </c>
      <c r="BT299" s="171">
        <f t="shared" si="44"/>
        <v>3.7699999999999997E-2</v>
      </c>
      <c r="BU299" s="171">
        <f t="shared" si="45"/>
        <v>1.55E-2</v>
      </c>
    </row>
    <row r="300" spans="1:73" x14ac:dyDescent="0.3">
      <c r="A300" s="209">
        <v>40391</v>
      </c>
      <c r="B300" s="25">
        <v>201008</v>
      </c>
      <c r="C300" s="176">
        <v>3.39</v>
      </c>
      <c r="D300" s="176">
        <v>5.39</v>
      </c>
      <c r="E300" s="176">
        <v>1.4</v>
      </c>
      <c r="F300" s="177">
        <v>116.7</v>
      </c>
      <c r="G300" s="210">
        <v>1.1373578302712239E-2</v>
      </c>
      <c r="H300" s="179">
        <v>2.19</v>
      </c>
      <c r="I300" s="179">
        <v>3.47</v>
      </c>
      <c r="K300" s="182">
        <v>0.04</v>
      </c>
      <c r="L300" s="182">
        <v>0.05</v>
      </c>
      <c r="N300" s="182">
        <v>4.2500000000000003E-2</v>
      </c>
      <c r="O300" s="182">
        <v>1.7500000000000002E-2</v>
      </c>
      <c r="Q300" s="182">
        <v>0.03</v>
      </c>
      <c r="R300" s="182">
        <v>4.7500000000000001E-2</v>
      </c>
      <c r="S300" s="182">
        <v>1.4999999999999999E-2</v>
      </c>
      <c r="T300" s="182">
        <v>2.2499999999999999E-2</v>
      </c>
      <c r="U300" s="182"/>
      <c r="V300" s="194">
        <v>3.5000000000000003E-2</v>
      </c>
      <c r="W300" s="194">
        <v>5.1000000000000004E-2</v>
      </c>
      <c r="X300" s="194">
        <v>1.9E-2</v>
      </c>
      <c r="Y300" s="194">
        <v>2.5000000000000001E-2</v>
      </c>
      <c r="Z300" s="194"/>
      <c r="AA300" s="195">
        <v>3.4763839999999761E-2</v>
      </c>
      <c r="AB300" s="195">
        <v>5.1367673750000391E-2</v>
      </c>
      <c r="AC300" s="195">
        <v>1.8967818537337255E-2</v>
      </c>
      <c r="AD300" s="195">
        <v>2.5391705731331777E-2</v>
      </c>
      <c r="AE300" s="195"/>
      <c r="AF300" s="195">
        <v>7.7509913342193038E-3</v>
      </c>
      <c r="AG300" s="195">
        <v>1.2666363436274364E-2</v>
      </c>
      <c r="AI300" s="182">
        <v>2.2019902500000077E-2</v>
      </c>
      <c r="AJ300" s="182">
        <v>3.5001022499999923E-2</v>
      </c>
      <c r="AK300" s="182">
        <v>1.4048999999999756E-2</v>
      </c>
      <c r="AM300" s="7" t="s">
        <v>142</v>
      </c>
      <c r="AN300" s="7" t="b">
        <f t="shared" si="37"/>
        <v>0</v>
      </c>
      <c r="AP300" s="211">
        <v>-99</v>
      </c>
      <c r="AQ300" s="211">
        <v>-99</v>
      </c>
      <c r="AS300" s="211">
        <v>-99</v>
      </c>
      <c r="AT300" s="211">
        <v>-99</v>
      </c>
      <c r="AU300" s="211">
        <v>-99</v>
      </c>
      <c r="AV300" s="211">
        <v>-99</v>
      </c>
      <c r="AW300" s="211">
        <v>-99</v>
      </c>
      <c r="AX300" s="211">
        <v>-99</v>
      </c>
      <c r="AZ300" s="211">
        <v>-99</v>
      </c>
      <c r="BA300" s="211">
        <v>-99</v>
      </c>
      <c r="BB300" s="211">
        <v>-99</v>
      </c>
      <c r="BC300" s="211">
        <v>-99</v>
      </c>
      <c r="BD300" s="211">
        <v>-99</v>
      </c>
      <c r="BE300" s="211">
        <v>-99</v>
      </c>
      <c r="BG300" s="211">
        <v>-99</v>
      </c>
      <c r="BH300" s="211">
        <v>-99</v>
      </c>
      <c r="BI300" s="211">
        <v>-99</v>
      </c>
      <c r="BJ300" s="211">
        <v>-99</v>
      </c>
      <c r="BK300" s="211">
        <v>-99</v>
      </c>
      <c r="BL300" s="211">
        <v>-99</v>
      </c>
      <c r="BM300" s="211">
        <v>-99</v>
      </c>
      <c r="BN300" s="191">
        <f t="shared" si="38"/>
        <v>2.2019902500000077E-2</v>
      </c>
      <c r="BO300" s="191">
        <f t="shared" si="39"/>
        <v>3.5001022499999923E-2</v>
      </c>
      <c r="BP300" s="191">
        <f t="shared" si="40"/>
        <v>1.4048999999999756E-2</v>
      </c>
      <c r="BQ300" s="171">
        <f t="shared" si="41"/>
        <v>3.39E-2</v>
      </c>
      <c r="BR300" s="171">
        <f t="shared" si="42"/>
        <v>5.3899999999999997E-2</v>
      </c>
      <c r="BS300" s="171">
        <f t="shared" si="43"/>
        <v>2.1899999999999999E-2</v>
      </c>
      <c r="BT300" s="171">
        <f t="shared" si="44"/>
        <v>3.4700000000000002E-2</v>
      </c>
      <c r="BU300" s="171">
        <f t="shared" si="45"/>
        <v>1.3999999999999999E-2</v>
      </c>
    </row>
    <row r="301" spans="1:73" x14ac:dyDescent="0.3">
      <c r="A301" s="209">
        <v>40422</v>
      </c>
      <c r="B301" s="25">
        <v>201009</v>
      </c>
      <c r="C301" s="176">
        <v>3.25</v>
      </c>
      <c r="D301" s="176">
        <v>5.39</v>
      </c>
      <c r="E301" s="176">
        <v>1.17</v>
      </c>
      <c r="F301" s="177">
        <v>116.9</v>
      </c>
      <c r="G301" s="210">
        <v>1.4010507880910739E-2</v>
      </c>
      <c r="H301" s="179">
        <v>2.11</v>
      </c>
      <c r="I301" s="179">
        <v>3.33</v>
      </c>
      <c r="K301" s="182">
        <v>0.04</v>
      </c>
      <c r="L301" s="182">
        <v>4.4999999999999998E-2</v>
      </c>
      <c r="N301" s="182">
        <v>4.2500000000000003E-2</v>
      </c>
      <c r="O301" s="182">
        <v>1.7500000000000002E-2</v>
      </c>
      <c r="Q301" s="182">
        <v>3.2500000000000001E-2</v>
      </c>
      <c r="R301" s="182">
        <v>4.7500000000000001E-2</v>
      </c>
      <c r="S301" s="182">
        <v>1.4999999999999999E-2</v>
      </c>
      <c r="T301" s="182">
        <v>2.2499999999999999E-2</v>
      </c>
      <c r="U301" s="182"/>
      <c r="V301" s="194">
        <v>3.6000000000000004E-2</v>
      </c>
      <c r="W301" s="194">
        <v>5.2999999999999999E-2</v>
      </c>
      <c r="X301" s="194">
        <v>0.02</v>
      </c>
      <c r="Y301" s="194">
        <v>2.7E-2</v>
      </c>
      <c r="Z301" s="194"/>
      <c r="AA301" s="195">
        <v>3.5776890000000276E-2</v>
      </c>
      <c r="AB301" s="195">
        <v>5.2694538749999846E-2</v>
      </c>
      <c r="AC301" s="195">
        <v>1.9948536356658803E-2</v>
      </c>
      <c r="AD301" s="195">
        <v>2.6865825571670391E-2</v>
      </c>
      <c r="AE301" s="195"/>
      <c r="AF301" s="195">
        <v>7.7593883804577546E-3</v>
      </c>
      <c r="AG301" s="195">
        <v>1.2576479095479653E-2</v>
      </c>
      <c r="AI301" s="182">
        <v>2.1211302500000029E-2</v>
      </c>
      <c r="AJ301" s="182">
        <v>3.357722250000017E-2</v>
      </c>
      <c r="AK301" s="182">
        <v>1.1734222499999891E-2</v>
      </c>
      <c r="AM301" s="7" t="s">
        <v>142</v>
      </c>
      <c r="AN301" s="7" t="b">
        <f t="shared" si="37"/>
        <v>0</v>
      </c>
      <c r="AP301" s="211">
        <v>-99</v>
      </c>
      <c r="AQ301" s="211">
        <v>-99</v>
      </c>
      <c r="AS301" s="211">
        <v>-99</v>
      </c>
      <c r="AT301" s="211">
        <v>-99</v>
      </c>
      <c r="AU301" s="211">
        <v>-99</v>
      </c>
      <c r="AV301" s="211">
        <v>-99</v>
      </c>
      <c r="AW301" s="211">
        <v>-99</v>
      </c>
      <c r="AX301" s="211">
        <v>-99</v>
      </c>
      <c r="AZ301" s="211">
        <v>-99</v>
      </c>
      <c r="BA301" s="211">
        <v>-99</v>
      </c>
      <c r="BB301" s="211">
        <v>-99</v>
      </c>
      <c r="BC301" s="211">
        <v>-99</v>
      </c>
      <c r="BD301" s="211">
        <v>-99</v>
      </c>
      <c r="BE301" s="211">
        <v>-99</v>
      </c>
      <c r="BG301" s="211">
        <v>-99</v>
      </c>
      <c r="BH301" s="211">
        <v>-99</v>
      </c>
      <c r="BI301" s="211">
        <v>-99</v>
      </c>
      <c r="BJ301" s="211">
        <v>-99</v>
      </c>
      <c r="BK301" s="211">
        <v>-99</v>
      </c>
      <c r="BL301" s="211">
        <v>-99</v>
      </c>
      <c r="BM301" s="211">
        <v>-99</v>
      </c>
      <c r="BN301" s="191">
        <f t="shared" si="38"/>
        <v>2.1211302500000029E-2</v>
      </c>
      <c r="BO301" s="191">
        <f t="shared" si="39"/>
        <v>3.357722250000017E-2</v>
      </c>
      <c r="BP301" s="191">
        <f t="shared" si="40"/>
        <v>1.1734222499999891E-2</v>
      </c>
      <c r="BQ301" s="171">
        <f t="shared" si="41"/>
        <v>3.2500000000000001E-2</v>
      </c>
      <c r="BR301" s="171">
        <f t="shared" si="42"/>
        <v>5.3899999999999997E-2</v>
      </c>
      <c r="BS301" s="171">
        <f t="shared" si="43"/>
        <v>2.1099999999999997E-2</v>
      </c>
      <c r="BT301" s="171">
        <f t="shared" si="44"/>
        <v>3.3300000000000003E-2</v>
      </c>
      <c r="BU301" s="171">
        <f t="shared" si="45"/>
        <v>1.1699999999999999E-2</v>
      </c>
    </row>
    <row r="302" spans="1:73" x14ac:dyDescent="0.3">
      <c r="A302" s="209">
        <v>40452</v>
      </c>
      <c r="B302" s="25">
        <v>201010</v>
      </c>
      <c r="C302" s="176">
        <v>3.38</v>
      </c>
      <c r="D302" s="176">
        <v>5.29</v>
      </c>
      <c r="E302" s="176">
        <v>1.17</v>
      </c>
      <c r="F302" s="177">
        <v>117.4</v>
      </c>
      <c r="G302" s="210">
        <v>1.6637478108581405E-2</v>
      </c>
      <c r="H302" s="179">
        <v>2.38</v>
      </c>
      <c r="I302" s="179">
        <v>3.5</v>
      </c>
      <c r="K302" s="182">
        <v>3.5000000000000003E-2</v>
      </c>
      <c r="L302" s="182">
        <v>0.04</v>
      </c>
      <c r="N302" s="182">
        <v>0.04</v>
      </c>
      <c r="O302" s="182">
        <v>1.7500000000000002E-2</v>
      </c>
      <c r="Q302" s="182">
        <v>2.75E-2</v>
      </c>
      <c r="R302" s="182">
        <v>4.7500000000000001E-2</v>
      </c>
      <c r="S302" s="182">
        <v>1.4999999999999999E-2</v>
      </c>
      <c r="T302" s="182">
        <v>2.2499999999999999E-2</v>
      </c>
      <c r="U302" s="182"/>
      <c r="V302" s="194">
        <v>3.1E-2</v>
      </c>
      <c r="W302" s="194">
        <v>0.05</v>
      </c>
      <c r="X302" s="194">
        <v>1.8000000000000002E-2</v>
      </c>
      <c r="Y302" s="194">
        <v>2.6000000000000002E-2</v>
      </c>
      <c r="Z302" s="194"/>
      <c r="AA302" s="195">
        <v>3.1019902500000078E-2</v>
      </c>
      <c r="AB302" s="195">
        <v>5.0491582499999847E-2</v>
      </c>
      <c r="AC302" s="195">
        <v>1.7838530652140132E-2</v>
      </c>
      <c r="AD302" s="195">
        <v>2.565423467392957E-2</v>
      </c>
      <c r="AE302" s="195"/>
      <c r="AF302" s="195">
        <v>6.4751782580948491E-3</v>
      </c>
      <c r="AG302" s="195">
        <v>1.2108051127954655E-2</v>
      </c>
      <c r="AI302" s="182">
        <v>2.3941610000000058E-2</v>
      </c>
      <c r="AJ302" s="182">
        <v>3.5306250000000095E-2</v>
      </c>
      <c r="AK302" s="182">
        <v>1.1734222499999891E-2</v>
      </c>
      <c r="AM302" s="7" t="s">
        <v>142</v>
      </c>
      <c r="AN302" s="7" t="b">
        <f t="shared" si="37"/>
        <v>0</v>
      </c>
      <c r="AP302" s="211">
        <v>-99</v>
      </c>
      <c r="AQ302" s="211">
        <v>-99</v>
      </c>
      <c r="AS302" s="211">
        <v>-99</v>
      </c>
      <c r="AT302" s="211">
        <v>-99</v>
      </c>
      <c r="AU302" s="211">
        <v>-99</v>
      </c>
      <c r="AV302" s="211">
        <v>-99</v>
      </c>
      <c r="AW302" s="211">
        <v>-99</v>
      </c>
      <c r="AX302" s="211">
        <v>-99</v>
      </c>
      <c r="AZ302" s="211">
        <v>-99</v>
      </c>
      <c r="BA302" s="211">
        <v>-99</v>
      </c>
      <c r="BB302" s="211">
        <v>-99</v>
      </c>
      <c r="BC302" s="211">
        <v>-99</v>
      </c>
      <c r="BD302" s="211">
        <v>-99</v>
      </c>
      <c r="BE302" s="211">
        <v>-99</v>
      </c>
      <c r="BG302" s="211">
        <v>-99</v>
      </c>
      <c r="BH302" s="211">
        <v>-99</v>
      </c>
      <c r="BI302" s="211">
        <v>-99</v>
      </c>
      <c r="BJ302" s="211">
        <v>-99</v>
      </c>
      <c r="BK302" s="211">
        <v>-99</v>
      </c>
      <c r="BL302" s="211">
        <v>-99</v>
      </c>
      <c r="BM302" s="211">
        <v>-99</v>
      </c>
      <c r="BN302" s="191">
        <f t="shared" si="38"/>
        <v>2.3941610000000058E-2</v>
      </c>
      <c r="BO302" s="191">
        <f t="shared" si="39"/>
        <v>3.5306250000000095E-2</v>
      </c>
      <c r="BP302" s="191">
        <f t="shared" si="40"/>
        <v>1.1734222499999891E-2</v>
      </c>
      <c r="BQ302" s="171">
        <f t="shared" si="41"/>
        <v>3.3799999999999997E-2</v>
      </c>
      <c r="BR302" s="171">
        <f t="shared" si="42"/>
        <v>5.2900000000000003E-2</v>
      </c>
      <c r="BS302" s="171">
        <f t="shared" si="43"/>
        <v>2.3799999999999998E-2</v>
      </c>
      <c r="BT302" s="171">
        <f t="shared" si="44"/>
        <v>3.5000000000000003E-2</v>
      </c>
      <c r="BU302" s="171">
        <f t="shared" si="45"/>
        <v>1.1699999999999999E-2</v>
      </c>
    </row>
    <row r="303" spans="1:73" x14ac:dyDescent="0.3">
      <c r="A303" s="209">
        <v>40483</v>
      </c>
      <c r="B303" s="25">
        <v>201011</v>
      </c>
      <c r="C303" s="176">
        <v>3.6</v>
      </c>
      <c r="D303" s="176">
        <v>5.44</v>
      </c>
      <c r="E303" s="176">
        <v>1.3</v>
      </c>
      <c r="F303" s="177">
        <v>117.5</v>
      </c>
      <c r="G303" s="210">
        <v>1.6622922134733153E-2</v>
      </c>
      <c r="H303" s="179">
        <v>2.75</v>
      </c>
      <c r="I303" s="179">
        <v>3.65</v>
      </c>
      <c r="K303" s="182">
        <v>3.5000000000000003E-2</v>
      </c>
      <c r="L303" s="182">
        <v>3.5000000000000003E-2</v>
      </c>
      <c r="N303" s="182">
        <v>3.7499999999999999E-2</v>
      </c>
      <c r="O303" s="182">
        <v>1.4999999999999999E-2</v>
      </c>
      <c r="Q303" s="182">
        <v>2.5000000000000001E-2</v>
      </c>
      <c r="R303" s="182">
        <v>4.4999999999999998E-2</v>
      </c>
      <c r="S303" s="182">
        <v>1.2500000000000001E-2</v>
      </c>
      <c r="T303" s="182">
        <v>0.02</v>
      </c>
      <c r="U303" s="182"/>
      <c r="V303" s="194">
        <v>0.03</v>
      </c>
      <c r="W303" s="194">
        <v>4.9000000000000002E-2</v>
      </c>
      <c r="X303" s="194">
        <v>1.6E-2</v>
      </c>
      <c r="Y303" s="194">
        <v>2.3E-2</v>
      </c>
      <c r="Z303" s="194"/>
      <c r="AA303" s="195">
        <v>3.021130250000003E-2</v>
      </c>
      <c r="AB303" s="195">
        <v>4.8760182500000242E-2</v>
      </c>
      <c r="AC303" s="195">
        <v>1.6412707916796963E-2</v>
      </c>
      <c r="AD303" s="195">
        <v>2.2894979791601357E-2</v>
      </c>
      <c r="AE303" s="195"/>
      <c r="AF303" s="195">
        <v>6.7878896415433099E-3</v>
      </c>
      <c r="AG303" s="195">
        <v>1.2643136988348735E-2</v>
      </c>
      <c r="AI303" s="182">
        <v>2.7689062499999917E-2</v>
      </c>
      <c r="AJ303" s="182">
        <v>3.683306250000018E-2</v>
      </c>
      <c r="AK303" s="182">
        <v>1.3042249999999811E-2</v>
      </c>
      <c r="AM303" s="7" t="s">
        <v>142</v>
      </c>
      <c r="AN303" s="7" t="b">
        <f t="shared" si="37"/>
        <v>0</v>
      </c>
      <c r="AP303" s="211">
        <v>-99</v>
      </c>
      <c r="AQ303" s="211">
        <v>-99</v>
      </c>
      <c r="AS303" s="211">
        <v>-99</v>
      </c>
      <c r="AT303" s="211">
        <v>-99</v>
      </c>
      <c r="AU303" s="211">
        <v>-99</v>
      </c>
      <c r="AV303" s="211">
        <v>-99</v>
      </c>
      <c r="AW303" s="211">
        <v>-99</v>
      </c>
      <c r="AX303" s="211">
        <v>-99</v>
      </c>
      <c r="AZ303" s="211">
        <v>-99</v>
      </c>
      <c r="BA303" s="211">
        <v>-99</v>
      </c>
      <c r="BB303" s="211">
        <v>-99</v>
      </c>
      <c r="BC303" s="211">
        <v>-99</v>
      </c>
      <c r="BD303" s="211">
        <v>-99</v>
      </c>
      <c r="BE303" s="211">
        <v>-99</v>
      </c>
      <c r="BG303" s="211">
        <v>-99</v>
      </c>
      <c r="BH303" s="211">
        <v>-99</v>
      </c>
      <c r="BI303" s="211">
        <v>-99</v>
      </c>
      <c r="BJ303" s="211">
        <v>-99</v>
      </c>
      <c r="BK303" s="211">
        <v>-99</v>
      </c>
      <c r="BL303" s="211">
        <v>-99</v>
      </c>
      <c r="BM303" s="211">
        <v>-99</v>
      </c>
      <c r="BN303" s="191">
        <f t="shared" si="38"/>
        <v>2.7689062499999917E-2</v>
      </c>
      <c r="BO303" s="191">
        <f t="shared" si="39"/>
        <v>3.683306250000018E-2</v>
      </c>
      <c r="BP303" s="191">
        <f t="shared" si="40"/>
        <v>1.3042249999999811E-2</v>
      </c>
      <c r="BQ303" s="171">
        <f t="shared" si="41"/>
        <v>3.6000000000000004E-2</v>
      </c>
      <c r="BR303" s="171">
        <f t="shared" si="42"/>
        <v>5.4400000000000004E-2</v>
      </c>
      <c r="BS303" s="171">
        <f t="shared" si="43"/>
        <v>2.75E-2</v>
      </c>
      <c r="BT303" s="171">
        <f t="shared" si="44"/>
        <v>3.6499999999999998E-2</v>
      </c>
      <c r="BU303" s="171">
        <f t="shared" si="45"/>
        <v>1.3000000000000001E-2</v>
      </c>
    </row>
    <row r="304" spans="1:73" x14ac:dyDescent="0.3">
      <c r="A304" s="209">
        <v>40513</v>
      </c>
      <c r="B304" s="25">
        <v>201012</v>
      </c>
      <c r="C304" s="176">
        <v>3.51</v>
      </c>
      <c r="D304" s="176">
        <v>5.19</v>
      </c>
      <c r="E304" s="176">
        <v>1.1200000000000001</v>
      </c>
      <c r="F304" s="177">
        <v>117.5</v>
      </c>
      <c r="G304" s="210">
        <v>1.8356643356643332E-2</v>
      </c>
      <c r="H304" s="179">
        <v>2.73</v>
      </c>
      <c r="I304" s="179">
        <v>3.54</v>
      </c>
      <c r="K304" s="182">
        <v>3.5000000000000003E-2</v>
      </c>
      <c r="L304" s="182">
        <v>3.5000000000000003E-2</v>
      </c>
      <c r="N304" s="182">
        <v>0.04</v>
      </c>
      <c r="O304" s="182">
        <v>1.4999999999999999E-2</v>
      </c>
      <c r="Q304" s="182">
        <v>0.03</v>
      </c>
      <c r="R304" s="182">
        <v>4.4999999999999998E-2</v>
      </c>
      <c r="S304" s="182">
        <v>1.2500000000000001E-2</v>
      </c>
      <c r="T304" s="182">
        <v>1.7500000000000002E-2</v>
      </c>
      <c r="U304" s="182"/>
      <c r="V304" s="194">
        <v>3.3000000000000002E-2</v>
      </c>
      <c r="W304" s="194">
        <v>0.05</v>
      </c>
      <c r="X304" s="194">
        <v>1.7000000000000001E-2</v>
      </c>
      <c r="Y304" s="194">
        <v>2.3E-2</v>
      </c>
      <c r="Z304" s="194"/>
      <c r="AA304" s="195">
        <v>3.2941610000000059E-2</v>
      </c>
      <c r="AB304" s="195">
        <v>4.9988570000000114E-2</v>
      </c>
      <c r="AC304" s="195">
        <v>1.695712313678803E-2</v>
      </c>
      <c r="AD304" s="195">
        <v>2.2622772181605823E-2</v>
      </c>
      <c r="AE304" s="195"/>
      <c r="AF304" s="195">
        <v>7.8589777777002823E-3</v>
      </c>
      <c r="AG304" s="195">
        <v>1.3380201655402879E-2</v>
      </c>
      <c r="AI304" s="182">
        <v>2.7486322499999938E-2</v>
      </c>
      <c r="AJ304" s="182">
        <v>3.571329000000012E-2</v>
      </c>
      <c r="AK304" s="182">
        <v>1.1231360000000024E-2</v>
      </c>
      <c r="AM304" s="7" t="s">
        <v>142</v>
      </c>
      <c r="AN304" s="7" t="b">
        <f t="shared" si="37"/>
        <v>0</v>
      </c>
      <c r="AP304" s="211">
        <v>-99</v>
      </c>
      <c r="AQ304" s="211">
        <v>-99</v>
      </c>
      <c r="AS304" s="211">
        <v>-99</v>
      </c>
      <c r="AT304" s="211">
        <v>-99</v>
      </c>
      <c r="AU304" s="211">
        <v>-99</v>
      </c>
      <c r="AV304" s="211">
        <v>-99</v>
      </c>
      <c r="AW304" s="211">
        <v>-99</v>
      </c>
      <c r="AX304" s="211">
        <v>-99</v>
      </c>
      <c r="AZ304" s="211">
        <v>-99</v>
      </c>
      <c r="BA304" s="211">
        <v>-99</v>
      </c>
      <c r="BB304" s="211">
        <v>-99</v>
      </c>
      <c r="BC304" s="211">
        <v>-99</v>
      </c>
      <c r="BD304" s="211">
        <v>-99</v>
      </c>
      <c r="BE304" s="211">
        <v>-99</v>
      </c>
      <c r="BG304" s="211">
        <v>-99</v>
      </c>
      <c r="BH304" s="211">
        <v>-99</v>
      </c>
      <c r="BI304" s="211">
        <v>-99</v>
      </c>
      <c r="BJ304" s="211">
        <v>-99</v>
      </c>
      <c r="BK304" s="211">
        <v>-99</v>
      </c>
      <c r="BL304" s="211">
        <v>-99</v>
      </c>
      <c r="BM304" s="211">
        <v>-99</v>
      </c>
      <c r="BN304" s="191">
        <f t="shared" si="38"/>
        <v>2.7486322499999938E-2</v>
      </c>
      <c r="BO304" s="191">
        <f t="shared" si="39"/>
        <v>3.571329000000012E-2</v>
      </c>
      <c r="BP304" s="191">
        <f t="shared" si="40"/>
        <v>1.1231360000000024E-2</v>
      </c>
      <c r="BQ304" s="171">
        <f t="shared" si="41"/>
        <v>3.5099999999999999E-2</v>
      </c>
      <c r="BR304" s="171">
        <f t="shared" si="42"/>
        <v>5.1900000000000002E-2</v>
      </c>
      <c r="BS304" s="171">
        <f t="shared" si="43"/>
        <v>2.7300000000000001E-2</v>
      </c>
      <c r="BT304" s="171">
        <f t="shared" si="44"/>
        <v>3.5400000000000001E-2</v>
      </c>
      <c r="BU304" s="171">
        <f t="shared" si="45"/>
        <v>1.1200000000000002E-2</v>
      </c>
    </row>
    <row r="305" spans="1:73" x14ac:dyDescent="0.3">
      <c r="A305" s="209">
        <v>40544</v>
      </c>
      <c r="B305" s="187">
        <v>201101</v>
      </c>
      <c r="C305" s="176">
        <v>3.71</v>
      </c>
      <c r="D305" s="176">
        <v>5.19</v>
      </c>
      <c r="E305" s="176">
        <v>1.35</v>
      </c>
      <c r="F305" s="177">
        <v>117.8</v>
      </c>
      <c r="G305" s="210">
        <v>1.832460732984309E-2</v>
      </c>
      <c r="H305" s="179">
        <v>2.85</v>
      </c>
      <c r="I305" s="179">
        <v>3.75</v>
      </c>
      <c r="K305" s="182">
        <v>0.04</v>
      </c>
      <c r="L305" s="182">
        <v>3.5000000000000003E-2</v>
      </c>
      <c r="N305" s="182">
        <v>4.2500000000000003E-2</v>
      </c>
      <c r="O305" s="182">
        <v>1.4999999999999999E-2</v>
      </c>
      <c r="Q305" s="182">
        <v>3.2500000000000001E-2</v>
      </c>
      <c r="R305" s="182">
        <v>4.7500000000000001E-2</v>
      </c>
      <c r="S305" s="182">
        <v>1.4999999999999999E-2</v>
      </c>
      <c r="T305" s="182">
        <v>0.02</v>
      </c>
      <c r="U305" s="182"/>
      <c r="V305" s="222">
        <f>ROUND((AI303+0.9%)/0.1%,0)*0.1%</f>
        <v>3.6999999999999998E-2</v>
      </c>
      <c r="W305" s="222">
        <f>ROUND((AJ303+0.5*(AJ303-AI303)+0.9%)/0.1%,0)*0.1%</f>
        <v>0.05</v>
      </c>
      <c r="X305" s="222">
        <f>ROUND((AK303*(AI303/AJ303)+0.9%)/0.1%,0)*0.1%</f>
        <v>1.9E-2</v>
      </c>
      <c r="Y305" s="222">
        <f>ROUND((AK303+0.5*(AK303-AK303*(AI303/AJ303))+0.9%)/0.1%,0)*0.1%</f>
        <v>2.4E-2</v>
      </c>
      <c r="Z305" s="222"/>
      <c r="AA305" s="223">
        <f>AI303+0.9%</f>
        <v>3.6689062499999918E-2</v>
      </c>
      <c r="AB305" s="223">
        <f>AJ303+0.5*(AJ303-AI303)+0.9%</f>
        <v>5.0405062500000312E-2</v>
      </c>
      <c r="AC305" s="223">
        <f>AK303*(AI303/AJ303)+0.9%</f>
        <v>1.8804443369068672E-2</v>
      </c>
      <c r="AD305" s="223">
        <f>AK303+0.5*(AK303-AK303*(AI303/AJ303))+0.9%</f>
        <v>2.366115331546538E-2</v>
      </c>
      <c r="AE305" s="195"/>
      <c r="AF305" s="195">
        <v>8.7772581123560789E-3</v>
      </c>
      <c r="AG305" s="195">
        <v>1.3062871975709878E-2</v>
      </c>
      <c r="AI305" s="182">
        <v>2.8703062500000209E-2</v>
      </c>
      <c r="AJ305" s="182">
        <v>3.7851562499999991E-2</v>
      </c>
      <c r="AK305" s="182">
        <v>1.3545562500000052E-2</v>
      </c>
      <c r="AM305" s="7" t="s">
        <v>142</v>
      </c>
      <c r="AN305" s="7" t="b">
        <f>1=2</f>
        <v>0</v>
      </c>
      <c r="AP305" s="211">
        <v>-99</v>
      </c>
      <c r="AQ305" s="211">
        <v>-99</v>
      </c>
      <c r="AS305" s="211">
        <v>-99</v>
      </c>
      <c r="AT305" s="211">
        <v>-99</v>
      </c>
      <c r="AU305" s="211">
        <v>-99</v>
      </c>
      <c r="AV305" s="211">
        <v>-99</v>
      </c>
      <c r="AW305" s="211">
        <v>-99</v>
      </c>
      <c r="AX305" s="211">
        <v>-99</v>
      </c>
      <c r="AZ305" s="211">
        <v>-99</v>
      </c>
      <c r="BA305" s="211">
        <v>-99</v>
      </c>
      <c r="BB305" s="211">
        <v>-99</v>
      </c>
      <c r="BC305" s="211">
        <v>-99</v>
      </c>
      <c r="BD305" s="211">
        <v>-99</v>
      </c>
      <c r="BE305" s="211">
        <v>-99</v>
      </c>
      <c r="BG305" s="211">
        <v>-99</v>
      </c>
      <c r="BH305" s="211">
        <v>-99</v>
      </c>
      <c r="BI305" s="211">
        <v>-99</v>
      </c>
      <c r="BJ305" s="211">
        <v>-99</v>
      </c>
      <c r="BK305" s="211">
        <v>-99</v>
      </c>
      <c r="BL305" s="211">
        <v>-99</v>
      </c>
      <c r="BM305" s="211">
        <v>-99</v>
      </c>
      <c r="BN305" s="191">
        <f t="shared" si="38"/>
        <v>2.8703062500000209E-2</v>
      </c>
      <c r="BO305" s="191">
        <f t="shared" si="39"/>
        <v>3.7851562499999991E-2</v>
      </c>
      <c r="BP305" s="191">
        <f t="shared" si="40"/>
        <v>1.3545562500000052E-2</v>
      </c>
      <c r="BQ305" s="171">
        <f t="shared" si="41"/>
        <v>3.7100000000000001E-2</v>
      </c>
      <c r="BR305" s="171">
        <f t="shared" si="42"/>
        <v>5.1900000000000002E-2</v>
      </c>
      <c r="BS305" s="171">
        <f t="shared" si="43"/>
        <v>2.8500000000000001E-2</v>
      </c>
      <c r="BT305" s="171">
        <f t="shared" si="44"/>
        <v>3.7499999999999999E-2</v>
      </c>
      <c r="BU305" s="171">
        <f t="shared" si="45"/>
        <v>1.3500000000000002E-2</v>
      </c>
    </row>
    <row r="306" spans="1:73" x14ac:dyDescent="0.3">
      <c r="A306" s="209">
        <v>40575</v>
      </c>
      <c r="B306" s="187">
        <v>201102</v>
      </c>
      <c r="C306" s="176">
        <v>3.69</v>
      </c>
      <c r="D306" s="176">
        <v>5.44</v>
      </c>
      <c r="E306" s="176">
        <v>1.31</v>
      </c>
      <c r="F306" s="177">
        <v>118.1</v>
      </c>
      <c r="G306" s="210">
        <v>1.8292682926829285E-2</v>
      </c>
      <c r="H306" s="179">
        <v>2.89</v>
      </c>
      <c r="I306" s="179">
        <v>3.75</v>
      </c>
      <c r="K306" s="182">
        <v>0.04</v>
      </c>
      <c r="L306" s="182">
        <v>0.03</v>
      </c>
      <c r="N306" s="182">
        <v>0.04</v>
      </c>
      <c r="O306" s="182">
        <v>1.2500000000000001E-2</v>
      </c>
      <c r="Q306" s="182">
        <v>3.2500000000000001E-2</v>
      </c>
      <c r="R306" s="182">
        <v>4.4999999999999998E-2</v>
      </c>
      <c r="S306" s="182">
        <v>1.2500000000000001E-2</v>
      </c>
      <c r="T306" s="182">
        <v>1.7500000000000002E-2</v>
      </c>
      <c r="U306" s="182"/>
      <c r="V306" s="194">
        <v>3.7999999999999999E-2</v>
      </c>
      <c r="W306" s="194">
        <v>5.1000000000000004E-2</v>
      </c>
      <c r="X306" s="194">
        <v>1.9E-2</v>
      </c>
      <c r="Y306" s="194">
        <v>2.4E-2</v>
      </c>
      <c r="Z306" s="194"/>
      <c r="AA306" s="195">
        <v>3.770306250000021E-2</v>
      </c>
      <c r="AB306" s="195">
        <v>5.1425812499999883E-2</v>
      </c>
      <c r="AC306" s="195">
        <v>1.9271679723529531E-2</v>
      </c>
      <c r="AD306" s="195">
        <v>2.4182503888235313E-2</v>
      </c>
      <c r="AE306" s="195"/>
      <c r="AF306" s="195">
        <v>9.0414475076311396E-3</v>
      </c>
      <c r="AG306" s="195">
        <v>1.3300026366559248E-2</v>
      </c>
      <c r="AI306" s="182">
        <v>2.9108802500000142E-2</v>
      </c>
      <c r="AJ306" s="182">
        <v>3.7851562499999991E-2</v>
      </c>
      <c r="AK306" s="182">
        <v>1.3142902500000053E-2</v>
      </c>
      <c r="AM306" s="27" t="s">
        <v>143</v>
      </c>
      <c r="AN306" s="7" t="b">
        <f>1=1</f>
        <v>1</v>
      </c>
      <c r="AO306" s="7" t="s">
        <v>144</v>
      </c>
      <c r="AP306" s="7">
        <v>1994</v>
      </c>
      <c r="AQ306" s="7">
        <f>YEAR(A306)</f>
        <v>2011</v>
      </c>
      <c r="AS306" s="211">
        <v>-99</v>
      </c>
      <c r="AT306" s="211">
        <v>-99</v>
      </c>
      <c r="AU306" s="211">
        <v>-99</v>
      </c>
      <c r="AV306" s="211">
        <v>-99</v>
      </c>
      <c r="AW306" s="211">
        <v>-99</v>
      </c>
      <c r="AX306" s="211">
        <v>-99</v>
      </c>
      <c r="AZ306" s="211">
        <v>-99</v>
      </c>
      <c r="BA306" s="211">
        <v>-99</v>
      </c>
      <c r="BB306" s="211">
        <v>-99</v>
      </c>
      <c r="BC306" s="211">
        <v>-99</v>
      </c>
      <c r="BD306" s="211">
        <v>-99</v>
      </c>
      <c r="BE306" s="211">
        <v>-99</v>
      </c>
      <c r="BG306" s="211">
        <v>-99</v>
      </c>
      <c r="BH306" s="211">
        <v>-99</v>
      </c>
      <c r="BI306" s="211">
        <v>-99</v>
      </c>
      <c r="BJ306" s="211">
        <v>-99</v>
      </c>
      <c r="BK306" s="211">
        <v>-99</v>
      </c>
      <c r="BL306" s="211">
        <v>-99</v>
      </c>
      <c r="BM306" s="211">
        <v>-99</v>
      </c>
      <c r="BN306" s="191">
        <f t="shared" si="38"/>
        <v>2.9108802500000142E-2</v>
      </c>
      <c r="BO306" s="191">
        <f t="shared" si="39"/>
        <v>3.7851562499999991E-2</v>
      </c>
      <c r="BP306" s="191">
        <f t="shared" si="40"/>
        <v>1.3142902500000053E-2</v>
      </c>
      <c r="BQ306" s="171">
        <f t="shared" si="41"/>
        <v>3.6900000000000002E-2</v>
      </c>
      <c r="BR306" s="171">
        <f t="shared" si="42"/>
        <v>5.4400000000000004E-2</v>
      </c>
      <c r="BS306" s="171">
        <f t="shared" si="43"/>
        <v>2.8900000000000002E-2</v>
      </c>
      <c r="BT306" s="171">
        <f t="shared" si="44"/>
        <v>3.7499999999999999E-2</v>
      </c>
      <c r="BU306" s="171">
        <f t="shared" si="45"/>
        <v>1.3100000000000001E-2</v>
      </c>
    </row>
    <row r="307" spans="1:73" x14ac:dyDescent="0.3">
      <c r="A307" s="209">
        <v>40603</v>
      </c>
      <c r="B307" s="187">
        <v>201103</v>
      </c>
      <c r="C307" s="176">
        <v>3.66</v>
      </c>
      <c r="D307" s="176">
        <v>5.34</v>
      </c>
      <c r="E307" s="176">
        <v>1.1299999999999999</v>
      </c>
      <c r="F307" s="177">
        <v>119.4</v>
      </c>
      <c r="G307" s="210">
        <v>2.0017406440382857E-2</v>
      </c>
      <c r="H307" s="179">
        <v>2.88</v>
      </c>
      <c r="I307" s="179">
        <v>3.72</v>
      </c>
      <c r="K307" s="182">
        <v>0.04</v>
      </c>
      <c r="L307" s="182">
        <v>0.03</v>
      </c>
      <c r="N307" s="182">
        <v>4.2500000000000003E-2</v>
      </c>
      <c r="O307" s="182">
        <v>1.4999999999999999E-2</v>
      </c>
      <c r="Q307" s="182">
        <v>3.2500000000000001E-2</v>
      </c>
      <c r="R307" s="182">
        <v>4.7500000000000001E-2</v>
      </c>
      <c r="S307" s="182">
        <v>1.4999999999999999E-2</v>
      </c>
      <c r="T307" s="182">
        <v>0.02</v>
      </c>
      <c r="V307" s="194">
        <v>3.7999999999999999E-2</v>
      </c>
      <c r="W307" s="194">
        <v>5.1000000000000004E-2</v>
      </c>
      <c r="X307" s="194">
        <v>1.9E-2</v>
      </c>
      <c r="Y307" s="194">
        <v>2.4E-2</v>
      </c>
      <c r="Z307" s="194"/>
      <c r="AA307" s="195">
        <v>3.8108802500000143E-2</v>
      </c>
      <c r="AB307" s="195">
        <v>5.1222942499999917E-2</v>
      </c>
      <c r="AC307" s="195">
        <v>1.9107222209103252E-2</v>
      </c>
      <c r="AD307" s="195">
        <v>2.3660742645448457E-2</v>
      </c>
      <c r="AE307" s="195"/>
      <c r="AF307" s="195">
        <v>9.3226600090750011E-3</v>
      </c>
      <c r="AG307" s="195">
        <v>1.3462565626636391E-2</v>
      </c>
      <c r="AI307" s="182">
        <v>2.9007360000000038E-2</v>
      </c>
      <c r="AJ307" s="182">
        <v>3.7545959999999878E-2</v>
      </c>
      <c r="AK307" s="182">
        <v>1.1331922499999925E-2</v>
      </c>
      <c r="AM307" s="27" t="s">
        <v>143</v>
      </c>
      <c r="AN307" s="7" t="b">
        <f t="shared" ref="AN307:AN370" si="46">1=1</f>
        <v>1</v>
      </c>
      <c r="AO307" s="7" t="s">
        <v>144</v>
      </c>
      <c r="AP307" s="7">
        <v>1994</v>
      </c>
      <c r="AQ307" s="7">
        <f t="shared" ref="AQ307:AQ365" si="47">YEAR(A307)</f>
        <v>2011</v>
      </c>
      <c r="AS307" s="211">
        <v>-99</v>
      </c>
      <c r="AT307" s="211">
        <v>-99</v>
      </c>
      <c r="AU307" s="211">
        <v>-99</v>
      </c>
      <c r="AV307" s="211">
        <v>-99</v>
      </c>
      <c r="AW307" s="211">
        <v>-99</v>
      </c>
      <c r="AX307" s="211">
        <v>-99</v>
      </c>
      <c r="AZ307" s="211">
        <v>-99</v>
      </c>
      <c r="BA307" s="211">
        <v>-99</v>
      </c>
      <c r="BB307" s="211">
        <v>-99</v>
      </c>
      <c r="BC307" s="211">
        <v>-99</v>
      </c>
      <c r="BD307" s="211">
        <v>-99</v>
      </c>
      <c r="BE307" s="211">
        <v>-99</v>
      </c>
      <c r="BG307" s="211">
        <v>-99</v>
      </c>
      <c r="BH307" s="211">
        <v>-99</v>
      </c>
      <c r="BI307" s="211">
        <v>-99</v>
      </c>
      <c r="BJ307" s="211">
        <v>-99</v>
      </c>
      <c r="BK307" s="211">
        <v>-99</v>
      </c>
      <c r="BL307" s="211">
        <v>-99</v>
      </c>
      <c r="BM307" s="211">
        <v>-99</v>
      </c>
      <c r="BN307" s="191">
        <f t="shared" si="38"/>
        <v>2.9007360000000038E-2</v>
      </c>
      <c r="BO307" s="191">
        <f t="shared" si="39"/>
        <v>3.7545959999999878E-2</v>
      </c>
      <c r="BP307" s="191">
        <f t="shared" si="40"/>
        <v>1.1331922499999925E-2</v>
      </c>
      <c r="BQ307" s="171">
        <f t="shared" si="41"/>
        <v>3.6600000000000001E-2</v>
      </c>
      <c r="BR307" s="171">
        <f t="shared" si="42"/>
        <v>5.3399999999999996E-2</v>
      </c>
      <c r="BS307" s="171">
        <f t="shared" si="43"/>
        <v>2.8799999999999999E-2</v>
      </c>
      <c r="BT307" s="171">
        <f t="shared" si="44"/>
        <v>3.7200000000000004E-2</v>
      </c>
      <c r="BU307" s="171">
        <f t="shared" si="45"/>
        <v>1.1299999999999999E-2</v>
      </c>
    </row>
    <row r="308" spans="1:73" x14ac:dyDescent="0.3">
      <c r="A308" s="209">
        <v>40634</v>
      </c>
      <c r="B308" s="187">
        <v>201104</v>
      </c>
      <c r="C308" s="176">
        <v>3.67</v>
      </c>
      <c r="D308" s="176">
        <v>5.69</v>
      </c>
      <c r="E308" s="176">
        <v>1.05</v>
      </c>
      <c r="F308" s="177">
        <v>119.8</v>
      </c>
      <c r="G308" s="210">
        <v>2.0851433536055675E-2</v>
      </c>
      <c r="H308" s="179">
        <v>2.83</v>
      </c>
      <c r="I308" s="179">
        <v>3.74</v>
      </c>
      <c r="K308" s="182">
        <v>0.04</v>
      </c>
      <c r="L308" s="182">
        <v>3.5000000000000003E-2</v>
      </c>
      <c r="N308" s="182">
        <v>4.2500000000000003E-2</v>
      </c>
      <c r="O308" s="182">
        <v>1.4999999999999999E-2</v>
      </c>
      <c r="Q308" s="182">
        <v>3.5000000000000003E-2</v>
      </c>
      <c r="R308" s="182">
        <v>4.7500000000000001E-2</v>
      </c>
      <c r="S308" s="182">
        <v>1.4999999999999999E-2</v>
      </c>
      <c r="T308" s="182">
        <v>0.02</v>
      </c>
      <c r="V308" s="194">
        <v>3.7999999999999999E-2</v>
      </c>
      <c r="W308" s="194">
        <v>5.1000000000000004E-2</v>
      </c>
      <c r="X308" s="194">
        <v>1.8000000000000002E-2</v>
      </c>
      <c r="Y308" s="194">
        <v>2.1999999999999999E-2</v>
      </c>
      <c r="Z308" s="194"/>
      <c r="AA308" s="195">
        <v>3.8007360000000039E-2</v>
      </c>
      <c r="AB308" s="195">
        <v>5.08152599999998E-2</v>
      </c>
      <c r="AC308" s="195">
        <v>1.7754847537514006E-2</v>
      </c>
      <c r="AD308" s="195">
        <v>2.1620459981242887E-2</v>
      </c>
      <c r="AE308" s="195"/>
      <c r="AF308" s="195">
        <v>9.9496025548232447E-3</v>
      </c>
      <c r="AG308" s="195">
        <v>1.4288476573429687E-2</v>
      </c>
      <c r="AI308" s="182">
        <v>2.8500222500000172E-2</v>
      </c>
      <c r="AJ308" s="182">
        <v>3.7749689999999836E-2</v>
      </c>
      <c r="AK308" s="182">
        <v>1.0527562499999865E-2</v>
      </c>
      <c r="AM308" s="27" t="s">
        <v>143</v>
      </c>
      <c r="AN308" s="7" t="b">
        <f t="shared" si="46"/>
        <v>1</v>
      </c>
      <c r="AO308" s="7" t="s">
        <v>144</v>
      </c>
      <c r="AP308" s="7">
        <v>1994</v>
      </c>
      <c r="AQ308" s="7">
        <f t="shared" si="47"/>
        <v>2011</v>
      </c>
      <c r="AS308" s="211">
        <v>-99</v>
      </c>
      <c r="AT308" s="211">
        <v>-99</v>
      </c>
      <c r="AU308" s="211">
        <v>-99</v>
      </c>
      <c r="AV308" s="211">
        <v>-99</v>
      </c>
      <c r="AW308" s="211">
        <v>-99</v>
      </c>
      <c r="AX308" s="211">
        <v>-99</v>
      </c>
      <c r="AZ308" s="211">
        <v>-99</v>
      </c>
      <c r="BA308" s="211">
        <v>-99</v>
      </c>
      <c r="BB308" s="211">
        <v>-99</v>
      </c>
      <c r="BC308" s="211">
        <v>-99</v>
      </c>
      <c r="BD308" s="211">
        <v>-99</v>
      </c>
      <c r="BE308" s="211">
        <v>-99</v>
      </c>
      <c r="BG308" s="211">
        <v>-99</v>
      </c>
      <c r="BH308" s="211">
        <v>-99</v>
      </c>
      <c r="BI308" s="211">
        <v>-99</v>
      </c>
      <c r="BJ308" s="211">
        <v>-99</v>
      </c>
      <c r="BK308" s="211">
        <v>-99</v>
      </c>
      <c r="BL308" s="211">
        <v>-99</v>
      </c>
      <c r="BM308" s="211">
        <v>-99</v>
      </c>
      <c r="BN308" s="191">
        <f t="shared" si="38"/>
        <v>2.8500222500000172E-2</v>
      </c>
      <c r="BO308" s="191">
        <f t="shared" si="39"/>
        <v>3.7749689999999836E-2</v>
      </c>
      <c r="BP308" s="191">
        <f t="shared" si="40"/>
        <v>1.0527562499999865E-2</v>
      </c>
      <c r="BQ308" s="171">
        <f t="shared" si="41"/>
        <v>3.6699999999999997E-2</v>
      </c>
      <c r="BR308" s="171">
        <f t="shared" si="42"/>
        <v>5.6900000000000006E-2</v>
      </c>
      <c r="BS308" s="171">
        <f t="shared" si="43"/>
        <v>2.8300000000000002E-2</v>
      </c>
      <c r="BT308" s="171">
        <f t="shared" si="44"/>
        <v>3.7400000000000003E-2</v>
      </c>
      <c r="BU308" s="171">
        <f t="shared" si="45"/>
        <v>1.0500000000000001E-2</v>
      </c>
    </row>
    <row r="309" spans="1:73" x14ac:dyDescent="0.3">
      <c r="A309" s="209">
        <v>40664</v>
      </c>
      <c r="B309" s="187">
        <v>201105</v>
      </c>
      <c r="C309" s="176">
        <v>3.41</v>
      </c>
      <c r="D309" s="176">
        <v>5.59</v>
      </c>
      <c r="E309" s="176">
        <v>0.99</v>
      </c>
      <c r="F309" s="177">
        <v>120.6</v>
      </c>
      <c r="G309" s="210">
        <v>2.34375E-2</v>
      </c>
      <c r="H309" s="179">
        <v>2.73</v>
      </c>
      <c r="I309" s="179">
        <v>3.5</v>
      </c>
      <c r="K309" s="182">
        <v>0.04</v>
      </c>
      <c r="L309" s="182">
        <v>0.03</v>
      </c>
      <c r="N309" s="182">
        <v>4.2500000000000003E-2</v>
      </c>
      <c r="O309" s="182">
        <v>1.4999999999999999E-2</v>
      </c>
      <c r="Q309" s="182">
        <v>3.5000000000000003E-2</v>
      </c>
      <c r="R309" s="182">
        <v>4.7500000000000001E-2</v>
      </c>
      <c r="S309" s="182">
        <v>1.4999999999999999E-2</v>
      </c>
      <c r="T309" s="182">
        <v>1.7500000000000002E-2</v>
      </c>
      <c r="V309" s="194">
        <v>3.7999999999999999E-2</v>
      </c>
      <c r="W309" s="194">
        <v>5.1000000000000004E-2</v>
      </c>
      <c r="X309" s="194">
        <v>1.7000000000000001E-2</v>
      </c>
      <c r="Y309" s="194">
        <v>2.1000000000000001E-2</v>
      </c>
      <c r="Z309" s="194"/>
      <c r="AA309" s="195">
        <v>3.7500222500000173E-2</v>
      </c>
      <c r="AB309" s="195">
        <v>5.1374423749999669E-2</v>
      </c>
      <c r="AC309" s="195">
        <v>1.6948088411657302E-2</v>
      </c>
      <c r="AD309" s="195">
        <v>2.081729954417115E-2</v>
      </c>
      <c r="AE309" s="195"/>
      <c r="AF309" s="195">
        <v>1.0104809833726414E-2</v>
      </c>
      <c r="AG309" s="195">
        <v>1.4966989793116392E-2</v>
      </c>
      <c r="AI309" s="182">
        <v>2.7486322499999938E-2</v>
      </c>
      <c r="AJ309" s="182">
        <v>3.5306250000000095E-2</v>
      </c>
      <c r="AK309" s="182">
        <v>9.9245025000000986E-3</v>
      </c>
      <c r="AM309" s="27" t="s">
        <v>143</v>
      </c>
      <c r="AN309" s="7" t="b">
        <f t="shared" si="46"/>
        <v>1</v>
      </c>
      <c r="AO309" s="7" t="s">
        <v>144</v>
      </c>
      <c r="AP309" s="7">
        <v>1994</v>
      </c>
      <c r="AQ309" s="7">
        <f t="shared" si="47"/>
        <v>2011</v>
      </c>
      <c r="AS309" s="211">
        <v>-99</v>
      </c>
      <c r="AT309" s="211">
        <v>-99</v>
      </c>
      <c r="AU309" s="211">
        <v>-99</v>
      </c>
      <c r="AV309" s="211">
        <v>-99</v>
      </c>
      <c r="AW309" s="211">
        <v>-99</v>
      </c>
      <c r="AX309" s="211">
        <v>-99</v>
      </c>
      <c r="AZ309" s="211">
        <v>-99</v>
      </c>
      <c r="BA309" s="211">
        <v>-99</v>
      </c>
      <c r="BB309" s="211">
        <v>-99</v>
      </c>
      <c r="BC309" s="211">
        <v>-99</v>
      </c>
      <c r="BD309" s="211">
        <v>-99</v>
      </c>
      <c r="BE309" s="211">
        <v>-99</v>
      </c>
      <c r="BG309" s="211">
        <v>-99</v>
      </c>
      <c r="BH309" s="211">
        <v>-99</v>
      </c>
      <c r="BI309" s="211">
        <v>-99</v>
      </c>
      <c r="BJ309" s="211">
        <v>-99</v>
      </c>
      <c r="BK309" s="211">
        <v>-99</v>
      </c>
      <c r="BL309" s="211">
        <v>-99</v>
      </c>
      <c r="BM309" s="211">
        <v>-99</v>
      </c>
      <c r="BN309" s="191">
        <f t="shared" si="38"/>
        <v>2.7486322499999938E-2</v>
      </c>
      <c r="BO309" s="191">
        <f t="shared" si="39"/>
        <v>3.5306250000000095E-2</v>
      </c>
      <c r="BP309" s="191">
        <f t="shared" si="40"/>
        <v>9.9245025000000986E-3</v>
      </c>
      <c r="BQ309" s="171">
        <f t="shared" si="41"/>
        <v>3.4099999999999998E-2</v>
      </c>
      <c r="BR309" s="171">
        <f t="shared" si="42"/>
        <v>5.5899999999999998E-2</v>
      </c>
      <c r="BS309" s="171">
        <f t="shared" si="43"/>
        <v>2.7300000000000001E-2</v>
      </c>
      <c r="BT309" s="171">
        <f t="shared" si="44"/>
        <v>3.5000000000000003E-2</v>
      </c>
      <c r="BU309" s="171">
        <f t="shared" si="45"/>
        <v>9.8999999999999991E-3</v>
      </c>
    </row>
    <row r="310" spans="1:73" x14ac:dyDescent="0.3">
      <c r="A310" s="209">
        <v>40695</v>
      </c>
      <c r="B310" s="187">
        <v>201106</v>
      </c>
      <c r="C310" s="176">
        <v>3.47</v>
      </c>
      <c r="D310" s="176">
        <v>5.39</v>
      </c>
      <c r="E310" s="176">
        <v>1.04</v>
      </c>
      <c r="F310" s="177">
        <v>119.8</v>
      </c>
      <c r="G310" s="210">
        <v>2.5151777970511713E-2</v>
      </c>
      <c r="H310" s="179">
        <v>2.66</v>
      </c>
      <c r="I310" s="179">
        <v>3.53</v>
      </c>
      <c r="K310" s="182">
        <v>0.04</v>
      </c>
      <c r="L310" s="182">
        <v>3.5000000000000003E-2</v>
      </c>
      <c r="N310" s="182">
        <v>4.2500000000000003E-2</v>
      </c>
      <c r="O310" s="182">
        <v>1.2500000000000001E-2</v>
      </c>
      <c r="Q310" s="182">
        <v>3.2500000000000001E-2</v>
      </c>
      <c r="R310" s="182">
        <v>4.7500000000000001E-2</v>
      </c>
      <c r="S310" s="182">
        <v>1.2500000000000001E-2</v>
      </c>
      <c r="T310" s="182">
        <v>1.7500000000000002E-2</v>
      </c>
      <c r="V310" s="194">
        <v>3.6000000000000004E-2</v>
      </c>
      <c r="W310" s="194">
        <v>4.8000000000000001E-2</v>
      </c>
      <c r="X310" s="194">
        <v>1.7000000000000001E-2</v>
      </c>
      <c r="Y310" s="194">
        <v>0.02</v>
      </c>
      <c r="Z310" s="194"/>
      <c r="AA310" s="195">
        <v>3.6486322499999939E-2</v>
      </c>
      <c r="AB310" s="195">
        <v>4.8216213750000174E-2</v>
      </c>
      <c r="AC310" s="195">
        <v>1.6726339567840188E-2</v>
      </c>
      <c r="AD310" s="195">
        <v>2.0023583966080054E-2</v>
      </c>
      <c r="AE310" s="195"/>
      <c r="AF310" s="195">
        <v>9.717454030235273E-3</v>
      </c>
      <c r="AG310" s="195">
        <v>1.3819597030443553E-2</v>
      </c>
      <c r="AI310" s="182">
        <v>2.6776890000000275E-2</v>
      </c>
      <c r="AJ310" s="182">
        <v>3.5611522499999992E-2</v>
      </c>
      <c r="AK310" s="182">
        <v>1.0427040000000165E-2</v>
      </c>
      <c r="AM310" s="27" t="s">
        <v>143</v>
      </c>
      <c r="AN310" s="7" t="b">
        <f t="shared" si="46"/>
        <v>1</v>
      </c>
      <c r="AO310" s="7" t="s">
        <v>144</v>
      </c>
      <c r="AP310" s="7">
        <v>1994</v>
      </c>
      <c r="AQ310" s="7">
        <f t="shared" si="47"/>
        <v>2011</v>
      </c>
      <c r="AS310" s="211">
        <v>-99</v>
      </c>
      <c r="AT310" s="211">
        <v>-99</v>
      </c>
      <c r="AU310" s="211">
        <v>-99</v>
      </c>
      <c r="AV310" s="211">
        <v>-99</v>
      </c>
      <c r="AW310" s="211">
        <v>-99</v>
      </c>
      <c r="AX310" s="211">
        <v>-99</v>
      </c>
      <c r="AZ310" s="211">
        <v>-99</v>
      </c>
      <c r="BA310" s="211">
        <v>-99</v>
      </c>
      <c r="BB310" s="211">
        <v>-99</v>
      </c>
      <c r="BC310" s="211">
        <v>-99</v>
      </c>
      <c r="BD310" s="211">
        <v>-99</v>
      </c>
      <c r="BE310" s="211">
        <v>-99</v>
      </c>
      <c r="BG310" s="211">
        <v>-99</v>
      </c>
      <c r="BH310" s="211">
        <v>-99</v>
      </c>
      <c r="BI310" s="211">
        <v>-99</v>
      </c>
      <c r="BJ310" s="211">
        <v>-99</v>
      </c>
      <c r="BK310" s="211">
        <v>-99</v>
      </c>
      <c r="BL310" s="211">
        <v>-99</v>
      </c>
      <c r="BM310" s="211">
        <v>-99</v>
      </c>
      <c r="BN310" s="191">
        <f t="shared" si="38"/>
        <v>2.6776890000000275E-2</v>
      </c>
      <c r="BO310" s="191">
        <f t="shared" si="39"/>
        <v>3.5611522499999992E-2</v>
      </c>
      <c r="BP310" s="191">
        <f t="shared" si="40"/>
        <v>1.0427040000000165E-2</v>
      </c>
      <c r="BQ310" s="171">
        <f t="shared" si="41"/>
        <v>3.4700000000000002E-2</v>
      </c>
      <c r="BR310" s="171">
        <f t="shared" si="42"/>
        <v>5.3899999999999997E-2</v>
      </c>
      <c r="BS310" s="171">
        <f t="shared" si="43"/>
        <v>2.6600000000000002E-2</v>
      </c>
      <c r="BT310" s="171">
        <f t="shared" si="44"/>
        <v>3.5299999999999998E-2</v>
      </c>
      <c r="BU310" s="171">
        <f t="shared" si="45"/>
        <v>1.04E-2</v>
      </c>
    </row>
    <row r="311" spans="1:73" x14ac:dyDescent="0.3">
      <c r="A311" s="209">
        <v>40725</v>
      </c>
      <c r="B311" s="187">
        <v>201107</v>
      </c>
      <c r="C311" s="176">
        <v>3.28</v>
      </c>
      <c r="D311" s="176">
        <v>5.39</v>
      </c>
      <c r="E311" s="176">
        <v>0.84</v>
      </c>
      <c r="F311" s="177">
        <v>120</v>
      </c>
      <c r="G311" s="210">
        <v>2.5974025974025983E-2</v>
      </c>
      <c r="H311" s="179">
        <v>2.46</v>
      </c>
      <c r="I311" s="179">
        <v>3.35</v>
      </c>
      <c r="K311" s="182">
        <v>3.5000000000000003E-2</v>
      </c>
      <c r="L311" s="182">
        <v>0.03</v>
      </c>
      <c r="N311" s="182">
        <v>0.04</v>
      </c>
      <c r="O311" s="182">
        <v>1.2500000000000001E-2</v>
      </c>
      <c r="Q311" s="182">
        <v>3.2500000000000001E-2</v>
      </c>
      <c r="R311" s="182">
        <v>4.4999999999999998E-2</v>
      </c>
      <c r="S311" s="182">
        <v>1.2500000000000001E-2</v>
      </c>
      <c r="T311" s="182">
        <v>1.4999999999999999E-2</v>
      </c>
      <c r="V311" s="194">
        <v>3.6000000000000004E-2</v>
      </c>
      <c r="W311" s="194">
        <v>4.9000000000000002E-2</v>
      </c>
      <c r="X311" s="194">
        <v>1.7000000000000001E-2</v>
      </c>
      <c r="Y311" s="194">
        <v>2.1000000000000001E-2</v>
      </c>
      <c r="Z311" s="194"/>
      <c r="AA311" s="195">
        <v>3.5776890000000276E-2</v>
      </c>
      <c r="AB311" s="195">
        <v>4.9028838749999852E-2</v>
      </c>
      <c r="AC311" s="195">
        <v>1.684026302457603E-2</v>
      </c>
      <c r="AD311" s="195">
        <v>2.0720428487712234E-2</v>
      </c>
      <c r="AE311" s="195"/>
      <c r="AF311" s="195">
        <v>9.3115052894824357E-3</v>
      </c>
      <c r="AG311" s="195">
        <v>1.3866877487809681E-2</v>
      </c>
      <c r="AI311" s="182">
        <v>2.4751289999999981E-2</v>
      </c>
      <c r="AJ311" s="182">
        <v>3.3780562500000055E-2</v>
      </c>
      <c r="AK311" s="182">
        <v>8.417640000000004E-3</v>
      </c>
      <c r="AM311" s="27" t="s">
        <v>143</v>
      </c>
      <c r="AN311" s="7" t="b">
        <f t="shared" si="46"/>
        <v>1</v>
      </c>
      <c r="AO311" s="7" t="s">
        <v>144</v>
      </c>
      <c r="AP311" s="7">
        <v>1994</v>
      </c>
      <c r="AQ311" s="7">
        <f t="shared" si="47"/>
        <v>2011</v>
      </c>
      <c r="AS311" s="211">
        <v>-99</v>
      </c>
      <c r="AT311" s="211">
        <v>-99</v>
      </c>
      <c r="AU311" s="211">
        <v>-99</v>
      </c>
      <c r="AV311" s="211">
        <v>-99</v>
      </c>
      <c r="AW311" s="211">
        <v>-99</v>
      </c>
      <c r="AX311" s="211">
        <v>-99</v>
      </c>
      <c r="AZ311" s="211">
        <v>-99</v>
      </c>
      <c r="BA311" s="211">
        <v>-99</v>
      </c>
      <c r="BB311" s="211">
        <v>-99</v>
      </c>
      <c r="BC311" s="211">
        <v>-99</v>
      </c>
      <c r="BD311" s="211">
        <v>-99</v>
      </c>
      <c r="BE311" s="211">
        <v>-99</v>
      </c>
      <c r="BG311" s="211">
        <v>-99</v>
      </c>
      <c r="BH311" s="211">
        <v>-99</v>
      </c>
      <c r="BI311" s="211">
        <v>-99</v>
      </c>
      <c r="BJ311" s="211">
        <v>-99</v>
      </c>
      <c r="BK311" s="211">
        <v>-99</v>
      </c>
      <c r="BL311" s="211">
        <v>-99</v>
      </c>
      <c r="BM311" s="211">
        <v>-99</v>
      </c>
      <c r="BN311" s="191">
        <f t="shared" si="38"/>
        <v>2.4751289999999981E-2</v>
      </c>
      <c r="BO311" s="191">
        <f t="shared" si="39"/>
        <v>3.3780562500000055E-2</v>
      </c>
      <c r="BP311" s="191">
        <f t="shared" si="40"/>
        <v>8.417640000000004E-3</v>
      </c>
      <c r="BQ311" s="171">
        <f t="shared" si="41"/>
        <v>3.2799999999999996E-2</v>
      </c>
      <c r="BR311" s="171">
        <f t="shared" si="42"/>
        <v>5.3899999999999997E-2</v>
      </c>
      <c r="BS311" s="171">
        <f t="shared" si="43"/>
        <v>2.46E-2</v>
      </c>
      <c r="BT311" s="171">
        <f t="shared" si="44"/>
        <v>3.3500000000000002E-2</v>
      </c>
      <c r="BU311" s="171">
        <f t="shared" si="45"/>
        <v>8.3999999999999995E-3</v>
      </c>
    </row>
    <row r="312" spans="1:73" x14ac:dyDescent="0.3">
      <c r="A312" s="209">
        <v>40756</v>
      </c>
      <c r="B312" s="187">
        <v>201108</v>
      </c>
      <c r="C312" s="176">
        <v>3</v>
      </c>
      <c r="D312" s="176">
        <v>5.39</v>
      </c>
      <c r="E312" s="176">
        <v>0.88</v>
      </c>
      <c r="F312" s="177">
        <v>120.3</v>
      </c>
      <c r="G312" s="210">
        <v>2.7681660899653959E-2</v>
      </c>
      <c r="H312" s="179">
        <v>2.02</v>
      </c>
      <c r="I312" s="179">
        <v>3.1</v>
      </c>
      <c r="K312" s="182">
        <v>3.5000000000000003E-2</v>
      </c>
      <c r="L312" s="182">
        <v>2.5000000000000001E-2</v>
      </c>
      <c r="N312" s="182">
        <v>0.04</v>
      </c>
      <c r="O312" s="182">
        <v>1.2500000000000001E-2</v>
      </c>
      <c r="Q312" s="182">
        <v>3.2500000000000001E-2</v>
      </c>
      <c r="R312" s="182">
        <v>4.4999999999999998E-2</v>
      </c>
      <c r="S312" s="182">
        <v>1.2500000000000001E-2</v>
      </c>
      <c r="T312" s="182">
        <v>1.7500000000000002E-2</v>
      </c>
      <c r="V312" s="194">
        <v>3.4000000000000002E-2</v>
      </c>
      <c r="W312" s="194">
        <v>4.7E-2</v>
      </c>
      <c r="X312" s="194">
        <v>1.4999999999999999E-2</v>
      </c>
      <c r="Y312" s="194">
        <v>1.9E-2</v>
      </c>
      <c r="Z312" s="194"/>
      <c r="AA312" s="195">
        <v>3.3751289999999982E-2</v>
      </c>
      <c r="AB312" s="195">
        <v>4.7295198750000093E-2</v>
      </c>
      <c r="AC312" s="195">
        <v>1.5167672570745371E-2</v>
      </c>
      <c r="AD312" s="195">
        <v>1.8542623714627324E-2</v>
      </c>
      <c r="AE312" s="195"/>
      <c r="AF312" s="195">
        <v>9.1529793212359323E-3</v>
      </c>
      <c r="AG312" s="195">
        <v>1.4114566423598429E-2</v>
      </c>
      <c r="AI312" s="182">
        <v>2.0302009999999981E-2</v>
      </c>
      <c r="AJ312" s="182">
        <v>3.1240250000000191E-2</v>
      </c>
      <c r="AK312" s="182">
        <v>8.8193599999999428E-3</v>
      </c>
      <c r="AM312" s="27" t="s">
        <v>143</v>
      </c>
      <c r="AN312" s="7" t="b">
        <f t="shared" si="46"/>
        <v>1</v>
      </c>
      <c r="AO312" s="7" t="s">
        <v>144</v>
      </c>
      <c r="AP312" s="7">
        <v>1994</v>
      </c>
      <c r="AQ312" s="7">
        <f t="shared" si="47"/>
        <v>2011</v>
      </c>
      <c r="AS312" s="211">
        <v>-99</v>
      </c>
      <c r="AT312" s="211">
        <v>-99</v>
      </c>
      <c r="AU312" s="211">
        <v>-99</v>
      </c>
      <c r="AV312" s="211">
        <v>-99</v>
      </c>
      <c r="AW312" s="211">
        <v>-99</v>
      </c>
      <c r="AX312" s="211">
        <v>-99</v>
      </c>
      <c r="AZ312" s="211">
        <v>-99</v>
      </c>
      <c r="BA312" s="211">
        <v>-99</v>
      </c>
      <c r="BB312" s="211">
        <v>-99</v>
      </c>
      <c r="BC312" s="211">
        <v>-99</v>
      </c>
      <c r="BD312" s="211">
        <v>-99</v>
      </c>
      <c r="BE312" s="211">
        <v>-99</v>
      </c>
      <c r="BG312" s="211">
        <v>-99</v>
      </c>
      <c r="BH312" s="211">
        <v>-99</v>
      </c>
      <c r="BI312" s="211">
        <v>-99</v>
      </c>
      <c r="BJ312" s="211">
        <v>-99</v>
      </c>
      <c r="BK312" s="211">
        <v>-99</v>
      </c>
      <c r="BL312" s="211">
        <v>-99</v>
      </c>
      <c r="BM312" s="211">
        <v>-99</v>
      </c>
      <c r="BN312" s="191">
        <f t="shared" si="38"/>
        <v>2.0302009999999981E-2</v>
      </c>
      <c r="BO312" s="191">
        <f t="shared" si="39"/>
        <v>3.1240250000000191E-2</v>
      </c>
      <c r="BP312" s="191">
        <f t="shared" si="40"/>
        <v>8.8193599999999428E-3</v>
      </c>
      <c r="BQ312" s="171">
        <f t="shared" si="41"/>
        <v>0.03</v>
      </c>
      <c r="BR312" s="171">
        <f t="shared" si="42"/>
        <v>5.3899999999999997E-2</v>
      </c>
      <c r="BS312" s="171">
        <f t="shared" si="43"/>
        <v>2.0199999999999999E-2</v>
      </c>
      <c r="BT312" s="171">
        <f t="shared" si="44"/>
        <v>3.1E-2</v>
      </c>
      <c r="BU312" s="171">
        <f t="shared" si="45"/>
        <v>8.8000000000000005E-3</v>
      </c>
    </row>
    <row r="313" spans="1:73" x14ac:dyDescent="0.3">
      <c r="A313" s="209">
        <v>40787</v>
      </c>
      <c r="B313" s="187">
        <v>201109</v>
      </c>
      <c r="C313" s="176">
        <v>2.74</v>
      </c>
      <c r="D313" s="176">
        <v>5.19</v>
      </c>
      <c r="E313" s="176">
        <v>0.88</v>
      </c>
      <c r="F313" s="177">
        <v>120.6</v>
      </c>
      <c r="G313" s="210">
        <v>2.849740932642475E-2</v>
      </c>
      <c r="H313" s="179">
        <v>1.73</v>
      </c>
      <c r="I313" s="179">
        <v>2.83</v>
      </c>
      <c r="K313" s="182">
        <v>3.5000000000000003E-2</v>
      </c>
      <c r="L313" s="182">
        <v>2.5000000000000001E-2</v>
      </c>
      <c r="N313" s="182">
        <v>3.7499999999999999E-2</v>
      </c>
      <c r="O313" s="182">
        <v>0.01</v>
      </c>
      <c r="Q313" s="182">
        <v>0.03</v>
      </c>
      <c r="R313" s="182">
        <v>4.2500000000000003E-2</v>
      </c>
      <c r="S313" s="182">
        <v>0.01</v>
      </c>
      <c r="T313" s="182">
        <v>1.4999999999999999E-2</v>
      </c>
      <c r="V313" s="194">
        <v>2.9000000000000001E-2</v>
      </c>
      <c r="W313" s="194">
        <v>4.5999999999999999E-2</v>
      </c>
      <c r="X313" s="194">
        <v>1.4999999999999999E-2</v>
      </c>
      <c r="Y313" s="194">
        <v>1.9E-2</v>
      </c>
      <c r="Z313" s="194"/>
      <c r="AA313" s="195">
        <v>2.9302009999999983E-2</v>
      </c>
      <c r="AB313" s="195">
        <v>4.5709370000000298E-2</v>
      </c>
      <c r="AC313" s="195">
        <v>1.4731411717691044E-2</v>
      </c>
      <c r="AD313" s="195">
        <v>1.9363334141154393E-2</v>
      </c>
      <c r="AE313" s="195"/>
      <c r="AF313" s="195">
        <v>7.1795344630379843E-3</v>
      </c>
      <c r="AG313" s="195">
        <v>1.2922789635671617E-2</v>
      </c>
      <c r="AI313" s="182">
        <v>1.7374822500000109E-2</v>
      </c>
      <c r="AJ313" s="182">
        <v>2.8500222500000172E-2</v>
      </c>
      <c r="AK313" s="182">
        <v>8.8193599999999428E-3</v>
      </c>
      <c r="AM313" s="27" t="s">
        <v>143</v>
      </c>
      <c r="AN313" s="7" t="b">
        <f t="shared" si="46"/>
        <v>1</v>
      </c>
      <c r="AO313" s="7" t="s">
        <v>144</v>
      </c>
      <c r="AP313" s="7">
        <v>1994</v>
      </c>
      <c r="AQ313" s="7">
        <f t="shared" si="47"/>
        <v>2011</v>
      </c>
      <c r="AS313" s="211">
        <v>-99</v>
      </c>
      <c r="AT313" s="211">
        <v>-99</v>
      </c>
      <c r="AU313" s="211">
        <v>-99</v>
      </c>
      <c r="AV313" s="211">
        <v>-99</v>
      </c>
      <c r="AW313" s="211">
        <v>-99</v>
      </c>
      <c r="AX313" s="211">
        <v>-99</v>
      </c>
      <c r="AZ313" s="211">
        <v>-99</v>
      </c>
      <c r="BA313" s="211">
        <v>-99</v>
      </c>
      <c r="BB313" s="211">
        <v>-99</v>
      </c>
      <c r="BC313" s="211">
        <v>-99</v>
      </c>
      <c r="BD313" s="211">
        <v>-99</v>
      </c>
      <c r="BE313" s="211">
        <v>-99</v>
      </c>
      <c r="BG313" s="211">
        <v>-99</v>
      </c>
      <c r="BH313" s="211">
        <v>-99</v>
      </c>
      <c r="BI313" s="211">
        <v>-99</v>
      </c>
      <c r="BJ313" s="211">
        <v>-99</v>
      </c>
      <c r="BK313" s="211">
        <v>-99</v>
      </c>
      <c r="BL313" s="211">
        <v>-99</v>
      </c>
      <c r="BM313" s="211">
        <v>-99</v>
      </c>
      <c r="BN313" s="191">
        <f t="shared" si="38"/>
        <v>1.7374822500000109E-2</v>
      </c>
      <c r="BO313" s="191">
        <f t="shared" si="39"/>
        <v>2.8500222500000172E-2</v>
      </c>
      <c r="BP313" s="191">
        <f t="shared" si="40"/>
        <v>8.8193599999999428E-3</v>
      </c>
      <c r="BQ313" s="171">
        <f t="shared" si="41"/>
        <v>2.7400000000000001E-2</v>
      </c>
      <c r="BR313" s="171">
        <f t="shared" si="42"/>
        <v>5.1900000000000002E-2</v>
      </c>
      <c r="BS313" s="171">
        <f t="shared" si="43"/>
        <v>1.7299999999999999E-2</v>
      </c>
      <c r="BT313" s="171">
        <f t="shared" si="44"/>
        <v>2.8300000000000002E-2</v>
      </c>
      <c r="BU313" s="171">
        <f t="shared" si="45"/>
        <v>8.8000000000000005E-3</v>
      </c>
    </row>
    <row r="314" spans="1:73" x14ac:dyDescent="0.3">
      <c r="A314" s="209">
        <v>40817</v>
      </c>
      <c r="B314" s="187">
        <v>201110</v>
      </c>
      <c r="C314" s="176">
        <v>2.91</v>
      </c>
      <c r="D314" s="176">
        <v>5.29</v>
      </c>
      <c r="E314" s="176">
        <v>0.85</v>
      </c>
      <c r="F314" s="177">
        <v>120.8</v>
      </c>
      <c r="G314" s="210">
        <v>2.842377260981932E-2</v>
      </c>
      <c r="H314" s="179">
        <v>1.9</v>
      </c>
      <c r="I314" s="179">
        <v>3.02</v>
      </c>
      <c r="K314" s="182">
        <v>0.03</v>
      </c>
      <c r="L314" s="182">
        <v>2.5000000000000001E-2</v>
      </c>
      <c r="N314" s="182">
        <v>3.5000000000000003E-2</v>
      </c>
      <c r="O314" s="182">
        <v>1.2500000000000001E-2</v>
      </c>
      <c r="Q314" s="182">
        <v>2.5000000000000001E-2</v>
      </c>
      <c r="R314" s="182">
        <v>4.2500000000000003E-2</v>
      </c>
      <c r="S314" s="182">
        <v>0.01</v>
      </c>
      <c r="T314" s="182">
        <v>1.4999999999999999E-2</v>
      </c>
      <c r="V314" s="194">
        <v>2.6000000000000002E-2</v>
      </c>
      <c r="W314" s="194">
        <v>4.3000000000000003E-2</v>
      </c>
      <c r="X314" s="194">
        <v>1.4E-2</v>
      </c>
      <c r="Y314" s="194">
        <v>0.02</v>
      </c>
      <c r="Z314" s="194"/>
      <c r="AA314" s="195">
        <v>2.637482250000011E-2</v>
      </c>
      <c r="AB314" s="195">
        <v>4.3062922500000204E-2</v>
      </c>
      <c r="AC314" s="195">
        <v>1.4376618184773787E-2</v>
      </c>
      <c r="AD314" s="195">
        <v>1.9540730907613022E-2</v>
      </c>
      <c r="AE314" s="195"/>
      <c r="AF314" s="195">
        <v>5.914077720313049E-3</v>
      </c>
      <c r="AG314" s="195">
        <v>1.1535680174075691E-2</v>
      </c>
      <c r="AI314" s="182">
        <v>1.9090250000000086E-2</v>
      </c>
      <c r="AJ314" s="182">
        <v>3.0428009999999839E-2</v>
      </c>
      <c r="AK314" s="182">
        <v>8.5180625000000898E-3</v>
      </c>
      <c r="AM314" s="27" t="s">
        <v>143</v>
      </c>
      <c r="AN314" s="7" t="b">
        <f t="shared" si="46"/>
        <v>1</v>
      </c>
      <c r="AO314" s="7" t="s">
        <v>144</v>
      </c>
      <c r="AP314" s="7">
        <v>1994</v>
      </c>
      <c r="AQ314" s="7">
        <f t="shared" si="47"/>
        <v>2011</v>
      </c>
      <c r="AS314" s="211">
        <v>-99</v>
      </c>
      <c r="AT314" s="211">
        <v>-99</v>
      </c>
      <c r="AU314" s="211">
        <v>-99</v>
      </c>
      <c r="AV314" s="211">
        <v>-99</v>
      </c>
      <c r="AW314" s="211">
        <v>-99</v>
      </c>
      <c r="AX314" s="211">
        <v>-99</v>
      </c>
      <c r="AZ314" s="211">
        <v>-99</v>
      </c>
      <c r="BA314" s="211">
        <v>-99</v>
      </c>
      <c r="BB314" s="211">
        <v>-99</v>
      </c>
      <c r="BC314" s="211">
        <v>-99</v>
      </c>
      <c r="BD314" s="211">
        <v>-99</v>
      </c>
      <c r="BE314" s="211">
        <v>-99</v>
      </c>
      <c r="BG314" s="211">
        <v>-99</v>
      </c>
      <c r="BH314" s="211">
        <v>-99</v>
      </c>
      <c r="BI314" s="211">
        <v>-99</v>
      </c>
      <c r="BJ314" s="211">
        <v>-99</v>
      </c>
      <c r="BK314" s="211">
        <v>-99</v>
      </c>
      <c r="BL314" s="211">
        <v>-99</v>
      </c>
      <c r="BM314" s="211">
        <v>-99</v>
      </c>
      <c r="BN314" s="191">
        <f t="shared" si="38"/>
        <v>1.9090250000000086E-2</v>
      </c>
      <c r="BO314" s="191">
        <f t="shared" si="39"/>
        <v>3.0428009999999839E-2</v>
      </c>
      <c r="BP314" s="191">
        <f t="shared" si="40"/>
        <v>8.5180625000000898E-3</v>
      </c>
      <c r="BQ314" s="171">
        <f t="shared" si="41"/>
        <v>2.9100000000000001E-2</v>
      </c>
      <c r="BR314" s="171">
        <f t="shared" si="42"/>
        <v>5.2900000000000003E-2</v>
      </c>
      <c r="BS314" s="171">
        <f t="shared" si="43"/>
        <v>1.9E-2</v>
      </c>
      <c r="BT314" s="171">
        <f t="shared" si="44"/>
        <v>3.0200000000000001E-2</v>
      </c>
      <c r="BU314" s="171">
        <f t="shared" si="45"/>
        <v>8.5000000000000006E-3</v>
      </c>
    </row>
    <row r="315" spans="1:73" x14ac:dyDescent="0.3">
      <c r="A315" s="209">
        <v>40848</v>
      </c>
      <c r="B315" s="187">
        <v>201111</v>
      </c>
      <c r="C315" s="176">
        <v>2.61</v>
      </c>
      <c r="D315" s="176">
        <v>5.29</v>
      </c>
      <c r="E315" s="176">
        <v>0.61</v>
      </c>
      <c r="F315" s="177">
        <v>120.9</v>
      </c>
      <c r="G315" s="210">
        <v>2.9259896729776136E-2</v>
      </c>
      <c r="H315" s="179">
        <v>1.71</v>
      </c>
      <c r="I315" s="179">
        <v>2.69</v>
      </c>
      <c r="K315" s="182">
        <v>0.03</v>
      </c>
      <c r="L315" s="182">
        <v>0.02</v>
      </c>
      <c r="N315" s="182">
        <v>3.2500000000000001E-2</v>
      </c>
      <c r="O315" s="182">
        <v>1.2500000000000001E-2</v>
      </c>
      <c r="Q315" s="182">
        <v>2.2499999999999999E-2</v>
      </c>
      <c r="R315" s="182">
        <v>0.04</v>
      </c>
      <c r="S315" s="182">
        <v>0.01</v>
      </c>
      <c r="T315" s="182">
        <v>1.4999999999999999E-2</v>
      </c>
      <c r="V315" s="194">
        <v>2.8000000000000001E-2</v>
      </c>
      <c r="W315" s="194">
        <v>4.4999999999999998E-2</v>
      </c>
      <c r="X315" s="194">
        <v>1.4E-2</v>
      </c>
      <c r="Y315" s="194">
        <v>1.9E-2</v>
      </c>
      <c r="Z315" s="194"/>
      <c r="AA315" s="195">
        <v>2.8090250000000087E-2</v>
      </c>
      <c r="AB315" s="195">
        <v>4.5096889999999716E-2</v>
      </c>
      <c r="AC315" s="195">
        <v>1.4344153056365775E-2</v>
      </c>
      <c r="AD315" s="195">
        <v>1.9105017221817247E-2</v>
      </c>
      <c r="AE315" s="195"/>
      <c r="AF315" s="195">
        <v>6.7758545766815059E-3</v>
      </c>
      <c r="AG315" s="195">
        <v>1.2752303412772337E-2</v>
      </c>
      <c r="AI315" s="182">
        <v>1.7173102500000148E-2</v>
      </c>
      <c r="AJ315" s="182">
        <v>2.7080902499999837E-2</v>
      </c>
      <c r="AK315" s="182">
        <v>6.10930250000008E-3</v>
      </c>
      <c r="AM315" s="27" t="s">
        <v>143</v>
      </c>
      <c r="AN315" s="7" t="b">
        <f t="shared" si="46"/>
        <v>1</v>
      </c>
      <c r="AO315" s="7" t="s">
        <v>144</v>
      </c>
      <c r="AP315" s="7">
        <v>1994</v>
      </c>
      <c r="AQ315" s="7">
        <f t="shared" si="47"/>
        <v>2011</v>
      </c>
      <c r="AS315" s="211">
        <v>-99</v>
      </c>
      <c r="AT315" s="211">
        <v>-99</v>
      </c>
      <c r="AU315" s="211">
        <v>-99</v>
      </c>
      <c r="AV315" s="211">
        <v>-99</v>
      </c>
      <c r="AW315" s="211">
        <v>-99</v>
      </c>
      <c r="AX315" s="211">
        <v>-99</v>
      </c>
      <c r="AZ315" s="211">
        <v>-99</v>
      </c>
      <c r="BA315" s="211">
        <v>-99</v>
      </c>
      <c r="BB315" s="211">
        <v>-99</v>
      </c>
      <c r="BC315" s="211">
        <v>-99</v>
      </c>
      <c r="BD315" s="211">
        <v>-99</v>
      </c>
      <c r="BE315" s="211">
        <v>-99</v>
      </c>
      <c r="BG315" s="211">
        <v>-99</v>
      </c>
      <c r="BH315" s="211">
        <v>-99</v>
      </c>
      <c r="BI315" s="211">
        <v>-99</v>
      </c>
      <c r="BJ315" s="211">
        <v>-99</v>
      </c>
      <c r="BK315" s="211">
        <v>-99</v>
      </c>
      <c r="BL315" s="211">
        <v>-99</v>
      </c>
      <c r="BM315" s="211">
        <v>-99</v>
      </c>
      <c r="BN315" s="191">
        <f t="shared" si="38"/>
        <v>1.7173102500000148E-2</v>
      </c>
      <c r="BO315" s="191">
        <f t="shared" si="39"/>
        <v>2.7080902499999837E-2</v>
      </c>
      <c r="BP315" s="191">
        <f t="shared" si="40"/>
        <v>6.10930250000008E-3</v>
      </c>
      <c r="BQ315" s="171">
        <f t="shared" si="41"/>
        <v>2.6099999999999998E-2</v>
      </c>
      <c r="BR315" s="171">
        <f t="shared" si="42"/>
        <v>5.2900000000000003E-2</v>
      </c>
      <c r="BS315" s="171">
        <f t="shared" si="43"/>
        <v>1.7100000000000001E-2</v>
      </c>
      <c r="BT315" s="171">
        <f t="shared" si="44"/>
        <v>2.69E-2</v>
      </c>
      <c r="BU315" s="171">
        <f t="shared" si="45"/>
        <v>6.0999999999999995E-3</v>
      </c>
    </row>
    <row r="316" spans="1:73" x14ac:dyDescent="0.3">
      <c r="A316" s="209">
        <v>40878</v>
      </c>
      <c r="B316" s="187">
        <v>201112</v>
      </c>
      <c r="C316" s="176">
        <v>2.42</v>
      </c>
      <c r="D316" s="176">
        <v>5.29</v>
      </c>
      <c r="E316" s="176">
        <v>0.47</v>
      </c>
      <c r="F316" s="177">
        <v>120.2</v>
      </c>
      <c r="G316" s="210">
        <v>2.9184549356223277E-2</v>
      </c>
      <c r="H316" s="179">
        <v>1.52</v>
      </c>
      <c r="I316" s="179">
        <v>2.5</v>
      </c>
      <c r="K316" s="182">
        <v>0.03</v>
      </c>
      <c r="L316" s="182">
        <v>0.02</v>
      </c>
      <c r="N316" s="182">
        <v>3.5000000000000003E-2</v>
      </c>
      <c r="O316" s="182">
        <v>0.01</v>
      </c>
      <c r="Q316" s="182">
        <v>2.5000000000000001E-2</v>
      </c>
      <c r="R316" s="182">
        <v>0.04</v>
      </c>
      <c r="S316" s="182">
        <v>0.01</v>
      </c>
      <c r="T316" s="182">
        <v>1.4999999999999999E-2</v>
      </c>
      <c r="V316" s="194">
        <v>2.6000000000000002E-2</v>
      </c>
      <c r="W316" s="194">
        <v>4.1000000000000002E-2</v>
      </c>
      <c r="X316" s="194">
        <v>1.3000000000000001E-2</v>
      </c>
      <c r="Y316" s="194">
        <v>1.6E-2</v>
      </c>
      <c r="Z316" s="194"/>
      <c r="AA316" s="195">
        <v>2.6173102500000149E-2</v>
      </c>
      <c r="AB316" s="195">
        <v>4.1034802499999683E-2</v>
      </c>
      <c r="AC316" s="195">
        <v>1.2874157371085E-2</v>
      </c>
      <c r="AD316" s="195">
        <v>1.6226875064457622E-2</v>
      </c>
      <c r="AE316" s="195"/>
      <c r="AF316" s="195">
        <v>6.5649543095424034E-3</v>
      </c>
      <c r="AG316" s="195">
        <v>1.2205900101770251E-2</v>
      </c>
      <c r="AI316" s="182">
        <v>1.525776000000012E-2</v>
      </c>
      <c r="AJ316" s="182">
        <v>2.5156249999999991E-2</v>
      </c>
      <c r="AK316" s="182">
        <v>4.7055225000001144E-3</v>
      </c>
      <c r="AM316" s="27" t="s">
        <v>143</v>
      </c>
      <c r="AN316" s="7" t="b">
        <f t="shared" si="46"/>
        <v>1</v>
      </c>
      <c r="AO316" s="7" t="s">
        <v>144</v>
      </c>
      <c r="AP316" s="7">
        <v>1994</v>
      </c>
      <c r="AQ316" s="7">
        <f t="shared" si="47"/>
        <v>2011</v>
      </c>
      <c r="AS316" s="211">
        <v>-99</v>
      </c>
      <c r="AT316" s="211">
        <v>-99</v>
      </c>
      <c r="AU316" s="211">
        <v>-99</v>
      </c>
      <c r="AV316" s="211">
        <v>-99</v>
      </c>
      <c r="AW316" s="211">
        <v>-99</v>
      </c>
      <c r="AX316" s="211">
        <v>-99</v>
      </c>
      <c r="AZ316" s="211">
        <v>-99</v>
      </c>
      <c r="BA316" s="211">
        <v>-99</v>
      </c>
      <c r="BB316" s="211">
        <v>-99</v>
      </c>
      <c r="BC316" s="211">
        <v>-99</v>
      </c>
      <c r="BD316" s="211">
        <v>-99</v>
      </c>
      <c r="BE316" s="211">
        <v>-99</v>
      </c>
      <c r="BG316" s="211">
        <v>-99</v>
      </c>
      <c r="BH316" s="211">
        <v>-99</v>
      </c>
      <c r="BI316" s="211">
        <v>-99</v>
      </c>
      <c r="BJ316" s="211">
        <v>-99</v>
      </c>
      <c r="BK316" s="211">
        <v>-99</v>
      </c>
      <c r="BL316" s="211">
        <v>-99</v>
      </c>
      <c r="BM316" s="211">
        <v>-99</v>
      </c>
      <c r="BN316" s="191">
        <f t="shared" si="38"/>
        <v>1.525776000000012E-2</v>
      </c>
      <c r="BO316" s="191">
        <f t="shared" si="39"/>
        <v>2.5156249999999991E-2</v>
      </c>
      <c r="BP316" s="191">
        <f t="shared" si="40"/>
        <v>4.7055225000001144E-3</v>
      </c>
      <c r="BQ316" s="171">
        <f t="shared" si="41"/>
        <v>2.4199999999999999E-2</v>
      </c>
      <c r="BR316" s="171">
        <f t="shared" si="42"/>
        <v>5.2900000000000003E-2</v>
      </c>
      <c r="BS316" s="171">
        <f t="shared" si="43"/>
        <v>1.52E-2</v>
      </c>
      <c r="BT316" s="171">
        <f t="shared" si="44"/>
        <v>2.5000000000000001E-2</v>
      </c>
      <c r="BU316" s="171">
        <f t="shared" si="45"/>
        <v>4.6999999999999993E-3</v>
      </c>
    </row>
    <row r="317" spans="1:73" x14ac:dyDescent="0.3">
      <c r="A317" s="209">
        <v>40909</v>
      </c>
      <c r="B317" s="187">
        <v>201201</v>
      </c>
      <c r="C317" s="176">
        <v>2.5499999999999998</v>
      </c>
      <c r="D317" s="176">
        <v>5.29</v>
      </c>
      <c r="E317" s="176">
        <v>0.53</v>
      </c>
      <c r="F317" s="177">
        <v>120.7</v>
      </c>
      <c r="G317" s="210">
        <v>2.9134532990574113E-2</v>
      </c>
      <c r="H317" s="179">
        <v>1.58</v>
      </c>
      <c r="I317" s="179">
        <v>2.64</v>
      </c>
      <c r="K317" s="182">
        <v>0.03</v>
      </c>
      <c r="L317" s="182">
        <v>0.02</v>
      </c>
      <c r="N317" s="182">
        <v>3.2500000000000001E-2</v>
      </c>
      <c r="O317" s="182">
        <v>7.4999999999999997E-3</v>
      </c>
      <c r="Q317" s="182">
        <v>2.2499999999999999E-2</v>
      </c>
      <c r="R317" s="182">
        <v>3.7499999999999999E-2</v>
      </c>
      <c r="S317" s="182">
        <v>0.01</v>
      </c>
      <c r="T317" s="182">
        <v>1.2500000000000001E-2</v>
      </c>
      <c r="V317" s="194">
        <v>2.4E-2</v>
      </c>
      <c r="W317" s="194">
        <v>3.9E-2</v>
      </c>
      <c r="X317" s="194">
        <v>1.2E-2</v>
      </c>
      <c r="Y317" s="194">
        <v>1.4999999999999999E-2</v>
      </c>
      <c r="Z317" s="194"/>
      <c r="AA317" s="195">
        <v>2.4257760000000121E-2</v>
      </c>
      <c r="AB317" s="195">
        <v>3.9105494999999928E-2</v>
      </c>
      <c r="AC317" s="195">
        <v>1.1853991869996616E-2</v>
      </c>
      <c r="AD317" s="195">
        <v>1.4631287815001864E-2</v>
      </c>
      <c r="AE317" s="195"/>
      <c r="AF317" s="195">
        <v>6.1292282432370282E-3</v>
      </c>
      <c r="AG317" s="195">
        <v>1.2060640884484664E-2</v>
      </c>
      <c r="AI317" s="182">
        <v>1.5862409999999993E-2</v>
      </c>
      <c r="AJ317" s="182">
        <v>2.6574240000000193E-2</v>
      </c>
      <c r="AK317" s="182">
        <v>5.3070225000000359E-3</v>
      </c>
      <c r="AM317" s="27" t="s">
        <v>143</v>
      </c>
      <c r="AN317" s="7" t="b">
        <f t="shared" si="46"/>
        <v>1</v>
      </c>
      <c r="AO317" s="7" t="s">
        <v>144</v>
      </c>
      <c r="AP317" s="7">
        <v>1994</v>
      </c>
      <c r="AQ317" s="7">
        <f t="shared" si="47"/>
        <v>2012</v>
      </c>
      <c r="AS317" s="211">
        <v>-99</v>
      </c>
      <c r="AT317" s="211">
        <v>-99</v>
      </c>
      <c r="AU317" s="211">
        <v>-99</v>
      </c>
      <c r="AV317" s="211">
        <v>-99</v>
      </c>
      <c r="AW317" s="211">
        <v>-99</v>
      </c>
      <c r="AX317" s="211">
        <v>-99</v>
      </c>
      <c r="AZ317" s="211">
        <v>-99</v>
      </c>
      <c r="BA317" s="211">
        <v>-99</v>
      </c>
      <c r="BB317" s="211">
        <v>-99</v>
      </c>
      <c r="BC317" s="211">
        <v>-99</v>
      </c>
      <c r="BD317" s="211">
        <v>-99</v>
      </c>
      <c r="BE317" s="211">
        <v>-99</v>
      </c>
      <c r="BG317" s="211">
        <v>-99</v>
      </c>
      <c r="BH317" s="211">
        <v>-99</v>
      </c>
      <c r="BI317" s="211">
        <v>-99</v>
      </c>
      <c r="BJ317" s="211">
        <v>-99</v>
      </c>
      <c r="BK317" s="211">
        <v>-99</v>
      </c>
      <c r="BL317" s="211">
        <v>-99</v>
      </c>
      <c r="BM317" s="211">
        <v>-99</v>
      </c>
      <c r="BN317" s="191">
        <f t="shared" si="38"/>
        <v>1.5862409999999993E-2</v>
      </c>
      <c r="BO317" s="191">
        <f t="shared" si="39"/>
        <v>2.6574240000000193E-2</v>
      </c>
      <c r="BP317" s="191">
        <f t="shared" si="40"/>
        <v>5.3070225000000359E-3</v>
      </c>
      <c r="BQ317" s="171">
        <f t="shared" si="41"/>
        <v>2.5499999999999998E-2</v>
      </c>
      <c r="BR317" s="171">
        <f t="shared" si="42"/>
        <v>5.2900000000000003E-2</v>
      </c>
      <c r="BS317" s="171">
        <f t="shared" si="43"/>
        <v>1.5800000000000002E-2</v>
      </c>
      <c r="BT317" s="171">
        <f t="shared" si="44"/>
        <v>2.64E-2</v>
      </c>
      <c r="BU317" s="171">
        <f t="shared" si="45"/>
        <v>5.3E-3</v>
      </c>
    </row>
    <row r="318" spans="1:73" x14ac:dyDescent="0.3">
      <c r="A318" s="209">
        <v>40940</v>
      </c>
      <c r="B318" s="187">
        <v>201202</v>
      </c>
      <c r="C318" s="176">
        <v>2.48</v>
      </c>
      <c r="D318" s="176">
        <v>5.24</v>
      </c>
      <c r="E318" s="176">
        <v>0.44</v>
      </c>
      <c r="F318" s="177">
        <v>121.2</v>
      </c>
      <c r="G318" s="210">
        <v>2.9940119760478945E-2</v>
      </c>
      <c r="H318" s="179">
        <v>1.58</v>
      </c>
      <c r="I318" s="179">
        <v>2.6</v>
      </c>
      <c r="K318" s="182">
        <v>2.5000000000000001E-2</v>
      </c>
      <c r="L318" s="182">
        <v>0.02</v>
      </c>
      <c r="N318" s="182">
        <v>0.03</v>
      </c>
      <c r="O318" s="182">
        <v>7.4999999999999997E-3</v>
      </c>
      <c r="Q318" s="182">
        <v>0.02</v>
      </c>
      <c r="R318" s="182">
        <v>3.5000000000000003E-2</v>
      </c>
      <c r="S318" s="182">
        <v>7.4999999999999997E-3</v>
      </c>
      <c r="T318" s="182">
        <v>0.01</v>
      </c>
      <c r="V318" s="194">
        <v>2.5000000000000001E-2</v>
      </c>
      <c r="W318" s="194">
        <v>4.1000000000000002E-2</v>
      </c>
      <c r="X318" s="194">
        <v>1.2E-2</v>
      </c>
      <c r="Y318" s="194">
        <v>1.4999999999999999E-2</v>
      </c>
      <c r="Z318" s="194"/>
      <c r="AA318" s="195">
        <v>2.4862409999999995E-2</v>
      </c>
      <c r="AB318" s="195">
        <v>4.0930155000000294E-2</v>
      </c>
      <c r="AC318" s="195">
        <v>1.2167810886566275E-2</v>
      </c>
      <c r="AD318" s="195">
        <v>1.5376628306716919E-2</v>
      </c>
      <c r="AE318" s="195"/>
      <c r="AF318" s="195">
        <v>6.2709952721743401E-3</v>
      </c>
      <c r="AG318" s="195">
        <v>1.2583275004023564E-2</v>
      </c>
      <c r="AI318" s="182">
        <v>1.5862409999999993E-2</v>
      </c>
      <c r="AJ318" s="182">
        <v>2.6168999999999887E-2</v>
      </c>
      <c r="AK318" s="182">
        <v>4.4048399999998544E-3</v>
      </c>
      <c r="AM318" s="27" t="s">
        <v>143</v>
      </c>
      <c r="AN318" s="7" t="b">
        <f t="shared" si="46"/>
        <v>1</v>
      </c>
      <c r="AO318" s="7" t="s">
        <v>144</v>
      </c>
      <c r="AP318" s="7">
        <v>1994</v>
      </c>
      <c r="AQ318" s="7">
        <f t="shared" si="47"/>
        <v>2012</v>
      </c>
      <c r="AS318" s="211">
        <v>-99</v>
      </c>
      <c r="AT318" s="211">
        <v>-99</v>
      </c>
      <c r="AU318" s="211">
        <v>-99</v>
      </c>
      <c r="AV318" s="211">
        <v>-99</v>
      </c>
      <c r="AW318" s="211">
        <v>-99</v>
      </c>
      <c r="AX318" s="211">
        <v>-99</v>
      </c>
      <c r="AZ318" s="211">
        <v>-99</v>
      </c>
      <c r="BA318" s="211">
        <v>-99</v>
      </c>
      <c r="BB318" s="211">
        <v>-99</v>
      </c>
      <c r="BC318" s="211">
        <v>-99</v>
      </c>
      <c r="BD318" s="211">
        <v>-99</v>
      </c>
      <c r="BE318" s="211">
        <v>-99</v>
      </c>
      <c r="BG318" s="211">
        <v>-99</v>
      </c>
      <c r="BH318" s="211">
        <v>-99</v>
      </c>
      <c r="BI318" s="211">
        <v>-99</v>
      </c>
      <c r="BJ318" s="211">
        <v>-99</v>
      </c>
      <c r="BK318" s="211">
        <v>-99</v>
      </c>
      <c r="BL318" s="211">
        <v>-99</v>
      </c>
      <c r="BM318" s="211">
        <v>-99</v>
      </c>
      <c r="BN318" s="191">
        <f t="shared" si="38"/>
        <v>1.5862409999999993E-2</v>
      </c>
      <c r="BO318" s="191">
        <f t="shared" si="39"/>
        <v>2.6168999999999887E-2</v>
      </c>
      <c r="BP318" s="191">
        <f t="shared" si="40"/>
        <v>4.4048399999998544E-3</v>
      </c>
      <c r="BQ318" s="171">
        <f t="shared" si="41"/>
        <v>2.4799999999999999E-2</v>
      </c>
      <c r="BR318" s="171">
        <f t="shared" si="42"/>
        <v>5.2400000000000002E-2</v>
      </c>
      <c r="BS318" s="171">
        <f t="shared" si="43"/>
        <v>1.5800000000000002E-2</v>
      </c>
      <c r="BT318" s="171">
        <f t="shared" si="44"/>
        <v>2.6000000000000002E-2</v>
      </c>
      <c r="BU318" s="171">
        <f t="shared" si="45"/>
        <v>4.4000000000000003E-3</v>
      </c>
    </row>
    <row r="319" spans="1:73" x14ac:dyDescent="0.3">
      <c r="A319" s="209">
        <v>40969</v>
      </c>
      <c r="B319" s="187">
        <v>201203</v>
      </c>
      <c r="C319" s="176">
        <v>2.56</v>
      </c>
      <c r="D319" s="176">
        <v>5.24</v>
      </c>
      <c r="E319" s="176">
        <v>0.52</v>
      </c>
      <c r="F319" s="177">
        <v>121.7</v>
      </c>
      <c r="G319" s="210">
        <v>2.9010238907849706E-2</v>
      </c>
      <c r="H319" s="179">
        <v>1.72</v>
      </c>
      <c r="I319" s="179">
        <v>2.67</v>
      </c>
      <c r="K319" s="182">
        <v>0.03</v>
      </c>
      <c r="L319" s="182">
        <v>0.02</v>
      </c>
      <c r="N319" s="182">
        <v>0.03</v>
      </c>
      <c r="O319" s="182">
        <v>7.4999999999999997E-3</v>
      </c>
      <c r="Q319" s="182">
        <v>0.02</v>
      </c>
      <c r="R319" s="182">
        <v>3.7499999999999999E-2</v>
      </c>
      <c r="S319" s="182">
        <v>7.4999999999999997E-3</v>
      </c>
      <c r="T319" s="182">
        <v>1.2500000000000001E-2</v>
      </c>
      <c r="V319" s="194">
        <v>2.5000000000000001E-2</v>
      </c>
      <c r="W319" s="194">
        <v>0.04</v>
      </c>
      <c r="X319" s="194">
        <v>1.2E-2</v>
      </c>
      <c r="Y319" s="194">
        <v>1.4E-2</v>
      </c>
      <c r="Z319" s="194"/>
      <c r="AA319" s="195">
        <v>2.4862409999999995E-2</v>
      </c>
      <c r="AB319" s="195">
        <v>4.0322294999999835E-2</v>
      </c>
      <c r="AC319" s="195">
        <v>1.1670005658007489E-2</v>
      </c>
      <c r="AD319" s="195">
        <v>1.4272257170996039E-2</v>
      </c>
      <c r="AE319" s="195"/>
      <c r="AF319" s="195">
        <v>6.5201124221390128E-3</v>
      </c>
      <c r="AG319" s="195">
        <v>1.2841738322638463E-2</v>
      </c>
      <c r="AI319" s="182">
        <v>1.7273959999999811E-2</v>
      </c>
      <c r="AJ319" s="182">
        <v>2.6878222499999938E-2</v>
      </c>
      <c r="AK319" s="182">
        <v>5.2067599999998659E-3</v>
      </c>
      <c r="AM319" s="27" t="s">
        <v>143</v>
      </c>
      <c r="AN319" s="7" t="b">
        <f t="shared" si="46"/>
        <v>1</v>
      </c>
      <c r="AO319" s="7" t="s">
        <v>144</v>
      </c>
      <c r="AP319" s="7">
        <v>1994</v>
      </c>
      <c r="AQ319" s="7">
        <f t="shared" si="47"/>
        <v>2012</v>
      </c>
      <c r="AS319" s="211">
        <v>-99</v>
      </c>
      <c r="AT319" s="211">
        <v>-99</v>
      </c>
      <c r="AU319" s="211">
        <v>-99</v>
      </c>
      <c r="AV319" s="211">
        <v>-99</v>
      </c>
      <c r="AW319" s="211">
        <v>-99</v>
      </c>
      <c r="AX319" s="211">
        <v>-99</v>
      </c>
      <c r="AZ319" s="211">
        <v>-99</v>
      </c>
      <c r="BA319" s="211">
        <v>-99</v>
      </c>
      <c r="BB319" s="211">
        <v>-99</v>
      </c>
      <c r="BC319" s="211">
        <v>-99</v>
      </c>
      <c r="BD319" s="211">
        <v>-99</v>
      </c>
      <c r="BE319" s="211">
        <v>-99</v>
      </c>
      <c r="BG319" s="211">
        <v>-99</v>
      </c>
      <c r="BH319" s="211">
        <v>-99</v>
      </c>
      <c r="BI319" s="211">
        <v>-99</v>
      </c>
      <c r="BJ319" s="211">
        <v>-99</v>
      </c>
      <c r="BK319" s="211">
        <v>-99</v>
      </c>
      <c r="BL319" s="211">
        <v>-99</v>
      </c>
      <c r="BM319" s="211">
        <v>-99</v>
      </c>
      <c r="BN319" s="191">
        <f t="shared" si="38"/>
        <v>1.7273959999999811E-2</v>
      </c>
      <c r="BO319" s="191">
        <f t="shared" si="39"/>
        <v>2.6878222499999938E-2</v>
      </c>
      <c r="BP319" s="191">
        <f t="shared" si="40"/>
        <v>5.2067599999998659E-3</v>
      </c>
      <c r="BQ319" s="171">
        <f t="shared" si="41"/>
        <v>2.5600000000000001E-2</v>
      </c>
      <c r="BR319" s="171">
        <f t="shared" si="42"/>
        <v>5.2400000000000002E-2</v>
      </c>
      <c r="BS319" s="171">
        <f t="shared" si="43"/>
        <v>1.72E-2</v>
      </c>
      <c r="BT319" s="171">
        <f t="shared" si="44"/>
        <v>2.6699999999999998E-2</v>
      </c>
      <c r="BU319" s="171">
        <f t="shared" si="45"/>
        <v>5.1999999999999998E-3</v>
      </c>
    </row>
    <row r="320" spans="1:73" x14ac:dyDescent="0.3">
      <c r="A320" s="209">
        <v>41000</v>
      </c>
      <c r="B320" s="187">
        <v>201204</v>
      </c>
      <c r="C320" s="176">
        <v>2.5499999999999998</v>
      </c>
      <c r="D320" s="176">
        <v>5.44</v>
      </c>
      <c r="E320" s="176">
        <v>0.59</v>
      </c>
      <c r="F320" s="177">
        <v>122.2</v>
      </c>
      <c r="G320" s="210">
        <v>2.8085106382978786E-2</v>
      </c>
      <c r="H320" s="179">
        <v>1.81</v>
      </c>
      <c r="I320" s="179">
        <v>2.65</v>
      </c>
      <c r="K320" s="182">
        <v>2.5000000000000001E-2</v>
      </c>
      <c r="L320" s="182">
        <v>0.02</v>
      </c>
      <c r="N320" s="182">
        <v>0.03</v>
      </c>
      <c r="O320" s="182">
        <v>7.4999999999999997E-3</v>
      </c>
      <c r="Q320" s="182">
        <v>0.02</v>
      </c>
      <c r="R320" s="182">
        <v>3.7499999999999999E-2</v>
      </c>
      <c r="S320" s="182">
        <v>7.4999999999999997E-3</v>
      </c>
      <c r="T320" s="182">
        <v>0.01</v>
      </c>
      <c r="V320" s="194">
        <v>2.6000000000000002E-2</v>
      </c>
      <c r="W320" s="194">
        <v>4.1000000000000002E-2</v>
      </c>
      <c r="X320" s="194">
        <v>1.2E-2</v>
      </c>
      <c r="Y320" s="194">
        <v>1.4999999999999999E-2</v>
      </c>
      <c r="Z320" s="194"/>
      <c r="AA320" s="195">
        <v>2.6273959999999812E-2</v>
      </c>
      <c r="AB320" s="195">
        <v>4.0680353750000002E-2</v>
      </c>
      <c r="AC320" s="195">
        <v>1.2346254164299627E-2</v>
      </c>
      <c r="AD320" s="195">
        <v>1.5137012917849987E-2</v>
      </c>
      <c r="AE320" s="195"/>
      <c r="AF320" s="195">
        <v>6.8789239740890684E-3</v>
      </c>
      <c r="AG320" s="195">
        <v>1.2581228202255046E-2</v>
      </c>
      <c r="AI320" s="182">
        <v>1.8181902500000069E-2</v>
      </c>
      <c r="AJ320" s="182">
        <v>2.6675562499999916E-2</v>
      </c>
      <c r="AK320" s="182">
        <v>5.9087024999999738E-3</v>
      </c>
      <c r="AM320" s="27" t="s">
        <v>143</v>
      </c>
      <c r="AN320" s="7" t="b">
        <f t="shared" si="46"/>
        <v>1</v>
      </c>
      <c r="AO320" s="7" t="s">
        <v>144</v>
      </c>
      <c r="AP320" s="7">
        <v>1994</v>
      </c>
      <c r="AQ320" s="7">
        <f t="shared" si="47"/>
        <v>2012</v>
      </c>
      <c r="AS320" s="211">
        <v>-99</v>
      </c>
      <c r="AT320" s="211">
        <v>-99</v>
      </c>
      <c r="AU320" s="211">
        <v>-99</v>
      </c>
      <c r="AV320" s="211">
        <v>-99</v>
      </c>
      <c r="AW320" s="211">
        <v>-99</v>
      </c>
      <c r="AX320" s="211">
        <v>-99</v>
      </c>
      <c r="AZ320" s="211">
        <v>-99</v>
      </c>
      <c r="BA320" s="211">
        <v>-99</v>
      </c>
      <c r="BB320" s="211">
        <v>-99</v>
      </c>
      <c r="BC320" s="211">
        <v>-99</v>
      </c>
      <c r="BD320" s="211">
        <v>-99</v>
      </c>
      <c r="BE320" s="211">
        <v>-99</v>
      </c>
      <c r="BG320" s="211">
        <v>-99</v>
      </c>
      <c r="BH320" s="211">
        <v>-99</v>
      </c>
      <c r="BI320" s="211">
        <v>-99</v>
      </c>
      <c r="BJ320" s="211">
        <v>-99</v>
      </c>
      <c r="BK320" s="211">
        <v>-99</v>
      </c>
      <c r="BL320" s="211">
        <v>-99</v>
      </c>
      <c r="BM320" s="211">
        <v>-99</v>
      </c>
      <c r="BN320" s="191">
        <f t="shared" si="38"/>
        <v>1.8181902500000069E-2</v>
      </c>
      <c r="BO320" s="191">
        <f t="shared" si="39"/>
        <v>2.6675562499999916E-2</v>
      </c>
      <c r="BP320" s="191">
        <f t="shared" si="40"/>
        <v>5.9087024999999738E-3</v>
      </c>
      <c r="BQ320" s="171">
        <f t="shared" si="41"/>
        <v>2.5499999999999998E-2</v>
      </c>
      <c r="BR320" s="171">
        <f t="shared" si="42"/>
        <v>5.4400000000000004E-2</v>
      </c>
      <c r="BS320" s="171">
        <f t="shared" si="43"/>
        <v>1.8100000000000002E-2</v>
      </c>
      <c r="BT320" s="171">
        <f t="shared" si="44"/>
        <v>2.6499999999999999E-2</v>
      </c>
      <c r="BU320" s="171">
        <f t="shared" si="45"/>
        <v>5.8999999999999999E-3</v>
      </c>
    </row>
    <row r="321" spans="1:73" x14ac:dyDescent="0.3">
      <c r="A321" s="209">
        <v>41030</v>
      </c>
      <c r="B321" s="187">
        <v>201205</v>
      </c>
      <c r="C321" s="176">
        <v>2.2000000000000002</v>
      </c>
      <c r="D321" s="176">
        <v>5.34</v>
      </c>
      <c r="E321" s="176">
        <v>0.37</v>
      </c>
      <c r="F321" s="177">
        <v>122.1</v>
      </c>
      <c r="G321" s="210">
        <v>2.5445292620865034E-2</v>
      </c>
      <c r="H321" s="179">
        <v>1.51</v>
      </c>
      <c r="I321" s="179">
        <v>2.33</v>
      </c>
      <c r="K321" s="182">
        <v>0.03</v>
      </c>
      <c r="L321" s="182">
        <v>0.02</v>
      </c>
      <c r="N321" s="182">
        <v>0.03</v>
      </c>
      <c r="O321" s="182">
        <v>7.4999999999999997E-3</v>
      </c>
      <c r="Q321" s="182">
        <v>2.2499999999999999E-2</v>
      </c>
      <c r="R321" s="182">
        <v>3.7499999999999999E-2</v>
      </c>
      <c r="S321" s="182">
        <v>7.4999999999999997E-3</v>
      </c>
      <c r="T321" s="182">
        <v>0.01</v>
      </c>
      <c r="V321" s="194">
        <v>2.7E-2</v>
      </c>
      <c r="W321" s="194">
        <v>0.04</v>
      </c>
      <c r="X321" s="194">
        <v>1.3000000000000001E-2</v>
      </c>
      <c r="Y321" s="194">
        <v>1.6E-2</v>
      </c>
      <c r="Z321" s="194"/>
      <c r="AA321" s="195">
        <v>2.718190250000007E-2</v>
      </c>
      <c r="AB321" s="195">
        <v>3.9922392499999841E-2</v>
      </c>
      <c r="AC321" s="195">
        <v>1.3027335984255498E-2</v>
      </c>
      <c r="AD321" s="195">
        <v>1.5849385757872213E-2</v>
      </c>
      <c r="AE321" s="195"/>
      <c r="AF321" s="195">
        <v>6.9862707613866926E-3</v>
      </c>
      <c r="AG321" s="195">
        <v>1.184870861745313E-2</v>
      </c>
      <c r="AI321" s="182">
        <v>1.515700249999985E-2</v>
      </c>
      <c r="AJ321" s="182">
        <v>2.3435722499999923E-2</v>
      </c>
      <c r="AK321" s="182">
        <v>3.7034224999998866E-3</v>
      </c>
      <c r="AM321" s="27" t="s">
        <v>143</v>
      </c>
      <c r="AN321" s="7" t="b">
        <f t="shared" si="46"/>
        <v>1</v>
      </c>
      <c r="AO321" s="7" t="s">
        <v>144</v>
      </c>
      <c r="AP321" s="7">
        <v>1994</v>
      </c>
      <c r="AQ321" s="7">
        <f t="shared" si="47"/>
        <v>2012</v>
      </c>
      <c r="AS321" s="211">
        <v>-99</v>
      </c>
      <c r="AT321" s="211">
        <v>-99</v>
      </c>
      <c r="AU321" s="211">
        <v>-99</v>
      </c>
      <c r="AV321" s="211">
        <v>-99</v>
      </c>
      <c r="AW321" s="211">
        <v>-99</v>
      </c>
      <c r="AX321" s="211">
        <v>-99</v>
      </c>
      <c r="AZ321" s="211">
        <v>-99</v>
      </c>
      <c r="BA321" s="211">
        <v>-99</v>
      </c>
      <c r="BB321" s="211">
        <v>-99</v>
      </c>
      <c r="BC321" s="211">
        <v>-99</v>
      </c>
      <c r="BD321" s="211">
        <v>-99</v>
      </c>
      <c r="BE321" s="211">
        <v>-99</v>
      </c>
      <c r="BG321" s="211">
        <v>-99</v>
      </c>
      <c r="BH321" s="211">
        <v>-99</v>
      </c>
      <c r="BI321" s="211">
        <v>-99</v>
      </c>
      <c r="BJ321" s="211">
        <v>-99</v>
      </c>
      <c r="BK321" s="211">
        <v>-99</v>
      </c>
      <c r="BL321" s="211">
        <v>-99</v>
      </c>
      <c r="BM321" s="211">
        <v>-99</v>
      </c>
      <c r="BN321" s="191">
        <f t="shared" si="38"/>
        <v>1.515700249999985E-2</v>
      </c>
      <c r="BO321" s="191">
        <f t="shared" si="39"/>
        <v>2.3435722499999923E-2</v>
      </c>
      <c r="BP321" s="191">
        <f t="shared" si="40"/>
        <v>3.7034224999998866E-3</v>
      </c>
      <c r="BQ321" s="171">
        <f t="shared" si="41"/>
        <v>2.2000000000000002E-2</v>
      </c>
      <c r="BR321" s="171">
        <f t="shared" si="42"/>
        <v>5.3399999999999996E-2</v>
      </c>
      <c r="BS321" s="171">
        <f t="shared" si="43"/>
        <v>1.5100000000000001E-2</v>
      </c>
      <c r="BT321" s="171">
        <f t="shared" si="44"/>
        <v>2.3300000000000001E-2</v>
      </c>
      <c r="BU321" s="171">
        <f t="shared" si="45"/>
        <v>3.7000000000000002E-3</v>
      </c>
    </row>
    <row r="322" spans="1:73" x14ac:dyDescent="0.3">
      <c r="A322" s="209">
        <v>41061</v>
      </c>
      <c r="B322" s="187">
        <v>201206</v>
      </c>
      <c r="C322" s="176">
        <v>2.2400000000000002</v>
      </c>
      <c r="D322" s="176">
        <v>5.24</v>
      </c>
      <c r="E322" s="176">
        <v>0.42</v>
      </c>
      <c r="F322" s="177">
        <v>121.6</v>
      </c>
      <c r="G322" s="210">
        <v>2.3688663282571909E-2</v>
      </c>
      <c r="H322" s="179">
        <v>1.44</v>
      </c>
      <c r="I322" s="179">
        <v>2.3199999999999998</v>
      </c>
      <c r="K322" s="182">
        <v>0.03</v>
      </c>
      <c r="L322" s="182">
        <v>2.5000000000000001E-2</v>
      </c>
      <c r="N322" s="182">
        <v>0.03</v>
      </c>
      <c r="O322" s="182">
        <v>7.4999999999999997E-3</v>
      </c>
      <c r="Q322" s="182">
        <v>2.2499999999999999E-2</v>
      </c>
      <c r="R322" s="182">
        <v>3.5000000000000003E-2</v>
      </c>
      <c r="S322" s="182">
        <v>0.01</v>
      </c>
      <c r="T322" s="182">
        <v>1.2500000000000001E-2</v>
      </c>
      <c r="V322" s="194">
        <v>2.4E-2</v>
      </c>
      <c r="W322" s="194">
        <v>3.6999999999999998E-2</v>
      </c>
      <c r="X322" s="194">
        <v>1.0999999999999999E-2</v>
      </c>
      <c r="Y322" s="194">
        <v>1.3000000000000001E-2</v>
      </c>
      <c r="Z322" s="194"/>
      <c r="AA322" s="195">
        <v>2.4157002499999851E-2</v>
      </c>
      <c r="AB322" s="195">
        <v>3.657508249999996E-2</v>
      </c>
      <c r="AC322" s="195">
        <v>1.1395180438369425E-2</v>
      </c>
      <c r="AD322" s="195">
        <v>1.3357543530815119E-2</v>
      </c>
      <c r="AE322" s="195"/>
      <c r="AF322" s="195">
        <v>6.3090186251920644E-3</v>
      </c>
      <c r="AG322" s="195">
        <v>1.1455748821037393E-2</v>
      </c>
      <c r="AI322" s="182">
        <v>1.4451840000000216E-2</v>
      </c>
      <c r="AJ322" s="182">
        <v>2.3334560000000115E-2</v>
      </c>
      <c r="AK322" s="182">
        <v>4.2044100000000473E-3</v>
      </c>
      <c r="AM322" s="27" t="s">
        <v>143</v>
      </c>
      <c r="AN322" s="7" t="b">
        <f t="shared" si="46"/>
        <v>1</v>
      </c>
      <c r="AO322" s="7" t="s">
        <v>144</v>
      </c>
      <c r="AP322" s="7">
        <v>1994</v>
      </c>
      <c r="AQ322" s="7">
        <f t="shared" si="47"/>
        <v>2012</v>
      </c>
      <c r="AS322" s="211">
        <v>-99</v>
      </c>
      <c r="AT322" s="211">
        <v>-99</v>
      </c>
      <c r="AU322" s="211">
        <v>-99</v>
      </c>
      <c r="AV322" s="211">
        <v>-99</v>
      </c>
      <c r="AW322" s="211">
        <v>-99</v>
      </c>
      <c r="AX322" s="211">
        <v>-99</v>
      </c>
      <c r="AZ322" s="211">
        <v>-99</v>
      </c>
      <c r="BA322" s="211">
        <v>-99</v>
      </c>
      <c r="BB322" s="211">
        <v>-99</v>
      </c>
      <c r="BC322" s="211">
        <v>-99</v>
      </c>
      <c r="BD322" s="211">
        <v>-99</v>
      </c>
      <c r="BE322" s="211">
        <v>-99</v>
      </c>
      <c r="BG322" s="211">
        <v>-99</v>
      </c>
      <c r="BH322" s="211">
        <v>-99</v>
      </c>
      <c r="BI322" s="211">
        <v>-99</v>
      </c>
      <c r="BJ322" s="211">
        <v>-99</v>
      </c>
      <c r="BK322" s="211">
        <v>-99</v>
      </c>
      <c r="BL322" s="211">
        <v>-99</v>
      </c>
      <c r="BM322" s="211">
        <v>-99</v>
      </c>
      <c r="BN322" s="191">
        <f t="shared" si="38"/>
        <v>1.4451840000000216E-2</v>
      </c>
      <c r="BO322" s="191">
        <f t="shared" si="39"/>
        <v>2.3334560000000115E-2</v>
      </c>
      <c r="BP322" s="191">
        <f t="shared" si="40"/>
        <v>4.2044100000000473E-3</v>
      </c>
      <c r="BQ322" s="171">
        <f t="shared" si="41"/>
        <v>2.2400000000000003E-2</v>
      </c>
      <c r="BR322" s="171">
        <f t="shared" si="42"/>
        <v>5.2400000000000002E-2</v>
      </c>
      <c r="BS322" s="171">
        <f t="shared" si="43"/>
        <v>1.44E-2</v>
      </c>
      <c r="BT322" s="171">
        <f t="shared" si="44"/>
        <v>2.3199999999999998E-2</v>
      </c>
      <c r="BU322" s="171">
        <f t="shared" si="45"/>
        <v>4.1999999999999997E-3</v>
      </c>
    </row>
    <row r="323" spans="1:73" x14ac:dyDescent="0.3">
      <c r="A323" s="209">
        <v>41091</v>
      </c>
      <c r="B323" s="187">
        <v>201207</v>
      </c>
      <c r="C323" s="176">
        <v>2.14</v>
      </c>
      <c r="D323" s="176">
        <v>5.24</v>
      </c>
      <c r="E323" s="176">
        <v>0.33</v>
      </c>
      <c r="F323" s="177">
        <v>121.5</v>
      </c>
      <c r="G323" s="210">
        <v>2.27848101265824E-2</v>
      </c>
      <c r="H323" s="179">
        <v>1.35</v>
      </c>
      <c r="I323" s="179">
        <v>2.2200000000000002</v>
      </c>
      <c r="K323" s="182">
        <v>2.5000000000000001E-2</v>
      </c>
      <c r="L323" s="182">
        <v>2.5000000000000001E-2</v>
      </c>
      <c r="N323" s="182">
        <v>2.75E-2</v>
      </c>
      <c r="O323" s="182">
        <v>5.0000000000000001E-3</v>
      </c>
      <c r="Q323" s="182">
        <v>0.02</v>
      </c>
      <c r="R323" s="182">
        <v>3.2500000000000001E-2</v>
      </c>
      <c r="S323" s="182">
        <v>7.4999999999999997E-3</v>
      </c>
      <c r="T323" s="182">
        <v>0.01</v>
      </c>
      <c r="V323" s="194">
        <v>2.3E-2</v>
      </c>
      <c r="W323" s="194">
        <v>3.6999999999999998E-2</v>
      </c>
      <c r="X323" s="194">
        <v>1.2E-2</v>
      </c>
      <c r="Y323" s="194">
        <v>1.4E-2</v>
      </c>
      <c r="Z323" s="194"/>
      <c r="AA323" s="195">
        <v>2.3451840000000217E-2</v>
      </c>
      <c r="AB323" s="195">
        <v>3.6775920000000066E-2</v>
      </c>
      <c r="AC323" s="195">
        <v>1.1603925705665815E-2</v>
      </c>
      <c r="AD323" s="195">
        <v>1.4004652147167165E-2</v>
      </c>
      <c r="AE323" s="195"/>
      <c r="AF323" s="195">
        <v>5.8560045059481425E-3</v>
      </c>
      <c r="AG323" s="195">
        <v>1.122838430998041E-2</v>
      </c>
      <c r="AI323" s="182">
        <v>1.3545562500000052E-2</v>
      </c>
      <c r="AJ323" s="182">
        <v>2.2323210000000149E-2</v>
      </c>
      <c r="AK323" s="182">
        <v>3.302722499999966E-3</v>
      </c>
      <c r="AM323" s="27" t="s">
        <v>143</v>
      </c>
      <c r="AN323" s="7" t="b">
        <f t="shared" si="46"/>
        <v>1</v>
      </c>
      <c r="AO323" s="7" t="s">
        <v>144</v>
      </c>
      <c r="AP323" s="7">
        <v>1994</v>
      </c>
      <c r="AQ323" s="7">
        <f t="shared" si="47"/>
        <v>2012</v>
      </c>
      <c r="AS323" s="211">
        <v>-99</v>
      </c>
      <c r="AT323" s="211">
        <v>-99</v>
      </c>
      <c r="AU323" s="211">
        <v>-99</v>
      </c>
      <c r="AV323" s="211">
        <v>-99</v>
      </c>
      <c r="AW323" s="211">
        <v>-99</v>
      </c>
      <c r="AX323" s="211">
        <v>-99</v>
      </c>
      <c r="AZ323" s="211">
        <v>-99</v>
      </c>
      <c r="BA323" s="211">
        <v>-99</v>
      </c>
      <c r="BB323" s="211">
        <v>-99</v>
      </c>
      <c r="BC323" s="211">
        <v>-99</v>
      </c>
      <c r="BD323" s="211">
        <v>-99</v>
      </c>
      <c r="BE323" s="211">
        <v>-99</v>
      </c>
      <c r="BG323" s="211">
        <v>-99</v>
      </c>
      <c r="BH323" s="211">
        <v>-99</v>
      </c>
      <c r="BI323" s="211">
        <v>-99</v>
      </c>
      <c r="BJ323" s="211">
        <v>-99</v>
      </c>
      <c r="BK323" s="211">
        <v>-99</v>
      </c>
      <c r="BL323" s="211">
        <v>-99</v>
      </c>
      <c r="BM323" s="211">
        <v>-99</v>
      </c>
      <c r="BN323" s="191">
        <f t="shared" si="38"/>
        <v>1.3545562500000052E-2</v>
      </c>
      <c r="BO323" s="191">
        <f t="shared" si="39"/>
        <v>2.2323210000000149E-2</v>
      </c>
      <c r="BP323" s="191">
        <f t="shared" si="40"/>
        <v>3.302722499999966E-3</v>
      </c>
      <c r="BQ323" s="171">
        <f t="shared" si="41"/>
        <v>2.1400000000000002E-2</v>
      </c>
      <c r="BR323" s="171">
        <f t="shared" si="42"/>
        <v>5.2400000000000002E-2</v>
      </c>
      <c r="BS323" s="171">
        <f t="shared" si="43"/>
        <v>1.3500000000000002E-2</v>
      </c>
      <c r="BT323" s="171">
        <f t="shared" si="44"/>
        <v>2.2200000000000001E-2</v>
      </c>
      <c r="BU323" s="171">
        <f t="shared" si="45"/>
        <v>3.3E-3</v>
      </c>
    </row>
    <row r="324" spans="1:73" x14ac:dyDescent="0.3">
      <c r="A324" s="209">
        <v>41122</v>
      </c>
      <c r="B324" s="187">
        <v>201208</v>
      </c>
      <c r="C324" s="176">
        <v>2.2799999999999998</v>
      </c>
      <c r="D324" s="176">
        <v>5.24</v>
      </c>
      <c r="E324" s="176">
        <v>0.4</v>
      </c>
      <c r="F324" s="177">
        <v>121.8</v>
      </c>
      <c r="G324" s="210">
        <v>2.1043771043770976E-2</v>
      </c>
      <c r="H324" s="179">
        <v>1.54</v>
      </c>
      <c r="I324" s="179">
        <v>2.37</v>
      </c>
      <c r="K324" s="182">
        <v>2.5000000000000001E-2</v>
      </c>
      <c r="L324" s="182">
        <v>2.5000000000000001E-2</v>
      </c>
      <c r="N324" s="182">
        <v>2.75E-2</v>
      </c>
      <c r="O324" s="182">
        <v>7.4999999999999997E-3</v>
      </c>
      <c r="Q324" s="182">
        <v>0.02</v>
      </c>
      <c r="R324" s="182">
        <v>3.2500000000000001E-2</v>
      </c>
      <c r="S324" s="182">
        <v>7.4999999999999997E-3</v>
      </c>
      <c r="T324" s="182">
        <v>0.01</v>
      </c>
      <c r="V324" s="194">
        <v>2.3E-2</v>
      </c>
      <c r="W324" s="194">
        <v>3.6000000000000004E-2</v>
      </c>
      <c r="X324" s="194">
        <v>1.0999999999999999E-2</v>
      </c>
      <c r="Y324" s="194">
        <v>1.3000000000000001E-2</v>
      </c>
      <c r="Z324" s="194"/>
      <c r="AA324" s="195">
        <v>2.2545562500000053E-2</v>
      </c>
      <c r="AB324" s="195">
        <v>3.5712033750000198E-2</v>
      </c>
      <c r="AC324" s="195">
        <v>1.1004068144496499E-2</v>
      </c>
      <c r="AD324" s="195">
        <v>1.2952049677751702E-2</v>
      </c>
      <c r="AE324" s="195"/>
      <c r="AF324" s="195">
        <v>5.7079366538482779E-3</v>
      </c>
      <c r="AG324" s="195">
        <v>1.1234482461183082E-2</v>
      </c>
      <c r="AI324" s="182">
        <v>1.5459290000000125E-2</v>
      </c>
      <c r="AJ324" s="182">
        <v>2.3840422499999736E-2</v>
      </c>
      <c r="AK324" s="182">
        <v>4.0039999999998965E-3</v>
      </c>
      <c r="AM324" s="27" t="s">
        <v>143</v>
      </c>
      <c r="AN324" s="7" t="b">
        <f t="shared" si="46"/>
        <v>1</v>
      </c>
      <c r="AO324" s="7" t="s">
        <v>144</v>
      </c>
      <c r="AP324" s="7">
        <v>1994</v>
      </c>
      <c r="AQ324" s="7">
        <f t="shared" si="47"/>
        <v>2012</v>
      </c>
      <c r="AS324" s="211">
        <v>-99</v>
      </c>
      <c r="AT324" s="211">
        <v>-99</v>
      </c>
      <c r="AU324" s="211">
        <v>-99</v>
      </c>
      <c r="AV324" s="211">
        <v>-99</v>
      </c>
      <c r="AW324" s="211">
        <v>-99</v>
      </c>
      <c r="AX324" s="211">
        <v>-99</v>
      </c>
      <c r="AZ324" s="211">
        <v>-99</v>
      </c>
      <c r="BA324" s="211">
        <v>-99</v>
      </c>
      <c r="BB324" s="211">
        <v>-99</v>
      </c>
      <c r="BC324" s="211">
        <v>-99</v>
      </c>
      <c r="BD324" s="211">
        <v>-99</v>
      </c>
      <c r="BE324" s="211">
        <v>-99</v>
      </c>
      <c r="BG324" s="211">
        <v>-99</v>
      </c>
      <c r="BH324" s="211">
        <v>-99</v>
      </c>
      <c r="BI324" s="211">
        <v>-99</v>
      </c>
      <c r="BJ324" s="211">
        <v>-99</v>
      </c>
      <c r="BK324" s="211">
        <v>-99</v>
      </c>
      <c r="BL324" s="211">
        <v>-99</v>
      </c>
      <c r="BM324" s="211">
        <v>-99</v>
      </c>
      <c r="BN324" s="191">
        <f t="shared" si="38"/>
        <v>1.5459290000000125E-2</v>
      </c>
      <c r="BO324" s="191">
        <f t="shared" si="39"/>
        <v>2.3840422499999736E-2</v>
      </c>
      <c r="BP324" s="191">
        <f t="shared" si="40"/>
        <v>4.0039999999998965E-3</v>
      </c>
      <c r="BQ324" s="171">
        <f t="shared" si="41"/>
        <v>2.2799999999999997E-2</v>
      </c>
      <c r="BR324" s="171">
        <f t="shared" si="42"/>
        <v>5.2400000000000002E-2</v>
      </c>
      <c r="BS324" s="171">
        <f t="shared" si="43"/>
        <v>1.54E-2</v>
      </c>
      <c r="BT324" s="171">
        <f t="shared" si="44"/>
        <v>2.3700000000000002E-2</v>
      </c>
      <c r="BU324" s="171">
        <f t="shared" si="45"/>
        <v>4.0000000000000001E-3</v>
      </c>
    </row>
    <row r="325" spans="1:73" x14ac:dyDescent="0.3">
      <c r="A325" s="209">
        <v>41153</v>
      </c>
      <c r="B325" s="187">
        <v>201209</v>
      </c>
      <c r="C325" s="176">
        <v>2.2400000000000002</v>
      </c>
      <c r="D325" s="176">
        <v>5.24</v>
      </c>
      <c r="E325" s="176">
        <v>0.35</v>
      </c>
      <c r="F325" s="177">
        <v>122</v>
      </c>
      <c r="G325" s="210">
        <v>1.9311502938706981E-2</v>
      </c>
      <c r="H325" s="179">
        <v>1.47</v>
      </c>
      <c r="I325" s="179">
        <v>2.33</v>
      </c>
      <c r="K325" s="182">
        <v>2.5000000000000001E-2</v>
      </c>
      <c r="L325" s="182">
        <v>2.5000000000000001E-2</v>
      </c>
      <c r="N325" s="182">
        <v>2.75E-2</v>
      </c>
      <c r="O325" s="182">
        <v>5.0000000000000001E-3</v>
      </c>
      <c r="Q325" s="182">
        <v>1.7500000000000002E-2</v>
      </c>
      <c r="R325" s="182">
        <v>3.2500000000000001E-2</v>
      </c>
      <c r="S325" s="182">
        <v>7.4999999999999997E-3</v>
      </c>
      <c r="T325" s="182">
        <v>0.01</v>
      </c>
      <c r="V325" s="194">
        <v>2.4E-2</v>
      </c>
      <c r="W325" s="194">
        <v>3.6999999999999998E-2</v>
      </c>
      <c r="X325" s="194">
        <v>1.2E-2</v>
      </c>
      <c r="Y325" s="194">
        <v>1.4E-2</v>
      </c>
      <c r="Z325" s="194"/>
      <c r="AA325" s="195">
        <v>2.4459290000000126E-2</v>
      </c>
      <c r="AB325" s="195">
        <v>3.7030988749999542E-2</v>
      </c>
      <c r="AC325" s="195">
        <v>1.1596388430616094E-2</v>
      </c>
      <c r="AD325" s="195">
        <v>1.3707805784691799E-2</v>
      </c>
      <c r="AE325" s="195"/>
      <c r="AF325" s="195">
        <v>6.357724145960697E-3</v>
      </c>
      <c r="AG325" s="195">
        <v>1.1503898279274782E-2</v>
      </c>
      <c r="AI325" s="182">
        <v>1.4754022500000019E-2</v>
      </c>
      <c r="AJ325" s="182">
        <v>2.3435722499999923E-2</v>
      </c>
      <c r="AK325" s="182">
        <v>3.5030624999998761E-3</v>
      </c>
      <c r="AM325" s="27" t="s">
        <v>143</v>
      </c>
      <c r="AN325" s="7" t="b">
        <f t="shared" si="46"/>
        <v>1</v>
      </c>
      <c r="AO325" s="7" t="s">
        <v>144</v>
      </c>
      <c r="AP325" s="7">
        <v>1994</v>
      </c>
      <c r="AQ325" s="7">
        <f t="shared" si="47"/>
        <v>2012</v>
      </c>
      <c r="AS325" s="211">
        <v>-99</v>
      </c>
      <c r="AT325" s="211">
        <v>-99</v>
      </c>
      <c r="AU325" s="211">
        <v>-99</v>
      </c>
      <c r="AV325" s="211">
        <v>-99</v>
      </c>
      <c r="AW325" s="211">
        <v>-99</v>
      </c>
      <c r="AX325" s="211">
        <v>-99</v>
      </c>
      <c r="AZ325" s="211">
        <v>-99</v>
      </c>
      <c r="BA325" s="211">
        <v>-99</v>
      </c>
      <c r="BB325" s="211">
        <v>-99</v>
      </c>
      <c r="BC325" s="211">
        <v>-99</v>
      </c>
      <c r="BD325" s="211">
        <v>-99</v>
      </c>
      <c r="BE325" s="211">
        <v>-99</v>
      </c>
      <c r="BG325" s="211">
        <v>-99</v>
      </c>
      <c r="BH325" s="211">
        <v>-99</v>
      </c>
      <c r="BI325" s="211">
        <v>-99</v>
      </c>
      <c r="BJ325" s="211">
        <v>-99</v>
      </c>
      <c r="BK325" s="211">
        <v>-99</v>
      </c>
      <c r="BL325" s="211">
        <v>-99</v>
      </c>
      <c r="BM325" s="211">
        <v>-99</v>
      </c>
      <c r="BN325" s="191">
        <f t="shared" si="38"/>
        <v>1.4754022500000019E-2</v>
      </c>
      <c r="BO325" s="191">
        <f t="shared" si="39"/>
        <v>2.3435722499999923E-2</v>
      </c>
      <c r="BP325" s="191">
        <f t="shared" si="40"/>
        <v>3.5030624999998761E-3</v>
      </c>
      <c r="BQ325" s="171">
        <f t="shared" si="41"/>
        <v>2.2400000000000003E-2</v>
      </c>
      <c r="BR325" s="171">
        <f t="shared" si="42"/>
        <v>5.2400000000000002E-2</v>
      </c>
      <c r="BS325" s="171">
        <f t="shared" si="43"/>
        <v>1.47E-2</v>
      </c>
      <c r="BT325" s="171">
        <f t="shared" si="44"/>
        <v>2.3300000000000001E-2</v>
      </c>
      <c r="BU325" s="171">
        <f t="shared" si="45"/>
        <v>3.4999999999999996E-3</v>
      </c>
    </row>
    <row r="326" spans="1:73" x14ac:dyDescent="0.3">
      <c r="A326" s="209">
        <v>41183</v>
      </c>
      <c r="B326" s="187">
        <v>201210</v>
      </c>
      <c r="C326" s="176">
        <v>2.27</v>
      </c>
      <c r="D326" s="176">
        <v>5.24</v>
      </c>
      <c r="E326" s="176">
        <v>0.38</v>
      </c>
      <c r="F326" s="177">
        <v>122.2</v>
      </c>
      <c r="G326" s="210">
        <v>1.7587939698492372E-2</v>
      </c>
      <c r="H326" s="179">
        <v>1.51</v>
      </c>
      <c r="I326" s="179">
        <v>2.38</v>
      </c>
      <c r="K326" s="182">
        <v>2.5000000000000001E-2</v>
      </c>
      <c r="L326" s="182">
        <v>0.03</v>
      </c>
      <c r="N326" s="182">
        <v>2.75E-2</v>
      </c>
      <c r="O326" s="182">
        <v>7.4999999999999997E-3</v>
      </c>
      <c r="Q326" s="182">
        <v>0.02</v>
      </c>
      <c r="R326" s="182">
        <v>3.2500000000000001E-2</v>
      </c>
      <c r="S326" s="182">
        <v>7.4999999999999997E-3</v>
      </c>
      <c r="T326" s="182">
        <v>0.01</v>
      </c>
      <c r="V326" s="194">
        <v>2.4E-2</v>
      </c>
      <c r="W326" s="194">
        <v>3.6999999999999998E-2</v>
      </c>
      <c r="X326" s="194">
        <v>1.0999999999999999E-2</v>
      </c>
      <c r="Y326" s="194">
        <v>1.3000000000000001E-2</v>
      </c>
      <c r="Z326" s="194"/>
      <c r="AA326" s="195">
        <v>2.375402250000002E-2</v>
      </c>
      <c r="AB326" s="195">
        <v>3.6776572499999875E-2</v>
      </c>
      <c r="AC326" s="195">
        <v>1.1205362473629934E-2</v>
      </c>
      <c r="AD326" s="195">
        <v>1.3151912513184849E-2</v>
      </c>
      <c r="AE326" s="195"/>
      <c r="AF326" s="195">
        <v>6.2048029470854749E-3</v>
      </c>
      <c r="AG326" s="195">
        <v>1.1658991951272402E-2</v>
      </c>
      <c r="AI326" s="182">
        <v>1.515700249999985E-2</v>
      </c>
      <c r="AJ326" s="182">
        <v>2.3941610000000058E-2</v>
      </c>
      <c r="AK326" s="182">
        <v>3.8036100000000683E-3</v>
      </c>
      <c r="AM326" s="27" t="s">
        <v>143</v>
      </c>
      <c r="AN326" s="7" t="b">
        <f t="shared" si="46"/>
        <v>1</v>
      </c>
      <c r="AO326" s="7" t="s">
        <v>144</v>
      </c>
      <c r="AP326" s="7">
        <v>1994</v>
      </c>
      <c r="AQ326" s="7">
        <f t="shared" si="47"/>
        <v>2012</v>
      </c>
      <c r="AS326" s="211">
        <v>-99</v>
      </c>
      <c r="AT326" s="211">
        <v>-99</v>
      </c>
      <c r="AU326" s="211">
        <v>-99</v>
      </c>
      <c r="AV326" s="211">
        <v>-99</v>
      </c>
      <c r="AW326" s="211">
        <v>-99</v>
      </c>
      <c r="AX326" s="211">
        <v>-99</v>
      </c>
      <c r="AZ326" s="211">
        <v>-99</v>
      </c>
      <c r="BA326" s="211">
        <v>-99</v>
      </c>
      <c r="BB326" s="211">
        <v>-99</v>
      </c>
      <c r="BC326" s="211">
        <v>-99</v>
      </c>
      <c r="BD326" s="211">
        <v>-99</v>
      </c>
      <c r="BE326" s="211">
        <v>-99</v>
      </c>
      <c r="BG326" s="211">
        <v>-99</v>
      </c>
      <c r="BH326" s="211">
        <v>-99</v>
      </c>
      <c r="BI326" s="211">
        <v>-99</v>
      </c>
      <c r="BJ326" s="211">
        <v>-99</v>
      </c>
      <c r="BK326" s="211">
        <v>-99</v>
      </c>
      <c r="BL326" s="211">
        <v>-99</v>
      </c>
      <c r="BM326" s="211">
        <v>-99</v>
      </c>
      <c r="BN326" s="191">
        <f t="shared" si="38"/>
        <v>1.515700249999985E-2</v>
      </c>
      <c r="BO326" s="191">
        <f t="shared" si="39"/>
        <v>2.3941610000000058E-2</v>
      </c>
      <c r="BP326" s="191">
        <f t="shared" si="40"/>
        <v>3.8036100000000683E-3</v>
      </c>
      <c r="BQ326" s="171">
        <f t="shared" si="41"/>
        <v>2.2700000000000001E-2</v>
      </c>
      <c r="BR326" s="171">
        <f t="shared" si="42"/>
        <v>5.2400000000000002E-2</v>
      </c>
      <c r="BS326" s="171">
        <f t="shared" si="43"/>
        <v>1.5100000000000001E-2</v>
      </c>
      <c r="BT326" s="171">
        <f t="shared" si="44"/>
        <v>2.3799999999999998E-2</v>
      </c>
      <c r="BU326" s="171">
        <f t="shared" si="45"/>
        <v>3.8E-3</v>
      </c>
    </row>
    <row r="327" spans="1:73" x14ac:dyDescent="0.3">
      <c r="A327" s="209">
        <v>41214</v>
      </c>
      <c r="B327" s="187">
        <v>201211</v>
      </c>
      <c r="C327" s="176">
        <v>2.2000000000000002</v>
      </c>
      <c r="D327" s="176">
        <v>5.24</v>
      </c>
      <c r="E327" s="176">
        <v>0.34</v>
      </c>
      <c r="F327" s="177">
        <v>121.9</v>
      </c>
      <c r="G327" s="210">
        <v>1.6722408026755842E-2</v>
      </c>
      <c r="H327" s="179">
        <v>1.46</v>
      </c>
      <c r="I327" s="179">
        <v>2.2999999999999998</v>
      </c>
      <c r="K327" s="182">
        <v>2.5000000000000001E-2</v>
      </c>
      <c r="L327" s="182">
        <v>0.03</v>
      </c>
      <c r="N327" s="182">
        <v>2.75E-2</v>
      </c>
      <c r="O327" s="182">
        <v>5.0000000000000001E-3</v>
      </c>
      <c r="Q327" s="182">
        <v>0.02</v>
      </c>
      <c r="R327" s="182">
        <v>3.2500000000000001E-2</v>
      </c>
      <c r="S327" s="182">
        <v>7.4999999999999997E-3</v>
      </c>
      <c r="T327" s="182">
        <v>0.01</v>
      </c>
      <c r="V327" s="194">
        <v>2.4E-2</v>
      </c>
      <c r="W327" s="194">
        <v>3.6999999999999998E-2</v>
      </c>
      <c r="X327" s="194">
        <v>1.0999999999999999E-2</v>
      </c>
      <c r="Y327" s="194">
        <v>1.4E-2</v>
      </c>
      <c r="Z327" s="194"/>
      <c r="AA327" s="195">
        <v>2.4157002499999851E-2</v>
      </c>
      <c r="AB327" s="195">
        <v>3.7333913750000162E-2</v>
      </c>
      <c r="AC327" s="195">
        <v>1.140799705111834E-2</v>
      </c>
      <c r="AD327" s="195">
        <v>1.3501416474440933E-2</v>
      </c>
      <c r="AE327" s="195"/>
      <c r="AF327" s="195">
        <v>6.3026026519726885E-3</v>
      </c>
      <c r="AG327" s="195">
        <v>1.1757505657201128E-2</v>
      </c>
      <c r="AI327" s="182">
        <v>1.4653290000000263E-2</v>
      </c>
      <c r="AJ327" s="182">
        <v>2.3132250000000187E-2</v>
      </c>
      <c r="AK327" s="182">
        <v>3.4028900000000473E-3</v>
      </c>
      <c r="AM327" s="27" t="s">
        <v>143</v>
      </c>
      <c r="AN327" s="7" t="b">
        <f t="shared" si="46"/>
        <v>1</v>
      </c>
      <c r="AO327" s="7" t="s">
        <v>144</v>
      </c>
      <c r="AP327" s="7">
        <v>1994</v>
      </c>
      <c r="AQ327" s="7">
        <f t="shared" si="47"/>
        <v>2012</v>
      </c>
      <c r="AS327" s="211">
        <v>-99</v>
      </c>
      <c r="AT327" s="211">
        <v>-99</v>
      </c>
      <c r="AU327" s="211">
        <v>-99</v>
      </c>
      <c r="AV327" s="211">
        <v>-99</v>
      </c>
      <c r="AW327" s="211">
        <v>-99</v>
      </c>
      <c r="AX327" s="211">
        <v>-99</v>
      </c>
      <c r="AZ327" s="211">
        <v>-99</v>
      </c>
      <c r="BA327" s="211">
        <v>-99</v>
      </c>
      <c r="BB327" s="211">
        <v>-99</v>
      </c>
      <c r="BC327" s="211">
        <v>-99</v>
      </c>
      <c r="BD327" s="211">
        <v>-99</v>
      </c>
      <c r="BE327" s="211">
        <v>-99</v>
      </c>
      <c r="BG327" s="211">
        <v>-99</v>
      </c>
      <c r="BH327" s="211">
        <v>-99</v>
      </c>
      <c r="BI327" s="211">
        <v>-99</v>
      </c>
      <c r="BJ327" s="211">
        <v>-99</v>
      </c>
      <c r="BK327" s="211">
        <v>-99</v>
      </c>
      <c r="BL327" s="211">
        <v>-99</v>
      </c>
      <c r="BM327" s="211">
        <v>-99</v>
      </c>
      <c r="BN327" s="191">
        <f t="shared" ref="BN327:BN390" si="48">AI327</f>
        <v>1.4653290000000263E-2</v>
      </c>
      <c r="BO327" s="191">
        <f t="shared" ref="BO327:BO390" si="49">AJ327</f>
        <v>2.3132250000000187E-2</v>
      </c>
      <c r="BP327" s="191">
        <f t="shared" ref="BP327:BP390" si="50">AK327</f>
        <v>3.4028900000000473E-3</v>
      </c>
      <c r="BQ327" s="171">
        <f t="shared" ref="BQ327:BQ390" si="51">C327/100</f>
        <v>2.2000000000000002E-2</v>
      </c>
      <c r="BR327" s="171">
        <f t="shared" ref="BR327:BR390" si="52">D327/100</f>
        <v>5.2400000000000002E-2</v>
      </c>
      <c r="BS327" s="171">
        <f t="shared" ref="BS327:BS390" si="53">H327/100</f>
        <v>1.46E-2</v>
      </c>
      <c r="BT327" s="171">
        <f t="shared" ref="BT327:BT390" si="54">I327/100</f>
        <v>2.3E-2</v>
      </c>
      <c r="BU327" s="171">
        <f t="shared" si="45"/>
        <v>3.4000000000000002E-3</v>
      </c>
    </row>
    <row r="328" spans="1:73" x14ac:dyDescent="0.3">
      <c r="A328" s="209">
        <v>41244</v>
      </c>
      <c r="B328" s="187">
        <v>201212</v>
      </c>
      <c r="C328" s="176">
        <v>2.27</v>
      </c>
      <c r="D328" s="176">
        <v>5.24</v>
      </c>
      <c r="E328" s="176">
        <v>0.38</v>
      </c>
      <c r="F328" s="177">
        <v>121.2</v>
      </c>
      <c r="G328" s="210">
        <v>1.5012510425354453E-2</v>
      </c>
      <c r="H328" s="179">
        <v>1.55</v>
      </c>
      <c r="I328" s="179">
        <v>2.37</v>
      </c>
      <c r="K328" s="182">
        <v>2.5000000000000001E-2</v>
      </c>
      <c r="L328" s="182">
        <v>0.03</v>
      </c>
      <c r="N328" s="182">
        <v>2.75E-2</v>
      </c>
      <c r="O328" s="182">
        <v>7.4999999999999997E-3</v>
      </c>
      <c r="Q328" s="182">
        <v>0.02</v>
      </c>
      <c r="R328" s="182">
        <v>3.2500000000000001E-2</v>
      </c>
      <c r="S328" s="182">
        <v>7.4999999999999997E-3</v>
      </c>
      <c r="T328" s="182">
        <v>0.01</v>
      </c>
      <c r="V328" s="194">
        <v>2.4E-2</v>
      </c>
      <c r="W328" s="194">
        <v>3.6000000000000004E-2</v>
      </c>
      <c r="X328" s="194">
        <v>1.0999999999999999E-2</v>
      </c>
      <c r="Y328" s="194">
        <v>1.3000000000000001E-2</v>
      </c>
      <c r="Z328" s="194"/>
      <c r="AA328" s="195">
        <v>2.3653290000000264E-2</v>
      </c>
      <c r="AB328" s="195">
        <v>3.6371730000000151E-2</v>
      </c>
      <c r="AC328" s="195">
        <v>1.1155585125013832E-2</v>
      </c>
      <c r="AD328" s="195">
        <v>1.3026542437493157E-2</v>
      </c>
      <c r="AE328" s="195"/>
      <c r="AF328" s="195">
        <v>6.1799119041809902E-3</v>
      </c>
      <c r="AG328" s="195">
        <v>1.152249550457729E-2</v>
      </c>
      <c r="AI328" s="182">
        <v>1.556006249999986E-2</v>
      </c>
      <c r="AJ328" s="182">
        <v>2.3840422499999736E-2</v>
      </c>
      <c r="AK328" s="182">
        <v>3.8036100000000683E-3</v>
      </c>
      <c r="AM328" s="27" t="s">
        <v>143</v>
      </c>
      <c r="AN328" s="7" t="b">
        <f t="shared" si="46"/>
        <v>1</v>
      </c>
      <c r="AO328" s="7" t="s">
        <v>144</v>
      </c>
      <c r="AP328" s="7">
        <v>1994</v>
      </c>
      <c r="AQ328" s="7">
        <f t="shared" si="47"/>
        <v>2012</v>
      </c>
      <c r="AS328" s="211">
        <v>-99</v>
      </c>
      <c r="AT328" s="211">
        <v>-99</v>
      </c>
      <c r="AU328" s="211">
        <v>-99</v>
      </c>
      <c r="AV328" s="211">
        <v>-99</v>
      </c>
      <c r="AW328" s="211">
        <v>-99</v>
      </c>
      <c r="AX328" s="211">
        <v>-99</v>
      </c>
      <c r="AZ328" s="211">
        <v>-99</v>
      </c>
      <c r="BA328" s="211">
        <v>-99</v>
      </c>
      <c r="BB328" s="211">
        <v>-99</v>
      </c>
      <c r="BC328" s="211">
        <v>-99</v>
      </c>
      <c r="BD328" s="211">
        <v>-99</v>
      </c>
      <c r="BE328" s="211">
        <v>-99</v>
      </c>
      <c r="BG328" s="211">
        <v>-99</v>
      </c>
      <c r="BH328" s="211">
        <v>-99</v>
      </c>
      <c r="BI328" s="211">
        <v>-99</v>
      </c>
      <c r="BJ328" s="211">
        <v>-99</v>
      </c>
      <c r="BK328" s="211">
        <v>-99</v>
      </c>
      <c r="BL328" s="211">
        <v>-99</v>
      </c>
      <c r="BM328" s="211">
        <v>-99</v>
      </c>
      <c r="BN328" s="191">
        <f t="shared" si="48"/>
        <v>1.556006249999986E-2</v>
      </c>
      <c r="BO328" s="191">
        <f t="shared" si="49"/>
        <v>2.3840422499999736E-2</v>
      </c>
      <c r="BP328" s="191">
        <f t="shared" si="50"/>
        <v>3.8036100000000683E-3</v>
      </c>
      <c r="BQ328" s="171">
        <f t="shared" si="51"/>
        <v>2.2700000000000001E-2</v>
      </c>
      <c r="BR328" s="171">
        <f t="shared" si="52"/>
        <v>5.2400000000000002E-2</v>
      </c>
      <c r="BS328" s="171">
        <f t="shared" si="53"/>
        <v>1.55E-2</v>
      </c>
      <c r="BT328" s="171">
        <f t="shared" si="54"/>
        <v>2.3700000000000002E-2</v>
      </c>
      <c r="BU328" s="171">
        <f t="shared" si="45"/>
        <v>3.8E-3</v>
      </c>
    </row>
    <row r="329" spans="1:73" x14ac:dyDescent="0.3">
      <c r="A329" s="209">
        <v>41275</v>
      </c>
      <c r="B329" s="187">
        <v>201301</v>
      </c>
      <c r="C329" s="176">
        <v>2.4700000000000002</v>
      </c>
      <c r="D329" s="176">
        <v>5.24</v>
      </c>
      <c r="E329" s="176">
        <v>0.54</v>
      </c>
      <c r="F329" s="177">
        <v>121.3</v>
      </c>
      <c r="G329" s="210">
        <v>1.3322231473771984E-2</v>
      </c>
      <c r="H329" s="179">
        <v>1.7</v>
      </c>
      <c r="I329" s="179">
        <v>2.57</v>
      </c>
      <c r="K329" s="182">
        <v>2.5000000000000001E-2</v>
      </c>
      <c r="L329" s="182">
        <v>3.5000000000000003E-2</v>
      </c>
      <c r="N329" s="182">
        <v>2.75E-2</v>
      </c>
      <c r="O329" s="182">
        <v>5.0000000000000001E-3</v>
      </c>
      <c r="Q329" s="182">
        <v>0.02</v>
      </c>
      <c r="R329" s="182">
        <v>3.2500000000000001E-2</v>
      </c>
      <c r="S329" s="182">
        <v>7.4999999999999997E-3</v>
      </c>
      <c r="T329" s="182">
        <v>0.01</v>
      </c>
      <c r="V329" s="194">
        <v>2.5000000000000001E-2</v>
      </c>
      <c r="W329" s="194">
        <v>3.6999999999999998E-2</v>
      </c>
      <c r="X329" s="194">
        <v>1.0999999999999999E-2</v>
      </c>
      <c r="Y329" s="194">
        <v>1.3000000000000001E-2</v>
      </c>
      <c r="Z329" s="194"/>
      <c r="AA329" s="195">
        <v>2.4560062499999862E-2</v>
      </c>
      <c r="AB329" s="195">
        <v>3.6980602499999675E-2</v>
      </c>
      <c r="AC329" s="195">
        <v>1.1482523509204848E-2</v>
      </c>
      <c r="AD329" s="195">
        <v>1.3464153245397681E-2</v>
      </c>
      <c r="AE329" s="195"/>
      <c r="AF329" s="195">
        <v>6.4645402598870749E-3</v>
      </c>
      <c r="AG329" s="195">
        <v>1.1602013341713069E-2</v>
      </c>
      <c r="AI329" s="182">
        <v>1.7072250000000011E-2</v>
      </c>
      <c r="AJ329" s="182">
        <v>2.5865122499999949E-2</v>
      </c>
      <c r="AK329" s="182">
        <v>5.4072899999999535E-3</v>
      </c>
      <c r="AM329" s="27" t="s">
        <v>143</v>
      </c>
      <c r="AN329" s="7" t="b">
        <f t="shared" si="46"/>
        <v>1</v>
      </c>
      <c r="AO329" s="7" t="s">
        <v>144</v>
      </c>
      <c r="AP329" s="7">
        <v>1994</v>
      </c>
      <c r="AQ329" s="7">
        <f t="shared" si="47"/>
        <v>2013</v>
      </c>
      <c r="AS329" s="211">
        <v>-99</v>
      </c>
      <c r="AT329" s="211">
        <v>-99</v>
      </c>
      <c r="AU329" s="211">
        <v>-99</v>
      </c>
      <c r="AV329" s="211">
        <v>-99</v>
      </c>
      <c r="AW329" s="211">
        <v>-99</v>
      </c>
      <c r="AX329" s="211">
        <v>-99</v>
      </c>
      <c r="AZ329" s="211">
        <v>-99</v>
      </c>
      <c r="BA329" s="211">
        <v>-99</v>
      </c>
      <c r="BB329" s="211">
        <v>-99</v>
      </c>
      <c r="BC329" s="211">
        <v>-99</v>
      </c>
      <c r="BD329" s="211">
        <v>-99</v>
      </c>
      <c r="BE329" s="211">
        <v>-99</v>
      </c>
      <c r="BG329" s="211">
        <v>-99</v>
      </c>
      <c r="BH329" s="211">
        <v>-99</v>
      </c>
      <c r="BI329" s="211">
        <v>-99</v>
      </c>
      <c r="BJ329" s="211">
        <v>-99</v>
      </c>
      <c r="BK329" s="211">
        <v>-99</v>
      </c>
      <c r="BL329" s="211">
        <v>-99</v>
      </c>
      <c r="BM329" s="211">
        <v>-99</v>
      </c>
      <c r="BN329" s="191">
        <f t="shared" si="48"/>
        <v>1.7072250000000011E-2</v>
      </c>
      <c r="BO329" s="191">
        <f t="shared" si="49"/>
        <v>2.5865122499999949E-2</v>
      </c>
      <c r="BP329" s="191">
        <f t="shared" si="50"/>
        <v>5.4072899999999535E-3</v>
      </c>
      <c r="BQ329" s="171">
        <f t="shared" si="51"/>
        <v>2.4700000000000003E-2</v>
      </c>
      <c r="BR329" s="171">
        <f t="shared" si="52"/>
        <v>5.2400000000000002E-2</v>
      </c>
      <c r="BS329" s="171">
        <f t="shared" si="53"/>
        <v>1.7000000000000001E-2</v>
      </c>
      <c r="BT329" s="171">
        <f t="shared" si="54"/>
        <v>2.5699999999999997E-2</v>
      </c>
      <c r="BU329" s="171">
        <f t="shared" si="45"/>
        <v>5.4000000000000003E-3</v>
      </c>
    </row>
    <row r="330" spans="1:73" x14ac:dyDescent="0.3">
      <c r="A330" s="209">
        <v>41306</v>
      </c>
      <c r="B330" s="187">
        <v>201302</v>
      </c>
      <c r="C330" s="176">
        <v>2.39</v>
      </c>
      <c r="D330" s="176">
        <v>5.24</v>
      </c>
      <c r="E330" s="176">
        <v>0.52</v>
      </c>
      <c r="F330" s="177">
        <v>122.7</v>
      </c>
      <c r="G330" s="210">
        <v>1.2458471760797396E-2</v>
      </c>
      <c r="H330" s="179">
        <v>1.53</v>
      </c>
      <c r="I330" s="179">
        <v>2.5299999999999998</v>
      </c>
      <c r="K330" s="182">
        <v>2.5000000000000001E-2</v>
      </c>
      <c r="L330" s="182">
        <v>3.5000000000000003E-2</v>
      </c>
      <c r="N330" s="182">
        <v>2.75E-2</v>
      </c>
      <c r="O330" s="182">
        <v>7.4999999999999997E-3</v>
      </c>
      <c r="Q330" s="182">
        <v>0.02</v>
      </c>
      <c r="R330" s="182">
        <v>3.2500000000000001E-2</v>
      </c>
      <c r="S330" s="182">
        <v>7.4999999999999997E-3</v>
      </c>
      <c r="T330" s="182">
        <v>0.01</v>
      </c>
      <c r="V330" s="194">
        <v>2.6000000000000002E-2</v>
      </c>
      <c r="W330" s="194">
        <v>3.9E-2</v>
      </c>
      <c r="X330" s="194">
        <v>1.3000000000000001E-2</v>
      </c>
      <c r="Y330" s="194">
        <v>1.4999999999999999E-2</v>
      </c>
      <c r="Z330" s="194"/>
      <c r="AA330" s="195">
        <v>2.6072250000000012E-2</v>
      </c>
      <c r="AB330" s="195">
        <v>3.9261558749999918E-2</v>
      </c>
      <c r="AC330" s="195">
        <v>1.2569076724941066E-2</v>
      </c>
      <c r="AD330" s="195">
        <v>1.53263966375294E-2</v>
      </c>
      <c r="AE330" s="195"/>
      <c r="AF330" s="195">
        <v>6.6677788140309113E-3</v>
      </c>
      <c r="AG330" s="195">
        <v>1.1786929893547904E-2</v>
      </c>
      <c r="AI330" s="182">
        <v>1.5358522499999916E-2</v>
      </c>
      <c r="AJ330" s="182">
        <v>2.5460022500000123E-2</v>
      </c>
      <c r="AK330" s="182">
        <v>5.2067599999998659E-3</v>
      </c>
      <c r="AM330" s="27" t="s">
        <v>143</v>
      </c>
      <c r="AN330" s="7" t="b">
        <f t="shared" si="46"/>
        <v>1</v>
      </c>
      <c r="AO330" s="7" t="s">
        <v>144</v>
      </c>
      <c r="AP330" s="7">
        <v>1994</v>
      </c>
      <c r="AQ330" s="7">
        <f t="shared" si="47"/>
        <v>2013</v>
      </c>
      <c r="AS330" s="211">
        <v>-99</v>
      </c>
      <c r="AT330" s="211">
        <v>-99</v>
      </c>
      <c r="AU330" s="211">
        <v>-99</v>
      </c>
      <c r="AV330" s="211">
        <v>-99</v>
      </c>
      <c r="AW330" s="211">
        <v>-99</v>
      </c>
      <c r="AX330" s="211">
        <v>-99</v>
      </c>
      <c r="AZ330" s="211">
        <v>-99</v>
      </c>
      <c r="BA330" s="211">
        <v>-99</v>
      </c>
      <c r="BB330" s="211">
        <v>-99</v>
      </c>
      <c r="BC330" s="211">
        <v>-99</v>
      </c>
      <c r="BD330" s="211">
        <v>-99</v>
      </c>
      <c r="BE330" s="211">
        <v>-99</v>
      </c>
      <c r="BG330" s="211">
        <v>-99</v>
      </c>
      <c r="BH330" s="211">
        <v>-99</v>
      </c>
      <c r="BI330" s="211">
        <v>-99</v>
      </c>
      <c r="BJ330" s="211">
        <v>-99</v>
      </c>
      <c r="BK330" s="211">
        <v>-99</v>
      </c>
      <c r="BL330" s="211">
        <v>-99</v>
      </c>
      <c r="BM330" s="211">
        <v>-99</v>
      </c>
      <c r="BN330" s="191">
        <f t="shared" si="48"/>
        <v>1.5358522499999916E-2</v>
      </c>
      <c r="BO330" s="191">
        <f t="shared" si="49"/>
        <v>2.5460022500000123E-2</v>
      </c>
      <c r="BP330" s="191">
        <f t="shared" si="50"/>
        <v>5.2067599999998659E-3</v>
      </c>
      <c r="BQ330" s="171">
        <f t="shared" si="51"/>
        <v>2.3900000000000001E-2</v>
      </c>
      <c r="BR330" s="171">
        <f t="shared" si="52"/>
        <v>5.2400000000000002E-2</v>
      </c>
      <c r="BS330" s="171">
        <f t="shared" si="53"/>
        <v>1.5300000000000001E-2</v>
      </c>
      <c r="BT330" s="171">
        <f t="shared" si="54"/>
        <v>2.53E-2</v>
      </c>
      <c r="BU330" s="171">
        <f t="shared" si="45"/>
        <v>5.1999999999999998E-3</v>
      </c>
    </row>
    <row r="331" spans="1:73" x14ac:dyDescent="0.3">
      <c r="A331" s="209">
        <v>41334</v>
      </c>
      <c r="B331" s="187">
        <v>201303</v>
      </c>
      <c r="C331" s="176">
        <v>2.34</v>
      </c>
      <c r="D331" s="176">
        <v>5.14</v>
      </c>
      <c r="E331" s="176">
        <v>0.48</v>
      </c>
      <c r="F331" s="177">
        <v>122.9</v>
      </c>
      <c r="G331" s="210">
        <v>1.1608623548922115E-2</v>
      </c>
      <c r="H331" s="179">
        <v>1.56</v>
      </c>
      <c r="I331" s="179">
        <v>2.4900000000000002</v>
      </c>
      <c r="K331" s="182">
        <v>2.5000000000000001E-2</v>
      </c>
      <c r="L331" s="182">
        <v>3.5000000000000003E-2</v>
      </c>
      <c r="N331" s="182">
        <v>0.03</v>
      </c>
      <c r="O331" s="182">
        <v>7.4999999999999997E-3</v>
      </c>
      <c r="Q331" s="182">
        <v>2.2499999999999999E-2</v>
      </c>
      <c r="R331" s="182">
        <v>3.5000000000000003E-2</v>
      </c>
      <c r="S331" s="182">
        <v>7.4999999999999997E-3</v>
      </c>
      <c r="T331" s="182">
        <v>1.2500000000000001E-2</v>
      </c>
      <c r="V331" s="194">
        <v>2.4E-2</v>
      </c>
      <c r="W331" s="194">
        <v>0.04</v>
      </c>
      <c r="X331" s="194">
        <v>1.2E-2</v>
      </c>
      <c r="Y331" s="194">
        <v>1.4999999999999999E-2</v>
      </c>
      <c r="Z331" s="194"/>
      <c r="AA331" s="195">
        <v>2.4358522499999917E-2</v>
      </c>
      <c r="AB331" s="195">
        <v>3.9510772500000228E-2</v>
      </c>
      <c r="AC331" s="195">
        <v>1.2140929691326751E-2</v>
      </c>
      <c r="AD331" s="195">
        <v>1.5239675154336425E-2</v>
      </c>
      <c r="AE331" s="195"/>
      <c r="AF331" s="195">
        <v>6.0355195853994958E-3</v>
      </c>
      <c r="AG331" s="195">
        <v>1.1953382998932782E-2</v>
      </c>
      <c r="AI331" s="182">
        <v>1.5660840000000009E-2</v>
      </c>
      <c r="AJ331" s="182">
        <v>2.5055002500000256E-2</v>
      </c>
      <c r="AK331" s="182">
        <v>4.8057599999999923E-3</v>
      </c>
      <c r="AM331" s="27" t="s">
        <v>143</v>
      </c>
      <c r="AN331" s="7" t="b">
        <f t="shared" si="46"/>
        <v>1</v>
      </c>
      <c r="AO331" s="7" t="s">
        <v>144</v>
      </c>
      <c r="AP331" s="7">
        <v>1994</v>
      </c>
      <c r="AQ331" s="7">
        <f t="shared" si="47"/>
        <v>2013</v>
      </c>
      <c r="AS331" s="211">
        <v>-99</v>
      </c>
      <c r="AT331" s="211">
        <v>-99</v>
      </c>
      <c r="AU331" s="211">
        <v>-99</v>
      </c>
      <c r="AV331" s="211">
        <v>-99</v>
      </c>
      <c r="AW331" s="211">
        <v>-99</v>
      </c>
      <c r="AX331" s="211">
        <v>-99</v>
      </c>
      <c r="AZ331" s="211">
        <v>-99</v>
      </c>
      <c r="BA331" s="211">
        <v>-99</v>
      </c>
      <c r="BB331" s="211">
        <v>-99</v>
      </c>
      <c r="BC331" s="211">
        <v>-99</v>
      </c>
      <c r="BD331" s="211">
        <v>-99</v>
      </c>
      <c r="BE331" s="211">
        <v>-99</v>
      </c>
      <c r="BG331" s="211">
        <v>-99</v>
      </c>
      <c r="BH331" s="211">
        <v>-99</v>
      </c>
      <c r="BI331" s="211">
        <v>-99</v>
      </c>
      <c r="BJ331" s="211">
        <v>-99</v>
      </c>
      <c r="BK331" s="211">
        <v>-99</v>
      </c>
      <c r="BL331" s="211">
        <v>-99</v>
      </c>
      <c r="BM331" s="211">
        <v>-99</v>
      </c>
      <c r="BN331" s="191">
        <f t="shared" si="48"/>
        <v>1.5660840000000009E-2</v>
      </c>
      <c r="BO331" s="191">
        <f t="shared" si="49"/>
        <v>2.5055002500000256E-2</v>
      </c>
      <c r="BP331" s="191">
        <f t="shared" si="50"/>
        <v>4.8057599999999923E-3</v>
      </c>
      <c r="BQ331" s="171">
        <f t="shared" si="51"/>
        <v>2.3399999999999997E-2</v>
      </c>
      <c r="BR331" s="171">
        <f t="shared" si="52"/>
        <v>5.1399999999999994E-2</v>
      </c>
      <c r="BS331" s="171">
        <f t="shared" si="53"/>
        <v>1.5600000000000001E-2</v>
      </c>
      <c r="BT331" s="171">
        <f t="shared" si="54"/>
        <v>2.4900000000000002E-2</v>
      </c>
      <c r="BU331" s="171">
        <f t="shared" ref="BU331:BU394" si="55">E331/100</f>
        <v>4.7999999999999996E-3</v>
      </c>
    </row>
    <row r="332" spans="1:73" x14ac:dyDescent="0.3">
      <c r="A332" s="209">
        <v>41365</v>
      </c>
      <c r="B332" s="187">
        <v>201304</v>
      </c>
      <c r="C332" s="176">
        <v>2.19</v>
      </c>
      <c r="D332" s="176">
        <v>5.14</v>
      </c>
      <c r="E332" s="176">
        <v>0.42</v>
      </c>
      <c r="F332" s="177">
        <v>122.7</v>
      </c>
      <c r="G332" s="210">
        <v>9.9337748344370258E-3</v>
      </c>
      <c r="H332" s="179">
        <v>1.42</v>
      </c>
      <c r="I332" s="179">
        <v>2.38</v>
      </c>
      <c r="K332" s="182">
        <v>2.5000000000000001E-2</v>
      </c>
      <c r="L332" s="182">
        <v>3.5000000000000003E-2</v>
      </c>
      <c r="N332" s="182">
        <v>0.03</v>
      </c>
      <c r="O332" s="182">
        <v>7.4999999999999997E-3</v>
      </c>
      <c r="Q332" s="182">
        <v>0.02</v>
      </c>
      <c r="R332" s="182">
        <v>3.5000000000000003E-2</v>
      </c>
      <c r="S332" s="182">
        <v>7.4999999999999997E-3</v>
      </c>
      <c r="T332" s="182">
        <v>0.01</v>
      </c>
      <c r="V332" s="194">
        <v>2.5000000000000001E-2</v>
      </c>
      <c r="W332" s="194">
        <v>3.9E-2</v>
      </c>
      <c r="X332" s="194">
        <v>1.2E-2</v>
      </c>
      <c r="Y332" s="194">
        <v>1.4999999999999999E-2</v>
      </c>
      <c r="Z332" s="194"/>
      <c r="AA332" s="195">
        <v>2.466084000000001E-2</v>
      </c>
      <c r="AB332" s="195">
        <v>3.8752083750000381E-2</v>
      </c>
      <c r="AC332" s="195">
        <v>1.2003880699608758E-2</v>
      </c>
      <c r="AD332" s="195">
        <v>1.4706699650195611E-2</v>
      </c>
      <c r="AE332" s="195"/>
      <c r="AF332" s="195">
        <v>6.2534144096568767E-3</v>
      </c>
      <c r="AG332" s="195">
        <v>1.1848440592781118E-2</v>
      </c>
      <c r="AI332" s="182">
        <v>1.4250410000000269E-2</v>
      </c>
      <c r="AJ332" s="182">
        <v>2.3941610000000058E-2</v>
      </c>
      <c r="AK332" s="182">
        <v>4.2044100000000473E-3</v>
      </c>
      <c r="AM332" s="27" t="s">
        <v>143</v>
      </c>
      <c r="AN332" s="7" t="b">
        <f t="shared" si="46"/>
        <v>1</v>
      </c>
      <c r="AO332" s="7" t="s">
        <v>144</v>
      </c>
      <c r="AP332" s="7">
        <v>1994</v>
      </c>
      <c r="AQ332" s="7">
        <f t="shared" si="47"/>
        <v>2013</v>
      </c>
      <c r="AS332" s="211">
        <v>-99</v>
      </c>
      <c r="AT332" s="211">
        <v>-99</v>
      </c>
      <c r="AU332" s="211">
        <v>-99</v>
      </c>
      <c r="AV332" s="211">
        <v>-99</v>
      </c>
      <c r="AW332" s="211">
        <v>-99</v>
      </c>
      <c r="AX332" s="211">
        <v>-99</v>
      </c>
      <c r="AZ332" s="211">
        <v>-99</v>
      </c>
      <c r="BA332" s="211">
        <v>-99</v>
      </c>
      <c r="BB332" s="211">
        <v>-99</v>
      </c>
      <c r="BC332" s="211">
        <v>-99</v>
      </c>
      <c r="BD332" s="211">
        <v>-99</v>
      </c>
      <c r="BE332" s="211">
        <v>-99</v>
      </c>
      <c r="BG332" s="211">
        <v>-99</v>
      </c>
      <c r="BH332" s="211">
        <v>-99</v>
      </c>
      <c r="BI332" s="211">
        <v>-99</v>
      </c>
      <c r="BJ332" s="211">
        <v>-99</v>
      </c>
      <c r="BK332" s="211">
        <v>-99</v>
      </c>
      <c r="BL332" s="211">
        <v>-99</v>
      </c>
      <c r="BM332" s="211">
        <v>-99</v>
      </c>
      <c r="BN332" s="191">
        <f t="shared" si="48"/>
        <v>1.4250410000000269E-2</v>
      </c>
      <c r="BO332" s="191">
        <f t="shared" si="49"/>
        <v>2.3941610000000058E-2</v>
      </c>
      <c r="BP332" s="191">
        <f t="shared" si="50"/>
        <v>4.2044100000000473E-3</v>
      </c>
      <c r="BQ332" s="171">
        <f t="shared" si="51"/>
        <v>2.1899999999999999E-2</v>
      </c>
      <c r="BR332" s="171">
        <f t="shared" si="52"/>
        <v>5.1399999999999994E-2</v>
      </c>
      <c r="BS332" s="171">
        <f t="shared" si="53"/>
        <v>1.4199999999999999E-2</v>
      </c>
      <c r="BT332" s="171">
        <f t="shared" si="54"/>
        <v>2.3799999999999998E-2</v>
      </c>
      <c r="BU332" s="171">
        <f t="shared" si="55"/>
        <v>4.1999999999999997E-3</v>
      </c>
    </row>
    <row r="333" spans="1:73" x14ac:dyDescent="0.3">
      <c r="A333" s="209">
        <v>41395</v>
      </c>
      <c r="B333" s="187">
        <v>201305</v>
      </c>
      <c r="C333" s="176">
        <v>2.48</v>
      </c>
      <c r="D333" s="176">
        <v>5.14</v>
      </c>
      <c r="E333" s="176">
        <v>0.68</v>
      </c>
      <c r="F333" s="177">
        <v>123</v>
      </c>
      <c r="G333" s="210">
        <v>9.9255583126549585E-3</v>
      </c>
      <c r="H333" s="179">
        <v>1.78</v>
      </c>
      <c r="I333" s="179">
        <v>2.65</v>
      </c>
      <c r="K333" s="182">
        <v>2.5000000000000001E-2</v>
      </c>
      <c r="L333" s="182">
        <v>3.5000000000000003E-2</v>
      </c>
      <c r="N333" s="182">
        <v>2.75E-2</v>
      </c>
      <c r="O333" s="182">
        <v>7.4999999999999997E-3</v>
      </c>
      <c r="Q333" s="182">
        <v>0.02</v>
      </c>
      <c r="R333" s="182">
        <v>3.5000000000000003E-2</v>
      </c>
      <c r="S333" s="182">
        <v>7.4999999999999997E-3</v>
      </c>
      <c r="T333" s="182">
        <v>0.01</v>
      </c>
      <c r="V333" s="194">
        <v>2.3E-2</v>
      </c>
      <c r="W333" s="194">
        <v>3.7999999999999999E-2</v>
      </c>
      <c r="X333" s="194">
        <v>1.2E-2</v>
      </c>
      <c r="Y333" s="194">
        <v>1.4E-2</v>
      </c>
      <c r="Z333" s="194"/>
      <c r="AA333" s="195">
        <v>2.325041000000027E-2</v>
      </c>
      <c r="AB333" s="195">
        <v>3.7787209999999953E-2</v>
      </c>
      <c r="AC333" s="195">
        <v>1.1502528706636759E-2</v>
      </c>
      <c r="AD333" s="195">
        <v>1.4055350646681692E-2</v>
      </c>
      <c r="AE333" s="195"/>
      <c r="AF333" s="195">
        <v>5.8071438083229232E-3</v>
      </c>
      <c r="AG333" s="195">
        <v>1.1701461531751667E-2</v>
      </c>
      <c r="AI333" s="182">
        <v>1.7879209999999812E-2</v>
      </c>
      <c r="AJ333" s="182">
        <v>2.6675562499999916E-2</v>
      </c>
      <c r="AK333" s="182">
        <v>6.8115600000000498E-3</v>
      </c>
      <c r="AM333" s="27" t="s">
        <v>143</v>
      </c>
      <c r="AN333" s="7" t="b">
        <f t="shared" si="46"/>
        <v>1</v>
      </c>
      <c r="AO333" s="7" t="s">
        <v>144</v>
      </c>
      <c r="AP333" s="7">
        <v>1994</v>
      </c>
      <c r="AQ333" s="7">
        <f t="shared" si="47"/>
        <v>2013</v>
      </c>
      <c r="AS333" s="211">
        <v>-99</v>
      </c>
      <c r="AT333" s="211">
        <v>-99</v>
      </c>
      <c r="AU333" s="211">
        <v>-99</v>
      </c>
      <c r="AV333" s="211">
        <v>-99</v>
      </c>
      <c r="AW333" s="211">
        <v>-99</v>
      </c>
      <c r="AX333" s="211">
        <v>-99</v>
      </c>
      <c r="AZ333" s="211">
        <v>-99</v>
      </c>
      <c r="BA333" s="211">
        <v>-99</v>
      </c>
      <c r="BB333" s="211">
        <v>-99</v>
      </c>
      <c r="BC333" s="211">
        <v>-99</v>
      </c>
      <c r="BD333" s="211">
        <v>-99</v>
      </c>
      <c r="BE333" s="211">
        <v>-99</v>
      </c>
      <c r="BG333" s="211">
        <v>-99</v>
      </c>
      <c r="BH333" s="211">
        <v>-99</v>
      </c>
      <c r="BI333" s="211">
        <v>-99</v>
      </c>
      <c r="BJ333" s="211">
        <v>-99</v>
      </c>
      <c r="BK333" s="211">
        <v>-99</v>
      </c>
      <c r="BL333" s="211">
        <v>-99</v>
      </c>
      <c r="BM333" s="211">
        <v>-99</v>
      </c>
      <c r="BN333" s="191">
        <f t="shared" si="48"/>
        <v>1.7879209999999812E-2</v>
      </c>
      <c r="BO333" s="191">
        <f t="shared" si="49"/>
        <v>2.6675562499999916E-2</v>
      </c>
      <c r="BP333" s="191">
        <f t="shared" si="50"/>
        <v>6.8115600000000498E-3</v>
      </c>
      <c r="BQ333" s="171">
        <f t="shared" si="51"/>
        <v>2.4799999999999999E-2</v>
      </c>
      <c r="BR333" s="171">
        <f t="shared" si="52"/>
        <v>5.1399999999999994E-2</v>
      </c>
      <c r="BS333" s="171">
        <f t="shared" si="53"/>
        <v>1.78E-2</v>
      </c>
      <c r="BT333" s="171">
        <f t="shared" si="54"/>
        <v>2.6499999999999999E-2</v>
      </c>
      <c r="BU333" s="171">
        <f t="shared" si="55"/>
        <v>6.8000000000000005E-3</v>
      </c>
    </row>
    <row r="334" spans="1:73" x14ac:dyDescent="0.3">
      <c r="A334" s="209">
        <v>41426</v>
      </c>
      <c r="B334" s="187">
        <v>201306</v>
      </c>
      <c r="C334" s="176">
        <v>2.9</v>
      </c>
      <c r="D334" s="176">
        <v>5.14</v>
      </c>
      <c r="E334" s="176">
        <v>1.1200000000000001</v>
      </c>
      <c r="F334" s="177">
        <v>123</v>
      </c>
      <c r="G334" s="210">
        <v>9.917355371900749E-3</v>
      </c>
      <c r="H334" s="179">
        <v>2.2000000000000002</v>
      </c>
      <c r="I334" s="179">
        <v>2.96</v>
      </c>
      <c r="K334" s="182">
        <v>2.5000000000000001E-2</v>
      </c>
      <c r="L334" s="182">
        <v>0.04</v>
      </c>
      <c r="N334" s="182">
        <v>2.75E-2</v>
      </c>
      <c r="O334" s="182">
        <v>7.4999999999999997E-3</v>
      </c>
      <c r="Q334" s="182">
        <v>0.02</v>
      </c>
      <c r="R334" s="182">
        <v>3.5000000000000003E-2</v>
      </c>
      <c r="S334" s="182">
        <v>7.4999999999999997E-3</v>
      </c>
      <c r="T334" s="182">
        <v>0.01</v>
      </c>
      <c r="V334" s="194">
        <v>2.7E-2</v>
      </c>
      <c r="W334" s="194">
        <v>0.04</v>
      </c>
      <c r="X334" s="194">
        <v>1.4E-2</v>
      </c>
      <c r="Y334" s="194">
        <v>1.7000000000000001E-2</v>
      </c>
      <c r="Z334" s="194"/>
      <c r="AA334" s="195">
        <v>2.6879209999999813E-2</v>
      </c>
      <c r="AB334" s="195">
        <v>4.0073738749999969E-2</v>
      </c>
      <c r="AC334" s="195">
        <v>1.3565426189891965E-2</v>
      </c>
      <c r="AD334" s="195">
        <v>1.6934626905054095E-2</v>
      </c>
      <c r="AE334" s="195"/>
      <c r="AF334" s="195">
        <v>6.5677969404283054E-3</v>
      </c>
      <c r="AG334" s="195">
        <v>1.1376892492768964E-2</v>
      </c>
      <c r="AI334" s="182">
        <v>2.2120999999999835E-2</v>
      </c>
      <c r="AJ334" s="182">
        <v>2.9819039999999797E-2</v>
      </c>
      <c r="AK334" s="182">
        <v>1.1231360000000024E-2</v>
      </c>
      <c r="AM334" s="27" t="s">
        <v>143</v>
      </c>
      <c r="AN334" s="7" t="b">
        <f t="shared" si="46"/>
        <v>1</v>
      </c>
      <c r="AO334" s="7" t="s">
        <v>144</v>
      </c>
      <c r="AP334" s="7">
        <v>1994</v>
      </c>
      <c r="AQ334" s="7">
        <f t="shared" si="47"/>
        <v>2013</v>
      </c>
      <c r="AS334" s="211">
        <v>-99</v>
      </c>
      <c r="AT334" s="211">
        <v>-99</v>
      </c>
      <c r="AU334" s="211">
        <v>-99</v>
      </c>
      <c r="AV334" s="211">
        <v>-99</v>
      </c>
      <c r="AW334" s="211">
        <v>-99</v>
      </c>
      <c r="AX334" s="211">
        <v>-99</v>
      </c>
      <c r="AZ334" s="211">
        <v>-99</v>
      </c>
      <c r="BA334" s="211">
        <v>-99</v>
      </c>
      <c r="BB334" s="211">
        <v>-99</v>
      </c>
      <c r="BC334" s="211">
        <v>-99</v>
      </c>
      <c r="BD334" s="211">
        <v>-99</v>
      </c>
      <c r="BE334" s="211">
        <v>-99</v>
      </c>
      <c r="BG334" s="211">
        <v>-99</v>
      </c>
      <c r="BH334" s="211">
        <v>-99</v>
      </c>
      <c r="BI334" s="211">
        <v>-99</v>
      </c>
      <c r="BJ334" s="211">
        <v>-99</v>
      </c>
      <c r="BK334" s="211">
        <v>-99</v>
      </c>
      <c r="BL334" s="211">
        <v>-99</v>
      </c>
      <c r="BM334" s="211">
        <v>-99</v>
      </c>
      <c r="BN334" s="191">
        <f t="shared" si="48"/>
        <v>2.2120999999999835E-2</v>
      </c>
      <c r="BO334" s="191">
        <f t="shared" si="49"/>
        <v>2.9819039999999797E-2</v>
      </c>
      <c r="BP334" s="191">
        <f t="shared" si="50"/>
        <v>1.1231360000000024E-2</v>
      </c>
      <c r="BQ334" s="171">
        <f t="shared" si="51"/>
        <v>2.8999999999999998E-2</v>
      </c>
      <c r="BR334" s="171">
        <f t="shared" si="52"/>
        <v>5.1399999999999994E-2</v>
      </c>
      <c r="BS334" s="171">
        <f t="shared" si="53"/>
        <v>2.2000000000000002E-2</v>
      </c>
      <c r="BT334" s="171">
        <f t="shared" si="54"/>
        <v>2.9600000000000001E-2</v>
      </c>
      <c r="BU334" s="171">
        <f t="shared" si="55"/>
        <v>1.1200000000000002E-2</v>
      </c>
    </row>
    <row r="335" spans="1:73" x14ac:dyDescent="0.3">
      <c r="A335" s="209">
        <v>41456</v>
      </c>
      <c r="B335" s="187">
        <v>201307</v>
      </c>
      <c r="C335" s="176">
        <v>2.88</v>
      </c>
      <c r="D335" s="176">
        <v>5.14</v>
      </c>
      <c r="E335" s="176">
        <v>1.02</v>
      </c>
      <c r="F335" s="177">
        <v>123.1</v>
      </c>
      <c r="G335" s="210">
        <v>9.0759075907589359E-3</v>
      </c>
      <c r="H335" s="179">
        <v>2.11</v>
      </c>
      <c r="I335" s="179">
        <v>2.97</v>
      </c>
      <c r="K335" s="182">
        <v>2.5000000000000001E-2</v>
      </c>
      <c r="L335" s="182">
        <v>0.04</v>
      </c>
      <c r="N335" s="182">
        <v>0.03</v>
      </c>
      <c r="O335" s="182">
        <v>0.01</v>
      </c>
      <c r="Q335" s="182">
        <v>2.2499999999999999E-2</v>
      </c>
      <c r="R335" s="182">
        <v>3.5000000000000003E-2</v>
      </c>
      <c r="S335" s="182">
        <v>0.01</v>
      </c>
      <c r="T335" s="182">
        <v>1.2500000000000001E-2</v>
      </c>
      <c r="V335" s="194">
        <v>3.1E-2</v>
      </c>
      <c r="W335" s="194">
        <v>4.3000000000000003E-2</v>
      </c>
      <c r="X335" s="194">
        <v>1.7000000000000001E-2</v>
      </c>
      <c r="Y335" s="194">
        <v>2.1999999999999999E-2</v>
      </c>
      <c r="Z335" s="194"/>
      <c r="AA335" s="195">
        <v>3.1120999999999836E-2</v>
      </c>
      <c r="AB335" s="195">
        <v>4.2668059999999779E-2</v>
      </c>
      <c r="AC335" s="195">
        <v>1.7331888436381601E-2</v>
      </c>
      <c r="AD335" s="195">
        <v>2.1681095781809236E-2</v>
      </c>
      <c r="AE335" s="195"/>
      <c r="AF335" s="195">
        <v>6.7770959115475149E-3</v>
      </c>
      <c r="AG335" s="195">
        <v>1.0270799912437956E-2</v>
      </c>
      <c r="AI335" s="182">
        <v>2.1211302500000029E-2</v>
      </c>
      <c r="AJ335" s="182">
        <v>2.9920522500000102E-2</v>
      </c>
      <c r="AK335" s="182">
        <v>1.022601000000023E-2</v>
      </c>
      <c r="AM335" s="27" t="s">
        <v>143</v>
      </c>
      <c r="AN335" s="7" t="b">
        <f t="shared" si="46"/>
        <v>1</v>
      </c>
      <c r="AO335" s="7" t="s">
        <v>144</v>
      </c>
      <c r="AP335" s="7">
        <v>1994</v>
      </c>
      <c r="AQ335" s="7">
        <f t="shared" si="47"/>
        <v>2013</v>
      </c>
      <c r="AS335" s="211">
        <v>-99</v>
      </c>
      <c r="AT335" s="211">
        <v>-99</v>
      </c>
      <c r="AU335" s="211">
        <v>-99</v>
      </c>
      <c r="AV335" s="211">
        <v>-99</v>
      </c>
      <c r="AW335" s="211">
        <v>-99</v>
      </c>
      <c r="AX335" s="211">
        <v>-99</v>
      </c>
      <c r="AZ335" s="211">
        <v>-99</v>
      </c>
      <c r="BA335" s="211">
        <v>-99</v>
      </c>
      <c r="BB335" s="211">
        <v>-99</v>
      </c>
      <c r="BC335" s="211">
        <v>-99</v>
      </c>
      <c r="BD335" s="211">
        <v>-99</v>
      </c>
      <c r="BE335" s="211">
        <v>-99</v>
      </c>
      <c r="BG335" s="211">
        <v>-99</v>
      </c>
      <c r="BH335" s="211">
        <v>-99</v>
      </c>
      <c r="BI335" s="211">
        <v>-99</v>
      </c>
      <c r="BJ335" s="211">
        <v>-99</v>
      </c>
      <c r="BK335" s="211">
        <v>-99</v>
      </c>
      <c r="BL335" s="211">
        <v>-99</v>
      </c>
      <c r="BM335" s="211">
        <v>-99</v>
      </c>
      <c r="BN335" s="191">
        <f t="shared" si="48"/>
        <v>2.1211302500000029E-2</v>
      </c>
      <c r="BO335" s="191">
        <f t="shared" si="49"/>
        <v>2.9920522500000102E-2</v>
      </c>
      <c r="BP335" s="191">
        <f t="shared" si="50"/>
        <v>1.022601000000023E-2</v>
      </c>
      <c r="BQ335" s="171">
        <f t="shared" si="51"/>
        <v>2.8799999999999999E-2</v>
      </c>
      <c r="BR335" s="171">
        <f t="shared" si="52"/>
        <v>5.1399999999999994E-2</v>
      </c>
      <c r="BS335" s="171">
        <f t="shared" si="53"/>
        <v>2.1099999999999997E-2</v>
      </c>
      <c r="BT335" s="171">
        <f t="shared" si="54"/>
        <v>2.9700000000000001E-2</v>
      </c>
      <c r="BU335" s="171">
        <f t="shared" si="55"/>
        <v>1.0200000000000001E-2</v>
      </c>
    </row>
    <row r="336" spans="1:73" x14ac:dyDescent="0.3">
      <c r="A336" s="209">
        <v>41487</v>
      </c>
      <c r="B336" s="187">
        <v>201308</v>
      </c>
      <c r="C336" s="176">
        <v>3</v>
      </c>
      <c r="D336" s="176">
        <v>5.34</v>
      </c>
      <c r="E336" s="176">
        <v>1.1000000000000001</v>
      </c>
      <c r="F336" s="177">
        <v>123.1</v>
      </c>
      <c r="G336" s="210">
        <v>9.0684253915911395E-3</v>
      </c>
      <c r="H336" s="179">
        <v>2.2599999999999998</v>
      </c>
      <c r="I336" s="179">
        <v>3.09</v>
      </c>
      <c r="K336" s="182">
        <v>0.03</v>
      </c>
      <c r="L336" s="182">
        <v>0.04</v>
      </c>
      <c r="N336" s="182">
        <v>3.5000000000000003E-2</v>
      </c>
      <c r="O336" s="182">
        <v>1.2500000000000001E-2</v>
      </c>
      <c r="Q336" s="182">
        <v>2.75E-2</v>
      </c>
      <c r="R336" s="182">
        <v>3.7499999999999999E-2</v>
      </c>
      <c r="S336" s="182">
        <v>1.2500000000000001E-2</v>
      </c>
      <c r="T336" s="182">
        <v>1.7500000000000002E-2</v>
      </c>
      <c r="V336" s="194">
        <v>0.03</v>
      </c>
      <c r="W336" s="194">
        <v>4.3000000000000003E-2</v>
      </c>
      <c r="X336" s="194">
        <v>1.6E-2</v>
      </c>
      <c r="Y336" s="194">
        <v>2.1000000000000001E-2</v>
      </c>
      <c r="Z336" s="194"/>
      <c r="AA336" s="195">
        <v>3.021130250000003E-2</v>
      </c>
      <c r="AB336" s="195">
        <v>4.3275132500000139E-2</v>
      </c>
      <c r="AC336" s="195">
        <v>1.624943862454372E-2</v>
      </c>
      <c r="AD336" s="195">
        <v>2.0714295687728486E-2</v>
      </c>
      <c r="AE336" s="195"/>
      <c r="AF336" s="195">
        <v>6.8693095143811389E-3</v>
      </c>
      <c r="AG336" s="195">
        <v>1.1051494481651547E-2</v>
      </c>
      <c r="AI336" s="182">
        <v>2.2727690000000189E-2</v>
      </c>
      <c r="AJ336" s="182">
        <v>3.1138702499999837E-2</v>
      </c>
      <c r="AK336" s="182">
        <v>1.103025000000013E-2</v>
      </c>
      <c r="AM336" s="27" t="s">
        <v>143</v>
      </c>
      <c r="AN336" s="7" t="b">
        <f t="shared" si="46"/>
        <v>1</v>
      </c>
      <c r="AO336" s="7" t="s">
        <v>144</v>
      </c>
      <c r="AP336" s="7">
        <v>1994</v>
      </c>
      <c r="AQ336" s="7">
        <f t="shared" si="47"/>
        <v>2013</v>
      </c>
      <c r="AS336" s="211">
        <v>-99</v>
      </c>
      <c r="AT336" s="211">
        <v>-99</v>
      </c>
      <c r="AU336" s="211">
        <v>-99</v>
      </c>
      <c r="AV336" s="211">
        <v>-99</v>
      </c>
      <c r="AW336" s="211">
        <v>-99</v>
      </c>
      <c r="AX336" s="211">
        <v>-99</v>
      </c>
      <c r="AZ336" s="211">
        <v>-99</v>
      </c>
      <c r="BA336" s="211">
        <v>-99</v>
      </c>
      <c r="BB336" s="211">
        <v>-99</v>
      </c>
      <c r="BC336" s="211">
        <v>-99</v>
      </c>
      <c r="BD336" s="211">
        <v>-99</v>
      </c>
      <c r="BE336" s="211">
        <v>-99</v>
      </c>
      <c r="BG336" s="211">
        <v>-99</v>
      </c>
      <c r="BH336" s="211">
        <v>-99</v>
      </c>
      <c r="BI336" s="211">
        <v>-99</v>
      </c>
      <c r="BJ336" s="211">
        <v>-99</v>
      </c>
      <c r="BK336" s="211">
        <v>-99</v>
      </c>
      <c r="BL336" s="211">
        <v>-99</v>
      </c>
      <c r="BM336" s="211">
        <v>-99</v>
      </c>
      <c r="BN336" s="191">
        <f t="shared" si="48"/>
        <v>2.2727690000000189E-2</v>
      </c>
      <c r="BO336" s="191">
        <f t="shared" si="49"/>
        <v>3.1138702499999837E-2</v>
      </c>
      <c r="BP336" s="191">
        <f t="shared" si="50"/>
        <v>1.103025000000013E-2</v>
      </c>
      <c r="BQ336" s="171">
        <f t="shared" si="51"/>
        <v>0.03</v>
      </c>
      <c r="BR336" s="171">
        <f t="shared" si="52"/>
        <v>5.3399999999999996E-2</v>
      </c>
      <c r="BS336" s="171">
        <f t="shared" si="53"/>
        <v>2.2599999999999999E-2</v>
      </c>
      <c r="BT336" s="171">
        <f t="shared" si="54"/>
        <v>3.0899999999999997E-2</v>
      </c>
      <c r="BU336" s="171">
        <f t="shared" si="55"/>
        <v>1.1000000000000001E-2</v>
      </c>
    </row>
    <row r="337" spans="1:73" x14ac:dyDescent="0.3">
      <c r="A337" s="209">
        <v>41518</v>
      </c>
      <c r="B337" s="187">
        <v>201309</v>
      </c>
      <c r="C337" s="176">
        <v>3</v>
      </c>
      <c r="D337" s="176">
        <v>5.34</v>
      </c>
      <c r="E337" s="176">
        <v>1.1599999999999999</v>
      </c>
      <c r="F337" s="177">
        <v>123.3</v>
      </c>
      <c r="G337" s="210">
        <v>9.0609555189455904E-3</v>
      </c>
      <c r="H337" s="179">
        <v>2.19</v>
      </c>
      <c r="I337" s="179">
        <v>3.09</v>
      </c>
      <c r="K337" s="182">
        <v>0.03</v>
      </c>
      <c r="L337" s="182">
        <v>0.04</v>
      </c>
      <c r="N337" s="182">
        <v>3.5000000000000003E-2</v>
      </c>
      <c r="O337" s="182">
        <v>1.2500000000000001E-2</v>
      </c>
      <c r="Q337" s="182">
        <v>2.5000000000000001E-2</v>
      </c>
      <c r="R337" s="182">
        <v>0.04</v>
      </c>
      <c r="S337" s="182">
        <v>1.2500000000000001E-2</v>
      </c>
      <c r="T337" s="182">
        <v>1.7500000000000002E-2</v>
      </c>
      <c r="V337" s="194">
        <v>3.2000000000000001E-2</v>
      </c>
      <c r="W337" s="194">
        <v>4.3999999999999997E-2</v>
      </c>
      <c r="X337" s="194">
        <v>1.7000000000000001E-2</v>
      </c>
      <c r="Y337" s="194">
        <v>2.1999999999999999E-2</v>
      </c>
      <c r="Z337" s="194"/>
      <c r="AA337" s="195">
        <v>3.172769000000019E-2</v>
      </c>
      <c r="AB337" s="195">
        <v>4.4344208749999663E-2</v>
      </c>
      <c r="AC337" s="195">
        <v>1.7050820441940583E-2</v>
      </c>
      <c r="AD337" s="195">
        <v>2.1519964779029906E-2</v>
      </c>
      <c r="AE337" s="195"/>
      <c r="AF337" s="195">
        <v>7.2154061837744754E-3</v>
      </c>
      <c r="AG337" s="195">
        <v>1.1171707239176154E-2</v>
      </c>
      <c r="AI337" s="182">
        <v>2.2019902500000077E-2</v>
      </c>
      <c r="AJ337" s="182">
        <v>3.1138702499999837E-2</v>
      </c>
      <c r="AK337" s="182">
        <v>1.1633640000000112E-2</v>
      </c>
      <c r="AM337" s="27" t="s">
        <v>143</v>
      </c>
      <c r="AN337" s="7" t="b">
        <f t="shared" si="46"/>
        <v>1</v>
      </c>
      <c r="AO337" s="7" t="s">
        <v>144</v>
      </c>
      <c r="AP337" s="7">
        <v>1994</v>
      </c>
      <c r="AQ337" s="7">
        <f t="shared" si="47"/>
        <v>2013</v>
      </c>
      <c r="AS337" s="211">
        <v>-99</v>
      </c>
      <c r="AT337" s="211">
        <v>-99</v>
      </c>
      <c r="AU337" s="211">
        <v>-99</v>
      </c>
      <c r="AV337" s="211">
        <v>-99</v>
      </c>
      <c r="AW337" s="211">
        <v>-99</v>
      </c>
      <c r="AX337" s="211">
        <v>-99</v>
      </c>
      <c r="AZ337" s="211">
        <v>-99</v>
      </c>
      <c r="BA337" s="211">
        <v>-99</v>
      </c>
      <c r="BB337" s="211">
        <v>-99</v>
      </c>
      <c r="BC337" s="211">
        <v>-99</v>
      </c>
      <c r="BD337" s="211">
        <v>-99</v>
      </c>
      <c r="BE337" s="211">
        <v>-99</v>
      </c>
      <c r="BG337" s="211">
        <v>-99</v>
      </c>
      <c r="BH337" s="211">
        <v>-99</v>
      </c>
      <c r="BI337" s="211">
        <v>-99</v>
      </c>
      <c r="BJ337" s="211">
        <v>-99</v>
      </c>
      <c r="BK337" s="211">
        <v>-99</v>
      </c>
      <c r="BL337" s="211">
        <v>-99</v>
      </c>
      <c r="BM337" s="211">
        <v>-99</v>
      </c>
      <c r="BN337" s="191">
        <f t="shared" si="48"/>
        <v>2.2019902500000077E-2</v>
      </c>
      <c r="BO337" s="191">
        <f t="shared" si="49"/>
        <v>3.1138702499999837E-2</v>
      </c>
      <c r="BP337" s="191">
        <f t="shared" si="50"/>
        <v>1.1633640000000112E-2</v>
      </c>
      <c r="BQ337" s="171">
        <f t="shared" si="51"/>
        <v>0.03</v>
      </c>
      <c r="BR337" s="171">
        <f t="shared" si="52"/>
        <v>5.3399999999999996E-2</v>
      </c>
      <c r="BS337" s="171">
        <f t="shared" si="53"/>
        <v>2.1899999999999999E-2</v>
      </c>
      <c r="BT337" s="171">
        <f t="shared" si="54"/>
        <v>3.0899999999999997E-2</v>
      </c>
      <c r="BU337" s="171">
        <f t="shared" si="55"/>
        <v>1.1599999999999999E-2</v>
      </c>
    </row>
    <row r="338" spans="1:73" x14ac:dyDescent="0.3">
      <c r="A338" s="209">
        <v>41548</v>
      </c>
      <c r="B338" s="187">
        <v>201310</v>
      </c>
      <c r="C338" s="176">
        <v>2.87</v>
      </c>
      <c r="D338" s="176">
        <v>5.34</v>
      </c>
      <c r="E338" s="176">
        <v>1.04</v>
      </c>
      <c r="F338" s="177">
        <v>123</v>
      </c>
      <c r="G338" s="210">
        <v>9.0534979423868567E-3</v>
      </c>
      <c r="H338" s="179">
        <v>2</v>
      </c>
      <c r="I338" s="179">
        <v>3.01</v>
      </c>
      <c r="K338" s="182">
        <v>0.03</v>
      </c>
      <c r="L338" s="182">
        <v>0.04</v>
      </c>
      <c r="N338" s="182">
        <v>3.5000000000000003E-2</v>
      </c>
      <c r="O338" s="182">
        <v>1.2500000000000001E-2</v>
      </c>
      <c r="Q338" s="182">
        <v>2.75E-2</v>
      </c>
      <c r="R338" s="182">
        <v>0.04</v>
      </c>
      <c r="S338" s="182">
        <v>1.2500000000000001E-2</v>
      </c>
      <c r="T338" s="182">
        <v>1.7500000000000002E-2</v>
      </c>
      <c r="V338" s="194">
        <v>3.1E-2</v>
      </c>
      <c r="W338" s="194">
        <v>4.4999999999999998E-2</v>
      </c>
      <c r="X338" s="194">
        <v>1.7000000000000001E-2</v>
      </c>
      <c r="Y338" s="194">
        <v>2.1999999999999999E-2</v>
      </c>
      <c r="Z338" s="194"/>
      <c r="AA338" s="195">
        <v>3.1019902500000078E-2</v>
      </c>
      <c r="AB338" s="195">
        <v>4.4698102499999719E-2</v>
      </c>
      <c r="AC338" s="195">
        <v>1.7226791675732305E-2</v>
      </c>
      <c r="AD338" s="195">
        <v>2.2337064162134018E-2</v>
      </c>
      <c r="AE338" s="195"/>
      <c r="AF338" s="195">
        <v>6.779761866842704E-3</v>
      </c>
      <c r="AG338" s="195">
        <v>1.0936235768871261E-2</v>
      </c>
      <c r="AI338" s="182">
        <v>2.0100000000000007E-2</v>
      </c>
      <c r="AJ338" s="182">
        <v>3.0326502499999908E-2</v>
      </c>
      <c r="AK338" s="182">
        <v>1.0427040000000165E-2</v>
      </c>
      <c r="AM338" s="27" t="s">
        <v>143</v>
      </c>
      <c r="AN338" s="7" t="b">
        <f t="shared" si="46"/>
        <v>1</v>
      </c>
      <c r="AO338" s="7" t="s">
        <v>144</v>
      </c>
      <c r="AP338" s="7">
        <v>1994</v>
      </c>
      <c r="AQ338" s="7">
        <f t="shared" si="47"/>
        <v>2013</v>
      </c>
      <c r="AS338" s="211">
        <v>-99</v>
      </c>
      <c r="AT338" s="211">
        <v>-99</v>
      </c>
      <c r="AU338" s="211">
        <v>-99</v>
      </c>
      <c r="AV338" s="211">
        <v>-99</v>
      </c>
      <c r="AW338" s="211">
        <v>-99</v>
      </c>
      <c r="AX338" s="211">
        <v>-99</v>
      </c>
      <c r="AZ338" s="211">
        <v>-99</v>
      </c>
      <c r="BA338" s="211">
        <v>-99</v>
      </c>
      <c r="BB338" s="211">
        <v>-99</v>
      </c>
      <c r="BC338" s="211">
        <v>-99</v>
      </c>
      <c r="BD338" s="211">
        <v>-99</v>
      </c>
      <c r="BE338" s="211">
        <v>-99</v>
      </c>
      <c r="BG338" s="211">
        <v>-99</v>
      </c>
      <c r="BH338" s="211">
        <v>-99</v>
      </c>
      <c r="BI338" s="211">
        <v>-99</v>
      </c>
      <c r="BJ338" s="211">
        <v>-99</v>
      </c>
      <c r="BK338" s="211">
        <v>-99</v>
      </c>
      <c r="BL338" s="211">
        <v>-99</v>
      </c>
      <c r="BM338" s="211">
        <v>-99</v>
      </c>
      <c r="BN338" s="191">
        <f t="shared" si="48"/>
        <v>2.0100000000000007E-2</v>
      </c>
      <c r="BO338" s="191">
        <f t="shared" si="49"/>
        <v>3.0326502499999908E-2</v>
      </c>
      <c r="BP338" s="191">
        <f t="shared" si="50"/>
        <v>1.0427040000000165E-2</v>
      </c>
      <c r="BQ338" s="171">
        <f t="shared" si="51"/>
        <v>2.87E-2</v>
      </c>
      <c r="BR338" s="171">
        <f t="shared" si="52"/>
        <v>5.3399999999999996E-2</v>
      </c>
      <c r="BS338" s="171">
        <f t="shared" si="53"/>
        <v>0.02</v>
      </c>
      <c r="BT338" s="171">
        <f t="shared" si="54"/>
        <v>3.0099999999999998E-2</v>
      </c>
      <c r="BU338" s="171">
        <f t="shared" si="55"/>
        <v>1.04E-2</v>
      </c>
    </row>
    <row r="339" spans="1:73" x14ac:dyDescent="0.3">
      <c r="A339" s="209">
        <v>41579</v>
      </c>
      <c r="B339" s="187">
        <v>201311</v>
      </c>
      <c r="C339" s="176">
        <v>3.01</v>
      </c>
      <c r="D339" s="176">
        <v>5.34</v>
      </c>
      <c r="E339" s="176">
        <v>1.18</v>
      </c>
      <c r="F339" s="177">
        <v>123</v>
      </c>
      <c r="G339" s="210">
        <v>9.0460526315789824E-3</v>
      </c>
      <c r="H339" s="179">
        <v>2.04</v>
      </c>
      <c r="I339" s="179">
        <v>3.14</v>
      </c>
      <c r="K339" s="182">
        <v>0.03</v>
      </c>
      <c r="L339" s="182">
        <v>0.04</v>
      </c>
      <c r="N339" s="182">
        <v>3.5000000000000003E-2</v>
      </c>
      <c r="O339" s="182">
        <v>1.4999999999999999E-2</v>
      </c>
      <c r="Q339" s="182">
        <v>2.75E-2</v>
      </c>
      <c r="R339" s="182">
        <v>0.04</v>
      </c>
      <c r="S339" s="182">
        <v>1.2500000000000001E-2</v>
      </c>
      <c r="T339" s="182">
        <v>1.7500000000000002E-2</v>
      </c>
      <c r="V339" s="194">
        <v>2.9000000000000001E-2</v>
      </c>
      <c r="W339" s="194">
        <v>4.3999999999999997E-2</v>
      </c>
      <c r="X339" s="194">
        <v>1.6E-2</v>
      </c>
      <c r="Y339" s="194">
        <v>2.1000000000000001E-2</v>
      </c>
      <c r="Z339" s="194"/>
      <c r="AA339" s="195">
        <v>2.9100000000000008E-2</v>
      </c>
      <c r="AB339" s="195">
        <v>4.4439753749999859E-2</v>
      </c>
      <c r="AC339" s="195">
        <v>1.5910902567811903E-2</v>
      </c>
      <c r="AD339" s="195">
        <v>2.1185108716094296E-2</v>
      </c>
      <c r="AE339" s="195"/>
      <c r="AF339" s="195">
        <v>6.4912668024583731E-3</v>
      </c>
      <c r="AG339" s="195">
        <v>1.1386106610555058E-2</v>
      </c>
      <c r="AI339" s="182">
        <v>2.0504040000000057E-2</v>
      </c>
      <c r="AJ339" s="182">
        <v>3.1646490000000194E-2</v>
      </c>
      <c r="AK339" s="182">
        <v>1.1834810000000084E-2</v>
      </c>
      <c r="AM339" s="27" t="s">
        <v>143</v>
      </c>
      <c r="AN339" s="7" t="b">
        <f t="shared" si="46"/>
        <v>1</v>
      </c>
      <c r="AO339" s="7" t="s">
        <v>144</v>
      </c>
      <c r="AP339" s="7">
        <v>1994</v>
      </c>
      <c r="AQ339" s="7">
        <f t="shared" si="47"/>
        <v>2013</v>
      </c>
      <c r="AS339" s="211">
        <v>-99</v>
      </c>
      <c r="AT339" s="211">
        <v>-99</v>
      </c>
      <c r="AU339" s="211">
        <v>-99</v>
      </c>
      <c r="AV339" s="211">
        <v>-99</v>
      </c>
      <c r="AW339" s="211">
        <v>-99</v>
      </c>
      <c r="AX339" s="211">
        <v>-99</v>
      </c>
      <c r="AZ339" s="211">
        <v>-99</v>
      </c>
      <c r="BA339" s="211">
        <v>-99</v>
      </c>
      <c r="BB339" s="211">
        <v>-99</v>
      </c>
      <c r="BC339" s="211">
        <v>-99</v>
      </c>
      <c r="BD339" s="211">
        <v>-99</v>
      </c>
      <c r="BE339" s="211">
        <v>-99</v>
      </c>
      <c r="BG339" s="211">
        <v>-99</v>
      </c>
      <c r="BH339" s="211">
        <v>-99</v>
      </c>
      <c r="BI339" s="211">
        <v>-99</v>
      </c>
      <c r="BJ339" s="211">
        <v>-99</v>
      </c>
      <c r="BK339" s="211">
        <v>-99</v>
      </c>
      <c r="BL339" s="211">
        <v>-99</v>
      </c>
      <c r="BM339" s="211">
        <v>-99</v>
      </c>
      <c r="BN339" s="191">
        <f t="shared" si="48"/>
        <v>2.0504040000000057E-2</v>
      </c>
      <c r="BO339" s="191">
        <f t="shared" si="49"/>
        <v>3.1646490000000194E-2</v>
      </c>
      <c r="BP339" s="191">
        <f t="shared" si="50"/>
        <v>1.1834810000000084E-2</v>
      </c>
      <c r="BQ339" s="171">
        <f t="shared" si="51"/>
        <v>3.0099999999999998E-2</v>
      </c>
      <c r="BR339" s="171">
        <f t="shared" si="52"/>
        <v>5.3399999999999996E-2</v>
      </c>
      <c r="BS339" s="171">
        <f t="shared" si="53"/>
        <v>2.0400000000000001E-2</v>
      </c>
      <c r="BT339" s="171">
        <f t="shared" si="54"/>
        <v>3.1400000000000004E-2</v>
      </c>
      <c r="BU339" s="171">
        <f t="shared" si="55"/>
        <v>1.18E-2</v>
      </c>
    </row>
    <row r="340" spans="1:73" x14ac:dyDescent="0.3">
      <c r="A340" s="209">
        <v>41609</v>
      </c>
      <c r="B340" s="187">
        <v>201312</v>
      </c>
      <c r="C340" s="176">
        <v>3.09</v>
      </c>
      <c r="D340" s="176">
        <v>5.34</v>
      </c>
      <c r="E340" s="176">
        <v>1.22</v>
      </c>
      <c r="F340" s="177">
        <v>122.7</v>
      </c>
      <c r="G340" s="210">
        <v>9.0386195562859317E-3</v>
      </c>
      <c r="H340" s="179">
        <v>2.17</v>
      </c>
      <c r="I340" s="179">
        <v>3.2</v>
      </c>
      <c r="K340" s="182">
        <v>0.03</v>
      </c>
      <c r="L340" s="182">
        <v>0.04</v>
      </c>
      <c r="N340" s="182">
        <v>3.5000000000000003E-2</v>
      </c>
      <c r="O340" s="182">
        <v>1.2500000000000001E-2</v>
      </c>
      <c r="Q340" s="182">
        <v>2.5000000000000001E-2</v>
      </c>
      <c r="R340" s="182">
        <v>0.04</v>
      </c>
      <c r="S340" s="182">
        <v>1.2500000000000001E-2</v>
      </c>
      <c r="T340" s="182">
        <v>1.7500000000000002E-2</v>
      </c>
      <c r="V340" s="194">
        <v>0.03</v>
      </c>
      <c r="W340" s="194">
        <v>4.5999999999999999E-2</v>
      </c>
      <c r="X340" s="194">
        <v>1.7000000000000001E-2</v>
      </c>
      <c r="Y340" s="194">
        <v>2.3E-2</v>
      </c>
      <c r="Z340" s="194"/>
      <c r="AA340" s="195">
        <v>2.9504040000000058E-2</v>
      </c>
      <c r="AB340" s="195">
        <v>4.6217715000000263E-2</v>
      </c>
      <c r="AC340" s="195">
        <v>1.6667877784626382E-2</v>
      </c>
      <c r="AD340" s="195">
        <v>2.2918276107686937E-2</v>
      </c>
      <c r="AE340" s="195"/>
      <c r="AF340" s="195">
        <v>6.3128591430193781E-3</v>
      </c>
      <c r="AG340" s="195">
        <v>1.1388709849319612E-2</v>
      </c>
      <c r="AI340" s="182">
        <v>2.1817722500000025E-2</v>
      </c>
      <c r="AJ340" s="182">
        <v>3.2256000000000062E-2</v>
      </c>
      <c r="AK340" s="182">
        <v>1.2237209999999887E-2</v>
      </c>
      <c r="AM340" s="27" t="s">
        <v>143</v>
      </c>
      <c r="AN340" s="7" t="b">
        <f t="shared" si="46"/>
        <v>1</v>
      </c>
      <c r="AO340" s="7" t="s">
        <v>144</v>
      </c>
      <c r="AP340" s="7">
        <v>1994</v>
      </c>
      <c r="AQ340" s="7">
        <f t="shared" si="47"/>
        <v>2013</v>
      </c>
      <c r="AS340" s="211">
        <v>-99</v>
      </c>
      <c r="AT340" s="211">
        <v>-99</v>
      </c>
      <c r="AU340" s="211">
        <v>-99</v>
      </c>
      <c r="AV340" s="211">
        <v>-99</v>
      </c>
      <c r="AW340" s="211">
        <v>-99</v>
      </c>
      <c r="AX340" s="211">
        <v>-99</v>
      </c>
      <c r="AZ340" s="211">
        <v>-99</v>
      </c>
      <c r="BA340" s="211">
        <v>-99</v>
      </c>
      <c r="BB340" s="211">
        <v>-99</v>
      </c>
      <c r="BC340" s="211">
        <v>-99</v>
      </c>
      <c r="BD340" s="211">
        <v>-99</v>
      </c>
      <c r="BE340" s="211">
        <v>-99</v>
      </c>
      <c r="BG340" s="211">
        <v>-99</v>
      </c>
      <c r="BH340" s="211">
        <v>-99</v>
      </c>
      <c r="BI340" s="211">
        <v>-99</v>
      </c>
      <c r="BJ340" s="211">
        <v>-99</v>
      </c>
      <c r="BK340" s="211">
        <v>-99</v>
      </c>
      <c r="BL340" s="211">
        <v>-99</v>
      </c>
      <c r="BM340" s="211">
        <v>-99</v>
      </c>
      <c r="BN340" s="191">
        <f t="shared" si="48"/>
        <v>2.1817722500000025E-2</v>
      </c>
      <c r="BO340" s="191">
        <f t="shared" si="49"/>
        <v>3.2256000000000062E-2</v>
      </c>
      <c r="BP340" s="191">
        <f t="shared" si="50"/>
        <v>1.2237209999999887E-2</v>
      </c>
      <c r="BQ340" s="171">
        <f t="shared" si="51"/>
        <v>3.0899999999999997E-2</v>
      </c>
      <c r="BR340" s="171">
        <f t="shared" si="52"/>
        <v>5.3399999999999996E-2</v>
      </c>
      <c r="BS340" s="171">
        <f t="shared" si="53"/>
        <v>2.1700000000000001E-2</v>
      </c>
      <c r="BT340" s="171">
        <f t="shared" si="54"/>
        <v>3.2000000000000001E-2</v>
      </c>
      <c r="BU340" s="171">
        <f t="shared" si="55"/>
        <v>1.2199999999999999E-2</v>
      </c>
    </row>
    <row r="341" spans="1:73" x14ac:dyDescent="0.3">
      <c r="A341" s="209">
        <v>41640</v>
      </c>
      <c r="B341" s="187">
        <v>201401</v>
      </c>
      <c r="C341" s="176">
        <v>2.8</v>
      </c>
      <c r="D341" s="176">
        <v>5.24</v>
      </c>
      <c r="E341" s="176">
        <v>0.99</v>
      </c>
      <c r="F341" s="177">
        <v>123.1</v>
      </c>
      <c r="G341" s="210">
        <v>1.0682004930156141E-2</v>
      </c>
      <c r="H341" s="179">
        <v>1.84</v>
      </c>
      <c r="I341" s="179">
        <v>2.94</v>
      </c>
      <c r="K341" s="182">
        <v>3.5000000000000003E-2</v>
      </c>
      <c r="L341" s="182">
        <v>0.04</v>
      </c>
      <c r="N341" s="182">
        <v>3.5000000000000003E-2</v>
      </c>
      <c r="O341" s="182">
        <v>1.4999999999999999E-2</v>
      </c>
      <c r="Q341" s="182">
        <v>2.5000000000000001E-2</v>
      </c>
      <c r="R341" s="182">
        <v>4.2500000000000003E-2</v>
      </c>
      <c r="S341" s="182">
        <v>1.2500000000000001E-2</v>
      </c>
      <c r="T341" s="182">
        <v>0.02</v>
      </c>
      <c r="V341" s="194">
        <v>3.1E-2</v>
      </c>
      <c r="W341" s="194">
        <v>4.5999999999999999E-2</v>
      </c>
      <c r="X341" s="194">
        <v>1.7000000000000001E-2</v>
      </c>
      <c r="Y341" s="194">
        <v>2.3E-2</v>
      </c>
      <c r="Z341" s="194"/>
      <c r="AA341" s="195">
        <v>3.0817722500000026E-2</v>
      </c>
      <c r="AB341" s="195">
        <v>4.6475138750000082E-2</v>
      </c>
      <c r="AC341" s="195">
        <v>1.7277159348779214E-2</v>
      </c>
      <c r="AD341" s="195">
        <v>2.3217235325610226E-2</v>
      </c>
      <c r="AE341" s="195"/>
      <c r="AF341" s="195">
        <v>6.6552969496970205E-3</v>
      </c>
      <c r="AG341" s="195">
        <v>1.1365085839757483E-2</v>
      </c>
      <c r="AI341" s="182">
        <v>1.8484640000000274E-2</v>
      </c>
      <c r="AJ341" s="182">
        <v>2.9616089999999762E-2</v>
      </c>
      <c r="AK341" s="182">
        <v>9.9245025000000986E-3</v>
      </c>
      <c r="AM341" s="27" t="s">
        <v>143</v>
      </c>
      <c r="AN341" s="7" t="b">
        <f t="shared" si="46"/>
        <v>1</v>
      </c>
      <c r="AO341" s="7" t="s">
        <v>144</v>
      </c>
      <c r="AP341" s="7">
        <v>1994</v>
      </c>
      <c r="AQ341" s="7">
        <f t="shared" si="47"/>
        <v>2014</v>
      </c>
      <c r="AS341" s="211">
        <v>-99</v>
      </c>
      <c r="AT341" s="211">
        <v>-99</v>
      </c>
      <c r="AU341" s="211">
        <v>-99</v>
      </c>
      <c r="AV341" s="211">
        <v>-99</v>
      </c>
      <c r="AW341" s="211">
        <v>-99</v>
      </c>
      <c r="AX341" s="211">
        <v>-99</v>
      </c>
      <c r="AZ341" s="211">
        <v>-99</v>
      </c>
      <c r="BA341" s="211">
        <v>-99</v>
      </c>
      <c r="BB341" s="211">
        <v>-99</v>
      </c>
      <c r="BC341" s="211">
        <v>-99</v>
      </c>
      <c r="BD341" s="211">
        <v>-99</v>
      </c>
      <c r="BE341" s="211">
        <v>-99</v>
      </c>
      <c r="BG341" s="211">
        <v>-99</v>
      </c>
      <c r="BH341" s="211">
        <v>-99</v>
      </c>
      <c r="BI341" s="211">
        <v>-99</v>
      </c>
      <c r="BJ341" s="211">
        <v>-99</v>
      </c>
      <c r="BK341" s="211">
        <v>-99</v>
      </c>
      <c r="BL341" s="211">
        <v>-99</v>
      </c>
      <c r="BM341" s="211">
        <v>-99</v>
      </c>
      <c r="BN341" s="191">
        <f t="shared" si="48"/>
        <v>1.8484640000000274E-2</v>
      </c>
      <c r="BO341" s="191">
        <f t="shared" si="49"/>
        <v>2.9616089999999762E-2</v>
      </c>
      <c r="BP341" s="191">
        <f t="shared" si="50"/>
        <v>9.9245025000000986E-3</v>
      </c>
      <c r="BQ341" s="171">
        <f t="shared" si="51"/>
        <v>2.7999999999999997E-2</v>
      </c>
      <c r="BR341" s="171">
        <f t="shared" si="52"/>
        <v>5.2400000000000002E-2</v>
      </c>
      <c r="BS341" s="171">
        <f t="shared" si="53"/>
        <v>1.84E-2</v>
      </c>
      <c r="BT341" s="171">
        <f t="shared" si="54"/>
        <v>2.9399999999999999E-2</v>
      </c>
      <c r="BU341" s="171">
        <f t="shared" si="55"/>
        <v>9.8999999999999991E-3</v>
      </c>
    </row>
    <row r="342" spans="1:73" x14ac:dyDescent="0.3">
      <c r="A342" s="209">
        <v>41671</v>
      </c>
      <c r="B342" s="187">
        <v>201402</v>
      </c>
      <c r="C342" s="176">
        <v>2.8</v>
      </c>
      <c r="D342" s="176">
        <v>5.24</v>
      </c>
      <c r="E342" s="176">
        <v>0.96</v>
      </c>
      <c r="F342" s="177">
        <v>124.1</v>
      </c>
      <c r="G342" s="210">
        <v>9.8441345365052335E-3</v>
      </c>
      <c r="H342" s="179">
        <v>1.95</v>
      </c>
      <c r="I342" s="179">
        <v>2.96</v>
      </c>
      <c r="K342" s="182">
        <v>3.5000000000000003E-2</v>
      </c>
      <c r="L342" s="182">
        <v>0.04</v>
      </c>
      <c r="N342" s="182">
        <v>3.5000000000000003E-2</v>
      </c>
      <c r="O342" s="182">
        <v>1.4999999999999999E-2</v>
      </c>
      <c r="Q342" s="182">
        <v>2.75E-2</v>
      </c>
      <c r="R342" s="182">
        <v>4.2500000000000003E-2</v>
      </c>
      <c r="S342" s="182">
        <v>1.2500000000000001E-2</v>
      </c>
      <c r="T342" s="182">
        <v>0.02</v>
      </c>
      <c r="V342" s="194">
        <v>2.7E-2</v>
      </c>
      <c r="W342" s="194">
        <v>4.3999999999999997E-2</v>
      </c>
      <c r="X342" s="194">
        <v>1.4999999999999999E-2</v>
      </c>
      <c r="Y342" s="194">
        <v>2.1000000000000001E-2</v>
      </c>
      <c r="Z342" s="194"/>
      <c r="AA342" s="195">
        <v>2.7484640000000275E-2</v>
      </c>
      <c r="AB342" s="195">
        <v>4.4181814999999507E-2</v>
      </c>
      <c r="AC342" s="195">
        <v>1.5194296947760696E-2</v>
      </c>
      <c r="AD342" s="195">
        <v>2.0789605276119803E-2</v>
      </c>
      <c r="AE342" s="195"/>
      <c r="AF342" s="195">
        <v>6.0531974466321303E-3</v>
      </c>
      <c r="AG342" s="195">
        <v>1.1457899650904158E-2</v>
      </c>
      <c r="AI342" s="182">
        <v>1.9595062499999871E-2</v>
      </c>
      <c r="AJ342" s="182">
        <v>2.9819039999999797E-2</v>
      </c>
      <c r="AK342" s="182">
        <v>9.6230399999999161E-3</v>
      </c>
      <c r="AM342" s="27" t="s">
        <v>143</v>
      </c>
      <c r="AN342" s="7" t="b">
        <f t="shared" si="46"/>
        <v>1</v>
      </c>
      <c r="AO342" s="7" t="s">
        <v>144</v>
      </c>
      <c r="AP342" s="7">
        <v>1994</v>
      </c>
      <c r="AQ342" s="7">
        <f t="shared" si="47"/>
        <v>2014</v>
      </c>
      <c r="AS342" s="211">
        <v>-99</v>
      </c>
      <c r="AT342" s="211">
        <v>-99</v>
      </c>
      <c r="AU342" s="211">
        <v>-99</v>
      </c>
      <c r="AV342" s="211">
        <v>-99</v>
      </c>
      <c r="AW342" s="211">
        <v>-99</v>
      </c>
      <c r="AX342" s="211">
        <v>-99</v>
      </c>
      <c r="AZ342" s="211">
        <v>-99</v>
      </c>
      <c r="BA342" s="211">
        <v>-99</v>
      </c>
      <c r="BB342" s="211">
        <v>-99</v>
      </c>
      <c r="BC342" s="211">
        <v>-99</v>
      </c>
      <c r="BD342" s="211">
        <v>-99</v>
      </c>
      <c r="BE342" s="211">
        <v>-99</v>
      </c>
      <c r="BG342" s="211">
        <v>-99</v>
      </c>
      <c r="BH342" s="211">
        <v>-99</v>
      </c>
      <c r="BI342" s="211">
        <v>-99</v>
      </c>
      <c r="BJ342" s="211">
        <v>-99</v>
      </c>
      <c r="BK342" s="211">
        <v>-99</v>
      </c>
      <c r="BL342" s="211">
        <v>-99</v>
      </c>
      <c r="BM342" s="211">
        <v>-99</v>
      </c>
      <c r="BN342" s="191">
        <f t="shared" si="48"/>
        <v>1.9595062499999871E-2</v>
      </c>
      <c r="BO342" s="191">
        <f t="shared" si="49"/>
        <v>2.9819039999999797E-2</v>
      </c>
      <c r="BP342" s="191">
        <f t="shared" si="50"/>
        <v>9.6230399999999161E-3</v>
      </c>
      <c r="BQ342" s="171">
        <f t="shared" si="51"/>
        <v>2.7999999999999997E-2</v>
      </c>
      <c r="BR342" s="171">
        <f t="shared" si="52"/>
        <v>5.2400000000000002E-2</v>
      </c>
      <c r="BS342" s="171">
        <f t="shared" si="53"/>
        <v>1.95E-2</v>
      </c>
      <c r="BT342" s="171">
        <f t="shared" si="54"/>
        <v>2.9600000000000001E-2</v>
      </c>
      <c r="BU342" s="171">
        <f t="shared" si="55"/>
        <v>9.5999999999999992E-3</v>
      </c>
    </row>
    <row r="343" spans="1:73" x14ac:dyDescent="0.3">
      <c r="A343" s="209">
        <v>41699</v>
      </c>
      <c r="B343" s="187">
        <v>201403</v>
      </c>
      <c r="C343" s="176">
        <v>2.82</v>
      </c>
      <c r="D343" s="176">
        <v>4.99</v>
      </c>
      <c r="E343" s="176">
        <v>0.9</v>
      </c>
      <c r="F343" s="177">
        <v>124.8</v>
      </c>
      <c r="G343" s="210">
        <v>9.8360655737705915E-3</v>
      </c>
      <c r="H343" s="179">
        <v>2.02</v>
      </c>
      <c r="I343" s="179">
        <v>2.96</v>
      </c>
      <c r="K343" s="182">
        <v>0.03</v>
      </c>
      <c r="L343" s="182">
        <v>0.04</v>
      </c>
      <c r="N343" s="182">
        <v>3.2500000000000001E-2</v>
      </c>
      <c r="O343" s="182">
        <v>1.2500000000000001E-2</v>
      </c>
      <c r="Q343" s="182">
        <v>2.2499999999999999E-2</v>
      </c>
      <c r="R343" s="182">
        <v>0.04</v>
      </c>
      <c r="S343" s="182">
        <v>0.01</v>
      </c>
      <c r="T343" s="182">
        <v>1.7500000000000002E-2</v>
      </c>
      <c r="V343" s="194">
        <v>2.9000000000000001E-2</v>
      </c>
      <c r="W343" s="194">
        <v>4.3999999999999997E-2</v>
      </c>
      <c r="X343" s="194">
        <v>1.4999999999999999E-2</v>
      </c>
      <c r="Y343" s="194">
        <v>0.02</v>
      </c>
      <c r="Z343" s="194"/>
      <c r="AA343" s="195">
        <v>2.8595062499999872E-2</v>
      </c>
      <c r="AB343" s="195">
        <v>4.3931028749999761E-2</v>
      </c>
      <c r="AC343" s="195">
        <v>1.5323613041868498E-2</v>
      </c>
      <c r="AD343" s="195">
        <v>2.0272753479065625E-2</v>
      </c>
      <c r="AE343" s="195"/>
      <c r="AF343" s="195">
        <v>6.5355760900558391E-3</v>
      </c>
      <c r="AG343" s="195">
        <v>1.1594093437397368E-2</v>
      </c>
      <c r="AI343" s="182">
        <v>2.0302009999999981E-2</v>
      </c>
      <c r="AJ343" s="182">
        <v>2.9819039999999797E-2</v>
      </c>
      <c r="AK343" s="182">
        <v>9.0202499999998409E-3</v>
      </c>
      <c r="AM343" s="27" t="s">
        <v>143</v>
      </c>
      <c r="AN343" s="7" t="b">
        <f t="shared" si="46"/>
        <v>1</v>
      </c>
      <c r="AO343" s="7" t="s">
        <v>144</v>
      </c>
      <c r="AP343" s="7">
        <v>1994</v>
      </c>
      <c r="AQ343" s="7">
        <f t="shared" si="47"/>
        <v>2014</v>
      </c>
      <c r="AS343" s="211">
        <v>-99</v>
      </c>
      <c r="AT343" s="211">
        <v>-99</v>
      </c>
      <c r="AU343" s="211">
        <v>-99</v>
      </c>
      <c r="AV343" s="211">
        <v>-99</v>
      </c>
      <c r="AW343" s="211">
        <v>-99</v>
      </c>
      <c r="AX343" s="211">
        <v>-99</v>
      </c>
      <c r="AZ343" s="211">
        <v>-99</v>
      </c>
      <c r="BA343" s="211">
        <v>-99</v>
      </c>
      <c r="BB343" s="211">
        <v>-99</v>
      </c>
      <c r="BC343" s="211">
        <v>-99</v>
      </c>
      <c r="BD343" s="211">
        <v>-99</v>
      </c>
      <c r="BE343" s="211">
        <v>-99</v>
      </c>
      <c r="BG343" s="211">
        <v>-99</v>
      </c>
      <c r="BH343" s="211">
        <v>-99</v>
      </c>
      <c r="BI343" s="211">
        <v>-99</v>
      </c>
      <c r="BJ343" s="211">
        <v>-99</v>
      </c>
      <c r="BK343" s="211">
        <v>-99</v>
      </c>
      <c r="BL343" s="211">
        <v>-99</v>
      </c>
      <c r="BM343" s="211">
        <v>-99</v>
      </c>
      <c r="BN343" s="191">
        <f t="shared" si="48"/>
        <v>2.0302009999999981E-2</v>
      </c>
      <c r="BO343" s="191">
        <f t="shared" si="49"/>
        <v>2.9819039999999797E-2</v>
      </c>
      <c r="BP343" s="191">
        <f t="shared" si="50"/>
        <v>9.0202499999998409E-3</v>
      </c>
      <c r="BQ343" s="171">
        <f t="shared" si="51"/>
        <v>2.8199999999999999E-2</v>
      </c>
      <c r="BR343" s="171">
        <f t="shared" si="52"/>
        <v>4.99E-2</v>
      </c>
      <c r="BS343" s="171">
        <f t="shared" si="53"/>
        <v>2.0199999999999999E-2</v>
      </c>
      <c r="BT343" s="171">
        <f t="shared" si="54"/>
        <v>2.9600000000000001E-2</v>
      </c>
      <c r="BU343" s="171">
        <f t="shared" si="55"/>
        <v>9.0000000000000011E-3</v>
      </c>
    </row>
    <row r="344" spans="1:73" x14ac:dyDescent="0.3">
      <c r="A344" s="209">
        <v>41730</v>
      </c>
      <c r="B344" s="187">
        <v>201404</v>
      </c>
      <c r="C344" s="176">
        <v>2.76</v>
      </c>
      <c r="D344" s="176">
        <v>4.79</v>
      </c>
      <c r="E344" s="176">
        <v>0.92</v>
      </c>
      <c r="F344" s="177">
        <v>125.2</v>
      </c>
      <c r="G344" s="210">
        <v>1.2295081967213184E-2</v>
      </c>
      <c r="H344" s="179">
        <v>1.99</v>
      </c>
      <c r="I344" s="179">
        <v>2.93</v>
      </c>
      <c r="K344" s="182">
        <v>0.03</v>
      </c>
      <c r="L344" s="182">
        <v>0.04</v>
      </c>
      <c r="N344" s="182">
        <v>3.2500000000000001E-2</v>
      </c>
      <c r="O344" s="182">
        <v>1.2500000000000001E-2</v>
      </c>
      <c r="Q344" s="182">
        <v>2.5000000000000001E-2</v>
      </c>
      <c r="R344" s="182">
        <v>0.04</v>
      </c>
      <c r="S344" s="182">
        <v>1.2500000000000001E-2</v>
      </c>
      <c r="T344" s="182">
        <v>1.7500000000000002E-2</v>
      </c>
      <c r="V344" s="194">
        <v>2.9000000000000001E-2</v>
      </c>
      <c r="W344" s="194">
        <v>4.3999999999999997E-2</v>
      </c>
      <c r="X344" s="194">
        <v>1.4999999999999999E-2</v>
      </c>
      <c r="Y344" s="194">
        <v>1.9E-2</v>
      </c>
      <c r="Z344" s="194"/>
      <c r="AA344" s="195">
        <v>2.9302009999999983E-2</v>
      </c>
      <c r="AB344" s="195">
        <v>4.3577554999999706E-2</v>
      </c>
      <c r="AC344" s="195">
        <v>1.5141351488931162E-2</v>
      </c>
      <c r="AD344" s="195">
        <v>1.9459699255534181E-2</v>
      </c>
      <c r="AE344" s="195"/>
      <c r="AF344" s="195">
        <v>6.9747225301672877E-3</v>
      </c>
      <c r="AG344" s="195">
        <v>1.1828744070058739E-2</v>
      </c>
      <c r="AI344" s="182">
        <v>1.9999002499999863E-2</v>
      </c>
      <c r="AJ344" s="182">
        <v>2.9514622500000032E-2</v>
      </c>
      <c r="AK344" s="182">
        <v>9.2211599999998395E-3</v>
      </c>
      <c r="AM344" s="27" t="s">
        <v>143</v>
      </c>
      <c r="AN344" s="7" t="b">
        <f t="shared" si="46"/>
        <v>1</v>
      </c>
      <c r="AO344" s="7" t="s">
        <v>144</v>
      </c>
      <c r="AP344" s="7">
        <v>1994</v>
      </c>
      <c r="AQ344" s="7">
        <f t="shared" si="47"/>
        <v>2014</v>
      </c>
      <c r="AS344" s="211">
        <v>-99</v>
      </c>
      <c r="AT344" s="211">
        <v>-99</v>
      </c>
      <c r="AU344" s="211">
        <v>-99</v>
      </c>
      <c r="AV344" s="211">
        <v>-99</v>
      </c>
      <c r="AW344" s="211">
        <v>-99</v>
      </c>
      <c r="AX344" s="211">
        <v>-99</v>
      </c>
      <c r="AZ344" s="211">
        <v>-99</v>
      </c>
      <c r="BA344" s="211">
        <v>-99</v>
      </c>
      <c r="BB344" s="211">
        <v>-99</v>
      </c>
      <c r="BC344" s="211">
        <v>-99</v>
      </c>
      <c r="BD344" s="211">
        <v>-99</v>
      </c>
      <c r="BE344" s="211">
        <v>-99</v>
      </c>
      <c r="BG344" s="211">
        <v>-99</v>
      </c>
      <c r="BH344" s="211">
        <v>-99</v>
      </c>
      <c r="BI344" s="211">
        <v>-99</v>
      </c>
      <c r="BJ344" s="211">
        <v>-99</v>
      </c>
      <c r="BK344" s="211">
        <v>-99</v>
      </c>
      <c r="BL344" s="211">
        <v>-99</v>
      </c>
      <c r="BM344" s="211">
        <v>-99</v>
      </c>
      <c r="BN344" s="191">
        <f t="shared" si="48"/>
        <v>1.9999002499999863E-2</v>
      </c>
      <c r="BO344" s="191">
        <f t="shared" si="49"/>
        <v>2.9514622500000032E-2</v>
      </c>
      <c r="BP344" s="191">
        <f t="shared" si="50"/>
        <v>9.2211599999998395E-3</v>
      </c>
      <c r="BQ344" s="171">
        <f t="shared" si="51"/>
        <v>2.76E-2</v>
      </c>
      <c r="BR344" s="171">
        <f t="shared" si="52"/>
        <v>4.7899999999999998E-2</v>
      </c>
      <c r="BS344" s="171">
        <f t="shared" si="53"/>
        <v>1.9900000000000001E-2</v>
      </c>
      <c r="BT344" s="171">
        <f t="shared" si="54"/>
        <v>2.9300000000000003E-2</v>
      </c>
      <c r="BU344" s="171">
        <f t="shared" si="55"/>
        <v>9.1999999999999998E-3</v>
      </c>
    </row>
    <row r="345" spans="1:73" x14ac:dyDescent="0.3">
      <c r="A345" s="209">
        <v>41760</v>
      </c>
      <c r="B345" s="187">
        <v>201405</v>
      </c>
      <c r="C345" s="176">
        <v>2.6</v>
      </c>
      <c r="D345" s="176">
        <v>4.79</v>
      </c>
      <c r="E345" s="176">
        <v>0.76</v>
      </c>
      <c r="F345" s="177">
        <v>125.8</v>
      </c>
      <c r="G345" s="210">
        <v>1.3104013104013212E-2</v>
      </c>
      <c r="H345" s="179">
        <v>1.82</v>
      </c>
      <c r="I345" s="179">
        <v>2.76</v>
      </c>
      <c r="K345" s="182">
        <v>0.03</v>
      </c>
      <c r="L345" s="182">
        <v>0.04</v>
      </c>
      <c r="N345" s="182">
        <v>3.2500000000000001E-2</v>
      </c>
      <c r="O345" s="182">
        <v>1.2500000000000001E-2</v>
      </c>
      <c r="Q345" s="182">
        <v>2.5000000000000001E-2</v>
      </c>
      <c r="R345" s="182">
        <v>0.04</v>
      </c>
      <c r="S345" s="182">
        <v>0.01</v>
      </c>
      <c r="T345" s="182">
        <v>1.4999999999999999E-2</v>
      </c>
      <c r="V345" s="194">
        <v>2.9000000000000001E-2</v>
      </c>
      <c r="W345" s="194">
        <v>4.3000000000000003E-2</v>
      </c>
      <c r="X345" s="194">
        <v>1.4999999999999999E-2</v>
      </c>
      <c r="Y345" s="194">
        <v>0.02</v>
      </c>
      <c r="Z345" s="194"/>
      <c r="AA345" s="195">
        <v>2.8999002499999864E-2</v>
      </c>
      <c r="AB345" s="195">
        <v>4.3272432500000117E-2</v>
      </c>
      <c r="AC345" s="195">
        <v>1.5248224990609158E-2</v>
      </c>
      <c r="AD345" s="195">
        <v>1.970762750469518E-2</v>
      </c>
      <c r="AE345" s="195"/>
      <c r="AF345" s="195">
        <v>6.772125855978639E-3</v>
      </c>
      <c r="AG345" s="195">
        <v>1.1554687029737054E-2</v>
      </c>
      <c r="AI345" s="182">
        <v>1.8282810000000316E-2</v>
      </c>
      <c r="AJ345" s="182">
        <v>2.7790439999999972E-2</v>
      </c>
      <c r="AK345" s="182">
        <v>7.6144400000000001E-3</v>
      </c>
      <c r="AM345" s="27" t="s">
        <v>143</v>
      </c>
      <c r="AN345" s="7" t="b">
        <f t="shared" si="46"/>
        <v>1</v>
      </c>
      <c r="AO345" s="7" t="s">
        <v>144</v>
      </c>
      <c r="AP345" s="7">
        <v>1994</v>
      </c>
      <c r="AQ345" s="7">
        <f t="shared" si="47"/>
        <v>2014</v>
      </c>
      <c r="AS345" s="211">
        <v>-99</v>
      </c>
      <c r="AT345" s="211">
        <v>-99</v>
      </c>
      <c r="AU345" s="211">
        <v>-99</v>
      </c>
      <c r="AV345" s="211">
        <v>-99</v>
      </c>
      <c r="AW345" s="211">
        <v>-99</v>
      </c>
      <c r="AX345" s="211">
        <v>-99</v>
      </c>
      <c r="AZ345" s="211">
        <v>-99</v>
      </c>
      <c r="BA345" s="211">
        <v>-99</v>
      </c>
      <c r="BB345" s="211">
        <v>-99</v>
      </c>
      <c r="BC345" s="211">
        <v>-99</v>
      </c>
      <c r="BD345" s="211">
        <v>-99</v>
      </c>
      <c r="BE345" s="211">
        <v>-99</v>
      </c>
      <c r="BG345" s="211">
        <v>-99</v>
      </c>
      <c r="BH345" s="211">
        <v>-99</v>
      </c>
      <c r="BI345" s="211">
        <v>-99</v>
      </c>
      <c r="BJ345" s="211">
        <v>-99</v>
      </c>
      <c r="BK345" s="211">
        <v>-99</v>
      </c>
      <c r="BL345" s="211">
        <v>-99</v>
      </c>
      <c r="BM345" s="211">
        <v>-99</v>
      </c>
      <c r="BN345" s="191">
        <f t="shared" si="48"/>
        <v>1.8282810000000316E-2</v>
      </c>
      <c r="BO345" s="191">
        <f t="shared" si="49"/>
        <v>2.7790439999999972E-2</v>
      </c>
      <c r="BP345" s="191">
        <f t="shared" si="50"/>
        <v>7.6144400000000001E-3</v>
      </c>
      <c r="BQ345" s="171">
        <f t="shared" si="51"/>
        <v>2.6000000000000002E-2</v>
      </c>
      <c r="BR345" s="171">
        <f t="shared" si="52"/>
        <v>4.7899999999999998E-2</v>
      </c>
      <c r="BS345" s="171">
        <f t="shared" si="53"/>
        <v>1.8200000000000001E-2</v>
      </c>
      <c r="BT345" s="171">
        <f t="shared" si="54"/>
        <v>2.76E-2</v>
      </c>
      <c r="BU345" s="171">
        <f t="shared" si="55"/>
        <v>7.6E-3</v>
      </c>
    </row>
    <row r="346" spans="1:73" x14ac:dyDescent="0.3">
      <c r="A346" s="209">
        <v>41791</v>
      </c>
      <c r="B346" s="187">
        <v>201406</v>
      </c>
      <c r="C346" s="176">
        <v>2.72</v>
      </c>
      <c r="D346" s="176">
        <v>4.79</v>
      </c>
      <c r="E346" s="176">
        <v>0.78</v>
      </c>
      <c r="F346" s="177">
        <v>125.9</v>
      </c>
      <c r="G346" s="210">
        <v>1.3911620294599025E-2</v>
      </c>
      <c r="H346" s="179">
        <v>1.86</v>
      </c>
      <c r="I346" s="179">
        <v>2.82</v>
      </c>
      <c r="K346" s="182">
        <v>0.03</v>
      </c>
      <c r="L346" s="182">
        <v>3.5000000000000003E-2</v>
      </c>
      <c r="N346" s="182">
        <v>3.2500000000000001E-2</v>
      </c>
      <c r="O346" s="182">
        <v>1.2500000000000001E-2</v>
      </c>
      <c r="Q346" s="182">
        <v>2.5000000000000001E-2</v>
      </c>
      <c r="R346" s="182">
        <v>0.04</v>
      </c>
      <c r="S346" s="182">
        <v>0.01</v>
      </c>
      <c r="T346" s="182">
        <v>1.4999999999999999E-2</v>
      </c>
      <c r="V346" s="194">
        <v>2.7E-2</v>
      </c>
      <c r="W346" s="194">
        <v>4.2000000000000003E-2</v>
      </c>
      <c r="X346" s="194">
        <v>1.4E-2</v>
      </c>
      <c r="Y346" s="194">
        <v>1.8000000000000002E-2</v>
      </c>
      <c r="Z346" s="194"/>
      <c r="AA346" s="195">
        <v>2.7282810000000317E-2</v>
      </c>
      <c r="AB346" s="195">
        <v>4.1544254999999801E-2</v>
      </c>
      <c r="AC346" s="195">
        <v>1.4009397468208585E-2</v>
      </c>
      <c r="AD346" s="195">
        <v>1.791696126589571E-2</v>
      </c>
      <c r="AE346" s="195"/>
      <c r="AF346" s="195">
        <v>6.5450145555518979E-3</v>
      </c>
      <c r="AG346" s="195">
        <v>1.1605707849057123E-2</v>
      </c>
      <c r="AI346" s="182">
        <v>1.8686490000000111E-2</v>
      </c>
      <c r="AJ346" s="182">
        <v>2.8398810000000108E-2</v>
      </c>
      <c r="AK346" s="182">
        <v>7.8152099999999614E-3</v>
      </c>
      <c r="AM346" s="27" t="s">
        <v>143</v>
      </c>
      <c r="AN346" s="7" t="b">
        <f t="shared" si="46"/>
        <v>1</v>
      </c>
      <c r="AO346" s="7" t="s">
        <v>144</v>
      </c>
      <c r="AP346" s="7">
        <v>1994</v>
      </c>
      <c r="AQ346" s="7">
        <f t="shared" si="47"/>
        <v>2014</v>
      </c>
      <c r="AS346" s="211">
        <v>-99</v>
      </c>
      <c r="AT346" s="211">
        <v>-99</v>
      </c>
      <c r="AU346" s="211">
        <v>-99</v>
      </c>
      <c r="AV346" s="211">
        <v>-99</v>
      </c>
      <c r="AW346" s="211">
        <v>-99</v>
      </c>
      <c r="AX346" s="211">
        <v>-99</v>
      </c>
      <c r="AZ346" s="211">
        <v>-99</v>
      </c>
      <c r="BA346" s="211">
        <v>-99</v>
      </c>
      <c r="BB346" s="211">
        <v>-99</v>
      </c>
      <c r="BC346" s="211">
        <v>-99</v>
      </c>
      <c r="BD346" s="211">
        <v>-99</v>
      </c>
      <c r="BE346" s="211">
        <v>-99</v>
      </c>
      <c r="BG346" s="211">
        <v>-99</v>
      </c>
      <c r="BH346" s="211">
        <v>-99</v>
      </c>
      <c r="BI346" s="211">
        <v>-99</v>
      </c>
      <c r="BJ346" s="211">
        <v>-99</v>
      </c>
      <c r="BK346" s="211">
        <v>-99</v>
      </c>
      <c r="BL346" s="211">
        <v>-99</v>
      </c>
      <c r="BM346" s="211">
        <v>-99</v>
      </c>
      <c r="BN346" s="191">
        <f t="shared" si="48"/>
        <v>1.8686490000000111E-2</v>
      </c>
      <c r="BO346" s="191">
        <f t="shared" si="49"/>
        <v>2.8398810000000108E-2</v>
      </c>
      <c r="BP346" s="191">
        <f t="shared" si="50"/>
        <v>7.8152099999999614E-3</v>
      </c>
      <c r="BQ346" s="171">
        <f t="shared" si="51"/>
        <v>2.7200000000000002E-2</v>
      </c>
      <c r="BR346" s="171">
        <f t="shared" si="52"/>
        <v>4.7899999999999998E-2</v>
      </c>
      <c r="BS346" s="171">
        <f t="shared" si="53"/>
        <v>1.8600000000000002E-2</v>
      </c>
      <c r="BT346" s="171">
        <f t="shared" si="54"/>
        <v>2.8199999999999999E-2</v>
      </c>
      <c r="BU346" s="171">
        <f t="shared" si="55"/>
        <v>7.8000000000000005E-3</v>
      </c>
    </row>
    <row r="347" spans="1:73" x14ac:dyDescent="0.3">
      <c r="A347" s="209">
        <v>41821</v>
      </c>
      <c r="B347" s="187">
        <v>201407</v>
      </c>
      <c r="C347" s="176">
        <v>2.59</v>
      </c>
      <c r="D347" s="176">
        <v>4.79</v>
      </c>
      <c r="E347" s="176">
        <v>0.63</v>
      </c>
      <c r="F347" s="177">
        <v>125.7</v>
      </c>
      <c r="G347" s="210">
        <v>1.4717906786590351E-2</v>
      </c>
      <c r="H347" s="179">
        <v>1.78</v>
      </c>
      <c r="I347" s="179">
        <v>2.7</v>
      </c>
      <c r="K347" s="182">
        <v>0.03</v>
      </c>
      <c r="L347" s="182">
        <v>0.03</v>
      </c>
      <c r="N347" s="182">
        <v>0.03</v>
      </c>
      <c r="O347" s="182">
        <v>0.01</v>
      </c>
      <c r="Q347" s="182">
        <v>2.2499999999999999E-2</v>
      </c>
      <c r="R347" s="182">
        <v>3.7499999999999999E-2</v>
      </c>
      <c r="S347" s="182">
        <v>0.01</v>
      </c>
      <c r="T347" s="182">
        <v>1.4999999999999999E-2</v>
      </c>
      <c r="V347" s="194">
        <v>2.8000000000000001E-2</v>
      </c>
      <c r="W347" s="194">
        <v>4.2000000000000003E-2</v>
      </c>
      <c r="X347" s="194">
        <v>1.4E-2</v>
      </c>
      <c r="Y347" s="194">
        <v>1.8000000000000002E-2</v>
      </c>
      <c r="Z347" s="194"/>
      <c r="AA347" s="195">
        <v>2.7686490000000112E-2</v>
      </c>
      <c r="AB347" s="195">
        <v>4.2254970000000107E-2</v>
      </c>
      <c r="AC347" s="195">
        <v>1.4142428274737554E-2</v>
      </c>
      <c r="AD347" s="195">
        <v>1.8151600862631165E-2</v>
      </c>
      <c r="AE347" s="195"/>
      <c r="AF347" s="195">
        <v>6.6775934758511735E-3</v>
      </c>
      <c r="AG347" s="195">
        <v>1.1836827205765399E-2</v>
      </c>
      <c r="AI347" s="182">
        <v>1.7879209999999812E-2</v>
      </c>
      <c r="AJ347" s="182">
        <v>2.7182250000000074E-2</v>
      </c>
      <c r="AK347" s="182">
        <v>6.3099225000000647E-3</v>
      </c>
      <c r="AM347" s="27" t="s">
        <v>143</v>
      </c>
      <c r="AN347" s="7" t="b">
        <f t="shared" si="46"/>
        <v>1</v>
      </c>
      <c r="AO347" s="7" t="s">
        <v>144</v>
      </c>
      <c r="AP347" s="7">
        <v>1994</v>
      </c>
      <c r="AQ347" s="7">
        <f t="shared" si="47"/>
        <v>2014</v>
      </c>
      <c r="AS347" s="211">
        <v>-99</v>
      </c>
      <c r="AT347" s="211">
        <v>-99</v>
      </c>
      <c r="AU347" s="211">
        <v>-99</v>
      </c>
      <c r="AV347" s="211">
        <v>-99</v>
      </c>
      <c r="AW347" s="211">
        <v>-99</v>
      </c>
      <c r="AX347" s="211">
        <v>-99</v>
      </c>
      <c r="AZ347" s="211">
        <v>-99</v>
      </c>
      <c r="BA347" s="211">
        <v>-99</v>
      </c>
      <c r="BB347" s="211">
        <v>-99</v>
      </c>
      <c r="BC347" s="211">
        <v>-99</v>
      </c>
      <c r="BD347" s="211">
        <v>-99</v>
      </c>
      <c r="BE347" s="211">
        <v>-99</v>
      </c>
      <c r="BG347" s="211">
        <v>-99</v>
      </c>
      <c r="BH347" s="211">
        <v>-99</v>
      </c>
      <c r="BI347" s="211">
        <v>-99</v>
      </c>
      <c r="BJ347" s="211">
        <v>-99</v>
      </c>
      <c r="BK347" s="211">
        <v>-99</v>
      </c>
      <c r="BL347" s="211">
        <v>-99</v>
      </c>
      <c r="BM347" s="211">
        <v>-99</v>
      </c>
      <c r="BN347" s="191">
        <f t="shared" si="48"/>
        <v>1.7879209999999812E-2</v>
      </c>
      <c r="BO347" s="191">
        <f t="shared" si="49"/>
        <v>2.7182250000000074E-2</v>
      </c>
      <c r="BP347" s="191">
        <f t="shared" si="50"/>
        <v>6.3099225000000647E-3</v>
      </c>
      <c r="BQ347" s="171">
        <f t="shared" si="51"/>
        <v>2.5899999999999999E-2</v>
      </c>
      <c r="BR347" s="171">
        <f t="shared" si="52"/>
        <v>4.7899999999999998E-2</v>
      </c>
      <c r="BS347" s="171">
        <f t="shared" si="53"/>
        <v>1.78E-2</v>
      </c>
      <c r="BT347" s="171">
        <f t="shared" si="54"/>
        <v>2.7000000000000003E-2</v>
      </c>
      <c r="BU347" s="171">
        <f t="shared" si="55"/>
        <v>6.3E-3</v>
      </c>
    </row>
    <row r="348" spans="1:73" x14ac:dyDescent="0.3">
      <c r="A348" s="209">
        <v>41852</v>
      </c>
      <c r="B348" s="187">
        <v>201408</v>
      </c>
      <c r="C348" s="176">
        <v>2.44</v>
      </c>
      <c r="D348" s="176">
        <v>4.79</v>
      </c>
      <c r="E348" s="176">
        <v>0.6</v>
      </c>
      <c r="F348" s="177">
        <v>125.7</v>
      </c>
      <c r="G348" s="210">
        <v>1.6339869281045694E-2</v>
      </c>
      <c r="H348" s="179">
        <v>1.65</v>
      </c>
      <c r="I348" s="179">
        <v>2.57</v>
      </c>
      <c r="K348" s="182">
        <v>0.03</v>
      </c>
      <c r="L348" s="182">
        <v>0.03</v>
      </c>
      <c r="N348" s="182">
        <v>3.2500000000000001E-2</v>
      </c>
      <c r="O348" s="182">
        <v>0.01</v>
      </c>
      <c r="Q348" s="182">
        <v>2.2499999999999999E-2</v>
      </c>
      <c r="R348" s="182">
        <v>3.7499999999999999E-2</v>
      </c>
      <c r="S348" s="182">
        <v>0.01</v>
      </c>
      <c r="T348" s="182">
        <v>1.4999999999999999E-2</v>
      </c>
      <c r="V348" s="194">
        <v>2.7E-2</v>
      </c>
      <c r="W348" s="194">
        <v>4.1000000000000002E-2</v>
      </c>
      <c r="X348" s="194">
        <v>1.3000000000000001E-2</v>
      </c>
      <c r="Y348" s="194">
        <v>1.6E-2</v>
      </c>
      <c r="Z348" s="194"/>
      <c r="AA348" s="195">
        <v>2.6879209999999813E-2</v>
      </c>
      <c r="AB348" s="195">
        <v>4.0833770000000207E-2</v>
      </c>
      <c r="AC348" s="195">
        <v>1.3150371270267351E-2</v>
      </c>
      <c r="AD348" s="195">
        <v>1.6389698114866423E-2</v>
      </c>
      <c r="AE348" s="195"/>
      <c r="AF348" s="195">
        <v>6.7753213733314777E-3</v>
      </c>
      <c r="AG348" s="195">
        <v>1.2024950631864484E-2</v>
      </c>
      <c r="AI348" s="182">
        <v>1.6568062500000202E-2</v>
      </c>
      <c r="AJ348" s="182">
        <v>2.5865122499999949E-2</v>
      </c>
      <c r="AK348" s="182">
        <v>6.008999999999709E-3</v>
      </c>
      <c r="AM348" s="27" t="s">
        <v>143</v>
      </c>
      <c r="AN348" s="7" t="b">
        <f t="shared" si="46"/>
        <v>1</v>
      </c>
      <c r="AO348" s="7" t="s">
        <v>144</v>
      </c>
      <c r="AP348" s="7">
        <v>1994</v>
      </c>
      <c r="AQ348" s="7">
        <f t="shared" si="47"/>
        <v>2014</v>
      </c>
      <c r="AS348" s="211">
        <v>-99</v>
      </c>
      <c r="AT348" s="211">
        <v>-99</v>
      </c>
      <c r="AU348" s="211">
        <v>-99</v>
      </c>
      <c r="AV348" s="211">
        <v>-99</v>
      </c>
      <c r="AW348" s="211">
        <v>-99</v>
      </c>
      <c r="AX348" s="211">
        <v>-99</v>
      </c>
      <c r="AZ348" s="211">
        <v>-99</v>
      </c>
      <c r="BA348" s="211">
        <v>-99</v>
      </c>
      <c r="BB348" s="211">
        <v>-99</v>
      </c>
      <c r="BC348" s="211">
        <v>-99</v>
      </c>
      <c r="BD348" s="211">
        <v>-99</v>
      </c>
      <c r="BE348" s="211">
        <v>-99</v>
      </c>
      <c r="BG348" s="211">
        <v>-99</v>
      </c>
      <c r="BH348" s="211">
        <v>-99</v>
      </c>
      <c r="BI348" s="211">
        <v>-99</v>
      </c>
      <c r="BJ348" s="211">
        <v>-99</v>
      </c>
      <c r="BK348" s="211">
        <v>-99</v>
      </c>
      <c r="BL348" s="211">
        <v>-99</v>
      </c>
      <c r="BM348" s="211">
        <v>-99</v>
      </c>
      <c r="BN348" s="191">
        <f t="shared" si="48"/>
        <v>1.6568062500000202E-2</v>
      </c>
      <c r="BO348" s="191">
        <f t="shared" si="49"/>
        <v>2.5865122499999949E-2</v>
      </c>
      <c r="BP348" s="191">
        <f t="shared" si="50"/>
        <v>6.008999999999709E-3</v>
      </c>
      <c r="BQ348" s="171">
        <f t="shared" si="51"/>
        <v>2.4399999999999998E-2</v>
      </c>
      <c r="BR348" s="171">
        <f t="shared" si="52"/>
        <v>4.7899999999999998E-2</v>
      </c>
      <c r="BS348" s="171">
        <f t="shared" si="53"/>
        <v>1.6500000000000001E-2</v>
      </c>
      <c r="BT348" s="171">
        <f t="shared" si="54"/>
        <v>2.5699999999999997E-2</v>
      </c>
      <c r="BU348" s="171">
        <f t="shared" si="55"/>
        <v>6.0000000000000001E-3</v>
      </c>
    </row>
    <row r="349" spans="1:73" x14ac:dyDescent="0.3">
      <c r="A349" s="209">
        <v>41883</v>
      </c>
      <c r="B349" s="187">
        <v>201409</v>
      </c>
      <c r="C349" s="176">
        <v>2.61</v>
      </c>
      <c r="D349" s="176">
        <v>4.79</v>
      </c>
      <c r="E349" s="176">
        <v>0.75</v>
      </c>
      <c r="F349" s="177">
        <v>125.8</v>
      </c>
      <c r="G349" s="210">
        <v>1.7142857142857126E-2</v>
      </c>
      <c r="H349" s="179">
        <v>1.82</v>
      </c>
      <c r="I349" s="179">
        <v>2.73</v>
      </c>
      <c r="K349" s="182">
        <v>0.03</v>
      </c>
      <c r="L349" s="182">
        <v>0.03</v>
      </c>
      <c r="N349" s="182">
        <v>0.03</v>
      </c>
      <c r="O349" s="182">
        <v>0.01</v>
      </c>
      <c r="Q349" s="182">
        <v>2.2499999999999999E-2</v>
      </c>
      <c r="R349" s="182">
        <v>3.7499999999999999E-2</v>
      </c>
      <c r="S349" s="182">
        <v>0.01</v>
      </c>
      <c r="T349" s="182">
        <v>1.2500000000000001E-2</v>
      </c>
      <c r="V349" s="194">
        <v>2.6000000000000002E-2</v>
      </c>
      <c r="W349" s="194">
        <v>0.04</v>
      </c>
      <c r="X349" s="194">
        <v>1.3000000000000001E-2</v>
      </c>
      <c r="Y349" s="194">
        <v>1.6E-2</v>
      </c>
      <c r="Z349" s="194"/>
      <c r="AA349" s="195">
        <v>2.5568062500000203E-2</v>
      </c>
      <c r="AB349" s="195">
        <v>3.9513652499999823E-2</v>
      </c>
      <c r="AC349" s="195">
        <v>1.2849101722309516E-2</v>
      </c>
      <c r="AD349" s="195">
        <v>1.6088949138844809E-2</v>
      </c>
      <c r="AE349" s="195"/>
      <c r="AF349" s="195">
        <v>6.2788034051974861E-3</v>
      </c>
      <c r="AG349" s="195">
        <v>1.1526896036517242E-2</v>
      </c>
      <c r="AI349" s="182">
        <v>1.8282810000000316E-2</v>
      </c>
      <c r="AJ349" s="182">
        <v>2.7486322499999938E-2</v>
      </c>
      <c r="AK349" s="182">
        <v>7.5140624999998629E-3</v>
      </c>
      <c r="AM349" s="27" t="s">
        <v>143</v>
      </c>
      <c r="AN349" s="7" t="b">
        <f t="shared" si="46"/>
        <v>1</v>
      </c>
      <c r="AO349" s="7" t="s">
        <v>144</v>
      </c>
      <c r="AP349" s="7">
        <v>1994</v>
      </c>
      <c r="AQ349" s="7">
        <f t="shared" si="47"/>
        <v>2014</v>
      </c>
      <c r="AS349" s="211">
        <v>-99</v>
      </c>
      <c r="AT349" s="211">
        <v>-99</v>
      </c>
      <c r="AU349" s="211">
        <v>-99</v>
      </c>
      <c r="AV349" s="211">
        <v>-99</v>
      </c>
      <c r="AW349" s="211">
        <v>-99</v>
      </c>
      <c r="AX349" s="211">
        <v>-99</v>
      </c>
      <c r="AZ349" s="211">
        <v>-99</v>
      </c>
      <c r="BA349" s="211">
        <v>-99</v>
      </c>
      <c r="BB349" s="211">
        <v>-99</v>
      </c>
      <c r="BC349" s="211">
        <v>-99</v>
      </c>
      <c r="BD349" s="211">
        <v>-99</v>
      </c>
      <c r="BE349" s="211">
        <v>-99</v>
      </c>
      <c r="BG349" s="211">
        <v>-99</v>
      </c>
      <c r="BH349" s="211">
        <v>-99</v>
      </c>
      <c r="BI349" s="211">
        <v>-99</v>
      </c>
      <c r="BJ349" s="211">
        <v>-99</v>
      </c>
      <c r="BK349" s="211">
        <v>-99</v>
      </c>
      <c r="BL349" s="211">
        <v>-99</v>
      </c>
      <c r="BM349" s="211">
        <v>-99</v>
      </c>
      <c r="BN349" s="191">
        <f t="shared" si="48"/>
        <v>1.8282810000000316E-2</v>
      </c>
      <c r="BO349" s="191">
        <f t="shared" si="49"/>
        <v>2.7486322499999938E-2</v>
      </c>
      <c r="BP349" s="191">
        <f t="shared" si="50"/>
        <v>7.5140624999998629E-3</v>
      </c>
      <c r="BQ349" s="171">
        <f t="shared" si="51"/>
        <v>2.6099999999999998E-2</v>
      </c>
      <c r="BR349" s="171">
        <f t="shared" si="52"/>
        <v>4.7899999999999998E-2</v>
      </c>
      <c r="BS349" s="171">
        <f t="shared" si="53"/>
        <v>1.8200000000000001E-2</v>
      </c>
      <c r="BT349" s="171">
        <f t="shared" si="54"/>
        <v>2.7300000000000001E-2</v>
      </c>
      <c r="BU349" s="171">
        <f t="shared" si="55"/>
        <v>7.4999999999999997E-3</v>
      </c>
    </row>
    <row r="350" spans="1:73" x14ac:dyDescent="0.3">
      <c r="A350" s="209">
        <v>41913</v>
      </c>
      <c r="B350" s="187">
        <v>201410</v>
      </c>
      <c r="C350" s="176">
        <v>2.46</v>
      </c>
      <c r="D350" s="176">
        <v>4.79</v>
      </c>
      <c r="E350" s="176">
        <v>0.68</v>
      </c>
      <c r="F350" s="177">
        <v>125.9</v>
      </c>
      <c r="G350" s="210">
        <v>1.794453507340954E-2</v>
      </c>
      <c r="H350" s="179">
        <v>1.73</v>
      </c>
      <c r="I350" s="179">
        <v>2.59</v>
      </c>
      <c r="K350" s="182">
        <v>2.5000000000000001E-2</v>
      </c>
      <c r="L350" s="182">
        <v>0.03</v>
      </c>
      <c r="N350" s="182">
        <v>0.03</v>
      </c>
      <c r="O350" s="182">
        <v>7.4999999999999997E-3</v>
      </c>
      <c r="Q350" s="182">
        <v>2.2499999999999999E-2</v>
      </c>
      <c r="R350" s="182">
        <v>3.5000000000000003E-2</v>
      </c>
      <c r="S350" s="182">
        <v>0.01</v>
      </c>
      <c r="T350" s="182">
        <v>1.2500000000000001E-2</v>
      </c>
      <c r="V350" s="194">
        <v>2.7E-2</v>
      </c>
      <c r="W350" s="194">
        <v>4.1000000000000002E-2</v>
      </c>
      <c r="X350" s="194">
        <v>1.4E-2</v>
      </c>
      <c r="Y350" s="194">
        <v>1.8000000000000002E-2</v>
      </c>
      <c r="Z350" s="194"/>
      <c r="AA350" s="195">
        <v>2.7282810000000317E-2</v>
      </c>
      <c r="AB350" s="195">
        <v>4.108807874999975E-2</v>
      </c>
      <c r="AC350" s="195">
        <v>1.3998055924564852E-2</v>
      </c>
      <c r="AD350" s="195">
        <v>1.7772065787717371E-2</v>
      </c>
      <c r="AE350" s="195"/>
      <c r="AF350" s="195">
        <v>6.5506802492447669E-3</v>
      </c>
      <c r="AG350" s="195">
        <v>1.1454437464952671E-2</v>
      </c>
      <c r="AI350" s="182">
        <v>1.7374822500000109E-2</v>
      </c>
      <c r="AJ350" s="182">
        <v>2.6067702500000012E-2</v>
      </c>
      <c r="AK350" s="182">
        <v>6.8115600000000498E-3</v>
      </c>
      <c r="AM350" s="27" t="s">
        <v>143</v>
      </c>
      <c r="AN350" s="7" t="b">
        <f t="shared" si="46"/>
        <v>1</v>
      </c>
      <c r="AO350" s="7" t="s">
        <v>144</v>
      </c>
      <c r="AP350" s="7">
        <v>1994</v>
      </c>
      <c r="AQ350" s="7">
        <f t="shared" si="47"/>
        <v>2014</v>
      </c>
      <c r="AS350" s="211">
        <v>-99</v>
      </c>
      <c r="AT350" s="211">
        <v>-99</v>
      </c>
      <c r="AU350" s="211">
        <v>-99</v>
      </c>
      <c r="AV350" s="211">
        <v>-99</v>
      </c>
      <c r="AW350" s="211">
        <v>-99</v>
      </c>
      <c r="AX350" s="211">
        <v>-99</v>
      </c>
      <c r="AZ350" s="211">
        <v>-99</v>
      </c>
      <c r="BA350" s="211">
        <v>-99</v>
      </c>
      <c r="BB350" s="211">
        <v>-99</v>
      </c>
      <c r="BC350" s="211">
        <v>-99</v>
      </c>
      <c r="BD350" s="211">
        <v>-99</v>
      </c>
      <c r="BE350" s="211">
        <v>-99</v>
      </c>
      <c r="BG350" s="211">
        <v>-99</v>
      </c>
      <c r="BH350" s="211">
        <v>-99</v>
      </c>
      <c r="BI350" s="211">
        <v>-99</v>
      </c>
      <c r="BJ350" s="211">
        <v>-99</v>
      </c>
      <c r="BK350" s="211">
        <v>-99</v>
      </c>
      <c r="BL350" s="211">
        <v>-99</v>
      </c>
      <c r="BM350" s="211">
        <v>-99</v>
      </c>
      <c r="BN350" s="191">
        <f t="shared" si="48"/>
        <v>1.7374822500000109E-2</v>
      </c>
      <c r="BO350" s="191">
        <f t="shared" si="49"/>
        <v>2.6067702500000012E-2</v>
      </c>
      <c r="BP350" s="191">
        <f t="shared" si="50"/>
        <v>6.8115600000000498E-3</v>
      </c>
      <c r="BQ350" s="171">
        <f t="shared" si="51"/>
        <v>2.46E-2</v>
      </c>
      <c r="BR350" s="171">
        <f t="shared" si="52"/>
        <v>4.7899999999999998E-2</v>
      </c>
      <c r="BS350" s="171">
        <f t="shared" si="53"/>
        <v>1.7299999999999999E-2</v>
      </c>
      <c r="BT350" s="171">
        <f t="shared" si="54"/>
        <v>2.5899999999999999E-2</v>
      </c>
      <c r="BU350" s="171">
        <f t="shared" si="55"/>
        <v>6.8000000000000005E-3</v>
      </c>
    </row>
    <row r="351" spans="1:73" x14ac:dyDescent="0.3">
      <c r="A351" s="209">
        <v>41944</v>
      </c>
      <c r="B351" s="187">
        <v>201411</v>
      </c>
      <c r="C351" s="176">
        <v>2.36</v>
      </c>
      <c r="D351" s="176">
        <v>4.79</v>
      </c>
      <c r="E351" s="176">
        <v>0.61</v>
      </c>
      <c r="F351" s="177">
        <v>125.4</v>
      </c>
      <c r="G351" s="210">
        <v>1.8744906275468542E-2</v>
      </c>
      <c r="H351" s="179">
        <v>1.61</v>
      </c>
      <c r="I351" s="179">
        <v>2.48</v>
      </c>
      <c r="K351" s="182">
        <v>0.03</v>
      </c>
      <c r="L351" s="182">
        <v>0.03</v>
      </c>
      <c r="N351" s="182">
        <v>3.2500000000000001E-2</v>
      </c>
      <c r="O351" s="182">
        <v>0.01</v>
      </c>
      <c r="Q351" s="182">
        <v>2.2499999999999999E-2</v>
      </c>
      <c r="R351" s="182">
        <v>3.7499999999999999E-2</v>
      </c>
      <c r="S351" s="182">
        <v>0.01</v>
      </c>
      <c r="T351" s="182">
        <v>1.4999999999999999E-2</v>
      </c>
      <c r="V351" s="194">
        <v>2.6000000000000002E-2</v>
      </c>
      <c r="W351" s="194">
        <v>3.9E-2</v>
      </c>
      <c r="X351" s="194">
        <v>1.4E-2</v>
      </c>
      <c r="Y351" s="194">
        <v>1.7000000000000001E-2</v>
      </c>
      <c r="Z351" s="194"/>
      <c r="AA351" s="195">
        <v>2.637482250000011E-2</v>
      </c>
      <c r="AB351" s="195">
        <v>3.9414142499999964E-2</v>
      </c>
      <c r="AC351" s="195">
        <v>1.3540087334052611E-2</v>
      </c>
      <c r="AD351" s="195">
        <v>1.6947296332973771E-2</v>
      </c>
      <c r="AE351" s="195"/>
      <c r="AF351" s="195">
        <v>6.3316366695012061E-3</v>
      </c>
      <c r="AG351" s="195">
        <v>1.1046219527816037E-2</v>
      </c>
      <c r="AI351" s="182">
        <v>1.6164802499999853E-2</v>
      </c>
      <c r="AJ351" s="182">
        <v>2.4953759999999825E-2</v>
      </c>
      <c r="AK351" s="182">
        <v>6.10930250000008E-3</v>
      </c>
      <c r="AM351" s="27" t="s">
        <v>143</v>
      </c>
      <c r="AN351" s="7" t="b">
        <f t="shared" si="46"/>
        <v>1</v>
      </c>
      <c r="AO351" s="7" t="s">
        <v>144</v>
      </c>
      <c r="AP351" s="7">
        <v>1994</v>
      </c>
      <c r="AQ351" s="7">
        <f t="shared" si="47"/>
        <v>2014</v>
      </c>
      <c r="AS351" s="211">
        <v>-99</v>
      </c>
      <c r="AT351" s="211">
        <v>-99</v>
      </c>
      <c r="AU351" s="211">
        <v>-99</v>
      </c>
      <c r="AV351" s="211">
        <v>-99</v>
      </c>
      <c r="AW351" s="211">
        <v>-99</v>
      </c>
      <c r="AX351" s="211">
        <v>-99</v>
      </c>
      <c r="AZ351" s="211">
        <v>-99</v>
      </c>
      <c r="BA351" s="211">
        <v>-99</v>
      </c>
      <c r="BB351" s="211">
        <v>-99</v>
      </c>
      <c r="BC351" s="211">
        <v>-99</v>
      </c>
      <c r="BD351" s="211">
        <v>-99</v>
      </c>
      <c r="BE351" s="211">
        <v>-99</v>
      </c>
      <c r="BG351" s="211">
        <v>-99</v>
      </c>
      <c r="BH351" s="211">
        <v>-99</v>
      </c>
      <c r="BI351" s="211">
        <v>-99</v>
      </c>
      <c r="BJ351" s="211">
        <v>-99</v>
      </c>
      <c r="BK351" s="211">
        <v>-99</v>
      </c>
      <c r="BL351" s="211">
        <v>-99</v>
      </c>
      <c r="BM351" s="211">
        <v>-99</v>
      </c>
      <c r="BN351" s="191">
        <f t="shared" si="48"/>
        <v>1.6164802499999853E-2</v>
      </c>
      <c r="BO351" s="191">
        <f t="shared" si="49"/>
        <v>2.4953759999999825E-2</v>
      </c>
      <c r="BP351" s="191">
        <f t="shared" si="50"/>
        <v>6.10930250000008E-3</v>
      </c>
      <c r="BQ351" s="171">
        <f t="shared" si="51"/>
        <v>2.3599999999999999E-2</v>
      </c>
      <c r="BR351" s="171">
        <f t="shared" si="52"/>
        <v>4.7899999999999998E-2</v>
      </c>
      <c r="BS351" s="171">
        <f t="shared" si="53"/>
        <v>1.61E-2</v>
      </c>
      <c r="BT351" s="171">
        <f t="shared" si="54"/>
        <v>2.4799999999999999E-2</v>
      </c>
      <c r="BU351" s="171">
        <f t="shared" si="55"/>
        <v>6.0999999999999995E-3</v>
      </c>
    </row>
    <row r="352" spans="1:73" x14ac:dyDescent="0.3">
      <c r="A352" s="209">
        <v>41974</v>
      </c>
      <c r="B352" s="187">
        <v>201412</v>
      </c>
      <c r="C352" s="176">
        <v>2.2200000000000002</v>
      </c>
      <c r="D352" s="176">
        <v>4.79</v>
      </c>
      <c r="E352" s="176">
        <v>0.62</v>
      </c>
      <c r="F352" s="177">
        <v>124.5</v>
      </c>
      <c r="G352" s="210">
        <v>1.9543973941368087E-2</v>
      </c>
      <c r="H352" s="176">
        <v>1.46</v>
      </c>
      <c r="I352" s="176">
        <v>2.33</v>
      </c>
      <c r="K352" s="182">
        <v>2.5000000000000001E-2</v>
      </c>
      <c r="L352" s="182">
        <v>2.5000000000000001E-2</v>
      </c>
      <c r="N352" s="182">
        <v>0.03</v>
      </c>
      <c r="O352" s="182">
        <v>0.01</v>
      </c>
      <c r="Q352" s="182">
        <v>2.2499999999999999E-2</v>
      </c>
      <c r="R352" s="182">
        <v>3.5000000000000003E-2</v>
      </c>
      <c r="S352" s="182">
        <v>0.01</v>
      </c>
      <c r="T352" s="182">
        <v>1.2500000000000001E-2</v>
      </c>
      <c r="V352" s="194">
        <v>2.5000000000000001E-2</v>
      </c>
      <c r="W352" s="194">
        <v>3.7999999999999999E-2</v>
      </c>
      <c r="X352" s="194">
        <v>1.3000000000000001E-2</v>
      </c>
      <c r="Y352" s="194">
        <v>1.6E-2</v>
      </c>
      <c r="Z352" s="194"/>
      <c r="AA352" s="195">
        <v>2.5164802499999854E-2</v>
      </c>
      <c r="AB352" s="195">
        <v>3.8348238749999812E-2</v>
      </c>
      <c r="AC352" s="195">
        <v>1.2957546611222412E-2</v>
      </c>
      <c r="AD352" s="195">
        <v>1.6185180444388915E-2</v>
      </c>
      <c r="AE352" s="195"/>
      <c r="AF352" s="195">
        <v>6.0255515789461311E-3</v>
      </c>
      <c r="AG352" s="195">
        <v>1.0905029286059298E-2</v>
      </c>
      <c r="AI352" s="182">
        <v>1.4653290000000263E-2</v>
      </c>
      <c r="AJ352" s="182">
        <v>2.3435722499999923E-2</v>
      </c>
      <c r="AK352" s="182">
        <v>6.2096100000001986E-3</v>
      </c>
      <c r="AM352" s="27" t="s">
        <v>143</v>
      </c>
      <c r="AN352" s="7" t="b">
        <f t="shared" si="46"/>
        <v>1</v>
      </c>
      <c r="AO352" s="7" t="s">
        <v>144</v>
      </c>
      <c r="AP352" s="7">
        <v>1994</v>
      </c>
      <c r="AQ352" s="7">
        <f t="shared" si="47"/>
        <v>2014</v>
      </c>
      <c r="AS352" s="211">
        <v>-99</v>
      </c>
      <c r="AT352" s="211">
        <v>-99</v>
      </c>
      <c r="AU352" s="211">
        <v>-99</v>
      </c>
      <c r="AV352" s="211">
        <v>-99</v>
      </c>
      <c r="AW352" s="211">
        <v>-99</v>
      </c>
      <c r="AX352" s="211">
        <v>-99</v>
      </c>
      <c r="AZ352" s="211">
        <v>-99</v>
      </c>
      <c r="BA352" s="211">
        <v>-99</v>
      </c>
      <c r="BB352" s="211">
        <v>-99</v>
      </c>
      <c r="BC352" s="211">
        <v>-99</v>
      </c>
      <c r="BD352" s="211">
        <v>-99</v>
      </c>
      <c r="BE352" s="211">
        <v>-99</v>
      </c>
      <c r="BG352" s="211">
        <v>-99</v>
      </c>
      <c r="BH352" s="211">
        <v>-99</v>
      </c>
      <c r="BI352" s="211">
        <v>-99</v>
      </c>
      <c r="BJ352" s="211">
        <v>-99</v>
      </c>
      <c r="BK352" s="211">
        <v>-99</v>
      </c>
      <c r="BL352" s="211">
        <v>-99</v>
      </c>
      <c r="BM352" s="211">
        <v>-99</v>
      </c>
      <c r="BN352" s="191">
        <f t="shared" si="48"/>
        <v>1.4653290000000263E-2</v>
      </c>
      <c r="BO352" s="191">
        <f t="shared" si="49"/>
        <v>2.3435722499999923E-2</v>
      </c>
      <c r="BP352" s="191">
        <f t="shared" si="50"/>
        <v>6.2096100000001986E-3</v>
      </c>
      <c r="BQ352" s="171">
        <f t="shared" si="51"/>
        <v>2.2200000000000001E-2</v>
      </c>
      <c r="BR352" s="171">
        <f t="shared" si="52"/>
        <v>4.7899999999999998E-2</v>
      </c>
      <c r="BS352" s="171">
        <f t="shared" si="53"/>
        <v>1.46E-2</v>
      </c>
      <c r="BT352" s="171">
        <f t="shared" si="54"/>
        <v>2.3300000000000001E-2</v>
      </c>
      <c r="BU352" s="171">
        <f t="shared" si="55"/>
        <v>6.1999999999999998E-3</v>
      </c>
    </row>
    <row r="353" spans="1:73" x14ac:dyDescent="0.3">
      <c r="A353" s="209">
        <v>42005</v>
      </c>
      <c r="B353" s="187">
        <v>201501</v>
      </c>
      <c r="C353" s="176">
        <v>1.75</v>
      </c>
      <c r="D353" s="176">
        <v>4.79</v>
      </c>
      <c r="E353" s="176">
        <v>0.23</v>
      </c>
      <c r="F353" s="177">
        <v>124.3</v>
      </c>
      <c r="G353" s="210">
        <v>1.8699186991869787E-2</v>
      </c>
      <c r="H353" s="179">
        <v>1</v>
      </c>
      <c r="I353" s="179">
        <v>1.93</v>
      </c>
      <c r="K353" s="182">
        <v>2.5000000000000001E-2</v>
      </c>
      <c r="L353" s="182">
        <v>2.5000000000000001E-2</v>
      </c>
      <c r="N353" s="182">
        <v>0.03</v>
      </c>
      <c r="O353" s="182">
        <v>7.4999999999999997E-3</v>
      </c>
      <c r="Q353" s="182">
        <v>0.02</v>
      </c>
      <c r="R353" s="182">
        <v>3.5000000000000003E-2</v>
      </c>
      <c r="S353" s="182">
        <v>0.01</v>
      </c>
      <c r="T353" s="182">
        <v>1.2500000000000001E-2</v>
      </c>
      <c r="V353" s="194">
        <v>2.4E-2</v>
      </c>
      <c r="W353" s="194">
        <v>3.6999999999999998E-2</v>
      </c>
      <c r="X353" s="194">
        <v>1.3000000000000001E-2</v>
      </c>
      <c r="Y353" s="194">
        <v>1.6E-2</v>
      </c>
      <c r="Z353" s="194"/>
      <c r="AA353" s="195">
        <v>2.3653290000000264E-2</v>
      </c>
      <c r="AB353" s="195">
        <v>3.6826938749999753E-2</v>
      </c>
      <c r="AC353" s="195">
        <v>1.288258634300286E-2</v>
      </c>
      <c r="AD353" s="195">
        <v>1.6373121828498871E-2</v>
      </c>
      <c r="AE353" s="195"/>
      <c r="AF353" s="195">
        <v>5.3168569596426796E-3</v>
      </c>
      <c r="AG353" s="195">
        <v>1.0062159497441048E-2</v>
      </c>
      <c r="AI353" s="182">
        <v>1.0024999999999729E-2</v>
      </c>
      <c r="AJ353" s="182">
        <v>1.9393122499999915E-2</v>
      </c>
      <c r="AK353" s="182">
        <v>2.3013224999999249E-3</v>
      </c>
      <c r="AM353" s="27" t="s">
        <v>143</v>
      </c>
      <c r="AN353" s="7" t="b">
        <f t="shared" si="46"/>
        <v>1</v>
      </c>
      <c r="AO353" s="7" t="s">
        <v>144</v>
      </c>
      <c r="AP353" s="7">
        <v>1994</v>
      </c>
      <c r="AQ353" s="7">
        <f t="shared" si="47"/>
        <v>2015</v>
      </c>
      <c r="AS353" s="211">
        <v>-99</v>
      </c>
      <c r="AT353" s="211">
        <v>-99</v>
      </c>
      <c r="AU353" s="211">
        <v>-99</v>
      </c>
      <c r="AV353" s="211">
        <v>-99</v>
      </c>
      <c r="AW353" s="211">
        <v>-99</v>
      </c>
      <c r="AX353" s="211">
        <v>-99</v>
      </c>
      <c r="AZ353" s="211">
        <v>-99</v>
      </c>
      <c r="BA353" s="211">
        <v>-99</v>
      </c>
      <c r="BB353" s="211">
        <v>-99</v>
      </c>
      <c r="BC353" s="211">
        <v>-99</v>
      </c>
      <c r="BD353" s="211">
        <v>-99</v>
      </c>
      <c r="BE353" s="211">
        <v>-99</v>
      </c>
      <c r="BG353" s="211">
        <v>-99</v>
      </c>
      <c r="BH353" s="211">
        <v>-99</v>
      </c>
      <c r="BI353" s="211">
        <v>-99</v>
      </c>
      <c r="BJ353" s="211">
        <v>-99</v>
      </c>
      <c r="BK353" s="211">
        <v>-99</v>
      </c>
      <c r="BL353" s="211">
        <v>-99</v>
      </c>
      <c r="BM353" s="211">
        <v>-99</v>
      </c>
      <c r="BN353" s="191">
        <f t="shared" si="48"/>
        <v>1.0024999999999729E-2</v>
      </c>
      <c r="BO353" s="191">
        <f t="shared" si="49"/>
        <v>1.9393122499999915E-2</v>
      </c>
      <c r="BP353" s="191">
        <f t="shared" si="50"/>
        <v>2.3013224999999249E-3</v>
      </c>
      <c r="BQ353" s="171">
        <f t="shared" si="51"/>
        <v>1.7500000000000002E-2</v>
      </c>
      <c r="BR353" s="171">
        <f t="shared" si="52"/>
        <v>4.7899999999999998E-2</v>
      </c>
      <c r="BS353" s="171">
        <f t="shared" si="53"/>
        <v>0.01</v>
      </c>
      <c r="BT353" s="171">
        <f t="shared" si="54"/>
        <v>1.9299999999999998E-2</v>
      </c>
      <c r="BU353" s="171">
        <f t="shared" si="55"/>
        <v>2.3E-3</v>
      </c>
    </row>
    <row r="354" spans="1:73" x14ac:dyDescent="0.3">
      <c r="A354" s="209">
        <v>42036</v>
      </c>
      <c r="B354" s="187">
        <v>201502</v>
      </c>
      <c r="C354" s="176">
        <v>1.76</v>
      </c>
      <c r="D354" s="176">
        <v>4.74</v>
      </c>
      <c r="E354" s="176">
        <v>0.13</v>
      </c>
      <c r="F354" s="177">
        <v>125.4</v>
      </c>
      <c r="G354" s="210">
        <v>1.8683996750609388E-2</v>
      </c>
      <c r="H354" s="179">
        <v>0.97</v>
      </c>
      <c r="I354" s="179">
        <v>1.95</v>
      </c>
      <c r="K354" s="182">
        <v>2.5000000000000001E-2</v>
      </c>
      <c r="L354" s="182">
        <v>2.5000000000000001E-2</v>
      </c>
      <c r="N354" s="182">
        <v>2.75E-2</v>
      </c>
      <c r="O354" s="182">
        <v>7.4999999999999997E-3</v>
      </c>
      <c r="Q354" s="182">
        <v>0.02</v>
      </c>
      <c r="R354" s="182">
        <v>3.2500000000000001E-2</v>
      </c>
      <c r="S354" s="182">
        <v>0.01</v>
      </c>
      <c r="T354" s="182">
        <v>1.2500000000000001E-2</v>
      </c>
      <c r="V354" s="194">
        <v>1.9E-2</v>
      </c>
      <c r="W354" s="194">
        <v>3.3000000000000002E-2</v>
      </c>
      <c r="X354" s="194">
        <v>0.01</v>
      </c>
      <c r="Y354" s="194">
        <v>1.2E-2</v>
      </c>
      <c r="Z354" s="194"/>
      <c r="AA354" s="195">
        <v>1.902499999999973E-2</v>
      </c>
      <c r="AB354" s="195">
        <v>3.307718375000001E-2</v>
      </c>
      <c r="AC354" s="195">
        <v>1.0189636071370082E-2</v>
      </c>
      <c r="AD354" s="195">
        <v>1.1857165714314848E-2</v>
      </c>
      <c r="AE354" s="195"/>
      <c r="AF354" s="195">
        <v>4.3731214482610747E-3</v>
      </c>
      <c r="AG354" s="195">
        <v>1.0485678589183478E-2</v>
      </c>
      <c r="AI354" s="182">
        <v>9.7235225000000813E-3</v>
      </c>
      <c r="AJ354" s="182">
        <v>1.9595062499999871E-2</v>
      </c>
      <c r="AK354" s="182">
        <v>1.3004225000001757E-3</v>
      </c>
      <c r="AM354" s="27" t="s">
        <v>143</v>
      </c>
      <c r="AN354" s="7" t="b">
        <f t="shared" si="46"/>
        <v>1</v>
      </c>
      <c r="AO354" s="7" t="s">
        <v>144</v>
      </c>
      <c r="AP354" s="7">
        <v>1994</v>
      </c>
      <c r="AQ354" s="7">
        <f t="shared" si="47"/>
        <v>2015</v>
      </c>
      <c r="AS354" s="211">
        <v>-99</v>
      </c>
      <c r="AT354" s="211">
        <v>-99</v>
      </c>
      <c r="AU354" s="211">
        <v>-99</v>
      </c>
      <c r="AV354" s="211">
        <v>-99</v>
      </c>
      <c r="AW354" s="211">
        <v>-99</v>
      </c>
      <c r="AX354" s="211">
        <v>-99</v>
      </c>
      <c r="AZ354" s="211">
        <v>-99</v>
      </c>
      <c r="BA354" s="211">
        <v>-99</v>
      </c>
      <c r="BB354" s="211">
        <v>-99</v>
      </c>
      <c r="BC354" s="211">
        <v>-99</v>
      </c>
      <c r="BD354" s="211">
        <v>-99</v>
      </c>
      <c r="BE354" s="211">
        <v>-99</v>
      </c>
      <c r="BG354" s="211">
        <v>-99</v>
      </c>
      <c r="BH354" s="211">
        <v>-99</v>
      </c>
      <c r="BI354" s="211">
        <v>-99</v>
      </c>
      <c r="BJ354" s="211">
        <v>-99</v>
      </c>
      <c r="BK354" s="211">
        <v>-99</v>
      </c>
      <c r="BL354" s="211">
        <v>-99</v>
      </c>
      <c r="BM354" s="211">
        <v>-99</v>
      </c>
      <c r="BN354" s="191">
        <f t="shared" si="48"/>
        <v>9.7235225000000813E-3</v>
      </c>
      <c r="BO354" s="191">
        <f t="shared" si="49"/>
        <v>1.9595062499999871E-2</v>
      </c>
      <c r="BP354" s="191">
        <f t="shared" si="50"/>
        <v>1.3004225000001757E-3</v>
      </c>
      <c r="BQ354" s="171">
        <f t="shared" si="51"/>
        <v>1.7600000000000001E-2</v>
      </c>
      <c r="BR354" s="171">
        <f t="shared" si="52"/>
        <v>4.7400000000000005E-2</v>
      </c>
      <c r="BS354" s="171">
        <f t="shared" si="53"/>
        <v>9.7000000000000003E-3</v>
      </c>
      <c r="BT354" s="171">
        <f t="shared" si="54"/>
        <v>1.95E-2</v>
      </c>
      <c r="BU354" s="171">
        <f t="shared" si="55"/>
        <v>1.2999999999999999E-3</v>
      </c>
    </row>
    <row r="355" spans="1:73" x14ac:dyDescent="0.3">
      <c r="A355" s="209">
        <v>42064</v>
      </c>
      <c r="B355" s="187">
        <v>201503</v>
      </c>
      <c r="C355" s="176">
        <v>1.79</v>
      </c>
      <c r="D355" s="176">
        <v>4.74</v>
      </c>
      <c r="E355" s="176">
        <v>0.15</v>
      </c>
      <c r="F355" s="177">
        <v>126.3</v>
      </c>
      <c r="G355" s="210">
        <v>1.8668831168831224E-2</v>
      </c>
      <c r="H355" s="179">
        <v>0.99</v>
      </c>
      <c r="I355" s="179">
        <v>1.97</v>
      </c>
      <c r="K355" s="182">
        <v>0.02</v>
      </c>
      <c r="L355" s="182">
        <v>2.5000000000000001E-2</v>
      </c>
      <c r="N355" s="182">
        <v>2.2499999999999999E-2</v>
      </c>
      <c r="O355" s="182">
        <v>5.0000000000000001E-3</v>
      </c>
      <c r="Q355" s="182">
        <v>1.4999999999999999E-2</v>
      </c>
      <c r="R355" s="182">
        <v>0.03</v>
      </c>
      <c r="S355" s="182">
        <v>5.0000000000000001E-3</v>
      </c>
      <c r="T355" s="182">
        <v>7.4999999999999997E-3</v>
      </c>
      <c r="V355" s="194">
        <v>1.9E-2</v>
      </c>
      <c r="W355" s="194">
        <v>3.4000000000000002E-2</v>
      </c>
      <c r="X355" s="194">
        <v>0.01</v>
      </c>
      <c r="Y355" s="194">
        <v>1.0999999999999999E-2</v>
      </c>
      <c r="Z355" s="194"/>
      <c r="AA355" s="195">
        <v>1.8723522500000082E-2</v>
      </c>
      <c r="AB355" s="195">
        <v>3.3530832499999767E-2</v>
      </c>
      <c r="AC355" s="195">
        <v>9.6452996737447592E-3</v>
      </c>
      <c r="AD355" s="195">
        <v>1.0627983913127886E-2</v>
      </c>
      <c r="AE355" s="195"/>
      <c r="AF355" s="195">
        <v>4.4957485709034017E-3</v>
      </c>
      <c r="AG355" s="195">
        <v>1.1330998622357868E-2</v>
      </c>
      <c r="AI355" s="182">
        <v>9.9245025000000986E-3</v>
      </c>
      <c r="AJ355" s="182">
        <v>1.9797022499999928E-2</v>
      </c>
      <c r="AK355" s="182">
        <v>1.5005624999999689E-3</v>
      </c>
      <c r="AM355" s="27" t="s">
        <v>143</v>
      </c>
      <c r="AN355" s="7" t="b">
        <f t="shared" si="46"/>
        <v>1</v>
      </c>
      <c r="AO355" s="7" t="s">
        <v>144</v>
      </c>
      <c r="AP355" s="7">
        <v>1994</v>
      </c>
      <c r="AQ355" s="7">
        <f t="shared" si="47"/>
        <v>2015</v>
      </c>
      <c r="AS355" s="211">
        <v>-99</v>
      </c>
      <c r="AT355" s="211">
        <v>-99</v>
      </c>
      <c r="AU355" s="211">
        <v>-99</v>
      </c>
      <c r="AV355" s="211">
        <v>-99</v>
      </c>
      <c r="AW355" s="211">
        <v>-99</v>
      </c>
      <c r="AX355" s="211">
        <v>-99</v>
      </c>
      <c r="AZ355" s="211">
        <v>-99</v>
      </c>
      <c r="BA355" s="211">
        <v>-99</v>
      </c>
      <c r="BB355" s="211">
        <v>-99</v>
      </c>
      <c r="BC355" s="211">
        <v>-99</v>
      </c>
      <c r="BD355" s="211">
        <v>-99</v>
      </c>
      <c r="BE355" s="211">
        <v>-99</v>
      </c>
      <c r="BG355" s="211">
        <v>-99</v>
      </c>
      <c r="BH355" s="211">
        <v>-99</v>
      </c>
      <c r="BI355" s="211">
        <v>-99</v>
      </c>
      <c r="BJ355" s="211">
        <v>-99</v>
      </c>
      <c r="BK355" s="211">
        <v>-99</v>
      </c>
      <c r="BL355" s="211">
        <v>-99</v>
      </c>
      <c r="BM355" s="211">
        <v>-99</v>
      </c>
      <c r="BN355" s="191">
        <f t="shared" si="48"/>
        <v>9.9245025000000986E-3</v>
      </c>
      <c r="BO355" s="191">
        <f t="shared" si="49"/>
        <v>1.9797022499999928E-2</v>
      </c>
      <c r="BP355" s="191">
        <f t="shared" si="50"/>
        <v>1.5005624999999689E-3</v>
      </c>
      <c r="BQ355" s="171">
        <f t="shared" si="51"/>
        <v>1.7899999999999999E-2</v>
      </c>
      <c r="BR355" s="171">
        <f t="shared" si="52"/>
        <v>4.7400000000000005E-2</v>
      </c>
      <c r="BS355" s="171">
        <f t="shared" si="53"/>
        <v>9.8999999999999991E-3</v>
      </c>
      <c r="BT355" s="171">
        <f t="shared" si="54"/>
        <v>1.9699999999999999E-2</v>
      </c>
      <c r="BU355" s="171">
        <f t="shared" si="55"/>
        <v>1.5E-3</v>
      </c>
    </row>
    <row r="356" spans="1:73" x14ac:dyDescent="0.3">
      <c r="A356" s="209">
        <v>42095</v>
      </c>
      <c r="B356" s="187">
        <v>201504</v>
      </c>
      <c r="C356" s="176">
        <v>2.0099999999999998</v>
      </c>
      <c r="D356" s="176">
        <v>4.6399999999999997</v>
      </c>
      <c r="E356" s="176">
        <v>0.38</v>
      </c>
      <c r="F356" s="177">
        <v>126.2</v>
      </c>
      <c r="G356" s="210">
        <v>1.7004048582995868E-2</v>
      </c>
      <c r="H356" s="179">
        <v>1.27</v>
      </c>
      <c r="I356" s="179">
        <v>2.19</v>
      </c>
      <c r="K356" s="182">
        <v>0.02</v>
      </c>
      <c r="L356" s="182">
        <v>2.5000000000000001E-2</v>
      </c>
      <c r="N356" s="182">
        <v>2.2499999999999999E-2</v>
      </c>
      <c r="O356" s="182">
        <v>5.0000000000000001E-3</v>
      </c>
      <c r="Q356" s="182">
        <v>1.4999999999999999E-2</v>
      </c>
      <c r="R356" s="182">
        <v>0.03</v>
      </c>
      <c r="S356" s="182">
        <v>5.0000000000000001E-3</v>
      </c>
      <c r="T356" s="182">
        <v>7.4999999999999997E-3</v>
      </c>
      <c r="V356" s="194">
        <v>1.9E-2</v>
      </c>
      <c r="W356" s="194">
        <v>3.4000000000000002E-2</v>
      </c>
      <c r="X356" s="194">
        <v>0.01</v>
      </c>
      <c r="Y356" s="194">
        <v>1.0999999999999999E-2</v>
      </c>
      <c r="Z356" s="194"/>
      <c r="AA356" s="195">
        <v>1.89245025000001E-2</v>
      </c>
      <c r="AB356" s="195">
        <v>3.3733282499999843E-2</v>
      </c>
      <c r="AC356" s="195">
        <v>9.7522513187352378E-3</v>
      </c>
      <c r="AD356" s="195">
        <v>1.0874718090632337E-2</v>
      </c>
      <c r="AE356" s="195"/>
      <c r="AF356" s="195">
        <v>4.5418324986579162E-3</v>
      </c>
      <c r="AG356" s="195">
        <v>1.1306329063478504E-2</v>
      </c>
      <c r="AI356" s="182">
        <v>1.2740322500000234E-2</v>
      </c>
      <c r="AJ356" s="182">
        <v>2.2019902500000077E-2</v>
      </c>
      <c r="AK356" s="182">
        <v>3.8036100000000683E-3</v>
      </c>
      <c r="AM356" s="27" t="s">
        <v>143</v>
      </c>
      <c r="AN356" s="7" t="b">
        <f t="shared" si="46"/>
        <v>1</v>
      </c>
      <c r="AO356" s="7" t="s">
        <v>144</v>
      </c>
      <c r="AP356" s="7">
        <v>1994</v>
      </c>
      <c r="AQ356" s="7">
        <f t="shared" si="47"/>
        <v>2015</v>
      </c>
      <c r="AS356" s="211">
        <v>-99</v>
      </c>
      <c r="AT356" s="211">
        <v>-99</v>
      </c>
      <c r="AU356" s="211">
        <v>-99</v>
      </c>
      <c r="AV356" s="211">
        <v>-99</v>
      </c>
      <c r="AW356" s="211">
        <v>-99</v>
      </c>
      <c r="AX356" s="211">
        <v>-99</v>
      </c>
      <c r="AZ356" s="211">
        <v>-99</v>
      </c>
      <c r="BA356" s="211">
        <v>-99</v>
      </c>
      <c r="BB356" s="211">
        <v>-99</v>
      </c>
      <c r="BC356" s="211">
        <v>-99</v>
      </c>
      <c r="BD356" s="211">
        <v>-99</v>
      </c>
      <c r="BE356" s="211">
        <v>-99</v>
      </c>
      <c r="BG356" s="211">
        <v>-99</v>
      </c>
      <c r="BH356" s="211">
        <v>-99</v>
      </c>
      <c r="BI356" s="211">
        <v>-99</v>
      </c>
      <c r="BJ356" s="211">
        <v>-99</v>
      </c>
      <c r="BK356" s="211">
        <v>-99</v>
      </c>
      <c r="BL356" s="211">
        <v>-99</v>
      </c>
      <c r="BM356" s="211">
        <v>-99</v>
      </c>
      <c r="BN356" s="191">
        <f t="shared" si="48"/>
        <v>1.2740322500000234E-2</v>
      </c>
      <c r="BO356" s="191">
        <f t="shared" si="49"/>
        <v>2.2019902500000077E-2</v>
      </c>
      <c r="BP356" s="191">
        <f t="shared" si="50"/>
        <v>3.8036100000000683E-3</v>
      </c>
      <c r="BQ356" s="171">
        <f t="shared" si="51"/>
        <v>2.0099999999999996E-2</v>
      </c>
      <c r="BR356" s="171">
        <f t="shared" si="52"/>
        <v>4.6399999999999997E-2</v>
      </c>
      <c r="BS356" s="171">
        <f t="shared" si="53"/>
        <v>1.2699999999999999E-2</v>
      </c>
      <c r="BT356" s="171">
        <f t="shared" si="54"/>
        <v>2.1899999999999999E-2</v>
      </c>
      <c r="BU356" s="171">
        <f t="shared" si="55"/>
        <v>3.8E-3</v>
      </c>
    </row>
    <row r="357" spans="1:73" x14ac:dyDescent="0.3">
      <c r="A357" s="209">
        <v>42125</v>
      </c>
      <c r="B357" s="187">
        <v>201505</v>
      </c>
      <c r="C357" s="176">
        <v>2.08</v>
      </c>
      <c r="D357" s="176">
        <v>4.6399999999999997</v>
      </c>
      <c r="E357" s="176">
        <v>0.53</v>
      </c>
      <c r="F357" s="177">
        <v>126.9</v>
      </c>
      <c r="G357" s="210">
        <v>1.616814874696848E-2</v>
      </c>
      <c r="H357" s="179">
        <v>1.33</v>
      </c>
      <c r="I357" s="179">
        <v>2.25</v>
      </c>
      <c r="K357" s="182">
        <v>0.02</v>
      </c>
      <c r="L357" s="182">
        <v>2.5000000000000001E-2</v>
      </c>
      <c r="N357" s="182">
        <v>2.2499999999999999E-2</v>
      </c>
      <c r="O357" s="182">
        <v>5.0000000000000001E-3</v>
      </c>
      <c r="Q357" s="182">
        <v>1.4999999999999999E-2</v>
      </c>
      <c r="R357" s="182">
        <v>0.03</v>
      </c>
      <c r="S357" s="182">
        <v>5.0000000000000001E-3</v>
      </c>
      <c r="T357" s="182">
        <v>7.4999999999999997E-3</v>
      </c>
      <c r="V357" s="194">
        <v>2.1999999999999999E-2</v>
      </c>
      <c r="W357" s="194">
        <v>3.6000000000000004E-2</v>
      </c>
      <c r="X357" s="194">
        <v>1.0999999999999999E-2</v>
      </c>
      <c r="Y357" s="194">
        <v>1.4E-2</v>
      </c>
      <c r="Z357" s="194"/>
      <c r="AA357" s="195">
        <v>2.1740322500000235E-2</v>
      </c>
      <c r="AB357" s="195">
        <v>3.56596925E-2</v>
      </c>
      <c r="AC357" s="195">
        <v>1.1200700846165264E-2</v>
      </c>
      <c r="AD357" s="195">
        <v>1.3605064576917472E-2</v>
      </c>
      <c r="AE357" s="195"/>
      <c r="AF357" s="195">
        <v>5.21143905706134E-3</v>
      </c>
      <c r="AG357" s="195">
        <v>1.0879300377355627E-2</v>
      </c>
      <c r="AI357" s="182">
        <v>1.3344222500000003E-2</v>
      </c>
      <c r="AJ357" s="182">
        <v>2.2626562499999947E-2</v>
      </c>
      <c r="AK357" s="182">
        <v>5.3070225000000359E-3</v>
      </c>
      <c r="AM357" s="27" t="s">
        <v>143</v>
      </c>
      <c r="AN357" s="7" t="b">
        <f t="shared" si="46"/>
        <v>1</v>
      </c>
      <c r="AO357" s="7" t="s">
        <v>144</v>
      </c>
      <c r="AP357" s="7">
        <v>1994</v>
      </c>
      <c r="AQ357" s="7">
        <f t="shared" si="47"/>
        <v>2015</v>
      </c>
      <c r="AS357" s="211">
        <v>-99</v>
      </c>
      <c r="AT357" s="211">
        <v>-99</v>
      </c>
      <c r="AU357" s="211">
        <v>-99</v>
      </c>
      <c r="AV357" s="211">
        <v>-99</v>
      </c>
      <c r="AW357" s="211">
        <v>-99</v>
      </c>
      <c r="AX357" s="211">
        <v>-99</v>
      </c>
      <c r="AZ357" s="211">
        <v>-99</v>
      </c>
      <c r="BA357" s="211">
        <v>-99</v>
      </c>
      <c r="BB357" s="211">
        <v>-99</v>
      </c>
      <c r="BC357" s="211">
        <v>-99</v>
      </c>
      <c r="BD357" s="211">
        <v>-99</v>
      </c>
      <c r="BE357" s="211">
        <v>-99</v>
      </c>
      <c r="BG357" s="211">
        <v>-99</v>
      </c>
      <c r="BH357" s="211">
        <v>-99</v>
      </c>
      <c r="BI357" s="211">
        <v>-99</v>
      </c>
      <c r="BJ357" s="211">
        <v>-99</v>
      </c>
      <c r="BK357" s="211">
        <v>-99</v>
      </c>
      <c r="BL357" s="211">
        <v>-99</v>
      </c>
      <c r="BM357" s="211">
        <v>-99</v>
      </c>
      <c r="BN357" s="191">
        <f t="shared" si="48"/>
        <v>1.3344222500000003E-2</v>
      </c>
      <c r="BO357" s="191">
        <f t="shared" si="49"/>
        <v>2.2626562499999947E-2</v>
      </c>
      <c r="BP357" s="191">
        <f t="shared" si="50"/>
        <v>5.3070225000000359E-3</v>
      </c>
      <c r="BQ357" s="171">
        <f t="shared" si="51"/>
        <v>2.0799999999999999E-2</v>
      </c>
      <c r="BR357" s="171">
        <f t="shared" si="52"/>
        <v>4.6399999999999997E-2</v>
      </c>
      <c r="BS357" s="171">
        <f t="shared" si="53"/>
        <v>1.3300000000000001E-2</v>
      </c>
      <c r="BT357" s="171">
        <f t="shared" si="54"/>
        <v>2.2499999999999999E-2</v>
      </c>
      <c r="BU357" s="171">
        <f t="shared" si="55"/>
        <v>5.3E-3</v>
      </c>
    </row>
    <row r="358" spans="1:73" x14ac:dyDescent="0.3">
      <c r="A358" s="209">
        <v>42156</v>
      </c>
      <c r="B358" s="187">
        <v>201506</v>
      </c>
      <c r="C358" s="176">
        <v>2.29</v>
      </c>
      <c r="D358" s="176">
        <v>4.6399999999999997</v>
      </c>
      <c r="E358" s="176">
        <v>0.61</v>
      </c>
      <c r="F358" s="177">
        <v>127.2</v>
      </c>
      <c r="G358" s="210">
        <v>1.5334947538337307E-2</v>
      </c>
      <c r="H358" s="179">
        <v>1.4</v>
      </c>
      <c r="I358" s="179">
        <v>2.38</v>
      </c>
      <c r="K358" s="182">
        <v>2.5000000000000001E-2</v>
      </c>
      <c r="L358" s="182">
        <v>2.5000000000000001E-2</v>
      </c>
      <c r="N358" s="182">
        <v>2.5000000000000001E-2</v>
      </c>
      <c r="O358" s="182">
        <v>7.4999999999999997E-3</v>
      </c>
      <c r="Q358" s="182">
        <v>1.7500000000000002E-2</v>
      </c>
      <c r="R358" s="182">
        <v>3.2500000000000001E-2</v>
      </c>
      <c r="S358" s="182">
        <v>7.4999999999999997E-3</v>
      </c>
      <c r="T358" s="182">
        <v>0.01</v>
      </c>
      <c r="V358" s="194">
        <v>2.1999999999999999E-2</v>
      </c>
      <c r="W358" s="194">
        <v>3.6000000000000004E-2</v>
      </c>
      <c r="X358" s="194">
        <v>1.2E-2</v>
      </c>
      <c r="Y358" s="194">
        <v>1.4999999999999999E-2</v>
      </c>
      <c r="Z358" s="194"/>
      <c r="AA358" s="195">
        <v>2.2344222500000004E-2</v>
      </c>
      <c r="AB358" s="195">
        <v>3.626773249999992E-2</v>
      </c>
      <c r="AC358" s="195">
        <v>1.2129865133181716E-2</v>
      </c>
      <c r="AD358" s="195">
        <v>1.5395601183409198E-2</v>
      </c>
      <c r="AE358" s="195"/>
      <c r="AF358" s="195">
        <v>5.0459717268959148E-3</v>
      </c>
      <c r="AG358" s="195">
        <v>1.027783225191492E-2</v>
      </c>
      <c r="AI358" s="182">
        <v>1.4048999999999756E-2</v>
      </c>
      <c r="AJ358" s="182">
        <v>2.3941610000000058E-2</v>
      </c>
      <c r="AK358" s="182">
        <v>6.10930250000008E-3</v>
      </c>
      <c r="AM358" s="27" t="s">
        <v>143</v>
      </c>
      <c r="AN358" s="7" t="b">
        <f t="shared" si="46"/>
        <v>1</v>
      </c>
      <c r="AO358" s="7" t="s">
        <v>144</v>
      </c>
      <c r="AP358" s="7">
        <v>1994</v>
      </c>
      <c r="AQ358" s="7">
        <f t="shared" si="47"/>
        <v>2015</v>
      </c>
      <c r="AS358" s="211">
        <v>-99</v>
      </c>
      <c r="AT358" s="211">
        <v>-99</v>
      </c>
      <c r="AU358" s="211">
        <v>-99</v>
      </c>
      <c r="AV358" s="211">
        <v>-99</v>
      </c>
      <c r="AW358" s="211">
        <v>-99</v>
      </c>
      <c r="AX358" s="211">
        <v>-99</v>
      </c>
      <c r="AZ358" s="211">
        <v>-99</v>
      </c>
      <c r="BA358" s="211">
        <v>-99</v>
      </c>
      <c r="BB358" s="211">
        <v>-99</v>
      </c>
      <c r="BC358" s="211">
        <v>-99</v>
      </c>
      <c r="BD358" s="211">
        <v>-99</v>
      </c>
      <c r="BE358" s="211">
        <v>-99</v>
      </c>
      <c r="BG358" s="211">
        <v>-99</v>
      </c>
      <c r="BH358" s="211">
        <v>-99</v>
      </c>
      <c r="BI358" s="211">
        <v>-99</v>
      </c>
      <c r="BJ358" s="211">
        <v>-99</v>
      </c>
      <c r="BK358" s="211">
        <v>-99</v>
      </c>
      <c r="BL358" s="211">
        <v>-99</v>
      </c>
      <c r="BM358" s="211">
        <v>-99</v>
      </c>
      <c r="BN358" s="191">
        <f t="shared" si="48"/>
        <v>1.4048999999999756E-2</v>
      </c>
      <c r="BO358" s="191">
        <f t="shared" si="49"/>
        <v>2.3941610000000058E-2</v>
      </c>
      <c r="BP358" s="191">
        <f t="shared" si="50"/>
        <v>6.10930250000008E-3</v>
      </c>
      <c r="BQ358" s="171">
        <f t="shared" si="51"/>
        <v>2.29E-2</v>
      </c>
      <c r="BR358" s="171">
        <f t="shared" si="52"/>
        <v>4.6399999999999997E-2</v>
      </c>
      <c r="BS358" s="171">
        <f t="shared" si="53"/>
        <v>1.3999999999999999E-2</v>
      </c>
      <c r="BT358" s="171">
        <f t="shared" si="54"/>
        <v>2.3799999999999998E-2</v>
      </c>
      <c r="BU358" s="171">
        <f t="shared" si="55"/>
        <v>6.0999999999999995E-3</v>
      </c>
    </row>
    <row r="359" spans="1:73" x14ac:dyDescent="0.3">
      <c r="A359" s="209">
        <v>42186</v>
      </c>
      <c r="B359" s="187">
        <v>201507</v>
      </c>
      <c r="C359" s="176">
        <v>2.09</v>
      </c>
      <c r="D359" s="176">
        <v>4.6399999999999997</v>
      </c>
      <c r="E359" s="176">
        <v>0.48</v>
      </c>
      <c r="F359" s="177">
        <v>127.3</v>
      </c>
      <c r="G359" s="210">
        <v>1.4504431909750259E-2</v>
      </c>
      <c r="H359" s="179">
        <v>1.1200000000000001</v>
      </c>
      <c r="I359" s="179">
        <v>2.2000000000000002</v>
      </c>
      <c r="K359" s="182">
        <v>2.5000000000000001E-2</v>
      </c>
      <c r="L359" s="182">
        <v>0.03</v>
      </c>
      <c r="N359" s="182">
        <v>2.5000000000000001E-2</v>
      </c>
      <c r="O359" s="182">
        <v>7.4999999999999997E-3</v>
      </c>
      <c r="Q359" s="182">
        <v>1.7500000000000002E-2</v>
      </c>
      <c r="R359" s="182">
        <v>3.2500000000000001E-2</v>
      </c>
      <c r="S359" s="182">
        <v>7.4999999999999997E-3</v>
      </c>
      <c r="T359" s="182">
        <v>1.2500000000000001E-2</v>
      </c>
      <c r="V359" s="194">
        <v>2.3E-2</v>
      </c>
      <c r="W359" s="194">
        <v>3.7999999999999999E-2</v>
      </c>
      <c r="X359" s="194">
        <v>1.3000000000000001E-2</v>
      </c>
      <c r="Y359" s="194">
        <v>1.6E-2</v>
      </c>
      <c r="Z359" s="194"/>
      <c r="AA359" s="195">
        <v>2.3048999999999757E-2</v>
      </c>
      <c r="AB359" s="195">
        <v>3.7887915000000209E-2</v>
      </c>
      <c r="AC359" s="195">
        <v>1.2584954847334805E-2</v>
      </c>
      <c r="AD359" s="195">
        <v>1.6371476326332721E-2</v>
      </c>
      <c r="AE359" s="195"/>
      <c r="AF359" s="195">
        <v>5.1669961629255967E-3</v>
      </c>
      <c r="AG359" s="195">
        <v>1.058492843159986E-2</v>
      </c>
      <c r="AI359" s="182">
        <v>1.1231360000000024E-2</v>
      </c>
      <c r="AJ359" s="182">
        <v>2.2120999999999835E-2</v>
      </c>
      <c r="AK359" s="182">
        <v>4.8057599999999923E-3</v>
      </c>
      <c r="AM359" s="27" t="s">
        <v>143</v>
      </c>
      <c r="AN359" s="7" t="b">
        <f t="shared" si="46"/>
        <v>1</v>
      </c>
      <c r="AO359" s="7" t="s">
        <v>144</v>
      </c>
      <c r="AP359" s="7">
        <v>1994</v>
      </c>
      <c r="AQ359" s="7">
        <f t="shared" si="47"/>
        <v>2015</v>
      </c>
      <c r="AS359" s="211">
        <v>-99</v>
      </c>
      <c r="AT359" s="211">
        <v>-99</v>
      </c>
      <c r="AU359" s="211">
        <v>-99</v>
      </c>
      <c r="AV359" s="211">
        <v>-99</v>
      </c>
      <c r="AW359" s="211">
        <v>-99</v>
      </c>
      <c r="AX359" s="211">
        <v>-99</v>
      </c>
      <c r="AZ359" s="211">
        <v>-99</v>
      </c>
      <c r="BA359" s="211">
        <v>-99</v>
      </c>
      <c r="BB359" s="211">
        <v>-99</v>
      </c>
      <c r="BC359" s="211">
        <v>-99</v>
      </c>
      <c r="BD359" s="211">
        <v>-99</v>
      </c>
      <c r="BE359" s="211">
        <v>-99</v>
      </c>
      <c r="BG359" s="211">
        <v>-99</v>
      </c>
      <c r="BH359" s="211">
        <v>-99</v>
      </c>
      <c r="BI359" s="211">
        <v>-99</v>
      </c>
      <c r="BJ359" s="211">
        <v>-99</v>
      </c>
      <c r="BK359" s="211">
        <v>-99</v>
      </c>
      <c r="BL359" s="211">
        <v>-99</v>
      </c>
      <c r="BM359" s="211">
        <v>-99</v>
      </c>
      <c r="BN359" s="191">
        <f t="shared" si="48"/>
        <v>1.1231360000000024E-2</v>
      </c>
      <c r="BO359" s="191">
        <f t="shared" si="49"/>
        <v>2.2120999999999835E-2</v>
      </c>
      <c r="BP359" s="191">
        <f t="shared" si="50"/>
        <v>4.8057599999999923E-3</v>
      </c>
      <c r="BQ359" s="171">
        <f t="shared" si="51"/>
        <v>2.0899999999999998E-2</v>
      </c>
      <c r="BR359" s="171">
        <f t="shared" si="52"/>
        <v>4.6399999999999997E-2</v>
      </c>
      <c r="BS359" s="171">
        <f t="shared" si="53"/>
        <v>1.1200000000000002E-2</v>
      </c>
      <c r="BT359" s="171">
        <f t="shared" si="54"/>
        <v>2.2000000000000002E-2</v>
      </c>
      <c r="BU359" s="171">
        <f t="shared" si="55"/>
        <v>4.7999999999999996E-3</v>
      </c>
    </row>
    <row r="360" spans="1:73" x14ac:dyDescent="0.3">
      <c r="A360" s="209">
        <v>42217</v>
      </c>
      <c r="B360" s="187">
        <v>201508</v>
      </c>
      <c r="C360" s="176">
        <v>2.08</v>
      </c>
      <c r="D360" s="176">
        <v>4.6399999999999997</v>
      </c>
      <c r="E360" s="176">
        <v>0.78</v>
      </c>
      <c r="F360" s="177">
        <v>127.3</v>
      </c>
      <c r="G360" s="210">
        <v>1.2861736334405016E-2</v>
      </c>
      <c r="H360" s="179">
        <v>1.05</v>
      </c>
      <c r="I360" s="179">
        <v>2.2000000000000002</v>
      </c>
      <c r="K360" s="182">
        <v>2.5000000000000001E-2</v>
      </c>
      <c r="L360" s="182">
        <v>0.03</v>
      </c>
      <c r="N360" s="182">
        <v>2.75E-2</v>
      </c>
      <c r="O360" s="182">
        <v>7.4999999999999997E-3</v>
      </c>
      <c r="Q360" s="182">
        <v>0.02</v>
      </c>
      <c r="R360" s="182">
        <v>3.5000000000000003E-2</v>
      </c>
      <c r="S360" s="182">
        <v>7.4999999999999997E-3</v>
      </c>
      <c r="T360" s="182">
        <v>1.2500000000000001E-2</v>
      </c>
      <c r="V360" s="194">
        <v>0.02</v>
      </c>
      <c r="W360" s="194">
        <v>3.6999999999999998E-2</v>
      </c>
      <c r="X360" s="194">
        <v>1.0999999999999999E-2</v>
      </c>
      <c r="Y360" s="194">
        <v>1.4999999999999999E-2</v>
      </c>
      <c r="Z360" s="194"/>
      <c r="AA360" s="195">
        <v>2.0231360000000025E-2</v>
      </c>
      <c r="AB360" s="195">
        <v>3.6565819999999742E-2</v>
      </c>
      <c r="AC360" s="195">
        <v>1.1439999124524229E-2</v>
      </c>
      <c r="AD360" s="195">
        <v>1.4988640437737875E-2</v>
      </c>
      <c r="AE360" s="195"/>
      <c r="AF360" s="195">
        <v>4.345962629066169E-3</v>
      </c>
      <c r="AG360" s="195">
        <v>1.0629271453203692E-2</v>
      </c>
      <c r="AI360" s="182">
        <v>1.0527562499999865E-2</v>
      </c>
      <c r="AJ360" s="182">
        <v>2.2120999999999835E-2</v>
      </c>
      <c r="AK360" s="182">
        <v>7.8152099999999614E-3</v>
      </c>
      <c r="AM360" s="27" t="s">
        <v>143</v>
      </c>
      <c r="AN360" s="7" t="b">
        <f t="shared" si="46"/>
        <v>1</v>
      </c>
      <c r="AO360" s="7" t="s">
        <v>144</v>
      </c>
      <c r="AP360" s="7">
        <v>1994</v>
      </c>
      <c r="AQ360" s="7">
        <f t="shared" si="47"/>
        <v>2015</v>
      </c>
      <c r="AS360" s="211">
        <v>-99</v>
      </c>
      <c r="AT360" s="211">
        <v>-99</v>
      </c>
      <c r="AU360" s="211">
        <v>-99</v>
      </c>
      <c r="AV360" s="211">
        <v>-99</v>
      </c>
      <c r="AW360" s="211">
        <v>-99</v>
      </c>
      <c r="AX360" s="211">
        <v>-99</v>
      </c>
      <c r="AZ360" s="211">
        <v>-99</v>
      </c>
      <c r="BA360" s="211">
        <v>-99</v>
      </c>
      <c r="BB360" s="211">
        <v>-99</v>
      </c>
      <c r="BC360" s="211">
        <v>-99</v>
      </c>
      <c r="BD360" s="211">
        <v>-99</v>
      </c>
      <c r="BE360" s="211">
        <v>-99</v>
      </c>
      <c r="BG360" s="211">
        <v>-99</v>
      </c>
      <c r="BH360" s="211">
        <v>-99</v>
      </c>
      <c r="BI360" s="211">
        <v>-99</v>
      </c>
      <c r="BJ360" s="211">
        <v>-99</v>
      </c>
      <c r="BK360" s="211">
        <v>-99</v>
      </c>
      <c r="BL360" s="211">
        <v>-99</v>
      </c>
      <c r="BM360" s="211">
        <v>-99</v>
      </c>
      <c r="BN360" s="191">
        <f t="shared" si="48"/>
        <v>1.0527562499999865E-2</v>
      </c>
      <c r="BO360" s="191">
        <f t="shared" si="49"/>
        <v>2.2120999999999835E-2</v>
      </c>
      <c r="BP360" s="191">
        <f t="shared" si="50"/>
        <v>7.8152099999999614E-3</v>
      </c>
      <c r="BQ360" s="171">
        <f t="shared" si="51"/>
        <v>2.0799999999999999E-2</v>
      </c>
      <c r="BR360" s="171">
        <f t="shared" si="52"/>
        <v>4.6399999999999997E-2</v>
      </c>
      <c r="BS360" s="171">
        <f t="shared" si="53"/>
        <v>1.0500000000000001E-2</v>
      </c>
      <c r="BT360" s="171">
        <f t="shared" si="54"/>
        <v>2.2000000000000002E-2</v>
      </c>
      <c r="BU360" s="171">
        <f t="shared" si="55"/>
        <v>7.8000000000000005E-3</v>
      </c>
    </row>
    <row r="361" spans="1:73" x14ac:dyDescent="0.3">
      <c r="A361" s="209">
        <v>42248</v>
      </c>
      <c r="B361" s="187">
        <v>201509</v>
      </c>
      <c r="C361" s="176">
        <v>2.09</v>
      </c>
      <c r="D361" s="176">
        <v>4.6399999999999997</v>
      </c>
      <c r="E361" s="176">
        <v>0.69</v>
      </c>
      <c r="F361" s="177">
        <v>127.1</v>
      </c>
      <c r="G361" s="210">
        <v>1.2841091492777013E-2</v>
      </c>
      <c r="H361" s="179">
        <v>1.1100000000000001</v>
      </c>
      <c r="I361" s="179">
        <v>2.21</v>
      </c>
      <c r="K361" s="182">
        <v>2.5000000000000001E-2</v>
      </c>
      <c r="L361" s="182">
        <v>0.03</v>
      </c>
      <c r="N361" s="182">
        <v>2.5000000000000001E-2</v>
      </c>
      <c r="O361" s="182">
        <v>7.4999999999999997E-3</v>
      </c>
      <c r="Q361" s="182">
        <v>1.4999999999999999E-2</v>
      </c>
      <c r="R361" s="182">
        <v>3.2500000000000001E-2</v>
      </c>
      <c r="S361" s="182">
        <v>7.4999999999999997E-3</v>
      </c>
      <c r="T361" s="182">
        <v>0.01</v>
      </c>
      <c r="V361" s="194">
        <v>0.02</v>
      </c>
      <c r="W361" s="194">
        <v>3.6999999999999998E-2</v>
      </c>
      <c r="X361" s="194">
        <v>1.3000000000000001E-2</v>
      </c>
      <c r="Y361" s="194">
        <v>1.9E-2</v>
      </c>
      <c r="Z361" s="194"/>
      <c r="AA361" s="195">
        <v>1.9527562499999866E-2</v>
      </c>
      <c r="AB361" s="195">
        <v>3.6917718749999821E-2</v>
      </c>
      <c r="AC361" s="195">
        <v>1.2719321537255286E-2</v>
      </c>
      <c r="AD361" s="195">
        <v>1.88631542313723E-2</v>
      </c>
      <c r="AE361" s="195"/>
      <c r="AF361" s="195">
        <v>3.3613661840725673E-3</v>
      </c>
      <c r="AG361" s="195">
        <v>8.8601518484825448E-3</v>
      </c>
      <c r="AI361" s="182">
        <v>1.113080249999987E-2</v>
      </c>
      <c r="AJ361" s="182">
        <v>2.2222102500000007E-2</v>
      </c>
      <c r="AK361" s="182">
        <v>6.9119024999999557E-3</v>
      </c>
      <c r="AM361" s="27" t="s">
        <v>143</v>
      </c>
      <c r="AN361" s="7" t="b">
        <f t="shared" si="46"/>
        <v>1</v>
      </c>
      <c r="AO361" s="7" t="s">
        <v>144</v>
      </c>
      <c r="AP361" s="7">
        <v>1994</v>
      </c>
      <c r="AQ361" s="7">
        <f t="shared" si="47"/>
        <v>2015</v>
      </c>
      <c r="AS361" s="211">
        <v>-99</v>
      </c>
      <c r="AT361" s="211">
        <v>-99</v>
      </c>
      <c r="AU361" s="211">
        <v>-99</v>
      </c>
      <c r="AV361" s="211">
        <v>-99</v>
      </c>
      <c r="AW361" s="211">
        <v>-99</v>
      </c>
      <c r="AX361" s="211">
        <v>-99</v>
      </c>
      <c r="AZ361" s="211">
        <v>-99</v>
      </c>
      <c r="BA361" s="211">
        <v>-99</v>
      </c>
      <c r="BB361" s="211">
        <v>-99</v>
      </c>
      <c r="BC361" s="211">
        <v>-99</v>
      </c>
      <c r="BD361" s="211">
        <v>-99</v>
      </c>
      <c r="BE361" s="211">
        <v>-99</v>
      </c>
      <c r="BG361" s="211">
        <v>-99</v>
      </c>
      <c r="BH361" s="211">
        <v>-99</v>
      </c>
      <c r="BI361" s="211">
        <v>-99</v>
      </c>
      <c r="BJ361" s="211">
        <v>-99</v>
      </c>
      <c r="BK361" s="211">
        <v>-99</v>
      </c>
      <c r="BL361" s="211">
        <v>-99</v>
      </c>
      <c r="BM361" s="211">
        <v>-99</v>
      </c>
      <c r="BN361" s="191">
        <f t="shared" si="48"/>
        <v>1.113080249999987E-2</v>
      </c>
      <c r="BO361" s="191">
        <f t="shared" si="49"/>
        <v>2.2222102500000007E-2</v>
      </c>
      <c r="BP361" s="191">
        <f t="shared" si="50"/>
        <v>6.9119024999999557E-3</v>
      </c>
      <c r="BQ361" s="171">
        <f t="shared" si="51"/>
        <v>2.0899999999999998E-2</v>
      </c>
      <c r="BR361" s="171">
        <f t="shared" si="52"/>
        <v>4.6399999999999997E-2</v>
      </c>
      <c r="BS361" s="171">
        <f t="shared" si="53"/>
        <v>1.11E-2</v>
      </c>
      <c r="BT361" s="171">
        <f t="shared" si="54"/>
        <v>2.2099999999999998E-2</v>
      </c>
      <c r="BU361" s="171">
        <f t="shared" si="55"/>
        <v>6.8999999999999999E-3</v>
      </c>
    </row>
    <row r="362" spans="1:73" x14ac:dyDescent="0.3">
      <c r="A362" s="209">
        <v>42278</v>
      </c>
      <c r="B362" s="187">
        <v>201510</v>
      </c>
      <c r="C362" s="176">
        <v>2.13</v>
      </c>
      <c r="D362" s="176">
        <v>4.6399999999999997</v>
      </c>
      <c r="E362" s="176">
        <v>0.8</v>
      </c>
      <c r="F362" s="177">
        <v>127.2</v>
      </c>
      <c r="G362" s="210">
        <v>1.2019230769230838E-2</v>
      </c>
      <c r="H362" s="179">
        <v>1.1100000000000001</v>
      </c>
      <c r="I362" s="179">
        <v>2.2599999999999998</v>
      </c>
      <c r="K362" s="182">
        <v>2.5000000000000001E-2</v>
      </c>
      <c r="L362" s="182">
        <v>0.03</v>
      </c>
      <c r="N362" s="182">
        <v>2.5000000000000001E-2</v>
      </c>
      <c r="O362" s="182">
        <v>0.01</v>
      </c>
      <c r="Q362" s="182">
        <v>1.4999999999999999E-2</v>
      </c>
      <c r="R362" s="182">
        <v>3.2500000000000001E-2</v>
      </c>
      <c r="S362" s="182">
        <v>7.4999999999999997E-3</v>
      </c>
      <c r="T362" s="182">
        <v>1.4999999999999999E-2</v>
      </c>
      <c r="V362" s="194">
        <v>0.02</v>
      </c>
      <c r="W362" s="194">
        <v>3.6999999999999998E-2</v>
      </c>
      <c r="X362" s="194">
        <v>1.2E-2</v>
      </c>
      <c r="Y362" s="194">
        <v>1.8000000000000002E-2</v>
      </c>
      <c r="Z362" s="194"/>
      <c r="AA362" s="195">
        <v>2.0130802499999871E-2</v>
      </c>
      <c r="AB362" s="195">
        <v>3.6767752500000077E-2</v>
      </c>
      <c r="AC362" s="195">
        <v>1.2462094625238762E-2</v>
      </c>
      <c r="AD362" s="195">
        <v>1.7636806437380553E-2</v>
      </c>
      <c r="AE362" s="195"/>
      <c r="AF362" s="195">
        <v>3.7871580158265195E-3</v>
      </c>
      <c r="AG362" s="195">
        <v>9.3996924745649579E-3</v>
      </c>
      <c r="AI362" s="182">
        <v>1.113080249999987E-2</v>
      </c>
      <c r="AJ362" s="182">
        <v>2.2727690000000189E-2</v>
      </c>
      <c r="AK362" s="182">
        <v>8.0160000000000231E-3</v>
      </c>
      <c r="AM362" s="27" t="s">
        <v>146</v>
      </c>
      <c r="AN362" s="7" t="b">
        <f t="shared" si="46"/>
        <v>1</v>
      </c>
      <c r="AO362" s="7" t="s">
        <v>145</v>
      </c>
      <c r="AP362" s="7">
        <v>2014</v>
      </c>
      <c r="AQ362" s="7">
        <f t="shared" si="47"/>
        <v>2015</v>
      </c>
      <c r="AS362" s="211">
        <v>-99</v>
      </c>
      <c r="AT362" s="211">
        <v>-99</v>
      </c>
      <c r="AU362" s="211">
        <v>-99</v>
      </c>
      <c r="AV362" s="211">
        <v>-99</v>
      </c>
      <c r="AW362" s="211">
        <v>-99</v>
      </c>
      <c r="AX362" s="211">
        <v>-99</v>
      </c>
      <c r="AZ362" s="211">
        <v>-99</v>
      </c>
      <c r="BA362" s="211">
        <v>-99</v>
      </c>
      <c r="BB362" s="211">
        <v>-99</v>
      </c>
      <c r="BC362" s="211">
        <v>-99</v>
      </c>
      <c r="BD362" s="211">
        <v>-99</v>
      </c>
      <c r="BE362" s="211">
        <v>-99</v>
      </c>
      <c r="BG362" s="211">
        <v>-99</v>
      </c>
      <c r="BH362" s="211">
        <v>-99</v>
      </c>
      <c r="BI362" s="211">
        <v>-99</v>
      </c>
      <c r="BJ362" s="211">
        <v>-99</v>
      </c>
      <c r="BK362" s="211">
        <v>-99</v>
      </c>
      <c r="BL362" s="211">
        <v>-99</v>
      </c>
      <c r="BM362" s="211">
        <v>-99</v>
      </c>
      <c r="BN362" s="191">
        <f t="shared" si="48"/>
        <v>1.113080249999987E-2</v>
      </c>
      <c r="BO362" s="191">
        <f t="shared" si="49"/>
        <v>2.2727690000000189E-2</v>
      </c>
      <c r="BP362" s="191">
        <f t="shared" si="50"/>
        <v>8.0160000000000231E-3</v>
      </c>
      <c r="BQ362" s="171">
        <f t="shared" si="51"/>
        <v>2.1299999999999999E-2</v>
      </c>
      <c r="BR362" s="171">
        <f t="shared" si="52"/>
        <v>4.6399999999999997E-2</v>
      </c>
      <c r="BS362" s="171">
        <f t="shared" si="53"/>
        <v>1.11E-2</v>
      </c>
      <c r="BT362" s="171">
        <f t="shared" si="54"/>
        <v>2.2599999999999999E-2</v>
      </c>
      <c r="BU362" s="171">
        <f t="shared" si="55"/>
        <v>8.0000000000000002E-3</v>
      </c>
    </row>
    <row r="363" spans="1:73" x14ac:dyDescent="0.3">
      <c r="A363" s="209">
        <v>42309</v>
      </c>
      <c r="B363" s="187">
        <v>201511</v>
      </c>
      <c r="C363" s="176">
        <v>2.17</v>
      </c>
      <c r="D363" s="176">
        <v>4.6399999999999997</v>
      </c>
      <c r="E363" s="176">
        <v>0.75</v>
      </c>
      <c r="F363" s="177">
        <v>127.1</v>
      </c>
      <c r="G363" s="210">
        <v>1.1200000000000099E-2</v>
      </c>
      <c r="H363" s="179">
        <v>1.23</v>
      </c>
      <c r="I363" s="179">
        <v>2.29</v>
      </c>
      <c r="K363" s="182">
        <v>2.5000000000000001E-2</v>
      </c>
      <c r="L363" s="182">
        <v>0.03</v>
      </c>
      <c r="N363" s="182">
        <v>2.5000000000000001E-2</v>
      </c>
      <c r="O363" s="182">
        <v>0.01</v>
      </c>
      <c r="Q363" s="182">
        <v>1.4999999999999999E-2</v>
      </c>
      <c r="R363" s="182">
        <v>3.2500000000000001E-2</v>
      </c>
      <c r="S363" s="182">
        <v>7.4999999999999997E-3</v>
      </c>
      <c r="T363" s="182">
        <v>1.2500000000000001E-2</v>
      </c>
      <c r="V363" s="194">
        <v>0.02</v>
      </c>
      <c r="W363" s="194">
        <v>3.7999999999999999E-2</v>
      </c>
      <c r="X363" s="194">
        <v>1.3000000000000001E-2</v>
      </c>
      <c r="Y363" s="194">
        <v>1.9E-2</v>
      </c>
      <c r="Z363" s="194"/>
      <c r="AA363" s="195">
        <v>2.0130802499999871E-2</v>
      </c>
      <c r="AB363" s="195">
        <v>3.752613375000035E-2</v>
      </c>
      <c r="AC363" s="195">
        <v>1.292580648715283E-2</v>
      </c>
      <c r="AD363" s="195">
        <v>1.9061096756423621E-2</v>
      </c>
      <c r="AE363" s="195"/>
      <c r="AF363" s="195">
        <v>3.5565270263149262E-3</v>
      </c>
      <c r="AG363" s="195">
        <v>9.0598282342193581E-3</v>
      </c>
      <c r="AI363" s="182">
        <v>1.2337822500000151E-2</v>
      </c>
      <c r="AJ363" s="182">
        <v>2.3031102499999845E-2</v>
      </c>
      <c r="AK363" s="182">
        <v>7.5140624999998629E-3</v>
      </c>
      <c r="AM363" s="27" t="s">
        <v>146</v>
      </c>
      <c r="AN363" s="7" t="b">
        <f t="shared" si="46"/>
        <v>1</v>
      </c>
      <c r="AO363" s="7" t="s">
        <v>145</v>
      </c>
      <c r="AP363" s="7">
        <v>2014</v>
      </c>
      <c r="AQ363" s="7">
        <f t="shared" si="47"/>
        <v>2015</v>
      </c>
      <c r="AS363" s="211">
        <v>-99</v>
      </c>
      <c r="AT363" s="211">
        <v>-99</v>
      </c>
      <c r="AU363" s="211">
        <v>-99</v>
      </c>
      <c r="AV363" s="211">
        <v>-99</v>
      </c>
      <c r="AW363" s="211">
        <v>-99</v>
      </c>
      <c r="AX363" s="211">
        <v>-99</v>
      </c>
      <c r="AZ363" s="211">
        <v>-99</v>
      </c>
      <c r="BA363" s="211">
        <v>-99</v>
      </c>
      <c r="BB363" s="211">
        <v>-99</v>
      </c>
      <c r="BC363" s="211">
        <v>-99</v>
      </c>
      <c r="BD363" s="211">
        <v>-99</v>
      </c>
      <c r="BE363" s="211">
        <v>-99</v>
      </c>
      <c r="BG363" s="211">
        <v>-99</v>
      </c>
      <c r="BH363" s="211">
        <v>-99</v>
      </c>
      <c r="BI363" s="211">
        <v>-99</v>
      </c>
      <c r="BJ363" s="211">
        <v>-99</v>
      </c>
      <c r="BK363" s="211">
        <v>-99</v>
      </c>
      <c r="BL363" s="211">
        <v>-99</v>
      </c>
      <c r="BM363" s="211">
        <v>-99</v>
      </c>
      <c r="BN363" s="191">
        <f t="shared" si="48"/>
        <v>1.2337822500000151E-2</v>
      </c>
      <c r="BO363" s="191">
        <f t="shared" si="49"/>
        <v>2.3031102499999845E-2</v>
      </c>
      <c r="BP363" s="191">
        <f t="shared" si="50"/>
        <v>7.5140624999998629E-3</v>
      </c>
      <c r="BQ363" s="171">
        <f t="shared" si="51"/>
        <v>2.1700000000000001E-2</v>
      </c>
      <c r="BR363" s="171">
        <f t="shared" si="52"/>
        <v>4.6399999999999997E-2</v>
      </c>
      <c r="BS363" s="171">
        <f t="shared" si="53"/>
        <v>1.23E-2</v>
      </c>
      <c r="BT363" s="171">
        <f t="shared" si="54"/>
        <v>2.29E-2</v>
      </c>
      <c r="BU363" s="171">
        <f t="shared" si="55"/>
        <v>7.4999999999999997E-3</v>
      </c>
    </row>
    <row r="364" spans="1:73" x14ac:dyDescent="0.3">
      <c r="A364" s="209">
        <v>42339</v>
      </c>
      <c r="B364" s="187">
        <v>201512</v>
      </c>
      <c r="C364" s="176">
        <v>2.04</v>
      </c>
      <c r="D364" s="176">
        <v>4.6399999999999997</v>
      </c>
      <c r="E364" s="176">
        <v>0.67</v>
      </c>
      <c r="F364" s="177">
        <v>126.5</v>
      </c>
      <c r="G364" s="210">
        <v>1.1182108626198062E-2</v>
      </c>
      <c r="H364" s="179">
        <v>1.04</v>
      </c>
      <c r="I364" s="179">
        <v>2.16</v>
      </c>
      <c r="K364" s="182">
        <v>2.5000000000000001E-2</v>
      </c>
      <c r="L364" s="182">
        <v>0.03</v>
      </c>
      <c r="N364" s="182">
        <v>2.75E-2</v>
      </c>
      <c r="O364" s="182">
        <v>0.01</v>
      </c>
      <c r="Q364" s="182">
        <v>1.4999999999999999E-2</v>
      </c>
      <c r="R364" s="182">
        <v>3.2500000000000001E-2</v>
      </c>
      <c r="S364" s="182">
        <v>0.01</v>
      </c>
      <c r="T364" s="182">
        <v>1.4999999999999999E-2</v>
      </c>
      <c r="V364" s="194">
        <v>2.1000000000000001E-2</v>
      </c>
      <c r="W364" s="194">
        <v>3.6999999999999998E-2</v>
      </c>
      <c r="X364" s="194">
        <v>1.3000000000000001E-2</v>
      </c>
      <c r="Y364" s="194">
        <v>1.8000000000000002E-2</v>
      </c>
      <c r="Z364" s="194"/>
      <c r="AA364" s="195">
        <v>2.1337822500000152E-2</v>
      </c>
      <c r="AB364" s="195">
        <v>3.7377742499999693E-2</v>
      </c>
      <c r="AC364" s="195">
        <v>1.3025303147294245E-2</v>
      </c>
      <c r="AD364" s="195">
        <v>1.8258442176352675E-2</v>
      </c>
      <c r="AE364" s="195"/>
      <c r="AF364" s="195">
        <v>4.1028192123534479E-3</v>
      </c>
      <c r="AG364" s="195">
        <v>9.3882356048935467E-3</v>
      </c>
      <c r="AI364" s="182">
        <v>1.0427040000000165E-2</v>
      </c>
      <c r="AJ364" s="182">
        <v>2.1716639999999732E-2</v>
      </c>
      <c r="AK364" s="182">
        <v>6.7112224999998915E-3</v>
      </c>
      <c r="AM364" s="27" t="s">
        <v>146</v>
      </c>
      <c r="AN364" s="7" t="b">
        <f t="shared" si="46"/>
        <v>1</v>
      </c>
      <c r="AO364" s="7" t="s">
        <v>145</v>
      </c>
      <c r="AP364" s="7">
        <v>2014</v>
      </c>
      <c r="AQ364" s="7">
        <f t="shared" si="47"/>
        <v>2015</v>
      </c>
      <c r="AS364" s="211">
        <v>-99</v>
      </c>
      <c r="AT364" s="211">
        <v>-99</v>
      </c>
      <c r="AU364" s="211">
        <v>-99</v>
      </c>
      <c r="AV364" s="211">
        <v>-99</v>
      </c>
      <c r="AW364" s="211">
        <v>-99</v>
      </c>
      <c r="AX364" s="211">
        <v>-99</v>
      </c>
      <c r="AZ364" s="211">
        <v>-99</v>
      </c>
      <c r="BA364" s="211">
        <v>-99</v>
      </c>
      <c r="BB364" s="211">
        <v>-99</v>
      </c>
      <c r="BC364" s="211">
        <v>-99</v>
      </c>
      <c r="BD364" s="211">
        <v>-99</v>
      </c>
      <c r="BE364" s="211">
        <v>-99</v>
      </c>
      <c r="BG364" s="211">
        <v>-99</v>
      </c>
      <c r="BH364" s="211">
        <v>-99</v>
      </c>
      <c r="BI364" s="211">
        <v>-99</v>
      </c>
      <c r="BJ364" s="211">
        <v>-99</v>
      </c>
      <c r="BK364" s="211">
        <v>-99</v>
      </c>
      <c r="BL364" s="211">
        <v>-99</v>
      </c>
      <c r="BM364" s="211">
        <v>-99</v>
      </c>
      <c r="BN364" s="191">
        <f t="shared" si="48"/>
        <v>1.0427040000000165E-2</v>
      </c>
      <c r="BO364" s="191">
        <f t="shared" si="49"/>
        <v>2.1716639999999732E-2</v>
      </c>
      <c r="BP364" s="191">
        <f t="shared" si="50"/>
        <v>6.7112224999998915E-3</v>
      </c>
      <c r="BQ364" s="171">
        <f t="shared" si="51"/>
        <v>2.0400000000000001E-2</v>
      </c>
      <c r="BR364" s="171">
        <f t="shared" si="52"/>
        <v>4.6399999999999997E-2</v>
      </c>
      <c r="BS364" s="171">
        <f t="shared" si="53"/>
        <v>1.04E-2</v>
      </c>
      <c r="BT364" s="171">
        <f t="shared" si="54"/>
        <v>2.1600000000000001E-2</v>
      </c>
      <c r="BU364" s="171">
        <f t="shared" si="55"/>
        <v>6.7000000000000002E-3</v>
      </c>
    </row>
    <row r="365" spans="1:73" x14ac:dyDescent="0.3">
      <c r="A365" s="209">
        <v>42370</v>
      </c>
      <c r="B365" s="187">
        <v>201601</v>
      </c>
      <c r="C365" s="176">
        <v>1.9</v>
      </c>
      <c r="D365" s="176">
        <v>4.6399999999999997</v>
      </c>
      <c r="E365" s="176">
        <v>0.68</v>
      </c>
      <c r="F365" s="177">
        <v>126.8</v>
      </c>
      <c r="G365" s="210">
        <v>1.1971268954509284E-2</v>
      </c>
      <c r="H365" s="179">
        <v>1.02</v>
      </c>
      <c r="I365" s="179">
        <v>2.0499999999999998</v>
      </c>
      <c r="K365" s="182">
        <v>2.5000000000000001E-2</v>
      </c>
      <c r="L365" s="182">
        <v>3.5000000000000003E-2</v>
      </c>
      <c r="N365" s="182">
        <v>2.75E-2</v>
      </c>
      <c r="O365" s="182">
        <v>0.01</v>
      </c>
      <c r="Q365" s="182">
        <v>1.7500000000000002E-2</v>
      </c>
      <c r="R365" s="182">
        <v>3.2500000000000001E-2</v>
      </c>
      <c r="S365" s="182">
        <v>0.01</v>
      </c>
      <c r="T365" s="182">
        <v>1.4999999999999999E-2</v>
      </c>
      <c r="V365" s="194">
        <v>1.9E-2</v>
      </c>
      <c r="W365" s="194">
        <v>3.6000000000000004E-2</v>
      </c>
      <c r="X365" s="194">
        <v>1.2E-2</v>
      </c>
      <c r="Y365" s="194">
        <v>1.7000000000000001E-2</v>
      </c>
      <c r="Z365" s="194"/>
      <c r="AA365" s="195">
        <v>1.9427040000000166E-2</v>
      </c>
      <c r="AB365" s="195">
        <v>3.6361439999999516E-2</v>
      </c>
      <c r="AC365" s="195">
        <v>1.2222330224951967E-2</v>
      </c>
      <c r="AD365" s="195">
        <v>1.7455668637523854E-2</v>
      </c>
      <c r="AE365" s="195"/>
      <c r="AF365" s="195">
        <v>3.5588573576750271E-3</v>
      </c>
      <c r="AG365" s="195">
        <v>9.2907101239075862E-3</v>
      </c>
      <c r="AI365" s="182">
        <v>1.022601000000023E-2</v>
      </c>
      <c r="AJ365" s="182">
        <v>2.0605062500000271E-2</v>
      </c>
      <c r="AK365" s="182">
        <v>6.8115600000000498E-3</v>
      </c>
      <c r="AM365" s="27" t="s">
        <v>146</v>
      </c>
      <c r="AN365" s="7" t="b">
        <f t="shared" si="46"/>
        <v>1</v>
      </c>
      <c r="AO365" s="7" t="s">
        <v>145</v>
      </c>
      <c r="AP365" s="7">
        <v>2014</v>
      </c>
      <c r="AQ365" s="7">
        <f t="shared" si="47"/>
        <v>2016</v>
      </c>
      <c r="AS365" s="211">
        <v>-99</v>
      </c>
      <c r="AT365" s="211">
        <v>-99</v>
      </c>
      <c r="AU365" s="211">
        <v>-99</v>
      </c>
      <c r="AV365" s="211">
        <v>-99</v>
      </c>
      <c r="AW365" s="211">
        <v>-99</v>
      </c>
      <c r="AX365" s="211">
        <v>-99</v>
      </c>
      <c r="AZ365" s="211">
        <v>-99</v>
      </c>
      <c r="BA365" s="211">
        <v>-99</v>
      </c>
      <c r="BB365" s="211">
        <v>-99</v>
      </c>
      <c r="BC365" s="211">
        <v>-99</v>
      </c>
      <c r="BD365" s="211">
        <v>-99</v>
      </c>
      <c r="BE365" s="211">
        <v>-99</v>
      </c>
      <c r="BG365" s="211">
        <v>-99</v>
      </c>
      <c r="BH365" s="211">
        <v>-99</v>
      </c>
      <c r="BI365" s="211">
        <v>-99</v>
      </c>
      <c r="BJ365" s="211">
        <v>-99</v>
      </c>
      <c r="BK365" s="211">
        <v>-99</v>
      </c>
      <c r="BL365" s="211">
        <v>-99</v>
      </c>
      <c r="BM365" s="211">
        <v>-99</v>
      </c>
      <c r="BN365" s="191">
        <f t="shared" si="48"/>
        <v>1.022601000000023E-2</v>
      </c>
      <c r="BO365" s="191">
        <f t="shared" si="49"/>
        <v>2.0605062500000271E-2</v>
      </c>
      <c r="BP365" s="191">
        <f t="shared" si="50"/>
        <v>6.8115600000000498E-3</v>
      </c>
      <c r="BQ365" s="171">
        <f t="shared" si="51"/>
        <v>1.9E-2</v>
      </c>
      <c r="BR365" s="171">
        <f t="shared" si="52"/>
        <v>4.6399999999999997E-2</v>
      </c>
      <c r="BS365" s="171">
        <f t="shared" si="53"/>
        <v>1.0200000000000001E-2</v>
      </c>
      <c r="BT365" s="171">
        <f t="shared" si="54"/>
        <v>2.0499999999999997E-2</v>
      </c>
      <c r="BU365" s="171">
        <f t="shared" si="55"/>
        <v>6.8000000000000005E-3</v>
      </c>
    </row>
    <row r="366" spans="1:73" x14ac:dyDescent="0.3">
      <c r="A366" s="209">
        <v>42401</v>
      </c>
      <c r="B366" s="187">
        <v>201602</v>
      </c>
      <c r="C366" s="176">
        <v>1.78</v>
      </c>
      <c r="D366" s="176">
        <v>4.6399999999999997</v>
      </c>
      <c r="E366" s="176">
        <v>0.6</v>
      </c>
      <c r="F366" s="177">
        <v>127.1</v>
      </c>
      <c r="G366" s="210">
        <v>1.1961722488038173E-2</v>
      </c>
      <c r="H366" s="179">
        <v>0.95</v>
      </c>
      <c r="I366" s="179">
        <v>1.93</v>
      </c>
      <c r="K366" s="182">
        <v>2.5000000000000001E-2</v>
      </c>
      <c r="L366" s="182">
        <v>3.5000000000000003E-2</v>
      </c>
      <c r="N366" s="182">
        <v>2.5000000000000001E-2</v>
      </c>
      <c r="O366" s="182">
        <v>0.01</v>
      </c>
      <c r="Q366" s="182">
        <v>1.4999999999999999E-2</v>
      </c>
      <c r="R366" s="182">
        <v>3.2500000000000001E-2</v>
      </c>
      <c r="S366" s="182">
        <v>7.4999999999999997E-3</v>
      </c>
      <c r="T366" s="182">
        <v>1.2500000000000001E-2</v>
      </c>
      <c r="V366" s="194">
        <v>1.9E-2</v>
      </c>
      <c r="W366" s="194">
        <v>3.5000000000000003E-2</v>
      </c>
      <c r="X366" s="194">
        <v>1.2E-2</v>
      </c>
      <c r="Y366" s="194">
        <v>1.8000000000000002E-2</v>
      </c>
      <c r="Z366" s="194"/>
      <c r="AA366" s="195">
        <v>1.9226010000000231E-2</v>
      </c>
      <c r="AB366" s="195">
        <v>3.4794588750000292E-2</v>
      </c>
      <c r="AC366" s="195">
        <v>1.2380483833795756E-2</v>
      </c>
      <c r="AD366" s="195">
        <v>1.7527098083102197E-2</v>
      </c>
      <c r="AE366" s="195"/>
      <c r="AF366" s="195">
        <v>3.3809058330920294E-3</v>
      </c>
      <c r="AG366" s="195">
        <v>8.4850274255241498E-3</v>
      </c>
      <c r="AI366" s="182">
        <v>9.5225625000001646E-3</v>
      </c>
      <c r="AJ366" s="182">
        <v>1.9393122499999915E-2</v>
      </c>
      <c r="AK366" s="182">
        <v>6.008999999999709E-3</v>
      </c>
      <c r="AM366" s="27" t="s">
        <v>146</v>
      </c>
      <c r="AN366" s="7" t="b">
        <f t="shared" si="46"/>
        <v>1</v>
      </c>
      <c r="AO366" s="7" t="s">
        <v>145</v>
      </c>
      <c r="AP366" s="7">
        <v>2014</v>
      </c>
      <c r="AQ366" s="7">
        <f t="shared" ref="AQ366:AQ371" si="56">YEAR(A366)</f>
        <v>2016</v>
      </c>
      <c r="AS366" s="211">
        <v>-99</v>
      </c>
      <c r="AT366" s="211">
        <v>-99</v>
      </c>
      <c r="AU366" s="211">
        <v>-99</v>
      </c>
      <c r="AV366" s="211">
        <v>-99</v>
      </c>
      <c r="AW366" s="211">
        <v>-99</v>
      </c>
      <c r="AX366" s="211">
        <v>-99</v>
      </c>
      <c r="AZ366" s="211">
        <v>-99</v>
      </c>
      <c r="BA366" s="211">
        <v>-99</v>
      </c>
      <c r="BB366" s="211">
        <v>-99</v>
      </c>
      <c r="BC366" s="211">
        <v>-99</v>
      </c>
      <c r="BD366" s="211">
        <v>-99</v>
      </c>
      <c r="BE366" s="211">
        <v>-99</v>
      </c>
      <c r="BG366" s="211">
        <v>-99</v>
      </c>
      <c r="BH366" s="211">
        <v>-99</v>
      </c>
      <c r="BI366" s="211">
        <v>-99</v>
      </c>
      <c r="BJ366" s="211">
        <v>-99</v>
      </c>
      <c r="BK366" s="211">
        <v>-99</v>
      </c>
      <c r="BL366" s="211">
        <v>-99</v>
      </c>
      <c r="BM366" s="211">
        <v>-99</v>
      </c>
      <c r="BN366" s="191">
        <f t="shared" si="48"/>
        <v>9.5225625000001646E-3</v>
      </c>
      <c r="BO366" s="191">
        <f t="shared" si="49"/>
        <v>1.9393122499999915E-2</v>
      </c>
      <c r="BP366" s="191">
        <f t="shared" si="50"/>
        <v>6.008999999999709E-3</v>
      </c>
      <c r="BQ366" s="171">
        <f t="shared" si="51"/>
        <v>1.78E-2</v>
      </c>
      <c r="BR366" s="171">
        <f t="shared" si="52"/>
        <v>4.6399999999999997E-2</v>
      </c>
      <c r="BS366" s="171">
        <f t="shared" si="53"/>
        <v>9.4999999999999998E-3</v>
      </c>
      <c r="BT366" s="171">
        <f t="shared" si="54"/>
        <v>1.9299999999999998E-2</v>
      </c>
      <c r="BU366" s="171">
        <f t="shared" si="55"/>
        <v>6.0000000000000001E-3</v>
      </c>
    </row>
    <row r="367" spans="1:73" x14ac:dyDescent="0.3">
      <c r="A367" s="209">
        <v>42430</v>
      </c>
      <c r="B367" s="187">
        <v>201603</v>
      </c>
      <c r="C367" s="176">
        <v>1.86</v>
      </c>
      <c r="D367" s="176">
        <v>4.6399999999999997</v>
      </c>
      <c r="E367" s="176">
        <v>0.49</v>
      </c>
      <c r="F367" s="177">
        <v>127.9</v>
      </c>
      <c r="G367" s="210">
        <v>1.2749003984063645E-2</v>
      </c>
      <c r="H367" s="179">
        <v>1</v>
      </c>
      <c r="I367" s="179">
        <v>2</v>
      </c>
      <c r="K367" s="182">
        <v>0.02</v>
      </c>
      <c r="L367" s="182">
        <v>0.03</v>
      </c>
      <c r="N367" s="182">
        <v>2.5000000000000001E-2</v>
      </c>
      <c r="O367" s="182">
        <v>0.01</v>
      </c>
      <c r="Q367" s="182">
        <v>1.4999999999999999E-2</v>
      </c>
      <c r="R367" s="182">
        <v>0.03</v>
      </c>
      <c r="S367" s="182">
        <v>7.4999999999999997E-3</v>
      </c>
      <c r="T367" s="182">
        <v>1.2500000000000001E-2</v>
      </c>
      <c r="V367" s="194">
        <v>1.9E-2</v>
      </c>
      <c r="W367" s="194">
        <v>3.3000000000000002E-2</v>
      </c>
      <c r="X367" s="194">
        <v>1.2E-2</v>
      </c>
      <c r="Y367" s="194">
        <v>1.7000000000000001E-2</v>
      </c>
      <c r="Z367" s="194"/>
      <c r="AA367" s="195">
        <v>1.8522562500000166E-2</v>
      </c>
      <c r="AB367" s="195">
        <v>3.3328402499999792E-2</v>
      </c>
      <c r="AC367" s="195">
        <v>1.1950586119512135E-2</v>
      </c>
      <c r="AD367" s="195">
        <v>1.6538206940243497E-2</v>
      </c>
      <c r="AE367" s="195"/>
      <c r="AF367" s="195">
        <v>3.2471824566500107E-3</v>
      </c>
      <c r="AG367" s="195">
        <v>8.2585167213214961E-3</v>
      </c>
      <c r="AI367" s="182">
        <v>1.0024999999999729E-2</v>
      </c>
      <c r="AJ367" s="182">
        <v>2.0100000000000007E-2</v>
      </c>
      <c r="AK367" s="182">
        <v>4.9060025000000618E-3</v>
      </c>
      <c r="AM367" s="27" t="s">
        <v>146</v>
      </c>
      <c r="AN367" s="7" t="b">
        <f t="shared" si="46"/>
        <v>1</v>
      </c>
      <c r="AO367" s="7" t="s">
        <v>145</v>
      </c>
      <c r="AP367" s="7">
        <v>2014</v>
      </c>
      <c r="AQ367" s="7">
        <f t="shared" si="56"/>
        <v>2016</v>
      </c>
      <c r="AS367" s="211">
        <v>-99</v>
      </c>
      <c r="AT367" s="211">
        <v>-99</v>
      </c>
      <c r="AU367" s="211">
        <v>-99</v>
      </c>
      <c r="AV367" s="211">
        <v>-99</v>
      </c>
      <c r="AW367" s="211">
        <v>-99</v>
      </c>
      <c r="AX367" s="211">
        <v>-99</v>
      </c>
      <c r="AZ367" s="211">
        <v>-99</v>
      </c>
      <c r="BA367" s="211">
        <v>-99</v>
      </c>
      <c r="BB367" s="211">
        <v>-99</v>
      </c>
      <c r="BC367" s="211">
        <v>-99</v>
      </c>
      <c r="BD367" s="211">
        <v>-99</v>
      </c>
      <c r="BE367" s="211">
        <v>-99</v>
      </c>
      <c r="BG367" s="211">
        <v>-99</v>
      </c>
      <c r="BH367" s="211">
        <v>-99</v>
      </c>
      <c r="BI367" s="211">
        <v>-99</v>
      </c>
      <c r="BJ367" s="211">
        <v>-99</v>
      </c>
      <c r="BK367" s="211">
        <v>-99</v>
      </c>
      <c r="BL367" s="211">
        <v>-99</v>
      </c>
      <c r="BM367" s="211">
        <v>-99</v>
      </c>
      <c r="BN367" s="191">
        <f t="shared" si="48"/>
        <v>1.0024999999999729E-2</v>
      </c>
      <c r="BO367" s="191">
        <f t="shared" si="49"/>
        <v>2.0100000000000007E-2</v>
      </c>
      <c r="BP367" s="191">
        <f t="shared" si="50"/>
        <v>4.9060025000000618E-3</v>
      </c>
      <c r="BQ367" s="171">
        <f t="shared" si="51"/>
        <v>1.8600000000000002E-2</v>
      </c>
      <c r="BR367" s="171">
        <f t="shared" si="52"/>
        <v>4.6399999999999997E-2</v>
      </c>
      <c r="BS367" s="171">
        <f t="shared" si="53"/>
        <v>0.01</v>
      </c>
      <c r="BT367" s="171">
        <f t="shared" si="54"/>
        <v>0.02</v>
      </c>
      <c r="BU367" s="171">
        <f t="shared" si="55"/>
        <v>4.8999999999999998E-3</v>
      </c>
    </row>
    <row r="368" spans="1:73" x14ac:dyDescent="0.3">
      <c r="A368" s="209">
        <v>42461</v>
      </c>
      <c r="B368" s="187">
        <v>201604</v>
      </c>
      <c r="C368" s="176">
        <v>1.94</v>
      </c>
      <c r="D368" s="176">
        <v>4.6399999999999997</v>
      </c>
      <c r="E368" s="176">
        <v>0.46</v>
      </c>
      <c r="F368" s="177">
        <v>128.30000000000001</v>
      </c>
      <c r="G368" s="210">
        <v>1.2738853503184711E-2</v>
      </c>
      <c r="H368" s="179">
        <v>1.2</v>
      </c>
      <c r="I368" s="179">
        <v>2.06</v>
      </c>
      <c r="K368" s="182">
        <v>0.02</v>
      </c>
      <c r="L368" s="182">
        <v>0.03</v>
      </c>
      <c r="N368" s="182">
        <v>2.2499999999999999E-2</v>
      </c>
      <c r="O368" s="182">
        <v>7.4999999999999997E-3</v>
      </c>
      <c r="Q368" s="182">
        <v>1.4999999999999999E-2</v>
      </c>
      <c r="R368" s="182">
        <v>0.03</v>
      </c>
      <c r="S368" s="182">
        <v>7.4999999999999997E-3</v>
      </c>
      <c r="T368" s="182">
        <v>1.2500000000000001E-2</v>
      </c>
      <c r="V368" s="194">
        <v>1.9E-2</v>
      </c>
      <c r="W368" s="194">
        <v>3.4000000000000002E-2</v>
      </c>
      <c r="X368" s="194">
        <v>1.0999999999999999E-2</v>
      </c>
      <c r="Y368" s="194">
        <v>1.4999999999999999E-2</v>
      </c>
      <c r="Z368" s="194"/>
      <c r="AA368" s="195">
        <v>1.902499999999973E-2</v>
      </c>
      <c r="AB368" s="195">
        <v>3.4137500000000147E-2</v>
      </c>
      <c r="AC368" s="195">
        <v>1.144689925684076E-2</v>
      </c>
      <c r="AD368" s="195">
        <v>1.5135554121579714E-2</v>
      </c>
      <c r="AE368" s="195"/>
      <c r="AF368" s="195">
        <v>3.7461683597659334E-3</v>
      </c>
      <c r="AG368" s="195">
        <v>9.3593145276363865E-3</v>
      </c>
      <c r="AI368" s="182">
        <v>1.2035999999999936E-2</v>
      </c>
      <c r="AJ368" s="182">
        <v>2.070609000000001E-2</v>
      </c>
      <c r="AK368" s="182">
        <v>4.6052899999999841E-3</v>
      </c>
      <c r="AM368" s="27" t="s">
        <v>146</v>
      </c>
      <c r="AN368" s="7" t="b">
        <f t="shared" si="46"/>
        <v>1</v>
      </c>
      <c r="AO368" s="7" t="s">
        <v>145</v>
      </c>
      <c r="AP368" s="7">
        <v>2014</v>
      </c>
      <c r="AQ368" s="7">
        <f t="shared" si="56"/>
        <v>2016</v>
      </c>
      <c r="AS368" s="211">
        <v>-99</v>
      </c>
      <c r="AT368" s="211">
        <v>-99</v>
      </c>
      <c r="AU368" s="211">
        <v>-99</v>
      </c>
      <c r="AV368" s="211">
        <v>-99</v>
      </c>
      <c r="AW368" s="211">
        <v>-99</v>
      </c>
      <c r="AX368" s="211">
        <v>-99</v>
      </c>
      <c r="AZ368" s="211">
        <v>-99</v>
      </c>
      <c r="BA368" s="211">
        <v>-99</v>
      </c>
      <c r="BB368" s="211">
        <v>-99</v>
      </c>
      <c r="BC368" s="211">
        <v>-99</v>
      </c>
      <c r="BD368" s="211">
        <v>-99</v>
      </c>
      <c r="BE368" s="211">
        <v>-99</v>
      </c>
      <c r="BG368" s="211">
        <v>-99</v>
      </c>
      <c r="BH368" s="211">
        <v>-99</v>
      </c>
      <c r="BI368" s="211">
        <v>-99</v>
      </c>
      <c r="BJ368" s="211">
        <v>-99</v>
      </c>
      <c r="BK368" s="211">
        <v>-99</v>
      </c>
      <c r="BL368" s="211">
        <v>-99</v>
      </c>
      <c r="BM368" s="211">
        <v>-99</v>
      </c>
      <c r="BN368" s="191">
        <f t="shared" si="48"/>
        <v>1.2035999999999936E-2</v>
      </c>
      <c r="BO368" s="191">
        <f t="shared" si="49"/>
        <v>2.070609000000001E-2</v>
      </c>
      <c r="BP368" s="191">
        <f t="shared" si="50"/>
        <v>4.6052899999999841E-3</v>
      </c>
      <c r="BQ368" s="171">
        <f t="shared" si="51"/>
        <v>1.9400000000000001E-2</v>
      </c>
      <c r="BR368" s="171">
        <f t="shared" si="52"/>
        <v>4.6399999999999997E-2</v>
      </c>
      <c r="BS368" s="171">
        <f t="shared" si="53"/>
        <v>1.2E-2</v>
      </c>
      <c r="BT368" s="171">
        <f t="shared" si="54"/>
        <v>2.06E-2</v>
      </c>
      <c r="BU368" s="171">
        <f t="shared" si="55"/>
        <v>4.5999999999999999E-3</v>
      </c>
    </row>
    <row r="369" spans="1:73" x14ac:dyDescent="0.3">
      <c r="A369" s="209">
        <v>42491</v>
      </c>
      <c r="B369" s="187">
        <v>201605</v>
      </c>
      <c r="C369" s="176">
        <v>1.87</v>
      </c>
      <c r="D369" s="176">
        <v>4.6399999999999997</v>
      </c>
      <c r="E369" s="176">
        <v>0.47</v>
      </c>
      <c r="F369" s="177">
        <v>128.80000000000001</v>
      </c>
      <c r="G369" s="210">
        <v>1.352426412092278E-2</v>
      </c>
      <c r="H369" s="179">
        <v>1.06</v>
      </c>
      <c r="I369" s="179">
        <v>2.0099999999999998</v>
      </c>
      <c r="K369" s="182">
        <v>0.02</v>
      </c>
      <c r="L369" s="182">
        <v>0.03</v>
      </c>
      <c r="N369" s="182">
        <v>2.2499999999999999E-2</v>
      </c>
      <c r="O369" s="182">
        <v>7.4999999999999997E-3</v>
      </c>
      <c r="Q369" s="182">
        <v>1.4999999999999999E-2</v>
      </c>
      <c r="R369" s="182">
        <v>0.03</v>
      </c>
      <c r="S369" s="182">
        <v>7.4999999999999997E-3</v>
      </c>
      <c r="T369" s="182">
        <v>0.01</v>
      </c>
      <c r="V369" s="194">
        <v>2.1000000000000001E-2</v>
      </c>
      <c r="W369" s="194">
        <v>3.4000000000000002E-2</v>
      </c>
      <c r="X369" s="194">
        <v>1.2E-2</v>
      </c>
      <c r="Y369" s="194">
        <v>1.4999999999999999E-2</v>
      </c>
      <c r="Z369" s="194"/>
      <c r="AA369" s="195">
        <v>2.1035999999999937E-2</v>
      </c>
      <c r="AB369" s="195">
        <v>3.4041135000000049E-2</v>
      </c>
      <c r="AC369" s="195">
        <v>1.1676954965423193E-2</v>
      </c>
      <c r="AD369" s="195">
        <v>1.4569457517288381E-2</v>
      </c>
      <c r="AE369" s="195"/>
      <c r="AF369" s="195">
        <v>4.62551063787775E-3</v>
      </c>
      <c r="AG369" s="195">
        <v>9.5960297929528204E-3</v>
      </c>
      <c r="AI369" s="182">
        <v>1.0628090000000201E-2</v>
      </c>
      <c r="AJ369" s="182">
        <v>2.0201002499999676E-2</v>
      </c>
      <c r="AK369" s="182">
        <v>4.7055225000001144E-3</v>
      </c>
      <c r="AM369" s="27" t="s">
        <v>146</v>
      </c>
      <c r="AN369" s="7" t="b">
        <f t="shared" si="46"/>
        <v>1</v>
      </c>
      <c r="AO369" s="7" t="s">
        <v>145</v>
      </c>
      <c r="AP369" s="7">
        <v>2014</v>
      </c>
      <c r="AQ369" s="7">
        <f t="shared" si="56"/>
        <v>2016</v>
      </c>
      <c r="AS369" s="211">
        <v>-99</v>
      </c>
      <c r="AT369" s="211">
        <v>-99</v>
      </c>
      <c r="AU369" s="211">
        <v>-99</v>
      </c>
      <c r="AV369" s="211">
        <v>-99</v>
      </c>
      <c r="AW369" s="211">
        <v>-99</v>
      </c>
      <c r="AX369" s="211">
        <v>-99</v>
      </c>
      <c r="AZ369" s="211">
        <v>-99</v>
      </c>
      <c r="BA369" s="211">
        <v>-99</v>
      </c>
      <c r="BB369" s="211">
        <v>-99</v>
      </c>
      <c r="BC369" s="211">
        <v>-99</v>
      </c>
      <c r="BD369" s="211">
        <v>-99</v>
      </c>
      <c r="BE369" s="211">
        <v>-99</v>
      </c>
      <c r="BG369" s="211">
        <v>-99</v>
      </c>
      <c r="BH369" s="211">
        <v>-99</v>
      </c>
      <c r="BI369" s="211">
        <v>-99</v>
      </c>
      <c r="BJ369" s="211">
        <v>-99</v>
      </c>
      <c r="BK369" s="211">
        <v>-99</v>
      </c>
      <c r="BL369" s="211">
        <v>-99</v>
      </c>
      <c r="BM369" s="211">
        <v>-99</v>
      </c>
      <c r="BN369" s="191">
        <f t="shared" si="48"/>
        <v>1.0628090000000201E-2</v>
      </c>
      <c r="BO369" s="191">
        <f t="shared" si="49"/>
        <v>2.0201002499999676E-2</v>
      </c>
      <c r="BP369" s="191">
        <f t="shared" si="50"/>
        <v>4.7055225000001144E-3</v>
      </c>
      <c r="BQ369" s="171">
        <f t="shared" si="51"/>
        <v>1.8700000000000001E-2</v>
      </c>
      <c r="BR369" s="171">
        <f t="shared" si="52"/>
        <v>4.6399999999999997E-2</v>
      </c>
      <c r="BS369" s="171">
        <f t="shared" si="53"/>
        <v>1.06E-2</v>
      </c>
      <c r="BT369" s="171">
        <f t="shared" si="54"/>
        <v>2.0099999999999996E-2</v>
      </c>
      <c r="BU369" s="171">
        <f t="shared" si="55"/>
        <v>4.6999999999999993E-3</v>
      </c>
    </row>
    <row r="370" spans="1:73" x14ac:dyDescent="0.3">
      <c r="A370" s="209">
        <v>42522</v>
      </c>
      <c r="B370" s="187">
        <v>201606</v>
      </c>
      <c r="C370" s="176">
        <v>1.67</v>
      </c>
      <c r="D370" s="176">
        <v>4.6399999999999997</v>
      </c>
      <c r="E370" s="176">
        <v>0.36</v>
      </c>
      <c r="F370" s="177">
        <v>129.1</v>
      </c>
      <c r="G370" s="210">
        <v>1.3513513513513598E-2</v>
      </c>
      <c r="H370" s="179">
        <v>0.82</v>
      </c>
      <c r="I370" s="179">
        <v>1.76</v>
      </c>
      <c r="K370" s="182">
        <v>0.02</v>
      </c>
      <c r="L370" s="182">
        <v>0.03</v>
      </c>
      <c r="N370" s="182">
        <v>2.5000000000000001E-2</v>
      </c>
      <c r="O370" s="182">
        <v>7.4999999999999997E-3</v>
      </c>
      <c r="Q370" s="182">
        <v>1.7500000000000002E-2</v>
      </c>
      <c r="R370" s="182">
        <v>0.03</v>
      </c>
      <c r="S370" s="182">
        <v>7.4999999999999997E-3</v>
      </c>
      <c r="T370" s="182">
        <v>0.01</v>
      </c>
      <c r="V370" s="194">
        <v>0.02</v>
      </c>
      <c r="W370" s="194">
        <v>3.4000000000000002E-2</v>
      </c>
      <c r="X370" s="194">
        <v>1.0999999999999999E-2</v>
      </c>
      <c r="Y370" s="194">
        <v>1.4999999999999999E-2</v>
      </c>
      <c r="Z370" s="194"/>
      <c r="AA370" s="195">
        <v>1.9628090000000202E-2</v>
      </c>
      <c r="AB370" s="195">
        <v>3.3987458749999415E-2</v>
      </c>
      <c r="AC370" s="195">
        <v>1.1475655187262512E-2</v>
      </c>
      <c r="AD370" s="195">
        <v>1.4820456156368917E-2</v>
      </c>
      <c r="AE370" s="195"/>
      <c r="AF370" s="195">
        <v>4.0299708504739629E-3</v>
      </c>
      <c r="AG370" s="195">
        <v>9.4435436718655064E-3</v>
      </c>
      <c r="AI370" s="182">
        <v>8.2168099999999633E-3</v>
      </c>
      <c r="AJ370" s="182">
        <v>1.7677439999999933E-2</v>
      </c>
      <c r="AK370" s="182">
        <v>3.6032400000001186E-3</v>
      </c>
      <c r="AM370" s="27" t="s">
        <v>146</v>
      </c>
      <c r="AN370" s="7" t="b">
        <f t="shared" si="46"/>
        <v>1</v>
      </c>
      <c r="AO370" s="7" t="s">
        <v>145</v>
      </c>
      <c r="AP370" s="7">
        <v>2014</v>
      </c>
      <c r="AQ370" s="7">
        <f t="shared" si="56"/>
        <v>2016</v>
      </c>
      <c r="AS370" s="211">
        <v>-99</v>
      </c>
      <c r="AT370" s="211">
        <v>-99</v>
      </c>
      <c r="AU370" s="211">
        <v>-99</v>
      </c>
      <c r="AV370" s="211">
        <v>-99</v>
      </c>
      <c r="AW370" s="211">
        <v>-99</v>
      </c>
      <c r="AX370" s="211">
        <v>-99</v>
      </c>
      <c r="AZ370" s="211">
        <v>-99</v>
      </c>
      <c r="BA370" s="211">
        <v>-99</v>
      </c>
      <c r="BB370" s="211">
        <v>-99</v>
      </c>
      <c r="BC370" s="211">
        <v>-99</v>
      </c>
      <c r="BD370" s="211">
        <v>-99</v>
      </c>
      <c r="BE370" s="211">
        <v>-99</v>
      </c>
      <c r="BG370" s="211">
        <v>-99</v>
      </c>
      <c r="BH370" s="211">
        <v>-99</v>
      </c>
      <c r="BI370" s="211">
        <v>-99</v>
      </c>
      <c r="BJ370" s="211">
        <v>-99</v>
      </c>
      <c r="BK370" s="211">
        <v>-99</v>
      </c>
      <c r="BL370" s="211">
        <v>-99</v>
      </c>
      <c r="BM370" s="211">
        <v>-99</v>
      </c>
      <c r="BN370" s="191">
        <f t="shared" si="48"/>
        <v>8.2168099999999633E-3</v>
      </c>
      <c r="BO370" s="191">
        <f t="shared" si="49"/>
        <v>1.7677439999999933E-2</v>
      </c>
      <c r="BP370" s="191">
        <f t="shared" si="50"/>
        <v>3.6032400000001186E-3</v>
      </c>
      <c r="BQ370" s="171">
        <f t="shared" si="51"/>
        <v>1.67E-2</v>
      </c>
      <c r="BR370" s="171">
        <f t="shared" si="52"/>
        <v>4.6399999999999997E-2</v>
      </c>
      <c r="BS370" s="171">
        <f t="shared" si="53"/>
        <v>8.199999999999999E-3</v>
      </c>
      <c r="BT370" s="171">
        <f t="shared" si="54"/>
        <v>1.7600000000000001E-2</v>
      </c>
      <c r="BU370" s="171">
        <f t="shared" si="55"/>
        <v>3.5999999999999999E-3</v>
      </c>
    </row>
    <row r="371" spans="1:73" x14ac:dyDescent="0.3">
      <c r="A371" s="209">
        <v>42552</v>
      </c>
      <c r="B371" s="187">
        <v>201607</v>
      </c>
      <c r="C371" s="176">
        <v>1.6</v>
      </c>
      <c r="D371" s="176">
        <v>4.74</v>
      </c>
      <c r="E371" s="176">
        <v>0.33</v>
      </c>
      <c r="F371" s="177">
        <v>128.9</v>
      </c>
      <c r="G371" s="210">
        <v>1.4297061159650459E-2</v>
      </c>
      <c r="H371" s="179">
        <v>0.81</v>
      </c>
      <c r="I371" s="179">
        <v>1.69</v>
      </c>
      <c r="K371" s="182">
        <v>0.02</v>
      </c>
      <c r="L371" s="182">
        <v>0.03</v>
      </c>
      <c r="N371" s="182">
        <v>2.5000000000000001E-2</v>
      </c>
      <c r="O371" s="182">
        <v>7.4999999999999997E-3</v>
      </c>
      <c r="Q371" s="182">
        <v>1.4999999999999999E-2</v>
      </c>
      <c r="R371" s="182">
        <v>0.03</v>
      </c>
      <c r="S371" s="182">
        <v>7.4999999999999997E-3</v>
      </c>
      <c r="T371" s="182">
        <v>0.01</v>
      </c>
      <c r="V371" s="194">
        <v>1.7000000000000001E-2</v>
      </c>
      <c r="W371" s="194">
        <v>3.1E-2</v>
      </c>
      <c r="X371" s="194">
        <v>1.0999999999999999E-2</v>
      </c>
      <c r="Y371" s="194">
        <v>1.4E-2</v>
      </c>
      <c r="Z371" s="194"/>
      <c r="AA371" s="195">
        <v>1.7216809999999964E-2</v>
      </c>
      <c r="AB371" s="195">
        <v>3.1407754999999919E-2</v>
      </c>
      <c r="AC371" s="195">
        <v>1.0674854416951832E-2</v>
      </c>
      <c r="AD371" s="195">
        <v>1.3567432791524264E-2</v>
      </c>
      <c r="AE371" s="195"/>
      <c r="AF371" s="195">
        <v>3.2364293790716481E-3</v>
      </c>
      <c r="AG371" s="195">
        <v>8.8007574194350902E-3</v>
      </c>
      <c r="AI371" s="182">
        <v>8.1164025000002304E-3</v>
      </c>
      <c r="AJ371" s="182">
        <v>1.6971402500000066E-2</v>
      </c>
      <c r="AK371" s="182">
        <v>3.302722499999966E-3</v>
      </c>
      <c r="AM371" s="27" t="s">
        <v>146</v>
      </c>
      <c r="AN371" s="7" t="b">
        <f t="shared" ref="AN371:AN432" si="57">1=1</f>
        <v>1</v>
      </c>
      <c r="AO371" s="7" t="s">
        <v>145</v>
      </c>
      <c r="AP371" s="7">
        <v>2014</v>
      </c>
      <c r="AQ371" s="7">
        <f t="shared" si="56"/>
        <v>2016</v>
      </c>
      <c r="AS371" s="211">
        <v>-99</v>
      </c>
      <c r="AT371" s="211">
        <v>-99</v>
      </c>
      <c r="AU371" s="211">
        <v>-99</v>
      </c>
      <c r="AV371" s="211">
        <v>-99</v>
      </c>
      <c r="AW371" s="211">
        <v>-99</v>
      </c>
      <c r="AX371" s="211">
        <v>-99</v>
      </c>
      <c r="AZ371" s="211">
        <v>-99</v>
      </c>
      <c r="BA371" s="211">
        <v>-99</v>
      </c>
      <c r="BB371" s="211">
        <v>-99</v>
      </c>
      <c r="BC371" s="211">
        <v>-99</v>
      </c>
      <c r="BD371" s="211">
        <v>-99</v>
      </c>
      <c r="BE371" s="211">
        <v>-99</v>
      </c>
      <c r="BG371" s="211">
        <v>-99</v>
      </c>
      <c r="BH371" s="211">
        <v>-99</v>
      </c>
      <c r="BI371" s="211">
        <v>-99</v>
      </c>
      <c r="BJ371" s="211">
        <v>-99</v>
      </c>
      <c r="BK371" s="211">
        <v>-99</v>
      </c>
      <c r="BL371" s="211">
        <v>-99</v>
      </c>
      <c r="BM371" s="211">
        <v>-99</v>
      </c>
      <c r="BN371" s="191">
        <f t="shared" si="48"/>
        <v>8.1164025000002304E-3</v>
      </c>
      <c r="BO371" s="191">
        <f t="shared" si="49"/>
        <v>1.6971402500000066E-2</v>
      </c>
      <c r="BP371" s="191">
        <f t="shared" si="50"/>
        <v>3.302722499999966E-3</v>
      </c>
      <c r="BQ371" s="171">
        <f t="shared" si="51"/>
        <v>1.6E-2</v>
      </c>
      <c r="BR371" s="171">
        <f t="shared" si="52"/>
        <v>4.7400000000000005E-2</v>
      </c>
      <c r="BS371" s="171">
        <f t="shared" si="53"/>
        <v>8.1000000000000013E-3</v>
      </c>
      <c r="BT371" s="171">
        <f t="shared" si="54"/>
        <v>1.6899999999999998E-2</v>
      </c>
      <c r="BU371" s="171">
        <f t="shared" si="55"/>
        <v>3.3E-3</v>
      </c>
    </row>
    <row r="372" spans="1:73" x14ac:dyDescent="0.3">
      <c r="A372" s="209">
        <v>42583</v>
      </c>
      <c r="B372" s="187">
        <v>201608</v>
      </c>
      <c r="C372" s="176">
        <v>1.53</v>
      </c>
      <c r="D372" s="176">
        <v>4.74</v>
      </c>
      <c r="E372" s="176">
        <v>0.22</v>
      </c>
      <c r="F372" s="177">
        <v>128.69999999999999</v>
      </c>
      <c r="G372" s="210">
        <v>1.4285714285714235E-2</v>
      </c>
      <c r="H372" s="179">
        <v>0.77</v>
      </c>
      <c r="I372" s="179">
        <v>1.63</v>
      </c>
      <c r="K372" s="182">
        <v>0.02</v>
      </c>
      <c r="L372" s="182">
        <v>0.03</v>
      </c>
      <c r="N372" s="182">
        <v>2.2499999999999999E-2</v>
      </c>
      <c r="O372" s="182">
        <v>5.0000000000000001E-3</v>
      </c>
      <c r="Q372" s="182">
        <v>1.2500000000000001E-2</v>
      </c>
      <c r="R372" s="182">
        <v>2.75E-2</v>
      </c>
      <c r="S372" s="182">
        <v>7.4999999999999997E-3</v>
      </c>
      <c r="T372" s="182">
        <v>0.01</v>
      </c>
      <c r="V372" s="194">
        <v>1.7000000000000001E-2</v>
      </c>
      <c r="W372" s="194">
        <v>0.03</v>
      </c>
      <c r="X372" s="194">
        <v>1.0999999999999999E-2</v>
      </c>
      <c r="Y372" s="194">
        <v>1.3000000000000001E-2</v>
      </c>
      <c r="Z372" s="194"/>
      <c r="AA372" s="195">
        <v>1.7116402500000232E-2</v>
      </c>
      <c r="AB372" s="195">
        <v>3.0398902499999984E-2</v>
      </c>
      <c r="AC372" s="195">
        <v>1.057949380764534E-2</v>
      </c>
      <c r="AD372" s="195">
        <v>1.316433684617728E-2</v>
      </c>
      <c r="AE372" s="195"/>
      <c r="AF372" s="195">
        <v>3.234237747950508E-3</v>
      </c>
      <c r="AG372" s="195">
        <v>8.5053159823366142E-3</v>
      </c>
      <c r="AI372" s="182">
        <v>7.7148224999998849E-3</v>
      </c>
      <c r="AJ372" s="182">
        <v>1.6366422500000199E-2</v>
      </c>
      <c r="AK372" s="182">
        <v>2.2012100000001755E-3</v>
      </c>
      <c r="AM372" s="27" t="s">
        <v>146</v>
      </c>
      <c r="AN372" s="7" t="b">
        <f t="shared" si="57"/>
        <v>1</v>
      </c>
      <c r="AO372" s="7" t="s">
        <v>145</v>
      </c>
      <c r="AP372" s="7">
        <v>2014</v>
      </c>
      <c r="AQ372" s="7">
        <f t="shared" ref="AQ372:AQ377" si="58">YEAR(A372)</f>
        <v>2016</v>
      </c>
      <c r="AS372" s="211">
        <v>-99</v>
      </c>
      <c r="AT372" s="211">
        <v>-99</v>
      </c>
      <c r="AU372" s="211">
        <v>-99</v>
      </c>
      <c r="AV372" s="211">
        <v>-99</v>
      </c>
      <c r="AW372" s="211">
        <v>-99</v>
      </c>
      <c r="AX372" s="211">
        <v>-99</v>
      </c>
      <c r="AZ372" s="211">
        <v>-99</v>
      </c>
      <c r="BA372" s="211">
        <v>-99</v>
      </c>
      <c r="BB372" s="211">
        <v>-99</v>
      </c>
      <c r="BC372" s="211">
        <v>-99</v>
      </c>
      <c r="BD372" s="211">
        <v>-99</v>
      </c>
      <c r="BE372" s="211">
        <v>-99</v>
      </c>
      <c r="BG372" s="211">
        <v>-99</v>
      </c>
      <c r="BH372" s="211">
        <v>-99</v>
      </c>
      <c r="BI372" s="211">
        <v>-99</v>
      </c>
      <c r="BJ372" s="211">
        <v>-99</v>
      </c>
      <c r="BK372" s="211">
        <v>-99</v>
      </c>
      <c r="BL372" s="211">
        <v>-99</v>
      </c>
      <c r="BM372" s="211">
        <v>-99</v>
      </c>
      <c r="BN372" s="191">
        <f t="shared" si="48"/>
        <v>7.7148224999998849E-3</v>
      </c>
      <c r="BO372" s="191">
        <f t="shared" si="49"/>
        <v>1.6366422500000199E-2</v>
      </c>
      <c r="BP372" s="191">
        <f t="shared" si="50"/>
        <v>2.2012100000001755E-3</v>
      </c>
      <c r="BQ372" s="171">
        <f t="shared" si="51"/>
        <v>1.5300000000000001E-2</v>
      </c>
      <c r="BR372" s="171">
        <f t="shared" si="52"/>
        <v>4.7400000000000005E-2</v>
      </c>
      <c r="BS372" s="171">
        <f t="shared" si="53"/>
        <v>7.7000000000000002E-3</v>
      </c>
      <c r="BT372" s="171">
        <f t="shared" si="54"/>
        <v>1.6299999999999999E-2</v>
      </c>
      <c r="BU372" s="171">
        <f t="shared" si="55"/>
        <v>2.2000000000000001E-3</v>
      </c>
    </row>
    <row r="373" spans="1:73" x14ac:dyDescent="0.3">
      <c r="A373" s="209">
        <v>42614</v>
      </c>
      <c r="B373" s="187">
        <v>201609</v>
      </c>
      <c r="C373" s="176">
        <v>1.52</v>
      </c>
      <c r="D373" s="176">
        <v>4.6399999999999997</v>
      </c>
      <c r="E373" s="176">
        <v>0.18</v>
      </c>
      <c r="F373" s="177">
        <v>128.80000000000001</v>
      </c>
      <c r="G373" s="210">
        <v>1.3470681458003231E-2</v>
      </c>
      <c r="H373" s="179">
        <v>0.73</v>
      </c>
      <c r="I373" s="179">
        <v>1.64</v>
      </c>
      <c r="K373" s="182">
        <v>0.02</v>
      </c>
      <c r="L373" s="182">
        <v>0.03</v>
      </c>
      <c r="N373" s="182">
        <v>0.02</v>
      </c>
      <c r="O373" s="182">
        <v>5.0000000000000001E-3</v>
      </c>
      <c r="Q373" s="182">
        <v>1.2500000000000001E-2</v>
      </c>
      <c r="R373" s="182">
        <v>2.75E-2</v>
      </c>
      <c r="S373" s="182">
        <v>7.4999999999999997E-3</v>
      </c>
      <c r="T373" s="182">
        <v>0.01</v>
      </c>
      <c r="V373" s="194">
        <v>1.7000000000000001E-2</v>
      </c>
      <c r="W373" s="194">
        <v>0.03</v>
      </c>
      <c r="X373" s="194">
        <v>0.01</v>
      </c>
      <c r="Y373" s="194">
        <v>1.2E-2</v>
      </c>
      <c r="Z373" s="194"/>
      <c r="AA373" s="195">
        <v>1.6714822499999886E-2</v>
      </c>
      <c r="AB373" s="195">
        <v>2.9692222500000358E-2</v>
      </c>
      <c r="AC373" s="195">
        <v>1.0037608825949954E-2</v>
      </c>
      <c r="AD373" s="195">
        <v>1.1783010587025288E-2</v>
      </c>
      <c r="AE373" s="195"/>
      <c r="AF373" s="195">
        <v>3.3054282413361724E-3</v>
      </c>
      <c r="AG373" s="195">
        <v>8.8503225126226326E-3</v>
      </c>
      <c r="AI373" s="182">
        <v>7.3133224999999413E-3</v>
      </c>
      <c r="AJ373" s="182">
        <v>1.6467239999999883E-2</v>
      </c>
      <c r="AK373" s="182">
        <v>1.800809999999764E-3</v>
      </c>
      <c r="AM373" s="27" t="s">
        <v>146</v>
      </c>
      <c r="AN373" s="7" t="b">
        <f t="shared" si="57"/>
        <v>1</v>
      </c>
      <c r="AO373" s="7" t="s">
        <v>145</v>
      </c>
      <c r="AP373" s="7">
        <v>2014</v>
      </c>
      <c r="AQ373" s="7">
        <f t="shared" si="58"/>
        <v>2016</v>
      </c>
      <c r="AS373" s="211">
        <v>-99</v>
      </c>
      <c r="AT373" s="211">
        <v>-99</v>
      </c>
      <c r="AU373" s="211">
        <v>-99</v>
      </c>
      <c r="AV373" s="211">
        <v>-99</v>
      </c>
      <c r="AW373" s="211">
        <v>-99</v>
      </c>
      <c r="AX373" s="211">
        <v>-99</v>
      </c>
      <c r="AZ373" s="211">
        <v>-99</v>
      </c>
      <c r="BA373" s="211">
        <v>-99</v>
      </c>
      <c r="BB373" s="211">
        <v>-99</v>
      </c>
      <c r="BC373" s="211">
        <v>-99</v>
      </c>
      <c r="BD373" s="211">
        <v>-99</v>
      </c>
      <c r="BE373" s="211">
        <v>-99</v>
      </c>
      <c r="BG373" s="211">
        <v>-99</v>
      </c>
      <c r="BH373" s="211">
        <v>-99</v>
      </c>
      <c r="BI373" s="211">
        <v>-99</v>
      </c>
      <c r="BJ373" s="211">
        <v>-99</v>
      </c>
      <c r="BK373" s="211">
        <v>-99</v>
      </c>
      <c r="BL373" s="211">
        <v>-99</v>
      </c>
      <c r="BM373" s="211">
        <v>-99</v>
      </c>
      <c r="BN373" s="191">
        <f t="shared" si="48"/>
        <v>7.3133224999999413E-3</v>
      </c>
      <c r="BO373" s="191">
        <f t="shared" si="49"/>
        <v>1.6467239999999883E-2</v>
      </c>
      <c r="BP373" s="191">
        <f t="shared" si="50"/>
        <v>1.800809999999764E-3</v>
      </c>
      <c r="BQ373" s="171">
        <f t="shared" si="51"/>
        <v>1.52E-2</v>
      </c>
      <c r="BR373" s="171">
        <f t="shared" si="52"/>
        <v>4.6399999999999997E-2</v>
      </c>
      <c r="BS373" s="171">
        <f t="shared" si="53"/>
        <v>7.3000000000000001E-3</v>
      </c>
      <c r="BT373" s="171">
        <f t="shared" si="54"/>
        <v>1.6399999999999998E-2</v>
      </c>
      <c r="BU373" s="171">
        <f t="shared" si="55"/>
        <v>1.8E-3</v>
      </c>
    </row>
    <row r="374" spans="1:73" x14ac:dyDescent="0.3">
      <c r="A374" s="209">
        <v>42644</v>
      </c>
      <c r="B374" s="187">
        <v>201610</v>
      </c>
      <c r="C374" s="176">
        <v>1.68</v>
      </c>
      <c r="D374" s="176">
        <v>4.6399999999999997</v>
      </c>
      <c r="E374" s="176">
        <v>0.25</v>
      </c>
      <c r="F374" s="177">
        <v>129.1</v>
      </c>
      <c r="G374" s="210">
        <v>1.4251781472684133E-2</v>
      </c>
      <c r="H374" s="179">
        <v>0.86</v>
      </c>
      <c r="I374" s="179">
        <v>1.82</v>
      </c>
      <c r="K374" s="182">
        <v>0.02</v>
      </c>
      <c r="L374" s="182">
        <v>0.03</v>
      </c>
      <c r="N374" s="182">
        <v>0.02</v>
      </c>
      <c r="O374" s="182">
        <v>5.0000000000000001E-3</v>
      </c>
      <c r="Q374" s="182">
        <v>1.2500000000000001E-2</v>
      </c>
      <c r="R374" s="182">
        <v>2.5000000000000001E-2</v>
      </c>
      <c r="S374" s="182">
        <v>5.0000000000000001E-3</v>
      </c>
      <c r="T374" s="182">
        <v>7.4999999999999997E-3</v>
      </c>
      <c r="V374" s="194">
        <v>1.6E-2</v>
      </c>
      <c r="W374" s="194">
        <v>0.03</v>
      </c>
      <c r="X374" s="194">
        <v>0.01</v>
      </c>
      <c r="Y374" s="194">
        <v>1.0999999999999999E-2</v>
      </c>
      <c r="Z374" s="194"/>
      <c r="AA374" s="195">
        <v>1.6313322499999942E-2</v>
      </c>
      <c r="AB374" s="195">
        <v>3.0044198749999855E-2</v>
      </c>
      <c r="AC374" s="195">
        <v>9.7997639125453496E-3</v>
      </c>
      <c r="AD374" s="195">
        <v>1.1301333043726974E-2</v>
      </c>
      <c r="AE374" s="195"/>
      <c r="AF374" s="195">
        <v>3.2251733562589369E-3</v>
      </c>
      <c r="AG374" s="195">
        <v>9.2667067143390458E-3</v>
      </c>
      <c r="AI374" s="182">
        <v>8.6184899999999232E-3</v>
      </c>
      <c r="AJ374" s="182">
        <v>1.8282810000000316E-2</v>
      </c>
      <c r="AK374" s="182">
        <v>2.5015624999999986E-3</v>
      </c>
      <c r="AM374" s="27" t="s">
        <v>146</v>
      </c>
      <c r="AN374" s="7" t="b">
        <f t="shared" si="57"/>
        <v>1</v>
      </c>
      <c r="AO374" s="7" t="s">
        <v>145</v>
      </c>
      <c r="AP374" s="7">
        <v>2014</v>
      </c>
      <c r="AQ374" s="7">
        <f t="shared" si="58"/>
        <v>2016</v>
      </c>
      <c r="AS374" s="211">
        <v>-99</v>
      </c>
      <c r="AT374" s="211">
        <v>-99</v>
      </c>
      <c r="AU374" s="211">
        <v>-99</v>
      </c>
      <c r="AV374" s="211">
        <v>-99</v>
      </c>
      <c r="AW374" s="211">
        <v>-99</v>
      </c>
      <c r="AX374" s="211">
        <v>-99</v>
      </c>
      <c r="AZ374" s="211">
        <v>-99</v>
      </c>
      <c r="BA374" s="211">
        <v>-99</v>
      </c>
      <c r="BB374" s="211">
        <v>-99</v>
      </c>
      <c r="BC374" s="211">
        <v>-99</v>
      </c>
      <c r="BD374" s="211">
        <v>-99</v>
      </c>
      <c r="BE374" s="211">
        <v>-99</v>
      </c>
      <c r="BG374" s="211">
        <v>-99</v>
      </c>
      <c r="BH374" s="211">
        <v>-99</v>
      </c>
      <c r="BI374" s="211">
        <v>-99</v>
      </c>
      <c r="BJ374" s="211">
        <v>-99</v>
      </c>
      <c r="BK374" s="211">
        <v>-99</v>
      </c>
      <c r="BL374" s="211">
        <v>-99</v>
      </c>
      <c r="BM374" s="211">
        <v>-99</v>
      </c>
      <c r="BN374" s="191">
        <f t="shared" si="48"/>
        <v>8.6184899999999232E-3</v>
      </c>
      <c r="BO374" s="191">
        <f t="shared" si="49"/>
        <v>1.8282810000000316E-2</v>
      </c>
      <c r="BP374" s="191">
        <f t="shared" si="50"/>
        <v>2.5015624999999986E-3</v>
      </c>
      <c r="BQ374" s="171">
        <f t="shared" si="51"/>
        <v>1.6799999999999999E-2</v>
      </c>
      <c r="BR374" s="171">
        <f t="shared" si="52"/>
        <v>4.6399999999999997E-2</v>
      </c>
      <c r="BS374" s="171">
        <f t="shared" si="53"/>
        <v>8.6E-3</v>
      </c>
      <c r="BT374" s="171">
        <f t="shared" si="54"/>
        <v>1.8200000000000001E-2</v>
      </c>
      <c r="BU374" s="171">
        <f t="shared" si="55"/>
        <v>2.5000000000000001E-3</v>
      </c>
    </row>
    <row r="375" spans="1:73" x14ac:dyDescent="0.3">
      <c r="A375" s="209">
        <v>42675</v>
      </c>
      <c r="B375" s="187">
        <v>201611</v>
      </c>
      <c r="C375" s="176">
        <v>2.06</v>
      </c>
      <c r="D375" s="176">
        <v>4.6399999999999997</v>
      </c>
      <c r="E375" s="176">
        <v>0.35</v>
      </c>
      <c r="F375" s="177">
        <v>128.6</v>
      </c>
      <c r="G375" s="210">
        <v>1.4240506329113778E-2</v>
      </c>
      <c r="H375" s="179">
        <v>1.27</v>
      </c>
      <c r="I375" s="179">
        <v>2.16</v>
      </c>
      <c r="K375" s="182">
        <v>0.02</v>
      </c>
      <c r="L375" s="182">
        <v>0.03</v>
      </c>
      <c r="N375" s="182">
        <v>0.02</v>
      </c>
      <c r="O375" s="182">
        <v>5.0000000000000001E-3</v>
      </c>
      <c r="Q375" s="182">
        <v>1.2500000000000001E-2</v>
      </c>
      <c r="R375" s="182">
        <v>2.5000000000000001E-2</v>
      </c>
      <c r="S375" s="182">
        <v>5.0000000000000001E-3</v>
      </c>
      <c r="T375" s="182">
        <v>7.4999999999999997E-3</v>
      </c>
      <c r="V375" s="194">
        <v>1.8000000000000002E-2</v>
      </c>
      <c r="W375" s="194">
        <v>3.2000000000000001E-2</v>
      </c>
      <c r="X375" s="194">
        <v>0.01</v>
      </c>
      <c r="Y375" s="194">
        <v>1.2E-2</v>
      </c>
      <c r="Z375" s="194"/>
      <c r="AA375" s="195">
        <v>1.7618489999999924E-2</v>
      </c>
      <c r="AB375" s="195">
        <v>3.2114970000000513E-2</v>
      </c>
      <c r="AC375" s="195">
        <v>1.0179232918278124E-2</v>
      </c>
      <c r="AD375" s="195">
        <v>1.2162727290860938E-2</v>
      </c>
      <c r="AE375" s="195"/>
      <c r="AF375" s="195">
        <v>3.6821471078110068E-3</v>
      </c>
      <c r="AG375" s="195">
        <v>9.8562425641495199E-3</v>
      </c>
      <c r="AI375" s="182">
        <v>1.2740322500000234E-2</v>
      </c>
      <c r="AJ375" s="182">
        <v>2.1716639999999732E-2</v>
      </c>
      <c r="AK375" s="182">
        <v>3.5030624999998761E-3</v>
      </c>
      <c r="AM375" s="27" t="s">
        <v>146</v>
      </c>
      <c r="AN375" s="7" t="b">
        <f t="shared" si="57"/>
        <v>1</v>
      </c>
      <c r="AO375" s="7" t="s">
        <v>145</v>
      </c>
      <c r="AP375" s="7">
        <v>2014</v>
      </c>
      <c r="AQ375" s="7">
        <f t="shared" si="58"/>
        <v>2016</v>
      </c>
      <c r="AS375" s="211">
        <v>-99</v>
      </c>
      <c r="AT375" s="211">
        <v>-99</v>
      </c>
      <c r="AU375" s="211">
        <v>-99</v>
      </c>
      <c r="AV375" s="211">
        <v>-99</v>
      </c>
      <c r="AW375" s="211">
        <v>-99</v>
      </c>
      <c r="AX375" s="211">
        <v>-99</v>
      </c>
      <c r="AZ375" s="211">
        <v>-99</v>
      </c>
      <c r="BA375" s="211">
        <v>-99</v>
      </c>
      <c r="BB375" s="211">
        <v>-99</v>
      </c>
      <c r="BC375" s="211">
        <v>-99</v>
      </c>
      <c r="BD375" s="211">
        <v>-99</v>
      </c>
      <c r="BE375" s="211">
        <v>-99</v>
      </c>
      <c r="BG375" s="211">
        <v>-99</v>
      </c>
      <c r="BH375" s="211">
        <v>-99</v>
      </c>
      <c r="BI375" s="211">
        <v>-99</v>
      </c>
      <c r="BJ375" s="211">
        <v>-99</v>
      </c>
      <c r="BK375" s="211">
        <v>-99</v>
      </c>
      <c r="BL375" s="211">
        <v>-99</v>
      </c>
      <c r="BM375" s="211">
        <v>-99</v>
      </c>
      <c r="BN375" s="191">
        <f t="shared" si="48"/>
        <v>1.2740322500000234E-2</v>
      </c>
      <c r="BO375" s="191">
        <f t="shared" si="49"/>
        <v>2.1716639999999732E-2</v>
      </c>
      <c r="BP375" s="191">
        <f t="shared" si="50"/>
        <v>3.5030624999998761E-3</v>
      </c>
      <c r="BQ375" s="171">
        <f t="shared" si="51"/>
        <v>2.06E-2</v>
      </c>
      <c r="BR375" s="171">
        <f t="shared" si="52"/>
        <v>4.6399999999999997E-2</v>
      </c>
      <c r="BS375" s="171">
        <f t="shared" si="53"/>
        <v>1.2699999999999999E-2</v>
      </c>
      <c r="BT375" s="171">
        <f t="shared" si="54"/>
        <v>2.1600000000000001E-2</v>
      </c>
      <c r="BU375" s="171">
        <f t="shared" si="55"/>
        <v>3.4999999999999996E-3</v>
      </c>
    </row>
    <row r="376" spans="1:73" x14ac:dyDescent="0.3">
      <c r="A376" s="209">
        <v>42705</v>
      </c>
      <c r="B376" s="187">
        <v>201612</v>
      </c>
      <c r="C376" s="176">
        <v>2.2400000000000002</v>
      </c>
      <c r="D376" s="176">
        <v>4.6399999999999997</v>
      </c>
      <c r="E376" s="176">
        <v>0.57999999999999996</v>
      </c>
      <c r="F376" s="177">
        <v>128.4</v>
      </c>
      <c r="G376" s="210">
        <v>1.4218009478673022E-2</v>
      </c>
      <c r="H376" s="179">
        <v>1.43</v>
      </c>
      <c r="I376" s="179">
        <v>2.34</v>
      </c>
      <c r="K376" s="182">
        <v>0.02</v>
      </c>
      <c r="L376" s="182">
        <v>0.03</v>
      </c>
      <c r="N376" s="182">
        <v>2.2499999999999999E-2</v>
      </c>
      <c r="O376" s="182">
        <v>5.0000000000000001E-3</v>
      </c>
      <c r="Q376" s="182">
        <v>1.2500000000000001E-2</v>
      </c>
      <c r="R376" s="182">
        <v>2.75E-2</v>
      </c>
      <c r="S376" s="182">
        <v>5.0000000000000001E-3</v>
      </c>
      <c r="T376" s="182">
        <v>7.4999999999999997E-3</v>
      </c>
      <c r="V376" s="194">
        <v>2.1999999999999999E-2</v>
      </c>
      <c r="W376" s="194">
        <v>3.5000000000000003E-2</v>
      </c>
      <c r="X376" s="194">
        <v>1.0999999999999999E-2</v>
      </c>
      <c r="Y376" s="194">
        <v>1.3000000000000001E-2</v>
      </c>
      <c r="Z376" s="194"/>
      <c r="AA376" s="195">
        <v>2.1740322500000235E-2</v>
      </c>
      <c r="AB376" s="195">
        <v>3.5204798749999482E-2</v>
      </c>
      <c r="AC376" s="195">
        <v>1.1055112852985364E-2</v>
      </c>
      <c r="AD376" s="195">
        <v>1.3227037323507135E-2</v>
      </c>
      <c r="AE376" s="195"/>
      <c r="AF376" s="195">
        <v>5.2841875339828537E-3</v>
      </c>
      <c r="AG376" s="195">
        <v>1.0845427834490051E-2</v>
      </c>
      <c r="AI376" s="182">
        <v>1.4351122499999924E-2</v>
      </c>
      <c r="AJ376" s="182">
        <v>2.3536890000000144E-2</v>
      </c>
      <c r="AK376" s="182">
        <v>5.808409999999764E-3</v>
      </c>
      <c r="AM376" s="27" t="s">
        <v>146</v>
      </c>
      <c r="AN376" s="7" t="b">
        <f t="shared" si="57"/>
        <v>1</v>
      </c>
      <c r="AO376" s="7" t="s">
        <v>145</v>
      </c>
      <c r="AP376" s="7">
        <v>2014</v>
      </c>
      <c r="AQ376" s="7">
        <f t="shared" si="58"/>
        <v>2016</v>
      </c>
      <c r="AS376" s="211">
        <v>-99</v>
      </c>
      <c r="AT376" s="211">
        <v>-99</v>
      </c>
      <c r="AU376" s="211">
        <v>-99</v>
      </c>
      <c r="AV376" s="211">
        <v>-99</v>
      </c>
      <c r="AW376" s="211">
        <v>-99</v>
      </c>
      <c r="AX376" s="211">
        <v>-99</v>
      </c>
      <c r="AZ376" s="211">
        <v>-99</v>
      </c>
      <c r="BA376" s="211">
        <v>-99</v>
      </c>
      <c r="BB376" s="211">
        <v>-99</v>
      </c>
      <c r="BC376" s="211">
        <v>-99</v>
      </c>
      <c r="BD376" s="211">
        <v>-99</v>
      </c>
      <c r="BE376" s="211">
        <v>-99</v>
      </c>
      <c r="BG376" s="211">
        <v>-99</v>
      </c>
      <c r="BH376" s="211">
        <v>-99</v>
      </c>
      <c r="BI376" s="211">
        <v>-99</v>
      </c>
      <c r="BJ376" s="211">
        <v>-99</v>
      </c>
      <c r="BK376" s="211">
        <v>-99</v>
      </c>
      <c r="BL376" s="211">
        <v>-99</v>
      </c>
      <c r="BM376" s="211">
        <v>-99</v>
      </c>
      <c r="BN376" s="191">
        <f t="shared" si="48"/>
        <v>1.4351122499999924E-2</v>
      </c>
      <c r="BO376" s="191">
        <f t="shared" si="49"/>
        <v>2.3536890000000144E-2</v>
      </c>
      <c r="BP376" s="191">
        <f t="shared" si="50"/>
        <v>5.808409999999764E-3</v>
      </c>
      <c r="BQ376" s="171">
        <f t="shared" si="51"/>
        <v>2.2400000000000003E-2</v>
      </c>
      <c r="BR376" s="171">
        <f t="shared" si="52"/>
        <v>4.6399999999999997E-2</v>
      </c>
      <c r="BS376" s="171">
        <f t="shared" si="53"/>
        <v>1.43E-2</v>
      </c>
      <c r="BT376" s="171">
        <f t="shared" si="54"/>
        <v>2.3399999999999997E-2</v>
      </c>
      <c r="BU376" s="171">
        <f t="shared" si="55"/>
        <v>5.7999999999999996E-3</v>
      </c>
    </row>
    <row r="377" spans="1:73" x14ac:dyDescent="0.3">
      <c r="A377" s="209">
        <v>42736</v>
      </c>
      <c r="B377" s="187">
        <v>201701</v>
      </c>
      <c r="C377" s="176">
        <v>2.34</v>
      </c>
      <c r="D377" s="176">
        <v>4.6399999999999997</v>
      </c>
      <c r="E377" s="176">
        <v>0.7</v>
      </c>
      <c r="F377" s="177">
        <v>129.5</v>
      </c>
      <c r="G377" s="210">
        <v>1.4195583596214423E-2</v>
      </c>
      <c r="H377" s="179">
        <v>1.46</v>
      </c>
      <c r="I377" s="179">
        <v>2.4500000000000002</v>
      </c>
      <c r="K377" s="182">
        <v>2.5000000000000001E-2</v>
      </c>
      <c r="L377" s="182">
        <v>0.03</v>
      </c>
      <c r="N377" s="182">
        <v>2.5000000000000001E-2</v>
      </c>
      <c r="O377" s="182">
        <v>5.0000000000000001E-3</v>
      </c>
      <c r="Q377" s="182">
        <v>1.7500000000000002E-2</v>
      </c>
      <c r="R377" s="182">
        <v>0.03</v>
      </c>
      <c r="S377" s="182">
        <v>7.4999999999999997E-3</v>
      </c>
      <c r="T377" s="182">
        <v>0.01</v>
      </c>
      <c r="V377" s="194">
        <v>2.3E-2</v>
      </c>
      <c r="W377" s="194">
        <v>3.6999999999999998E-2</v>
      </c>
      <c r="X377" s="194">
        <v>1.3000000000000001E-2</v>
      </c>
      <c r="Y377" s="194">
        <v>1.6E-2</v>
      </c>
      <c r="Z377" s="194"/>
      <c r="AA377" s="195">
        <v>2.3351122499999925E-2</v>
      </c>
      <c r="AB377" s="195">
        <v>3.7129773750000254E-2</v>
      </c>
      <c r="AC377" s="195">
        <v>1.2541555551316282E-2</v>
      </c>
      <c r="AD377" s="195">
        <v>1.5941837224341508E-2</v>
      </c>
      <c r="AE377" s="195"/>
      <c r="AF377" s="195">
        <v>5.33783867408677E-3</v>
      </c>
      <c r="AG377" s="195">
        <v>1.0427731071468771E-2</v>
      </c>
      <c r="AI377" s="182">
        <v>1.4653290000000263E-2</v>
      </c>
      <c r="AJ377" s="182">
        <v>2.4650062500000125E-2</v>
      </c>
      <c r="AK377" s="182">
        <v>7.0122500000000532E-3</v>
      </c>
      <c r="AM377" s="27" t="s">
        <v>146</v>
      </c>
      <c r="AN377" s="7" t="b">
        <f t="shared" si="57"/>
        <v>1</v>
      </c>
      <c r="AO377" s="7" t="s">
        <v>145</v>
      </c>
      <c r="AP377" s="7">
        <v>2014</v>
      </c>
      <c r="AQ377" s="7">
        <f t="shared" si="58"/>
        <v>2017</v>
      </c>
      <c r="AS377" s="211">
        <v>-99</v>
      </c>
      <c r="AT377" s="211">
        <v>-99</v>
      </c>
      <c r="AU377" s="211">
        <v>-99</v>
      </c>
      <c r="AV377" s="211">
        <v>-99</v>
      </c>
      <c r="AW377" s="211">
        <v>-99</v>
      </c>
      <c r="AX377" s="211">
        <v>-99</v>
      </c>
      <c r="AZ377" s="211">
        <v>-99</v>
      </c>
      <c r="BA377" s="211">
        <v>-99</v>
      </c>
      <c r="BB377" s="211">
        <v>-99</v>
      </c>
      <c r="BC377" s="211">
        <v>-99</v>
      </c>
      <c r="BD377" s="211">
        <v>-99</v>
      </c>
      <c r="BE377" s="211">
        <v>-99</v>
      </c>
      <c r="BG377" s="211">
        <v>-99</v>
      </c>
      <c r="BH377" s="211">
        <v>-99</v>
      </c>
      <c r="BI377" s="211">
        <v>-99</v>
      </c>
      <c r="BJ377" s="211">
        <v>-99</v>
      </c>
      <c r="BK377" s="211">
        <v>-99</v>
      </c>
      <c r="BL377" s="211">
        <v>-99</v>
      </c>
      <c r="BM377" s="211">
        <v>-99</v>
      </c>
      <c r="BN377" s="191">
        <f t="shared" si="48"/>
        <v>1.4653290000000263E-2</v>
      </c>
      <c r="BO377" s="191">
        <f t="shared" si="49"/>
        <v>2.4650062500000125E-2</v>
      </c>
      <c r="BP377" s="191">
        <f t="shared" si="50"/>
        <v>7.0122500000000532E-3</v>
      </c>
      <c r="BQ377" s="171">
        <f t="shared" si="51"/>
        <v>2.3399999999999997E-2</v>
      </c>
      <c r="BR377" s="171">
        <f t="shared" si="52"/>
        <v>4.6399999999999997E-2</v>
      </c>
      <c r="BS377" s="171">
        <f t="shared" si="53"/>
        <v>1.46E-2</v>
      </c>
      <c r="BT377" s="171">
        <f t="shared" si="54"/>
        <v>2.4500000000000001E-2</v>
      </c>
      <c r="BU377" s="171">
        <f t="shared" si="55"/>
        <v>6.9999999999999993E-3</v>
      </c>
    </row>
    <row r="378" spans="1:73" x14ac:dyDescent="0.3">
      <c r="A378" s="209">
        <v>42767</v>
      </c>
      <c r="B378" s="187">
        <v>201702</v>
      </c>
      <c r="C378" s="176">
        <v>2.29</v>
      </c>
      <c r="D378" s="176">
        <v>4.6399999999999997</v>
      </c>
      <c r="E378" s="176">
        <v>0.7</v>
      </c>
      <c r="F378" s="177">
        <v>129.69999999999999</v>
      </c>
      <c r="G378" s="210">
        <v>1.4972419227738509E-2</v>
      </c>
      <c r="H378" s="179">
        <v>1.37</v>
      </c>
      <c r="I378" s="179">
        <v>2.42</v>
      </c>
      <c r="K378" s="182">
        <v>2.5000000000000001E-2</v>
      </c>
      <c r="L378" s="182">
        <v>0.03</v>
      </c>
      <c r="N378" s="182">
        <v>2.75E-2</v>
      </c>
      <c r="O378" s="182">
        <v>7.4999999999999997E-3</v>
      </c>
      <c r="Q378" s="182">
        <v>0.02</v>
      </c>
      <c r="R378" s="182">
        <v>3.2500000000000001E-2</v>
      </c>
      <c r="S378" s="182">
        <v>7.4999999999999997E-3</v>
      </c>
      <c r="T378" s="182">
        <v>1.2500000000000001E-2</v>
      </c>
      <c r="V378" s="194">
        <v>2.4E-2</v>
      </c>
      <c r="W378" s="194">
        <v>3.9E-2</v>
      </c>
      <c r="X378" s="194">
        <v>1.3000000000000001E-2</v>
      </c>
      <c r="Y378" s="194">
        <v>1.7000000000000001E-2</v>
      </c>
      <c r="Z378" s="194"/>
      <c r="AA378" s="195">
        <v>2.3653290000000264E-2</v>
      </c>
      <c r="AB378" s="195">
        <v>3.8648448750000057E-2</v>
      </c>
      <c r="AC378" s="195">
        <v>1.3168449179489998E-2</v>
      </c>
      <c r="AD378" s="195">
        <v>1.7434150410255082E-2</v>
      </c>
      <c r="AE378" s="195"/>
      <c r="AF378" s="195">
        <v>5.1742831258717592E-3</v>
      </c>
      <c r="AG378" s="195">
        <v>1.042539132935083E-2</v>
      </c>
      <c r="AI378" s="182">
        <v>1.3746922499999981E-2</v>
      </c>
      <c r="AJ378" s="182">
        <v>2.4346409999999929E-2</v>
      </c>
      <c r="AK378" s="182">
        <v>7.0122500000000532E-3</v>
      </c>
      <c r="AM378" s="27" t="s">
        <v>146</v>
      </c>
      <c r="AN378" s="7" t="b">
        <f t="shared" si="57"/>
        <v>1</v>
      </c>
      <c r="AO378" s="7" t="s">
        <v>145</v>
      </c>
      <c r="AP378" s="7">
        <v>2014</v>
      </c>
      <c r="AQ378" s="7">
        <f t="shared" ref="AQ378:AQ383" si="59">YEAR(A378)</f>
        <v>2017</v>
      </c>
      <c r="AS378" s="211">
        <v>-99</v>
      </c>
      <c r="AT378" s="211">
        <v>-99</v>
      </c>
      <c r="AU378" s="211">
        <v>-99</v>
      </c>
      <c r="AV378" s="211">
        <v>-99</v>
      </c>
      <c r="AW378" s="211">
        <v>-99</v>
      </c>
      <c r="AX378" s="211">
        <v>-99</v>
      </c>
      <c r="AZ378" s="211">
        <v>-99</v>
      </c>
      <c r="BA378" s="211">
        <v>-99</v>
      </c>
      <c r="BB378" s="211">
        <v>-99</v>
      </c>
      <c r="BC378" s="211">
        <v>-99</v>
      </c>
      <c r="BD378" s="211">
        <v>-99</v>
      </c>
      <c r="BE378" s="211">
        <v>-99</v>
      </c>
      <c r="BG378" s="211">
        <v>-99</v>
      </c>
      <c r="BH378" s="211">
        <v>-99</v>
      </c>
      <c r="BI378" s="211">
        <v>-99</v>
      </c>
      <c r="BJ378" s="211">
        <v>-99</v>
      </c>
      <c r="BK378" s="211">
        <v>-99</v>
      </c>
      <c r="BL378" s="211">
        <v>-99</v>
      </c>
      <c r="BM378" s="211">
        <v>-99</v>
      </c>
      <c r="BN378" s="191">
        <f t="shared" si="48"/>
        <v>1.3746922499999981E-2</v>
      </c>
      <c r="BO378" s="191">
        <f t="shared" si="49"/>
        <v>2.4346409999999929E-2</v>
      </c>
      <c r="BP378" s="191">
        <f t="shared" si="50"/>
        <v>7.0122500000000532E-3</v>
      </c>
      <c r="BQ378" s="171">
        <f t="shared" si="51"/>
        <v>2.29E-2</v>
      </c>
      <c r="BR378" s="171">
        <f t="shared" si="52"/>
        <v>4.6399999999999997E-2</v>
      </c>
      <c r="BS378" s="171">
        <f t="shared" si="53"/>
        <v>1.37E-2</v>
      </c>
      <c r="BT378" s="171">
        <f t="shared" si="54"/>
        <v>2.4199999999999999E-2</v>
      </c>
      <c r="BU378" s="171">
        <f t="shared" si="55"/>
        <v>6.9999999999999993E-3</v>
      </c>
    </row>
    <row r="379" spans="1:73" ht="13.5" customHeight="1" x14ac:dyDescent="0.3">
      <c r="A379" s="209">
        <v>42795</v>
      </c>
      <c r="B379" s="187">
        <v>201703</v>
      </c>
      <c r="C379" s="176">
        <v>2.14</v>
      </c>
      <c r="D379" s="176">
        <v>4.6399999999999997</v>
      </c>
      <c r="E379" s="176">
        <v>0.66</v>
      </c>
      <c r="F379" s="177">
        <v>129.9</v>
      </c>
      <c r="G379" s="210">
        <v>1.4948859166010964E-2</v>
      </c>
      <c r="H379" s="179">
        <v>1.27</v>
      </c>
      <c r="I379" s="179">
        <v>2.2799999999999998</v>
      </c>
      <c r="K379" s="182">
        <v>2.5000000000000001E-2</v>
      </c>
      <c r="L379" s="182">
        <v>0.03</v>
      </c>
      <c r="N379" s="182">
        <v>2.75E-2</v>
      </c>
      <c r="O379" s="182">
        <v>0.01</v>
      </c>
      <c r="Q379" s="182">
        <v>0.02</v>
      </c>
      <c r="R379" s="182">
        <v>3.5000000000000003E-2</v>
      </c>
      <c r="S379" s="182">
        <v>0.01</v>
      </c>
      <c r="T379" s="182">
        <v>1.2500000000000001E-2</v>
      </c>
      <c r="V379" s="194">
        <v>2.3E-2</v>
      </c>
      <c r="W379" s="194">
        <v>3.9E-2</v>
      </c>
      <c r="X379" s="194">
        <v>1.3000000000000001E-2</v>
      </c>
      <c r="Y379" s="194">
        <v>1.8000000000000002E-2</v>
      </c>
      <c r="Z379" s="194"/>
      <c r="AA379" s="195">
        <v>2.2746922499999982E-2</v>
      </c>
      <c r="AB379" s="195">
        <v>3.8646153749999905E-2</v>
      </c>
      <c r="AC379" s="195">
        <v>1.2959386919904245E-2</v>
      </c>
      <c r="AD379" s="195">
        <v>1.7538681540047958E-2</v>
      </c>
      <c r="AE379" s="195"/>
      <c r="AF379" s="195">
        <v>4.8311589321742288E-3</v>
      </c>
      <c r="AG379" s="195">
        <v>1.0371827918131626E-2</v>
      </c>
      <c r="AI379" s="182">
        <v>1.2740322500000234E-2</v>
      </c>
      <c r="AJ379" s="182">
        <v>2.2929960000000138E-2</v>
      </c>
      <c r="AK379" s="182">
        <v>6.6108900000001469E-3</v>
      </c>
      <c r="AM379" s="27" t="s">
        <v>146</v>
      </c>
      <c r="AN379" s="7" t="b">
        <f t="shared" si="57"/>
        <v>1</v>
      </c>
      <c r="AO379" s="7" t="s">
        <v>145</v>
      </c>
      <c r="AP379" s="7">
        <v>2014</v>
      </c>
      <c r="AQ379" s="7">
        <f t="shared" si="59"/>
        <v>2017</v>
      </c>
      <c r="AS379" s="211">
        <v>-99</v>
      </c>
      <c r="AT379" s="211">
        <v>-99</v>
      </c>
      <c r="AU379" s="211">
        <v>-99</v>
      </c>
      <c r="AV379" s="211">
        <v>-99</v>
      </c>
      <c r="AW379" s="211">
        <v>-99</v>
      </c>
      <c r="AX379" s="211">
        <v>-99</v>
      </c>
      <c r="AZ379" s="211">
        <v>-99</v>
      </c>
      <c r="BA379" s="211">
        <v>-99</v>
      </c>
      <c r="BB379" s="211">
        <v>-99</v>
      </c>
      <c r="BC379" s="211">
        <v>-99</v>
      </c>
      <c r="BD379" s="211">
        <v>-99</v>
      </c>
      <c r="BE379" s="211">
        <v>-99</v>
      </c>
      <c r="BG379" s="211">
        <v>-99</v>
      </c>
      <c r="BH379" s="211">
        <v>-99</v>
      </c>
      <c r="BI379" s="211">
        <v>-99</v>
      </c>
      <c r="BJ379" s="211">
        <v>-99</v>
      </c>
      <c r="BK379" s="211">
        <v>-99</v>
      </c>
      <c r="BL379" s="211">
        <v>-99</v>
      </c>
      <c r="BM379" s="211">
        <v>-99</v>
      </c>
      <c r="BN379" s="191">
        <f t="shared" si="48"/>
        <v>1.2740322500000234E-2</v>
      </c>
      <c r="BO379" s="191">
        <f t="shared" si="49"/>
        <v>2.2929960000000138E-2</v>
      </c>
      <c r="BP379" s="191">
        <f t="shared" si="50"/>
        <v>6.6108900000001469E-3</v>
      </c>
      <c r="BQ379" s="171">
        <f t="shared" si="51"/>
        <v>2.1400000000000002E-2</v>
      </c>
      <c r="BR379" s="171">
        <f t="shared" si="52"/>
        <v>4.6399999999999997E-2</v>
      </c>
      <c r="BS379" s="171">
        <f t="shared" si="53"/>
        <v>1.2699999999999999E-2</v>
      </c>
      <c r="BT379" s="171">
        <f t="shared" si="54"/>
        <v>2.2799999999999997E-2</v>
      </c>
      <c r="BU379" s="171">
        <f t="shared" si="55"/>
        <v>6.6E-3</v>
      </c>
    </row>
    <row r="380" spans="1:73" x14ac:dyDescent="0.3">
      <c r="A380" s="209">
        <v>42826</v>
      </c>
      <c r="B380" s="187">
        <v>201704</v>
      </c>
      <c r="C380" s="176">
        <v>2.0099999999999998</v>
      </c>
      <c r="D380" s="176">
        <v>4.6399999999999997</v>
      </c>
      <c r="E380" s="176">
        <v>0.56999999999999995</v>
      </c>
      <c r="F380" s="177">
        <v>130.4</v>
      </c>
      <c r="G380" s="210">
        <v>1.5723270440251458E-2</v>
      </c>
      <c r="H380" s="179">
        <v>1.19</v>
      </c>
      <c r="I380" s="179">
        <v>2.16</v>
      </c>
      <c r="K380" s="182">
        <v>2.5000000000000001E-2</v>
      </c>
      <c r="L380" s="182">
        <v>0.03</v>
      </c>
      <c r="N380" s="182">
        <v>2.75E-2</v>
      </c>
      <c r="O380" s="182">
        <v>0.01</v>
      </c>
      <c r="Q380" s="182">
        <v>1.7500000000000002E-2</v>
      </c>
      <c r="R380" s="182">
        <v>3.5000000000000003E-2</v>
      </c>
      <c r="S380" s="182">
        <v>0.01</v>
      </c>
      <c r="T380" s="182">
        <v>1.2500000000000001E-2</v>
      </c>
      <c r="V380" s="194">
        <v>2.1999999999999999E-2</v>
      </c>
      <c r="W380" s="194">
        <v>3.6999999999999998E-2</v>
      </c>
      <c r="X380" s="194">
        <v>1.3000000000000001E-2</v>
      </c>
      <c r="Y380" s="194">
        <v>1.7000000000000001E-2</v>
      </c>
      <c r="Z380" s="194"/>
      <c r="AA380" s="195">
        <v>2.1740322500000235E-2</v>
      </c>
      <c r="AB380" s="195">
        <v>3.7024778750000091E-2</v>
      </c>
      <c r="AC380" s="195">
        <v>1.2673136395005832E-2</v>
      </c>
      <c r="AD380" s="195">
        <v>1.7079766802497308E-2</v>
      </c>
      <c r="AE380" s="195"/>
      <c r="AF380" s="195">
        <v>4.4768572301978615E-3</v>
      </c>
      <c r="AG380" s="195">
        <v>9.8050382076746434E-3</v>
      </c>
      <c r="AI380" s="182">
        <v>1.1935402499999803E-2</v>
      </c>
      <c r="AJ380" s="182">
        <v>2.1716639999999732E-2</v>
      </c>
      <c r="AK380" s="182">
        <v>5.708122499999968E-3</v>
      </c>
      <c r="AM380" s="27" t="s">
        <v>146</v>
      </c>
      <c r="AN380" s="7" t="b">
        <f t="shared" si="57"/>
        <v>1</v>
      </c>
      <c r="AO380" s="7" t="s">
        <v>145</v>
      </c>
      <c r="AP380" s="7">
        <v>2014</v>
      </c>
      <c r="AQ380" s="7">
        <f t="shared" si="59"/>
        <v>2017</v>
      </c>
      <c r="AS380" s="211">
        <v>-99</v>
      </c>
      <c r="AT380" s="211">
        <v>-99</v>
      </c>
      <c r="AU380" s="211">
        <v>-99</v>
      </c>
      <c r="AV380" s="211">
        <v>-99</v>
      </c>
      <c r="AW380" s="211">
        <v>-99</v>
      </c>
      <c r="AX380" s="211">
        <v>-99</v>
      </c>
      <c r="AZ380" s="211">
        <v>-99</v>
      </c>
      <c r="BA380" s="211">
        <v>-99</v>
      </c>
      <c r="BB380" s="211">
        <v>-99</v>
      </c>
      <c r="BC380" s="211">
        <v>-99</v>
      </c>
      <c r="BD380" s="211">
        <v>-99</v>
      </c>
      <c r="BE380" s="211">
        <v>-99</v>
      </c>
      <c r="BG380" s="211">
        <v>-99</v>
      </c>
      <c r="BH380" s="211">
        <v>-99</v>
      </c>
      <c r="BI380" s="211">
        <v>-99</v>
      </c>
      <c r="BJ380" s="211">
        <v>-99</v>
      </c>
      <c r="BK380" s="211">
        <v>-99</v>
      </c>
      <c r="BL380" s="211">
        <v>-99</v>
      </c>
      <c r="BM380" s="211">
        <v>-99</v>
      </c>
      <c r="BN380" s="191">
        <f t="shared" si="48"/>
        <v>1.1935402499999803E-2</v>
      </c>
      <c r="BO380" s="191">
        <f t="shared" si="49"/>
        <v>2.1716639999999732E-2</v>
      </c>
      <c r="BP380" s="191">
        <f t="shared" si="50"/>
        <v>5.708122499999968E-3</v>
      </c>
      <c r="BQ380" s="171">
        <f t="shared" si="51"/>
        <v>2.0099999999999996E-2</v>
      </c>
      <c r="BR380" s="171">
        <f t="shared" si="52"/>
        <v>4.6399999999999997E-2</v>
      </c>
      <c r="BS380" s="171">
        <f t="shared" si="53"/>
        <v>1.1899999999999999E-2</v>
      </c>
      <c r="BT380" s="171">
        <f t="shared" si="54"/>
        <v>2.1600000000000001E-2</v>
      </c>
      <c r="BU380" s="171">
        <f t="shared" si="55"/>
        <v>5.6999999999999993E-3</v>
      </c>
    </row>
    <row r="381" spans="1:73" x14ac:dyDescent="0.3">
      <c r="A381" s="209">
        <v>42856</v>
      </c>
      <c r="B381" s="187">
        <v>201705</v>
      </c>
      <c r="C381" s="176">
        <v>1.87</v>
      </c>
      <c r="D381" s="176">
        <v>4.6399999999999997</v>
      </c>
      <c r="E381" s="176">
        <v>0.49</v>
      </c>
      <c r="F381" s="177">
        <v>130.5</v>
      </c>
      <c r="G381" s="210">
        <v>1.491365777080067E-2</v>
      </c>
      <c r="H381" s="179">
        <v>1.1299999999999999</v>
      </c>
      <c r="I381" s="179">
        <v>2.0499999999999998</v>
      </c>
      <c r="K381" s="182">
        <v>2.5000000000000001E-2</v>
      </c>
      <c r="L381" s="182">
        <v>0.03</v>
      </c>
      <c r="N381" s="182">
        <v>2.75E-2</v>
      </c>
      <c r="O381" s="182">
        <v>0.01</v>
      </c>
      <c r="Q381" s="182">
        <v>1.7500000000000002E-2</v>
      </c>
      <c r="R381" s="182">
        <v>3.2500000000000001E-2</v>
      </c>
      <c r="S381" s="182">
        <v>7.4999999999999997E-3</v>
      </c>
      <c r="T381" s="182">
        <v>1.2500000000000001E-2</v>
      </c>
      <c r="V381" s="194">
        <v>2.1000000000000001E-2</v>
      </c>
      <c r="W381" s="194">
        <v>3.6000000000000004E-2</v>
      </c>
      <c r="X381" s="194">
        <v>1.2E-2</v>
      </c>
      <c r="Y381" s="194">
        <v>1.6E-2</v>
      </c>
      <c r="Z381" s="194"/>
      <c r="AA381" s="195">
        <v>2.0935402499999804E-2</v>
      </c>
      <c r="AB381" s="195">
        <v>3.5607258749999697E-2</v>
      </c>
      <c r="AC381" s="195">
        <v>1.2137167607733314E-2</v>
      </c>
      <c r="AD381" s="195">
        <v>1.5993599946133297E-2</v>
      </c>
      <c r="AE381" s="195"/>
      <c r="AF381" s="195">
        <v>4.3463648870151195E-3</v>
      </c>
      <c r="AG381" s="195">
        <v>9.652451946993601E-3</v>
      </c>
      <c r="AI381" s="182">
        <v>1.1331922499999925E-2</v>
      </c>
      <c r="AJ381" s="182">
        <v>2.0605062500000271E-2</v>
      </c>
      <c r="AK381" s="182">
        <v>4.9060025000000618E-3</v>
      </c>
      <c r="AM381" s="27" t="s">
        <v>146</v>
      </c>
      <c r="AN381" s="7" t="b">
        <f t="shared" si="57"/>
        <v>1</v>
      </c>
      <c r="AO381" s="7" t="s">
        <v>145</v>
      </c>
      <c r="AP381" s="7">
        <v>2014</v>
      </c>
      <c r="AQ381" s="7">
        <f t="shared" si="59"/>
        <v>2017</v>
      </c>
      <c r="AS381" s="211">
        <v>-99</v>
      </c>
      <c r="AT381" s="211">
        <v>-99</v>
      </c>
      <c r="AU381" s="211">
        <v>-99</v>
      </c>
      <c r="AV381" s="211">
        <v>-99</v>
      </c>
      <c r="AW381" s="211">
        <v>-99</v>
      </c>
      <c r="AX381" s="211">
        <v>-99</v>
      </c>
      <c r="AZ381" s="211">
        <v>-99</v>
      </c>
      <c r="BA381" s="211">
        <v>-99</v>
      </c>
      <c r="BB381" s="211">
        <v>-99</v>
      </c>
      <c r="BC381" s="211">
        <v>-99</v>
      </c>
      <c r="BD381" s="211">
        <v>-99</v>
      </c>
      <c r="BE381" s="211">
        <v>-99</v>
      </c>
      <c r="BG381" s="211">
        <v>-99</v>
      </c>
      <c r="BH381" s="211">
        <v>-99</v>
      </c>
      <c r="BI381" s="211">
        <v>-99</v>
      </c>
      <c r="BJ381" s="211">
        <v>-99</v>
      </c>
      <c r="BK381" s="211">
        <v>-99</v>
      </c>
      <c r="BL381" s="211">
        <v>-99</v>
      </c>
      <c r="BM381" s="211">
        <v>-99</v>
      </c>
      <c r="BN381" s="191">
        <f t="shared" si="48"/>
        <v>1.1331922499999925E-2</v>
      </c>
      <c r="BO381" s="191">
        <f t="shared" si="49"/>
        <v>2.0605062500000271E-2</v>
      </c>
      <c r="BP381" s="191">
        <f t="shared" si="50"/>
        <v>4.9060025000000618E-3</v>
      </c>
      <c r="BQ381" s="171">
        <f t="shared" si="51"/>
        <v>1.8700000000000001E-2</v>
      </c>
      <c r="BR381" s="171">
        <f t="shared" si="52"/>
        <v>4.6399999999999997E-2</v>
      </c>
      <c r="BS381" s="171">
        <f t="shared" si="53"/>
        <v>1.1299999999999999E-2</v>
      </c>
      <c r="BT381" s="171">
        <f t="shared" si="54"/>
        <v>2.0499999999999997E-2</v>
      </c>
      <c r="BU381" s="171">
        <f t="shared" si="55"/>
        <v>4.8999999999999998E-3</v>
      </c>
    </row>
    <row r="382" spans="1:73" x14ac:dyDescent="0.3">
      <c r="A382" s="209">
        <v>42887</v>
      </c>
      <c r="B382" s="187">
        <v>201706</v>
      </c>
      <c r="C382" s="176">
        <v>1.99</v>
      </c>
      <c r="D382" s="176">
        <v>4.6399999999999997</v>
      </c>
      <c r="E382" s="176">
        <v>0.57999999999999996</v>
      </c>
      <c r="F382" s="177">
        <v>130.4</v>
      </c>
      <c r="G382" s="210">
        <v>1.4901960784313717E-2</v>
      </c>
      <c r="H382" s="179">
        <v>1.43</v>
      </c>
      <c r="I382" s="179">
        <v>2.06</v>
      </c>
      <c r="K382" s="182">
        <v>2.5000000000000001E-2</v>
      </c>
      <c r="L382" s="182">
        <v>0.03</v>
      </c>
      <c r="N382" s="182">
        <v>2.5000000000000001E-2</v>
      </c>
      <c r="O382" s="182">
        <v>7.4999999999999997E-3</v>
      </c>
      <c r="Q382" s="182">
        <v>1.7500000000000002E-2</v>
      </c>
      <c r="R382" s="182">
        <v>3.2500000000000001E-2</v>
      </c>
      <c r="S382" s="182">
        <v>7.4999999999999997E-3</v>
      </c>
      <c r="T382" s="182">
        <v>1.2500000000000001E-2</v>
      </c>
      <c r="V382" s="194">
        <v>0.02</v>
      </c>
      <c r="W382" s="194">
        <v>3.4000000000000002E-2</v>
      </c>
      <c r="X382" s="194">
        <v>1.2E-2</v>
      </c>
      <c r="Y382" s="194">
        <v>1.4999999999999999E-2</v>
      </c>
      <c r="Z382" s="194"/>
      <c r="AA382" s="195">
        <v>2.0331922499999926E-2</v>
      </c>
      <c r="AB382" s="195">
        <v>3.4241632500000445E-2</v>
      </c>
      <c r="AC382" s="195">
        <v>1.1698096165192698E-2</v>
      </c>
      <c r="AD382" s="195">
        <v>1.5009955667403745E-2</v>
      </c>
      <c r="AE382" s="195"/>
      <c r="AF382" s="195">
        <v>4.2669974212333761E-3</v>
      </c>
      <c r="AG382" s="195">
        <v>9.47363950728497E-3</v>
      </c>
      <c r="AI382" s="182">
        <v>1.4351122499999924E-2</v>
      </c>
      <c r="AJ382" s="182">
        <v>2.070609000000001E-2</v>
      </c>
      <c r="AK382" s="182">
        <v>5.808409999999764E-3</v>
      </c>
      <c r="AM382" s="27" t="s">
        <v>146</v>
      </c>
      <c r="AN382" s="7" t="b">
        <f t="shared" si="57"/>
        <v>1</v>
      </c>
      <c r="AO382" s="7" t="s">
        <v>145</v>
      </c>
      <c r="AP382" s="7">
        <v>2014</v>
      </c>
      <c r="AQ382" s="7">
        <f t="shared" si="59"/>
        <v>2017</v>
      </c>
      <c r="AS382" s="211">
        <v>-99</v>
      </c>
      <c r="AT382" s="211">
        <v>-99</v>
      </c>
      <c r="AU382" s="211">
        <v>-99</v>
      </c>
      <c r="AV382" s="211">
        <v>-99</v>
      </c>
      <c r="AW382" s="211">
        <v>-99</v>
      </c>
      <c r="AX382" s="211">
        <v>-99</v>
      </c>
      <c r="AZ382" s="211">
        <v>-99</v>
      </c>
      <c r="BA382" s="211">
        <v>-99</v>
      </c>
      <c r="BB382" s="211">
        <v>-99</v>
      </c>
      <c r="BC382" s="211">
        <v>-99</v>
      </c>
      <c r="BD382" s="211">
        <v>-99</v>
      </c>
      <c r="BE382" s="211">
        <v>-99</v>
      </c>
      <c r="BG382" s="211">
        <v>-99</v>
      </c>
      <c r="BH382" s="211">
        <v>-99</v>
      </c>
      <c r="BI382" s="211">
        <v>-99</v>
      </c>
      <c r="BJ382" s="211">
        <v>-99</v>
      </c>
      <c r="BK382" s="211">
        <v>-99</v>
      </c>
      <c r="BL382" s="211">
        <v>-99</v>
      </c>
      <c r="BM382" s="211">
        <v>-99</v>
      </c>
      <c r="BN382" s="191">
        <f t="shared" si="48"/>
        <v>1.4351122499999924E-2</v>
      </c>
      <c r="BO382" s="191">
        <f t="shared" si="49"/>
        <v>2.070609000000001E-2</v>
      </c>
      <c r="BP382" s="191">
        <f t="shared" si="50"/>
        <v>5.808409999999764E-3</v>
      </c>
      <c r="BQ382" s="171">
        <f t="shared" si="51"/>
        <v>1.9900000000000001E-2</v>
      </c>
      <c r="BR382" s="171">
        <f t="shared" si="52"/>
        <v>4.6399999999999997E-2</v>
      </c>
      <c r="BS382" s="171">
        <f t="shared" si="53"/>
        <v>1.43E-2</v>
      </c>
      <c r="BT382" s="171">
        <f t="shared" si="54"/>
        <v>2.06E-2</v>
      </c>
      <c r="BU382" s="171">
        <f t="shared" si="55"/>
        <v>5.7999999999999996E-3</v>
      </c>
    </row>
    <row r="383" spans="1:73" x14ac:dyDescent="0.3">
      <c r="A383" s="209">
        <v>42917</v>
      </c>
      <c r="B383" s="187">
        <v>201707</v>
      </c>
      <c r="C383" s="176">
        <v>2.29</v>
      </c>
      <c r="D383" s="176">
        <v>4.84</v>
      </c>
      <c r="E383" s="176">
        <v>0.74</v>
      </c>
      <c r="F383" s="177">
        <v>130.4</v>
      </c>
      <c r="G383" s="210">
        <v>1.4095536413468945E-2</v>
      </c>
      <c r="H383" s="179">
        <v>1.76</v>
      </c>
      <c r="I383" s="179">
        <v>2.35</v>
      </c>
      <c r="K383" s="182">
        <v>0.02</v>
      </c>
      <c r="L383" s="182">
        <v>0.03</v>
      </c>
      <c r="N383" s="182">
        <v>2.5000000000000001E-2</v>
      </c>
      <c r="O383" s="182">
        <v>7.4999999999999997E-3</v>
      </c>
      <c r="Q383" s="182">
        <v>1.7500000000000002E-2</v>
      </c>
      <c r="R383" s="182">
        <v>0.03</v>
      </c>
      <c r="S383" s="182">
        <v>7.4999999999999997E-3</v>
      </c>
      <c r="T383" s="182">
        <v>0.01</v>
      </c>
      <c r="V383" s="194">
        <v>2.3E-2</v>
      </c>
      <c r="W383" s="194">
        <v>3.3000000000000002E-2</v>
      </c>
      <c r="X383" s="194">
        <v>1.3000000000000001E-2</v>
      </c>
      <c r="Y383" s="194">
        <v>1.6E-2</v>
      </c>
      <c r="Z383" s="194"/>
      <c r="AA383" s="195">
        <v>2.3351122499999925E-2</v>
      </c>
      <c r="AB383" s="195">
        <v>3.2883573750000054E-2</v>
      </c>
      <c r="AC383" s="195">
        <v>1.3025733658079394E-2</v>
      </c>
      <c r="AD383" s="195">
        <v>1.5699748170959951E-2</v>
      </c>
      <c r="AE383" s="195"/>
      <c r="AF383" s="195">
        <v>5.0963112282621514E-3</v>
      </c>
      <c r="AG383" s="195">
        <v>8.4591069407982111E-3</v>
      </c>
      <c r="AI383" s="182">
        <v>1.7677439999999933E-2</v>
      </c>
      <c r="AJ383" s="182">
        <v>2.363806249999989E-2</v>
      </c>
      <c r="AK383" s="182">
        <v>7.4136900000001393E-3</v>
      </c>
      <c r="AM383" s="27" t="s">
        <v>146</v>
      </c>
      <c r="AN383" s="7" t="b">
        <f t="shared" si="57"/>
        <v>1</v>
      </c>
      <c r="AO383" s="7" t="s">
        <v>145</v>
      </c>
      <c r="AP383" s="7">
        <v>2014</v>
      </c>
      <c r="AQ383" s="7">
        <f t="shared" si="59"/>
        <v>2017</v>
      </c>
      <c r="AS383" s="211">
        <v>-99</v>
      </c>
      <c r="AT383" s="211">
        <v>-99</v>
      </c>
      <c r="AU383" s="211">
        <v>-99</v>
      </c>
      <c r="AV383" s="211">
        <v>-99</v>
      </c>
      <c r="AW383" s="211">
        <v>-99</v>
      </c>
      <c r="AX383" s="211">
        <v>-99</v>
      </c>
      <c r="AZ383" s="211">
        <v>-99</v>
      </c>
      <c r="BA383" s="211">
        <v>-99</v>
      </c>
      <c r="BB383" s="211">
        <v>-99</v>
      </c>
      <c r="BC383" s="211">
        <v>-99</v>
      </c>
      <c r="BD383" s="211">
        <v>-99</v>
      </c>
      <c r="BE383" s="211">
        <v>-99</v>
      </c>
      <c r="BG383" s="211">
        <v>-99</v>
      </c>
      <c r="BH383" s="211">
        <v>-99</v>
      </c>
      <c r="BI383" s="211">
        <v>-99</v>
      </c>
      <c r="BJ383" s="211">
        <v>-99</v>
      </c>
      <c r="BK383" s="211">
        <v>-99</v>
      </c>
      <c r="BL383" s="211">
        <v>-99</v>
      </c>
      <c r="BM383" s="211">
        <v>-99</v>
      </c>
      <c r="BN383" s="191">
        <f t="shared" si="48"/>
        <v>1.7677439999999933E-2</v>
      </c>
      <c r="BO383" s="191">
        <f t="shared" si="49"/>
        <v>2.363806249999989E-2</v>
      </c>
      <c r="BP383" s="191">
        <f t="shared" si="50"/>
        <v>7.4136900000001393E-3</v>
      </c>
      <c r="BQ383" s="171">
        <f t="shared" si="51"/>
        <v>2.29E-2</v>
      </c>
      <c r="BR383" s="171">
        <f t="shared" si="52"/>
        <v>4.8399999999999999E-2</v>
      </c>
      <c r="BS383" s="171">
        <f t="shared" si="53"/>
        <v>1.7600000000000001E-2</v>
      </c>
      <c r="BT383" s="171">
        <f t="shared" si="54"/>
        <v>2.35E-2</v>
      </c>
      <c r="BU383" s="171">
        <f t="shared" si="55"/>
        <v>7.4000000000000003E-3</v>
      </c>
    </row>
    <row r="384" spans="1:73" x14ac:dyDescent="0.3">
      <c r="A384" s="209">
        <v>42948</v>
      </c>
      <c r="B384" s="187">
        <v>201708</v>
      </c>
      <c r="C384" s="176">
        <v>2.19</v>
      </c>
      <c r="D384" s="176">
        <v>4.8899999999999997</v>
      </c>
      <c r="E384" s="176">
        <v>0.7</v>
      </c>
      <c r="F384" s="177">
        <v>130.5</v>
      </c>
      <c r="G384" s="210">
        <v>1.4866979655711932E-2</v>
      </c>
      <c r="H384" s="179">
        <v>1.65</v>
      </c>
      <c r="I384" s="179">
        <v>2.27</v>
      </c>
      <c r="K384" s="182">
        <v>0.02</v>
      </c>
      <c r="L384" s="182">
        <v>0.03</v>
      </c>
      <c r="N384" s="182">
        <v>2.5000000000000001E-2</v>
      </c>
      <c r="O384" s="182">
        <v>7.4999999999999997E-3</v>
      </c>
      <c r="Q384" s="182">
        <v>0.02</v>
      </c>
      <c r="R384" s="182">
        <v>0.03</v>
      </c>
      <c r="S384" s="182">
        <v>0.01</v>
      </c>
      <c r="T384" s="182">
        <v>1.2500000000000001E-2</v>
      </c>
      <c r="V384" s="194">
        <v>2.7E-2</v>
      </c>
      <c r="W384" s="194">
        <v>3.6000000000000004E-2</v>
      </c>
      <c r="X384" s="194">
        <v>1.4999999999999999E-2</v>
      </c>
      <c r="Y384" s="194">
        <v>1.7000000000000001E-2</v>
      </c>
      <c r="Z384" s="194"/>
      <c r="AA384" s="195">
        <v>2.6677439999999934E-2</v>
      </c>
      <c r="AB384" s="195">
        <v>3.561837374999987E-2</v>
      </c>
      <c r="AC384" s="195">
        <v>1.4544238668190448E-2</v>
      </c>
      <c r="AD384" s="195">
        <v>1.7348415665904986E-2</v>
      </c>
      <c r="AE384" s="195"/>
      <c r="AF384" s="195">
        <v>5.9796314785330873E-3</v>
      </c>
      <c r="AG384" s="195">
        <v>8.9792040773643E-3</v>
      </c>
      <c r="AI384" s="182">
        <v>1.6568062500000202E-2</v>
      </c>
      <c r="AJ384" s="182">
        <v>2.2828822499999957E-2</v>
      </c>
      <c r="AK384" s="182">
        <v>7.0122500000000532E-3</v>
      </c>
      <c r="AM384" s="27" t="s">
        <v>146</v>
      </c>
      <c r="AN384" s="7" t="b">
        <f t="shared" si="57"/>
        <v>1</v>
      </c>
      <c r="AO384" s="7" t="s">
        <v>145</v>
      </c>
      <c r="AP384" s="7">
        <v>2014</v>
      </c>
      <c r="AQ384" s="7">
        <f t="shared" ref="AQ384:AQ389" si="60">YEAR(A384)</f>
        <v>2017</v>
      </c>
      <c r="AS384" s="211">
        <v>-99</v>
      </c>
      <c r="AT384" s="211">
        <v>-99</v>
      </c>
      <c r="AU384" s="211">
        <v>-99</v>
      </c>
      <c r="AV384" s="211">
        <v>-99</v>
      </c>
      <c r="AW384" s="211">
        <v>-99</v>
      </c>
      <c r="AX384" s="211">
        <v>-99</v>
      </c>
      <c r="AZ384" s="211">
        <v>-99</v>
      </c>
      <c r="BA384" s="211">
        <v>-99</v>
      </c>
      <c r="BB384" s="211">
        <v>-99</v>
      </c>
      <c r="BC384" s="211">
        <v>-99</v>
      </c>
      <c r="BD384" s="211">
        <v>-99</v>
      </c>
      <c r="BE384" s="211">
        <v>-99</v>
      </c>
      <c r="BG384" s="211">
        <v>-99</v>
      </c>
      <c r="BH384" s="211">
        <v>-99</v>
      </c>
      <c r="BI384" s="211">
        <v>-99</v>
      </c>
      <c r="BJ384" s="211">
        <v>-99</v>
      </c>
      <c r="BK384" s="211">
        <v>-99</v>
      </c>
      <c r="BL384" s="211">
        <v>-99</v>
      </c>
      <c r="BM384" s="211">
        <v>-99</v>
      </c>
      <c r="BN384" s="191">
        <f t="shared" si="48"/>
        <v>1.6568062500000202E-2</v>
      </c>
      <c r="BO384" s="191">
        <f t="shared" si="49"/>
        <v>2.2828822499999957E-2</v>
      </c>
      <c r="BP384" s="191">
        <f t="shared" si="50"/>
        <v>7.0122500000000532E-3</v>
      </c>
      <c r="BQ384" s="171">
        <f t="shared" si="51"/>
        <v>2.1899999999999999E-2</v>
      </c>
      <c r="BR384" s="171">
        <f t="shared" si="52"/>
        <v>4.8899999999999999E-2</v>
      </c>
      <c r="BS384" s="171">
        <f t="shared" si="53"/>
        <v>1.6500000000000001E-2</v>
      </c>
      <c r="BT384" s="171">
        <f t="shared" si="54"/>
        <v>2.2700000000000001E-2</v>
      </c>
      <c r="BU384" s="171">
        <f t="shared" si="55"/>
        <v>6.9999999999999993E-3</v>
      </c>
    </row>
    <row r="385" spans="1:73" x14ac:dyDescent="0.3">
      <c r="A385" s="209">
        <v>42979</v>
      </c>
      <c r="B385" s="187">
        <v>201709</v>
      </c>
      <c r="C385" s="176">
        <v>2.42</v>
      </c>
      <c r="D385" s="176">
        <v>4.99</v>
      </c>
      <c r="E385" s="176">
        <v>0.83</v>
      </c>
      <c r="F385" s="177">
        <v>130.80000000000001</v>
      </c>
      <c r="G385" s="210">
        <v>1.5637216575449475E-2</v>
      </c>
      <c r="H385" s="179">
        <v>1.96</v>
      </c>
      <c r="I385" s="179">
        <v>2.4900000000000002</v>
      </c>
      <c r="K385" s="182">
        <v>2.5000000000000001E-2</v>
      </c>
      <c r="L385" s="182">
        <v>0.03</v>
      </c>
      <c r="N385" s="182">
        <v>2.75E-2</v>
      </c>
      <c r="O385" s="182">
        <v>0.01</v>
      </c>
      <c r="Q385" s="182">
        <v>2.2499999999999999E-2</v>
      </c>
      <c r="R385" s="182">
        <v>3.2500000000000001E-2</v>
      </c>
      <c r="S385" s="182">
        <v>0.01</v>
      </c>
      <c r="T385" s="182">
        <v>1.2500000000000001E-2</v>
      </c>
      <c r="V385" s="194">
        <v>2.6000000000000002E-2</v>
      </c>
      <c r="W385" s="194">
        <v>3.5000000000000003E-2</v>
      </c>
      <c r="X385" s="194">
        <v>1.4E-2</v>
      </c>
      <c r="Y385" s="194">
        <v>1.7000000000000001E-2</v>
      </c>
      <c r="Z385" s="194"/>
      <c r="AA385" s="195">
        <v>2.5568062500000203E-2</v>
      </c>
      <c r="AB385" s="195">
        <v>3.4959202499999835E-2</v>
      </c>
      <c r="AC385" s="195">
        <v>1.4089154128103959E-2</v>
      </c>
      <c r="AD385" s="195">
        <v>1.6973797935948103E-2</v>
      </c>
      <c r="AE385" s="195"/>
      <c r="AF385" s="195">
        <v>5.65971360859574E-3</v>
      </c>
      <c r="AG385" s="195">
        <v>8.8426096132244725E-3</v>
      </c>
      <c r="AI385" s="182">
        <v>1.9696040000000137E-2</v>
      </c>
      <c r="AJ385" s="182">
        <v>2.5055002500000256E-2</v>
      </c>
      <c r="AK385" s="182">
        <v>8.3172225000001099E-3</v>
      </c>
      <c r="AM385" s="27" t="s">
        <v>146</v>
      </c>
      <c r="AN385" s="7" t="b">
        <f t="shared" si="57"/>
        <v>1</v>
      </c>
      <c r="AO385" s="7" t="s">
        <v>145</v>
      </c>
      <c r="AP385" s="7">
        <v>2014</v>
      </c>
      <c r="AQ385" s="7">
        <f t="shared" si="60"/>
        <v>2017</v>
      </c>
      <c r="AS385" s="211">
        <v>-99</v>
      </c>
      <c r="AT385" s="211">
        <v>-99</v>
      </c>
      <c r="AU385" s="211">
        <v>-99</v>
      </c>
      <c r="AV385" s="211">
        <v>-99</v>
      </c>
      <c r="AW385" s="211">
        <v>-99</v>
      </c>
      <c r="AX385" s="211">
        <v>-99</v>
      </c>
      <c r="AZ385" s="211">
        <v>-99</v>
      </c>
      <c r="BA385" s="211">
        <v>-99</v>
      </c>
      <c r="BB385" s="211">
        <v>-99</v>
      </c>
      <c r="BC385" s="211">
        <v>-99</v>
      </c>
      <c r="BD385" s="211">
        <v>-99</v>
      </c>
      <c r="BE385" s="211">
        <v>-99</v>
      </c>
      <c r="BG385" s="211">
        <v>-99</v>
      </c>
      <c r="BH385" s="211">
        <v>-99</v>
      </c>
      <c r="BI385" s="211">
        <v>-99</v>
      </c>
      <c r="BJ385" s="211">
        <v>-99</v>
      </c>
      <c r="BK385" s="211">
        <v>-99</v>
      </c>
      <c r="BL385" s="211">
        <v>-99</v>
      </c>
      <c r="BM385" s="211">
        <v>-99</v>
      </c>
      <c r="BN385" s="191">
        <f t="shared" si="48"/>
        <v>1.9696040000000137E-2</v>
      </c>
      <c r="BO385" s="191">
        <f t="shared" si="49"/>
        <v>2.5055002500000256E-2</v>
      </c>
      <c r="BP385" s="191">
        <f t="shared" si="50"/>
        <v>8.3172225000001099E-3</v>
      </c>
      <c r="BQ385" s="171">
        <f t="shared" si="51"/>
        <v>2.4199999999999999E-2</v>
      </c>
      <c r="BR385" s="171">
        <f t="shared" si="52"/>
        <v>4.99E-2</v>
      </c>
      <c r="BS385" s="171">
        <f t="shared" si="53"/>
        <v>1.9599999999999999E-2</v>
      </c>
      <c r="BT385" s="171">
        <f t="shared" si="54"/>
        <v>2.4900000000000002E-2</v>
      </c>
      <c r="BU385" s="171">
        <f t="shared" si="55"/>
        <v>8.3000000000000001E-3</v>
      </c>
    </row>
    <row r="386" spans="1:73" x14ac:dyDescent="0.3">
      <c r="A386" s="209">
        <v>43009</v>
      </c>
      <c r="B386" s="187">
        <v>201710</v>
      </c>
      <c r="C386" s="176">
        <v>2.3199999999999998</v>
      </c>
      <c r="D386" s="176">
        <v>4.99</v>
      </c>
      <c r="E386" s="176">
        <v>0.76</v>
      </c>
      <c r="F386" s="177">
        <v>130.9</v>
      </c>
      <c r="G386" s="210">
        <v>1.4832162373145996E-2</v>
      </c>
      <c r="H386" s="179">
        <v>1.84</v>
      </c>
      <c r="I386" s="179">
        <v>2.38</v>
      </c>
      <c r="K386" s="182">
        <v>2.5000000000000001E-2</v>
      </c>
      <c r="L386" s="182">
        <v>0.03</v>
      </c>
      <c r="N386" s="182">
        <v>2.75E-2</v>
      </c>
      <c r="O386" s="182">
        <v>0.01</v>
      </c>
      <c r="Q386" s="182">
        <v>2.2499999999999999E-2</v>
      </c>
      <c r="R386" s="182">
        <v>0.03</v>
      </c>
      <c r="S386" s="182">
        <v>0.01</v>
      </c>
      <c r="T386" s="182">
        <v>1.2500000000000001E-2</v>
      </c>
      <c r="V386" s="194">
        <v>2.9000000000000001E-2</v>
      </c>
      <c r="W386" s="194">
        <v>3.6999999999999998E-2</v>
      </c>
      <c r="X386" s="194">
        <v>1.6E-2</v>
      </c>
      <c r="Y386" s="194">
        <v>1.8000000000000002E-2</v>
      </c>
      <c r="Z386" s="194"/>
      <c r="AA386" s="195">
        <v>2.8696040000000138E-2</v>
      </c>
      <c r="AB386" s="195">
        <v>3.6734483750000317E-2</v>
      </c>
      <c r="AC386" s="195">
        <v>1.5538269036249414E-2</v>
      </c>
      <c r="AD386" s="195">
        <v>1.820669923187546E-2</v>
      </c>
      <c r="AE386" s="195"/>
      <c r="AF386" s="195">
        <v>6.4782250777400963E-3</v>
      </c>
      <c r="AG386" s="195">
        <v>9.0982432801227642E-3</v>
      </c>
      <c r="AI386" s="182">
        <v>1.8484640000000274E-2</v>
      </c>
      <c r="AJ386" s="182">
        <v>2.3941610000000058E-2</v>
      </c>
      <c r="AK386" s="182">
        <v>7.6144400000000001E-3</v>
      </c>
      <c r="AM386" s="27" t="s">
        <v>146</v>
      </c>
      <c r="AN386" s="7" t="b">
        <f t="shared" si="57"/>
        <v>1</v>
      </c>
      <c r="AO386" s="7" t="s">
        <v>145</v>
      </c>
      <c r="AP386" s="7">
        <v>2014</v>
      </c>
      <c r="AQ386" s="7">
        <f t="shared" si="60"/>
        <v>2017</v>
      </c>
      <c r="AS386" s="211">
        <v>-99</v>
      </c>
      <c r="AT386" s="211">
        <v>-99</v>
      </c>
      <c r="AU386" s="211">
        <v>-99</v>
      </c>
      <c r="AV386" s="211">
        <v>-99</v>
      </c>
      <c r="AW386" s="211">
        <v>-99</v>
      </c>
      <c r="AX386" s="211">
        <v>-99</v>
      </c>
      <c r="AZ386" s="211">
        <v>-99</v>
      </c>
      <c r="BA386" s="211">
        <v>-99</v>
      </c>
      <c r="BB386" s="211">
        <v>-99</v>
      </c>
      <c r="BC386" s="211">
        <v>-99</v>
      </c>
      <c r="BD386" s="211">
        <v>-99</v>
      </c>
      <c r="BE386" s="211">
        <v>-99</v>
      </c>
      <c r="BG386" s="211">
        <v>-99</v>
      </c>
      <c r="BH386" s="211">
        <v>-99</v>
      </c>
      <c r="BI386" s="211">
        <v>-99</v>
      </c>
      <c r="BJ386" s="211">
        <v>-99</v>
      </c>
      <c r="BK386" s="211">
        <v>-99</v>
      </c>
      <c r="BL386" s="211">
        <v>-99</v>
      </c>
      <c r="BM386" s="211">
        <v>-99</v>
      </c>
      <c r="BN386" s="191">
        <f t="shared" si="48"/>
        <v>1.8484640000000274E-2</v>
      </c>
      <c r="BO386" s="191">
        <f t="shared" si="49"/>
        <v>2.3941610000000058E-2</v>
      </c>
      <c r="BP386" s="191">
        <f t="shared" si="50"/>
        <v>7.6144400000000001E-3</v>
      </c>
      <c r="BQ386" s="171">
        <f t="shared" si="51"/>
        <v>2.3199999999999998E-2</v>
      </c>
      <c r="BR386" s="171">
        <f t="shared" si="52"/>
        <v>4.99E-2</v>
      </c>
      <c r="BS386" s="171">
        <f t="shared" si="53"/>
        <v>1.84E-2</v>
      </c>
      <c r="BT386" s="171">
        <f t="shared" si="54"/>
        <v>2.3799999999999998E-2</v>
      </c>
      <c r="BU386" s="171">
        <f t="shared" si="55"/>
        <v>7.6E-3</v>
      </c>
    </row>
    <row r="387" spans="1:73" x14ac:dyDescent="0.3">
      <c r="A387" s="209">
        <v>43040</v>
      </c>
      <c r="B387" s="187">
        <v>201711</v>
      </c>
      <c r="C387" s="176">
        <v>2.16</v>
      </c>
      <c r="D387" s="176">
        <v>4.99</v>
      </c>
      <c r="E387" s="176">
        <v>0.6</v>
      </c>
      <c r="F387" s="177">
        <v>131.30000000000001</v>
      </c>
      <c r="G387" s="210">
        <v>1.5600624024961096E-2</v>
      </c>
      <c r="H387" s="179">
        <v>1.72</v>
      </c>
      <c r="I387" s="179">
        <v>2.23</v>
      </c>
      <c r="K387" s="182">
        <v>2.5000000000000001E-2</v>
      </c>
      <c r="L387" s="182">
        <v>0.03</v>
      </c>
      <c r="N387" s="182">
        <v>0.03</v>
      </c>
      <c r="O387" s="182">
        <v>0.01</v>
      </c>
      <c r="Q387" s="182">
        <v>2.5000000000000001E-2</v>
      </c>
      <c r="R387" s="182">
        <v>3.2500000000000001E-2</v>
      </c>
      <c r="S387" s="182">
        <v>1.2500000000000001E-2</v>
      </c>
      <c r="T387" s="182">
        <v>1.4999999999999999E-2</v>
      </c>
      <c r="V387" s="194">
        <v>2.7E-2</v>
      </c>
      <c r="W387" s="194">
        <v>3.6000000000000004E-2</v>
      </c>
      <c r="X387" s="194">
        <v>1.4999999999999999E-2</v>
      </c>
      <c r="Y387" s="194">
        <v>1.7000000000000001E-2</v>
      </c>
      <c r="Z387" s="194"/>
      <c r="AA387" s="195">
        <v>2.7484640000000275E-2</v>
      </c>
      <c r="AB387" s="195">
        <v>3.567009499999995E-2</v>
      </c>
      <c r="AC387" s="195">
        <v>1.4878893783734751E-2</v>
      </c>
      <c r="AD387" s="195">
        <v>1.7482213108132624E-2</v>
      </c>
      <c r="AE387" s="195"/>
      <c r="AF387" s="195">
        <v>6.210468211269915E-3</v>
      </c>
      <c r="AG387" s="195">
        <v>8.9376903387373696E-3</v>
      </c>
      <c r="AI387" s="182">
        <v>1.7273959999999811E-2</v>
      </c>
      <c r="AJ387" s="182">
        <v>2.2424322500000038E-2</v>
      </c>
      <c r="AK387" s="182">
        <v>6.008999999999709E-3</v>
      </c>
      <c r="AM387" s="27" t="s">
        <v>146</v>
      </c>
      <c r="AN387" s="7" t="b">
        <f t="shared" si="57"/>
        <v>1</v>
      </c>
      <c r="AO387" s="7" t="s">
        <v>145</v>
      </c>
      <c r="AP387" s="7">
        <v>2014</v>
      </c>
      <c r="AQ387" s="7">
        <f t="shared" si="60"/>
        <v>2017</v>
      </c>
      <c r="AS387" s="211">
        <v>-99</v>
      </c>
      <c r="AT387" s="211">
        <v>-99</v>
      </c>
      <c r="AU387" s="211">
        <v>-99</v>
      </c>
      <c r="AV387" s="211">
        <v>-99</v>
      </c>
      <c r="AW387" s="211">
        <v>-99</v>
      </c>
      <c r="AX387" s="211">
        <v>-99</v>
      </c>
      <c r="AZ387" s="211">
        <v>-99</v>
      </c>
      <c r="BA387" s="211">
        <v>-99</v>
      </c>
      <c r="BB387" s="211">
        <v>-99</v>
      </c>
      <c r="BC387" s="211">
        <v>-99</v>
      </c>
      <c r="BD387" s="211">
        <v>-99</v>
      </c>
      <c r="BE387" s="211">
        <v>-99</v>
      </c>
      <c r="BG387" s="211">
        <v>-99</v>
      </c>
      <c r="BH387" s="211">
        <v>-99</v>
      </c>
      <c r="BI387" s="211">
        <v>-99</v>
      </c>
      <c r="BJ387" s="211">
        <v>-99</v>
      </c>
      <c r="BK387" s="211">
        <v>-99</v>
      </c>
      <c r="BL387" s="211">
        <v>-99</v>
      </c>
      <c r="BM387" s="211">
        <v>-99</v>
      </c>
      <c r="BN387" s="191">
        <f t="shared" si="48"/>
        <v>1.7273959999999811E-2</v>
      </c>
      <c r="BO387" s="191">
        <f t="shared" si="49"/>
        <v>2.2424322500000038E-2</v>
      </c>
      <c r="BP387" s="191">
        <f t="shared" si="50"/>
        <v>6.008999999999709E-3</v>
      </c>
      <c r="BQ387" s="171">
        <f t="shared" si="51"/>
        <v>2.1600000000000001E-2</v>
      </c>
      <c r="BR387" s="171">
        <f t="shared" si="52"/>
        <v>4.99E-2</v>
      </c>
      <c r="BS387" s="171">
        <f t="shared" si="53"/>
        <v>1.72E-2</v>
      </c>
      <c r="BT387" s="171">
        <f t="shared" si="54"/>
        <v>2.23E-2</v>
      </c>
      <c r="BU387" s="171">
        <f t="shared" si="55"/>
        <v>6.0000000000000001E-3</v>
      </c>
    </row>
    <row r="388" spans="1:73" x14ac:dyDescent="0.3">
      <c r="A388" s="209">
        <v>43070</v>
      </c>
      <c r="B388" s="187">
        <v>201712</v>
      </c>
      <c r="C388" s="176">
        <v>2.15</v>
      </c>
      <c r="D388" s="176">
        <v>4.99</v>
      </c>
      <c r="E388" s="176">
        <v>0.52</v>
      </c>
      <c r="F388" s="177">
        <v>130.80000000000001</v>
      </c>
      <c r="G388" s="210">
        <v>1.5576323987538832E-2</v>
      </c>
      <c r="H388" s="179">
        <v>1.9</v>
      </c>
      <c r="I388" s="179">
        <v>2.2000000000000002</v>
      </c>
      <c r="K388" s="182">
        <v>2.5000000000000001E-2</v>
      </c>
      <c r="L388" s="182">
        <v>3.5000000000000003E-2</v>
      </c>
      <c r="N388" s="182">
        <v>2.75E-2</v>
      </c>
      <c r="O388" s="182">
        <v>0.01</v>
      </c>
      <c r="Q388" s="182">
        <v>2.2499999999999999E-2</v>
      </c>
      <c r="R388" s="182">
        <v>3.2500000000000001E-2</v>
      </c>
      <c r="S388" s="182">
        <v>0.01</v>
      </c>
      <c r="T388" s="182">
        <v>1.2500000000000001E-2</v>
      </c>
      <c r="V388" s="194">
        <v>2.6000000000000002E-2</v>
      </c>
      <c r="W388" s="194">
        <v>3.4000000000000002E-2</v>
      </c>
      <c r="X388" s="194">
        <v>1.4E-2</v>
      </c>
      <c r="Y388" s="194">
        <v>1.6E-2</v>
      </c>
      <c r="Z388" s="194"/>
      <c r="AA388" s="195">
        <v>2.6273959999999812E-2</v>
      </c>
      <c r="AB388" s="195">
        <v>3.3999503750000153E-2</v>
      </c>
      <c r="AC388" s="195">
        <v>1.3628867857211457E-2</v>
      </c>
      <c r="AD388" s="195">
        <v>1.5699066071393836E-2</v>
      </c>
      <c r="AE388" s="195"/>
      <c r="AF388" s="195">
        <v>6.2375355239830954E-3</v>
      </c>
      <c r="AG388" s="195">
        <v>9.0087892614640896E-3</v>
      </c>
      <c r="AI388" s="182">
        <v>1.9090250000000086E-2</v>
      </c>
      <c r="AJ388" s="182">
        <v>2.2120999999999835E-2</v>
      </c>
      <c r="AK388" s="182">
        <v>5.2067599999998659E-3</v>
      </c>
      <c r="AM388" s="27" t="s">
        <v>146</v>
      </c>
      <c r="AN388" s="7" t="b">
        <f t="shared" si="57"/>
        <v>1</v>
      </c>
      <c r="AO388" s="7" t="s">
        <v>145</v>
      </c>
      <c r="AP388" s="7">
        <v>2014</v>
      </c>
      <c r="AQ388" s="7">
        <f t="shared" si="60"/>
        <v>2017</v>
      </c>
      <c r="AS388" s="211">
        <v>-99</v>
      </c>
      <c r="AT388" s="211">
        <v>-99</v>
      </c>
      <c r="AU388" s="211">
        <v>-99</v>
      </c>
      <c r="AV388" s="211">
        <v>-99</v>
      </c>
      <c r="AW388" s="211">
        <v>-99</v>
      </c>
      <c r="AX388" s="211">
        <v>-99</v>
      </c>
      <c r="AZ388" s="211">
        <v>-99</v>
      </c>
      <c r="BA388" s="211">
        <v>-99</v>
      </c>
      <c r="BB388" s="211">
        <v>-99</v>
      </c>
      <c r="BC388" s="211">
        <v>-99</v>
      </c>
      <c r="BD388" s="211">
        <v>-99</v>
      </c>
      <c r="BE388" s="211">
        <v>-99</v>
      </c>
      <c r="BG388" s="211">
        <v>-99</v>
      </c>
      <c r="BH388" s="211">
        <v>-99</v>
      </c>
      <c r="BI388" s="211">
        <v>-99</v>
      </c>
      <c r="BJ388" s="211">
        <v>-99</v>
      </c>
      <c r="BK388" s="211">
        <v>-99</v>
      </c>
      <c r="BL388" s="211">
        <v>-99</v>
      </c>
      <c r="BM388" s="211">
        <v>-99</v>
      </c>
      <c r="BN388" s="191">
        <f t="shared" si="48"/>
        <v>1.9090250000000086E-2</v>
      </c>
      <c r="BO388" s="191">
        <f t="shared" si="49"/>
        <v>2.2120999999999835E-2</v>
      </c>
      <c r="BP388" s="191">
        <f t="shared" si="50"/>
        <v>5.2067599999998659E-3</v>
      </c>
      <c r="BQ388" s="171">
        <f t="shared" si="51"/>
        <v>2.1499999999999998E-2</v>
      </c>
      <c r="BR388" s="171">
        <f t="shared" si="52"/>
        <v>4.99E-2</v>
      </c>
      <c r="BS388" s="171">
        <f t="shared" si="53"/>
        <v>1.9E-2</v>
      </c>
      <c r="BT388" s="171">
        <f t="shared" si="54"/>
        <v>2.2000000000000002E-2</v>
      </c>
      <c r="BU388" s="171">
        <f t="shared" si="55"/>
        <v>5.1999999999999998E-3</v>
      </c>
    </row>
    <row r="389" spans="1:73" x14ac:dyDescent="0.3">
      <c r="A389" s="209">
        <v>43101</v>
      </c>
      <c r="B389" s="187">
        <v>201801</v>
      </c>
      <c r="C389" s="176">
        <v>2.35</v>
      </c>
      <c r="D389" s="176">
        <v>5.14</v>
      </c>
      <c r="E389" s="176">
        <v>0.6</v>
      </c>
      <c r="F389" s="177">
        <v>131.69999999999999</v>
      </c>
      <c r="G389" s="210">
        <v>1.5552099533437058E-2</v>
      </c>
      <c r="H389" s="179">
        <v>2.19</v>
      </c>
      <c r="I389" s="179">
        <v>2.36</v>
      </c>
      <c r="K389" s="182">
        <v>2.5000000000000001E-2</v>
      </c>
      <c r="L389" s="182">
        <v>0.03</v>
      </c>
      <c r="N389" s="182">
        <v>2.75E-2</v>
      </c>
      <c r="O389" s="182">
        <v>7.4999999999999997E-3</v>
      </c>
      <c r="Q389" s="182">
        <v>2.2499999999999999E-2</v>
      </c>
      <c r="R389" s="182">
        <v>0.03</v>
      </c>
      <c r="S389" s="182">
        <v>0.01</v>
      </c>
      <c r="T389" s="182">
        <v>1.2500000000000001E-2</v>
      </c>
      <c r="V389" s="194">
        <v>2.8000000000000001E-2</v>
      </c>
      <c r="W389" s="194">
        <v>3.3000000000000002E-2</v>
      </c>
      <c r="X389" s="194">
        <v>1.3000000000000001E-2</v>
      </c>
      <c r="Y389" s="194">
        <v>1.4999999999999999E-2</v>
      </c>
      <c r="Z389" s="194"/>
      <c r="AA389" s="195">
        <v>2.8090250000000087E-2</v>
      </c>
      <c r="AB389" s="195">
        <v>3.2636374999999711E-2</v>
      </c>
      <c r="AC389" s="195">
        <v>1.3493393159893254E-2</v>
      </c>
      <c r="AD389" s="195">
        <v>1.4563443420053173E-2</v>
      </c>
      <c r="AE389" s="195"/>
      <c r="AF389" s="195">
        <v>7.2012590011052424E-3</v>
      </c>
      <c r="AG389" s="195">
        <v>8.9067527995210227E-3</v>
      </c>
      <c r="AI389" s="182">
        <v>2.2019902500000077E-2</v>
      </c>
      <c r="AJ389" s="182">
        <v>2.373924000000005E-2</v>
      </c>
      <c r="AK389" s="182">
        <v>6.008999999999709E-3</v>
      </c>
      <c r="AM389" s="27" t="s">
        <v>146</v>
      </c>
      <c r="AN389" s="7" t="b">
        <f t="shared" si="57"/>
        <v>1</v>
      </c>
      <c r="AO389" s="7" t="s">
        <v>145</v>
      </c>
      <c r="AP389" s="7">
        <v>2014</v>
      </c>
      <c r="AQ389" s="7">
        <f t="shared" si="60"/>
        <v>2018</v>
      </c>
      <c r="AS389" s="211">
        <v>-99</v>
      </c>
      <c r="AT389" s="211">
        <v>-99</v>
      </c>
      <c r="AU389" s="211">
        <v>-99</v>
      </c>
      <c r="AV389" s="211">
        <v>-99</v>
      </c>
      <c r="AW389" s="211">
        <v>-99</v>
      </c>
      <c r="AX389" s="211">
        <v>-99</v>
      </c>
      <c r="AZ389" s="211">
        <v>-99</v>
      </c>
      <c r="BA389" s="211">
        <v>-99</v>
      </c>
      <c r="BB389" s="211">
        <v>-99</v>
      </c>
      <c r="BC389" s="211">
        <v>-99</v>
      </c>
      <c r="BD389" s="211">
        <v>-99</v>
      </c>
      <c r="BE389" s="211">
        <v>-99</v>
      </c>
      <c r="BG389" s="211">
        <v>-99</v>
      </c>
      <c r="BH389" s="211">
        <v>-99</v>
      </c>
      <c r="BI389" s="211">
        <v>-99</v>
      </c>
      <c r="BJ389" s="211">
        <v>-99</v>
      </c>
      <c r="BK389" s="211">
        <v>-99</v>
      </c>
      <c r="BL389" s="211">
        <v>-99</v>
      </c>
      <c r="BM389" s="211">
        <v>-99</v>
      </c>
      <c r="BN389" s="191">
        <f t="shared" si="48"/>
        <v>2.2019902500000077E-2</v>
      </c>
      <c r="BO389" s="191">
        <f t="shared" si="49"/>
        <v>2.373924000000005E-2</v>
      </c>
      <c r="BP389" s="191">
        <f t="shared" si="50"/>
        <v>6.008999999999709E-3</v>
      </c>
      <c r="BQ389" s="171">
        <f t="shared" si="51"/>
        <v>2.35E-2</v>
      </c>
      <c r="BR389" s="171">
        <f t="shared" si="52"/>
        <v>5.1399999999999994E-2</v>
      </c>
      <c r="BS389" s="171">
        <f t="shared" si="53"/>
        <v>2.1899999999999999E-2</v>
      </c>
      <c r="BT389" s="171">
        <f t="shared" si="54"/>
        <v>2.3599999999999999E-2</v>
      </c>
      <c r="BU389" s="171">
        <f t="shared" si="55"/>
        <v>6.0000000000000001E-3</v>
      </c>
    </row>
    <row r="390" spans="1:73" x14ac:dyDescent="0.3">
      <c r="A390" s="209">
        <v>43132</v>
      </c>
      <c r="B390" s="187">
        <v>201802</v>
      </c>
      <c r="C390" s="176">
        <v>2.35</v>
      </c>
      <c r="D390" s="176">
        <v>5.14</v>
      </c>
      <c r="E390" s="176">
        <v>0.59</v>
      </c>
      <c r="F390" s="177">
        <v>132.5</v>
      </c>
      <c r="G390" s="210">
        <v>1.552795031055898E-2</v>
      </c>
      <c r="H390" s="179">
        <v>2.11</v>
      </c>
      <c r="I390" s="179">
        <v>2.37</v>
      </c>
      <c r="K390" s="182">
        <v>2.5000000000000001E-2</v>
      </c>
      <c r="L390" s="182">
        <v>0.03</v>
      </c>
      <c r="N390" s="182">
        <v>2.75E-2</v>
      </c>
      <c r="O390" s="182">
        <v>7.4999999999999997E-3</v>
      </c>
      <c r="Q390" s="182">
        <v>2.5000000000000001E-2</v>
      </c>
      <c r="R390" s="182">
        <v>2.75E-2</v>
      </c>
      <c r="S390" s="182">
        <v>0.01</v>
      </c>
      <c r="T390" s="182">
        <v>0.01</v>
      </c>
      <c r="V390" s="194">
        <v>3.1E-2</v>
      </c>
      <c r="W390" s="194">
        <v>3.4000000000000002E-2</v>
      </c>
      <c r="X390" s="194">
        <v>1.4999999999999999E-2</v>
      </c>
      <c r="Y390" s="194">
        <v>1.4999999999999999E-2</v>
      </c>
      <c r="Z390" s="194"/>
      <c r="AA390" s="195">
        <v>3.1019902500000078E-2</v>
      </c>
      <c r="AB390" s="195">
        <v>3.3598908750000038E-2</v>
      </c>
      <c r="AC390" s="195">
        <v>1.4573792342235631E-2</v>
      </c>
      <c r="AD390" s="195">
        <v>1.522660382888175E-2</v>
      </c>
      <c r="AE390" s="195"/>
      <c r="AF390" s="195">
        <v>8.104935432935334E-3</v>
      </c>
      <c r="AG390" s="195">
        <v>9.0483764175544046E-3</v>
      </c>
      <c r="AI390" s="182">
        <v>2.1211302500000029E-2</v>
      </c>
      <c r="AJ390" s="182">
        <v>2.3840422499999736E-2</v>
      </c>
      <c r="AK390" s="182">
        <v>5.9087024999999738E-3</v>
      </c>
      <c r="AM390" s="27" t="s">
        <v>146</v>
      </c>
      <c r="AN390" s="7" t="b">
        <f t="shared" si="57"/>
        <v>1</v>
      </c>
      <c r="AO390" s="7" t="s">
        <v>145</v>
      </c>
      <c r="AP390" s="7">
        <v>2014</v>
      </c>
      <c r="AQ390" s="7">
        <f t="shared" ref="AQ390:AQ395" si="61">YEAR(A390)</f>
        <v>2018</v>
      </c>
      <c r="AS390" s="211">
        <v>-99</v>
      </c>
      <c r="AT390" s="211">
        <v>-99</v>
      </c>
      <c r="AU390" s="211">
        <v>-99</v>
      </c>
      <c r="AV390" s="211">
        <v>-99</v>
      </c>
      <c r="AW390" s="211">
        <v>-99</v>
      </c>
      <c r="AX390" s="211">
        <v>-99</v>
      </c>
      <c r="AZ390" s="211">
        <v>-99</v>
      </c>
      <c r="BA390" s="211">
        <v>-99</v>
      </c>
      <c r="BB390" s="211">
        <v>-99</v>
      </c>
      <c r="BC390" s="211">
        <v>-99</v>
      </c>
      <c r="BD390" s="211">
        <v>-99</v>
      </c>
      <c r="BE390" s="211">
        <v>-99</v>
      </c>
      <c r="BG390" s="211">
        <v>-99</v>
      </c>
      <c r="BH390" s="211">
        <v>-99</v>
      </c>
      <c r="BI390" s="211">
        <v>-99</v>
      </c>
      <c r="BJ390" s="211">
        <v>-99</v>
      </c>
      <c r="BK390" s="211">
        <v>-99</v>
      </c>
      <c r="BL390" s="211">
        <v>-99</v>
      </c>
      <c r="BM390" s="211">
        <v>-99</v>
      </c>
      <c r="BN390" s="191">
        <f t="shared" si="48"/>
        <v>2.1211302500000029E-2</v>
      </c>
      <c r="BO390" s="191">
        <f t="shared" si="49"/>
        <v>2.3840422499999736E-2</v>
      </c>
      <c r="BP390" s="191">
        <f t="shared" si="50"/>
        <v>5.9087024999999738E-3</v>
      </c>
      <c r="BQ390" s="171">
        <f t="shared" si="51"/>
        <v>2.35E-2</v>
      </c>
      <c r="BR390" s="171">
        <f t="shared" si="52"/>
        <v>5.1399999999999994E-2</v>
      </c>
      <c r="BS390" s="171">
        <f t="shared" si="53"/>
        <v>2.1099999999999997E-2</v>
      </c>
      <c r="BT390" s="171">
        <f t="shared" si="54"/>
        <v>2.3700000000000002E-2</v>
      </c>
      <c r="BU390" s="171">
        <f t="shared" si="55"/>
        <v>5.8999999999999999E-3</v>
      </c>
    </row>
    <row r="391" spans="1:73" x14ac:dyDescent="0.3">
      <c r="A391" s="209">
        <v>43160</v>
      </c>
      <c r="B391" s="187">
        <v>201803</v>
      </c>
      <c r="C391" s="176">
        <v>2.2200000000000002</v>
      </c>
      <c r="D391" s="176">
        <v>5.14</v>
      </c>
      <c r="E391" s="176">
        <v>0.55000000000000004</v>
      </c>
      <c r="F391" s="177">
        <v>132.9</v>
      </c>
      <c r="G391" s="210">
        <v>1.6279069767441756E-2</v>
      </c>
      <c r="H391" s="179">
        <v>2.0499999999999998</v>
      </c>
      <c r="I391" s="179">
        <v>2.25</v>
      </c>
      <c r="K391" s="182">
        <v>2.5000000000000001E-2</v>
      </c>
      <c r="L391" s="182">
        <v>3.5000000000000003E-2</v>
      </c>
      <c r="N391" s="182">
        <v>2.75E-2</v>
      </c>
      <c r="O391" s="182">
        <v>7.4999999999999997E-3</v>
      </c>
      <c r="Q391" s="182">
        <v>2.75E-2</v>
      </c>
      <c r="R391" s="182">
        <v>0.03</v>
      </c>
      <c r="S391" s="182">
        <v>0.01</v>
      </c>
      <c r="T391" s="182">
        <v>0.01</v>
      </c>
      <c r="V391" s="194">
        <v>0.03</v>
      </c>
      <c r="W391" s="194">
        <v>3.4000000000000002E-2</v>
      </c>
      <c r="X391" s="194">
        <v>1.4E-2</v>
      </c>
      <c r="Y391" s="194">
        <v>1.4999999999999999E-2</v>
      </c>
      <c r="Z391" s="194"/>
      <c r="AA391" s="195">
        <v>3.021130250000003E-2</v>
      </c>
      <c r="AB391" s="195">
        <v>3.4154982499999591E-2</v>
      </c>
      <c r="AC391" s="195">
        <v>1.4257091232758449E-2</v>
      </c>
      <c r="AD391" s="195">
        <v>1.5234508133620737E-2</v>
      </c>
      <c r="AE391" s="195"/>
      <c r="AF391" s="195">
        <v>7.8649739820159104E-3</v>
      </c>
      <c r="AG391" s="195">
        <v>9.3182778041901448E-3</v>
      </c>
      <c r="AI391" s="182">
        <v>2.0605062500000271E-2</v>
      </c>
      <c r="AJ391" s="182">
        <v>2.2626562499999947E-2</v>
      </c>
      <c r="AK391" s="182">
        <v>5.5075625000000628E-3</v>
      </c>
      <c r="AM391" s="27" t="s">
        <v>146</v>
      </c>
      <c r="AN391" s="7" t="b">
        <f t="shared" si="57"/>
        <v>1</v>
      </c>
      <c r="AO391" s="7" t="s">
        <v>145</v>
      </c>
      <c r="AP391" s="7">
        <v>2014</v>
      </c>
      <c r="AQ391" s="7">
        <f t="shared" si="61"/>
        <v>2018</v>
      </c>
      <c r="AS391" s="211">
        <v>-99</v>
      </c>
      <c r="AT391" s="211">
        <v>-99</v>
      </c>
      <c r="AU391" s="211">
        <v>-99</v>
      </c>
      <c r="AV391" s="211">
        <v>-99</v>
      </c>
      <c r="AW391" s="211">
        <v>-99</v>
      </c>
      <c r="AX391" s="211">
        <v>-99</v>
      </c>
      <c r="AZ391" s="211">
        <v>-99</v>
      </c>
      <c r="BA391" s="211">
        <v>-99</v>
      </c>
      <c r="BB391" s="211">
        <v>-99</v>
      </c>
      <c r="BC391" s="211">
        <v>-99</v>
      </c>
      <c r="BD391" s="211">
        <v>-99</v>
      </c>
      <c r="BE391" s="211">
        <v>-99</v>
      </c>
      <c r="BG391" s="211">
        <v>-99</v>
      </c>
      <c r="BH391" s="211">
        <v>-99</v>
      </c>
      <c r="BI391" s="211">
        <v>-99</v>
      </c>
      <c r="BJ391" s="211">
        <v>-99</v>
      </c>
      <c r="BK391" s="211">
        <v>-99</v>
      </c>
      <c r="BL391" s="211">
        <v>-99</v>
      </c>
      <c r="BM391" s="211">
        <v>-99</v>
      </c>
      <c r="BN391" s="191">
        <f t="shared" ref="BN391:BN432" si="62">AI391</f>
        <v>2.0605062500000271E-2</v>
      </c>
      <c r="BO391" s="191">
        <f t="shared" ref="BO391:BO432" si="63">AJ391</f>
        <v>2.2626562499999947E-2</v>
      </c>
      <c r="BP391" s="191">
        <f t="shared" ref="BP391:BP432" si="64">AK391</f>
        <v>5.5075625000000628E-3</v>
      </c>
      <c r="BQ391" s="171">
        <f t="shared" ref="BQ391:BQ433" si="65">C391/100</f>
        <v>2.2200000000000001E-2</v>
      </c>
      <c r="BR391" s="171">
        <f t="shared" ref="BR391:BR409" si="66">D391/100</f>
        <v>5.1399999999999994E-2</v>
      </c>
      <c r="BS391" s="171">
        <f t="shared" ref="BS391:BS433" si="67">H391/100</f>
        <v>2.0499999999999997E-2</v>
      </c>
      <c r="BT391" s="171">
        <f t="shared" ref="BT391:BT433" si="68">I391/100</f>
        <v>2.2499999999999999E-2</v>
      </c>
      <c r="BU391" s="171">
        <f t="shared" si="55"/>
        <v>5.5000000000000005E-3</v>
      </c>
    </row>
    <row r="392" spans="1:73" x14ac:dyDescent="0.3">
      <c r="A392" s="209">
        <v>43191</v>
      </c>
      <c r="B392" s="187">
        <v>201804</v>
      </c>
      <c r="C392" s="176">
        <v>2.4500000000000002</v>
      </c>
      <c r="D392" s="176">
        <v>5.14</v>
      </c>
      <c r="E392" s="176">
        <v>0.72</v>
      </c>
      <c r="F392" s="177">
        <v>133.30000000000001</v>
      </c>
      <c r="G392" s="210">
        <v>1.6253869969040435E-2</v>
      </c>
      <c r="H392" s="179">
        <v>2.2599999999999998</v>
      </c>
      <c r="I392" s="179">
        <v>2.4700000000000002</v>
      </c>
      <c r="K392" s="182">
        <v>2.5000000000000001E-2</v>
      </c>
      <c r="L392" s="182">
        <v>3.5000000000000003E-2</v>
      </c>
      <c r="N392" s="182">
        <v>2.75E-2</v>
      </c>
      <c r="O392" s="182">
        <v>7.4999999999999997E-3</v>
      </c>
      <c r="Q392" s="182">
        <v>2.5000000000000001E-2</v>
      </c>
      <c r="R392" s="182">
        <v>0.03</v>
      </c>
      <c r="S392" s="182">
        <v>0.01</v>
      </c>
      <c r="T392" s="182">
        <v>0.01</v>
      </c>
      <c r="V392" s="194">
        <v>0.03</v>
      </c>
      <c r="W392" s="194">
        <v>3.3000000000000002E-2</v>
      </c>
      <c r="X392" s="194">
        <v>1.4E-2</v>
      </c>
      <c r="Y392" s="194">
        <v>1.4999999999999999E-2</v>
      </c>
      <c r="Z392" s="194"/>
      <c r="AA392" s="195">
        <v>2.9605062500000272E-2</v>
      </c>
      <c r="AB392" s="195">
        <v>3.2637312499999786E-2</v>
      </c>
      <c r="AC392" s="195">
        <v>1.4015506422381186E-2</v>
      </c>
      <c r="AD392" s="195">
        <v>1.4753590538809503E-2</v>
      </c>
      <c r="AE392" s="195"/>
      <c r="AF392" s="195">
        <v>7.6870402764458445E-3</v>
      </c>
      <c r="AG392" s="195">
        <v>8.8118544875975813E-3</v>
      </c>
      <c r="AI392" s="182">
        <v>2.2727690000000189E-2</v>
      </c>
      <c r="AJ392" s="182">
        <v>2.4852522500000251E-2</v>
      </c>
      <c r="AK392" s="182">
        <v>7.212960000000157E-3</v>
      </c>
      <c r="AM392" s="27" t="s">
        <v>146</v>
      </c>
      <c r="AN392" s="7" t="b">
        <f t="shared" si="57"/>
        <v>1</v>
      </c>
      <c r="AO392" s="7" t="s">
        <v>145</v>
      </c>
      <c r="AP392" s="7">
        <v>2014</v>
      </c>
      <c r="AQ392" s="7">
        <f t="shared" si="61"/>
        <v>2018</v>
      </c>
      <c r="AS392" s="211">
        <v>-99</v>
      </c>
      <c r="AT392" s="211">
        <v>-99</v>
      </c>
      <c r="AU392" s="211">
        <v>-99</v>
      </c>
      <c r="AV392" s="211">
        <v>-99</v>
      </c>
      <c r="AW392" s="211">
        <v>-99</v>
      </c>
      <c r="AX392" s="211">
        <v>-99</v>
      </c>
      <c r="AZ392" s="211">
        <v>-99</v>
      </c>
      <c r="BA392" s="211">
        <v>-99</v>
      </c>
      <c r="BB392" s="211">
        <v>-99</v>
      </c>
      <c r="BC392" s="211">
        <v>-99</v>
      </c>
      <c r="BD392" s="211">
        <v>-99</v>
      </c>
      <c r="BE392" s="211">
        <v>-99</v>
      </c>
      <c r="BG392" s="211">
        <v>-99</v>
      </c>
      <c r="BH392" s="211">
        <v>-99</v>
      </c>
      <c r="BI392" s="211">
        <v>-99</v>
      </c>
      <c r="BJ392" s="211">
        <v>-99</v>
      </c>
      <c r="BK392" s="211">
        <v>-99</v>
      </c>
      <c r="BL392" s="211">
        <v>-99</v>
      </c>
      <c r="BM392" s="211">
        <v>-99</v>
      </c>
      <c r="BN392" s="191">
        <f t="shared" si="62"/>
        <v>2.2727690000000189E-2</v>
      </c>
      <c r="BO392" s="191">
        <f t="shared" si="63"/>
        <v>2.4852522500000251E-2</v>
      </c>
      <c r="BP392" s="191">
        <f t="shared" si="64"/>
        <v>7.212960000000157E-3</v>
      </c>
      <c r="BQ392" s="171">
        <f t="shared" si="65"/>
        <v>2.4500000000000001E-2</v>
      </c>
      <c r="BR392" s="171">
        <f t="shared" si="66"/>
        <v>5.1399999999999994E-2</v>
      </c>
      <c r="BS392" s="171">
        <f t="shared" si="67"/>
        <v>2.2599999999999999E-2</v>
      </c>
      <c r="BT392" s="171">
        <f t="shared" si="68"/>
        <v>2.4700000000000003E-2</v>
      </c>
      <c r="BU392" s="171">
        <f t="shared" si="55"/>
        <v>7.1999999999999998E-3</v>
      </c>
    </row>
    <row r="393" spans="1:73" x14ac:dyDescent="0.3">
      <c r="A393" s="209">
        <v>43221</v>
      </c>
      <c r="B393" s="187">
        <v>201805</v>
      </c>
      <c r="C393" s="176">
        <v>2.2799999999999998</v>
      </c>
      <c r="D393" s="176">
        <v>5.34</v>
      </c>
      <c r="E393" s="176">
        <v>0.54</v>
      </c>
      <c r="F393" s="177">
        <v>133.4</v>
      </c>
      <c r="G393" s="210">
        <v>1.7788089713843602E-2</v>
      </c>
      <c r="H393" s="179">
        <v>2.1800000000000002</v>
      </c>
      <c r="I393" s="179">
        <v>2.2799999999999998</v>
      </c>
      <c r="K393" s="182">
        <v>2.5000000000000001E-2</v>
      </c>
      <c r="L393" s="182">
        <v>3.5000000000000003E-2</v>
      </c>
      <c r="N393" s="182">
        <v>2.75E-2</v>
      </c>
      <c r="O393" s="182">
        <v>7.4999999999999997E-3</v>
      </c>
      <c r="Q393" s="182">
        <v>2.5000000000000001E-2</v>
      </c>
      <c r="R393" s="182">
        <v>2.75E-2</v>
      </c>
      <c r="S393" s="182">
        <v>0.01</v>
      </c>
      <c r="T393" s="182">
        <v>0.01</v>
      </c>
      <c r="V393" s="194">
        <v>3.2000000000000001E-2</v>
      </c>
      <c r="W393" s="194">
        <v>3.5000000000000003E-2</v>
      </c>
      <c r="X393" s="194">
        <v>1.6E-2</v>
      </c>
      <c r="Y393" s="194">
        <v>1.7000000000000001E-2</v>
      </c>
      <c r="Z393" s="194"/>
      <c r="AA393" s="195">
        <v>3.172769000000019E-2</v>
      </c>
      <c r="AB393" s="195">
        <v>3.4914938750000284E-2</v>
      </c>
      <c r="AC393" s="195">
        <v>1.5596268803796609E-2</v>
      </c>
      <c r="AD393" s="195">
        <v>1.6521305598101933E-2</v>
      </c>
      <c r="AE393" s="195"/>
      <c r="AF393" s="195">
        <v>7.9418474110798387E-3</v>
      </c>
      <c r="AG393" s="195">
        <v>9.0473426629635867E-3</v>
      </c>
      <c r="AI393" s="182">
        <v>2.1918809999999844E-2</v>
      </c>
      <c r="AJ393" s="182">
        <v>2.2929960000000138E-2</v>
      </c>
      <c r="AK393" s="182">
        <v>5.4072899999999535E-3</v>
      </c>
      <c r="AM393" s="27" t="s">
        <v>146</v>
      </c>
      <c r="AN393" s="7" t="b">
        <f t="shared" si="57"/>
        <v>1</v>
      </c>
      <c r="AO393" s="7" t="s">
        <v>145</v>
      </c>
      <c r="AP393" s="7">
        <v>2014</v>
      </c>
      <c r="AQ393" s="7">
        <f t="shared" si="61"/>
        <v>2018</v>
      </c>
      <c r="AS393" s="211">
        <v>-99</v>
      </c>
      <c r="AT393" s="211">
        <v>-99</v>
      </c>
      <c r="AU393" s="211">
        <v>-99</v>
      </c>
      <c r="AV393" s="211">
        <v>-99</v>
      </c>
      <c r="AW393" s="211">
        <v>-99</v>
      </c>
      <c r="AX393" s="211">
        <v>-99</v>
      </c>
      <c r="AZ393" s="211">
        <v>-99</v>
      </c>
      <c r="BA393" s="211">
        <v>-99</v>
      </c>
      <c r="BB393" s="211">
        <v>-99</v>
      </c>
      <c r="BC393" s="211">
        <v>-99</v>
      </c>
      <c r="BD393" s="211">
        <v>-99</v>
      </c>
      <c r="BE393" s="211">
        <v>-99</v>
      </c>
      <c r="BG393" s="211">
        <v>-99</v>
      </c>
      <c r="BH393" s="211">
        <v>-99</v>
      </c>
      <c r="BI393" s="211">
        <v>-99</v>
      </c>
      <c r="BJ393" s="211">
        <v>-99</v>
      </c>
      <c r="BK393" s="211">
        <v>-99</v>
      </c>
      <c r="BL393" s="211">
        <v>-99</v>
      </c>
      <c r="BM393" s="211">
        <v>-99</v>
      </c>
      <c r="BN393" s="191">
        <f t="shared" si="62"/>
        <v>2.1918809999999844E-2</v>
      </c>
      <c r="BO393" s="191">
        <f t="shared" si="63"/>
        <v>2.2929960000000138E-2</v>
      </c>
      <c r="BP393" s="191">
        <f t="shared" si="64"/>
        <v>5.4072899999999535E-3</v>
      </c>
      <c r="BQ393" s="171">
        <f t="shared" si="65"/>
        <v>2.2799999999999997E-2</v>
      </c>
      <c r="BR393" s="171">
        <f t="shared" si="66"/>
        <v>5.3399999999999996E-2</v>
      </c>
      <c r="BS393" s="171">
        <f t="shared" si="67"/>
        <v>2.18E-2</v>
      </c>
      <c r="BT393" s="171">
        <f t="shared" si="68"/>
        <v>2.2799999999999997E-2</v>
      </c>
      <c r="BU393" s="171">
        <f t="shared" si="55"/>
        <v>5.4000000000000003E-3</v>
      </c>
    </row>
    <row r="394" spans="1:73" x14ac:dyDescent="0.3">
      <c r="A394" s="209">
        <v>43252</v>
      </c>
      <c r="B394" s="187">
        <v>201806</v>
      </c>
      <c r="C394" s="176">
        <v>2.15</v>
      </c>
      <c r="D394" s="176">
        <v>5.34</v>
      </c>
      <c r="E394" s="176">
        <v>0.43</v>
      </c>
      <c r="F394" s="177">
        <v>133.6</v>
      </c>
      <c r="G394" s="210">
        <v>1.8547140649149974E-2</v>
      </c>
      <c r="H394" s="179">
        <v>1.98</v>
      </c>
      <c r="I394" s="179">
        <v>2.16</v>
      </c>
      <c r="K394" s="182">
        <v>2.5000000000000001E-2</v>
      </c>
      <c r="L394" s="182">
        <v>3.5000000000000003E-2</v>
      </c>
      <c r="N394" s="182">
        <v>0.03</v>
      </c>
      <c r="O394" s="182">
        <v>0.01</v>
      </c>
      <c r="Q394" s="182">
        <v>2.75E-2</v>
      </c>
      <c r="R394" s="182">
        <v>0.03</v>
      </c>
      <c r="S394" s="182">
        <v>1.2500000000000001E-2</v>
      </c>
      <c r="T394" s="182">
        <v>1.2500000000000001E-2</v>
      </c>
      <c r="V394" s="194">
        <v>3.1E-2</v>
      </c>
      <c r="W394" s="194">
        <v>3.2000000000000001E-2</v>
      </c>
      <c r="X394" s="194">
        <v>1.4E-2</v>
      </c>
      <c r="Y394" s="194">
        <v>1.4999999999999999E-2</v>
      </c>
      <c r="Z394" s="194"/>
      <c r="AA394" s="195">
        <v>3.0918809999999845E-2</v>
      </c>
      <c r="AB394" s="195">
        <v>3.2435535000000286E-2</v>
      </c>
      <c r="AC394" s="195">
        <v>1.4168842951531422E-2</v>
      </c>
      <c r="AD394" s="195">
        <v>1.452651352423422E-2</v>
      </c>
      <c r="AE394" s="195"/>
      <c r="AF394" s="195">
        <v>8.2579775374093112E-3</v>
      </c>
      <c r="AG394" s="195">
        <v>8.8262954378364178E-3</v>
      </c>
      <c r="AI394" s="182">
        <v>1.9898010000000133E-2</v>
      </c>
      <c r="AJ394" s="182">
        <v>2.1716639999999732E-2</v>
      </c>
      <c r="AK394" s="182">
        <v>4.3046225000002991E-3</v>
      </c>
      <c r="AM394" s="27" t="s">
        <v>146</v>
      </c>
      <c r="AN394" s="7" t="b">
        <f t="shared" si="57"/>
        <v>1</v>
      </c>
      <c r="AO394" s="7" t="s">
        <v>145</v>
      </c>
      <c r="AP394" s="7">
        <v>2014</v>
      </c>
      <c r="AQ394" s="7">
        <f t="shared" si="61"/>
        <v>2018</v>
      </c>
      <c r="AS394" s="211">
        <v>-99</v>
      </c>
      <c r="AT394" s="211">
        <v>-99</v>
      </c>
      <c r="AU394" s="211">
        <v>-99</v>
      </c>
      <c r="AV394" s="211">
        <v>-99</v>
      </c>
      <c r="AW394" s="211">
        <v>-99</v>
      </c>
      <c r="AX394" s="211">
        <v>-99</v>
      </c>
      <c r="AZ394" s="211">
        <v>-99</v>
      </c>
      <c r="BA394" s="211">
        <v>-99</v>
      </c>
      <c r="BB394" s="211">
        <v>-99</v>
      </c>
      <c r="BC394" s="211">
        <v>-99</v>
      </c>
      <c r="BD394" s="211">
        <v>-99</v>
      </c>
      <c r="BE394" s="211">
        <v>-99</v>
      </c>
      <c r="BG394" s="211">
        <v>-99</v>
      </c>
      <c r="BH394" s="211">
        <v>-99</v>
      </c>
      <c r="BI394" s="211">
        <v>-99</v>
      </c>
      <c r="BJ394" s="211">
        <v>-99</v>
      </c>
      <c r="BK394" s="211">
        <v>-99</v>
      </c>
      <c r="BL394" s="211">
        <v>-99</v>
      </c>
      <c r="BM394" s="211">
        <v>-99</v>
      </c>
      <c r="BN394" s="191">
        <f t="shared" si="62"/>
        <v>1.9898010000000133E-2</v>
      </c>
      <c r="BO394" s="191">
        <f t="shared" si="63"/>
        <v>2.1716639999999732E-2</v>
      </c>
      <c r="BP394" s="191">
        <f t="shared" si="64"/>
        <v>4.3046225000002991E-3</v>
      </c>
      <c r="BQ394" s="171">
        <f t="shared" si="65"/>
        <v>2.1499999999999998E-2</v>
      </c>
      <c r="BR394" s="171">
        <f t="shared" si="66"/>
        <v>5.3399999999999996E-2</v>
      </c>
      <c r="BS394" s="171">
        <f t="shared" si="67"/>
        <v>1.9799999999999998E-2</v>
      </c>
      <c r="BT394" s="171">
        <f t="shared" si="68"/>
        <v>2.1600000000000001E-2</v>
      </c>
      <c r="BU394" s="171">
        <f t="shared" si="55"/>
        <v>4.3E-3</v>
      </c>
    </row>
    <row r="395" spans="1:73" x14ac:dyDescent="0.3">
      <c r="A395" s="209">
        <v>43282</v>
      </c>
      <c r="B395" s="187">
        <v>201807</v>
      </c>
      <c r="C395" s="176">
        <v>2.31</v>
      </c>
      <c r="D395" s="176">
        <v>5.34</v>
      </c>
      <c r="E395" s="176">
        <v>0.61</v>
      </c>
      <c r="F395" s="177">
        <v>134.30000000000001</v>
      </c>
      <c r="G395" s="210">
        <v>2.0849420849420763E-2</v>
      </c>
      <c r="H395" s="179">
        <v>2.23</v>
      </c>
      <c r="I395" s="179">
        <v>2.2999999999999998</v>
      </c>
      <c r="K395" s="182">
        <v>2.5000000000000001E-2</v>
      </c>
      <c r="L395" s="182">
        <v>3.5000000000000003E-2</v>
      </c>
      <c r="N395" s="182">
        <v>2.75E-2</v>
      </c>
      <c r="O395" s="182">
        <v>7.4999999999999997E-3</v>
      </c>
      <c r="Q395" s="182">
        <v>2.75E-2</v>
      </c>
      <c r="R395" s="182">
        <v>2.75E-2</v>
      </c>
      <c r="S395" s="182">
        <v>0.01</v>
      </c>
      <c r="T395" s="182">
        <v>0.01</v>
      </c>
      <c r="V395" s="194">
        <v>2.9000000000000001E-2</v>
      </c>
      <c r="W395" s="194">
        <v>3.2000000000000001E-2</v>
      </c>
      <c r="X395" s="194">
        <v>1.3000000000000001E-2</v>
      </c>
      <c r="Y395" s="194">
        <v>1.3000000000000001E-2</v>
      </c>
      <c r="Z395" s="194"/>
      <c r="AA395" s="195">
        <v>2.8898010000000134E-2</v>
      </c>
      <c r="AB395" s="195">
        <v>3.1625954999999532E-2</v>
      </c>
      <c r="AC395" s="195">
        <v>1.2944137838599001E-2</v>
      </c>
      <c r="AD395" s="195">
        <v>1.348486483070095E-2</v>
      </c>
      <c r="AE395" s="195"/>
      <c r="AF395" s="195">
        <v>7.8750009825038214E-3</v>
      </c>
      <c r="AG395" s="195">
        <v>8.9498574664600428E-3</v>
      </c>
      <c r="AI395" s="182">
        <v>2.2424322500000038E-2</v>
      </c>
      <c r="AJ395" s="182">
        <v>2.3132250000000187E-2</v>
      </c>
      <c r="AK395" s="182">
        <v>6.10930250000008E-3</v>
      </c>
      <c r="AM395" s="27" t="s">
        <v>146</v>
      </c>
      <c r="AN395" s="7" t="b">
        <f t="shared" si="57"/>
        <v>1</v>
      </c>
      <c r="AO395" s="7" t="s">
        <v>145</v>
      </c>
      <c r="AP395" s="7">
        <v>2014</v>
      </c>
      <c r="AQ395" s="7">
        <f t="shared" si="61"/>
        <v>2018</v>
      </c>
      <c r="AS395" s="211">
        <v>-99</v>
      </c>
      <c r="AT395" s="211">
        <v>-99</v>
      </c>
      <c r="AU395" s="211">
        <v>-99</v>
      </c>
      <c r="AV395" s="211">
        <v>-99</v>
      </c>
      <c r="AW395" s="211">
        <v>-99</v>
      </c>
      <c r="AX395" s="211">
        <v>-99</v>
      </c>
      <c r="AZ395" s="211">
        <v>-99</v>
      </c>
      <c r="BA395" s="211">
        <v>-99</v>
      </c>
      <c r="BB395" s="211">
        <v>-99</v>
      </c>
      <c r="BC395" s="211">
        <v>-99</v>
      </c>
      <c r="BD395" s="211">
        <v>-99</v>
      </c>
      <c r="BE395" s="211">
        <v>-99</v>
      </c>
      <c r="BG395" s="211">
        <v>-99</v>
      </c>
      <c r="BH395" s="211">
        <v>-99</v>
      </c>
      <c r="BI395" s="211">
        <v>-99</v>
      </c>
      <c r="BJ395" s="211">
        <v>-99</v>
      </c>
      <c r="BK395" s="211">
        <v>-99</v>
      </c>
      <c r="BL395" s="211">
        <v>-99</v>
      </c>
      <c r="BM395" s="211">
        <v>-99</v>
      </c>
      <c r="BN395" s="191">
        <f t="shared" si="62"/>
        <v>2.2424322500000038E-2</v>
      </c>
      <c r="BO395" s="191">
        <f t="shared" si="63"/>
        <v>2.3132250000000187E-2</v>
      </c>
      <c r="BP395" s="191">
        <f t="shared" si="64"/>
        <v>6.10930250000008E-3</v>
      </c>
      <c r="BQ395" s="171">
        <f t="shared" si="65"/>
        <v>2.3099999999999999E-2</v>
      </c>
      <c r="BR395" s="171">
        <f t="shared" si="66"/>
        <v>5.3399999999999996E-2</v>
      </c>
      <c r="BS395" s="171">
        <f t="shared" si="67"/>
        <v>2.23E-2</v>
      </c>
      <c r="BT395" s="171">
        <f t="shared" si="68"/>
        <v>2.3E-2</v>
      </c>
      <c r="BU395" s="171">
        <f t="shared" ref="BU395:BU433" si="69">E395/100</f>
        <v>6.0999999999999995E-3</v>
      </c>
    </row>
    <row r="396" spans="1:73" x14ac:dyDescent="0.3">
      <c r="A396" s="209">
        <v>43313</v>
      </c>
      <c r="B396" s="187">
        <v>201808</v>
      </c>
      <c r="C396" s="176">
        <v>2.33</v>
      </c>
      <c r="D396" s="176">
        <v>5.34</v>
      </c>
      <c r="E396" s="176">
        <v>0.6</v>
      </c>
      <c r="F396" s="177">
        <v>134.19999999999999</v>
      </c>
      <c r="G396" s="210">
        <v>2.1588280647648617E-2</v>
      </c>
      <c r="H396" s="179">
        <v>2.2599999999999998</v>
      </c>
      <c r="I396" s="179">
        <v>2.3199999999999998</v>
      </c>
      <c r="K396" s="182">
        <v>2.5000000000000001E-2</v>
      </c>
      <c r="L396" s="182">
        <v>0.03</v>
      </c>
      <c r="N396" s="182">
        <f>ROUND(((1+(C394/100+0.005)/2)^2-1)*400,0)/400</f>
        <v>2.75E-2</v>
      </c>
      <c r="O396" s="182">
        <f>ROUND(((1+(E394/100+0.0025)/2)^2-1)*400,0)/400</f>
        <v>7.4999999999999997E-3</v>
      </c>
      <c r="Q396" s="182">
        <v>2.5000000000000001E-2</v>
      </c>
      <c r="R396" s="182">
        <v>2.75E-2</v>
      </c>
      <c r="S396" s="182">
        <v>0.01</v>
      </c>
      <c r="T396" s="182">
        <v>0.01</v>
      </c>
      <c r="V396" s="194">
        <v>3.1E-2</v>
      </c>
      <c r="W396" s="194">
        <v>3.2000000000000001E-2</v>
      </c>
      <c r="X396" s="194">
        <v>1.4999999999999999E-2</v>
      </c>
      <c r="Y396" s="194">
        <v>1.4999999999999999E-2</v>
      </c>
      <c r="Z396" s="194"/>
      <c r="AA396" s="195">
        <v>3.1424322500000039E-2</v>
      </c>
      <c r="AB396" s="195">
        <v>3.2486213750000263E-2</v>
      </c>
      <c r="AC396" s="195">
        <v>1.4922336543572596E-2</v>
      </c>
      <c r="AD396" s="195">
        <v>1.5202785478213823E-2</v>
      </c>
      <c r="AE396" s="195"/>
      <c r="AF396" s="195">
        <v>8.1296791696527926E-3</v>
      </c>
      <c r="AG396" s="195">
        <v>8.5123034131772135E-3</v>
      </c>
      <c r="AI396" s="182">
        <v>2.2727690000000189E-2</v>
      </c>
      <c r="AJ396" s="182">
        <v>2.3334560000000115E-2</v>
      </c>
      <c r="AK396" s="182">
        <v>6.008999999999709E-3</v>
      </c>
      <c r="AM396" s="27" t="s">
        <v>146</v>
      </c>
      <c r="AN396" s="7" t="b">
        <f t="shared" si="57"/>
        <v>1</v>
      </c>
      <c r="AO396" s="7" t="s">
        <v>145</v>
      </c>
      <c r="AP396" s="7">
        <v>2014</v>
      </c>
      <c r="AQ396" s="7">
        <f t="shared" ref="AQ396:AQ401" si="70">YEAR(A396)</f>
        <v>2018</v>
      </c>
      <c r="AS396" s="211">
        <v>-99</v>
      </c>
      <c r="AT396" s="211">
        <v>-99</v>
      </c>
      <c r="AU396" s="211">
        <v>-99</v>
      </c>
      <c r="AV396" s="211">
        <v>-99</v>
      </c>
      <c r="AW396" s="211">
        <v>-99</v>
      </c>
      <c r="AX396" s="211">
        <v>-99</v>
      </c>
      <c r="AZ396" s="211">
        <v>-99</v>
      </c>
      <c r="BA396" s="211">
        <v>-99</v>
      </c>
      <c r="BB396" s="211">
        <v>-99</v>
      </c>
      <c r="BC396" s="211">
        <v>-99</v>
      </c>
      <c r="BD396" s="211">
        <v>-99</v>
      </c>
      <c r="BE396" s="211">
        <v>-99</v>
      </c>
      <c r="BG396" s="211">
        <v>-99</v>
      </c>
      <c r="BH396" s="211">
        <v>-99</v>
      </c>
      <c r="BI396" s="211">
        <v>-99</v>
      </c>
      <c r="BJ396" s="211">
        <v>-99</v>
      </c>
      <c r="BK396" s="211">
        <v>-99</v>
      </c>
      <c r="BL396" s="211">
        <v>-99</v>
      </c>
      <c r="BM396" s="211">
        <v>-99</v>
      </c>
      <c r="BN396" s="191">
        <f t="shared" si="62"/>
        <v>2.2727690000000189E-2</v>
      </c>
      <c r="BO396" s="191">
        <f t="shared" si="63"/>
        <v>2.3334560000000115E-2</v>
      </c>
      <c r="BP396" s="191">
        <f t="shared" si="64"/>
        <v>6.008999999999709E-3</v>
      </c>
      <c r="BQ396" s="171">
        <f t="shared" si="65"/>
        <v>2.3300000000000001E-2</v>
      </c>
      <c r="BR396" s="171">
        <f t="shared" si="66"/>
        <v>5.3399999999999996E-2</v>
      </c>
      <c r="BS396" s="171">
        <f t="shared" si="67"/>
        <v>2.2599999999999999E-2</v>
      </c>
      <c r="BT396" s="171">
        <f t="shared" si="68"/>
        <v>2.3199999999999998E-2</v>
      </c>
      <c r="BU396" s="171">
        <f t="shared" si="69"/>
        <v>6.0000000000000001E-3</v>
      </c>
    </row>
    <row r="397" spans="1:73" x14ac:dyDescent="0.3">
      <c r="A397" s="209">
        <v>43344</v>
      </c>
      <c r="B397" s="187">
        <v>201809</v>
      </c>
      <c r="C397" s="176">
        <v>2.4300000000000002</v>
      </c>
      <c r="D397" s="176">
        <v>5.34</v>
      </c>
      <c r="E397" s="176">
        <v>0.66</v>
      </c>
      <c r="F397" s="177">
        <v>133.69999999999999</v>
      </c>
      <c r="G397" s="210">
        <v>2.155504234026151E-2</v>
      </c>
      <c r="H397" s="179">
        <v>2.35</v>
      </c>
      <c r="I397" s="179">
        <v>2.42</v>
      </c>
      <c r="K397" s="182">
        <v>2.5000000000000001E-2</v>
      </c>
      <c r="L397" s="182">
        <v>0.03</v>
      </c>
      <c r="N397" s="182">
        <v>2.75E-2</v>
      </c>
      <c r="O397" s="182">
        <v>7.4999999999999997E-3</v>
      </c>
      <c r="Q397" s="182">
        <v>2.75E-2</v>
      </c>
      <c r="R397" s="182">
        <v>2.75E-2</v>
      </c>
      <c r="S397" s="182">
        <v>0.01</v>
      </c>
      <c r="T397" s="182">
        <v>0.01</v>
      </c>
      <c r="V397" s="194">
        <v>3.2000000000000001E-2</v>
      </c>
      <c r="W397" s="194">
        <v>3.3000000000000002E-2</v>
      </c>
      <c r="X397" s="194">
        <v>1.4999999999999999E-2</v>
      </c>
      <c r="Y397" s="194">
        <v>1.4999999999999999E-2</v>
      </c>
      <c r="Z397" s="194"/>
      <c r="AA397" s="195">
        <v>3.172769000000019E-2</v>
      </c>
      <c r="AB397" s="195">
        <v>3.2637995000000079E-2</v>
      </c>
      <c r="AC397" s="195">
        <v>1.4852721851622395E-2</v>
      </c>
      <c r="AD397" s="195">
        <v>1.5087139074188367E-2</v>
      </c>
      <c r="AE397" s="195"/>
      <c r="AF397" s="195">
        <v>8.3139985660131144E-3</v>
      </c>
      <c r="AG397" s="195">
        <v>8.6449996508766169E-3</v>
      </c>
      <c r="AI397" s="182">
        <v>2.363806249999989E-2</v>
      </c>
      <c r="AJ397" s="182">
        <v>2.4346409999999929E-2</v>
      </c>
      <c r="AK397" s="182">
        <v>6.6108900000001469E-3</v>
      </c>
      <c r="AM397" s="27" t="s">
        <v>146</v>
      </c>
      <c r="AN397" s="7" t="b">
        <f t="shared" si="57"/>
        <v>1</v>
      </c>
      <c r="AO397" s="7" t="s">
        <v>145</v>
      </c>
      <c r="AP397" s="7">
        <v>2014</v>
      </c>
      <c r="AQ397" s="7">
        <f t="shared" si="70"/>
        <v>2018</v>
      </c>
      <c r="AS397" s="211">
        <v>-99</v>
      </c>
      <c r="AT397" s="211">
        <v>-99</v>
      </c>
      <c r="AU397" s="211">
        <v>-99</v>
      </c>
      <c r="AV397" s="211">
        <v>-99</v>
      </c>
      <c r="AW397" s="211">
        <v>-99</v>
      </c>
      <c r="AX397" s="211">
        <v>-99</v>
      </c>
      <c r="AZ397" s="211">
        <v>-99</v>
      </c>
      <c r="BA397" s="211">
        <v>-99</v>
      </c>
      <c r="BB397" s="211">
        <v>-99</v>
      </c>
      <c r="BC397" s="211">
        <v>-99</v>
      </c>
      <c r="BD397" s="211">
        <v>-99</v>
      </c>
      <c r="BE397" s="211">
        <v>-99</v>
      </c>
      <c r="BG397" s="211">
        <v>-99</v>
      </c>
      <c r="BH397" s="211">
        <v>-99</v>
      </c>
      <c r="BI397" s="211">
        <v>-99</v>
      </c>
      <c r="BJ397" s="211">
        <v>-99</v>
      </c>
      <c r="BK397" s="211">
        <v>-99</v>
      </c>
      <c r="BL397" s="211">
        <v>-99</v>
      </c>
      <c r="BM397" s="211">
        <v>-99</v>
      </c>
      <c r="BN397" s="191">
        <f t="shared" si="62"/>
        <v>2.363806249999989E-2</v>
      </c>
      <c r="BO397" s="191">
        <f t="shared" si="63"/>
        <v>2.4346409999999929E-2</v>
      </c>
      <c r="BP397" s="191">
        <f t="shared" si="64"/>
        <v>6.6108900000001469E-3</v>
      </c>
      <c r="BQ397" s="171">
        <f t="shared" si="65"/>
        <v>2.4300000000000002E-2</v>
      </c>
      <c r="BR397" s="171">
        <f t="shared" si="66"/>
        <v>5.3399999999999996E-2</v>
      </c>
      <c r="BS397" s="171">
        <f t="shared" si="67"/>
        <v>2.35E-2</v>
      </c>
      <c r="BT397" s="171">
        <f t="shared" si="68"/>
        <v>2.4199999999999999E-2</v>
      </c>
      <c r="BU397" s="171">
        <f t="shared" si="69"/>
        <v>6.6E-3</v>
      </c>
    </row>
    <row r="398" spans="1:73" x14ac:dyDescent="0.3">
      <c r="A398" s="209">
        <v>43374</v>
      </c>
      <c r="B398" s="187">
        <v>201810</v>
      </c>
      <c r="C398" s="176">
        <v>2.52</v>
      </c>
      <c r="D398" s="176">
        <v>5.34</v>
      </c>
      <c r="E398" s="176">
        <v>0.81</v>
      </c>
      <c r="F398" s="177">
        <v>134.1</v>
      </c>
      <c r="G398" s="210">
        <v>2.3076923076922995E-2</v>
      </c>
      <c r="H398" s="179">
        <v>2.4500000000000002</v>
      </c>
      <c r="I398" s="179">
        <v>2.52</v>
      </c>
      <c r="K398" s="182">
        <v>2.5000000000000001E-2</v>
      </c>
      <c r="L398" s="182">
        <v>0.03</v>
      </c>
      <c r="N398" s="182">
        <v>2.75E-2</v>
      </c>
      <c r="O398" s="182">
        <v>7.4999999999999997E-3</v>
      </c>
      <c r="Q398" s="182">
        <v>2.75E-2</v>
      </c>
      <c r="R398" s="182">
        <v>2.75E-2</v>
      </c>
      <c r="S398" s="182">
        <v>0.01</v>
      </c>
      <c r="T398" s="182">
        <v>0.01</v>
      </c>
      <c r="V398" s="194">
        <v>3.3000000000000002E-2</v>
      </c>
      <c r="W398" s="194">
        <v>3.4000000000000002E-2</v>
      </c>
      <c r="X398" s="194">
        <v>1.4999999999999999E-2</v>
      </c>
      <c r="Y398" s="194">
        <v>1.6E-2</v>
      </c>
      <c r="Z398" s="194"/>
      <c r="AA398" s="195">
        <v>3.2638062499999891E-2</v>
      </c>
      <c r="AB398" s="195">
        <v>3.370058374999995E-2</v>
      </c>
      <c r="AC398" s="195">
        <v>1.5418549223504748E-2</v>
      </c>
      <c r="AD398" s="195">
        <v>1.5707060388247849E-2</v>
      </c>
      <c r="AE398" s="195"/>
      <c r="AF398" s="195">
        <v>8.4790224137931691E-3</v>
      </c>
      <c r="AG398" s="195">
        <v>8.8576342842758837E-3</v>
      </c>
      <c r="AI398" s="182">
        <v>2.4650062500000125E-2</v>
      </c>
      <c r="AJ398" s="182">
        <v>2.5358759999999814E-2</v>
      </c>
      <c r="AK398" s="182">
        <v>8.1164025000002304E-3</v>
      </c>
      <c r="AM398" s="27" t="s">
        <v>146</v>
      </c>
      <c r="AN398" s="7" t="b">
        <f t="shared" si="57"/>
        <v>1</v>
      </c>
      <c r="AO398" s="7" t="s">
        <v>145</v>
      </c>
      <c r="AP398" s="7">
        <v>2014</v>
      </c>
      <c r="AQ398" s="7">
        <f t="shared" si="70"/>
        <v>2018</v>
      </c>
      <c r="AS398" s="211">
        <v>-99</v>
      </c>
      <c r="AT398" s="211">
        <v>-99</v>
      </c>
      <c r="AU398" s="211">
        <v>-99</v>
      </c>
      <c r="AV398" s="211">
        <v>-99</v>
      </c>
      <c r="AW398" s="211">
        <v>-99</v>
      </c>
      <c r="AX398" s="211">
        <v>-99</v>
      </c>
      <c r="AZ398" s="211">
        <v>-99</v>
      </c>
      <c r="BA398" s="211">
        <v>-99</v>
      </c>
      <c r="BB398" s="211">
        <v>-99</v>
      </c>
      <c r="BC398" s="211">
        <v>-99</v>
      </c>
      <c r="BD398" s="211">
        <v>-99</v>
      </c>
      <c r="BE398" s="211">
        <v>-99</v>
      </c>
      <c r="BG398" s="211">
        <v>-99</v>
      </c>
      <c r="BH398" s="211">
        <v>-99</v>
      </c>
      <c r="BI398" s="211">
        <v>-99</v>
      </c>
      <c r="BJ398" s="211">
        <v>-99</v>
      </c>
      <c r="BK398" s="211">
        <v>-99</v>
      </c>
      <c r="BL398" s="211">
        <v>-99</v>
      </c>
      <c r="BM398" s="211">
        <v>-99</v>
      </c>
      <c r="BN398" s="191">
        <f t="shared" si="62"/>
        <v>2.4650062500000125E-2</v>
      </c>
      <c r="BO398" s="191">
        <f t="shared" si="63"/>
        <v>2.5358759999999814E-2</v>
      </c>
      <c r="BP398" s="191">
        <f t="shared" si="64"/>
        <v>8.1164025000002304E-3</v>
      </c>
      <c r="BQ398" s="171">
        <f t="shared" si="65"/>
        <v>2.52E-2</v>
      </c>
      <c r="BR398" s="171">
        <f t="shared" si="66"/>
        <v>5.3399999999999996E-2</v>
      </c>
      <c r="BS398" s="171">
        <f t="shared" si="67"/>
        <v>2.4500000000000001E-2</v>
      </c>
      <c r="BT398" s="171">
        <f t="shared" si="68"/>
        <v>2.52E-2</v>
      </c>
      <c r="BU398" s="171">
        <f t="shared" si="69"/>
        <v>8.1000000000000013E-3</v>
      </c>
    </row>
    <row r="399" spans="1:73" x14ac:dyDescent="0.3">
      <c r="A399" s="209">
        <v>43405</v>
      </c>
      <c r="B399" s="187">
        <v>201811</v>
      </c>
      <c r="C399" s="176">
        <v>2.39</v>
      </c>
      <c r="D399" s="176">
        <v>5.34</v>
      </c>
      <c r="E399" s="176">
        <v>0.84</v>
      </c>
      <c r="F399" s="177">
        <v>133.5</v>
      </c>
      <c r="G399" s="210">
        <v>2.3041474654377891E-2</v>
      </c>
      <c r="H399" s="179">
        <v>2.2799999999999998</v>
      </c>
      <c r="I399" s="179">
        <v>2.41</v>
      </c>
      <c r="K399" s="182">
        <v>2.5000000000000001E-2</v>
      </c>
      <c r="L399" s="182">
        <v>0.03</v>
      </c>
      <c r="N399" s="182">
        <v>0.03</v>
      </c>
      <c r="O399" s="182">
        <v>0.01</v>
      </c>
      <c r="Q399" s="182">
        <v>2.75E-2</v>
      </c>
      <c r="R399" s="182">
        <v>0.03</v>
      </c>
      <c r="S399" s="182">
        <v>1.2500000000000001E-2</v>
      </c>
      <c r="T399" s="182">
        <v>1.2500000000000001E-2</v>
      </c>
      <c r="V399" s="194">
        <v>3.4000000000000002E-2</v>
      </c>
      <c r="W399" s="194">
        <v>3.5000000000000003E-2</v>
      </c>
      <c r="X399" s="194">
        <v>1.7000000000000001E-2</v>
      </c>
      <c r="Y399" s="194">
        <v>1.7000000000000001E-2</v>
      </c>
      <c r="Z399" s="194"/>
      <c r="AA399" s="195">
        <v>3.3650062500000126E-2</v>
      </c>
      <c r="AB399" s="195">
        <v>3.4713108749999659E-2</v>
      </c>
      <c r="AC399" s="195">
        <v>1.6889574604600714E-2</v>
      </c>
      <c r="AD399" s="195">
        <v>1.722981644769999E-2</v>
      </c>
      <c r="AE399" s="195"/>
      <c r="AF399" s="195">
        <v>8.2410560172752056E-3</v>
      </c>
      <c r="AG399" s="195">
        <v>8.5935803392754861E-3</v>
      </c>
      <c r="AI399" s="182">
        <v>2.2929960000000138E-2</v>
      </c>
      <c r="AJ399" s="182">
        <v>2.424520249999973E-2</v>
      </c>
      <c r="AK399" s="182">
        <v>8.417640000000004E-3</v>
      </c>
      <c r="AM399" s="27" t="s">
        <v>146</v>
      </c>
      <c r="AN399" s="7" t="b">
        <f t="shared" si="57"/>
        <v>1</v>
      </c>
      <c r="AO399" s="7" t="s">
        <v>145</v>
      </c>
      <c r="AP399" s="7">
        <v>2014</v>
      </c>
      <c r="AQ399" s="7">
        <f t="shared" si="70"/>
        <v>2018</v>
      </c>
      <c r="AS399" s="211">
        <v>-99</v>
      </c>
      <c r="AT399" s="211">
        <v>-99</v>
      </c>
      <c r="AU399" s="211">
        <v>-99</v>
      </c>
      <c r="AV399" s="211">
        <v>-99</v>
      </c>
      <c r="AW399" s="211">
        <v>-99</v>
      </c>
      <c r="AX399" s="211">
        <v>-99</v>
      </c>
      <c r="AZ399" s="211">
        <v>-99</v>
      </c>
      <c r="BA399" s="211">
        <v>-99</v>
      </c>
      <c r="BB399" s="211">
        <v>-99</v>
      </c>
      <c r="BC399" s="211">
        <v>-99</v>
      </c>
      <c r="BD399" s="211">
        <v>-99</v>
      </c>
      <c r="BE399" s="211">
        <v>-99</v>
      </c>
      <c r="BG399" s="211">
        <v>-99</v>
      </c>
      <c r="BH399" s="211">
        <v>-99</v>
      </c>
      <c r="BI399" s="211">
        <v>-99</v>
      </c>
      <c r="BJ399" s="211">
        <v>-99</v>
      </c>
      <c r="BK399" s="211">
        <v>-99</v>
      </c>
      <c r="BL399" s="211">
        <v>-99</v>
      </c>
      <c r="BM399" s="211">
        <v>-99</v>
      </c>
      <c r="BN399" s="191">
        <f t="shared" si="62"/>
        <v>2.2929960000000138E-2</v>
      </c>
      <c r="BO399" s="191">
        <f t="shared" si="63"/>
        <v>2.424520249999973E-2</v>
      </c>
      <c r="BP399" s="191">
        <f t="shared" si="64"/>
        <v>8.417640000000004E-3</v>
      </c>
      <c r="BQ399" s="171">
        <f t="shared" si="65"/>
        <v>2.3900000000000001E-2</v>
      </c>
      <c r="BR399" s="171">
        <f t="shared" si="66"/>
        <v>5.3399999999999996E-2</v>
      </c>
      <c r="BS399" s="171">
        <f t="shared" si="67"/>
        <v>2.2799999999999997E-2</v>
      </c>
      <c r="BT399" s="171">
        <f t="shared" si="68"/>
        <v>2.41E-2</v>
      </c>
      <c r="BU399" s="171">
        <f t="shared" si="69"/>
        <v>8.3999999999999995E-3</v>
      </c>
    </row>
    <row r="400" spans="1:73" x14ac:dyDescent="0.3">
      <c r="A400" s="209">
        <v>43435</v>
      </c>
      <c r="B400" s="187">
        <v>201812</v>
      </c>
      <c r="C400" s="176">
        <v>2.12</v>
      </c>
      <c r="D400" s="176">
        <v>5.34</v>
      </c>
      <c r="E400" s="176">
        <v>0.75</v>
      </c>
      <c r="F400" s="177">
        <v>133.4</v>
      </c>
      <c r="G400" s="210">
        <v>2.3006134969325132E-2</v>
      </c>
      <c r="H400" s="179">
        <v>1.94</v>
      </c>
      <c r="I400" s="179">
        <v>2.15</v>
      </c>
      <c r="K400" s="182">
        <v>0.03</v>
      </c>
      <c r="L400" s="182">
        <v>0.03</v>
      </c>
      <c r="N400" s="182">
        <v>0.03</v>
      </c>
      <c r="O400" s="182">
        <v>0.01</v>
      </c>
      <c r="Q400" s="182">
        <v>0.03</v>
      </c>
      <c r="R400" s="182">
        <v>0.03</v>
      </c>
      <c r="S400" s="182">
        <v>1.2500000000000001E-2</v>
      </c>
      <c r="T400" s="182">
        <v>1.2500000000000001E-2</v>
      </c>
      <c r="V400" s="194">
        <v>3.2000000000000001E-2</v>
      </c>
      <c r="W400" s="194">
        <v>3.4000000000000002E-2</v>
      </c>
      <c r="X400" s="194">
        <v>1.7000000000000001E-2</v>
      </c>
      <c r="Y400" s="194">
        <v>1.8000000000000002E-2</v>
      </c>
      <c r="Z400" s="194"/>
      <c r="AA400" s="195">
        <v>3.1929960000000139E-2</v>
      </c>
      <c r="AB400" s="195">
        <v>3.3902823749999526E-2</v>
      </c>
      <c r="AC400" s="195">
        <v>1.696100376948402E-2</v>
      </c>
      <c r="AD400" s="195">
        <v>1.7645958115257997E-2</v>
      </c>
      <c r="AE400" s="195"/>
      <c r="AF400" s="195">
        <v>7.3596510461225728E-3</v>
      </c>
      <c r="AG400" s="195">
        <v>7.9874859744198945E-3</v>
      </c>
      <c r="AI400" s="182">
        <v>1.9494090000000019E-2</v>
      </c>
      <c r="AJ400" s="182">
        <v>2.1615562500000074E-2</v>
      </c>
      <c r="AK400" s="182">
        <v>7.5140624999998629E-3</v>
      </c>
      <c r="AM400" s="27" t="s">
        <v>146</v>
      </c>
      <c r="AN400" s="7" t="b">
        <f t="shared" si="57"/>
        <v>1</v>
      </c>
      <c r="AO400" s="7" t="s">
        <v>145</v>
      </c>
      <c r="AP400" s="7">
        <v>2014</v>
      </c>
      <c r="AQ400" s="7">
        <f t="shared" si="70"/>
        <v>2018</v>
      </c>
      <c r="AS400" s="211">
        <v>-99</v>
      </c>
      <c r="AT400" s="211">
        <v>-99</v>
      </c>
      <c r="AU400" s="211">
        <v>-99</v>
      </c>
      <c r="AV400" s="211">
        <v>-99</v>
      </c>
      <c r="AW400" s="211">
        <v>-99</v>
      </c>
      <c r="AX400" s="211">
        <v>-99</v>
      </c>
      <c r="AZ400" s="211">
        <v>-99</v>
      </c>
      <c r="BA400" s="211">
        <v>-99</v>
      </c>
      <c r="BB400" s="211">
        <v>-99</v>
      </c>
      <c r="BC400" s="211">
        <v>-99</v>
      </c>
      <c r="BD400" s="211">
        <v>-99</v>
      </c>
      <c r="BE400" s="211">
        <v>-99</v>
      </c>
      <c r="BG400" s="211">
        <v>-99</v>
      </c>
      <c r="BH400" s="211">
        <v>-99</v>
      </c>
      <c r="BI400" s="211">
        <v>-99</v>
      </c>
      <c r="BJ400" s="211">
        <v>-99</v>
      </c>
      <c r="BK400" s="211">
        <v>-99</v>
      </c>
      <c r="BL400" s="211">
        <v>-99</v>
      </c>
      <c r="BM400" s="211">
        <v>-99</v>
      </c>
      <c r="BN400" s="191">
        <f t="shared" si="62"/>
        <v>1.9494090000000019E-2</v>
      </c>
      <c r="BO400" s="191">
        <f t="shared" si="63"/>
        <v>2.1615562500000074E-2</v>
      </c>
      <c r="BP400" s="191">
        <f t="shared" si="64"/>
        <v>7.5140624999998629E-3</v>
      </c>
      <c r="BQ400" s="171">
        <f t="shared" si="65"/>
        <v>2.12E-2</v>
      </c>
      <c r="BR400" s="171">
        <f t="shared" si="66"/>
        <v>5.3399999999999996E-2</v>
      </c>
      <c r="BS400" s="171">
        <f t="shared" si="67"/>
        <v>1.9400000000000001E-2</v>
      </c>
      <c r="BT400" s="171">
        <f t="shared" si="68"/>
        <v>2.1499999999999998E-2</v>
      </c>
      <c r="BU400" s="171">
        <f t="shared" si="69"/>
        <v>7.4999999999999997E-3</v>
      </c>
    </row>
    <row r="401" spans="1:73" x14ac:dyDescent="0.3">
      <c r="A401" s="209">
        <v>43466</v>
      </c>
      <c r="B401" s="187">
        <v>201901</v>
      </c>
      <c r="C401" s="176">
        <v>2.11</v>
      </c>
      <c r="D401" s="176">
        <v>5.34</v>
      </c>
      <c r="E401" s="176">
        <v>0.72</v>
      </c>
      <c r="F401" s="177">
        <v>133.6</v>
      </c>
      <c r="G401" s="210">
        <v>2.2205206738131755E-2</v>
      </c>
      <c r="H401" s="179">
        <v>1.86</v>
      </c>
      <c r="I401" s="179">
        <v>2.17</v>
      </c>
      <c r="K401" s="182">
        <v>2.5000000000000001E-2</v>
      </c>
      <c r="L401" s="182">
        <v>0.03</v>
      </c>
      <c r="N401" s="182">
        <v>0.03</v>
      </c>
      <c r="O401" s="182">
        <v>0.01</v>
      </c>
      <c r="Q401" s="182">
        <v>2.75E-2</v>
      </c>
      <c r="R401" s="182">
        <v>0.03</v>
      </c>
      <c r="S401" s="182">
        <v>1.2500000000000001E-2</v>
      </c>
      <c r="T401" s="182">
        <v>1.2500000000000001E-2</v>
      </c>
      <c r="V401" s="194">
        <v>2.8000000000000001E-2</v>
      </c>
      <c r="W401" s="194">
        <v>3.2000000000000001E-2</v>
      </c>
      <c r="X401" s="194">
        <v>1.6E-2</v>
      </c>
      <c r="Y401" s="194">
        <v>1.7000000000000001E-2</v>
      </c>
      <c r="Z401" s="194"/>
      <c r="AA401" s="195">
        <v>2.8494090000000021E-2</v>
      </c>
      <c r="AB401" s="195">
        <v>3.1676298750000102E-2</v>
      </c>
      <c r="AC401" s="195">
        <v>1.57765902756693E-2</v>
      </c>
      <c r="AD401" s="195">
        <v>1.6882798612165146E-2</v>
      </c>
      <c r="AE401" s="195"/>
      <c r="AF401" s="195">
        <v>6.2599885870963101E-3</v>
      </c>
      <c r="AG401" s="195">
        <v>7.273945511727109E-3</v>
      </c>
      <c r="AI401" s="182">
        <v>1.8686490000000111E-2</v>
      </c>
      <c r="AJ401" s="182">
        <v>2.1817722500000025E-2</v>
      </c>
      <c r="AK401" s="182">
        <v>7.212960000000157E-3</v>
      </c>
      <c r="AM401" s="27" t="s">
        <v>146</v>
      </c>
      <c r="AN401" s="7" t="b">
        <f t="shared" si="57"/>
        <v>1</v>
      </c>
      <c r="AO401" s="7" t="s">
        <v>145</v>
      </c>
      <c r="AP401" s="7">
        <v>2014</v>
      </c>
      <c r="AQ401" s="7">
        <f t="shared" si="70"/>
        <v>2019</v>
      </c>
      <c r="AS401" s="211">
        <v>-99</v>
      </c>
      <c r="AT401" s="211">
        <v>-99</v>
      </c>
      <c r="AU401" s="211">
        <v>-99</v>
      </c>
      <c r="AV401" s="211">
        <v>-99</v>
      </c>
      <c r="AW401" s="211">
        <v>-99</v>
      </c>
      <c r="AX401" s="211">
        <v>-99</v>
      </c>
      <c r="AZ401" s="211">
        <v>-99</v>
      </c>
      <c r="BA401" s="211">
        <v>-99</v>
      </c>
      <c r="BB401" s="211">
        <v>-99</v>
      </c>
      <c r="BC401" s="211">
        <v>-99</v>
      </c>
      <c r="BD401" s="211">
        <v>-99</v>
      </c>
      <c r="BE401" s="211">
        <v>-99</v>
      </c>
      <c r="BG401" s="211">
        <v>-99</v>
      </c>
      <c r="BH401" s="211">
        <v>-99</v>
      </c>
      <c r="BI401" s="211">
        <v>-99</v>
      </c>
      <c r="BJ401" s="211">
        <v>-99</v>
      </c>
      <c r="BK401" s="211">
        <v>-99</v>
      </c>
      <c r="BL401" s="211">
        <v>-99</v>
      </c>
      <c r="BM401" s="211">
        <v>-99</v>
      </c>
      <c r="BN401" s="191">
        <f t="shared" si="62"/>
        <v>1.8686490000000111E-2</v>
      </c>
      <c r="BO401" s="191">
        <f t="shared" si="63"/>
        <v>2.1817722500000025E-2</v>
      </c>
      <c r="BP401" s="191">
        <f t="shared" si="64"/>
        <v>7.212960000000157E-3</v>
      </c>
      <c r="BQ401" s="171">
        <f t="shared" si="65"/>
        <v>2.1099999999999997E-2</v>
      </c>
      <c r="BR401" s="171">
        <f t="shared" si="66"/>
        <v>5.3399999999999996E-2</v>
      </c>
      <c r="BS401" s="171">
        <f t="shared" si="67"/>
        <v>1.8600000000000002E-2</v>
      </c>
      <c r="BT401" s="171">
        <f t="shared" si="68"/>
        <v>2.1700000000000001E-2</v>
      </c>
      <c r="BU401" s="171">
        <f t="shared" si="69"/>
        <v>7.1999999999999998E-3</v>
      </c>
    </row>
    <row r="402" spans="1:73" x14ac:dyDescent="0.3">
      <c r="A402" s="209">
        <v>43497</v>
      </c>
      <c r="B402" s="187">
        <v>201902</v>
      </c>
      <c r="C402" s="176">
        <v>2.1</v>
      </c>
      <c r="D402" s="176">
        <v>5.34</v>
      </c>
      <c r="E402" s="176">
        <v>0.69</v>
      </c>
      <c r="F402" s="177">
        <v>134.5</v>
      </c>
      <c r="G402" s="224">
        <v>2.2171253822629744E-2</v>
      </c>
      <c r="H402" s="179">
        <v>1.84</v>
      </c>
      <c r="I402" s="179">
        <v>2.16</v>
      </c>
      <c r="K402" s="182">
        <v>2.5000000000000001E-2</v>
      </c>
      <c r="L402" s="182">
        <v>0.03</v>
      </c>
      <c r="N402" s="182">
        <v>2.75E-2</v>
      </c>
      <c r="O402" s="182">
        <v>0.01</v>
      </c>
      <c r="Q402" s="182">
        <v>2.5000000000000001E-2</v>
      </c>
      <c r="R402" s="182">
        <v>2.75E-2</v>
      </c>
      <c r="S402" s="182">
        <v>1.2500000000000001E-2</v>
      </c>
      <c r="T402" s="182">
        <v>1.2500000000000001E-2</v>
      </c>
      <c r="V402" s="194">
        <v>2.8000000000000001E-2</v>
      </c>
      <c r="W402" s="194">
        <v>3.2000000000000001E-2</v>
      </c>
      <c r="X402" s="194">
        <v>1.4999999999999999E-2</v>
      </c>
      <c r="Y402" s="194">
        <v>1.7000000000000001E-2</v>
      </c>
      <c r="Z402" s="194"/>
      <c r="AA402" s="195">
        <v>2.7686490000000112E-2</v>
      </c>
      <c r="AB402" s="195">
        <v>3.2383338749999983E-2</v>
      </c>
      <c r="AC402" s="195">
        <v>1.517777153002123E-2</v>
      </c>
      <c r="AD402" s="195">
        <v>1.6730554234989623E-2</v>
      </c>
      <c r="AE402" s="195"/>
      <c r="AF402" s="195">
        <v>6.1608512424017325E-3</v>
      </c>
      <c r="AG402" s="195">
        <v>7.6976070256823403E-3</v>
      </c>
      <c r="AI402" s="182">
        <v>1.8484640000000274E-2</v>
      </c>
      <c r="AJ402" s="182">
        <v>2.1716639999999732E-2</v>
      </c>
      <c r="AK402" s="182">
        <v>6.9119024999999557E-3</v>
      </c>
      <c r="AM402" s="27" t="s">
        <v>146</v>
      </c>
      <c r="AN402" s="7" t="b">
        <f t="shared" si="57"/>
        <v>1</v>
      </c>
      <c r="AO402" s="7" t="s">
        <v>145</v>
      </c>
      <c r="AP402" s="7">
        <v>2014</v>
      </c>
      <c r="AQ402" s="7">
        <f t="shared" ref="AQ402:AQ407" si="71">YEAR(A402)</f>
        <v>2019</v>
      </c>
      <c r="AS402" s="211">
        <v>-99</v>
      </c>
      <c r="AT402" s="211">
        <v>-99</v>
      </c>
      <c r="AU402" s="211">
        <v>-99</v>
      </c>
      <c r="AV402" s="211">
        <v>-99</v>
      </c>
      <c r="AW402" s="211">
        <v>-99</v>
      </c>
      <c r="AX402" s="211">
        <v>-99</v>
      </c>
      <c r="AZ402" s="211">
        <v>-99</v>
      </c>
      <c r="BA402" s="211">
        <v>-99</v>
      </c>
      <c r="BB402" s="211">
        <v>-99</v>
      </c>
      <c r="BC402" s="211">
        <v>-99</v>
      </c>
      <c r="BD402" s="211">
        <v>-99</v>
      </c>
      <c r="BE402" s="211">
        <v>-99</v>
      </c>
      <c r="BG402" s="211">
        <v>-99</v>
      </c>
      <c r="BH402" s="211">
        <v>-99</v>
      </c>
      <c r="BI402" s="211">
        <v>-99</v>
      </c>
      <c r="BJ402" s="211">
        <v>-99</v>
      </c>
      <c r="BK402" s="211">
        <v>-99</v>
      </c>
      <c r="BL402" s="211">
        <v>-99</v>
      </c>
      <c r="BM402" s="211">
        <v>-99</v>
      </c>
      <c r="BN402" s="191">
        <f t="shared" si="62"/>
        <v>1.8484640000000274E-2</v>
      </c>
      <c r="BO402" s="191">
        <f t="shared" si="63"/>
        <v>2.1716639999999732E-2</v>
      </c>
      <c r="BP402" s="191">
        <f t="shared" si="64"/>
        <v>6.9119024999999557E-3</v>
      </c>
      <c r="BQ402" s="171">
        <f t="shared" si="65"/>
        <v>2.1000000000000001E-2</v>
      </c>
      <c r="BR402" s="171">
        <f t="shared" si="66"/>
        <v>5.3399999999999996E-2</v>
      </c>
      <c r="BS402" s="171">
        <f t="shared" si="67"/>
        <v>1.84E-2</v>
      </c>
      <c r="BT402" s="171">
        <f t="shared" si="68"/>
        <v>2.1600000000000001E-2</v>
      </c>
      <c r="BU402" s="171">
        <f t="shared" si="69"/>
        <v>6.8999999999999999E-3</v>
      </c>
    </row>
    <row r="403" spans="1:73" x14ac:dyDescent="0.3">
      <c r="A403" s="209">
        <v>43525</v>
      </c>
      <c r="B403" s="187">
        <v>201903</v>
      </c>
      <c r="C403" s="176">
        <v>1.76</v>
      </c>
      <c r="D403" s="176">
        <v>5.34</v>
      </c>
      <c r="E403" s="176">
        <v>0.4</v>
      </c>
      <c r="F403" s="177">
        <v>135.4</v>
      </c>
      <c r="G403" s="224">
        <v>2.1357742181540962E-2</v>
      </c>
      <c r="H403" s="179">
        <v>1.46</v>
      </c>
      <c r="I403" s="179">
        <v>1.84</v>
      </c>
      <c r="K403" s="182">
        <v>2.5000000000000001E-2</v>
      </c>
      <c r="L403" s="182">
        <v>0.03</v>
      </c>
      <c r="N403" s="182">
        <v>2.75E-2</v>
      </c>
      <c r="O403" s="182">
        <v>0.01</v>
      </c>
      <c r="Q403" s="182">
        <v>2.2499999999999999E-2</v>
      </c>
      <c r="R403" s="182">
        <v>2.75E-2</v>
      </c>
      <c r="S403" s="182">
        <v>0.01</v>
      </c>
      <c r="T403" s="182">
        <v>1.2500000000000001E-2</v>
      </c>
      <c r="V403" s="194">
        <v>2.7E-2</v>
      </c>
      <c r="W403" s="194">
        <v>3.2000000000000001E-2</v>
      </c>
      <c r="X403" s="194">
        <v>1.4999999999999999E-2</v>
      </c>
      <c r="Y403" s="194">
        <v>1.6E-2</v>
      </c>
      <c r="Z403" s="194"/>
      <c r="AA403" s="195">
        <v>2.7484640000000275E-2</v>
      </c>
      <c r="AB403" s="195">
        <v>3.2332639999999462E-2</v>
      </c>
      <c r="AC403" s="195">
        <v>1.488323191007461E-2</v>
      </c>
      <c r="AD403" s="195">
        <v>1.642623779496263E-2</v>
      </c>
      <c r="AE403" s="195"/>
      <c r="AF403" s="195">
        <v>6.208304410650678E-3</v>
      </c>
      <c r="AG403" s="195">
        <v>7.8246711928374735E-3</v>
      </c>
      <c r="AI403" s="225">
        <v>1.4653290000000263E-2</v>
      </c>
      <c r="AJ403" s="225">
        <v>1.8484640000000274E-2</v>
      </c>
      <c r="AK403" s="225">
        <v>4.0039999999998965E-3</v>
      </c>
      <c r="AM403" s="27" t="s">
        <v>146</v>
      </c>
      <c r="AN403" s="7" t="b">
        <f t="shared" si="57"/>
        <v>1</v>
      </c>
      <c r="AO403" s="7" t="s">
        <v>145</v>
      </c>
      <c r="AP403" s="7">
        <v>2014</v>
      </c>
      <c r="AQ403" s="7">
        <f t="shared" si="71"/>
        <v>2019</v>
      </c>
      <c r="AS403" s="211">
        <v>-99</v>
      </c>
      <c r="AT403" s="211">
        <v>-99</v>
      </c>
      <c r="AU403" s="211">
        <v>-99</v>
      </c>
      <c r="AV403" s="211">
        <v>-99</v>
      </c>
      <c r="AW403" s="211">
        <v>-99</v>
      </c>
      <c r="AX403" s="211">
        <v>-99</v>
      </c>
      <c r="AZ403" s="211">
        <v>-99</v>
      </c>
      <c r="BA403" s="211">
        <v>-99</v>
      </c>
      <c r="BB403" s="211">
        <v>-99</v>
      </c>
      <c r="BC403" s="211">
        <v>-99</v>
      </c>
      <c r="BD403" s="211">
        <v>-99</v>
      </c>
      <c r="BE403" s="211">
        <v>-99</v>
      </c>
      <c r="BG403" s="211">
        <v>-99</v>
      </c>
      <c r="BH403" s="211">
        <v>-99</v>
      </c>
      <c r="BI403" s="211">
        <v>-99</v>
      </c>
      <c r="BJ403" s="211">
        <v>-99</v>
      </c>
      <c r="BK403" s="211">
        <v>-99</v>
      </c>
      <c r="BL403" s="211">
        <v>-99</v>
      </c>
      <c r="BM403" s="211">
        <v>-99</v>
      </c>
      <c r="BN403" s="191">
        <f t="shared" si="62"/>
        <v>1.4653290000000263E-2</v>
      </c>
      <c r="BO403" s="191">
        <f t="shared" si="63"/>
        <v>1.8484640000000274E-2</v>
      </c>
      <c r="BP403" s="191">
        <f t="shared" si="64"/>
        <v>4.0039999999998965E-3</v>
      </c>
      <c r="BQ403" s="171">
        <f t="shared" si="65"/>
        <v>1.7600000000000001E-2</v>
      </c>
      <c r="BR403" s="171">
        <f t="shared" si="66"/>
        <v>5.3399999999999996E-2</v>
      </c>
      <c r="BS403" s="171">
        <f t="shared" si="67"/>
        <v>1.46E-2</v>
      </c>
      <c r="BT403" s="171">
        <f t="shared" si="68"/>
        <v>1.84E-2</v>
      </c>
      <c r="BU403" s="171">
        <f t="shared" si="69"/>
        <v>4.0000000000000001E-3</v>
      </c>
    </row>
    <row r="404" spans="1:73" x14ac:dyDescent="0.3">
      <c r="A404" s="209">
        <v>43556</v>
      </c>
      <c r="B404" s="187">
        <v>201904</v>
      </c>
      <c r="C404" s="176">
        <v>1.9</v>
      </c>
      <c r="D404" s="176">
        <v>5.34</v>
      </c>
      <c r="E404" s="176">
        <v>0.51</v>
      </c>
      <c r="F404" s="177">
        <v>136</v>
      </c>
      <c r="G404" s="224">
        <v>2.1325209444021276E-2</v>
      </c>
      <c r="H404" s="179">
        <v>1.55</v>
      </c>
      <c r="I404" s="179">
        <v>1.99</v>
      </c>
      <c r="K404" s="225">
        <v>2.5000000000000001E-2</v>
      </c>
      <c r="L404" s="225">
        <v>0.03</v>
      </c>
      <c r="M404" s="225"/>
      <c r="N404" s="225">
        <v>2.5000000000000001E-2</v>
      </c>
      <c r="O404" s="225">
        <v>0.01</v>
      </c>
      <c r="P404" s="226"/>
      <c r="Q404" s="225">
        <v>2.2499999999999999E-2</v>
      </c>
      <c r="R404" s="225">
        <v>2.75E-2</v>
      </c>
      <c r="S404" s="225">
        <v>0.01</v>
      </c>
      <c r="T404" s="225">
        <v>1.2500000000000001E-2</v>
      </c>
      <c r="U404" s="227"/>
      <c r="V404" s="228">
        <v>2.4E-2</v>
      </c>
      <c r="W404" s="228">
        <v>2.9000000000000001E-2</v>
      </c>
      <c r="X404" s="228">
        <v>1.2E-2</v>
      </c>
      <c r="Y404" s="228">
        <v>1.3000000000000001E-2</v>
      </c>
      <c r="Z404" s="228"/>
      <c r="AA404" s="229">
        <v>2.3653290000000264E-2</v>
      </c>
      <c r="AB404" s="229">
        <v>2.9400315000000281E-2</v>
      </c>
      <c r="AC404" s="229">
        <v>1.2174082544209607E-2</v>
      </c>
      <c r="AD404" s="229">
        <v>1.3418958727895043E-2</v>
      </c>
      <c r="AE404" s="229"/>
      <c r="AF404" s="229">
        <v>5.6705697437620106E-3</v>
      </c>
      <c r="AG404" s="229">
        <v>7.8848713725298003E-3</v>
      </c>
      <c r="AI404" s="225">
        <v>1.556006249999986E-2</v>
      </c>
      <c r="AJ404" s="225">
        <v>1.9999002499999863E-2</v>
      </c>
      <c r="AK404" s="225">
        <v>5.1065025000001096E-3</v>
      </c>
      <c r="AM404" s="27" t="s">
        <v>146</v>
      </c>
      <c r="AN404" s="7" t="b">
        <f t="shared" si="57"/>
        <v>1</v>
      </c>
      <c r="AO404" s="7" t="s">
        <v>145</v>
      </c>
      <c r="AP404" s="7">
        <v>2014</v>
      </c>
      <c r="AQ404" s="7">
        <f t="shared" si="71"/>
        <v>2019</v>
      </c>
      <c r="AS404" s="211">
        <v>-99</v>
      </c>
      <c r="AT404" s="211">
        <v>-99</v>
      </c>
      <c r="AU404" s="211">
        <v>-99</v>
      </c>
      <c r="AV404" s="211">
        <v>-99</v>
      </c>
      <c r="AW404" s="211">
        <v>-99</v>
      </c>
      <c r="AX404" s="211">
        <v>-99</v>
      </c>
      <c r="AZ404" s="211">
        <v>-99</v>
      </c>
      <c r="BA404" s="211">
        <v>-99</v>
      </c>
      <c r="BB404" s="211">
        <v>-99</v>
      </c>
      <c r="BC404" s="211">
        <v>-99</v>
      </c>
      <c r="BD404" s="211">
        <v>-99</v>
      </c>
      <c r="BE404" s="211">
        <v>-99</v>
      </c>
      <c r="BG404" s="211">
        <v>-99</v>
      </c>
      <c r="BH404" s="211">
        <v>-99</v>
      </c>
      <c r="BI404" s="211">
        <v>-99</v>
      </c>
      <c r="BJ404" s="211">
        <v>-99</v>
      </c>
      <c r="BK404" s="211">
        <v>-99</v>
      </c>
      <c r="BL404" s="211">
        <v>-99</v>
      </c>
      <c r="BM404" s="211">
        <v>-99</v>
      </c>
      <c r="BN404" s="191">
        <f t="shared" si="62"/>
        <v>1.556006249999986E-2</v>
      </c>
      <c r="BO404" s="191">
        <f t="shared" si="63"/>
        <v>1.9999002499999863E-2</v>
      </c>
      <c r="BP404" s="191">
        <f t="shared" si="64"/>
        <v>5.1065025000001096E-3</v>
      </c>
      <c r="BQ404" s="171">
        <f t="shared" si="65"/>
        <v>1.9E-2</v>
      </c>
      <c r="BR404" s="171">
        <f t="shared" si="66"/>
        <v>5.3399999999999996E-2</v>
      </c>
      <c r="BS404" s="171">
        <f t="shared" si="67"/>
        <v>1.55E-2</v>
      </c>
      <c r="BT404" s="171">
        <f t="shared" si="68"/>
        <v>1.9900000000000001E-2</v>
      </c>
      <c r="BU404" s="171">
        <f t="shared" si="69"/>
        <v>5.1000000000000004E-3</v>
      </c>
    </row>
    <row r="405" spans="1:73" x14ac:dyDescent="0.3">
      <c r="A405" s="209">
        <v>43586</v>
      </c>
      <c r="B405" s="187">
        <v>201905</v>
      </c>
      <c r="C405" s="176">
        <v>1.75</v>
      </c>
      <c r="D405" s="176">
        <v>5.34</v>
      </c>
      <c r="E405" s="176">
        <v>0.44</v>
      </c>
      <c r="F405" s="177">
        <v>136.6</v>
      </c>
      <c r="G405" s="224">
        <v>2.1276595744680993E-2</v>
      </c>
      <c r="H405" s="179">
        <v>1.49</v>
      </c>
      <c r="I405" s="179">
        <v>1.82</v>
      </c>
      <c r="K405" s="225">
        <v>0.02</v>
      </c>
      <c r="L405" s="225">
        <v>0.03</v>
      </c>
      <c r="M405" s="225"/>
      <c r="N405" s="225">
        <v>2.2499999999999999E-2</v>
      </c>
      <c r="O405" s="225">
        <v>7.4999999999999997E-3</v>
      </c>
      <c r="P405" s="226"/>
      <c r="Q405" s="225">
        <v>0.02</v>
      </c>
      <c r="R405" s="225">
        <v>2.5000000000000001E-2</v>
      </c>
      <c r="S405" s="225">
        <v>7.4999999999999997E-3</v>
      </c>
      <c r="T405" s="225">
        <v>0.01</v>
      </c>
      <c r="U405" s="227"/>
      <c r="V405" s="228">
        <v>2.5000000000000001E-2</v>
      </c>
      <c r="W405" s="228">
        <v>3.1E-2</v>
      </c>
      <c r="X405" s="228">
        <v>1.3000000000000001E-2</v>
      </c>
      <c r="Y405" s="228">
        <v>1.4999999999999999E-2</v>
      </c>
      <c r="Z405" s="228"/>
      <c r="AA405" s="229">
        <v>2.4560062499999862E-2</v>
      </c>
      <c r="AB405" s="229">
        <v>3.1218472499999865E-2</v>
      </c>
      <c r="AC405" s="229">
        <v>1.297307305983925E-2</v>
      </c>
      <c r="AD405" s="229">
        <v>1.4673217220080541E-2</v>
      </c>
      <c r="AE405" s="229"/>
      <c r="AF405" s="229">
        <v>5.7192978512056181E-3</v>
      </c>
      <c r="AG405" s="229">
        <v>8.1529969447939887E-3</v>
      </c>
      <c r="AI405" s="225">
        <v>1.4955502499999884E-2</v>
      </c>
      <c r="AJ405" s="225">
        <v>1.8282810000000316E-2</v>
      </c>
      <c r="AK405" s="225">
        <v>4.4048399999998544E-3</v>
      </c>
      <c r="AM405" s="27" t="s">
        <v>146</v>
      </c>
      <c r="AN405" s="7" t="b">
        <f t="shared" si="57"/>
        <v>1</v>
      </c>
      <c r="AO405" s="7" t="s">
        <v>145</v>
      </c>
      <c r="AP405" s="7">
        <v>2014</v>
      </c>
      <c r="AQ405" s="7">
        <f t="shared" si="71"/>
        <v>2019</v>
      </c>
      <c r="AS405" s="211">
        <v>-99</v>
      </c>
      <c r="AT405" s="211">
        <v>-99</v>
      </c>
      <c r="AU405" s="211">
        <v>-99</v>
      </c>
      <c r="AV405" s="211">
        <v>-99</v>
      </c>
      <c r="AW405" s="211">
        <v>-99</v>
      </c>
      <c r="AX405" s="211">
        <v>-99</v>
      </c>
      <c r="AZ405" s="211">
        <v>-99</v>
      </c>
      <c r="BA405" s="211">
        <v>-99</v>
      </c>
      <c r="BB405" s="211">
        <v>-99</v>
      </c>
      <c r="BC405" s="211">
        <v>-99</v>
      </c>
      <c r="BD405" s="211">
        <v>-99</v>
      </c>
      <c r="BE405" s="211">
        <v>-99</v>
      </c>
      <c r="BG405" s="211">
        <v>-99</v>
      </c>
      <c r="BH405" s="211">
        <v>-99</v>
      </c>
      <c r="BI405" s="211">
        <v>-99</v>
      </c>
      <c r="BJ405" s="211">
        <v>-99</v>
      </c>
      <c r="BK405" s="211">
        <v>-99</v>
      </c>
      <c r="BL405" s="211">
        <v>-99</v>
      </c>
      <c r="BM405" s="211">
        <v>-99</v>
      </c>
      <c r="BN405" s="191">
        <f t="shared" si="62"/>
        <v>1.4955502499999884E-2</v>
      </c>
      <c r="BO405" s="191">
        <f t="shared" si="63"/>
        <v>1.8282810000000316E-2</v>
      </c>
      <c r="BP405" s="191">
        <f t="shared" si="64"/>
        <v>4.4048399999998544E-3</v>
      </c>
      <c r="BQ405" s="171">
        <f t="shared" si="65"/>
        <v>1.7500000000000002E-2</v>
      </c>
      <c r="BR405" s="171">
        <f t="shared" si="66"/>
        <v>5.3399999999999996E-2</v>
      </c>
      <c r="BS405" s="171">
        <f t="shared" si="67"/>
        <v>1.49E-2</v>
      </c>
      <c r="BT405" s="171">
        <f t="shared" si="68"/>
        <v>1.8200000000000001E-2</v>
      </c>
      <c r="BU405" s="171">
        <f t="shared" si="69"/>
        <v>4.4000000000000003E-3</v>
      </c>
    </row>
    <row r="406" spans="1:73" x14ac:dyDescent="0.3">
      <c r="A406" s="209">
        <v>43617</v>
      </c>
      <c r="B406" s="187">
        <v>201906</v>
      </c>
      <c r="C406" s="176">
        <v>1.7</v>
      </c>
      <c r="D406" s="176">
        <v>5.34</v>
      </c>
      <c r="E406" s="176">
        <v>0.36</v>
      </c>
      <c r="F406" s="177">
        <v>136.30000000000001</v>
      </c>
      <c r="G406" s="224">
        <v>2.1244309559939278E-2</v>
      </c>
      <c r="H406" s="179">
        <v>1.42</v>
      </c>
      <c r="I406" s="179">
        <v>1.73</v>
      </c>
      <c r="K406" s="225">
        <v>0.02</v>
      </c>
      <c r="L406" s="225">
        <v>0.03</v>
      </c>
      <c r="M406" s="225"/>
      <c r="N406" s="225">
        <v>2.5000000000000001E-2</v>
      </c>
      <c r="O406" s="225">
        <v>7.4999999999999997E-3</v>
      </c>
      <c r="P406" s="226"/>
      <c r="Q406" s="225">
        <v>0.02</v>
      </c>
      <c r="R406" s="225">
        <v>2.75E-2</v>
      </c>
      <c r="S406" s="225">
        <v>0.01</v>
      </c>
      <c r="T406" s="225">
        <v>0.01</v>
      </c>
      <c r="U406" s="227"/>
      <c r="V406" s="228">
        <v>2.4E-2</v>
      </c>
      <c r="W406" s="228">
        <v>2.9000000000000001E-2</v>
      </c>
      <c r="X406" s="228">
        <v>1.3000000000000001E-2</v>
      </c>
      <c r="Y406" s="228">
        <v>1.4E-2</v>
      </c>
      <c r="Z406" s="228"/>
      <c r="AA406" s="229">
        <v>2.3955502499999885E-2</v>
      </c>
      <c r="AB406" s="229">
        <v>2.8946463750000533E-2</v>
      </c>
      <c r="AC406" s="229">
        <v>1.2603198612909951E-2</v>
      </c>
      <c r="AD406" s="229">
        <v>1.3805660693544808E-2</v>
      </c>
      <c r="AE406" s="229"/>
      <c r="AF406" s="229">
        <v>5.6055046550517185E-3</v>
      </c>
      <c r="AG406" s="229">
        <v>7.4673103748986724E-3</v>
      </c>
      <c r="AI406" s="225">
        <v>1.4250410000000269E-2</v>
      </c>
      <c r="AJ406" s="225">
        <v>1.7374822500000109E-2</v>
      </c>
      <c r="AK406" s="225">
        <v>3.6032400000001186E-3</v>
      </c>
      <c r="AM406" s="27" t="s">
        <v>146</v>
      </c>
      <c r="AN406" s="7" t="b">
        <f t="shared" si="57"/>
        <v>1</v>
      </c>
      <c r="AO406" s="7" t="s">
        <v>145</v>
      </c>
      <c r="AP406" s="7">
        <v>2014</v>
      </c>
      <c r="AQ406" s="7">
        <f t="shared" si="71"/>
        <v>2019</v>
      </c>
      <c r="AS406" s="211">
        <v>-99</v>
      </c>
      <c r="AT406" s="211">
        <v>-99</v>
      </c>
      <c r="AU406" s="211">
        <v>-99</v>
      </c>
      <c r="AV406" s="211">
        <v>-99</v>
      </c>
      <c r="AW406" s="211">
        <v>-99</v>
      </c>
      <c r="AX406" s="211">
        <v>-99</v>
      </c>
      <c r="AZ406" s="211">
        <v>-99</v>
      </c>
      <c r="BA406" s="211">
        <v>-99</v>
      </c>
      <c r="BB406" s="211">
        <v>-99</v>
      </c>
      <c r="BC406" s="211">
        <v>-99</v>
      </c>
      <c r="BD406" s="211">
        <v>-99</v>
      </c>
      <c r="BE406" s="211">
        <v>-99</v>
      </c>
      <c r="BG406" s="211">
        <v>-99</v>
      </c>
      <c r="BH406" s="211">
        <v>-99</v>
      </c>
      <c r="BI406" s="211">
        <v>-99</v>
      </c>
      <c r="BJ406" s="211">
        <v>-99</v>
      </c>
      <c r="BK406" s="211">
        <v>-99</v>
      </c>
      <c r="BL406" s="211">
        <v>-99</v>
      </c>
      <c r="BM406" s="211">
        <v>-99</v>
      </c>
      <c r="BN406" s="191">
        <f t="shared" si="62"/>
        <v>1.4250410000000269E-2</v>
      </c>
      <c r="BO406" s="191">
        <f t="shared" si="63"/>
        <v>1.7374822500000109E-2</v>
      </c>
      <c r="BP406" s="191">
        <f t="shared" si="64"/>
        <v>3.6032400000001186E-3</v>
      </c>
      <c r="BQ406" s="171">
        <f t="shared" si="65"/>
        <v>1.7000000000000001E-2</v>
      </c>
      <c r="BR406" s="171">
        <f t="shared" si="66"/>
        <v>5.3399999999999996E-2</v>
      </c>
      <c r="BS406" s="171">
        <f t="shared" si="67"/>
        <v>1.4199999999999999E-2</v>
      </c>
      <c r="BT406" s="171">
        <f t="shared" si="68"/>
        <v>1.7299999999999999E-2</v>
      </c>
      <c r="BU406" s="171">
        <f t="shared" si="69"/>
        <v>3.5999999999999999E-3</v>
      </c>
    </row>
    <row r="407" spans="1:73" x14ac:dyDescent="0.3">
      <c r="A407" s="209">
        <v>43647</v>
      </c>
      <c r="B407" s="187">
        <v>201907</v>
      </c>
      <c r="C407" s="176">
        <v>1.67</v>
      </c>
      <c r="D407" s="176">
        <v>5.19</v>
      </c>
      <c r="E407" s="176">
        <v>0.32</v>
      </c>
      <c r="F407" s="177">
        <v>137</v>
      </c>
      <c r="G407" s="224">
        <v>2.0423600605143921E-2</v>
      </c>
      <c r="H407" s="179">
        <v>1.46</v>
      </c>
      <c r="I407" s="179">
        <v>1.7</v>
      </c>
      <c r="K407" s="225">
        <v>0.02</v>
      </c>
      <c r="L407" s="225">
        <v>0.03</v>
      </c>
      <c r="M407" s="225"/>
      <c r="N407" s="225">
        <v>2.2499999999999999E-2</v>
      </c>
      <c r="O407" s="225">
        <v>7.4999999999999997E-3</v>
      </c>
      <c r="P407" s="226"/>
      <c r="Q407" s="225">
        <v>0.02</v>
      </c>
      <c r="R407" s="225">
        <v>2.5000000000000001E-2</v>
      </c>
      <c r="S407" s="225">
        <v>7.4999999999999997E-3</v>
      </c>
      <c r="T407" s="225">
        <v>0.01</v>
      </c>
      <c r="U407" s="227"/>
      <c r="V407" s="228">
        <v>2.3E-2</v>
      </c>
      <c r="W407" s="228">
        <v>2.8000000000000001E-2</v>
      </c>
      <c r="X407" s="228">
        <v>1.2E-2</v>
      </c>
      <c r="Y407" s="228">
        <v>1.3000000000000001E-2</v>
      </c>
      <c r="Z407" s="228"/>
      <c r="AA407" s="229">
        <v>2.325041000000027E-2</v>
      </c>
      <c r="AB407" s="229">
        <v>2.793702875000003E-2</v>
      </c>
      <c r="AC407" s="229">
        <v>1.1955290468630822E-2</v>
      </c>
      <c r="AD407" s="229">
        <v>1.2927214765684768E-2</v>
      </c>
      <c r="AE407" s="229"/>
      <c r="AF407" s="229">
        <v>5.5808392118482653E-3</v>
      </c>
      <c r="AG407" s="229">
        <v>7.4091276083383395E-3</v>
      </c>
      <c r="AI407" s="225">
        <v>1.4653290000000263E-2</v>
      </c>
      <c r="AJ407" s="225">
        <v>1.7072250000000011E-2</v>
      </c>
      <c r="AK407" s="225">
        <v>3.2025600000000765E-3</v>
      </c>
      <c r="AM407" s="27" t="s">
        <v>146</v>
      </c>
      <c r="AN407" s="7" t="b">
        <f t="shared" si="57"/>
        <v>1</v>
      </c>
      <c r="AO407" s="7" t="s">
        <v>145</v>
      </c>
      <c r="AP407" s="7">
        <v>2014</v>
      </c>
      <c r="AQ407" s="7">
        <f t="shared" si="71"/>
        <v>2019</v>
      </c>
      <c r="AS407" s="211">
        <v>-99</v>
      </c>
      <c r="AT407" s="211">
        <v>-99</v>
      </c>
      <c r="AU407" s="211">
        <v>-99</v>
      </c>
      <c r="AV407" s="211">
        <v>-99</v>
      </c>
      <c r="AW407" s="211">
        <v>-99</v>
      </c>
      <c r="AX407" s="211">
        <v>-99</v>
      </c>
      <c r="AZ407" s="211">
        <v>-99</v>
      </c>
      <c r="BA407" s="211">
        <v>-99</v>
      </c>
      <c r="BB407" s="211">
        <v>-99</v>
      </c>
      <c r="BC407" s="211">
        <v>-99</v>
      </c>
      <c r="BD407" s="211">
        <v>-99</v>
      </c>
      <c r="BE407" s="211">
        <v>-99</v>
      </c>
      <c r="BG407" s="211">
        <v>-99</v>
      </c>
      <c r="BH407" s="211">
        <v>-99</v>
      </c>
      <c r="BI407" s="211">
        <v>-99</v>
      </c>
      <c r="BJ407" s="211">
        <v>-99</v>
      </c>
      <c r="BK407" s="211">
        <v>-99</v>
      </c>
      <c r="BL407" s="211">
        <v>-99</v>
      </c>
      <c r="BM407" s="211">
        <v>-99</v>
      </c>
      <c r="BN407" s="191">
        <f t="shared" si="62"/>
        <v>1.4653290000000263E-2</v>
      </c>
      <c r="BO407" s="191">
        <f t="shared" si="63"/>
        <v>1.7072250000000011E-2</v>
      </c>
      <c r="BP407" s="191">
        <f t="shared" si="64"/>
        <v>3.2025600000000765E-3</v>
      </c>
      <c r="BQ407" s="171">
        <f t="shared" si="65"/>
        <v>1.67E-2</v>
      </c>
      <c r="BR407" s="171">
        <f t="shared" si="66"/>
        <v>5.1900000000000002E-2</v>
      </c>
      <c r="BS407" s="171">
        <f t="shared" si="67"/>
        <v>1.46E-2</v>
      </c>
      <c r="BT407" s="171">
        <f t="shared" si="68"/>
        <v>1.7000000000000001E-2</v>
      </c>
      <c r="BU407" s="171">
        <f t="shared" si="69"/>
        <v>3.2000000000000002E-3</v>
      </c>
    </row>
    <row r="408" spans="1:73" x14ac:dyDescent="0.3">
      <c r="A408" s="209">
        <v>43678</v>
      </c>
      <c r="B408" s="187">
        <v>201908</v>
      </c>
      <c r="C408" s="176">
        <v>1.34</v>
      </c>
      <c r="D408" s="176">
        <v>5.19</v>
      </c>
      <c r="E408" s="176">
        <v>0.15</v>
      </c>
      <c r="F408" s="177">
        <v>136.80000000000001</v>
      </c>
      <c r="G408" s="224">
        <v>1.9622641509433825E-2</v>
      </c>
      <c r="H408" s="179">
        <v>1.1599999999999999</v>
      </c>
      <c r="I408" s="179">
        <v>1.37</v>
      </c>
      <c r="K408" s="225">
        <v>0.02</v>
      </c>
      <c r="L408" s="225">
        <v>0.03</v>
      </c>
      <c r="M408" s="225"/>
      <c r="N408" s="225">
        <v>2.2499999999999999E-2</v>
      </c>
      <c r="O408" s="225">
        <v>5.0000000000000001E-3</v>
      </c>
      <c r="P408" s="226"/>
      <c r="Q408" s="225">
        <v>0.02</v>
      </c>
      <c r="R408" s="225">
        <v>2.5000000000000001E-2</v>
      </c>
      <c r="S408" s="225">
        <v>7.4999999999999997E-3</v>
      </c>
      <c r="T408" s="225">
        <v>0.01</v>
      </c>
      <c r="U408" s="227"/>
      <c r="V408" s="228">
        <v>2.4E-2</v>
      </c>
      <c r="W408" s="228">
        <v>2.7E-2</v>
      </c>
      <c r="X408" s="228">
        <v>1.2E-2</v>
      </c>
      <c r="Y408" s="228">
        <v>1.2E-2</v>
      </c>
      <c r="Z408" s="228"/>
      <c r="AA408" s="229">
        <v>2.3653290000000264E-2</v>
      </c>
      <c r="AB408" s="229">
        <v>2.7281729999999886E-2</v>
      </c>
      <c r="AC408" s="229">
        <v>1.1748790605948363E-2</v>
      </c>
      <c r="AD408" s="229">
        <v>1.2429444697025935E-2</v>
      </c>
      <c r="AE408" s="229"/>
      <c r="AF408" s="229">
        <v>5.8831300341470882E-3</v>
      </c>
      <c r="AG408" s="229">
        <v>7.3349730101037736E-3</v>
      </c>
      <c r="AI408" s="225">
        <v>1.1633640000000112E-2</v>
      </c>
      <c r="AJ408" s="225">
        <v>1.3746922499999981E-2</v>
      </c>
      <c r="AK408" s="225">
        <v>1.5005624999999689E-3</v>
      </c>
      <c r="AM408" s="27" t="s">
        <v>146</v>
      </c>
      <c r="AN408" s="7" t="b">
        <f t="shared" si="57"/>
        <v>1</v>
      </c>
      <c r="AO408" s="7" t="s">
        <v>145</v>
      </c>
      <c r="AP408" s="7">
        <v>2014</v>
      </c>
      <c r="AQ408" s="7">
        <f t="shared" ref="AQ408:AQ414" si="72">YEAR(A408)</f>
        <v>2019</v>
      </c>
      <c r="AS408" s="211">
        <v>-99</v>
      </c>
      <c r="AT408" s="211">
        <v>-99</v>
      </c>
      <c r="AU408" s="211">
        <v>-99</v>
      </c>
      <c r="AV408" s="211">
        <v>-99</v>
      </c>
      <c r="AW408" s="211">
        <v>-99</v>
      </c>
      <c r="AX408" s="211">
        <v>-99</v>
      </c>
      <c r="AZ408" s="211">
        <v>-99</v>
      </c>
      <c r="BA408" s="211">
        <v>-99</v>
      </c>
      <c r="BB408" s="211">
        <v>-99</v>
      </c>
      <c r="BC408" s="211">
        <v>-99</v>
      </c>
      <c r="BD408" s="211">
        <v>-99</v>
      </c>
      <c r="BE408" s="211">
        <v>-99</v>
      </c>
      <c r="BG408" s="211">
        <v>-99</v>
      </c>
      <c r="BH408" s="211">
        <v>-99</v>
      </c>
      <c r="BI408" s="211">
        <v>-99</v>
      </c>
      <c r="BJ408" s="211">
        <v>-99</v>
      </c>
      <c r="BK408" s="211">
        <v>-99</v>
      </c>
      <c r="BL408" s="211">
        <v>-99</v>
      </c>
      <c r="BM408" s="211">
        <v>-99</v>
      </c>
      <c r="BN408" s="191">
        <f t="shared" si="62"/>
        <v>1.1633640000000112E-2</v>
      </c>
      <c r="BO408" s="191">
        <f t="shared" si="63"/>
        <v>1.3746922499999981E-2</v>
      </c>
      <c r="BP408" s="191">
        <f t="shared" si="64"/>
        <v>1.5005624999999689E-3</v>
      </c>
      <c r="BQ408" s="171">
        <f t="shared" si="65"/>
        <v>1.34E-2</v>
      </c>
      <c r="BR408" s="171">
        <f t="shared" si="66"/>
        <v>5.1900000000000002E-2</v>
      </c>
      <c r="BS408" s="171">
        <f t="shared" si="67"/>
        <v>1.1599999999999999E-2</v>
      </c>
      <c r="BT408" s="171">
        <f t="shared" si="68"/>
        <v>1.37E-2</v>
      </c>
      <c r="BU408" s="171">
        <f t="shared" si="69"/>
        <v>1.5E-3</v>
      </c>
    </row>
    <row r="409" spans="1:73" x14ac:dyDescent="0.3">
      <c r="A409" s="209">
        <v>43709</v>
      </c>
      <c r="B409" s="187">
        <v>201909</v>
      </c>
      <c r="C409" s="176">
        <v>1.54</v>
      </c>
      <c r="D409" s="176">
        <v>5.19</v>
      </c>
      <c r="E409" s="176">
        <v>0.3</v>
      </c>
      <c r="F409" s="177">
        <v>136.19999999999999</v>
      </c>
      <c r="G409" s="224">
        <v>1.9593067068575998E-2</v>
      </c>
      <c r="H409" s="179">
        <v>1.41</v>
      </c>
      <c r="I409" s="179">
        <v>1.57</v>
      </c>
      <c r="K409" s="225">
        <v>0.02</v>
      </c>
      <c r="L409" s="225">
        <v>0.03</v>
      </c>
      <c r="M409" s="225"/>
      <c r="N409" s="225">
        <v>2.2499999999999999E-2</v>
      </c>
      <c r="O409" s="225">
        <v>5.0000000000000001E-3</v>
      </c>
      <c r="P409" s="226"/>
      <c r="Q409" s="225">
        <v>0.02</v>
      </c>
      <c r="R409" s="225">
        <v>2.2499999999999999E-2</v>
      </c>
      <c r="S409" s="225">
        <v>7.4999999999999997E-3</v>
      </c>
      <c r="T409" s="225">
        <v>7.4999999999999997E-3</v>
      </c>
      <c r="U409" s="227"/>
      <c r="V409" s="228">
        <v>2.1000000000000001E-2</v>
      </c>
      <c r="W409" s="228">
        <v>2.4E-2</v>
      </c>
      <c r="X409" s="228">
        <v>0.01</v>
      </c>
      <c r="Y409" s="228">
        <v>1.0999999999999999E-2</v>
      </c>
      <c r="Z409" s="228"/>
      <c r="AA409" s="229">
        <v>2.0633640000000113E-2</v>
      </c>
      <c r="AB409" s="229">
        <v>2.3803563749999916E-2</v>
      </c>
      <c r="AC409" s="229">
        <v>1.0269884508514531E-2</v>
      </c>
      <c r="AD409" s="229">
        <v>1.061590149574269E-2</v>
      </c>
      <c r="AE409" s="229"/>
      <c r="AF409" s="229">
        <v>5.1292014393398144E-3</v>
      </c>
      <c r="AG409" s="229">
        <v>6.5245669669055095E-3</v>
      </c>
      <c r="AH409" s="226"/>
      <c r="AI409" s="225">
        <v>1.4149702499999917E-2</v>
      </c>
      <c r="AJ409" s="225">
        <v>1.5761622499999906E-2</v>
      </c>
      <c r="AK409" s="225">
        <v>3.0022500000002061E-3</v>
      </c>
      <c r="AM409" s="27" t="s">
        <v>146</v>
      </c>
      <c r="AN409" s="7" t="b">
        <f t="shared" si="57"/>
        <v>1</v>
      </c>
      <c r="AO409" s="7" t="s">
        <v>145</v>
      </c>
      <c r="AP409" s="7">
        <v>2014</v>
      </c>
      <c r="AQ409" s="7">
        <f t="shared" si="72"/>
        <v>2019</v>
      </c>
      <c r="AS409" s="211">
        <v>-99</v>
      </c>
      <c r="AT409" s="211">
        <v>-99</v>
      </c>
      <c r="AU409" s="211">
        <v>-99</v>
      </c>
      <c r="AV409" s="211">
        <v>-99</v>
      </c>
      <c r="AW409" s="211">
        <v>-99</v>
      </c>
      <c r="AX409" s="211">
        <v>-99</v>
      </c>
      <c r="AZ409" s="211">
        <v>-99</v>
      </c>
      <c r="BA409" s="211">
        <v>-99</v>
      </c>
      <c r="BB409" s="211">
        <v>-99</v>
      </c>
      <c r="BC409" s="211">
        <v>-99</v>
      </c>
      <c r="BD409" s="211">
        <v>-99</v>
      </c>
      <c r="BE409" s="211">
        <v>-99</v>
      </c>
      <c r="BG409" s="211">
        <v>-99</v>
      </c>
      <c r="BH409" s="211">
        <v>-99</v>
      </c>
      <c r="BI409" s="211">
        <v>-99</v>
      </c>
      <c r="BJ409" s="211">
        <v>-99</v>
      </c>
      <c r="BK409" s="211">
        <v>-99</v>
      </c>
      <c r="BL409" s="211">
        <v>-99</v>
      </c>
      <c r="BM409" s="211">
        <v>-99</v>
      </c>
      <c r="BN409" s="191">
        <f t="shared" si="62"/>
        <v>1.4149702499999917E-2</v>
      </c>
      <c r="BO409" s="191">
        <f t="shared" si="63"/>
        <v>1.5761622499999906E-2</v>
      </c>
      <c r="BP409" s="191">
        <f t="shared" si="64"/>
        <v>3.0022500000002061E-3</v>
      </c>
      <c r="BQ409" s="171">
        <f t="shared" si="65"/>
        <v>1.54E-2</v>
      </c>
      <c r="BR409" s="171">
        <f t="shared" si="66"/>
        <v>5.1900000000000002E-2</v>
      </c>
      <c r="BS409" s="171">
        <f t="shared" si="67"/>
        <v>1.41E-2</v>
      </c>
      <c r="BT409" s="171">
        <f t="shared" si="68"/>
        <v>1.5700000000000002E-2</v>
      </c>
      <c r="BU409" s="171">
        <f t="shared" si="69"/>
        <v>3.0000000000000001E-3</v>
      </c>
    </row>
    <row r="410" spans="1:73" x14ac:dyDescent="0.3">
      <c r="A410" s="209">
        <v>43739</v>
      </c>
      <c r="B410" s="187">
        <v>201910</v>
      </c>
      <c r="C410" s="176">
        <v>1.6</v>
      </c>
      <c r="D410" s="230" t="s">
        <v>156</v>
      </c>
      <c r="E410" s="176">
        <v>0.38</v>
      </c>
      <c r="F410" s="177">
        <v>136.6</v>
      </c>
      <c r="G410" s="224">
        <v>1.8796992481203034E-2</v>
      </c>
      <c r="H410" s="179">
        <v>1.45</v>
      </c>
      <c r="I410" s="179">
        <v>1.6</v>
      </c>
      <c r="K410" s="225">
        <v>1.4999999999999999E-2</v>
      </c>
      <c r="L410" s="225">
        <v>0.03</v>
      </c>
      <c r="M410" s="225"/>
      <c r="N410" s="225">
        <v>1.7500000000000002E-2</v>
      </c>
      <c r="O410" s="225">
        <v>5.0000000000000001E-3</v>
      </c>
      <c r="P410" s="226"/>
      <c r="Q410" s="225">
        <v>1.7500000000000002E-2</v>
      </c>
      <c r="R410" s="225">
        <v>0.02</v>
      </c>
      <c r="S410" s="225">
        <v>7.4999999999999997E-3</v>
      </c>
      <c r="T410" s="225">
        <v>7.4999999999999997E-3</v>
      </c>
      <c r="U410" s="227"/>
      <c r="V410" s="228">
        <v>2.3E-2</v>
      </c>
      <c r="W410" s="228">
        <v>2.6000000000000002E-2</v>
      </c>
      <c r="X410" s="228">
        <v>1.2E-2</v>
      </c>
      <c r="Y410" s="228">
        <v>1.2E-2</v>
      </c>
      <c r="Z410" s="228"/>
      <c r="AA410" s="229">
        <v>2.3149702499999918E-2</v>
      </c>
      <c r="AB410" s="229">
        <v>2.5567582499999901E-2</v>
      </c>
      <c r="AC410" s="229">
        <v>1.169521391789633E-2</v>
      </c>
      <c r="AD410" s="229">
        <v>1.2155768041052145E-2</v>
      </c>
      <c r="AE410" s="229"/>
      <c r="AF410" s="229">
        <v>5.6610372494225736E-3</v>
      </c>
      <c r="AG410" s="229">
        <v>6.6253707593373345E-3</v>
      </c>
      <c r="AI410" s="225">
        <v>1.4552562500000032E-2</v>
      </c>
      <c r="AJ410" s="225">
        <v>1.6064000000000078E-2</v>
      </c>
      <c r="AK410" s="225">
        <v>3.8036100000000683E-3</v>
      </c>
      <c r="AM410" s="27" t="s">
        <v>146</v>
      </c>
      <c r="AN410" s="7" t="b">
        <f t="shared" si="57"/>
        <v>1</v>
      </c>
      <c r="AO410" s="7" t="s">
        <v>145</v>
      </c>
      <c r="AP410" s="7">
        <v>2014</v>
      </c>
      <c r="AQ410" s="7">
        <f t="shared" si="72"/>
        <v>2019</v>
      </c>
      <c r="AS410" s="211">
        <v>-99</v>
      </c>
      <c r="AT410" s="211">
        <v>-99</v>
      </c>
      <c r="AU410" s="211">
        <v>-99</v>
      </c>
      <c r="AV410" s="211">
        <v>-99</v>
      </c>
      <c r="AW410" s="211">
        <v>-99</v>
      </c>
      <c r="AX410" s="211">
        <v>-99</v>
      </c>
      <c r="AZ410" s="211">
        <v>-99</v>
      </c>
      <c r="BA410" s="211">
        <v>-99</v>
      </c>
      <c r="BB410" s="211">
        <v>-99</v>
      </c>
      <c r="BC410" s="211">
        <v>-99</v>
      </c>
      <c r="BD410" s="211">
        <v>-99</v>
      </c>
      <c r="BE410" s="211">
        <v>-99</v>
      </c>
      <c r="BG410" s="211">
        <v>-99</v>
      </c>
      <c r="BH410" s="211">
        <v>-99</v>
      </c>
      <c r="BI410" s="211">
        <v>-99</v>
      </c>
      <c r="BJ410" s="211">
        <v>-99</v>
      </c>
      <c r="BK410" s="211">
        <v>-99</v>
      </c>
      <c r="BL410" s="211">
        <v>-99</v>
      </c>
      <c r="BM410" s="211">
        <v>-99</v>
      </c>
      <c r="BN410" s="191">
        <f t="shared" si="62"/>
        <v>1.4552562500000032E-2</v>
      </c>
      <c r="BO410" s="191">
        <f t="shared" si="63"/>
        <v>1.6064000000000078E-2</v>
      </c>
      <c r="BP410" s="191">
        <f t="shared" si="64"/>
        <v>3.8036100000000683E-3</v>
      </c>
      <c r="BQ410" s="171">
        <f t="shared" si="65"/>
        <v>1.6E-2</v>
      </c>
      <c r="BR410" s="211">
        <v>-99</v>
      </c>
      <c r="BS410" s="171">
        <f t="shared" si="67"/>
        <v>1.4499999999999999E-2</v>
      </c>
      <c r="BT410" s="171">
        <f t="shared" si="68"/>
        <v>1.6E-2</v>
      </c>
      <c r="BU410" s="171">
        <f t="shared" si="69"/>
        <v>3.8E-3</v>
      </c>
    </row>
    <row r="411" spans="1:73" x14ac:dyDescent="0.3">
      <c r="A411" s="209">
        <v>43770</v>
      </c>
      <c r="B411" s="187">
        <v>201911</v>
      </c>
      <c r="C411" s="176">
        <v>1.57</v>
      </c>
      <c r="E411" s="176">
        <v>0.31</v>
      </c>
      <c r="F411" s="177">
        <v>136.4</v>
      </c>
      <c r="G411" s="224">
        <v>1.8768768768768762E-2</v>
      </c>
      <c r="H411" s="179">
        <v>1.5</v>
      </c>
      <c r="I411" s="179">
        <v>1.58</v>
      </c>
      <c r="K411" s="231">
        <f>INT(2*C409+0.999)/200</f>
        <v>0.02</v>
      </c>
      <c r="L411" s="231">
        <f>IF(F409=0,0,INT(2*(D409-0.5-100*G409)+0.9999)/200)</f>
        <v>0.03</v>
      </c>
      <c r="N411" s="225">
        <v>0.02</v>
      </c>
      <c r="O411" s="225">
        <v>5.0000000000000001E-3</v>
      </c>
      <c r="P411" s="226"/>
      <c r="Q411" s="225">
        <v>0.02</v>
      </c>
      <c r="R411" s="225">
        <v>2.2499999999999999E-2</v>
      </c>
      <c r="S411" s="225">
        <v>7.4999999999999997E-3</v>
      </c>
      <c r="T411" s="225">
        <v>7.4999999999999997E-3</v>
      </c>
      <c r="U411" s="227"/>
      <c r="V411" s="228">
        <v>2.4E-2</v>
      </c>
      <c r="W411" s="228">
        <v>2.6000000000000002E-2</v>
      </c>
      <c r="X411" s="228">
        <v>1.2E-2</v>
      </c>
      <c r="Y411" s="228">
        <v>1.3000000000000001E-2</v>
      </c>
      <c r="Z411" s="228"/>
      <c r="AA411" s="229">
        <v>2.3552562500000034E-2</v>
      </c>
      <c r="AB411" s="229">
        <v>2.5819718750000102E-2</v>
      </c>
      <c r="AC411" s="229">
        <v>1.2445734079346731E-2</v>
      </c>
      <c r="AD411" s="229">
        <v>1.2982547960326739E-2</v>
      </c>
      <c r="AE411" s="229"/>
      <c r="AF411" s="229">
        <v>5.4851475228709923E-3</v>
      </c>
      <c r="AG411" s="229">
        <v>6.3363237676311579E-3</v>
      </c>
      <c r="AI411" s="225">
        <v>1.5056250000000215E-2</v>
      </c>
      <c r="AJ411" s="225">
        <v>1.5862409999999993E-2</v>
      </c>
      <c r="AK411" s="225">
        <v>3.1024024999999344E-3</v>
      </c>
      <c r="AM411" s="27" t="s">
        <v>146</v>
      </c>
      <c r="AN411" s="7" t="b">
        <f t="shared" si="57"/>
        <v>1</v>
      </c>
      <c r="AO411" s="7" t="s">
        <v>145</v>
      </c>
      <c r="AP411" s="7">
        <v>2014</v>
      </c>
      <c r="AQ411" s="7">
        <f t="shared" si="72"/>
        <v>2019</v>
      </c>
      <c r="AS411" s="211">
        <v>-99</v>
      </c>
      <c r="AT411" s="211">
        <v>-99</v>
      </c>
      <c r="AU411" s="211">
        <v>-99</v>
      </c>
      <c r="AV411" s="211">
        <v>-99</v>
      </c>
      <c r="AW411" s="211">
        <v>-99</v>
      </c>
      <c r="AX411" s="211">
        <v>-99</v>
      </c>
      <c r="AZ411" s="211">
        <v>-99</v>
      </c>
      <c r="BA411" s="211">
        <v>-99</v>
      </c>
      <c r="BB411" s="211">
        <v>-99</v>
      </c>
      <c r="BC411" s="211">
        <v>-99</v>
      </c>
      <c r="BD411" s="211">
        <v>-99</v>
      </c>
      <c r="BE411" s="211">
        <v>-99</v>
      </c>
      <c r="BG411" s="211">
        <v>-99</v>
      </c>
      <c r="BH411" s="211">
        <v>-99</v>
      </c>
      <c r="BI411" s="211">
        <v>-99</v>
      </c>
      <c r="BJ411" s="211">
        <v>-99</v>
      </c>
      <c r="BK411" s="211">
        <v>-99</v>
      </c>
      <c r="BL411" s="211">
        <v>-99</v>
      </c>
      <c r="BM411" s="211">
        <v>-99</v>
      </c>
      <c r="BN411" s="191">
        <f t="shared" si="62"/>
        <v>1.5056250000000215E-2</v>
      </c>
      <c r="BO411" s="191">
        <f t="shared" si="63"/>
        <v>1.5862409999999993E-2</v>
      </c>
      <c r="BP411" s="191">
        <f t="shared" si="64"/>
        <v>3.1024024999999344E-3</v>
      </c>
      <c r="BQ411" s="171">
        <f t="shared" si="65"/>
        <v>1.5700000000000002E-2</v>
      </c>
      <c r="BR411" s="211">
        <v>-99</v>
      </c>
      <c r="BS411" s="171">
        <f t="shared" si="67"/>
        <v>1.4999999999999999E-2</v>
      </c>
      <c r="BT411" s="171">
        <f t="shared" si="68"/>
        <v>1.5800000000000002E-2</v>
      </c>
      <c r="BU411" s="171">
        <f t="shared" si="69"/>
        <v>3.0999999999999999E-3</v>
      </c>
    </row>
    <row r="412" spans="1:73" x14ac:dyDescent="0.3">
      <c r="A412" s="209">
        <v>43800</v>
      </c>
      <c r="B412" s="187">
        <v>201912</v>
      </c>
      <c r="C412" s="176">
        <v>1.67</v>
      </c>
      <c r="E412" s="176">
        <v>0.32</v>
      </c>
      <c r="F412" s="177">
        <v>136.4</v>
      </c>
      <c r="G412" s="224">
        <v>1.9490254872563728E-2</v>
      </c>
      <c r="H412" s="179">
        <v>1.63</v>
      </c>
      <c r="I412" s="179">
        <v>1.67</v>
      </c>
      <c r="K412" s="230" t="s">
        <v>156</v>
      </c>
      <c r="L412" s="230" t="s">
        <v>156</v>
      </c>
      <c r="N412" s="225">
        <v>0.02</v>
      </c>
      <c r="O412" s="225">
        <v>7.4999999999999997E-3</v>
      </c>
      <c r="P412" s="226"/>
      <c r="Q412" s="225">
        <v>0.02</v>
      </c>
      <c r="R412" s="225">
        <v>2.2499999999999999E-2</v>
      </c>
      <c r="S412" s="225">
        <v>7.4999999999999997E-3</v>
      </c>
      <c r="T412" s="225">
        <v>0.01</v>
      </c>
      <c r="U412" s="227"/>
      <c r="V412" s="228">
        <v>2.4E-2</v>
      </c>
      <c r="W412" s="228">
        <v>2.5000000000000001E-2</v>
      </c>
      <c r="X412" s="228">
        <v>1.2E-2</v>
      </c>
      <c r="Y412" s="228">
        <v>1.2E-2</v>
      </c>
      <c r="Z412" s="228"/>
      <c r="AA412" s="229">
        <v>2.4056250000000216E-2</v>
      </c>
      <c r="AB412" s="229">
        <v>2.5265489999999884E-2</v>
      </c>
      <c r="AC412" s="229">
        <v>1.1944732082995253E-2</v>
      </c>
      <c r="AD412" s="229">
        <v>1.2181237708502277E-2</v>
      </c>
      <c r="AE412" s="229"/>
      <c r="AF412" s="229">
        <v>5.9842783568201385E-3</v>
      </c>
      <c r="AG412" s="229">
        <v>6.4633940069465101E-3</v>
      </c>
      <c r="AI412" s="225">
        <v>1.6366422500000199E-2</v>
      </c>
      <c r="AJ412" s="225">
        <v>1.6769722500000084E-2</v>
      </c>
      <c r="AK412" s="225">
        <v>3.2025600000000765E-3</v>
      </c>
      <c r="AM412" s="27" t="s">
        <v>146</v>
      </c>
      <c r="AN412" s="7" t="b">
        <f t="shared" si="57"/>
        <v>1</v>
      </c>
      <c r="AO412" s="7" t="s">
        <v>145</v>
      </c>
      <c r="AP412" s="7">
        <v>2014</v>
      </c>
      <c r="AQ412" s="7">
        <f t="shared" si="72"/>
        <v>2019</v>
      </c>
      <c r="AS412" s="232">
        <v>1.6339999999999999</v>
      </c>
      <c r="AT412" s="232">
        <v>1.671</v>
      </c>
      <c r="AU412" s="232">
        <v>2.16</v>
      </c>
      <c r="AV412" s="232">
        <v>2.4409999999999998</v>
      </c>
      <c r="AW412" s="232">
        <v>2.9380000000000002</v>
      </c>
      <c r="AX412" s="232">
        <v>3.306</v>
      </c>
      <c r="AZ412" s="196">
        <f>(1+AU412/200)^2-(1+$AS412/200)^2</f>
        <v>5.3098910999997972E-3</v>
      </c>
      <c r="BA412" s="196">
        <f>(1+AW412/200)^2-(1+$AS412/200)^2</f>
        <v>1.3189047200000248E-2</v>
      </c>
      <c r="BB412" s="196">
        <f>(1+AV412/200)^2-(1+$AT412/200)^2</f>
        <v>7.7791560000002313E-3</v>
      </c>
      <c r="BC412" s="196">
        <f>(1+AX412/200)^2-(1+$AT412/200)^2</f>
        <v>1.655343487500005E-2</v>
      </c>
      <c r="BD412" s="196">
        <f t="shared" ref="BD412:BD420" si="73">MIN(1.5%,0.667*AZ412+0.333*BA412)</f>
        <v>7.9336500812999481E-3</v>
      </c>
      <c r="BE412" s="196">
        <f t="shared" ref="BE412:BE420" si="74">MIN(1.5%,0.667*BB412+0.333*BC412)</f>
        <v>1.0700990865375171E-2</v>
      </c>
      <c r="BG412" s="211">
        <v>-99</v>
      </c>
      <c r="BH412" s="211">
        <v>-99</v>
      </c>
      <c r="BI412" s="211">
        <v>-99</v>
      </c>
      <c r="BJ412" s="211">
        <v>-99</v>
      </c>
      <c r="BK412" s="211">
        <v>-99</v>
      </c>
      <c r="BL412" s="211">
        <v>-99</v>
      </c>
      <c r="BM412" s="191">
        <f t="shared" ref="BM412:BM420" si="75">AK412*AI412/AJ412</f>
        <v>3.1255406904676943E-3</v>
      </c>
      <c r="BN412" s="191">
        <f t="shared" si="62"/>
        <v>1.6366422500000199E-2</v>
      </c>
      <c r="BO412" s="191">
        <f t="shared" si="63"/>
        <v>1.6769722500000084E-2</v>
      </c>
      <c r="BP412" s="191">
        <f t="shared" si="64"/>
        <v>3.2025600000000765E-3</v>
      </c>
      <c r="BQ412" s="171">
        <f t="shared" si="65"/>
        <v>1.67E-2</v>
      </c>
      <c r="BR412" s="211">
        <v>-99</v>
      </c>
      <c r="BS412" s="171">
        <f t="shared" si="67"/>
        <v>1.6299999999999999E-2</v>
      </c>
      <c r="BT412" s="171">
        <f t="shared" si="68"/>
        <v>1.67E-2</v>
      </c>
      <c r="BU412" s="171">
        <f t="shared" si="69"/>
        <v>3.2000000000000002E-3</v>
      </c>
    </row>
    <row r="413" spans="1:73" x14ac:dyDescent="0.3">
      <c r="A413" s="209">
        <v>43831</v>
      </c>
      <c r="B413" s="187">
        <v>202001</v>
      </c>
      <c r="C413" s="176">
        <v>1.42</v>
      </c>
      <c r="E413" s="176">
        <v>0.15</v>
      </c>
      <c r="F413" s="177">
        <v>136.80000000000001</v>
      </c>
      <c r="G413" s="224">
        <v>2.0973782771535721E-2</v>
      </c>
      <c r="H413" s="179">
        <v>1.32</v>
      </c>
      <c r="I413" s="179">
        <v>1.45</v>
      </c>
      <c r="N413" s="225">
        <v>0.02</v>
      </c>
      <c r="O413" s="225">
        <v>5.0000000000000001E-3</v>
      </c>
      <c r="P413" s="226"/>
      <c r="Q413" s="225">
        <v>0.02</v>
      </c>
      <c r="R413" s="225">
        <v>2.2499999999999999E-2</v>
      </c>
      <c r="S413" s="225">
        <v>7.4999999999999997E-3</v>
      </c>
      <c r="T413" s="225">
        <v>7.4999999999999997E-3</v>
      </c>
      <c r="U413" s="227"/>
      <c r="V413" s="228">
        <v>2.5000000000000001E-2</v>
      </c>
      <c r="W413" s="228">
        <v>2.6000000000000002E-2</v>
      </c>
      <c r="X413" s="228">
        <v>1.2E-2</v>
      </c>
      <c r="Y413" s="228">
        <v>1.2E-2</v>
      </c>
      <c r="Z413" s="228"/>
      <c r="AA413" s="229">
        <v>2.5366422500000201E-2</v>
      </c>
      <c r="AB413" s="229">
        <v>2.5971372500000027E-2</v>
      </c>
      <c r="AC413" s="229">
        <v>1.2125540690467696E-2</v>
      </c>
      <c r="AD413" s="229">
        <v>1.2241069654766269E-2</v>
      </c>
      <c r="AE413" s="229"/>
      <c r="AF413" s="229">
        <v>6.5411262127125225E-3</v>
      </c>
      <c r="AG413" s="229">
        <v>6.7821308860330776E-3</v>
      </c>
      <c r="AI413" s="225">
        <v>1.3243559999999821E-2</v>
      </c>
      <c r="AJ413" s="225">
        <v>1.4552562500000032E-2</v>
      </c>
      <c r="AK413" s="225">
        <v>1.5005624999999689E-3</v>
      </c>
      <c r="AM413" s="27" t="s">
        <v>146</v>
      </c>
      <c r="AN413" s="7" t="b">
        <f t="shared" si="57"/>
        <v>1</v>
      </c>
      <c r="AO413" s="7" t="s">
        <v>145</v>
      </c>
      <c r="AP413" s="7">
        <v>2014</v>
      </c>
      <c r="AQ413" s="7">
        <f t="shared" si="72"/>
        <v>2020</v>
      </c>
      <c r="AS413" s="232">
        <v>1.3260000000000001</v>
      </c>
      <c r="AT413" s="232">
        <v>1.421</v>
      </c>
      <c r="AU413" s="232">
        <v>1.883</v>
      </c>
      <c r="AV413" s="232">
        <v>2.2429999999999999</v>
      </c>
      <c r="AW413" s="232">
        <v>2.5710000000000002</v>
      </c>
      <c r="AX413" s="232">
        <v>3.06</v>
      </c>
      <c r="AZ413" s="196">
        <f t="shared" ref="AZ413:AZ427" si="76">(1+AU413/200)^2-(1+$AS413/200)^2</f>
        <v>5.6146853250000905E-3</v>
      </c>
      <c r="BA413" s="196">
        <f t="shared" ref="BA413:BA427" si="77">(1+AW413/200)^2-(1+$AS413/200)^2</f>
        <v>1.2571294125000465E-2</v>
      </c>
      <c r="BB413" s="196">
        <f t="shared" ref="BB413:BB427" si="78">(1+AV413/200)^2-(1+$AT413/200)^2</f>
        <v>8.2952952000001634E-3</v>
      </c>
      <c r="BC413" s="196">
        <f t="shared" ref="BC413:BC427" si="79">(1+AX413/200)^2-(1+$AT413/200)^2</f>
        <v>1.6573608975000376E-2</v>
      </c>
      <c r="BD413" s="196">
        <f t="shared" si="73"/>
        <v>7.9312360554002169E-3</v>
      </c>
      <c r="BE413" s="196">
        <f t="shared" si="74"/>
        <v>1.1051973687075233E-2</v>
      </c>
      <c r="BG413" s="211">
        <v>-99</v>
      </c>
      <c r="BH413" s="211">
        <v>-99</v>
      </c>
      <c r="BI413" s="211">
        <v>-99</v>
      </c>
      <c r="BJ413" s="211">
        <v>-99</v>
      </c>
      <c r="BK413" s="211">
        <v>-99</v>
      </c>
      <c r="BL413" s="211">
        <v>-99</v>
      </c>
      <c r="BM413" s="191">
        <f t="shared" si="75"/>
        <v>1.365586954359363E-3</v>
      </c>
      <c r="BN413" s="191">
        <f t="shared" si="62"/>
        <v>1.3243559999999821E-2</v>
      </c>
      <c r="BO413" s="191">
        <f t="shared" si="63"/>
        <v>1.4552562500000032E-2</v>
      </c>
      <c r="BP413" s="191">
        <f t="shared" si="64"/>
        <v>1.5005624999999689E-3</v>
      </c>
      <c r="BQ413" s="171">
        <f t="shared" si="65"/>
        <v>1.4199999999999999E-2</v>
      </c>
      <c r="BR413" s="211">
        <v>-99</v>
      </c>
      <c r="BS413" s="171">
        <f t="shared" si="67"/>
        <v>1.32E-2</v>
      </c>
      <c r="BT413" s="171">
        <f t="shared" si="68"/>
        <v>1.4499999999999999E-2</v>
      </c>
      <c r="BU413" s="171">
        <f t="shared" si="69"/>
        <v>1.5E-3</v>
      </c>
    </row>
    <row r="414" spans="1:73" x14ac:dyDescent="0.3">
      <c r="A414" s="209">
        <v>43862</v>
      </c>
      <c r="B414" s="187">
        <v>202002</v>
      </c>
      <c r="C414" s="176">
        <v>1.32</v>
      </c>
      <c r="E414" s="176">
        <v>0.08</v>
      </c>
      <c r="F414" s="177">
        <v>137.4</v>
      </c>
      <c r="G414" s="224">
        <v>2.0942408376963373E-2</v>
      </c>
      <c r="H414" s="179">
        <v>1.21</v>
      </c>
      <c r="I414" s="179">
        <v>1.35</v>
      </c>
      <c r="N414" s="225">
        <v>2.2499999999999999E-2</v>
      </c>
      <c r="O414" s="225">
        <v>5.0000000000000001E-3</v>
      </c>
      <c r="P414" s="226"/>
      <c r="Q414" s="225">
        <v>2.2499999999999999E-2</v>
      </c>
      <c r="R414" s="225">
        <v>2.2499999999999999E-2</v>
      </c>
      <c r="S414" s="225">
        <v>7.4999999999999997E-3</v>
      </c>
      <c r="T414" s="225">
        <v>7.4999999999999997E-3</v>
      </c>
      <c r="U414" s="227"/>
      <c r="V414" s="228">
        <v>2.1999999999999999E-2</v>
      </c>
      <c r="W414" s="228">
        <v>2.4E-2</v>
      </c>
      <c r="X414" s="228">
        <v>0.01</v>
      </c>
      <c r="Y414" s="228">
        <v>1.0999999999999999E-2</v>
      </c>
      <c r="Z414" s="228"/>
      <c r="AA414" s="229">
        <v>2.2243559999999822E-2</v>
      </c>
      <c r="AB414" s="229">
        <v>2.4207063750000139E-2</v>
      </c>
      <c r="AC414" s="229">
        <v>1.0365586954359364E-2</v>
      </c>
      <c r="AD414" s="229">
        <v>1.0568050272820272E-2</v>
      </c>
      <c r="AE414" s="229"/>
      <c r="AF414" s="229">
        <v>5.8780570117422659E-3</v>
      </c>
      <c r="AG414" s="229">
        <v>6.7481915114463442E-3</v>
      </c>
      <c r="AI414" s="225">
        <v>1.213660250000026E-2</v>
      </c>
      <c r="AJ414" s="225">
        <v>1.3545562500000052E-2</v>
      </c>
      <c r="AK414" s="225">
        <v>8.0015999999982768E-4</v>
      </c>
      <c r="AM414" s="27" t="s">
        <v>146</v>
      </c>
      <c r="AN414" s="7" t="b">
        <f t="shared" si="57"/>
        <v>1</v>
      </c>
      <c r="AO414" s="7" t="s">
        <v>145</v>
      </c>
      <c r="AP414" s="7">
        <v>2014</v>
      </c>
      <c r="AQ414" s="7">
        <f t="shared" si="72"/>
        <v>2020</v>
      </c>
      <c r="AS414" s="232">
        <v>1.2210000000000001</v>
      </c>
      <c r="AT414" s="232">
        <v>1.3220000000000001</v>
      </c>
      <c r="AU414" s="232">
        <v>1.8180000000000001</v>
      </c>
      <c r="AV414" s="232">
        <v>2.198</v>
      </c>
      <c r="AW414" s="232">
        <v>2.5270000000000001</v>
      </c>
      <c r="AX414" s="232">
        <v>3.0310000000000001</v>
      </c>
      <c r="AZ414" s="196">
        <f t="shared" si="76"/>
        <v>6.0153570749998941E-3</v>
      </c>
      <c r="BA414" s="196">
        <f t="shared" si="77"/>
        <v>1.3182372199999737E-2</v>
      </c>
      <c r="BB414" s="196">
        <f t="shared" si="78"/>
        <v>8.8370880000001595E-3</v>
      </c>
      <c r="BC414" s="196">
        <f t="shared" si="79"/>
        <v>1.7275981925000128E-2</v>
      </c>
      <c r="BD414" s="196">
        <f t="shared" si="73"/>
        <v>8.4019731116248414E-3</v>
      </c>
      <c r="BE414" s="196">
        <f t="shared" si="74"/>
        <v>1.164723967702515E-2</v>
      </c>
      <c r="BG414" s="211">
        <v>-99</v>
      </c>
      <c r="BH414" s="211">
        <v>-99</v>
      </c>
      <c r="BI414" s="211">
        <v>-99</v>
      </c>
      <c r="BJ414" s="211">
        <v>-99</v>
      </c>
      <c r="BK414" s="211">
        <v>-99</v>
      </c>
      <c r="BL414" s="211">
        <v>-99</v>
      </c>
      <c r="BM414" s="191">
        <f t="shared" si="75"/>
        <v>7.1693027560856771E-4</v>
      </c>
      <c r="BN414" s="191">
        <f t="shared" si="62"/>
        <v>1.213660250000026E-2</v>
      </c>
      <c r="BO414" s="191">
        <f t="shared" si="63"/>
        <v>1.3545562500000052E-2</v>
      </c>
      <c r="BP414" s="191">
        <f t="shared" si="64"/>
        <v>8.0015999999982768E-4</v>
      </c>
      <c r="BQ414" s="171">
        <f t="shared" si="65"/>
        <v>1.32E-2</v>
      </c>
      <c r="BR414" s="211">
        <v>-99</v>
      </c>
      <c r="BS414" s="171">
        <f t="shared" si="67"/>
        <v>1.21E-2</v>
      </c>
      <c r="BT414" s="171">
        <f t="shared" si="68"/>
        <v>1.3500000000000002E-2</v>
      </c>
      <c r="BU414" s="171">
        <f t="shared" si="69"/>
        <v>8.0000000000000004E-4</v>
      </c>
    </row>
    <row r="415" spans="1:73" x14ac:dyDescent="0.3">
      <c r="A415" s="209">
        <v>43891</v>
      </c>
      <c r="B415" s="187">
        <v>202003</v>
      </c>
      <c r="C415" s="176">
        <v>1.25</v>
      </c>
      <c r="E415" s="176">
        <v>0.56999999999999995</v>
      </c>
      <c r="F415" s="177">
        <v>136.6</v>
      </c>
      <c r="G415" s="224">
        <v>2.0164301717699784E-2</v>
      </c>
      <c r="H415" s="179">
        <v>0.81</v>
      </c>
      <c r="I415" s="179">
        <v>1.36</v>
      </c>
      <c r="N415" s="225">
        <v>0.02</v>
      </c>
      <c r="O415" s="225">
        <v>5.0000000000000001E-3</v>
      </c>
      <c r="P415" s="226"/>
      <c r="Q415" s="225">
        <v>1.7500000000000002E-2</v>
      </c>
      <c r="R415" s="225">
        <v>0.02</v>
      </c>
      <c r="S415" s="225">
        <v>7.4999999999999997E-3</v>
      </c>
      <c r="T415" s="225">
        <v>7.4999999999999997E-3</v>
      </c>
      <c r="U415" s="227"/>
      <c r="V415" s="228">
        <v>2.1000000000000001E-2</v>
      </c>
      <c r="W415" s="228">
        <v>2.3E-2</v>
      </c>
      <c r="X415" s="228">
        <v>0.01</v>
      </c>
      <c r="Y415" s="228">
        <v>0.01</v>
      </c>
      <c r="Z415" s="228"/>
      <c r="AA415" s="229">
        <v>2.1136602500000261E-2</v>
      </c>
      <c r="AB415" s="229">
        <v>2.325004249999995E-2</v>
      </c>
      <c r="AC415" s="229">
        <v>9.7169302756085693E-3</v>
      </c>
      <c r="AD415" s="229">
        <v>9.8417748621954584E-3</v>
      </c>
      <c r="AE415" s="229"/>
      <c r="AF415" s="229">
        <v>5.6548879601704405E-3</v>
      </c>
      <c r="AG415" s="229">
        <v>6.6387962805530831E-3</v>
      </c>
      <c r="AH415" s="226"/>
      <c r="AI415" s="225">
        <v>8.1164025000002304E-3</v>
      </c>
      <c r="AJ415" s="225">
        <v>1.3646239999999921E-2</v>
      </c>
      <c r="AK415" s="225">
        <v>5.708122499999968E-3</v>
      </c>
      <c r="AM415" s="27" t="s">
        <v>146</v>
      </c>
      <c r="AN415" s="7" t="b">
        <f t="shared" si="57"/>
        <v>1</v>
      </c>
      <c r="AO415" s="7" t="s">
        <v>145</v>
      </c>
      <c r="AP415" s="7">
        <v>2014</v>
      </c>
      <c r="AQ415" s="7">
        <f t="shared" ref="AQ415:AQ420" si="80">YEAR(A415)</f>
        <v>2020</v>
      </c>
      <c r="AS415" s="232">
        <v>0.84499999999999997</v>
      </c>
      <c r="AT415" s="232">
        <v>1.2529999999999999</v>
      </c>
      <c r="AU415" s="232">
        <v>1.9019999999999999</v>
      </c>
      <c r="AV415" s="232">
        <v>2.609</v>
      </c>
      <c r="AW415" s="232">
        <v>3.7360000000000002</v>
      </c>
      <c r="AX415" s="232">
        <v>3.9790000000000001</v>
      </c>
      <c r="AZ415" s="196">
        <f t="shared" si="76"/>
        <v>1.0642589474999964E-2</v>
      </c>
      <c r="BA415" s="196">
        <f t="shared" si="77"/>
        <v>2.9241091775000339E-2</v>
      </c>
      <c r="BB415" s="196">
        <f t="shared" si="78"/>
        <v>1.3690921800000089E-2</v>
      </c>
      <c r="BC415" s="196">
        <f t="shared" si="79"/>
        <v>2.7616560800000078E-2</v>
      </c>
      <c r="BD415" s="196">
        <f t="shared" si="73"/>
        <v>1.4999999999999999E-2</v>
      </c>
      <c r="BE415" s="196">
        <f t="shared" si="74"/>
        <v>1.4999999999999999E-2</v>
      </c>
      <c r="BG415" s="211">
        <v>-99</v>
      </c>
      <c r="BH415" s="211">
        <v>-99</v>
      </c>
      <c r="BI415" s="211">
        <v>-99</v>
      </c>
      <c r="BJ415" s="211">
        <v>-99</v>
      </c>
      <c r="BK415" s="211">
        <v>-99</v>
      </c>
      <c r="BL415" s="211">
        <v>-99</v>
      </c>
      <c r="BM415" s="191">
        <f t="shared" si="75"/>
        <v>3.3950318717322556E-3</v>
      </c>
      <c r="BN415" s="191">
        <f t="shared" si="62"/>
        <v>8.1164025000002304E-3</v>
      </c>
      <c r="BO415" s="191">
        <f t="shared" si="63"/>
        <v>1.3646239999999921E-2</v>
      </c>
      <c r="BP415" s="191">
        <f t="shared" si="64"/>
        <v>5.708122499999968E-3</v>
      </c>
      <c r="BQ415" s="171">
        <f t="shared" si="65"/>
        <v>1.2500000000000001E-2</v>
      </c>
      <c r="BR415" s="211">
        <v>-99</v>
      </c>
      <c r="BS415" s="171">
        <f t="shared" si="67"/>
        <v>8.1000000000000013E-3</v>
      </c>
      <c r="BT415" s="171">
        <f t="shared" si="68"/>
        <v>1.3600000000000001E-2</v>
      </c>
      <c r="BU415" s="171">
        <f t="shared" si="69"/>
        <v>5.6999999999999993E-3</v>
      </c>
    </row>
    <row r="416" spans="1:73" x14ac:dyDescent="0.3">
      <c r="A416" s="209">
        <v>43922</v>
      </c>
      <c r="B416" s="187">
        <v>202004</v>
      </c>
      <c r="C416" s="176">
        <v>0.99</v>
      </c>
      <c r="E416" s="176">
        <v>0.23</v>
      </c>
      <c r="F416" s="177">
        <v>135.69999999999999</v>
      </c>
      <c r="G416" s="224">
        <v>1.8642803877703118E-2</v>
      </c>
      <c r="H416" s="179">
        <v>0.42</v>
      </c>
      <c r="I416" s="179">
        <v>1.1499999999999999</v>
      </c>
      <c r="N416" s="225">
        <v>1.7500000000000002E-2</v>
      </c>
      <c r="O416" s="225">
        <v>2.5000000000000001E-3</v>
      </c>
      <c r="P416" s="226"/>
      <c r="Q416" s="225">
        <v>1.7500000000000002E-2</v>
      </c>
      <c r="R416" s="225">
        <v>0.02</v>
      </c>
      <c r="S416" s="225">
        <v>5.0000000000000001E-3</v>
      </c>
      <c r="T416" s="225">
        <v>5.0000000000000001E-3</v>
      </c>
      <c r="U416" s="227"/>
      <c r="V416" s="228">
        <v>1.7000000000000001E-2</v>
      </c>
      <c r="W416" s="228">
        <v>2.5000000000000001E-2</v>
      </c>
      <c r="X416" s="228">
        <v>1.2E-2</v>
      </c>
      <c r="Y416" s="228">
        <v>1.6E-2</v>
      </c>
      <c r="Z416" s="228"/>
      <c r="AA416" s="229">
        <v>1.7116402500000232E-2</v>
      </c>
      <c r="AB416" s="229">
        <v>2.5411158749999767E-2</v>
      </c>
      <c r="AC416" s="229">
        <v>1.2395031871732257E-2</v>
      </c>
      <c r="AD416" s="229">
        <v>1.5864667814133825E-2</v>
      </c>
      <c r="AE416" s="229"/>
      <c r="AF416" s="229">
        <v>2.3317827921077727E-3</v>
      </c>
      <c r="AG416" s="229">
        <v>4.6987021196471801E-3</v>
      </c>
      <c r="AI416" s="225">
        <v>4.2044100000000473E-3</v>
      </c>
      <c r="AJ416" s="225">
        <v>1.1533062499999858E-2</v>
      </c>
      <c r="AK416" s="225">
        <v>2.3013224999999249E-3</v>
      </c>
      <c r="AM416" s="27" t="s">
        <v>146</v>
      </c>
      <c r="AN416" s="7" t="b">
        <f t="shared" si="57"/>
        <v>1</v>
      </c>
      <c r="AO416" s="7" t="s">
        <v>145</v>
      </c>
      <c r="AP416" s="7">
        <v>2014</v>
      </c>
      <c r="AQ416" s="7">
        <f t="shared" si="80"/>
        <v>2020</v>
      </c>
      <c r="AS416" s="232">
        <v>0.46100000000000002</v>
      </c>
      <c r="AT416" s="232">
        <v>0.99199999999999999</v>
      </c>
      <c r="AU416" s="232">
        <v>1.272</v>
      </c>
      <c r="AV416" s="232">
        <v>2.149</v>
      </c>
      <c r="AW416" s="232">
        <v>2.7530000000000001</v>
      </c>
      <c r="AX416" s="232">
        <v>3.2829999999999999</v>
      </c>
      <c r="AZ416" s="196">
        <f t="shared" si="76"/>
        <v>8.1451365749998228E-3</v>
      </c>
      <c r="BA416" s="196">
        <f t="shared" si="77"/>
        <v>2.3104162200000111E-2</v>
      </c>
      <c r="BB416" s="196">
        <f t="shared" si="78"/>
        <v>1.1660853424999784E-2</v>
      </c>
      <c r="BC416" s="196">
        <f t="shared" si="79"/>
        <v>2.315485062499989E-2</v>
      </c>
      <c r="BD416" s="196">
        <f t="shared" si="73"/>
        <v>1.3126492108124919E-2</v>
      </c>
      <c r="BE416" s="196">
        <f t="shared" si="74"/>
        <v>1.4999999999999999E-2</v>
      </c>
      <c r="BG416" s="211">
        <v>-99</v>
      </c>
      <c r="BH416" s="211">
        <v>-99</v>
      </c>
      <c r="BI416" s="211">
        <v>-99</v>
      </c>
      <c r="BJ416" s="211">
        <v>-99</v>
      </c>
      <c r="BK416" s="211">
        <v>-99</v>
      </c>
      <c r="BL416" s="211">
        <v>-99</v>
      </c>
      <c r="BM416" s="191">
        <f t="shared" si="75"/>
        <v>8.3895351579209017E-4</v>
      </c>
      <c r="BN416" s="191">
        <f t="shared" si="62"/>
        <v>4.2044100000000473E-3</v>
      </c>
      <c r="BO416" s="191">
        <f t="shared" si="63"/>
        <v>1.1533062499999858E-2</v>
      </c>
      <c r="BP416" s="191">
        <f t="shared" si="64"/>
        <v>2.3013224999999249E-3</v>
      </c>
      <c r="BQ416" s="171">
        <f t="shared" si="65"/>
        <v>9.8999999999999991E-3</v>
      </c>
      <c r="BR416" s="211">
        <v>-99</v>
      </c>
      <c r="BS416" s="171">
        <f t="shared" si="67"/>
        <v>4.1999999999999997E-3</v>
      </c>
      <c r="BT416" s="171">
        <f t="shared" si="68"/>
        <v>1.15E-2</v>
      </c>
      <c r="BU416" s="171">
        <f t="shared" si="69"/>
        <v>2.3E-3</v>
      </c>
    </row>
    <row r="417" spans="1:73" x14ac:dyDescent="0.3">
      <c r="A417" s="209">
        <v>43952</v>
      </c>
      <c r="B417" s="187">
        <v>202005</v>
      </c>
      <c r="C417" s="176">
        <v>0.92</v>
      </c>
      <c r="E417" s="176">
        <v>0.16</v>
      </c>
      <c r="F417" s="177">
        <v>136.1</v>
      </c>
      <c r="G417" s="224">
        <v>1.5625E-2</v>
      </c>
      <c r="H417" s="179">
        <v>0.41</v>
      </c>
      <c r="I417" s="179">
        <v>1.1000000000000001</v>
      </c>
      <c r="N417" s="225">
        <v>1.7500000000000002E-2</v>
      </c>
      <c r="O417" s="225">
        <v>7.4999999999999997E-3</v>
      </c>
      <c r="P417" s="226"/>
      <c r="Q417" s="225">
        <v>1.2500000000000001E-2</v>
      </c>
      <c r="R417" s="225">
        <v>2.2499999999999999E-2</v>
      </c>
      <c r="S417" s="225">
        <v>7.4999999999999997E-3</v>
      </c>
      <c r="T417" s="225">
        <v>1.2500000000000001E-2</v>
      </c>
      <c r="U417" s="227"/>
      <c r="V417" s="228">
        <v>1.3000000000000001E-2</v>
      </c>
      <c r="W417" s="228">
        <v>2.4E-2</v>
      </c>
      <c r="X417" s="228">
        <v>0.01</v>
      </c>
      <c r="Y417" s="228">
        <v>1.2E-2</v>
      </c>
      <c r="Z417" s="228"/>
      <c r="AA417" s="229">
        <v>1.3204410000000048E-2</v>
      </c>
      <c r="AB417" s="229">
        <v>2.4197388749999764E-2</v>
      </c>
      <c r="AC417" s="229">
        <v>9.8389535157920906E-3</v>
      </c>
      <c r="AD417" s="229">
        <v>1.2032506992103844E-2</v>
      </c>
      <c r="AE417" s="229"/>
      <c r="AF417" s="229">
        <v>1.6663332665525221E-3</v>
      </c>
      <c r="AG417" s="229">
        <v>6.0101240196579475E-3</v>
      </c>
      <c r="AI417" s="225">
        <v>4.1042025000002091E-3</v>
      </c>
      <c r="AJ417" s="225">
        <v>1.103025000000013E-2</v>
      </c>
      <c r="AK417" s="225">
        <v>1.600639999999931E-3</v>
      </c>
      <c r="AM417" s="27" t="s">
        <v>146</v>
      </c>
      <c r="AN417" s="7" t="b">
        <f t="shared" si="57"/>
        <v>1</v>
      </c>
      <c r="AO417" s="7" t="s">
        <v>145</v>
      </c>
      <c r="AP417" s="7">
        <v>2014</v>
      </c>
      <c r="AQ417" s="7">
        <f t="shared" si="80"/>
        <v>2020</v>
      </c>
      <c r="AS417" s="232">
        <v>0.44600000000000001</v>
      </c>
      <c r="AT417" s="232">
        <v>0.92500000000000004</v>
      </c>
      <c r="AU417" s="232">
        <v>1.232</v>
      </c>
      <c r="AV417" s="232">
        <v>2.0819999999999999</v>
      </c>
      <c r="AW417" s="232">
        <v>2.6640000000000001</v>
      </c>
      <c r="AX417" s="232">
        <v>3.24</v>
      </c>
      <c r="AZ417" s="196">
        <f t="shared" si="76"/>
        <v>7.8929726999998895E-3</v>
      </c>
      <c r="BA417" s="196">
        <f t="shared" si="77"/>
        <v>2.2352449500000038E-2</v>
      </c>
      <c r="BB417" s="196">
        <f t="shared" si="78"/>
        <v>1.1656977474999941E-2</v>
      </c>
      <c r="BC417" s="196">
        <f t="shared" si="79"/>
        <v>2.3391049374999806E-2</v>
      </c>
      <c r="BD417" s="196">
        <f t="shared" si="73"/>
        <v>1.2707978474399939E-2</v>
      </c>
      <c r="BE417" s="196">
        <f t="shared" si="74"/>
        <v>1.4999999999999999E-2</v>
      </c>
      <c r="BG417" s="211">
        <v>-99</v>
      </c>
      <c r="BH417" s="211">
        <v>-99</v>
      </c>
      <c r="BI417" s="211">
        <v>-99</v>
      </c>
      <c r="BJ417" s="211">
        <v>-99</v>
      </c>
      <c r="BK417" s="211">
        <v>-99</v>
      </c>
      <c r="BL417" s="211">
        <v>-99</v>
      </c>
      <c r="BM417" s="191">
        <f t="shared" si="75"/>
        <v>5.955758654246254E-4</v>
      </c>
      <c r="BN417" s="191">
        <f t="shared" si="62"/>
        <v>4.1042025000002091E-3</v>
      </c>
      <c r="BO417" s="191">
        <f t="shared" si="63"/>
        <v>1.103025000000013E-2</v>
      </c>
      <c r="BP417" s="191">
        <f t="shared" si="64"/>
        <v>1.600639999999931E-3</v>
      </c>
      <c r="BQ417" s="171">
        <f t="shared" si="65"/>
        <v>9.1999999999999998E-3</v>
      </c>
      <c r="BR417" s="211">
        <v>-99</v>
      </c>
      <c r="BS417" s="171">
        <f t="shared" si="67"/>
        <v>4.0999999999999995E-3</v>
      </c>
      <c r="BT417" s="171">
        <f t="shared" si="68"/>
        <v>1.1000000000000001E-2</v>
      </c>
      <c r="BU417" s="171">
        <f t="shared" si="69"/>
        <v>1.6000000000000001E-3</v>
      </c>
    </row>
    <row r="418" spans="1:73" x14ac:dyDescent="0.3">
      <c r="A418" s="209">
        <v>43983</v>
      </c>
      <c r="B418" s="187">
        <v>202006</v>
      </c>
      <c r="C418" s="176">
        <v>0.95</v>
      </c>
      <c r="E418" s="176">
        <v>-0.01</v>
      </c>
      <c r="F418" s="177">
        <v>137.19999999999999</v>
      </c>
      <c r="G418" s="224">
        <v>1.4858841010401136E-2</v>
      </c>
      <c r="H418" s="179">
        <v>0.43</v>
      </c>
      <c r="I418" s="179">
        <v>1.02</v>
      </c>
      <c r="N418" s="225">
        <v>1.4999999999999999E-2</v>
      </c>
      <c r="O418" s="225">
        <v>5.0000000000000001E-3</v>
      </c>
      <c r="P418" s="226"/>
      <c r="Q418" s="225">
        <v>0.01</v>
      </c>
      <c r="R418" s="225">
        <v>0.02</v>
      </c>
      <c r="S418" s="225">
        <v>5.0000000000000001E-3</v>
      </c>
      <c r="T418" s="225">
        <v>7.4999999999999997E-3</v>
      </c>
      <c r="U418" s="227"/>
      <c r="V418" s="228">
        <v>1.3000000000000001E-2</v>
      </c>
      <c r="W418" s="228">
        <v>2.3E-2</v>
      </c>
      <c r="X418" s="228">
        <v>0.01</v>
      </c>
      <c r="Y418" s="228">
        <v>1.0999999999999999E-2</v>
      </c>
      <c r="Z418" s="228"/>
      <c r="AA418" s="229">
        <v>1.310420250000021E-2</v>
      </c>
      <c r="AB418" s="229">
        <v>2.3493273750000092E-2</v>
      </c>
      <c r="AC418" s="229">
        <v>9.5955758654246263E-3</v>
      </c>
      <c r="AD418" s="229">
        <v>1.1103172067287585E-2</v>
      </c>
      <c r="AE418" s="229"/>
      <c r="AF418" s="229">
        <v>1.7376396640643721E-3</v>
      </c>
      <c r="AG418" s="229">
        <v>6.1270214677399126E-3</v>
      </c>
      <c r="AI418" s="225">
        <v>4.3046225000002991E-3</v>
      </c>
      <c r="AJ418" s="225">
        <v>1.022601000000023E-2</v>
      </c>
      <c r="AK418" s="225">
        <v>-9.999750000000418E-5</v>
      </c>
      <c r="AM418" s="27" t="s">
        <v>146</v>
      </c>
      <c r="AN418" s="7" t="b">
        <f t="shared" si="57"/>
        <v>1</v>
      </c>
      <c r="AO418" s="7" t="s">
        <v>145</v>
      </c>
      <c r="AP418" s="7">
        <v>2014</v>
      </c>
      <c r="AQ418" s="7">
        <f t="shared" si="80"/>
        <v>2020</v>
      </c>
      <c r="AS418" s="232">
        <v>0.46100000000000002</v>
      </c>
      <c r="AT418" s="232">
        <v>0.94199999999999995</v>
      </c>
      <c r="AU418" s="232">
        <v>1.218</v>
      </c>
      <c r="AV418" s="232">
        <v>1.9990000000000001</v>
      </c>
      <c r="AW418" s="232">
        <v>2.3090000000000002</v>
      </c>
      <c r="AX418" s="232">
        <v>2.9780000000000002</v>
      </c>
      <c r="AZ418" s="196">
        <f t="shared" si="76"/>
        <v>7.601775074999928E-3</v>
      </c>
      <c r="BA418" s="196">
        <f t="shared" si="77"/>
        <v>1.8607973999999805E-2</v>
      </c>
      <c r="BB418" s="196">
        <f t="shared" si="78"/>
        <v>1.0647715924999801E-2</v>
      </c>
      <c r="BC418" s="196">
        <f t="shared" si="79"/>
        <v>2.055952800000016E-2</v>
      </c>
      <c r="BD418" s="196">
        <f t="shared" si="73"/>
        <v>1.1266839317024888E-2</v>
      </c>
      <c r="BE418" s="196">
        <f t="shared" si="74"/>
        <v>1.3948349345974921E-2</v>
      </c>
      <c r="BG418" s="211">
        <v>-99</v>
      </c>
      <c r="BH418" s="211">
        <v>-99</v>
      </c>
      <c r="BI418" s="211">
        <v>-99</v>
      </c>
      <c r="BJ418" s="211">
        <v>-99</v>
      </c>
      <c r="BK418" s="211">
        <v>-99</v>
      </c>
      <c r="BL418" s="211">
        <v>-99</v>
      </c>
      <c r="BM418" s="191">
        <f t="shared" si="75"/>
        <v>-4.2093787160758523E-5</v>
      </c>
      <c r="BN418" s="191">
        <f t="shared" si="62"/>
        <v>4.3046225000002991E-3</v>
      </c>
      <c r="BO418" s="191">
        <f t="shared" si="63"/>
        <v>1.022601000000023E-2</v>
      </c>
      <c r="BP418" s="191">
        <f t="shared" si="64"/>
        <v>-9.999750000000418E-5</v>
      </c>
      <c r="BQ418" s="171">
        <f t="shared" si="65"/>
        <v>9.4999999999999998E-3</v>
      </c>
      <c r="BR418" s="211">
        <v>-99</v>
      </c>
      <c r="BS418" s="171">
        <f t="shared" si="67"/>
        <v>4.3E-3</v>
      </c>
      <c r="BT418" s="171">
        <f t="shared" si="68"/>
        <v>1.0200000000000001E-2</v>
      </c>
      <c r="BU418" s="171">
        <f t="shared" si="69"/>
        <v>-1E-4</v>
      </c>
    </row>
    <row r="419" spans="1:73" x14ac:dyDescent="0.3">
      <c r="A419" s="209">
        <v>44013</v>
      </c>
      <c r="B419" s="187">
        <v>202007</v>
      </c>
      <c r="C419" s="176">
        <v>0.86</v>
      </c>
      <c r="E419" s="176">
        <v>-0.17</v>
      </c>
      <c r="F419" s="177">
        <v>137.19999999999999</v>
      </c>
      <c r="G419" s="224">
        <v>1.260192735359511E-2</v>
      </c>
      <c r="H419" s="179">
        <v>0.35</v>
      </c>
      <c r="I419" s="179">
        <v>0.95</v>
      </c>
      <c r="N419" s="225">
        <v>1.4999999999999999E-2</v>
      </c>
      <c r="O419" s="225">
        <v>5.0000000000000001E-3</v>
      </c>
      <c r="P419" s="226"/>
      <c r="Q419" s="225">
        <v>0.01</v>
      </c>
      <c r="R419" s="225">
        <v>0.02</v>
      </c>
      <c r="S419" s="225">
        <v>5.0000000000000001E-3</v>
      </c>
      <c r="T419" s="225">
        <v>7.4999999999999997E-3</v>
      </c>
      <c r="U419" s="227"/>
      <c r="V419" s="228">
        <v>1.3000000000000001E-2</v>
      </c>
      <c r="W419" s="228">
        <v>2.1999999999999999E-2</v>
      </c>
      <c r="X419" s="228">
        <v>9.0000000000000011E-3</v>
      </c>
      <c r="Y419" s="228">
        <v>9.0000000000000011E-3</v>
      </c>
      <c r="Z419" s="228"/>
      <c r="AA419" s="229">
        <v>1.33046225000003E-2</v>
      </c>
      <c r="AB419" s="229">
        <v>2.2186703750000196E-2</v>
      </c>
      <c r="AC419" s="229">
        <v>8.9579062128392426E-3</v>
      </c>
      <c r="AD419" s="229">
        <v>8.8710506435803749E-3</v>
      </c>
      <c r="AE419" s="229"/>
      <c r="AF419" s="229">
        <v>2.1540622559153011E-3</v>
      </c>
      <c r="AG419" s="229">
        <v>6.5992839708927109E-3</v>
      </c>
      <c r="AI419" s="225">
        <v>3.5030624999998761E-3</v>
      </c>
      <c r="AJ419" s="225">
        <v>9.5225625000001646E-3</v>
      </c>
      <c r="AK419" s="225">
        <v>-1.6992774999999849E-3</v>
      </c>
      <c r="AM419" s="27" t="s">
        <v>146</v>
      </c>
      <c r="AN419" s="7" t="b">
        <f t="shared" si="57"/>
        <v>1</v>
      </c>
      <c r="AO419" s="7" t="s">
        <v>145</v>
      </c>
      <c r="AP419" s="7">
        <v>2014</v>
      </c>
      <c r="AQ419" s="7">
        <f t="shared" si="80"/>
        <v>2020</v>
      </c>
      <c r="AS419" s="232">
        <v>0.39</v>
      </c>
      <c r="AT419" s="232">
        <v>0.85</v>
      </c>
      <c r="AU419" s="232">
        <v>1.08</v>
      </c>
      <c r="AV419" s="232">
        <v>1.8440000000000001</v>
      </c>
      <c r="AW419" s="232">
        <v>2.0230000000000001</v>
      </c>
      <c r="AX419" s="232">
        <v>2.7869999999999999</v>
      </c>
      <c r="AZ419" s="196">
        <f t="shared" si="76"/>
        <v>6.9253575000003398E-3</v>
      </c>
      <c r="BA419" s="196">
        <f t="shared" si="77"/>
        <v>1.64285107250004E-2</v>
      </c>
      <c r="BB419" s="196">
        <f t="shared" si="78"/>
        <v>1.0006945899999842E-2</v>
      </c>
      <c r="BC419" s="196">
        <f t="shared" si="79"/>
        <v>1.9546121724999921E-2</v>
      </c>
      <c r="BD419" s="196">
        <f t="shared" si="73"/>
        <v>1.008990752392536E-2</v>
      </c>
      <c r="BE419" s="196">
        <f t="shared" si="74"/>
        <v>1.3183491449724869E-2</v>
      </c>
      <c r="BG419" s="211">
        <v>-99</v>
      </c>
      <c r="BH419" s="211">
        <v>-99</v>
      </c>
      <c r="BI419" s="211">
        <v>-99</v>
      </c>
      <c r="BJ419" s="211">
        <v>-99</v>
      </c>
      <c r="BK419" s="211">
        <v>-99</v>
      </c>
      <c r="BL419" s="211">
        <v>-99</v>
      </c>
      <c r="BM419" s="191">
        <f t="shared" si="75"/>
        <v>-6.2511275587252737E-4</v>
      </c>
      <c r="BN419" s="191">
        <f t="shared" si="62"/>
        <v>3.5030624999998761E-3</v>
      </c>
      <c r="BO419" s="191">
        <f t="shared" si="63"/>
        <v>9.5225625000001646E-3</v>
      </c>
      <c r="BP419" s="191">
        <f t="shared" si="64"/>
        <v>-1.6992774999999849E-3</v>
      </c>
      <c r="BQ419" s="171">
        <f t="shared" si="65"/>
        <v>8.6E-3</v>
      </c>
      <c r="BR419" s="211">
        <v>-99</v>
      </c>
      <c r="BS419" s="171">
        <f t="shared" si="67"/>
        <v>3.4999999999999996E-3</v>
      </c>
      <c r="BT419" s="171">
        <f t="shared" si="68"/>
        <v>9.4999999999999998E-3</v>
      </c>
      <c r="BU419" s="171">
        <f t="shared" si="69"/>
        <v>-1.7000000000000001E-3</v>
      </c>
    </row>
    <row r="420" spans="1:73" x14ac:dyDescent="0.3">
      <c r="A420" s="209">
        <v>44044</v>
      </c>
      <c r="B420" s="187">
        <v>202008</v>
      </c>
      <c r="C420" s="176">
        <v>1.01</v>
      </c>
      <c r="E420" s="176">
        <v>-0.18</v>
      </c>
      <c r="F420" s="177">
        <v>137</v>
      </c>
      <c r="G420" s="224">
        <v>1.1102886750555152E-2</v>
      </c>
      <c r="H420" s="179">
        <v>0.45</v>
      </c>
      <c r="I420" s="179">
        <v>1.1200000000000001</v>
      </c>
      <c r="N420" s="225">
        <v>1.4999999999999999E-2</v>
      </c>
      <c r="O420" s="225">
        <v>2.5000000000000001E-3</v>
      </c>
      <c r="P420" s="226"/>
      <c r="Q420" s="225">
        <v>0.01</v>
      </c>
      <c r="R420" s="225">
        <v>1.7500000000000002E-2</v>
      </c>
      <c r="S420" s="225">
        <v>5.0000000000000001E-3</v>
      </c>
      <c r="T420" s="225">
        <v>5.0000000000000001E-3</v>
      </c>
      <c r="U420" s="227"/>
      <c r="V420" s="228">
        <v>1.3000000000000001E-2</v>
      </c>
      <c r="W420" s="228">
        <v>2.1999999999999999E-2</v>
      </c>
      <c r="X420" s="228">
        <v>8.0000000000000002E-3</v>
      </c>
      <c r="Y420" s="228">
        <v>7.0000000000000001E-3</v>
      </c>
      <c r="Z420" s="228"/>
      <c r="AA420" s="229">
        <v>1.2503062499999877E-2</v>
      </c>
      <c r="AB420" s="229">
        <v>2.153231250000031E-2</v>
      </c>
      <c r="AC420" s="229">
        <v>8.3748872441274744E-3</v>
      </c>
      <c r="AD420" s="229">
        <v>6.7636401279362879E-3</v>
      </c>
      <c r="AE420" s="229"/>
      <c r="AF420" s="229">
        <v>2.0469446969046956E-3</v>
      </c>
      <c r="AG420" s="229">
        <v>7.3347267339666233E-3</v>
      </c>
      <c r="AI420" s="225">
        <v>4.5050625000002675E-3</v>
      </c>
      <c r="AJ420" s="225">
        <v>1.1231360000000024E-2</v>
      </c>
      <c r="AK420" s="225">
        <v>-1.7991900000000616E-3</v>
      </c>
      <c r="AM420" s="27" t="s">
        <v>146</v>
      </c>
      <c r="AN420" s="7" t="b">
        <f t="shared" si="57"/>
        <v>1</v>
      </c>
      <c r="AO420" s="7" t="s">
        <v>145</v>
      </c>
      <c r="AP420" s="7">
        <v>2014</v>
      </c>
      <c r="AQ420" s="7">
        <f t="shared" si="80"/>
        <v>2020</v>
      </c>
      <c r="AS420" s="232">
        <v>0.502</v>
      </c>
      <c r="AT420" s="232">
        <v>1.0029999999999999</v>
      </c>
      <c r="AU420" s="232">
        <v>1.153</v>
      </c>
      <c r="AV420" s="232">
        <v>1.9770000000000001</v>
      </c>
      <c r="AW420" s="232">
        <v>2.0430000000000001</v>
      </c>
      <c r="AX420" s="232">
        <v>2.9</v>
      </c>
      <c r="AZ420" s="196">
        <f t="shared" si="76"/>
        <v>6.5369351250001984E-3</v>
      </c>
      <c r="BA420" s="196">
        <f t="shared" si="77"/>
        <v>1.5508046125000341E-2</v>
      </c>
      <c r="BB420" s="196">
        <f t="shared" si="78"/>
        <v>9.8125629999998853E-3</v>
      </c>
      <c r="BC420" s="196">
        <f t="shared" si="79"/>
        <v>1.9155099775000073E-2</v>
      </c>
      <c r="BD420" s="196">
        <f t="shared" si="73"/>
        <v>9.5243150880002462E-3</v>
      </c>
      <c r="BE420" s="196">
        <f t="shared" si="74"/>
        <v>1.2923627746074948E-2</v>
      </c>
      <c r="BG420" s="211">
        <v>-99</v>
      </c>
      <c r="BH420" s="211">
        <v>-99</v>
      </c>
      <c r="BI420" s="211">
        <v>-99</v>
      </c>
      <c r="BJ420" s="211">
        <v>-99</v>
      </c>
      <c r="BK420" s="211">
        <v>-99</v>
      </c>
      <c r="BL420" s="211">
        <v>-99</v>
      </c>
      <c r="BM420" s="191">
        <f t="shared" si="75"/>
        <v>-7.2168138136216294E-4</v>
      </c>
      <c r="BN420" s="191">
        <f t="shared" si="62"/>
        <v>4.5050625000002675E-3</v>
      </c>
      <c r="BO420" s="191">
        <f t="shared" si="63"/>
        <v>1.1231360000000024E-2</v>
      </c>
      <c r="BP420" s="191">
        <f t="shared" si="64"/>
        <v>-1.7991900000000616E-3</v>
      </c>
      <c r="BQ420" s="171">
        <f t="shared" si="65"/>
        <v>1.01E-2</v>
      </c>
      <c r="BR420" s="211">
        <v>-99</v>
      </c>
      <c r="BS420" s="171">
        <f t="shared" si="67"/>
        <v>4.5000000000000005E-3</v>
      </c>
      <c r="BT420" s="171">
        <f t="shared" si="68"/>
        <v>1.1200000000000002E-2</v>
      </c>
      <c r="BU420" s="171">
        <f t="shared" si="69"/>
        <v>-1.8E-3</v>
      </c>
    </row>
    <row r="421" spans="1:73" x14ac:dyDescent="0.3">
      <c r="A421" s="209">
        <v>44075</v>
      </c>
      <c r="B421" s="187">
        <v>202009</v>
      </c>
      <c r="C421" s="176">
        <v>0.99</v>
      </c>
      <c r="E421" s="176">
        <v>-0.18</v>
      </c>
      <c r="F421" s="177">
        <v>136.9</v>
      </c>
      <c r="G421" s="224">
        <v>1.0347376201034653E-2</v>
      </c>
      <c r="H421" s="179">
        <v>0.39</v>
      </c>
      <c r="I421" s="179">
        <v>1.1100000000000001</v>
      </c>
      <c r="N421" s="225">
        <v>1.2500000000000001E-2</v>
      </c>
      <c r="O421" s="225">
        <v>0</v>
      </c>
      <c r="P421" s="226"/>
      <c r="Q421" s="225">
        <v>7.4999999999999997E-3</v>
      </c>
      <c r="R421" s="225">
        <v>1.7500000000000002E-2</v>
      </c>
      <c r="S421" s="225">
        <v>5.0000000000000001E-3</v>
      </c>
      <c r="T421" s="225">
        <v>2.5000000000000001E-3</v>
      </c>
      <c r="U421" s="227"/>
      <c r="V421" s="228">
        <v>1.4E-2</v>
      </c>
      <c r="W421" s="228">
        <v>2.4E-2</v>
      </c>
      <c r="X421" s="228">
        <v>8.0000000000000002E-3</v>
      </c>
      <c r="Y421" s="228">
        <v>7.0000000000000001E-3</v>
      </c>
      <c r="Z421" s="228"/>
      <c r="AA421" s="229">
        <v>1.3505062500000269E-2</v>
      </c>
      <c r="AB421" s="229">
        <v>2.3594508749999903E-2</v>
      </c>
      <c r="AC421" s="229">
        <v>8.2783186186378387E-3</v>
      </c>
      <c r="AD421" s="229">
        <v>6.6620556906809899E-3</v>
      </c>
      <c r="AE421" s="229"/>
      <c r="AF421" s="229">
        <v>2.591915240487852E-3</v>
      </c>
      <c r="AG421" s="229">
        <v>8.4101973266993424E-3</v>
      </c>
      <c r="AI421" s="225">
        <v>3.9038024999997756E-3</v>
      </c>
      <c r="AJ421" s="225">
        <v>1.113080249999987E-2</v>
      </c>
      <c r="AK421" s="225">
        <v>-1.7991900000000616E-3</v>
      </c>
      <c r="AM421" s="27" t="s">
        <v>146</v>
      </c>
      <c r="AN421" s="7" t="b">
        <f t="shared" si="57"/>
        <v>1</v>
      </c>
      <c r="AO421" s="7" t="s">
        <v>145</v>
      </c>
      <c r="AP421" s="7">
        <v>2014</v>
      </c>
      <c r="AQ421" s="7">
        <f t="shared" ref="AQ421:AQ426" si="81">YEAR(A421)</f>
        <v>2020</v>
      </c>
      <c r="AS421" s="232">
        <v>0.49099999999999999</v>
      </c>
      <c r="AT421" s="232">
        <v>0.97899999999999998</v>
      </c>
      <c r="AU421" s="232">
        <v>1.1080000000000001</v>
      </c>
      <c r="AV421" s="232">
        <v>1.9850000000000001</v>
      </c>
      <c r="AW421" s="232">
        <v>2.048</v>
      </c>
      <c r="AX421" s="232">
        <v>2.9670000000000001</v>
      </c>
      <c r="AZ421" s="196">
        <f t="shared" si="76"/>
        <v>6.1946645749999529E-3</v>
      </c>
      <c r="BA421" s="196">
        <f t="shared" si="77"/>
        <v>1.5668830574999904E-2</v>
      </c>
      <c r="BB421" s="196">
        <f t="shared" si="78"/>
        <v>1.0134544599999851E-2</v>
      </c>
      <c r="BC421" s="196">
        <f t="shared" si="79"/>
        <v>2.0076116199999827E-2</v>
      </c>
      <c r="BD421" s="196">
        <f t="shared" ref="BD421:BD427" si="82">MIN(1.5%,0.667*AZ421+0.333*BA421)</f>
        <v>9.3495618529999373E-3</v>
      </c>
      <c r="BE421" s="196">
        <f t="shared" ref="BE421:BE427" si="83">MIN(1.5%,0.667*BB421+0.333*BC421)</f>
        <v>1.3445087942799843E-2</v>
      </c>
      <c r="BG421" s="211">
        <v>-99</v>
      </c>
      <c r="BH421" s="211">
        <v>-99</v>
      </c>
      <c r="BI421" s="211">
        <v>-99</v>
      </c>
      <c r="BJ421" s="211">
        <v>-99</v>
      </c>
      <c r="BK421" s="211">
        <v>-99</v>
      </c>
      <c r="BL421" s="211">
        <v>-99</v>
      </c>
      <c r="BM421" s="191">
        <f t="shared" ref="BM421:BM432" si="84">AK421*AI421/AJ421</f>
        <v>-6.3101312057014028E-4</v>
      </c>
      <c r="BN421" s="191">
        <f t="shared" si="62"/>
        <v>3.9038024999997756E-3</v>
      </c>
      <c r="BO421" s="191">
        <f t="shared" si="63"/>
        <v>1.113080249999987E-2</v>
      </c>
      <c r="BP421" s="191">
        <f t="shared" si="64"/>
        <v>-1.7991900000000616E-3</v>
      </c>
      <c r="BQ421" s="171">
        <f t="shared" si="65"/>
        <v>9.8999999999999991E-3</v>
      </c>
      <c r="BR421" s="211">
        <v>-99</v>
      </c>
      <c r="BS421" s="171">
        <f t="shared" si="67"/>
        <v>3.9000000000000003E-3</v>
      </c>
      <c r="BT421" s="171">
        <f t="shared" si="68"/>
        <v>1.11E-2</v>
      </c>
      <c r="BU421" s="171">
        <f t="shared" si="69"/>
        <v>-1.8E-3</v>
      </c>
    </row>
    <row r="422" spans="1:73" x14ac:dyDescent="0.3">
      <c r="A422" s="209">
        <v>44105</v>
      </c>
      <c r="B422" s="187">
        <v>202010</v>
      </c>
      <c r="C422" s="176">
        <v>1.01</v>
      </c>
      <c r="E422" s="176">
        <v>-0.24</v>
      </c>
      <c r="F422" s="177">
        <v>137.5</v>
      </c>
      <c r="G422" s="224">
        <v>9.5940959409595017E-3</v>
      </c>
      <c r="H422" s="179">
        <v>0.41</v>
      </c>
      <c r="I422" s="179">
        <v>1.17</v>
      </c>
      <c r="N422" s="225">
        <v>1.4999999999999999E-2</v>
      </c>
      <c r="O422" s="225">
        <v>0</v>
      </c>
      <c r="P422" s="226"/>
      <c r="Q422" s="225">
        <v>0.01</v>
      </c>
      <c r="R422" s="225">
        <v>0.02</v>
      </c>
      <c r="S422" s="225">
        <v>5.0000000000000001E-3</v>
      </c>
      <c r="T422" s="225">
        <v>2.5000000000000001E-3</v>
      </c>
      <c r="U422" s="227"/>
      <c r="V422" s="228">
        <v>1.3000000000000001E-2</v>
      </c>
      <c r="W422" s="228">
        <v>2.4E-2</v>
      </c>
      <c r="X422" s="228">
        <v>8.0000000000000002E-3</v>
      </c>
      <c r="Y422" s="228">
        <v>7.0000000000000001E-3</v>
      </c>
      <c r="Z422" s="228"/>
      <c r="AA422" s="229">
        <v>1.2903802499999777E-2</v>
      </c>
      <c r="AB422" s="229">
        <v>2.3744302499999918E-2</v>
      </c>
      <c r="AC422" s="229">
        <v>8.3689868794298607E-3</v>
      </c>
      <c r="AD422" s="229">
        <v>6.6167215602849789E-3</v>
      </c>
      <c r="AE422" s="229"/>
      <c r="AF422" s="229">
        <v>2.2485893951397218E-3</v>
      </c>
      <c r="AG422" s="229">
        <v>8.50749871965506E-3</v>
      </c>
      <c r="AI422" s="225">
        <v>4.1042025000002091E-3</v>
      </c>
      <c r="AJ422" s="225">
        <v>1.1734222499999891E-2</v>
      </c>
      <c r="AK422" s="225">
        <v>-2.3985599999999385E-3</v>
      </c>
      <c r="AM422" s="27" t="s">
        <v>146</v>
      </c>
      <c r="AN422" s="7" t="b">
        <f t="shared" si="57"/>
        <v>1</v>
      </c>
      <c r="AO422" s="7" t="s">
        <v>145</v>
      </c>
      <c r="AP422" s="7">
        <v>2014</v>
      </c>
      <c r="AQ422" s="7">
        <f t="shared" si="81"/>
        <v>2020</v>
      </c>
      <c r="AS422" s="232">
        <v>0.502</v>
      </c>
      <c r="AT422" s="232">
        <v>0.998</v>
      </c>
      <c r="AU422" s="232">
        <v>1.1299999999999999</v>
      </c>
      <c r="AV422" s="232">
        <v>2.0249999999999999</v>
      </c>
      <c r="AW422" s="232">
        <v>2.0630000000000002</v>
      </c>
      <c r="AX422" s="232">
        <v>3.028</v>
      </c>
      <c r="AZ422" s="196">
        <f t="shared" si="76"/>
        <v>6.3056223999999883E-3</v>
      </c>
      <c r="BA422" s="196">
        <f t="shared" si="77"/>
        <v>1.5710099125000321E-2</v>
      </c>
      <c r="BB422" s="196">
        <f t="shared" si="78"/>
        <v>1.0347615524999965E-2</v>
      </c>
      <c r="BC422" s="196">
        <f t="shared" si="79"/>
        <v>2.0504319499999868E-2</v>
      </c>
      <c r="BD422" s="196">
        <f t="shared" si="82"/>
        <v>9.4373131494251E-3</v>
      </c>
      <c r="BE422" s="196">
        <f t="shared" si="83"/>
        <v>1.3729797948674932E-2</v>
      </c>
      <c r="BG422" s="211">
        <v>-99</v>
      </c>
      <c r="BH422" s="211">
        <v>-99</v>
      </c>
      <c r="BI422" s="211">
        <v>-99</v>
      </c>
      <c r="BJ422" s="211">
        <v>-99</v>
      </c>
      <c r="BK422" s="211">
        <v>-99</v>
      </c>
      <c r="BL422" s="211">
        <v>-99</v>
      </c>
      <c r="BM422" s="191">
        <f t="shared" si="84"/>
        <v>-8.3892869326453808E-4</v>
      </c>
      <c r="BN422" s="191">
        <f t="shared" si="62"/>
        <v>4.1042025000002091E-3</v>
      </c>
      <c r="BO422" s="191">
        <f t="shared" si="63"/>
        <v>1.1734222499999891E-2</v>
      </c>
      <c r="BP422" s="191">
        <f t="shared" si="64"/>
        <v>-2.3985599999999385E-3</v>
      </c>
      <c r="BQ422" s="171">
        <f t="shared" si="65"/>
        <v>1.01E-2</v>
      </c>
      <c r="BR422" s="211">
        <v>-99</v>
      </c>
      <c r="BS422" s="171">
        <f t="shared" si="67"/>
        <v>4.0999999999999995E-3</v>
      </c>
      <c r="BT422" s="171">
        <f t="shared" si="68"/>
        <v>1.1699999999999999E-2</v>
      </c>
      <c r="BU422" s="171">
        <f t="shared" si="69"/>
        <v>-2.3999999999999998E-3</v>
      </c>
    </row>
    <row r="423" spans="1:73" x14ac:dyDescent="0.3">
      <c r="A423" s="209">
        <v>44136</v>
      </c>
      <c r="B423" s="187">
        <v>202011</v>
      </c>
      <c r="C423" s="176">
        <v>1.06</v>
      </c>
      <c r="E423" s="176">
        <v>-0.26</v>
      </c>
      <c r="F423" s="177">
        <v>137.69999999999999</v>
      </c>
      <c r="G423" s="224">
        <v>8.8430361090643395E-3</v>
      </c>
      <c r="H423" s="179">
        <v>0.51</v>
      </c>
      <c r="I423" s="179">
        <v>1.22</v>
      </c>
      <c r="N423" s="225">
        <v>1.4999999999999999E-2</v>
      </c>
      <c r="O423" s="225">
        <v>0</v>
      </c>
      <c r="P423" s="226"/>
      <c r="Q423" s="225">
        <v>0.01</v>
      </c>
      <c r="R423" s="225">
        <v>0.02</v>
      </c>
      <c r="S423" s="225">
        <v>5.0000000000000001E-3</v>
      </c>
      <c r="T423" s="225">
        <v>2.5000000000000001E-3</v>
      </c>
      <c r="U423" s="227"/>
      <c r="V423" s="228">
        <v>1.3000000000000001E-2</v>
      </c>
      <c r="W423" s="228">
        <v>2.5000000000000001E-2</v>
      </c>
      <c r="X423" s="228">
        <v>8.0000000000000002E-3</v>
      </c>
      <c r="Y423" s="228">
        <v>6.0000000000000001E-3</v>
      </c>
      <c r="Z423" s="228"/>
      <c r="AA423" s="229">
        <v>1.310420250000021E-2</v>
      </c>
      <c r="AB423" s="229">
        <v>2.4549232499999733E-2</v>
      </c>
      <c r="AC423" s="229">
        <v>8.1610713067354623E-3</v>
      </c>
      <c r="AD423" s="229">
        <v>5.8216243466323626E-3</v>
      </c>
      <c r="AE423" s="229"/>
      <c r="AF423" s="229">
        <v>2.4515582549013981E-3</v>
      </c>
      <c r="AG423" s="229">
        <v>9.3096070416721632E-3</v>
      </c>
      <c r="AI423" s="225">
        <v>5.1065025000001096E-3</v>
      </c>
      <c r="AJ423" s="225">
        <v>1.2237209999999887E-2</v>
      </c>
      <c r="AK423" s="225">
        <v>-2.5983099999998815E-3</v>
      </c>
      <c r="AM423" s="27" t="s">
        <v>146</v>
      </c>
      <c r="AN423" s="7" t="b">
        <f t="shared" si="57"/>
        <v>1</v>
      </c>
      <c r="AO423" s="7" t="s">
        <v>145</v>
      </c>
      <c r="AP423" s="7">
        <v>2014</v>
      </c>
      <c r="AQ423" s="7">
        <f t="shared" si="81"/>
        <v>2020</v>
      </c>
      <c r="AS423" s="232">
        <v>0.60799999999999998</v>
      </c>
      <c r="AT423" s="232">
        <v>1.06</v>
      </c>
      <c r="AU423" s="232">
        <v>1.1910000000000001</v>
      </c>
      <c r="AV423" s="232">
        <v>2.0510000000000002</v>
      </c>
      <c r="AW423" s="232">
        <v>1.996</v>
      </c>
      <c r="AX423" s="232">
        <v>2.9569999999999999</v>
      </c>
      <c r="AZ423" s="196">
        <f t="shared" si="76"/>
        <v>5.8562204250001137E-3</v>
      </c>
      <c r="BA423" s="196">
        <f t="shared" si="77"/>
        <v>1.3970358800000415E-2</v>
      </c>
      <c r="BB423" s="196">
        <f t="shared" si="78"/>
        <v>9.9870750249995144E-3</v>
      </c>
      <c r="BC423" s="196">
        <f t="shared" si="79"/>
        <v>1.9160506224999985E-2</v>
      </c>
      <c r="BD423" s="196">
        <f t="shared" si="82"/>
        <v>8.5582285038752152E-3</v>
      </c>
      <c r="BE423" s="196">
        <f t="shared" si="83"/>
        <v>1.3041827614599672E-2</v>
      </c>
      <c r="BG423" s="211">
        <v>-99</v>
      </c>
      <c r="BH423" s="211">
        <v>-99</v>
      </c>
      <c r="BI423" s="211">
        <v>-99</v>
      </c>
      <c r="BJ423" s="211">
        <v>-99</v>
      </c>
      <c r="BK423" s="211">
        <v>-99</v>
      </c>
      <c r="BL423" s="211">
        <v>-99</v>
      </c>
      <c r="BM423" s="191">
        <f t="shared" si="84"/>
        <v>-1.084256665594102E-3</v>
      </c>
      <c r="BN423" s="191">
        <f t="shared" si="62"/>
        <v>5.1065025000001096E-3</v>
      </c>
      <c r="BO423" s="191">
        <f t="shared" si="63"/>
        <v>1.2237209999999887E-2</v>
      </c>
      <c r="BP423" s="191">
        <f t="shared" si="64"/>
        <v>-2.5983099999998815E-3</v>
      </c>
      <c r="BQ423" s="171">
        <f t="shared" si="65"/>
        <v>1.06E-2</v>
      </c>
      <c r="BR423" s="211">
        <v>-99</v>
      </c>
      <c r="BS423" s="171">
        <f t="shared" si="67"/>
        <v>5.1000000000000004E-3</v>
      </c>
      <c r="BT423" s="171">
        <f t="shared" si="68"/>
        <v>1.2199999999999999E-2</v>
      </c>
      <c r="BU423" s="171">
        <f t="shared" si="69"/>
        <v>-2.5999999999999999E-3</v>
      </c>
    </row>
    <row r="424" spans="1:73" x14ac:dyDescent="0.3">
      <c r="A424" s="209">
        <v>44166</v>
      </c>
      <c r="B424" s="187">
        <v>202012</v>
      </c>
      <c r="C424" s="176">
        <v>1.1299999999999999</v>
      </c>
      <c r="E424" s="176">
        <v>-0.24</v>
      </c>
      <c r="F424" s="177">
        <v>137.4</v>
      </c>
      <c r="G424" s="224">
        <v>7.3529411764705621E-3</v>
      </c>
      <c r="H424" s="179">
        <v>0.48</v>
      </c>
      <c r="I424" s="179">
        <v>1.24</v>
      </c>
      <c r="N424" s="225">
        <v>1.4999999999999999E-2</v>
      </c>
      <c r="O424" s="225">
        <v>0</v>
      </c>
      <c r="P424" s="226"/>
      <c r="Q424" s="225">
        <v>0.01</v>
      </c>
      <c r="R424" s="225">
        <v>0.02</v>
      </c>
      <c r="S424" s="225">
        <v>5.0000000000000001E-3</v>
      </c>
      <c r="T424" s="225">
        <v>2.5000000000000001E-3</v>
      </c>
      <c r="U424" s="227"/>
      <c r="V424" s="233">
        <v>1.4E-2</v>
      </c>
      <c r="W424" s="233">
        <v>2.9000000000000001E-2</v>
      </c>
      <c r="X424" s="234">
        <v>-99</v>
      </c>
      <c r="Y424" s="234">
        <v>-99</v>
      </c>
      <c r="Z424" s="228"/>
      <c r="AA424" s="235">
        <v>1.3664731003875325E-2</v>
      </c>
      <c r="AB424" s="235">
        <v>2.8844391364599448E-2</v>
      </c>
      <c r="AC424" s="229">
        <v>7.4212590845381676E-3</v>
      </c>
      <c r="AD424" s="229">
        <v>9.4405238238484124E-3</v>
      </c>
      <c r="AE424" s="229"/>
      <c r="AF424" s="235">
        <v>3.0987394116591682E-3</v>
      </c>
      <c r="AG424" s="235">
        <v>9.6111990170790751E-3</v>
      </c>
      <c r="AI424" s="225">
        <v>4.8057599999999923E-3</v>
      </c>
      <c r="AJ424" s="225">
        <v>1.243843999999994E-2</v>
      </c>
      <c r="AK424" s="225">
        <v>-2.3985599999999385E-3</v>
      </c>
      <c r="AM424" s="27" t="s">
        <v>146</v>
      </c>
      <c r="AN424" s="7" t="b">
        <f t="shared" si="57"/>
        <v>1</v>
      </c>
      <c r="AO424" s="7" t="s">
        <v>145</v>
      </c>
      <c r="AP424" s="7">
        <v>2014</v>
      </c>
      <c r="AQ424" s="7">
        <f t="shared" si="81"/>
        <v>2020</v>
      </c>
      <c r="AS424" s="232">
        <v>0.61399999999999999</v>
      </c>
      <c r="AT424" s="232">
        <v>1.1240000000000001</v>
      </c>
      <c r="AU424" s="232">
        <v>1.1040000000000001</v>
      </c>
      <c r="AV424" s="232">
        <v>2.0099999999999998</v>
      </c>
      <c r="AW424" s="232">
        <v>1.843</v>
      </c>
      <c r="AX424" s="232">
        <v>2.8780000000000001</v>
      </c>
      <c r="AZ424" s="196">
        <f t="shared" si="76"/>
        <v>4.9210455000001652E-3</v>
      </c>
      <c r="BA424" s="196">
        <f t="shared" si="77"/>
        <v>1.23654913250002E-2</v>
      </c>
      <c r="BB424" s="196">
        <f t="shared" si="78"/>
        <v>8.9294180999996975E-3</v>
      </c>
      <c r="BC424" s="196">
        <f t="shared" si="79"/>
        <v>1.7715487699999866E-2</v>
      </c>
      <c r="BD424" s="196">
        <f t="shared" si="82"/>
        <v>7.400045959725177E-3</v>
      </c>
      <c r="BE424" s="196">
        <f t="shared" si="83"/>
        <v>1.1855179276799754E-2</v>
      </c>
      <c r="BG424" s="236">
        <f t="shared" ref="BG424:BG427" si="85">AI423+BD423</f>
        <v>1.3664731003875325E-2</v>
      </c>
      <c r="BH424" s="236">
        <f t="shared" ref="BH424:BH427" si="86">AJ423+0.5*(AJ423-AI423)+BE423</f>
        <v>2.8844391364599448E-2</v>
      </c>
      <c r="BI424" s="237">
        <f t="shared" ref="BI424:BJ424" si="87">ROUND(BG424/0.1%,0)*0.1%</f>
        <v>1.4E-2</v>
      </c>
      <c r="BJ424" s="237">
        <f t="shared" si="87"/>
        <v>2.9000000000000001E-2</v>
      </c>
      <c r="BK424" s="236">
        <f t="shared" ref="BK424:BK427" si="88">(1+AI423)/(1+BM423)-1</f>
        <v>6.1974788233183364E-3</v>
      </c>
      <c r="BL424" s="236">
        <f t="shared" ref="BL424:BL431" si="89">(1+AJ423+0.5*(AJ423-AI423))/(1+AK423+0.5*(AK423-BM423))-1</f>
        <v>1.922239803415815E-2</v>
      </c>
      <c r="BM424" s="191">
        <f t="shared" si="84"/>
        <v>-9.2671618833227822E-4</v>
      </c>
      <c r="BN424" s="191">
        <f t="shared" si="62"/>
        <v>4.8057599999999923E-3</v>
      </c>
      <c r="BO424" s="191">
        <f t="shared" si="63"/>
        <v>1.243843999999994E-2</v>
      </c>
      <c r="BP424" s="191">
        <f t="shared" si="64"/>
        <v>-2.3985599999999385E-3</v>
      </c>
      <c r="BQ424" s="171">
        <f t="shared" si="65"/>
        <v>1.1299999999999999E-2</v>
      </c>
      <c r="BR424" s="211">
        <v>-99</v>
      </c>
      <c r="BS424" s="171">
        <f t="shared" si="67"/>
        <v>4.7999999999999996E-3</v>
      </c>
      <c r="BT424" s="171">
        <f t="shared" si="68"/>
        <v>1.24E-2</v>
      </c>
      <c r="BU424" s="171">
        <f t="shared" si="69"/>
        <v>-2.3999999999999998E-3</v>
      </c>
    </row>
    <row r="425" spans="1:73" x14ac:dyDescent="0.3">
      <c r="A425" s="209">
        <v>44197</v>
      </c>
      <c r="B425" s="187">
        <v>202101</v>
      </c>
      <c r="C425" s="176">
        <v>1.32</v>
      </c>
      <c r="E425" s="176">
        <v>-0.08</v>
      </c>
      <c r="F425" s="177">
        <v>138.19999999999999</v>
      </c>
      <c r="G425" s="224">
        <v>5.8694057226704732E-3</v>
      </c>
      <c r="H425" s="179">
        <v>0.52</v>
      </c>
      <c r="I425" s="179">
        <v>1.45</v>
      </c>
      <c r="N425" s="225">
        <v>1.4999999999999999E-2</v>
      </c>
      <c r="O425" s="225">
        <v>0</v>
      </c>
      <c r="P425" s="226"/>
      <c r="Q425" s="225">
        <v>0.01</v>
      </c>
      <c r="R425" s="225">
        <v>0.02</v>
      </c>
      <c r="S425" s="225">
        <v>5.0000000000000001E-3</v>
      </c>
      <c r="T425" s="225">
        <v>2.5000000000000001E-3</v>
      </c>
      <c r="U425" s="227"/>
      <c r="V425" s="233">
        <v>1.2E-2</v>
      </c>
      <c r="W425" s="233">
        <v>2.8000000000000001E-2</v>
      </c>
      <c r="X425" s="234">
        <v>-99</v>
      </c>
      <c r="Y425" s="234">
        <v>-99</v>
      </c>
      <c r="Z425" s="228"/>
      <c r="AA425" s="235">
        <v>1.2205805959725169E-2</v>
      </c>
      <c r="AB425" s="235">
        <v>2.8109959276799667E-2</v>
      </c>
      <c r="AC425" s="229">
        <v>6.4311120722659876E-3</v>
      </c>
      <c r="AD425" s="229">
        <v>8.4945108078500198E-3</v>
      </c>
      <c r="AE425" s="229"/>
      <c r="AF425" s="235">
        <v>2.8688967472244586E-3</v>
      </c>
      <c r="AG425" s="235">
        <v>9.7251141472435298E-3</v>
      </c>
      <c r="AI425" s="225">
        <v>5.2067599999998659E-3</v>
      </c>
      <c r="AJ425" s="225">
        <v>1.4552562500000032E-2</v>
      </c>
      <c r="AK425" s="225">
        <v>-7.9983999999988509E-4</v>
      </c>
      <c r="AM425" s="27" t="s">
        <v>146</v>
      </c>
      <c r="AN425" s="7" t="b">
        <f t="shared" si="57"/>
        <v>1</v>
      </c>
      <c r="AO425" s="7" t="s">
        <v>145</v>
      </c>
      <c r="AP425" s="7">
        <v>2014</v>
      </c>
      <c r="AQ425" s="7">
        <f t="shared" si="81"/>
        <v>2021</v>
      </c>
      <c r="AS425" s="232">
        <v>0.68300000000000005</v>
      </c>
      <c r="AT425" s="232">
        <v>1.3160000000000001</v>
      </c>
      <c r="AU425" s="232">
        <v>1.149</v>
      </c>
      <c r="AV425" s="232">
        <v>2.165</v>
      </c>
      <c r="AW425" s="232">
        <v>1.802</v>
      </c>
      <c r="AX425" s="232">
        <v>2.9940000000000002</v>
      </c>
      <c r="AZ425" s="196">
        <f t="shared" si="76"/>
        <v>4.681342800000321E-3</v>
      </c>
      <c r="BA425" s="196">
        <f t="shared" si="77"/>
        <v>1.1259517875000125E-2</v>
      </c>
      <c r="BB425" s="196">
        <f t="shared" si="78"/>
        <v>8.5638842250002067E-3</v>
      </c>
      <c r="BC425" s="196">
        <f t="shared" si="79"/>
        <v>1.6960804499999815E-2</v>
      </c>
      <c r="BD425" s="196">
        <f t="shared" si="82"/>
        <v>6.8718750999752568E-3</v>
      </c>
      <c r="BE425" s="196">
        <f t="shared" si="83"/>
        <v>1.1360058676575076E-2</v>
      </c>
      <c r="BG425" s="236">
        <f t="shared" si="85"/>
        <v>1.2205805959725169E-2</v>
      </c>
      <c r="BH425" s="236">
        <f t="shared" si="86"/>
        <v>2.8109959276799667E-2</v>
      </c>
      <c r="BI425" s="237">
        <f t="shared" ref="BI425:BJ427" si="90">ROUND(BG425/0.1%,0)*0.1%</f>
        <v>1.2E-2</v>
      </c>
      <c r="BJ425" s="237">
        <f t="shared" si="90"/>
        <v>2.8000000000000001E-2</v>
      </c>
      <c r="BK425" s="236">
        <f t="shared" si="88"/>
        <v>5.7377934944489173E-3</v>
      </c>
      <c r="BL425" s="236">
        <f t="shared" si="89"/>
        <v>1.945022829448706E-2</v>
      </c>
      <c r="BM425" s="191">
        <f t="shared" si="84"/>
        <v>-2.861746801224379E-4</v>
      </c>
      <c r="BN425" s="191">
        <f t="shared" si="62"/>
        <v>5.2067599999998659E-3</v>
      </c>
      <c r="BO425" s="191">
        <f t="shared" si="63"/>
        <v>1.4552562500000032E-2</v>
      </c>
      <c r="BP425" s="191">
        <f t="shared" si="64"/>
        <v>-7.9983999999988509E-4</v>
      </c>
      <c r="BQ425" s="171">
        <f t="shared" si="65"/>
        <v>1.32E-2</v>
      </c>
      <c r="BR425" s="211">
        <v>-99</v>
      </c>
      <c r="BS425" s="171">
        <f t="shared" si="67"/>
        <v>5.1999999999999998E-3</v>
      </c>
      <c r="BT425" s="171">
        <f t="shared" si="68"/>
        <v>1.4499999999999999E-2</v>
      </c>
      <c r="BU425" s="171">
        <f t="shared" si="69"/>
        <v>-8.0000000000000004E-4</v>
      </c>
    </row>
    <row r="426" spans="1:73" x14ac:dyDescent="0.3">
      <c r="A426" s="209">
        <v>44228</v>
      </c>
      <c r="B426" s="187">
        <v>202102</v>
      </c>
      <c r="C426" s="176">
        <v>1.77</v>
      </c>
      <c r="E426" s="176">
        <v>0.24</v>
      </c>
      <c r="F426" s="177">
        <v>138.9</v>
      </c>
      <c r="G426" s="224">
        <v>5.12820512820511E-3</v>
      </c>
      <c r="H426" s="179">
        <v>0.91</v>
      </c>
      <c r="I426" s="179">
        <v>1.88</v>
      </c>
      <c r="N426" s="225">
        <v>1.7500000000000002E-2</v>
      </c>
      <c r="O426" s="225">
        <v>0</v>
      </c>
      <c r="P426" s="226"/>
      <c r="Q426" s="225">
        <v>0.01</v>
      </c>
      <c r="R426" s="225">
        <v>2.2499999999999999E-2</v>
      </c>
      <c r="S426" s="225">
        <v>5.0000000000000001E-3</v>
      </c>
      <c r="T426" s="225">
        <v>2.5000000000000001E-3</v>
      </c>
      <c r="U426" s="227"/>
      <c r="V426" s="233">
        <v>1.2E-2</v>
      </c>
      <c r="W426" s="233">
        <v>3.1E-2</v>
      </c>
      <c r="X426" s="234">
        <v>-99</v>
      </c>
      <c r="Y426" s="234">
        <v>-99</v>
      </c>
      <c r="Z426" s="228"/>
      <c r="AA426" s="235">
        <v>1.2078635099975123E-2</v>
      </c>
      <c r="AB426" s="235">
        <v>3.0585522426575192E-2</v>
      </c>
      <c r="AC426" s="229">
        <v>6.5481491790970736E-3</v>
      </c>
      <c r="AD426" s="229">
        <v>1.007732586812371E-2</v>
      </c>
      <c r="AE426" s="229"/>
      <c r="AF426" s="235">
        <v>2.7472535344625904E-3</v>
      </c>
      <c r="AG426" s="235">
        <v>1.0151795329543467E-2</v>
      </c>
      <c r="AI426" s="225">
        <v>9.1207025000001885E-3</v>
      </c>
      <c r="AJ426" s="225">
        <v>1.8888360000000048E-2</v>
      </c>
      <c r="AK426" s="225">
        <v>2.4014400000000879E-3</v>
      </c>
      <c r="AM426" s="27" t="s">
        <v>146</v>
      </c>
      <c r="AN426" s="7" t="b">
        <f t="shared" si="57"/>
        <v>1</v>
      </c>
      <c r="AO426" s="7" t="s">
        <v>145</v>
      </c>
      <c r="AP426" s="7">
        <v>2014</v>
      </c>
      <c r="AQ426" s="7">
        <f t="shared" si="81"/>
        <v>2021</v>
      </c>
      <c r="AS426" s="232">
        <v>1.103</v>
      </c>
      <c r="AT426" s="232">
        <v>1.7669999999999999</v>
      </c>
      <c r="AU426" s="232">
        <v>1.579</v>
      </c>
      <c r="AV426" s="232">
        <v>2.581</v>
      </c>
      <c r="AW426" s="232">
        <v>2.157</v>
      </c>
      <c r="AX426" s="232">
        <v>3.3639999999999999</v>
      </c>
      <c r="AZ426" s="238">
        <f t="shared" si="76"/>
        <v>4.7919158000002682E-3</v>
      </c>
      <c r="BA426" s="238">
        <f t="shared" si="77"/>
        <v>1.0625901000000271E-2</v>
      </c>
      <c r="BB426" s="238">
        <f t="shared" si="78"/>
        <v>8.2284818000000204E-3</v>
      </c>
      <c r="BC426" s="238">
        <f t="shared" si="79"/>
        <v>1.617485517500028E-2</v>
      </c>
      <c r="BD426" s="238">
        <f t="shared" si="82"/>
        <v>6.7346328716002702E-3</v>
      </c>
      <c r="BE426" s="238">
        <f t="shared" si="83"/>
        <v>1.0874624133875108E-2</v>
      </c>
      <c r="BG426" s="236">
        <f t="shared" si="85"/>
        <v>1.2078635099975123E-2</v>
      </c>
      <c r="BH426" s="236">
        <f t="shared" si="86"/>
        <v>3.0585522426575192E-2</v>
      </c>
      <c r="BI426" s="237">
        <f t="shared" si="90"/>
        <v>1.2E-2</v>
      </c>
      <c r="BJ426" s="237">
        <f t="shared" si="90"/>
        <v>3.1E-2</v>
      </c>
      <c r="BK426" s="236">
        <f t="shared" si="88"/>
        <v>5.4945070689251807E-3</v>
      </c>
      <c r="BL426" s="236">
        <f t="shared" si="89"/>
        <v>2.0303590659086934E-2</v>
      </c>
      <c r="BM426" s="239">
        <f t="shared" si="84"/>
        <v>1.1595935174679643E-3</v>
      </c>
      <c r="BN426" s="191">
        <f t="shared" si="62"/>
        <v>9.1207025000001885E-3</v>
      </c>
      <c r="BO426" s="191">
        <f t="shared" si="63"/>
        <v>1.8888360000000048E-2</v>
      </c>
      <c r="BP426" s="191">
        <f t="shared" si="64"/>
        <v>2.4014400000000879E-3</v>
      </c>
      <c r="BQ426" s="171">
        <f t="shared" si="65"/>
        <v>1.77E-2</v>
      </c>
      <c r="BR426" s="211">
        <v>-99</v>
      </c>
      <c r="BS426" s="171">
        <f t="shared" si="67"/>
        <v>9.1000000000000004E-3</v>
      </c>
      <c r="BT426" s="171">
        <f t="shared" si="68"/>
        <v>1.8799999999999997E-2</v>
      </c>
      <c r="BU426" s="171">
        <f t="shared" si="69"/>
        <v>2.3999999999999998E-3</v>
      </c>
    </row>
    <row r="427" spans="1:73" x14ac:dyDescent="0.3">
      <c r="A427" s="209">
        <v>44256</v>
      </c>
      <c r="B427" s="187">
        <v>202103</v>
      </c>
      <c r="C427" s="176">
        <v>1.9</v>
      </c>
      <c r="E427" s="176">
        <v>0.28000000000000003</v>
      </c>
      <c r="F427" s="177">
        <v>139.6</v>
      </c>
      <c r="G427" s="224">
        <v>6.5885797950220315E-3</v>
      </c>
      <c r="H427" s="179">
        <v>1.26</v>
      </c>
      <c r="I427" s="179">
        <v>1.97</v>
      </c>
      <c r="N427" s="225">
        <v>1.7500000000000002E-2</v>
      </c>
      <c r="O427" s="225">
        <v>2.5000000000000001E-3</v>
      </c>
      <c r="P427" s="226"/>
      <c r="Q427" s="225">
        <v>0.01</v>
      </c>
      <c r="R427" s="225">
        <v>2.5000000000000001E-2</v>
      </c>
      <c r="S427" s="225">
        <v>5.0000000000000001E-3</v>
      </c>
      <c r="T427" s="225">
        <v>5.0000000000000001E-3</v>
      </c>
      <c r="U427" s="227"/>
      <c r="V427" s="233">
        <v>1.6E-2</v>
      </c>
      <c r="W427" s="233">
        <v>3.5000000000000003E-2</v>
      </c>
      <c r="X427" s="234">
        <v>-99</v>
      </c>
      <c r="Y427" s="234">
        <v>-99</v>
      </c>
      <c r="Z427" s="228"/>
      <c r="AA427" s="235">
        <v>1.5855335371600499E-2</v>
      </c>
      <c r="AB427" s="235">
        <v>3.4646812883875083E-2</v>
      </c>
      <c r="AC427" s="229">
        <v>7.8410958308352541E-3</v>
      </c>
      <c r="AD427" s="229">
        <v>1.3676580378613634E-2</v>
      </c>
      <c r="AE427" s="229"/>
      <c r="AF427" s="235">
        <v>3.9759440123635637E-3</v>
      </c>
      <c r="AG427" s="235">
        <v>1.0343650485359457E-2</v>
      </c>
      <c r="AI427" s="225">
        <v>1.263968999999987E-2</v>
      </c>
      <c r="AJ427" s="225">
        <v>1.9797022499999928E-2</v>
      </c>
      <c r="AK427" s="225">
        <v>2.8019600000002143E-3</v>
      </c>
      <c r="AL427" s="226"/>
      <c r="AM427" s="240" t="s">
        <v>146</v>
      </c>
      <c r="AN427" s="226" t="b">
        <v>1</v>
      </c>
      <c r="AO427" s="226" t="s">
        <v>145</v>
      </c>
      <c r="AP427" s="226">
        <v>2014</v>
      </c>
      <c r="AQ427" s="226">
        <v>2021</v>
      </c>
      <c r="AS427" s="232">
        <v>1.403</v>
      </c>
      <c r="AT427" s="232">
        <v>1.901</v>
      </c>
      <c r="AU427" s="232">
        <v>1.8240000000000001</v>
      </c>
      <c r="AV427" s="232">
        <v>2.7389999999999999</v>
      </c>
      <c r="AW427" s="232">
        <v>2.4820000000000002</v>
      </c>
      <c r="AX427" s="232">
        <v>3.5409999999999999</v>
      </c>
      <c r="AZ427" s="238">
        <f t="shared" si="76"/>
        <v>4.243964175000059E-3</v>
      </c>
      <c r="BA427" s="238">
        <f t="shared" si="77"/>
        <v>1.0894797875000028E-2</v>
      </c>
      <c r="BB427" s="238">
        <f t="shared" si="78"/>
        <v>8.4772079999997363E-3</v>
      </c>
      <c r="BC427" s="238">
        <f t="shared" si="79"/>
        <v>1.6623121999999935E-2</v>
      </c>
      <c r="BD427" s="238">
        <f t="shared" si="82"/>
        <v>6.4586917971000491E-3</v>
      </c>
      <c r="BE427" s="238">
        <f t="shared" si="83"/>
        <v>1.1189797361999803E-2</v>
      </c>
      <c r="BG427" s="241">
        <f t="shared" si="85"/>
        <v>1.5855335371600457E-2</v>
      </c>
      <c r="BH427" s="241">
        <f t="shared" si="86"/>
        <v>3.4646812883875083E-2</v>
      </c>
      <c r="BI427" s="242">
        <f t="shared" si="90"/>
        <v>1.6E-2</v>
      </c>
      <c r="BJ427" s="242">
        <f t="shared" si="90"/>
        <v>3.5000000000000003E-2</v>
      </c>
      <c r="BK427" s="241">
        <f t="shared" si="88"/>
        <v>7.9518880247271273E-3</v>
      </c>
      <c r="BL427" s="241">
        <f t="shared" si="89"/>
        <v>2.0687300970718914E-2</v>
      </c>
      <c r="BM427" s="239">
        <f t="shared" si="84"/>
        <v>1.7889511310300564E-3</v>
      </c>
      <c r="BN427" s="191">
        <f t="shared" si="62"/>
        <v>1.263968999999987E-2</v>
      </c>
      <c r="BO427" s="191">
        <f t="shared" si="63"/>
        <v>1.9797022499999928E-2</v>
      </c>
      <c r="BP427" s="191">
        <f t="shared" si="64"/>
        <v>2.8019600000002143E-3</v>
      </c>
      <c r="BQ427" s="171">
        <f t="shared" si="65"/>
        <v>1.9E-2</v>
      </c>
      <c r="BR427" s="211">
        <v>-99</v>
      </c>
      <c r="BS427" s="171">
        <f t="shared" si="67"/>
        <v>1.26E-2</v>
      </c>
      <c r="BT427" s="171">
        <f t="shared" si="68"/>
        <v>1.9699999999999999E-2</v>
      </c>
      <c r="BU427" s="171">
        <f t="shared" si="69"/>
        <v>2.8000000000000004E-3</v>
      </c>
    </row>
    <row r="428" spans="1:73" x14ac:dyDescent="0.3">
      <c r="A428" s="209">
        <v>44287</v>
      </c>
      <c r="B428" s="187">
        <v>202104</v>
      </c>
      <c r="C428" s="176">
        <v>1.96</v>
      </c>
      <c r="E428" s="176">
        <v>0.38</v>
      </c>
      <c r="F428" s="177">
        <v>140.30000000000001</v>
      </c>
      <c r="G428" s="224">
        <v>8.7847730600294494E-3</v>
      </c>
      <c r="H428" s="179">
        <v>1.22</v>
      </c>
      <c r="I428" s="179">
        <v>2.0699999999999998</v>
      </c>
      <c r="N428" s="225">
        <f>ROUND(((1+(C426/100+0.005)/2)^2-1)*400,0)/400</f>
        <v>2.2499999999999999E-2</v>
      </c>
      <c r="O428" s="225">
        <f>ROUND(((1+(E426/100+0.0025)/2)^2-1)*400,0)/400</f>
        <v>5.0000000000000001E-3</v>
      </c>
      <c r="P428" s="226"/>
      <c r="Q428" s="225">
        <f>ROUND((AI426+0.5%)/0.25%,0)*0.25%</f>
        <v>1.4999999999999999E-2</v>
      </c>
      <c r="R428" s="225">
        <f>ROUND(40000*(AJ426+0.5*(AJ426-AI426)+0.005),-2)/40000</f>
        <v>0.03</v>
      </c>
      <c r="S428" s="225">
        <f>ROUND(40000*(AK426*(AI426/AJ426)+0.005),-2)/40000</f>
        <v>5.0000000000000001E-3</v>
      </c>
      <c r="T428" s="225">
        <f>ROUND(40000*(AK426+0.5*(AK426-AK426*(AI426/AJ426))+0.005),-2)/40000</f>
        <v>7.4999999999999997E-3</v>
      </c>
      <c r="U428" s="227"/>
      <c r="V428" s="233">
        <f>BI428</f>
        <v>1.9E-2</v>
      </c>
      <c r="W428" s="233">
        <f>BJ428</f>
        <v>3.5000000000000003E-2</v>
      </c>
      <c r="X428" s="234">
        <v>-99</v>
      </c>
      <c r="Y428" s="234">
        <v>-99</v>
      </c>
      <c r="Z428" s="228"/>
      <c r="AA428" s="235">
        <v>1.9098381797099918E-2</v>
      </c>
      <c r="AB428" s="235">
        <v>3.4565486111999763E-2</v>
      </c>
      <c r="AC428" s="229">
        <v>8.1784361028223174E-3</v>
      </c>
      <c r="AD428" s="229">
        <v>1.4278842695389926E-2</v>
      </c>
      <c r="AE428" s="229"/>
      <c r="AF428" s="235">
        <v>5.4156810457528515E-3</v>
      </c>
      <c r="AG428" s="235">
        <v>1.0000525773908087E-2</v>
      </c>
      <c r="AH428" s="226"/>
      <c r="AI428" s="225">
        <f>(1+H428/200)^2-1</f>
        <v>1.2237209999999887E-2</v>
      </c>
      <c r="AJ428" s="225">
        <f>(1+I428/200)^2-1</f>
        <v>2.0807122500000164E-2</v>
      </c>
      <c r="AK428" s="225">
        <f>(1+E428/200)^2-1</f>
        <v>3.8036100000000683E-3</v>
      </c>
      <c r="AM428" s="240" t="s">
        <v>146</v>
      </c>
      <c r="AN428" s="226" t="b">
        <f t="shared" si="57"/>
        <v>1</v>
      </c>
      <c r="AO428" s="226" t="s">
        <v>145</v>
      </c>
      <c r="AP428" s="226">
        <v>2014</v>
      </c>
      <c r="AQ428" s="226">
        <f t="shared" ref="AQ428" si="91">YEAR(A428)</f>
        <v>2021</v>
      </c>
      <c r="AS428" s="232">
        <v>1.357</v>
      </c>
      <c r="AT428" s="232">
        <v>1.9530000000000001</v>
      </c>
      <c r="AU428" s="232">
        <v>1.7490000000000001</v>
      </c>
      <c r="AV428" s="232">
        <v>2.7480000000000002</v>
      </c>
      <c r="AW428" s="232">
        <v>2.4279999999999999</v>
      </c>
      <c r="AX428" s="232">
        <v>3.6150000000000002</v>
      </c>
      <c r="AZ428" s="238">
        <f t="shared" ref="AZ428:AZ433" si="92">(1+AU428/200)^2-(1+$AS428/200)^2</f>
        <v>3.9504387999997892E-3</v>
      </c>
      <c r="BA428" s="238">
        <f t="shared" ref="BA428:BA433" si="93">(1+AW428/200)^2-(1+$AS428/200)^2</f>
        <v>1.0811343374999893E-2</v>
      </c>
      <c r="BB428" s="238">
        <f t="shared" ref="BB428:BB433" si="94">(1+AV428/200)^2-(1+$AT428/200)^2</f>
        <v>8.043432375000048E-3</v>
      </c>
      <c r="BC428" s="238">
        <f t="shared" ref="BC428:BC433" si="95">(1+AX428/200)^2-(1+$AT428/200)^2</f>
        <v>1.6851350400000076E-2</v>
      </c>
      <c r="BD428" s="238">
        <f t="shared" ref="BD428:BD433" si="96">MIN(1.5%,0.667*AZ428+0.333*BA428)</f>
        <v>6.2351200234748239E-3</v>
      </c>
      <c r="BE428" s="238">
        <f t="shared" ref="BE428:BE433" si="97">MIN(1.5%,0.667*BB428+0.333*BC428)</f>
        <v>1.0976469077325059E-2</v>
      </c>
      <c r="BG428" s="241">
        <f t="shared" ref="BG428" si="98">AI427+BD427</f>
        <v>1.9098381797099918E-2</v>
      </c>
      <c r="BH428" s="241">
        <f t="shared" ref="BH428" si="99">AJ427+0.5*(AJ427-AI427)+BE427</f>
        <v>3.4565486111999763E-2</v>
      </c>
      <c r="BI428" s="242">
        <f t="shared" ref="BI428" si="100">ROUND(BG428/0.1%,0)*0.1%</f>
        <v>1.9E-2</v>
      </c>
      <c r="BJ428" s="242">
        <f t="shared" ref="BJ428" si="101">ROUND(BH428/0.1%,0)*0.1%</f>
        <v>3.5000000000000003E-2</v>
      </c>
      <c r="BK428" s="241">
        <f t="shared" ref="BK428" si="102">(1+AI427)/(1+BM427)-1</f>
        <v>1.0831362091505703E-2</v>
      </c>
      <c r="BL428" s="241">
        <f t="shared" si="89"/>
        <v>2.0001051547816173E-2</v>
      </c>
      <c r="BM428" s="239">
        <f t="shared" si="84"/>
        <v>2.2370019846857749E-3</v>
      </c>
      <c r="BN428" s="191">
        <f t="shared" si="62"/>
        <v>1.2237209999999887E-2</v>
      </c>
      <c r="BO428" s="191">
        <f t="shared" si="63"/>
        <v>2.0807122500000164E-2</v>
      </c>
      <c r="BP428" s="191">
        <f t="shared" si="64"/>
        <v>3.8036100000000683E-3</v>
      </c>
      <c r="BQ428" s="171">
        <f t="shared" si="65"/>
        <v>1.9599999999999999E-2</v>
      </c>
      <c r="BR428" s="211">
        <v>-99</v>
      </c>
      <c r="BS428" s="171">
        <f t="shared" si="67"/>
        <v>1.2199999999999999E-2</v>
      </c>
      <c r="BT428" s="171">
        <f t="shared" si="68"/>
        <v>2.07E-2</v>
      </c>
      <c r="BU428" s="171">
        <f t="shared" si="69"/>
        <v>3.8E-3</v>
      </c>
    </row>
    <row r="429" spans="1:73" x14ac:dyDescent="0.3">
      <c r="A429" s="209">
        <v>44317</v>
      </c>
      <c r="B429" s="187">
        <v>202105</v>
      </c>
      <c r="C429" s="176">
        <v>1.91</v>
      </c>
      <c r="E429" s="176">
        <v>0.21</v>
      </c>
      <c r="F429" s="177">
        <v>141</v>
      </c>
      <c r="G429" s="224">
        <v>1.245421245421241E-2</v>
      </c>
      <c r="H429" s="179">
        <v>1.1399999999999999</v>
      </c>
      <c r="I429" s="179">
        <v>2.04</v>
      </c>
      <c r="N429" s="225">
        <v>2.5000000000000001E-2</v>
      </c>
      <c r="O429" s="225">
        <v>5.0000000000000001E-3</v>
      </c>
      <c r="P429" s="226"/>
      <c r="Q429" s="225">
        <v>1.7500000000000002E-2</v>
      </c>
      <c r="R429" s="225">
        <v>2.75E-2</v>
      </c>
      <c r="S429" s="225">
        <v>7.4999999999999997E-3</v>
      </c>
      <c r="T429" s="225">
        <v>7.4999999999999997E-3</v>
      </c>
      <c r="U429" s="227"/>
      <c r="V429" s="233">
        <v>1.8000000000000002E-2</v>
      </c>
      <c r="W429" s="233">
        <v>3.6000000000000004E-2</v>
      </c>
      <c r="X429" s="234">
        <v>-99</v>
      </c>
      <c r="Y429" s="234">
        <v>-99</v>
      </c>
      <c r="Z429" s="228"/>
      <c r="AA429" s="235">
        <v>1.847233002347471E-2</v>
      </c>
      <c r="AB429" s="235">
        <v>3.606854782732536E-2</v>
      </c>
      <c r="AC429" s="229">
        <v>8.4105233071651853E-3</v>
      </c>
      <c r="AD429" s="229">
        <v>1.5343818119663233E-2</v>
      </c>
      <c r="AE429" s="229"/>
      <c r="AF429" s="235">
        <v>4.9889437306301909E-3</v>
      </c>
      <c r="AG429" s="235">
        <v>1.0205769384622143E-2</v>
      </c>
      <c r="AH429" s="226"/>
      <c r="AI429" s="225">
        <v>1.1432490000000017E-2</v>
      </c>
      <c r="AJ429" s="225">
        <v>2.0504040000000057E-2</v>
      </c>
      <c r="AK429" s="225">
        <v>2.1011024999999517E-3</v>
      </c>
      <c r="AL429" s="226"/>
      <c r="AM429" s="240" t="s">
        <v>146</v>
      </c>
      <c r="AN429" s="226" t="b">
        <v>1</v>
      </c>
      <c r="AO429" s="226" t="s">
        <v>145</v>
      </c>
      <c r="AP429" s="226">
        <v>2014</v>
      </c>
      <c r="AQ429" s="226">
        <v>2021</v>
      </c>
      <c r="AS429" s="232">
        <v>1.264</v>
      </c>
      <c r="AT429" s="232">
        <v>1.9</v>
      </c>
      <c r="AU429" s="232">
        <v>1.6459999999999999</v>
      </c>
      <c r="AV429" s="232">
        <v>2.6539999999999999</v>
      </c>
      <c r="AW429" s="232">
        <v>2.3359999999999999</v>
      </c>
      <c r="AX429" s="232">
        <v>3.5680000000000001</v>
      </c>
      <c r="AZ429" s="196">
        <f t="shared" si="92"/>
        <v>3.8477904999998369E-3</v>
      </c>
      <c r="BA429" s="196">
        <f t="shared" si="93"/>
        <v>1.0816479999999684E-2</v>
      </c>
      <c r="BB429" s="196">
        <f t="shared" si="94"/>
        <v>7.6258428999997907E-3</v>
      </c>
      <c r="BC429" s="196">
        <f t="shared" si="95"/>
        <v>1.6908015600000104E-2</v>
      </c>
      <c r="BD429" s="196">
        <f t="shared" si="96"/>
        <v>6.168364103499786E-3</v>
      </c>
      <c r="BE429" s="196">
        <f t="shared" si="97"/>
        <v>1.0716806409099895E-2</v>
      </c>
      <c r="BG429" s="241">
        <f t="shared" ref="BG429:BG430" si="103">AI428+BD428</f>
        <v>1.847233002347471E-2</v>
      </c>
      <c r="BH429" s="241">
        <f t="shared" ref="BH429:BH430" si="104">AJ428+0.5*(AJ428-AI428)+BE428</f>
        <v>3.606854782732536E-2</v>
      </c>
      <c r="BI429" s="242">
        <f t="shared" ref="BI429:BI430" si="105">ROUND(BG429/0.1%,0)*0.1%</f>
        <v>1.8000000000000002E-2</v>
      </c>
      <c r="BJ429" s="242">
        <f t="shared" ref="BJ429:BJ430" si="106">ROUND(BH429/0.1%,0)*0.1%</f>
        <v>3.6000000000000004E-2</v>
      </c>
      <c r="BK429" s="241">
        <f t="shared" ref="BK429:BK430" si="107">(1+AI428)/(1+BM428)-1</f>
        <v>9.9778874612603818E-3</v>
      </c>
      <c r="BL429" s="241">
        <f t="shared" si="89"/>
        <v>2.0411538769244286E-2</v>
      </c>
      <c r="BM429" s="239">
        <f t="shared" si="84"/>
        <v>1.1715170922522789E-3</v>
      </c>
      <c r="BN429" s="191">
        <f t="shared" si="62"/>
        <v>1.1432490000000017E-2</v>
      </c>
      <c r="BO429" s="191">
        <f t="shared" si="63"/>
        <v>2.0504040000000057E-2</v>
      </c>
      <c r="BP429" s="191">
        <f t="shared" si="64"/>
        <v>2.1011024999999517E-3</v>
      </c>
      <c r="BQ429" s="171">
        <f t="shared" si="65"/>
        <v>1.9099999999999999E-2</v>
      </c>
      <c r="BR429" s="211">
        <v>-99</v>
      </c>
      <c r="BS429" s="171">
        <f t="shared" si="67"/>
        <v>1.1399999999999999E-2</v>
      </c>
      <c r="BT429" s="171">
        <f t="shared" si="68"/>
        <v>2.0400000000000001E-2</v>
      </c>
      <c r="BU429" s="171">
        <f t="shared" si="69"/>
        <v>2.0999999999999999E-3</v>
      </c>
    </row>
    <row r="430" spans="1:73" x14ac:dyDescent="0.3">
      <c r="A430" s="209">
        <v>44348</v>
      </c>
      <c r="B430" s="187">
        <v>202106</v>
      </c>
      <c r="C430" s="176">
        <v>1.77</v>
      </c>
      <c r="E430" s="176">
        <v>0.11</v>
      </c>
      <c r="F430" s="177">
        <v>141.4</v>
      </c>
      <c r="G430" s="224">
        <v>1.4641288433382194E-2</v>
      </c>
      <c r="H430" s="179">
        <v>1.1499999999999999</v>
      </c>
      <c r="I430" s="179">
        <v>1.84</v>
      </c>
      <c r="N430" s="225">
        <v>2.5000000000000001E-2</v>
      </c>
      <c r="O430" s="225">
        <v>7.4999999999999997E-3</v>
      </c>
      <c r="P430" s="226"/>
      <c r="Q430" s="225">
        <v>1.7500000000000002E-2</v>
      </c>
      <c r="R430" s="225">
        <v>0.03</v>
      </c>
      <c r="S430" s="225">
        <v>7.4999999999999997E-3</v>
      </c>
      <c r="T430" s="225">
        <v>0.01</v>
      </c>
      <c r="U430" s="227"/>
      <c r="V430" s="233">
        <v>1.8000000000000002E-2</v>
      </c>
      <c r="W430" s="233">
        <v>3.6000000000000004E-2</v>
      </c>
      <c r="X430" s="234">
        <v>-99</v>
      </c>
      <c r="Y430" s="234">
        <v>-99</v>
      </c>
      <c r="Z430" s="228"/>
      <c r="AA430" s="235">
        <v>1.7600854103499805E-2</v>
      </c>
      <c r="AB430" s="235">
        <v>3.5756621409099971E-2</v>
      </c>
      <c r="AC430" s="229">
        <v>7.2773032010990946E-3</v>
      </c>
      <c r="AD430" s="229">
        <v>1.304773644949031E-2</v>
      </c>
      <c r="AE430" s="229"/>
      <c r="AF430" s="235">
        <v>5.1244830344100434E-3</v>
      </c>
      <c r="AG430" s="235">
        <v>1.1208200829311066E-2</v>
      </c>
      <c r="AH430" s="226"/>
      <c r="AI430" s="225">
        <v>1.1533062499999858E-2</v>
      </c>
      <c r="AJ430" s="225">
        <v>1.8484640000000274E-2</v>
      </c>
      <c r="AK430" s="225">
        <v>1.1003025000000388E-3</v>
      </c>
      <c r="AL430" s="226"/>
      <c r="AM430" s="240" t="s">
        <v>146</v>
      </c>
      <c r="AN430" s="226" t="b">
        <v>1</v>
      </c>
      <c r="AO430" s="226" t="s">
        <v>145</v>
      </c>
      <c r="AP430" s="226">
        <v>2014</v>
      </c>
      <c r="AQ430" s="226">
        <v>2021</v>
      </c>
      <c r="AS430" s="232">
        <v>1.296</v>
      </c>
      <c r="AT430" s="232">
        <v>1.7689999999999999</v>
      </c>
      <c r="AU430" s="232">
        <v>1.7310000000000001</v>
      </c>
      <c r="AV430" s="232">
        <v>2.532</v>
      </c>
      <c r="AW430" s="232">
        <v>2.3660000000000001</v>
      </c>
      <c r="AX430" s="232">
        <v>3.395</v>
      </c>
      <c r="AZ430" s="196">
        <f t="shared" si="92"/>
        <v>4.3829186250001761E-3</v>
      </c>
      <c r="BA430" s="196">
        <f t="shared" si="93"/>
        <v>1.0797958499999982E-2</v>
      </c>
      <c r="BB430" s="196">
        <f t="shared" si="94"/>
        <v>7.7120415749998283E-3</v>
      </c>
      <c r="BC430" s="196">
        <f t="shared" si="95"/>
        <v>1.6469916599999967E-2</v>
      </c>
      <c r="BD430" s="196">
        <f t="shared" si="96"/>
        <v>6.5191269033751126E-3</v>
      </c>
      <c r="BE430" s="196">
        <f t="shared" si="97"/>
        <v>1.0628413958324874E-2</v>
      </c>
      <c r="BG430" s="241">
        <f t="shared" si="103"/>
        <v>1.7600854103499805E-2</v>
      </c>
      <c r="BH430" s="241">
        <f t="shared" si="104"/>
        <v>3.5756621409099971E-2</v>
      </c>
      <c r="BI430" s="242">
        <f t="shared" si="105"/>
        <v>1.8000000000000002E-2</v>
      </c>
      <c r="BJ430" s="242">
        <f t="shared" si="106"/>
        <v>3.6000000000000004E-2</v>
      </c>
      <c r="BK430" s="241">
        <f t="shared" si="107"/>
        <v>1.0248966068820087E-2</v>
      </c>
      <c r="BL430" s="241">
        <f t="shared" si="89"/>
        <v>2.2416401658622132E-2</v>
      </c>
      <c r="BM430" s="239">
        <f t="shared" si="84"/>
        <v>6.8650823069350299E-4</v>
      </c>
      <c r="BN430" s="191">
        <f t="shared" si="62"/>
        <v>1.1533062499999858E-2</v>
      </c>
      <c r="BO430" s="191">
        <f t="shared" si="63"/>
        <v>1.8484640000000274E-2</v>
      </c>
      <c r="BP430" s="191">
        <f t="shared" si="64"/>
        <v>1.1003025000000388E-3</v>
      </c>
      <c r="BQ430" s="171">
        <f t="shared" si="65"/>
        <v>1.77E-2</v>
      </c>
      <c r="BR430" s="211">
        <v>-99</v>
      </c>
      <c r="BS430" s="171">
        <f t="shared" si="67"/>
        <v>1.15E-2</v>
      </c>
      <c r="BT430" s="171">
        <f t="shared" si="68"/>
        <v>1.84E-2</v>
      </c>
      <c r="BU430" s="171">
        <f t="shared" si="69"/>
        <v>1.1000000000000001E-3</v>
      </c>
    </row>
    <row r="431" spans="1:73" x14ac:dyDescent="0.3">
      <c r="A431" s="209">
        <v>44378</v>
      </c>
      <c r="B431" s="187">
        <v>202107</v>
      </c>
      <c r="C431" s="176">
        <v>1.64</v>
      </c>
      <c r="E431" s="176">
        <v>0.02</v>
      </c>
      <c r="F431" s="177">
        <v>142.30000000000001</v>
      </c>
      <c r="G431" s="224">
        <v>1.7569546120058677E-2</v>
      </c>
      <c r="H431" s="179">
        <v>0.94</v>
      </c>
      <c r="I431" s="179">
        <v>1.73</v>
      </c>
      <c r="N431" s="225">
        <v>2.5000000000000001E-2</v>
      </c>
      <c r="O431" s="225">
        <v>5.0000000000000001E-3</v>
      </c>
      <c r="P431" s="226"/>
      <c r="Q431" s="225">
        <v>1.7500000000000002E-2</v>
      </c>
      <c r="R431" s="225">
        <v>0.03</v>
      </c>
      <c r="S431" s="225">
        <v>5.0000000000000001E-3</v>
      </c>
      <c r="T431" s="225">
        <v>7.4999999999999997E-3</v>
      </c>
      <c r="U431" s="227"/>
      <c r="V431" s="233">
        <v>1.8000000000000002E-2</v>
      </c>
      <c r="W431" s="233">
        <v>3.3000000000000002E-2</v>
      </c>
      <c r="X431" s="234">
        <v>-99</v>
      </c>
      <c r="Y431" s="234">
        <v>-99</v>
      </c>
      <c r="Z431" s="228"/>
      <c r="AA431" s="235">
        <v>1.8052189403374969E-2</v>
      </c>
      <c r="AB431" s="235">
        <v>3.2588842708325357E-2</v>
      </c>
      <c r="AC431" s="229">
        <v>7.1357312758879576E-3</v>
      </c>
      <c r="AD431" s="229">
        <v>1.1720819494851931E-2</v>
      </c>
      <c r="AE431" s="229"/>
      <c r="AF431" s="235">
        <v>5.4195565644650223E-3</v>
      </c>
      <c r="AG431" s="235">
        <v>1.031313323367844E-2</v>
      </c>
      <c r="AH431" s="226"/>
      <c r="AI431" s="225">
        <v>9.4220899999999386E-3</v>
      </c>
      <c r="AJ431" s="225">
        <v>1.7374822500000109E-2</v>
      </c>
      <c r="AK431" s="225">
        <v>2.000099999999172E-4</v>
      </c>
      <c r="AL431" s="226"/>
      <c r="AM431" s="240" t="s">
        <v>146</v>
      </c>
      <c r="AN431" s="226" t="b">
        <v>1</v>
      </c>
      <c r="AO431" s="226" t="s">
        <v>145</v>
      </c>
      <c r="AP431" s="226">
        <v>2014</v>
      </c>
      <c r="AQ431" s="226">
        <v>2021</v>
      </c>
      <c r="AS431" s="232">
        <v>1.075</v>
      </c>
      <c r="AT431" s="232">
        <v>1.639</v>
      </c>
      <c r="AU431" s="232">
        <v>1.5149999999999999</v>
      </c>
      <c r="AV431" s="232">
        <v>2.419</v>
      </c>
      <c r="AW431" s="232">
        <v>2.1760000000000002</v>
      </c>
      <c r="AX431" s="232">
        <v>3.2679999999999998</v>
      </c>
      <c r="AZ431" s="196">
        <f t="shared" si="92"/>
        <v>4.4284900000004512E-3</v>
      </c>
      <c r="BA431" s="196">
        <f t="shared" si="93"/>
        <v>1.1099483775000252E-2</v>
      </c>
      <c r="BB431" s="196">
        <f t="shared" si="94"/>
        <v>7.8791309999999282E-3</v>
      </c>
      <c r="BC431" s="196">
        <f t="shared" si="95"/>
        <v>1.6489837575000221E-2</v>
      </c>
      <c r="BD431" s="196">
        <f t="shared" si="96"/>
        <v>6.6499309270753853E-3</v>
      </c>
      <c r="BE431" s="196">
        <f t="shared" si="97"/>
        <v>1.0746496289475027E-2</v>
      </c>
      <c r="BG431" s="241">
        <f t="shared" ref="BG431" si="108">AI430+BD430</f>
        <v>1.8052189403374969E-2</v>
      </c>
      <c r="BH431" s="241">
        <f t="shared" ref="BH431" si="109">AJ430+0.5*(AJ430-AI430)+BE430</f>
        <v>3.2588842708325357E-2</v>
      </c>
      <c r="BI431" s="242">
        <f t="shared" ref="BI431" si="110">ROUND(BG431/0.1%,0)*0.1%</f>
        <v>1.8000000000000002E-2</v>
      </c>
      <c r="BJ431" s="242">
        <f t="shared" ref="BJ431" si="111">ROUND(BH431/0.1%,0)*0.1%</f>
        <v>3.3000000000000002E-2</v>
      </c>
      <c r="BK431" s="241">
        <f t="shared" ref="BK431" si="112">(1+AI430)/(1+BM430)-1</f>
        <v>1.0839113128930045E-2</v>
      </c>
      <c r="BL431" s="241">
        <f t="shared" si="89"/>
        <v>2.062626646735688E-2</v>
      </c>
      <c r="BM431" s="239">
        <f t="shared" si="84"/>
        <v>1.0846224304732873E-4</v>
      </c>
      <c r="BN431" s="191">
        <f t="shared" si="62"/>
        <v>9.4220899999999386E-3</v>
      </c>
      <c r="BO431" s="191">
        <f t="shared" si="63"/>
        <v>1.7374822500000109E-2</v>
      </c>
      <c r="BP431" s="191">
        <f t="shared" si="64"/>
        <v>2.000099999999172E-4</v>
      </c>
      <c r="BQ431" s="171">
        <f t="shared" si="65"/>
        <v>1.6399999999999998E-2</v>
      </c>
      <c r="BR431" s="211">
        <v>-99</v>
      </c>
      <c r="BS431" s="171">
        <f t="shared" si="67"/>
        <v>9.3999999999999986E-3</v>
      </c>
      <c r="BT431" s="171">
        <f t="shared" si="68"/>
        <v>1.7299999999999999E-2</v>
      </c>
      <c r="BU431" s="171">
        <f t="shared" si="69"/>
        <v>2.0000000000000001E-4</v>
      </c>
    </row>
    <row r="432" spans="1:73" x14ac:dyDescent="0.3">
      <c r="A432" s="209">
        <v>44409</v>
      </c>
      <c r="B432" s="187">
        <v>202108</v>
      </c>
      <c r="C432" s="176">
        <v>1.73</v>
      </c>
      <c r="E432" s="176">
        <v>0.15</v>
      </c>
      <c r="F432" s="177">
        <v>142.6</v>
      </c>
      <c r="G432" s="224">
        <v>2.1229868228404225E-2</v>
      </c>
      <c r="H432" s="179">
        <v>1.04</v>
      </c>
      <c r="I432" s="179">
        <v>1.82</v>
      </c>
      <c r="N432" s="225">
        <v>2.2499999999999999E-2</v>
      </c>
      <c r="O432" s="225">
        <v>2.5000000000000001E-3</v>
      </c>
      <c r="P432" s="226"/>
      <c r="Q432" s="225">
        <v>1.7500000000000002E-2</v>
      </c>
      <c r="R432" s="225">
        <v>2.75E-2</v>
      </c>
      <c r="S432" s="225">
        <v>5.0000000000000001E-3</v>
      </c>
      <c r="T432" s="225">
        <v>7.4999999999999997E-3</v>
      </c>
      <c r="U432" s="227"/>
      <c r="V432" s="233">
        <v>1.6E-2</v>
      </c>
      <c r="W432" s="233">
        <v>3.2000000000000001E-2</v>
      </c>
      <c r="X432" s="234">
        <v>-99</v>
      </c>
      <c r="Y432" s="234">
        <v>-99</v>
      </c>
      <c r="Z432" s="228"/>
      <c r="AA432" s="235">
        <v>1.6072020927075326E-2</v>
      </c>
      <c r="AB432" s="235">
        <v>3.2097685039475223E-2</v>
      </c>
      <c r="AC432" s="229">
        <v>6.6970362988221233E-3</v>
      </c>
      <c r="AD432" s="229">
        <v>1.077021242314613E-2</v>
      </c>
      <c r="AE432" s="229"/>
      <c r="AF432" s="235">
        <v>4.656308844774637E-3</v>
      </c>
      <c r="AG432" s="235">
        <v>1.0550109388958062E-2</v>
      </c>
      <c r="AH432" s="226"/>
      <c r="AI432" s="225">
        <v>1.0427040000000165E-2</v>
      </c>
      <c r="AJ432" s="225">
        <v>1.8282810000000316E-2</v>
      </c>
      <c r="AK432" s="225">
        <v>1.5005624999999689E-3</v>
      </c>
      <c r="AL432" s="226"/>
      <c r="AM432" s="240" t="s">
        <v>146</v>
      </c>
      <c r="AN432" s="226" t="b">
        <f t="shared" si="57"/>
        <v>1</v>
      </c>
      <c r="AO432" s="226" t="s">
        <v>145</v>
      </c>
      <c r="AP432" s="226">
        <v>2014</v>
      </c>
      <c r="AQ432" s="226">
        <f t="shared" ref="AQ432" si="113">YEAR(A432)</f>
        <v>2021</v>
      </c>
      <c r="AS432" s="232">
        <v>1.159</v>
      </c>
      <c r="AT432" s="232">
        <v>1.7270000000000001</v>
      </c>
      <c r="AU432" s="232">
        <v>1.615</v>
      </c>
      <c r="AV432" s="232">
        <v>2.52</v>
      </c>
      <c r="AW432" s="232">
        <v>2.2909999999999999</v>
      </c>
      <c r="AX432" s="232">
        <v>3.363</v>
      </c>
      <c r="AZ432" s="238">
        <f t="shared" si="92"/>
        <v>4.5916236000000943E-3</v>
      </c>
      <c r="BA432" s="238">
        <f t="shared" si="93"/>
        <v>1.1417635000000148E-2</v>
      </c>
      <c r="BB432" s="238">
        <f t="shared" si="94"/>
        <v>8.0141967749998155E-3</v>
      </c>
      <c r="BC432" s="238">
        <f t="shared" si="95"/>
        <v>1.6568181000000015E-2</v>
      </c>
      <c r="BD432" s="238">
        <f t="shared" si="96"/>
        <v>6.8646853962001124E-3</v>
      </c>
      <c r="BE432" s="238">
        <f t="shared" si="97"/>
        <v>1.0862673521924882E-2</v>
      </c>
      <c r="BF432" s="226"/>
      <c r="BG432" s="241">
        <f t="shared" ref="BG432" si="114">AI431+BD431</f>
        <v>1.6072020927075326E-2</v>
      </c>
      <c r="BH432" s="241">
        <f t="shared" ref="BH432" si="115">AJ431+0.5*(AJ431-AI431)+BE431</f>
        <v>3.2097685039475223E-2</v>
      </c>
      <c r="BI432" s="242">
        <f t="shared" ref="BI432" si="116">ROUND(BG432/0.1%,0)*0.1%</f>
        <v>1.6E-2</v>
      </c>
      <c r="BJ432" s="242">
        <f t="shared" ref="BJ432" si="117">ROUND(BH432/0.1%,0)*0.1%</f>
        <v>3.2000000000000001E-2</v>
      </c>
      <c r="BK432" s="241">
        <f t="shared" ref="BK432" si="118">(1+AI431)/(1+BM431)-1</f>
        <v>9.312617689549274E-3</v>
      </c>
      <c r="BL432" s="241">
        <f t="shared" ref="BL432" si="119">(1+AJ431+0.5*(AJ431-AI431))/(1+AK431+0.5*(AK431-BM431))-1</f>
        <v>2.1100218777916124E-2</v>
      </c>
      <c r="BM432" s="239">
        <f t="shared" si="84"/>
        <v>8.5579980375006105E-4</v>
      </c>
      <c r="BN432" s="239">
        <f t="shared" si="62"/>
        <v>1.0427040000000165E-2</v>
      </c>
      <c r="BO432" s="239">
        <f t="shared" si="63"/>
        <v>1.8282810000000316E-2</v>
      </c>
      <c r="BP432" s="239">
        <f t="shared" si="64"/>
        <v>1.5005624999999689E-3</v>
      </c>
      <c r="BQ432" s="250">
        <f t="shared" si="65"/>
        <v>1.7299999999999999E-2</v>
      </c>
      <c r="BR432" s="211">
        <v>-99</v>
      </c>
      <c r="BS432" s="250">
        <f t="shared" si="67"/>
        <v>1.04E-2</v>
      </c>
      <c r="BT432" s="250">
        <f t="shared" si="68"/>
        <v>1.8200000000000001E-2</v>
      </c>
      <c r="BU432" s="250">
        <f t="shared" si="69"/>
        <v>1.5E-3</v>
      </c>
    </row>
    <row r="433" spans="1:73" x14ac:dyDescent="0.3">
      <c r="A433" s="209">
        <v>44440</v>
      </c>
      <c r="B433" s="187">
        <v>202109</v>
      </c>
      <c r="C433" s="176">
        <v>1.92</v>
      </c>
      <c r="E433" s="176">
        <v>0.25</v>
      </c>
      <c r="F433" s="177">
        <v>142.9</v>
      </c>
      <c r="G433" s="224">
        <v>2.4140453547915275E-2</v>
      </c>
      <c r="H433" s="179">
        <v>1.24</v>
      </c>
      <c r="I433" s="179">
        <v>1.98</v>
      </c>
      <c r="N433" s="225">
        <v>2.2499999999999999E-2</v>
      </c>
      <c r="O433" s="225">
        <v>2.5000000000000001E-3</v>
      </c>
      <c r="P433" s="226"/>
      <c r="Q433" s="225">
        <v>1.4999999999999999E-2</v>
      </c>
      <c r="R433" s="225">
        <v>2.75E-2</v>
      </c>
      <c r="S433" s="225">
        <v>5.0000000000000001E-3</v>
      </c>
      <c r="T433" s="225">
        <v>5.0000000000000001E-3</v>
      </c>
      <c r="U433" s="227"/>
      <c r="V433" s="233">
        <v>1.7000000000000001E-2</v>
      </c>
      <c r="W433" s="233">
        <v>3.3000000000000002E-2</v>
      </c>
      <c r="X433" s="234">
        <v>-99</v>
      </c>
      <c r="Y433" s="234">
        <v>-99</v>
      </c>
      <c r="Z433" s="228"/>
      <c r="AA433" s="235">
        <v>1.7291725396200278E-2</v>
      </c>
      <c r="AB433" s="235">
        <v>3.3073368521925273E-2</v>
      </c>
      <c r="AC433" s="229">
        <v>7.6554596709437206E-3</v>
      </c>
      <c r="AD433" s="229">
        <v>1.2468963909376463E-2</v>
      </c>
      <c r="AE433" s="229"/>
      <c r="AF433" s="235">
        <v>4.7815280673433325E-3</v>
      </c>
      <c r="AG433" s="235">
        <v>1.0175326527042672E-2</v>
      </c>
      <c r="AI433" s="225">
        <v>1.243843999999994E-2</v>
      </c>
      <c r="AJ433" s="225">
        <v>1.9898010000000133E-2</v>
      </c>
      <c r="AK433" s="225">
        <v>2.5015624999999986E-3</v>
      </c>
      <c r="AM433" s="240" t="s">
        <v>146</v>
      </c>
      <c r="AN433" s="226" t="b">
        <v>1</v>
      </c>
      <c r="AO433" s="226" t="s">
        <v>145</v>
      </c>
      <c r="AP433" s="226">
        <v>2014</v>
      </c>
      <c r="AQ433" s="226">
        <v>2021</v>
      </c>
      <c r="AS433" s="232">
        <v>1.4139999999999999</v>
      </c>
      <c r="AT433" s="232">
        <v>1.915</v>
      </c>
      <c r="AU433" s="232">
        <v>1.8240000000000001</v>
      </c>
      <c r="AV433" s="232">
        <v>2.6890000000000001</v>
      </c>
      <c r="AW433" s="232">
        <v>2.46</v>
      </c>
      <c r="AX433" s="232">
        <v>3.5259999999999998</v>
      </c>
      <c r="AZ433" s="196">
        <f t="shared" si="92"/>
        <v>4.1331895000003005E-3</v>
      </c>
      <c r="BA433" s="196">
        <f t="shared" si="93"/>
        <v>1.0561305100000196E-2</v>
      </c>
      <c r="BB433" s="196">
        <f t="shared" si="94"/>
        <v>7.8290873999999899E-3</v>
      </c>
      <c r="BC433" s="196">
        <f t="shared" si="95"/>
        <v>1.6329136275000211E-2</v>
      </c>
      <c r="BD433" s="196">
        <f t="shared" si="96"/>
        <v>6.2737519948002658E-3</v>
      </c>
      <c r="BE433" s="196">
        <f t="shared" si="97"/>
        <v>1.0659603675375065E-2</v>
      </c>
      <c r="BG433" s="241">
        <f t="shared" ref="BG433" si="120">AI432+BD432</f>
        <v>1.7291725396200278E-2</v>
      </c>
      <c r="BH433" s="241">
        <f t="shared" ref="BH433" si="121">AJ432+0.5*(AJ432-AI432)+BE432</f>
        <v>3.3073368521925273E-2</v>
      </c>
      <c r="BI433" s="242">
        <f t="shared" ref="BI433" si="122">ROUND(BG433/0.1%,0)*0.1%</f>
        <v>1.7000000000000001E-2</v>
      </c>
      <c r="BJ433" s="242">
        <f t="shared" ref="BJ433" si="123">ROUND(BH433/0.1%,0)*0.1%</f>
        <v>3.3000000000000002E-2</v>
      </c>
      <c r="BK433" s="241">
        <f t="shared" ref="BK433" si="124">(1+AI432)/(1+BM432)-1</f>
        <v>9.5630561346866649E-3</v>
      </c>
      <c r="BL433" s="241">
        <f t="shared" ref="BL433" si="125">(1+AJ432+0.5*(AJ432-AI432))/(1+AK432+0.5*(AK432-BM432))-1</f>
        <v>2.0350653054085344E-2</v>
      </c>
      <c r="BM433" s="239">
        <f t="shared" ref="BM433" si="126">AK433*AI433/AJ433</f>
        <v>1.563751101868962E-3</v>
      </c>
      <c r="BN433" s="239">
        <f t="shared" ref="BN433" si="127">AI433</f>
        <v>1.243843999999994E-2</v>
      </c>
      <c r="BO433" s="239">
        <f t="shared" ref="BO433" si="128">AJ433</f>
        <v>1.9898010000000133E-2</v>
      </c>
      <c r="BP433" s="239">
        <f t="shared" ref="BP433" si="129">AK433</f>
        <v>2.5015624999999986E-3</v>
      </c>
      <c r="BQ433" s="250">
        <f t="shared" si="65"/>
        <v>1.9199999999999998E-2</v>
      </c>
      <c r="BR433" s="211">
        <v>-99</v>
      </c>
      <c r="BS433" s="250">
        <f t="shared" si="67"/>
        <v>1.24E-2</v>
      </c>
      <c r="BT433" s="250">
        <f t="shared" si="68"/>
        <v>1.9799999999999998E-2</v>
      </c>
      <c r="BU433" s="250">
        <f t="shared" si="69"/>
        <v>2.5000000000000001E-3</v>
      </c>
    </row>
    <row r="434" spans="1:73" x14ac:dyDescent="0.3">
      <c r="A434" s="209">
        <v>44470</v>
      </c>
      <c r="B434" s="187">
        <v>202110</v>
      </c>
      <c r="C434" s="176">
        <v>1.88</v>
      </c>
      <c r="E434" s="176">
        <v>0.09</v>
      </c>
      <c r="F434" s="177">
        <v>143.9</v>
      </c>
      <c r="G434" s="224">
        <f t="shared" ref="G434:G436" si="130">ROUND(AVERAGE(F423:F434),1)/ROUND(AVERAGE(F411:F422),1)-1</f>
        <v>2.7046783625730875E-2</v>
      </c>
      <c r="H434" s="179">
        <v>1.47</v>
      </c>
      <c r="I434" s="179">
        <v>1.92</v>
      </c>
      <c r="N434" s="225">
        <v>2.2499999999999999E-2</v>
      </c>
      <c r="O434" s="225">
        <v>5.0000000000000001E-3</v>
      </c>
      <c r="P434" s="226"/>
      <c r="Q434" s="225">
        <v>1.4999999999999999E-2</v>
      </c>
      <c r="R434" s="225">
        <v>2.75E-2</v>
      </c>
      <c r="S434" s="225">
        <v>5.0000000000000001E-3</v>
      </c>
      <c r="T434" s="225">
        <v>7.4999999999999997E-3</v>
      </c>
      <c r="U434" s="227"/>
      <c r="V434" s="233">
        <v>1.9E-2</v>
      </c>
      <c r="W434" s="233">
        <v>3.4000000000000002E-2</v>
      </c>
      <c r="X434" s="234">
        <v>-99</v>
      </c>
      <c r="Y434" s="234">
        <v>-99</v>
      </c>
      <c r="Z434" s="228"/>
      <c r="AA434" s="235">
        <v>1.8712191994800204E-2</v>
      </c>
      <c r="AB434" s="235">
        <v>3.4287398675375294E-2</v>
      </c>
      <c r="AC434" s="229">
        <v>7.770116183577036E-3</v>
      </c>
      <c r="AD434" s="229">
        <v>1.3414955679114104E-2</v>
      </c>
      <c r="AE434" s="229"/>
      <c r="AF434" s="235">
        <v>5.4288550709663541E-3</v>
      </c>
      <c r="AG434" s="235">
        <v>1.0298073301214572E-2</v>
      </c>
      <c r="AI434" s="225">
        <v>1.4754022500000019E-2</v>
      </c>
      <c r="AJ434" s="225">
        <v>1.9292160000000003E-2</v>
      </c>
      <c r="AK434" s="225">
        <v>9.002025000002245E-4</v>
      </c>
      <c r="AM434" s="240" t="s">
        <v>146</v>
      </c>
      <c r="AN434" s="226" t="b">
        <v>1</v>
      </c>
      <c r="AO434" s="226" t="s">
        <v>145</v>
      </c>
      <c r="AP434" s="226">
        <v>2014</v>
      </c>
      <c r="AQ434" s="226">
        <v>2021</v>
      </c>
      <c r="AS434" s="232">
        <v>1.544</v>
      </c>
      <c r="AT434" s="232">
        <v>1.8720000000000001</v>
      </c>
      <c r="AU434" s="232">
        <v>2.0049999999999999</v>
      </c>
      <c r="AV434" s="232">
        <v>2.63</v>
      </c>
      <c r="AW434" s="232">
        <v>2.65</v>
      </c>
      <c r="AX434" s="232">
        <v>3.4470000000000001</v>
      </c>
      <c r="AZ434" s="196">
        <f t="shared" ref="AZ434" si="131">(1+AU434/200)^2-(1+$AS434/200)^2</f>
        <v>4.6509022249998644E-3</v>
      </c>
      <c r="BA434" s="196">
        <f t="shared" ref="BA434" si="132">(1+AW434/200)^2-(1+$AS434/200)^2</f>
        <v>1.1175964099999991E-2</v>
      </c>
      <c r="BB434" s="196">
        <f t="shared" ref="BB434" si="133">(1+AV434/200)^2-(1+$AT434/200)^2</f>
        <v>7.6653128999999431E-3</v>
      </c>
      <c r="BC434" s="196">
        <f t="shared" ref="BC434" si="134">(1+AX434/200)^2-(1+$AT434/200)^2</f>
        <v>1.5959435624999685E-2</v>
      </c>
      <c r="BD434" s="196">
        <f t="shared" ref="BD434" si="135">MIN(1.5%,0.667*AZ434+0.333*BA434)</f>
        <v>6.8237478293749071E-3</v>
      </c>
      <c r="BE434" s="196">
        <f t="shared" ref="BE434" si="136">MIN(1.5%,0.667*BB434+0.333*BC434)</f>
        <v>1.0427255767424858E-2</v>
      </c>
      <c r="BG434" s="241">
        <f t="shared" ref="BG434" si="137">AI433+BD433</f>
        <v>1.8712191994800204E-2</v>
      </c>
      <c r="BH434" s="241">
        <f t="shared" ref="BH434" si="138">AJ433+0.5*(AJ433-AI433)+BE433</f>
        <v>3.4287398675375294E-2</v>
      </c>
      <c r="BI434" s="242">
        <f t="shared" ref="BI434" si="139">ROUND(BG434/0.1%,0)*0.1%</f>
        <v>1.9E-2</v>
      </c>
      <c r="BJ434" s="242">
        <f t="shared" ref="BJ434" si="140">ROUND(BH434/0.1%,0)*0.1%</f>
        <v>3.4000000000000002E-2</v>
      </c>
      <c r="BK434" s="241">
        <f t="shared" ref="BK434" si="141">(1+AI433)/(1+BM433)-1</f>
        <v>1.0857710141932708E-2</v>
      </c>
      <c r="BL434" s="241">
        <f t="shared" ref="BL434" si="142">(1+AJ433+0.5*(AJ433-AI433))/(1+AK433+0.5*(AK433-BM433))-1</f>
        <v>2.0596146602429144E-2</v>
      </c>
      <c r="BM434" s="239">
        <f t="shared" ref="BM434" si="143">AK434*AI434/AJ434</f>
        <v>6.8844587332675953E-4</v>
      </c>
      <c r="BN434" s="239">
        <f t="shared" ref="BN434" si="144">AI434</f>
        <v>1.4754022500000019E-2</v>
      </c>
      <c r="BO434" s="239">
        <f t="shared" ref="BO434" si="145">AJ434</f>
        <v>1.9292160000000003E-2</v>
      </c>
      <c r="BP434" s="239">
        <f t="shared" ref="BP434" si="146">AK434</f>
        <v>9.002025000002245E-4</v>
      </c>
      <c r="BQ434" s="250">
        <f t="shared" ref="BQ434" si="147">C434/100</f>
        <v>1.8799999999999997E-2</v>
      </c>
      <c r="BR434" s="211">
        <v>-99</v>
      </c>
      <c r="BS434" s="250">
        <f t="shared" ref="BS434" si="148">H434/100</f>
        <v>1.47E-2</v>
      </c>
      <c r="BT434" s="250">
        <f t="shared" ref="BT434" si="149">I434/100</f>
        <v>1.9199999999999998E-2</v>
      </c>
      <c r="BU434" s="250">
        <f t="shared" ref="BU434" si="150">E434/100</f>
        <v>8.9999999999999998E-4</v>
      </c>
    </row>
    <row r="435" spans="1:73" x14ac:dyDescent="0.3">
      <c r="A435" s="209">
        <v>44501</v>
      </c>
      <c r="B435" s="187">
        <v>202111</v>
      </c>
      <c r="C435" s="176">
        <v>2.0299999999999998</v>
      </c>
      <c r="E435" s="176">
        <v>0.15</v>
      </c>
      <c r="F435" s="177">
        <v>144.19999999999999</v>
      </c>
      <c r="G435" s="224">
        <f t="shared" si="130"/>
        <v>3.0679327976625093E-2</v>
      </c>
      <c r="H435" s="179">
        <v>1.62</v>
      </c>
      <c r="I435" s="179">
        <v>2.0699999999999998</v>
      </c>
      <c r="N435" s="225">
        <v>2.5000000000000001E-2</v>
      </c>
      <c r="O435" s="225">
        <v>5.0000000000000001E-3</v>
      </c>
      <c r="P435" s="226"/>
      <c r="Q435" s="225">
        <v>1.7500000000000002E-2</v>
      </c>
      <c r="R435" s="225">
        <v>2.75E-2</v>
      </c>
      <c r="S435" s="225">
        <v>7.4999999999999997E-3</v>
      </c>
      <c r="T435" s="225">
        <v>7.4999999999999997E-3</v>
      </c>
      <c r="U435" s="227"/>
      <c r="V435" s="233">
        <v>2.1999999999999999E-2</v>
      </c>
      <c r="W435" s="233">
        <v>3.2000000000000001E-2</v>
      </c>
      <c r="X435" s="234">
        <v>-99</v>
      </c>
      <c r="Y435" s="234">
        <v>-99</v>
      </c>
      <c r="AA435" s="235">
        <v>2.1577770329374926E-2</v>
      </c>
      <c r="AB435" s="235">
        <v>3.1988484517424851E-2</v>
      </c>
      <c r="AC435" s="229">
        <v>7.4176092557842743E-3</v>
      </c>
      <c r="AD435" s="229">
        <v>1.1223526557788244E-2</v>
      </c>
      <c r="AE435" s="229"/>
      <c r="AF435" s="235">
        <v>7.0279499501955112E-3</v>
      </c>
      <c r="AG435" s="235">
        <v>1.026724429084469E-2</v>
      </c>
      <c r="AI435" s="225">
        <v>1.6265610000000041E-2</v>
      </c>
      <c r="AJ435" s="225">
        <v>2.0807122500000164E-2</v>
      </c>
      <c r="AK435" s="225">
        <v>1.5005624999999689E-3</v>
      </c>
      <c r="AM435" s="240" t="s">
        <v>146</v>
      </c>
      <c r="AN435" s="226" t="b">
        <v>1</v>
      </c>
      <c r="AO435" s="226" t="s">
        <v>145</v>
      </c>
      <c r="AP435" s="226">
        <v>2014</v>
      </c>
      <c r="AQ435" s="226">
        <v>2021</v>
      </c>
      <c r="AS435" s="232">
        <v>1.6970000000000001</v>
      </c>
      <c r="AT435" s="232">
        <v>2.0249999999999999</v>
      </c>
      <c r="AU435" s="232">
        <v>2.157</v>
      </c>
      <c r="AV435" s="232">
        <v>2.794</v>
      </c>
      <c r="AW435" s="232">
        <v>2.8290000000000002</v>
      </c>
      <c r="AX435" s="232">
        <v>3.6120000000000001</v>
      </c>
      <c r="AZ435" s="196">
        <f t="shared" ref="AZ435" si="151">(1+AU435/200)^2-(1+$AS435/200)^2</f>
        <v>4.6443210000000068E-3</v>
      </c>
      <c r="BA435" s="196">
        <f t="shared" ref="BA435" si="152">(1+AW435/200)^2-(1+$AS435/200)^2</f>
        <v>1.1448085800000118E-2</v>
      </c>
      <c r="BB435" s="196">
        <f t="shared" ref="BB435" si="153">(1+AV435/200)^2-(1+$AT435/200)^2</f>
        <v>7.7826452750000552E-3</v>
      </c>
      <c r="BC435" s="196">
        <f t="shared" ref="BC435" si="154">(1+AX435/200)^2-(1+$AT435/200)^2</f>
        <v>1.6093647975000014E-2</v>
      </c>
      <c r="BD435" s="196">
        <f t="shared" ref="BD435" si="155">MIN(1.5%,0.667*AZ435+0.333*BA435)</f>
        <v>6.9099746784000446E-3</v>
      </c>
      <c r="BE435" s="196">
        <f t="shared" ref="BE435" si="156">MIN(1.5%,0.667*BB435+0.333*BC435)</f>
        <v>1.0550209174100041E-2</v>
      </c>
      <c r="BG435" s="241">
        <f t="shared" ref="BG435" si="157">AI434+BD434</f>
        <v>2.1577770329374926E-2</v>
      </c>
      <c r="BH435" s="241">
        <f t="shared" ref="BH435" si="158">AJ434+0.5*(AJ434-AI434)+BE434</f>
        <v>3.1988484517424851E-2</v>
      </c>
      <c r="BI435" s="242">
        <f t="shared" ref="BI435" si="159">ROUND(BG435/0.1%,0)*0.1%</f>
        <v>2.1999999999999999E-2</v>
      </c>
      <c r="BJ435" s="242">
        <f t="shared" ref="BJ435" si="160">ROUND(BH435/0.1%,0)*0.1%</f>
        <v>3.2000000000000001E-2</v>
      </c>
      <c r="BK435" s="241">
        <f t="shared" ref="BK435" si="161">(1+AI434)/(1+BM434)-1</f>
        <v>1.4055899900391022E-2</v>
      </c>
      <c r="BL435" s="241">
        <f t="shared" ref="BL435" si="162">(1+AJ434+0.5*(AJ434-AI434))/(1+AK434+0.5*(AK434-BM434))-1</f>
        <v>2.0534488581689381E-2</v>
      </c>
      <c r="BM435" s="239">
        <f t="shared" ref="BM435" si="163">AK435*AI435/AJ435</f>
        <v>1.1730389151899483E-3</v>
      </c>
      <c r="BN435" s="239">
        <f t="shared" ref="BN435" si="164">AI435</f>
        <v>1.6265610000000041E-2</v>
      </c>
      <c r="BO435" s="239">
        <f t="shared" ref="BO435" si="165">AJ435</f>
        <v>2.0807122500000164E-2</v>
      </c>
      <c r="BP435" s="239">
        <f t="shared" ref="BP435" si="166">AK435</f>
        <v>1.5005624999999689E-3</v>
      </c>
      <c r="BQ435" s="250">
        <f t="shared" ref="BQ435" si="167">C435/100</f>
        <v>2.0299999999999999E-2</v>
      </c>
      <c r="BR435" s="211">
        <v>-99</v>
      </c>
      <c r="BS435" s="250">
        <f t="shared" ref="BS435" si="168">H435/100</f>
        <v>1.6200000000000003E-2</v>
      </c>
      <c r="BT435" s="250">
        <f t="shared" ref="BT435" si="169">I435/100</f>
        <v>2.07E-2</v>
      </c>
      <c r="BU435" s="250">
        <f t="shared" ref="BU435" si="170">E435/100</f>
        <v>1.5E-3</v>
      </c>
    </row>
    <row r="436" spans="1:73" x14ac:dyDescent="0.3">
      <c r="A436" s="209">
        <v>44531</v>
      </c>
      <c r="B436" s="187">
        <v>202112</v>
      </c>
      <c r="C436" s="176">
        <v>1.75</v>
      </c>
      <c r="E436" s="176">
        <v>-0.04</v>
      </c>
      <c r="F436" s="177">
        <v>144</v>
      </c>
      <c r="G436" s="267">
        <f t="shared" si="130"/>
        <v>3.3576642335766405E-2</v>
      </c>
      <c r="H436" s="179">
        <v>1.32</v>
      </c>
      <c r="I436" s="179">
        <v>1.76</v>
      </c>
      <c r="N436" s="225">
        <v>2.5000000000000001E-2</v>
      </c>
      <c r="O436" s="225">
        <v>2.5000000000000001E-3</v>
      </c>
      <c r="P436" s="226"/>
      <c r="Q436" s="225">
        <v>0.02</v>
      </c>
      <c r="R436" s="225">
        <v>2.75E-2</v>
      </c>
      <c r="S436" s="225">
        <v>5.0000000000000001E-3</v>
      </c>
      <c r="T436" s="225">
        <v>5.0000000000000001E-3</v>
      </c>
      <c r="U436" s="227"/>
      <c r="V436" s="233">
        <v>2.3E-2</v>
      </c>
      <c r="W436" s="233">
        <v>3.4000000000000002E-2</v>
      </c>
      <c r="X436" s="234">
        <v>-99</v>
      </c>
      <c r="Y436" s="234">
        <v>-99</v>
      </c>
      <c r="AA436" s="235">
        <v>2.3175584678400085E-2</v>
      </c>
      <c r="AB436" s="235">
        <v>3.3628087924100269E-2</v>
      </c>
      <c r="AC436" s="229">
        <v>7.9803934881748084E-3</v>
      </c>
      <c r="AD436" s="229">
        <v>1.1993712077067453E-2</v>
      </c>
      <c r="AE436" s="229"/>
      <c r="AF436" s="235">
        <v>7.5374438274743438E-3</v>
      </c>
      <c r="AG436" s="235">
        <v>1.0688987287593599E-2</v>
      </c>
      <c r="AI436" s="260">
        <f>(1+H436/200)^2-1</f>
        <v>1.3243559999999821E-2</v>
      </c>
      <c r="AJ436" s="260">
        <f>(1+I436/200)^2-1</f>
        <v>1.7677439999999933E-2</v>
      </c>
      <c r="AK436" s="260">
        <f>(1+E436/200)^2-1</f>
        <v>-3.99959999999977E-4</v>
      </c>
      <c r="AM436" s="240" t="s">
        <v>146</v>
      </c>
      <c r="AN436" s="226" t="b">
        <v>1</v>
      </c>
      <c r="AO436" s="226" t="s">
        <v>145</v>
      </c>
      <c r="AP436" s="226">
        <v>2014</v>
      </c>
      <c r="AQ436" s="226">
        <v>2021</v>
      </c>
      <c r="AS436" s="232">
        <v>1.42</v>
      </c>
      <c r="AT436" s="232">
        <v>1.7490000000000001</v>
      </c>
      <c r="AU436" s="232">
        <v>1.911</v>
      </c>
      <c r="AV436" s="232">
        <v>2.5329999999999999</v>
      </c>
      <c r="AW436" s="232">
        <v>2.6389999999999998</v>
      </c>
      <c r="AX436" s="232">
        <v>3.3639999999999999</v>
      </c>
      <c r="AZ436" s="196">
        <f t="shared" ref="AZ436" si="171">(1+AU436/200)^2-(1+$AS436/200)^2</f>
        <v>4.9508880249997667E-3</v>
      </c>
      <c r="BA436" s="196">
        <f t="shared" ref="BA436" si="172">(1+AW436/200)^2-(1+$AS436/200)^2</f>
        <v>1.231369802499982E-2</v>
      </c>
      <c r="BB436" s="196">
        <f t="shared" ref="BB436" si="173">(1+AV436/200)^2-(1+$AT436/200)^2</f>
        <v>7.9239271999997918E-3</v>
      </c>
      <c r="BC436" s="196">
        <f t="shared" ref="BC436" si="174">(1+AX436/200)^2-(1+$AT436/200)^2</f>
        <v>1.6356437375000255E-2</v>
      </c>
      <c r="BD436" s="196">
        <f t="shared" ref="BD436" si="175">MIN(1.5%,0.667*AZ436+0.333*BA436)</f>
        <v>7.402703754999785E-3</v>
      </c>
      <c r="BE436" s="196">
        <f t="shared" ref="BE436" si="176">MIN(1.5%,0.667*BB436+0.333*BC436)</f>
        <v>1.0731953088274945E-2</v>
      </c>
      <c r="BG436" s="241">
        <f>AI435+BD435</f>
        <v>2.3175584678400085E-2</v>
      </c>
      <c r="BH436" s="241">
        <f>AJ435+0.5*(AJ435-AI435)+BE435</f>
        <v>3.3628087924100269E-2</v>
      </c>
      <c r="BI436" s="242">
        <f t="shared" ref="BI436" si="177">ROUND(BG436/0.1%,0)*0.1%</f>
        <v>2.3E-2</v>
      </c>
      <c r="BJ436" s="242">
        <f t="shared" ref="BJ436" si="178">ROUND(BH436/0.1%,0)*0.1%</f>
        <v>3.4000000000000002E-2</v>
      </c>
      <c r="BK436" s="241">
        <f>(1+AI435)/(1+BM435)-1</f>
        <v>1.5074887654948688E-2</v>
      </c>
      <c r="BL436" s="241">
        <f t="shared" ref="BL436" si="179">(1+AJ435+0.5*(AJ435-AI435))/(1+AK435+0.5*(AK435-BM435))-1</f>
        <v>2.1377974575187197E-2</v>
      </c>
      <c r="BM436" s="243">
        <f t="shared" ref="BM436" si="180">AK436*AI436/AJ436</f>
        <v>-2.9964147849460349E-4</v>
      </c>
      <c r="BN436" s="243">
        <f t="shared" ref="BN436" si="181">AI436</f>
        <v>1.3243559999999821E-2</v>
      </c>
      <c r="BO436" s="243">
        <f t="shared" ref="BO436" si="182">AJ436</f>
        <v>1.7677439999999933E-2</v>
      </c>
      <c r="BP436" s="243">
        <f t="shared" ref="BP436" si="183">AK436</f>
        <v>-3.99959999999977E-4</v>
      </c>
      <c r="BQ436" s="244">
        <f t="shared" ref="BQ436" si="184">C436/100</f>
        <v>1.7500000000000002E-2</v>
      </c>
      <c r="BR436" s="211">
        <v>-99</v>
      </c>
      <c r="BS436" s="244">
        <f t="shared" ref="BS436" si="185">H436/100</f>
        <v>1.32E-2</v>
      </c>
      <c r="BT436" s="244">
        <f t="shared" ref="BT436" si="186">I436/100</f>
        <v>1.7600000000000001E-2</v>
      </c>
      <c r="BU436" s="244">
        <f t="shared" ref="BU436" si="187">E436/100</f>
        <v>-4.0000000000000002E-4</v>
      </c>
    </row>
    <row r="437" spans="1:73" x14ac:dyDescent="0.3">
      <c r="A437" s="209">
        <v>44562</v>
      </c>
      <c r="B437" s="187">
        <v>202201</v>
      </c>
      <c r="N437" s="271">
        <f>ROUND(((1+(C435/100+0.005)/2)^2-1)*400,0)/400</f>
        <v>2.5000000000000001E-2</v>
      </c>
      <c r="O437" s="271">
        <f>ROUND(((1+(E435/100+0.0025)/2)^2-1)*400,0)/400</f>
        <v>5.0000000000000001E-3</v>
      </c>
      <c r="P437" s="272"/>
      <c r="Q437" s="271">
        <f>ROUND((AI435+0.5%)/0.25%,0)*0.25%</f>
        <v>2.2499999999999999E-2</v>
      </c>
      <c r="R437" s="271">
        <f>ROUND(40000*(AJ435+0.5*(AJ435-AI435)+0.005),-2)/40000</f>
        <v>2.75E-2</v>
      </c>
      <c r="S437" s="271">
        <f>ROUND(40000*(AK435*(AI435/AJ435)+0.005),-2)/40000</f>
        <v>5.0000000000000001E-3</v>
      </c>
      <c r="T437" s="271">
        <f>ROUND(40000*(AK435+0.5*(AK435-AK435*(AI435/AJ435))+0.005),-2)/40000</f>
        <v>7.4999999999999997E-3</v>
      </c>
      <c r="U437" s="273"/>
      <c r="V437" s="274">
        <f>BI437</f>
        <v>2.1000000000000001E-2</v>
      </c>
      <c r="W437" s="274">
        <f>BJ437</f>
        <v>3.1E-2</v>
      </c>
      <c r="X437" s="268">
        <v>-99</v>
      </c>
      <c r="Y437" s="268">
        <v>-99</v>
      </c>
      <c r="AA437" s="261">
        <f t="shared" ref="AA437" si="188">BG437</f>
        <v>2.0646263754999606E-2</v>
      </c>
      <c r="AB437" s="261">
        <f t="shared" ref="AB437" si="189">BH437</f>
        <v>3.0626333088274935E-2</v>
      </c>
      <c r="AC437" s="262">
        <f t="shared" ref="AC437" si="190">(1+AA437)/(1+BK437)-1</f>
        <v>7.0041163641920701E-3</v>
      </c>
      <c r="AD437" s="262">
        <f t="shared" ref="AD437" si="191">(1+AB437)/(1+BL437)-1</f>
        <v>1.0067756550549145E-2</v>
      </c>
      <c r="AE437" s="262"/>
      <c r="AF437" s="261">
        <f t="shared" ref="AF437" si="192">BK437/2</f>
        <v>6.7736303998749969E-3</v>
      </c>
      <c r="AG437" s="261">
        <f t="shared" ref="AG437" si="193">BL437/2</f>
        <v>1.017683041776074E-2</v>
      </c>
      <c r="AI437" s="269">
        <v>-99</v>
      </c>
      <c r="AJ437" s="269">
        <v>-99</v>
      </c>
      <c r="AK437" s="269">
        <v>-99</v>
      </c>
      <c r="AM437" s="275" t="s">
        <v>146</v>
      </c>
      <c r="AN437" s="270" t="b">
        <v>1</v>
      </c>
      <c r="AO437" s="270" t="s">
        <v>145</v>
      </c>
      <c r="AP437" s="270">
        <v>2014</v>
      </c>
      <c r="AQ437" s="270">
        <v>2022</v>
      </c>
      <c r="AS437" s="266">
        <v>-99</v>
      </c>
      <c r="AT437" s="266">
        <v>-99</v>
      </c>
      <c r="AU437" s="266">
        <v>-99</v>
      </c>
      <c r="AV437" s="266">
        <v>-99</v>
      </c>
      <c r="AW437" s="266">
        <v>-99</v>
      </c>
      <c r="AX437" s="266">
        <v>-99</v>
      </c>
      <c r="AZ437" s="269">
        <v>-99</v>
      </c>
      <c r="BA437" s="269">
        <v>-99</v>
      </c>
      <c r="BB437" s="269">
        <v>-99</v>
      </c>
      <c r="BC437" s="269">
        <v>-99</v>
      </c>
      <c r="BD437" s="269">
        <v>-99</v>
      </c>
      <c r="BE437" s="269">
        <v>-99</v>
      </c>
      <c r="BG437" s="276">
        <f t="shared" ref="BG437" si="194">AI436+BD436</f>
        <v>2.0646263754999606E-2</v>
      </c>
      <c r="BH437" s="276">
        <f t="shared" ref="BH437" si="195">AJ436+0.5*(AJ436-AI436)+BE436</f>
        <v>3.0626333088274935E-2</v>
      </c>
      <c r="BI437" s="277">
        <f t="shared" ref="BI437" si="196">ROUND(BG437/0.1%,0)*0.1%</f>
        <v>2.1000000000000001E-2</v>
      </c>
      <c r="BJ437" s="277">
        <f t="shared" ref="BJ437" si="197">ROUND(BH437/0.1%,0)*0.1%</f>
        <v>3.1E-2</v>
      </c>
      <c r="BK437" s="276">
        <f t="shared" ref="BK437" si="198">(1+AI436)/(1+BM436)-1</f>
        <v>1.3547260799749994E-2</v>
      </c>
      <c r="BL437" s="276">
        <f t="shared" ref="BL437" si="199">(1+AJ436+0.5*(AJ436-AI436))/(1+AK436+0.5*(AK436-BM436))-1</f>
        <v>2.0353660835521481E-2</v>
      </c>
      <c r="BM437" s="269">
        <v>-99</v>
      </c>
      <c r="BN437" s="269">
        <v>-99</v>
      </c>
      <c r="BO437" s="269">
        <v>-99</v>
      </c>
      <c r="BP437" s="269">
        <v>-99</v>
      </c>
      <c r="BQ437" s="269">
        <v>-99</v>
      </c>
      <c r="BR437" s="269">
        <v>-99</v>
      </c>
      <c r="BS437" s="269">
        <v>-99</v>
      </c>
      <c r="BT437" s="269">
        <v>-99</v>
      </c>
      <c r="BU437" s="269">
        <v>-99</v>
      </c>
    </row>
    <row r="438" spans="1:73" x14ac:dyDescent="0.3">
      <c r="A438" s="209">
        <v>44593</v>
      </c>
      <c r="B438" s="187">
        <v>202202</v>
      </c>
      <c r="BM438" s="191">
        <f>(1+BP438)*(1+BN438)/(1+BO438)-1</f>
        <v>0</v>
      </c>
    </row>
    <row r="439" spans="1:73" x14ac:dyDescent="0.3">
      <c r="A439" s="209">
        <v>44621</v>
      </c>
      <c r="B439" s="187">
        <v>202203</v>
      </c>
      <c r="AZ439" s="263"/>
      <c r="BA439" s="263"/>
      <c r="BB439" s="263"/>
      <c r="BC439" s="263"/>
      <c r="BD439" s="263"/>
      <c r="BE439" s="263"/>
      <c r="BM439" s="191">
        <f>(1+BP436)*(1+BN436)/(1+BO436)-1</f>
        <v>-4.7550792658406227E-3</v>
      </c>
      <c r="BN439" s="264"/>
      <c r="BO439" s="264"/>
      <c r="BP439" s="264"/>
    </row>
    <row r="440" spans="1:73" x14ac:dyDescent="0.3">
      <c r="A440" s="209">
        <v>44652</v>
      </c>
      <c r="B440" s="187">
        <v>202204</v>
      </c>
    </row>
    <row r="441" spans="1:73" x14ac:dyDescent="0.3">
      <c r="A441" s="209">
        <v>44682</v>
      </c>
      <c r="B441" s="187">
        <v>202205</v>
      </c>
    </row>
    <row r="442" spans="1:73" x14ac:dyDescent="0.3">
      <c r="A442" s="209">
        <v>44713</v>
      </c>
      <c r="B442" s="187">
        <v>202206</v>
      </c>
    </row>
    <row r="443" spans="1:73" x14ac:dyDescent="0.3">
      <c r="A443" s="209">
        <v>44743</v>
      </c>
      <c r="B443" s="187">
        <v>202207</v>
      </c>
    </row>
    <row r="444" spans="1:73" x14ac:dyDescent="0.3">
      <c r="A444" s="209">
        <v>44774</v>
      </c>
      <c r="B444" s="187">
        <v>202208</v>
      </c>
    </row>
    <row r="445" spans="1:73" x14ac:dyDescent="0.3">
      <c r="A445" s="209">
        <v>44805</v>
      </c>
      <c r="B445" s="187">
        <v>202209</v>
      </c>
    </row>
    <row r="446" spans="1:73" x14ac:dyDescent="0.3">
      <c r="A446" s="209">
        <v>44835</v>
      </c>
      <c r="B446" s="187">
        <v>202210</v>
      </c>
    </row>
    <row r="447" spans="1:73" x14ac:dyDescent="0.3">
      <c r="A447" s="209">
        <v>44866</v>
      </c>
      <c r="B447" s="187">
        <v>202211</v>
      </c>
    </row>
    <row r="448" spans="1:73" x14ac:dyDescent="0.3">
      <c r="A448" s="209">
        <v>44896</v>
      </c>
      <c r="B448" s="181">
        <f t="shared" ref="B448" si="200">100*YEAR(A448)+MONTH(A448)</f>
        <v>202212</v>
      </c>
    </row>
    <row r="455" spans="1:1" x14ac:dyDescent="0.3">
      <c r="A455" s="245" t="s">
        <v>155</v>
      </c>
    </row>
  </sheetData>
  <mergeCells count="24">
    <mergeCell ref="BK4:BL4"/>
    <mergeCell ref="BG3:BL3"/>
    <mergeCell ref="AS3:AX3"/>
    <mergeCell ref="AS4:AT4"/>
    <mergeCell ref="AU4:AV4"/>
    <mergeCell ref="AW4:AX4"/>
    <mergeCell ref="AZ3:BE3"/>
    <mergeCell ref="BG4:BH4"/>
    <mergeCell ref="AM3:AQ3"/>
    <mergeCell ref="AI3:AK3"/>
    <mergeCell ref="V3:Y3"/>
    <mergeCell ref="V4:W4"/>
    <mergeCell ref="BI4:BJ4"/>
    <mergeCell ref="X4:Y4"/>
    <mergeCell ref="AF3:AG3"/>
    <mergeCell ref="AA3:AD3"/>
    <mergeCell ref="AA4:AB4"/>
    <mergeCell ref="AC4:AD4"/>
    <mergeCell ref="C3:I3"/>
    <mergeCell ref="S4:T4"/>
    <mergeCell ref="Q4:R4"/>
    <mergeCell ref="Q3:T3"/>
    <mergeCell ref="K3:L3"/>
    <mergeCell ref="N3:O3"/>
  </mergeCells>
  <phoneticPr fontId="2" type="noConversion"/>
  <conditionalFormatting sqref="BD3:BE3 BD438:BE438 BD412:BE426 BD429:BE432 BD440:BE65536">
    <cfRule type="cellIs" dxfId="2" priority="6" stopIfTrue="1" operator="greaterThanOrEqual">
      <formula>0.015</formula>
    </cfRule>
  </conditionalFormatting>
  <conditionalFormatting sqref="BK3:BL3">
    <cfRule type="cellIs" dxfId="1" priority="5" stopIfTrue="1" operator="greaterThanOrEqual">
      <formula>0.015</formula>
    </cfRule>
  </conditionalFormatting>
  <conditionalFormatting sqref="BD427:BE428">
    <cfRule type="cellIs" dxfId="0" priority="1" stopIfTrue="1" operator="greaterThanOrEqual">
      <formula>0.015</formula>
    </cfRule>
  </conditionalFormatting>
  <hyperlinks>
    <hyperlink ref="AM284" r:id="rId1" display="UP94@2020" xr:uid="{00000000-0004-0000-1000-000000000000}"/>
    <hyperlink ref="AM285" r:id="rId2" display="UP94@2020" xr:uid="{00000000-0004-0000-1000-000001000000}"/>
    <hyperlink ref="AM286" r:id="rId3" display="UP94@2020" xr:uid="{00000000-0004-0000-1000-000002000000}"/>
    <hyperlink ref="AM288" r:id="rId4" display="UP94@2020" xr:uid="{00000000-0004-0000-1000-000003000000}"/>
    <hyperlink ref="AM290" r:id="rId5" display="UP94@2020" xr:uid="{00000000-0004-0000-1000-000004000000}"/>
    <hyperlink ref="AM292" r:id="rId6" display="UP94@2020" xr:uid="{00000000-0004-0000-1000-000005000000}"/>
    <hyperlink ref="AM294" r:id="rId7" display="UP94@2020" xr:uid="{00000000-0004-0000-1000-000006000000}"/>
    <hyperlink ref="AM296" r:id="rId8" display="UP94@2020" xr:uid="{00000000-0004-0000-1000-000007000000}"/>
    <hyperlink ref="AM298" r:id="rId9" display="UP94@2020" xr:uid="{00000000-0004-0000-1000-000008000000}"/>
    <hyperlink ref="AM300" r:id="rId10" display="UP94@2020" xr:uid="{00000000-0004-0000-1000-000009000000}"/>
    <hyperlink ref="AM302" r:id="rId11" display="UP94@2020" xr:uid="{00000000-0004-0000-1000-00000A000000}"/>
    <hyperlink ref="AM304" r:id="rId12" display="UP94@2020" xr:uid="{00000000-0004-0000-1000-00000B000000}"/>
    <hyperlink ref="AM287" r:id="rId13" display="UP94@2020" xr:uid="{00000000-0004-0000-1000-00000C000000}"/>
    <hyperlink ref="AM289" r:id="rId14" display="UP94@2020" xr:uid="{00000000-0004-0000-1000-00000D000000}"/>
    <hyperlink ref="AM291" r:id="rId15" display="UP94@2020" xr:uid="{00000000-0004-0000-1000-00000E000000}"/>
    <hyperlink ref="AM293" r:id="rId16" display="UP94@2020" xr:uid="{00000000-0004-0000-1000-00000F000000}"/>
    <hyperlink ref="AM295" r:id="rId17" display="UP94@2020" xr:uid="{00000000-0004-0000-1000-000010000000}"/>
    <hyperlink ref="AM297" r:id="rId18" display="UP94@2020" xr:uid="{00000000-0004-0000-1000-000011000000}"/>
    <hyperlink ref="AM299" r:id="rId19" display="UP94@2020" xr:uid="{00000000-0004-0000-1000-000012000000}"/>
    <hyperlink ref="AM301" r:id="rId20" display="UP94@2020" xr:uid="{00000000-0004-0000-1000-000013000000}"/>
    <hyperlink ref="AM303" r:id="rId21" display="UP94@2020" xr:uid="{00000000-0004-0000-1000-000014000000}"/>
    <hyperlink ref="AM305" r:id="rId22" display="UP94@2020" xr:uid="{00000000-0004-0000-1000-000015000000}"/>
  </hyperlinks>
  <pageMargins left="0.75" right="0.75" top="1" bottom="1" header="0.4921259845" footer="0.4921259845"/>
  <pageSetup paperSize="5" scale="36" fitToHeight="0" orientation="landscape" r:id="rId23"/>
  <headerFooter alignWithMargins="0"/>
  <legacyDrawing r:id="rId24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6"/>
  <dimension ref="A1:P115"/>
  <sheetViews>
    <sheetView workbookViewId="0">
      <pane xSplit="1" ySplit="3" topLeftCell="B104" activePane="bottomRight" state="frozen"/>
      <selection activeCell="N24" sqref="N24"/>
      <selection pane="topRight" activeCell="N24" sqref="N24"/>
      <selection pane="bottomLeft" activeCell="N24" sqref="N24"/>
      <selection pane="bottomRight" activeCell="M115" sqref="M115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6" x14ac:dyDescent="0.3">
      <c r="A1" s="1" t="s">
        <v>78</v>
      </c>
      <c r="O1" s="7" t="s">
        <v>151</v>
      </c>
      <c r="P1" s="7">
        <f>COUNTA(A:A)+1</f>
        <v>111</v>
      </c>
    </row>
    <row r="2" spans="1:16" s="187" customFormat="1" x14ac:dyDescent="0.3">
      <c r="A2" s="175">
        <v>2</v>
      </c>
      <c r="B2" s="247">
        <v>1</v>
      </c>
      <c r="C2" s="247">
        <v>2</v>
      </c>
      <c r="D2" s="247">
        <v>3</v>
      </c>
      <c r="E2" s="247">
        <v>4</v>
      </c>
      <c r="F2" s="247">
        <v>5</v>
      </c>
      <c r="G2" s="247">
        <v>6</v>
      </c>
      <c r="H2" s="247">
        <v>7</v>
      </c>
      <c r="I2" s="247">
        <v>8</v>
      </c>
      <c r="J2" s="247">
        <v>9</v>
      </c>
      <c r="K2" s="247">
        <v>10</v>
      </c>
      <c r="L2" s="247">
        <v>11</v>
      </c>
      <c r="M2" s="247">
        <v>12</v>
      </c>
      <c r="O2" s="187" t="s">
        <v>150</v>
      </c>
      <c r="P2" s="7">
        <f ca="1">COUNTA(INDIRECT(_lastRowCPI&amp;":"&amp;_lastRowCPI))-2</f>
        <v>12</v>
      </c>
    </row>
    <row r="3" spans="1:16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  <c r="O3" s="248" t="s">
        <v>152</v>
      </c>
      <c r="P3" s="249">
        <f ca="1">DATE(INDIRECT("A"&amp;_lastRowCPI),_lastMonthCPI,1)</f>
        <v>44531</v>
      </c>
    </row>
    <row r="4" spans="1:16" x14ac:dyDescent="0.3">
      <c r="A4" s="7">
        <v>1914</v>
      </c>
      <c r="B4" s="246">
        <v>6</v>
      </c>
      <c r="C4" s="246">
        <v>6</v>
      </c>
      <c r="D4" s="246">
        <v>6</v>
      </c>
      <c r="E4" s="246">
        <v>6</v>
      </c>
      <c r="F4" s="246">
        <v>5.9</v>
      </c>
      <c r="G4" s="246">
        <v>6</v>
      </c>
      <c r="H4" s="246">
        <v>5.9</v>
      </c>
      <c r="I4" s="246">
        <v>6</v>
      </c>
      <c r="J4" s="246">
        <v>6</v>
      </c>
      <c r="K4" s="246">
        <v>6.1</v>
      </c>
      <c r="L4" s="246">
        <v>6.1</v>
      </c>
      <c r="M4" s="246">
        <v>6.1</v>
      </c>
      <c r="N4" s="246">
        <f>AVERAGE(B4:M4)</f>
        <v>6.0083333333333329</v>
      </c>
    </row>
    <row r="5" spans="1:16" x14ac:dyDescent="0.3">
      <c r="A5" s="7">
        <v>1915</v>
      </c>
      <c r="B5" s="246">
        <v>6.1</v>
      </c>
      <c r="C5" s="246">
        <v>6.1</v>
      </c>
      <c r="D5" s="246">
        <v>6.1</v>
      </c>
      <c r="E5" s="246">
        <v>6.1</v>
      </c>
      <c r="F5" s="246">
        <v>6.1</v>
      </c>
      <c r="G5" s="246">
        <v>6.1</v>
      </c>
      <c r="H5" s="246">
        <v>6.1</v>
      </c>
      <c r="I5" s="246">
        <v>6.1</v>
      </c>
      <c r="J5" s="246">
        <v>6.1</v>
      </c>
      <c r="K5" s="246">
        <v>6.1</v>
      </c>
      <c r="L5" s="246">
        <v>6.3</v>
      </c>
      <c r="M5" s="246">
        <v>6.3</v>
      </c>
      <c r="N5" s="246">
        <f t="shared" ref="N5:N68" si="0">AVERAGE(B5:M5)</f>
        <v>6.1333333333333337</v>
      </c>
    </row>
    <row r="6" spans="1:16" x14ac:dyDescent="0.3">
      <c r="A6" s="7">
        <v>1916</v>
      </c>
      <c r="B6" s="246">
        <v>6.4</v>
      </c>
      <c r="C6" s="246">
        <v>6.5</v>
      </c>
      <c r="D6" s="246">
        <v>6.5</v>
      </c>
      <c r="E6" s="246">
        <v>6.5</v>
      </c>
      <c r="F6" s="246">
        <v>6.5</v>
      </c>
      <c r="G6" s="246">
        <v>6.6</v>
      </c>
      <c r="H6" s="246">
        <v>6.6</v>
      </c>
      <c r="I6" s="246">
        <v>6.6</v>
      </c>
      <c r="J6" s="246">
        <v>6.8</v>
      </c>
      <c r="K6" s="246">
        <v>6.9</v>
      </c>
      <c r="L6" s="246">
        <v>7.1</v>
      </c>
      <c r="M6" s="246">
        <v>7.2</v>
      </c>
      <c r="N6" s="246">
        <f t="shared" si="0"/>
        <v>6.6833333333333336</v>
      </c>
    </row>
    <row r="7" spans="1:16" x14ac:dyDescent="0.3">
      <c r="A7" s="7">
        <v>1917</v>
      </c>
      <c r="B7" s="246">
        <v>7.4</v>
      </c>
      <c r="C7" s="246">
        <v>7.4</v>
      </c>
      <c r="D7" s="246">
        <v>7.6</v>
      </c>
      <c r="E7" s="246">
        <v>7.6</v>
      </c>
      <c r="F7" s="246">
        <v>7.9</v>
      </c>
      <c r="G7" s="246">
        <v>8</v>
      </c>
      <c r="H7" s="246">
        <v>8</v>
      </c>
      <c r="I7" s="246">
        <v>8</v>
      </c>
      <c r="J7" s="246">
        <v>8</v>
      </c>
      <c r="K7" s="246">
        <v>8.1999999999999993</v>
      </c>
      <c r="L7" s="246">
        <v>8.1999999999999993</v>
      </c>
      <c r="M7" s="246">
        <v>8.3000000000000007</v>
      </c>
      <c r="N7" s="246">
        <f t="shared" si="0"/>
        <v>7.8833333333333337</v>
      </c>
    </row>
    <row r="8" spans="1:16" x14ac:dyDescent="0.3">
      <c r="A8" s="7">
        <v>1918</v>
      </c>
      <c r="B8" s="246">
        <v>8.4</v>
      </c>
      <c r="C8" s="246">
        <v>8.5</v>
      </c>
      <c r="D8" s="246">
        <v>8.6</v>
      </c>
      <c r="E8" s="246">
        <v>8.6</v>
      </c>
      <c r="F8" s="246">
        <v>8.6999999999999993</v>
      </c>
      <c r="G8" s="246">
        <v>8.8000000000000007</v>
      </c>
      <c r="H8" s="246">
        <v>8.9</v>
      </c>
      <c r="I8" s="246">
        <v>9.1999999999999993</v>
      </c>
      <c r="J8" s="246">
        <v>9.1999999999999993</v>
      </c>
      <c r="K8" s="246">
        <v>9.3000000000000007</v>
      </c>
      <c r="L8" s="246">
        <v>9.4</v>
      </c>
      <c r="M8" s="246">
        <v>9.4</v>
      </c>
      <c r="N8" s="246">
        <f t="shared" si="0"/>
        <v>8.9166666666666661</v>
      </c>
    </row>
    <row r="9" spans="1:16" x14ac:dyDescent="0.3">
      <c r="A9" s="7">
        <v>1919</v>
      </c>
      <c r="B9" s="246">
        <v>9.5</v>
      </c>
      <c r="C9" s="246">
        <v>9.4</v>
      </c>
      <c r="D9" s="246">
        <v>9.4</v>
      </c>
      <c r="E9" s="246">
        <v>9.4</v>
      </c>
      <c r="F9" s="246">
        <v>9.6999999999999993</v>
      </c>
      <c r="G9" s="246">
        <v>9.6999999999999993</v>
      </c>
      <c r="H9" s="246">
        <v>9.8000000000000007</v>
      </c>
      <c r="I9" s="246">
        <v>10</v>
      </c>
      <c r="J9" s="246">
        <v>10</v>
      </c>
      <c r="K9" s="246">
        <v>10</v>
      </c>
      <c r="L9" s="246">
        <v>10.1</v>
      </c>
      <c r="M9" s="246">
        <v>10.199999999999999</v>
      </c>
      <c r="N9" s="246">
        <f t="shared" si="0"/>
        <v>9.7666666666666657</v>
      </c>
    </row>
    <row r="10" spans="1:16" x14ac:dyDescent="0.3">
      <c r="A10" s="7">
        <v>1920</v>
      </c>
      <c r="B10" s="246">
        <v>10.6</v>
      </c>
      <c r="C10" s="246">
        <v>10.8</v>
      </c>
      <c r="D10" s="246">
        <v>11.2</v>
      </c>
      <c r="E10" s="246">
        <v>11.3</v>
      </c>
      <c r="F10" s="246">
        <v>11.6</v>
      </c>
      <c r="G10" s="246">
        <v>11.8</v>
      </c>
      <c r="H10" s="246">
        <v>11.8</v>
      </c>
      <c r="I10" s="246">
        <v>11.7</v>
      </c>
      <c r="J10" s="246">
        <v>11.5</v>
      </c>
      <c r="K10" s="246">
        <v>11.5</v>
      </c>
      <c r="L10" s="246">
        <v>11.3</v>
      </c>
      <c r="M10" s="246">
        <v>11.2</v>
      </c>
      <c r="N10" s="246">
        <f t="shared" si="0"/>
        <v>11.358333333333333</v>
      </c>
    </row>
    <row r="11" spans="1:16" x14ac:dyDescent="0.3">
      <c r="A11" s="7">
        <v>1921</v>
      </c>
      <c r="B11" s="246">
        <v>11</v>
      </c>
      <c r="C11" s="246">
        <v>10.8</v>
      </c>
      <c r="D11" s="246">
        <v>10.5</v>
      </c>
      <c r="E11" s="246">
        <v>10.199999999999999</v>
      </c>
      <c r="F11" s="246">
        <v>10</v>
      </c>
      <c r="G11" s="246">
        <v>9.6999999999999993</v>
      </c>
      <c r="H11" s="246">
        <v>9.6999999999999993</v>
      </c>
      <c r="I11" s="246">
        <v>9.6999999999999993</v>
      </c>
      <c r="J11" s="246">
        <v>9.6999999999999993</v>
      </c>
      <c r="K11" s="246">
        <v>9.6999999999999993</v>
      </c>
      <c r="L11" s="246">
        <v>9.4</v>
      </c>
      <c r="M11" s="246">
        <v>9.4</v>
      </c>
      <c r="N11" s="246">
        <f t="shared" si="0"/>
        <v>9.9833333333333361</v>
      </c>
    </row>
    <row r="12" spans="1:16" x14ac:dyDescent="0.3">
      <c r="A12" s="7">
        <v>1922</v>
      </c>
      <c r="B12" s="246">
        <v>9.4</v>
      </c>
      <c r="C12" s="246">
        <v>9.3000000000000007</v>
      </c>
      <c r="D12" s="246">
        <v>9.1999999999999993</v>
      </c>
      <c r="E12" s="246">
        <v>9.1999999999999993</v>
      </c>
      <c r="F12" s="246">
        <v>9.1</v>
      </c>
      <c r="G12" s="246">
        <v>9.1</v>
      </c>
      <c r="H12" s="246">
        <v>9.1</v>
      </c>
      <c r="I12" s="246">
        <v>9.1999999999999993</v>
      </c>
      <c r="J12" s="246">
        <v>9.1999999999999993</v>
      </c>
      <c r="K12" s="246">
        <v>9.1999999999999993</v>
      </c>
      <c r="L12" s="246">
        <v>9.1999999999999993</v>
      </c>
      <c r="M12" s="246">
        <v>9.1999999999999993</v>
      </c>
      <c r="N12" s="246">
        <f t="shared" si="0"/>
        <v>9.2000000000000011</v>
      </c>
    </row>
    <row r="13" spans="1:16" x14ac:dyDescent="0.3">
      <c r="A13" s="7">
        <v>1923</v>
      </c>
      <c r="B13" s="246">
        <v>9.1999999999999993</v>
      </c>
      <c r="C13" s="246">
        <v>9.1999999999999993</v>
      </c>
      <c r="D13" s="246">
        <v>9.3000000000000007</v>
      </c>
      <c r="E13" s="246">
        <v>9.1999999999999993</v>
      </c>
      <c r="F13" s="246">
        <v>9.1999999999999993</v>
      </c>
      <c r="G13" s="246">
        <v>9.1999999999999993</v>
      </c>
      <c r="H13" s="246">
        <v>9.1</v>
      </c>
      <c r="I13" s="246">
        <v>9.1999999999999993</v>
      </c>
      <c r="J13" s="246">
        <v>9.1999999999999993</v>
      </c>
      <c r="K13" s="246">
        <v>9.1999999999999993</v>
      </c>
      <c r="L13" s="246">
        <v>9.1999999999999993</v>
      </c>
      <c r="M13" s="246">
        <v>9.1999999999999993</v>
      </c>
      <c r="N13" s="246">
        <f t="shared" si="0"/>
        <v>9.2000000000000011</v>
      </c>
    </row>
    <row r="14" spans="1:16" x14ac:dyDescent="0.3">
      <c r="A14" s="7">
        <v>1924</v>
      </c>
      <c r="B14" s="246">
        <v>9.1999999999999993</v>
      </c>
      <c r="C14" s="246">
        <v>9.1999999999999993</v>
      </c>
      <c r="D14" s="246">
        <v>9.1999999999999993</v>
      </c>
      <c r="E14" s="246">
        <v>9</v>
      </c>
      <c r="F14" s="246">
        <v>8.9</v>
      </c>
      <c r="G14" s="246">
        <v>8.8000000000000007</v>
      </c>
      <c r="H14" s="246">
        <v>8.8000000000000007</v>
      </c>
      <c r="I14" s="246">
        <v>9</v>
      </c>
      <c r="J14" s="246">
        <v>9</v>
      </c>
      <c r="K14" s="246">
        <v>9</v>
      </c>
      <c r="L14" s="246">
        <v>9.1</v>
      </c>
      <c r="M14" s="246">
        <v>9.1</v>
      </c>
      <c r="N14" s="246">
        <f t="shared" si="0"/>
        <v>9.0249999999999986</v>
      </c>
    </row>
    <row r="15" spans="1:16" x14ac:dyDescent="0.3">
      <c r="A15" s="7">
        <v>1925</v>
      </c>
      <c r="B15" s="246">
        <v>9.1999999999999993</v>
      </c>
      <c r="C15" s="246">
        <v>9.1999999999999993</v>
      </c>
      <c r="D15" s="246">
        <v>9.1999999999999993</v>
      </c>
      <c r="E15" s="246">
        <v>9.1</v>
      </c>
      <c r="F15" s="246">
        <v>9</v>
      </c>
      <c r="G15" s="246">
        <v>9</v>
      </c>
      <c r="H15" s="246">
        <v>9</v>
      </c>
      <c r="I15" s="246">
        <v>9.1</v>
      </c>
      <c r="J15" s="246">
        <v>9.1</v>
      </c>
      <c r="K15" s="246">
        <v>9.1999999999999993</v>
      </c>
      <c r="L15" s="246">
        <v>9.1999999999999993</v>
      </c>
      <c r="M15" s="246">
        <v>9.3000000000000007</v>
      </c>
      <c r="N15" s="246">
        <f t="shared" si="0"/>
        <v>9.1333333333333329</v>
      </c>
    </row>
    <row r="16" spans="1:16" x14ac:dyDescent="0.3">
      <c r="A16" s="7">
        <v>1926</v>
      </c>
      <c r="B16" s="246">
        <v>9.1999999999999993</v>
      </c>
      <c r="C16" s="246">
        <v>9.1999999999999993</v>
      </c>
      <c r="D16" s="246">
        <v>9.1999999999999993</v>
      </c>
      <c r="E16" s="246">
        <v>9.1999999999999993</v>
      </c>
      <c r="F16" s="246">
        <v>9.1999999999999993</v>
      </c>
      <c r="G16" s="246">
        <v>9.1999999999999993</v>
      </c>
      <c r="H16" s="246">
        <v>9.1999999999999993</v>
      </c>
      <c r="I16" s="246">
        <v>9.1999999999999993</v>
      </c>
      <c r="J16" s="246">
        <v>9.1999999999999993</v>
      </c>
      <c r="K16" s="246">
        <v>9.1999999999999993</v>
      </c>
      <c r="L16" s="246">
        <v>9.1999999999999993</v>
      </c>
      <c r="M16" s="246">
        <v>9.1999999999999993</v>
      </c>
      <c r="N16" s="246">
        <f t="shared" si="0"/>
        <v>9.2000000000000011</v>
      </c>
    </row>
    <row r="17" spans="1:14" x14ac:dyDescent="0.3">
      <c r="A17" s="7">
        <v>1927</v>
      </c>
      <c r="B17" s="246">
        <v>9.1999999999999993</v>
      </c>
      <c r="C17" s="246">
        <v>9.1999999999999993</v>
      </c>
      <c r="D17" s="246">
        <v>9.1</v>
      </c>
      <c r="E17" s="246">
        <v>9</v>
      </c>
      <c r="F17" s="246">
        <v>9</v>
      </c>
      <c r="G17" s="246">
        <v>9</v>
      </c>
      <c r="H17" s="246">
        <v>9.1</v>
      </c>
      <c r="I17" s="246">
        <v>9</v>
      </c>
      <c r="J17" s="246">
        <v>9</v>
      </c>
      <c r="K17" s="246">
        <v>9</v>
      </c>
      <c r="L17" s="246">
        <v>9.1</v>
      </c>
      <c r="M17" s="246">
        <v>9.1</v>
      </c>
      <c r="N17" s="246">
        <f t="shared" si="0"/>
        <v>9.0666666666666647</v>
      </c>
    </row>
    <row r="18" spans="1:14" x14ac:dyDescent="0.3">
      <c r="A18" s="7">
        <v>1928</v>
      </c>
      <c r="B18" s="246">
        <v>9.1999999999999993</v>
      </c>
      <c r="C18" s="246">
        <v>9.1999999999999993</v>
      </c>
      <c r="D18" s="246">
        <v>9.1</v>
      </c>
      <c r="E18" s="246">
        <v>9.1</v>
      </c>
      <c r="F18" s="246">
        <v>9</v>
      </c>
      <c r="G18" s="246">
        <v>9</v>
      </c>
      <c r="H18" s="246">
        <v>9</v>
      </c>
      <c r="I18" s="246">
        <v>9.1999999999999993</v>
      </c>
      <c r="J18" s="246">
        <v>9.1999999999999993</v>
      </c>
      <c r="K18" s="246">
        <v>9.1999999999999993</v>
      </c>
      <c r="L18" s="246">
        <v>9.1999999999999993</v>
      </c>
      <c r="M18" s="246">
        <v>9.1999999999999993</v>
      </c>
      <c r="N18" s="246">
        <f t="shared" si="0"/>
        <v>9.1333333333333346</v>
      </c>
    </row>
    <row r="19" spans="1:14" x14ac:dyDescent="0.3">
      <c r="A19" s="7">
        <v>1929</v>
      </c>
      <c r="B19" s="246">
        <v>9.1999999999999993</v>
      </c>
      <c r="C19" s="246">
        <v>9.1999999999999993</v>
      </c>
      <c r="D19" s="246">
        <v>9.1999999999999993</v>
      </c>
      <c r="E19" s="246">
        <v>9.1</v>
      </c>
      <c r="F19" s="246">
        <v>9.1999999999999993</v>
      </c>
      <c r="G19" s="246">
        <v>9.1999999999999993</v>
      </c>
      <c r="H19" s="246">
        <v>9.1999999999999993</v>
      </c>
      <c r="I19" s="246">
        <v>9.1999999999999993</v>
      </c>
      <c r="J19" s="246">
        <v>9.1999999999999993</v>
      </c>
      <c r="K19" s="246">
        <v>9.3000000000000007</v>
      </c>
      <c r="L19" s="246">
        <v>9.3000000000000007</v>
      </c>
      <c r="M19" s="246">
        <v>9.4</v>
      </c>
      <c r="N19" s="246">
        <f t="shared" si="0"/>
        <v>9.2249999999999996</v>
      </c>
    </row>
    <row r="20" spans="1:14" x14ac:dyDescent="0.3">
      <c r="A20" s="7">
        <v>1930</v>
      </c>
      <c r="B20" s="246">
        <v>9.4</v>
      </c>
      <c r="C20" s="246">
        <v>9.4</v>
      </c>
      <c r="D20" s="246">
        <v>9.3000000000000007</v>
      </c>
      <c r="E20" s="246">
        <v>9.1999999999999993</v>
      </c>
      <c r="F20" s="246">
        <v>9.1999999999999993</v>
      </c>
      <c r="G20" s="246">
        <v>9.1999999999999993</v>
      </c>
      <c r="H20" s="246">
        <v>9.1999999999999993</v>
      </c>
      <c r="I20" s="246">
        <v>9.1999999999999993</v>
      </c>
      <c r="J20" s="246">
        <v>8.9</v>
      </c>
      <c r="K20" s="246">
        <v>8.9</v>
      </c>
      <c r="L20" s="246">
        <v>8.9</v>
      </c>
      <c r="M20" s="246">
        <v>8.8000000000000007</v>
      </c>
      <c r="N20" s="246">
        <f t="shared" si="0"/>
        <v>9.1333333333333346</v>
      </c>
    </row>
    <row r="21" spans="1:14" x14ac:dyDescent="0.3">
      <c r="A21" s="7">
        <v>1931</v>
      </c>
      <c r="B21" s="246">
        <v>8.6999999999999993</v>
      </c>
      <c r="C21" s="246">
        <v>8.6</v>
      </c>
      <c r="D21" s="246">
        <v>8.5</v>
      </c>
      <c r="E21" s="246">
        <v>8.4</v>
      </c>
      <c r="F21" s="246">
        <v>8.3000000000000007</v>
      </c>
      <c r="G21" s="246">
        <v>8.1999999999999993</v>
      </c>
      <c r="H21" s="246">
        <v>8.1</v>
      </c>
      <c r="I21" s="246">
        <v>8.1999999999999993</v>
      </c>
      <c r="J21" s="246">
        <v>8.1</v>
      </c>
      <c r="K21" s="246">
        <v>7.9</v>
      </c>
      <c r="L21" s="246">
        <v>7.9</v>
      </c>
      <c r="M21" s="246">
        <v>7.9</v>
      </c>
      <c r="N21" s="246">
        <f t="shared" si="0"/>
        <v>8.2333333333333343</v>
      </c>
    </row>
    <row r="22" spans="1:14" x14ac:dyDescent="0.3">
      <c r="A22" s="7">
        <v>1932</v>
      </c>
      <c r="B22" s="246">
        <v>7.8</v>
      </c>
      <c r="C22" s="246">
        <v>7.6</v>
      </c>
      <c r="D22" s="246">
        <v>7.6</v>
      </c>
      <c r="E22" s="246">
        <v>7.6</v>
      </c>
      <c r="F22" s="246">
        <v>7.4</v>
      </c>
      <c r="G22" s="246">
        <v>7.4</v>
      </c>
      <c r="H22" s="246">
        <v>7.4</v>
      </c>
      <c r="I22" s="246">
        <v>7.4</v>
      </c>
      <c r="J22" s="246">
        <v>7.4</v>
      </c>
      <c r="K22" s="246">
        <v>7.3</v>
      </c>
      <c r="L22" s="246">
        <v>7.3</v>
      </c>
      <c r="M22" s="246">
        <v>7.3</v>
      </c>
      <c r="N22" s="246">
        <f t="shared" si="0"/>
        <v>7.4583333333333321</v>
      </c>
    </row>
    <row r="23" spans="1:14" x14ac:dyDescent="0.3">
      <c r="A23" s="7">
        <v>1933</v>
      </c>
      <c r="B23" s="246">
        <v>7.2</v>
      </c>
      <c r="C23" s="246">
        <v>7.2</v>
      </c>
      <c r="D23" s="246">
        <v>7.1</v>
      </c>
      <c r="E23" s="246">
        <v>7.1</v>
      </c>
      <c r="F23" s="246">
        <v>7.1</v>
      </c>
      <c r="G23" s="246">
        <v>7.1</v>
      </c>
      <c r="H23" s="246">
        <v>7.1</v>
      </c>
      <c r="I23" s="246">
        <v>7.2</v>
      </c>
      <c r="J23" s="246">
        <v>7.2</v>
      </c>
      <c r="K23" s="246">
        <v>7.1</v>
      </c>
      <c r="L23" s="246">
        <v>7.1</v>
      </c>
      <c r="M23" s="246">
        <v>7.1</v>
      </c>
      <c r="N23" s="246">
        <f t="shared" si="0"/>
        <v>7.1333333333333329</v>
      </c>
    </row>
    <row r="24" spans="1:14" x14ac:dyDescent="0.3">
      <c r="A24" s="7">
        <v>1934</v>
      </c>
      <c r="B24" s="246">
        <v>7.2</v>
      </c>
      <c r="C24" s="246">
        <v>7.2</v>
      </c>
      <c r="D24" s="246">
        <v>7.3</v>
      </c>
      <c r="E24" s="246">
        <v>7.3</v>
      </c>
      <c r="F24" s="246">
        <v>7.2</v>
      </c>
      <c r="G24" s="246">
        <v>7.2</v>
      </c>
      <c r="H24" s="246">
        <v>7.2</v>
      </c>
      <c r="I24" s="246">
        <v>7.2</v>
      </c>
      <c r="J24" s="246">
        <v>7.2</v>
      </c>
      <c r="K24" s="246">
        <v>7.2</v>
      </c>
      <c r="L24" s="246">
        <v>7.2</v>
      </c>
      <c r="M24" s="246">
        <v>7.2</v>
      </c>
      <c r="N24" s="246">
        <f t="shared" si="0"/>
        <v>7.2166666666666686</v>
      </c>
    </row>
    <row r="25" spans="1:14" x14ac:dyDescent="0.3">
      <c r="A25" s="7">
        <v>1935</v>
      </c>
      <c r="B25" s="246">
        <v>7.2</v>
      </c>
      <c r="C25" s="246">
        <v>7.2</v>
      </c>
      <c r="D25" s="246">
        <v>7.2</v>
      </c>
      <c r="E25" s="246">
        <v>7.2</v>
      </c>
      <c r="F25" s="246">
        <v>7.2</v>
      </c>
      <c r="G25" s="246">
        <v>7.2</v>
      </c>
      <c r="H25" s="246">
        <v>7.2</v>
      </c>
      <c r="I25" s="246">
        <v>7.2</v>
      </c>
      <c r="J25" s="246">
        <v>7.3</v>
      </c>
      <c r="K25" s="246">
        <v>7.3</v>
      </c>
      <c r="L25" s="246">
        <v>7.4</v>
      </c>
      <c r="M25" s="246">
        <v>7.4</v>
      </c>
      <c r="N25" s="246">
        <f t="shared" si="0"/>
        <v>7.2500000000000009</v>
      </c>
    </row>
    <row r="26" spans="1:14" x14ac:dyDescent="0.3">
      <c r="A26" s="7">
        <v>1936</v>
      </c>
      <c r="B26" s="246">
        <v>7.4</v>
      </c>
      <c r="C26" s="246">
        <v>7.4</v>
      </c>
      <c r="D26" s="246">
        <v>7.4</v>
      </c>
      <c r="E26" s="246">
        <v>7.3</v>
      </c>
      <c r="F26" s="246">
        <v>7.3</v>
      </c>
      <c r="G26" s="246">
        <v>7.3</v>
      </c>
      <c r="H26" s="246">
        <v>7.4</v>
      </c>
      <c r="I26" s="246">
        <v>7.4</v>
      </c>
      <c r="J26" s="246">
        <v>7.4</v>
      </c>
      <c r="K26" s="246">
        <v>7.5</v>
      </c>
      <c r="L26" s="246">
        <v>7.5</v>
      </c>
      <c r="M26" s="246">
        <v>7.5</v>
      </c>
      <c r="N26" s="246">
        <f t="shared" si="0"/>
        <v>7.3999999999999995</v>
      </c>
    </row>
    <row r="27" spans="1:14" x14ac:dyDescent="0.3">
      <c r="A27" s="7">
        <v>1937</v>
      </c>
      <c r="B27" s="246">
        <v>7.6</v>
      </c>
      <c r="C27" s="246">
        <v>7.6</v>
      </c>
      <c r="D27" s="246">
        <v>7.6</v>
      </c>
      <c r="E27" s="246">
        <v>7.6</v>
      </c>
      <c r="F27" s="246">
        <v>7.6</v>
      </c>
      <c r="G27" s="246">
        <v>7.6</v>
      </c>
      <c r="H27" s="246">
        <v>7.6</v>
      </c>
      <c r="I27" s="246">
        <v>7.7</v>
      </c>
      <c r="J27" s="246">
        <v>7.7</v>
      </c>
      <c r="K27" s="246">
        <v>7.8</v>
      </c>
      <c r="L27" s="246">
        <v>7.8</v>
      </c>
      <c r="M27" s="246">
        <v>7.8</v>
      </c>
      <c r="N27" s="246">
        <f t="shared" si="0"/>
        <v>7.666666666666667</v>
      </c>
    </row>
    <row r="28" spans="1:14" x14ac:dyDescent="0.3">
      <c r="A28" s="7">
        <v>1938</v>
      </c>
      <c r="B28" s="246">
        <v>7.7</v>
      </c>
      <c r="C28" s="246">
        <v>7.7</v>
      </c>
      <c r="D28" s="246">
        <v>7.8</v>
      </c>
      <c r="E28" s="246">
        <v>7.8</v>
      </c>
      <c r="F28" s="246">
        <v>7.7</v>
      </c>
      <c r="G28" s="246">
        <v>7.7</v>
      </c>
      <c r="H28" s="246">
        <v>7.8</v>
      </c>
      <c r="I28" s="246">
        <v>7.8</v>
      </c>
      <c r="J28" s="246">
        <v>7.7</v>
      </c>
      <c r="K28" s="246">
        <v>7.6</v>
      </c>
      <c r="L28" s="246">
        <v>7.6</v>
      </c>
      <c r="M28" s="246">
        <v>7.6</v>
      </c>
      <c r="N28" s="246">
        <f t="shared" si="0"/>
        <v>7.7083333333333321</v>
      </c>
    </row>
    <row r="29" spans="1:14" x14ac:dyDescent="0.3">
      <c r="A29" s="7">
        <v>1939</v>
      </c>
      <c r="B29" s="246">
        <v>7.6</v>
      </c>
      <c r="C29" s="246">
        <v>7.6</v>
      </c>
      <c r="D29" s="246">
        <v>7.6</v>
      </c>
      <c r="E29" s="246">
        <v>7.6</v>
      </c>
      <c r="F29" s="246">
        <v>7.6</v>
      </c>
      <c r="G29" s="246">
        <v>7.6</v>
      </c>
      <c r="H29" s="246">
        <v>7.6</v>
      </c>
      <c r="I29" s="246">
        <v>7.6</v>
      </c>
      <c r="J29" s="246">
        <v>7.6</v>
      </c>
      <c r="K29" s="246">
        <v>7.8</v>
      </c>
      <c r="L29" s="246">
        <v>7.8</v>
      </c>
      <c r="M29" s="246">
        <v>7.8</v>
      </c>
      <c r="N29" s="246">
        <f t="shared" si="0"/>
        <v>7.6499999999999995</v>
      </c>
    </row>
    <row r="30" spans="1:14" x14ac:dyDescent="0.3">
      <c r="A30" s="7">
        <v>1940</v>
      </c>
      <c r="B30" s="246">
        <v>7.8</v>
      </c>
      <c r="C30" s="246">
        <v>7.8</v>
      </c>
      <c r="D30" s="246">
        <v>7.9</v>
      </c>
      <c r="E30" s="246">
        <v>7.9</v>
      </c>
      <c r="F30" s="246">
        <v>7.9</v>
      </c>
      <c r="G30" s="246">
        <v>7.9</v>
      </c>
      <c r="H30" s="246">
        <v>8</v>
      </c>
      <c r="I30" s="246">
        <v>8</v>
      </c>
      <c r="J30" s="246">
        <v>8.1</v>
      </c>
      <c r="K30" s="246">
        <v>8.1</v>
      </c>
      <c r="L30" s="246">
        <v>8.1</v>
      </c>
      <c r="M30" s="246">
        <v>8.1999999999999993</v>
      </c>
      <c r="N30" s="246">
        <f t="shared" si="0"/>
        <v>7.9749999999999988</v>
      </c>
    </row>
    <row r="31" spans="1:14" x14ac:dyDescent="0.3">
      <c r="A31" s="7">
        <v>1941</v>
      </c>
      <c r="B31" s="246">
        <v>8.1999999999999993</v>
      </c>
      <c r="C31" s="246">
        <v>8.1999999999999993</v>
      </c>
      <c r="D31" s="246">
        <v>8.1999999999999993</v>
      </c>
      <c r="E31" s="246">
        <v>8.1999999999999993</v>
      </c>
      <c r="F31" s="246">
        <v>8.1999999999999993</v>
      </c>
      <c r="G31" s="246">
        <v>8.4</v>
      </c>
      <c r="H31" s="246">
        <v>8.5</v>
      </c>
      <c r="I31" s="246">
        <v>8.6</v>
      </c>
      <c r="J31" s="246">
        <v>8.6999999999999993</v>
      </c>
      <c r="K31" s="246">
        <v>8.6999999999999993</v>
      </c>
      <c r="L31" s="246">
        <v>8.8000000000000007</v>
      </c>
      <c r="M31" s="246">
        <v>8.6999999999999993</v>
      </c>
      <c r="N31" s="246">
        <f t="shared" si="0"/>
        <v>8.4500000000000011</v>
      </c>
    </row>
    <row r="32" spans="1:14" x14ac:dyDescent="0.3">
      <c r="A32" s="7">
        <v>1942</v>
      </c>
      <c r="B32" s="246">
        <v>8.6999999999999993</v>
      </c>
      <c r="C32" s="246">
        <v>8.6999999999999993</v>
      </c>
      <c r="D32" s="246">
        <v>8.8000000000000007</v>
      </c>
      <c r="E32" s="246">
        <v>8.8000000000000007</v>
      </c>
      <c r="F32" s="246">
        <v>8.8000000000000007</v>
      </c>
      <c r="G32" s="246">
        <v>8.8000000000000007</v>
      </c>
      <c r="H32" s="246">
        <v>8.9</v>
      </c>
      <c r="I32" s="246">
        <v>8.9</v>
      </c>
      <c r="J32" s="246">
        <v>8.8000000000000007</v>
      </c>
      <c r="K32" s="246">
        <v>8.9</v>
      </c>
      <c r="L32" s="246">
        <v>9</v>
      </c>
      <c r="M32" s="246">
        <v>9</v>
      </c>
      <c r="N32" s="246">
        <f t="shared" si="0"/>
        <v>8.8416666666666668</v>
      </c>
    </row>
    <row r="33" spans="1:14" x14ac:dyDescent="0.3">
      <c r="A33" s="7">
        <v>1943</v>
      </c>
      <c r="B33" s="246">
        <v>8.8000000000000007</v>
      </c>
      <c r="C33" s="246">
        <v>8.8000000000000007</v>
      </c>
      <c r="D33" s="246">
        <v>8.8000000000000007</v>
      </c>
      <c r="E33" s="246">
        <v>9</v>
      </c>
      <c r="F33" s="246">
        <v>9</v>
      </c>
      <c r="G33" s="246">
        <v>9</v>
      </c>
      <c r="H33" s="246">
        <v>9.1</v>
      </c>
      <c r="I33" s="246">
        <v>9.1</v>
      </c>
      <c r="J33" s="246">
        <v>9.1999999999999993</v>
      </c>
      <c r="K33" s="246">
        <v>9.1999999999999993</v>
      </c>
      <c r="L33" s="246">
        <v>9.1999999999999993</v>
      </c>
      <c r="M33" s="246">
        <v>9.1999999999999993</v>
      </c>
      <c r="N33" s="246">
        <f t="shared" si="0"/>
        <v>9.033333333333335</v>
      </c>
    </row>
    <row r="34" spans="1:14" x14ac:dyDescent="0.3">
      <c r="A34" s="7">
        <v>1944</v>
      </c>
      <c r="B34" s="246">
        <v>9.1</v>
      </c>
      <c r="C34" s="246">
        <v>9.1</v>
      </c>
      <c r="D34" s="246">
        <v>9.1</v>
      </c>
      <c r="E34" s="246">
        <v>9.1</v>
      </c>
      <c r="F34" s="246">
        <v>9.1</v>
      </c>
      <c r="G34" s="246">
        <v>9.1</v>
      </c>
      <c r="H34" s="246">
        <v>9.1</v>
      </c>
      <c r="I34" s="246">
        <v>9.1</v>
      </c>
      <c r="J34" s="246">
        <v>9.1</v>
      </c>
      <c r="K34" s="246">
        <v>9.1</v>
      </c>
      <c r="L34" s="246">
        <v>9.1</v>
      </c>
      <c r="M34" s="246">
        <v>9</v>
      </c>
      <c r="N34" s="246">
        <f t="shared" si="0"/>
        <v>9.091666666666665</v>
      </c>
    </row>
    <row r="35" spans="1:14" x14ac:dyDescent="0.3">
      <c r="A35" s="7">
        <v>1945</v>
      </c>
      <c r="B35" s="246">
        <v>9</v>
      </c>
      <c r="C35" s="246">
        <v>9.1</v>
      </c>
      <c r="D35" s="246">
        <v>9.1</v>
      </c>
      <c r="E35" s="246">
        <v>9.1</v>
      </c>
      <c r="F35" s="246">
        <v>9.1</v>
      </c>
      <c r="G35" s="246">
        <v>9.1999999999999993</v>
      </c>
      <c r="H35" s="246">
        <v>9.1999999999999993</v>
      </c>
      <c r="I35" s="246">
        <v>9.1999999999999993</v>
      </c>
      <c r="J35" s="246">
        <v>9.1999999999999993</v>
      </c>
      <c r="K35" s="246">
        <v>9.1999999999999993</v>
      </c>
      <c r="L35" s="246">
        <v>9.1999999999999993</v>
      </c>
      <c r="M35" s="246">
        <v>9.1999999999999993</v>
      </c>
      <c r="N35" s="246">
        <f t="shared" si="0"/>
        <v>9.1500000000000021</v>
      </c>
    </row>
    <row r="36" spans="1:14" x14ac:dyDescent="0.3">
      <c r="A36" s="7">
        <v>1946</v>
      </c>
      <c r="B36" s="246">
        <v>9.1999999999999993</v>
      </c>
      <c r="C36" s="246">
        <v>9.1999999999999993</v>
      </c>
      <c r="D36" s="246">
        <v>9.1999999999999993</v>
      </c>
      <c r="E36" s="246">
        <v>9.1999999999999993</v>
      </c>
      <c r="F36" s="246">
        <v>9.1999999999999993</v>
      </c>
      <c r="G36" s="246">
        <v>9.4</v>
      </c>
      <c r="H36" s="246">
        <v>9.5</v>
      </c>
      <c r="I36" s="246">
        <v>9.6</v>
      </c>
      <c r="J36" s="246">
        <v>9.6</v>
      </c>
      <c r="K36" s="246">
        <v>9.6999999999999993</v>
      </c>
      <c r="L36" s="246">
        <v>9.6999999999999993</v>
      </c>
      <c r="M36" s="246">
        <v>9.6999999999999993</v>
      </c>
      <c r="N36" s="246">
        <f t="shared" si="0"/>
        <v>9.4333333333333336</v>
      </c>
    </row>
    <row r="37" spans="1:14" x14ac:dyDescent="0.3">
      <c r="A37" s="7">
        <v>1947</v>
      </c>
      <c r="B37" s="246">
        <v>9.6999999999999993</v>
      </c>
      <c r="C37" s="246">
        <v>9.6999999999999993</v>
      </c>
      <c r="D37" s="246">
        <v>9.8000000000000007</v>
      </c>
      <c r="E37" s="246">
        <v>9.9</v>
      </c>
      <c r="F37" s="246">
        <v>10.1</v>
      </c>
      <c r="G37" s="246">
        <v>10.199999999999999</v>
      </c>
      <c r="H37" s="246">
        <v>10.3</v>
      </c>
      <c r="I37" s="246">
        <v>10.3</v>
      </c>
      <c r="J37" s="246">
        <v>10.6</v>
      </c>
      <c r="K37" s="246">
        <v>10.8</v>
      </c>
      <c r="L37" s="246">
        <v>10.9</v>
      </c>
      <c r="M37" s="246">
        <v>11.1</v>
      </c>
      <c r="N37" s="246">
        <f t="shared" si="0"/>
        <v>10.283333333333333</v>
      </c>
    </row>
    <row r="38" spans="1:14" x14ac:dyDescent="0.3">
      <c r="A38" s="7">
        <v>1948</v>
      </c>
      <c r="B38" s="246">
        <v>11.2</v>
      </c>
      <c r="C38" s="246">
        <v>11.4</v>
      </c>
      <c r="D38" s="246">
        <v>11.4</v>
      </c>
      <c r="E38" s="246">
        <v>11.5</v>
      </c>
      <c r="F38" s="246">
        <v>11.6</v>
      </c>
      <c r="G38" s="246">
        <v>11.8</v>
      </c>
      <c r="H38" s="246">
        <v>11.8</v>
      </c>
      <c r="I38" s="246">
        <v>11.9</v>
      </c>
      <c r="J38" s="246">
        <v>12.1</v>
      </c>
      <c r="K38" s="246">
        <v>12.1</v>
      </c>
      <c r="L38" s="246">
        <v>12.1</v>
      </c>
      <c r="M38" s="246">
        <v>12.1</v>
      </c>
      <c r="N38" s="246">
        <f t="shared" si="0"/>
        <v>11.75</v>
      </c>
    </row>
    <row r="39" spans="1:14" x14ac:dyDescent="0.3">
      <c r="A39" s="7">
        <v>1949</v>
      </c>
      <c r="B39" s="246">
        <v>12.1</v>
      </c>
      <c r="C39" s="246">
        <v>12.1</v>
      </c>
      <c r="D39" s="246">
        <v>12.1</v>
      </c>
      <c r="E39" s="246">
        <v>12.1</v>
      </c>
      <c r="F39" s="246">
        <v>12.1</v>
      </c>
      <c r="G39" s="246">
        <v>12.1</v>
      </c>
      <c r="H39" s="246">
        <v>12.1</v>
      </c>
      <c r="I39" s="246">
        <v>12.2</v>
      </c>
      <c r="J39" s="246">
        <v>12.2</v>
      </c>
      <c r="K39" s="246">
        <v>12.3</v>
      </c>
      <c r="L39" s="246">
        <v>12.3</v>
      </c>
      <c r="M39" s="246">
        <v>12.2</v>
      </c>
      <c r="N39" s="246">
        <f t="shared" si="0"/>
        <v>12.158333333333331</v>
      </c>
    </row>
    <row r="40" spans="1:14" x14ac:dyDescent="0.3">
      <c r="A40" s="7">
        <v>1950</v>
      </c>
      <c r="B40" s="246">
        <v>12.1</v>
      </c>
      <c r="C40" s="246">
        <v>12.2</v>
      </c>
      <c r="D40" s="246">
        <v>12.3</v>
      </c>
      <c r="E40" s="246">
        <v>12.3</v>
      </c>
      <c r="F40" s="246">
        <v>12.3</v>
      </c>
      <c r="G40" s="246">
        <v>12.3</v>
      </c>
      <c r="H40" s="246">
        <v>12.4</v>
      </c>
      <c r="I40" s="246">
        <v>12.5</v>
      </c>
      <c r="J40" s="246">
        <v>12.7</v>
      </c>
      <c r="K40" s="246">
        <v>12.9</v>
      </c>
      <c r="L40" s="246">
        <v>12.9</v>
      </c>
      <c r="M40" s="246">
        <v>12.9</v>
      </c>
      <c r="N40" s="246">
        <f t="shared" si="0"/>
        <v>12.483333333333334</v>
      </c>
    </row>
    <row r="41" spans="1:14" x14ac:dyDescent="0.3">
      <c r="A41" s="7">
        <v>1951</v>
      </c>
      <c r="B41" s="246">
        <v>13</v>
      </c>
      <c r="C41" s="246">
        <v>13.3</v>
      </c>
      <c r="D41" s="246">
        <v>13.4</v>
      </c>
      <c r="E41" s="246">
        <v>13.6</v>
      </c>
      <c r="F41" s="246">
        <v>13.6</v>
      </c>
      <c r="G41" s="246">
        <v>13.9</v>
      </c>
      <c r="H41" s="246">
        <v>13.9</v>
      </c>
      <c r="I41" s="246">
        <v>14</v>
      </c>
      <c r="J41" s="246">
        <v>14.1</v>
      </c>
      <c r="K41" s="246">
        <v>14.2</v>
      </c>
      <c r="L41" s="246">
        <v>14.3</v>
      </c>
      <c r="M41" s="246">
        <v>14.3</v>
      </c>
      <c r="N41" s="246">
        <f t="shared" si="0"/>
        <v>13.800000000000002</v>
      </c>
    </row>
    <row r="42" spans="1:14" x14ac:dyDescent="0.3">
      <c r="A42" s="7">
        <v>1952</v>
      </c>
      <c r="B42" s="246">
        <v>14.4</v>
      </c>
      <c r="C42" s="246">
        <v>14.3</v>
      </c>
      <c r="D42" s="246">
        <v>14.2</v>
      </c>
      <c r="E42" s="246">
        <v>14.2</v>
      </c>
      <c r="F42" s="246">
        <v>14.1</v>
      </c>
      <c r="G42" s="246">
        <v>14.1</v>
      </c>
      <c r="H42" s="246">
        <v>14.1</v>
      </c>
      <c r="I42" s="246">
        <v>14.1</v>
      </c>
      <c r="J42" s="246">
        <v>14.1</v>
      </c>
      <c r="K42" s="246">
        <v>14.1</v>
      </c>
      <c r="L42" s="246">
        <v>14.1</v>
      </c>
      <c r="M42" s="246">
        <v>14.1</v>
      </c>
      <c r="N42" s="246">
        <f t="shared" si="0"/>
        <v>14.158333333333331</v>
      </c>
    </row>
    <row r="43" spans="1:14" x14ac:dyDescent="0.3">
      <c r="A43" s="7">
        <v>1953</v>
      </c>
      <c r="B43" s="246">
        <v>14.1</v>
      </c>
      <c r="C43" s="246">
        <v>14</v>
      </c>
      <c r="D43" s="246">
        <v>13.9</v>
      </c>
      <c r="E43" s="246">
        <v>13.9</v>
      </c>
      <c r="F43" s="246">
        <v>13.9</v>
      </c>
      <c r="G43" s="246">
        <v>13.9</v>
      </c>
      <c r="H43" s="246">
        <v>13.9</v>
      </c>
      <c r="I43" s="246">
        <v>14.1</v>
      </c>
      <c r="J43" s="246">
        <v>14.1</v>
      </c>
      <c r="K43" s="246">
        <v>14.2</v>
      </c>
      <c r="L43" s="246">
        <v>14.1</v>
      </c>
      <c r="M43" s="246">
        <v>14.1</v>
      </c>
      <c r="N43" s="246">
        <f t="shared" si="0"/>
        <v>14.016666666666666</v>
      </c>
    </row>
    <row r="44" spans="1:14" x14ac:dyDescent="0.3">
      <c r="A44" s="7">
        <v>1954</v>
      </c>
      <c r="B44" s="246">
        <v>14.1</v>
      </c>
      <c r="C44" s="246">
        <v>14.1</v>
      </c>
      <c r="D44" s="246">
        <v>14</v>
      </c>
      <c r="E44" s="246">
        <v>14</v>
      </c>
      <c r="F44" s="246">
        <v>14</v>
      </c>
      <c r="G44" s="246">
        <v>14.1</v>
      </c>
      <c r="H44" s="246">
        <v>14.1</v>
      </c>
      <c r="I44" s="246">
        <v>14.2</v>
      </c>
      <c r="J44" s="246">
        <v>14.2</v>
      </c>
      <c r="K44" s="246">
        <v>14.2</v>
      </c>
      <c r="L44" s="246">
        <v>14.2</v>
      </c>
      <c r="M44" s="246">
        <v>14.1</v>
      </c>
      <c r="N44" s="246">
        <f t="shared" si="0"/>
        <v>14.108333333333333</v>
      </c>
    </row>
    <row r="45" spans="1:14" x14ac:dyDescent="0.3">
      <c r="A45" s="7">
        <v>1955</v>
      </c>
      <c r="B45" s="246">
        <v>14.1</v>
      </c>
      <c r="C45" s="246">
        <v>14.1</v>
      </c>
      <c r="D45" s="246">
        <v>14.1</v>
      </c>
      <c r="E45" s="246">
        <v>14.1</v>
      </c>
      <c r="F45" s="246">
        <v>14.1</v>
      </c>
      <c r="G45" s="246">
        <v>14.1</v>
      </c>
      <c r="H45" s="246">
        <v>14.1</v>
      </c>
      <c r="I45" s="246">
        <v>14.1</v>
      </c>
      <c r="J45" s="246">
        <v>14.2</v>
      </c>
      <c r="K45" s="246">
        <v>14.2</v>
      </c>
      <c r="L45" s="246">
        <v>14.2</v>
      </c>
      <c r="M45" s="246">
        <v>14.2</v>
      </c>
      <c r="N45" s="246">
        <f t="shared" si="0"/>
        <v>14.133333333333331</v>
      </c>
    </row>
    <row r="46" spans="1:14" x14ac:dyDescent="0.3">
      <c r="A46" s="7">
        <v>1956</v>
      </c>
      <c r="B46" s="246">
        <v>14.2</v>
      </c>
      <c r="C46" s="246">
        <v>14.1</v>
      </c>
      <c r="D46" s="246">
        <v>14.1</v>
      </c>
      <c r="E46" s="246">
        <v>14.1</v>
      </c>
      <c r="F46" s="246">
        <v>14.1</v>
      </c>
      <c r="G46" s="246">
        <v>14.3</v>
      </c>
      <c r="H46" s="246">
        <v>14.4</v>
      </c>
      <c r="I46" s="246">
        <v>14.5</v>
      </c>
      <c r="J46" s="246">
        <v>14.4</v>
      </c>
      <c r="K46" s="246">
        <v>14.5</v>
      </c>
      <c r="L46" s="246">
        <v>14.6</v>
      </c>
      <c r="M46" s="246">
        <v>14.6</v>
      </c>
      <c r="N46" s="246">
        <f t="shared" si="0"/>
        <v>14.324999999999998</v>
      </c>
    </row>
    <row r="47" spans="1:14" x14ac:dyDescent="0.3">
      <c r="A47" s="7">
        <v>1957</v>
      </c>
      <c r="B47" s="246">
        <v>14.6</v>
      </c>
      <c r="C47" s="246">
        <v>14.6</v>
      </c>
      <c r="D47" s="246">
        <v>14.6</v>
      </c>
      <c r="E47" s="246">
        <v>14.7</v>
      </c>
      <c r="F47" s="246">
        <v>14.7</v>
      </c>
      <c r="G47" s="246">
        <v>14.8</v>
      </c>
      <c r="H47" s="246">
        <v>14.8</v>
      </c>
      <c r="I47" s="246">
        <v>14.9</v>
      </c>
      <c r="J47" s="246">
        <v>15</v>
      </c>
      <c r="K47" s="246">
        <v>15</v>
      </c>
      <c r="L47" s="246">
        <v>15</v>
      </c>
      <c r="M47" s="246">
        <v>14.9</v>
      </c>
      <c r="N47" s="246">
        <f t="shared" si="0"/>
        <v>14.799999999999999</v>
      </c>
    </row>
    <row r="48" spans="1:14" x14ac:dyDescent="0.3">
      <c r="A48" s="7">
        <v>1958</v>
      </c>
      <c r="B48" s="246">
        <v>15</v>
      </c>
      <c r="C48" s="246">
        <v>15</v>
      </c>
      <c r="D48" s="246">
        <v>15.1</v>
      </c>
      <c r="E48" s="246">
        <v>15.1</v>
      </c>
      <c r="F48" s="246">
        <v>15.1</v>
      </c>
      <c r="G48" s="246">
        <v>15.1</v>
      </c>
      <c r="H48" s="246">
        <v>15.1</v>
      </c>
      <c r="I48" s="246">
        <v>15.1</v>
      </c>
      <c r="J48" s="246">
        <v>15.3</v>
      </c>
      <c r="K48" s="246">
        <v>15.3</v>
      </c>
      <c r="L48" s="246">
        <v>15.3</v>
      </c>
      <c r="M48" s="246">
        <v>15.3</v>
      </c>
      <c r="N48" s="246">
        <f t="shared" si="0"/>
        <v>15.15</v>
      </c>
    </row>
    <row r="49" spans="1:14" x14ac:dyDescent="0.3">
      <c r="A49" s="7">
        <v>1959</v>
      </c>
      <c r="B49" s="246">
        <v>15.3</v>
      </c>
      <c r="C49" s="246">
        <v>15.3</v>
      </c>
      <c r="D49" s="246">
        <v>15.2</v>
      </c>
      <c r="E49" s="246">
        <v>15.2</v>
      </c>
      <c r="F49" s="246">
        <v>15.3</v>
      </c>
      <c r="G49" s="246">
        <v>15.1</v>
      </c>
      <c r="H49" s="246">
        <v>15.3</v>
      </c>
      <c r="I49" s="246">
        <v>15.3</v>
      </c>
      <c r="J49" s="246">
        <v>15.5</v>
      </c>
      <c r="K49" s="246">
        <v>15.5</v>
      </c>
      <c r="L49" s="246">
        <v>15.5</v>
      </c>
      <c r="M49" s="246">
        <v>15.5</v>
      </c>
      <c r="N49" s="246">
        <f t="shared" si="0"/>
        <v>15.333333333333334</v>
      </c>
    </row>
    <row r="50" spans="1:14" x14ac:dyDescent="0.3">
      <c r="A50" s="7">
        <v>1960</v>
      </c>
      <c r="B50" s="246">
        <v>15.5</v>
      </c>
      <c r="C50" s="246">
        <v>15.5</v>
      </c>
      <c r="D50" s="246">
        <v>15.4</v>
      </c>
      <c r="E50" s="246">
        <v>15.5</v>
      </c>
      <c r="F50" s="246">
        <v>15.5</v>
      </c>
      <c r="G50" s="246">
        <v>15.5</v>
      </c>
      <c r="H50" s="246">
        <v>15.5</v>
      </c>
      <c r="I50" s="246">
        <v>15.5</v>
      </c>
      <c r="J50" s="246">
        <v>15.5</v>
      </c>
      <c r="K50" s="246">
        <v>15.7</v>
      </c>
      <c r="L50" s="246">
        <v>15.7</v>
      </c>
      <c r="M50" s="246">
        <v>15.7</v>
      </c>
      <c r="N50" s="246">
        <f t="shared" si="0"/>
        <v>15.541666666666664</v>
      </c>
    </row>
    <row r="51" spans="1:14" x14ac:dyDescent="0.3">
      <c r="A51" s="7">
        <v>1961</v>
      </c>
      <c r="B51" s="246">
        <v>15.7</v>
      </c>
      <c r="C51" s="246">
        <v>15.7</v>
      </c>
      <c r="D51" s="246">
        <v>15.7</v>
      </c>
      <c r="E51" s="246">
        <v>15.7</v>
      </c>
      <c r="F51" s="246">
        <v>15.7</v>
      </c>
      <c r="G51" s="246">
        <v>15.7</v>
      </c>
      <c r="H51" s="246">
        <v>15.7</v>
      </c>
      <c r="I51" s="246">
        <v>15.7</v>
      </c>
      <c r="J51" s="246">
        <v>15.7</v>
      </c>
      <c r="K51" s="246">
        <v>15.7</v>
      </c>
      <c r="L51" s="246">
        <v>15.7</v>
      </c>
      <c r="M51" s="246">
        <v>15.7</v>
      </c>
      <c r="N51" s="246">
        <f t="shared" si="0"/>
        <v>15.699999999999998</v>
      </c>
    </row>
    <row r="52" spans="1:14" x14ac:dyDescent="0.3">
      <c r="A52" s="7">
        <v>1962</v>
      </c>
      <c r="B52" s="246">
        <v>15.7</v>
      </c>
      <c r="C52" s="246">
        <v>15.7</v>
      </c>
      <c r="D52" s="246">
        <v>15.7</v>
      </c>
      <c r="E52" s="246">
        <v>15.8</v>
      </c>
      <c r="F52" s="246">
        <v>15.8</v>
      </c>
      <c r="G52" s="246">
        <v>15.9</v>
      </c>
      <c r="H52" s="246">
        <v>15.9</v>
      </c>
      <c r="I52" s="246">
        <v>16</v>
      </c>
      <c r="J52" s="246">
        <v>15.9</v>
      </c>
      <c r="K52" s="246">
        <v>16</v>
      </c>
      <c r="L52" s="246">
        <v>16</v>
      </c>
      <c r="M52" s="246">
        <v>16</v>
      </c>
      <c r="N52" s="246">
        <f t="shared" si="0"/>
        <v>15.866666666666667</v>
      </c>
    </row>
    <row r="53" spans="1:14" x14ac:dyDescent="0.3">
      <c r="A53" s="7">
        <v>1963</v>
      </c>
      <c r="B53" s="246">
        <v>16</v>
      </c>
      <c r="C53" s="246">
        <v>16</v>
      </c>
      <c r="D53" s="246">
        <v>16</v>
      </c>
      <c r="E53" s="246">
        <v>16</v>
      </c>
      <c r="F53" s="246">
        <v>16</v>
      </c>
      <c r="G53" s="246">
        <v>16</v>
      </c>
      <c r="H53" s="246">
        <v>16.2</v>
      </c>
      <c r="I53" s="246">
        <v>16.3</v>
      </c>
      <c r="J53" s="246">
        <v>16.2</v>
      </c>
      <c r="K53" s="246">
        <v>16.2</v>
      </c>
      <c r="L53" s="246">
        <v>16.3</v>
      </c>
      <c r="M53" s="246">
        <v>16.3</v>
      </c>
      <c r="N53" s="246">
        <f t="shared" si="0"/>
        <v>16.125</v>
      </c>
    </row>
    <row r="54" spans="1:14" x14ac:dyDescent="0.3">
      <c r="A54" s="7">
        <v>1964</v>
      </c>
      <c r="B54" s="246">
        <v>16.3</v>
      </c>
      <c r="C54" s="246">
        <v>16.3</v>
      </c>
      <c r="D54" s="246">
        <v>16.3</v>
      </c>
      <c r="E54" s="246">
        <v>16.399999999999999</v>
      </c>
      <c r="F54" s="246">
        <v>16.399999999999999</v>
      </c>
      <c r="G54" s="246">
        <v>16.399999999999999</v>
      </c>
      <c r="H54" s="246">
        <v>16.5</v>
      </c>
      <c r="I54" s="246">
        <v>16.5</v>
      </c>
      <c r="J54" s="246">
        <v>16.5</v>
      </c>
      <c r="K54" s="246">
        <v>16.5</v>
      </c>
      <c r="L54" s="246">
        <v>16.5</v>
      </c>
      <c r="M54" s="246">
        <v>16.600000000000001</v>
      </c>
      <c r="N54" s="246">
        <f t="shared" si="0"/>
        <v>16.433333333333334</v>
      </c>
    </row>
    <row r="55" spans="1:14" x14ac:dyDescent="0.3">
      <c r="A55" s="7">
        <v>1965</v>
      </c>
      <c r="B55" s="246">
        <v>16.600000000000001</v>
      </c>
      <c r="C55" s="246">
        <v>16.600000000000001</v>
      </c>
      <c r="D55" s="246">
        <v>16.600000000000001</v>
      </c>
      <c r="E55" s="246">
        <v>16.7</v>
      </c>
      <c r="F55" s="246">
        <v>16.7</v>
      </c>
      <c r="G55" s="246">
        <v>16.899999999999999</v>
      </c>
      <c r="H55" s="246">
        <v>16.899999999999999</v>
      </c>
      <c r="I55" s="246">
        <v>16.899999999999999</v>
      </c>
      <c r="J55" s="246">
        <v>16.899999999999999</v>
      </c>
      <c r="K55" s="246">
        <v>16.899999999999999</v>
      </c>
      <c r="L55" s="246">
        <v>17</v>
      </c>
      <c r="M55" s="246">
        <v>17.100000000000001</v>
      </c>
      <c r="N55" s="246">
        <f t="shared" si="0"/>
        <v>16.816666666666666</v>
      </c>
    </row>
    <row r="56" spans="1:14" x14ac:dyDescent="0.3">
      <c r="A56" s="7">
        <v>1966</v>
      </c>
      <c r="B56" s="246">
        <v>17.100000000000001</v>
      </c>
      <c r="C56" s="246">
        <v>17.2</v>
      </c>
      <c r="D56" s="246">
        <v>17.3</v>
      </c>
      <c r="E56" s="246">
        <v>17.399999999999999</v>
      </c>
      <c r="F56" s="246">
        <v>17.399999999999999</v>
      </c>
      <c r="G56" s="246">
        <v>17.5</v>
      </c>
      <c r="H56" s="246">
        <v>17.5</v>
      </c>
      <c r="I56" s="246">
        <v>17.600000000000001</v>
      </c>
      <c r="J56" s="246">
        <v>17.600000000000001</v>
      </c>
      <c r="K56" s="246">
        <v>17.600000000000001</v>
      </c>
      <c r="L56" s="246">
        <v>17.600000000000001</v>
      </c>
      <c r="M56" s="246">
        <v>17.7</v>
      </c>
      <c r="N56" s="246">
        <f t="shared" si="0"/>
        <v>17.458333333333332</v>
      </c>
    </row>
    <row r="57" spans="1:14" x14ac:dyDescent="0.3">
      <c r="A57" s="7">
        <v>1967</v>
      </c>
      <c r="B57" s="246">
        <v>17.7</v>
      </c>
      <c r="C57" s="246">
        <v>17.7</v>
      </c>
      <c r="D57" s="246">
        <v>17.8</v>
      </c>
      <c r="E57" s="246">
        <v>17.899999999999999</v>
      </c>
      <c r="F57" s="246">
        <v>18</v>
      </c>
      <c r="G57" s="246">
        <v>18.100000000000001</v>
      </c>
      <c r="H57" s="246">
        <v>18.2</v>
      </c>
      <c r="I57" s="246">
        <v>18.3</v>
      </c>
      <c r="J57" s="246">
        <v>18.3</v>
      </c>
      <c r="K57" s="246">
        <v>18.3</v>
      </c>
      <c r="L57" s="246">
        <v>18.3</v>
      </c>
      <c r="M57" s="246">
        <v>18.399999999999999</v>
      </c>
      <c r="N57" s="246">
        <f t="shared" si="0"/>
        <v>18.083333333333336</v>
      </c>
    </row>
    <row r="58" spans="1:14" x14ac:dyDescent="0.3">
      <c r="A58" s="7">
        <v>1968</v>
      </c>
      <c r="B58" s="246">
        <v>18.5</v>
      </c>
      <c r="C58" s="246">
        <v>18.5</v>
      </c>
      <c r="D58" s="246">
        <v>18.600000000000001</v>
      </c>
      <c r="E58" s="246">
        <v>18.600000000000001</v>
      </c>
      <c r="F58" s="246">
        <v>18.600000000000001</v>
      </c>
      <c r="G58" s="246">
        <v>18.7</v>
      </c>
      <c r="H58" s="246">
        <v>18.899999999999999</v>
      </c>
      <c r="I58" s="246">
        <v>19</v>
      </c>
      <c r="J58" s="246">
        <v>19</v>
      </c>
      <c r="K58" s="246">
        <v>19</v>
      </c>
      <c r="L58" s="246">
        <v>19.2</v>
      </c>
      <c r="M58" s="246">
        <v>19.2</v>
      </c>
      <c r="N58" s="246">
        <f t="shared" si="0"/>
        <v>18.816666666666666</v>
      </c>
    </row>
    <row r="59" spans="1:14" x14ac:dyDescent="0.3">
      <c r="A59" s="7">
        <v>1969</v>
      </c>
      <c r="B59" s="246">
        <v>19.2</v>
      </c>
      <c r="C59" s="246">
        <v>19.2</v>
      </c>
      <c r="D59" s="246">
        <v>19.3</v>
      </c>
      <c r="E59" s="246">
        <v>19.600000000000001</v>
      </c>
      <c r="F59" s="246">
        <v>19.600000000000001</v>
      </c>
      <c r="G59" s="246">
        <v>19.7</v>
      </c>
      <c r="H59" s="246">
        <v>19.8</v>
      </c>
      <c r="I59" s="246">
        <v>19.899999999999999</v>
      </c>
      <c r="J59" s="246">
        <v>19.899999999999999</v>
      </c>
      <c r="K59" s="246">
        <v>19.899999999999999</v>
      </c>
      <c r="L59" s="246">
        <v>19.899999999999999</v>
      </c>
      <c r="M59" s="246">
        <v>20.100000000000001</v>
      </c>
      <c r="N59" s="246">
        <f t="shared" si="0"/>
        <v>19.675000000000001</v>
      </c>
    </row>
    <row r="60" spans="1:14" x14ac:dyDescent="0.3">
      <c r="A60" s="7">
        <v>1970</v>
      </c>
      <c r="B60" s="246">
        <v>20.2</v>
      </c>
      <c r="C60" s="246">
        <v>20.2</v>
      </c>
      <c r="D60" s="246">
        <v>20.2</v>
      </c>
      <c r="E60" s="246">
        <v>20.3</v>
      </c>
      <c r="F60" s="246">
        <v>20.3</v>
      </c>
      <c r="G60" s="246">
        <v>20.3</v>
      </c>
      <c r="H60" s="246">
        <v>20.5</v>
      </c>
      <c r="I60" s="246">
        <v>20.5</v>
      </c>
      <c r="J60" s="246">
        <v>20.399999999999999</v>
      </c>
      <c r="K60" s="246">
        <v>20.399999999999999</v>
      </c>
      <c r="L60" s="246">
        <v>20.399999999999999</v>
      </c>
      <c r="M60" s="246">
        <v>20.3</v>
      </c>
      <c r="N60" s="246">
        <f t="shared" si="0"/>
        <v>20.333333333333336</v>
      </c>
    </row>
    <row r="61" spans="1:14" x14ac:dyDescent="0.3">
      <c r="A61" s="7">
        <v>1971</v>
      </c>
      <c r="B61" s="246">
        <v>20.399999999999999</v>
      </c>
      <c r="C61" s="246">
        <v>20.5</v>
      </c>
      <c r="D61" s="246">
        <v>20.5</v>
      </c>
      <c r="E61" s="246">
        <v>20.7</v>
      </c>
      <c r="F61" s="246">
        <v>20.7</v>
      </c>
      <c r="G61" s="246">
        <v>20.8</v>
      </c>
      <c r="H61" s="246">
        <v>21</v>
      </c>
      <c r="I61" s="246">
        <v>21.2</v>
      </c>
      <c r="J61" s="246">
        <v>21.1</v>
      </c>
      <c r="K61" s="246">
        <v>21.2</v>
      </c>
      <c r="L61" s="246">
        <v>21.2</v>
      </c>
      <c r="M61" s="246">
        <v>21.3</v>
      </c>
      <c r="N61" s="246">
        <f t="shared" si="0"/>
        <v>20.883333333333329</v>
      </c>
    </row>
    <row r="62" spans="1:14" x14ac:dyDescent="0.3">
      <c r="A62" s="7">
        <v>1972</v>
      </c>
      <c r="B62" s="246">
        <v>21.4</v>
      </c>
      <c r="C62" s="246">
        <v>21.5</v>
      </c>
      <c r="D62" s="246">
        <v>21.6</v>
      </c>
      <c r="E62" s="246">
        <v>21.7</v>
      </c>
      <c r="F62" s="246">
        <v>21.7</v>
      </c>
      <c r="G62" s="246">
        <v>21.7</v>
      </c>
      <c r="H62" s="246">
        <v>22</v>
      </c>
      <c r="I62" s="246">
        <v>22.2</v>
      </c>
      <c r="J62" s="246">
        <v>22.3</v>
      </c>
      <c r="K62" s="246">
        <v>22.3</v>
      </c>
      <c r="L62" s="246">
        <v>22.3</v>
      </c>
      <c r="M62" s="246">
        <v>22.4</v>
      </c>
      <c r="N62" s="246">
        <f t="shared" si="0"/>
        <v>21.925000000000001</v>
      </c>
    </row>
    <row r="63" spans="1:14" x14ac:dyDescent="0.3">
      <c r="A63" s="7">
        <v>1973</v>
      </c>
      <c r="B63" s="246">
        <v>22.6</v>
      </c>
      <c r="C63" s="246">
        <v>22.8</v>
      </c>
      <c r="D63" s="246">
        <v>22.8</v>
      </c>
      <c r="E63" s="246">
        <v>23.1</v>
      </c>
      <c r="F63" s="246">
        <v>23.2</v>
      </c>
      <c r="G63" s="246">
        <v>23.4</v>
      </c>
      <c r="H63" s="246">
        <v>23.7</v>
      </c>
      <c r="I63" s="246">
        <v>24</v>
      </c>
      <c r="J63" s="246">
        <v>24.1</v>
      </c>
      <c r="K63" s="246">
        <v>24.2</v>
      </c>
      <c r="L63" s="246">
        <v>24.4</v>
      </c>
      <c r="M63" s="246">
        <v>24.5</v>
      </c>
      <c r="N63" s="246">
        <f t="shared" si="0"/>
        <v>23.566666666666663</v>
      </c>
    </row>
    <row r="64" spans="1:14" x14ac:dyDescent="0.3">
      <c r="A64" s="7">
        <v>1974</v>
      </c>
      <c r="B64" s="246">
        <v>24.7</v>
      </c>
      <c r="C64" s="246">
        <v>24.9</v>
      </c>
      <c r="D64" s="246">
        <v>25.2</v>
      </c>
      <c r="E64" s="246">
        <v>25.4</v>
      </c>
      <c r="F64" s="246">
        <v>25.9</v>
      </c>
      <c r="G64" s="246">
        <v>26.1</v>
      </c>
      <c r="H64" s="246">
        <v>26.3</v>
      </c>
      <c r="I64" s="246">
        <v>26.6</v>
      </c>
      <c r="J64" s="246">
        <v>26.8</v>
      </c>
      <c r="K64" s="246">
        <v>27.1</v>
      </c>
      <c r="L64" s="246">
        <v>27.3</v>
      </c>
      <c r="M64" s="246">
        <v>27.6</v>
      </c>
      <c r="N64" s="246">
        <f t="shared" si="0"/>
        <v>26.158333333333335</v>
      </c>
    </row>
    <row r="65" spans="1:14" x14ac:dyDescent="0.3">
      <c r="A65" s="7">
        <v>1975</v>
      </c>
      <c r="B65" s="246">
        <v>27.6</v>
      </c>
      <c r="C65" s="246">
        <v>27.9</v>
      </c>
      <c r="D65" s="246">
        <v>28</v>
      </c>
      <c r="E65" s="246">
        <v>28.2</v>
      </c>
      <c r="F65" s="246">
        <v>28.5</v>
      </c>
      <c r="G65" s="246">
        <v>28.8</v>
      </c>
      <c r="H65" s="246">
        <v>29.2</v>
      </c>
      <c r="I65" s="246">
        <v>29.5</v>
      </c>
      <c r="J65" s="246">
        <v>29.6</v>
      </c>
      <c r="K65" s="246">
        <v>29.8</v>
      </c>
      <c r="L65" s="246">
        <v>30.1</v>
      </c>
      <c r="M65" s="246">
        <v>30.2</v>
      </c>
      <c r="N65" s="246">
        <f t="shared" si="0"/>
        <v>28.950000000000003</v>
      </c>
    </row>
    <row r="66" spans="1:14" x14ac:dyDescent="0.3">
      <c r="A66" s="7">
        <v>1976</v>
      </c>
      <c r="B66" s="246">
        <v>30.3</v>
      </c>
      <c r="C66" s="246">
        <v>30.5</v>
      </c>
      <c r="D66" s="246">
        <v>30.6</v>
      </c>
      <c r="E66" s="246">
        <v>30.7</v>
      </c>
      <c r="F66" s="246">
        <v>30.9</v>
      </c>
      <c r="G66" s="246">
        <v>31.1</v>
      </c>
      <c r="H66" s="246">
        <v>31.3</v>
      </c>
      <c r="I66" s="246">
        <v>31.3</v>
      </c>
      <c r="J66" s="246">
        <v>31.5</v>
      </c>
      <c r="K66" s="246">
        <v>31.7</v>
      </c>
      <c r="L66" s="246">
        <v>31.8</v>
      </c>
      <c r="M66" s="246">
        <v>31.9</v>
      </c>
      <c r="N66" s="246">
        <f t="shared" si="0"/>
        <v>31.133333333333336</v>
      </c>
    </row>
    <row r="67" spans="1:14" x14ac:dyDescent="0.3">
      <c r="A67" s="7">
        <v>1977</v>
      </c>
      <c r="B67" s="246">
        <v>32.200000000000003</v>
      </c>
      <c r="C67" s="246">
        <v>32.4</v>
      </c>
      <c r="D67" s="246">
        <v>32.799999999999997</v>
      </c>
      <c r="E67" s="246">
        <v>33</v>
      </c>
      <c r="F67" s="246">
        <v>33.4</v>
      </c>
      <c r="G67" s="246">
        <v>33.5</v>
      </c>
      <c r="H67" s="246">
        <v>33.9</v>
      </c>
      <c r="I67" s="246">
        <v>33.9</v>
      </c>
      <c r="J67" s="246">
        <v>34.200000000000003</v>
      </c>
      <c r="K67" s="246">
        <v>34.5</v>
      </c>
      <c r="L67" s="246">
        <v>34.700000000000003</v>
      </c>
      <c r="M67" s="246">
        <v>34.9</v>
      </c>
      <c r="N67" s="246">
        <f t="shared" si="0"/>
        <v>33.61666666666666</v>
      </c>
    </row>
    <row r="68" spans="1:14" x14ac:dyDescent="0.3">
      <c r="A68" s="7">
        <v>1978</v>
      </c>
      <c r="B68" s="246">
        <v>35.1</v>
      </c>
      <c r="C68" s="246">
        <v>35.4</v>
      </c>
      <c r="D68" s="246">
        <v>35.700000000000003</v>
      </c>
      <c r="E68" s="246">
        <v>35.799999999999997</v>
      </c>
      <c r="F68" s="246">
        <v>36.299999999999997</v>
      </c>
      <c r="G68" s="246">
        <v>36.6</v>
      </c>
      <c r="H68" s="246">
        <v>37.1</v>
      </c>
      <c r="I68" s="246">
        <v>37.200000000000003</v>
      </c>
      <c r="J68" s="246">
        <v>37.1</v>
      </c>
      <c r="K68" s="246">
        <v>37.6</v>
      </c>
      <c r="L68" s="246">
        <v>37.799999999999997</v>
      </c>
      <c r="M68" s="246">
        <v>37.9</v>
      </c>
      <c r="N68" s="246">
        <f t="shared" si="0"/>
        <v>36.633333333333333</v>
      </c>
    </row>
    <row r="69" spans="1:14" x14ac:dyDescent="0.3">
      <c r="A69" s="7">
        <v>1979</v>
      </c>
      <c r="B69" s="246">
        <v>38.1</v>
      </c>
      <c r="C69" s="246">
        <v>38.6</v>
      </c>
      <c r="D69" s="246">
        <v>39</v>
      </c>
      <c r="E69" s="246">
        <v>39.299999999999997</v>
      </c>
      <c r="F69" s="246">
        <v>39.700000000000003</v>
      </c>
      <c r="G69" s="246">
        <v>39.9</v>
      </c>
      <c r="H69" s="246">
        <v>40.200000000000003</v>
      </c>
      <c r="I69" s="246">
        <v>40.299999999999997</v>
      </c>
      <c r="J69" s="246">
        <v>40.700000000000003</v>
      </c>
      <c r="K69" s="246">
        <v>41</v>
      </c>
      <c r="L69" s="246">
        <v>41.4</v>
      </c>
      <c r="M69" s="246">
        <v>41.6</v>
      </c>
      <c r="N69" s="246">
        <f t="shared" ref="N69:N111" si="1">AVERAGE(B69:M69)</f>
        <v>39.983333333333334</v>
      </c>
    </row>
    <row r="70" spans="1:14" x14ac:dyDescent="0.3">
      <c r="A70" s="7">
        <v>1980</v>
      </c>
      <c r="B70" s="246">
        <v>41.8</v>
      </c>
      <c r="C70" s="246">
        <v>42.3</v>
      </c>
      <c r="D70" s="246">
        <v>42.6</v>
      </c>
      <c r="E70" s="246">
        <v>42.9</v>
      </c>
      <c r="F70" s="246">
        <v>43.4</v>
      </c>
      <c r="G70" s="246">
        <v>43.9</v>
      </c>
      <c r="H70" s="246">
        <v>44.2</v>
      </c>
      <c r="I70" s="246">
        <v>44.7</v>
      </c>
      <c r="J70" s="246">
        <v>45</v>
      </c>
      <c r="K70" s="246">
        <v>45.4</v>
      </c>
      <c r="L70" s="246">
        <v>46</v>
      </c>
      <c r="M70" s="246">
        <v>46.2</v>
      </c>
      <c r="N70" s="246">
        <f t="shared" si="1"/>
        <v>44.033333333333331</v>
      </c>
    </row>
    <row r="71" spans="1:14" x14ac:dyDescent="0.3">
      <c r="A71" s="7">
        <v>1981</v>
      </c>
      <c r="B71" s="246">
        <v>46.9</v>
      </c>
      <c r="C71" s="246">
        <v>47.4</v>
      </c>
      <c r="D71" s="246">
        <v>48</v>
      </c>
      <c r="E71" s="246">
        <v>48.3</v>
      </c>
      <c r="F71" s="246">
        <v>48.7</v>
      </c>
      <c r="G71" s="246">
        <v>49.5</v>
      </c>
      <c r="H71" s="246">
        <v>49.9</v>
      </c>
      <c r="I71" s="246">
        <v>50.3</v>
      </c>
      <c r="J71" s="246">
        <v>50.7</v>
      </c>
      <c r="K71" s="246">
        <v>51.2</v>
      </c>
      <c r="L71" s="246">
        <v>51.6</v>
      </c>
      <c r="M71" s="246">
        <v>51.8</v>
      </c>
      <c r="N71" s="246">
        <f t="shared" si="1"/>
        <v>49.524999999999999</v>
      </c>
    </row>
    <row r="72" spans="1:14" x14ac:dyDescent="0.3">
      <c r="A72" s="7">
        <v>1982</v>
      </c>
      <c r="B72" s="246">
        <v>52.2</v>
      </c>
      <c r="C72" s="246">
        <v>52.8</v>
      </c>
      <c r="D72" s="246">
        <v>53.5</v>
      </c>
      <c r="E72" s="246">
        <v>53.8</v>
      </c>
      <c r="F72" s="246">
        <v>54.5</v>
      </c>
      <c r="G72" s="246">
        <v>55.1</v>
      </c>
      <c r="H72" s="246">
        <v>55.4</v>
      </c>
      <c r="I72" s="246">
        <v>55.6</v>
      </c>
      <c r="J72" s="246">
        <v>55.9</v>
      </c>
      <c r="K72" s="246">
        <v>56.3</v>
      </c>
      <c r="L72" s="246">
        <v>56.6</v>
      </c>
      <c r="M72" s="246">
        <v>56.6</v>
      </c>
      <c r="N72" s="246">
        <f t="shared" si="1"/>
        <v>54.858333333333341</v>
      </c>
    </row>
    <row r="73" spans="1:14" x14ac:dyDescent="0.3">
      <c r="A73" s="7">
        <v>1983</v>
      </c>
      <c r="B73" s="246">
        <v>56.5</v>
      </c>
      <c r="C73" s="246">
        <v>56.8</v>
      </c>
      <c r="D73" s="246">
        <v>57.4</v>
      </c>
      <c r="E73" s="246">
        <v>57.4</v>
      </c>
      <c r="F73" s="246">
        <v>57.5</v>
      </c>
      <c r="G73" s="246">
        <v>58.1</v>
      </c>
      <c r="H73" s="246">
        <v>58.4</v>
      </c>
      <c r="I73" s="246">
        <v>58.7</v>
      </c>
      <c r="J73" s="246">
        <v>58.7</v>
      </c>
      <c r="K73" s="246">
        <v>59.1</v>
      </c>
      <c r="L73" s="246">
        <v>59.1</v>
      </c>
      <c r="M73" s="246">
        <v>59.2</v>
      </c>
      <c r="N73" s="246">
        <f t="shared" si="1"/>
        <v>58.07500000000001</v>
      </c>
    </row>
    <row r="74" spans="1:14" x14ac:dyDescent="0.3">
      <c r="A74" s="7">
        <v>1984</v>
      </c>
      <c r="B74" s="246">
        <v>59.6</v>
      </c>
      <c r="C74" s="246">
        <v>59.9</v>
      </c>
      <c r="D74" s="246">
        <v>60</v>
      </c>
      <c r="E74" s="246">
        <v>60.2</v>
      </c>
      <c r="F74" s="246">
        <v>60.2</v>
      </c>
      <c r="G74" s="246">
        <v>60.6</v>
      </c>
      <c r="H74" s="246">
        <v>60.8</v>
      </c>
      <c r="I74" s="246">
        <v>60.8</v>
      </c>
      <c r="J74" s="246">
        <v>60.9</v>
      </c>
      <c r="K74" s="246">
        <v>61.1</v>
      </c>
      <c r="L74" s="246">
        <v>61.4</v>
      </c>
      <c r="M74" s="246">
        <v>61.4</v>
      </c>
      <c r="N74" s="246">
        <f t="shared" si="1"/>
        <v>60.574999999999996</v>
      </c>
    </row>
    <row r="75" spans="1:14" x14ac:dyDescent="0.3">
      <c r="A75" s="7">
        <v>1985</v>
      </c>
      <c r="B75" s="246">
        <v>61.7</v>
      </c>
      <c r="C75" s="246">
        <v>62.1</v>
      </c>
      <c r="D75" s="246">
        <v>62.2</v>
      </c>
      <c r="E75" s="246">
        <v>62.5</v>
      </c>
      <c r="F75" s="246">
        <v>62.7</v>
      </c>
      <c r="G75" s="246">
        <v>63</v>
      </c>
      <c r="H75" s="246">
        <v>63.3</v>
      </c>
      <c r="I75" s="246">
        <v>63.3</v>
      </c>
      <c r="J75" s="246">
        <v>63.4</v>
      </c>
      <c r="K75" s="246">
        <v>63.6</v>
      </c>
      <c r="L75" s="246">
        <v>63.8</v>
      </c>
      <c r="M75" s="246">
        <v>64.099999999999994</v>
      </c>
      <c r="N75" s="246">
        <f t="shared" si="1"/>
        <v>62.975000000000001</v>
      </c>
    </row>
    <row r="76" spans="1:14" x14ac:dyDescent="0.3">
      <c r="A76" s="7">
        <v>1986</v>
      </c>
      <c r="B76" s="246">
        <v>64.400000000000006</v>
      </c>
      <c r="C76" s="246">
        <v>64.7</v>
      </c>
      <c r="D76" s="246">
        <v>64.900000000000006</v>
      </c>
      <c r="E76" s="246">
        <v>64.900000000000006</v>
      </c>
      <c r="F76" s="246">
        <v>65.3</v>
      </c>
      <c r="G76" s="246">
        <v>65.400000000000006</v>
      </c>
      <c r="H76" s="246">
        <v>65.900000000000006</v>
      </c>
      <c r="I76" s="246">
        <v>66</v>
      </c>
      <c r="J76" s="246">
        <v>66</v>
      </c>
      <c r="K76" s="246">
        <v>66.400000000000006</v>
      </c>
      <c r="L76" s="246">
        <v>66.7</v>
      </c>
      <c r="M76" s="246">
        <v>66.8</v>
      </c>
      <c r="N76" s="246">
        <f t="shared" si="1"/>
        <v>65.61666666666666</v>
      </c>
    </row>
    <row r="77" spans="1:14" x14ac:dyDescent="0.3">
      <c r="A77" s="7">
        <v>1987</v>
      </c>
      <c r="B77" s="246">
        <v>67</v>
      </c>
      <c r="C77" s="246">
        <v>67.3</v>
      </c>
      <c r="D77" s="246">
        <v>67.5</v>
      </c>
      <c r="E77" s="246">
        <v>67.900000000000006</v>
      </c>
      <c r="F77" s="246">
        <v>68.3</v>
      </c>
      <c r="G77" s="246">
        <v>68.5</v>
      </c>
      <c r="H77" s="246">
        <v>68.900000000000006</v>
      </c>
      <c r="I77" s="246">
        <v>69</v>
      </c>
      <c r="J77" s="246">
        <v>69</v>
      </c>
      <c r="K77" s="246">
        <v>69.2</v>
      </c>
      <c r="L77" s="246">
        <v>69.5</v>
      </c>
      <c r="M77" s="246">
        <v>69.599999999999994</v>
      </c>
      <c r="N77" s="246">
        <f t="shared" si="1"/>
        <v>68.475000000000009</v>
      </c>
    </row>
    <row r="78" spans="1:14" x14ac:dyDescent="0.3">
      <c r="A78" s="7">
        <v>1988</v>
      </c>
      <c r="B78" s="246">
        <v>69.7</v>
      </c>
      <c r="C78" s="246">
        <v>70</v>
      </c>
      <c r="D78" s="246">
        <v>70.400000000000006</v>
      </c>
      <c r="E78" s="246">
        <v>70.599999999999994</v>
      </c>
      <c r="F78" s="246">
        <v>71</v>
      </c>
      <c r="G78" s="246">
        <v>71.2</v>
      </c>
      <c r="H78" s="246">
        <v>71.599999999999994</v>
      </c>
      <c r="I78" s="246">
        <v>71.7</v>
      </c>
      <c r="J78" s="246">
        <v>71.8</v>
      </c>
      <c r="K78" s="246">
        <v>72.2</v>
      </c>
      <c r="L78" s="246">
        <v>72.3</v>
      </c>
      <c r="M78" s="246">
        <v>72.3</v>
      </c>
      <c r="N78" s="246">
        <f t="shared" si="1"/>
        <v>71.233333333333334</v>
      </c>
    </row>
    <row r="79" spans="1:14" x14ac:dyDescent="0.3">
      <c r="A79" s="7">
        <v>1989</v>
      </c>
      <c r="B79" s="246">
        <v>72.7</v>
      </c>
      <c r="C79" s="246">
        <v>73.2</v>
      </c>
      <c r="D79" s="246">
        <v>73.599999999999994</v>
      </c>
      <c r="E79" s="246">
        <v>73.8</v>
      </c>
      <c r="F79" s="246">
        <v>74.599999999999994</v>
      </c>
      <c r="G79" s="246">
        <v>74.900000000000006</v>
      </c>
      <c r="H79" s="246">
        <v>75.400000000000006</v>
      </c>
      <c r="I79" s="246">
        <v>75.5</v>
      </c>
      <c r="J79" s="246">
        <v>75.599999999999994</v>
      </c>
      <c r="K79" s="246">
        <v>75.900000000000006</v>
      </c>
      <c r="L79" s="246">
        <v>76.099999999999994</v>
      </c>
      <c r="M79" s="246">
        <v>76.099999999999994</v>
      </c>
      <c r="N79" s="246">
        <f t="shared" si="1"/>
        <v>74.783333333333331</v>
      </c>
    </row>
    <row r="80" spans="1:14" x14ac:dyDescent="0.3">
      <c r="A80" s="7">
        <v>1990</v>
      </c>
      <c r="B80" s="246">
        <v>76.7</v>
      </c>
      <c r="C80" s="246">
        <v>77.2</v>
      </c>
      <c r="D80" s="246">
        <v>77.5</v>
      </c>
      <c r="E80" s="246">
        <v>77.5</v>
      </c>
      <c r="F80" s="246">
        <v>77.900000000000006</v>
      </c>
      <c r="G80" s="246">
        <v>78.2</v>
      </c>
      <c r="H80" s="246">
        <v>78.5</v>
      </c>
      <c r="I80" s="246">
        <v>78.599999999999994</v>
      </c>
      <c r="J80" s="246">
        <v>78.8</v>
      </c>
      <c r="K80" s="246">
        <v>79.5</v>
      </c>
      <c r="L80" s="246">
        <v>80</v>
      </c>
      <c r="M80" s="246">
        <v>79.900000000000006</v>
      </c>
      <c r="N80" s="246">
        <f t="shared" si="1"/>
        <v>78.358333333333334</v>
      </c>
    </row>
    <row r="81" spans="1:14" x14ac:dyDescent="0.3">
      <c r="A81" s="7">
        <v>1991</v>
      </c>
      <c r="B81" s="246">
        <v>82</v>
      </c>
      <c r="C81" s="246">
        <v>82</v>
      </c>
      <c r="D81" s="246">
        <v>82.3</v>
      </c>
      <c r="E81" s="246">
        <v>82.3</v>
      </c>
      <c r="F81" s="246">
        <v>82.7</v>
      </c>
      <c r="G81" s="246">
        <v>83.1</v>
      </c>
      <c r="H81" s="246">
        <v>83.2</v>
      </c>
      <c r="I81" s="246">
        <v>83.3</v>
      </c>
      <c r="J81" s="246">
        <v>83.1</v>
      </c>
      <c r="K81" s="246">
        <v>83</v>
      </c>
      <c r="L81" s="246">
        <v>83.3</v>
      </c>
      <c r="M81" s="246">
        <v>82.9</v>
      </c>
      <c r="N81" s="246">
        <f t="shared" si="1"/>
        <v>82.766666666666666</v>
      </c>
    </row>
    <row r="82" spans="1:14" x14ac:dyDescent="0.3">
      <c r="A82" s="7">
        <v>1992</v>
      </c>
      <c r="B82" s="246">
        <v>83.3</v>
      </c>
      <c r="C82" s="246">
        <v>83.3</v>
      </c>
      <c r="D82" s="246">
        <v>83.6</v>
      </c>
      <c r="E82" s="246">
        <v>83.7</v>
      </c>
      <c r="F82" s="246">
        <v>83.8</v>
      </c>
      <c r="G82" s="246">
        <v>84</v>
      </c>
      <c r="H82" s="246">
        <v>84.2</v>
      </c>
      <c r="I82" s="246">
        <v>84.2</v>
      </c>
      <c r="J82" s="246">
        <v>84.2</v>
      </c>
      <c r="K82" s="246">
        <v>84.3</v>
      </c>
      <c r="L82" s="246">
        <v>84.7</v>
      </c>
      <c r="M82" s="246">
        <v>84.7</v>
      </c>
      <c r="N82" s="246">
        <f t="shared" si="1"/>
        <v>84.000000000000014</v>
      </c>
    </row>
    <row r="83" spans="1:14" x14ac:dyDescent="0.3">
      <c r="A83" s="7">
        <v>1993</v>
      </c>
      <c r="B83" s="246">
        <v>85</v>
      </c>
      <c r="C83" s="246">
        <v>85.3</v>
      </c>
      <c r="D83" s="246">
        <v>85.2</v>
      </c>
      <c r="E83" s="246">
        <v>85.2</v>
      </c>
      <c r="F83" s="246">
        <v>85.4</v>
      </c>
      <c r="G83" s="246">
        <v>85.4</v>
      </c>
      <c r="H83" s="246">
        <v>85.6</v>
      </c>
      <c r="I83" s="246">
        <v>85.7</v>
      </c>
      <c r="J83" s="246">
        <v>85.7</v>
      </c>
      <c r="K83" s="246">
        <v>85.9</v>
      </c>
      <c r="L83" s="246">
        <v>86.3</v>
      </c>
      <c r="M83" s="246">
        <v>86.1</v>
      </c>
      <c r="N83" s="246">
        <f t="shared" si="1"/>
        <v>85.566666666666663</v>
      </c>
    </row>
    <row r="84" spans="1:14" x14ac:dyDescent="0.3">
      <c r="A84" s="7">
        <v>1994</v>
      </c>
      <c r="B84" s="246">
        <v>86.1</v>
      </c>
      <c r="C84" s="246">
        <v>85.4</v>
      </c>
      <c r="D84" s="246">
        <v>85.4</v>
      </c>
      <c r="E84" s="246">
        <v>85.4</v>
      </c>
      <c r="F84" s="246">
        <v>85.2</v>
      </c>
      <c r="G84" s="246">
        <v>85.4</v>
      </c>
      <c r="H84" s="246">
        <v>85.7</v>
      </c>
      <c r="I84" s="246">
        <v>85.8</v>
      </c>
      <c r="J84" s="246">
        <v>85.9</v>
      </c>
      <c r="K84" s="246">
        <v>85.7</v>
      </c>
      <c r="L84" s="246">
        <v>86.2</v>
      </c>
      <c r="M84" s="246">
        <v>86.3</v>
      </c>
      <c r="N84" s="246">
        <f t="shared" si="1"/>
        <v>85.708333333333329</v>
      </c>
    </row>
    <row r="85" spans="1:14" x14ac:dyDescent="0.3">
      <c r="A85" s="7">
        <v>1995</v>
      </c>
      <c r="B85" s="246">
        <v>86.6</v>
      </c>
      <c r="C85" s="246">
        <v>87</v>
      </c>
      <c r="D85" s="246">
        <v>87.2</v>
      </c>
      <c r="E85" s="246">
        <v>87.5</v>
      </c>
      <c r="F85" s="246">
        <v>87.7</v>
      </c>
      <c r="G85" s="246">
        <v>87.7</v>
      </c>
      <c r="H85" s="246">
        <v>87.9</v>
      </c>
      <c r="I85" s="246">
        <v>87.7</v>
      </c>
      <c r="J85" s="246">
        <v>87.8</v>
      </c>
      <c r="K85" s="246">
        <v>87.7</v>
      </c>
      <c r="L85" s="246">
        <v>88</v>
      </c>
      <c r="M85" s="246">
        <v>87.8</v>
      </c>
      <c r="N85" s="246">
        <f t="shared" si="1"/>
        <v>87.550000000000011</v>
      </c>
    </row>
    <row r="86" spans="1:14" x14ac:dyDescent="0.3">
      <c r="A86" s="7">
        <v>1996</v>
      </c>
      <c r="B86" s="246">
        <v>88</v>
      </c>
      <c r="C86" s="246">
        <v>88.1</v>
      </c>
      <c r="D86" s="246">
        <v>88.5</v>
      </c>
      <c r="E86" s="246">
        <v>88.7</v>
      </c>
      <c r="F86" s="246">
        <v>89</v>
      </c>
      <c r="G86" s="246">
        <v>89</v>
      </c>
      <c r="H86" s="246">
        <v>89</v>
      </c>
      <c r="I86" s="246">
        <v>89</v>
      </c>
      <c r="J86" s="246">
        <v>89.1</v>
      </c>
      <c r="K86" s="246">
        <v>89.3</v>
      </c>
      <c r="L86" s="246">
        <v>89.7</v>
      </c>
      <c r="M86" s="246">
        <v>89.7</v>
      </c>
      <c r="N86" s="246">
        <f t="shared" si="1"/>
        <v>88.924999999999997</v>
      </c>
    </row>
    <row r="87" spans="1:14" x14ac:dyDescent="0.3">
      <c r="A87" s="7">
        <v>1997</v>
      </c>
      <c r="B87" s="246">
        <v>89.9</v>
      </c>
      <c r="C87" s="246">
        <v>90.1</v>
      </c>
      <c r="D87" s="246">
        <v>90.2</v>
      </c>
      <c r="E87" s="246">
        <v>90.2</v>
      </c>
      <c r="F87" s="246">
        <v>90.3</v>
      </c>
      <c r="G87" s="246">
        <v>90.5</v>
      </c>
      <c r="H87" s="246">
        <v>90.5</v>
      </c>
      <c r="I87" s="246">
        <v>90.6</v>
      </c>
      <c r="J87" s="246">
        <v>90.6</v>
      </c>
      <c r="K87" s="246">
        <v>90.6</v>
      </c>
      <c r="L87" s="246">
        <v>90.5</v>
      </c>
      <c r="M87" s="246">
        <v>90.4</v>
      </c>
      <c r="N87" s="246">
        <f t="shared" si="1"/>
        <v>90.366666666666674</v>
      </c>
    </row>
    <row r="88" spans="1:14" x14ac:dyDescent="0.3">
      <c r="A88" s="7">
        <v>1998</v>
      </c>
      <c r="B88" s="246">
        <v>90.9</v>
      </c>
      <c r="C88" s="246">
        <v>91</v>
      </c>
      <c r="D88" s="246">
        <v>91.1</v>
      </c>
      <c r="E88" s="246">
        <v>91</v>
      </c>
      <c r="F88" s="246">
        <v>91.3</v>
      </c>
      <c r="G88" s="246">
        <v>91.4</v>
      </c>
      <c r="H88" s="246">
        <v>91.4</v>
      </c>
      <c r="I88" s="246">
        <v>91.4</v>
      </c>
      <c r="J88" s="246">
        <v>91.2</v>
      </c>
      <c r="K88" s="246">
        <v>91.6</v>
      </c>
      <c r="L88" s="246">
        <v>91.6</v>
      </c>
      <c r="M88" s="246">
        <v>91.3</v>
      </c>
      <c r="N88" s="246">
        <f t="shared" si="1"/>
        <v>91.266666666666666</v>
      </c>
    </row>
    <row r="89" spans="1:14" x14ac:dyDescent="0.3">
      <c r="A89" s="7">
        <v>1999</v>
      </c>
      <c r="B89" s="246">
        <v>91.5</v>
      </c>
      <c r="C89" s="246">
        <v>91.6</v>
      </c>
      <c r="D89" s="246">
        <v>92</v>
      </c>
      <c r="E89" s="246">
        <v>92.5</v>
      </c>
      <c r="F89" s="246">
        <v>92.7</v>
      </c>
      <c r="G89" s="246">
        <v>92.9</v>
      </c>
      <c r="H89" s="246">
        <v>93.1</v>
      </c>
      <c r="I89" s="246">
        <v>93.3</v>
      </c>
      <c r="J89" s="246">
        <v>93.6</v>
      </c>
      <c r="K89" s="246">
        <v>93.7</v>
      </c>
      <c r="L89" s="246">
        <v>93.6</v>
      </c>
      <c r="M89" s="246">
        <v>93.7</v>
      </c>
      <c r="N89" s="246">
        <f t="shared" si="1"/>
        <v>92.850000000000009</v>
      </c>
    </row>
    <row r="90" spans="1:14" x14ac:dyDescent="0.3">
      <c r="A90" s="7">
        <v>2000</v>
      </c>
      <c r="B90" s="246">
        <v>93.5</v>
      </c>
      <c r="C90" s="246">
        <v>94.1</v>
      </c>
      <c r="D90" s="246">
        <v>94.8</v>
      </c>
      <c r="E90" s="246">
        <v>94.5</v>
      </c>
      <c r="F90" s="246">
        <v>94.9</v>
      </c>
      <c r="G90" s="246">
        <v>95.5</v>
      </c>
      <c r="H90" s="246">
        <v>95.8</v>
      </c>
      <c r="I90" s="246">
        <v>95.7</v>
      </c>
      <c r="J90" s="246">
        <v>96.1</v>
      </c>
      <c r="K90" s="246">
        <v>96.3</v>
      </c>
      <c r="L90" s="246">
        <v>96.6</v>
      </c>
      <c r="M90" s="246">
        <v>96.7</v>
      </c>
      <c r="N90" s="246">
        <f t="shared" si="1"/>
        <v>95.375</v>
      </c>
    </row>
    <row r="91" spans="1:14" x14ac:dyDescent="0.3">
      <c r="A91" s="7">
        <v>2001</v>
      </c>
      <c r="B91" s="246">
        <v>96.3</v>
      </c>
      <c r="C91" s="246">
        <v>96.8</v>
      </c>
      <c r="D91" s="246">
        <v>97.1</v>
      </c>
      <c r="E91" s="246">
        <v>97.8</v>
      </c>
      <c r="F91" s="246">
        <v>98.6</v>
      </c>
      <c r="G91" s="246">
        <v>98.7</v>
      </c>
      <c r="H91" s="246">
        <v>98.4</v>
      </c>
      <c r="I91" s="246">
        <v>98.4</v>
      </c>
      <c r="J91" s="246">
        <v>98.6</v>
      </c>
      <c r="K91" s="246">
        <v>98.1</v>
      </c>
      <c r="L91" s="246">
        <v>97.2</v>
      </c>
      <c r="M91" s="246">
        <v>97.4</v>
      </c>
      <c r="N91" s="246">
        <f t="shared" si="1"/>
        <v>97.783333333333346</v>
      </c>
    </row>
    <row r="92" spans="1:14" x14ac:dyDescent="0.3">
      <c r="A92" s="7">
        <v>2002</v>
      </c>
      <c r="B92" s="246">
        <v>97.6</v>
      </c>
      <c r="C92" s="246">
        <v>98.2</v>
      </c>
      <c r="D92" s="246">
        <v>98.9</v>
      </c>
      <c r="E92" s="246">
        <v>99.5</v>
      </c>
      <c r="F92" s="246">
        <v>99.7</v>
      </c>
      <c r="G92" s="246">
        <v>99.9</v>
      </c>
      <c r="H92" s="246">
        <v>100.5</v>
      </c>
      <c r="I92" s="246">
        <v>100.9</v>
      </c>
      <c r="J92" s="246">
        <v>100.9</v>
      </c>
      <c r="K92" s="246">
        <v>101.2</v>
      </c>
      <c r="L92" s="246">
        <v>101.5</v>
      </c>
      <c r="M92" s="246">
        <v>101.1</v>
      </c>
      <c r="N92" s="246">
        <f t="shared" si="1"/>
        <v>99.991666666666674</v>
      </c>
    </row>
    <row r="93" spans="1:14" x14ac:dyDescent="0.3">
      <c r="A93" s="7">
        <v>2003</v>
      </c>
      <c r="B93" s="246">
        <v>102</v>
      </c>
      <c r="C93" s="246">
        <v>102.8</v>
      </c>
      <c r="D93" s="246">
        <v>103.1</v>
      </c>
      <c r="E93" s="246">
        <v>102.4</v>
      </c>
      <c r="F93" s="246">
        <v>102.5</v>
      </c>
      <c r="G93" s="246">
        <v>102.5</v>
      </c>
      <c r="H93" s="246">
        <v>102.6</v>
      </c>
      <c r="I93" s="246">
        <v>102.9</v>
      </c>
      <c r="J93" s="246">
        <v>103.1</v>
      </c>
      <c r="K93" s="246">
        <v>102.8</v>
      </c>
      <c r="L93" s="246">
        <v>103.1</v>
      </c>
      <c r="M93" s="246">
        <v>103.2</v>
      </c>
      <c r="N93" s="246">
        <f t="shared" si="1"/>
        <v>102.75</v>
      </c>
    </row>
    <row r="94" spans="1:14" x14ac:dyDescent="0.3">
      <c r="A94" s="7">
        <v>2004</v>
      </c>
      <c r="B94" s="246">
        <v>103.3</v>
      </c>
      <c r="C94" s="246">
        <v>103.5</v>
      </c>
      <c r="D94" s="246">
        <v>103.9</v>
      </c>
      <c r="E94" s="246">
        <v>104.1</v>
      </c>
      <c r="F94" s="246">
        <v>105</v>
      </c>
      <c r="G94" s="246">
        <v>105.1</v>
      </c>
      <c r="H94" s="246">
        <v>105</v>
      </c>
      <c r="I94" s="246">
        <v>104.8</v>
      </c>
      <c r="J94" s="246">
        <v>105</v>
      </c>
      <c r="K94" s="246">
        <v>105.2</v>
      </c>
      <c r="L94" s="246">
        <v>105.6</v>
      </c>
      <c r="M94" s="246">
        <v>105.4</v>
      </c>
      <c r="N94" s="246">
        <f t="shared" si="1"/>
        <v>104.65833333333335</v>
      </c>
    </row>
    <row r="95" spans="1:14" x14ac:dyDescent="0.3">
      <c r="A95" s="7">
        <v>2005</v>
      </c>
      <c r="B95" s="246">
        <v>105.3</v>
      </c>
      <c r="C95" s="246">
        <v>105.7</v>
      </c>
      <c r="D95" s="246">
        <v>106.3</v>
      </c>
      <c r="E95" s="246">
        <v>106.6</v>
      </c>
      <c r="F95" s="246">
        <v>106.7</v>
      </c>
      <c r="G95" s="246">
        <v>106.9</v>
      </c>
      <c r="H95" s="246">
        <v>107.1</v>
      </c>
      <c r="I95" s="246">
        <v>107.5</v>
      </c>
      <c r="J95" s="246">
        <v>108.4</v>
      </c>
      <c r="K95" s="246">
        <v>107.9</v>
      </c>
      <c r="L95" s="246">
        <v>107.7</v>
      </c>
      <c r="M95" s="246">
        <v>107.6</v>
      </c>
      <c r="N95" s="246">
        <f t="shared" si="1"/>
        <v>106.97500000000001</v>
      </c>
    </row>
    <row r="96" spans="1:14" x14ac:dyDescent="0.3">
      <c r="A96" s="7">
        <v>2006</v>
      </c>
      <c r="B96" s="246">
        <v>108.2</v>
      </c>
      <c r="C96" s="246">
        <v>108</v>
      </c>
      <c r="D96" s="246">
        <v>108.6</v>
      </c>
      <c r="E96" s="246">
        <v>109.2</v>
      </c>
      <c r="F96" s="246">
        <v>109.7</v>
      </c>
      <c r="G96" s="246">
        <v>109.5</v>
      </c>
      <c r="H96" s="246">
        <v>109.6</v>
      </c>
      <c r="I96" s="246">
        <v>109.8</v>
      </c>
      <c r="J96" s="246">
        <v>109.2</v>
      </c>
      <c r="K96" s="246">
        <v>109</v>
      </c>
      <c r="L96" s="246">
        <v>109.2</v>
      </c>
      <c r="M96" s="246">
        <v>109.4</v>
      </c>
      <c r="N96" s="246">
        <f t="shared" si="1"/>
        <v>109.11666666666667</v>
      </c>
    </row>
    <row r="97" spans="1:14" x14ac:dyDescent="0.3">
      <c r="A97" s="7">
        <v>2007</v>
      </c>
      <c r="B97" s="246">
        <v>109.4</v>
      </c>
      <c r="C97" s="246">
        <v>110.2</v>
      </c>
      <c r="D97" s="246">
        <v>111.1</v>
      </c>
      <c r="E97" s="246">
        <v>111.6</v>
      </c>
      <c r="F97" s="246">
        <v>112.1</v>
      </c>
      <c r="G97" s="246">
        <v>111.9</v>
      </c>
      <c r="H97" s="246">
        <v>112</v>
      </c>
      <c r="I97" s="246">
        <v>111.7</v>
      </c>
      <c r="J97" s="246">
        <v>111.9</v>
      </c>
      <c r="K97" s="246">
        <v>111.6</v>
      </c>
      <c r="L97" s="246">
        <v>111.9</v>
      </c>
      <c r="M97" s="246">
        <v>112</v>
      </c>
      <c r="N97" s="246">
        <f t="shared" si="1"/>
        <v>111.45</v>
      </c>
    </row>
    <row r="98" spans="1:14" x14ac:dyDescent="0.3">
      <c r="A98" s="7">
        <v>2008</v>
      </c>
      <c r="B98" s="246">
        <v>111.8</v>
      </c>
      <c r="C98" s="246">
        <v>112.2</v>
      </c>
      <c r="D98" s="246">
        <v>112.6</v>
      </c>
      <c r="E98" s="246">
        <v>113.5</v>
      </c>
      <c r="F98" s="246">
        <v>114.6</v>
      </c>
      <c r="G98" s="246">
        <v>115.4</v>
      </c>
      <c r="H98" s="246">
        <v>115.8</v>
      </c>
      <c r="I98" s="246">
        <v>115.6</v>
      </c>
      <c r="J98" s="246">
        <v>115.7</v>
      </c>
      <c r="K98" s="246">
        <v>114.5</v>
      </c>
      <c r="L98" s="246">
        <v>114.1</v>
      </c>
      <c r="M98" s="246">
        <v>113.3</v>
      </c>
      <c r="N98" s="246">
        <f t="shared" si="1"/>
        <v>114.09166666666665</v>
      </c>
    </row>
    <row r="99" spans="1:14" x14ac:dyDescent="0.3">
      <c r="A99" s="7">
        <v>2009</v>
      </c>
      <c r="B99" s="246">
        <v>113</v>
      </c>
      <c r="C99" s="246">
        <v>113.8</v>
      </c>
      <c r="D99" s="246">
        <v>114</v>
      </c>
      <c r="E99" s="246">
        <v>113.9</v>
      </c>
      <c r="F99" s="246">
        <v>114.7</v>
      </c>
      <c r="G99" s="246">
        <v>115.1</v>
      </c>
      <c r="H99" s="246">
        <v>114.7</v>
      </c>
      <c r="I99" s="246">
        <v>114.7</v>
      </c>
      <c r="J99" s="246">
        <v>114.7</v>
      </c>
      <c r="K99" s="246">
        <v>114.6</v>
      </c>
      <c r="L99" s="246">
        <v>115.2</v>
      </c>
      <c r="M99" s="246">
        <v>114.8</v>
      </c>
      <c r="N99" s="246">
        <f t="shared" si="1"/>
        <v>114.43333333333334</v>
      </c>
    </row>
    <row r="100" spans="1:14" x14ac:dyDescent="0.3">
      <c r="A100" s="7">
        <v>2010</v>
      </c>
      <c r="B100" s="246">
        <v>115.1</v>
      </c>
      <c r="C100" s="246">
        <v>115.6</v>
      </c>
      <c r="D100" s="246">
        <v>115.6</v>
      </c>
      <c r="E100" s="246">
        <v>116</v>
      </c>
      <c r="F100" s="246">
        <v>116.3</v>
      </c>
      <c r="G100" s="246">
        <v>116.2</v>
      </c>
      <c r="H100" s="246">
        <v>116.8</v>
      </c>
      <c r="I100" s="246">
        <v>116.7</v>
      </c>
      <c r="J100" s="246">
        <v>116.9</v>
      </c>
      <c r="K100" s="246">
        <v>117.4</v>
      </c>
      <c r="L100" s="246">
        <v>117.5</v>
      </c>
      <c r="M100" s="246">
        <v>117.5</v>
      </c>
      <c r="N100" s="246">
        <f t="shared" si="1"/>
        <v>116.46666666666668</v>
      </c>
    </row>
    <row r="101" spans="1:14" x14ac:dyDescent="0.3">
      <c r="A101" s="7">
        <v>2011</v>
      </c>
      <c r="B101" s="246">
        <v>117.8</v>
      </c>
      <c r="C101" s="246">
        <v>118.1</v>
      </c>
      <c r="D101" s="246">
        <v>119.4</v>
      </c>
      <c r="E101" s="246">
        <v>119.8</v>
      </c>
      <c r="F101" s="246">
        <v>120.6</v>
      </c>
      <c r="G101" s="246">
        <v>119.8</v>
      </c>
      <c r="H101" s="246">
        <v>120</v>
      </c>
      <c r="I101" s="246">
        <v>120.3</v>
      </c>
      <c r="J101" s="246">
        <v>120.6</v>
      </c>
      <c r="K101" s="246">
        <v>120.8</v>
      </c>
      <c r="L101" s="246">
        <v>120.9</v>
      </c>
      <c r="M101" s="246">
        <v>120.2</v>
      </c>
      <c r="N101" s="246">
        <f t="shared" si="1"/>
        <v>119.85833333333333</v>
      </c>
    </row>
    <row r="102" spans="1:14" x14ac:dyDescent="0.3">
      <c r="A102" s="7">
        <v>2012</v>
      </c>
      <c r="B102" s="246">
        <v>120.7</v>
      </c>
      <c r="C102" s="246">
        <v>121.2</v>
      </c>
      <c r="D102" s="246">
        <v>121.7</v>
      </c>
      <c r="E102" s="246">
        <v>122.2</v>
      </c>
      <c r="F102" s="246">
        <v>122.1</v>
      </c>
      <c r="G102" s="246">
        <v>121.6</v>
      </c>
      <c r="H102" s="246">
        <v>121.5</v>
      </c>
      <c r="I102" s="246">
        <v>121.8</v>
      </c>
      <c r="J102" s="246">
        <v>122</v>
      </c>
      <c r="K102" s="246">
        <v>122.2</v>
      </c>
      <c r="L102" s="246">
        <v>121.9</v>
      </c>
      <c r="M102" s="246">
        <v>121.2</v>
      </c>
      <c r="N102" s="246">
        <f t="shared" si="1"/>
        <v>121.67500000000001</v>
      </c>
    </row>
    <row r="103" spans="1:14" x14ac:dyDescent="0.3">
      <c r="A103" s="7">
        <v>2013</v>
      </c>
      <c r="B103" s="246">
        <v>121.3</v>
      </c>
      <c r="C103" s="246">
        <v>122.7</v>
      </c>
      <c r="D103" s="246">
        <v>122.9</v>
      </c>
      <c r="E103" s="246">
        <v>122.7</v>
      </c>
      <c r="F103" s="246">
        <v>123</v>
      </c>
      <c r="G103" s="246">
        <v>123</v>
      </c>
      <c r="H103" s="246">
        <v>123.1</v>
      </c>
      <c r="I103" s="246">
        <v>123.1</v>
      </c>
      <c r="J103" s="246">
        <v>123.3</v>
      </c>
      <c r="K103" s="246">
        <v>123</v>
      </c>
      <c r="L103" s="246">
        <v>123</v>
      </c>
      <c r="M103" s="246">
        <v>122.7</v>
      </c>
      <c r="N103" s="246">
        <f t="shared" si="1"/>
        <v>122.81666666666666</v>
      </c>
    </row>
    <row r="104" spans="1:14" x14ac:dyDescent="0.3">
      <c r="A104" s="7">
        <v>2014</v>
      </c>
      <c r="B104" s="246">
        <v>123.1</v>
      </c>
      <c r="C104" s="246">
        <v>124.1</v>
      </c>
      <c r="D104" s="246">
        <v>124.8</v>
      </c>
      <c r="E104" s="246">
        <v>125.2</v>
      </c>
      <c r="F104" s="246">
        <v>125.8</v>
      </c>
      <c r="G104" s="246">
        <v>125.9</v>
      </c>
      <c r="H104" s="246">
        <v>125.7</v>
      </c>
      <c r="I104" s="246">
        <v>125.7</v>
      </c>
      <c r="J104" s="246">
        <v>125.8</v>
      </c>
      <c r="K104" s="246">
        <v>125.9</v>
      </c>
      <c r="L104" s="246">
        <v>125.4</v>
      </c>
      <c r="M104" s="246">
        <v>124.5</v>
      </c>
      <c r="N104" s="246">
        <f t="shared" si="1"/>
        <v>125.15833333333336</v>
      </c>
    </row>
    <row r="105" spans="1:14" x14ac:dyDescent="0.3">
      <c r="A105" s="7">
        <v>2015</v>
      </c>
      <c r="B105" s="246">
        <v>124.3</v>
      </c>
      <c r="C105" s="246">
        <v>125.4</v>
      </c>
      <c r="D105" s="246">
        <v>126.3</v>
      </c>
      <c r="E105" s="246">
        <v>126.2</v>
      </c>
      <c r="F105" s="246">
        <v>126.9</v>
      </c>
      <c r="G105" s="246">
        <v>127.2</v>
      </c>
      <c r="H105" s="246">
        <v>127.3</v>
      </c>
      <c r="I105" s="246">
        <v>127.3</v>
      </c>
      <c r="J105" s="246">
        <v>127.1</v>
      </c>
      <c r="K105" s="246">
        <v>127.2</v>
      </c>
      <c r="L105" s="246">
        <v>127.1</v>
      </c>
      <c r="M105" s="246">
        <v>126.5</v>
      </c>
      <c r="N105" s="246">
        <f t="shared" si="1"/>
        <v>126.56666666666666</v>
      </c>
    </row>
    <row r="106" spans="1:14" x14ac:dyDescent="0.3">
      <c r="A106" s="7">
        <v>2016</v>
      </c>
      <c r="B106" s="246">
        <v>126.8</v>
      </c>
      <c r="C106" s="246">
        <v>127.1</v>
      </c>
      <c r="D106" s="246">
        <v>127.9</v>
      </c>
      <c r="E106" s="246">
        <v>128.30000000000001</v>
      </c>
      <c r="F106" s="246">
        <v>128.80000000000001</v>
      </c>
      <c r="G106" s="246">
        <v>129.1</v>
      </c>
      <c r="H106" s="246">
        <v>128.9</v>
      </c>
      <c r="I106" s="246">
        <v>128.69999999999999</v>
      </c>
      <c r="J106" s="246">
        <v>128.80000000000001</v>
      </c>
      <c r="K106" s="246">
        <v>129.1</v>
      </c>
      <c r="L106" s="246">
        <v>128.6</v>
      </c>
      <c r="M106" s="246">
        <v>128.4</v>
      </c>
      <c r="N106" s="246">
        <f t="shared" si="1"/>
        <v>128.37499999999997</v>
      </c>
    </row>
    <row r="107" spans="1:14" x14ac:dyDescent="0.3">
      <c r="A107" s="7">
        <v>2017</v>
      </c>
      <c r="B107" s="246">
        <v>129.5</v>
      </c>
      <c r="C107" s="246">
        <v>129.69999999999999</v>
      </c>
      <c r="D107" s="246">
        <v>129.9</v>
      </c>
      <c r="E107" s="246">
        <v>130.4</v>
      </c>
      <c r="F107" s="246">
        <v>130.5</v>
      </c>
      <c r="G107" s="246">
        <v>130.4</v>
      </c>
      <c r="H107" s="246">
        <v>130.4</v>
      </c>
      <c r="I107" s="246">
        <v>130.5</v>
      </c>
      <c r="J107" s="246">
        <v>130.80000000000001</v>
      </c>
      <c r="K107" s="246">
        <v>130.9</v>
      </c>
      <c r="L107" s="246">
        <v>131.30000000000001</v>
      </c>
      <c r="M107" s="246">
        <v>130.80000000000001</v>
      </c>
      <c r="N107" s="246">
        <f t="shared" si="1"/>
        <v>130.42499999999998</v>
      </c>
    </row>
    <row r="108" spans="1:14" x14ac:dyDescent="0.3">
      <c r="A108" s="7">
        <v>2018</v>
      </c>
      <c r="B108" s="246">
        <v>131.69999999999999</v>
      </c>
      <c r="C108" s="246">
        <v>132.5</v>
      </c>
      <c r="D108" s="246">
        <v>132.9</v>
      </c>
      <c r="E108" s="246">
        <v>133.30000000000001</v>
      </c>
      <c r="F108" s="246">
        <v>133.4</v>
      </c>
      <c r="G108" s="246">
        <v>133.6</v>
      </c>
      <c r="H108" s="246">
        <v>134.30000000000001</v>
      </c>
      <c r="I108" s="246">
        <v>134.19999999999999</v>
      </c>
      <c r="J108" s="246">
        <v>133.69999999999999</v>
      </c>
      <c r="K108" s="246">
        <v>134.1</v>
      </c>
      <c r="L108" s="246">
        <v>133.5</v>
      </c>
      <c r="M108" s="246">
        <v>133.4</v>
      </c>
      <c r="N108" s="246">
        <f t="shared" si="1"/>
        <v>133.38333333333335</v>
      </c>
    </row>
    <row r="109" spans="1:14" x14ac:dyDescent="0.3">
      <c r="A109" s="7">
        <v>2019</v>
      </c>
      <c r="B109" s="246">
        <v>133.6</v>
      </c>
      <c r="C109" s="246">
        <v>134.5</v>
      </c>
      <c r="D109" s="246">
        <v>135.4</v>
      </c>
      <c r="E109" s="246">
        <v>136</v>
      </c>
      <c r="F109" s="246">
        <v>136.6</v>
      </c>
      <c r="G109" s="246">
        <v>136.30000000000001</v>
      </c>
      <c r="H109" s="246">
        <v>137</v>
      </c>
      <c r="I109" s="246">
        <v>136.80000000000001</v>
      </c>
      <c r="J109" s="246">
        <v>136.19999999999999</v>
      </c>
      <c r="K109" s="246">
        <v>136.6</v>
      </c>
      <c r="L109" s="246">
        <v>136.4</v>
      </c>
      <c r="M109" s="246">
        <v>136.4</v>
      </c>
      <c r="N109" s="246">
        <f t="shared" si="1"/>
        <v>135.98333333333335</v>
      </c>
    </row>
    <row r="110" spans="1:14" x14ac:dyDescent="0.3">
      <c r="A110" s="7">
        <v>2020</v>
      </c>
      <c r="B110" s="246">
        <v>136.80000000000001</v>
      </c>
      <c r="C110" s="246">
        <v>137.4</v>
      </c>
      <c r="D110" s="246">
        <v>136.6</v>
      </c>
      <c r="E110" s="246">
        <v>135.69999999999999</v>
      </c>
      <c r="F110" s="246">
        <v>136.1</v>
      </c>
      <c r="G110" s="246">
        <v>137.19999999999999</v>
      </c>
      <c r="H110" s="246">
        <v>137.19999999999999</v>
      </c>
      <c r="I110" s="246">
        <v>137</v>
      </c>
      <c r="J110" s="246">
        <v>136.9</v>
      </c>
      <c r="K110" s="246">
        <v>137.5</v>
      </c>
      <c r="L110" s="246">
        <v>137.69999999999999</v>
      </c>
      <c r="M110" s="246">
        <v>137.4</v>
      </c>
      <c r="N110" s="246">
        <f t="shared" si="1"/>
        <v>136.95833333333334</v>
      </c>
    </row>
    <row r="111" spans="1:14" x14ac:dyDescent="0.3">
      <c r="A111" s="7">
        <v>2021</v>
      </c>
      <c r="B111" s="246">
        <v>138.19999999999999</v>
      </c>
      <c r="C111" s="246">
        <v>138.9</v>
      </c>
      <c r="D111" s="246">
        <v>138.6</v>
      </c>
      <c r="E111" s="246">
        <v>140.30000000000001</v>
      </c>
      <c r="F111" s="246">
        <v>141</v>
      </c>
      <c r="G111" s="246">
        <v>141.4</v>
      </c>
      <c r="H111" s="246">
        <v>142.30000000000001</v>
      </c>
      <c r="I111" s="246">
        <v>142.6</v>
      </c>
      <c r="J111" s="246">
        <v>142.9</v>
      </c>
      <c r="K111" s="246">
        <v>143.9</v>
      </c>
      <c r="L111" s="246">
        <v>144.19999999999999</v>
      </c>
      <c r="M111" s="246">
        <v>144</v>
      </c>
      <c r="N111" s="246">
        <f t="shared" si="1"/>
        <v>141.52500000000001</v>
      </c>
    </row>
    <row r="113" spans="2:15" x14ac:dyDescent="0.3">
      <c r="B113" s="265">
        <f>B111/B110-1</f>
        <v>1.0233918128654818E-2</v>
      </c>
      <c r="C113" s="265">
        <f t="shared" ref="C113:L113" si="2">C111/C110-1</f>
        <v>1.0917030567685559E-2</v>
      </c>
      <c r="D113" s="265">
        <f t="shared" si="2"/>
        <v>1.4641288433382194E-2</v>
      </c>
      <c r="E113" s="265">
        <f t="shared" si="2"/>
        <v>3.3898305084745894E-2</v>
      </c>
      <c r="F113" s="265">
        <f t="shared" si="2"/>
        <v>3.6002939015429947E-2</v>
      </c>
      <c r="G113" s="265">
        <f t="shared" si="2"/>
        <v>3.0612244897959329E-2</v>
      </c>
      <c r="H113" s="265">
        <f t="shared" si="2"/>
        <v>3.7172011661807725E-2</v>
      </c>
      <c r="I113" s="265">
        <f t="shared" si="2"/>
        <v>4.0875912408758985E-2</v>
      </c>
      <c r="J113" s="265">
        <f t="shared" si="2"/>
        <v>4.3827611395178989E-2</v>
      </c>
      <c r="K113" s="265">
        <f t="shared" si="2"/>
        <v>4.6545454545454668E-2</v>
      </c>
      <c r="L113" s="265">
        <f t="shared" si="2"/>
        <v>4.7204066811910028E-2</v>
      </c>
      <c r="M113" s="265">
        <f t="shared" ref="M113:N113" si="3">M111/M110-1</f>
        <v>4.8034934497816595E-2</v>
      </c>
      <c r="N113" s="265">
        <f t="shared" si="3"/>
        <v>3.3343474292668152E-2</v>
      </c>
      <c r="O113" s="7" t="s">
        <v>208</v>
      </c>
    </row>
    <row r="114" spans="2:15" x14ac:dyDescent="0.3">
      <c r="B114" s="265">
        <f>POWER(B111/B109,0.5)-1</f>
        <v>1.706987848650332E-2</v>
      </c>
      <c r="C114" s="265">
        <f t="shared" ref="C114:L114" si="4">POWER(C111/C109,0.5)-1</f>
        <v>1.6225247987295521E-2</v>
      </c>
      <c r="D114" s="265">
        <f t="shared" si="4"/>
        <v>1.1747833203084923E-2</v>
      </c>
      <c r="E114" s="265">
        <f t="shared" si="4"/>
        <v>1.5685801347455897E-2</v>
      </c>
      <c r="F114" s="265">
        <f t="shared" si="4"/>
        <v>1.5977772667020718E-2</v>
      </c>
      <c r="G114" s="265">
        <f t="shared" si="4"/>
        <v>1.8536922002351686E-2</v>
      </c>
      <c r="H114" s="265">
        <f t="shared" si="4"/>
        <v>1.9159522050822719E-2</v>
      </c>
      <c r="I114" s="265">
        <f t="shared" si="4"/>
        <v>2.0978775890426293E-2</v>
      </c>
      <c r="J114" s="265">
        <f t="shared" si="4"/>
        <v>2.4300914853802924E-2</v>
      </c>
      <c r="K114" s="265">
        <f t="shared" si="4"/>
        <v>2.6372594520062576E-2</v>
      </c>
      <c r="L114" s="265">
        <f t="shared" si="4"/>
        <v>2.8194899196226197E-2</v>
      </c>
      <c r="M114" s="265">
        <f t="shared" ref="M114:N114" si="5">POWER(M111/M109,0.5)-1</f>
        <v>2.7481617876112585E-2</v>
      </c>
      <c r="N114" s="265">
        <f t="shared" si="5"/>
        <v>2.0172800658704082E-2</v>
      </c>
      <c r="O114" s="7" t="s">
        <v>209</v>
      </c>
    </row>
    <row r="115" spans="2:15" x14ac:dyDescent="0.3">
      <c r="B115" s="265">
        <f>POWER(B111/B108,1/3)-1</f>
        <v>1.6188063802464958E-2</v>
      </c>
      <c r="C115" s="265">
        <f t="shared" ref="C115:L115" si="6">POWER(C111/C108,1/3)-1</f>
        <v>1.5848138608813622E-2</v>
      </c>
      <c r="D115" s="265">
        <f t="shared" si="6"/>
        <v>1.4096809690079315E-2</v>
      </c>
      <c r="E115" s="265">
        <f t="shared" si="6"/>
        <v>1.7206610541933953E-2</v>
      </c>
      <c r="F115" s="265">
        <f t="shared" si="6"/>
        <v>1.8640863823220055E-2</v>
      </c>
      <c r="G115" s="265">
        <f t="shared" si="6"/>
        <v>1.9094170018149281E-2</v>
      </c>
      <c r="H115" s="265">
        <f t="shared" si="6"/>
        <v>1.9474332191339983E-2</v>
      </c>
      <c r="I115" s="265">
        <f t="shared" si="6"/>
        <v>2.0443592958621082E-2</v>
      </c>
      <c r="J115" s="265">
        <f t="shared" si="6"/>
        <v>2.2430054538795874E-2</v>
      </c>
      <c r="K115" s="265">
        <f t="shared" si="6"/>
        <v>2.3789502172993471E-2</v>
      </c>
      <c r="L115" s="265">
        <f t="shared" si="6"/>
        <v>2.6033005844443791E-2</v>
      </c>
      <c r="M115" s="265">
        <f t="shared" ref="M115:N115" si="7">POWER(M111/M108,1/3)-1</f>
        <v>2.5814627388391687E-2</v>
      </c>
      <c r="N115" s="265">
        <f t="shared" si="7"/>
        <v>1.9946046789327321E-2</v>
      </c>
      <c r="O115" s="7" t="s">
        <v>210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ignoredErrors>
    <ignoredError sqref="N4:N98" formulaRange="1"/>
  </ignoredErrors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0"/>
  <dimension ref="A1:N47"/>
  <sheetViews>
    <sheetView workbookViewId="0">
      <pane xSplit="1" ySplit="3" topLeftCell="B37" activePane="bottomRight" state="frozen"/>
      <selection activeCell="N46" sqref="N46:N47"/>
      <selection pane="topRight" activeCell="N46" sqref="N46:N47"/>
      <selection pane="bottomLeft" activeCell="N46" sqref="N46:N47"/>
      <selection pane="bottomRight" activeCell="M48" sqref="M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77</v>
      </c>
    </row>
    <row r="2" spans="1:14" s="187" customFormat="1" x14ac:dyDescent="0.3">
      <c r="A2" s="25">
        <v>3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38.6</v>
      </c>
      <c r="K4" s="246">
        <v>39.200000000000003</v>
      </c>
      <c r="L4" s="246">
        <v>39.700000000000003</v>
      </c>
      <c r="M4" s="246">
        <v>39.799999999999997</v>
      </c>
      <c r="N4" s="246">
        <f t="shared" ref="N4:N47" si="0">AVERAGE(B4:M4)</f>
        <v>39.325000000000003</v>
      </c>
    </row>
    <row r="5" spans="1:14" x14ac:dyDescent="0.3">
      <c r="A5" s="7">
        <v>1979</v>
      </c>
      <c r="B5" s="246">
        <v>39.9</v>
      </c>
      <c r="C5" s="246">
        <v>40.299999999999997</v>
      </c>
      <c r="D5" s="246">
        <v>40.700000000000003</v>
      </c>
      <c r="E5" s="246">
        <v>41.1</v>
      </c>
      <c r="F5" s="246">
        <v>41.6</v>
      </c>
      <c r="G5" s="246">
        <v>41.8</v>
      </c>
      <c r="H5" s="246">
        <v>42.3</v>
      </c>
      <c r="I5" s="246">
        <v>42.5</v>
      </c>
      <c r="J5" s="246">
        <v>42.8</v>
      </c>
      <c r="K5" s="246">
        <v>42.9</v>
      </c>
      <c r="L5" s="246">
        <v>43.7</v>
      </c>
      <c r="M5" s="246">
        <v>43.9</v>
      </c>
      <c r="N5" s="246">
        <f t="shared" si="0"/>
        <v>41.958333333333329</v>
      </c>
    </row>
    <row r="6" spans="1:14" x14ac:dyDescent="0.3">
      <c r="A6" s="7">
        <v>1980</v>
      </c>
      <c r="B6" s="246">
        <v>43.9</v>
      </c>
      <c r="C6" s="246">
        <v>44.3</v>
      </c>
      <c r="D6" s="246">
        <v>45</v>
      </c>
      <c r="E6" s="246">
        <v>45.5</v>
      </c>
      <c r="F6" s="246">
        <v>46.1</v>
      </c>
      <c r="G6" s="246">
        <v>46.7</v>
      </c>
      <c r="H6" s="246">
        <v>47.1</v>
      </c>
      <c r="I6" s="246">
        <v>47.8</v>
      </c>
      <c r="J6" s="246">
        <v>48.1</v>
      </c>
      <c r="K6" s="246">
        <v>48.7</v>
      </c>
      <c r="L6" s="246">
        <v>49.3</v>
      </c>
      <c r="M6" s="246">
        <v>49.8</v>
      </c>
      <c r="N6" s="246">
        <f t="shared" si="0"/>
        <v>46.858333333333327</v>
      </c>
    </row>
    <row r="7" spans="1:14" x14ac:dyDescent="0.3">
      <c r="A7" s="7">
        <v>1981</v>
      </c>
      <c r="B7" s="246">
        <v>50.1</v>
      </c>
      <c r="C7" s="246">
        <v>50.7</v>
      </c>
      <c r="D7" s="246">
        <v>51.3</v>
      </c>
      <c r="E7" s="246">
        <v>51.9</v>
      </c>
      <c r="F7" s="246">
        <v>52.4</v>
      </c>
      <c r="G7" s="246">
        <v>53.1</v>
      </c>
      <c r="H7" s="246">
        <v>53.6</v>
      </c>
      <c r="I7" s="246">
        <v>53.9</v>
      </c>
      <c r="J7" s="246">
        <v>54.6</v>
      </c>
      <c r="K7" s="246">
        <v>54.9</v>
      </c>
      <c r="L7" s="246">
        <v>55.4</v>
      </c>
      <c r="M7" s="246">
        <v>55.6</v>
      </c>
      <c r="N7" s="246">
        <f t="shared" si="0"/>
        <v>53.125000000000007</v>
      </c>
    </row>
    <row r="8" spans="1:14" x14ac:dyDescent="0.3">
      <c r="A8" s="7">
        <v>1982</v>
      </c>
      <c r="B8" s="246">
        <v>55.9</v>
      </c>
      <c r="C8" s="246">
        <v>56.5</v>
      </c>
      <c r="D8" s="246">
        <v>57.3</v>
      </c>
      <c r="E8" s="246">
        <v>57.3</v>
      </c>
      <c r="F8" s="246">
        <v>57.9</v>
      </c>
      <c r="G8" s="246">
        <v>58.3</v>
      </c>
      <c r="H8" s="246">
        <v>58.8</v>
      </c>
      <c r="I8" s="246">
        <v>59</v>
      </c>
      <c r="J8" s="246">
        <v>59.4</v>
      </c>
      <c r="K8" s="246">
        <v>60</v>
      </c>
      <c r="L8" s="246">
        <v>60.2</v>
      </c>
      <c r="M8" s="246">
        <v>60.9</v>
      </c>
      <c r="N8" s="246">
        <f t="shared" si="0"/>
        <v>58.458333333333336</v>
      </c>
    </row>
    <row r="9" spans="1:14" x14ac:dyDescent="0.3">
      <c r="A9" s="7">
        <v>1983</v>
      </c>
      <c r="B9" s="246">
        <v>60.8</v>
      </c>
      <c r="C9" s="246">
        <v>61.1</v>
      </c>
      <c r="D9" s="246">
        <v>61.7</v>
      </c>
      <c r="E9" s="246">
        <v>61.9</v>
      </c>
      <c r="F9" s="246">
        <v>61.9</v>
      </c>
      <c r="G9" s="246">
        <v>62.1</v>
      </c>
      <c r="H9" s="246">
        <v>62.4</v>
      </c>
      <c r="I9" s="246">
        <v>63</v>
      </c>
      <c r="J9" s="246">
        <v>63.1</v>
      </c>
      <c r="K9" s="246">
        <v>63.3</v>
      </c>
      <c r="L9" s="246">
        <v>63.4</v>
      </c>
      <c r="M9" s="246">
        <v>63.6</v>
      </c>
      <c r="N9" s="246">
        <f t="shared" si="0"/>
        <v>62.358333333333327</v>
      </c>
    </row>
    <row r="10" spans="1:14" x14ac:dyDescent="0.3">
      <c r="A10" s="7">
        <v>1984</v>
      </c>
      <c r="B10" s="246">
        <v>64.2</v>
      </c>
      <c r="C10" s="246">
        <v>64.599999999999994</v>
      </c>
      <c r="D10" s="246">
        <v>64.599999999999994</v>
      </c>
      <c r="E10" s="246">
        <v>64.7</v>
      </c>
      <c r="F10" s="246">
        <v>65</v>
      </c>
      <c r="G10" s="246">
        <v>65.2</v>
      </c>
      <c r="H10" s="246">
        <v>65.8</v>
      </c>
      <c r="I10" s="246">
        <v>65.599999999999994</v>
      </c>
      <c r="J10" s="246">
        <v>65.5</v>
      </c>
      <c r="K10" s="246">
        <v>65.400000000000006</v>
      </c>
      <c r="L10" s="246">
        <v>65.7</v>
      </c>
      <c r="M10" s="246">
        <v>66</v>
      </c>
      <c r="N10" s="246">
        <f t="shared" si="0"/>
        <v>65.191666666666677</v>
      </c>
    </row>
    <row r="11" spans="1:14" x14ac:dyDescent="0.3">
      <c r="A11" s="7">
        <v>1985</v>
      </c>
      <c r="B11" s="246">
        <v>66.599999999999994</v>
      </c>
      <c r="C11" s="246">
        <v>67.099999999999994</v>
      </c>
      <c r="D11" s="246">
        <v>67.3</v>
      </c>
      <c r="E11" s="246">
        <v>67.5</v>
      </c>
      <c r="F11" s="246">
        <v>67.400000000000006</v>
      </c>
      <c r="G11" s="246">
        <v>68.099999999999994</v>
      </c>
      <c r="H11" s="246">
        <v>68.099999999999994</v>
      </c>
      <c r="I11" s="246">
        <v>68.2</v>
      </c>
      <c r="J11" s="246">
        <v>68.400000000000006</v>
      </c>
      <c r="K11" s="246">
        <v>68.2</v>
      </c>
      <c r="L11" s="246">
        <v>68.7</v>
      </c>
      <c r="M11" s="246">
        <v>68.599999999999994</v>
      </c>
      <c r="N11" s="246">
        <f t="shared" si="0"/>
        <v>67.850000000000009</v>
      </c>
    </row>
    <row r="12" spans="1:14" x14ac:dyDescent="0.3">
      <c r="A12" s="7">
        <v>1986</v>
      </c>
      <c r="B12" s="246">
        <v>69</v>
      </c>
      <c r="C12" s="246">
        <v>69.400000000000006</v>
      </c>
      <c r="D12" s="246">
        <v>69.7</v>
      </c>
      <c r="E12" s="246">
        <v>69.7</v>
      </c>
      <c r="F12" s="246">
        <v>69.8</v>
      </c>
      <c r="G12" s="246">
        <v>69.7</v>
      </c>
      <c r="H12" s="246">
        <v>70</v>
      </c>
      <c r="I12" s="246">
        <v>70.099999999999994</v>
      </c>
      <c r="J12" s="246">
        <v>69.900000000000006</v>
      </c>
      <c r="K12" s="246">
        <v>70.3</v>
      </c>
      <c r="L12" s="246">
        <v>70.400000000000006</v>
      </c>
      <c r="M12" s="246">
        <v>70.400000000000006</v>
      </c>
      <c r="N12" s="246">
        <f t="shared" si="0"/>
        <v>69.86666666666666</v>
      </c>
    </row>
    <row r="13" spans="1:14" x14ac:dyDescent="0.3">
      <c r="A13" s="7">
        <v>1987</v>
      </c>
      <c r="B13" s="246">
        <v>70.5</v>
      </c>
      <c r="C13" s="246">
        <v>71</v>
      </c>
      <c r="D13" s="246">
        <v>71.3</v>
      </c>
      <c r="E13" s="246">
        <v>71.599999999999994</v>
      </c>
      <c r="F13" s="246">
        <v>71.7</v>
      </c>
      <c r="G13" s="246">
        <v>71.900000000000006</v>
      </c>
      <c r="H13" s="246">
        <v>72.2</v>
      </c>
      <c r="I13" s="246">
        <v>72.099999999999994</v>
      </c>
      <c r="J13" s="246">
        <v>72</v>
      </c>
      <c r="K13" s="246">
        <v>72.599999999999994</v>
      </c>
      <c r="L13" s="246">
        <v>72.7</v>
      </c>
      <c r="M13" s="246">
        <v>72.7</v>
      </c>
      <c r="N13" s="246">
        <f t="shared" si="0"/>
        <v>71.858333333333334</v>
      </c>
    </row>
    <row r="14" spans="1:14" x14ac:dyDescent="0.3">
      <c r="A14" s="7">
        <v>1988</v>
      </c>
      <c r="B14" s="246">
        <v>72.7</v>
      </c>
      <c r="C14" s="246">
        <v>72.8</v>
      </c>
      <c r="D14" s="246">
        <v>73.099999999999994</v>
      </c>
      <c r="E14" s="246">
        <v>73.3</v>
      </c>
      <c r="F14" s="246">
        <v>73.099999999999994</v>
      </c>
      <c r="G14" s="246">
        <v>73.400000000000006</v>
      </c>
      <c r="H14" s="246">
        <v>73.8</v>
      </c>
      <c r="I14" s="246">
        <v>73.900000000000006</v>
      </c>
      <c r="J14" s="246">
        <v>73.900000000000006</v>
      </c>
      <c r="K14" s="246">
        <v>74</v>
      </c>
      <c r="L14" s="246">
        <v>74.3</v>
      </c>
      <c r="M14" s="246">
        <v>74.2</v>
      </c>
      <c r="N14" s="246">
        <f t="shared" si="0"/>
        <v>73.541666666666657</v>
      </c>
    </row>
    <row r="15" spans="1:14" x14ac:dyDescent="0.3">
      <c r="A15" s="7">
        <v>1989</v>
      </c>
      <c r="B15" s="246">
        <v>74.2</v>
      </c>
      <c r="C15" s="246">
        <v>74.7</v>
      </c>
      <c r="D15" s="246">
        <v>75.2</v>
      </c>
      <c r="E15" s="246">
        <v>75.5</v>
      </c>
      <c r="F15" s="246">
        <v>76</v>
      </c>
      <c r="G15" s="246">
        <v>76.400000000000006</v>
      </c>
      <c r="H15" s="246">
        <v>76.8</v>
      </c>
      <c r="I15" s="246">
        <v>76.900000000000006</v>
      </c>
      <c r="J15" s="246">
        <v>76.8</v>
      </c>
      <c r="K15" s="246">
        <v>77</v>
      </c>
      <c r="L15" s="246">
        <v>77.3</v>
      </c>
      <c r="M15" s="246">
        <v>77.400000000000006</v>
      </c>
      <c r="N15" s="246">
        <f t="shared" si="0"/>
        <v>76.183333333333323</v>
      </c>
    </row>
    <row r="16" spans="1:14" x14ac:dyDescent="0.3">
      <c r="A16" s="7">
        <v>1990</v>
      </c>
      <c r="B16" s="246">
        <v>77.8</v>
      </c>
      <c r="C16" s="246">
        <v>78.5</v>
      </c>
      <c r="D16" s="246">
        <v>78.900000000000006</v>
      </c>
      <c r="E16" s="246">
        <v>78.599999999999994</v>
      </c>
      <c r="F16" s="246">
        <v>78.5</v>
      </c>
      <c r="G16" s="246">
        <v>78.900000000000006</v>
      </c>
      <c r="H16" s="246">
        <v>79.5</v>
      </c>
      <c r="I16" s="246">
        <v>79.7</v>
      </c>
      <c r="J16" s="246">
        <v>80.099999999999994</v>
      </c>
      <c r="K16" s="246">
        <v>80.599999999999994</v>
      </c>
      <c r="L16" s="246">
        <v>81</v>
      </c>
      <c r="M16" s="246">
        <v>81.3</v>
      </c>
      <c r="N16" s="246">
        <f t="shared" si="0"/>
        <v>79.45</v>
      </c>
    </row>
    <row r="17" spans="1:14" x14ac:dyDescent="0.3">
      <c r="A17" s="7">
        <v>1991</v>
      </c>
      <c r="B17" s="246">
        <v>83.6</v>
      </c>
      <c r="C17" s="246">
        <v>83.6</v>
      </c>
      <c r="D17" s="246">
        <v>84.4</v>
      </c>
      <c r="E17" s="246">
        <v>84.6</v>
      </c>
      <c r="F17" s="246">
        <v>84.7</v>
      </c>
      <c r="G17" s="246">
        <v>84.8</v>
      </c>
      <c r="H17" s="246">
        <v>84.9</v>
      </c>
      <c r="I17" s="246">
        <v>84.9</v>
      </c>
      <c r="J17" s="246">
        <v>84.7</v>
      </c>
      <c r="K17" s="246">
        <v>84.5</v>
      </c>
      <c r="L17" s="246">
        <v>84.3</v>
      </c>
      <c r="M17" s="246">
        <v>83.8</v>
      </c>
      <c r="N17" s="246">
        <f t="shared" si="0"/>
        <v>84.399999999999991</v>
      </c>
    </row>
    <row r="18" spans="1:14" x14ac:dyDescent="0.3">
      <c r="A18" s="7">
        <v>1992</v>
      </c>
      <c r="B18" s="246">
        <v>84.2</v>
      </c>
      <c r="C18" s="246">
        <v>84.9</v>
      </c>
      <c r="D18" s="246">
        <v>85.2</v>
      </c>
      <c r="E18" s="246">
        <v>85.5</v>
      </c>
      <c r="F18" s="246">
        <v>85.3</v>
      </c>
      <c r="G18" s="246">
        <v>85.5</v>
      </c>
      <c r="H18" s="246">
        <v>85.5</v>
      </c>
      <c r="I18" s="246">
        <v>85.3</v>
      </c>
      <c r="J18" s="246">
        <v>85.3</v>
      </c>
      <c r="K18" s="246">
        <v>85.5</v>
      </c>
      <c r="L18" s="246">
        <v>85.5</v>
      </c>
      <c r="M18" s="246">
        <v>85.5</v>
      </c>
      <c r="N18" s="246">
        <f t="shared" si="0"/>
        <v>85.266666666666666</v>
      </c>
    </row>
    <row r="19" spans="1:14" x14ac:dyDescent="0.3">
      <c r="A19" s="7">
        <v>1993</v>
      </c>
      <c r="B19" s="246">
        <v>85.8</v>
      </c>
      <c r="C19" s="246">
        <v>86.2</v>
      </c>
      <c r="D19" s="246">
        <v>86.4</v>
      </c>
      <c r="E19" s="246">
        <v>86.2</v>
      </c>
      <c r="F19" s="246">
        <v>86.6</v>
      </c>
      <c r="G19" s="246">
        <v>86.7</v>
      </c>
      <c r="H19" s="246">
        <v>87.1</v>
      </c>
      <c r="I19" s="246">
        <v>87.2</v>
      </c>
      <c r="J19" s="246">
        <v>87.2</v>
      </c>
      <c r="K19" s="246">
        <v>87.1</v>
      </c>
      <c r="L19" s="246">
        <v>87</v>
      </c>
      <c r="M19" s="246">
        <v>87</v>
      </c>
      <c r="N19" s="246">
        <f t="shared" si="0"/>
        <v>86.708333333333329</v>
      </c>
    </row>
    <row r="20" spans="1:14" x14ac:dyDescent="0.3">
      <c r="A20" s="7">
        <v>1994</v>
      </c>
      <c r="B20" s="246">
        <v>87.3</v>
      </c>
      <c r="C20" s="246">
        <v>87.2</v>
      </c>
      <c r="D20" s="246">
        <v>87.4</v>
      </c>
      <c r="E20" s="246">
        <v>87.5</v>
      </c>
      <c r="F20" s="246">
        <v>87.8</v>
      </c>
      <c r="G20" s="246">
        <v>87.8</v>
      </c>
      <c r="H20" s="246">
        <v>88.1</v>
      </c>
      <c r="I20" s="246">
        <v>88.2</v>
      </c>
      <c r="J20" s="246">
        <v>88</v>
      </c>
      <c r="K20" s="246">
        <v>87.8</v>
      </c>
      <c r="L20" s="246">
        <v>88.2</v>
      </c>
      <c r="M20" s="246">
        <v>88.2</v>
      </c>
      <c r="N20" s="246">
        <f t="shared" si="0"/>
        <v>87.791666666666671</v>
      </c>
    </row>
    <row r="21" spans="1:14" x14ac:dyDescent="0.3">
      <c r="A21" s="7">
        <v>1995</v>
      </c>
      <c r="B21" s="246">
        <v>88.2</v>
      </c>
      <c r="C21" s="246">
        <v>88.5</v>
      </c>
      <c r="D21" s="246">
        <v>88.8</v>
      </c>
      <c r="E21" s="246">
        <v>89.1</v>
      </c>
      <c r="F21" s="246">
        <v>89.3</v>
      </c>
      <c r="G21" s="246">
        <v>89.3</v>
      </c>
      <c r="H21" s="246">
        <v>89.4</v>
      </c>
      <c r="I21" s="246">
        <v>89.1</v>
      </c>
      <c r="J21" s="246">
        <v>89</v>
      </c>
      <c r="K21" s="246">
        <v>89.3</v>
      </c>
      <c r="L21" s="246">
        <v>89.4</v>
      </c>
      <c r="M21" s="246">
        <v>89</v>
      </c>
      <c r="N21" s="246">
        <f t="shared" si="0"/>
        <v>89.033333333333346</v>
      </c>
    </row>
    <row r="22" spans="1:14" x14ac:dyDescent="0.3">
      <c r="A22" s="7">
        <v>1996</v>
      </c>
      <c r="B22" s="246">
        <v>89.4</v>
      </c>
      <c r="C22" s="246">
        <v>89.6</v>
      </c>
      <c r="D22" s="246">
        <v>89.5</v>
      </c>
      <c r="E22" s="246">
        <v>90.1</v>
      </c>
      <c r="F22" s="246">
        <v>90.5</v>
      </c>
      <c r="G22" s="246">
        <v>90.5</v>
      </c>
      <c r="H22" s="246">
        <v>90.4</v>
      </c>
      <c r="I22" s="246">
        <v>90.5</v>
      </c>
      <c r="J22" s="246">
        <v>90.8</v>
      </c>
      <c r="K22" s="246">
        <v>91.3</v>
      </c>
      <c r="L22" s="246">
        <v>91.4</v>
      </c>
      <c r="M22" s="246">
        <v>91.2</v>
      </c>
      <c r="N22" s="246">
        <f t="shared" si="0"/>
        <v>90.433333333333323</v>
      </c>
    </row>
    <row r="23" spans="1:14" x14ac:dyDescent="0.3">
      <c r="A23" s="7">
        <v>1997</v>
      </c>
      <c r="B23" s="246">
        <v>91.8</v>
      </c>
      <c r="C23" s="246">
        <v>92</v>
      </c>
      <c r="D23" s="246">
        <v>92.7</v>
      </c>
      <c r="E23" s="246">
        <v>91.8</v>
      </c>
      <c r="F23" s="246">
        <v>92</v>
      </c>
      <c r="G23" s="246">
        <v>92.3</v>
      </c>
      <c r="H23" s="246">
        <v>92.6</v>
      </c>
      <c r="I23" s="246">
        <v>92.5</v>
      </c>
      <c r="J23" s="246">
        <v>92.7</v>
      </c>
      <c r="K23" s="246">
        <v>92.6</v>
      </c>
      <c r="L23" s="246">
        <v>92.4</v>
      </c>
      <c r="M23" s="246">
        <v>92</v>
      </c>
      <c r="N23" s="246">
        <f t="shared" si="0"/>
        <v>92.283333333333346</v>
      </c>
    </row>
    <row r="24" spans="1:14" x14ac:dyDescent="0.3">
      <c r="A24" s="7">
        <v>1998</v>
      </c>
      <c r="B24" s="246">
        <v>92.5</v>
      </c>
      <c r="C24" s="246">
        <v>92.7</v>
      </c>
      <c r="D24" s="246">
        <v>92.4</v>
      </c>
      <c r="E24" s="246">
        <v>92.5</v>
      </c>
      <c r="F24" s="246">
        <v>92.4</v>
      </c>
      <c r="G24" s="246">
        <v>92.4</v>
      </c>
      <c r="H24" s="246">
        <v>92.7</v>
      </c>
      <c r="I24" s="246">
        <v>92.7</v>
      </c>
      <c r="J24" s="246">
        <v>91.8</v>
      </c>
      <c r="K24" s="246">
        <v>92.8</v>
      </c>
      <c r="L24" s="246">
        <v>92.7</v>
      </c>
      <c r="M24" s="246">
        <v>92.1</v>
      </c>
      <c r="N24" s="246">
        <f t="shared" si="0"/>
        <v>92.475000000000009</v>
      </c>
    </row>
    <row r="25" spans="1:14" x14ac:dyDescent="0.3">
      <c r="A25" s="7">
        <v>1999</v>
      </c>
      <c r="B25" s="246">
        <v>92.1</v>
      </c>
      <c r="C25" s="246">
        <v>92.5</v>
      </c>
      <c r="D25" s="246">
        <v>93.1</v>
      </c>
      <c r="E25" s="246">
        <v>93.3</v>
      </c>
      <c r="F25" s="246">
        <v>93.9</v>
      </c>
      <c r="G25" s="246">
        <v>93.9</v>
      </c>
      <c r="H25" s="246">
        <v>93.9</v>
      </c>
      <c r="I25" s="246">
        <v>94.3</v>
      </c>
      <c r="J25" s="246">
        <v>94.5</v>
      </c>
      <c r="K25" s="246">
        <v>94.6</v>
      </c>
      <c r="L25" s="246">
        <v>94.8</v>
      </c>
      <c r="M25" s="246">
        <v>94.7</v>
      </c>
      <c r="N25" s="246">
        <f t="shared" si="0"/>
        <v>93.8</v>
      </c>
    </row>
    <row r="26" spans="1:14" x14ac:dyDescent="0.3">
      <c r="A26" s="7">
        <v>2000</v>
      </c>
      <c r="B26" s="246">
        <v>95.2</v>
      </c>
      <c r="C26" s="246">
        <v>96</v>
      </c>
      <c r="D26" s="246">
        <v>96.4</v>
      </c>
      <c r="E26" s="246">
        <v>95.8</v>
      </c>
      <c r="F26" s="246">
        <v>95.7</v>
      </c>
      <c r="G26" s="246">
        <v>96.6</v>
      </c>
      <c r="H26" s="246">
        <v>97</v>
      </c>
      <c r="I26" s="246">
        <v>97</v>
      </c>
      <c r="J26" s="246">
        <v>97.3</v>
      </c>
      <c r="K26" s="246">
        <v>97.4</v>
      </c>
      <c r="L26" s="246">
        <v>97.5</v>
      </c>
      <c r="M26" s="246">
        <v>97.3</v>
      </c>
      <c r="N26" s="246">
        <f t="shared" si="0"/>
        <v>96.600000000000009</v>
      </c>
    </row>
    <row r="27" spans="1:14" x14ac:dyDescent="0.3">
      <c r="A27" s="7">
        <v>2001</v>
      </c>
      <c r="B27" s="246">
        <v>97.2</v>
      </c>
      <c r="C27" s="246">
        <v>97.7</v>
      </c>
      <c r="D27" s="246">
        <v>97.6</v>
      </c>
      <c r="E27" s="246">
        <v>96.9</v>
      </c>
      <c r="F27" s="246">
        <v>98.6</v>
      </c>
      <c r="G27" s="246">
        <v>98.5</v>
      </c>
      <c r="H27" s="246">
        <v>98.3</v>
      </c>
      <c r="I27" s="246">
        <v>98.1</v>
      </c>
      <c r="J27" s="246">
        <v>98.1</v>
      </c>
      <c r="K27" s="246">
        <v>97.5</v>
      </c>
      <c r="L27" s="246">
        <v>97</v>
      </c>
      <c r="M27" s="246">
        <v>96.7</v>
      </c>
      <c r="N27" s="246">
        <f t="shared" si="0"/>
        <v>97.683333333333337</v>
      </c>
    </row>
    <row r="28" spans="1:14" x14ac:dyDescent="0.3">
      <c r="A28" s="7">
        <v>2002</v>
      </c>
      <c r="B28" s="246">
        <v>97</v>
      </c>
      <c r="C28" s="246">
        <v>97.4</v>
      </c>
      <c r="D28" s="246">
        <v>98</v>
      </c>
      <c r="E28" s="246">
        <v>99.7</v>
      </c>
      <c r="F28" s="246">
        <v>100.6</v>
      </c>
      <c r="G28" s="246">
        <v>100.4</v>
      </c>
      <c r="H28" s="246">
        <v>100.6</v>
      </c>
      <c r="I28" s="246">
        <v>100.4</v>
      </c>
      <c r="J28" s="246">
        <v>100.7</v>
      </c>
      <c r="K28" s="246">
        <v>101.7</v>
      </c>
      <c r="L28" s="246">
        <v>102</v>
      </c>
      <c r="M28" s="246">
        <v>101.5</v>
      </c>
      <c r="N28" s="246">
        <f t="shared" si="0"/>
        <v>100</v>
      </c>
    </row>
    <row r="29" spans="1:14" x14ac:dyDescent="0.3">
      <c r="A29" s="7">
        <v>2003</v>
      </c>
      <c r="B29" s="246">
        <v>102.1</v>
      </c>
      <c r="C29" s="246">
        <v>102.3</v>
      </c>
      <c r="D29" s="246">
        <v>103.5</v>
      </c>
      <c r="E29" s="246">
        <v>103.2</v>
      </c>
      <c r="F29" s="246">
        <v>103</v>
      </c>
      <c r="G29" s="246">
        <v>102.6</v>
      </c>
      <c r="H29" s="246">
        <v>103.3</v>
      </c>
      <c r="I29" s="246">
        <v>103</v>
      </c>
      <c r="J29" s="246">
        <v>103.5</v>
      </c>
      <c r="K29" s="246">
        <v>102.6</v>
      </c>
      <c r="L29" s="246">
        <v>103.2</v>
      </c>
      <c r="M29" s="246">
        <v>102.6</v>
      </c>
      <c r="N29" s="246">
        <f t="shared" si="0"/>
        <v>102.90833333333332</v>
      </c>
    </row>
    <row r="30" spans="1:14" x14ac:dyDescent="0.3">
      <c r="A30" s="7">
        <v>2004</v>
      </c>
      <c r="B30" s="246">
        <v>103.1</v>
      </c>
      <c r="C30" s="246">
        <v>103</v>
      </c>
      <c r="D30" s="246">
        <v>103.4</v>
      </c>
      <c r="E30" s="246">
        <v>103.7</v>
      </c>
      <c r="F30" s="246">
        <v>104.8</v>
      </c>
      <c r="G30" s="246">
        <v>105.1</v>
      </c>
      <c r="H30" s="246">
        <v>105.7</v>
      </c>
      <c r="I30" s="246">
        <v>105.4</v>
      </c>
      <c r="J30" s="246">
        <v>105.6</v>
      </c>
      <c r="K30" s="246">
        <v>105.9</v>
      </c>
      <c r="L30" s="246">
        <v>106.2</v>
      </c>
      <c r="M30" s="246">
        <v>105.8</v>
      </c>
      <c r="N30" s="246">
        <f t="shared" si="0"/>
        <v>104.80833333333334</v>
      </c>
    </row>
    <row r="31" spans="1:14" x14ac:dyDescent="0.3">
      <c r="A31" s="7">
        <v>2005</v>
      </c>
      <c r="B31" s="246">
        <v>105.7</v>
      </c>
      <c r="C31" s="246">
        <v>106.2</v>
      </c>
      <c r="D31" s="246">
        <v>106.6</v>
      </c>
      <c r="E31" s="246">
        <v>107.5</v>
      </c>
      <c r="F31" s="246">
        <v>107.5</v>
      </c>
      <c r="G31" s="246">
        <v>107.6</v>
      </c>
      <c r="H31" s="246">
        <v>107.9</v>
      </c>
      <c r="I31" s="246">
        <v>108</v>
      </c>
      <c r="J31" s="246">
        <v>109.6</v>
      </c>
      <c r="K31" s="246">
        <v>108.2</v>
      </c>
      <c r="L31" s="246">
        <v>108.3</v>
      </c>
      <c r="M31" s="246">
        <v>107.9</v>
      </c>
      <c r="N31" s="246">
        <f t="shared" si="0"/>
        <v>107.58333333333333</v>
      </c>
    </row>
    <row r="32" spans="1:14" x14ac:dyDescent="0.3">
      <c r="A32" s="7">
        <v>2006</v>
      </c>
      <c r="B32" s="246">
        <v>108.4</v>
      </c>
      <c r="C32" s="246">
        <v>108.4</v>
      </c>
      <c r="D32" s="246">
        <v>108.7</v>
      </c>
      <c r="E32" s="246">
        <v>109.6</v>
      </c>
      <c r="F32" s="246">
        <v>110.6</v>
      </c>
      <c r="G32" s="246">
        <v>110.4</v>
      </c>
      <c r="H32" s="246">
        <v>110.5</v>
      </c>
      <c r="I32" s="246">
        <v>110.9</v>
      </c>
      <c r="J32" s="246">
        <v>109.7</v>
      </c>
      <c r="K32" s="246">
        <v>108.9</v>
      </c>
      <c r="L32" s="246">
        <v>109.1</v>
      </c>
      <c r="M32" s="246">
        <v>109.3</v>
      </c>
      <c r="N32" s="246">
        <f t="shared" si="0"/>
        <v>109.54166666666667</v>
      </c>
    </row>
    <row r="33" spans="1:14" x14ac:dyDescent="0.3">
      <c r="A33" s="7">
        <v>2007</v>
      </c>
      <c r="B33" s="246">
        <v>109.6</v>
      </c>
      <c r="C33" s="246">
        <v>110.1</v>
      </c>
      <c r="D33" s="246">
        <v>110.8</v>
      </c>
      <c r="E33" s="246">
        <v>111.1</v>
      </c>
      <c r="F33" s="246">
        <v>111.4</v>
      </c>
      <c r="G33" s="246">
        <v>111.9</v>
      </c>
      <c r="H33" s="246">
        <v>111.6</v>
      </c>
      <c r="I33" s="246">
        <v>111.1</v>
      </c>
      <c r="J33" s="246">
        <v>111.1</v>
      </c>
      <c r="K33" s="246">
        <v>111.2</v>
      </c>
      <c r="L33" s="246">
        <v>111.6</v>
      </c>
      <c r="M33" s="246">
        <v>111.8</v>
      </c>
      <c r="N33" s="246">
        <f t="shared" si="0"/>
        <v>111.10833333333333</v>
      </c>
    </row>
    <row r="34" spans="1:14" x14ac:dyDescent="0.3">
      <c r="A34" s="7">
        <v>2008</v>
      </c>
      <c r="B34" s="246">
        <v>111.9</v>
      </c>
      <c r="C34" s="246">
        <v>112.4</v>
      </c>
      <c r="D34" s="246">
        <v>112.9</v>
      </c>
      <c r="E34" s="246">
        <v>113.6</v>
      </c>
      <c r="F34" s="246">
        <v>114.5</v>
      </c>
      <c r="G34" s="246">
        <v>115.4</v>
      </c>
      <c r="H34" s="246">
        <v>116.3</v>
      </c>
      <c r="I34" s="246">
        <v>115.8</v>
      </c>
      <c r="J34" s="246">
        <v>116.2</v>
      </c>
      <c r="K34" s="246">
        <v>115.1</v>
      </c>
      <c r="L34" s="246">
        <v>114.3</v>
      </c>
      <c r="M34" s="246">
        <v>113.1</v>
      </c>
      <c r="N34" s="246">
        <f t="shared" si="0"/>
        <v>114.29166666666664</v>
      </c>
    </row>
    <row r="35" spans="1:14" x14ac:dyDescent="0.3">
      <c r="A35" s="7">
        <v>2009</v>
      </c>
      <c r="B35" s="246">
        <v>112.9</v>
      </c>
      <c r="C35" s="246">
        <v>113.4</v>
      </c>
      <c r="D35" s="246">
        <v>113.5</v>
      </c>
      <c r="E35" s="246">
        <v>114.1</v>
      </c>
      <c r="F35" s="246">
        <v>115.2</v>
      </c>
      <c r="G35" s="246">
        <v>115.8</v>
      </c>
      <c r="H35" s="246">
        <v>115.2</v>
      </c>
      <c r="I35" s="246">
        <v>115</v>
      </c>
      <c r="J35" s="246">
        <v>115.2</v>
      </c>
      <c r="K35" s="246">
        <v>114.6</v>
      </c>
      <c r="L35" s="246">
        <v>115.6</v>
      </c>
      <c r="M35" s="246">
        <v>115.2</v>
      </c>
      <c r="N35" s="246">
        <f t="shared" si="0"/>
        <v>114.64166666666665</v>
      </c>
    </row>
    <row r="36" spans="1:14" x14ac:dyDescent="0.3">
      <c r="A36" s="7">
        <v>2010</v>
      </c>
      <c r="B36" s="246">
        <v>116.5</v>
      </c>
      <c r="C36" s="246">
        <v>116.3</v>
      </c>
      <c r="D36" s="246">
        <v>117.1</v>
      </c>
      <c r="E36" s="246">
        <v>117</v>
      </c>
      <c r="F36" s="246">
        <v>117.2</v>
      </c>
      <c r="G36" s="246">
        <v>117.2</v>
      </c>
      <c r="H36" s="246">
        <v>117.6</v>
      </c>
      <c r="I36" s="246">
        <v>117.8</v>
      </c>
      <c r="J36" s="246">
        <v>117.8</v>
      </c>
      <c r="K36" s="246">
        <v>118</v>
      </c>
      <c r="L36" s="246">
        <v>118.1</v>
      </c>
      <c r="M36" s="246">
        <v>118.1</v>
      </c>
      <c r="N36" s="246">
        <f t="shared" si="0"/>
        <v>117.39166666666665</v>
      </c>
    </row>
    <row r="37" spans="1:14" x14ac:dyDescent="0.3">
      <c r="A37" s="7">
        <v>2011</v>
      </c>
      <c r="B37" s="246">
        <v>119</v>
      </c>
      <c r="C37" s="246">
        <v>119.7</v>
      </c>
      <c r="D37" s="246">
        <v>120.9</v>
      </c>
      <c r="E37" s="246">
        <v>121.5</v>
      </c>
      <c r="F37" s="246">
        <v>121.5</v>
      </c>
      <c r="G37" s="246">
        <v>120.9</v>
      </c>
      <c r="H37" s="246">
        <v>121.6</v>
      </c>
      <c r="I37" s="246">
        <v>122</v>
      </c>
      <c r="J37" s="246">
        <v>122.3</v>
      </c>
      <c r="K37" s="246">
        <v>122.1</v>
      </c>
      <c r="L37" s="246">
        <v>122.9</v>
      </c>
      <c r="M37" s="246">
        <v>121.9</v>
      </c>
      <c r="N37" s="246">
        <f t="shared" si="0"/>
        <v>121.35833333333335</v>
      </c>
    </row>
    <row r="38" spans="1:14" x14ac:dyDescent="0.3">
      <c r="A38" s="7">
        <v>2012</v>
      </c>
      <c r="B38" s="246">
        <v>122.5</v>
      </c>
      <c r="C38" s="246">
        <v>123</v>
      </c>
      <c r="D38" s="246">
        <v>123.9</v>
      </c>
      <c r="E38" s="246">
        <v>125.2</v>
      </c>
      <c r="F38" s="246">
        <v>124.5</v>
      </c>
      <c r="G38" s="246">
        <v>123.5</v>
      </c>
      <c r="H38" s="246">
        <v>123.6</v>
      </c>
      <c r="I38" s="246">
        <v>124</v>
      </c>
      <c r="J38" s="246">
        <v>124.5</v>
      </c>
      <c r="K38" s="246">
        <v>124.8</v>
      </c>
      <c r="L38" s="246">
        <v>124.3</v>
      </c>
      <c r="M38" s="246">
        <v>123.5</v>
      </c>
      <c r="N38" s="246">
        <f t="shared" si="0"/>
        <v>123.94166666666665</v>
      </c>
    </row>
    <row r="39" spans="1:14" x14ac:dyDescent="0.3">
      <c r="A39" s="7">
        <v>2013</v>
      </c>
      <c r="B39" s="246">
        <v>123.6</v>
      </c>
      <c r="C39" s="246">
        <v>125.8</v>
      </c>
      <c r="D39" s="246">
        <v>125.9</v>
      </c>
      <c r="E39" s="246">
        <v>125.9</v>
      </c>
      <c r="F39" s="246">
        <v>125.9</v>
      </c>
      <c r="G39" s="246">
        <v>126</v>
      </c>
      <c r="H39" s="246">
        <v>126.1</v>
      </c>
      <c r="I39" s="246">
        <v>126</v>
      </c>
      <c r="J39" s="246">
        <v>126.6</v>
      </c>
      <c r="K39" s="246">
        <v>126.7</v>
      </c>
      <c r="L39" s="246">
        <v>127</v>
      </c>
      <c r="M39" s="246">
        <v>126.6</v>
      </c>
      <c r="N39" s="246">
        <f t="shared" si="0"/>
        <v>126.00833333333333</v>
      </c>
    </row>
    <row r="40" spans="1:14" x14ac:dyDescent="0.3">
      <c r="A40" s="7">
        <v>2014</v>
      </c>
      <c r="B40" s="246">
        <v>126.7</v>
      </c>
      <c r="C40" s="246">
        <v>127.6</v>
      </c>
      <c r="D40" s="246">
        <v>128.4</v>
      </c>
      <c r="E40" s="246">
        <v>128.80000000000001</v>
      </c>
      <c r="F40" s="246">
        <v>129.19999999999999</v>
      </c>
      <c r="G40" s="246">
        <v>129.1</v>
      </c>
      <c r="H40" s="246">
        <v>128.9</v>
      </c>
      <c r="I40" s="246">
        <v>129.1</v>
      </c>
      <c r="J40" s="246">
        <v>129.1</v>
      </c>
      <c r="K40" s="246">
        <v>129</v>
      </c>
      <c r="L40" s="246">
        <v>127.9</v>
      </c>
      <c r="M40" s="246">
        <v>126.8</v>
      </c>
      <c r="N40" s="246">
        <f t="shared" si="0"/>
        <v>128.38333333333333</v>
      </c>
    </row>
    <row r="41" spans="1:14" x14ac:dyDescent="0.3">
      <c r="A41" s="7">
        <v>2015</v>
      </c>
      <c r="B41" s="246">
        <v>126.2</v>
      </c>
      <c r="C41" s="246">
        <v>127.5</v>
      </c>
      <c r="D41" s="246">
        <v>128.9</v>
      </c>
      <c r="E41" s="246">
        <v>128.30000000000001</v>
      </c>
      <c r="F41" s="246">
        <v>129.6</v>
      </c>
      <c r="G41" s="246">
        <v>129.9</v>
      </c>
      <c r="H41" s="246">
        <v>129.80000000000001</v>
      </c>
      <c r="I41" s="246">
        <v>130</v>
      </c>
      <c r="J41" s="246">
        <v>129.6</v>
      </c>
      <c r="K41" s="246">
        <v>129.69999999999999</v>
      </c>
      <c r="L41" s="246">
        <v>129.30000000000001</v>
      </c>
      <c r="M41" s="246">
        <v>128.6</v>
      </c>
      <c r="N41" s="246">
        <f t="shared" si="0"/>
        <v>128.94999999999999</v>
      </c>
    </row>
    <row r="42" spans="1:14" x14ac:dyDescent="0.3">
      <c r="A42" s="7">
        <v>2016</v>
      </c>
      <c r="B42" s="246">
        <v>129.19999999999999</v>
      </c>
      <c r="C42" s="246">
        <v>129.6</v>
      </c>
      <c r="D42" s="246">
        <v>130.30000000000001</v>
      </c>
      <c r="E42" s="246">
        <v>130.9</v>
      </c>
      <c r="F42" s="246">
        <v>131.5</v>
      </c>
      <c r="G42" s="246">
        <v>133</v>
      </c>
      <c r="H42" s="246">
        <v>134.19999999999999</v>
      </c>
      <c r="I42" s="246">
        <v>133.9</v>
      </c>
      <c r="J42" s="246">
        <v>134.5</v>
      </c>
      <c r="K42" s="246">
        <v>134.9</v>
      </c>
      <c r="L42" s="246">
        <v>134</v>
      </c>
      <c r="M42" s="246">
        <v>133.9</v>
      </c>
      <c r="N42" s="246">
        <f t="shared" si="0"/>
        <v>132.4916666666667</v>
      </c>
    </row>
    <row r="43" spans="1:14" x14ac:dyDescent="0.3">
      <c r="A43" s="7">
        <v>2017</v>
      </c>
      <c r="B43" s="246">
        <v>135.30000000000001</v>
      </c>
      <c r="C43" s="246">
        <v>135</v>
      </c>
      <c r="D43" s="246">
        <v>135.30000000000001</v>
      </c>
      <c r="E43" s="246">
        <v>135.6</v>
      </c>
      <c r="F43" s="246">
        <v>135.4</v>
      </c>
      <c r="G43" s="246">
        <v>135</v>
      </c>
      <c r="H43" s="246">
        <v>135.5</v>
      </c>
      <c r="I43" s="246">
        <v>135.5</v>
      </c>
      <c r="J43" s="246">
        <v>136.4</v>
      </c>
      <c r="K43" s="246">
        <v>136.1</v>
      </c>
      <c r="L43" s="246">
        <v>136.69999999999999</v>
      </c>
      <c r="M43" s="246">
        <v>136.19999999999999</v>
      </c>
      <c r="N43" s="246">
        <f t="shared" si="0"/>
        <v>135.66666666666666</v>
      </c>
    </row>
    <row r="44" spans="1:14" x14ac:dyDescent="0.3">
      <c r="A44" s="7">
        <v>2018</v>
      </c>
      <c r="B44" s="246">
        <v>136.80000000000001</v>
      </c>
      <c r="C44" s="246">
        <v>137.30000000000001</v>
      </c>
      <c r="D44" s="246">
        <v>137.5</v>
      </c>
      <c r="E44" s="246">
        <v>137.69999999999999</v>
      </c>
      <c r="F44" s="246">
        <v>137.80000000000001</v>
      </c>
      <c r="G44" s="246">
        <v>138.1</v>
      </c>
      <c r="H44" s="246">
        <v>139.1</v>
      </c>
      <c r="I44" s="246">
        <v>138.9</v>
      </c>
      <c r="J44" s="246">
        <v>138.30000000000001</v>
      </c>
      <c r="K44" s="246">
        <v>139</v>
      </c>
      <c r="L44" s="246">
        <v>137.80000000000001</v>
      </c>
      <c r="M44" s="246">
        <v>136.9</v>
      </c>
      <c r="N44" s="246">
        <f t="shared" si="0"/>
        <v>137.93333333333334</v>
      </c>
    </row>
    <row r="45" spans="1:14" x14ac:dyDescent="0.3">
      <c r="A45" s="7">
        <v>2019</v>
      </c>
      <c r="B45" s="246">
        <v>137</v>
      </c>
      <c r="C45" s="246">
        <v>138</v>
      </c>
      <c r="D45" s="246">
        <v>139.1</v>
      </c>
      <c r="E45" s="246">
        <v>139.69999999999999</v>
      </c>
      <c r="F45" s="246">
        <v>140</v>
      </c>
      <c r="G45" s="246">
        <v>139.4</v>
      </c>
      <c r="H45" s="246">
        <v>140.1</v>
      </c>
      <c r="I45" s="246">
        <v>139.9</v>
      </c>
      <c r="J45" s="246">
        <v>139</v>
      </c>
      <c r="K45" s="246">
        <v>139.69999999999999</v>
      </c>
      <c r="L45" s="246">
        <v>139.9</v>
      </c>
      <c r="M45" s="246">
        <v>139.6</v>
      </c>
      <c r="N45" s="246">
        <f t="shared" si="0"/>
        <v>139.28333333333333</v>
      </c>
    </row>
    <row r="46" spans="1:14" x14ac:dyDescent="0.3">
      <c r="A46" s="7">
        <v>2020</v>
      </c>
      <c r="B46" s="246">
        <v>140</v>
      </c>
      <c r="C46" s="246">
        <v>140.30000000000001</v>
      </c>
      <c r="D46" s="246">
        <v>139.19999999999999</v>
      </c>
      <c r="E46" s="246">
        <v>137.6</v>
      </c>
      <c r="F46" s="246">
        <v>138.19999999999999</v>
      </c>
      <c r="G46" s="246">
        <v>139.5</v>
      </c>
      <c r="H46" s="246">
        <v>139.6</v>
      </c>
      <c r="I46" s="246">
        <v>139.1</v>
      </c>
      <c r="J46" s="246">
        <v>139.4</v>
      </c>
      <c r="K46" s="246">
        <v>140.5</v>
      </c>
      <c r="L46" s="246">
        <v>141</v>
      </c>
      <c r="M46" s="246">
        <v>140.4</v>
      </c>
      <c r="N46" s="246">
        <f t="shared" si="0"/>
        <v>139.56666666666669</v>
      </c>
    </row>
    <row r="47" spans="1:14" x14ac:dyDescent="0.3">
      <c r="A47" s="7">
        <v>2021</v>
      </c>
      <c r="B47" s="246">
        <v>142.1</v>
      </c>
      <c r="C47" s="246">
        <v>142</v>
      </c>
      <c r="D47" s="246">
        <v>142.9</v>
      </c>
      <c r="E47" s="246">
        <v>138.19999999999999</v>
      </c>
      <c r="F47" s="246">
        <v>144.30000000000001</v>
      </c>
      <c r="G47" s="246">
        <v>144.4</v>
      </c>
      <c r="H47" s="246">
        <v>145.80000000000001</v>
      </c>
      <c r="I47" s="246">
        <v>145.80000000000001</v>
      </c>
      <c r="J47" s="246">
        <v>145.6</v>
      </c>
      <c r="K47" s="246">
        <v>146.80000000000001</v>
      </c>
      <c r="L47" s="246">
        <v>146.9</v>
      </c>
      <c r="M47" s="246">
        <v>146.30000000000001</v>
      </c>
      <c r="N47" s="246">
        <f t="shared" si="0"/>
        <v>144.25833333333333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9"/>
  <dimension ref="A1:N47"/>
  <sheetViews>
    <sheetView workbookViewId="0">
      <pane xSplit="1" ySplit="3" topLeftCell="B40" activePane="bottomRight" state="frozen"/>
      <selection activeCell="N46" sqref="N46:N47"/>
      <selection pane="topRight" activeCell="N46" sqref="N46:N47"/>
      <selection pane="bottomLeft" activeCell="N46" sqref="N46:N47"/>
      <selection pane="bottomRight" activeCell="M48" sqref="M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79</v>
      </c>
    </row>
    <row r="2" spans="1:14" s="187" customFormat="1" x14ac:dyDescent="0.3">
      <c r="A2" s="25">
        <v>4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39.299999999999997</v>
      </c>
      <c r="K4" s="246">
        <v>39.799999999999997</v>
      </c>
      <c r="L4" s="246">
        <v>39.9</v>
      </c>
      <c r="M4" s="246">
        <v>40.1</v>
      </c>
      <c r="N4" s="246">
        <f t="shared" ref="N4:N47" si="0">AVERAGE(B4:M4)</f>
        <v>39.774999999999999</v>
      </c>
    </row>
    <row r="5" spans="1:14" x14ac:dyDescent="0.3">
      <c r="A5" s="7">
        <v>1979</v>
      </c>
      <c r="B5" s="246">
        <v>40.299999999999997</v>
      </c>
      <c r="C5" s="246">
        <v>40.6</v>
      </c>
      <c r="D5" s="246">
        <v>41.1</v>
      </c>
      <c r="E5" s="246">
        <v>41.3</v>
      </c>
      <c r="F5" s="246">
        <v>41.6</v>
      </c>
      <c r="G5" s="246">
        <v>41.9</v>
      </c>
      <c r="H5" s="246">
        <v>42.2</v>
      </c>
      <c r="I5" s="246">
        <v>42.5</v>
      </c>
      <c r="J5" s="246">
        <v>42.8</v>
      </c>
      <c r="K5" s="246">
        <v>43.3</v>
      </c>
      <c r="L5" s="246">
        <v>43.4</v>
      </c>
      <c r="M5" s="246">
        <v>43.7</v>
      </c>
      <c r="N5" s="246">
        <f t="shared" si="0"/>
        <v>42.05833333333333</v>
      </c>
    </row>
    <row r="6" spans="1:14" x14ac:dyDescent="0.3">
      <c r="A6" s="7">
        <v>1980</v>
      </c>
      <c r="B6" s="246">
        <v>43.8</v>
      </c>
      <c r="C6" s="246">
        <v>44.2</v>
      </c>
      <c r="D6" s="246">
        <v>45</v>
      </c>
      <c r="E6" s="246">
        <v>45.3</v>
      </c>
      <c r="F6" s="246">
        <v>45.9</v>
      </c>
      <c r="G6" s="246">
        <v>46.3</v>
      </c>
      <c r="H6" s="246">
        <v>46.7</v>
      </c>
      <c r="I6" s="246">
        <v>47.2</v>
      </c>
      <c r="J6" s="246">
        <v>47.5</v>
      </c>
      <c r="K6" s="246">
        <v>48</v>
      </c>
      <c r="L6" s="246">
        <v>48.5</v>
      </c>
      <c r="M6" s="246">
        <v>48.9</v>
      </c>
      <c r="N6" s="246">
        <f t="shared" si="0"/>
        <v>46.441666666666663</v>
      </c>
    </row>
    <row r="7" spans="1:14" x14ac:dyDescent="0.3">
      <c r="A7" s="7">
        <v>1981</v>
      </c>
      <c r="B7" s="246">
        <v>49.6</v>
      </c>
      <c r="C7" s="246">
        <v>50</v>
      </c>
      <c r="D7" s="246">
        <v>51.2</v>
      </c>
      <c r="E7" s="246">
        <v>51.6</v>
      </c>
      <c r="F7" s="246">
        <v>52.2</v>
      </c>
      <c r="G7" s="246">
        <v>52.9</v>
      </c>
      <c r="H7" s="246">
        <v>53.4</v>
      </c>
      <c r="I7" s="246">
        <v>53.5</v>
      </c>
      <c r="J7" s="246">
        <v>54</v>
      </c>
      <c r="K7" s="246">
        <v>54.5</v>
      </c>
      <c r="L7" s="246">
        <v>54.9</v>
      </c>
      <c r="M7" s="246">
        <v>55.1</v>
      </c>
      <c r="N7" s="246">
        <f t="shared" si="0"/>
        <v>52.741666666666667</v>
      </c>
    </row>
    <row r="8" spans="1:14" x14ac:dyDescent="0.3">
      <c r="A8" s="7">
        <v>1982</v>
      </c>
      <c r="B8" s="246">
        <v>55.3</v>
      </c>
      <c r="C8" s="246">
        <v>55.9</v>
      </c>
      <c r="D8" s="246">
        <v>56.7</v>
      </c>
      <c r="E8" s="246">
        <v>56.9</v>
      </c>
      <c r="F8" s="246">
        <v>57.4</v>
      </c>
      <c r="G8" s="246">
        <v>57.6</v>
      </c>
      <c r="H8" s="246">
        <v>58.2</v>
      </c>
      <c r="I8" s="246">
        <v>58.4</v>
      </c>
      <c r="J8" s="246">
        <v>58.6</v>
      </c>
      <c r="K8" s="246">
        <v>59.1</v>
      </c>
      <c r="L8" s="246">
        <v>59.5</v>
      </c>
      <c r="M8" s="246">
        <v>59.4</v>
      </c>
      <c r="N8" s="246">
        <f t="shared" si="0"/>
        <v>57.75</v>
      </c>
    </row>
    <row r="9" spans="1:14" x14ac:dyDescent="0.3">
      <c r="A9" s="7">
        <v>1983</v>
      </c>
      <c r="B9" s="246">
        <v>59.2</v>
      </c>
      <c r="C9" s="246">
        <v>59.3</v>
      </c>
      <c r="D9" s="246">
        <v>59.8</v>
      </c>
      <c r="E9" s="246">
        <v>60.1</v>
      </c>
      <c r="F9" s="246">
        <v>60.7</v>
      </c>
      <c r="G9" s="246">
        <v>60.8</v>
      </c>
      <c r="H9" s="246">
        <v>61</v>
      </c>
      <c r="I9" s="246">
        <v>61.1</v>
      </c>
      <c r="J9" s="246">
        <v>61.2</v>
      </c>
      <c r="K9" s="246">
        <v>61.4</v>
      </c>
      <c r="L9" s="246">
        <v>61.6</v>
      </c>
      <c r="M9" s="246">
        <v>61.6</v>
      </c>
      <c r="N9" s="246">
        <f t="shared" si="0"/>
        <v>60.650000000000006</v>
      </c>
    </row>
    <row r="10" spans="1:14" x14ac:dyDescent="0.3">
      <c r="A10" s="7">
        <v>1984</v>
      </c>
      <c r="B10" s="246">
        <v>62</v>
      </c>
      <c r="C10" s="246">
        <v>62.4</v>
      </c>
      <c r="D10" s="246">
        <v>62.6</v>
      </c>
      <c r="E10" s="246">
        <v>63</v>
      </c>
      <c r="F10" s="246">
        <v>63.1</v>
      </c>
      <c r="G10" s="246">
        <v>63.3</v>
      </c>
      <c r="H10" s="246">
        <v>63.5</v>
      </c>
      <c r="I10" s="246">
        <v>63.6</v>
      </c>
      <c r="J10" s="246">
        <v>63.6</v>
      </c>
      <c r="K10" s="246">
        <v>63.9</v>
      </c>
      <c r="L10" s="246">
        <v>64.099999999999994</v>
      </c>
      <c r="M10" s="246">
        <v>64.2</v>
      </c>
      <c r="N10" s="246">
        <f t="shared" si="0"/>
        <v>63.275000000000006</v>
      </c>
    </row>
    <row r="11" spans="1:14" x14ac:dyDescent="0.3">
      <c r="A11" s="7">
        <v>1985</v>
      </c>
      <c r="B11" s="246">
        <v>64.5</v>
      </c>
      <c r="C11" s="246">
        <v>65</v>
      </c>
      <c r="D11" s="246">
        <v>64.900000000000006</v>
      </c>
      <c r="E11" s="246">
        <v>65.3</v>
      </c>
      <c r="F11" s="246">
        <v>65.3</v>
      </c>
      <c r="G11" s="246">
        <v>65.7</v>
      </c>
      <c r="H11" s="246">
        <v>66.099999999999994</v>
      </c>
      <c r="I11" s="246">
        <v>66.2</v>
      </c>
      <c r="J11" s="246">
        <v>66.5</v>
      </c>
      <c r="K11" s="246">
        <v>66</v>
      </c>
      <c r="L11" s="246">
        <v>66.099999999999994</v>
      </c>
      <c r="M11" s="246">
        <v>66</v>
      </c>
      <c r="N11" s="246">
        <f t="shared" si="0"/>
        <v>65.63333333333334</v>
      </c>
    </row>
    <row r="12" spans="1:14" x14ac:dyDescent="0.3">
      <c r="A12" s="7">
        <v>1986</v>
      </c>
      <c r="B12" s="246">
        <v>66.400000000000006</v>
      </c>
      <c r="C12" s="246">
        <v>66.8</v>
      </c>
      <c r="D12" s="246">
        <v>66.8</v>
      </c>
      <c r="E12" s="246">
        <v>66.5</v>
      </c>
      <c r="F12" s="246">
        <v>66.5</v>
      </c>
      <c r="G12" s="246">
        <v>66.400000000000006</v>
      </c>
      <c r="H12" s="246">
        <v>67</v>
      </c>
      <c r="I12" s="246">
        <v>67.3</v>
      </c>
      <c r="J12" s="246">
        <v>67.2</v>
      </c>
      <c r="K12" s="246">
        <v>67.5</v>
      </c>
      <c r="L12" s="246">
        <v>67.599999999999994</v>
      </c>
      <c r="M12" s="246">
        <v>67.8</v>
      </c>
      <c r="N12" s="246">
        <f t="shared" si="0"/>
        <v>66.983333333333334</v>
      </c>
    </row>
    <row r="13" spans="1:14" x14ac:dyDescent="0.3">
      <c r="A13" s="7">
        <v>1987</v>
      </c>
      <c r="B13" s="246">
        <v>68.099999999999994</v>
      </c>
      <c r="C13" s="246">
        <v>68.3</v>
      </c>
      <c r="D13" s="246">
        <v>68.599999999999994</v>
      </c>
      <c r="E13" s="246">
        <v>68.900000000000006</v>
      </c>
      <c r="F13" s="246">
        <v>68.8</v>
      </c>
      <c r="G13" s="246">
        <v>69.3</v>
      </c>
      <c r="H13" s="246">
        <v>69.8</v>
      </c>
      <c r="I13" s="246">
        <v>69.8</v>
      </c>
      <c r="J13" s="246">
        <v>69.8</v>
      </c>
      <c r="K13" s="246">
        <v>70.2</v>
      </c>
      <c r="L13" s="246">
        <v>70.400000000000006</v>
      </c>
      <c r="M13" s="246">
        <v>70.3</v>
      </c>
      <c r="N13" s="246">
        <f t="shared" si="0"/>
        <v>69.358333333333334</v>
      </c>
    </row>
    <row r="14" spans="1:14" x14ac:dyDescent="0.3">
      <c r="A14" s="7">
        <v>1988</v>
      </c>
      <c r="B14" s="246">
        <v>70.400000000000006</v>
      </c>
      <c r="C14" s="246">
        <v>71</v>
      </c>
      <c r="D14" s="246">
        <v>71.2</v>
      </c>
      <c r="E14" s="246">
        <v>71.5</v>
      </c>
      <c r="F14" s="246">
        <v>71.5</v>
      </c>
      <c r="G14" s="246">
        <v>71.8</v>
      </c>
      <c r="H14" s="246">
        <v>72.099999999999994</v>
      </c>
      <c r="I14" s="246">
        <v>72.7</v>
      </c>
      <c r="J14" s="246">
        <v>72.5</v>
      </c>
      <c r="K14" s="246">
        <v>72.8</v>
      </c>
      <c r="L14" s="246">
        <v>72.8</v>
      </c>
      <c r="M14" s="246">
        <v>72.7</v>
      </c>
      <c r="N14" s="246">
        <f t="shared" si="0"/>
        <v>71.916666666666671</v>
      </c>
    </row>
    <row r="15" spans="1:14" x14ac:dyDescent="0.3">
      <c r="A15" s="7">
        <v>1989</v>
      </c>
      <c r="B15" s="246">
        <v>72.7</v>
      </c>
      <c r="C15" s="246">
        <v>73</v>
      </c>
      <c r="D15" s="246">
        <v>73.400000000000006</v>
      </c>
      <c r="E15" s="246">
        <v>73.7</v>
      </c>
      <c r="F15" s="246">
        <v>74.400000000000006</v>
      </c>
      <c r="G15" s="246">
        <v>74.7</v>
      </c>
      <c r="H15" s="246">
        <v>75.3</v>
      </c>
      <c r="I15" s="246">
        <v>75</v>
      </c>
      <c r="J15" s="246">
        <v>75.599999999999994</v>
      </c>
      <c r="K15" s="246">
        <v>75.7</v>
      </c>
      <c r="L15" s="246">
        <v>76.2</v>
      </c>
      <c r="M15" s="246">
        <v>76</v>
      </c>
      <c r="N15" s="246">
        <f t="shared" si="0"/>
        <v>74.64166666666668</v>
      </c>
    </row>
    <row r="16" spans="1:14" x14ac:dyDescent="0.3">
      <c r="A16" s="7">
        <v>1990</v>
      </c>
      <c r="B16" s="246">
        <v>76.400000000000006</v>
      </c>
      <c r="C16" s="246">
        <v>76.900000000000006</v>
      </c>
      <c r="D16" s="246">
        <v>77.2</v>
      </c>
      <c r="E16" s="246">
        <v>77.900000000000006</v>
      </c>
      <c r="F16" s="246">
        <v>77.900000000000006</v>
      </c>
      <c r="G16" s="246">
        <v>78.3</v>
      </c>
      <c r="H16" s="246">
        <v>78.5</v>
      </c>
      <c r="I16" s="246">
        <v>78.900000000000006</v>
      </c>
      <c r="J16" s="246">
        <v>79.099999999999994</v>
      </c>
      <c r="K16" s="246">
        <v>79.400000000000006</v>
      </c>
      <c r="L16" s="246">
        <v>79.8</v>
      </c>
      <c r="M16" s="246">
        <v>80.400000000000006</v>
      </c>
      <c r="N16" s="246">
        <f t="shared" si="0"/>
        <v>78.391666666666652</v>
      </c>
    </row>
    <row r="17" spans="1:14" x14ac:dyDescent="0.3">
      <c r="A17" s="7">
        <v>1991</v>
      </c>
      <c r="B17" s="246">
        <v>83.5</v>
      </c>
      <c r="C17" s="246">
        <v>84</v>
      </c>
      <c r="D17" s="246">
        <v>84.4</v>
      </c>
      <c r="E17" s="246">
        <v>84.3</v>
      </c>
      <c r="F17" s="246">
        <v>84</v>
      </c>
      <c r="G17" s="246">
        <v>84.3</v>
      </c>
      <c r="H17" s="246">
        <v>84.5</v>
      </c>
      <c r="I17" s="246">
        <v>84.5</v>
      </c>
      <c r="J17" s="246">
        <v>84.5</v>
      </c>
      <c r="K17" s="246">
        <v>84.8</v>
      </c>
      <c r="L17" s="246">
        <v>84.9</v>
      </c>
      <c r="M17" s="246">
        <v>84.2</v>
      </c>
      <c r="N17" s="246">
        <f t="shared" si="0"/>
        <v>84.325000000000003</v>
      </c>
    </row>
    <row r="18" spans="1:14" x14ac:dyDescent="0.3">
      <c r="A18" s="7">
        <v>1992</v>
      </c>
      <c r="B18" s="246">
        <v>84.2</v>
      </c>
      <c r="C18" s="246">
        <v>84.4</v>
      </c>
      <c r="D18" s="246">
        <v>84.9</v>
      </c>
      <c r="E18" s="246">
        <v>85</v>
      </c>
      <c r="F18" s="246">
        <v>84.7</v>
      </c>
      <c r="G18" s="246">
        <v>84.8</v>
      </c>
      <c r="H18" s="246">
        <v>84.9</v>
      </c>
      <c r="I18" s="246">
        <v>85.1</v>
      </c>
      <c r="J18" s="246">
        <v>85.1</v>
      </c>
      <c r="K18" s="246">
        <v>85.1</v>
      </c>
      <c r="L18" s="246">
        <v>85.7</v>
      </c>
      <c r="M18" s="246">
        <v>85.5</v>
      </c>
      <c r="N18" s="246">
        <f t="shared" si="0"/>
        <v>84.95</v>
      </c>
    </row>
    <row r="19" spans="1:14" x14ac:dyDescent="0.3">
      <c r="A19" s="7">
        <v>1993</v>
      </c>
      <c r="B19" s="246">
        <v>85.5</v>
      </c>
      <c r="C19" s="246">
        <v>86</v>
      </c>
      <c r="D19" s="246">
        <v>86.2</v>
      </c>
      <c r="E19" s="246">
        <v>86.1</v>
      </c>
      <c r="F19" s="246">
        <v>86.4</v>
      </c>
      <c r="G19" s="246">
        <v>86.4</v>
      </c>
      <c r="H19" s="246">
        <v>86.7</v>
      </c>
      <c r="I19" s="246">
        <v>86.9</v>
      </c>
      <c r="J19" s="246">
        <v>86.8</v>
      </c>
      <c r="K19" s="246">
        <v>87.4</v>
      </c>
      <c r="L19" s="246">
        <v>87.6</v>
      </c>
      <c r="M19" s="246">
        <v>87.4</v>
      </c>
      <c r="N19" s="246">
        <f t="shared" si="0"/>
        <v>86.61666666666666</v>
      </c>
    </row>
    <row r="20" spans="1:14" x14ac:dyDescent="0.3">
      <c r="A20" s="7">
        <v>1994</v>
      </c>
      <c r="B20" s="246">
        <v>87.4</v>
      </c>
      <c r="C20" s="246">
        <v>87</v>
      </c>
      <c r="D20" s="246">
        <v>86.2</v>
      </c>
      <c r="E20" s="246">
        <v>85.8</v>
      </c>
      <c r="F20" s="246">
        <v>85.7</v>
      </c>
      <c r="G20" s="246">
        <v>86</v>
      </c>
      <c r="H20" s="246">
        <v>86.1</v>
      </c>
      <c r="I20" s="246">
        <v>86.3</v>
      </c>
      <c r="J20" s="246">
        <v>86.4</v>
      </c>
      <c r="K20" s="246">
        <v>86.7</v>
      </c>
      <c r="L20" s="246">
        <v>86.7</v>
      </c>
      <c r="M20" s="246">
        <v>86.5</v>
      </c>
      <c r="N20" s="246">
        <f t="shared" si="0"/>
        <v>86.40000000000002</v>
      </c>
    </row>
    <row r="21" spans="1:14" x14ac:dyDescent="0.3">
      <c r="A21" s="7">
        <v>1995</v>
      </c>
      <c r="B21" s="246">
        <v>86.7</v>
      </c>
      <c r="C21" s="246">
        <v>87</v>
      </c>
      <c r="D21" s="246">
        <v>87</v>
      </c>
      <c r="E21" s="246">
        <v>87.4</v>
      </c>
      <c r="F21" s="246">
        <v>87.5</v>
      </c>
      <c r="G21" s="246">
        <v>87.7</v>
      </c>
      <c r="H21" s="246">
        <v>87.9</v>
      </c>
      <c r="I21" s="246">
        <v>87.9</v>
      </c>
      <c r="J21" s="246">
        <v>88.4</v>
      </c>
      <c r="K21" s="246">
        <v>88.8</v>
      </c>
      <c r="L21" s="246">
        <v>88.9</v>
      </c>
      <c r="M21" s="246">
        <v>87.9</v>
      </c>
      <c r="N21" s="246">
        <f t="shared" si="0"/>
        <v>87.758333333333326</v>
      </c>
    </row>
    <row r="22" spans="1:14" x14ac:dyDescent="0.3">
      <c r="A22" s="7">
        <v>1996</v>
      </c>
      <c r="B22" s="246">
        <v>88.4</v>
      </c>
      <c r="C22" s="246">
        <v>88.8</v>
      </c>
      <c r="D22" s="246">
        <v>88.9</v>
      </c>
      <c r="E22" s="246">
        <v>89.2</v>
      </c>
      <c r="F22" s="246">
        <v>89.2</v>
      </c>
      <c r="G22" s="246">
        <v>89.7</v>
      </c>
      <c r="H22" s="246">
        <v>89.8</v>
      </c>
      <c r="I22" s="246">
        <v>89.4</v>
      </c>
      <c r="J22" s="246">
        <v>89.6</v>
      </c>
      <c r="K22" s="246">
        <v>89.9</v>
      </c>
      <c r="L22" s="246">
        <v>89.9</v>
      </c>
      <c r="M22" s="246">
        <v>89.7</v>
      </c>
      <c r="N22" s="246">
        <f t="shared" si="0"/>
        <v>89.375</v>
      </c>
    </row>
    <row r="23" spans="1:14" x14ac:dyDescent="0.3">
      <c r="A23" s="7">
        <v>1997</v>
      </c>
      <c r="B23" s="246">
        <v>90.2</v>
      </c>
      <c r="C23" s="246">
        <v>90.2</v>
      </c>
      <c r="D23" s="246">
        <v>90.8</v>
      </c>
      <c r="E23" s="246">
        <v>90.8</v>
      </c>
      <c r="F23" s="246">
        <v>90.5</v>
      </c>
      <c r="G23" s="246">
        <v>90.4</v>
      </c>
      <c r="H23" s="246">
        <v>90.6</v>
      </c>
      <c r="I23" s="246">
        <v>90.7</v>
      </c>
      <c r="J23" s="246">
        <v>90.3</v>
      </c>
      <c r="K23" s="246">
        <v>90.7</v>
      </c>
      <c r="L23" s="246">
        <v>90.8</v>
      </c>
      <c r="M23" s="246">
        <v>90.2</v>
      </c>
      <c r="N23" s="246">
        <f t="shared" si="0"/>
        <v>90.516666666666666</v>
      </c>
    </row>
    <row r="24" spans="1:14" x14ac:dyDescent="0.3">
      <c r="A24" s="7">
        <v>1998</v>
      </c>
      <c r="B24" s="246">
        <v>90.4</v>
      </c>
      <c r="C24" s="246">
        <v>90.7</v>
      </c>
      <c r="D24" s="246">
        <v>90.5</v>
      </c>
      <c r="E24" s="246">
        <v>90.3</v>
      </c>
      <c r="F24" s="246">
        <v>89.8</v>
      </c>
      <c r="G24" s="246">
        <v>89.8</v>
      </c>
      <c r="H24" s="246">
        <v>89.6</v>
      </c>
      <c r="I24" s="246">
        <v>89.7</v>
      </c>
      <c r="J24" s="246">
        <v>89.6</v>
      </c>
      <c r="K24" s="246">
        <v>90.2</v>
      </c>
      <c r="L24" s="246">
        <v>90.4</v>
      </c>
      <c r="M24" s="246">
        <v>90.2</v>
      </c>
      <c r="N24" s="246">
        <f t="shared" si="0"/>
        <v>90.100000000000009</v>
      </c>
    </row>
    <row r="25" spans="1:14" x14ac:dyDescent="0.3">
      <c r="A25" s="7">
        <v>1999</v>
      </c>
      <c r="B25" s="246">
        <v>89.8</v>
      </c>
      <c r="C25" s="246">
        <v>90.3</v>
      </c>
      <c r="D25" s="246">
        <v>90.6</v>
      </c>
      <c r="E25" s="246">
        <v>90.4</v>
      </c>
      <c r="F25" s="246">
        <v>90.4</v>
      </c>
      <c r="G25" s="246">
        <v>90.8</v>
      </c>
      <c r="H25" s="246">
        <v>90.9</v>
      </c>
      <c r="I25" s="246">
        <v>91.1</v>
      </c>
      <c r="J25" s="246">
        <v>91.9</v>
      </c>
      <c r="K25" s="246">
        <v>92.1</v>
      </c>
      <c r="L25" s="246">
        <v>93</v>
      </c>
      <c r="M25" s="246">
        <v>92.9</v>
      </c>
      <c r="N25" s="246">
        <f t="shared" si="0"/>
        <v>91.183333333333337</v>
      </c>
    </row>
    <row r="26" spans="1:14" x14ac:dyDescent="0.3">
      <c r="A26" s="7">
        <v>2000</v>
      </c>
      <c r="B26" s="246">
        <v>92.7</v>
      </c>
      <c r="C26" s="246">
        <v>92.8</v>
      </c>
      <c r="D26" s="246">
        <v>93.7</v>
      </c>
      <c r="E26" s="246">
        <v>94.1</v>
      </c>
      <c r="F26" s="246">
        <v>94.7</v>
      </c>
      <c r="G26" s="246">
        <v>95</v>
      </c>
      <c r="H26" s="246">
        <v>95.2</v>
      </c>
      <c r="I26" s="246">
        <v>95.6</v>
      </c>
      <c r="J26" s="246">
        <v>95.9</v>
      </c>
      <c r="K26" s="246">
        <v>96.2</v>
      </c>
      <c r="L26" s="246">
        <v>97</v>
      </c>
      <c r="M26" s="246">
        <v>96.4</v>
      </c>
      <c r="N26" s="246">
        <f t="shared" si="0"/>
        <v>94.941666666666677</v>
      </c>
    </row>
    <row r="27" spans="1:14" x14ac:dyDescent="0.3">
      <c r="A27" s="7">
        <v>2001</v>
      </c>
      <c r="B27" s="246">
        <v>97</v>
      </c>
      <c r="C27" s="246">
        <v>96.2</v>
      </c>
      <c r="D27" s="246">
        <v>96.3</v>
      </c>
      <c r="E27" s="246">
        <v>97.4</v>
      </c>
      <c r="F27" s="246">
        <v>97.7</v>
      </c>
      <c r="G27" s="246">
        <v>98.1</v>
      </c>
      <c r="H27" s="246">
        <v>98.3</v>
      </c>
      <c r="I27" s="246">
        <v>97.9</v>
      </c>
      <c r="J27" s="246">
        <v>97.4</v>
      </c>
      <c r="K27" s="246">
        <v>98</v>
      </c>
      <c r="L27" s="246">
        <v>97.8</v>
      </c>
      <c r="M27" s="246">
        <v>96.7</v>
      </c>
      <c r="N27" s="246">
        <f t="shared" si="0"/>
        <v>97.399999999999991</v>
      </c>
    </row>
    <row r="28" spans="1:14" x14ac:dyDescent="0.3">
      <c r="A28" s="7">
        <v>2002</v>
      </c>
      <c r="B28" s="246">
        <v>96.4</v>
      </c>
      <c r="C28" s="246">
        <v>96.6</v>
      </c>
      <c r="D28" s="246">
        <v>97.3</v>
      </c>
      <c r="E28" s="246">
        <v>99.3</v>
      </c>
      <c r="F28" s="246">
        <v>100.2</v>
      </c>
      <c r="G28" s="246">
        <v>99.9</v>
      </c>
      <c r="H28" s="246">
        <v>100.8</v>
      </c>
      <c r="I28" s="246">
        <v>100.9</v>
      </c>
      <c r="J28" s="246">
        <v>101.3</v>
      </c>
      <c r="K28" s="246">
        <v>102.2</v>
      </c>
      <c r="L28" s="246">
        <v>102.8</v>
      </c>
      <c r="M28" s="246">
        <v>102.2</v>
      </c>
      <c r="N28" s="246">
        <f t="shared" si="0"/>
        <v>99.991666666666674</v>
      </c>
    </row>
    <row r="29" spans="1:14" x14ac:dyDescent="0.3">
      <c r="A29" s="7">
        <v>2003</v>
      </c>
      <c r="B29" s="246">
        <v>101.9</v>
      </c>
      <c r="C29" s="246">
        <v>103.1</v>
      </c>
      <c r="D29" s="246">
        <v>104.1</v>
      </c>
      <c r="E29" s="246">
        <v>104.6</v>
      </c>
      <c r="F29" s="246">
        <v>103.6</v>
      </c>
      <c r="G29" s="246">
        <v>103.2</v>
      </c>
      <c r="H29" s="246">
        <v>103.4</v>
      </c>
      <c r="I29" s="246">
        <v>103.2</v>
      </c>
      <c r="J29" s="246">
        <v>103.8</v>
      </c>
      <c r="K29" s="246">
        <v>103.7</v>
      </c>
      <c r="L29" s="246">
        <v>104.1</v>
      </c>
      <c r="M29" s="246">
        <v>103.6</v>
      </c>
      <c r="N29" s="246">
        <f t="shared" si="0"/>
        <v>103.52499999999999</v>
      </c>
    </row>
    <row r="30" spans="1:14" x14ac:dyDescent="0.3">
      <c r="A30" s="7">
        <v>2004</v>
      </c>
      <c r="B30" s="246">
        <v>103.5</v>
      </c>
      <c r="C30" s="246">
        <v>104</v>
      </c>
      <c r="D30" s="246">
        <v>104.7</v>
      </c>
      <c r="E30" s="246">
        <v>105.3</v>
      </c>
      <c r="F30" s="246">
        <v>105.6</v>
      </c>
      <c r="G30" s="246">
        <v>106.2</v>
      </c>
      <c r="H30" s="246">
        <v>105.9</v>
      </c>
      <c r="I30" s="246">
        <v>105.8</v>
      </c>
      <c r="J30" s="246">
        <v>106.4</v>
      </c>
      <c r="K30" s="246">
        <v>106.7</v>
      </c>
      <c r="L30" s="246">
        <v>108.2</v>
      </c>
      <c r="M30" s="246">
        <v>107.4</v>
      </c>
      <c r="N30" s="246">
        <f t="shared" si="0"/>
        <v>105.80833333333334</v>
      </c>
    </row>
    <row r="31" spans="1:14" x14ac:dyDescent="0.3">
      <c r="A31" s="7">
        <v>2005</v>
      </c>
      <c r="B31" s="246">
        <v>106.5</v>
      </c>
      <c r="C31" s="246">
        <v>106.7</v>
      </c>
      <c r="D31" s="246">
        <v>107.6</v>
      </c>
      <c r="E31" s="246">
        <v>108.6</v>
      </c>
      <c r="F31" s="246">
        <v>109.1</v>
      </c>
      <c r="G31" s="246">
        <v>108.9</v>
      </c>
      <c r="H31" s="246">
        <v>109</v>
      </c>
      <c r="I31" s="246">
        <v>109.3</v>
      </c>
      <c r="J31" s="246">
        <v>111.8</v>
      </c>
      <c r="K31" s="246">
        <v>111.5</v>
      </c>
      <c r="L31" s="246">
        <v>110.7</v>
      </c>
      <c r="M31" s="246">
        <v>110</v>
      </c>
      <c r="N31" s="246">
        <f t="shared" si="0"/>
        <v>109.14166666666667</v>
      </c>
    </row>
    <row r="32" spans="1:14" x14ac:dyDescent="0.3">
      <c r="A32" s="7">
        <v>2006</v>
      </c>
      <c r="B32" s="246">
        <v>110.3</v>
      </c>
      <c r="C32" s="246">
        <v>110.8</v>
      </c>
      <c r="D32" s="246">
        <v>110.4</v>
      </c>
      <c r="E32" s="246">
        <v>112.1</v>
      </c>
      <c r="F32" s="246">
        <v>112.8</v>
      </c>
      <c r="G32" s="246">
        <v>112.3</v>
      </c>
      <c r="H32" s="246">
        <v>112.5</v>
      </c>
      <c r="I32" s="246">
        <v>112.8</v>
      </c>
      <c r="J32" s="246">
        <v>111.6</v>
      </c>
      <c r="K32" s="246">
        <v>110.7</v>
      </c>
      <c r="L32" s="246">
        <v>111.1</v>
      </c>
      <c r="M32" s="246">
        <v>111.6</v>
      </c>
      <c r="N32" s="246">
        <f t="shared" si="0"/>
        <v>111.58333333333331</v>
      </c>
    </row>
    <row r="33" spans="1:14" x14ac:dyDescent="0.3">
      <c r="A33" s="7">
        <v>2007</v>
      </c>
      <c r="B33" s="246">
        <v>111.5</v>
      </c>
      <c r="C33" s="246">
        <v>111.9</v>
      </c>
      <c r="D33" s="246">
        <v>113.3</v>
      </c>
      <c r="E33" s="246">
        <v>113.7</v>
      </c>
      <c r="F33" s="246">
        <v>114.2</v>
      </c>
      <c r="G33" s="246">
        <v>114.1</v>
      </c>
      <c r="H33" s="246">
        <v>114</v>
      </c>
      <c r="I33" s="246">
        <v>113.8</v>
      </c>
      <c r="J33" s="246">
        <v>114</v>
      </c>
      <c r="K33" s="246">
        <v>114.1</v>
      </c>
      <c r="L33" s="246">
        <v>114.3</v>
      </c>
      <c r="M33" s="246">
        <v>114.7</v>
      </c>
      <c r="N33" s="246">
        <f t="shared" si="0"/>
        <v>113.63333333333333</v>
      </c>
    </row>
    <row r="34" spans="1:14" x14ac:dyDescent="0.3">
      <c r="A34" s="7">
        <v>2008</v>
      </c>
      <c r="B34" s="246">
        <v>114.2</v>
      </c>
      <c r="C34" s="246">
        <v>114.6</v>
      </c>
      <c r="D34" s="246">
        <v>115.8</v>
      </c>
      <c r="E34" s="246">
        <v>116.7</v>
      </c>
      <c r="F34" s="246">
        <v>118.9</v>
      </c>
      <c r="G34" s="246">
        <v>119.5</v>
      </c>
      <c r="H34" s="246">
        <v>120</v>
      </c>
      <c r="I34" s="246">
        <v>119.3</v>
      </c>
      <c r="J34" s="246">
        <v>120.3</v>
      </c>
      <c r="K34" s="246">
        <v>118.6</v>
      </c>
      <c r="L34" s="246">
        <v>116.9</v>
      </c>
      <c r="M34" s="246">
        <v>114.7</v>
      </c>
      <c r="N34" s="246">
        <f t="shared" si="0"/>
        <v>117.45833333333333</v>
      </c>
    </row>
    <row r="35" spans="1:14" x14ac:dyDescent="0.3">
      <c r="A35" s="7">
        <v>2009</v>
      </c>
      <c r="B35" s="246">
        <v>114.1</v>
      </c>
      <c r="C35" s="246">
        <v>115.7</v>
      </c>
      <c r="D35" s="246">
        <v>115.6</v>
      </c>
      <c r="E35" s="246">
        <v>116.4</v>
      </c>
      <c r="F35" s="246">
        <v>117.6</v>
      </c>
      <c r="G35" s="246">
        <v>118.5</v>
      </c>
      <c r="H35" s="246">
        <v>118.4</v>
      </c>
      <c r="I35" s="246">
        <v>118.3</v>
      </c>
      <c r="J35" s="246">
        <v>118.6</v>
      </c>
      <c r="K35" s="246">
        <v>117.7</v>
      </c>
      <c r="L35" s="246">
        <v>119.1</v>
      </c>
      <c r="M35" s="246">
        <v>118.1</v>
      </c>
      <c r="N35" s="246">
        <f t="shared" si="0"/>
        <v>117.34166666666664</v>
      </c>
    </row>
    <row r="36" spans="1:14" x14ac:dyDescent="0.3">
      <c r="A36" s="7">
        <v>2010</v>
      </c>
      <c r="B36" s="246">
        <v>118.7</v>
      </c>
      <c r="C36" s="246">
        <v>118.8</v>
      </c>
      <c r="D36" s="246">
        <v>119.3</v>
      </c>
      <c r="E36" s="246">
        <v>119.1</v>
      </c>
      <c r="F36" s="246">
        <v>119.2</v>
      </c>
      <c r="G36" s="246">
        <v>119.2</v>
      </c>
      <c r="H36" s="246">
        <v>119.5</v>
      </c>
      <c r="I36" s="246">
        <v>119.7</v>
      </c>
      <c r="J36" s="246">
        <v>119.6</v>
      </c>
      <c r="K36" s="246">
        <v>120.4</v>
      </c>
      <c r="L36" s="246">
        <v>120.5</v>
      </c>
      <c r="M36" s="246">
        <v>119.9</v>
      </c>
      <c r="N36" s="246">
        <f t="shared" si="0"/>
        <v>119.49166666666669</v>
      </c>
    </row>
    <row r="37" spans="1:14" x14ac:dyDescent="0.3">
      <c r="A37" s="7">
        <v>2011</v>
      </c>
      <c r="B37" s="246">
        <v>120.1</v>
      </c>
      <c r="C37" s="246">
        <v>121.1</v>
      </c>
      <c r="D37" s="246">
        <v>122.2</v>
      </c>
      <c r="E37" s="246">
        <v>123.3</v>
      </c>
      <c r="F37" s="246">
        <v>123.9</v>
      </c>
      <c r="G37" s="246">
        <v>123.3</v>
      </c>
      <c r="H37" s="246">
        <v>123.3</v>
      </c>
      <c r="I37" s="246">
        <v>123.9</v>
      </c>
      <c r="J37" s="246">
        <v>123.7</v>
      </c>
      <c r="K37" s="246">
        <v>123.9</v>
      </c>
      <c r="L37" s="246">
        <v>124</v>
      </c>
      <c r="M37" s="246">
        <v>123.4</v>
      </c>
      <c r="N37" s="246">
        <f t="shared" si="0"/>
        <v>123.00833333333334</v>
      </c>
    </row>
    <row r="38" spans="1:14" x14ac:dyDescent="0.3">
      <c r="A38" s="7">
        <v>2012</v>
      </c>
      <c r="B38" s="246">
        <v>123.6</v>
      </c>
      <c r="C38" s="246">
        <v>124.8</v>
      </c>
      <c r="D38" s="246">
        <v>125.6</v>
      </c>
      <c r="E38" s="246">
        <v>126.3</v>
      </c>
      <c r="F38" s="246">
        <v>125.9</v>
      </c>
      <c r="G38" s="246">
        <v>125.2</v>
      </c>
      <c r="H38" s="246">
        <v>125.2</v>
      </c>
      <c r="I38" s="246">
        <v>125.6</v>
      </c>
      <c r="J38" s="246">
        <v>126.2</v>
      </c>
      <c r="K38" s="246">
        <v>126.5</v>
      </c>
      <c r="L38" s="246">
        <v>125.9</v>
      </c>
      <c r="M38" s="246">
        <v>124.9</v>
      </c>
      <c r="N38" s="246">
        <f t="shared" si="0"/>
        <v>125.47500000000002</v>
      </c>
    </row>
    <row r="39" spans="1:14" x14ac:dyDescent="0.3">
      <c r="A39" s="7">
        <v>2013</v>
      </c>
      <c r="B39" s="246">
        <v>125.2</v>
      </c>
      <c r="C39" s="246">
        <v>126.7</v>
      </c>
      <c r="D39" s="246">
        <v>127.1</v>
      </c>
      <c r="E39" s="246">
        <v>128.6</v>
      </c>
      <c r="F39" s="246">
        <v>127.9</v>
      </c>
      <c r="G39" s="246">
        <v>127.9</v>
      </c>
      <c r="H39" s="246">
        <v>128.1</v>
      </c>
      <c r="I39" s="246">
        <v>128.6</v>
      </c>
      <c r="J39" s="246">
        <v>129</v>
      </c>
      <c r="K39" s="246">
        <v>129</v>
      </c>
      <c r="L39" s="246">
        <v>129.19999999999999</v>
      </c>
      <c r="M39" s="246">
        <v>128.6</v>
      </c>
      <c r="N39" s="246">
        <f t="shared" si="0"/>
        <v>127.99166666666666</v>
      </c>
    </row>
    <row r="40" spans="1:14" x14ac:dyDescent="0.3">
      <c r="A40" s="7">
        <v>2014</v>
      </c>
      <c r="B40" s="246">
        <v>129.19999999999999</v>
      </c>
      <c r="C40" s="246">
        <v>130.1</v>
      </c>
      <c r="D40" s="246">
        <v>130.9</v>
      </c>
      <c r="E40" s="246">
        <v>130.5</v>
      </c>
      <c r="F40" s="246">
        <v>130.6</v>
      </c>
      <c r="G40" s="246">
        <v>130.5</v>
      </c>
      <c r="H40" s="246">
        <v>130.4</v>
      </c>
      <c r="I40" s="246">
        <v>130.19999999999999</v>
      </c>
      <c r="J40" s="246">
        <v>130.5</v>
      </c>
      <c r="K40" s="246">
        <v>130.5</v>
      </c>
      <c r="L40" s="246">
        <v>129.30000000000001</v>
      </c>
      <c r="M40" s="246">
        <v>128.1</v>
      </c>
      <c r="N40" s="246">
        <f t="shared" si="0"/>
        <v>130.06666666666663</v>
      </c>
    </row>
    <row r="41" spans="1:14" x14ac:dyDescent="0.3">
      <c r="A41" s="7">
        <v>2015</v>
      </c>
      <c r="B41" s="246">
        <v>126.7</v>
      </c>
      <c r="C41" s="246">
        <v>128.19999999999999</v>
      </c>
      <c r="D41" s="246">
        <v>129.80000000000001</v>
      </c>
      <c r="E41" s="246">
        <v>128.9</v>
      </c>
      <c r="F41" s="246">
        <v>129.69999999999999</v>
      </c>
      <c r="G41" s="246">
        <v>130.4</v>
      </c>
      <c r="H41" s="246">
        <v>130.30000000000001</v>
      </c>
      <c r="I41" s="246">
        <v>130.1</v>
      </c>
      <c r="J41" s="246">
        <v>129.4</v>
      </c>
      <c r="K41" s="246">
        <v>129.4</v>
      </c>
      <c r="L41" s="246">
        <v>129.6</v>
      </c>
      <c r="M41" s="246">
        <v>129.19999999999999</v>
      </c>
      <c r="N41" s="246">
        <f t="shared" si="0"/>
        <v>129.30833333333334</v>
      </c>
    </row>
    <row r="42" spans="1:14" x14ac:dyDescent="0.3">
      <c r="A42" s="7">
        <v>2016</v>
      </c>
      <c r="B42" s="246">
        <v>129.1</v>
      </c>
      <c r="C42" s="246">
        <v>129.6</v>
      </c>
      <c r="D42" s="246">
        <v>130.19999999999999</v>
      </c>
      <c r="E42" s="246">
        <v>131.1</v>
      </c>
      <c r="F42" s="246">
        <v>131.4</v>
      </c>
      <c r="G42" s="246">
        <v>131.80000000000001</v>
      </c>
      <c r="H42" s="246">
        <v>131.1</v>
      </c>
      <c r="I42" s="246">
        <v>130.6</v>
      </c>
      <c r="J42" s="246">
        <v>130.6</v>
      </c>
      <c r="K42" s="246">
        <v>131.9</v>
      </c>
      <c r="L42" s="246">
        <v>131.80000000000001</v>
      </c>
      <c r="M42" s="246">
        <v>130.9</v>
      </c>
      <c r="N42" s="246">
        <f t="shared" si="0"/>
        <v>130.84166666666667</v>
      </c>
    </row>
    <row r="43" spans="1:14" x14ac:dyDescent="0.3">
      <c r="A43" s="7">
        <v>2017</v>
      </c>
      <c r="B43" s="246">
        <v>132.30000000000001</v>
      </c>
      <c r="C43" s="246">
        <v>131.5</v>
      </c>
      <c r="D43" s="246">
        <v>132.4</v>
      </c>
      <c r="E43" s="246">
        <v>133.19999999999999</v>
      </c>
      <c r="F43" s="246">
        <v>133.30000000000001</v>
      </c>
      <c r="G43" s="246">
        <v>133.4</v>
      </c>
      <c r="H43" s="246">
        <v>133.4</v>
      </c>
      <c r="I43" s="246">
        <v>133.6</v>
      </c>
      <c r="J43" s="246">
        <v>133.69999999999999</v>
      </c>
      <c r="K43" s="246">
        <v>133.5</v>
      </c>
      <c r="L43" s="246">
        <v>134.69999999999999</v>
      </c>
      <c r="M43" s="246">
        <v>133.5</v>
      </c>
      <c r="N43" s="246">
        <f t="shared" si="0"/>
        <v>133.20833333333334</v>
      </c>
    </row>
    <row r="44" spans="1:14" x14ac:dyDescent="0.3">
      <c r="A44" s="7">
        <v>2018</v>
      </c>
      <c r="B44" s="246">
        <v>134.4</v>
      </c>
      <c r="C44" s="246">
        <v>135.4</v>
      </c>
      <c r="D44" s="246">
        <v>135.6</v>
      </c>
      <c r="E44" s="246">
        <v>136.1</v>
      </c>
      <c r="F44" s="246">
        <v>136.5</v>
      </c>
      <c r="G44" s="246">
        <v>137.30000000000001</v>
      </c>
      <c r="H44" s="246">
        <v>138</v>
      </c>
      <c r="I44" s="246">
        <v>137.6</v>
      </c>
      <c r="J44" s="246">
        <v>136</v>
      </c>
      <c r="K44" s="246">
        <v>136.9</v>
      </c>
      <c r="L44" s="246">
        <v>136.1</v>
      </c>
      <c r="M44" s="246">
        <v>135.30000000000001</v>
      </c>
      <c r="N44" s="246">
        <f t="shared" si="0"/>
        <v>136.26666666666665</v>
      </c>
    </row>
    <row r="45" spans="1:14" x14ac:dyDescent="0.3">
      <c r="A45" s="7">
        <v>2019</v>
      </c>
      <c r="B45" s="246">
        <v>135</v>
      </c>
      <c r="C45" s="246">
        <v>135.9</v>
      </c>
      <c r="D45" s="246">
        <v>137</v>
      </c>
      <c r="E45" s="246">
        <v>137.80000000000001</v>
      </c>
      <c r="F45" s="246">
        <v>138.19999999999999</v>
      </c>
      <c r="G45" s="246">
        <v>138</v>
      </c>
      <c r="H45" s="246">
        <v>139.5</v>
      </c>
      <c r="I45" s="246">
        <v>138.80000000000001</v>
      </c>
      <c r="J45" s="246">
        <v>138.19999999999999</v>
      </c>
      <c r="K45" s="246">
        <v>138.4</v>
      </c>
      <c r="L45" s="246">
        <v>139</v>
      </c>
      <c r="M45" s="246">
        <v>138.4</v>
      </c>
      <c r="N45" s="246">
        <f t="shared" si="0"/>
        <v>137.85000000000002</v>
      </c>
    </row>
    <row r="46" spans="1:14" x14ac:dyDescent="0.3">
      <c r="A46" s="7">
        <v>2020</v>
      </c>
      <c r="B46" s="246">
        <v>139</v>
      </c>
      <c r="C46" s="246">
        <v>138.9</v>
      </c>
      <c r="D46" s="246">
        <v>137.5</v>
      </c>
      <c r="E46" s="246">
        <v>136</v>
      </c>
      <c r="F46" s="246">
        <v>136.1</v>
      </c>
      <c r="G46" s="246">
        <v>137.5</v>
      </c>
      <c r="H46" s="246">
        <v>138.19999999999999</v>
      </c>
      <c r="I46" s="246">
        <v>138.30000000000001</v>
      </c>
      <c r="J46" s="246">
        <v>138.19999999999999</v>
      </c>
      <c r="K46" s="246">
        <v>138.6</v>
      </c>
      <c r="L46" s="246">
        <v>138.30000000000001</v>
      </c>
      <c r="M46" s="246">
        <v>138.19999999999999</v>
      </c>
      <c r="N46" s="246">
        <f t="shared" si="0"/>
        <v>137.9</v>
      </c>
    </row>
    <row r="47" spans="1:14" x14ac:dyDescent="0.3">
      <c r="A47" s="7">
        <v>2021</v>
      </c>
      <c r="B47" s="246">
        <v>139.69999999999999</v>
      </c>
      <c r="C47" s="246">
        <v>140.80000000000001</v>
      </c>
      <c r="D47" s="246">
        <v>142.1</v>
      </c>
      <c r="E47" s="246">
        <v>143.19999999999999</v>
      </c>
      <c r="F47" s="246">
        <v>144.19999999999999</v>
      </c>
      <c r="G47" s="246">
        <v>144.80000000000001</v>
      </c>
      <c r="H47" s="246">
        <v>146.6</v>
      </c>
      <c r="I47" s="246">
        <v>147</v>
      </c>
      <c r="J47" s="246">
        <v>146.9</v>
      </c>
      <c r="K47" s="246">
        <v>147.80000000000001</v>
      </c>
      <c r="L47" s="246">
        <v>148</v>
      </c>
      <c r="M47" s="246">
        <v>147.4</v>
      </c>
      <c r="N47" s="246">
        <f t="shared" si="0"/>
        <v>144.87500000000003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8"/>
  <dimension ref="A1:N47"/>
  <sheetViews>
    <sheetView workbookViewId="0">
      <pane xSplit="1" ySplit="3" topLeftCell="B40" activePane="bottomRight" state="frozen"/>
      <selection activeCell="N46" sqref="N46:N47"/>
      <selection pane="topRight" activeCell="N46" sqref="N46:N47"/>
      <selection pane="bottomLeft" activeCell="N46" sqref="N46:N47"/>
      <selection pane="bottomRight" activeCell="M48" sqref="M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80</v>
      </c>
    </row>
    <row r="2" spans="1:14" s="187" customFormat="1" x14ac:dyDescent="0.3">
      <c r="A2" s="25">
        <v>5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38.200000000000003</v>
      </c>
      <c r="K4" s="246">
        <v>38.700000000000003</v>
      </c>
      <c r="L4" s="246">
        <v>38.9</v>
      </c>
      <c r="M4" s="246">
        <v>39</v>
      </c>
      <c r="N4" s="246">
        <f t="shared" ref="N4:N47" si="0">AVERAGE(B4:M4)</f>
        <v>38.700000000000003</v>
      </c>
    </row>
    <row r="5" spans="1:14" x14ac:dyDescent="0.3">
      <c r="A5" s="7">
        <v>1979</v>
      </c>
      <c r="B5" s="246">
        <v>39.200000000000003</v>
      </c>
      <c r="C5" s="246">
        <v>39.6</v>
      </c>
      <c r="D5" s="246">
        <v>40</v>
      </c>
      <c r="E5" s="246">
        <v>40.299999999999997</v>
      </c>
      <c r="F5" s="246">
        <v>40.700000000000003</v>
      </c>
      <c r="G5" s="246">
        <v>41.1</v>
      </c>
      <c r="H5" s="246">
        <v>41.3</v>
      </c>
      <c r="I5" s="246">
        <v>41.5</v>
      </c>
      <c r="J5" s="246">
        <v>41.7</v>
      </c>
      <c r="K5" s="246">
        <v>42</v>
      </c>
      <c r="L5" s="246">
        <v>42.4</v>
      </c>
      <c r="M5" s="246">
        <v>42.5</v>
      </c>
      <c r="N5" s="246">
        <f t="shared" si="0"/>
        <v>41.024999999999999</v>
      </c>
    </row>
    <row r="6" spans="1:14" x14ac:dyDescent="0.3">
      <c r="A6" s="7">
        <v>1980</v>
      </c>
      <c r="B6" s="246">
        <v>42.8</v>
      </c>
      <c r="C6" s="246">
        <v>43.3</v>
      </c>
      <c r="D6" s="246">
        <v>43.9</v>
      </c>
      <c r="E6" s="246">
        <v>44.3</v>
      </c>
      <c r="F6" s="246">
        <v>44.7</v>
      </c>
      <c r="G6" s="246">
        <v>45.2</v>
      </c>
      <c r="H6" s="246">
        <v>45.6</v>
      </c>
      <c r="I6" s="246">
        <v>46</v>
      </c>
      <c r="J6" s="246">
        <v>46.3</v>
      </c>
      <c r="K6" s="246">
        <v>47</v>
      </c>
      <c r="L6" s="246">
        <v>47.7</v>
      </c>
      <c r="M6" s="246">
        <v>47.8</v>
      </c>
      <c r="N6" s="246">
        <f t="shared" si="0"/>
        <v>45.383333333333333</v>
      </c>
    </row>
    <row r="7" spans="1:14" x14ac:dyDescent="0.3">
      <c r="A7" s="7">
        <v>1981</v>
      </c>
      <c r="B7" s="246">
        <v>48.3</v>
      </c>
      <c r="C7" s="246">
        <v>48.7</v>
      </c>
      <c r="D7" s="246">
        <v>49.3</v>
      </c>
      <c r="E7" s="246">
        <v>49.6</v>
      </c>
      <c r="F7" s="246">
        <v>50.1</v>
      </c>
      <c r="G7" s="246">
        <v>50.8</v>
      </c>
      <c r="H7" s="246">
        <v>51.2</v>
      </c>
      <c r="I7" s="246">
        <v>51.5</v>
      </c>
      <c r="J7" s="246">
        <v>51.8</v>
      </c>
      <c r="K7" s="246">
        <v>52.3</v>
      </c>
      <c r="L7" s="246">
        <v>52.9</v>
      </c>
      <c r="M7" s="246">
        <v>52.8</v>
      </c>
      <c r="N7" s="246">
        <f t="shared" si="0"/>
        <v>50.774999999999999</v>
      </c>
    </row>
    <row r="8" spans="1:14" x14ac:dyDescent="0.3">
      <c r="A8" s="7">
        <v>1982</v>
      </c>
      <c r="B8" s="246">
        <v>52.8</v>
      </c>
      <c r="C8" s="246">
        <v>53.5</v>
      </c>
      <c r="D8" s="246">
        <v>54.2</v>
      </c>
      <c r="E8" s="246">
        <v>54.5</v>
      </c>
      <c r="F8" s="246">
        <v>55.5</v>
      </c>
      <c r="G8" s="246">
        <v>55.9</v>
      </c>
      <c r="H8" s="246">
        <v>56.2</v>
      </c>
      <c r="I8" s="246">
        <v>56.2</v>
      </c>
      <c r="J8" s="246">
        <v>56.5</v>
      </c>
      <c r="K8" s="246">
        <v>56.9</v>
      </c>
      <c r="L8" s="246">
        <v>57.2</v>
      </c>
      <c r="M8" s="246">
        <v>57.3</v>
      </c>
      <c r="N8" s="246">
        <f t="shared" si="0"/>
        <v>55.55833333333333</v>
      </c>
    </row>
    <row r="9" spans="1:14" x14ac:dyDescent="0.3">
      <c r="A9" s="7">
        <v>1983</v>
      </c>
      <c r="B9" s="246">
        <v>57.4</v>
      </c>
      <c r="C9" s="246">
        <v>57.8</v>
      </c>
      <c r="D9" s="246">
        <v>58.4</v>
      </c>
      <c r="E9" s="246">
        <v>58.6</v>
      </c>
      <c r="F9" s="246">
        <v>58.9</v>
      </c>
      <c r="G9" s="246">
        <v>59.1</v>
      </c>
      <c r="H9" s="246">
        <v>59.4</v>
      </c>
      <c r="I9" s="246">
        <v>59.6</v>
      </c>
      <c r="J9" s="246">
        <v>59.8</v>
      </c>
      <c r="K9" s="246">
        <v>60</v>
      </c>
      <c r="L9" s="246">
        <v>60.1</v>
      </c>
      <c r="M9" s="246">
        <v>60.2</v>
      </c>
      <c r="N9" s="246">
        <f t="shared" si="0"/>
        <v>59.108333333333341</v>
      </c>
    </row>
    <row r="10" spans="1:14" x14ac:dyDescent="0.3">
      <c r="A10" s="7">
        <v>1984</v>
      </c>
      <c r="B10" s="246">
        <v>60.6</v>
      </c>
      <c r="C10" s="246">
        <v>60.9</v>
      </c>
      <c r="D10" s="246">
        <v>61</v>
      </c>
      <c r="E10" s="246">
        <v>61.3</v>
      </c>
      <c r="F10" s="246">
        <v>61.4</v>
      </c>
      <c r="G10" s="246">
        <v>61.5</v>
      </c>
      <c r="H10" s="246">
        <v>62</v>
      </c>
      <c r="I10" s="246">
        <v>62</v>
      </c>
      <c r="J10" s="246">
        <v>62.1</v>
      </c>
      <c r="K10" s="246">
        <v>62.4</v>
      </c>
      <c r="L10" s="246">
        <v>62.8</v>
      </c>
      <c r="M10" s="246">
        <v>62.8</v>
      </c>
      <c r="N10" s="246">
        <f t="shared" si="0"/>
        <v>61.73333333333332</v>
      </c>
    </row>
    <row r="11" spans="1:14" x14ac:dyDescent="0.3">
      <c r="A11" s="7">
        <v>1985</v>
      </c>
      <c r="B11" s="246">
        <v>63.1</v>
      </c>
      <c r="C11" s="246">
        <v>63.5</v>
      </c>
      <c r="D11" s="246">
        <v>63.9</v>
      </c>
      <c r="E11" s="246">
        <v>64</v>
      </c>
      <c r="F11" s="246">
        <v>64.3</v>
      </c>
      <c r="G11" s="246">
        <v>64.599999999999994</v>
      </c>
      <c r="H11" s="246">
        <v>64.7</v>
      </c>
      <c r="I11" s="246">
        <v>65</v>
      </c>
      <c r="J11" s="246">
        <v>65</v>
      </c>
      <c r="K11" s="246">
        <v>65</v>
      </c>
      <c r="L11" s="246">
        <v>65.099999999999994</v>
      </c>
      <c r="M11" s="246">
        <v>65.5</v>
      </c>
      <c r="N11" s="246">
        <f t="shared" si="0"/>
        <v>64.474999999999994</v>
      </c>
    </row>
    <row r="12" spans="1:14" x14ac:dyDescent="0.3">
      <c r="A12" s="7">
        <v>1986</v>
      </c>
      <c r="B12" s="246">
        <v>65.599999999999994</v>
      </c>
      <c r="C12" s="246">
        <v>66</v>
      </c>
      <c r="D12" s="246">
        <v>66</v>
      </c>
      <c r="E12" s="246">
        <v>66</v>
      </c>
      <c r="F12" s="246">
        <v>66.5</v>
      </c>
      <c r="G12" s="246">
        <v>66.3</v>
      </c>
      <c r="H12" s="246">
        <v>66.599999999999994</v>
      </c>
      <c r="I12" s="246">
        <v>66.7</v>
      </c>
      <c r="J12" s="246">
        <v>66.599999999999994</v>
      </c>
      <c r="K12" s="246">
        <v>67</v>
      </c>
      <c r="L12" s="246">
        <v>67.400000000000006</v>
      </c>
      <c r="M12" s="246">
        <v>67.599999999999994</v>
      </c>
      <c r="N12" s="246">
        <f t="shared" si="0"/>
        <v>66.525000000000006</v>
      </c>
    </row>
    <row r="13" spans="1:14" x14ac:dyDescent="0.3">
      <c r="A13" s="7">
        <v>1987</v>
      </c>
      <c r="B13" s="246">
        <v>67.8</v>
      </c>
      <c r="C13" s="246">
        <v>68.3</v>
      </c>
      <c r="D13" s="246">
        <v>68.3</v>
      </c>
      <c r="E13" s="246">
        <v>68.5</v>
      </c>
      <c r="F13" s="246">
        <v>68.5</v>
      </c>
      <c r="G13" s="246">
        <v>68.599999999999994</v>
      </c>
      <c r="H13" s="246">
        <v>69</v>
      </c>
      <c r="I13" s="246">
        <v>69</v>
      </c>
      <c r="J13" s="246">
        <v>68.900000000000006</v>
      </c>
      <c r="K13" s="246">
        <v>69.099999999999994</v>
      </c>
      <c r="L13" s="246">
        <v>69.7</v>
      </c>
      <c r="M13" s="246">
        <v>69.900000000000006</v>
      </c>
      <c r="N13" s="246">
        <f t="shared" si="0"/>
        <v>68.8</v>
      </c>
    </row>
    <row r="14" spans="1:14" x14ac:dyDescent="0.3">
      <c r="A14" s="7">
        <v>1988</v>
      </c>
      <c r="B14" s="246">
        <v>69.8</v>
      </c>
      <c r="C14" s="246">
        <v>70.2</v>
      </c>
      <c r="D14" s="246">
        <v>70.5</v>
      </c>
      <c r="E14" s="246">
        <v>70.8</v>
      </c>
      <c r="F14" s="246">
        <v>70.599999999999994</v>
      </c>
      <c r="G14" s="246">
        <v>70.900000000000006</v>
      </c>
      <c r="H14" s="246">
        <v>71.599999999999994</v>
      </c>
      <c r="I14" s="246">
        <v>71.900000000000006</v>
      </c>
      <c r="J14" s="246">
        <v>71.599999999999994</v>
      </c>
      <c r="K14" s="246">
        <v>71.900000000000006</v>
      </c>
      <c r="L14" s="246">
        <v>72.3</v>
      </c>
      <c r="M14" s="246">
        <v>72.099999999999994</v>
      </c>
      <c r="N14" s="246">
        <f t="shared" si="0"/>
        <v>71.183333333333323</v>
      </c>
    </row>
    <row r="15" spans="1:14" x14ac:dyDescent="0.3">
      <c r="A15" s="7">
        <v>1989</v>
      </c>
      <c r="B15" s="246">
        <v>72.5</v>
      </c>
      <c r="C15" s="246">
        <v>72.599999999999994</v>
      </c>
      <c r="D15" s="246">
        <v>72.8</v>
      </c>
      <c r="E15" s="246">
        <v>73.400000000000006</v>
      </c>
      <c r="F15" s="246">
        <v>74.3</v>
      </c>
      <c r="G15" s="246">
        <v>74.7</v>
      </c>
      <c r="H15" s="246">
        <v>75.2</v>
      </c>
      <c r="I15" s="246">
        <v>75.2</v>
      </c>
      <c r="J15" s="246">
        <v>75.099999999999994</v>
      </c>
      <c r="K15" s="246">
        <v>75.400000000000006</v>
      </c>
      <c r="L15" s="246">
        <v>75.8</v>
      </c>
      <c r="M15" s="246">
        <v>75.8</v>
      </c>
      <c r="N15" s="246">
        <f t="shared" si="0"/>
        <v>74.399999999999991</v>
      </c>
    </row>
    <row r="16" spans="1:14" x14ac:dyDescent="0.3">
      <c r="A16" s="7">
        <v>1990</v>
      </c>
      <c r="B16" s="246">
        <v>76.099999999999994</v>
      </c>
      <c r="C16" s="246">
        <v>76.900000000000006</v>
      </c>
      <c r="D16" s="246">
        <v>77.099999999999994</v>
      </c>
      <c r="E16" s="246">
        <v>77.2</v>
      </c>
      <c r="F16" s="246">
        <v>77.7</v>
      </c>
      <c r="G16" s="246">
        <v>78</v>
      </c>
      <c r="H16" s="246">
        <v>78.400000000000006</v>
      </c>
      <c r="I16" s="246">
        <v>78.599999999999994</v>
      </c>
      <c r="J16" s="246">
        <v>78.7</v>
      </c>
      <c r="K16" s="246">
        <v>79.099999999999994</v>
      </c>
      <c r="L16" s="246">
        <v>79.900000000000006</v>
      </c>
      <c r="M16" s="246">
        <v>80.400000000000006</v>
      </c>
      <c r="N16" s="246">
        <f t="shared" si="0"/>
        <v>78.174999999999997</v>
      </c>
    </row>
    <row r="17" spans="1:14" x14ac:dyDescent="0.3">
      <c r="A17" s="7">
        <v>1991</v>
      </c>
      <c r="B17" s="246">
        <v>82.8</v>
      </c>
      <c r="C17" s="246">
        <v>82.8</v>
      </c>
      <c r="D17" s="246">
        <v>83.2</v>
      </c>
      <c r="E17" s="246">
        <v>82.7</v>
      </c>
      <c r="F17" s="246">
        <v>82.8</v>
      </c>
      <c r="G17" s="246">
        <v>82.9</v>
      </c>
      <c r="H17" s="246">
        <v>82.8</v>
      </c>
      <c r="I17" s="246">
        <v>82.7</v>
      </c>
      <c r="J17" s="246">
        <v>83</v>
      </c>
      <c r="K17" s="246">
        <v>83</v>
      </c>
      <c r="L17" s="246">
        <v>83.4</v>
      </c>
      <c r="M17" s="246">
        <v>83</v>
      </c>
      <c r="N17" s="246">
        <f t="shared" si="0"/>
        <v>82.924999999999997</v>
      </c>
    </row>
    <row r="18" spans="1:14" x14ac:dyDescent="0.3">
      <c r="A18" s="7">
        <v>1992</v>
      </c>
      <c r="B18" s="246">
        <v>82.7</v>
      </c>
      <c r="C18" s="246">
        <v>83.2</v>
      </c>
      <c r="D18" s="246">
        <v>83.7</v>
      </c>
      <c r="E18" s="246">
        <v>83.8</v>
      </c>
      <c r="F18" s="246">
        <v>83.7</v>
      </c>
      <c r="G18" s="246">
        <v>83.7</v>
      </c>
      <c r="H18" s="246">
        <v>83.6</v>
      </c>
      <c r="I18" s="246">
        <v>83.6</v>
      </c>
      <c r="J18" s="246">
        <v>83.3</v>
      </c>
      <c r="K18" s="246">
        <v>83.3</v>
      </c>
      <c r="L18" s="246">
        <v>83.7</v>
      </c>
      <c r="M18" s="246">
        <v>83.3</v>
      </c>
      <c r="N18" s="246">
        <f t="shared" si="0"/>
        <v>83.466666666666654</v>
      </c>
    </row>
    <row r="19" spans="1:14" x14ac:dyDescent="0.3">
      <c r="A19" s="7">
        <v>1993</v>
      </c>
      <c r="B19" s="246">
        <v>83.4</v>
      </c>
      <c r="C19" s="246">
        <v>83.7</v>
      </c>
      <c r="D19" s="246">
        <v>83.7</v>
      </c>
      <c r="E19" s="246">
        <v>84</v>
      </c>
      <c r="F19" s="246">
        <v>84.2</v>
      </c>
      <c r="G19" s="246">
        <v>84.3</v>
      </c>
      <c r="H19" s="246">
        <v>84.4</v>
      </c>
      <c r="I19" s="246">
        <v>84.6</v>
      </c>
      <c r="J19" s="246">
        <v>84.7</v>
      </c>
      <c r="K19" s="246">
        <v>85.4</v>
      </c>
      <c r="L19" s="246">
        <v>85.9</v>
      </c>
      <c r="M19" s="246">
        <v>85.7</v>
      </c>
      <c r="N19" s="246">
        <f t="shared" si="0"/>
        <v>84.500000000000014</v>
      </c>
    </row>
    <row r="20" spans="1:14" x14ac:dyDescent="0.3">
      <c r="A20" s="7">
        <v>1994</v>
      </c>
      <c r="B20" s="246">
        <v>85.7</v>
      </c>
      <c r="C20" s="246">
        <v>85.4</v>
      </c>
      <c r="D20" s="246">
        <v>85.7</v>
      </c>
      <c r="E20" s="246">
        <v>85</v>
      </c>
      <c r="F20" s="246">
        <v>85</v>
      </c>
      <c r="G20" s="246">
        <v>85.1</v>
      </c>
      <c r="H20" s="246">
        <v>85.3</v>
      </c>
      <c r="I20" s="246">
        <v>85.6</v>
      </c>
      <c r="J20" s="246">
        <v>85.7</v>
      </c>
      <c r="K20" s="246">
        <v>85.6</v>
      </c>
      <c r="L20" s="246">
        <v>85.7</v>
      </c>
      <c r="M20" s="246">
        <v>85.6</v>
      </c>
      <c r="N20" s="246">
        <f t="shared" si="0"/>
        <v>85.45</v>
      </c>
    </row>
    <row r="21" spans="1:14" x14ac:dyDescent="0.3">
      <c r="A21" s="7">
        <v>1995</v>
      </c>
      <c r="B21" s="246">
        <v>85.7</v>
      </c>
      <c r="C21" s="246">
        <v>86.2</v>
      </c>
      <c r="D21" s="246">
        <v>86.5</v>
      </c>
      <c r="E21" s="246">
        <v>86.6</v>
      </c>
      <c r="F21" s="246">
        <v>87.1</v>
      </c>
      <c r="G21" s="246">
        <v>86.9</v>
      </c>
      <c r="H21" s="246">
        <v>87.2</v>
      </c>
      <c r="I21" s="246">
        <v>86.7</v>
      </c>
      <c r="J21" s="246">
        <v>86.8</v>
      </c>
      <c r="K21" s="246">
        <v>86.7</v>
      </c>
      <c r="L21" s="246">
        <v>86.8</v>
      </c>
      <c r="M21" s="246">
        <v>86.2</v>
      </c>
      <c r="N21" s="246">
        <f t="shared" si="0"/>
        <v>86.616666666666674</v>
      </c>
    </row>
    <row r="22" spans="1:14" x14ac:dyDescent="0.3">
      <c r="A22" s="7">
        <v>1996</v>
      </c>
      <c r="B22" s="246">
        <v>86.7</v>
      </c>
      <c r="C22" s="246">
        <v>86.8</v>
      </c>
      <c r="D22" s="246">
        <v>87.1</v>
      </c>
      <c r="E22" s="246">
        <v>87.6</v>
      </c>
      <c r="F22" s="246">
        <v>88.7</v>
      </c>
      <c r="G22" s="246">
        <v>88.4</v>
      </c>
      <c r="H22" s="246">
        <v>88</v>
      </c>
      <c r="I22" s="246">
        <v>88.2</v>
      </c>
      <c r="J22" s="246">
        <v>88.5</v>
      </c>
      <c r="K22" s="246">
        <v>89</v>
      </c>
      <c r="L22" s="246">
        <v>89.3</v>
      </c>
      <c r="M22" s="246">
        <v>89.6</v>
      </c>
      <c r="N22" s="246">
        <f t="shared" si="0"/>
        <v>88.158333333333346</v>
      </c>
    </row>
    <row r="23" spans="1:14" x14ac:dyDescent="0.3">
      <c r="A23" s="7">
        <v>1997</v>
      </c>
      <c r="B23" s="246">
        <v>89.4</v>
      </c>
      <c r="C23" s="246">
        <v>89.6</v>
      </c>
      <c r="D23" s="246">
        <v>89.8</v>
      </c>
      <c r="E23" s="246">
        <v>90</v>
      </c>
      <c r="F23" s="246">
        <v>89.9</v>
      </c>
      <c r="G23" s="246">
        <v>89.8</v>
      </c>
      <c r="H23" s="246">
        <v>89.9</v>
      </c>
      <c r="I23" s="246">
        <v>90.3</v>
      </c>
      <c r="J23" s="246">
        <v>90.3</v>
      </c>
      <c r="K23" s="246">
        <v>90.4</v>
      </c>
      <c r="L23" s="246">
        <v>90.3</v>
      </c>
      <c r="M23" s="246">
        <v>90.2</v>
      </c>
      <c r="N23" s="246">
        <f t="shared" si="0"/>
        <v>89.99166666666666</v>
      </c>
    </row>
    <row r="24" spans="1:14" x14ac:dyDescent="0.3">
      <c r="A24" s="7">
        <v>1998</v>
      </c>
      <c r="B24" s="246">
        <v>90.7</v>
      </c>
      <c r="C24" s="246">
        <v>90.6</v>
      </c>
      <c r="D24" s="246">
        <v>90.7</v>
      </c>
      <c r="E24" s="246">
        <v>90.5</v>
      </c>
      <c r="F24" s="246">
        <v>90.6</v>
      </c>
      <c r="G24" s="246">
        <v>90.5</v>
      </c>
      <c r="H24" s="246">
        <v>90.6</v>
      </c>
      <c r="I24" s="246">
        <v>90.7</v>
      </c>
      <c r="J24" s="246">
        <v>89.7</v>
      </c>
      <c r="K24" s="246">
        <v>90.7</v>
      </c>
      <c r="L24" s="246">
        <v>90.8</v>
      </c>
      <c r="M24" s="246">
        <v>90.5</v>
      </c>
      <c r="N24" s="246">
        <f t="shared" si="0"/>
        <v>90.550000000000011</v>
      </c>
    </row>
    <row r="25" spans="1:14" x14ac:dyDescent="0.3">
      <c r="A25" s="7">
        <v>1999</v>
      </c>
      <c r="B25" s="246">
        <v>90.3</v>
      </c>
      <c r="C25" s="246">
        <v>90.8</v>
      </c>
      <c r="D25" s="246">
        <v>90.7</v>
      </c>
      <c r="E25" s="246">
        <v>91.6</v>
      </c>
      <c r="F25" s="246">
        <v>91.8</v>
      </c>
      <c r="G25" s="246">
        <v>91.9</v>
      </c>
      <c r="H25" s="246">
        <v>91.9</v>
      </c>
      <c r="I25" s="246">
        <v>92.7</v>
      </c>
      <c r="J25" s="246">
        <v>93.2</v>
      </c>
      <c r="K25" s="246">
        <v>93.3</v>
      </c>
      <c r="L25" s="246">
        <v>93.5</v>
      </c>
      <c r="M25" s="246">
        <v>93.5</v>
      </c>
      <c r="N25" s="246">
        <f t="shared" si="0"/>
        <v>92.100000000000009</v>
      </c>
    </row>
    <row r="26" spans="1:14" x14ac:dyDescent="0.3">
      <c r="A26" s="7">
        <v>2000</v>
      </c>
      <c r="B26" s="246">
        <v>93.5</v>
      </c>
      <c r="C26" s="246">
        <v>94.3</v>
      </c>
      <c r="D26" s="246">
        <v>94.8</v>
      </c>
      <c r="E26" s="246">
        <v>94.4</v>
      </c>
      <c r="F26" s="246">
        <v>94.8</v>
      </c>
      <c r="G26" s="246">
        <v>95.4</v>
      </c>
      <c r="H26" s="246">
        <v>95.2</v>
      </c>
      <c r="I26" s="246">
        <v>95.2</v>
      </c>
      <c r="J26" s="246">
        <v>96</v>
      </c>
      <c r="K26" s="246">
        <v>96.4</v>
      </c>
      <c r="L26" s="246">
        <v>97</v>
      </c>
      <c r="M26" s="246">
        <v>96.8</v>
      </c>
      <c r="N26" s="246">
        <f t="shared" si="0"/>
        <v>95.316666666666663</v>
      </c>
    </row>
    <row r="27" spans="1:14" x14ac:dyDescent="0.3">
      <c r="A27" s="7">
        <v>2001</v>
      </c>
      <c r="B27" s="246">
        <v>96.3</v>
      </c>
      <c r="C27" s="246">
        <v>96.4</v>
      </c>
      <c r="D27" s="246">
        <v>96.5</v>
      </c>
      <c r="E27" s="246">
        <v>97.2</v>
      </c>
      <c r="F27" s="246">
        <v>97.6</v>
      </c>
      <c r="G27" s="246">
        <v>97.7</v>
      </c>
      <c r="H27" s="246">
        <v>97.4</v>
      </c>
      <c r="I27" s="246">
        <v>97.3</v>
      </c>
      <c r="J27" s="246">
        <v>97.9</v>
      </c>
      <c r="K27" s="246">
        <v>97.2</v>
      </c>
      <c r="L27" s="246">
        <v>96.9</v>
      </c>
      <c r="M27" s="246">
        <v>96.6</v>
      </c>
      <c r="N27" s="246">
        <f t="shared" si="0"/>
        <v>97.083333333333329</v>
      </c>
    </row>
    <row r="28" spans="1:14" x14ac:dyDescent="0.3">
      <c r="A28" s="7">
        <v>2002</v>
      </c>
      <c r="B28" s="246">
        <v>96.7</v>
      </c>
      <c r="C28" s="246">
        <v>97.2</v>
      </c>
      <c r="D28" s="246">
        <v>97.8</v>
      </c>
      <c r="E28" s="246">
        <v>99.2</v>
      </c>
      <c r="F28" s="246">
        <v>100.2</v>
      </c>
      <c r="G28" s="246">
        <v>100.3</v>
      </c>
      <c r="H28" s="246">
        <v>100.8</v>
      </c>
      <c r="I28" s="246">
        <v>100.8</v>
      </c>
      <c r="J28" s="246">
        <v>101.2</v>
      </c>
      <c r="K28" s="246">
        <v>101.9</v>
      </c>
      <c r="L28" s="246">
        <v>102.2</v>
      </c>
      <c r="M28" s="246">
        <v>101.6</v>
      </c>
      <c r="N28" s="246">
        <f t="shared" si="0"/>
        <v>99.99166666666666</v>
      </c>
    </row>
    <row r="29" spans="1:14" x14ac:dyDescent="0.3">
      <c r="A29" s="7">
        <v>2003</v>
      </c>
      <c r="B29" s="246">
        <v>102.7</v>
      </c>
      <c r="C29" s="246">
        <v>103.8</v>
      </c>
      <c r="D29" s="246">
        <v>104.5</v>
      </c>
      <c r="E29" s="246">
        <v>103.4</v>
      </c>
      <c r="F29" s="246">
        <v>103.1</v>
      </c>
      <c r="G29" s="246">
        <v>103.2</v>
      </c>
      <c r="H29" s="246">
        <v>103.5</v>
      </c>
      <c r="I29" s="246">
        <v>103.6</v>
      </c>
      <c r="J29" s="246">
        <v>103.6</v>
      </c>
      <c r="K29" s="246">
        <v>103.1</v>
      </c>
      <c r="L29" s="246">
        <v>103.3</v>
      </c>
      <c r="M29" s="246">
        <v>103.1</v>
      </c>
      <c r="N29" s="246">
        <f t="shared" si="0"/>
        <v>103.40833333333332</v>
      </c>
    </row>
    <row r="30" spans="1:14" x14ac:dyDescent="0.3">
      <c r="A30" s="7">
        <v>2004</v>
      </c>
      <c r="B30" s="246">
        <v>103.2</v>
      </c>
      <c r="C30" s="246">
        <v>103.7</v>
      </c>
      <c r="D30" s="246">
        <v>104.4</v>
      </c>
      <c r="E30" s="246">
        <v>104.4</v>
      </c>
      <c r="F30" s="246">
        <v>105.2</v>
      </c>
      <c r="G30" s="246">
        <v>105.6</v>
      </c>
      <c r="H30" s="246">
        <v>105.8</v>
      </c>
      <c r="I30" s="246">
        <v>105.7</v>
      </c>
      <c r="J30" s="246">
        <v>105.9</v>
      </c>
      <c r="K30" s="246">
        <v>106.2</v>
      </c>
      <c r="L30" s="246">
        <v>106.7</v>
      </c>
      <c r="M30" s="246">
        <v>106.4</v>
      </c>
      <c r="N30" s="246">
        <f t="shared" si="0"/>
        <v>105.26666666666669</v>
      </c>
    </row>
    <row r="31" spans="1:14" x14ac:dyDescent="0.3">
      <c r="A31" s="7">
        <v>2005</v>
      </c>
      <c r="B31" s="246">
        <v>106.1</v>
      </c>
      <c r="C31" s="246">
        <v>106.4</v>
      </c>
      <c r="D31" s="246">
        <v>107.1</v>
      </c>
      <c r="E31" s="246">
        <v>107.6</v>
      </c>
      <c r="F31" s="246">
        <v>107.8</v>
      </c>
      <c r="G31" s="246">
        <v>107.7</v>
      </c>
      <c r="H31" s="246">
        <v>108.1</v>
      </c>
      <c r="I31" s="246">
        <v>108.8</v>
      </c>
      <c r="J31" s="246">
        <v>110.4</v>
      </c>
      <c r="K31" s="246">
        <v>109.8</v>
      </c>
      <c r="L31" s="246">
        <v>109.1</v>
      </c>
      <c r="M31" s="246">
        <v>109.3</v>
      </c>
      <c r="N31" s="246">
        <f t="shared" si="0"/>
        <v>108.18333333333332</v>
      </c>
    </row>
    <row r="32" spans="1:14" x14ac:dyDescent="0.3">
      <c r="A32" s="7">
        <v>2006</v>
      </c>
      <c r="B32" s="246">
        <v>109.3</v>
      </c>
      <c r="C32" s="246">
        <v>109</v>
      </c>
      <c r="D32" s="246">
        <v>109.6</v>
      </c>
      <c r="E32" s="246">
        <v>111</v>
      </c>
      <c r="F32" s="246">
        <v>111.2</v>
      </c>
      <c r="G32" s="246">
        <v>111</v>
      </c>
      <c r="H32" s="246">
        <v>111.3</v>
      </c>
      <c r="I32" s="246">
        <v>111.4</v>
      </c>
      <c r="J32" s="246">
        <v>110.6</v>
      </c>
      <c r="K32" s="246">
        <v>110.1</v>
      </c>
      <c r="L32" s="246">
        <v>110.4</v>
      </c>
      <c r="M32" s="246">
        <v>110.2</v>
      </c>
      <c r="N32" s="246">
        <f t="shared" si="0"/>
        <v>110.42500000000001</v>
      </c>
    </row>
    <row r="33" spans="1:14" x14ac:dyDescent="0.3">
      <c r="A33" s="7">
        <v>2007</v>
      </c>
      <c r="B33" s="246">
        <v>110.1</v>
      </c>
      <c r="C33" s="246">
        <v>111</v>
      </c>
      <c r="D33" s="246">
        <v>111.9</v>
      </c>
      <c r="E33" s="246">
        <v>112.5</v>
      </c>
      <c r="F33" s="246">
        <v>113.1</v>
      </c>
      <c r="G33" s="246">
        <v>113</v>
      </c>
      <c r="H33" s="246">
        <v>113</v>
      </c>
      <c r="I33" s="246">
        <v>112.7</v>
      </c>
      <c r="J33" s="246">
        <v>112.9</v>
      </c>
      <c r="K33" s="246">
        <v>112.6</v>
      </c>
      <c r="L33" s="246">
        <v>113.5</v>
      </c>
      <c r="M33" s="246">
        <v>113.6</v>
      </c>
      <c r="N33" s="246">
        <f t="shared" si="0"/>
        <v>112.49166666666666</v>
      </c>
    </row>
    <row r="34" spans="1:14" x14ac:dyDescent="0.3">
      <c r="A34" s="7">
        <v>2008</v>
      </c>
      <c r="B34" s="246">
        <v>113.5</v>
      </c>
      <c r="C34" s="246">
        <v>113.9</v>
      </c>
      <c r="D34" s="246">
        <v>114.5</v>
      </c>
      <c r="E34" s="246">
        <v>115.5</v>
      </c>
      <c r="F34" s="246">
        <v>117.1</v>
      </c>
      <c r="G34" s="246">
        <v>117.8</v>
      </c>
      <c r="H34" s="246">
        <v>117.8</v>
      </c>
      <c r="I34" s="246">
        <v>117.7</v>
      </c>
      <c r="J34" s="246">
        <v>117.6</v>
      </c>
      <c r="K34" s="246">
        <v>116.4</v>
      </c>
      <c r="L34" s="246">
        <v>115</v>
      </c>
      <c r="M34" s="246">
        <v>113.4</v>
      </c>
      <c r="N34" s="246">
        <f t="shared" si="0"/>
        <v>115.85000000000001</v>
      </c>
    </row>
    <row r="35" spans="1:14" x14ac:dyDescent="0.3">
      <c r="A35" s="7">
        <v>2009</v>
      </c>
      <c r="B35" s="246">
        <v>113.4</v>
      </c>
      <c r="C35" s="246">
        <v>114.3</v>
      </c>
      <c r="D35" s="246">
        <v>114.5</v>
      </c>
      <c r="E35" s="246">
        <v>115</v>
      </c>
      <c r="F35" s="246">
        <v>115.8</v>
      </c>
      <c r="G35" s="246">
        <v>116.5</v>
      </c>
      <c r="H35" s="246">
        <v>116.6</v>
      </c>
      <c r="I35" s="246">
        <v>116.7</v>
      </c>
      <c r="J35" s="246">
        <v>116.7</v>
      </c>
      <c r="K35" s="246">
        <v>115.9</v>
      </c>
      <c r="L35" s="246">
        <v>117</v>
      </c>
      <c r="M35" s="246">
        <v>116.3</v>
      </c>
      <c r="N35" s="246">
        <f t="shared" si="0"/>
        <v>115.72500000000001</v>
      </c>
    </row>
    <row r="36" spans="1:14" x14ac:dyDescent="0.3">
      <c r="A36" s="7">
        <v>2010</v>
      </c>
      <c r="B36" s="246">
        <v>116.9</v>
      </c>
      <c r="C36" s="246">
        <v>116.9</v>
      </c>
      <c r="D36" s="246">
        <v>117.7</v>
      </c>
      <c r="E36" s="246">
        <v>117.9</v>
      </c>
      <c r="F36" s="246">
        <v>117.8</v>
      </c>
      <c r="G36" s="246">
        <v>117.3</v>
      </c>
      <c r="H36" s="246">
        <v>118.6</v>
      </c>
      <c r="I36" s="246">
        <v>118.7</v>
      </c>
      <c r="J36" s="246">
        <v>118.8</v>
      </c>
      <c r="K36" s="246">
        <v>119.3</v>
      </c>
      <c r="L36" s="246">
        <v>119.6</v>
      </c>
      <c r="M36" s="246">
        <v>119.4</v>
      </c>
      <c r="N36" s="246">
        <f t="shared" si="0"/>
        <v>118.24166666666666</v>
      </c>
    </row>
    <row r="37" spans="1:14" x14ac:dyDescent="0.3">
      <c r="A37" s="7">
        <v>2011</v>
      </c>
      <c r="B37" s="246">
        <v>120.4</v>
      </c>
      <c r="C37" s="246">
        <v>120.9</v>
      </c>
      <c r="D37" s="246">
        <v>122.3</v>
      </c>
      <c r="E37" s="246">
        <v>122.9</v>
      </c>
      <c r="F37" s="246">
        <v>123.2</v>
      </c>
      <c r="G37" s="246">
        <v>122.5</v>
      </c>
      <c r="H37" s="246">
        <v>122.8</v>
      </c>
      <c r="I37" s="246">
        <v>123.2</v>
      </c>
      <c r="J37" s="246">
        <v>123.8</v>
      </c>
      <c r="K37" s="246">
        <v>123.9</v>
      </c>
      <c r="L37" s="246">
        <v>124</v>
      </c>
      <c r="M37" s="246">
        <v>122.7</v>
      </c>
      <c r="N37" s="246">
        <f t="shared" si="0"/>
        <v>122.71666666666668</v>
      </c>
    </row>
    <row r="38" spans="1:14" x14ac:dyDescent="0.3">
      <c r="A38" s="7">
        <v>2012</v>
      </c>
      <c r="B38" s="246">
        <v>123.7</v>
      </c>
      <c r="C38" s="246">
        <v>124.3</v>
      </c>
      <c r="D38" s="246">
        <v>125.3</v>
      </c>
      <c r="E38" s="246">
        <v>126.1</v>
      </c>
      <c r="F38" s="246">
        <v>125.6</v>
      </c>
      <c r="G38" s="246">
        <v>124.8</v>
      </c>
      <c r="H38" s="246">
        <v>124.5</v>
      </c>
      <c r="I38" s="246">
        <v>125</v>
      </c>
      <c r="J38" s="246">
        <v>125.7</v>
      </c>
      <c r="K38" s="246">
        <v>125.6</v>
      </c>
      <c r="L38" s="246">
        <v>125.5</v>
      </c>
      <c r="M38" s="246">
        <v>124.9</v>
      </c>
      <c r="N38" s="246">
        <f t="shared" si="0"/>
        <v>125.08333333333333</v>
      </c>
    </row>
    <row r="39" spans="1:14" x14ac:dyDescent="0.3">
      <c r="A39" s="7">
        <v>2013</v>
      </c>
      <c r="B39" s="246">
        <v>125.4</v>
      </c>
      <c r="C39" s="246">
        <v>126.7</v>
      </c>
      <c r="D39" s="246">
        <v>126.7</v>
      </c>
      <c r="E39" s="246">
        <v>126.8</v>
      </c>
      <c r="F39" s="246">
        <v>126.4</v>
      </c>
      <c r="G39" s="246">
        <v>126.4</v>
      </c>
      <c r="H39" s="246">
        <v>126.4</v>
      </c>
      <c r="I39" s="246">
        <v>126.6</v>
      </c>
      <c r="J39" s="246">
        <v>127.3</v>
      </c>
      <c r="K39" s="246">
        <v>126.7</v>
      </c>
      <c r="L39" s="246">
        <v>126.7</v>
      </c>
      <c r="M39" s="246">
        <v>126.7</v>
      </c>
      <c r="N39" s="246">
        <f t="shared" si="0"/>
        <v>126.56666666666668</v>
      </c>
    </row>
    <row r="40" spans="1:14" x14ac:dyDescent="0.3">
      <c r="A40" s="7">
        <v>2014</v>
      </c>
      <c r="B40" s="246">
        <v>127.4</v>
      </c>
      <c r="C40" s="246">
        <v>128.4</v>
      </c>
      <c r="D40" s="246">
        <v>128.9</v>
      </c>
      <c r="E40" s="246">
        <v>129.1</v>
      </c>
      <c r="F40" s="246">
        <v>129.5</v>
      </c>
      <c r="G40" s="246">
        <v>129.19999999999999</v>
      </c>
      <c r="H40" s="246">
        <v>128.9</v>
      </c>
      <c r="I40" s="246">
        <v>129</v>
      </c>
      <c r="J40" s="246">
        <v>129.5</v>
      </c>
      <c r="K40" s="246">
        <v>129.4</v>
      </c>
      <c r="L40" s="246">
        <v>128.6</v>
      </c>
      <c r="M40" s="246">
        <v>127.4</v>
      </c>
      <c r="N40" s="246">
        <f t="shared" si="0"/>
        <v>128.77500000000001</v>
      </c>
    </row>
    <row r="41" spans="1:14" x14ac:dyDescent="0.3">
      <c r="A41" s="7">
        <v>2015</v>
      </c>
      <c r="B41" s="246">
        <v>126.9</v>
      </c>
      <c r="C41" s="246">
        <v>128</v>
      </c>
      <c r="D41" s="246">
        <v>129.6</v>
      </c>
      <c r="E41" s="246">
        <v>129.5</v>
      </c>
      <c r="F41" s="246">
        <v>130.19999999999999</v>
      </c>
      <c r="G41" s="246">
        <v>130.19999999999999</v>
      </c>
      <c r="H41" s="246">
        <v>130.1</v>
      </c>
      <c r="I41" s="246">
        <v>130</v>
      </c>
      <c r="J41" s="246">
        <v>129.5</v>
      </c>
      <c r="K41" s="246">
        <v>129.80000000000001</v>
      </c>
      <c r="L41" s="246">
        <v>129.19999999999999</v>
      </c>
      <c r="M41" s="246">
        <v>128.9</v>
      </c>
      <c r="N41" s="246">
        <f t="shared" si="0"/>
        <v>129.32500000000002</v>
      </c>
    </row>
    <row r="42" spans="1:14" x14ac:dyDescent="0.3">
      <c r="A42" s="7">
        <v>2016</v>
      </c>
      <c r="B42" s="246">
        <v>129.4</v>
      </c>
      <c r="C42" s="246">
        <v>129.6</v>
      </c>
      <c r="D42" s="246">
        <v>130.1</v>
      </c>
      <c r="E42" s="246">
        <v>131</v>
      </c>
      <c r="F42" s="246">
        <v>131.6</v>
      </c>
      <c r="G42" s="246">
        <v>131.80000000000001</v>
      </c>
      <c r="H42" s="246">
        <v>131.19999999999999</v>
      </c>
      <c r="I42" s="246">
        <v>131.19999999999999</v>
      </c>
      <c r="J42" s="246">
        <v>131.6</v>
      </c>
      <c r="K42" s="246">
        <v>131.6</v>
      </c>
      <c r="L42" s="246">
        <v>130.9</v>
      </c>
      <c r="M42" s="246">
        <v>130.6</v>
      </c>
      <c r="N42" s="246">
        <f t="shared" si="0"/>
        <v>130.88333333333333</v>
      </c>
    </row>
    <row r="43" spans="1:14" x14ac:dyDescent="0.3">
      <c r="A43" s="7">
        <v>2017</v>
      </c>
      <c r="B43" s="246">
        <v>131.69999999999999</v>
      </c>
      <c r="C43" s="246">
        <v>131.4</v>
      </c>
      <c r="D43" s="246">
        <v>131.80000000000001</v>
      </c>
      <c r="E43" s="246">
        <v>132</v>
      </c>
      <c r="F43" s="246">
        <v>132.19999999999999</v>
      </c>
      <c r="G43" s="246">
        <v>132.4</v>
      </c>
      <c r="H43" s="246">
        <v>132.4</v>
      </c>
      <c r="I43" s="246">
        <v>132.6</v>
      </c>
      <c r="J43" s="246">
        <v>133.30000000000001</v>
      </c>
      <c r="K43" s="246">
        <v>132.80000000000001</v>
      </c>
      <c r="L43" s="246">
        <v>133.19999999999999</v>
      </c>
      <c r="M43" s="246">
        <v>132.80000000000001</v>
      </c>
      <c r="N43" s="246">
        <f t="shared" si="0"/>
        <v>132.38333333333333</v>
      </c>
    </row>
    <row r="44" spans="1:14" x14ac:dyDescent="0.3">
      <c r="A44" s="7">
        <v>2018</v>
      </c>
      <c r="B44" s="246">
        <v>133.5</v>
      </c>
      <c r="C44" s="246">
        <v>134.4</v>
      </c>
      <c r="D44" s="246">
        <v>135</v>
      </c>
      <c r="E44" s="246">
        <v>135.69999999999999</v>
      </c>
      <c r="F44" s="246">
        <v>135.19999999999999</v>
      </c>
      <c r="G44" s="246">
        <v>135.30000000000001</v>
      </c>
      <c r="H44" s="246">
        <v>136</v>
      </c>
      <c r="I44" s="246">
        <v>136.19999999999999</v>
      </c>
      <c r="J44" s="246">
        <v>135.5</v>
      </c>
      <c r="K44" s="246">
        <v>136.6</v>
      </c>
      <c r="L44" s="246">
        <v>135.6</v>
      </c>
      <c r="M44" s="246">
        <v>134.9</v>
      </c>
      <c r="N44" s="246">
        <f t="shared" si="0"/>
        <v>135.32499999999999</v>
      </c>
    </row>
    <row r="45" spans="1:14" x14ac:dyDescent="0.3">
      <c r="A45" s="7">
        <v>2019</v>
      </c>
      <c r="B45" s="246">
        <v>135</v>
      </c>
      <c r="C45" s="246">
        <v>135.69999999999999</v>
      </c>
      <c r="D45" s="246">
        <v>136.80000000000001</v>
      </c>
      <c r="E45" s="246">
        <v>137.4</v>
      </c>
      <c r="F45" s="246">
        <v>137.80000000000001</v>
      </c>
      <c r="G45" s="246">
        <v>137.4</v>
      </c>
      <c r="H45" s="246">
        <v>138.5</v>
      </c>
      <c r="I45" s="246">
        <v>138.4</v>
      </c>
      <c r="J45" s="246">
        <v>138.4</v>
      </c>
      <c r="K45" s="246">
        <v>138</v>
      </c>
      <c r="L45" s="246">
        <v>138.4</v>
      </c>
      <c r="M45" s="246">
        <v>137.9</v>
      </c>
      <c r="N45" s="246">
        <f t="shared" si="0"/>
        <v>137.47500000000002</v>
      </c>
    </row>
    <row r="46" spans="1:14" x14ac:dyDescent="0.3">
      <c r="A46" s="7">
        <v>2020</v>
      </c>
      <c r="B46" s="246">
        <v>138.5</v>
      </c>
      <c r="C46" s="246">
        <v>139.1</v>
      </c>
      <c r="D46" s="246">
        <v>138</v>
      </c>
      <c r="E46" s="246">
        <v>136.6</v>
      </c>
      <c r="F46" s="246">
        <v>136.5</v>
      </c>
      <c r="G46" s="246">
        <v>137.6</v>
      </c>
      <c r="H46" s="246">
        <v>137.80000000000001</v>
      </c>
      <c r="I46" s="246">
        <v>137.5</v>
      </c>
      <c r="J46" s="246">
        <v>137.5</v>
      </c>
      <c r="K46" s="246">
        <v>138.4</v>
      </c>
      <c r="L46" s="246">
        <v>138.69999999999999</v>
      </c>
      <c r="M46" s="246">
        <v>138.69999999999999</v>
      </c>
      <c r="N46" s="246">
        <f t="shared" si="0"/>
        <v>137.90833333333336</v>
      </c>
    </row>
    <row r="47" spans="1:14" x14ac:dyDescent="0.3">
      <c r="A47" s="7">
        <v>2021</v>
      </c>
      <c r="B47" s="246">
        <v>140.30000000000001</v>
      </c>
      <c r="C47" s="246">
        <v>140.80000000000001</v>
      </c>
      <c r="D47" s="246">
        <v>141.80000000000001</v>
      </c>
      <c r="E47" s="246">
        <v>142.30000000000001</v>
      </c>
      <c r="F47" s="246">
        <v>143.1</v>
      </c>
      <c r="G47" s="246">
        <v>143.19999999999999</v>
      </c>
      <c r="H47" s="246">
        <v>144.19999999999999</v>
      </c>
      <c r="I47" s="246">
        <v>144.5</v>
      </c>
      <c r="J47" s="246">
        <v>144.6</v>
      </c>
      <c r="K47" s="246">
        <v>145.9</v>
      </c>
      <c r="L47" s="246">
        <v>146</v>
      </c>
      <c r="M47" s="246">
        <v>145.4</v>
      </c>
      <c r="N47" s="246">
        <f t="shared" si="0"/>
        <v>143.50833333333335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17"/>
  <dimension ref="A1:N47"/>
  <sheetViews>
    <sheetView workbookViewId="0">
      <pane xSplit="1" ySplit="3" topLeftCell="B38" activePane="bottomRight" state="frozen"/>
      <selection sqref="A1:XFD1048576"/>
      <selection pane="topRight" sqref="A1:XFD1048576"/>
      <selection pane="bottomLeft" sqref="A1:XFD1048576"/>
      <selection pane="bottomRight" activeCell="M48" sqref="M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81</v>
      </c>
    </row>
    <row r="2" spans="1:14" s="187" customFormat="1" x14ac:dyDescent="0.3">
      <c r="A2" s="25">
        <v>6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38.200000000000003</v>
      </c>
      <c r="K4" s="246">
        <v>38.6</v>
      </c>
      <c r="L4" s="246">
        <v>39</v>
      </c>
      <c r="M4" s="246">
        <v>39</v>
      </c>
      <c r="N4" s="246">
        <f t="shared" ref="N4:N47" si="0">AVERAGE(B4:M4)</f>
        <v>38.700000000000003</v>
      </c>
    </row>
    <row r="5" spans="1:14" x14ac:dyDescent="0.3">
      <c r="A5" s="7">
        <v>1979</v>
      </c>
      <c r="B5" s="246">
        <v>39.200000000000003</v>
      </c>
      <c r="C5" s="246">
        <v>39.5</v>
      </c>
      <c r="D5" s="246">
        <v>40.1</v>
      </c>
      <c r="E5" s="246">
        <v>40.5</v>
      </c>
      <c r="F5" s="246">
        <v>40.799999999999997</v>
      </c>
      <c r="G5" s="246">
        <v>41</v>
      </c>
      <c r="H5" s="246">
        <v>41.3</v>
      </c>
      <c r="I5" s="246">
        <v>41.5</v>
      </c>
      <c r="J5" s="246">
        <v>41.9</v>
      </c>
      <c r="K5" s="246">
        <v>42.1</v>
      </c>
      <c r="L5" s="246">
        <v>42.3</v>
      </c>
      <c r="M5" s="246">
        <v>42.6</v>
      </c>
      <c r="N5" s="246">
        <f t="shared" si="0"/>
        <v>41.06666666666667</v>
      </c>
    </row>
    <row r="6" spans="1:14" x14ac:dyDescent="0.3">
      <c r="A6" s="7">
        <v>1980</v>
      </c>
      <c r="B6" s="246">
        <v>42.8</v>
      </c>
      <c r="C6" s="246">
        <v>43.3</v>
      </c>
      <c r="D6" s="246">
        <v>43.8</v>
      </c>
      <c r="E6" s="246">
        <v>44</v>
      </c>
      <c r="F6" s="246">
        <v>44.7</v>
      </c>
      <c r="G6" s="246">
        <v>45.2</v>
      </c>
      <c r="H6" s="246">
        <v>45.4</v>
      </c>
      <c r="I6" s="246">
        <v>46</v>
      </c>
      <c r="J6" s="246">
        <v>46.4</v>
      </c>
      <c r="K6" s="246">
        <v>47</v>
      </c>
      <c r="L6" s="246">
        <v>47.5</v>
      </c>
      <c r="M6" s="246">
        <v>47.7</v>
      </c>
      <c r="N6" s="246">
        <f t="shared" si="0"/>
        <v>45.316666666666663</v>
      </c>
    </row>
    <row r="7" spans="1:14" x14ac:dyDescent="0.3">
      <c r="A7" s="7">
        <v>1981</v>
      </c>
      <c r="B7" s="246">
        <v>48.1</v>
      </c>
      <c r="C7" s="246">
        <v>48.6</v>
      </c>
      <c r="D7" s="246">
        <v>49.3</v>
      </c>
      <c r="E7" s="246">
        <v>49.7</v>
      </c>
      <c r="F7" s="246">
        <v>50.2</v>
      </c>
      <c r="G7" s="246">
        <v>51</v>
      </c>
      <c r="H7" s="246">
        <v>51.4</v>
      </c>
      <c r="I7" s="246">
        <v>51.8</v>
      </c>
      <c r="J7" s="246">
        <v>52</v>
      </c>
      <c r="K7" s="246">
        <v>52.4</v>
      </c>
      <c r="L7" s="246">
        <v>53</v>
      </c>
      <c r="M7" s="246">
        <v>53</v>
      </c>
      <c r="N7" s="246">
        <f t="shared" si="0"/>
        <v>50.875</v>
      </c>
    </row>
    <row r="8" spans="1:14" x14ac:dyDescent="0.3">
      <c r="A8" s="7">
        <v>1982</v>
      </c>
      <c r="B8" s="246">
        <v>53.3</v>
      </c>
      <c r="C8" s="246">
        <v>54</v>
      </c>
      <c r="D8" s="246">
        <v>54.7</v>
      </c>
      <c r="E8" s="246">
        <v>54.8</v>
      </c>
      <c r="F8" s="246">
        <v>55.4</v>
      </c>
      <c r="G8" s="246">
        <v>55.5</v>
      </c>
      <c r="H8" s="246">
        <v>55.8</v>
      </c>
      <c r="I8" s="246">
        <v>56</v>
      </c>
      <c r="J8" s="246">
        <v>56.3</v>
      </c>
      <c r="K8" s="246">
        <v>56.9</v>
      </c>
      <c r="L8" s="246">
        <v>57.2</v>
      </c>
      <c r="M8" s="246">
        <v>57.2</v>
      </c>
      <c r="N8" s="246">
        <f t="shared" si="0"/>
        <v>55.591666666666676</v>
      </c>
    </row>
    <row r="9" spans="1:14" x14ac:dyDescent="0.3">
      <c r="A9" s="7">
        <v>1983</v>
      </c>
      <c r="B9" s="246">
        <v>57</v>
      </c>
      <c r="C9" s="246">
        <v>57.2</v>
      </c>
      <c r="D9" s="246">
        <v>57.9</v>
      </c>
      <c r="E9" s="246">
        <v>58.2</v>
      </c>
      <c r="F9" s="246">
        <v>59.4</v>
      </c>
      <c r="G9" s="246">
        <v>59.5</v>
      </c>
      <c r="H9" s="246">
        <v>59.8</v>
      </c>
      <c r="I9" s="246">
        <v>60.2</v>
      </c>
      <c r="J9" s="246">
        <v>60.5</v>
      </c>
      <c r="K9" s="246">
        <v>60.6</v>
      </c>
      <c r="L9" s="246">
        <v>60.8</v>
      </c>
      <c r="M9" s="246">
        <v>60.7</v>
      </c>
      <c r="N9" s="246">
        <f t="shared" si="0"/>
        <v>59.31666666666667</v>
      </c>
    </row>
    <row r="10" spans="1:14" x14ac:dyDescent="0.3">
      <c r="A10" s="7">
        <v>1984</v>
      </c>
      <c r="B10" s="246">
        <v>61.2</v>
      </c>
      <c r="C10" s="246">
        <v>61.6</v>
      </c>
      <c r="D10" s="246">
        <v>61.7</v>
      </c>
      <c r="E10" s="246">
        <v>61.8</v>
      </c>
      <c r="F10" s="246">
        <v>62</v>
      </c>
      <c r="G10" s="246">
        <v>62.1</v>
      </c>
      <c r="H10" s="246">
        <v>62.5</v>
      </c>
      <c r="I10" s="246">
        <v>62.6</v>
      </c>
      <c r="J10" s="246">
        <v>62.6</v>
      </c>
      <c r="K10" s="246">
        <v>62.8</v>
      </c>
      <c r="L10" s="246">
        <v>63.2</v>
      </c>
      <c r="M10" s="246">
        <v>63.4</v>
      </c>
      <c r="N10" s="246">
        <f t="shared" si="0"/>
        <v>62.291666666666664</v>
      </c>
    </row>
    <row r="11" spans="1:14" x14ac:dyDescent="0.3">
      <c r="A11" s="7">
        <v>1985</v>
      </c>
      <c r="B11" s="246">
        <v>63.6</v>
      </c>
      <c r="C11" s="246">
        <v>64.099999999999994</v>
      </c>
      <c r="D11" s="246">
        <v>64.3</v>
      </c>
      <c r="E11" s="246">
        <v>64.5</v>
      </c>
      <c r="F11" s="246">
        <v>64.599999999999994</v>
      </c>
      <c r="G11" s="246">
        <v>65.2</v>
      </c>
      <c r="H11" s="246">
        <v>65.5</v>
      </c>
      <c r="I11" s="246">
        <v>65.7</v>
      </c>
      <c r="J11" s="246">
        <v>65.900000000000006</v>
      </c>
      <c r="K11" s="246">
        <v>66.099999999999994</v>
      </c>
      <c r="L11" s="246">
        <v>66.099999999999994</v>
      </c>
      <c r="M11" s="246">
        <v>66.3</v>
      </c>
      <c r="N11" s="246">
        <f t="shared" si="0"/>
        <v>65.158333333333331</v>
      </c>
    </row>
    <row r="12" spans="1:14" x14ac:dyDescent="0.3">
      <c r="A12" s="7">
        <v>1986</v>
      </c>
      <c r="B12" s="246">
        <v>67</v>
      </c>
      <c r="C12" s="246">
        <v>67.599999999999994</v>
      </c>
      <c r="D12" s="246">
        <v>67.5</v>
      </c>
      <c r="E12" s="246">
        <v>67.3</v>
      </c>
      <c r="F12" s="246">
        <v>67.599999999999994</v>
      </c>
      <c r="G12" s="246">
        <v>67.2</v>
      </c>
      <c r="H12" s="246">
        <v>67.2</v>
      </c>
      <c r="I12" s="246">
        <v>67.2</v>
      </c>
      <c r="J12" s="246">
        <v>67.099999999999994</v>
      </c>
      <c r="K12" s="246">
        <v>67.599999999999994</v>
      </c>
      <c r="L12" s="246">
        <v>68</v>
      </c>
      <c r="M12" s="246">
        <v>68.099999999999994</v>
      </c>
      <c r="N12" s="246">
        <f t="shared" si="0"/>
        <v>67.45</v>
      </c>
    </row>
    <row r="13" spans="1:14" x14ac:dyDescent="0.3">
      <c r="A13" s="7">
        <v>1987</v>
      </c>
      <c r="B13" s="246">
        <v>68.099999999999994</v>
      </c>
      <c r="C13" s="246">
        <v>68.3</v>
      </c>
      <c r="D13" s="246">
        <v>68.599999999999994</v>
      </c>
      <c r="E13" s="246">
        <v>68.900000000000006</v>
      </c>
      <c r="F13" s="246">
        <v>69.099999999999994</v>
      </c>
      <c r="G13" s="246">
        <v>69.3</v>
      </c>
      <c r="H13" s="246">
        <v>69.599999999999994</v>
      </c>
      <c r="I13" s="246">
        <v>69.599999999999994</v>
      </c>
      <c r="J13" s="246">
        <v>69.599999999999994</v>
      </c>
      <c r="K13" s="246">
        <v>70.3</v>
      </c>
      <c r="L13" s="246">
        <v>70.400000000000006</v>
      </c>
      <c r="M13" s="246">
        <v>70.400000000000006</v>
      </c>
      <c r="N13" s="246">
        <f t="shared" si="0"/>
        <v>69.349999999999994</v>
      </c>
    </row>
    <row r="14" spans="1:14" x14ac:dyDescent="0.3">
      <c r="A14" s="7">
        <v>1988</v>
      </c>
      <c r="B14" s="246">
        <v>70.7</v>
      </c>
      <c r="C14" s="246">
        <v>70.900000000000006</v>
      </c>
      <c r="D14" s="246">
        <v>71</v>
      </c>
      <c r="E14" s="246">
        <v>71.099999999999994</v>
      </c>
      <c r="F14" s="246">
        <v>71.099999999999994</v>
      </c>
      <c r="G14" s="246">
        <v>71.5</v>
      </c>
      <c r="H14" s="246">
        <v>72.099999999999994</v>
      </c>
      <c r="I14" s="246">
        <v>72.400000000000006</v>
      </c>
      <c r="J14" s="246">
        <v>72.5</v>
      </c>
      <c r="K14" s="246">
        <v>72.599999999999994</v>
      </c>
      <c r="L14" s="246">
        <v>72.900000000000006</v>
      </c>
      <c r="M14" s="246">
        <v>72.900000000000006</v>
      </c>
      <c r="N14" s="246">
        <f t="shared" si="0"/>
        <v>71.808333333333337</v>
      </c>
    </row>
    <row r="15" spans="1:14" x14ac:dyDescent="0.3">
      <c r="A15" s="7">
        <v>1989</v>
      </c>
      <c r="B15" s="246">
        <v>73.3</v>
      </c>
      <c r="C15" s="246">
        <v>73.400000000000006</v>
      </c>
      <c r="D15" s="246">
        <v>73.599999999999994</v>
      </c>
      <c r="E15" s="246">
        <v>74.3</v>
      </c>
      <c r="F15" s="246">
        <v>75</v>
      </c>
      <c r="G15" s="246">
        <v>75.400000000000006</v>
      </c>
      <c r="H15" s="246">
        <v>76.099999999999994</v>
      </c>
      <c r="I15" s="246">
        <v>76.2</v>
      </c>
      <c r="J15" s="246">
        <v>76.099999999999994</v>
      </c>
      <c r="K15" s="246">
        <v>76.099999999999994</v>
      </c>
      <c r="L15" s="246">
        <v>76.400000000000006</v>
      </c>
      <c r="M15" s="246">
        <v>76.400000000000006</v>
      </c>
      <c r="N15" s="246">
        <f t="shared" si="0"/>
        <v>75.191666666666677</v>
      </c>
    </row>
    <row r="16" spans="1:14" x14ac:dyDescent="0.3">
      <c r="A16" s="7">
        <v>1990</v>
      </c>
      <c r="B16" s="246">
        <v>76.8</v>
      </c>
      <c r="C16" s="246">
        <v>77.7</v>
      </c>
      <c r="D16" s="246">
        <v>77.8</v>
      </c>
      <c r="E16" s="246">
        <v>78.099999999999994</v>
      </c>
      <c r="F16" s="246">
        <v>78</v>
      </c>
      <c r="G16" s="246">
        <v>78.099999999999994</v>
      </c>
      <c r="H16" s="246">
        <v>78.5</v>
      </c>
      <c r="I16" s="246">
        <v>78.7</v>
      </c>
      <c r="J16" s="246">
        <v>79.099999999999994</v>
      </c>
      <c r="K16" s="246">
        <v>79.8</v>
      </c>
      <c r="L16" s="246">
        <v>80.400000000000006</v>
      </c>
      <c r="M16" s="246">
        <v>80.8</v>
      </c>
      <c r="N16" s="246">
        <f t="shared" si="0"/>
        <v>78.649999999999991</v>
      </c>
    </row>
    <row r="17" spans="1:14" x14ac:dyDescent="0.3">
      <c r="A17" s="7">
        <v>1991</v>
      </c>
      <c r="B17" s="246">
        <v>83.2</v>
      </c>
      <c r="C17" s="246">
        <v>83.4</v>
      </c>
      <c r="D17" s="246">
        <v>83.5</v>
      </c>
      <c r="E17" s="246">
        <v>83.5</v>
      </c>
      <c r="F17" s="246">
        <v>83.6</v>
      </c>
      <c r="G17" s="246">
        <v>83.8</v>
      </c>
      <c r="H17" s="246">
        <v>84.1</v>
      </c>
      <c r="I17" s="246">
        <v>83.9</v>
      </c>
      <c r="J17" s="246">
        <v>83.8</v>
      </c>
      <c r="K17" s="246">
        <v>84</v>
      </c>
      <c r="L17" s="246">
        <v>84.5</v>
      </c>
      <c r="M17" s="246">
        <v>84</v>
      </c>
      <c r="N17" s="246">
        <f t="shared" si="0"/>
        <v>83.774999999999991</v>
      </c>
    </row>
    <row r="18" spans="1:14" x14ac:dyDescent="0.3">
      <c r="A18" s="7">
        <v>1992</v>
      </c>
      <c r="B18" s="246">
        <v>83.9</v>
      </c>
      <c r="C18" s="246">
        <v>84.2</v>
      </c>
      <c r="D18" s="246">
        <v>84.7</v>
      </c>
      <c r="E18" s="246">
        <v>84.2</v>
      </c>
      <c r="F18" s="246">
        <v>84.3</v>
      </c>
      <c r="G18" s="246">
        <v>84.4</v>
      </c>
      <c r="H18" s="246">
        <v>84.3</v>
      </c>
      <c r="I18" s="246">
        <v>84.3</v>
      </c>
      <c r="J18" s="246">
        <v>84.1</v>
      </c>
      <c r="K18" s="246">
        <v>84.2</v>
      </c>
      <c r="L18" s="246">
        <v>84.7</v>
      </c>
      <c r="M18" s="246">
        <v>84.2</v>
      </c>
      <c r="N18" s="246">
        <f t="shared" si="0"/>
        <v>84.291666666666671</v>
      </c>
    </row>
    <row r="19" spans="1:14" x14ac:dyDescent="0.3">
      <c r="A19" s="7">
        <v>1993</v>
      </c>
      <c r="B19" s="246">
        <v>84.3</v>
      </c>
      <c r="C19" s="246">
        <v>84.8</v>
      </c>
      <c r="D19" s="246">
        <v>84.9</v>
      </c>
      <c r="E19" s="246">
        <v>85.2</v>
      </c>
      <c r="F19" s="246">
        <v>85.2</v>
      </c>
      <c r="G19" s="246">
        <v>85.5</v>
      </c>
      <c r="H19" s="246">
        <v>85.5</v>
      </c>
      <c r="I19" s="246">
        <v>85.7</v>
      </c>
      <c r="J19" s="246">
        <v>85.5</v>
      </c>
      <c r="K19" s="246">
        <v>85.8</v>
      </c>
      <c r="L19" s="246">
        <v>86.2</v>
      </c>
      <c r="M19" s="246">
        <v>85.9</v>
      </c>
      <c r="N19" s="246">
        <f t="shared" si="0"/>
        <v>85.375</v>
      </c>
    </row>
    <row r="20" spans="1:14" x14ac:dyDescent="0.3">
      <c r="A20" s="7">
        <v>1994</v>
      </c>
      <c r="B20" s="246">
        <v>86.2</v>
      </c>
      <c r="C20" s="246">
        <v>85.3</v>
      </c>
      <c r="D20" s="246">
        <v>85.3</v>
      </c>
      <c r="E20" s="246">
        <v>85.2</v>
      </c>
      <c r="F20" s="246">
        <v>85.5</v>
      </c>
      <c r="G20" s="246">
        <v>85.5</v>
      </c>
      <c r="H20" s="246">
        <v>86</v>
      </c>
      <c r="I20" s="246">
        <v>86.2</v>
      </c>
      <c r="J20" s="246">
        <v>86.1</v>
      </c>
      <c r="K20" s="246">
        <v>86.3</v>
      </c>
      <c r="L20" s="246">
        <v>86.4</v>
      </c>
      <c r="M20" s="246">
        <v>86.2</v>
      </c>
      <c r="N20" s="246">
        <f t="shared" si="0"/>
        <v>85.850000000000009</v>
      </c>
    </row>
    <row r="21" spans="1:14" x14ac:dyDescent="0.3">
      <c r="A21" s="7">
        <v>1995</v>
      </c>
      <c r="B21" s="246">
        <v>86.5</v>
      </c>
      <c r="C21" s="246">
        <v>86.8</v>
      </c>
      <c r="D21" s="246">
        <v>87.2</v>
      </c>
      <c r="E21" s="246">
        <v>87.2</v>
      </c>
      <c r="F21" s="246">
        <v>87.7</v>
      </c>
      <c r="G21" s="246">
        <v>87.6</v>
      </c>
      <c r="H21" s="246">
        <v>87.5</v>
      </c>
      <c r="I21" s="246">
        <v>87</v>
      </c>
      <c r="J21" s="246">
        <v>87.4</v>
      </c>
      <c r="K21" s="246">
        <v>87.3</v>
      </c>
      <c r="L21" s="246">
        <v>87.2</v>
      </c>
      <c r="M21" s="246">
        <v>86.8</v>
      </c>
      <c r="N21" s="246">
        <f t="shared" si="0"/>
        <v>87.183333333333337</v>
      </c>
    </row>
    <row r="22" spans="1:14" x14ac:dyDescent="0.3">
      <c r="A22" s="7">
        <v>1996</v>
      </c>
      <c r="B22" s="246">
        <v>87.4</v>
      </c>
      <c r="C22" s="246">
        <v>87.7</v>
      </c>
      <c r="D22" s="246">
        <v>87.9</v>
      </c>
      <c r="E22" s="246">
        <v>88.2</v>
      </c>
      <c r="F22" s="246">
        <v>88.7</v>
      </c>
      <c r="G22" s="246">
        <v>88.3</v>
      </c>
      <c r="H22" s="246">
        <v>88.3</v>
      </c>
      <c r="I22" s="246">
        <v>88.5</v>
      </c>
      <c r="J22" s="246">
        <v>88.5</v>
      </c>
      <c r="K22" s="246">
        <v>89.2</v>
      </c>
      <c r="L22" s="246">
        <v>89.5</v>
      </c>
      <c r="M22" s="246">
        <v>89.5</v>
      </c>
      <c r="N22" s="246">
        <f t="shared" si="0"/>
        <v>88.47499999999998</v>
      </c>
    </row>
    <row r="23" spans="1:14" x14ac:dyDescent="0.3">
      <c r="A23" s="7">
        <v>1997</v>
      </c>
      <c r="B23" s="246">
        <v>89.7</v>
      </c>
      <c r="C23" s="246">
        <v>89.8</v>
      </c>
      <c r="D23" s="246">
        <v>90.1</v>
      </c>
      <c r="E23" s="246">
        <v>90.2</v>
      </c>
      <c r="F23" s="246">
        <v>90.1</v>
      </c>
      <c r="G23" s="246">
        <v>89.7</v>
      </c>
      <c r="H23" s="246">
        <v>89.9</v>
      </c>
      <c r="I23" s="246">
        <v>90.1</v>
      </c>
      <c r="J23" s="246">
        <v>90.6</v>
      </c>
      <c r="K23" s="246">
        <v>90.6</v>
      </c>
      <c r="L23" s="246">
        <v>90.5</v>
      </c>
      <c r="M23" s="246">
        <v>90.4</v>
      </c>
      <c r="N23" s="246">
        <f t="shared" si="0"/>
        <v>90.141666666666666</v>
      </c>
    </row>
    <row r="24" spans="1:14" x14ac:dyDescent="0.3">
      <c r="A24" s="7">
        <v>1998</v>
      </c>
      <c r="B24" s="246">
        <v>90.7</v>
      </c>
      <c r="C24" s="246">
        <v>90.8</v>
      </c>
      <c r="D24" s="246">
        <v>90.8</v>
      </c>
      <c r="E24" s="246">
        <v>90.5</v>
      </c>
      <c r="F24" s="246">
        <v>90.7</v>
      </c>
      <c r="G24" s="246">
        <v>90.5</v>
      </c>
      <c r="H24" s="246">
        <v>90.3</v>
      </c>
      <c r="I24" s="246">
        <v>90.6</v>
      </c>
      <c r="J24" s="246">
        <v>90.3</v>
      </c>
      <c r="K24" s="246">
        <v>90.9</v>
      </c>
      <c r="L24" s="246">
        <v>90.9</v>
      </c>
      <c r="M24" s="246">
        <v>90.6</v>
      </c>
      <c r="N24" s="246">
        <f t="shared" si="0"/>
        <v>90.633333333333326</v>
      </c>
    </row>
    <row r="25" spans="1:14" x14ac:dyDescent="0.3">
      <c r="A25" s="7">
        <v>1999</v>
      </c>
      <c r="B25" s="246">
        <v>90.2</v>
      </c>
      <c r="C25" s="246">
        <v>90.7</v>
      </c>
      <c r="D25" s="246">
        <v>90.8</v>
      </c>
      <c r="E25" s="246">
        <v>91.8</v>
      </c>
      <c r="F25" s="246">
        <v>92.2</v>
      </c>
      <c r="G25" s="246">
        <v>92</v>
      </c>
      <c r="H25" s="246">
        <v>92.1</v>
      </c>
      <c r="I25" s="246">
        <v>92.7</v>
      </c>
      <c r="J25" s="246">
        <v>93.2</v>
      </c>
      <c r="K25" s="246">
        <v>93.1</v>
      </c>
      <c r="L25" s="246">
        <v>93.1</v>
      </c>
      <c r="M25" s="246">
        <v>93.4</v>
      </c>
      <c r="N25" s="246">
        <f t="shared" si="0"/>
        <v>92.108333333333348</v>
      </c>
    </row>
    <row r="26" spans="1:14" x14ac:dyDescent="0.3">
      <c r="A26" s="7">
        <v>2000</v>
      </c>
      <c r="B26" s="246">
        <v>93</v>
      </c>
      <c r="C26" s="246">
        <v>93.7</v>
      </c>
      <c r="D26" s="246">
        <v>94.6</v>
      </c>
      <c r="E26" s="246">
        <v>94.5</v>
      </c>
      <c r="F26" s="246">
        <v>94.7</v>
      </c>
      <c r="G26" s="246">
        <v>95.3</v>
      </c>
      <c r="H26" s="246">
        <v>95.6</v>
      </c>
      <c r="I26" s="246">
        <v>95.5</v>
      </c>
      <c r="J26" s="246">
        <v>95.9</v>
      </c>
      <c r="K26" s="246">
        <v>96</v>
      </c>
      <c r="L26" s="246">
        <v>96.5</v>
      </c>
      <c r="M26" s="246">
        <v>96</v>
      </c>
      <c r="N26" s="246">
        <f t="shared" si="0"/>
        <v>95.108333333333334</v>
      </c>
    </row>
    <row r="27" spans="1:14" x14ac:dyDescent="0.3">
      <c r="A27" s="7">
        <v>2001</v>
      </c>
      <c r="B27" s="246">
        <v>95.6</v>
      </c>
      <c r="C27" s="246">
        <v>96</v>
      </c>
      <c r="D27" s="246">
        <v>96.2</v>
      </c>
      <c r="E27" s="246">
        <v>96.8</v>
      </c>
      <c r="F27" s="246">
        <v>97.6</v>
      </c>
      <c r="G27" s="246">
        <v>97.5</v>
      </c>
      <c r="H27" s="246">
        <v>97.1</v>
      </c>
      <c r="I27" s="246">
        <v>97.1</v>
      </c>
      <c r="J27" s="246">
        <v>97.3</v>
      </c>
      <c r="K27" s="246">
        <v>96.8</v>
      </c>
      <c r="L27" s="246">
        <v>96.6</v>
      </c>
      <c r="M27" s="246">
        <v>96.4</v>
      </c>
      <c r="N27" s="246">
        <f t="shared" si="0"/>
        <v>96.75</v>
      </c>
    </row>
    <row r="28" spans="1:14" x14ac:dyDescent="0.3">
      <c r="A28" s="7">
        <v>2002</v>
      </c>
      <c r="B28" s="246">
        <v>96.7</v>
      </c>
      <c r="C28" s="246">
        <v>97</v>
      </c>
      <c r="D28" s="246">
        <v>97.6</v>
      </c>
      <c r="E28" s="246">
        <v>99.2</v>
      </c>
      <c r="F28" s="246">
        <v>99.8</v>
      </c>
      <c r="G28" s="246">
        <v>100</v>
      </c>
      <c r="H28" s="246">
        <v>100.8</v>
      </c>
      <c r="I28" s="246">
        <v>101.1</v>
      </c>
      <c r="J28" s="246">
        <v>101.3</v>
      </c>
      <c r="K28" s="246">
        <v>101.7</v>
      </c>
      <c r="L28" s="246">
        <v>102.5</v>
      </c>
      <c r="M28" s="246">
        <v>102.4</v>
      </c>
      <c r="N28" s="246">
        <f t="shared" si="0"/>
        <v>100.00833333333333</v>
      </c>
    </row>
    <row r="29" spans="1:14" x14ac:dyDescent="0.3">
      <c r="A29" s="7">
        <v>2003</v>
      </c>
      <c r="B29" s="246">
        <v>103.2</v>
      </c>
      <c r="C29" s="246">
        <v>104</v>
      </c>
      <c r="D29" s="246">
        <v>104.3</v>
      </c>
      <c r="E29" s="246">
        <v>103.7</v>
      </c>
      <c r="F29" s="246">
        <v>103</v>
      </c>
      <c r="G29" s="246">
        <v>103</v>
      </c>
      <c r="H29" s="246">
        <v>103.4</v>
      </c>
      <c r="I29" s="246">
        <v>103.5</v>
      </c>
      <c r="J29" s="246">
        <v>103.7</v>
      </c>
      <c r="K29" s="246">
        <v>103</v>
      </c>
      <c r="L29" s="246">
        <v>103</v>
      </c>
      <c r="M29" s="246">
        <v>102.9</v>
      </c>
      <c r="N29" s="246">
        <f t="shared" si="0"/>
        <v>103.39166666666669</v>
      </c>
    </row>
    <row r="30" spans="1:14" x14ac:dyDescent="0.3">
      <c r="A30" s="7">
        <v>2004</v>
      </c>
      <c r="B30" s="246">
        <v>103.3</v>
      </c>
      <c r="C30" s="246">
        <v>103.8</v>
      </c>
      <c r="D30" s="246">
        <v>104.2</v>
      </c>
      <c r="E30" s="246">
        <v>104.1</v>
      </c>
      <c r="F30" s="246">
        <v>105.1</v>
      </c>
      <c r="G30" s="246">
        <v>105.3</v>
      </c>
      <c r="H30" s="246">
        <v>105.2</v>
      </c>
      <c r="I30" s="246">
        <v>105.2</v>
      </c>
      <c r="J30" s="246">
        <v>105.1</v>
      </c>
      <c r="K30" s="246">
        <v>105.5</v>
      </c>
      <c r="L30" s="246">
        <v>106</v>
      </c>
      <c r="M30" s="246">
        <v>105.6</v>
      </c>
      <c r="N30" s="246">
        <f t="shared" si="0"/>
        <v>104.86666666666667</v>
      </c>
    </row>
    <row r="31" spans="1:14" x14ac:dyDescent="0.3">
      <c r="A31" s="7">
        <v>2005</v>
      </c>
      <c r="B31" s="246">
        <v>105.6</v>
      </c>
      <c r="C31" s="246">
        <v>105.9</v>
      </c>
      <c r="D31" s="246">
        <v>106.8</v>
      </c>
      <c r="E31" s="246">
        <v>107.1</v>
      </c>
      <c r="F31" s="246">
        <v>107</v>
      </c>
      <c r="G31" s="246">
        <v>106.9</v>
      </c>
      <c r="H31" s="246">
        <v>107.5</v>
      </c>
      <c r="I31" s="246">
        <v>108</v>
      </c>
      <c r="J31" s="246">
        <v>109.2</v>
      </c>
      <c r="K31" s="246">
        <v>108.4</v>
      </c>
      <c r="L31" s="246">
        <v>108.2</v>
      </c>
      <c r="M31" s="246">
        <v>108.3</v>
      </c>
      <c r="N31" s="246">
        <f t="shared" si="0"/>
        <v>107.40833333333335</v>
      </c>
    </row>
    <row r="32" spans="1:14" x14ac:dyDescent="0.3">
      <c r="A32" s="7">
        <v>2006</v>
      </c>
      <c r="B32" s="246">
        <v>108.8</v>
      </c>
      <c r="C32" s="246">
        <v>108.7</v>
      </c>
      <c r="D32" s="246">
        <v>109.1</v>
      </c>
      <c r="E32" s="246">
        <v>110</v>
      </c>
      <c r="F32" s="246">
        <v>110.1</v>
      </c>
      <c r="G32" s="246">
        <v>110</v>
      </c>
      <c r="H32" s="246">
        <v>109.7</v>
      </c>
      <c r="I32" s="246">
        <v>110</v>
      </c>
      <c r="J32" s="246">
        <v>108.8</v>
      </c>
      <c r="K32" s="246">
        <v>107.8</v>
      </c>
      <c r="L32" s="246">
        <v>108.4</v>
      </c>
      <c r="M32" s="246">
        <v>109.1</v>
      </c>
      <c r="N32" s="246">
        <f t="shared" si="0"/>
        <v>109.20833333333333</v>
      </c>
    </row>
    <row r="33" spans="1:14" x14ac:dyDescent="0.3">
      <c r="A33" s="7">
        <v>2007</v>
      </c>
      <c r="B33" s="246">
        <v>109.2</v>
      </c>
      <c r="C33" s="246">
        <v>109.6</v>
      </c>
      <c r="D33" s="246">
        <v>110.7</v>
      </c>
      <c r="E33" s="246">
        <v>111.2</v>
      </c>
      <c r="F33" s="246">
        <v>111.6</v>
      </c>
      <c r="G33" s="246">
        <v>112.1</v>
      </c>
      <c r="H33" s="246">
        <v>112.1</v>
      </c>
      <c r="I33" s="246">
        <v>111.4</v>
      </c>
      <c r="J33" s="246">
        <v>112</v>
      </c>
      <c r="K33" s="246">
        <v>111.4</v>
      </c>
      <c r="L33" s="246">
        <v>111.9</v>
      </c>
      <c r="M33" s="246">
        <v>111.9</v>
      </c>
      <c r="N33" s="246">
        <f t="shared" si="0"/>
        <v>111.25833333333334</v>
      </c>
    </row>
    <row r="34" spans="1:14" x14ac:dyDescent="0.3">
      <c r="A34" s="7">
        <v>2008</v>
      </c>
      <c r="B34" s="246">
        <v>111.7</v>
      </c>
      <c r="C34" s="246">
        <v>111.7</v>
      </c>
      <c r="D34" s="246">
        <v>112.1</v>
      </c>
      <c r="E34" s="246">
        <v>112.8</v>
      </c>
      <c r="F34" s="246">
        <v>113.9</v>
      </c>
      <c r="G34" s="246">
        <v>114.5</v>
      </c>
      <c r="H34" s="246">
        <v>114.9</v>
      </c>
      <c r="I34" s="246">
        <v>114.3</v>
      </c>
      <c r="J34" s="246">
        <v>114.7</v>
      </c>
      <c r="K34" s="246">
        <v>113.4</v>
      </c>
      <c r="L34" s="246">
        <v>112.6</v>
      </c>
      <c r="M34" s="246">
        <v>111.2</v>
      </c>
      <c r="N34" s="246">
        <f t="shared" si="0"/>
        <v>113.14999999999999</v>
      </c>
    </row>
    <row r="35" spans="1:14" x14ac:dyDescent="0.3">
      <c r="A35" s="7">
        <v>2009</v>
      </c>
      <c r="B35" s="246">
        <v>111.1</v>
      </c>
      <c r="C35" s="246">
        <v>112</v>
      </c>
      <c r="D35" s="246">
        <v>112.3</v>
      </c>
      <c r="E35" s="246">
        <v>112.5</v>
      </c>
      <c r="F35" s="246">
        <v>113.7</v>
      </c>
      <c r="G35" s="246">
        <v>114.5</v>
      </c>
      <c r="H35" s="246">
        <v>114.4</v>
      </c>
      <c r="I35" s="246">
        <v>114.1</v>
      </c>
      <c r="J35" s="246">
        <v>114.2</v>
      </c>
      <c r="K35" s="246">
        <v>114</v>
      </c>
      <c r="L35" s="246">
        <v>115.1</v>
      </c>
      <c r="M35" s="246">
        <v>114.5</v>
      </c>
      <c r="N35" s="246">
        <f t="shared" si="0"/>
        <v>113.53333333333335</v>
      </c>
    </row>
    <row r="36" spans="1:14" x14ac:dyDescent="0.3">
      <c r="A36" s="7">
        <v>2010</v>
      </c>
      <c r="B36" s="246">
        <v>115.4</v>
      </c>
      <c r="C36" s="246">
        <v>115.6</v>
      </c>
      <c r="D36" s="246">
        <v>115.8</v>
      </c>
      <c r="E36" s="246">
        <v>115.8</v>
      </c>
      <c r="F36" s="246">
        <v>115.7</v>
      </c>
      <c r="G36" s="246">
        <v>115.7</v>
      </c>
      <c r="H36" s="246">
        <v>115.9</v>
      </c>
      <c r="I36" s="246">
        <v>116</v>
      </c>
      <c r="J36" s="246">
        <v>116</v>
      </c>
      <c r="K36" s="246">
        <v>116.1</v>
      </c>
      <c r="L36" s="246">
        <v>116.7</v>
      </c>
      <c r="M36" s="246">
        <v>116.6</v>
      </c>
      <c r="N36" s="246">
        <f t="shared" si="0"/>
        <v>115.94166666666666</v>
      </c>
    </row>
    <row r="37" spans="1:14" x14ac:dyDescent="0.3">
      <c r="A37" s="7">
        <v>2011</v>
      </c>
      <c r="B37" s="246">
        <v>117.2</v>
      </c>
      <c r="C37" s="246">
        <v>118.2</v>
      </c>
      <c r="D37" s="246">
        <v>119.4</v>
      </c>
      <c r="E37" s="246">
        <v>120</v>
      </c>
      <c r="F37" s="246">
        <v>120.5</v>
      </c>
      <c r="G37" s="246">
        <v>119.9</v>
      </c>
      <c r="H37" s="246">
        <v>120.3</v>
      </c>
      <c r="I37" s="246">
        <v>120.7</v>
      </c>
      <c r="J37" s="246">
        <v>120.9</v>
      </c>
      <c r="K37" s="246">
        <v>120.8</v>
      </c>
      <c r="L37" s="246">
        <v>121.3</v>
      </c>
      <c r="M37" s="246">
        <v>120.4</v>
      </c>
      <c r="N37" s="246">
        <f t="shared" si="0"/>
        <v>119.96666666666665</v>
      </c>
    </row>
    <row r="38" spans="1:14" x14ac:dyDescent="0.3">
      <c r="A38" s="7">
        <v>2012</v>
      </c>
      <c r="B38" s="246">
        <v>121</v>
      </c>
      <c r="C38" s="246">
        <v>121.3</v>
      </c>
      <c r="D38" s="246">
        <v>122.3</v>
      </c>
      <c r="E38" s="246">
        <v>123.1</v>
      </c>
      <c r="F38" s="246">
        <v>122.7</v>
      </c>
      <c r="G38" s="246">
        <v>121.6</v>
      </c>
      <c r="H38" s="246">
        <v>121.4</v>
      </c>
      <c r="I38" s="246">
        <v>121.9</v>
      </c>
      <c r="J38" s="246">
        <v>122.7</v>
      </c>
      <c r="K38" s="246">
        <v>122.5</v>
      </c>
      <c r="L38" s="246">
        <v>122</v>
      </c>
      <c r="M38" s="246">
        <v>121.2</v>
      </c>
      <c r="N38" s="246">
        <f t="shared" si="0"/>
        <v>121.97500000000001</v>
      </c>
    </row>
    <row r="39" spans="1:14" x14ac:dyDescent="0.3">
      <c r="A39" s="7">
        <v>2013</v>
      </c>
      <c r="B39" s="246">
        <v>121.5</v>
      </c>
      <c r="C39" s="246">
        <v>123.1</v>
      </c>
      <c r="D39" s="246">
        <v>123.3</v>
      </c>
      <c r="E39" s="246">
        <v>122.8</v>
      </c>
      <c r="F39" s="246">
        <v>122.6</v>
      </c>
      <c r="G39" s="246">
        <v>122.5</v>
      </c>
      <c r="H39" s="246">
        <v>122.6</v>
      </c>
      <c r="I39" s="246">
        <v>123</v>
      </c>
      <c r="J39" s="246">
        <v>123.5</v>
      </c>
      <c r="K39" s="246">
        <v>123.5</v>
      </c>
      <c r="L39" s="246">
        <v>123.5</v>
      </c>
      <c r="M39" s="246">
        <v>123.5</v>
      </c>
      <c r="N39" s="246">
        <f t="shared" si="0"/>
        <v>122.95</v>
      </c>
    </row>
    <row r="40" spans="1:14" x14ac:dyDescent="0.3">
      <c r="A40" s="7">
        <v>2014</v>
      </c>
      <c r="B40" s="246">
        <v>123.4</v>
      </c>
      <c r="C40" s="246">
        <v>124.4</v>
      </c>
      <c r="D40" s="246">
        <v>125.1</v>
      </c>
      <c r="E40" s="246">
        <v>125</v>
      </c>
      <c r="F40" s="246">
        <v>125.3</v>
      </c>
      <c r="G40" s="246">
        <v>124.9</v>
      </c>
      <c r="H40" s="246">
        <v>124.8</v>
      </c>
      <c r="I40" s="246">
        <v>124.9</v>
      </c>
      <c r="J40" s="246">
        <v>125.2</v>
      </c>
      <c r="K40" s="246">
        <v>125.5</v>
      </c>
      <c r="L40" s="246">
        <v>124.9</v>
      </c>
      <c r="M40" s="246">
        <v>124.1</v>
      </c>
      <c r="N40" s="246">
        <f t="shared" si="0"/>
        <v>124.79166666666664</v>
      </c>
    </row>
    <row r="41" spans="1:14" x14ac:dyDescent="0.3">
      <c r="A41" s="7">
        <v>2015</v>
      </c>
      <c r="B41" s="246">
        <v>123.1</v>
      </c>
      <c r="C41" s="246">
        <v>124.2</v>
      </c>
      <c r="D41" s="246">
        <v>125.5</v>
      </c>
      <c r="E41" s="246">
        <v>124.9</v>
      </c>
      <c r="F41" s="246">
        <v>126.1</v>
      </c>
      <c r="G41" s="246">
        <v>126.2</v>
      </c>
      <c r="H41" s="246">
        <v>126.3</v>
      </c>
      <c r="I41" s="246">
        <v>126.2</v>
      </c>
      <c r="J41" s="246">
        <v>125.6</v>
      </c>
      <c r="K41" s="246">
        <v>125.9</v>
      </c>
      <c r="L41" s="246">
        <v>125.8</v>
      </c>
      <c r="M41" s="246">
        <v>125.5</v>
      </c>
      <c r="N41" s="246">
        <f t="shared" si="0"/>
        <v>125.44166666666668</v>
      </c>
    </row>
    <row r="42" spans="1:14" x14ac:dyDescent="0.3">
      <c r="A42" s="7">
        <v>2016</v>
      </c>
      <c r="B42" s="246">
        <v>126</v>
      </c>
      <c r="C42" s="246">
        <v>126.4</v>
      </c>
      <c r="D42" s="246">
        <v>126.9</v>
      </c>
      <c r="E42" s="246">
        <v>127.7</v>
      </c>
      <c r="F42" s="246">
        <v>128.1</v>
      </c>
      <c r="G42" s="246">
        <v>128.5</v>
      </c>
      <c r="H42" s="246">
        <v>129.4</v>
      </c>
      <c r="I42" s="246">
        <v>129</v>
      </c>
      <c r="J42" s="246">
        <v>129.4</v>
      </c>
      <c r="K42" s="246">
        <v>129.4</v>
      </c>
      <c r="L42" s="246">
        <v>128.9</v>
      </c>
      <c r="M42" s="246">
        <v>128.4</v>
      </c>
      <c r="N42" s="246">
        <f t="shared" si="0"/>
        <v>128.17500000000004</v>
      </c>
    </row>
    <row r="43" spans="1:14" x14ac:dyDescent="0.3">
      <c r="A43" s="7">
        <v>2017</v>
      </c>
      <c r="B43" s="246">
        <v>130.1</v>
      </c>
      <c r="C43" s="246">
        <v>130</v>
      </c>
      <c r="D43" s="246">
        <v>130.5</v>
      </c>
      <c r="E43" s="246">
        <v>131.19999999999999</v>
      </c>
      <c r="F43" s="246">
        <v>131.19999999999999</v>
      </c>
      <c r="G43" s="246">
        <v>131.1</v>
      </c>
      <c r="H43" s="246">
        <v>131.19999999999999</v>
      </c>
      <c r="I43" s="246">
        <v>131.30000000000001</v>
      </c>
      <c r="J43" s="246">
        <v>131.6</v>
      </c>
      <c r="K43" s="246">
        <v>131.4</v>
      </c>
      <c r="L43" s="246">
        <v>132.4</v>
      </c>
      <c r="M43" s="246">
        <v>132.1</v>
      </c>
      <c r="N43" s="246">
        <f t="shared" si="0"/>
        <v>131.17499999999998</v>
      </c>
    </row>
    <row r="44" spans="1:14" x14ac:dyDescent="0.3">
      <c r="A44" s="7">
        <v>2018</v>
      </c>
      <c r="B44" s="246">
        <v>132.5</v>
      </c>
      <c r="C44" s="246">
        <v>133.5</v>
      </c>
      <c r="D44" s="246">
        <v>133.80000000000001</v>
      </c>
      <c r="E44" s="246">
        <v>134.1</v>
      </c>
      <c r="F44" s="246">
        <v>133.9</v>
      </c>
      <c r="G44" s="246">
        <v>134</v>
      </c>
      <c r="H44" s="246">
        <v>134.80000000000001</v>
      </c>
      <c r="I44" s="246">
        <v>134.69999999999999</v>
      </c>
      <c r="J44" s="246">
        <v>134.19999999999999</v>
      </c>
      <c r="K44" s="246">
        <v>135.1</v>
      </c>
      <c r="L44" s="246">
        <v>134.1</v>
      </c>
      <c r="M44" s="246">
        <v>133.30000000000001</v>
      </c>
      <c r="N44" s="246">
        <f t="shared" si="0"/>
        <v>133.99999999999997</v>
      </c>
    </row>
    <row r="45" spans="1:14" x14ac:dyDescent="0.3">
      <c r="A45" s="7">
        <v>2019</v>
      </c>
      <c r="B45" s="246">
        <v>134</v>
      </c>
      <c r="C45" s="246">
        <v>134.69999999999999</v>
      </c>
      <c r="D45" s="246">
        <v>135.9</v>
      </c>
      <c r="E45" s="246">
        <v>136.4</v>
      </c>
      <c r="F45" s="246">
        <v>136.69999999999999</v>
      </c>
      <c r="G45" s="246">
        <v>136.30000000000001</v>
      </c>
      <c r="H45" s="246">
        <v>137.1</v>
      </c>
      <c r="I45" s="246">
        <v>137.4</v>
      </c>
      <c r="J45" s="246">
        <v>136.6</v>
      </c>
      <c r="K45" s="246">
        <v>136.80000000000001</v>
      </c>
      <c r="L45" s="246">
        <v>137.30000000000001</v>
      </c>
      <c r="M45" s="246">
        <v>136.4</v>
      </c>
      <c r="N45" s="246">
        <f t="shared" si="0"/>
        <v>136.29999999999998</v>
      </c>
    </row>
    <row r="46" spans="1:14" x14ac:dyDescent="0.3">
      <c r="A46" s="7">
        <v>2020</v>
      </c>
      <c r="B46" s="246">
        <v>137.30000000000001</v>
      </c>
      <c r="C46" s="246">
        <v>137.6</v>
      </c>
      <c r="D46" s="246">
        <v>136.6</v>
      </c>
      <c r="E46" s="246">
        <v>134.6</v>
      </c>
      <c r="F46" s="246">
        <v>135.6</v>
      </c>
      <c r="G46" s="246">
        <v>136.6</v>
      </c>
      <c r="H46" s="246">
        <v>137.1</v>
      </c>
      <c r="I46" s="246">
        <v>136.6</v>
      </c>
      <c r="J46" s="246">
        <v>136.30000000000001</v>
      </c>
      <c r="K46" s="246">
        <v>137</v>
      </c>
      <c r="L46" s="246">
        <v>136.80000000000001</v>
      </c>
      <c r="M46" s="246">
        <v>136.9</v>
      </c>
      <c r="N46" s="246">
        <f t="shared" si="0"/>
        <v>136.58333333333334</v>
      </c>
    </row>
    <row r="47" spans="1:14" x14ac:dyDescent="0.3">
      <c r="A47" s="7">
        <v>2021</v>
      </c>
      <c r="B47" s="246">
        <v>138.19999999999999</v>
      </c>
      <c r="C47" s="246">
        <v>138.69999999999999</v>
      </c>
      <c r="D47" s="246">
        <v>139.19999999999999</v>
      </c>
      <c r="E47" s="246">
        <v>140.30000000000001</v>
      </c>
      <c r="F47" s="246">
        <v>141.4</v>
      </c>
      <c r="G47" s="246">
        <v>141.5</v>
      </c>
      <c r="H47" s="246">
        <v>142.5</v>
      </c>
      <c r="I47" s="246">
        <v>143</v>
      </c>
      <c r="J47" s="246">
        <v>143.30000000000001</v>
      </c>
      <c r="K47" s="246">
        <v>144.5</v>
      </c>
      <c r="L47" s="246">
        <v>144.6</v>
      </c>
      <c r="M47" s="246">
        <v>144.30000000000001</v>
      </c>
      <c r="N47" s="246">
        <f t="shared" si="0"/>
        <v>141.79166666666666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9"/>
  <dimension ref="A1:N47"/>
  <sheetViews>
    <sheetView workbookViewId="0">
      <pane xSplit="1" ySplit="3" topLeftCell="B38" activePane="bottomRight" state="frozen"/>
      <selection sqref="A1:XFD1048576"/>
      <selection pane="topRight" sqref="A1:XFD1048576"/>
      <selection pane="bottomLeft" sqref="A1:XFD1048576"/>
      <selection pane="bottomRight" activeCell="N47" sqref="N47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x14ac:dyDescent="0.3">
      <c r="A1" s="1" t="s">
        <v>82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4" x14ac:dyDescent="0.3">
      <c r="A2" s="25">
        <v>7</v>
      </c>
      <c r="B2" s="18">
        <v>1</v>
      </c>
      <c r="C2" s="18">
        <v>2</v>
      </c>
      <c r="D2" s="18">
        <v>3</v>
      </c>
      <c r="E2" s="18">
        <v>4</v>
      </c>
      <c r="F2" s="18">
        <v>5</v>
      </c>
      <c r="G2" s="18">
        <v>6</v>
      </c>
      <c r="H2" s="18">
        <v>7</v>
      </c>
      <c r="I2" s="18">
        <v>8</v>
      </c>
      <c r="J2" s="18">
        <v>9</v>
      </c>
      <c r="K2" s="18">
        <v>10</v>
      </c>
      <c r="L2" s="18">
        <v>11</v>
      </c>
      <c r="M2" s="18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37.6</v>
      </c>
      <c r="K4" s="246">
        <v>37.799999999999997</v>
      </c>
      <c r="L4" s="246">
        <v>38.1</v>
      </c>
      <c r="M4" s="246">
        <v>38.299999999999997</v>
      </c>
      <c r="N4" s="246">
        <f t="shared" ref="N4:N47" si="0">AVERAGE(B4:M4)</f>
        <v>37.950000000000003</v>
      </c>
    </row>
    <row r="5" spans="1:14" x14ac:dyDescent="0.3">
      <c r="A5" s="7">
        <v>1979</v>
      </c>
      <c r="B5" s="246">
        <v>38.6</v>
      </c>
      <c r="C5" s="246">
        <v>39</v>
      </c>
      <c r="D5" s="246">
        <v>39.5</v>
      </c>
      <c r="E5" s="246">
        <v>39.9</v>
      </c>
      <c r="F5" s="246">
        <v>40.200000000000003</v>
      </c>
      <c r="G5" s="246">
        <v>40.200000000000003</v>
      </c>
      <c r="H5" s="246">
        <v>40.6</v>
      </c>
      <c r="I5" s="246">
        <v>40.9</v>
      </c>
      <c r="J5" s="246">
        <v>41.3</v>
      </c>
      <c r="K5" s="246">
        <v>41.6</v>
      </c>
      <c r="L5" s="246">
        <v>42</v>
      </c>
      <c r="M5" s="246">
        <v>42.2</v>
      </c>
      <c r="N5" s="246">
        <f t="shared" si="0"/>
        <v>40.5</v>
      </c>
    </row>
    <row r="6" spans="1:14" x14ac:dyDescent="0.3">
      <c r="A6" s="7">
        <v>1980</v>
      </c>
      <c r="B6" s="246">
        <v>42.4</v>
      </c>
      <c r="C6" s="246">
        <v>42.8</v>
      </c>
      <c r="D6" s="246">
        <v>43.3</v>
      </c>
      <c r="E6" s="246">
        <v>43.5</v>
      </c>
      <c r="F6" s="246">
        <v>43.9</v>
      </c>
      <c r="G6" s="246">
        <v>44.5</v>
      </c>
      <c r="H6" s="246">
        <v>44.8</v>
      </c>
      <c r="I6" s="246">
        <v>45.4</v>
      </c>
      <c r="J6" s="246">
        <v>45.7</v>
      </c>
      <c r="K6" s="246">
        <v>46.1</v>
      </c>
      <c r="L6" s="246">
        <v>46.9</v>
      </c>
      <c r="M6" s="246">
        <v>46.9</v>
      </c>
      <c r="N6" s="246">
        <f t="shared" si="0"/>
        <v>44.68333333333333</v>
      </c>
    </row>
    <row r="7" spans="1:14" x14ac:dyDescent="0.3">
      <c r="A7" s="7">
        <v>1981</v>
      </c>
      <c r="B7" s="246">
        <v>47.5</v>
      </c>
      <c r="C7" s="246">
        <v>48.1</v>
      </c>
      <c r="D7" s="246">
        <v>48.6</v>
      </c>
      <c r="E7" s="246">
        <v>49.1</v>
      </c>
      <c r="F7" s="246">
        <v>49.4</v>
      </c>
      <c r="G7" s="246">
        <v>50.1</v>
      </c>
      <c r="H7" s="246">
        <v>50.6</v>
      </c>
      <c r="I7" s="246">
        <v>50.9</v>
      </c>
      <c r="J7" s="246">
        <v>51.4</v>
      </c>
      <c r="K7" s="246">
        <v>51.7</v>
      </c>
      <c r="L7" s="246">
        <v>52.3</v>
      </c>
      <c r="M7" s="246">
        <v>53.1</v>
      </c>
      <c r="N7" s="246">
        <f t="shared" si="0"/>
        <v>50.233333333333327</v>
      </c>
    </row>
    <row r="8" spans="1:14" x14ac:dyDescent="0.3">
      <c r="A8" s="7">
        <v>1982</v>
      </c>
      <c r="B8" s="246">
        <v>53.3</v>
      </c>
      <c r="C8" s="246">
        <v>54.1</v>
      </c>
      <c r="D8" s="246">
        <v>54.4</v>
      </c>
      <c r="E8" s="246">
        <v>54.9</v>
      </c>
      <c r="F8" s="246">
        <v>55.6</v>
      </c>
      <c r="G8" s="246">
        <v>56.3</v>
      </c>
      <c r="H8" s="246">
        <v>56.5</v>
      </c>
      <c r="I8" s="246">
        <v>56.9</v>
      </c>
      <c r="J8" s="246">
        <v>57.2</v>
      </c>
      <c r="K8" s="246">
        <v>57.5</v>
      </c>
      <c r="L8" s="246">
        <v>57.9</v>
      </c>
      <c r="M8" s="246">
        <v>57.9</v>
      </c>
      <c r="N8" s="246">
        <f t="shared" si="0"/>
        <v>56.041666666666664</v>
      </c>
    </row>
    <row r="9" spans="1:14" x14ac:dyDescent="0.3">
      <c r="A9" s="7">
        <v>1983</v>
      </c>
      <c r="B9" s="246">
        <v>57.5</v>
      </c>
      <c r="C9" s="246">
        <v>57.7</v>
      </c>
      <c r="D9" s="246">
        <v>58.3</v>
      </c>
      <c r="E9" s="246">
        <v>58.5</v>
      </c>
      <c r="F9" s="246">
        <v>58.8</v>
      </c>
      <c r="G9" s="246">
        <v>59.1</v>
      </c>
      <c r="H9" s="246">
        <v>59.3</v>
      </c>
      <c r="I9" s="246">
        <v>59.7</v>
      </c>
      <c r="J9" s="246">
        <v>59.8</v>
      </c>
      <c r="K9" s="246">
        <v>60.2</v>
      </c>
      <c r="L9" s="246">
        <v>60.2</v>
      </c>
      <c r="M9" s="246">
        <v>60.4</v>
      </c>
      <c r="N9" s="246">
        <f t="shared" si="0"/>
        <v>59.125000000000007</v>
      </c>
    </row>
    <row r="10" spans="1:14" x14ac:dyDescent="0.3">
      <c r="A10" s="7">
        <v>1984</v>
      </c>
      <c r="B10" s="246">
        <v>60.4</v>
      </c>
      <c r="C10" s="246">
        <v>60.9</v>
      </c>
      <c r="D10" s="246">
        <v>61.1</v>
      </c>
      <c r="E10" s="246">
        <v>61.4</v>
      </c>
      <c r="F10" s="246">
        <v>61.4</v>
      </c>
      <c r="G10" s="246">
        <v>61.6</v>
      </c>
      <c r="H10" s="246">
        <v>61.9</v>
      </c>
      <c r="I10" s="246">
        <v>61.5</v>
      </c>
      <c r="J10" s="246">
        <v>61.6</v>
      </c>
      <c r="K10" s="246">
        <v>61.8</v>
      </c>
      <c r="L10" s="246">
        <v>62.3</v>
      </c>
      <c r="M10" s="246">
        <v>62.4</v>
      </c>
      <c r="N10" s="246">
        <f t="shared" si="0"/>
        <v>61.524999999999984</v>
      </c>
    </row>
    <row r="11" spans="1:14" x14ac:dyDescent="0.3">
      <c r="A11" s="7">
        <v>1985</v>
      </c>
      <c r="B11" s="246">
        <v>62.6</v>
      </c>
      <c r="C11" s="246">
        <v>63.2</v>
      </c>
      <c r="D11" s="246">
        <v>63.2</v>
      </c>
      <c r="E11" s="246">
        <v>63.5</v>
      </c>
      <c r="F11" s="246">
        <v>63.8</v>
      </c>
      <c r="G11" s="246">
        <v>64.3</v>
      </c>
      <c r="H11" s="246">
        <v>64.5</v>
      </c>
      <c r="I11" s="246">
        <v>64.7</v>
      </c>
      <c r="J11" s="246">
        <v>64.900000000000006</v>
      </c>
      <c r="K11" s="246">
        <v>65</v>
      </c>
      <c r="L11" s="246">
        <v>65.2</v>
      </c>
      <c r="M11" s="246">
        <v>65.599999999999994</v>
      </c>
      <c r="N11" s="246">
        <f t="shared" si="0"/>
        <v>64.208333333333343</v>
      </c>
    </row>
    <row r="12" spans="1:14" x14ac:dyDescent="0.3">
      <c r="A12" s="7">
        <v>1986</v>
      </c>
      <c r="B12" s="246">
        <v>65.8</v>
      </c>
      <c r="C12" s="246">
        <v>66.2</v>
      </c>
      <c r="D12" s="246">
        <v>66.5</v>
      </c>
      <c r="E12" s="246">
        <v>66.7</v>
      </c>
      <c r="F12" s="246">
        <v>66.900000000000006</v>
      </c>
      <c r="G12" s="246">
        <v>66.8</v>
      </c>
      <c r="H12" s="246">
        <v>67.3</v>
      </c>
      <c r="I12" s="246">
        <v>67.7</v>
      </c>
      <c r="J12" s="246">
        <v>67.7</v>
      </c>
      <c r="K12" s="246">
        <v>68.099999999999994</v>
      </c>
      <c r="L12" s="246">
        <v>68.7</v>
      </c>
      <c r="M12" s="246">
        <v>68.8</v>
      </c>
      <c r="N12" s="246">
        <f t="shared" si="0"/>
        <v>67.26666666666668</v>
      </c>
    </row>
    <row r="13" spans="1:14" x14ac:dyDescent="0.3">
      <c r="A13" s="7">
        <v>1987</v>
      </c>
      <c r="B13" s="246">
        <v>68.7</v>
      </c>
      <c r="C13" s="246">
        <v>69.2</v>
      </c>
      <c r="D13" s="246">
        <v>69.3</v>
      </c>
      <c r="E13" s="246">
        <v>69.599999999999994</v>
      </c>
      <c r="F13" s="246">
        <v>69.900000000000006</v>
      </c>
      <c r="G13" s="246">
        <v>70.099999999999994</v>
      </c>
      <c r="H13" s="246">
        <v>70.5</v>
      </c>
      <c r="I13" s="246">
        <v>70.5</v>
      </c>
      <c r="J13" s="246">
        <v>70.5</v>
      </c>
      <c r="K13" s="246">
        <v>71.099999999999994</v>
      </c>
      <c r="L13" s="246">
        <v>71.400000000000006</v>
      </c>
      <c r="M13" s="246">
        <v>71.400000000000006</v>
      </c>
      <c r="N13" s="246">
        <f t="shared" si="0"/>
        <v>70.183333333333323</v>
      </c>
    </row>
    <row r="14" spans="1:14" x14ac:dyDescent="0.3">
      <c r="A14" s="7">
        <v>1988</v>
      </c>
      <c r="B14" s="246">
        <v>71.400000000000006</v>
      </c>
      <c r="C14" s="246">
        <v>71.900000000000006</v>
      </c>
      <c r="D14" s="246">
        <v>72.099999999999994</v>
      </c>
      <c r="E14" s="246">
        <v>72.3</v>
      </c>
      <c r="F14" s="246">
        <v>72.5</v>
      </c>
      <c r="G14" s="246">
        <v>72.7</v>
      </c>
      <c r="H14" s="246">
        <v>73</v>
      </c>
      <c r="I14" s="246">
        <v>73.3</v>
      </c>
      <c r="J14" s="246">
        <v>73.2</v>
      </c>
      <c r="K14" s="246">
        <v>73.599999999999994</v>
      </c>
      <c r="L14" s="246">
        <v>73.8</v>
      </c>
      <c r="M14" s="246">
        <v>73.900000000000006</v>
      </c>
      <c r="N14" s="246">
        <f t="shared" si="0"/>
        <v>72.808333333333323</v>
      </c>
    </row>
    <row r="15" spans="1:14" x14ac:dyDescent="0.3">
      <c r="A15" s="7">
        <v>1989</v>
      </c>
      <c r="B15" s="246">
        <v>74</v>
      </c>
      <c r="C15" s="246">
        <v>74.7</v>
      </c>
      <c r="D15" s="246">
        <v>74.900000000000006</v>
      </c>
      <c r="E15" s="246">
        <v>75.099999999999994</v>
      </c>
      <c r="F15" s="246">
        <v>75.8</v>
      </c>
      <c r="G15" s="246">
        <v>76.3</v>
      </c>
      <c r="H15" s="246">
        <v>76.599999999999994</v>
      </c>
      <c r="I15" s="246">
        <v>76.599999999999994</v>
      </c>
      <c r="J15" s="246">
        <v>76.400000000000006</v>
      </c>
      <c r="K15" s="246">
        <v>76.900000000000006</v>
      </c>
      <c r="L15" s="246">
        <v>77.099999999999994</v>
      </c>
      <c r="M15" s="246">
        <v>76.8</v>
      </c>
      <c r="N15" s="246">
        <f t="shared" si="0"/>
        <v>75.933333333333323</v>
      </c>
    </row>
    <row r="16" spans="1:14" x14ac:dyDescent="0.3">
      <c r="A16" s="7">
        <v>1990</v>
      </c>
      <c r="B16" s="246">
        <v>77.599999999999994</v>
      </c>
      <c r="C16" s="246">
        <v>78</v>
      </c>
      <c r="D16" s="246">
        <v>78.2</v>
      </c>
      <c r="E16" s="246">
        <v>78.099999999999994</v>
      </c>
      <c r="F16" s="246">
        <v>78.599999999999994</v>
      </c>
      <c r="G16" s="246">
        <v>78.900000000000006</v>
      </c>
      <c r="H16" s="246">
        <v>79.3</v>
      </c>
      <c r="I16" s="246">
        <v>79.5</v>
      </c>
      <c r="J16" s="246">
        <v>79.599999999999994</v>
      </c>
      <c r="K16" s="246">
        <v>80.400000000000006</v>
      </c>
      <c r="L16" s="246">
        <v>81</v>
      </c>
      <c r="M16" s="246">
        <v>81</v>
      </c>
      <c r="N16" s="246">
        <f t="shared" si="0"/>
        <v>79.183333333333323</v>
      </c>
    </row>
    <row r="17" spans="1:14" x14ac:dyDescent="0.3">
      <c r="A17" s="7">
        <v>1991</v>
      </c>
      <c r="B17" s="246">
        <v>84</v>
      </c>
      <c r="C17" s="246">
        <v>84</v>
      </c>
      <c r="D17" s="246">
        <v>84.5</v>
      </c>
      <c r="E17" s="246">
        <v>84.6</v>
      </c>
      <c r="F17" s="246">
        <v>84.9</v>
      </c>
      <c r="G17" s="246">
        <v>85.3</v>
      </c>
      <c r="H17" s="246">
        <v>85.3</v>
      </c>
      <c r="I17" s="246">
        <v>85.3</v>
      </c>
      <c r="J17" s="246">
        <v>85.4</v>
      </c>
      <c r="K17" s="246">
        <v>85.5</v>
      </c>
      <c r="L17" s="246">
        <v>85.7</v>
      </c>
      <c r="M17" s="246">
        <v>85.3</v>
      </c>
      <c r="N17" s="246">
        <f t="shared" si="0"/>
        <v>84.983333333333334</v>
      </c>
    </row>
    <row r="18" spans="1:14" x14ac:dyDescent="0.3">
      <c r="A18" s="7">
        <v>1992</v>
      </c>
      <c r="B18" s="246">
        <v>86</v>
      </c>
      <c r="C18" s="246">
        <v>86</v>
      </c>
      <c r="D18" s="246">
        <v>86.2</v>
      </c>
      <c r="E18" s="246">
        <v>86.2</v>
      </c>
      <c r="F18" s="246">
        <v>86.3</v>
      </c>
      <c r="G18" s="246">
        <v>86.5</v>
      </c>
      <c r="H18" s="246">
        <v>86.7</v>
      </c>
      <c r="I18" s="246">
        <v>86.7</v>
      </c>
      <c r="J18" s="246">
        <v>86.7</v>
      </c>
      <c r="K18" s="246">
        <v>87</v>
      </c>
      <c r="L18" s="246">
        <v>87.3</v>
      </c>
      <c r="M18" s="246">
        <v>87.3</v>
      </c>
      <c r="N18" s="246">
        <f t="shared" si="0"/>
        <v>86.575000000000003</v>
      </c>
    </row>
    <row r="19" spans="1:14" x14ac:dyDescent="0.3">
      <c r="A19" s="7">
        <v>1993</v>
      </c>
      <c r="B19" s="246">
        <v>87.6</v>
      </c>
      <c r="C19" s="246">
        <v>87.6</v>
      </c>
      <c r="D19" s="246">
        <v>87.9</v>
      </c>
      <c r="E19" s="246">
        <v>87.7</v>
      </c>
      <c r="F19" s="246">
        <v>87.6</v>
      </c>
      <c r="G19" s="246">
        <v>87.6</v>
      </c>
      <c r="H19" s="246">
        <v>87.6</v>
      </c>
      <c r="I19" s="246">
        <v>87.6</v>
      </c>
      <c r="J19" s="246">
        <v>87.6</v>
      </c>
      <c r="K19" s="246">
        <v>87.6</v>
      </c>
      <c r="L19" s="246">
        <v>88.3</v>
      </c>
      <c r="M19" s="246">
        <v>88.2</v>
      </c>
      <c r="N19" s="246">
        <f t="shared" si="0"/>
        <v>87.741666666666674</v>
      </c>
    </row>
    <row r="20" spans="1:14" x14ac:dyDescent="0.3">
      <c r="A20" s="7">
        <v>1994</v>
      </c>
      <c r="B20" s="246">
        <v>88</v>
      </c>
      <c r="C20" s="246">
        <v>86.4</v>
      </c>
      <c r="D20" s="246">
        <v>86.5</v>
      </c>
      <c r="E20" s="246">
        <v>86.4</v>
      </c>
      <c r="F20" s="246">
        <v>86</v>
      </c>
      <c r="G20" s="246">
        <v>86.4</v>
      </c>
      <c r="H20" s="246">
        <v>86.4</v>
      </c>
      <c r="I20" s="246">
        <v>86.4</v>
      </c>
      <c r="J20" s="246">
        <v>86.4</v>
      </c>
      <c r="K20" s="246">
        <v>86.2</v>
      </c>
      <c r="L20" s="246">
        <v>86.8</v>
      </c>
      <c r="M20" s="246">
        <v>86.7</v>
      </c>
      <c r="N20" s="246">
        <f t="shared" si="0"/>
        <v>86.55</v>
      </c>
    </row>
    <row r="21" spans="1:14" x14ac:dyDescent="0.3">
      <c r="A21" s="7">
        <v>1995</v>
      </c>
      <c r="B21" s="246">
        <v>87.2</v>
      </c>
      <c r="C21" s="246">
        <v>87.5</v>
      </c>
      <c r="D21" s="246">
        <v>87.6</v>
      </c>
      <c r="E21" s="246">
        <v>88.2</v>
      </c>
      <c r="F21" s="246">
        <v>88.4</v>
      </c>
      <c r="G21" s="246">
        <v>88.3</v>
      </c>
      <c r="H21" s="246">
        <v>88.5</v>
      </c>
      <c r="I21" s="246">
        <v>88.2</v>
      </c>
      <c r="J21" s="246">
        <v>88.4</v>
      </c>
      <c r="K21" s="246">
        <v>88.2</v>
      </c>
      <c r="L21" s="246">
        <v>88.5</v>
      </c>
      <c r="M21" s="246">
        <v>88.3</v>
      </c>
      <c r="N21" s="246">
        <f t="shared" si="0"/>
        <v>88.108333333333334</v>
      </c>
    </row>
    <row r="22" spans="1:14" x14ac:dyDescent="0.3">
      <c r="A22" s="7">
        <v>1996</v>
      </c>
      <c r="B22" s="246">
        <v>88.5</v>
      </c>
      <c r="C22" s="246">
        <v>88.8</v>
      </c>
      <c r="D22" s="246">
        <v>89.1</v>
      </c>
      <c r="E22" s="246">
        <v>89.4</v>
      </c>
      <c r="F22" s="246">
        <v>89.8</v>
      </c>
      <c r="G22" s="246">
        <v>89.8</v>
      </c>
      <c r="H22" s="246">
        <v>89.6</v>
      </c>
      <c r="I22" s="246">
        <v>89.6</v>
      </c>
      <c r="J22" s="246">
        <v>89.6</v>
      </c>
      <c r="K22" s="246">
        <v>90</v>
      </c>
      <c r="L22" s="246">
        <v>90.3</v>
      </c>
      <c r="M22" s="246">
        <v>89.9</v>
      </c>
      <c r="N22" s="246">
        <f t="shared" si="0"/>
        <v>89.533333333333346</v>
      </c>
    </row>
    <row r="23" spans="1:14" x14ac:dyDescent="0.3">
      <c r="A23" s="7">
        <v>1997</v>
      </c>
      <c r="B23" s="246">
        <v>90.2</v>
      </c>
      <c r="C23" s="246">
        <v>90.5</v>
      </c>
      <c r="D23" s="246">
        <v>90.5</v>
      </c>
      <c r="E23" s="246">
        <v>90.6</v>
      </c>
      <c r="F23" s="246">
        <v>90.7</v>
      </c>
      <c r="G23" s="246">
        <v>91.1</v>
      </c>
      <c r="H23" s="246">
        <v>91</v>
      </c>
      <c r="I23" s="246">
        <v>91.1</v>
      </c>
      <c r="J23" s="246">
        <v>90.9</v>
      </c>
      <c r="K23" s="246">
        <v>91</v>
      </c>
      <c r="L23" s="246">
        <v>91</v>
      </c>
      <c r="M23" s="246">
        <v>90.8</v>
      </c>
      <c r="N23" s="246">
        <f t="shared" si="0"/>
        <v>90.783333333333317</v>
      </c>
    </row>
    <row r="24" spans="1:14" x14ac:dyDescent="0.3">
      <c r="A24" s="7">
        <v>1998</v>
      </c>
      <c r="B24" s="246">
        <v>91.9</v>
      </c>
      <c r="C24" s="246">
        <v>92</v>
      </c>
      <c r="D24" s="246">
        <v>91.8</v>
      </c>
      <c r="E24" s="246">
        <v>91.9</v>
      </c>
      <c r="F24" s="246">
        <v>92.2</v>
      </c>
      <c r="G24" s="246">
        <v>92.4</v>
      </c>
      <c r="H24" s="246">
        <v>92.1</v>
      </c>
      <c r="I24" s="246">
        <v>92.2</v>
      </c>
      <c r="J24" s="246">
        <v>92</v>
      </c>
      <c r="K24" s="246">
        <v>92.2</v>
      </c>
      <c r="L24" s="246">
        <v>92.3</v>
      </c>
      <c r="M24" s="246">
        <v>92</v>
      </c>
      <c r="N24" s="246">
        <f t="shared" si="0"/>
        <v>92.083333333333329</v>
      </c>
    </row>
    <row r="25" spans="1:14" x14ac:dyDescent="0.3">
      <c r="A25" s="7">
        <v>1999</v>
      </c>
      <c r="B25" s="246">
        <v>92.2</v>
      </c>
      <c r="C25" s="246">
        <v>92.3</v>
      </c>
      <c r="D25" s="246">
        <v>92.9</v>
      </c>
      <c r="E25" s="246">
        <v>93.3</v>
      </c>
      <c r="F25" s="246">
        <v>93.4</v>
      </c>
      <c r="G25" s="246">
        <v>93.6</v>
      </c>
      <c r="H25" s="246">
        <v>93.8</v>
      </c>
      <c r="I25" s="246">
        <v>93.8</v>
      </c>
      <c r="J25" s="246">
        <v>94.1</v>
      </c>
      <c r="K25" s="246">
        <v>94.4</v>
      </c>
      <c r="L25" s="246">
        <v>94.2</v>
      </c>
      <c r="M25" s="246">
        <v>94.1</v>
      </c>
      <c r="N25" s="246">
        <f t="shared" si="0"/>
        <v>93.508333333333326</v>
      </c>
    </row>
    <row r="26" spans="1:14" x14ac:dyDescent="0.3">
      <c r="A26" s="7">
        <v>2000</v>
      </c>
      <c r="B26" s="246">
        <v>94.1</v>
      </c>
      <c r="C26" s="246">
        <v>94.8</v>
      </c>
      <c r="D26" s="246">
        <v>95.2</v>
      </c>
      <c r="E26" s="246">
        <v>94.9</v>
      </c>
      <c r="F26" s="246">
        <v>95.3</v>
      </c>
      <c r="G26" s="246">
        <v>96.2</v>
      </c>
      <c r="H26" s="246">
        <v>96.2</v>
      </c>
      <c r="I26" s="246">
        <v>96</v>
      </c>
      <c r="J26" s="246">
        <v>96.4</v>
      </c>
      <c r="K26" s="246">
        <v>96.5</v>
      </c>
      <c r="L26" s="246">
        <v>96.7</v>
      </c>
      <c r="M26" s="246">
        <v>96.8</v>
      </c>
      <c r="N26" s="246">
        <f t="shared" si="0"/>
        <v>95.758333333333326</v>
      </c>
    </row>
    <row r="27" spans="1:14" x14ac:dyDescent="0.3">
      <c r="A27" s="7">
        <v>2001</v>
      </c>
      <c r="B27" s="246">
        <v>96.7</v>
      </c>
      <c r="C27" s="246">
        <v>97.3</v>
      </c>
      <c r="D27" s="246">
        <v>97.6</v>
      </c>
      <c r="E27" s="246">
        <v>98.5</v>
      </c>
      <c r="F27" s="246">
        <v>98.9</v>
      </c>
      <c r="G27" s="246">
        <v>98.4</v>
      </c>
      <c r="H27" s="246">
        <v>98.4</v>
      </c>
      <c r="I27" s="246">
        <v>98.5</v>
      </c>
      <c r="J27" s="246">
        <v>98.4</v>
      </c>
      <c r="K27" s="246">
        <v>98</v>
      </c>
      <c r="L27" s="246">
        <v>97.7</v>
      </c>
      <c r="M27" s="246">
        <v>97.9</v>
      </c>
      <c r="N27" s="246">
        <f t="shared" si="0"/>
        <v>98.024999999999991</v>
      </c>
    </row>
    <row r="28" spans="1:14" x14ac:dyDescent="0.3">
      <c r="A28" s="7">
        <v>2002</v>
      </c>
      <c r="B28" s="246">
        <v>98.1</v>
      </c>
      <c r="C28" s="246">
        <v>98.8</v>
      </c>
      <c r="D28" s="246">
        <v>99</v>
      </c>
      <c r="E28" s="246">
        <v>99.5</v>
      </c>
      <c r="F28" s="246">
        <v>99.4</v>
      </c>
      <c r="G28" s="246">
        <v>99.7</v>
      </c>
      <c r="H28" s="246">
        <v>100.6</v>
      </c>
      <c r="I28" s="246">
        <v>100.7</v>
      </c>
      <c r="J28" s="246">
        <v>100.7</v>
      </c>
      <c r="K28" s="246">
        <v>101</v>
      </c>
      <c r="L28" s="246">
        <v>101.3</v>
      </c>
      <c r="M28" s="246">
        <v>101.3</v>
      </c>
      <c r="N28" s="246">
        <f t="shared" si="0"/>
        <v>100.00833333333334</v>
      </c>
    </row>
    <row r="29" spans="1:14" x14ac:dyDescent="0.3">
      <c r="A29" s="7">
        <v>2003</v>
      </c>
      <c r="B29" s="246">
        <v>102</v>
      </c>
      <c r="C29" s="246">
        <v>103.1</v>
      </c>
      <c r="D29" s="246">
        <v>103.3</v>
      </c>
      <c r="E29" s="246">
        <v>102.4</v>
      </c>
      <c r="F29" s="246">
        <v>102.4</v>
      </c>
      <c r="G29" s="246">
        <v>102.3</v>
      </c>
      <c r="H29" s="246">
        <v>102.4</v>
      </c>
      <c r="I29" s="246">
        <v>102.5</v>
      </c>
      <c r="J29" s="246">
        <v>102.3</v>
      </c>
      <c r="K29" s="246">
        <v>102.4</v>
      </c>
      <c r="L29" s="246">
        <v>102.7</v>
      </c>
      <c r="M29" s="246">
        <v>102.7</v>
      </c>
      <c r="N29" s="246">
        <f t="shared" si="0"/>
        <v>102.54166666666667</v>
      </c>
    </row>
    <row r="30" spans="1:14" x14ac:dyDescent="0.3">
      <c r="A30" s="7">
        <v>2004</v>
      </c>
      <c r="B30" s="246">
        <v>103.2</v>
      </c>
      <c r="C30" s="246">
        <v>103.6</v>
      </c>
      <c r="D30" s="246">
        <v>103.9</v>
      </c>
      <c r="E30" s="246">
        <v>103.8</v>
      </c>
      <c r="F30" s="246">
        <v>104.8</v>
      </c>
      <c r="G30" s="246">
        <v>104.8</v>
      </c>
      <c r="H30" s="246">
        <v>104.6</v>
      </c>
      <c r="I30" s="246">
        <v>104.5</v>
      </c>
      <c r="J30" s="246">
        <v>104.7</v>
      </c>
      <c r="K30" s="246">
        <v>105.3</v>
      </c>
      <c r="L30" s="246">
        <v>105.5</v>
      </c>
      <c r="M30" s="246">
        <v>105.2</v>
      </c>
      <c r="N30" s="246">
        <f t="shared" si="0"/>
        <v>104.49166666666667</v>
      </c>
    </row>
    <row r="31" spans="1:14" x14ac:dyDescent="0.3">
      <c r="A31" s="7">
        <v>2005</v>
      </c>
      <c r="B31" s="246">
        <v>105.3</v>
      </c>
      <c r="C31" s="246">
        <v>105.6</v>
      </c>
      <c r="D31" s="246">
        <v>106.4</v>
      </c>
      <c r="E31" s="246">
        <v>106.4</v>
      </c>
      <c r="F31" s="246">
        <v>106.5</v>
      </c>
      <c r="G31" s="246">
        <v>106.8</v>
      </c>
      <c r="H31" s="246">
        <v>107</v>
      </c>
      <c r="I31" s="246">
        <v>107.4</v>
      </c>
      <c r="J31" s="246">
        <v>108.5</v>
      </c>
      <c r="K31" s="246">
        <v>107.7</v>
      </c>
      <c r="L31" s="246">
        <v>107.5</v>
      </c>
      <c r="M31" s="246">
        <v>107.4</v>
      </c>
      <c r="N31" s="246">
        <f t="shared" si="0"/>
        <v>106.875</v>
      </c>
    </row>
    <row r="32" spans="1:14" x14ac:dyDescent="0.3">
      <c r="A32" s="7">
        <v>2006</v>
      </c>
      <c r="B32" s="246">
        <v>108.1</v>
      </c>
      <c r="C32" s="246">
        <v>108</v>
      </c>
      <c r="D32" s="246">
        <v>108.4</v>
      </c>
      <c r="E32" s="246">
        <v>109.1</v>
      </c>
      <c r="F32" s="246">
        <v>109.3</v>
      </c>
      <c r="G32" s="246">
        <v>109.1</v>
      </c>
      <c r="H32" s="246">
        <v>109.2</v>
      </c>
      <c r="I32" s="246">
        <v>109.2</v>
      </c>
      <c r="J32" s="246">
        <v>108.4</v>
      </c>
      <c r="K32" s="246">
        <v>108.4</v>
      </c>
      <c r="L32" s="246">
        <v>108.6</v>
      </c>
      <c r="M32" s="246">
        <v>108.7</v>
      </c>
      <c r="N32" s="246">
        <f t="shared" si="0"/>
        <v>108.70833333333333</v>
      </c>
    </row>
    <row r="33" spans="1:14" x14ac:dyDescent="0.3">
      <c r="A33" s="7">
        <v>2007</v>
      </c>
      <c r="B33" s="246">
        <v>108.8</v>
      </c>
      <c r="C33" s="246">
        <v>109.6</v>
      </c>
      <c r="D33" s="246">
        <v>110.4</v>
      </c>
      <c r="E33" s="246">
        <v>110.6</v>
      </c>
      <c r="F33" s="246">
        <v>111.1</v>
      </c>
      <c r="G33" s="246">
        <v>110.7</v>
      </c>
      <c r="H33" s="246">
        <v>110.6</v>
      </c>
      <c r="I33" s="246">
        <v>110.1</v>
      </c>
      <c r="J33" s="246">
        <v>110.5</v>
      </c>
      <c r="K33" s="246">
        <v>110.5</v>
      </c>
      <c r="L33" s="246">
        <v>110.8</v>
      </c>
      <c r="M33" s="246">
        <v>111.1</v>
      </c>
      <c r="N33" s="246">
        <f t="shared" si="0"/>
        <v>110.39999999999999</v>
      </c>
    </row>
    <row r="34" spans="1:14" x14ac:dyDescent="0.3">
      <c r="A34" s="7">
        <v>2008</v>
      </c>
      <c r="B34" s="246">
        <v>111</v>
      </c>
      <c r="C34" s="246">
        <v>111.4</v>
      </c>
      <c r="D34" s="246">
        <v>111.7</v>
      </c>
      <c r="E34" s="246">
        <v>112.4</v>
      </c>
      <c r="F34" s="246">
        <v>113.6</v>
      </c>
      <c r="G34" s="246">
        <v>114.1</v>
      </c>
      <c r="H34" s="246">
        <v>114.1</v>
      </c>
      <c r="I34" s="246">
        <v>113.5</v>
      </c>
      <c r="J34" s="246">
        <v>114</v>
      </c>
      <c r="K34" s="246">
        <v>113</v>
      </c>
      <c r="L34" s="246">
        <v>112.4</v>
      </c>
      <c r="M34" s="246">
        <v>111.7</v>
      </c>
      <c r="N34" s="246">
        <f t="shared" si="0"/>
        <v>112.74166666666669</v>
      </c>
    </row>
    <row r="35" spans="1:14" x14ac:dyDescent="0.3">
      <c r="A35" s="7">
        <v>2009</v>
      </c>
      <c r="B35" s="246">
        <v>111.5</v>
      </c>
      <c r="C35" s="246">
        <v>112.3</v>
      </c>
      <c r="D35" s="246">
        <v>112.6</v>
      </c>
      <c r="E35" s="246">
        <v>112.7</v>
      </c>
      <c r="F35" s="246">
        <v>113.7</v>
      </c>
      <c r="G35" s="246">
        <v>114.3</v>
      </c>
      <c r="H35" s="246">
        <v>113.8</v>
      </c>
      <c r="I35" s="246">
        <v>113.9</v>
      </c>
      <c r="J35" s="246">
        <v>113.7</v>
      </c>
      <c r="K35" s="246">
        <v>113.6</v>
      </c>
      <c r="L35" s="246">
        <v>114.3</v>
      </c>
      <c r="M35" s="246">
        <v>114</v>
      </c>
      <c r="N35" s="246">
        <f t="shared" si="0"/>
        <v>113.36666666666666</v>
      </c>
    </row>
    <row r="36" spans="1:14" x14ac:dyDescent="0.3">
      <c r="A36" s="7">
        <v>2010</v>
      </c>
      <c r="B36" s="246">
        <v>114</v>
      </c>
      <c r="C36" s="246">
        <v>114.2</v>
      </c>
      <c r="D36" s="246">
        <v>114.5</v>
      </c>
      <c r="E36" s="246">
        <v>114.8</v>
      </c>
      <c r="F36" s="246">
        <v>114.9</v>
      </c>
      <c r="G36" s="246">
        <v>114.8</v>
      </c>
      <c r="H36" s="246">
        <v>114.5</v>
      </c>
      <c r="I36" s="246">
        <v>114.6</v>
      </c>
      <c r="J36" s="246">
        <v>114.8</v>
      </c>
      <c r="K36" s="246">
        <v>115.2</v>
      </c>
      <c r="L36" s="246">
        <v>115.6</v>
      </c>
      <c r="M36" s="246">
        <v>115.8</v>
      </c>
      <c r="N36" s="246">
        <f t="shared" si="0"/>
        <v>114.80833333333332</v>
      </c>
    </row>
    <row r="37" spans="1:14" x14ac:dyDescent="0.3">
      <c r="A37" s="7">
        <v>2011</v>
      </c>
      <c r="B37" s="246">
        <v>116.4</v>
      </c>
      <c r="C37" s="246">
        <v>116.7</v>
      </c>
      <c r="D37" s="246">
        <v>118.3</v>
      </c>
      <c r="E37" s="246">
        <v>118.5</v>
      </c>
      <c r="F37" s="246">
        <v>118.9</v>
      </c>
      <c r="G37" s="246">
        <v>118.2</v>
      </c>
      <c r="H37" s="246">
        <v>118.3</v>
      </c>
      <c r="I37" s="246">
        <v>118.5</v>
      </c>
      <c r="J37" s="246">
        <v>118.7</v>
      </c>
      <c r="K37" s="246">
        <v>119</v>
      </c>
      <c r="L37" s="246">
        <v>119.3</v>
      </c>
      <c r="M37" s="246">
        <v>118.7</v>
      </c>
      <c r="N37" s="246">
        <f t="shared" si="0"/>
        <v>118.29166666666667</v>
      </c>
    </row>
    <row r="38" spans="1:14" x14ac:dyDescent="0.3">
      <c r="A38" s="7">
        <v>2012</v>
      </c>
      <c r="B38" s="246">
        <v>119.7</v>
      </c>
      <c r="C38" s="246">
        <v>120.4</v>
      </c>
      <c r="D38" s="246">
        <v>120.8</v>
      </c>
      <c r="E38" s="246">
        <v>121.3</v>
      </c>
      <c r="F38" s="246">
        <v>121.1</v>
      </c>
      <c r="G38" s="246">
        <v>120.6</v>
      </c>
      <c r="H38" s="246">
        <v>120.5</v>
      </c>
      <c r="I38" s="246">
        <v>120.9</v>
      </c>
      <c r="J38" s="246">
        <v>120.9</v>
      </c>
      <c r="K38" s="246">
        <v>121.3</v>
      </c>
      <c r="L38" s="246">
        <v>121.1</v>
      </c>
      <c r="M38" s="246">
        <v>120.5</v>
      </c>
      <c r="N38" s="246">
        <f t="shared" si="0"/>
        <v>120.75833333333333</v>
      </c>
    </row>
    <row r="39" spans="1:14" x14ac:dyDescent="0.3">
      <c r="A39" s="7">
        <v>2013</v>
      </c>
      <c r="B39" s="246">
        <v>120.4</v>
      </c>
      <c r="C39" s="246">
        <v>122.1</v>
      </c>
      <c r="D39" s="246">
        <v>121.8</v>
      </c>
      <c r="E39" s="246">
        <v>121.8</v>
      </c>
      <c r="F39" s="246">
        <v>121.9</v>
      </c>
      <c r="G39" s="246">
        <v>121.8</v>
      </c>
      <c r="H39" s="246">
        <v>121.8</v>
      </c>
      <c r="I39" s="246">
        <v>121.9</v>
      </c>
      <c r="J39" s="246">
        <v>122</v>
      </c>
      <c r="K39" s="246">
        <v>121.6</v>
      </c>
      <c r="L39" s="246">
        <v>121.8</v>
      </c>
      <c r="M39" s="246">
        <v>121.5</v>
      </c>
      <c r="N39" s="246">
        <f t="shared" si="0"/>
        <v>121.69999999999999</v>
      </c>
    </row>
    <row r="40" spans="1:14" x14ac:dyDescent="0.3">
      <c r="A40" s="7">
        <v>2014</v>
      </c>
      <c r="B40" s="246">
        <v>121.7</v>
      </c>
      <c r="C40" s="246">
        <v>122.6</v>
      </c>
      <c r="D40" s="246">
        <v>122.9</v>
      </c>
      <c r="E40" s="246">
        <v>123.4</v>
      </c>
      <c r="F40" s="246">
        <v>123.8</v>
      </c>
      <c r="G40" s="246">
        <v>123.9</v>
      </c>
      <c r="H40" s="246">
        <v>123.7</v>
      </c>
      <c r="I40" s="246">
        <v>123.8</v>
      </c>
      <c r="J40" s="246">
        <v>123.9</v>
      </c>
      <c r="K40" s="246">
        <v>124.3</v>
      </c>
      <c r="L40" s="246">
        <v>123.8</v>
      </c>
      <c r="M40" s="246">
        <v>122.8</v>
      </c>
      <c r="N40" s="246">
        <f t="shared" si="0"/>
        <v>123.38333333333333</v>
      </c>
    </row>
    <row r="41" spans="1:14" x14ac:dyDescent="0.3">
      <c r="A41" s="7">
        <v>2015</v>
      </c>
      <c r="B41" s="246">
        <v>122.6</v>
      </c>
      <c r="C41" s="246">
        <v>123.9</v>
      </c>
      <c r="D41" s="246">
        <v>124.7</v>
      </c>
      <c r="E41" s="246">
        <v>124.7</v>
      </c>
      <c r="F41" s="246">
        <v>125.3</v>
      </c>
      <c r="G41" s="246">
        <v>125.2</v>
      </c>
      <c r="H41" s="246">
        <v>125.3</v>
      </c>
      <c r="I41" s="246">
        <v>125.2</v>
      </c>
      <c r="J41" s="246">
        <v>125.1</v>
      </c>
      <c r="K41" s="246">
        <v>125.2</v>
      </c>
      <c r="L41" s="246">
        <v>124.9</v>
      </c>
      <c r="M41" s="246">
        <v>124.4</v>
      </c>
      <c r="N41" s="246">
        <f t="shared" si="0"/>
        <v>124.70833333333336</v>
      </c>
    </row>
    <row r="42" spans="1:14" x14ac:dyDescent="0.3">
      <c r="A42" s="7">
        <v>2016</v>
      </c>
      <c r="B42" s="246">
        <v>124.6</v>
      </c>
      <c r="C42" s="246">
        <v>125.1</v>
      </c>
      <c r="D42" s="246">
        <v>125.6</v>
      </c>
      <c r="E42" s="246">
        <v>126</v>
      </c>
      <c r="F42" s="246">
        <v>126.2</v>
      </c>
      <c r="G42" s="246">
        <v>126</v>
      </c>
      <c r="H42" s="246">
        <v>125.6</v>
      </c>
      <c r="I42" s="246">
        <v>125.3</v>
      </c>
      <c r="J42" s="246">
        <v>125.8</v>
      </c>
      <c r="K42" s="246">
        <v>125.9</v>
      </c>
      <c r="L42" s="246">
        <v>125.6</v>
      </c>
      <c r="M42" s="246">
        <v>125.2</v>
      </c>
      <c r="N42" s="246">
        <f t="shared" si="0"/>
        <v>125.575</v>
      </c>
    </row>
    <row r="43" spans="1:14" x14ac:dyDescent="0.3">
      <c r="A43" s="7">
        <v>2017</v>
      </c>
      <c r="B43" s="246">
        <v>126.2</v>
      </c>
      <c r="C43" s="246">
        <v>126.6</v>
      </c>
      <c r="D43" s="246">
        <v>126.7</v>
      </c>
      <c r="E43" s="246">
        <v>127</v>
      </c>
      <c r="F43" s="246">
        <v>127.1</v>
      </c>
      <c r="G43" s="246">
        <v>126.7</v>
      </c>
      <c r="H43" s="246">
        <v>126.7</v>
      </c>
      <c r="I43" s="246">
        <v>126.7</v>
      </c>
      <c r="J43" s="246">
        <v>127.1</v>
      </c>
      <c r="K43" s="246">
        <v>127.2</v>
      </c>
      <c r="L43" s="246">
        <v>127.7</v>
      </c>
      <c r="M43" s="246">
        <v>127.5</v>
      </c>
      <c r="N43" s="246">
        <f t="shared" si="0"/>
        <v>126.93333333333335</v>
      </c>
    </row>
    <row r="44" spans="1:14" x14ac:dyDescent="0.3">
      <c r="A44" s="7">
        <v>2018</v>
      </c>
      <c r="B44" s="246">
        <v>127.8</v>
      </c>
      <c r="C44" s="246">
        <v>128.5</v>
      </c>
      <c r="D44" s="246">
        <v>128.69999999999999</v>
      </c>
      <c r="E44" s="246">
        <v>129.19999999999999</v>
      </c>
      <c r="F44" s="246">
        <v>129.30000000000001</v>
      </c>
      <c r="G44" s="246">
        <v>129.19999999999999</v>
      </c>
      <c r="H44" s="246">
        <v>129.69999999999999</v>
      </c>
      <c r="I44" s="246">
        <v>129.5</v>
      </c>
      <c r="J44" s="246">
        <v>129.30000000000001</v>
      </c>
      <c r="K44" s="246">
        <v>129.4</v>
      </c>
      <c r="L44" s="246">
        <v>128.9</v>
      </c>
      <c r="M44" s="246">
        <v>128.9</v>
      </c>
      <c r="N44" s="246">
        <f t="shared" si="0"/>
        <v>129.03333333333336</v>
      </c>
    </row>
    <row r="45" spans="1:14" x14ac:dyDescent="0.3">
      <c r="A45" s="7">
        <v>2019</v>
      </c>
      <c r="B45" s="246">
        <v>129.1</v>
      </c>
      <c r="C45" s="246">
        <v>130.19999999999999</v>
      </c>
      <c r="D45" s="246">
        <v>131</v>
      </c>
      <c r="E45" s="246">
        <v>131.5</v>
      </c>
      <c r="F45" s="246">
        <v>132.4</v>
      </c>
      <c r="G45" s="246">
        <v>132</v>
      </c>
      <c r="H45" s="246">
        <v>132.6</v>
      </c>
      <c r="I45" s="246">
        <v>132.4</v>
      </c>
      <c r="J45" s="246">
        <v>132.1</v>
      </c>
      <c r="K45" s="246">
        <v>132.4</v>
      </c>
      <c r="L45" s="246">
        <v>132.4</v>
      </c>
      <c r="M45" s="246">
        <v>132.4</v>
      </c>
      <c r="N45" s="246">
        <f t="shared" si="0"/>
        <v>131.70833333333334</v>
      </c>
    </row>
    <row r="46" spans="1:14" x14ac:dyDescent="0.3">
      <c r="A46" s="7">
        <v>2020</v>
      </c>
      <c r="B46" s="246">
        <v>132.6</v>
      </c>
      <c r="C46" s="246">
        <v>133.19999999999999</v>
      </c>
      <c r="D46" s="246">
        <v>132.5</v>
      </c>
      <c r="E46" s="246">
        <v>131.69999999999999</v>
      </c>
      <c r="F46" s="246">
        <v>131.9</v>
      </c>
      <c r="G46" s="246">
        <v>132.80000000000001</v>
      </c>
      <c r="H46" s="246">
        <v>133</v>
      </c>
      <c r="I46" s="246">
        <v>132.9</v>
      </c>
      <c r="J46" s="246">
        <v>132.5</v>
      </c>
      <c r="K46" s="246">
        <v>133.1</v>
      </c>
      <c r="L46" s="246">
        <v>133.5</v>
      </c>
      <c r="M46" s="246">
        <v>133.4</v>
      </c>
      <c r="N46" s="246">
        <f t="shared" si="0"/>
        <v>132.75833333333335</v>
      </c>
    </row>
    <row r="47" spans="1:14" x14ac:dyDescent="0.3">
      <c r="A47" s="7">
        <v>2021</v>
      </c>
      <c r="B47" s="246">
        <v>134.30000000000001</v>
      </c>
      <c r="C47" s="246">
        <v>135.30000000000001</v>
      </c>
      <c r="D47" s="246">
        <v>135.4</v>
      </c>
      <c r="E47" s="246">
        <v>136.19999999999999</v>
      </c>
      <c r="F47" s="246">
        <v>137.30000000000001</v>
      </c>
      <c r="G47" s="246">
        <v>137.69999999999999</v>
      </c>
      <c r="H47" s="246">
        <v>138.5</v>
      </c>
      <c r="I47" s="246">
        <v>138.69999999999999</v>
      </c>
      <c r="J47" s="246">
        <v>139.19999999999999</v>
      </c>
      <c r="K47" s="246">
        <v>140.19999999999999</v>
      </c>
      <c r="L47" s="246">
        <v>140.5</v>
      </c>
      <c r="M47" s="246">
        <v>140.19999999999999</v>
      </c>
      <c r="N47" s="246">
        <f t="shared" si="0"/>
        <v>137.79166666666669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2"/>
  <dimension ref="A1:N47"/>
  <sheetViews>
    <sheetView workbookViewId="0">
      <pane xSplit="1" ySplit="3" topLeftCell="B37" activePane="bottomRight" state="frozen"/>
      <selection sqref="A1:XFD1048576"/>
      <selection pane="topRight" sqref="A1:XFD1048576"/>
      <selection pane="bottomLeft" sqref="A1:XFD1048576"/>
      <selection pane="bottomRight" activeCell="N47" sqref="N47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83</v>
      </c>
    </row>
    <row r="2" spans="1:14" s="187" customFormat="1" x14ac:dyDescent="0.3">
      <c r="A2" s="25">
        <v>8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36</v>
      </c>
      <c r="K4" s="246">
        <v>36.5</v>
      </c>
      <c r="L4" s="246">
        <v>36.9</v>
      </c>
      <c r="M4" s="246">
        <v>36.9</v>
      </c>
      <c r="N4" s="246">
        <f t="shared" ref="N4:N47" si="0">AVERAGE(B4:M4)</f>
        <v>36.575000000000003</v>
      </c>
    </row>
    <row r="5" spans="1:14" x14ac:dyDescent="0.3">
      <c r="A5" s="7">
        <v>1979</v>
      </c>
      <c r="B5" s="246">
        <v>37.200000000000003</v>
      </c>
      <c r="C5" s="246">
        <v>37.5</v>
      </c>
      <c r="D5" s="246">
        <v>38</v>
      </c>
      <c r="E5" s="246">
        <v>38.299999999999997</v>
      </c>
      <c r="F5" s="246">
        <v>38.6</v>
      </c>
      <c r="G5" s="246">
        <v>38.9</v>
      </c>
      <c r="H5" s="246">
        <v>39.200000000000003</v>
      </c>
      <c r="I5" s="246">
        <v>39.299999999999997</v>
      </c>
      <c r="J5" s="246">
        <v>39.5</v>
      </c>
      <c r="K5" s="246">
        <v>40</v>
      </c>
      <c r="L5" s="246">
        <v>40.4</v>
      </c>
      <c r="M5" s="246">
        <v>40.6</v>
      </c>
      <c r="N5" s="246">
        <f t="shared" si="0"/>
        <v>38.958333333333336</v>
      </c>
    </row>
    <row r="6" spans="1:14" x14ac:dyDescent="0.3">
      <c r="A6" s="7">
        <v>1980</v>
      </c>
      <c r="B6" s="246">
        <v>40.9</v>
      </c>
      <c r="C6" s="246">
        <v>41.3</v>
      </c>
      <c r="D6" s="246">
        <v>41.7</v>
      </c>
      <c r="E6" s="246">
        <v>42</v>
      </c>
      <c r="F6" s="246">
        <v>42.4</v>
      </c>
      <c r="G6" s="246">
        <v>42.9</v>
      </c>
      <c r="H6" s="246">
        <v>43.1</v>
      </c>
      <c r="I6" s="246">
        <v>43.5</v>
      </c>
      <c r="J6" s="246">
        <v>44</v>
      </c>
      <c r="K6" s="246">
        <v>44.3</v>
      </c>
      <c r="L6" s="246">
        <v>44.6</v>
      </c>
      <c r="M6" s="246">
        <v>45</v>
      </c>
      <c r="N6" s="246">
        <f t="shared" si="0"/>
        <v>42.975000000000001</v>
      </c>
    </row>
    <row r="7" spans="1:14" x14ac:dyDescent="0.3">
      <c r="A7" s="7">
        <v>1981</v>
      </c>
      <c r="B7" s="246">
        <v>45.6</v>
      </c>
      <c r="C7" s="246">
        <v>46</v>
      </c>
      <c r="D7" s="246">
        <v>46.6</v>
      </c>
      <c r="E7" s="246">
        <v>47</v>
      </c>
      <c r="F7" s="246">
        <v>47.4</v>
      </c>
      <c r="G7" s="246">
        <v>48.2</v>
      </c>
      <c r="H7" s="246">
        <v>48.6</v>
      </c>
      <c r="I7" s="246">
        <v>49</v>
      </c>
      <c r="J7" s="246">
        <v>49.2</v>
      </c>
      <c r="K7" s="246">
        <v>49.9</v>
      </c>
      <c r="L7" s="246">
        <v>50.2</v>
      </c>
      <c r="M7" s="246">
        <v>50.2</v>
      </c>
      <c r="N7" s="246">
        <f t="shared" si="0"/>
        <v>48.158333333333339</v>
      </c>
    </row>
    <row r="8" spans="1:14" x14ac:dyDescent="0.3">
      <c r="A8" s="7">
        <v>1982</v>
      </c>
      <c r="B8" s="246">
        <v>50.5</v>
      </c>
      <c r="C8" s="246">
        <v>51.1</v>
      </c>
      <c r="D8" s="246">
        <v>51.9</v>
      </c>
      <c r="E8" s="246">
        <v>52.2</v>
      </c>
      <c r="F8" s="246">
        <v>52.9</v>
      </c>
      <c r="G8" s="246">
        <v>53.5</v>
      </c>
      <c r="H8" s="246">
        <v>53.9</v>
      </c>
      <c r="I8" s="246">
        <v>54</v>
      </c>
      <c r="J8" s="246">
        <v>54.4</v>
      </c>
      <c r="K8" s="246">
        <v>54.7</v>
      </c>
      <c r="L8" s="246">
        <v>55.1</v>
      </c>
      <c r="M8" s="246">
        <v>55.3</v>
      </c>
      <c r="N8" s="246">
        <f t="shared" si="0"/>
        <v>53.291666666666657</v>
      </c>
    </row>
    <row r="9" spans="1:14" x14ac:dyDescent="0.3">
      <c r="A9" s="7">
        <v>1983</v>
      </c>
      <c r="B9" s="246">
        <v>55.1</v>
      </c>
      <c r="C9" s="246">
        <v>55.4</v>
      </c>
      <c r="D9" s="246">
        <v>55.9</v>
      </c>
      <c r="E9" s="246">
        <v>55.5</v>
      </c>
      <c r="F9" s="246">
        <v>55.7</v>
      </c>
      <c r="G9" s="246">
        <v>56.8</v>
      </c>
      <c r="H9" s="246">
        <v>56.9</v>
      </c>
      <c r="I9" s="246">
        <v>57.3</v>
      </c>
      <c r="J9" s="246">
        <v>57.3</v>
      </c>
      <c r="K9" s="246">
        <v>57.6</v>
      </c>
      <c r="L9" s="246">
        <v>57.5</v>
      </c>
      <c r="M9" s="246">
        <v>57.9</v>
      </c>
      <c r="N9" s="246">
        <f t="shared" si="0"/>
        <v>56.574999999999996</v>
      </c>
    </row>
    <row r="10" spans="1:14" x14ac:dyDescent="0.3">
      <c r="A10" s="7">
        <v>1984</v>
      </c>
      <c r="B10" s="246">
        <v>58.4</v>
      </c>
      <c r="C10" s="246">
        <v>58.7</v>
      </c>
      <c r="D10" s="246">
        <v>58.7</v>
      </c>
      <c r="E10" s="246">
        <v>58.9</v>
      </c>
      <c r="F10" s="246">
        <v>58.9</v>
      </c>
      <c r="G10" s="246">
        <v>59.3</v>
      </c>
      <c r="H10" s="246">
        <v>59.7</v>
      </c>
      <c r="I10" s="246">
        <v>59.7</v>
      </c>
      <c r="J10" s="246">
        <v>59.8</v>
      </c>
      <c r="K10" s="246">
        <v>59.9</v>
      </c>
      <c r="L10" s="246">
        <v>60.4</v>
      </c>
      <c r="M10" s="246">
        <v>60.3</v>
      </c>
      <c r="N10" s="246">
        <f t="shared" si="0"/>
        <v>59.391666666666659</v>
      </c>
    </row>
    <row r="11" spans="1:14" x14ac:dyDescent="0.3">
      <c r="A11" s="7">
        <v>1985</v>
      </c>
      <c r="B11" s="246">
        <v>60.7</v>
      </c>
      <c r="C11" s="246">
        <v>61</v>
      </c>
      <c r="D11" s="246">
        <v>61.3</v>
      </c>
      <c r="E11" s="246">
        <v>61.3</v>
      </c>
      <c r="F11" s="246">
        <v>61.4</v>
      </c>
      <c r="G11" s="246">
        <v>61.8</v>
      </c>
      <c r="H11" s="246">
        <v>61.9</v>
      </c>
      <c r="I11" s="246">
        <v>62.1</v>
      </c>
      <c r="J11" s="246">
        <v>62.1</v>
      </c>
      <c r="K11" s="246">
        <v>62.4</v>
      </c>
      <c r="L11" s="246">
        <v>62.7</v>
      </c>
      <c r="M11" s="246">
        <v>63</v>
      </c>
      <c r="N11" s="246">
        <f t="shared" si="0"/>
        <v>61.808333333333337</v>
      </c>
    </row>
    <row r="12" spans="1:14" x14ac:dyDescent="0.3">
      <c r="A12" s="7">
        <v>1986</v>
      </c>
      <c r="B12" s="246">
        <v>63.4</v>
      </c>
      <c r="C12" s="246">
        <v>63.6</v>
      </c>
      <c r="D12" s="246">
        <v>63.7</v>
      </c>
      <c r="E12" s="246">
        <v>63.8</v>
      </c>
      <c r="F12" s="246">
        <v>64.099999999999994</v>
      </c>
      <c r="G12" s="246">
        <v>64.3</v>
      </c>
      <c r="H12" s="246">
        <v>64.8</v>
      </c>
      <c r="I12" s="246">
        <v>65</v>
      </c>
      <c r="J12" s="246">
        <v>65</v>
      </c>
      <c r="K12" s="246">
        <v>65.400000000000006</v>
      </c>
      <c r="L12" s="246">
        <v>65.8</v>
      </c>
      <c r="M12" s="246">
        <v>65.900000000000006</v>
      </c>
      <c r="N12" s="246">
        <f t="shared" si="0"/>
        <v>64.566666666666663</v>
      </c>
    </row>
    <row r="13" spans="1:14" x14ac:dyDescent="0.3">
      <c r="A13" s="7">
        <v>1987</v>
      </c>
      <c r="B13" s="246">
        <v>66.2</v>
      </c>
      <c r="C13" s="246">
        <v>66.5</v>
      </c>
      <c r="D13" s="246">
        <v>66.8</v>
      </c>
      <c r="E13" s="246">
        <v>67.2</v>
      </c>
      <c r="F13" s="246">
        <v>67.599999999999994</v>
      </c>
      <c r="G13" s="246">
        <v>67.8</v>
      </c>
      <c r="H13" s="246">
        <v>68.400000000000006</v>
      </c>
      <c r="I13" s="246">
        <v>68.400000000000006</v>
      </c>
      <c r="J13" s="246">
        <v>68.400000000000006</v>
      </c>
      <c r="K13" s="246">
        <v>68.7</v>
      </c>
      <c r="L13" s="246">
        <v>68.900000000000006</v>
      </c>
      <c r="M13" s="246">
        <v>68.8</v>
      </c>
      <c r="N13" s="246">
        <f t="shared" si="0"/>
        <v>67.808333333333323</v>
      </c>
    </row>
    <row r="14" spans="1:14" x14ac:dyDescent="0.3">
      <c r="A14" s="7">
        <v>1988</v>
      </c>
      <c r="B14" s="246">
        <v>69</v>
      </c>
      <c r="C14" s="246">
        <v>69.3</v>
      </c>
      <c r="D14" s="246">
        <v>69.7</v>
      </c>
      <c r="E14" s="246">
        <v>69.900000000000006</v>
      </c>
      <c r="F14" s="246">
        <v>70.8</v>
      </c>
      <c r="G14" s="246">
        <v>71</v>
      </c>
      <c r="H14" s="246">
        <v>71.400000000000006</v>
      </c>
      <c r="I14" s="246">
        <v>71.7</v>
      </c>
      <c r="J14" s="246">
        <v>71.8</v>
      </c>
      <c r="K14" s="246">
        <v>72.2</v>
      </c>
      <c r="L14" s="246">
        <v>72.400000000000006</v>
      </c>
      <c r="M14" s="246">
        <v>72.5</v>
      </c>
      <c r="N14" s="246">
        <f t="shared" si="0"/>
        <v>70.975000000000009</v>
      </c>
    </row>
    <row r="15" spans="1:14" x14ac:dyDescent="0.3">
      <c r="A15" s="7">
        <v>1989</v>
      </c>
      <c r="B15" s="246">
        <v>72.8</v>
      </c>
      <c r="C15" s="246">
        <v>73.3</v>
      </c>
      <c r="D15" s="246">
        <v>73.8</v>
      </c>
      <c r="E15" s="246">
        <v>74.2</v>
      </c>
      <c r="F15" s="246">
        <v>74.8</v>
      </c>
      <c r="G15" s="246">
        <v>75.3</v>
      </c>
      <c r="H15" s="246">
        <v>75.8</v>
      </c>
      <c r="I15" s="246">
        <v>75.900000000000006</v>
      </c>
      <c r="J15" s="246">
        <v>75.900000000000006</v>
      </c>
      <c r="K15" s="246">
        <v>76.3</v>
      </c>
      <c r="L15" s="246">
        <v>76.599999999999994</v>
      </c>
      <c r="M15" s="246">
        <v>76.599999999999994</v>
      </c>
      <c r="N15" s="246">
        <f t="shared" si="0"/>
        <v>75.108333333333334</v>
      </c>
    </row>
    <row r="16" spans="1:14" x14ac:dyDescent="0.3">
      <c r="A16" s="7">
        <v>1990</v>
      </c>
      <c r="B16" s="246">
        <v>77.2</v>
      </c>
      <c r="C16" s="246">
        <v>77.7</v>
      </c>
      <c r="D16" s="246">
        <v>77.900000000000006</v>
      </c>
      <c r="E16" s="246">
        <v>77.900000000000006</v>
      </c>
      <c r="F16" s="246">
        <v>78.3</v>
      </c>
      <c r="G16" s="246">
        <v>78.599999999999994</v>
      </c>
      <c r="H16" s="246">
        <v>79</v>
      </c>
      <c r="I16" s="246">
        <v>79</v>
      </c>
      <c r="J16" s="246">
        <v>79.099999999999994</v>
      </c>
      <c r="K16" s="246">
        <v>79.8</v>
      </c>
      <c r="L16" s="246">
        <v>80.3</v>
      </c>
      <c r="M16" s="246">
        <v>79.900000000000006</v>
      </c>
      <c r="N16" s="246">
        <f t="shared" si="0"/>
        <v>78.724999999999994</v>
      </c>
    </row>
    <row r="17" spans="1:14" x14ac:dyDescent="0.3">
      <c r="A17" s="7">
        <v>1991</v>
      </c>
      <c r="B17" s="246">
        <v>81.599999999999994</v>
      </c>
      <c r="C17" s="246">
        <v>81.599999999999994</v>
      </c>
      <c r="D17" s="246">
        <v>81.8</v>
      </c>
      <c r="E17" s="246">
        <v>81.900000000000006</v>
      </c>
      <c r="F17" s="246">
        <v>82.4</v>
      </c>
      <c r="G17" s="246">
        <v>82.8</v>
      </c>
      <c r="H17" s="246">
        <v>83</v>
      </c>
      <c r="I17" s="246">
        <v>83</v>
      </c>
      <c r="J17" s="246">
        <v>82.8</v>
      </c>
      <c r="K17" s="246">
        <v>82.4</v>
      </c>
      <c r="L17" s="246">
        <v>82.8</v>
      </c>
      <c r="M17" s="246">
        <v>82.4</v>
      </c>
      <c r="N17" s="246">
        <f t="shared" si="0"/>
        <v>82.374999999999986</v>
      </c>
    </row>
    <row r="18" spans="1:14" x14ac:dyDescent="0.3">
      <c r="A18" s="7">
        <v>1992</v>
      </c>
      <c r="B18" s="246">
        <v>82.5</v>
      </c>
      <c r="C18" s="246">
        <v>82.7</v>
      </c>
      <c r="D18" s="246">
        <v>82.8</v>
      </c>
      <c r="E18" s="246">
        <v>82.9</v>
      </c>
      <c r="F18" s="246">
        <v>83.1</v>
      </c>
      <c r="G18" s="246">
        <v>83.3</v>
      </c>
      <c r="H18" s="246">
        <v>83.5</v>
      </c>
      <c r="I18" s="246">
        <v>83.5</v>
      </c>
      <c r="J18" s="246">
        <v>83.3</v>
      </c>
      <c r="K18" s="246">
        <v>83.4</v>
      </c>
      <c r="L18" s="246">
        <v>83.8</v>
      </c>
      <c r="M18" s="246">
        <v>83.8</v>
      </c>
      <c r="N18" s="246">
        <f t="shared" si="0"/>
        <v>83.216666666666654</v>
      </c>
    </row>
    <row r="19" spans="1:14" x14ac:dyDescent="0.3">
      <c r="A19" s="7">
        <v>1993</v>
      </c>
      <c r="B19" s="246">
        <v>84</v>
      </c>
      <c r="C19" s="246">
        <v>84.4</v>
      </c>
      <c r="D19" s="246">
        <v>84.5</v>
      </c>
      <c r="E19" s="246">
        <v>84.3</v>
      </c>
      <c r="F19" s="246">
        <v>84.4</v>
      </c>
      <c r="G19" s="246">
        <v>84.6</v>
      </c>
      <c r="H19" s="246">
        <v>84.8</v>
      </c>
      <c r="I19" s="246">
        <v>84.8</v>
      </c>
      <c r="J19" s="246">
        <v>84.9</v>
      </c>
      <c r="K19" s="246">
        <v>85.1</v>
      </c>
      <c r="L19" s="246">
        <v>85.3</v>
      </c>
      <c r="M19" s="246">
        <v>85.3</v>
      </c>
      <c r="N19" s="246">
        <f t="shared" si="0"/>
        <v>84.699999999999989</v>
      </c>
    </row>
    <row r="20" spans="1:14" x14ac:dyDescent="0.3">
      <c r="A20" s="7">
        <v>1994</v>
      </c>
      <c r="B20" s="246">
        <v>85.1</v>
      </c>
      <c r="C20" s="246">
        <v>84.6</v>
      </c>
      <c r="D20" s="246">
        <v>84.3</v>
      </c>
      <c r="E20" s="246">
        <v>84.5</v>
      </c>
      <c r="F20" s="246">
        <v>84.3</v>
      </c>
      <c r="G20" s="246">
        <v>84.3</v>
      </c>
      <c r="H20" s="246">
        <v>84.8</v>
      </c>
      <c r="I20" s="246">
        <v>84.8</v>
      </c>
      <c r="J20" s="246">
        <v>84.8</v>
      </c>
      <c r="K20" s="246">
        <v>84.8</v>
      </c>
      <c r="L20" s="246">
        <v>85.2</v>
      </c>
      <c r="M20" s="246">
        <v>85.4</v>
      </c>
      <c r="N20" s="246">
        <f t="shared" si="0"/>
        <v>84.74166666666666</v>
      </c>
    </row>
    <row r="21" spans="1:14" x14ac:dyDescent="0.3">
      <c r="A21" s="7">
        <v>1995</v>
      </c>
      <c r="B21" s="246">
        <v>85.9</v>
      </c>
      <c r="C21" s="246">
        <v>86.3</v>
      </c>
      <c r="D21" s="246">
        <v>86.6</v>
      </c>
      <c r="E21" s="246">
        <v>86.7</v>
      </c>
      <c r="F21" s="246">
        <v>86.9</v>
      </c>
      <c r="G21" s="246">
        <v>87</v>
      </c>
      <c r="H21" s="246">
        <v>87.1</v>
      </c>
      <c r="I21" s="246">
        <v>87</v>
      </c>
      <c r="J21" s="246">
        <v>87.2</v>
      </c>
      <c r="K21" s="246">
        <v>87</v>
      </c>
      <c r="L21" s="246">
        <v>87.2</v>
      </c>
      <c r="M21" s="246">
        <v>87.1</v>
      </c>
      <c r="N21" s="246">
        <f t="shared" si="0"/>
        <v>86.833333333333329</v>
      </c>
    </row>
    <row r="22" spans="1:14" x14ac:dyDescent="0.3">
      <c r="A22" s="7">
        <v>1996</v>
      </c>
      <c r="B22" s="246">
        <v>87.2</v>
      </c>
      <c r="C22" s="246">
        <v>87.4</v>
      </c>
      <c r="D22" s="246">
        <v>87.7</v>
      </c>
      <c r="E22" s="246">
        <v>87.9</v>
      </c>
      <c r="F22" s="246">
        <v>88.1</v>
      </c>
      <c r="G22" s="246">
        <v>88</v>
      </c>
      <c r="H22" s="246">
        <v>88.1</v>
      </c>
      <c r="I22" s="246">
        <v>88.2</v>
      </c>
      <c r="J22" s="246">
        <v>88.2</v>
      </c>
      <c r="K22" s="246">
        <v>88.6</v>
      </c>
      <c r="L22" s="246">
        <v>89.2</v>
      </c>
      <c r="M22" s="246">
        <v>89.2</v>
      </c>
      <c r="N22" s="246">
        <f t="shared" si="0"/>
        <v>88.15000000000002</v>
      </c>
    </row>
    <row r="23" spans="1:14" x14ac:dyDescent="0.3">
      <c r="A23" s="7">
        <v>1997</v>
      </c>
      <c r="B23" s="246">
        <v>89.4</v>
      </c>
      <c r="C23" s="246">
        <v>89.4</v>
      </c>
      <c r="D23" s="246">
        <v>89.7</v>
      </c>
      <c r="E23" s="246">
        <v>89.7</v>
      </c>
      <c r="F23" s="246">
        <v>89.7</v>
      </c>
      <c r="G23" s="246">
        <v>89.9</v>
      </c>
      <c r="H23" s="246">
        <v>89.9</v>
      </c>
      <c r="I23" s="246">
        <v>90.1</v>
      </c>
      <c r="J23" s="246">
        <v>90</v>
      </c>
      <c r="K23" s="246">
        <v>90.2</v>
      </c>
      <c r="L23" s="246">
        <v>89.9</v>
      </c>
      <c r="M23" s="246">
        <v>89.8</v>
      </c>
      <c r="N23" s="246">
        <f t="shared" si="0"/>
        <v>89.808333333333337</v>
      </c>
    </row>
    <row r="24" spans="1:14" x14ac:dyDescent="0.3">
      <c r="A24" s="7">
        <v>1998</v>
      </c>
      <c r="B24" s="246">
        <v>90.2</v>
      </c>
      <c r="C24" s="246">
        <v>90.5</v>
      </c>
      <c r="D24" s="246">
        <v>90.6</v>
      </c>
      <c r="E24" s="246">
        <v>90.3</v>
      </c>
      <c r="F24" s="246">
        <v>90.6</v>
      </c>
      <c r="G24" s="246">
        <v>90.6</v>
      </c>
      <c r="H24" s="246">
        <v>90.7</v>
      </c>
      <c r="I24" s="246">
        <v>90.7</v>
      </c>
      <c r="J24" s="246">
        <v>90.7</v>
      </c>
      <c r="K24" s="246">
        <v>91.1</v>
      </c>
      <c r="L24" s="246">
        <v>91</v>
      </c>
      <c r="M24" s="246">
        <v>90.7</v>
      </c>
      <c r="N24" s="246">
        <f t="shared" si="0"/>
        <v>90.641666666666666</v>
      </c>
    </row>
    <row r="25" spans="1:14" x14ac:dyDescent="0.3">
      <c r="A25" s="7">
        <v>1999</v>
      </c>
      <c r="B25" s="246">
        <v>91</v>
      </c>
      <c r="C25" s="246">
        <v>91.1</v>
      </c>
      <c r="D25" s="246">
        <v>91.6</v>
      </c>
      <c r="E25" s="246">
        <v>92.1</v>
      </c>
      <c r="F25" s="246">
        <v>92.4</v>
      </c>
      <c r="G25" s="246">
        <v>92.3</v>
      </c>
      <c r="H25" s="246">
        <v>92.6</v>
      </c>
      <c r="I25" s="246">
        <v>92.9</v>
      </c>
      <c r="J25" s="246">
        <v>93.1</v>
      </c>
      <c r="K25" s="246">
        <v>93.2</v>
      </c>
      <c r="L25" s="246">
        <v>93.1</v>
      </c>
      <c r="M25" s="246">
        <v>93.4</v>
      </c>
      <c r="N25" s="246">
        <f t="shared" si="0"/>
        <v>92.399999999999991</v>
      </c>
    </row>
    <row r="26" spans="1:14" x14ac:dyDescent="0.3">
      <c r="A26" s="7">
        <v>2000</v>
      </c>
      <c r="B26" s="246">
        <v>93.2</v>
      </c>
      <c r="C26" s="246">
        <v>93.9</v>
      </c>
      <c r="D26" s="246">
        <v>94.7</v>
      </c>
      <c r="E26" s="246">
        <v>94.1</v>
      </c>
      <c r="F26" s="246">
        <v>94.7</v>
      </c>
      <c r="G26" s="246">
        <v>95.3</v>
      </c>
      <c r="H26" s="246">
        <v>95.5</v>
      </c>
      <c r="I26" s="246">
        <v>95.3</v>
      </c>
      <c r="J26" s="246">
        <v>95.7</v>
      </c>
      <c r="K26" s="246">
        <v>95.9</v>
      </c>
      <c r="L26" s="246">
        <v>96.5</v>
      </c>
      <c r="M26" s="246">
        <v>96.6</v>
      </c>
      <c r="N26" s="246">
        <f t="shared" si="0"/>
        <v>95.11666666666666</v>
      </c>
    </row>
    <row r="27" spans="1:14" x14ac:dyDescent="0.3">
      <c r="A27" s="7">
        <v>2001</v>
      </c>
      <c r="B27" s="246">
        <v>96.5</v>
      </c>
      <c r="C27" s="246">
        <v>97.1</v>
      </c>
      <c r="D27" s="246">
        <v>97.7</v>
      </c>
      <c r="E27" s="246">
        <v>98.1</v>
      </c>
      <c r="F27" s="246">
        <v>98.7</v>
      </c>
      <c r="G27" s="246">
        <v>98.7</v>
      </c>
      <c r="H27" s="246">
        <v>98.5</v>
      </c>
      <c r="I27" s="246">
        <v>98.5</v>
      </c>
      <c r="J27" s="246">
        <v>98.7</v>
      </c>
      <c r="K27" s="246">
        <v>98.4</v>
      </c>
      <c r="L27" s="246">
        <v>97.7</v>
      </c>
      <c r="M27" s="246">
        <v>97.7</v>
      </c>
      <c r="N27" s="246">
        <f t="shared" si="0"/>
        <v>98.024999999999991</v>
      </c>
    </row>
    <row r="28" spans="1:14" x14ac:dyDescent="0.3">
      <c r="A28" s="7">
        <v>2002</v>
      </c>
      <c r="B28" s="246">
        <v>97.7</v>
      </c>
      <c r="C28" s="246">
        <v>98.4</v>
      </c>
      <c r="D28" s="246">
        <v>99.5</v>
      </c>
      <c r="E28" s="246">
        <v>99.5</v>
      </c>
      <c r="F28" s="246">
        <v>99.5</v>
      </c>
      <c r="G28" s="246">
        <v>99.8</v>
      </c>
      <c r="H28" s="246">
        <v>100.5</v>
      </c>
      <c r="I28" s="246">
        <v>101.3</v>
      </c>
      <c r="J28" s="246">
        <v>100.9</v>
      </c>
      <c r="K28" s="246">
        <v>101.1</v>
      </c>
      <c r="L28" s="246">
        <v>101.4</v>
      </c>
      <c r="M28" s="246">
        <v>100.4</v>
      </c>
      <c r="N28" s="246">
        <f t="shared" si="0"/>
        <v>100</v>
      </c>
    </row>
    <row r="29" spans="1:14" x14ac:dyDescent="0.3">
      <c r="A29" s="7">
        <v>2003</v>
      </c>
      <c r="B29" s="246">
        <v>101.9</v>
      </c>
      <c r="C29" s="246">
        <v>102.7</v>
      </c>
      <c r="D29" s="246">
        <v>102.8</v>
      </c>
      <c r="E29" s="246">
        <v>101.8</v>
      </c>
      <c r="F29" s="246">
        <v>102.2</v>
      </c>
      <c r="G29" s="246">
        <v>102.3</v>
      </c>
      <c r="H29" s="246">
        <v>102.5</v>
      </c>
      <c r="I29" s="246">
        <v>103</v>
      </c>
      <c r="J29" s="246">
        <v>103.2</v>
      </c>
      <c r="K29" s="246">
        <v>102.9</v>
      </c>
      <c r="L29" s="246">
        <v>103.1</v>
      </c>
      <c r="M29" s="246">
        <v>103.4</v>
      </c>
      <c r="N29" s="246">
        <f t="shared" si="0"/>
        <v>102.65000000000002</v>
      </c>
    </row>
    <row r="30" spans="1:14" x14ac:dyDescent="0.3">
      <c r="A30" s="7">
        <v>2004</v>
      </c>
      <c r="B30" s="246">
        <v>103.4</v>
      </c>
      <c r="C30" s="246">
        <v>103.6</v>
      </c>
      <c r="D30" s="246">
        <v>104</v>
      </c>
      <c r="E30" s="246">
        <v>104.1</v>
      </c>
      <c r="F30" s="246">
        <v>105</v>
      </c>
      <c r="G30" s="246">
        <v>104.8</v>
      </c>
      <c r="H30" s="246">
        <v>104.9</v>
      </c>
      <c r="I30" s="246">
        <v>104.7</v>
      </c>
      <c r="J30" s="246">
        <v>104.8</v>
      </c>
      <c r="K30" s="246">
        <v>105</v>
      </c>
      <c r="L30" s="246">
        <v>105.4</v>
      </c>
      <c r="M30" s="246">
        <v>105.3</v>
      </c>
      <c r="N30" s="246">
        <f t="shared" si="0"/>
        <v>104.58333333333333</v>
      </c>
    </row>
    <row r="31" spans="1:14" x14ac:dyDescent="0.3">
      <c r="A31" s="7">
        <v>2005</v>
      </c>
      <c r="B31" s="246">
        <v>105.1</v>
      </c>
      <c r="C31" s="246">
        <v>105.8</v>
      </c>
      <c r="D31" s="246">
        <v>106.4</v>
      </c>
      <c r="E31" s="246">
        <v>106.5</v>
      </c>
      <c r="F31" s="246">
        <v>106.6</v>
      </c>
      <c r="G31" s="246">
        <v>106.8</v>
      </c>
      <c r="H31" s="246">
        <v>106.9</v>
      </c>
      <c r="I31" s="246">
        <v>107.5</v>
      </c>
      <c r="J31" s="246">
        <v>108.2</v>
      </c>
      <c r="K31" s="246">
        <v>107.7</v>
      </c>
      <c r="L31" s="246">
        <v>107.5</v>
      </c>
      <c r="M31" s="246">
        <v>107.6</v>
      </c>
      <c r="N31" s="246">
        <f t="shared" si="0"/>
        <v>106.88333333333333</v>
      </c>
    </row>
    <row r="32" spans="1:14" x14ac:dyDescent="0.3">
      <c r="A32" s="7">
        <v>2006</v>
      </c>
      <c r="B32" s="246">
        <v>108.2</v>
      </c>
      <c r="C32" s="246">
        <v>107.9</v>
      </c>
      <c r="D32" s="246">
        <v>108.8</v>
      </c>
      <c r="E32" s="246">
        <v>109.1</v>
      </c>
      <c r="F32" s="246">
        <v>109.5</v>
      </c>
      <c r="G32" s="246">
        <v>109.3</v>
      </c>
      <c r="H32" s="246">
        <v>109</v>
      </c>
      <c r="I32" s="246">
        <v>109.1</v>
      </c>
      <c r="J32" s="246">
        <v>108.5</v>
      </c>
      <c r="K32" s="246">
        <v>108.4</v>
      </c>
      <c r="L32" s="246">
        <v>108.6</v>
      </c>
      <c r="M32" s="246">
        <v>108.8</v>
      </c>
      <c r="N32" s="246">
        <f t="shared" si="0"/>
        <v>108.76666666666665</v>
      </c>
    </row>
    <row r="33" spans="1:14" x14ac:dyDescent="0.3">
      <c r="A33" s="7">
        <v>2007</v>
      </c>
      <c r="B33" s="246">
        <v>108.6</v>
      </c>
      <c r="C33" s="246">
        <v>109.7</v>
      </c>
      <c r="D33" s="246">
        <v>110.8</v>
      </c>
      <c r="E33" s="246">
        <v>111.1</v>
      </c>
      <c r="F33" s="246">
        <v>111.6</v>
      </c>
      <c r="G33" s="246">
        <v>111.1</v>
      </c>
      <c r="H33" s="246">
        <v>111.1</v>
      </c>
      <c r="I33" s="246">
        <v>110.9</v>
      </c>
      <c r="J33" s="246">
        <v>111</v>
      </c>
      <c r="K33" s="246">
        <v>110.9</v>
      </c>
      <c r="L33" s="246">
        <v>111.2</v>
      </c>
      <c r="M33" s="246">
        <v>111.1</v>
      </c>
      <c r="N33" s="246">
        <f t="shared" si="0"/>
        <v>110.75833333333334</v>
      </c>
    </row>
    <row r="34" spans="1:14" x14ac:dyDescent="0.3">
      <c r="A34" s="7">
        <v>2008</v>
      </c>
      <c r="B34" s="246">
        <v>110.9</v>
      </c>
      <c r="C34" s="246">
        <v>111.4</v>
      </c>
      <c r="D34" s="246">
        <v>111.7</v>
      </c>
      <c r="E34" s="246">
        <v>112.5</v>
      </c>
      <c r="F34" s="246">
        <v>113.6</v>
      </c>
      <c r="G34" s="246">
        <v>114.2</v>
      </c>
      <c r="H34" s="246">
        <v>115.1</v>
      </c>
      <c r="I34" s="246">
        <v>114.8</v>
      </c>
      <c r="J34" s="246">
        <v>115.1</v>
      </c>
      <c r="K34" s="246">
        <v>113.7</v>
      </c>
      <c r="L34" s="246">
        <v>113.5</v>
      </c>
      <c r="M34" s="246">
        <v>112.8</v>
      </c>
      <c r="N34" s="246">
        <f t="shared" si="0"/>
        <v>113.27499999999999</v>
      </c>
    </row>
    <row r="35" spans="1:14" x14ac:dyDescent="0.3">
      <c r="A35" s="7">
        <v>2009</v>
      </c>
      <c r="B35" s="246">
        <v>112.4</v>
      </c>
      <c r="C35" s="246">
        <v>113.1</v>
      </c>
      <c r="D35" s="246">
        <v>113.7</v>
      </c>
      <c r="E35" s="246">
        <v>113.2</v>
      </c>
      <c r="F35" s="246">
        <v>114</v>
      </c>
      <c r="G35" s="246">
        <v>114.2</v>
      </c>
      <c r="H35" s="246">
        <v>113.7</v>
      </c>
      <c r="I35" s="246">
        <v>113.7</v>
      </c>
      <c r="J35" s="246">
        <v>113.8</v>
      </c>
      <c r="K35" s="246">
        <v>113.9</v>
      </c>
      <c r="L35" s="246">
        <v>114.6</v>
      </c>
      <c r="M35" s="246">
        <v>114.1</v>
      </c>
      <c r="N35" s="246">
        <f t="shared" si="0"/>
        <v>113.69999999999999</v>
      </c>
    </row>
    <row r="36" spans="1:14" x14ac:dyDescent="0.3">
      <c r="A36" s="7">
        <v>2010</v>
      </c>
      <c r="B36" s="246">
        <v>114.5</v>
      </c>
      <c r="C36" s="246">
        <v>115.1</v>
      </c>
      <c r="D36" s="246">
        <v>115.3</v>
      </c>
      <c r="E36" s="246">
        <v>115.7</v>
      </c>
      <c r="F36" s="246">
        <v>116.2</v>
      </c>
      <c r="G36" s="246">
        <v>116</v>
      </c>
      <c r="H36" s="246">
        <v>117</v>
      </c>
      <c r="I36" s="246">
        <v>117</v>
      </c>
      <c r="J36" s="246">
        <v>117.1</v>
      </c>
      <c r="K36" s="246">
        <v>117.8</v>
      </c>
      <c r="L36" s="246">
        <v>118</v>
      </c>
      <c r="M36" s="246">
        <v>117.9</v>
      </c>
      <c r="N36" s="246">
        <f t="shared" si="0"/>
        <v>116.46666666666665</v>
      </c>
    </row>
    <row r="37" spans="1:14" x14ac:dyDescent="0.3">
      <c r="A37" s="7">
        <v>2011</v>
      </c>
      <c r="B37" s="246">
        <v>117.8</v>
      </c>
      <c r="C37" s="246">
        <v>118</v>
      </c>
      <c r="D37" s="246">
        <v>119.4</v>
      </c>
      <c r="E37" s="246">
        <v>119.9</v>
      </c>
      <c r="F37" s="246">
        <v>120.9</v>
      </c>
      <c r="G37" s="246">
        <v>120.2</v>
      </c>
      <c r="H37" s="246">
        <v>120.5</v>
      </c>
      <c r="I37" s="246">
        <v>120.6</v>
      </c>
      <c r="J37" s="246">
        <v>121.1</v>
      </c>
      <c r="K37" s="246">
        <v>121</v>
      </c>
      <c r="L37" s="246">
        <v>121</v>
      </c>
      <c r="M37" s="246">
        <v>120.3</v>
      </c>
      <c r="N37" s="246">
        <f t="shared" si="0"/>
        <v>120.05833333333334</v>
      </c>
    </row>
    <row r="38" spans="1:14" x14ac:dyDescent="0.3">
      <c r="A38" s="7">
        <v>2012</v>
      </c>
      <c r="B38" s="246">
        <v>120.6</v>
      </c>
      <c r="C38" s="246">
        <v>121.4</v>
      </c>
      <c r="D38" s="246">
        <v>122</v>
      </c>
      <c r="E38" s="246">
        <v>122.4</v>
      </c>
      <c r="F38" s="246">
        <v>122.4</v>
      </c>
      <c r="G38" s="246">
        <v>121.6</v>
      </c>
      <c r="H38" s="246">
        <v>121.4</v>
      </c>
      <c r="I38" s="246">
        <v>121.8</v>
      </c>
      <c r="J38" s="246">
        <v>122</v>
      </c>
      <c r="K38" s="246">
        <v>122.2</v>
      </c>
      <c r="L38" s="246">
        <v>121.9</v>
      </c>
      <c r="M38" s="246">
        <v>121.3</v>
      </c>
      <c r="N38" s="246">
        <f t="shared" si="0"/>
        <v>121.75</v>
      </c>
    </row>
    <row r="39" spans="1:14" x14ac:dyDescent="0.3">
      <c r="A39" s="7">
        <v>2013</v>
      </c>
      <c r="B39" s="246">
        <v>121.3</v>
      </c>
      <c r="C39" s="246">
        <v>122.8</v>
      </c>
      <c r="D39" s="246">
        <v>123.2</v>
      </c>
      <c r="E39" s="246">
        <v>122.9</v>
      </c>
      <c r="F39" s="246">
        <v>123</v>
      </c>
      <c r="G39" s="246">
        <v>123.2</v>
      </c>
      <c r="H39" s="246">
        <v>123.4</v>
      </c>
      <c r="I39" s="246">
        <v>123.4</v>
      </c>
      <c r="J39" s="246">
        <v>123.5</v>
      </c>
      <c r="K39" s="246">
        <v>123.3</v>
      </c>
      <c r="L39" s="246">
        <v>123.3</v>
      </c>
      <c r="M39" s="246">
        <v>123.1</v>
      </c>
      <c r="N39" s="246">
        <f t="shared" si="0"/>
        <v>123.03333333333332</v>
      </c>
    </row>
    <row r="40" spans="1:14" x14ac:dyDescent="0.3">
      <c r="A40" s="7">
        <v>2014</v>
      </c>
      <c r="B40" s="246">
        <v>123.3</v>
      </c>
      <c r="C40" s="246">
        <v>124.6</v>
      </c>
      <c r="D40" s="246">
        <v>125.1</v>
      </c>
      <c r="E40" s="246">
        <v>125.9</v>
      </c>
      <c r="F40" s="246">
        <v>126.5</v>
      </c>
      <c r="G40" s="246">
        <v>126.9</v>
      </c>
      <c r="H40" s="246">
        <v>126.5</v>
      </c>
      <c r="I40" s="246">
        <v>126.5</v>
      </c>
      <c r="J40" s="246">
        <v>126.7</v>
      </c>
      <c r="K40" s="246">
        <v>126.8</v>
      </c>
      <c r="L40" s="246">
        <v>126.3</v>
      </c>
      <c r="M40" s="246">
        <v>125.4</v>
      </c>
      <c r="N40" s="246">
        <f t="shared" si="0"/>
        <v>125.875</v>
      </c>
    </row>
    <row r="41" spans="1:14" x14ac:dyDescent="0.3">
      <c r="A41" s="7">
        <v>2015</v>
      </c>
      <c r="B41" s="246">
        <v>125.3</v>
      </c>
      <c r="C41" s="246">
        <v>126.2</v>
      </c>
      <c r="D41" s="246">
        <v>127.1</v>
      </c>
      <c r="E41" s="246">
        <v>126.9</v>
      </c>
      <c r="F41" s="246">
        <v>127.7</v>
      </c>
      <c r="G41" s="246">
        <v>128.19999999999999</v>
      </c>
      <c r="H41" s="246">
        <v>128.4</v>
      </c>
      <c r="I41" s="246">
        <v>128</v>
      </c>
      <c r="J41" s="246">
        <v>127.8</v>
      </c>
      <c r="K41" s="246">
        <v>127.9</v>
      </c>
      <c r="L41" s="246">
        <v>127.9</v>
      </c>
      <c r="M41" s="246">
        <v>127.5</v>
      </c>
      <c r="N41" s="246">
        <f t="shared" si="0"/>
        <v>127.40833333333336</v>
      </c>
    </row>
    <row r="42" spans="1:14" x14ac:dyDescent="0.3">
      <c r="A42" s="7">
        <v>2016</v>
      </c>
      <c r="B42" s="246">
        <v>127.8</v>
      </c>
      <c r="C42" s="246">
        <v>128.19999999999999</v>
      </c>
      <c r="D42" s="246">
        <v>129</v>
      </c>
      <c r="E42" s="246">
        <v>129.6</v>
      </c>
      <c r="F42" s="246">
        <v>130.1</v>
      </c>
      <c r="G42" s="246">
        <v>130.4</v>
      </c>
      <c r="H42" s="246">
        <v>130.30000000000001</v>
      </c>
      <c r="I42" s="246">
        <v>129.9</v>
      </c>
      <c r="J42" s="246">
        <v>130.1</v>
      </c>
      <c r="K42" s="246">
        <v>130.6</v>
      </c>
      <c r="L42" s="246">
        <v>130.19999999999999</v>
      </c>
      <c r="M42" s="246">
        <v>130</v>
      </c>
      <c r="N42" s="246">
        <f t="shared" si="0"/>
        <v>129.68333333333334</v>
      </c>
    </row>
    <row r="43" spans="1:14" x14ac:dyDescent="0.3">
      <c r="A43" s="7">
        <v>2017</v>
      </c>
      <c r="B43" s="246">
        <v>130.80000000000001</v>
      </c>
      <c r="C43" s="246">
        <v>131.19999999999999</v>
      </c>
      <c r="D43" s="246">
        <v>131.4</v>
      </c>
      <c r="E43" s="246">
        <v>132</v>
      </c>
      <c r="F43" s="246">
        <v>131.9</v>
      </c>
      <c r="G43" s="246">
        <v>132.1</v>
      </c>
      <c r="H43" s="246">
        <v>131.9</v>
      </c>
      <c r="I43" s="246">
        <v>131.80000000000001</v>
      </c>
      <c r="J43" s="246">
        <v>132.30000000000001</v>
      </c>
      <c r="K43" s="246">
        <v>132.30000000000001</v>
      </c>
      <c r="L43" s="246">
        <v>132.69999999999999</v>
      </c>
      <c r="M43" s="246">
        <v>132</v>
      </c>
      <c r="N43" s="246">
        <f t="shared" si="0"/>
        <v>131.86666666666665</v>
      </c>
    </row>
    <row r="44" spans="1:14" x14ac:dyDescent="0.3">
      <c r="A44" s="7">
        <v>2018</v>
      </c>
      <c r="B44" s="246">
        <v>133.19999999999999</v>
      </c>
      <c r="C44" s="246">
        <v>134</v>
      </c>
      <c r="D44" s="246">
        <v>134.6</v>
      </c>
      <c r="E44" s="246">
        <v>134.80000000000001</v>
      </c>
      <c r="F44" s="246">
        <v>134.9</v>
      </c>
      <c r="G44" s="246">
        <v>135.30000000000001</v>
      </c>
      <c r="H44" s="246">
        <v>136</v>
      </c>
      <c r="I44" s="246">
        <v>135.9</v>
      </c>
      <c r="J44" s="246">
        <v>135.19999999999999</v>
      </c>
      <c r="K44" s="246">
        <v>135.6</v>
      </c>
      <c r="L44" s="246">
        <v>135.1</v>
      </c>
      <c r="M44" s="246">
        <v>135</v>
      </c>
      <c r="N44" s="246">
        <f t="shared" si="0"/>
        <v>134.96666666666667</v>
      </c>
    </row>
    <row r="45" spans="1:14" x14ac:dyDescent="0.3">
      <c r="A45" s="7">
        <v>2019</v>
      </c>
      <c r="B45" s="246">
        <v>135.19999999999999</v>
      </c>
      <c r="C45" s="246">
        <v>136</v>
      </c>
      <c r="D45" s="246">
        <v>137</v>
      </c>
      <c r="E45" s="246">
        <v>137.4</v>
      </c>
      <c r="F45" s="246">
        <v>138.1</v>
      </c>
      <c r="G45" s="246">
        <v>138</v>
      </c>
      <c r="H45" s="246">
        <v>138.80000000000001</v>
      </c>
      <c r="I45" s="246">
        <v>138.5</v>
      </c>
      <c r="J45" s="246">
        <v>137.5</v>
      </c>
      <c r="K45" s="246">
        <v>137.9</v>
      </c>
      <c r="L45" s="246">
        <v>137.69999999999999</v>
      </c>
      <c r="M45" s="246">
        <v>137.80000000000001</v>
      </c>
      <c r="N45" s="246">
        <f t="shared" si="0"/>
        <v>137.49166666666667</v>
      </c>
    </row>
    <row r="46" spans="1:14" x14ac:dyDescent="0.3">
      <c r="A46" s="7">
        <v>2020</v>
      </c>
      <c r="B46" s="246">
        <v>138</v>
      </c>
      <c r="C46" s="246">
        <v>138.69999999999999</v>
      </c>
      <c r="D46" s="246">
        <v>137.9</v>
      </c>
      <c r="E46" s="246">
        <v>137.30000000000001</v>
      </c>
      <c r="F46" s="246">
        <v>137.5</v>
      </c>
      <c r="G46" s="246">
        <v>138.6</v>
      </c>
      <c r="H46" s="246">
        <v>138.80000000000001</v>
      </c>
      <c r="I46" s="246">
        <v>138.6</v>
      </c>
      <c r="J46" s="246">
        <v>138.30000000000001</v>
      </c>
      <c r="K46" s="246">
        <v>138.9</v>
      </c>
      <c r="L46" s="246">
        <v>139</v>
      </c>
      <c r="M46" s="246">
        <v>138.80000000000001</v>
      </c>
      <c r="N46" s="246">
        <f t="shared" si="0"/>
        <v>138.36666666666667</v>
      </c>
    </row>
    <row r="47" spans="1:14" x14ac:dyDescent="0.3">
      <c r="A47" s="7">
        <v>2021</v>
      </c>
      <c r="B47" s="246">
        <v>139.5</v>
      </c>
      <c r="C47" s="246">
        <v>140.19999999999999</v>
      </c>
      <c r="D47" s="246">
        <v>141</v>
      </c>
      <c r="E47" s="246">
        <v>141.80000000000001</v>
      </c>
      <c r="F47" s="246">
        <v>142.6</v>
      </c>
      <c r="G47" s="246">
        <v>143.1</v>
      </c>
      <c r="H47" s="246">
        <v>143.69999999999999</v>
      </c>
      <c r="I47" s="246">
        <v>144.1</v>
      </c>
      <c r="J47" s="246">
        <v>144.4</v>
      </c>
      <c r="K47" s="246">
        <v>145.69999999999999</v>
      </c>
      <c r="L47" s="246">
        <v>146</v>
      </c>
      <c r="M47" s="246">
        <v>146</v>
      </c>
      <c r="N47" s="246">
        <f t="shared" si="0"/>
        <v>143.17500000000001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15"/>
  <dimension ref="A1:N47"/>
  <sheetViews>
    <sheetView workbookViewId="0">
      <pane xSplit="1" ySplit="3" topLeftCell="B40" activePane="bottomRight" state="frozen"/>
      <selection sqref="A1:XFD1048576"/>
      <selection pane="topRight" sqref="A1:XFD1048576"/>
      <selection pane="bottomLeft" sqref="A1:XFD1048576"/>
      <selection pane="bottomRight" activeCell="M48" sqref="M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84</v>
      </c>
    </row>
    <row r="2" spans="1:14" s="187" customFormat="1" x14ac:dyDescent="0.3">
      <c r="A2" s="25">
        <v>9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37.1</v>
      </c>
      <c r="K4" s="246">
        <v>37.799999999999997</v>
      </c>
      <c r="L4" s="246">
        <v>37.9</v>
      </c>
      <c r="M4" s="246">
        <v>38</v>
      </c>
      <c r="N4" s="246">
        <f t="shared" ref="N4:N47" si="0">AVERAGE(B4:M4)</f>
        <v>37.700000000000003</v>
      </c>
    </row>
    <row r="5" spans="1:14" x14ac:dyDescent="0.3">
      <c r="A5" s="7">
        <v>1979</v>
      </c>
      <c r="B5" s="246">
        <v>38.200000000000003</v>
      </c>
      <c r="C5" s="246">
        <v>38.700000000000003</v>
      </c>
      <c r="D5" s="246">
        <v>38.9</v>
      </c>
      <c r="E5" s="246">
        <v>39.200000000000003</v>
      </c>
      <c r="F5" s="246">
        <v>39.799999999999997</v>
      </c>
      <c r="G5" s="246">
        <v>40.1</v>
      </c>
      <c r="H5" s="246">
        <v>40.299999999999997</v>
      </c>
      <c r="I5" s="246">
        <v>40.200000000000003</v>
      </c>
      <c r="J5" s="246">
        <v>40.799999999999997</v>
      </c>
      <c r="K5" s="246">
        <v>41.1</v>
      </c>
      <c r="L5" s="246">
        <v>41.4</v>
      </c>
      <c r="M5" s="246">
        <v>41.8</v>
      </c>
      <c r="N5" s="246">
        <f t="shared" si="0"/>
        <v>40.041666666666664</v>
      </c>
    </row>
    <row r="6" spans="1:14" x14ac:dyDescent="0.3">
      <c r="A6" s="7">
        <v>1980</v>
      </c>
      <c r="B6" s="246">
        <v>41.9</v>
      </c>
      <c r="C6" s="246">
        <v>42.2</v>
      </c>
      <c r="D6" s="246">
        <v>42.6</v>
      </c>
      <c r="E6" s="246">
        <v>42.9</v>
      </c>
      <c r="F6" s="246">
        <v>43.5</v>
      </c>
      <c r="G6" s="246">
        <v>44</v>
      </c>
      <c r="H6" s="246">
        <v>44.4</v>
      </c>
      <c r="I6" s="246">
        <v>44.7</v>
      </c>
      <c r="J6" s="246">
        <v>44.9</v>
      </c>
      <c r="K6" s="246">
        <v>45.3</v>
      </c>
      <c r="L6" s="246">
        <v>45.9</v>
      </c>
      <c r="M6" s="246">
        <v>46.2</v>
      </c>
      <c r="N6" s="246">
        <f t="shared" si="0"/>
        <v>44.041666666666664</v>
      </c>
    </row>
    <row r="7" spans="1:14" x14ac:dyDescent="0.3">
      <c r="A7" s="7">
        <v>1981</v>
      </c>
      <c r="B7" s="246">
        <v>46.6</v>
      </c>
      <c r="C7" s="246">
        <v>46.7</v>
      </c>
      <c r="D7" s="246">
        <v>47.5</v>
      </c>
      <c r="E7" s="246">
        <v>47.6</v>
      </c>
      <c r="F7" s="246">
        <v>48.2</v>
      </c>
      <c r="G7" s="246">
        <v>49.2</v>
      </c>
      <c r="H7" s="246">
        <v>49.6</v>
      </c>
      <c r="I7" s="246">
        <v>49.8</v>
      </c>
      <c r="J7" s="246">
        <v>50.3</v>
      </c>
      <c r="K7" s="246">
        <v>50.5</v>
      </c>
      <c r="L7" s="246">
        <v>50.9</v>
      </c>
      <c r="M7" s="246">
        <v>50.5</v>
      </c>
      <c r="N7" s="246">
        <f t="shared" si="0"/>
        <v>48.95000000000001</v>
      </c>
    </row>
    <row r="8" spans="1:14" x14ac:dyDescent="0.3">
      <c r="A8" s="7">
        <v>1982</v>
      </c>
      <c r="B8" s="246">
        <v>50.8</v>
      </c>
      <c r="C8" s="246">
        <v>51.4</v>
      </c>
      <c r="D8" s="246">
        <v>52.2</v>
      </c>
      <c r="E8" s="246">
        <v>52.2</v>
      </c>
      <c r="F8" s="246">
        <v>52.9</v>
      </c>
      <c r="G8" s="246">
        <v>53.3</v>
      </c>
      <c r="H8" s="246">
        <v>53.5</v>
      </c>
      <c r="I8" s="246">
        <v>53.6</v>
      </c>
      <c r="J8" s="246">
        <v>54.2</v>
      </c>
      <c r="K8" s="246">
        <v>54.5</v>
      </c>
      <c r="L8" s="246">
        <v>55.2</v>
      </c>
      <c r="M8" s="246">
        <v>55.3</v>
      </c>
      <c r="N8" s="246">
        <f t="shared" si="0"/>
        <v>53.258333333333326</v>
      </c>
    </row>
    <row r="9" spans="1:14" x14ac:dyDescent="0.3">
      <c r="A9" s="7">
        <v>1983</v>
      </c>
      <c r="B9" s="246">
        <v>54.7</v>
      </c>
      <c r="C9" s="246">
        <v>55.2</v>
      </c>
      <c r="D9" s="246">
        <v>56</v>
      </c>
      <c r="E9" s="246">
        <v>56.4</v>
      </c>
      <c r="F9" s="246">
        <v>56.9</v>
      </c>
      <c r="G9" s="246">
        <v>57</v>
      </c>
      <c r="H9" s="246">
        <v>57.3</v>
      </c>
      <c r="I9" s="246">
        <v>57.5</v>
      </c>
      <c r="J9" s="246">
        <v>57.5</v>
      </c>
      <c r="K9" s="246">
        <v>57.5</v>
      </c>
      <c r="L9" s="246">
        <v>57.8</v>
      </c>
      <c r="M9" s="246">
        <v>57.9</v>
      </c>
      <c r="N9" s="246">
        <f t="shared" si="0"/>
        <v>56.80833333333333</v>
      </c>
    </row>
    <row r="10" spans="1:14" x14ac:dyDescent="0.3">
      <c r="A10" s="7">
        <v>1984</v>
      </c>
      <c r="B10" s="246">
        <v>58.2</v>
      </c>
      <c r="C10" s="246">
        <v>57.8</v>
      </c>
      <c r="D10" s="246">
        <v>58.3</v>
      </c>
      <c r="E10" s="246">
        <v>58.3</v>
      </c>
      <c r="F10" s="246">
        <v>58.3</v>
      </c>
      <c r="G10" s="246">
        <v>58.9</v>
      </c>
      <c r="H10" s="246">
        <v>59.2</v>
      </c>
      <c r="I10" s="246">
        <v>59.4</v>
      </c>
      <c r="J10" s="246">
        <v>59.2</v>
      </c>
      <c r="K10" s="246">
        <v>59.8</v>
      </c>
      <c r="L10" s="246">
        <v>59.6</v>
      </c>
      <c r="M10" s="246">
        <v>59.6</v>
      </c>
      <c r="N10" s="246">
        <f t="shared" si="0"/>
        <v>58.883333333333333</v>
      </c>
    </row>
    <row r="11" spans="1:14" x14ac:dyDescent="0.3">
      <c r="A11" s="7">
        <v>1985</v>
      </c>
      <c r="B11" s="246">
        <v>60</v>
      </c>
      <c r="C11" s="246">
        <v>60.1</v>
      </c>
      <c r="D11" s="246">
        <v>60.5</v>
      </c>
      <c r="E11" s="246">
        <v>60.9</v>
      </c>
      <c r="F11" s="246">
        <v>61.3</v>
      </c>
      <c r="G11" s="246">
        <v>61.6</v>
      </c>
      <c r="H11" s="246">
        <v>61.7</v>
      </c>
      <c r="I11" s="246">
        <v>61.6</v>
      </c>
      <c r="J11" s="246">
        <v>61.8</v>
      </c>
      <c r="K11" s="246">
        <v>62.2</v>
      </c>
      <c r="L11" s="246">
        <v>62.3</v>
      </c>
      <c r="M11" s="246">
        <v>62.6</v>
      </c>
      <c r="N11" s="246">
        <f t="shared" si="0"/>
        <v>61.383333333333333</v>
      </c>
    </row>
    <row r="12" spans="1:14" x14ac:dyDescent="0.3">
      <c r="A12" s="7">
        <v>1986</v>
      </c>
      <c r="B12" s="246">
        <v>62.9</v>
      </c>
      <c r="C12" s="246">
        <v>63.1</v>
      </c>
      <c r="D12" s="246">
        <v>63.1</v>
      </c>
      <c r="E12" s="246">
        <v>63.4</v>
      </c>
      <c r="F12" s="246">
        <v>63.6</v>
      </c>
      <c r="G12" s="246">
        <v>63.8</v>
      </c>
      <c r="H12" s="246">
        <v>64.3</v>
      </c>
      <c r="I12" s="246">
        <v>64.599999999999994</v>
      </c>
      <c r="J12" s="246">
        <v>64.8</v>
      </c>
      <c r="K12" s="246">
        <v>65</v>
      </c>
      <c r="L12" s="246">
        <v>65.3</v>
      </c>
      <c r="M12" s="246">
        <v>65.3</v>
      </c>
      <c r="N12" s="246">
        <f t="shared" si="0"/>
        <v>64.099999999999994</v>
      </c>
    </row>
    <row r="13" spans="1:14" x14ac:dyDescent="0.3">
      <c r="A13" s="7">
        <v>1987</v>
      </c>
      <c r="B13" s="246">
        <v>65.5</v>
      </c>
      <c r="C13" s="246">
        <v>65.599999999999994</v>
      </c>
      <c r="D13" s="246">
        <v>66</v>
      </c>
      <c r="E13" s="246">
        <v>66.2</v>
      </c>
      <c r="F13" s="246">
        <v>67.099999999999994</v>
      </c>
      <c r="G13" s="246">
        <v>67.099999999999994</v>
      </c>
      <c r="H13" s="246">
        <v>66.900000000000006</v>
      </c>
      <c r="I13" s="246">
        <v>67.3</v>
      </c>
      <c r="J13" s="246">
        <v>67.099999999999994</v>
      </c>
      <c r="K13" s="246">
        <v>67.099999999999994</v>
      </c>
      <c r="L13" s="246">
        <v>67.900000000000006</v>
      </c>
      <c r="M13" s="246">
        <v>67.900000000000006</v>
      </c>
      <c r="N13" s="246">
        <f t="shared" si="0"/>
        <v>66.808333333333323</v>
      </c>
    </row>
    <row r="14" spans="1:14" x14ac:dyDescent="0.3">
      <c r="A14" s="7">
        <v>1988</v>
      </c>
      <c r="B14" s="246">
        <v>67.900000000000006</v>
      </c>
      <c r="C14" s="246">
        <v>68.099999999999994</v>
      </c>
      <c r="D14" s="246">
        <v>68.7</v>
      </c>
      <c r="E14" s="246">
        <v>69.2</v>
      </c>
      <c r="F14" s="246">
        <v>69.2</v>
      </c>
      <c r="G14" s="246">
        <v>69.400000000000006</v>
      </c>
      <c r="H14" s="246">
        <v>69.599999999999994</v>
      </c>
      <c r="I14" s="246">
        <v>70</v>
      </c>
      <c r="J14" s="246">
        <v>70.3</v>
      </c>
      <c r="K14" s="246">
        <v>70.8</v>
      </c>
      <c r="L14" s="246">
        <v>70.8</v>
      </c>
      <c r="M14" s="246">
        <v>71</v>
      </c>
      <c r="N14" s="246">
        <f t="shared" si="0"/>
        <v>69.583333333333329</v>
      </c>
    </row>
    <row r="15" spans="1:14" x14ac:dyDescent="0.3">
      <c r="A15" s="7">
        <v>1989</v>
      </c>
      <c r="B15" s="246">
        <v>71.2</v>
      </c>
      <c r="C15" s="246">
        <v>71.5</v>
      </c>
      <c r="D15" s="246">
        <v>71.8</v>
      </c>
      <c r="E15" s="246">
        <v>71.900000000000006</v>
      </c>
      <c r="F15" s="246">
        <v>72.599999999999994</v>
      </c>
      <c r="G15" s="246">
        <v>72.599999999999994</v>
      </c>
      <c r="H15" s="246">
        <v>73.5</v>
      </c>
      <c r="I15" s="246">
        <v>73.5</v>
      </c>
      <c r="J15" s="246">
        <v>73.599999999999994</v>
      </c>
      <c r="K15" s="246">
        <v>73.7</v>
      </c>
      <c r="L15" s="246">
        <v>74.400000000000006</v>
      </c>
      <c r="M15" s="246">
        <v>74.099999999999994</v>
      </c>
      <c r="N15" s="246">
        <f t="shared" si="0"/>
        <v>72.866666666666674</v>
      </c>
    </row>
    <row r="16" spans="1:14" x14ac:dyDescent="0.3">
      <c r="A16" s="7">
        <v>1990</v>
      </c>
      <c r="B16" s="246">
        <v>74.599999999999994</v>
      </c>
      <c r="C16" s="246">
        <v>75</v>
      </c>
      <c r="D16" s="246">
        <v>75.3</v>
      </c>
      <c r="E16" s="246">
        <v>75.3</v>
      </c>
      <c r="F16" s="246">
        <v>75.7</v>
      </c>
      <c r="G16" s="246">
        <v>76</v>
      </c>
      <c r="H16" s="246">
        <v>76.3</v>
      </c>
      <c r="I16" s="246">
        <v>76.5</v>
      </c>
      <c r="J16" s="246">
        <v>76.7</v>
      </c>
      <c r="K16" s="246">
        <v>77.3</v>
      </c>
      <c r="L16" s="246">
        <v>77.7</v>
      </c>
      <c r="M16" s="246">
        <v>78</v>
      </c>
      <c r="N16" s="246">
        <f t="shared" si="0"/>
        <v>76.2</v>
      </c>
    </row>
    <row r="17" spans="1:14" x14ac:dyDescent="0.3">
      <c r="A17" s="7">
        <v>1991</v>
      </c>
      <c r="B17" s="246">
        <v>79.599999999999994</v>
      </c>
      <c r="C17" s="246">
        <v>79.599999999999994</v>
      </c>
      <c r="D17" s="246">
        <v>79.900000000000006</v>
      </c>
      <c r="E17" s="246">
        <v>79.8</v>
      </c>
      <c r="F17" s="246">
        <v>79.7</v>
      </c>
      <c r="G17" s="246">
        <v>80.099999999999994</v>
      </c>
      <c r="H17" s="246">
        <v>80.400000000000006</v>
      </c>
      <c r="I17" s="246">
        <v>80.400000000000006</v>
      </c>
      <c r="J17" s="246">
        <v>80.400000000000006</v>
      </c>
      <c r="K17" s="246">
        <v>80</v>
      </c>
      <c r="L17" s="246">
        <v>80.900000000000006</v>
      </c>
      <c r="M17" s="246">
        <v>80.5</v>
      </c>
      <c r="N17" s="246">
        <f t="shared" si="0"/>
        <v>80.10833333333332</v>
      </c>
    </row>
    <row r="18" spans="1:14" x14ac:dyDescent="0.3">
      <c r="A18" s="7">
        <v>1992</v>
      </c>
      <c r="B18" s="246">
        <v>80.5</v>
      </c>
      <c r="C18" s="246">
        <v>80.5</v>
      </c>
      <c r="D18" s="246">
        <v>80.5</v>
      </c>
      <c r="E18" s="246">
        <v>81</v>
      </c>
      <c r="F18" s="246">
        <v>80.599999999999994</v>
      </c>
      <c r="G18" s="246">
        <v>81.099999999999994</v>
      </c>
      <c r="H18" s="246">
        <v>81.400000000000006</v>
      </c>
      <c r="I18" s="246">
        <v>81.7</v>
      </c>
      <c r="J18" s="246">
        <v>81.8</v>
      </c>
      <c r="K18" s="246">
        <v>81.5</v>
      </c>
      <c r="L18" s="246">
        <v>82.1</v>
      </c>
      <c r="M18" s="246">
        <v>82.2</v>
      </c>
      <c r="N18" s="246">
        <f t="shared" si="0"/>
        <v>81.241666666666674</v>
      </c>
    </row>
    <row r="19" spans="1:14" x14ac:dyDescent="0.3">
      <c r="A19" s="7">
        <v>1993</v>
      </c>
      <c r="B19" s="246">
        <v>82.4</v>
      </c>
      <c r="C19" s="246">
        <v>82.8</v>
      </c>
      <c r="D19" s="246">
        <v>83</v>
      </c>
      <c r="E19" s="246">
        <v>83.2</v>
      </c>
      <c r="F19" s="246">
        <v>83.4</v>
      </c>
      <c r="G19" s="246">
        <v>83.3</v>
      </c>
      <c r="H19" s="246">
        <v>83.5</v>
      </c>
      <c r="I19" s="246">
        <v>83.5</v>
      </c>
      <c r="J19" s="246">
        <v>83.5</v>
      </c>
      <c r="K19" s="246">
        <v>83.9</v>
      </c>
      <c r="L19" s="246">
        <v>84.3</v>
      </c>
      <c r="M19" s="246">
        <v>84.3</v>
      </c>
      <c r="N19" s="246">
        <f t="shared" si="0"/>
        <v>83.424999999999983</v>
      </c>
    </row>
    <row r="20" spans="1:14" x14ac:dyDescent="0.3">
      <c r="A20" s="7">
        <v>1994</v>
      </c>
      <c r="B20" s="246">
        <v>84.1</v>
      </c>
      <c r="C20" s="246">
        <v>84.1</v>
      </c>
      <c r="D20" s="246">
        <v>84.1</v>
      </c>
      <c r="E20" s="246">
        <v>84.2</v>
      </c>
      <c r="F20" s="246">
        <v>84.2</v>
      </c>
      <c r="G20" s="246">
        <v>84.2</v>
      </c>
      <c r="H20" s="246">
        <v>84.7</v>
      </c>
      <c r="I20" s="246">
        <v>84.6</v>
      </c>
      <c r="J20" s="246">
        <v>84.9</v>
      </c>
      <c r="K20" s="246">
        <v>84.9</v>
      </c>
      <c r="L20" s="246">
        <v>85.3</v>
      </c>
      <c r="M20" s="246">
        <v>85.6</v>
      </c>
      <c r="N20" s="246">
        <f t="shared" si="0"/>
        <v>84.575000000000003</v>
      </c>
    </row>
    <row r="21" spans="1:14" x14ac:dyDescent="0.3">
      <c r="A21" s="7">
        <v>1995</v>
      </c>
      <c r="B21" s="246">
        <v>85.9</v>
      </c>
      <c r="C21" s="246">
        <v>86.3</v>
      </c>
      <c r="D21" s="246">
        <v>86.4</v>
      </c>
      <c r="E21" s="246">
        <v>86.7</v>
      </c>
      <c r="F21" s="246">
        <v>86.9</v>
      </c>
      <c r="G21" s="246">
        <v>86.9</v>
      </c>
      <c r="H21" s="246">
        <v>87</v>
      </c>
      <c r="I21" s="246">
        <v>86.9</v>
      </c>
      <c r="J21" s="246">
        <v>87.1</v>
      </c>
      <c r="K21" s="246">
        <v>87.1</v>
      </c>
      <c r="L21" s="246">
        <v>87.4</v>
      </c>
      <c r="M21" s="246">
        <v>87.6</v>
      </c>
      <c r="N21" s="246">
        <f t="shared" si="0"/>
        <v>86.850000000000009</v>
      </c>
    </row>
    <row r="22" spans="1:14" x14ac:dyDescent="0.3">
      <c r="A22" s="7">
        <v>1996</v>
      </c>
      <c r="B22" s="246">
        <v>87.6</v>
      </c>
      <c r="C22" s="246">
        <v>87.4</v>
      </c>
      <c r="D22" s="246">
        <v>88.1</v>
      </c>
      <c r="E22" s="246">
        <v>88.5</v>
      </c>
      <c r="F22" s="246">
        <v>88.8</v>
      </c>
      <c r="G22" s="246">
        <v>88.6</v>
      </c>
      <c r="H22" s="246">
        <v>89</v>
      </c>
      <c r="I22" s="246">
        <v>89.1</v>
      </c>
      <c r="J22" s="246">
        <v>89.1</v>
      </c>
      <c r="K22" s="246">
        <v>89.3</v>
      </c>
      <c r="L22" s="246">
        <v>89.7</v>
      </c>
      <c r="M22" s="246">
        <v>90.1</v>
      </c>
      <c r="N22" s="246">
        <f t="shared" si="0"/>
        <v>88.774999999999991</v>
      </c>
    </row>
    <row r="23" spans="1:14" x14ac:dyDescent="0.3">
      <c r="A23" s="7">
        <v>1997</v>
      </c>
      <c r="B23" s="246">
        <v>90.2</v>
      </c>
      <c r="C23" s="246">
        <v>90.2</v>
      </c>
      <c r="D23" s="246">
        <v>90.6</v>
      </c>
      <c r="E23" s="246">
        <v>90.5</v>
      </c>
      <c r="F23" s="246">
        <v>90.9</v>
      </c>
      <c r="G23" s="246">
        <v>90.8</v>
      </c>
      <c r="H23" s="246">
        <v>90.8</v>
      </c>
      <c r="I23" s="246">
        <v>90.7</v>
      </c>
      <c r="J23" s="246">
        <v>90.6</v>
      </c>
      <c r="K23" s="246">
        <v>90.8</v>
      </c>
      <c r="L23" s="246">
        <v>90.8</v>
      </c>
      <c r="M23" s="246">
        <v>90.8</v>
      </c>
      <c r="N23" s="246">
        <f t="shared" si="0"/>
        <v>90.641666666666652</v>
      </c>
    </row>
    <row r="24" spans="1:14" x14ac:dyDescent="0.3">
      <c r="A24" s="7">
        <v>1998</v>
      </c>
      <c r="B24" s="246">
        <v>91.1</v>
      </c>
      <c r="C24" s="246">
        <v>90.8</v>
      </c>
      <c r="D24" s="246">
        <v>91.2</v>
      </c>
      <c r="E24" s="246">
        <v>91.3</v>
      </c>
      <c r="F24" s="246">
        <v>91.8</v>
      </c>
      <c r="G24" s="246">
        <v>91.9</v>
      </c>
      <c r="H24" s="246">
        <v>91.8</v>
      </c>
      <c r="I24" s="246">
        <v>92.1</v>
      </c>
      <c r="J24" s="246">
        <v>92</v>
      </c>
      <c r="K24" s="246">
        <v>92.4</v>
      </c>
      <c r="L24" s="246">
        <v>92.4</v>
      </c>
      <c r="M24" s="246">
        <v>92.6</v>
      </c>
      <c r="N24" s="246">
        <f t="shared" si="0"/>
        <v>91.783333333333317</v>
      </c>
    </row>
    <row r="25" spans="1:14" x14ac:dyDescent="0.3">
      <c r="A25" s="7">
        <v>1999</v>
      </c>
      <c r="B25" s="246">
        <v>92.5</v>
      </c>
      <c r="C25" s="246">
        <v>92.6</v>
      </c>
      <c r="D25" s="246">
        <v>92.5</v>
      </c>
      <c r="E25" s="246">
        <v>93.1</v>
      </c>
      <c r="F25" s="246">
        <v>93.5</v>
      </c>
      <c r="G25" s="246">
        <v>93.6</v>
      </c>
      <c r="H25" s="246">
        <v>93.8</v>
      </c>
      <c r="I25" s="246">
        <v>94</v>
      </c>
      <c r="J25" s="246">
        <v>94.5</v>
      </c>
      <c r="K25" s="246">
        <v>94.4</v>
      </c>
      <c r="L25" s="246">
        <v>94.4</v>
      </c>
      <c r="M25" s="246">
        <v>94.6</v>
      </c>
      <c r="N25" s="246">
        <f t="shared" si="0"/>
        <v>93.625</v>
      </c>
    </row>
    <row r="26" spans="1:14" x14ac:dyDescent="0.3">
      <c r="A26" s="7">
        <v>2000</v>
      </c>
      <c r="B26" s="246">
        <v>94.6</v>
      </c>
      <c r="C26" s="246">
        <v>94.8</v>
      </c>
      <c r="D26" s="246">
        <v>95.4</v>
      </c>
      <c r="E26" s="246">
        <v>95.3</v>
      </c>
      <c r="F26" s="246">
        <v>95.3</v>
      </c>
      <c r="G26" s="246">
        <v>95.7</v>
      </c>
      <c r="H26" s="246">
        <v>96.2</v>
      </c>
      <c r="I26" s="246">
        <v>96.3</v>
      </c>
      <c r="J26" s="246">
        <v>96.7</v>
      </c>
      <c r="K26" s="246">
        <v>96.5</v>
      </c>
      <c r="L26" s="246">
        <v>96.8</v>
      </c>
      <c r="M26" s="246">
        <v>97.4</v>
      </c>
      <c r="N26" s="246">
        <f t="shared" si="0"/>
        <v>95.916666666666686</v>
      </c>
    </row>
    <row r="27" spans="1:14" x14ac:dyDescent="0.3">
      <c r="A27" s="7">
        <v>2001</v>
      </c>
      <c r="B27" s="246">
        <v>96.8</v>
      </c>
      <c r="C27" s="246">
        <v>97.9</v>
      </c>
      <c r="D27" s="246">
        <v>98.1</v>
      </c>
      <c r="E27" s="246">
        <v>98.4</v>
      </c>
      <c r="F27" s="246">
        <v>99.2</v>
      </c>
      <c r="G27" s="246">
        <v>99.8</v>
      </c>
      <c r="H27" s="246">
        <v>99.3</v>
      </c>
      <c r="I27" s="246">
        <v>99</v>
      </c>
      <c r="J27" s="246">
        <v>99.5</v>
      </c>
      <c r="K27" s="246">
        <v>98.7</v>
      </c>
      <c r="L27" s="246">
        <v>97.7</v>
      </c>
      <c r="M27" s="246">
        <v>97.6</v>
      </c>
      <c r="N27" s="246">
        <f t="shared" si="0"/>
        <v>98.499999999999986</v>
      </c>
    </row>
    <row r="28" spans="1:14" x14ac:dyDescent="0.3">
      <c r="A28" s="7">
        <v>2002</v>
      </c>
      <c r="B28" s="246">
        <v>98</v>
      </c>
      <c r="C28" s="246">
        <v>98</v>
      </c>
      <c r="D28" s="246">
        <v>98.7</v>
      </c>
      <c r="E28" s="246">
        <v>99.6</v>
      </c>
      <c r="F28" s="246">
        <v>100.1</v>
      </c>
      <c r="G28" s="246">
        <v>100.4</v>
      </c>
      <c r="H28" s="246">
        <v>100.6</v>
      </c>
      <c r="I28" s="246">
        <v>100.8</v>
      </c>
      <c r="J28" s="246">
        <v>100.7</v>
      </c>
      <c r="K28" s="246">
        <v>100.6</v>
      </c>
      <c r="L28" s="246">
        <v>101.3</v>
      </c>
      <c r="M28" s="246">
        <v>101.3</v>
      </c>
      <c r="N28" s="246">
        <f t="shared" si="0"/>
        <v>100.00833333333333</v>
      </c>
    </row>
    <row r="29" spans="1:14" x14ac:dyDescent="0.3">
      <c r="A29" s="7">
        <v>2003</v>
      </c>
      <c r="B29" s="246">
        <v>101.5</v>
      </c>
      <c r="C29" s="246">
        <v>102</v>
      </c>
      <c r="D29" s="246">
        <v>102.2</v>
      </c>
      <c r="E29" s="246">
        <v>101.9</v>
      </c>
      <c r="F29" s="246">
        <v>101.7</v>
      </c>
      <c r="G29" s="246">
        <v>101.5</v>
      </c>
      <c r="H29" s="246">
        <v>101.5</v>
      </c>
      <c r="I29" s="246">
        <v>101.8</v>
      </c>
      <c r="J29" s="246">
        <v>102.3</v>
      </c>
      <c r="K29" s="246">
        <v>101.7</v>
      </c>
      <c r="L29" s="246">
        <v>101.8</v>
      </c>
      <c r="M29" s="246">
        <v>102</v>
      </c>
      <c r="N29" s="246">
        <f t="shared" si="0"/>
        <v>101.82499999999999</v>
      </c>
    </row>
    <row r="30" spans="1:14" x14ac:dyDescent="0.3">
      <c r="A30" s="7">
        <v>2004</v>
      </c>
      <c r="B30" s="246">
        <v>102</v>
      </c>
      <c r="C30" s="246">
        <v>101.9</v>
      </c>
      <c r="D30" s="246">
        <v>102.4</v>
      </c>
      <c r="E30" s="246">
        <v>102.7</v>
      </c>
      <c r="F30" s="246">
        <v>104.1</v>
      </c>
      <c r="G30" s="246">
        <v>104.4</v>
      </c>
      <c r="H30" s="246">
        <v>104.3</v>
      </c>
      <c r="I30" s="246">
        <v>104.3</v>
      </c>
      <c r="J30" s="246">
        <v>104.1</v>
      </c>
      <c r="K30" s="246">
        <v>104.5</v>
      </c>
      <c r="L30" s="246">
        <v>105.2</v>
      </c>
      <c r="M30" s="246">
        <v>105.5</v>
      </c>
      <c r="N30" s="246">
        <f t="shared" si="0"/>
        <v>103.78333333333332</v>
      </c>
    </row>
    <row r="31" spans="1:14" x14ac:dyDescent="0.3">
      <c r="A31" s="7">
        <v>2005</v>
      </c>
      <c r="B31" s="246">
        <v>105</v>
      </c>
      <c r="C31" s="246">
        <v>105.2</v>
      </c>
      <c r="D31" s="246">
        <v>105.6</v>
      </c>
      <c r="E31" s="246">
        <v>106.3</v>
      </c>
      <c r="F31" s="246">
        <v>106.5</v>
      </c>
      <c r="G31" s="246">
        <v>106.7</v>
      </c>
      <c r="H31" s="246">
        <v>107</v>
      </c>
      <c r="I31" s="246">
        <v>107.4</v>
      </c>
      <c r="J31" s="246">
        <v>107.8</v>
      </c>
      <c r="K31" s="246">
        <v>107.5</v>
      </c>
      <c r="L31" s="246">
        <v>107.3</v>
      </c>
      <c r="M31" s="246">
        <v>106.9</v>
      </c>
      <c r="N31" s="246">
        <f t="shared" si="0"/>
        <v>106.60000000000001</v>
      </c>
    </row>
    <row r="32" spans="1:14" x14ac:dyDescent="0.3">
      <c r="A32" s="7">
        <v>2006</v>
      </c>
      <c r="B32" s="246">
        <v>107.4</v>
      </c>
      <c r="C32" s="246">
        <v>107.2</v>
      </c>
      <c r="D32" s="246">
        <v>107.6</v>
      </c>
      <c r="E32" s="246">
        <v>108.5</v>
      </c>
      <c r="F32" s="246">
        <v>109.2</v>
      </c>
      <c r="G32" s="246">
        <v>109.3</v>
      </c>
      <c r="H32" s="246">
        <v>109.7</v>
      </c>
      <c r="I32" s="246">
        <v>109.7</v>
      </c>
      <c r="J32" s="246">
        <v>108.8</v>
      </c>
      <c r="K32" s="246">
        <v>108.9</v>
      </c>
      <c r="L32" s="246">
        <v>109</v>
      </c>
      <c r="M32" s="246">
        <v>108.7</v>
      </c>
      <c r="N32" s="246">
        <f t="shared" si="0"/>
        <v>108.66666666666669</v>
      </c>
    </row>
    <row r="33" spans="1:14" x14ac:dyDescent="0.3">
      <c r="A33" s="7">
        <v>2007</v>
      </c>
      <c r="B33" s="246">
        <v>109.1</v>
      </c>
      <c r="C33" s="246">
        <v>109.4</v>
      </c>
      <c r="D33" s="246">
        <v>110.4</v>
      </c>
      <c r="E33" s="246">
        <v>110.9</v>
      </c>
      <c r="F33" s="246">
        <v>111.7</v>
      </c>
      <c r="G33" s="246">
        <v>111.7</v>
      </c>
      <c r="H33" s="246">
        <v>112.1</v>
      </c>
      <c r="I33" s="246">
        <v>111.2</v>
      </c>
      <c r="J33" s="246">
        <v>111.8</v>
      </c>
      <c r="K33" s="246">
        <v>111</v>
      </c>
      <c r="L33" s="246">
        <v>110.8</v>
      </c>
      <c r="M33" s="246">
        <v>110.9</v>
      </c>
      <c r="N33" s="246">
        <f t="shared" si="0"/>
        <v>110.91666666666669</v>
      </c>
    </row>
    <row r="34" spans="1:14" x14ac:dyDescent="0.3">
      <c r="A34" s="7">
        <v>2008</v>
      </c>
      <c r="B34" s="246">
        <v>110.8</v>
      </c>
      <c r="C34" s="246">
        <v>111.2</v>
      </c>
      <c r="D34" s="246">
        <v>111.8</v>
      </c>
      <c r="E34" s="246">
        <v>112.7</v>
      </c>
      <c r="F34" s="246">
        <v>113.5</v>
      </c>
      <c r="G34" s="246">
        <v>114.4</v>
      </c>
      <c r="H34" s="246">
        <v>115</v>
      </c>
      <c r="I34" s="246">
        <v>115</v>
      </c>
      <c r="J34" s="246">
        <v>115.2</v>
      </c>
      <c r="K34" s="246">
        <v>114.3</v>
      </c>
      <c r="L34" s="246">
        <v>113.8</v>
      </c>
      <c r="M34" s="246">
        <v>113</v>
      </c>
      <c r="N34" s="246">
        <f t="shared" si="0"/>
        <v>113.39166666666667</v>
      </c>
    </row>
    <row r="35" spans="1:14" x14ac:dyDescent="0.3">
      <c r="A35" s="7">
        <v>2009</v>
      </c>
      <c r="B35" s="246">
        <v>112.4</v>
      </c>
      <c r="C35" s="246">
        <v>113.1</v>
      </c>
      <c r="D35" s="246">
        <v>113</v>
      </c>
      <c r="E35" s="246">
        <v>113.7</v>
      </c>
      <c r="F35" s="246">
        <v>114.4</v>
      </c>
      <c r="G35" s="246">
        <v>115.1</v>
      </c>
      <c r="H35" s="246">
        <v>115</v>
      </c>
      <c r="I35" s="246">
        <v>114.5</v>
      </c>
      <c r="J35" s="246">
        <v>114.8</v>
      </c>
      <c r="K35" s="246">
        <v>114.4</v>
      </c>
      <c r="L35" s="246">
        <v>114.7</v>
      </c>
      <c r="M35" s="246">
        <v>114.2</v>
      </c>
      <c r="N35" s="246">
        <f t="shared" si="0"/>
        <v>114.10833333333335</v>
      </c>
    </row>
    <row r="36" spans="1:14" x14ac:dyDescent="0.3">
      <c r="A36" s="7">
        <v>2010</v>
      </c>
      <c r="B36" s="246">
        <v>114.3</v>
      </c>
      <c r="C36" s="246">
        <v>114.6</v>
      </c>
      <c r="D36" s="246">
        <v>114.7</v>
      </c>
      <c r="E36" s="246">
        <v>114.8</v>
      </c>
      <c r="F36" s="246">
        <v>115</v>
      </c>
      <c r="G36" s="246">
        <v>114.9</v>
      </c>
      <c r="H36" s="246">
        <v>114.7</v>
      </c>
      <c r="I36" s="246">
        <v>114.8</v>
      </c>
      <c r="J36" s="246">
        <v>115.1</v>
      </c>
      <c r="K36" s="246">
        <v>115.8</v>
      </c>
      <c r="L36" s="246">
        <v>116</v>
      </c>
      <c r="M36" s="246">
        <v>115.6</v>
      </c>
      <c r="N36" s="246">
        <f t="shared" si="0"/>
        <v>115.02499999999998</v>
      </c>
    </row>
    <row r="37" spans="1:14" x14ac:dyDescent="0.3">
      <c r="A37" s="7">
        <v>2011</v>
      </c>
      <c r="B37" s="246">
        <v>116.6</v>
      </c>
      <c r="C37" s="246">
        <v>117</v>
      </c>
      <c r="D37" s="246">
        <v>117.9</v>
      </c>
      <c r="E37" s="246">
        <v>118.3</v>
      </c>
      <c r="F37" s="246">
        <v>119.5</v>
      </c>
      <c r="G37" s="246">
        <v>118.6</v>
      </c>
      <c r="H37" s="246">
        <v>118.2</v>
      </c>
      <c r="I37" s="246">
        <v>118.3</v>
      </c>
      <c r="J37" s="246">
        <v>119.1</v>
      </c>
      <c r="K37" s="246">
        <v>119.3</v>
      </c>
      <c r="L37" s="246">
        <v>119.6</v>
      </c>
      <c r="M37" s="246">
        <v>118.6</v>
      </c>
      <c r="N37" s="246">
        <f t="shared" si="0"/>
        <v>118.41666666666664</v>
      </c>
    </row>
    <row r="38" spans="1:14" x14ac:dyDescent="0.3">
      <c r="A38" s="7">
        <v>2012</v>
      </c>
      <c r="B38" s="246">
        <v>118.9</v>
      </c>
      <c r="C38" s="246">
        <v>119</v>
      </c>
      <c r="D38" s="246">
        <v>119.5</v>
      </c>
      <c r="E38" s="246">
        <v>120.4</v>
      </c>
      <c r="F38" s="246">
        <v>120.8</v>
      </c>
      <c r="G38" s="246">
        <v>120.3</v>
      </c>
      <c r="H38" s="246">
        <v>120.3</v>
      </c>
      <c r="I38" s="246">
        <v>120.5</v>
      </c>
      <c r="J38" s="246">
        <v>121</v>
      </c>
      <c r="K38" s="246">
        <v>121.3</v>
      </c>
      <c r="L38" s="246">
        <v>121.1</v>
      </c>
      <c r="M38" s="246">
        <v>120.2</v>
      </c>
      <c r="N38" s="246">
        <f t="shared" si="0"/>
        <v>120.27499999999998</v>
      </c>
    </row>
    <row r="39" spans="1:14" x14ac:dyDescent="0.3">
      <c r="A39" s="7">
        <v>2013</v>
      </c>
      <c r="B39" s="246">
        <v>120.3</v>
      </c>
      <c r="C39" s="246">
        <v>121.6</v>
      </c>
      <c r="D39" s="246">
        <v>122.3</v>
      </c>
      <c r="E39" s="246">
        <v>122.6</v>
      </c>
      <c r="F39" s="246">
        <v>123</v>
      </c>
      <c r="G39" s="246">
        <v>123.6</v>
      </c>
      <c r="H39" s="246">
        <v>123.9</v>
      </c>
      <c r="I39" s="246">
        <v>123.8</v>
      </c>
      <c r="J39" s="246">
        <v>124</v>
      </c>
      <c r="K39" s="246">
        <v>124</v>
      </c>
      <c r="L39" s="246">
        <v>124</v>
      </c>
      <c r="M39" s="246">
        <v>122.7</v>
      </c>
      <c r="N39" s="246">
        <f t="shared" si="0"/>
        <v>122.98333333333333</v>
      </c>
    </row>
    <row r="40" spans="1:14" x14ac:dyDescent="0.3">
      <c r="A40" s="7">
        <v>2014</v>
      </c>
      <c r="B40" s="246">
        <v>123.4</v>
      </c>
      <c r="C40" s="246">
        <v>124.3</v>
      </c>
      <c r="D40" s="246">
        <v>125.1</v>
      </c>
      <c r="E40" s="246">
        <v>125.4</v>
      </c>
      <c r="F40" s="246">
        <v>126.2</v>
      </c>
      <c r="G40" s="246">
        <v>126</v>
      </c>
      <c r="H40" s="246">
        <v>125.8</v>
      </c>
      <c r="I40" s="246">
        <v>125.6</v>
      </c>
      <c r="J40" s="246">
        <v>125.8</v>
      </c>
      <c r="K40" s="246">
        <v>125.6</v>
      </c>
      <c r="L40" s="246">
        <v>125.4</v>
      </c>
      <c r="M40" s="246">
        <v>124.5</v>
      </c>
      <c r="N40" s="246">
        <f t="shared" si="0"/>
        <v>125.25833333333333</v>
      </c>
    </row>
    <row r="41" spans="1:14" x14ac:dyDescent="0.3">
      <c r="A41" s="7">
        <v>2015</v>
      </c>
      <c r="B41" s="246">
        <v>124.3</v>
      </c>
      <c r="C41" s="246">
        <v>125.2</v>
      </c>
      <c r="D41" s="246">
        <v>126.6</v>
      </c>
      <c r="E41" s="246">
        <v>126.5</v>
      </c>
      <c r="F41" s="246">
        <v>126.8</v>
      </c>
      <c r="G41" s="246">
        <v>127.3</v>
      </c>
      <c r="H41" s="246">
        <v>127.1</v>
      </c>
      <c r="I41" s="246">
        <v>127.8</v>
      </c>
      <c r="J41" s="246">
        <v>127.4</v>
      </c>
      <c r="K41" s="246">
        <v>128</v>
      </c>
      <c r="L41" s="246">
        <v>127.7</v>
      </c>
      <c r="M41" s="246">
        <v>126.4</v>
      </c>
      <c r="N41" s="246">
        <f t="shared" si="0"/>
        <v>126.75833333333334</v>
      </c>
    </row>
    <row r="42" spans="1:14" x14ac:dyDescent="0.3">
      <c r="A42" s="7">
        <v>2016</v>
      </c>
      <c r="B42" s="246">
        <v>126.9</v>
      </c>
      <c r="C42" s="246">
        <v>126.6</v>
      </c>
      <c r="D42" s="246">
        <v>127.8</v>
      </c>
      <c r="E42" s="246">
        <v>128.1</v>
      </c>
      <c r="F42" s="246">
        <v>128.9</v>
      </c>
      <c r="G42" s="246">
        <v>130</v>
      </c>
      <c r="H42" s="246">
        <v>129</v>
      </c>
      <c r="I42" s="246">
        <v>129.19999999999999</v>
      </c>
      <c r="J42" s="246">
        <v>129</v>
      </c>
      <c r="K42" s="246">
        <v>129.4</v>
      </c>
      <c r="L42" s="246">
        <v>127.9</v>
      </c>
      <c r="M42" s="246">
        <v>127.8</v>
      </c>
      <c r="N42" s="246">
        <f t="shared" si="0"/>
        <v>128.38333333333335</v>
      </c>
    </row>
    <row r="43" spans="1:14" x14ac:dyDescent="0.3">
      <c r="A43" s="7">
        <v>2017</v>
      </c>
      <c r="B43" s="246">
        <v>129.6</v>
      </c>
      <c r="C43" s="246">
        <v>129.5</v>
      </c>
      <c r="D43" s="246">
        <v>129.9</v>
      </c>
      <c r="E43" s="246">
        <v>130.19999999999999</v>
      </c>
      <c r="F43" s="246">
        <v>130.19999999999999</v>
      </c>
      <c r="G43" s="246">
        <v>130.19999999999999</v>
      </c>
      <c r="H43" s="246">
        <v>130.1</v>
      </c>
      <c r="I43" s="246">
        <v>130.4</v>
      </c>
      <c r="J43" s="246">
        <v>130.9</v>
      </c>
      <c r="K43" s="246">
        <v>131.4</v>
      </c>
      <c r="L43" s="246">
        <v>132</v>
      </c>
      <c r="M43" s="246">
        <v>131.5</v>
      </c>
      <c r="N43" s="246">
        <f t="shared" si="0"/>
        <v>130.4916666666667</v>
      </c>
    </row>
    <row r="44" spans="1:14" x14ac:dyDescent="0.3">
      <c r="A44" s="7">
        <v>2018</v>
      </c>
      <c r="B44" s="246">
        <v>132.30000000000001</v>
      </c>
      <c r="C44" s="246">
        <v>132.6</v>
      </c>
      <c r="D44" s="246">
        <v>133</v>
      </c>
      <c r="E44" s="246">
        <v>134</v>
      </c>
      <c r="F44" s="246">
        <v>133.69999999999999</v>
      </c>
      <c r="G44" s="246">
        <v>133.69999999999999</v>
      </c>
      <c r="H44" s="246">
        <v>134.4</v>
      </c>
      <c r="I44" s="246">
        <v>134.19999999999999</v>
      </c>
      <c r="J44" s="246">
        <v>134</v>
      </c>
      <c r="K44" s="246">
        <v>135</v>
      </c>
      <c r="L44" s="246">
        <v>134.30000000000001</v>
      </c>
      <c r="M44" s="246">
        <v>134.30000000000001</v>
      </c>
      <c r="N44" s="246">
        <f t="shared" si="0"/>
        <v>133.79166666666666</v>
      </c>
    </row>
    <row r="45" spans="1:14" x14ac:dyDescent="0.3">
      <c r="A45" s="7">
        <v>2019</v>
      </c>
      <c r="B45" s="246">
        <v>134.1</v>
      </c>
      <c r="C45" s="246">
        <v>135.19999999999999</v>
      </c>
      <c r="D45" s="246">
        <v>136.1</v>
      </c>
      <c r="E45" s="246">
        <v>137.1</v>
      </c>
      <c r="F45" s="246">
        <v>137.5</v>
      </c>
      <c r="G45" s="246">
        <v>137.30000000000001</v>
      </c>
      <c r="H45" s="246">
        <v>137.4</v>
      </c>
      <c r="I45" s="246">
        <v>137.30000000000001</v>
      </c>
      <c r="J45" s="246">
        <v>136.9</v>
      </c>
      <c r="K45" s="246">
        <v>138</v>
      </c>
      <c r="L45" s="246">
        <v>137.6</v>
      </c>
      <c r="M45" s="246">
        <v>137.4</v>
      </c>
      <c r="N45" s="246">
        <f t="shared" si="0"/>
        <v>136.82500000000002</v>
      </c>
    </row>
    <row r="46" spans="1:14" x14ac:dyDescent="0.3">
      <c r="A46" s="7">
        <v>2020</v>
      </c>
      <c r="B46" s="246">
        <v>137.5</v>
      </c>
      <c r="C46" s="246">
        <v>138.30000000000001</v>
      </c>
      <c r="D46" s="246">
        <v>137.4</v>
      </c>
      <c r="E46" s="246">
        <v>136.30000000000001</v>
      </c>
      <c r="F46" s="246">
        <v>136.80000000000001</v>
      </c>
      <c r="G46" s="246">
        <v>137.9</v>
      </c>
      <c r="H46" s="246">
        <v>137.9</v>
      </c>
      <c r="I46" s="246">
        <v>137.19999999999999</v>
      </c>
      <c r="J46" s="246">
        <v>137.19999999999999</v>
      </c>
      <c r="K46" s="246">
        <v>138.1</v>
      </c>
      <c r="L46" s="246">
        <v>138.4</v>
      </c>
      <c r="M46" s="246">
        <v>137.5</v>
      </c>
      <c r="N46" s="246">
        <f t="shared" si="0"/>
        <v>137.54166666666666</v>
      </c>
    </row>
    <row r="47" spans="1:14" x14ac:dyDescent="0.3">
      <c r="A47" s="7">
        <v>2021</v>
      </c>
      <c r="B47" s="246">
        <v>138.5</v>
      </c>
      <c r="C47" s="246">
        <v>138.9</v>
      </c>
      <c r="D47" s="246">
        <v>139.6</v>
      </c>
      <c r="E47" s="246">
        <v>140.6</v>
      </c>
      <c r="F47" s="246">
        <v>141.5</v>
      </c>
      <c r="G47" s="246">
        <v>141.9</v>
      </c>
      <c r="H47" s="246">
        <v>142.80000000000001</v>
      </c>
      <c r="I47" s="246">
        <v>143.19999999999999</v>
      </c>
      <c r="J47" s="246">
        <v>143.6</v>
      </c>
      <c r="K47" s="246">
        <v>144.6</v>
      </c>
      <c r="L47" s="246">
        <v>144.69999999999999</v>
      </c>
      <c r="M47" s="246">
        <v>144</v>
      </c>
      <c r="N47" s="246">
        <f t="shared" si="0"/>
        <v>141.99166666666665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16"/>
  <dimension ref="A1:N47"/>
  <sheetViews>
    <sheetView workbookViewId="0">
      <pane xSplit="1" ySplit="3" topLeftCell="B34" activePane="bottomRight" state="frozen"/>
      <selection sqref="A1:XFD1048576"/>
      <selection pane="topRight" sqref="A1:XFD1048576"/>
      <selection pane="bottomLeft" sqref="A1:XFD1048576"/>
      <selection pane="bottomRight" activeCell="M48" sqref="M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85</v>
      </c>
    </row>
    <row r="2" spans="1:14" s="187" customFormat="1" x14ac:dyDescent="0.3">
      <c r="A2" s="25">
        <v>10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37.4</v>
      </c>
      <c r="K4" s="246">
        <v>37.6</v>
      </c>
      <c r="L4" s="246">
        <v>37.9</v>
      </c>
      <c r="M4" s="246">
        <v>38</v>
      </c>
      <c r="N4" s="246">
        <f t="shared" ref="N4:N47" si="0">AVERAGE(B4:M4)</f>
        <v>37.725000000000001</v>
      </c>
    </row>
    <row r="5" spans="1:14" x14ac:dyDescent="0.3">
      <c r="A5" s="7">
        <v>1979</v>
      </c>
      <c r="B5" s="246">
        <v>38.5</v>
      </c>
      <c r="C5" s="246">
        <v>38.799999999999997</v>
      </c>
      <c r="D5" s="246">
        <v>39.1</v>
      </c>
      <c r="E5" s="246">
        <v>39.4</v>
      </c>
      <c r="F5" s="246">
        <v>39.799999999999997</v>
      </c>
      <c r="G5" s="246">
        <v>40.1</v>
      </c>
      <c r="H5" s="246">
        <v>40.5</v>
      </c>
      <c r="I5" s="246">
        <v>40.6</v>
      </c>
      <c r="J5" s="246">
        <v>40.9</v>
      </c>
      <c r="K5" s="246">
        <v>41.2</v>
      </c>
      <c r="L5" s="246">
        <v>41.6</v>
      </c>
      <c r="M5" s="246">
        <v>41.9</v>
      </c>
      <c r="N5" s="246">
        <f t="shared" si="0"/>
        <v>40.200000000000003</v>
      </c>
    </row>
    <row r="6" spans="1:14" x14ac:dyDescent="0.3">
      <c r="A6" s="7">
        <v>1980</v>
      </c>
      <c r="B6" s="246">
        <v>42</v>
      </c>
      <c r="C6" s="246">
        <v>42.4</v>
      </c>
      <c r="D6" s="246">
        <v>42.8</v>
      </c>
      <c r="E6" s="246">
        <v>43</v>
      </c>
      <c r="F6" s="246">
        <v>43.6</v>
      </c>
      <c r="G6" s="246">
        <v>44.1</v>
      </c>
      <c r="H6" s="246">
        <v>44.5</v>
      </c>
      <c r="I6" s="246">
        <v>45</v>
      </c>
      <c r="J6" s="246">
        <v>45.4</v>
      </c>
      <c r="K6" s="246">
        <v>45.8</v>
      </c>
      <c r="L6" s="246">
        <v>46.5</v>
      </c>
      <c r="M6" s="246">
        <v>46.7</v>
      </c>
      <c r="N6" s="246">
        <f t="shared" si="0"/>
        <v>44.316666666666663</v>
      </c>
    </row>
    <row r="7" spans="1:14" x14ac:dyDescent="0.3">
      <c r="A7" s="7">
        <v>1981</v>
      </c>
      <c r="B7" s="246">
        <v>47.1</v>
      </c>
      <c r="C7" s="246">
        <v>47.5</v>
      </c>
      <c r="D7" s="246">
        <v>48</v>
      </c>
      <c r="E7" s="246">
        <v>48.1</v>
      </c>
      <c r="F7" s="246">
        <v>48.8</v>
      </c>
      <c r="G7" s="246">
        <v>49.6</v>
      </c>
      <c r="H7" s="246">
        <v>49.9</v>
      </c>
      <c r="I7" s="246">
        <v>50.4</v>
      </c>
      <c r="J7" s="246">
        <v>50.6</v>
      </c>
      <c r="K7" s="246">
        <v>51</v>
      </c>
      <c r="L7" s="246">
        <v>51.6</v>
      </c>
      <c r="M7" s="246">
        <v>51.7</v>
      </c>
      <c r="N7" s="246">
        <f t="shared" si="0"/>
        <v>49.525000000000006</v>
      </c>
    </row>
    <row r="8" spans="1:14" x14ac:dyDescent="0.3">
      <c r="A8" s="7">
        <v>1982</v>
      </c>
      <c r="B8" s="246">
        <v>52</v>
      </c>
      <c r="C8" s="246">
        <v>52.7</v>
      </c>
      <c r="D8" s="246">
        <v>53.2</v>
      </c>
      <c r="E8" s="246">
        <v>53.4</v>
      </c>
      <c r="F8" s="246">
        <v>53.4</v>
      </c>
      <c r="G8" s="246">
        <v>53.8</v>
      </c>
      <c r="H8" s="246">
        <v>54.2</v>
      </c>
      <c r="I8" s="246">
        <v>54.4</v>
      </c>
      <c r="J8" s="246">
        <v>54.6</v>
      </c>
      <c r="K8" s="246">
        <v>55.3</v>
      </c>
      <c r="L8" s="246">
        <v>55.3</v>
      </c>
      <c r="M8" s="246">
        <v>55.5</v>
      </c>
      <c r="N8" s="246">
        <f t="shared" si="0"/>
        <v>53.983333333333327</v>
      </c>
    </row>
    <row r="9" spans="1:14" x14ac:dyDescent="0.3">
      <c r="A9" s="7">
        <v>1983</v>
      </c>
      <c r="B9" s="246">
        <v>55.5</v>
      </c>
      <c r="C9" s="246">
        <v>56</v>
      </c>
      <c r="D9" s="246">
        <v>56.4</v>
      </c>
      <c r="E9" s="246">
        <v>56.8</v>
      </c>
      <c r="F9" s="246">
        <v>57.2</v>
      </c>
      <c r="G9" s="246">
        <v>57.1</v>
      </c>
      <c r="H9" s="246">
        <v>58</v>
      </c>
      <c r="I9" s="246">
        <v>58.2</v>
      </c>
      <c r="J9" s="246">
        <v>58.2</v>
      </c>
      <c r="K9" s="246">
        <v>58.6</v>
      </c>
      <c r="L9" s="246">
        <v>58.6</v>
      </c>
      <c r="M9" s="246">
        <v>58.6</v>
      </c>
      <c r="N9" s="246">
        <f t="shared" si="0"/>
        <v>57.433333333333337</v>
      </c>
    </row>
    <row r="10" spans="1:14" x14ac:dyDescent="0.3">
      <c r="A10" s="7">
        <v>1984</v>
      </c>
      <c r="B10" s="246">
        <v>58.9</v>
      </c>
      <c r="C10" s="246">
        <v>59.1</v>
      </c>
      <c r="D10" s="246">
        <v>59.1</v>
      </c>
      <c r="E10" s="246">
        <v>59.3</v>
      </c>
      <c r="F10" s="246">
        <v>59.5</v>
      </c>
      <c r="G10" s="246">
        <v>59.7</v>
      </c>
      <c r="H10" s="246">
        <v>59.8</v>
      </c>
      <c r="I10" s="246">
        <v>60</v>
      </c>
      <c r="J10" s="246">
        <v>60.2</v>
      </c>
      <c r="K10" s="246">
        <v>60.3</v>
      </c>
      <c r="L10" s="246">
        <v>60.6</v>
      </c>
      <c r="M10" s="246">
        <v>60.7</v>
      </c>
      <c r="N10" s="246">
        <f t="shared" si="0"/>
        <v>59.766666666666673</v>
      </c>
    </row>
    <row r="11" spans="1:14" x14ac:dyDescent="0.3">
      <c r="A11" s="7">
        <v>1985</v>
      </c>
      <c r="B11" s="246">
        <v>60.9</v>
      </c>
      <c r="C11" s="246">
        <v>61.1</v>
      </c>
      <c r="D11" s="246">
        <v>61.4</v>
      </c>
      <c r="E11" s="246">
        <v>61.6</v>
      </c>
      <c r="F11" s="246">
        <v>61.7</v>
      </c>
      <c r="G11" s="246">
        <v>62</v>
      </c>
      <c r="H11" s="246">
        <v>62.2</v>
      </c>
      <c r="I11" s="246">
        <v>61.9</v>
      </c>
      <c r="J11" s="246">
        <v>62.2</v>
      </c>
      <c r="K11" s="246">
        <v>62.7</v>
      </c>
      <c r="L11" s="246">
        <v>62.7</v>
      </c>
      <c r="M11" s="246">
        <v>63.1</v>
      </c>
      <c r="N11" s="246">
        <f t="shared" si="0"/>
        <v>61.958333333333343</v>
      </c>
    </row>
    <row r="12" spans="1:14" x14ac:dyDescent="0.3">
      <c r="A12" s="7">
        <v>1986</v>
      </c>
      <c r="B12" s="246">
        <v>63.1</v>
      </c>
      <c r="C12" s="246">
        <v>63.1</v>
      </c>
      <c r="D12" s="246">
        <v>62.8</v>
      </c>
      <c r="E12" s="246">
        <v>62.9</v>
      </c>
      <c r="F12" s="246">
        <v>63.2</v>
      </c>
      <c r="G12" s="246">
        <v>63.4</v>
      </c>
      <c r="H12" s="246">
        <v>63.9</v>
      </c>
      <c r="I12" s="246">
        <v>63.9</v>
      </c>
      <c r="J12" s="246">
        <v>63.9</v>
      </c>
      <c r="K12" s="246">
        <v>64.400000000000006</v>
      </c>
      <c r="L12" s="246">
        <v>64.599999999999994</v>
      </c>
      <c r="M12" s="246">
        <v>64.7</v>
      </c>
      <c r="N12" s="246">
        <f t="shared" si="0"/>
        <v>63.658333333333331</v>
      </c>
    </row>
    <row r="13" spans="1:14" x14ac:dyDescent="0.3">
      <c r="A13" s="7">
        <v>1987</v>
      </c>
      <c r="B13" s="246">
        <v>65.099999999999994</v>
      </c>
      <c r="C13" s="246">
        <v>65.3</v>
      </c>
      <c r="D13" s="246">
        <v>65.599999999999994</v>
      </c>
      <c r="E13" s="246">
        <v>65.7</v>
      </c>
      <c r="F13" s="246">
        <v>66.099999999999994</v>
      </c>
      <c r="G13" s="246">
        <v>66.2</v>
      </c>
      <c r="H13" s="246">
        <v>67.8</v>
      </c>
      <c r="I13" s="246">
        <v>67.8</v>
      </c>
      <c r="J13" s="246">
        <v>67.7</v>
      </c>
      <c r="K13" s="246">
        <v>67.8</v>
      </c>
      <c r="L13" s="246">
        <v>68.3</v>
      </c>
      <c r="M13" s="246">
        <v>68.400000000000006</v>
      </c>
      <c r="N13" s="246">
        <f t="shared" si="0"/>
        <v>66.816666666666649</v>
      </c>
    </row>
    <row r="14" spans="1:14" x14ac:dyDescent="0.3">
      <c r="A14" s="7">
        <v>1988</v>
      </c>
      <c r="B14" s="246">
        <v>68.900000000000006</v>
      </c>
      <c r="C14" s="246">
        <v>69.099999999999994</v>
      </c>
      <c r="D14" s="246">
        <v>69.3</v>
      </c>
      <c r="E14" s="246">
        <v>69.400000000000006</v>
      </c>
      <c r="F14" s="246">
        <v>69.5</v>
      </c>
      <c r="G14" s="246">
        <v>69.599999999999994</v>
      </c>
      <c r="H14" s="246">
        <v>69.900000000000006</v>
      </c>
      <c r="I14" s="246">
        <v>70.2</v>
      </c>
      <c r="J14" s="246">
        <v>69.900000000000006</v>
      </c>
      <c r="K14" s="246">
        <v>70.400000000000006</v>
      </c>
      <c r="L14" s="246">
        <v>70.7</v>
      </c>
      <c r="M14" s="246">
        <v>70.599999999999994</v>
      </c>
      <c r="N14" s="246">
        <f t="shared" si="0"/>
        <v>69.791666666666671</v>
      </c>
    </row>
    <row r="15" spans="1:14" x14ac:dyDescent="0.3">
      <c r="A15" s="7">
        <v>1989</v>
      </c>
      <c r="B15" s="246">
        <v>71.099999999999994</v>
      </c>
      <c r="C15" s="246">
        <v>71.5</v>
      </c>
      <c r="D15" s="246">
        <v>71.8</v>
      </c>
      <c r="E15" s="246">
        <v>71.7</v>
      </c>
      <c r="F15" s="246">
        <v>72.7</v>
      </c>
      <c r="G15" s="246">
        <v>73.099999999999994</v>
      </c>
      <c r="H15" s="246">
        <v>73.599999999999994</v>
      </c>
      <c r="I15" s="246">
        <v>73.7</v>
      </c>
      <c r="J15" s="246">
        <v>73.599999999999994</v>
      </c>
      <c r="K15" s="246">
        <v>73.7</v>
      </c>
      <c r="L15" s="246">
        <v>74.099999999999994</v>
      </c>
      <c r="M15" s="246">
        <v>73.8</v>
      </c>
      <c r="N15" s="246">
        <f t="shared" si="0"/>
        <v>72.866666666666674</v>
      </c>
    </row>
    <row r="16" spans="1:14" x14ac:dyDescent="0.3">
      <c r="A16" s="7">
        <v>1990</v>
      </c>
      <c r="B16" s="246">
        <v>74.3</v>
      </c>
      <c r="C16" s="246">
        <v>75.2</v>
      </c>
      <c r="D16" s="246">
        <v>75.3</v>
      </c>
      <c r="E16" s="246">
        <v>75.400000000000006</v>
      </c>
      <c r="F16" s="246">
        <v>75.5</v>
      </c>
      <c r="G16" s="246">
        <v>75.900000000000006</v>
      </c>
      <c r="H16" s="246">
        <v>76.3</v>
      </c>
      <c r="I16" s="246">
        <v>76.400000000000006</v>
      </c>
      <c r="J16" s="246">
        <v>76.5</v>
      </c>
      <c r="K16" s="246">
        <v>77</v>
      </c>
      <c r="L16" s="246">
        <v>77.099999999999994</v>
      </c>
      <c r="M16" s="246">
        <v>77.5</v>
      </c>
      <c r="N16" s="246">
        <f t="shared" si="0"/>
        <v>76.033333333333331</v>
      </c>
    </row>
    <row r="17" spans="1:14" x14ac:dyDescent="0.3">
      <c r="A17" s="7">
        <v>1991</v>
      </c>
      <c r="B17" s="246">
        <v>79.2</v>
      </c>
      <c r="C17" s="246">
        <v>78.900000000000006</v>
      </c>
      <c r="D17" s="246">
        <v>79.2</v>
      </c>
      <c r="E17" s="246">
        <v>80.400000000000006</v>
      </c>
      <c r="F17" s="246">
        <v>80.5</v>
      </c>
      <c r="G17" s="246">
        <v>80.2</v>
      </c>
      <c r="H17" s="246">
        <v>80.7</v>
      </c>
      <c r="I17" s="246">
        <v>80.7</v>
      </c>
      <c r="J17" s="246">
        <v>80.5</v>
      </c>
      <c r="K17" s="246">
        <v>80.400000000000006</v>
      </c>
      <c r="L17" s="246">
        <v>79.8</v>
      </c>
      <c r="M17" s="246">
        <v>79.5</v>
      </c>
      <c r="N17" s="246">
        <f t="shared" si="0"/>
        <v>80</v>
      </c>
    </row>
    <row r="18" spans="1:14" x14ac:dyDescent="0.3">
      <c r="A18" s="7">
        <v>1992</v>
      </c>
      <c r="B18" s="246">
        <v>79.599999999999994</v>
      </c>
      <c r="C18" s="246">
        <v>79.7</v>
      </c>
      <c r="D18" s="246">
        <v>80</v>
      </c>
      <c r="E18" s="246">
        <v>80</v>
      </c>
      <c r="F18" s="246">
        <v>80.900000000000006</v>
      </c>
      <c r="G18" s="246">
        <v>80.900000000000006</v>
      </c>
      <c r="H18" s="246">
        <v>81.2</v>
      </c>
      <c r="I18" s="246">
        <v>81.3</v>
      </c>
      <c r="J18" s="246">
        <v>81.3</v>
      </c>
      <c r="K18" s="246">
        <v>81.3</v>
      </c>
      <c r="L18" s="246">
        <v>81.7</v>
      </c>
      <c r="M18" s="246">
        <v>81.7</v>
      </c>
      <c r="N18" s="246">
        <f t="shared" si="0"/>
        <v>80.8</v>
      </c>
    </row>
    <row r="19" spans="1:14" x14ac:dyDescent="0.3">
      <c r="A19" s="7">
        <v>1993</v>
      </c>
      <c r="B19" s="246">
        <v>82.2</v>
      </c>
      <c r="C19" s="246">
        <v>82.4</v>
      </c>
      <c r="D19" s="246">
        <v>82.2</v>
      </c>
      <c r="E19" s="246">
        <v>83.1</v>
      </c>
      <c r="F19" s="246">
        <v>83.4</v>
      </c>
      <c r="G19" s="246">
        <v>83.4</v>
      </c>
      <c r="H19" s="246">
        <v>83.4</v>
      </c>
      <c r="I19" s="246">
        <v>83.6</v>
      </c>
      <c r="J19" s="246">
        <v>83.6</v>
      </c>
      <c r="K19" s="246">
        <v>83.8</v>
      </c>
      <c r="L19" s="246">
        <v>84.2</v>
      </c>
      <c r="M19" s="246">
        <v>84.1</v>
      </c>
      <c r="N19" s="246">
        <f t="shared" si="0"/>
        <v>83.283333333333331</v>
      </c>
    </row>
    <row r="20" spans="1:14" x14ac:dyDescent="0.3">
      <c r="A20" s="7">
        <v>1994</v>
      </c>
      <c r="B20" s="246">
        <v>84.3</v>
      </c>
      <c r="C20" s="246">
        <v>84.1</v>
      </c>
      <c r="D20" s="246">
        <v>84.1</v>
      </c>
      <c r="E20" s="246">
        <v>84.5</v>
      </c>
      <c r="F20" s="246">
        <v>84.4</v>
      </c>
      <c r="G20" s="246">
        <v>84.6</v>
      </c>
      <c r="H20" s="246">
        <v>84.9</v>
      </c>
      <c r="I20" s="246">
        <v>85.1</v>
      </c>
      <c r="J20" s="246">
        <v>85.4</v>
      </c>
      <c r="K20" s="246">
        <v>85.1</v>
      </c>
      <c r="L20" s="246">
        <v>85.4</v>
      </c>
      <c r="M20" s="246">
        <v>85.5</v>
      </c>
      <c r="N20" s="246">
        <f t="shared" si="0"/>
        <v>84.783333333333331</v>
      </c>
    </row>
    <row r="21" spans="1:14" x14ac:dyDescent="0.3">
      <c r="A21" s="7">
        <v>1995</v>
      </c>
      <c r="B21" s="246">
        <v>85.6</v>
      </c>
      <c r="C21" s="246">
        <v>85.8</v>
      </c>
      <c r="D21" s="246">
        <v>85.9</v>
      </c>
      <c r="E21" s="246">
        <v>86.3</v>
      </c>
      <c r="F21" s="246">
        <v>86.7</v>
      </c>
      <c r="G21" s="246">
        <v>86.7</v>
      </c>
      <c r="H21" s="246">
        <v>86.7</v>
      </c>
      <c r="I21" s="246">
        <v>86.7</v>
      </c>
      <c r="J21" s="246">
        <v>86.4</v>
      </c>
      <c r="K21" s="246">
        <v>86.7</v>
      </c>
      <c r="L21" s="246">
        <v>86.8</v>
      </c>
      <c r="M21" s="246">
        <v>86.9</v>
      </c>
      <c r="N21" s="246">
        <f t="shared" si="0"/>
        <v>86.433333333333337</v>
      </c>
    </row>
    <row r="22" spans="1:14" x14ac:dyDescent="0.3">
      <c r="A22" s="7">
        <v>1996</v>
      </c>
      <c r="B22" s="246">
        <v>86.9</v>
      </c>
      <c r="C22" s="246">
        <v>87</v>
      </c>
      <c r="D22" s="246">
        <v>87.3</v>
      </c>
      <c r="E22" s="246">
        <v>87.6</v>
      </c>
      <c r="F22" s="246">
        <v>88</v>
      </c>
      <c r="G22" s="246">
        <v>88</v>
      </c>
      <c r="H22" s="246">
        <v>88.2</v>
      </c>
      <c r="I22" s="246">
        <v>88.2</v>
      </c>
      <c r="J22" s="246">
        <v>88.4</v>
      </c>
      <c r="K22" s="246">
        <v>88.7</v>
      </c>
      <c r="L22" s="246">
        <v>89.1</v>
      </c>
      <c r="M22" s="246">
        <v>89.2</v>
      </c>
      <c r="N22" s="246">
        <f t="shared" si="0"/>
        <v>88.050000000000011</v>
      </c>
    </row>
    <row r="23" spans="1:14" x14ac:dyDescent="0.3">
      <c r="A23" s="7">
        <v>1997</v>
      </c>
      <c r="B23" s="246">
        <v>88.9</v>
      </c>
      <c r="C23" s="246">
        <v>89.1</v>
      </c>
      <c r="D23" s="246">
        <v>89.2</v>
      </c>
      <c r="E23" s="246">
        <v>88.8</v>
      </c>
      <c r="F23" s="246">
        <v>89</v>
      </c>
      <c r="G23" s="246">
        <v>89.1</v>
      </c>
      <c r="H23" s="246">
        <v>89.3</v>
      </c>
      <c r="I23" s="246">
        <v>89.3</v>
      </c>
      <c r="J23" s="246">
        <v>89.2</v>
      </c>
      <c r="K23" s="246">
        <v>89.3</v>
      </c>
      <c r="L23" s="246">
        <v>89.3</v>
      </c>
      <c r="M23" s="246">
        <v>89.3</v>
      </c>
      <c r="N23" s="246">
        <f t="shared" si="0"/>
        <v>89.149999999999991</v>
      </c>
    </row>
    <row r="24" spans="1:14" x14ac:dyDescent="0.3">
      <c r="A24" s="7">
        <v>1998</v>
      </c>
      <c r="B24" s="246">
        <v>89.6</v>
      </c>
      <c r="C24" s="246">
        <v>89.8</v>
      </c>
      <c r="D24" s="246">
        <v>90</v>
      </c>
      <c r="E24" s="246">
        <v>90</v>
      </c>
      <c r="F24" s="246">
        <v>90.5</v>
      </c>
      <c r="G24" s="246">
        <v>90.7</v>
      </c>
      <c r="H24" s="246">
        <v>90.7</v>
      </c>
      <c r="I24" s="246">
        <v>90.4</v>
      </c>
      <c r="J24" s="246">
        <v>90.5</v>
      </c>
      <c r="K24" s="246">
        <v>90.7</v>
      </c>
      <c r="L24" s="246">
        <v>91.1</v>
      </c>
      <c r="M24" s="246">
        <v>90.9</v>
      </c>
      <c r="N24" s="246">
        <f t="shared" si="0"/>
        <v>90.408333333333346</v>
      </c>
    </row>
    <row r="25" spans="1:14" x14ac:dyDescent="0.3">
      <c r="A25" s="7">
        <v>1999</v>
      </c>
      <c r="B25" s="246">
        <v>91.3</v>
      </c>
      <c r="C25" s="246">
        <v>91.3</v>
      </c>
      <c r="D25" s="246">
        <v>91.4</v>
      </c>
      <c r="E25" s="246">
        <v>91.5</v>
      </c>
      <c r="F25" s="246">
        <v>92</v>
      </c>
      <c r="G25" s="246">
        <v>91.9</v>
      </c>
      <c r="H25" s="246">
        <v>91.8</v>
      </c>
      <c r="I25" s="246">
        <v>92.1</v>
      </c>
      <c r="J25" s="246">
        <v>92.5</v>
      </c>
      <c r="K25" s="246">
        <v>92.4</v>
      </c>
      <c r="L25" s="246">
        <v>92.6</v>
      </c>
      <c r="M25" s="246">
        <v>92.6</v>
      </c>
      <c r="N25" s="246">
        <f t="shared" si="0"/>
        <v>91.949999999999989</v>
      </c>
    </row>
    <row r="26" spans="1:14" x14ac:dyDescent="0.3">
      <c r="A26" s="7">
        <v>2000</v>
      </c>
      <c r="B26" s="246">
        <v>92.7</v>
      </c>
      <c r="C26" s="246">
        <v>93</v>
      </c>
      <c r="D26" s="246">
        <v>93.6</v>
      </c>
      <c r="E26" s="246">
        <v>93.7</v>
      </c>
      <c r="F26" s="246">
        <v>94</v>
      </c>
      <c r="G26" s="246">
        <v>94.2</v>
      </c>
      <c r="H26" s="246">
        <v>94.6</v>
      </c>
      <c r="I26" s="246">
        <v>94.8</v>
      </c>
      <c r="J26" s="246">
        <v>95</v>
      </c>
      <c r="K26" s="246">
        <v>95</v>
      </c>
      <c r="L26" s="246">
        <v>95.4</v>
      </c>
      <c r="M26" s="246">
        <v>96.3</v>
      </c>
      <c r="N26" s="246">
        <f t="shared" si="0"/>
        <v>94.358333333333334</v>
      </c>
    </row>
    <row r="27" spans="1:14" x14ac:dyDescent="0.3">
      <c r="A27" s="7">
        <v>2001</v>
      </c>
      <c r="B27" s="246">
        <v>95.6</v>
      </c>
      <c r="C27" s="246">
        <v>96.1</v>
      </c>
      <c r="D27" s="246">
        <v>96.1</v>
      </c>
      <c r="E27" s="246">
        <v>96.4</v>
      </c>
      <c r="F27" s="246">
        <v>97.3</v>
      </c>
      <c r="G27" s="246">
        <v>98.3</v>
      </c>
      <c r="H27" s="246">
        <v>97.9</v>
      </c>
      <c r="I27" s="246">
        <v>98</v>
      </c>
      <c r="J27" s="246">
        <v>98.7</v>
      </c>
      <c r="K27" s="246">
        <v>98</v>
      </c>
      <c r="L27" s="246">
        <v>97.3</v>
      </c>
      <c r="M27" s="246">
        <v>97.2</v>
      </c>
      <c r="N27" s="246">
        <f t="shared" si="0"/>
        <v>97.241666666666674</v>
      </c>
    </row>
    <row r="28" spans="1:14" x14ac:dyDescent="0.3">
      <c r="A28" s="7">
        <v>2002</v>
      </c>
      <c r="B28" s="246">
        <v>97.8</v>
      </c>
      <c r="C28" s="246">
        <v>97.7</v>
      </c>
      <c r="D28" s="246">
        <v>98.5</v>
      </c>
      <c r="E28" s="246">
        <v>99.8</v>
      </c>
      <c r="F28" s="246">
        <v>100</v>
      </c>
      <c r="G28" s="246">
        <v>100.2</v>
      </c>
      <c r="H28" s="246">
        <v>100.4</v>
      </c>
      <c r="I28" s="246">
        <v>100.6</v>
      </c>
      <c r="J28" s="246">
        <v>101</v>
      </c>
      <c r="K28" s="246">
        <v>101.1</v>
      </c>
      <c r="L28" s="246">
        <v>101.5</v>
      </c>
      <c r="M28" s="246">
        <v>101.4</v>
      </c>
      <c r="N28" s="246">
        <f t="shared" si="0"/>
        <v>100</v>
      </c>
    </row>
    <row r="29" spans="1:14" x14ac:dyDescent="0.3">
      <c r="A29" s="7">
        <v>2003</v>
      </c>
      <c r="B29" s="246">
        <v>101.5</v>
      </c>
      <c r="C29" s="246">
        <v>102</v>
      </c>
      <c r="D29" s="246">
        <v>102.5</v>
      </c>
      <c r="E29" s="246">
        <v>101.9</v>
      </c>
      <c r="F29" s="246">
        <v>102.2</v>
      </c>
      <c r="G29" s="246">
        <v>102.1</v>
      </c>
      <c r="H29" s="246">
        <v>102.2</v>
      </c>
      <c r="I29" s="246">
        <v>102.5</v>
      </c>
      <c r="J29" s="246">
        <v>102.8</v>
      </c>
      <c r="K29" s="246">
        <v>102.4</v>
      </c>
      <c r="L29" s="246">
        <v>102.8</v>
      </c>
      <c r="M29" s="246">
        <v>102.7</v>
      </c>
      <c r="N29" s="246">
        <f t="shared" si="0"/>
        <v>102.3</v>
      </c>
    </row>
    <row r="30" spans="1:14" x14ac:dyDescent="0.3">
      <c r="A30" s="7">
        <v>2004</v>
      </c>
      <c r="B30" s="246">
        <v>102.8</v>
      </c>
      <c r="C30" s="246">
        <v>102.9</v>
      </c>
      <c r="D30" s="246">
        <v>103.1</v>
      </c>
      <c r="E30" s="246">
        <v>103.8</v>
      </c>
      <c r="F30" s="246">
        <v>104.9</v>
      </c>
      <c r="G30" s="246">
        <v>105</v>
      </c>
      <c r="H30" s="246">
        <v>105.2</v>
      </c>
      <c r="I30" s="246">
        <v>104.7</v>
      </c>
      <c r="J30" s="246">
        <v>104.9</v>
      </c>
      <c r="K30" s="246">
        <v>105.5</v>
      </c>
      <c r="L30" s="246">
        <v>106.1</v>
      </c>
      <c r="M30" s="246">
        <v>105.8</v>
      </c>
      <c r="N30" s="246">
        <f t="shared" si="0"/>
        <v>104.55833333333334</v>
      </c>
    </row>
    <row r="31" spans="1:14" x14ac:dyDescent="0.3">
      <c r="A31" s="7">
        <v>2005</v>
      </c>
      <c r="B31" s="246">
        <v>105.6</v>
      </c>
      <c r="C31" s="246">
        <v>105.8</v>
      </c>
      <c r="D31" s="246">
        <v>106.4</v>
      </c>
      <c r="E31" s="246">
        <v>107.1</v>
      </c>
      <c r="F31" s="246">
        <v>106.5</v>
      </c>
      <c r="G31" s="246">
        <v>106.8</v>
      </c>
      <c r="H31" s="246">
        <v>107.1</v>
      </c>
      <c r="I31" s="246">
        <v>107.4</v>
      </c>
      <c r="J31" s="246">
        <v>108</v>
      </c>
      <c r="K31" s="246">
        <v>107.5</v>
      </c>
      <c r="L31" s="246">
        <v>107.4</v>
      </c>
      <c r="M31" s="246">
        <v>107.3</v>
      </c>
      <c r="N31" s="246">
        <f t="shared" si="0"/>
        <v>106.90833333333332</v>
      </c>
    </row>
    <row r="32" spans="1:14" x14ac:dyDescent="0.3">
      <c r="A32" s="7">
        <v>2006</v>
      </c>
      <c r="B32" s="246">
        <v>107.9</v>
      </c>
      <c r="C32" s="246">
        <v>107.9</v>
      </c>
      <c r="D32" s="246">
        <v>108.2</v>
      </c>
      <c r="E32" s="246">
        <v>109.2</v>
      </c>
      <c r="F32" s="246">
        <v>109.6</v>
      </c>
      <c r="G32" s="246">
        <v>109.6</v>
      </c>
      <c r="H32" s="246">
        <v>109.8</v>
      </c>
      <c r="I32" s="246">
        <v>110.4</v>
      </c>
      <c r="J32" s="246">
        <v>109.3</v>
      </c>
      <c r="K32" s="246">
        <v>109.1</v>
      </c>
      <c r="L32" s="246">
        <v>108.8</v>
      </c>
      <c r="M32" s="246">
        <v>108.9</v>
      </c>
      <c r="N32" s="246">
        <f t="shared" si="0"/>
        <v>109.05833333333332</v>
      </c>
    </row>
    <row r="33" spans="1:14" x14ac:dyDescent="0.3">
      <c r="A33" s="7">
        <v>2007</v>
      </c>
      <c r="B33" s="246">
        <v>109.5</v>
      </c>
      <c r="C33" s="246">
        <v>109.9</v>
      </c>
      <c r="D33" s="246">
        <v>111</v>
      </c>
      <c r="E33" s="246">
        <v>111.8</v>
      </c>
      <c r="F33" s="246">
        <v>112.6</v>
      </c>
      <c r="G33" s="246">
        <v>113.1</v>
      </c>
      <c r="H33" s="246">
        <v>113.3</v>
      </c>
      <c r="I33" s="246">
        <v>113.1</v>
      </c>
      <c r="J33" s="246">
        <v>113.4</v>
      </c>
      <c r="K33" s="246">
        <v>113</v>
      </c>
      <c r="L33" s="246">
        <v>113.1</v>
      </c>
      <c r="M33" s="246">
        <v>112.9</v>
      </c>
      <c r="N33" s="246">
        <f t="shared" si="0"/>
        <v>112.22499999999998</v>
      </c>
    </row>
    <row r="34" spans="1:14" x14ac:dyDescent="0.3">
      <c r="A34" s="7">
        <v>2008</v>
      </c>
      <c r="B34" s="246">
        <v>113</v>
      </c>
      <c r="C34" s="246">
        <v>113.6</v>
      </c>
      <c r="D34" s="246">
        <v>114.5</v>
      </c>
      <c r="E34" s="246">
        <v>115.4</v>
      </c>
      <c r="F34" s="246">
        <v>116.2</v>
      </c>
      <c r="G34" s="246">
        <v>117</v>
      </c>
      <c r="H34" s="246">
        <v>116.9</v>
      </c>
      <c r="I34" s="246">
        <v>117</v>
      </c>
      <c r="J34" s="246">
        <v>117.3</v>
      </c>
      <c r="K34" s="246">
        <v>116.9</v>
      </c>
      <c r="L34" s="246">
        <v>116.7</v>
      </c>
      <c r="M34" s="246">
        <v>115.8</v>
      </c>
      <c r="N34" s="246">
        <f t="shared" si="0"/>
        <v>115.85833333333335</v>
      </c>
    </row>
    <row r="35" spans="1:14" x14ac:dyDescent="0.3">
      <c r="A35" s="7">
        <v>2009</v>
      </c>
      <c r="B35" s="246">
        <v>115.7</v>
      </c>
      <c r="C35" s="246">
        <v>116.5</v>
      </c>
      <c r="D35" s="246">
        <v>116.6</v>
      </c>
      <c r="E35" s="246">
        <v>116.1</v>
      </c>
      <c r="F35" s="246">
        <v>117</v>
      </c>
      <c r="G35" s="246">
        <v>118.2</v>
      </c>
      <c r="H35" s="246">
        <v>118</v>
      </c>
      <c r="I35" s="246">
        <v>117.9</v>
      </c>
      <c r="J35" s="246">
        <v>117.5</v>
      </c>
      <c r="K35" s="246">
        <v>117.2</v>
      </c>
      <c r="L35" s="246">
        <v>117.6</v>
      </c>
      <c r="M35" s="246">
        <v>117.1</v>
      </c>
      <c r="N35" s="246">
        <f t="shared" si="0"/>
        <v>117.11666666666666</v>
      </c>
    </row>
    <row r="36" spans="1:14" x14ac:dyDescent="0.3">
      <c r="A36" s="7">
        <v>2010</v>
      </c>
      <c r="B36" s="246">
        <v>117.5</v>
      </c>
      <c r="C36" s="246">
        <v>117.7</v>
      </c>
      <c r="D36" s="246">
        <v>117.9</v>
      </c>
      <c r="E36" s="246">
        <v>118.5</v>
      </c>
      <c r="F36" s="246">
        <v>118.6</v>
      </c>
      <c r="G36" s="246">
        <v>118.6</v>
      </c>
      <c r="H36" s="246">
        <v>118.5</v>
      </c>
      <c r="I36" s="246">
        <v>118.8</v>
      </c>
      <c r="J36" s="246">
        <v>118.9</v>
      </c>
      <c r="K36" s="246">
        <v>119.7</v>
      </c>
      <c r="L36" s="246">
        <v>119.9</v>
      </c>
      <c r="M36" s="246">
        <v>119.4</v>
      </c>
      <c r="N36" s="246">
        <f t="shared" si="0"/>
        <v>118.66666666666669</v>
      </c>
    </row>
    <row r="37" spans="1:14" x14ac:dyDescent="0.3">
      <c r="A37" s="7">
        <v>2011</v>
      </c>
      <c r="B37" s="246">
        <v>120.1</v>
      </c>
      <c r="C37" s="246">
        <v>120.3</v>
      </c>
      <c r="D37" s="246">
        <v>121.4</v>
      </c>
      <c r="E37" s="246">
        <v>121.6</v>
      </c>
      <c r="F37" s="246">
        <v>122.6</v>
      </c>
      <c r="G37" s="246">
        <v>121.7</v>
      </c>
      <c r="H37" s="246">
        <v>121.8</v>
      </c>
      <c r="I37" s="246">
        <v>122.1</v>
      </c>
      <c r="J37" s="246">
        <v>123</v>
      </c>
      <c r="K37" s="246">
        <v>123</v>
      </c>
      <c r="L37" s="246">
        <v>123.4</v>
      </c>
      <c r="M37" s="246">
        <v>122.4</v>
      </c>
      <c r="N37" s="246">
        <f t="shared" si="0"/>
        <v>121.95</v>
      </c>
    </row>
    <row r="38" spans="1:14" x14ac:dyDescent="0.3">
      <c r="A38" s="7">
        <v>2012</v>
      </c>
      <c r="B38" s="246">
        <v>122.9</v>
      </c>
      <c r="C38" s="246">
        <v>122.7</v>
      </c>
      <c r="D38" s="246">
        <v>123.6</v>
      </c>
      <c r="E38" s="246">
        <v>124.2</v>
      </c>
      <c r="F38" s="246">
        <v>124.5</v>
      </c>
      <c r="G38" s="246">
        <v>124.1</v>
      </c>
      <c r="H38" s="246">
        <v>123.9</v>
      </c>
      <c r="I38" s="246">
        <v>124.2</v>
      </c>
      <c r="J38" s="246">
        <v>124.5</v>
      </c>
      <c r="K38" s="246">
        <v>124.8</v>
      </c>
      <c r="L38" s="246">
        <v>124.5</v>
      </c>
      <c r="M38" s="246">
        <v>123.3</v>
      </c>
      <c r="N38" s="246">
        <f t="shared" si="0"/>
        <v>123.93333333333334</v>
      </c>
    </row>
    <row r="39" spans="1:14" x14ac:dyDescent="0.3">
      <c r="A39" s="7">
        <v>2013</v>
      </c>
      <c r="B39" s="246">
        <v>123.5</v>
      </c>
      <c r="C39" s="246">
        <v>124.9</v>
      </c>
      <c r="D39" s="246">
        <v>125.2</v>
      </c>
      <c r="E39" s="246">
        <v>125.4</v>
      </c>
      <c r="F39" s="246">
        <v>126</v>
      </c>
      <c r="G39" s="246">
        <v>126.2</v>
      </c>
      <c r="H39" s="246">
        <v>125.9</v>
      </c>
      <c r="I39" s="246">
        <v>125.7</v>
      </c>
      <c r="J39" s="246">
        <v>126.4</v>
      </c>
      <c r="K39" s="246">
        <v>126.7</v>
      </c>
      <c r="L39" s="246">
        <v>126.3</v>
      </c>
      <c r="M39" s="246">
        <v>126.1</v>
      </c>
      <c r="N39" s="246">
        <f t="shared" si="0"/>
        <v>125.69166666666666</v>
      </c>
    </row>
    <row r="40" spans="1:14" x14ac:dyDescent="0.3">
      <c r="A40" s="7">
        <v>2014</v>
      </c>
      <c r="B40" s="246">
        <v>126.4</v>
      </c>
      <c r="C40" s="246">
        <v>127.8</v>
      </c>
      <c r="D40" s="246">
        <v>128.69999999999999</v>
      </c>
      <c r="E40" s="246">
        <v>128.9</v>
      </c>
      <c r="F40" s="246">
        <v>129.19999999999999</v>
      </c>
      <c r="G40" s="246">
        <v>129</v>
      </c>
      <c r="H40" s="246">
        <v>129</v>
      </c>
      <c r="I40" s="246">
        <v>129.1</v>
      </c>
      <c r="J40" s="246">
        <v>129.19999999999999</v>
      </c>
      <c r="K40" s="246">
        <v>129.9</v>
      </c>
      <c r="L40" s="246">
        <v>129</v>
      </c>
      <c r="M40" s="246">
        <v>128.30000000000001</v>
      </c>
      <c r="N40" s="246">
        <f t="shared" si="0"/>
        <v>128.70833333333334</v>
      </c>
    </row>
    <row r="41" spans="1:14" x14ac:dyDescent="0.3">
      <c r="A41" s="7">
        <v>2015</v>
      </c>
      <c r="B41" s="246">
        <v>128.19999999999999</v>
      </c>
      <c r="C41" s="246">
        <v>129.30000000000001</v>
      </c>
      <c r="D41" s="246">
        <v>130.5</v>
      </c>
      <c r="E41" s="246">
        <v>130.5</v>
      </c>
      <c r="F41" s="246">
        <v>131.1</v>
      </c>
      <c r="G41" s="246">
        <v>131.5</v>
      </c>
      <c r="H41" s="246">
        <v>131.4</v>
      </c>
      <c r="I41" s="246">
        <v>131.6</v>
      </c>
      <c r="J41" s="246">
        <v>131</v>
      </c>
      <c r="K41" s="246">
        <v>131.69999999999999</v>
      </c>
      <c r="L41" s="246">
        <v>131.69999999999999</v>
      </c>
      <c r="M41" s="246">
        <v>130.6</v>
      </c>
      <c r="N41" s="246">
        <f t="shared" si="0"/>
        <v>130.75833333333333</v>
      </c>
    </row>
    <row r="42" spans="1:14" x14ac:dyDescent="0.3">
      <c r="A42" s="7">
        <v>2016</v>
      </c>
      <c r="B42" s="246">
        <v>131</v>
      </c>
      <c r="C42" s="246">
        <v>131.1</v>
      </c>
      <c r="D42" s="246">
        <v>132.19999999999999</v>
      </c>
      <c r="E42" s="246">
        <v>132.30000000000001</v>
      </c>
      <c r="F42" s="246">
        <v>132.69999999999999</v>
      </c>
      <c r="G42" s="246">
        <v>133.30000000000001</v>
      </c>
      <c r="H42" s="246">
        <v>132.80000000000001</v>
      </c>
      <c r="I42" s="246">
        <v>132.5</v>
      </c>
      <c r="J42" s="246">
        <v>132.4</v>
      </c>
      <c r="K42" s="246">
        <v>132.69999999999999</v>
      </c>
      <c r="L42" s="246">
        <v>131.69999999999999</v>
      </c>
      <c r="M42" s="246">
        <v>131.4</v>
      </c>
      <c r="N42" s="246">
        <f t="shared" si="0"/>
        <v>132.17500000000001</v>
      </c>
    </row>
    <row r="43" spans="1:14" x14ac:dyDescent="0.3">
      <c r="A43" s="7">
        <v>2017</v>
      </c>
      <c r="B43" s="246">
        <v>133.1</v>
      </c>
      <c r="C43" s="246">
        <v>132.9</v>
      </c>
      <c r="D43" s="246">
        <v>133</v>
      </c>
      <c r="E43" s="246">
        <v>134.19999999999999</v>
      </c>
      <c r="F43" s="246">
        <v>133.9</v>
      </c>
      <c r="G43" s="246">
        <v>133.9</v>
      </c>
      <c r="H43" s="246">
        <v>133.9</v>
      </c>
      <c r="I43" s="246">
        <v>134.69999999999999</v>
      </c>
      <c r="J43" s="246">
        <v>134.9</v>
      </c>
      <c r="K43" s="246">
        <v>135.4</v>
      </c>
      <c r="L43" s="246">
        <v>136.6</v>
      </c>
      <c r="M43" s="246">
        <v>135.9</v>
      </c>
      <c r="N43" s="246">
        <f t="shared" si="0"/>
        <v>134.36666666666667</v>
      </c>
    </row>
    <row r="44" spans="1:14" x14ac:dyDescent="0.3">
      <c r="A44" s="7">
        <v>2018</v>
      </c>
      <c r="B44" s="246">
        <v>136.4</v>
      </c>
      <c r="C44" s="246">
        <v>136.69999999999999</v>
      </c>
      <c r="D44" s="246">
        <v>136.80000000000001</v>
      </c>
      <c r="E44" s="246">
        <v>137.5</v>
      </c>
      <c r="F44" s="246">
        <v>137.9</v>
      </c>
      <c r="G44" s="246">
        <v>137.5</v>
      </c>
      <c r="H44" s="246">
        <v>138</v>
      </c>
      <c r="I44" s="246">
        <v>137.6</v>
      </c>
      <c r="J44" s="246">
        <v>137.30000000000001</v>
      </c>
      <c r="K44" s="246">
        <v>138.69999999999999</v>
      </c>
      <c r="L44" s="246">
        <v>137.9</v>
      </c>
      <c r="M44" s="246">
        <v>137.4</v>
      </c>
      <c r="N44" s="246">
        <f t="shared" si="0"/>
        <v>137.47500000000002</v>
      </c>
    </row>
    <row r="45" spans="1:14" x14ac:dyDescent="0.3">
      <c r="A45" s="7">
        <v>2019</v>
      </c>
      <c r="B45" s="246">
        <v>137.4</v>
      </c>
      <c r="C45" s="246">
        <v>138.5</v>
      </c>
      <c r="D45" s="246">
        <v>139.19999999999999</v>
      </c>
      <c r="E45" s="246">
        <v>140.6</v>
      </c>
      <c r="F45" s="246">
        <v>140.80000000000001</v>
      </c>
      <c r="G45" s="246">
        <v>140.19999999999999</v>
      </c>
      <c r="H45" s="246">
        <v>140.69999999999999</v>
      </c>
      <c r="I45" s="246">
        <v>140.19999999999999</v>
      </c>
      <c r="J45" s="246">
        <v>139.69999999999999</v>
      </c>
      <c r="K45" s="246">
        <v>140.9</v>
      </c>
      <c r="L45" s="246">
        <v>140.5</v>
      </c>
      <c r="M45" s="246">
        <v>139.6</v>
      </c>
      <c r="N45" s="246">
        <f t="shared" si="0"/>
        <v>139.85833333333335</v>
      </c>
    </row>
    <row r="46" spans="1:14" x14ac:dyDescent="0.3">
      <c r="A46" s="7">
        <v>2020</v>
      </c>
      <c r="B46" s="246">
        <v>140.6</v>
      </c>
      <c r="C46" s="246">
        <v>141.19999999999999</v>
      </c>
      <c r="D46" s="246">
        <v>140</v>
      </c>
      <c r="E46" s="246">
        <v>138.69999999999999</v>
      </c>
      <c r="F46" s="246">
        <v>139.9</v>
      </c>
      <c r="G46" s="246">
        <v>141.19999999999999</v>
      </c>
      <c r="H46" s="246">
        <v>141.4</v>
      </c>
      <c r="I46" s="246">
        <v>140.80000000000001</v>
      </c>
      <c r="J46" s="246">
        <v>140.80000000000001</v>
      </c>
      <c r="K46" s="246">
        <v>141.6</v>
      </c>
      <c r="L46" s="246">
        <v>141.6</v>
      </c>
      <c r="M46" s="246">
        <v>140.9</v>
      </c>
      <c r="N46" s="246">
        <f t="shared" si="0"/>
        <v>140.72499999999999</v>
      </c>
    </row>
    <row r="47" spans="1:14" x14ac:dyDescent="0.3">
      <c r="A47" s="7">
        <v>2021</v>
      </c>
      <c r="B47" s="246">
        <v>141.9</v>
      </c>
      <c r="C47" s="246">
        <v>142.4</v>
      </c>
      <c r="D47" s="246">
        <v>143.30000000000001</v>
      </c>
      <c r="E47" s="246">
        <v>143.9</v>
      </c>
      <c r="F47" s="246">
        <v>143.69999999999999</v>
      </c>
      <c r="G47" s="246">
        <v>143.80000000000001</v>
      </c>
      <c r="H47" s="246">
        <v>144.69999999999999</v>
      </c>
      <c r="I47" s="246">
        <v>144.9</v>
      </c>
      <c r="J47" s="246">
        <v>145.4</v>
      </c>
      <c r="K47" s="246">
        <v>146.1</v>
      </c>
      <c r="L47" s="246">
        <v>146.80000000000001</v>
      </c>
      <c r="M47" s="246">
        <v>145.9</v>
      </c>
      <c r="N47" s="246">
        <f t="shared" si="0"/>
        <v>144.4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14"/>
  <dimension ref="A1:N47"/>
  <sheetViews>
    <sheetView workbookViewId="0">
      <pane xSplit="1" ySplit="3" topLeftCell="B37" activePane="bottomRight" state="frozen"/>
      <selection sqref="A1:XFD1048576"/>
      <selection pane="topRight" sqref="A1:XFD1048576"/>
      <selection pane="bottomLeft" sqref="A1:XFD1048576"/>
      <selection pane="bottomRight" activeCell="M48" sqref="M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86</v>
      </c>
    </row>
    <row r="2" spans="1:14" s="187" customFormat="1" x14ac:dyDescent="0.3">
      <c r="A2" s="25">
        <v>11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37.200000000000003</v>
      </c>
      <c r="K4" s="246">
        <v>37.6</v>
      </c>
      <c r="L4" s="246">
        <v>37.9</v>
      </c>
      <c r="M4" s="246">
        <v>38</v>
      </c>
      <c r="N4" s="246">
        <f t="shared" ref="N4:N47" si="0">AVERAGE(B4:M4)</f>
        <v>37.675000000000004</v>
      </c>
    </row>
    <row r="5" spans="1:14" x14ac:dyDescent="0.3">
      <c r="A5" s="7">
        <v>1979</v>
      </c>
      <c r="B5" s="246">
        <v>38.200000000000003</v>
      </c>
      <c r="C5" s="246">
        <v>38.700000000000003</v>
      </c>
      <c r="D5" s="246">
        <v>39.1</v>
      </c>
      <c r="E5" s="246">
        <v>39.4</v>
      </c>
      <c r="F5" s="246">
        <v>39.700000000000003</v>
      </c>
      <c r="G5" s="246">
        <v>39.9</v>
      </c>
      <c r="H5" s="246">
        <v>40.299999999999997</v>
      </c>
      <c r="I5" s="246">
        <v>40.4</v>
      </c>
      <c r="J5" s="246">
        <v>40.700000000000003</v>
      </c>
      <c r="K5" s="246">
        <v>41</v>
      </c>
      <c r="L5" s="246">
        <v>41.3</v>
      </c>
      <c r="M5" s="246">
        <v>41.6</v>
      </c>
      <c r="N5" s="246">
        <f t="shared" si="0"/>
        <v>40.024999999999999</v>
      </c>
    </row>
    <row r="6" spans="1:14" x14ac:dyDescent="0.3">
      <c r="A6" s="7">
        <v>1980</v>
      </c>
      <c r="B6" s="246">
        <v>41.8</v>
      </c>
      <c r="C6" s="246">
        <v>42</v>
      </c>
      <c r="D6" s="246">
        <v>42.4</v>
      </c>
      <c r="E6" s="246">
        <v>42.8</v>
      </c>
      <c r="F6" s="246">
        <v>43.3</v>
      </c>
      <c r="G6" s="246">
        <v>43.8</v>
      </c>
      <c r="H6" s="246">
        <v>44.2</v>
      </c>
      <c r="I6" s="246">
        <v>44.5</v>
      </c>
      <c r="J6" s="246">
        <v>45</v>
      </c>
      <c r="K6" s="246">
        <v>45.7</v>
      </c>
      <c r="L6" s="246">
        <v>46.5</v>
      </c>
      <c r="M6" s="246">
        <v>46.7</v>
      </c>
      <c r="N6" s="246">
        <f t="shared" si="0"/>
        <v>44.058333333333337</v>
      </c>
    </row>
    <row r="7" spans="1:14" x14ac:dyDescent="0.3">
      <c r="A7" s="7">
        <v>1981</v>
      </c>
      <c r="B7" s="246">
        <v>47.2</v>
      </c>
      <c r="C7" s="246">
        <v>47.7</v>
      </c>
      <c r="D7" s="246">
        <v>48.1</v>
      </c>
      <c r="E7" s="246">
        <v>48.3</v>
      </c>
      <c r="F7" s="246">
        <v>49</v>
      </c>
      <c r="G7" s="246">
        <v>49.7</v>
      </c>
      <c r="H7" s="246">
        <v>50.2</v>
      </c>
      <c r="I7" s="246">
        <v>50.7</v>
      </c>
      <c r="J7" s="246">
        <v>50.9</v>
      </c>
      <c r="K7" s="246">
        <v>51.4</v>
      </c>
      <c r="L7" s="246">
        <v>52</v>
      </c>
      <c r="M7" s="246">
        <v>52.3</v>
      </c>
      <c r="N7" s="246">
        <f t="shared" si="0"/>
        <v>49.791666666666657</v>
      </c>
    </row>
    <row r="8" spans="1:14" x14ac:dyDescent="0.3">
      <c r="A8" s="7">
        <v>1982</v>
      </c>
      <c r="B8" s="246">
        <v>52.7</v>
      </c>
      <c r="C8" s="246">
        <v>53.4</v>
      </c>
      <c r="D8" s="246">
        <v>54.2</v>
      </c>
      <c r="E8" s="246">
        <v>54.5</v>
      </c>
      <c r="F8" s="246">
        <v>55.2</v>
      </c>
      <c r="G8" s="246">
        <v>55.6</v>
      </c>
      <c r="H8" s="246">
        <v>56</v>
      </c>
      <c r="I8" s="246">
        <v>56.3</v>
      </c>
      <c r="J8" s="246">
        <v>56.6</v>
      </c>
      <c r="K8" s="246">
        <v>56.9</v>
      </c>
      <c r="L8" s="246">
        <v>57</v>
      </c>
      <c r="M8" s="246">
        <v>56.8</v>
      </c>
      <c r="N8" s="246">
        <f t="shared" si="0"/>
        <v>55.433333333333337</v>
      </c>
    </row>
    <row r="9" spans="1:14" x14ac:dyDescent="0.3">
      <c r="A9" s="7">
        <v>1983</v>
      </c>
      <c r="B9" s="246">
        <v>56.9</v>
      </c>
      <c r="C9" s="246">
        <v>57.2</v>
      </c>
      <c r="D9" s="246">
        <v>57.6</v>
      </c>
      <c r="E9" s="246">
        <v>58.1</v>
      </c>
      <c r="F9" s="246">
        <v>58.4</v>
      </c>
      <c r="G9" s="246">
        <v>58.5</v>
      </c>
      <c r="H9" s="246">
        <v>58.6</v>
      </c>
      <c r="I9" s="246">
        <v>58.6</v>
      </c>
      <c r="J9" s="246">
        <v>58.5</v>
      </c>
      <c r="K9" s="246">
        <v>58.8</v>
      </c>
      <c r="L9" s="246">
        <v>58.9</v>
      </c>
      <c r="M9" s="246">
        <v>58.9</v>
      </c>
      <c r="N9" s="246">
        <f t="shared" si="0"/>
        <v>58.25</v>
      </c>
    </row>
    <row r="10" spans="1:14" x14ac:dyDescent="0.3">
      <c r="A10" s="7">
        <v>1984</v>
      </c>
      <c r="B10" s="246">
        <v>59.2</v>
      </c>
      <c r="C10" s="246">
        <v>59.3</v>
      </c>
      <c r="D10" s="246">
        <v>59.3</v>
      </c>
      <c r="E10" s="246">
        <v>59.6</v>
      </c>
      <c r="F10" s="246">
        <v>59.5</v>
      </c>
      <c r="G10" s="246">
        <v>59.6</v>
      </c>
      <c r="H10" s="246">
        <v>60.2</v>
      </c>
      <c r="I10" s="246">
        <v>60.2</v>
      </c>
      <c r="J10" s="246">
        <v>60.2</v>
      </c>
      <c r="K10" s="246">
        <v>60.1</v>
      </c>
      <c r="L10" s="246">
        <v>60.2</v>
      </c>
      <c r="M10" s="246">
        <v>60.3</v>
      </c>
      <c r="N10" s="246">
        <f t="shared" si="0"/>
        <v>59.808333333333337</v>
      </c>
    </row>
    <row r="11" spans="1:14" x14ac:dyDescent="0.3">
      <c r="A11" s="7">
        <v>1985</v>
      </c>
      <c r="B11" s="246">
        <v>60.6</v>
      </c>
      <c r="C11" s="246">
        <v>60.8</v>
      </c>
      <c r="D11" s="246">
        <v>61</v>
      </c>
      <c r="E11" s="246">
        <v>61.4</v>
      </c>
      <c r="F11" s="246">
        <v>61.4</v>
      </c>
      <c r="G11" s="246">
        <v>61.8</v>
      </c>
      <c r="H11" s="246">
        <v>61.9</v>
      </c>
      <c r="I11" s="246">
        <v>61.8</v>
      </c>
      <c r="J11" s="246">
        <v>61.9</v>
      </c>
      <c r="K11" s="246">
        <v>62</v>
      </c>
      <c r="L11" s="246">
        <v>62.2</v>
      </c>
      <c r="M11" s="246">
        <v>62.3</v>
      </c>
      <c r="N11" s="246">
        <f t="shared" si="0"/>
        <v>61.591666666666669</v>
      </c>
    </row>
    <row r="12" spans="1:14" x14ac:dyDescent="0.3">
      <c r="A12" s="7">
        <v>1986</v>
      </c>
      <c r="B12" s="246">
        <v>62.6</v>
      </c>
      <c r="C12" s="246">
        <v>62.9</v>
      </c>
      <c r="D12" s="246">
        <v>63.1</v>
      </c>
      <c r="E12" s="246">
        <v>63.1</v>
      </c>
      <c r="F12" s="246">
        <v>63.5</v>
      </c>
      <c r="G12" s="246">
        <v>63.6</v>
      </c>
      <c r="H12" s="246">
        <v>64</v>
      </c>
      <c r="I12" s="246">
        <v>64.2</v>
      </c>
      <c r="J12" s="246">
        <v>64.2</v>
      </c>
      <c r="K12" s="246">
        <v>64.3</v>
      </c>
      <c r="L12" s="246">
        <v>64.3</v>
      </c>
      <c r="M12" s="246">
        <v>64.400000000000006</v>
      </c>
      <c r="N12" s="246">
        <f t="shared" si="0"/>
        <v>63.68333333333333</v>
      </c>
    </row>
    <row r="13" spans="1:14" x14ac:dyDescent="0.3">
      <c r="A13" s="7">
        <v>1987</v>
      </c>
      <c r="B13" s="246">
        <v>64.599999999999994</v>
      </c>
      <c r="C13" s="246">
        <v>64.7</v>
      </c>
      <c r="D13" s="246">
        <v>64.900000000000006</v>
      </c>
      <c r="E13" s="246">
        <v>65.5</v>
      </c>
      <c r="F13" s="246">
        <v>66.099999999999994</v>
      </c>
      <c r="G13" s="246">
        <v>66.599999999999994</v>
      </c>
      <c r="H13" s="246">
        <v>67.099999999999994</v>
      </c>
      <c r="I13" s="246">
        <v>67.099999999999994</v>
      </c>
      <c r="J13" s="246">
        <v>66.900000000000006</v>
      </c>
      <c r="K13" s="246">
        <v>67</v>
      </c>
      <c r="L13" s="246">
        <v>67.2</v>
      </c>
      <c r="M13" s="246">
        <v>67.3</v>
      </c>
      <c r="N13" s="246">
        <f t="shared" si="0"/>
        <v>66.250000000000014</v>
      </c>
    </row>
    <row r="14" spans="1:14" x14ac:dyDescent="0.3">
      <c r="A14" s="7">
        <v>1988</v>
      </c>
      <c r="B14" s="246">
        <v>67.2</v>
      </c>
      <c r="C14" s="246">
        <v>67.2</v>
      </c>
      <c r="D14" s="246">
        <v>67.7</v>
      </c>
      <c r="E14" s="246">
        <v>68.099999999999994</v>
      </c>
      <c r="F14" s="246">
        <v>68.2</v>
      </c>
      <c r="G14" s="246">
        <v>68.099999999999994</v>
      </c>
      <c r="H14" s="246">
        <v>68.400000000000006</v>
      </c>
      <c r="I14" s="246">
        <v>68.3</v>
      </c>
      <c r="J14" s="246">
        <v>68.400000000000006</v>
      </c>
      <c r="K14" s="246">
        <v>68.400000000000006</v>
      </c>
      <c r="L14" s="246">
        <v>68.400000000000006</v>
      </c>
      <c r="M14" s="246">
        <v>68.2</v>
      </c>
      <c r="N14" s="246">
        <f t="shared" si="0"/>
        <v>68.05</v>
      </c>
    </row>
    <row r="15" spans="1:14" x14ac:dyDescent="0.3">
      <c r="A15" s="7">
        <v>1989</v>
      </c>
      <c r="B15" s="246">
        <v>68.599999999999994</v>
      </c>
      <c r="C15" s="246">
        <v>69</v>
      </c>
      <c r="D15" s="246">
        <v>69.599999999999994</v>
      </c>
      <c r="E15" s="246">
        <v>69.7</v>
      </c>
      <c r="F15" s="246">
        <v>70.7</v>
      </c>
      <c r="G15" s="246">
        <v>71.2</v>
      </c>
      <c r="H15" s="246">
        <v>71.7</v>
      </c>
      <c r="I15" s="246">
        <v>71.7</v>
      </c>
      <c r="J15" s="246">
        <v>72</v>
      </c>
      <c r="K15" s="246">
        <v>72</v>
      </c>
      <c r="L15" s="246">
        <v>72.2</v>
      </c>
      <c r="M15" s="246">
        <v>72.5</v>
      </c>
      <c r="N15" s="246">
        <f t="shared" si="0"/>
        <v>70.908333333333331</v>
      </c>
    </row>
    <row r="16" spans="1:14" x14ac:dyDescent="0.3">
      <c r="A16" s="7">
        <v>1990</v>
      </c>
      <c r="B16" s="246">
        <v>73.099999999999994</v>
      </c>
      <c r="C16" s="246">
        <v>73.400000000000006</v>
      </c>
      <c r="D16" s="246">
        <v>73.599999999999994</v>
      </c>
      <c r="E16" s="246">
        <v>74.099999999999994</v>
      </c>
      <c r="F16" s="246">
        <v>74.3</v>
      </c>
      <c r="G16" s="246">
        <v>74.8</v>
      </c>
      <c r="H16" s="246">
        <v>75.3</v>
      </c>
      <c r="I16" s="246">
        <v>75.5</v>
      </c>
      <c r="J16" s="246">
        <v>75.8</v>
      </c>
      <c r="K16" s="246">
        <v>76.400000000000006</v>
      </c>
      <c r="L16" s="246">
        <v>76.8</v>
      </c>
      <c r="M16" s="246">
        <v>76.7</v>
      </c>
      <c r="N16" s="246">
        <f t="shared" si="0"/>
        <v>74.983333333333334</v>
      </c>
    </row>
    <row r="17" spans="1:14" x14ac:dyDescent="0.3">
      <c r="A17" s="7">
        <v>1991</v>
      </c>
      <c r="B17" s="246">
        <v>78.900000000000006</v>
      </c>
      <c r="C17" s="246">
        <v>78.2</v>
      </c>
      <c r="D17" s="246">
        <v>78.599999999999994</v>
      </c>
      <c r="E17" s="246">
        <v>78.599999999999994</v>
      </c>
      <c r="F17" s="246">
        <v>79.2</v>
      </c>
      <c r="G17" s="246">
        <v>79.5</v>
      </c>
      <c r="H17" s="246">
        <v>79.900000000000006</v>
      </c>
      <c r="I17" s="246">
        <v>80</v>
      </c>
      <c r="J17" s="246">
        <v>80</v>
      </c>
      <c r="K17" s="246">
        <v>79.8</v>
      </c>
      <c r="L17" s="246">
        <v>80</v>
      </c>
      <c r="M17" s="246">
        <v>79.599999999999994</v>
      </c>
      <c r="N17" s="246">
        <f t="shared" si="0"/>
        <v>79.358333333333334</v>
      </c>
    </row>
    <row r="18" spans="1:14" x14ac:dyDescent="0.3">
      <c r="A18" s="7">
        <v>1992</v>
      </c>
      <c r="B18" s="246">
        <v>79.8</v>
      </c>
      <c r="C18" s="246">
        <v>80</v>
      </c>
      <c r="D18" s="246">
        <v>80.400000000000006</v>
      </c>
      <c r="E18" s="246">
        <v>80.3</v>
      </c>
      <c r="F18" s="246">
        <v>80.400000000000006</v>
      </c>
      <c r="G18" s="246">
        <v>80.5</v>
      </c>
      <c r="H18" s="246">
        <v>80.8</v>
      </c>
      <c r="I18" s="246">
        <v>80.8</v>
      </c>
      <c r="J18" s="246">
        <v>80.8</v>
      </c>
      <c r="K18" s="246">
        <v>80.7</v>
      </c>
      <c r="L18" s="246">
        <v>81.2</v>
      </c>
      <c r="M18" s="246">
        <v>81</v>
      </c>
      <c r="N18" s="246">
        <f t="shared" si="0"/>
        <v>80.558333333333323</v>
      </c>
    </row>
    <row r="19" spans="1:14" x14ac:dyDescent="0.3">
      <c r="A19" s="7">
        <v>1993</v>
      </c>
      <c r="B19" s="246">
        <v>81.3</v>
      </c>
      <c r="C19" s="246">
        <v>81.400000000000006</v>
      </c>
      <c r="D19" s="246">
        <v>80.400000000000006</v>
      </c>
      <c r="E19" s="246">
        <v>80.8</v>
      </c>
      <c r="F19" s="246">
        <v>81</v>
      </c>
      <c r="G19" s="246">
        <v>81.3</v>
      </c>
      <c r="H19" s="246">
        <v>81.7</v>
      </c>
      <c r="I19" s="246">
        <v>81.7</v>
      </c>
      <c r="J19" s="246">
        <v>81.8</v>
      </c>
      <c r="K19" s="246">
        <v>81.7</v>
      </c>
      <c r="L19" s="246">
        <v>82.1</v>
      </c>
      <c r="M19" s="246">
        <v>82.1</v>
      </c>
      <c r="N19" s="246">
        <f t="shared" si="0"/>
        <v>81.441666666666677</v>
      </c>
    </row>
    <row r="20" spans="1:14" x14ac:dyDescent="0.3">
      <c r="A20" s="7">
        <v>1994</v>
      </c>
      <c r="B20" s="246">
        <v>82.1</v>
      </c>
      <c r="C20" s="246">
        <v>82</v>
      </c>
      <c r="D20" s="246">
        <v>81.8</v>
      </c>
      <c r="E20" s="246">
        <v>82.1</v>
      </c>
      <c r="F20" s="246">
        <v>82.2</v>
      </c>
      <c r="G20" s="246">
        <v>82.4</v>
      </c>
      <c r="H20" s="246">
        <v>82.9</v>
      </c>
      <c r="I20" s="246">
        <v>82.9</v>
      </c>
      <c r="J20" s="246">
        <v>83.3</v>
      </c>
      <c r="K20" s="246">
        <v>83.1</v>
      </c>
      <c r="L20" s="246">
        <v>83.2</v>
      </c>
      <c r="M20" s="246">
        <v>83.6</v>
      </c>
      <c r="N20" s="246">
        <f t="shared" si="0"/>
        <v>82.63333333333334</v>
      </c>
    </row>
    <row r="21" spans="1:14" x14ac:dyDescent="0.3">
      <c r="A21" s="7">
        <v>1995</v>
      </c>
      <c r="B21" s="246">
        <v>83.6</v>
      </c>
      <c r="C21" s="246">
        <v>83.9</v>
      </c>
      <c r="D21" s="246">
        <v>84.1</v>
      </c>
      <c r="E21" s="246">
        <v>84.3</v>
      </c>
      <c r="F21" s="246">
        <v>84.5</v>
      </c>
      <c r="G21" s="246">
        <v>84.3</v>
      </c>
      <c r="H21" s="246">
        <v>84.8</v>
      </c>
      <c r="I21" s="246">
        <v>84.7</v>
      </c>
      <c r="J21" s="246">
        <v>84.9</v>
      </c>
      <c r="K21" s="246">
        <v>84.9</v>
      </c>
      <c r="L21" s="246">
        <v>85.3</v>
      </c>
      <c r="M21" s="246">
        <v>85</v>
      </c>
      <c r="N21" s="246">
        <f t="shared" si="0"/>
        <v>84.524999999999991</v>
      </c>
    </row>
    <row r="22" spans="1:14" x14ac:dyDescent="0.3">
      <c r="A22" s="7">
        <v>1996</v>
      </c>
      <c r="B22" s="246">
        <v>85.1</v>
      </c>
      <c r="C22" s="246">
        <v>85.2</v>
      </c>
      <c r="D22" s="246">
        <v>85.8</v>
      </c>
      <c r="E22" s="246">
        <v>86.2</v>
      </c>
      <c r="F22" s="246">
        <v>86.4</v>
      </c>
      <c r="G22" s="246">
        <v>86.2</v>
      </c>
      <c r="H22" s="246">
        <v>86.7</v>
      </c>
      <c r="I22" s="246">
        <v>86.8</v>
      </c>
      <c r="J22" s="246">
        <v>87</v>
      </c>
      <c r="K22" s="246">
        <v>86.8</v>
      </c>
      <c r="L22" s="246">
        <v>87</v>
      </c>
      <c r="M22" s="246">
        <v>87.1</v>
      </c>
      <c r="N22" s="246">
        <f t="shared" si="0"/>
        <v>86.358333333333334</v>
      </c>
    </row>
    <row r="23" spans="1:14" x14ac:dyDescent="0.3">
      <c r="A23" s="7">
        <v>1997</v>
      </c>
      <c r="B23" s="246">
        <v>87.7</v>
      </c>
      <c r="C23" s="246">
        <v>87.9</v>
      </c>
      <c r="D23" s="246">
        <v>88.1</v>
      </c>
      <c r="E23" s="246">
        <v>87.8</v>
      </c>
      <c r="F23" s="246">
        <v>87.9</v>
      </c>
      <c r="G23" s="246">
        <v>88.3</v>
      </c>
      <c r="H23" s="246">
        <v>88.3</v>
      </c>
      <c r="I23" s="246">
        <v>88.3</v>
      </c>
      <c r="J23" s="246">
        <v>88.4</v>
      </c>
      <c r="K23" s="246">
        <v>88.4</v>
      </c>
      <c r="L23" s="246">
        <v>88.3</v>
      </c>
      <c r="M23" s="246">
        <v>88.3</v>
      </c>
      <c r="N23" s="246">
        <f t="shared" si="0"/>
        <v>88.141666666666652</v>
      </c>
    </row>
    <row r="24" spans="1:14" x14ac:dyDescent="0.3">
      <c r="A24" s="7">
        <v>1998</v>
      </c>
      <c r="B24" s="246">
        <v>88.6</v>
      </c>
      <c r="C24" s="246">
        <v>87.9</v>
      </c>
      <c r="D24" s="246">
        <v>88.4</v>
      </c>
      <c r="E24" s="246">
        <v>88.8</v>
      </c>
      <c r="F24" s="246">
        <v>89</v>
      </c>
      <c r="G24" s="246">
        <v>89.7</v>
      </c>
      <c r="H24" s="246">
        <v>89.7</v>
      </c>
      <c r="I24" s="246">
        <v>89.7</v>
      </c>
      <c r="J24" s="246">
        <v>89.4</v>
      </c>
      <c r="K24" s="246">
        <v>89.5</v>
      </c>
      <c r="L24" s="246">
        <v>89.5</v>
      </c>
      <c r="M24" s="246">
        <v>89.7</v>
      </c>
      <c r="N24" s="246">
        <f t="shared" si="0"/>
        <v>89.158333333333346</v>
      </c>
    </row>
    <row r="25" spans="1:14" x14ac:dyDescent="0.3">
      <c r="A25" s="7">
        <v>1999</v>
      </c>
      <c r="B25" s="246">
        <v>89.9</v>
      </c>
      <c r="C25" s="246">
        <v>89.9</v>
      </c>
      <c r="D25" s="246">
        <v>90.1</v>
      </c>
      <c r="E25" s="246">
        <v>90.3</v>
      </c>
      <c r="F25" s="246">
        <v>91</v>
      </c>
      <c r="G25" s="246">
        <v>91.2</v>
      </c>
      <c r="H25" s="246">
        <v>91.4</v>
      </c>
      <c r="I25" s="246">
        <v>92.1</v>
      </c>
      <c r="J25" s="246">
        <v>92.6</v>
      </c>
      <c r="K25" s="246">
        <v>92.7</v>
      </c>
      <c r="L25" s="246">
        <v>92.3</v>
      </c>
      <c r="M25" s="246">
        <v>92.7</v>
      </c>
      <c r="N25" s="246">
        <f t="shared" si="0"/>
        <v>91.350000000000009</v>
      </c>
    </row>
    <row r="26" spans="1:14" x14ac:dyDescent="0.3">
      <c r="A26" s="7">
        <v>2000</v>
      </c>
      <c r="B26" s="246">
        <v>92.4</v>
      </c>
      <c r="C26" s="246">
        <v>92.3</v>
      </c>
      <c r="D26" s="246">
        <v>93.3</v>
      </c>
      <c r="E26" s="246">
        <v>93.3</v>
      </c>
      <c r="F26" s="246">
        <v>93.9</v>
      </c>
      <c r="G26" s="246">
        <v>94.3</v>
      </c>
      <c r="H26" s="246">
        <v>95.2</v>
      </c>
      <c r="I26" s="246">
        <v>95.3</v>
      </c>
      <c r="J26" s="246">
        <v>95.9</v>
      </c>
      <c r="K26" s="246">
        <v>96</v>
      </c>
      <c r="L26" s="246">
        <v>96.3</v>
      </c>
      <c r="M26" s="246">
        <v>96.3</v>
      </c>
      <c r="N26" s="246">
        <f t="shared" si="0"/>
        <v>94.541666666666671</v>
      </c>
    </row>
    <row r="27" spans="1:14" x14ac:dyDescent="0.3">
      <c r="A27" s="7">
        <v>2001</v>
      </c>
      <c r="B27" s="246">
        <v>93.4</v>
      </c>
      <c r="C27" s="246">
        <v>95.7</v>
      </c>
      <c r="D27" s="246">
        <v>95.6</v>
      </c>
      <c r="E27" s="246">
        <v>95.7</v>
      </c>
      <c r="F27" s="246">
        <v>99.2</v>
      </c>
      <c r="G27" s="246">
        <v>99.5</v>
      </c>
      <c r="H27" s="246">
        <v>97.9</v>
      </c>
      <c r="I27" s="246">
        <v>97.8</v>
      </c>
      <c r="J27" s="246">
        <v>98.6</v>
      </c>
      <c r="K27" s="246">
        <v>97.4</v>
      </c>
      <c r="L27" s="246">
        <v>93.9</v>
      </c>
      <c r="M27" s="246">
        <v>95.4</v>
      </c>
      <c r="N27" s="246">
        <f t="shared" si="0"/>
        <v>96.675000000000011</v>
      </c>
    </row>
    <row r="28" spans="1:14" x14ac:dyDescent="0.3">
      <c r="A28" s="7">
        <v>2002</v>
      </c>
      <c r="B28" s="246">
        <v>96.7</v>
      </c>
      <c r="C28" s="246">
        <v>97.2</v>
      </c>
      <c r="D28" s="246">
        <v>97.5</v>
      </c>
      <c r="E28" s="246">
        <v>99</v>
      </c>
      <c r="F28" s="246">
        <v>99.4</v>
      </c>
      <c r="G28" s="246">
        <v>99.9</v>
      </c>
      <c r="H28" s="246">
        <v>99.9</v>
      </c>
      <c r="I28" s="246">
        <v>100.1</v>
      </c>
      <c r="J28" s="246">
        <v>101.4</v>
      </c>
      <c r="K28" s="246">
        <v>102.5</v>
      </c>
      <c r="L28" s="246">
        <v>103</v>
      </c>
      <c r="M28" s="246">
        <v>103.3</v>
      </c>
      <c r="N28" s="246">
        <f t="shared" si="0"/>
        <v>99.99166666666666</v>
      </c>
    </row>
    <row r="29" spans="1:14" x14ac:dyDescent="0.3">
      <c r="A29" s="7">
        <v>2003</v>
      </c>
      <c r="B29" s="246">
        <v>103.5</v>
      </c>
      <c r="C29" s="246">
        <v>103.8</v>
      </c>
      <c r="D29" s="246">
        <v>104.9</v>
      </c>
      <c r="E29" s="246">
        <v>104.9</v>
      </c>
      <c r="F29" s="246">
        <v>104.2</v>
      </c>
      <c r="G29" s="246">
        <v>104.7</v>
      </c>
      <c r="H29" s="246">
        <v>104.3</v>
      </c>
      <c r="I29" s="246">
        <v>104.2</v>
      </c>
      <c r="J29" s="246">
        <v>104.8</v>
      </c>
      <c r="K29" s="246">
        <v>104.3</v>
      </c>
      <c r="L29" s="246">
        <v>104.7</v>
      </c>
      <c r="M29" s="246">
        <v>104.6</v>
      </c>
      <c r="N29" s="246">
        <f t="shared" si="0"/>
        <v>104.40833333333335</v>
      </c>
    </row>
    <row r="30" spans="1:14" x14ac:dyDescent="0.3">
      <c r="A30" s="7">
        <v>2004</v>
      </c>
      <c r="B30" s="246">
        <v>104.6</v>
      </c>
      <c r="C30" s="246">
        <v>104.6</v>
      </c>
      <c r="D30" s="246">
        <v>104.9</v>
      </c>
      <c r="E30" s="246">
        <v>105.2</v>
      </c>
      <c r="F30" s="246">
        <v>106.1</v>
      </c>
      <c r="G30" s="246">
        <v>107.1</v>
      </c>
      <c r="H30" s="246">
        <v>106.4</v>
      </c>
      <c r="I30" s="246">
        <v>106.2</v>
      </c>
      <c r="J30" s="246">
        <v>106.3</v>
      </c>
      <c r="K30" s="246">
        <v>106</v>
      </c>
      <c r="L30" s="246">
        <v>106.7</v>
      </c>
      <c r="M30" s="246">
        <v>106.4</v>
      </c>
      <c r="N30" s="246">
        <f t="shared" si="0"/>
        <v>105.87500000000001</v>
      </c>
    </row>
    <row r="31" spans="1:14" x14ac:dyDescent="0.3">
      <c r="A31" s="7">
        <v>2005</v>
      </c>
      <c r="B31" s="246">
        <v>106.1</v>
      </c>
      <c r="C31" s="246">
        <v>106.2</v>
      </c>
      <c r="D31" s="246">
        <v>106.9</v>
      </c>
      <c r="E31" s="246">
        <v>107.6</v>
      </c>
      <c r="F31" s="246">
        <v>107.4</v>
      </c>
      <c r="G31" s="246">
        <v>107.8</v>
      </c>
      <c r="H31" s="246">
        <v>108.7</v>
      </c>
      <c r="I31" s="246">
        <v>108.7</v>
      </c>
      <c r="J31" s="246">
        <v>110</v>
      </c>
      <c r="K31" s="246">
        <v>109.7</v>
      </c>
      <c r="L31" s="246">
        <v>109.6</v>
      </c>
      <c r="M31" s="246">
        <v>109</v>
      </c>
      <c r="N31" s="246">
        <f t="shared" si="0"/>
        <v>108.14166666666667</v>
      </c>
    </row>
    <row r="32" spans="1:14" x14ac:dyDescent="0.3">
      <c r="A32" s="7">
        <v>2006</v>
      </c>
      <c r="B32" s="246">
        <v>110.4</v>
      </c>
      <c r="C32" s="246">
        <v>109.7</v>
      </c>
      <c r="D32" s="246">
        <v>110.3</v>
      </c>
      <c r="E32" s="246">
        <v>111.4</v>
      </c>
      <c r="F32" s="246">
        <v>112.2</v>
      </c>
      <c r="G32" s="246">
        <v>111.8</v>
      </c>
      <c r="H32" s="246">
        <v>113.4</v>
      </c>
      <c r="I32" s="246">
        <v>113.9</v>
      </c>
      <c r="J32" s="246">
        <v>114.1</v>
      </c>
      <c r="K32" s="246">
        <v>113</v>
      </c>
      <c r="L32" s="246">
        <v>113.7</v>
      </c>
      <c r="M32" s="246">
        <v>114.2</v>
      </c>
      <c r="N32" s="246">
        <f t="shared" si="0"/>
        <v>112.34166666666668</v>
      </c>
    </row>
    <row r="33" spans="1:14" x14ac:dyDescent="0.3">
      <c r="A33" s="7">
        <v>2007</v>
      </c>
      <c r="B33" s="246">
        <v>114.7</v>
      </c>
      <c r="C33" s="246">
        <v>115</v>
      </c>
      <c r="D33" s="246">
        <v>116.4</v>
      </c>
      <c r="E33" s="246">
        <v>117.5</v>
      </c>
      <c r="F33" s="246">
        <v>117.8</v>
      </c>
      <c r="G33" s="246">
        <v>118.8</v>
      </c>
      <c r="H33" s="246">
        <v>119.1</v>
      </c>
      <c r="I33" s="246">
        <v>119.3</v>
      </c>
      <c r="J33" s="246">
        <v>119.4</v>
      </c>
      <c r="K33" s="246">
        <v>118.6</v>
      </c>
      <c r="L33" s="246">
        <v>119.1</v>
      </c>
      <c r="M33" s="246">
        <v>118.9</v>
      </c>
      <c r="N33" s="246">
        <f t="shared" si="0"/>
        <v>117.88333333333333</v>
      </c>
    </row>
    <row r="34" spans="1:14" x14ac:dyDescent="0.3">
      <c r="A34" s="7">
        <v>2008</v>
      </c>
      <c r="B34" s="246">
        <v>118.8</v>
      </c>
      <c r="C34" s="246">
        <v>119</v>
      </c>
      <c r="D34" s="246">
        <v>119.8</v>
      </c>
      <c r="E34" s="246">
        <v>121.3</v>
      </c>
      <c r="F34" s="246">
        <v>122.2</v>
      </c>
      <c r="G34" s="246">
        <v>124</v>
      </c>
      <c r="H34" s="246">
        <v>123.3</v>
      </c>
      <c r="I34" s="246">
        <v>124.1</v>
      </c>
      <c r="J34" s="246">
        <v>122.8</v>
      </c>
      <c r="K34" s="246">
        <v>121.5</v>
      </c>
      <c r="L34" s="246">
        <v>121.6</v>
      </c>
      <c r="M34" s="246">
        <v>121.2</v>
      </c>
      <c r="N34" s="246">
        <f t="shared" si="0"/>
        <v>121.63333333333333</v>
      </c>
    </row>
    <row r="35" spans="1:14" x14ac:dyDescent="0.3">
      <c r="A35" s="7">
        <v>2009</v>
      </c>
      <c r="B35" s="246">
        <v>120.2</v>
      </c>
      <c r="C35" s="246">
        <v>121.5</v>
      </c>
      <c r="D35" s="246">
        <v>120.9</v>
      </c>
      <c r="E35" s="246">
        <v>120.4</v>
      </c>
      <c r="F35" s="246">
        <v>121.4</v>
      </c>
      <c r="G35" s="246">
        <v>122</v>
      </c>
      <c r="H35" s="246">
        <v>121.5</v>
      </c>
      <c r="I35" s="246">
        <v>122</v>
      </c>
      <c r="J35" s="246">
        <v>121.5</v>
      </c>
      <c r="K35" s="246">
        <v>121.6</v>
      </c>
      <c r="L35" s="246">
        <v>122.6</v>
      </c>
      <c r="M35" s="246">
        <v>121.9</v>
      </c>
      <c r="N35" s="246">
        <f t="shared" si="0"/>
        <v>121.45833333333333</v>
      </c>
    </row>
    <row r="36" spans="1:14" x14ac:dyDescent="0.3">
      <c r="A36" s="7">
        <v>2010</v>
      </c>
      <c r="B36" s="246">
        <v>122.3</v>
      </c>
      <c r="C36" s="246">
        <v>122.7</v>
      </c>
      <c r="D36" s="246">
        <v>122.1</v>
      </c>
      <c r="E36" s="246">
        <v>122.3</v>
      </c>
      <c r="F36" s="246">
        <v>122.7</v>
      </c>
      <c r="G36" s="246">
        <v>122.7</v>
      </c>
      <c r="H36" s="246">
        <v>123.3</v>
      </c>
      <c r="I36" s="246">
        <v>122.7</v>
      </c>
      <c r="J36" s="246">
        <v>122.6</v>
      </c>
      <c r="K36" s="246">
        <v>123</v>
      </c>
      <c r="L36" s="246">
        <v>122.7</v>
      </c>
      <c r="M36" s="246">
        <v>112.9</v>
      </c>
      <c r="N36" s="246">
        <f t="shared" si="0"/>
        <v>121.83333333333336</v>
      </c>
    </row>
    <row r="37" spans="1:14" x14ac:dyDescent="0.3">
      <c r="A37" s="7">
        <v>2011</v>
      </c>
      <c r="B37" s="246">
        <v>123.5</v>
      </c>
      <c r="C37" s="246">
        <v>124.2</v>
      </c>
      <c r="D37" s="246">
        <v>124.5</v>
      </c>
      <c r="E37" s="246">
        <v>126</v>
      </c>
      <c r="F37" s="246">
        <v>126.1</v>
      </c>
      <c r="G37" s="246">
        <v>125.3</v>
      </c>
      <c r="H37" s="246">
        <v>125.7</v>
      </c>
      <c r="I37" s="246">
        <v>126.3</v>
      </c>
      <c r="J37" s="246">
        <v>126</v>
      </c>
      <c r="K37" s="246">
        <v>127.2</v>
      </c>
      <c r="L37" s="246">
        <v>126.6</v>
      </c>
      <c r="M37" s="246">
        <v>126.5</v>
      </c>
      <c r="N37" s="246">
        <f t="shared" si="0"/>
        <v>125.65833333333332</v>
      </c>
    </row>
    <row r="38" spans="1:14" x14ac:dyDescent="0.3">
      <c r="A38" s="7">
        <v>2012</v>
      </c>
      <c r="B38" s="246">
        <v>127.1</v>
      </c>
      <c r="C38" s="246">
        <v>126.6</v>
      </c>
      <c r="D38" s="246">
        <v>126.6</v>
      </c>
      <c r="E38" s="246">
        <v>127</v>
      </c>
      <c r="F38" s="246">
        <v>126.6</v>
      </c>
      <c r="G38" s="246">
        <v>126.9</v>
      </c>
      <c r="H38" s="246">
        <v>126.8</v>
      </c>
      <c r="I38" s="246">
        <v>127.6</v>
      </c>
      <c r="J38" s="246">
        <v>127.8</v>
      </c>
      <c r="K38" s="246">
        <v>128</v>
      </c>
      <c r="L38" s="246">
        <v>127.3</v>
      </c>
      <c r="M38" s="246">
        <v>126.5</v>
      </c>
      <c r="N38" s="246">
        <f t="shared" si="0"/>
        <v>127.06666666666666</v>
      </c>
    </row>
    <row r="39" spans="1:14" x14ac:dyDescent="0.3">
      <c r="A39" s="7">
        <v>2013</v>
      </c>
      <c r="B39" s="246">
        <v>126.5</v>
      </c>
      <c r="C39" s="246">
        <v>127.7</v>
      </c>
      <c r="D39" s="246">
        <v>128.1</v>
      </c>
      <c r="E39" s="246">
        <v>128.69999999999999</v>
      </c>
      <c r="F39" s="246">
        <v>129.5</v>
      </c>
      <c r="G39" s="246">
        <v>129.80000000000001</v>
      </c>
      <c r="H39" s="246">
        <v>129.6</v>
      </c>
      <c r="I39" s="246">
        <v>129.4</v>
      </c>
      <c r="J39" s="246">
        <v>129.5</v>
      </c>
      <c r="K39" s="246">
        <v>129.30000000000001</v>
      </c>
      <c r="L39" s="246">
        <v>129.5</v>
      </c>
      <c r="M39" s="246">
        <v>129.1</v>
      </c>
      <c r="N39" s="246">
        <f t="shared" si="0"/>
        <v>128.89166666666665</v>
      </c>
    </row>
    <row r="40" spans="1:14" x14ac:dyDescent="0.3">
      <c r="A40" s="7">
        <v>2014</v>
      </c>
      <c r="B40" s="246">
        <v>129.9</v>
      </c>
      <c r="C40" s="246">
        <v>130.80000000000001</v>
      </c>
      <c r="D40" s="246">
        <v>133.1</v>
      </c>
      <c r="E40" s="246">
        <v>132.19999999999999</v>
      </c>
      <c r="F40" s="246">
        <v>132.80000000000001</v>
      </c>
      <c r="G40" s="246">
        <v>132.30000000000001</v>
      </c>
      <c r="H40" s="246">
        <v>132.9</v>
      </c>
      <c r="I40" s="246">
        <v>132.69999999999999</v>
      </c>
      <c r="J40" s="246">
        <v>132.9</v>
      </c>
      <c r="K40" s="246">
        <v>133.19999999999999</v>
      </c>
      <c r="L40" s="246">
        <v>132.1</v>
      </c>
      <c r="M40" s="246">
        <v>131.5</v>
      </c>
      <c r="N40" s="246">
        <f t="shared" si="0"/>
        <v>132.19999999999999</v>
      </c>
    </row>
    <row r="41" spans="1:14" x14ac:dyDescent="0.3">
      <c r="A41" s="7">
        <v>2015</v>
      </c>
      <c r="B41" s="246">
        <v>131</v>
      </c>
      <c r="C41" s="246">
        <v>132</v>
      </c>
      <c r="D41" s="246">
        <v>133</v>
      </c>
      <c r="E41" s="246">
        <v>133.1</v>
      </c>
      <c r="F41" s="246">
        <v>133.6</v>
      </c>
      <c r="G41" s="246">
        <v>134.5</v>
      </c>
      <c r="H41" s="246">
        <v>134.6</v>
      </c>
      <c r="I41" s="246">
        <v>135</v>
      </c>
      <c r="J41" s="246">
        <v>134.6</v>
      </c>
      <c r="K41" s="246">
        <v>135.1</v>
      </c>
      <c r="L41" s="246">
        <v>134.69999999999999</v>
      </c>
      <c r="M41" s="246">
        <v>133.5</v>
      </c>
      <c r="N41" s="246">
        <f t="shared" si="0"/>
        <v>133.72499999999999</v>
      </c>
    </row>
    <row r="42" spans="1:14" x14ac:dyDescent="0.3">
      <c r="A42" s="7">
        <v>2016</v>
      </c>
      <c r="B42" s="246">
        <v>133.69999999999999</v>
      </c>
      <c r="C42" s="246">
        <v>133.80000000000001</v>
      </c>
      <c r="D42" s="246">
        <v>135</v>
      </c>
      <c r="E42" s="246">
        <v>135.1</v>
      </c>
      <c r="F42" s="246">
        <v>135.6</v>
      </c>
      <c r="G42" s="246">
        <v>136.30000000000001</v>
      </c>
      <c r="H42" s="246">
        <v>135.6</v>
      </c>
      <c r="I42" s="246">
        <v>135.9</v>
      </c>
      <c r="J42" s="246">
        <v>135.30000000000001</v>
      </c>
      <c r="K42" s="246">
        <v>135.80000000000001</v>
      </c>
      <c r="L42" s="246">
        <v>135</v>
      </c>
      <c r="M42" s="246">
        <v>134.9</v>
      </c>
      <c r="N42" s="246">
        <f t="shared" si="0"/>
        <v>135.16666666666666</v>
      </c>
    </row>
    <row r="43" spans="1:14" x14ac:dyDescent="0.3">
      <c r="A43" s="7">
        <v>2017</v>
      </c>
      <c r="B43" s="246">
        <v>137</v>
      </c>
      <c r="C43" s="246">
        <v>136.69999999999999</v>
      </c>
      <c r="D43" s="246">
        <v>136.80000000000001</v>
      </c>
      <c r="E43" s="246">
        <v>137.4</v>
      </c>
      <c r="F43" s="246">
        <v>137.19999999999999</v>
      </c>
      <c r="G43" s="246">
        <v>136.9</v>
      </c>
      <c r="H43" s="246">
        <v>137</v>
      </c>
      <c r="I43" s="246">
        <v>137.4</v>
      </c>
      <c r="J43" s="246">
        <v>137</v>
      </c>
      <c r="K43" s="246">
        <v>137.6</v>
      </c>
      <c r="L43" s="246">
        <v>138.4</v>
      </c>
      <c r="M43" s="246">
        <v>137.6</v>
      </c>
      <c r="N43" s="246">
        <f t="shared" si="0"/>
        <v>137.24999999999997</v>
      </c>
    </row>
    <row r="44" spans="1:14" x14ac:dyDescent="0.3">
      <c r="A44" s="7">
        <v>2018</v>
      </c>
      <c r="B44" s="246">
        <v>138.9</v>
      </c>
      <c r="C44" s="246">
        <v>139.69999999999999</v>
      </c>
      <c r="D44" s="246">
        <v>139.9</v>
      </c>
      <c r="E44" s="246">
        <v>140.6</v>
      </c>
      <c r="F44" s="246">
        <v>140.69999999999999</v>
      </c>
      <c r="G44" s="246">
        <v>140.69999999999999</v>
      </c>
      <c r="H44" s="246">
        <v>141.80000000000001</v>
      </c>
      <c r="I44" s="246">
        <v>141.6</v>
      </c>
      <c r="J44" s="246">
        <v>141.1</v>
      </c>
      <c r="K44" s="246">
        <v>141.4</v>
      </c>
      <c r="L44" s="246">
        <v>140.69999999999999</v>
      </c>
      <c r="M44" s="246">
        <v>140.5</v>
      </c>
      <c r="N44" s="246">
        <f t="shared" si="0"/>
        <v>140.63333333333333</v>
      </c>
    </row>
    <row r="45" spans="1:14" x14ac:dyDescent="0.3">
      <c r="A45" s="7">
        <v>2019</v>
      </c>
      <c r="B45" s="246">
        <v>140.5</v>
      </c>
      <c r="C45" s="246">
        <v>142</v>
      </c>
      <c r="D45" s="246">
        <v>143.1</v>
      </c>
      <c r="E45" s="246">
        <v>143.69999999999999</v>
      </c>
      <c r="F45" s="246">
        <v>144</v>
      </c>
      <c r="G45" s="246">
        <v>142.69999999999999</v>
      </c>
      <c r="H45" s="246">
        <v>143.6</v>
      </c>
      <c r="I45" s="246">
        <v>143.4</v>
      </c>
      <c r="J45" s="246">
        <v>142.9</v>
      </c>
      <c r="K45" s="246">
        <v>143.6</v>
      </c>
      <c r="L45" s="246">
        <v>143.6</v>
      </c>
      <c r="M45" s="246">
        <v>143.69999999999999</v>
      </c>
      <c r="N45" s="246">
        <f t="shared" si="0"/>
        <v>143.06666666666666</v>
      </c>
    </row>
    <row r="46" spans="1:14" x14ac:dyDescent="0.3">
      <c r="A46" s="7">
        <v>2020</v>
      </c>
      <c r="B46" s="246">
        <v>144.69999999999999</v>
      </c>
      <c r="C46" s="246">
        <v>145.5</v>
      </c>
      <c r="D46" s="246">
        <v>144.1</v>
      </c>
      <c r="E46" s="246">
        <v>143</v>
      </c>
      <c r="F46" s="246">
        <v>144.1</v>
      </c>
      <c r="G46" s="246">
        <v>145</v>
      </c>
      <c r="H46" s="246">
        <v>144.9</v>
      </c>
      <c r="I46" s="246">
        <v>144.19999999999999</v>
      </c>
      <c r="J46" s="246">
        <v>145</v>
      </c>
      <c r="K46" s="246">
        <v>145.19999999999999</v>
      </c>
      <c r="L46" s="246">
        <v>145.4</v>
      </c>
      <c r="M46" s="246">
        <v>144.80000000000001</v>
      </c>
      <c r="N46" s="246">
        <f t="shared" si="0"/>
        <v>144.65833333333333</v>
      </c>
    </row>
    <row r="47" spans="1:14" x14ac:dyDescent="0.3">
      <c r="A47" s="7">
        <v>2021</v>
      </c>
      <c r="B47" s="246">
        <v>145.80000000000001</v>
      </c>
      <c r="C47" s="246">
        <v>146.4</v>
      </c>
      <c r="D47" s="246">
        <v>146.9</v>
      </c>
      <c r="E47" s="246">
        <v>147.69999999999999</v>
      </c>
      <c r="F47" s="246">
        <v>148.6</v>
      </c>
      <c r="G47" s="246">
        <v>148.9</v>
      </c>
      <c r="H47" s="246">
        <v>150.30000000000001</v>
      </c>
      <c r="I47" s="246">
        <v>151</v>
      </c>
      <c r="J47" s="246">
        <v>150.80000000000001</v>
      </c>
      <c r="K47" s="246">
        <v>151.5</v>
      </c>
      <c r="L47" s="246">
        <v>151.6</v>
      </c>
      <c r="M47" s="246">
        <v>151.69999999999999</v>
      </c>
      <c r="N47" s="246">
        <f t="shared" si="0"/>
        <v>149.26666666666665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3"/>
  <dimension ref="A1:N47"/>
  <sheetViews>
    <sheetView workbookViewId="0">
      <pane xSplit="1" ySplit="3" topLeftCell="B31" activePane="bottomRight" state="frozen"/>
      <selection sqref="A1:XFD1048576"/>
      <selection pane="topRight" sqref="A1:XFD1048576"/>
      <selection pane="bottomLeft" sqref="A1:XFD1048576"/>
      <selection pane="bottomRight" activeCell="O43" sqref="O43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96</v>
      </c>
    </row>
    <row r="2" spans="1:14" s="187" customFormat="1" x14ac:dyDescent="0.3">
      <c r="A2" s="25">
        <v>12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39.1</v>
      </c>
      <c r="K4" s="246">
        <v>39.4</v>
      </c>
      <c r="L4" s="246">
        <v>39.6</v>
      </c>
      <c r="M4" s="246">
        <v>39.799999999999997</v>
      </c>
      <c r="N4" s="246">
        <f t="shared" ref="N4:N47" si="0">AVERAGE(B4:M4)</f>
        <v>39.474999999999994</v>
      </c>
    </row>
    <row r="5" spans="1:14" x14ac:dyDescent="0.3">
      <c r="A5" s="7">
        <v>1979</v>
      </c>
      <c r="B5" s="246">
        <v>40</v>
      </c>
      <c r="C5" s="246">
        <v>40.4</v>
      </c>
      <c r="D5" s="246">
        <v>40.700000000000003</v>
      </c>
      <c r="E5" s="246">
        <v>40.799999999999997</v>
      </c>
      <c r="F5" s="246">
        <v>41.2</v>
      </c>
      <c r="G5" s="246">
        <v>41.5</v>
      </c>
      <c r="H5" s="246">
        <v>41.7</v>
      </c>
      <c r="I5" s="246">
        <v>41.8</v>
      </c>
      <c r="J5" s="246">
        <v>42.3</v>
      </c>
      <c r="K5" s="246">
        <v>42.3</v>
      </c>
      <c r="L5" s="246">
        <v>42.6</v>
      </c>
      <c r="M5" s="246">
        <v>42.8</v>
      </c>
      <c r="N5" s="246">
        <f t="shared" si="0"/>
        <v>41.50833333333334</v>
      </c>
    </row>
    <row r="6" spans="1:14" x14ac:dyDescent="0.3">
      <c r="A6" s="7">
        <v>1980</v>
      </c>
      <c r="B6" s="246">
        <v>43</v>
      </c>
      <c r="C6" s="246">
        <v>43.4</v>
      </c>
      <c r="D6" s="246">
        <v>43.9</v>
      </c>
      <c r="E6" s="246">
        <v>44.1</v>
      </c>
      <c r="F6" s="246">
        <v>44.7</v>
      </c>
      <c r="G6" s="246">
        <v>45.2</v>
      </c>
      <c r="H6" s="246">
        <v>45.6</v>
      </c>
      <c r="I6" s="246">
        <v>46</v>
      </c>
      <c r="J6" s="246">
        <v>46.3</v>
      </c>
      <c r="K6" s="246">
        <v>46.8</v>
      </c>
      <c r="L6" s="246">
        <v>47.5</v>
      </c>
      <c r="M6" s="246">
        <v>47.8</v>
      </c>
      <c r="N6" s="246">
        <f t="shared" si="0"/>
        <v>45.358333333333341</v>
      </c>
    </row>
    <row r="7" spans="1:14" x14ac:dyDescent="0.3">
      <c r="A7" s="7">
        <v>1981</v>
      </c>
      <c r="B7" s="246">
        <v>48.7</v>
      </c>
      <c r="C7" s="246">
        <v>49.1</v>
      </c>
      <c r="D7" s="246">
        <v>50.1</v>
      </c>
      <c r="E7" s="246">
        <v>50.6</v>
      </c>
      <c r="F7" s="246">
        <v>51</v>
      </c>
      <c r="G7" s="246">
        <v>51.7</v>
      </c>
      <c r="H7" s="246">
        <v>52.2</v>
      </c>
      <c r="I7" s="246">
        <v>52.7</v>
      </c>
      <c r="J7" s="246">
        <v>53.2</v>
      </c>
      <c r="K7" s="246">
        <v>53.8</v>
      </c>
      <c r="L7" s="246">
        <v>54.3</v>
      </c>
      <c r="M7" s="246">
        <v>54.5</v>
      </c>
      <c r="N7" s="246">
        <f t="shared" si="0"/>
        <v>51.824999999999989</v>
      </c>
    </row>
    <row r="8" spans="1:14" x14ac:dyDescent="0.3">
      <c r="A8" s="7">
        <v>1982</v>
      </c>
      <c r="B8" s="246">
        <v>55.1</v>
      </c>
      <c r="C8" s="246">
        <v>55.5</v>
      </c>
      <c r="D8" s="246">
        <v>55.9</v>
      </c>
      <c r="E8" s="246">
        <v>56.3</v>
      </c>
      <c r="F8" s="246">
        <v>57</v>
      </c>
      <c r="G8" s="246">
        <v>57.4</v>
      </c>
      <c r="H8" s="246">
        <v>57.7</v>
      </c>
      <c r="I8" s="246">
        <v>58</v>
      </c>
      <c r="J8" s="246">
        <v>58.3</v>
      </c>
      <c r="K8" s="246">
        <v>58.6</v>
      </c>
      <c r="L8" s="246">
        <v>58.9</v>
      </c>
      <c r="M8" s="246">
        <v>58.7</v>
      </c>
      <c r="N8" s="246">
        <f t="shared" si="0"/>
        <v>57.283333333333331</v>
      </c>
    </row>
    <row r="9" spans="1:14" x14ac:dyDescent="0.3">
      <c r="A9" s="7">
        <v>1983</v>
      </c>
      <c r="B9" s="246">
        <v>58.9</v>
      </c>
      <c r="C9" s="246">
        <v>59.1</v>
      </c>
      <c r="D9" s="246">
        <v>59.6</v>
      </c>
      <c r="E9" s="246">
        <v>59.9</v>
      </c>
      <c r="F9" s="246">
        <v>60</v>
      </c>
      <c r="G9" s="246">
        <v>60.3</v>
      </c>
      <c r="H9" s="246">
        <v>61</v>
      </c>
      <c r="I9" s="246">
        <v>61</v>
      </c>
      <c r="J9" s="246">
        <v>61.1</v>
      </c>
      <c r="K9" s="246">
        <v>61.3</v>
      </c>
      <c r="L9" s="246">
        <v>61.3</v>
      </c>
      <c r="M9" s="246">
        <v>61.3</v>
      </c>
      <c r="N9" s="246">
        <f t="shared" si="0"/>
        <v>60.399999999999984</v>
      </c>
    </row>
    <row r="10" spans="1:14" x14ac:dyDescent="0.3">
      <c r="A10" s="7">
        <v>1984</v>
      </c>
      <c r="B10" s="246">
        <v>61.6</v>
      </c>
      <c r="C10" s="246">
        <v>61.9</v>
      </c>
      <c r="D10" s="246">
        <v>62.1</v>
      </c>
      <c r="E10" s="246">
        <v>62.4</v>
      </c>
      <c r="F10" s="246">
        <v>62.5</v>
      </c>
      <c r="G10" s="246">
        <v>62.5</v>
      </c>
      <c r="H10" s="246">
        <v>63.1</v>
      </c>
      <c r="I10" s="246">
        <v>63.3</v>
      </c>
      <c r="J10" s="246">
        <v>63.5</v>
      </c>
      <c r="K10" s="246">
        <v>63.4</v>
      </c>
      <c r="L10" s="246">
        <v>63.6</v>
      </c>
      <c r="M10" s="246">
        <v>63.6</v>
      </c>
      <c r="N10" s="246">
        <f t="shared" si="0"/>
        <v>62.791666666666679</v>
      </c>
    </row>
    <row r="11" spans="1:14" x14ac:dyDescent="0.3">
      <c r="A11" s="7">
        <v>1985</v>
      </c>
      <c r="B11" s="246">
        <v>63.8</v>
      </c>
      <c r="C11" s="246">
        <v>64.099999999999994</v>
      </c>
      <c r="D11" s="246">
        <v>64.099999999999994</v>
      </c>
      <c r="E11" s="246">
        <v>64.5</v>
      </c>
      <c r="F11" s="246">
        <v>64.7</v>
      </c>
      <c r="G11" s="246">
        <v>64.7</v>
      </c>
      <c r="H11" s="246">
        <v>65</v>
      </c>
      <c r="I11" s="246">
        <v>65.099999999999994</v>
      </c>
      <c r="J11" s="246">
        <v>65.2</v>
      </c>
      <c r="K11" s="246">
        <v>65.3</v>
      </c>
      <c r="L11" s="246">
        <v>65.400000000000006</v>
      </c>
      <c r="M11" s="246">
        <v>65.599999999999994</v>
      </c>
      <c r="N11" s="246">
        <f t="shared" si="0"/>
        <v>64.791666666666671</v>
      </c>
    </row>
    <row r="12" spans="1:14" x14ac:dyDescent="0.3">
      <c r="A12" s="7">
        <v>1986</v>
      </c>
      <c r="B12" s="246">
        <v>65.8</v>
      </c>
      <c r="C12" s="246">
        <v>65.8</v>
      </c>
      <c r="D12" s="246">
        <v>66.099999999999994</v>
      </c>
      <c r="E12" s="246">
        <v>66.099999999999994</v>
      </c>
      <c r="F12" s="246">
        <v>66.599999999999994</v>
      </c>
      <c r="G12" s="246">
        <v>66.599999999999994</v>
      </c>
      <c r="H12" s="246">
        <v>67</v>
      </c>
      <c r="I12" s="246">
        <v>67.2</v>
      </c>
      <c r="J12" s="246">
        <v>67.2</v>
      </c>
      <c r="K12" s="246">
        <v>67.400000000000006</v>
      </c>
      <c r="L12" s="246">
        <v>67.400000000000006</v>
      </c>
      <c r="M12" s="246">
        <v>67.2</v>
      </c>
      <c r="N12" s="246">
        <f t="shared" si="0"/>
        <v>66.7</v>
      </c>
    </row>
    <row r="13" spans="1:14" x14ac:dyDescent="0.3">
      <c r="A13" s="7">
        <v>1987</v>
      </c>
      <c r="B13" s="246">
        <v>67.5</v>
      </c>
      <c r="C13" s="246">
        <v>67.8</v>
      </c>
      <c r="D13" s="246">
        <v>68.2</v>
      </c>
      <c r="E13" s="246">
        <v>68.099999999999994</v>
      </c>
      <c r="F13" s="246">
        <v>68.5</v>
      </c>
      <c r="G13" s="246">
        <v>68.5</v>
      </c>
      <c r="H13" s="246">
        <v>69</v>
      </c>
      <c r="I13" s="246">
        <v>69.099999999999994</v>
      </c>
      <c r="J13" s="246">
        <v>69.2</v>
      </c>
      <c r="K13" s="246">
        <v>69.400000000000006</v>
      </c>
      <c r="L13" s="246">
        <v>69.7</v>
      </c>
      <c r="M13" s="246">
        <v>69.7</v>
      </c>
      <c r="N13" s="246">
        <f t="shared" si="0"/>
        <v>68.725000000000009</v>
      </c>
    </row>
    <row r="14" spans="1:14" x14ac:dyDescent="0.3">
      <c r="A14" s="7">
        <v>1988</v>
      </c>
      <c r="B14" s="246">
        <v>70.099999999999994</v>
      </c>
      <c r="C14" s="246">
        <v>70.099999999999994</v>
      </c>
      <c r="D14" s="246">
        <v>70.599999999999994</v>
      </c>
      <c r="E14" s="246">
        <v>70.8</v>
      </c>
      <c r="F14" s="246">
        <v>70.900000000000006</v>
      </c>
      <c r="G14" s="246">
        <v>70.8</v>
      </c>
      <c r="H14" s="246">
        <v>71.400000000000006</v>
      </c>
      <c r="I14" s="246">
        <v>71.400000000000006</v>
      </c>
      <c r="J14" s="246">
        <v>71.8</v>
      </c>
      <c r="K14" s="246">
        <v>71.900000000000006</v>
      </c>
      <c r="L14" s="246">
        <v>72.2</v>
      </c>
      <c r="M14" s="246">
        <v>72</v>
      </c>
      <c r="N14" s="246">
        <f t="shared" si="0"/>
        <v>71.166666666666671</v>
      </c>
    </row>
    <row r="15" spans="1:14" x14ac:dyDescent="0.3">
      <c r="A15" s="7">
        <v>1989</v>
      </c>
      <c r="B15" s="246">
        <v>72.5</v>
      </c>
      <c r="C15" s="246">
        <v>72.900000000000006</v>
      </c>
      <c r="D15" s="246">
        <v>73.3</v>
      </c>
      <c r="E15" s="246">
        <v>73.3</v>
      </c>
      <c r="F15" s="246">
        <v>74</v>
      </c>
      <c r="G15" s="246">
        <v>74.2</v>
      </c>
      <c r="H15" s="246">
        <v>74.7</v>
      </c>
      <c r="I15" s="246">
        <v>74.900000000000006</v>
      </c>
      <c r="J15" s="246">
        <v>75.3</v>
      </c>
      <c r="K15" s="246">
        <v>75.7</v>
      </c>
      <c r="L15" s="246">
        <v>75.900000000000006</v>
      </c>
      <c r="M15" s="246">
        <v>75.900000000000006</v>
      </c>
      <c r="N15" s="246">
        <f t="shared" si="0"/>
        <v>74.383333333333326</v>
      </c>
    </row>
    <row r="16" spans="1:14" x14ac:dyDescent="0.3">
      <c r="A16" s="7">
        <v>1990</v>
      </c>
      <c r="B16" s="246">
        <v>76.599999999999994</v>
      </c>
      <c r="C16" s="246">
        <v>77.099999999999994</v>
      </c>
      <c r="D16" s="246">
        <v>77.599999999999994</v>
      </c>
      <c r="E16" s="246">
        <v>77.599999999999994</v>
      </c>
      <c r="F16" s="246">
        <v>78</v>
      </c>
      <c r="G16" s="246">
        <v>78.5</v>
      </c>
      <c r="H16" s="246">
        <v>78.7</v>
      </c>
      <c r="I16" s="246">
        <v>78.7</v>
      </c>
      <c r="J16" s="246">
        <v>79.099999999999994</v>
      </c>
      <c r="K16" s="246">
        <v>79.400000000000006</v>
      </c>
      <c r="L16" s="246">
        <v>80</v>
      </c>
      <c r="M16" s="246">
        <v>79.8</v>
      </c>
      <c r="N16" s="246">
        <f t="shared" si="0"/>
        <v>78.424999999999997</v>
      </c>
    </row>
    <row r="17" spans="1:14" x14ac:dyDescent="0.3">
      <c r="A17" s="7">
        <v>1991</v>
      </c>
      <c r="B17" s="246">
        <v>82</v>
      </c>
      <c r="C17" s="246">
        <v>82.2</v>
      </c>
      <c r="D17" s="246">
        <v>82.4</v>
      </c>
      <c r="E17" s="246">
        <v>82.3</v>
      </c>
      <c r="F17" s="246">
        <v>82.4</v>
      </c>
      <c r="G17" s="246">
        <v>82.8</v>
      </c>
      <c r="H17" s="246">
        <v>82.8</v>
      </c>
      <c r="I17" s="246">
        <v>82.7</v>
      </c>
      <c r="J17" s="246">
        <v>82.8</v>
      </c>
      <c r="K17" s="246">
        <v>82.8</v>
      </c>
      <c r="L17" s="246">
        <v>83.2</v>
      </c>
      <c r="M17" s="246">
        <v>82.7</v>
      </c>
      <c r="N17" s="246">
        <f t="shared" si="0"/>
        <v>82.591666666666669</v>
      </c>
    </row>
    <row r="18" spans="1:14" x14ac:dyDescent="0.3">
      <c r="A18" s="7">
        <v>1992</v>
      </c>
      <c r="B18" s="246">
        <v>83.5</v>
      </c>
      <c r="C18" s="246">
        <v>83.7</v>
      </c>
      <c r="D18" s="246">
        <v>84.2</v>
      </c>
      <c r="E18" s="246">
        <v>84.5</v>
      </c>
      <c r="F18" s="246">
        <v>84.6</v>
      </c>
      <c r="G18" s="246">
        <v>84.7</v>
      </c>
      <c r="H18" s="246">
        <v>85</v>
      </c>
      <c r="I18" s="246">
        <v>85.2</v>
      </c>
      <c r="J18" s="246">
        <v>85</v>
      </c>
      <c r="K18" s="246">
        <v>85.4</v>
      </c>
      <c r="L18" s="246">
        <v>86</v>
      </c>
      <c r="M18" s="246">
        <v>86</v>
      </c>
      <c r="N18" s="246">
        <f t="shared" si="0"/>
        <v>84.816666666666677</v>
      </c>
    </row>
    <row r="19" spans="1:14" x14ac:dyDescent="0.3">
      <c r="A19" s="7">
        <v>1993</v>
      </c>
      <c r="B19" s="246">
        <v>86.9</v>
      </c>
      <c r="C19" s="246">
        <v>87.1</v>
      </c>
      <c r="D19" s="246">
        <v>87.1</v>
      </c>
      <c r="E19" s="246">
        <v>87.2</v>
      </c>
      <c r="F19" s="246">
        <v>87.6</v>
      </c>
      <c r="G19" s="246">
        <v>87.5</v>
      </c>
      <c r="H19" s="246">
        <v>87.8</v>
      </c>
      <c r="I19" s="246">
        <v>88.2</v>
      </c>
      <c r="J19" s="246">
        <v>88.3</v>
      </c>
      <c r="K19" s="246">
        <v>88.4</v>
      </c>
      <c r="L19" s="246">
        <v>88.8</v>
      </c>
      <c r="M19" s="246">
        <v>88.7</v>
      </c>
      <c r="N19" s="246">
        <f t="shared" si="0"/>
        <v>87.8</v>
      </c>
    </row>
    <row r="20" spans="1:14" x14ac:dyDescent="0.3">
      <c r="A20" s="7">
        <v>1994</v>
      </c>
      <c r="B20" s="246">
        <v>89</v>
      </c>
      <c r="C20" s="246">
        <v>89.1</v>
      </c>
      <c r="D20" s="246">
        <v>89.1</v>
      </c>
      <c r="E20" s="246">
        <v>88.8</v>
      </c>
      <c r="F20" s="246">
        <v>89.1</v>
      </c>
      <c r="G20" s="246">
        <v>89.3</v>
      </c>
      <c r="H20" s="246">
        <v>89.7</v>
      </c>
      <c r="I20" s="246">
        <v>89.8</v>
      </c>
      <c r="J20" s="246">
        <v>89.9</v>
      </c>
      <c r="K20" s="246">
        <v>90</v>
      </c>
      <c r="L20" s="246">
        <v>90.3</v>
      </c>
      <c r="M20" s="246">
        <v>90.4</v>
      </c>
      <c r="N20" s="246">
        <f t="shared" si="0"/>
        <v>89.541666666666671</v>
      </c>
    </row>
    <row r="21" spans="1:14" x14ac:dyDescent="0.3">
      <c r="A21" s="7">
        <v>1995</v>
      </c>
      <c r="B21" s="246">
        <v>90.8</v>
      </c>
      <c r="C21" s="246">
        <v>91.1</v>
      </c>
      <c r="D21" s="246">
        <v>91.4</v>
      </c>
      <c r="E21" s="246">
        <v>91.3</v>
      </c>
      <c r="F21" s="246">
        <v>91.5</v>
      </c>
      <c r="G21" s="246">
        <v>91.6</v>
      </c>
      <c r="H21" s="246">
        <v>92.1</v>
      </c>
      <c r="I21" s="246">
        <v>92</v>
      </c>
      <c r="J21" s="246">
        <v>91.7</v>
      </c>
      <c r="K21" s="246">
        <v>91.7</v>
      </c>
      <c r="L21" s="246">
        <v>92</v>
      </c>
      <c r="M21" s="246">
        <v>91.9</v>
      </c>
      <c r="N21" s="246">
        <f t="shared" si="0"/>
        <v>91.591666666666683</v>
      </c>
    </row>
    <row r="22" spans="1:14" x14ac:dyDescent="0.3">
      <c r="A22" s="7">
        <v>1996</v>
      </c>
      <c r="B22" s="246">
        <v>92.1</v>
      </c>
      <c r="C22" s="246">
        <v>92.1</v>
      </c>
      <c r="D22" s="246">
        <v>92.3</v>
      </c>
      <c r="E22" s="246">
        <v>92.4</v>
      </c>
      <c r="F22" s="246">
        <v>92.5</v>
      </c>
      <c r="G22" s="246">
        <v>92.5</v>
      </c>
      <c r="H22" s="246">
        <v>92.4</v>
      </c>
      <c r="I22" s="246">
        <v>92.3</v>
      </c>
      <c r="J22" s="246">
        <v>92.5</v>
      </c>
      <c r="K22" s="246">
        <v>92.5</v>
      </c>
      <c r="L22" s="246">
        <v>92.6</v>
      </c>
      <c r="M22" s="246">
        <v>92.5</v>
      </c>
      <c r="N22" s="246">
        <f t="shared" si="0"/>
        <v>92.391666666666652</v>
      </c>
    </row>
    <row r="23" spans="1:14" x14ac:dyDescent="0.3">
      <c r="A23" s="7">
        <v>1997</v>
      </c>
      <c r="B23" s="246">
        <v>92.7</v>
      </c>
      <c r="C23" s="246">
        <v>93</v>
      </c>
      <c r="D23" s="246">
        <v>93.1</v>
      </c>
      <c r="E23" s="246">
        <v>93</v>
      </c>
      <c r="F23" s="246">
        <v>93.3</v>
      </c>
      <c r="G23" s="246">
        <v>93.3</v>
      </c>
      <c r="H23" s="246">
        <v>93.2</v>
      </c>
      <c r="I23" s="246">
        <v>93.3</v>
      </c>
      <c r="J23" s="246">
        <v>93.3</v>
      </c>
      <c r="K23" s="246">
        <v>93.1</v>
      </c>
      <c r="L23" s="246">
        <v>93.1</v>
      </c>
      <c r="M23" s="246">
        <v>92.8</v>
      </c>
      <c r="N23" s="246">
        <f t="shared" si="0"/>
        <v>93.09999999999998</v>
      </c>
    </row>
    <row r="24" spans="1:14" x14ac:dyDescent="0.3">
      <c r="A24" s="7">
        <v>1998</v>
      </c>
      <c r="B24" s="246">
        <v>93.1</v>
      </c>
      <c r="C24" s="246">
        <v>92.9</v>
      </c>
      <c r="D24" s="246">
        <v>93.2</v>
      </c>
      <c r="E24" s="246">
        <v>93.2</v>
      </c>
      <c r="F24" s="246">
        <v>93.6</v>
      </c>
      <c r="G24" s="246">
        <v>93.7</v>
      </c>
      <c r="H24" s="246">
        <v>93.7</v>
      </c>
      <c r="I24" s="246">
        <v>93.7</v>
      </c>
      <c r="J24" s="246">
        <v>93.3</v>
      </c>
      <c r="K24" s="246">
        <v>93.5</v>
      </c>
      <c r="L24" s="246">
        <v>93.3</v>
      </c>
      <c r="M24" s="246">
        <v>93.1</v>
      </c>
      <c r="N24" s="246">
        <f t="shared" si="0"/>
        <v>93.358333333333334</v>
      </c>
    </row>
    <row r="25" spans="1:14" x14ac:dyDescent="0.3">
      <c r="A25" s="7">
        <v>1999</v>
      </c>
      <c r="B25" s="246">
        <v>93.3</v>
      </c>
      <c r="C25" s="246">
        <v>93.4</v>
      </c>
      <c r="D25" s="246">
        <v>93.5</v>
      </c>
      <c r="E25" s="246">
        <v>94.2</v>
      </c>
      <c r="F25" s="246">
        <v>94.3</v>
      </c>
      <c r="G25" s="246">
        <v>94.6</v>
      </c>
      <c r="H25" s="246">
        <v>95</v>
      </c>
      <c r="I25" s="246">
        <v>94.9</v>
      </c>
      <c r="J25" s="246">
        <v>95.2</v>
      </c>
      <c r="K25" s="246">
        <v>94.8</v>
      </c>
      <c r="L25" s="246">
        <v>94.6</v>
      </c>
      <c r="M25" s="246">
        <v>94.7</v>
      </c>
      <c r="N25" s="246">
        <f t="shared" si="0"/>
        <v>94.375</v>
      </c>
    </row>
    <row r="26" spans="1:14" x14ac:dyDescent="0.3">
      <c r="A26" s="7">
        <v>2000</v>
      </c>
      <c r="B26" s="246">
        <v>94.4</v>
      </c>
      <c r="C26" s="246">
        <v>94.6</v>
      </c>
      <c r="D26" s="246">
        <v>95.3</v>
      </c>
      <c r="E26" s="246">
        <v>95.4</v>
      </c>
      <c r="F26" s="246">
        <v>95.7</v>
      </c>
      <c r="G26" s="246">
        <v>96</v>
      </c>
      <c r="H26" s="246">
        <v>96.9</v>
      </c>
      <c r="I26" s="246">
        <v>96.8</v>
      </c>
      <c r="J26" s="246">
        <v>97</v>
      </c>
      <c r="K26" s="246">
        <v>97.1</v>
      </c>
      <c r="L26" s="246">
        <v>97.2</v>
      </c>
      <c r="M26" s="246">
        <v>97</v>
      </c>
      <c r="N26" s="246">
        <f t="shared" si="0"/>
        <v>96.116666666666674</v>
      </c>
    </row>
    <row r="27" spans="1:14" x14ac:dyDescent="0.3">
      <c r="A27" s="7">
        <v>2001</v>
      </c>
      <c r="B27" s="246">
        <v>97.2</v>
      </c>
      <c r="C27" s="246">
        <v>95.5</v>
      </c>
      <c r="D27" s="246">
        <v>96.1</v>
      </c>
      <c r="E27" s="246">
        <v>97.6</v>
      </c>
      <c r="F27" s="246">
        <v>98.1</v>
      </c>
      <c r="G27" s="246">
        <v>98.7</v>
      </c>
      <c r="H27" s="246">
        <v>98.7</v>
      </c>
      <c r="I27" s="246">
        <v>98.5</v>
      </c>
      <c r="J27" s="246">
        <v>99</v>
      </c>
      <c r="K27" s="246">
        <v>98.3</v>
      </c>
      <c r="L27" s="246">
        <v>97.5</v>
      </c>
      <c r="M27" s="246">
        <v>97.4</v>
      </c>
      <c r="N27" s="246">
        <f t="shared" si="0"/>
        <v>97.716666666666683</v>
      </c>
    </row>
    <row r="28" spans="1:14" x14ac:dyDescent="0.3">
      <c r="A28" s="7">
        <v>2002</v>
      </c>
      <c r="B28" s="246">
        <v>97.9</v>
      </c>
      <c r="C28" s="246">
        <v>98.3</v>
      </c>
      <c r="D28" s="246">
        <v>98.9</v>
      </c>
      <c r="E28" s="246">
        <v>99.8</v>
      </c>
      <c r="F28" s="246">
        <v>100.2</v>
      </c>
      <c r="G28" s="246">
        <v>100.3</v>
      </c>
      <c r="H28" s="246">
        <v>100.6</v>
      </c>
      <c r="I28" s="246">
        <v>100.7</v>
      </c>
      <c r="J28" s="246">
        <v>100.8</v>
      </c>
      <c r="K28" s="246">
        <v>100.7</v>
      </c>
      <c r="L28" s="246">
        <v>100.9</v>
      </c>
      <c r="M28" s="246">
        <v>100.8</v>
      </c>
      <c r="N28" s="246">
        <f t="shared" si="0"/>
        <v>99.991666666666674</v>
      </c>
    </row>
    <row r="29" spans="1:14" x14ac:dyDescent="0.3">
      <c r="A29" s="7">
        <v>2003</v>
      </c>
      <c r="B29" s="246">
        <v>101</v>
      </c>
      <c r="C29" s="246">
        <v>101.5</v>
      </c>
      <c r="D29" s="246">
        <v>102.3</v>
      </c>
      <c r="E29" s="246">
        <v>102.1</v>
      </c>
      <c r="F29" s="246">
        <v>102.1</v>
      </c>
      <c r="G29" s="246">
        <v>102</v>
      </c>
      <c r="H29" s="246">
        <v>102.2</v>
      </c>
      <c r="I29" s="246">
        <v>102.6</v>
      </c>
      <c r="J29" s="246">
        <v>102.9</v>
      </c>
      <c r="K29" s="246">
        <v>102.4</v>
      </c>
      <c r="L29" s="246">
        <v>102.5</v>
      </c>
      <c r="M29" s="246">
        <v>102.6</v>
      </c>
      <c r="N29" s="246">
        <f t="shared" si="0"/>
        <v>102.18333333333332</v>
      </c>
    </row>
    <row r="30" spans="1:14" x14ac:dyDescent="0.3">
      <c r="A30" s="7">
        <v>2004</v>
      </c>
      <c r="B30" s="246">
        <v>102.5</v>
      </c>
      <c r="C30" s="246">
        <v>102.9</v>
      </c>
      <c r="D30" s="246">
        <v>103.2</v>
      </c>
      <c r="E30" s="246">
        <v>103.9</v>
      </c>
      <c r="F30" s="246">
        <v>104.7</v>
      </c>
      <c r="G30" s="246">
        <v>104.9</v>
      </c>
      <c r="H30" s="246">
        <v>104.7</v>
      </c>
      <c r="I30" s="246">
        <v>104.7</v>
      </c>
      <c r="J30" s="246">
        <v>104.8</v>
      </c>
      <c r="K30" s="246">
        <v>104.8</v>
      </c>
      <c r="L30" s="246">
        <v>105</v>
      </c>
      <c r="M30" s="246">
        <v>104.8</v>
      </c>
      <c r="N30" s="246">
        <f t="shared" si="0"/>
        <v>104.24166666666667</v>
      </c>
    </row>
    <row r="31" spans="1:14" x14ac:dyDescent="0.3">
      <c r="A31" s="7">
        <v>2005</v>
      </c>
      <c r="B31" s="246">
        <v>104.8</v>
      </c>
      <c r="C31" s="246">
        <v>105</v>
      </c>
      <c r="D31" s="246">
        <v>105.3</v>
      </c>
      <c r="E31" s="246">
        <v>106</v>
      </c>
      <c r="F31" s="246">
        <v>106.3</v>
      </c>
      <c r="G31" s="246">
        <v>106.4</v>
      </c>
      <c r="H31" s="246">
        <v>106.6</v>
      </c>
      <c r="I31" s="246">
        <v>106.8</v>
      </c>
      <c r="J31" s="246">
        <v>107.3</v>
      </c>
      <c r="K31" s="246">
        <v>107.1</v>
      </c>
      <c r="L31" s="246">
        <v>107.1</v>
      </c>
      <c r="M31" s="246">
        <v>106.7</v>
      </c>
      <c r="N31" s="246">
        <f t="shared" si="0"/>
        <v>106.28333333333332</v>
      </c>
    </row>
    <row r="32" spans="1:14" x14ac:dyDescent="0.3">
      <c r="A32" s="7">
        <v>2006</v>
      </c>
      <c r="B32" s="246">
        <v>106.6</v>
      </c>
      <c r="C32" s="246">
        <v>106.7</v>
      </c>
      <c r="D32" s="246">
        <v>107.2</v>
      </c>
      <c r="E32" s="246">
        <v>107.8</v>
      </c>
      <c r="F32" s="246">
        <v>108.7</v>
      </c>
      <c r="G32" s="246">
        <v>108.7</v>
      </c>
      <c r="H32" s="246">
        <v>108.8</v>
      </c>
      <c r="I32" s="246">
        <v>109</v>
      </c>
      <c r="J32" s="246">
        <v>108.4</v>
      </c>
      <c r="K32" s="246">
        <v>108.3</v>
      </c>
      <c r="L32" s="246">
        <v>108.7</v>
      </c>
      <c r="M32" s="246">
        <v>108.8</v>
      </c>
      <c r="N32" s="246">
        <f t="shared" si="0"/>
        <v>108.14166666666667</v>
      </c>
    </row>
    <row r="33" spans="1:14" x14ac:dyDescent="0.3">
      <c r="A33" s="7">
        <v>2007</v>
      </c>
      <c r="B33" s="246">
        <v>109</v>
      </c>
      <c r="C33" s="246">
        <v>109.1</v>
      </c>
      <c r="D33" s="246">
        <v>109.5</v>
      </c>
      <c r="E33" s="246">
        <v>109.9</v>
      </c>
      <c r="F33" s="246">
        <v>110.5</v>
      </c>
      <c r="G33" s="246">
        <v>110.3</v>
      </c>
      <c r="H33" s="246">
        <v>110.5</v>
      </c>
      <c r="I33" s="246">
        <v>110.4</v>
      </c>
      <c r="J33" s="246">
        <v>110.5</v>
      </c>
      <c r="K33" s="246">
        <v>110</v>
      </c>
      <c r="L33" s="246">
        <v>110.1</v>
      </c>
      <c r="M33" s="246">
        <v>110.1</v>
      </c>
      <c r="N33" s="246">
        <f t="shared" si="0"/>
        <v>109.99166666666663</v>
      </c>
    </row>
    <row r="34" spans="1:14" x14ac:dyDescent="0.3">
      <c r="A34" s="7">
        <v>2008</v>
      </c>
      <c r="B34" s="246">
        <v>109.9</v>
      </c>
      <c r="C34" s="246">
        <v>110.3</v>
      </c>
      <c r="D34" s="246">
        <v>110.8</v>
      </c>
      <c r="E34" s="246">
        <v>111.8</v>
      </c>
      <c r="F34" s="246">
        <v>112.8</v>
      </c>
      <c r="G34" s="246">
        <v>113.6</v>
      </c>
      <c r="H34" s="246">
        <v>114.2</v>
      </c>
      <c r="I34" s="246">
        <v>114</v>
      </c>
      <c r="J34" s="246">
        <v>114.1</v>
      </c>
      <c r="K34" s="246">
        <v>112.8</v>
      </c>
      <c r="L34" s="246">
        <v>112.3</v>
      </c>
      <c r="M34" s="246">
        <v>111.4</v>
      </c>
      <c r="N34" s="246">
        <f t="shared" si="0"/>
        <v>112.33333333333336</v>
      </c>
    </row>
    <row r="35" spans="1:14" x14ac:dyDescent="0.3">
      <c r="A35" s="7">
        <v>2009</v>
      </c>
      <c r="B35" s="246">
        <v>111.4</v>
      </c>
      <c r="C35" s="246">
        <v>111.9</v>
      </c>
      <c r="D35" s="246">
        <v>112</v>
      </c>
      <c r="E35" s="246">
        <v>112.1</v>
      </c>
      <c r="F35" s="246">
        <v>112.9</v>
      </c>
      <c r="G35" s="246">
        <v>112.8</v>
      </c>
      <c r="H35" s="246">
        <v>112.4</v>
      </c>
      <c r="I35" s="246">
        <v>112.8</v>
      </c>
      <c r="J35" s="246">
        <v>112.7</v>
      </c>
      <c r="K35" s="246">
        <v>112.1</v>
      </c>
      <c r="L35" s="246">
        <v>112.4</v>
      </c>
      <c r="M35" s="246">
        <v>111.9</v>
      </c>
      <c r="N35" s="246">
        <f t="shared" si="0"/>
        <v>112.28333333333335</v>
      </c>
    </row>
    <row r="36" spans="1:14" x14ac:dyDescent="0.3">
      <c r="A36" s="7">
        <v>2010</v>
      </c>
      <c r="B36" s="246">
        <v>112.2</v>
      </c>
      <c r="C36" s="246">
        <v>113.2</v>
      </c>
      <c r="D36" s="246">
        <v>112.6</v>
      </c>
      <c r="E36" s="246">
        <v>113.2</v>
      </c>
      <c r="F36" s="246">
        <v>113.6</v>
      </c>
      <c r="G36" s="246">
        <v>113.4</v>
      </c>
      <c r="H36" s="246">
        <v>114.6</v>
      </c>
      <c r="I36" s="246">
        <v>114.5</v>
      </c>
      <c r="J36" s="246">
        <v>114.5</v>
      </c>
      <c r="K36" s="246">
        <v>114.8</v>
      </c>
      <c r="L36" s="246">
        <v>114.9</v>
      </c>
      <c r="M36" s="246">
        <v>114.6</v>
      </c>
      <c r="N36" s="246">
        <f t="shared" si="0"/>
        <v>113.84166666666665</v>
      </c>
    </row>
    <row r="37" spans="1:14" x14ac:dyDescent="0.3">
      <c r="A37" s="7">
        <v>2011</v>
      </c>
      <c r="B37" s="246">
        <v>114.8</v>
      </c>
      <c r="C37" s="246">
        <v>115.2</v>
      </c>
      <c r="D37" s="246">
        <v>116.1</v>
      </c>
      <c r="E37" s="246">
        <v>116.3</v>
      </c>
      <c r="F37" s="246">
        <v>117.1</v>
      </c>
      <c r="G37" s="246">
        <v>116.5</v>
      </c>
      <c r="H37" s="246">
        <v>116.6</v>
      </c>
      <c r="I37" s="246">
        <v>116.9</v>
      </c>
      <c r="J37" s="246">
        <v>117.3</v>
      </c>
      <c r="K37" s="246">
        <v>117.4</v>
      </c>
      <c r="L37" s="246">
        <v>117.5</v>
      </c>
      <c r="M37" s="246">
        <v>116.5</v>
      </c>
      <c r="N37" s="246">
        <f t="shared" si="0"/>
        <v>116.51666666666667</v>
      </c>
    </row>
    <row r="38" spans="1:14" x14ac:dyDescent="0.3">
      <c r="A38" s="7">
        <v>2012</v>
      </c>
      <c r="B38" s="246">
        <v>116.8</v>
      </c>
      <c r="C38" s="246">
        <v>117.2</v>
      </c>
      <c r="D38" s="246">
        <v>117.9</v>
      </c>
      <c r="E38" s="246">
        <v>118.2</v>
      </c>
      <c r="F38" s="246">
        <v>118.6</v>
      </c>
      <c r="G38" s="246">
        <v>118.2</v>
      </c>
      <c r="H38" s="246">
        <v>117.9</v>
      </c>
      <c r="I38" s="246">
        <v>118.1</v>
      </c>
      <c r="J38" s="246">
        <v>118.1</v>
      </c>
      <c r="K38" s="246">
        <v>118</v>
      </c>
      <c r="L38" s="246">
        <v>117.6</v>
      </c>
      <c r="M38" s="246">
        <v>117</v>
      </c>
      <c r="N38" s="246">
        <f t="shared" si="0"/>
        <v>117.8</v>
      </c>
    </row>
    <row r="39" spans="1:14" x14ac:dyDescent="0.3">
      <c r="A39" s="7">
        <v>2013</v>
      </c>
      <c r="B39" s="246">
        <v>117.1</v>
      </c>
      <c r="C39" s="246">
        <v>118.3</v>
      </c>
      <c r="D39" s="246">
        <v>118.5</v>
      </c>
      <c r="E39" s="246">
        <v>117.2</v>
      </c>
      <c r="F39" s="246">
        <v>117.9</v>
      </c>
      <c r="G39" s="246">
        <v>117.6</v>
      </c>
      <c r="H39" s="246">
        <v>117.9</v>
      </c>
      <c r="I39" s="246">
        <v>118</v>
      </c>
      <c r="J39" s="246">
        <v>118.1</v>
      </c>
      <c r="K39" s="246">
        <v>117.7</v>
      </c>
      <c r="L39" s="246">
        <v>117.4</v>
      </c>
      <c r="M39" s="246">
        <v>117</v>
      </c>
      <c r="N39" s="246">
        <f t="shared" si="0"/>
        <v>117.72500000000001</v>
      </c>
    </row>
    <row r="40" spans="1:14" x14ac:dyDescent="0.3">
      <c r="A40" s="7">
        <v>2014</v>
      </c>
      <c r="B40" s="246">
        <v>117.1</v>
      </c>
      <c r="C40" s="246">
        <v>118</v>
      </c>
      <c r="D40" s="246">
        <v>118.6</v>
      </c>
      <c r="E40" s="246">
        <v>119</v>
      </c>
      <c r="F40" s="246">
        <v>119.7</v>
      </c>
      <c r="G40" s="246">
        <v>119.8</v>
      </c>
      <c r="H40" s="246">
        <v>119.6</v>
      </c>
      <c r="I40" s="246">
        <v>119.6</v>
      </c>
      <c r="J40" s="246">
        <v>119.5</v>
      </c>
      <c r="K40" s="246">
        <v>119</v>
      </c>
      <c r="L40" s="246">
        <v>118.8</v>
      </c>
      <c r="M40" s="246">
        <v>118.1</v>
      </c>
      <c r="N40" s="246">
        <f t="shared" si="0"/>
        <v>118.89999999999999</v>
      </c>
    </row>
    <row r="41" spans="1:14" x14ac:dyDescent="0.3">
      <c r="A41" s="7">
        <v>2015</v>
      </c>
      <c r="B41" s="246">
        <v>118</v>
      </c>
      <c r="C41" s="246">
        <v>118.9</v>
      </c>
      <c r="D41" s="246">
        <v>119.8</v>
      </c>
      <c r="E41" s="246">
        <v>119.6</v>
      </c>
      <c r="F41" s="246">
        <v>120.6</v>
      </c>
      <c r="G41" s="246">
        <v>120.7</v>
      </c>
      <c r="H41" s="246">
        <v>120.8</v>
      </c>
      <c r="I41" s="246">
        <v>121</v>
      </c>
      <c r="J41" s="246">
        <v>121</v>
      </c>
      <c r="K41" s="246">
        <v>120.6</v>
      </c>
      <c r="L41" s="246">
        <v>120.8</v>
      </c>
      <c r="M41" s="246">
        <v>120.4</v>
      </c>
      <c r="N41" s="246">
        <f t="shared" si="0"/>
        <v>120.18333333333334</v>
      </c>
    </row>
    <row r="42" spans="1:14" x14ac:dyDescent="0.3">
      <c r="A42" s="7">
        <v>2016</v>
      </c>
      <c r="B42" s="246">
        <v>120.7</v>
      </c>
      <c r="C42" s="246">
        <v>120.8</v>
      </c>
      <c r="D42" s="246">
        <v>121.8</v>
      </c>
      <c r="E42" s="246">
        <v>121.8</v>
      </c>
      <c r="F42" s="246">
        <v>122.7</v>
      </c>
      <c r="G42" s="246">
        <v>123.1</v>
      </c>
      <c r="H42" s="246">
        <v>123.3</v>
      </c>
      <c r="I42" s="246">
        <v>123.4</v>
      </c>
      <c r="J42" s="246">
        <v>123.2</v>
      </c>
      <c r="K42" s="246">
        <v>123.1</v>
      </c>
      <c r="L42" s="246">
        <v>122.7</v>
      </c>
      <c r="M42" s="246">
        <v>122.7</v>
      </c>
      <c r="N42" s="246">
        <f t="shared" si="0"/>
        <v>122.44166666666666</v>
      </c>
    </row>
    <row r="43" spans="1:14" x14ac:dyDescent="0.3">
      <c r="A43" s="7">
        <v>2017</v>
      </c>
      <c r="B43" s="246">
        <v>123.5</v>
      </c>
      <c r="C43" s="246">
        <v>123.6</v>
      </c>
      <c r="D43" s="246">
        <v>124.2</v>
      </c>
      <c r="E43" s="246">
        <v>124.4</v>
      </c>
      <c r="F43" s="246">
        <v>125</v>
      </c>
      <c r="G43" s="246">
        <v>125.2</v>
      </c>
      <c r="H43" s="246">
        <v>125.6</v>
      </c>
      <c r="I43" s="246">
        <v>125.9</v>
      </c>
      <c r="J43" s="246">
        <v>125.7</v>
      </c>
      <c r="K43" s="246">
        <v>125.6</v>
      </c>
      <c r="L43" s="246">
        <v>125.9</v>
      </c>
      <c r="M43" s="246">
        <v>125.2</v>
      </c>
      <c r="N43" s="246">
        <f t="shared" si="0"/>
        <v>124.98333333333335</v>
      </c>
    </row>
    <row r="44" spans="1:14" x14ac:dyDescent="0.3">
      <c r="A44" s="7">
        <v>2018</v>
      </c>
      <c r="B44" s="246">
        <v>126.1</v>
      </c>
      <c r="C44" s="246">
        <v>127</v>
      </c>
      <c r="D44" s="246">
        <v>127.4</v>
      </c>
      <c r="E44" s="246">
        <v>127.7</v>
      </c>
      <c r="F44" s="246">
        <v>128.4</v>
      </c>
      <c r="G44" s="246">
        <v>128.6</v>
      </c>
      <c r="H44" s="246">
        <v>129.69999999999999</v>
      </c>
      <c r="I44" s="246">
        <v>129.6</v>
      </c>
      <c r="J44" s="246">
        <v>128.9</v>
      </c>
      <c r="K44" s="246">
        <v>129.4</v>
      </c>
      <c r="L44" s="246">
        <v>128.9</v>
      </c>
      <c r="M44" s="246">
        <v>129</v>
      </c>
      <c r="N44" s="246">
        <f t="shared" si="0"/>
        <v>128.39166666666668</v>
      </c>
    </row>
    <row r="45" spans="1:14" x14ac:dyDescent="0.3">
      <c r="A45" s="7">
        <v>2019</v>
      </c>
      <c r="B45" s="246">
        <v>129.1</v>
      </c>
      <c r="C45" s="246">
        <v>129.80000000000001</v>
      </c>
      <c r="D45" s="246">
        <v>130.69999999999999</v>
      </c>
      <c r="E45" s="246">
        <v>131.19999999999999</v>
      </c>
      <c r="F45" s="246">
        <v>131.80000000000001</v>
      </c>
      <c r="G45" s="246">
        <v>131.9</v>
      </c>
      <c r="H45" s="246">
        <v>132.4</v>
      </c>
      <c r="I45" s="246">
        <v>132.19999999999999</v>
      </c>
      <c r="J45" s="246">
        <v>132</v>
      </c>
      <c r="K45" s="246">
        <v>132.19999999999999</v>
      </c>
      <c r="L45" s="246">
        <v>131.80000000000001</v>
      </c>
      <c r="M45" s="246">
        <v>131.69999999999999</v>
      </c>
      <c r="N45" s="246">
        <f t="shared" si="0"/>
        <v>131.4</v>
      </c>
    </row>
    <row r="46" spans="1:14" x14ac:dyDescent="0.3">
      <c r="A46" s="7">
        <v>2020</v>
      </c>
      <c r="B46" s="246">
        <v>132.1</v>
      </c>
      <c r="C46" s="246">
        <v>132.9</v>
      </c>
      <c r="D46" s="246">
        <v>132.30000000000001</v>
      </c>
      <c r="E46" s="246">
        <v>131.19999999999999</v>
      </c>
      <c r="F46" s="246">
        <v>131.5</v>
      </c>
      <c r="G46" s="246">
        <v>132.6</v>
      </c>
      <c r="H46" s="246">
        <v>132.6</v>
      </c>
      <c r="I46" s="246">
        <v>132.4</v>
      </c>
      <c r="J46" s="246">
        <v>132.5</v>
      </c>
      <c r="K46" s="246">
        <v>132.9</v>
      </c>
      <c r="L46" s="246">
        <v>133.30000000000001</v>
      </c>
      <c r="M46" s="246">
        <v>132.80000000000001</v>
      </c>
      <c r="N46" s="246">
        <f t="shared" si="0"/>
        <v>132.42500000000001</v>
      </c>
    </row>
    <row r="47" spans="1:14" x14ac:dyDescent="0.3">
      <c r="A47" s="7">
        <v>2021</v>
      </c>
      <c r="B47" s="246">
        <v>133.6</v>
      </c>
      <c r="C47" s="246">
        <v>134.1</v>
      </c>
      <c r="D47" s="246">
        <v>134.9</v>
      </c>
      <c r="E47" s="246">
        <v>135.19999999999999</v>
      </c>
      <c r="F47" s="246">
        <v>135.1</v>
      </c>
      <c r="G47" s="246">
        <v>135.80000000000001</v>
      </c>
      <c r="H47" s="246">
        <v>136.69999999999999</v>
      </c>
      <c r="I47" s="246">
        <v>137</v>
      </c>
      <c r="J47" s="246">
        <v>137.19999999999999</v>
      </c>
      <c r="K47" s="246">
        <v>137.9</v>
      </c>
      <c r="L47" s="246">
        <v>138.1</v>
      </c>
      <c r="M47" s="246">
        <v>138</v>
      </c>
      <c r="N47" s="246">
        <f t="shared" si="0"/>
        <v>136.13333333333335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43</vt:i4>
      </vt:variant>
    </vt:vector>
  </HeadingPairs>
  <TitlesOfParts>
    <vt:vector size="71" baseType="lpstr">
      <vt:lpstr>RPPLimits</vt:lpstr>
      <vt:lpstr>ProxyStat</vt:lpstr>
      <vt:lpstr>QPPStat</vt:lpstr>
      <vt:lpstr>CPPStat</vt:lpstr>
      <vt:lpstr>OASStat</vt:lpstr>
      <vt:lpstr>AWEStat</vt:lpstr>
      <vt:lpstr>AWETNStat</vt:lpstr>
      <vt:lpstr>AWEIPEStat</vt:lpstr>
      <vt:lpstr>AWENEStat</vt:lpstr>
      <vt:lpstr>AWENBStat</vt:lpstr>
      <vt:lpstr>AWEQCStat</vt:lpstr>
      <vt:lpstr>AWEONStat</vt:lpstr>
      <vt:lpstr>AWEMAStat</vt:lpstr>
      <vt:lpstr>AWESAStat</vt:lpstr>
      <vt:lpstr>AWEALStat</vt:lpstr>
      <vt:lpstr>AWECBStat</vt:lpstr>
      <vt:lpstr>CIAStat</vt:lpstr>
      <vt:lpstr>CPIStat</vt:lpstr>
      <vt:lpstr>CPITNStat</vt:lpstr>
      <vt:lpstr>CPIIPEStat</vt:lpstr>
      <vt:lpstr>CPINEStat</vt:lpstr>
      <vt:lpstr>CPINBStat</vt:lpstr>
      <vt:lpstr>CPIQCStat</vt:lpstr>
      <vt:lpstr>CPIONStat</vt:lpstr>
      <vt:lpstr>CPIMAStat</vt:lpstr>
      <vt:lpstr>CPISAStat</vt:lpstr>
      <vt:lpstr>CPIALStat</vt:lpstr>
      <vt:lpstr>CPICBStat</vt:lpstr>
      <vt:lpstr>_datesCIAStat</vt:lpstr>
      <vt:lpstr>_lastDateAWEStat</vt:lpstr>
      <vt:lpstr>_lastDateCIAStat</vt:lpstr>
      <vt:lpstr>_lastDateCPI</vt:lpstr>
      <vt:lpstr>_lastMonth</vt:lpstr>
      <vt:lpstr>_lastMonthCPI</vt:lpstr>
      <vt:lpstr>_lastRow</vt:lpstr>
      <vt:lpstr>_lastRowCPI</vt:lpstr>
      <vt:lpstr>_Offset</vt:lpstr>
      <vt:lpstr>_offsetProxyStat</vt:lpstr>
      <vt:lpstr>_proxyDates</vt:lpstr>
      <vt:lpstr>_proxyTab</vt:lpstr>
      <vt:lpstr>AweAlStat</vt:lpstr>
      <vt:lpstr>AweCBStat</vt:lpstr>
      <vt:lpstr>AweIPEStat</vt:lpstr>
      <vt:lpstr>AweMaStat</vt:lpstr>
      <vt:lpstr>AweNbStat</vt:lpstr>
      <vt:lpstr>AweNeStat</vt:lpstr>
      <vt:lpstr>AweOnStat</vt:lpstr>
      <vt:lpstr>AweQcStat</vt:lpstr>
      <vt:lpstr>AweSaStat</vt:lpstr>
      <vt:lpstr>AweStat</vt:lpstr>
      <vt:lpstr>AweTnStat</vt:lpstr>
      <vt:lpstr>CIAStat</vt:lpstr>
      <vt:lpstr>CPIALStat</vt:lpstr>
      <vt:lpstr>CPICBStat</vt:lpstr>
      <vt:lpstr>CPIIPEStat</vt:lpstr>
      <vt:lpstr>CPIMAStat</vt:lpstr>
      <vt:lpstr>CPINBStat</vt:lpstr>
      <vt:lpstr>CPINEStat</vt:lpstr>
      <vt:lpstr>CPIONStat</vt:lpstr>
      <vt:lpstr>CPIQCStat</vt:lpstr>
      <vt:lpstr>CPISAStat</vt:lpstr>
      <vt:lpstr>CPIStat</vt:lpstr>
      <vt:lpstr>CPITNStat</vt:lpstr>
      <vt:lpstr>CPPStat</vt:lpstr>
      <vt:lpstr>OASStat</vt:lpstr>
      <vt:lpstr>CIAStat!Print_Titles</vt:lpstr>
      <vt:lpstr>ProxyStat</vt:lpstr>
      <vt:lpstr>QPPStat</vt:lpstr>
      <vt:lpstr>RPPLimits</vt:lpstr>
      <vt:lpstr>TabProxy</vt:lpstr>
      <vt:lpstr>TransferMax</vt:lpstr>
    </vt:vector>
  </TitlesOfParts>
  <Company>OAC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Aubin</dc:creator>
  <cp:lastModifiedBy>Guy Aubin</cp:lastModifiedBy>
  <cp:lastPrinted>2014-06-20T11:45:30Z</cp:lastPrinted>
  <dcterms:created xsi:type="dcterms:W3CDTF">2004-08-31T03:15:22Z</dcterms:created>
  <dcterms:modified xsi:type="dcterms:W3CDTF">2022-01-23T16:25:05Z</dcterms:modified>
</cp:coreProperties>
</file>